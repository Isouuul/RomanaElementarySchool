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epedph.sharepoint.com/sites/ROMANAELEMENTARYSCHOOL117443/Shared Documents/SY 2025-2026/OPCRF 2025-2026 MOVs/"/>
    </mc:Choice>
  </mc:AlternateContent>
  <xr:revisionPtr revIDLastSave="0" documentId="8_{1E45BA9A-8472-42D6-8352-BAF38977277F}" xr6:coauthVersionLast="47" xr6:coauthVersionMax="47" xr10:uidLastSave="{00000000-0000-0000-0000-000000000000}"/>
  <bookViews>
    <workbookView xWindow="-110" yWindow="-110" windowWidth="19420" windowHeight="10300" tabRatio="546" firstSheet="2" activeTab="2" xr2:uid="{00000000-000D-0000-FFFF-FFFF00000000}"/>
  </bookViews>
  <sheets>
    <sheet name="Group 1" sheetId="1" state="hidden" r:id="rId1"/>
    <sheet name="PART I (CY 2024&amp;SY2024-2025)" sheetId="2" state="hidden" r:id="rId2"/>
    <sheet name="PART I (CY 2025&amp;SY2025-2026)" sheetId="3" r:id="rId3"/>
    <sheet name="PART II" sheetId="11" r:id="rId4"/>
    <sheet name="PART III" sheetId="4" r:id="rId5"/>
    <sheet name="Sheet3" sheetId="5" state="hidden" r:id="rId6"/>
    <sheet name="Sheet4" sheetId="6" state="hidden" r:id="rId7"/>
    <sheet name="Sheet5" sheetId="7" state="hidden" r:id="rId8"/>
    <sheet name="Sheet6" sheetId="8" state="hidden" r:id="rId9"/>
    <sheet name="PART I_SampleComp" sheetId="9" state="hidden" r:id="rId10"/>
    <sheet name="PART II_SampleCom" sheetId="10" state="hidden" r:id="rId11"/>
    <sheet name="PART III_SampleComp" sheetId="12" state="hidden" r:id="rId12"/>
    <sheet name="PART IV" sheetId="13" r:id="rId13"/>
  </sheets>
  <definedNames>
    <definedName name="_xlnm.Print_Area" localSheetId="2">'PART I (CY 2025&amp;SY2025-2026)'!$A$1:$U$133</definedName>
    <definedName name="_xlnm.Print_Area" localSheetId="3">'PART II'!$A$2:$O$69</definedName>
    <definedName name="_xlnm.Print_Area" localSheetId="12">'PART IV'!$B$1:$K$26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3" l="1"/>
  <c r="F9" i="12"/>
  <c r="F8" i="12"/>
  <c r="J50" i="11"/>
  <c r="J45" i="11"/>
  <c r="J40" i="11"/>
  <c r="J35" i="11"/>
  <c r="J30" i="11"/>
  <c r="J25" i="11"/>
  <c r="J16" i="11"/>
  <c r="J11" i="11"/>
  <c r="J6" i="11"/>
  <c r="J50" i="10"/>
  <c r="J45" i="10"/>
  <c r="J55" i="10"/>
  <c r="J40" i="10"/>
  <c r="J35" i="10"/>
  <c r="J30" i="10"/>
  <c r="J25" i="10"/>
  <c r="J16" i="10"/>
  <c r="J11" i="10"/>
  <c r="J6" i="10"/>
  <c r="J21" i="10"/>
  <c r="U84" i="9"/>
  <c r="V84" i="9"/>
  <c r="U81" i="9"/>
  <c r="V81" i="9"/>
  <c r="U78" i="9"/>
  <c r="V78" i="9"/>
  <c r="V105" i="9"/>
  <c r="U50" i="9"/>
  <c r="V50" i="9"/>
  <c r="U47" i="9"/>
  <c r="V47" i="9"/>
  <c r="U44" i="9"/>
  <c r="V44" i="9"/>
  <c r="V25" i="9"/>
  <c r="U25" i="9"/>
  <c r="U22" i="9"/>
  <c r="V22" i="9"/>
  <c r="U19" i="9"/>
  <c r="V19" i="9"/>
  <c r="V37" i="9"/>
  <c r="U16" i="9"/>
  <c r="T119" i="3"/>
  <c r="U119" i="3"/>
  <c r="T116" i="3"/>
  <c r="U116" i="3"/>
  <c r="T113" i="3"/>
  <c r="U113" i="3"/>
  <c r="T104" i="3"/>
  <c r="U104" i="3"/>
  <c r="T101" i="3"/>
  <c r="U101" i="3"/>
  <c r="T98" i="3"/>
  <c r="U98" i="3"/>
  <c r="T95" i="3"/>
  <c r="U95" i="3"/>
  <c r="T91" i="3"/>
  <c r="U91" i="3"/>
  <c r="T88" i="3"/>
  <c r="U88" i="3"/>
  <c r="T79" i="3"/>
  <c r="U79" i="3"/>
  <c r="T76" i="3"/>
  <c r="U76" i="3"/>
  <c r="T73" i="3"/>
  <c r="U73" i="3"/>
  <c r="T70" i="3"/>
  <c r="U70" i="3"/>
  <c r="T67" i="3"/>
  <c r="U67" i="3"/>
  <c r="T64" i="3"/>
  <c r="U64" i="3"/>
  <c r="T61" i="3"/>
  <c r="U61" i="3"/>
  <c r="T58" i="3"/>
  <c r="U58" i="3"/>
  <c r="T55" i="3"/>
  <c r="U55" i="3"/>
  <c r="T52" i="3"/>
  <c r="U52" i="3"/>
  <c r="T49" i="3"/>
  <c r="U49" i="3"/>
  <c r="T46" i="3"/>
  <c r="U46" i="3"/>
  <c r="T43" i="3"/>
  <c r="U43" i="3"/>
  <c r="T40" i="3"/>
  <c r="U40" i="3"/>
  <c r="T37" i="3"/>
  <c r="U37" i="3"/>
  <c r="F7" i="12"/>
  <c r="G7" i="12"/>
  <c r="T34" i="3"/>
  <c r="U34" i="3"/>
  <c r="T31" i="3"/>
  <c r="U31" i="3"/>
  <c r="T28" i="3"/>
  <c r="U28" i="3"/>
  <c r="T25" i="3"/>
  <c r="U25" i="3"/>
  <c r="T22" i="3"/>
  <c r="U22" i="3"/>
  <c r="T16" i="3"/>
  <c r="U16" i="3"/>
  <c r="U84" i="2"/>
  <c r="V84" i="2"/>
  <c r="U81" i="2"/>
  <c r="V81" i="2"/>
  <c r="V78" i="2"/>
  <c r="V105" i="2"/>
  <c r="U78" i="2"/>
  <c r="U50" i="2"/>
  <c r="V50" i="2"/>
  <c r="U47" i="2"/>
  <c r="V47" i="2"/>
  <c r="U44" i="2"/>
  <c r="V44" i="2"/>
  <c r="V71" i="2"/>
  <c r="U25" i="2"/>
  <c r="V25" i="2"/>
  <c r="U22" i="2"/>
  <c r="V22" i="2"/>
  <c r="U19" i="2"/>
  <c r="V19" i="2"/>
  <c r="V37" i="2"/>
  <c r="U16" i="2"/>
  <c r="J55" i="11"/>
  <c r="F11" i="12"/>
  <c r="J21" i="11"/>
  <c r="F10" i="12"/>
  <c r="U122" i="3"/>
  <c r="F9" i="4"/>
  <c r="V71" i="9"/>
  <c r="U107" i="3"/>
  <c r="F8" i="4"/>
  <c r="U82" i="3"/>
  <c r="F7" i="4"/>
  <c r="F11" i="4"/>
  <c r="F10" i="4"/>
  <c r="G7" i="4"/>
  <c r="H7" i="4"/>
  <c r="I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100-000001000000}">
      <text>
        <r>
          <rPr>
            <sz val="11"/>
            <color theme="1"/>
            <rFont val="Calibri"/>
            <scheme val="minor"/>
          </rPr>
          <t>======
ID#AAABM_J7fe8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100-000002000000}">
      <text>
        <r>
          <rPr>
            <sz val="11"/>
            <color theme="1"/>
            <rFont val="Calibri"/>
            <scheme val="minor"/>
          </rPr>
          <t>======
ID#AAABM_J7ffE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M16" authorId="0" shapeId="0" xr:uid="{00000000-0006-0000-0800-000001000000}">
      <text>
        <r>
          <rPr>
            <sz val="11"/>
            <color theme="1"/>
            <rFont val="Calibri"/>
            <scheme val="minor"/>
          </rPr>
          <t>======
ID#AAABM_J7fe8
tc={F461A50B-A9EF-C140-9765-88D1576B05CD}    (2024-01-08 09:18:03)
[Threaded comment]
Your version of Excel allows you to read this threaded comment; however, any edits to it will get removed if the file is opened in a newer version of Excel. Learn more: https://go.microsoft.com/fwlink/?linkid=870924
Comment:
    Quality: based on established standards
E.g. The policies issued underwent … based on the policy formulation standards… incorporating all comment of the…
(Measure the consistency in following the process/standards of policy formulation)
Reply:
    Measured through the quality of targeted/assigned HR interventions approved by the Director with the following output indicators/elements:</t>
        </r>
      </text>
    </comment>
    <comment ref="L17" authorId="0" shapeId="0" xr:uid="{00000000-0006-0000-0800-000002000000}">
      <text>
        <r>
          <rPr>
            <sz val="11"/>
            <color theme="1"/>
            <rFont val="Calibri"/>
            <scheme val="minor"/>
          </rPr>
          <t>======
ID#AAABM_J7ffE
tc={A91A47AA-777E-6241-BC4F-23E1F81DF858}    (2024-01-08 09:18:03)
[Threaded comment]
Your version of Excel allows you to read this threaded comment; however, any edits to it will get removed if the file is opened in a newer version of Excel. Learn more: https://go.microsoft.com/fwlink/?linkid=870924
Comment:
    Measured through % of policies submitted and/or presented to the Director for approval; commented upon by such and provided responses to said comments; and/or integrated into the proposed policy action document.</t>
        </r>
      </text>
    </comment>
  </commentList>
</comments>
</file>

<file path=xl/sharedStrings.xml><?xml version="1.0" encoding="utf-8"?>
<sst xmlns="http://schemas.openxmlformats.org/spreadsheetml/2006/main" count="1491" uniqueCount="865">
  <si>
    <t>UPSKILLING SCHOOL LEADERS FOR STRATEGIC PERFORMANCE PLANNING AND RESULTS MONITORING</t>
  </si>
  <si>
    <t>KRA</t>
  </si>
  <si>
    <t> </t>
  </si>
  <si>
    <t>Organizational Outcomes Alignment</t>
  </si>
  <si>
    <t>GAA</t>
  </si>
  <si>
    <t>BDEP Pillar</t>
  </si>
  <si>
    <t>MATATAG Pillar</t>
  </si>
  <si>
    <t>Objective No. ___   :</t>
  </si>
  <si>
    <t>Timeline</t>
  </si>
  <si>
    <t>Weight Allocation</t>
  </si>
  <si>
    <t>Performance Target</t>
  </si>
  <si>
    <t>Value</t>
  </si>
  <si>
    <t>Description</t>
  </si>
  <si>
    <t>Performance Measure</t>
  </si>
  <si>
    <t>Quality</t>
  </si>
  <si>
    <t>Efficiency</t>
  </si>
  <si>
    <t>Timeliness</t>
  </si>
  <si>
    <r>
      <rPr>
        <b/>
        <sz val="18"/>
        <color rgb="FF000000"/>
        <rFont val="Arial Narrow"/>
      </rPr>
      <t xml:space="preserve">OFFICE PERFORMANCE COMMITMENT AND REVIEW FORM (OPCRF) 
</t>
    </r>
    <r>
      <rPr>
        <b/>
        <i/>
        <sz val="18"/>
        <color rgb="FF000000"/>
        <rFont val="Arial Narrow"/>
      </rPr>
      <t>ver.Feb2025</t>
    </r>
  </si>
  <si>
    <t>Name of Employee:</t>
  </si>
  <si>
    <t xml:space="preserve">Name of Rater: </t>
  </si>
  <si>
    <t xml:space="preserve">Position/Designation: </t>
  </si>
  <si>
    <t xml:space="preserve">Position: </t>
  </si>
  <si>
    <t xml:space="preserve">Review Period:  </t>
  </si>
  <si>
    <t>Approving Authority:</t>
  </si>
  <si>
    <t xml:space="preserve">Strand/Bureau/Center/Service/Region/Division: </t>
  </si>
  <si>
    <t>Date of Review:</t>
  </si>
  <si>
    <t xml:space="preserve">Strand/Bureau/Center/Service/Region/Division Statement of Purpose: </t>
  </si>
  <si>
    <r>
      <rPr>
        <b/>
        <u/>
        <sz val="12"/>
        <color rgb="FF000000"/>
        <rFont val="Arial Narrow"/>
      </rPr>
      <t xml:space="preserve">PART I-A: COMMITMENT TO ORGANIZATIONAL OUTCOMES (60%)
</t>
    </r>
    <r>
      <rPr>
        <b/>
        <i/>
        <sz val="12"/>
        <color rgb="FF000000"/>
        <rFont val="Arial Narrow"/>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MATATAG Agenda priority deliverables, and other national level commitments that are aligned with and relevant to the office KRAs. Clear attribution shall be made to ensure such alignment.</t>
    </r>
  </si>
  <si>
    <t>TO BE ACCOMPLISHED DURING PLANNING</t>
  </si>
  <si>
    <t>TO BE FILLED DURING EVALUATION</t>
  </si>
  <si>
    <r>
      <rPr>
        <b/>
        <sz val="12"/>
        <color theme="1"/>
        <rFont val="Arial Narrow"/>
      </rPr>
      <t xml:space="preserve">Objectives
</t>
    </r>
    <r>
      <rPr>
        <i/>
        <sz val="12"/>
        <color theme="1"/>
        <rFont val="Arial Narrow"/>
      </rPr>
      <t>(based on Office Functions)</t>
    </r>
  </si>
  <si>
    <r>
      <rPr>
        <b/>
        <sz val="12"/>
        <color theme="1"/>
        <rFont val="Arial Narrow"/>
      </rPr>
      <t xml:space="preserve">Performance Targets
</t>
    </r>
    <r>
      <rPr>
        <i/>
        <sz val="12"/>
        <color theme="1"/>
        <rFont val="Arial Narrow"/>
      </rPr>
      <t>(Target Outcome/Ouput of the Bureau/Center/Service/Division aligned with the Outcome/Output Indicators in the Organizational Outcomes)</t>
    </r>
  </si>
  <si>
    <r>
      <rPr>
        <b/>
        <sz val="12"/>
        <color theme="1"/>
        <rFont val="Arial Narrow"/>
      </rPr>
      <t xml:space="preserve">Performance Measure
</t>
    </r>
    <r>
      <rPr>
        <i/>
        <sz val="12"/>
        <color theme="1"/>
        <rFont val="Arial Narrow"/>
      </rPr>
      <t>(Quality, Efficiency, Timeliness)</t>
    </r>
  </si>
  <si>
    <t>Rating Scale</t>
  </si>
  <si>
    <t>Means of Verification (MOVs)</t>
  </si>
  <si>
    <t>Actual Accomplishments</t>
  </si>
  <si>
    <t>RATING
(Q,E,T)</t>
  </si>
  <si>
    <t>AVERAGE
(QET)</t>
  </si>
  <si>
    <t>WEIGHTED AVERAGE</t>
  </si>
  <si>
    <r>
      <rPr>
        <b/>
        <sz val="12"/>
        <color theme="1"/>
        <rFont val="Arial Narrow"/>
      </rPr>
      <t xml:space="preserve">Key Result Areas (KRA)
</t>
    </r>
    <r>
      <rPr>
        <i/>
        <sz val="12"/>
        <color theme="1"/>
        <rFont val="Arial Narrow"/>
      </rPr>
      <t>(Based on Office Mandate and Functions)</t>
    </r>
  </si>
  <si>
    <r>
      <rPr>
        <b/>
        <sz val="12"/>
        <color theme="1"/>
        <rFont val="Arial Narrow"/>
      </rPr>
      <t xml:space="preserve">Organizational Outcome Attribution
</t>
    </r>
    <r>
      <rPr>
        <i/>
        <sz val="12"/>
        <color theme="1"/>
        <rFont val="Arial Narrow"/>
      </rPr>
      <t>(Refer to the GAA Programs/Subprogram and BEDP Pillars)</t>
    </r>
  </si>
  <si>
    <r>
      <rPr>
        <b/>
        <sz val="12"/>
        <color theme="1"/>
        <rFont val="Arial Narrow"/>
      </rPr>
      <t xml:space="preserve">Value
</t>
    </r>
    <r>
      <rPr>
        <i/>
        <sz val="12"/>
        <color theme="1"/>
        <rFont val="Arial Narrow"/>
      </rPr>
      <t>(numerical, statistical, trend)</t>
    </r>
  </si>
  <si>
    <r>
      <rPr>
        <b/>
        <sz val="12"/>
        <color theme="1"/>
        <rFont val="Arial Narrow"/>
      </rPr>
      <t xml:space="preserve">Description
</t>
    </r>
    <r>
      <rPr>
        <i/>
        <sz val="12"/>
        <color theme="1"/>
        <rFont val="Arial Narrow"/>
      </rPr>
      <t>(expected outcome/ output/service)</t>
    </r>
  </si>
  <si>
    <t>5
(Outstanding)</t>
  </si>
  <si>
    <t>4
(Very Satisfactory)</t>
  </si>
  <si>
    <t>3
(Satisfactory)</t>
  </si>
  <si>
    <t>2
(Unsatisfactory)</t>
  </si>
  <si>
    <t>1
(Poor)</t>
  </si>
  <si>
    <t>GAA Programs/ Subprograms</t>
  </si>
  <si>
    <t>BEDP Pillars</t>
  </si>
  <si>
    <t>MATATAG Pillars</t>
  </si>
  <si>
    <t>Education Human Resource Development Program</t>
  </si>
  <si>
    <t>X number of policies formulated, reviewed, and issued</t>
  </si>
  <si>
    <t>Human Resource Development</t>
  </si>
  <si>
    <t xml:space="preserve">Objective 1: Ensured preparation of HR policies, guidelines, and standards that are Bureau-initiated, or may be assigned by the EXECOM for issuance; compliant with PRIME-HRM standards and national guidelines geared towards competency-based HR system within the set scheduled deadline.
</t>
  </si>
  <si>
    <t>January to December 2024</t>
  </si>
  <si>
    <r>
      <rPr>
        <b/>
        <sz val="12"/>
        <color rgb="FF0070C0"/>
        <rFont val="Arial Narrow"/>
      </rPr>
      <t xml:space="preserve">Met all 5 indicators </t>
    </r>
    <r>
      <rPr>
        <sz val="12"/>
        <color rgb="FF0070C0"/>
        <rFont val="Arial Narrow"/>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</si>
  <si>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2"/>
        <color rgb="FF0070C0"/>
        <rFont val="Calibri"/>
      </rPr>
      <t xml:space="preserve"> Met 4 out of 5 indicators </t>
    </r>
    <r>
      <rPr>
        <sz val="12"/>
        <color rgb="FF0070C0"/>
        <rFont val="Calibri"/>
      </rPr>
      <t>based on</t>
    </r>
    <r>
      <rPr>
        <b/>
        <sz val="12"/>
        <color rgb="FF0070C0"/>
        <rFont val="Calibri"/>
      </rPr>
      <t xml:space="preserve"> </t>
    </r>
    <r>
      <rPr>
        <sz val="12"/>
        <color rgb="FF0070C0"/>
        <rFont val="Calibri"/>
      </rPr>
      <t>the established standards in policy formulation</t>
    </r>
  </si>
  <si>
    <r>
      <rPr>
        <b/>
        <sz val="12"/>
        <color rgb="FF0070C0"/>
        <rFont val="Calibri"/>
      </rPr>
      <t xml:space="preserve"> Met 3 out of 5 indicators</t>
    </r>
    <r>
      <rPr>
        <sz val="12"/>
        <color rgb="FF0070C0"/>
        <rFont val="Calibri"/>
      </rPr>
      <t xml:space="preserve"> based on the established standards in policy formulation</t>
    </r>
  </si>
  <si>
    <r>
      <rPr>
        <b/>
        <sz val="12"/>
        <color rgb="FF0070C0"/>
        <rFont val="Calibri"/>
      </rPr>
      <t>Met 2 out of 5 indicators</t>
    </r>
    <r>
      <rPr>
        <sz val="12"/>
        <color rgb="FF0070C0"/>
        <rFont val="Calibri"/>
      </rPr>
      <t xml:space="preserve"> based on the established standards in policy formulation</t>
    </r>
  </si>
  <si>
    <r>
      <rPr>
        <b/>
        <sz val="12"/>
        <color rgb="FF0070C0"/>
        <rFont val="Calibri"/>
      </rPr>
      <t>Only 1 out of 5 indicators</t>
    </r>
    <r>
      <rPr>
        <sz val="12"/>
        <color rgb="FF0070C0"/>
        <rFont val="Calibri"/>
      </rPr>
      <t xml:space="preserve"> is met based on the established standards in policy formulation</t>
    </r>
  </si>
  <si>
    <t>Policy deliverables submitted followed the set standards in policy formulation and met all 5 indicators</t>
  </si>
  <si>
    <r>
      <rPr>
        <b/>
        <sz val="12"/>
        <color rgb="FF0070C0"/>
        <rFont val="Arial Narrow"/>
      </rPr>
      <t>100%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
</t>
    </r>
  </si>
  <si>
    <r>
      <rPr>
        <b/>
        <sz val="12"/>
        <color rgb="FF0070C0"/>
        <rFont val="Arial Narrow"/>
      </rPr>
      <t>76-99%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</si>
  <si>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51-75%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</si>
  <si>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 xml:space="preserve">26-50% of total number of policy deliverables </t>
    </r>
    <r>
      <rPr>
        <sz val="12"/>
        <color rgb="FF0070C0"/>
        <rFont val="Arial Narrow"/>
      </rPr>
      <t>submitted and/or presented to the Director for approval; commented upon by such and provided responses to said comments; and/or integrated into the proposed policy action document.</t>
    </r>
  </si>
  <si>
    <r>
      <rPr>
        <b/>
        <sz val="12"/>
        <color rgb="FF0070C0"/>
        <rFont val="Arial Narrow"/>
      </rPr>
      <t>25 %and below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</si>
  <si>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t>13 out of 15 (87%) policy deliverables were submitted and/or presented to the Director and/or EXECOM for approval</t>
  </si>
  <si>
    <t xml:space="preserve">Endorsed to the Office of the Director before the deadline set </t>
  </si>
  <si>
    <t xml:space="preserve">Endorsed to the Office of the Director on the deadline set </t>
  </si>
  <si>
    <t xml:space="preserve">Endorsed to the Office of the Director two weeks after the deadline 
</t>
  </si>
  <si>
    <t xml:space="preserve">Endorsed to the Office of the Director one month after the deadline </t>
  </si>
  <si>
    <t>Endorsed to the Office of the Director more than one month</t>
  </si>
  <si>
    <t>13 policy deliberables endorsed to the Office of the Director before the deadline set</t>
  </si>
  <si>
    <t>Refer to Accountability Matrix (PREXC Indicators)</t>
  </si>
  <si>
    <t>Refer to BMEF and BEDP  2030</t>
  </si>
  <si>
    <t>Part I-A Total Score</t>
  </si>
  <si>
    <r>
      <rPr>
        <b/>
        <u/>
        <sz val="12"/>
        <color rgb="FF000000"/>
        <rFont val="Arial Narrow"/>
      </rPr>
      <t xml:space="preserve">PART I-B: INNOVATING AND INTERVENING ACCOMPLISHMENTS </t>
    </r>
    <r>
      <rPr>
        <b/>
        <u/>
        <sz val="18"/>
        <color rgb="FF000000"/>
        <rFont val="Arial Narrow"/>
      </rPr>
      <t>(20%)</t>
    </r>
    <r>
      <rPr>
        <b/>
        <u/>
        <sz val="12"/>
        <color rgb="FF000000"/>
        <rFont val="Arial Narrow"/>
      </rPr>
      <t xml:space="preserve">
</t>
    </r>
    <r>
      <rPr>
        <b/>
        <i/>
        <sz val="12"/>
        <color rgb="FF000000"/>
        <rFont val="Arial Narrow"/>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</si>
  <si>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t>TO BE FILLED IN DURING PLANNING</t>
  </si>
  <si>
    <t>Key Result Areas (KRA)</t>
  </si>
  <si>
    <t>Objectives</t>
  </si>
  <si>
    <r>
      <rPr>
        <b/>
        <sz val="12"/>
        <color theme="1"/>
        <rFont val="Arial Narrow"/>
      </rPr>
      <t xml:space="preserve">Performance Targets
</t>
    </r>
    <r>
      <rPr>
        <i/>
        <sz val="11"/>
        <color theme="1"/>
        <rFont val="Arial Narrow"/>
      </rPr>
      <t>(Target Outcome/Ouput of the Bureau/Center/Service/Division that are enabling, supportive, and/or contributory to the achievement of the organizational outcomes and KRAs (Part I-A))</t>
    </r>
  </si>
  <si>
    <r>
      <rPr>
        <b/>
        <sz val="12"/>
        <color theme="1"/>
        <rFont val="Arial Narrow"/>
      </rPr>
      <t xml:space="preserve">Performance Measure
</t>
    </r>
    <r>
      <rPr>
        <i/>
        <sz val="12"/>
        <color theme="1"/>
        <rFont val="Arial Narrow"/>
      </rPr>
      <t>(Quality, Efficiency, Timeliness)</t>
    </r>
  </si>
  <si>
    <t>RATING SCALE</t>
  </si>
  <si>
    <t>Actual Results/ Accomplishments</t>
  </si>
  <si>
    <r>
      <rPr>
        <b/>
        <sz val="12"/>
        <color theme="1"/>
        <rFont val="Arial Narrow"/>
      </rPr>
      <t xml:space="preserve">Value
</t>
    </r>
    <r>
      <rPr>
        <i/>
        <sz val="12"/>
        <color theme="1"/>
        <rFont val="Arial"/>
      </rPr>
      <t>(numerical, statistical, trend)</t>
    </r>
  </si>
  <si>
    <r>
      <rPr>
        <b/>
        <sz val="12"/>
        <color theme="1"/>
        <rFont val="Arial Narrow"/>
      </rPr>
      <t xml:space="preserve">Description
</t>
    </r>
    <r>
      <rPr>
        <i/>
        <sz val="12"/>
        <color theme="1"/>
        <rFont val="Arial Narrow"/>
      </rPr>
      <t>(expected outcome/ output/service)</t>
    </r>
  </si>
  <si>
    <t>Part I-B Total Score</t>
  </si>
  <si>
    <r>
      <rPr>
        <b/>
        <u/>
        <sz val="12"/>
        <color rgb="FF000000"/>
        <rFont val="Arial Narrow"/>
      </rPr>
      <t xml:space="preserve">PART I-C:  ORGANIZATIONAL EFFECTIVENESS </t>
    </r>
    <r>
      <rPr>
        <b/>
        <u/>
        <sz val="18"/>
        <color rgb="FF000000"/>
        <rFont val="Arial Narrow"/>
      </rPr>
      <t>(15%)</t>
    </r>
    <r>
      <rPr>
        <b/>
        <u/>
        <sz val="12"/>
        <color rgb="FF000000"/>
        <rFont val="Arial Narrow"/>
      </rPr>
      <t xml:space="preserve">
</t>
    </r>
    <r>
      <rPr>
        <b/>
        <i/>
        <sz val="12"/>
        <color rgb="FF000000"/>
        <rFont val="Arial Narrow"/>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</si>
  <si>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t>Organizational Effectiveness Area</t>
  </si>
  <si>
    <r>
      <rPr>
        <b/>
        <sz val="12"/>
        <color theme="1"/>
        <rFont val="Arial Narrow"/>
      </rPr>
      <t xml:space="preserve">Performance Measure
</t>
    </r>
    <r>
      <rPr>
        <i/>
        <sz val="12"/>
        <color theme="1"/>
        <rFont val="Arial Narrow"/>
      </rPr>
      <t>(Quality, Efficiency, Timeliness)</t>
    </r>
  </si>
  <si>
    <t>Financial Stewardship</t>
  </si>
  <si>
    <t>Utilized 98% of the budget allocation in accordance with the quarterly disbursement program with no overdraft/deficit/disallowance from oversight agency/ies</t>
  </si>
  <si>
    <t>Within the rating period</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</si>
  <si>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</si>
  <si>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</si>
  <si>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</si>
  <si>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</si>
  <si>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</si>
  <si>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</si>
  <si>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</si>
  <si>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</si>
  <si>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</si>
  <si>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</si>
  <si>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</si>
  <si>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</si>
  <si>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</si>
  <si>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</si>
  <si>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</si>
  <si>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</si>
  <si>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</si>
  <si>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</si>
  <si>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</si>
  <si>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</si>
  <si>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</si>
  <si>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</si>
  <si>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Streamlined and/or digitized all office core processes identified in the QMS planning documents</t>
  </si>
  <si>
    <r>
      <rPr>
        <sz val="11"/>
        <color theme="1"/>
        <rFont val="Arial Narrow"/>
      </rPr>
      <t xml:space="preserve">Streamlined and/or digitized </t>
    </r>
    <r>
      <rPr>
        <b/>
        <sz val="11"/>
        <color theme="1"/>
        <rFont val="Arial Narrow"/>
      </rPr>
      <t>76-99%</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</si>
  <si>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51-75%</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</si>
  <si>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 xml:space="preserve">26-50% </t>
    </r>
    <r>
      <rPr>
        <sz val="11"/>
        <color theme="1"/>
        <rFont val="Arial Narrow"/>
      </rPr>
      <t>of the office core processes identified in the QMS planning documents</t>
    </r>
  </si>
  <si>
    <r>
      <rPr>
        <sz val="11"/>
        <color theme="1"/>
        <rFont val="Arial Narrow"/>
      </rPr>
      <t>Streamlined and/or digitized</t>
    </r>
    <r>
      <rPr>
        <b/>
        <sz val="11"/>
        <color theme="1"/>
        <rFont val="Arial Narrow"/>
      </rPr>
      <t xml:space="preserve"> 0-25% </t>
    </r>
    <r>
      <rPr>
        <sz val="11"/>
        <color theme="1"/>
        <rFont val="Arial Narrow"/>
      </rPr>
      <t>of the office core processes identified in the QMS planning documents</t>
    </r>
  </si>
  <si>
    <t>Client Satisfaction</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</si>
  <si>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</si>
  <si>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</si>
  <si>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</si>
  <si>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</si>
  <si>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</si>
  <si>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</si>
  <si>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</si>
  <si>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</si>
  <si>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</si>
  <si>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</si>
  <si>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</si>
  <si>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</si>
  <si>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</si>
  <si>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</si>
  <si>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</si>
  <si>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</si>
  <si>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</si>
  <si>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</si>
  <si>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 xml:space="preserve"> </t>
  </si>
  <si>
    <t xml:space="preserve">Name of Employee:  </t>
  </si>
  <si>
    <t>ROGER Z. ROCHAR, PhD</t>
  </si>
  <si>
    <t>OIC-ASDS</t>
  </si>
  <si>
    <t>PORTIA MISSION MALLORCA, PhD CESO V</t>
  </si>
  <si>
    <t>Date of Rating:</t>
  </si>
  <si>
    <t>Current Administration Agenda</t>
  </si>
  <si>
    <t>KRA 1: Curriculum and Teaching</t>
  </si>
  <si>
    <t>July 2024-April 2025</t>
  </si>
  <si>
    <t>KPI Targets, KPI within National Standard</t>
  </si>
  <si>
    <t>Submitted CRLA results and supported by all of the MOVs</t>
  </si>
  <si>
    <t>Submitted CRLA results and supported by any 4 of the MOVs</t>
  </si>
  <si>
    <t>Submitted CRLA results and supported by any 3 of the MOV</t>
  </si>
  <si>
    <t>Submitted CRLA results and supported by any 2 of the MOV</t>
  </si>
  <si>
    <t>Submitted CRLA results and supported by any 1 of the MOVs</t>
  </si>
  <si>
    <t>Submitted on or before due date</t>
  </si>
  <si>
    <t>Submitted 1–2 days working days after due date</t>
  </si>
  <si>
    <t>Submitted 3–4 days working days after due date</t>
  </si>
  <si>
    <t>Submitted 5–6 days working days after due date</t>
  </si>
  <si>
    <t>Submitted 7–8 days working days after due date</t>
  </si>
  <si>
    <t>Submitted Phil-IRI Filipino results and supported by all of the MOVs</t>
  </si>
  <si>
    <t>Submitted Phil-IRI Filipino results and supported by any 4 of the MOVs</t>
  </si>
  <si>
    <t>Submitted Phil-IRI Filipino results and supported by any 3 of the MOV</t>
  </si>
  <si>
    <t>Submitted Phil-IRI Filipino results and supported by any 2 of the MOV</t>
  </si>
  <si>
    <t>Submitted Phil-IRI Filipino results and supported by any 1 of the MOVs</t>
  </si>
  <si>
    <t>Submitted Phil-IRI English results and supported by all of the MOVs</t>
  </si>
  <si>
    <t>Submitted Phil-IRI English results and supported by any 4 of the MOVs</t>
  </si>
  <si>
    <t>Submitted Phil-IRI English results and supported by any 3 of the MOV</t>
  </si>
  <si>
    <t>Submitted Phil-IRI English results and supported by any 2 of the MOV</t>
  </si>
  <si>
    <t>Submitted Phil-IRI English results and supported by any 1 of the MOVs</t>
  </si>
  <si>
    <t>Submitted RMA results and supported by all of the MOVs</t>
  </si>
  <si>
    <t>Submitted RMA results and supported by any 4 of the MOVs</t>
  </si>
  <si>
    <t>Submitted RMA results and supported by any 3 of the MOV</t>
  </si>
  <si>
    <t>Submitted RMA results and supported by any 2 of the MOV</t>
  </si>
  <si>
    <t>Submitted RMA results and supported by any 1 of the MOVs</t>
  </si>
  <si>
    <t>2. Performed Instructional Supervision</t>
  </si>
  <si>
    <t>Teachers Observation</t>
  </si>
  <si>
    <t>Submitted ISEAP Report and supported by all of the MOVs</t>
  </si>
  <si>
    <t>Submitted ISEAP Report and supported by any 4 of the MOVs</t>
  </si>
  <si>
    <t>Submitted ISEAP Report and supported by any 3 of the MOVs</t>
  </si>
  <si>
    <t>Submitted ISEAP Report and supported by any 2 of the MOVs</t>
  </si>
  <si>
    <t>Submitted ISEAP Report and supported by any 1 of the MOVs</t>
  </si>
  <si>
    <t>Submitted a week before due date</t>
  </si>
  <si>
    <t>3. Achieved target learner enrolled in Kindergarten</t>
  </si>
  <si>
    <t>Learners enrolled in Kindergarten</t>
  </si>
  <si>
    <t>9% and above increase in enrollment</t>
  </si>
  <si>
    <t>7-8% increase in enrollment</t>
  </si>
  <si>
    <t>5-6% increase in enrollment</t>
  </si>
  <si>
    <t>3-4% increase in enrollment</t>
  </si>
  <si>
    <t>1-2% increase in enrollment</t>
  </si>
  <si>
    <t>Increased 9 and above learners enrolled over the previous year</t>
  </si>
  <si>
    <t>Increased 7-8 learners enrolled over the previous year</t>
  </si>
  <si>
    <t>Increased 5-6 learners enrolled over the previous year</t>
  </si>
  <si>
    <t>Increased 3-4 learners enrolled over the previous year</t>
  </si>
  <si>
    <t>Increased 1-2 learners enrolled over the previous year</t>
  </si>
  <si>
    <t>Enrolled on-time</t>
  </si>
  <si>
    <t>Enrolled 1 day after the scheduled date</t>
  </si>
  <si>
    <t>Enrolled 2 days after the scheduled date</t>
  </si>
  <si>
    <t>Enrolled 3 days after the scheduled date</t>
  </si>
  <si>
    <t>Enrolled 4 days and beyond after the scheduled date</t>
  </si>
  <si>
    <t>Implemented and promoted Safe and Child friendly learning and school environment for learners.</t>
  </si>
  <si>
    <t>PAPS on Learning Environment in WFP were accomplished</t>
  </si>
  <si>
    <t>91% and above of the PAPS on Learning Environment in WFP were accomplished</t>
  </si>
  <si>
    <t>81-90% of the PAPS on Learning Environment in WFP were accomplished</t>
  </si>
  <si>
    <t>71-80% of the PAPS on Learning Environment in WFP were accomplished</t>
  </si>
  <si>
    <t>61-70% of the PAPS on Learning Environment in WFP were accomplished</t>
  </si>
  <si>
    <t>60% and below of the PAPS on Learning Environment in WFP were accomplished</t>
  </si>
  <si>
    <t>Approved Program of Works
WFP
Pictures (before and after repair)</t>
  </si>
  <si>
    <t>91% and above compliance with the approved Program of Works</t>
  </si>
  <si>
    <t>81-90% compliance with the approved Program of Works</t>
  </si>
  <si>
    <t>71-80% compliance with the approved Program of Works</t>
  </si>
  <si>
    <t>61-70% compliance with the approved Program of Works</t>
  </si>
  <si>
    <t>60% and below compliance with the approved Program of Works</t>
  </si>
  <si>
    <t>Accomplished on time based on the target date</t>
  </si>
  <si>
    <t>Accomplished 15 days after the target date</t>
  </si>
  <si>
    <t>Accomplished 30 days after the target date</t>
  </si>
  <si>
    <t>Accomplished 45 days after the target date</t>
  </si>
  <si>
    <t>Accomplished 60 days after the target date</t>
  </si>
  <si>
    <t>Provided safe and child-friendly learning and school environment through the implementation of the Child Protection Policy</t>
  </si>
  <si>
    <t>Implemented the Child Protection Policy of the school</t>
  </si>
  <si>
    <t>91-100% resolution of cases in the CPC/Zero CPC case</t>
  </si>
  <si>
    <t>86-90% resolution of cases in the CPC</t>
  </si>
  <si>
    <t>81-85% resolution of cases in the CPC;</t>
  </si>
  <si>
    <t>76-80% resolution of cases in the CPC</t>
  </si>
  <si>
    <t>71-75% resolution of cases in the CPC</t>
  </si>
  <si>
    <t>List of CPC Members
Minutes of the Meeting
CPC Intake Sheet
Accomplishment Report</t>
  </si>
  <si>
    <t>All MOVs are present</t>
  </si>
  <si>
    <t>3 MOVs are present</t>
  </si>
  <si>
    <t>2 MOVs are present</t>
  </si>
  <si>
    <t>1 MOV is present</t>
  </si>
  <si>
    <t>No MOV</t>
  </si>
  <si>
    <t>The was implemented as scheduled</t>
  </si>
  <si>
    <t>The program was implemented 1 month after the scheduled date</t>
  </si>
  <si>
    <t>The program was implemented 2 months after the scheduled date</t>
  </si>
  <si>
    <t>The program was implemented 3 months after the scheduled date</t>
  </si>
  <si>
    <t>The program was implemented 4 months after the scheduled date</t>
  </si>
  <si>
    <t>Participated in school activities</t>
  </si>
  <si>
    <t>90%-100% learners’ participation in school activities</t>
  </si>
  <si>
    <t>80%-89% learners’ participation in school activities</t>
  </si>
  <si>
    <t>70%-79% learners’ participation in school activities</t>
  </si>
  <si>
    <t>60%-69% learners’ participation in school activities</t>
  </si>
  <si>
    <t>50%-59% learners’ participation in school activities</t>
  </si>
  <si>
    <t>School Calendar of Activities
Pictures (Documentation)
Attendance Sheet</t>
  </si>
  <si>
    <t>90%-100% learners participated actively in school activities</t>
  </si>
  <si>
    <t>80%-89% learners participated actively in school activities</t>
  </si>
  <si>
    <t>70%-79% learners participated actively in school activities</t>
  </si>
  <si>
    <t>60%-69% learners participated actively in school activities</t>
  </si>
  <si>
    <t>50%-59% learners participated actively in school activities</t>
  </si>
  <si>
    <t>All school activities done without delay and on scheduled date</t>
  </si>
  <si>
    <t>2-3 days delay after the scheduled date</t>
  </si>
  <si>
    <t>4-5 days delay after the scheduled date</t>
  </si>
  <si>
    <t>6-7 days delay after the scheduled date</t>
  </si>
  <si>
    <t>8-10 days delay after the scheduled date</t>
  </si>
  <si>
    <t>Whole year-round</t>
  </si>
  <si>
    <t>Number of DepEd policies and issuances implemented</t>
  </si>
  <si>
    <t>80-89% of the policies and issuances implemented/disseminated to 90% of teachers after a week after its release.</t>
  </si>
  <si>
    <t>70-79 % of the policies and issuances implemented/disseminated to 80% of teachers after two weeks after its release.</t>
  </si>
  <si>
    <t>60-69% of the policies and issuances implemented/disseminated to 70% of teachers three weeks after its release.</t>
  </si>
  <si>
    <t>50% and below of the policies and issuances implemented/disseminated to 60% and below of teachers four weeks after its release.</t>
  </si>
  <si>
    <t xml:space="preserve">1.	Division Issuances and Policies
2.	Minutes of the Meeting
3.	Attendance of the Participants
4.	Supervisory Plan
</t>
  </si>
  <si>
    <t>Policies and issuances implemented to 100% of teachers with 0-1 misinterpretation</t>
  </si>
  <si>
    <t>Policies and issuances implemented 90% of teachers with 2-3 misinterpretation</t>
  </si>
  <si>
    <t>Policies and issuances implemented 80% of teachers with 4-5 misinterpretation</t>
  </si>
  <si>
    <t>Policies and issuances implemented 70% of teachers with 6-7 misinterpretation</t>
  </si>
  <si>
    <t>Policies and issuances implemented 50% and below of teachers with 8 and above misinterpretation</t>
  </si>
  <si>
    <t>Implemented within the targeted time</t>
  </si>
  <si>
    <t>Implemented 1-2 days after the targeted time</t>
  </si>
  <si>
    <t>Implemented 3-4 days after the targeted time</t>
  </si>
  <si>
    <t>Implemented 5-6 days after the targeted time</t>
  </si>
  <si>
    <t>Implemented 7 and more days after the targeted time</t>
  </si>
  <si>
    <t>Organized functional school clubs and organization</t>
  </si>
  <si>
    <t>Number of functional school clubs and organization organized</t>
  </si>
  <si>
    <t>5 clubs and organizations organized and functional.</t>
  </si>
  <si>
    <t>4 clubs and organizations organized and functional.</t>
  </si>
  <si>
    <t>3 clubs and organizations organized and functional.</t>
  </si>
  <si>
    <t>2 clubs and organizations organized and functional.</t>
  </si>
  <si>
    <t>1 clubs and organizations organized and functional.</t>
  </si>
  <si>
    <t xml:space="preserve">1.	List of Officers of Clubs and organizations
2.	Constitution and By Laws
3.	Annual Plan
4.	Minutes of the Meeting
5.	Accomplishment Report
</t>
  </si>
  <si>
    <t>Submitted all required MOVs of organized and functional clubs and organizations</t>
  </si>
  <si>
    <t>Submitted 4 required MOVs of organized and functional clubs and organizations</t>
  </si>
  <si>
    <t>Submitted 3 required MOVs of organized and functional clubs and organizations</t>
  </si>
  <si>
    <t>Submitted 2 required MOVs of organized and functional clubs and organizations</t>
  </si>
  <si>
    <t>Submitted 1 required MOVs of organized and functional clubs and organizations</t>
  </si>
  <si>
    <t>Organized and functional within the targeted time</t>
  </si>
  <si>
    <t>Organized and functional 1-2 days after the targeted time</t>
  </si>
  <si>
    <t>Organized and functional 3-4 days after the targeted time</t>
  </si>
  <si>
    <t>Organized and functional 5-6 days after the targeted time</t>
  </si>
  <si>
    <t>Organized and functional 7 and more days after the targeted time</t>
  </si>
  <si>
    <t>Submitted required reports and documents</t>
  </si>
  <si>
    <t>Percentage of submitted required reports</t>
  </si>
  <si>
    <t>100% of required reports and documents submitted</t>
  </si>
  <si>
    <t>90-99% of required reports and documents submitted</t>
  </si>
  <si>
    <t>80-89% of required reports and documents submitted</t>
  </si>
  <si>
    <t>70-79% of required reports and documents submitted</t>
  </si>
  <si>
    <t>69 and below of required reports and documents submitted</t>
  </si>
  <si>
    <t xml:space="preserve">1.	School Forms
2.	NSBI Report
3.	SBFP
4.	EBEIS
5.	DRRM
6.	Adopt a School
7.	Brigada Eskwela Reports
8.	MPS/Learning Outcomes
9.	Others (as required)
</t>
  </si>
  <si>
    <t>All MOVs submitted with 0-2 revisions.</t>
  </si>
  <si>
    <t>All MOVs submitted with 3-4 revisions.</t>
  </si>
  <si>
    <t>All MOVs submitted with 5-6 revisions.</t>
  </si>
  <si>
    <t>All MOVs submitted with 7-8 revisions.</t>
  </si>
  <si>
    <t>All MOVs submitted with 9 and above revisions.</t>
  </si>
  <si>
    <t>Submitted within the due date</t>
  </si>
  <si>
    <t>Submitted 1-2 days after due date</t>
  </si>
  <si>
    <t>Submitted 3-4 days after due date</t>
  </si>
  <si>
    <t>Submitted 5-6 days after due date</t>
  </si>
  <si>
    <t>Submitted 7 and more days after due date</t>
  </si>
  <si>
    <t>KRA 4: Governance and Accountability</t>
  </si>
  <si>
    <t>Support to school and learner program</t>
  </si>
  <si>
    <t>Enabling mechanism: Governance and Management</t>
  </si>
  <si>
    <t>Efficient learning delivery in all its forms</t>
  </si>
  <si>
    <t>Crafted WFP, APP, PPMP and Annual Budget Allocation</t>
  </si>
  <si>
    <t>WFP, APP, PPMP and Annual Budget Allocation crafted</t>
  </si>
  <si>
    <t>Crafted all plans with the following 4 qualities: correct format, aligned with DepEd order no.8, s. of 2019, addresses school priority needs based on SIP, and participated by the school planning team.</t>
  </si>
  <si>
    <t>Crafted all plans with any 3 of the stated qualities</t>
  </si>
  <si>
    <t>Crafted all plans with any 2 of the stated qualities</t>
  </si>
  <si>
    <t>Crafted all plans with any 1 of the stated qualities</t>
  </si>
  <si>
    <t>Crafted all plans with 0 of the stated qualities</t>
  </si>
  <si>
    <t>Crafted all plans with 5-6 corrections/revisions</t>
  </si>
  <si>
    <t>Crafted all plans and submitted on time</t>
  </si>
  <si>
    <t>Crafted all plans and submitted 1-3 days after</t>
  </si>
  <si>
    <t>Crafted all plans and submitted 4-6 days after</t>
  </si>
  <si>
    <t>Crafted all plans and submitted 7-8 days after</t>
  </si>
  <si>
    <t>Crafted all plans and submitted 9-10 days after</t>
  </si>
  <si>
    <t>Prepared teachers and class program aligned with teachers area of specialization/expertise.</t>
  </si>
  <si>
    <t>Prepared teachers and class program aligned with teachers   of specialization/expertise.</t>
  </si>
  <si>
    <t>Teachers and class program submitted and approved 2 weeks before the start of classes</t>
  </si>
  <si>
    <t>Teachers and class program submitted and approved 2  weeks before the start of classes</t>
  </si>
  <si>
    <t>Teachers and class program submitted and approved 1 week before the start of classes</t>
  </si>
  <si>
    <t>Teachers and class program submitted and approved on the start of classes</t>
  </si>
  <si>
    <t>Teachers and class program submitted and approved 1 week after the start of classes</t>
  </si>
  <si>
    <t>Teachers and class program submitted and approved 2 weeks after the start of classes</t>
  </si>
  <si>
    <t>School Facilities accounted for</t>
  </si>
  <si>
    <t xml:space="preserve">90-100% school facilities accounted </t>
  </si>
  <si>
    <t xml:space="preserve">80%-89% school facilities accounted </t>
  </si>
  <si>
    <t xml:space="preserve">70%-79% school facilities accounted </t>
  </si>
  <si>
    <t xml:space="preserve">60%-69% school facilities accounted </t>
  </si>
  <si>
    <t xml:space="preserve">50%-59% school facilities accounted </t>
  </si>
  <si>
    <t>1. NSBI Data gathering form                                                                                                    2. Signed NSBI Report                                                             3. NSBI LIS-based Validation                                                                                                 4. Photos on the conduct of the inventory</t>
  </si>
  <si>
    <t>Conducted inventory with 0 correction upon validation</t>
  </si>
  <si>
    <t>Conducted inventory with 1-2 corrections upon validation</t>
  </si>
  <si>
    <t>Conducted inventory with 3-4 corrections upon validation</t>
  </si>
  <si>
    <t>Conducted inventory with 5-6 corrections upon validation</t>
  </si>
  <si>
    <t>Conducted inventory with 7 and above corrections upon validation</t>
  </si>
  <si>
    <t>Submitted inventory report within the scheduled period</t>
  </si>
  <si>
    <t>Submitted inventory report 1week after the scheduled date.</t>
  </si>
  <si>
    <t>Submitted inventory report 2 weeks after the scheduled date</t>
  </si>
  <si>
    <t>Submitted inventory report 3 weeks after the scheduled date.</t>
  </si>
  <si>
    <t>Submitted inventory report 4 weeks after the scheduled date.</t>
  </si>
  <si>
    <t>Provided opportunities for professional development and teachers through capacity building trainings and LAC sessions.</t>
  </si>
  <si>
    <t>Teachers’ capacity building trainings and LAC sessions provided</t>
  </si>
  <si>
    <t>100% of teachers attended trainings and LAC Sessions</t>
  </si>
  <si>
    <t>90–99% attendance; moderate application of training content</t>
  </si>
  <si>
    <t>80–89% attendance; some evidence of application</t>
  </si>
  <si>
    <t>60–79% attendance; little to no visible improvement</t>
  </si>
  <si>
    <t>Below 60% attendance; no change in teaching practices</t>
  </si>
  <si>
    <t>Conducted Approved LAC Plan with all MOVs present</t>
  </si>
  <si>
    <t>Conducted Approved LAC Plan 4 MOVs present</t>
  </si>
  <si>
    <t>Conducted Approved LAC Plan 3 MOVs present</t>
  </si>
  <si>
    <t>Conducted Approved LAC Plan 2 MOVs present</t>
  </si>
  <si>
    <t>Conducted Approved LAC Plan 1 MOV present</t>
  </si>
  <si>
    <t>Submitted Approved LAC Plan on time</t>
  </si>
  <si>
    <t>Submitted Approved LAC Plan 1-2 days after due date</t>
  </si>
  <si>
    <t>Submitted Approved LAC Plan 3-4 days after due date</t>
  </si>
  <si>
    <t>Submitted Approved LAC Plan 5-6 reports after due date</t>
  </si>
  <si>
    <t>Submitted Approved LAC Plan 7 days and beyond after due date</t>
  </si>
  <si>
    <t>Implemented school PRAISE Plan and reward system to recognize and motivate teachers exemplary performance and/or continued support.</t>
  </si>
  <si>
    <t>School PRAISE Plan and recognition implemented</t>
  </si>
  <si>
    <t>The PRAISE plan recognizes a wide range of personnel and stakeholders; awards are aligned with DepEd guidelines; criteria are clear and strictly followed; recognition is meaningful and contributes to motivation and morale.</t>
  </si>
  <si>
    <t>The PRAISE plan recognizes most deserving individuals; criteria are followed with minor lapses; recognition activities are conducted formally and positively impact school climate.</t>
  </si>
  <si>
    <t>The PRAISE plan is implemented but lacks clarity in criteria or consistency in selection</t>
  </si>
  <si>
    <t>The PRAISE plan is poorly implemented; recognition is limited to a few individuals without clear justification; little to no impact on staff motivation.</t>
  </si>
  <si>
    <t>No meaningful implementation of PRAISE plan; recognition activities are absent or irrelevant</t>
  </si>
  <si>
    <t>Implemented the school PRAISE plan with 5 MOVs evident</t>
  </si>
  <si>
    <t>Implemented the school PRAISE plan with 4 MOVs evident</t>
  </si>
  <si>
    <t>Implemented the school PRAISE plan with 3 MOVs evident</t>
  </si>
  <si>
    <t>Implemented the school PRAISE plan with 2 MOVs evident</t>
  </si>
  <si>
    <t>Implemented the school PRAISE plan with 1 MOV evident</t>
  </si>
  <si>
    <t xml:space="preserve">Awards given as scheduled </t>
  </si>
  <si>
    <t>Awards given 2-3 days after the scheduled date</t>
  </si>
  <si>
    <t>Awards given 4-5 days after the scheduled date</t>
  </si>
  <si>
    <t>Awards given 6-7 days after the scheduled date</t>
  </si>
  <si>
    <t>Awards given 8 days and beyond the scheduled date</t>
  </si>
  <si>
    <t>Programs and Activities for teachers’ welfare implemented</t>
  </si>
  <si>
    <t>All 5 programs/activities implemented with evidence of high engagement and clear alignment with teacher welfare objectives</t>
  </si>
  <si>
    <t>4 programs implemented and aligned with teacher welfare needs</t>
  </si>
  <si>
    <t>3 programs implemented; documentation present, but limited in scope or reach</t>
  </si>
  <si>
    <t>Only 2 programs implemented with minimal impact or participation</t>
  </si>
  <si>
    <t>Only 1 program partially implemented or not fully aligned with teacher welfare goals</t>
  </si>
  <si>
    <t xml:space="preserve">Activity proposals and accomplishment reports (per welfare program)
Attendance sheets for TIP, wellness, and GAD sessions
Documentation (photos/videos) of program implementation
Grievance Committee Reports and orientation records
Teacher feedback/evaluation results
Copy of Magna Carta-related programs (orientation/training documents)
Minutes of GAD or wellness meetings and trainings
Certificates of participation issued to teachers
Monitoring and Evaluation Reports with ratings or reflections
</t>
  </si>
  <si>
    <t>All programs conducted with optimal use of resources, achieved targets without delays or complaints</t>
  </si>
  <si>
    <t>Programs implemented with minor resource issues, but targets still met</t>
  </si>
  <si>
    <t>Moderate inefficiencies affecting 1–2 programs</t>
  </si>
  <si>
    <t>Major inefficiencies in multiple programs; low participation or disrupted activities</t>
  </si>
  <si>
    <t>Programs implemented haphazardly with minimal attendance or high cost</t>
  </si>
  <si>
    <t>All  programs implemented within the planned schedule (August 2024 – April 2025)</t>
  </si>
  <si>
    <t>1 program was delayed not more than 1 week</t>
  </si>
  <si>
    <t>2 programs delayed within 2 weeks of the original schedule</t>
  </si>
  <si>
    <t>More than 2 programs experienced delays beyond 2 weeks</t>
  </si>
  <si>
    <t>Most or all programs not completed within the school year</t>
  </si>
  <si>
    <t>Support to Schools and Learners Program</t>
  </si>
  <si>
    <t>Resilience and Well-Being</t>
  </si>
  <si>
    <t>Increase stakeholder’s participation to support the implementation of school-based feeding program.</t>
  </si>
  <si>
    <t>Increase of stakeholders’ participation</t>
  </si>
  <si>
    <t>5 Percent  or more increased in stakeholders participation</t>
  </si>
  <si>
    <t>4 Percent increased in stakeholders participation</t>
  </si>
  <si>
    <t>3 Percent increased in stakeholders participation</t>
  </si>
  <si>
    <t>2 Percent increased in stakeholders participation</t>
  </si>
  <si>
    <t>1 Percent increased in stakeholders participation</t>
  </si>
  <si>
    <t xml:space="preserve">Stakeholders participation is supported by Accomplishment Report
Attendance Sheet
Deed of Donation
Memorandum of Agreement
Baseline and Endline Nutritional Status Report of Learners
</t>
  </si>
  <si>
    <t>Stakeholders participation is supported by Accomplishment Report, attendance sheets, deed of donations, and MOA,</t>
  </si>
  <si>
    <t>Stakeholders participation is supported by Accomplishment Report, attendance sheets, and deed of donations,</t>
  </si>
  <si>
    <t>Stakeholders participation is supported by Accomplishment Reportand attendance sheets</t>
  </si>
  <si>
    <t>Stakeholders participation is supported by Accomplishment Report</t>
  </si>
  <si>
    <t>Materials donated are fully used by learners all across the quarter on time</t>
  </si>
  <si>
    <t>Ensured the efficient, transparent and timely utilization and mobilization of program funds and donations.</t>
  </si>
  <si>
    <t>Disbursed, utilized, liquidated, and reported financial utilization</t>
  </si>
  <si>
    <t>100 percent delivered, properly liquidated and submitted planned financial resource.</t>
  </si>
  <si>
    <t>80 percent delivered, properly liquidated and submitted planned financial resource.</t>
  </si>
  <si>
    <t>60 percent delivered, properly liquidated and submitted planned financial resource</t>
  </si>
  <si>
    <t>40 percent delivered, properly liquidated and submitted planned financial resource</t>
  </si>
  <si>
    <t>20 percent delivered, properly liquidated and submitted planned financial resource</t>
  </si>
  <si>
    <t>Disbursed, utilized, liquidated, and reported financial utilization on time</t>
  </si>
  <si>
    <t>Disbursed, utilized, liquidated, and reported financial utilization 1 day after the deadline</t>
  </si>
  <si>
    <t>Disbursed, utilized, liquidated, and reported financial utilization 7 days after the deadline</t>
  </si>
  <si>
    <t>Disbursed, utilized, liquidated, and reported financial utilization 15 days after the deadline</t>
  </si>
  <si>
    <t>Disbursed, utilized, liquidated, and reported financial utilization 30 days after the deadline</t>
  </si>
  <si>
    <t>Improved the nutritional status and overall well-being of learners</t>
  </si>
  <si>
    <t>Beneficiaries improved nutritional status from school-based feeding program</t>
  </si>
  <si>
    <t>79/79 100% of the benefiaries improved their nutritional status and overall well-being of learners</t>
  </si>
  <si>
    <t>75-78 (95-99%) learners improved their nutritional status and overall well-being.</t>
  </si>
  <si>
    <t>67-74 ((85-94%) learners improved their nutritional status and overall well-being</t>
  </si>
  <si>
    <t>56-66 (70-74%) learners improved their nutritional status and overall well-being</t>
  </si>
  <si>
    <t>Fewer than 56 learners (&lt;70%) learners improved their nutritional status and overall well-being.</t>
  </si>
  <si>
    <t>Nutrituous Food packs  were 100% fully utilized , given and distributed to all recipients</t>
  </si>
  <si>
    <t>Nutrituous Food packs  were 90%-99% utilized , given and distributed to all recipients</t>
  </si>
  <si>
    <t>Nutrituous Food packs  were 80%-89% utilized , given and distributed to all recipients</t>
  </si>
  <si>
    <t>Nutrituous Food packs  were 50%-79% utilized , given and distributed to all recipients</t>
  </si>
  <si>
    <t>Nutrituous Food packs  were 0%-49% utilized , given and distributed to all recipients</t>
  </si>
  <si>
    <t>All feeding activities were implemented ahead of schedule with full compliance of report</t>
  </si>
  <si>
    <t>All feeding activities were implemented with minor delays without compromising learners needs base on program implementation plan</t>
  </si>
  <si>
    <t>All feeding activities were done with minor delays without compromising learners needs</t>
  </si>
  <si>
    <t>All feeding activities were delayed beyond acceptable timeline impacting services given to the learners</t>
  </si>
  <si>
    <t>All feeding activities were not conducted or extremely delayed resulting in non implementation of the program</t>
  </si>
  <si>
    <t>Curricular programs adopted and maintained</t>
  </si>
  <si>
    <t>6 curricular innovations from the CID adopted and maintained</t>
  </si>
  <si>
    <t>5 curricular innovations from the CID adopted and maintained</t>
  </si>
  <si>
    <t>1-2 curricular innovations from the CID adopted and maintained</t>
  </si>
  <si>
    <t>curricular innovations adopted and maintained as supported by 5 MOVs</t>
  </si>
  <si>
    <t>curricular innovations adopted and maintained as supported by 4 MOVs</t>
  </si>
  <si>
    <t>curricular innovations adopted and maintained as supported by 3 MOVs</t>
  </si>
  <si>
    <t>curricular innovations adopted and maintained as supported by 2 MOVs</t>
  </si>
  <si>
    <t>curricular innovations adopted and maintained as supported by 1 MOV</t>
  </si>
  <si>
    <t>Submitted adoption and implementation report a week before due date</t>
  </si>
  <si>
    <t>Submitted adoption and implementation report 1–2 days working days after due date</t>
  </si>
  <si>
    <t>Submitted adoption and implementation report 3–4 days working days after due date</t>
  </si>
  <si>
    <t>Submitted adoption and implementation report 5–6 days working days after due date</t>
  </si>
  <si>
    <t>Clean and Green program implemented</t>
  </si>
  <si>
    <t>4-     90% - 94% implemented and sustained  Clean and Green program</t>
  </si>
  <si>
    <t xml:space="preserve">3-     85% - 89% implemented and sustained  Clean and Green program </t>
  </si>
  <si>
    <t xml:space="preserve">2-     80% - 84%  implemented and sustained  Clean and Green program </t>
  </si>
  <si>
    <t>1-     75% - 79%  implemented and sustained  Clean and Green program</t>
  </si>
  <si>
    <t xml:space="preserve">5-    All MOVs are submitted
</t>
  </si>
  <si>
    <t>4-     4-5 MOVs are submitted</t>
  </si>
  <si>
    <t>3-     3 MOVs are submitted</t>
  </si>
  <si>
    <t>2-     2 MOVs are submitted</t>
  </si>
  <si>
    <t>1-     1 MOV are submitted</t>
  </si>
  <si>
    <t>(Clean and Green components will be implemented throughout the year)</t>
  </si>
  <si>
    <t>School priority improvement areas coded</t>
  </si>
  <si>
    <t>95-100% of school priority improvement areas are accurately coded.</t>
  </si>
  <si>
    <t>90-94% of school priority improvement areas are accurately coded.</t>
  </si>
  <si>
    <t>85-89% of school priority improvement areas are accurately coded.</t>
  </si>
  <si>
    <t>80-84% of school priority improvement areas are accurately coded.</t>
  </si>
  <si>
    <t>Below 80% of school priority improvement areas are accurately coded.</t>
  </si>
  <si>
    <t>1. List of Prioritized Improvement Atreas
2. Color-coded School Priority Improvement Areas
3. School Improvement Plan</t>
  </si>
  <si>
    <t>3 MOVs are present and evident</t>
  </si>
  <si>
    <t>2 MOVs are present and evident</t>
  </si>
  <si>
    <t>1 MOV is present and evident</t>
  </si>
  <si>
    <t>Created and Implemented Digitized School Dashboard for Personnel and Physical Resources</t>
  </si>
  <si>
    <t>Digitized Dashboard with 5 tabs</t>
  </si>
  <si>
    <t>1 dashboard with 5 tabs created and implemented:                                                                                  1. Personnel Profile                                                                                   2. Teaching Load                                                                                                                                                                                                                                                                   3. Building Inventory                                                                                                                                                                                                                                                               4. Classroom Resources                                                                                                                                                                                                                                                          5. Learning Resources</t>
  </si>
  <si>
    <t>1 dashboard created and implemented with 4 tabs</t>
  </si>
  <si>
    <t>1 dashboard created and implemented with 3 tabs</t>
  </si>
  <si>
    <t>1 dashboard created and implemented with 2 tabs</t>
  </si>
  <si>
    <t>1 dashboard created and implemented with 1 tab</t>
  </si>
  <si>
    <t>Updated 1 dashboard with 5 tabs</t>
  </si>
  <si>
    <t>Updated 1 dashboard with 4 tabs</t>
  </si>
  <si>
    <t>Updated 1 dashboard with 3 tabs</t>
  </si>
  <si>
    <t>Updated 1 dashboard with 2 tabs</t>
  </si>
  <si>
    <t>Updated 1 dashboard with 1 tab</t>
  </si>
  <si>
    <t>Creates, implemented and maintained 2 weeks before the beginning of classes or as needed</t>
  </si>
  <si>
    <t>Creates, implemented and maintained 1 week before the beginning of classes or as needed</t>
  </si>
  <si>
    <t>Creates, implemented and maintained within the beginning of classes or as needed</t>
  </si>
  <si>
    <t>Creates, implemented and maintained 1 week after the beginning of classes or as needed</t>
  </si>
  <si>
    <t>Creates, implemented and maintained 2 weeks after the beginning of classes or as needed</t>
  </si>
  <si>
    <t xml:space="preserve">Encouraged school personnel to conduct 1 action research, basic research and/or innovation focusing on the impact of any of the following division-led projects: 
A.	Project STA-ANG
B.	Project SUPER AND SUPER+
C.	Project BRIDGE 2.0
D.	Project 5K
E.	Project SANYOG
F.	Project Do-Re-Mi
</t>
  </si>
  <si>
    <t>Action/basic research and/or innovation conducted that focus on any of the following categories (Curriculum and Instruction Delivery , Policy, Planning, Research, &amp; Governance, Learning Environment Improvement, Human Resource Development , ALS, SPED, &amp; IPEd Programs)</t>
  </si>
  <si>
    <t xml:space="preserve">One (1) approved action research, basic research, or innovation was successfully conducted and presented during a Learning Action Cell (LAC) session, meeting the following key indicators:
a. Credibility – Demonstrated rigor, transparency, and consistency throughout the process.
b. Contribution – Addressed relevant issues, introduced original ideas, and produced findings with potential for broader application.
c. Communicability – Results were presented in a manner that is accessible, understandable, and usable by intended stakeholders.
d. Conformity – Fully aligned with existing policies, adhered to ethical standards, and promoted sustainability.
</t>
  </si>
  <si>
    <t>One (1) approved action research, basic research, or innovation was successfully conducted and met at least three (3) of the following indicators</t>
  </si>
  <si>
    <t>One (1) approved action research, basic research, or innovation was successfully conducted and met at least two (2) of the following indicators</t>
  </si>
  <si>
    <t>One (1) approved action research, basic research, or innovation was successfully conducted and demonstrated alignment with at least one (1) of the following indicator.</t>
  </si>
  <si>
    <t>One (1) approved action research, basic research, or innovation was conducted and maintained; however, it did not meet any of the established indicators.</t>
  </si>
  <si>
    <t xml:space="preserve">a.	Completed Action Research / Innovation Paper
b.	Approval Letter / Certification
c.	Photo Documentation
d.	Accomplishment Report
e.	Presentation Materials with LAC Session Minutes
</t>
  </si>
  <si>
    <t xml:space="preserve">One (1) approved action research, basic or innovation was conducted, maintained, and supported by the following Means of Verification (MOVs):
a.	Completed Action Research / Innovation Paper
b.	Approval Letter / Certification
c.	Photo Documentation
d.	Accomplishment Report
e.	Presentation Materials with LAC Session Minutes
</t>
  </si>
  <si>
    <t xml:space="preserve">One (1) approved action research, basic research, or innovation was successfully conducted and maintained. Its implementation was duly supported by four (4) Means of Verification (MOVs), namely:
a.	Completed Action Research / Innovation Paper
b.	Approval Letter / Certification
c.	Photo Documentation
d.	d. Accomplishment Report
</t>
  </si>
  <si>
    <t xml:space="preserve">One (1) approved action research, basic research, or innovation was successfully conducted and maintained. Its implementation was duly supported by three (3) Means of Verification (MOVs), namely:
a.	Completed Action Research / Innovation Paper
b.	Approval Letter / Certification
c.	Photo Documentation
</t>
  </si>
  <si>
    <t xml:space="preserve">One (1) approved action research, basic research, or innovation was successfully conducted and maintained. Its implementation was duly supported by four (2) Means of Verification (MOVs), namely:
a.	Completed Action Research / Innovation Paper
b.	Approval Letter / Certification
</t>
  </si>
  <si>
    <t>No approved action research, basic research, or innovation was developed or implemented.</t>
  </si>
  <si>
    <t>An action research, basic research, or innovation was conducted as scheduled within the prescribed timeline, with the completed paper submitted 2–3 days ahead of the deadline.</t>
  </si>
  <si>
    <t>An action research, basic research, or innovation was conducted one week after the scheduled date, with the completed paper submitted on the deadline.</t>
  </si>
  <si>
    <t>An action research, basic research, or innovation was conducted one week after the scheduled date, with the completed paper submitted 2–3 days after the deadline.</t>
  </si>
  <si>
    <t>An action research, basic research, or innovation was conducted one week after the scheduled date, with the completed paper submitted 4–5 days after the deadline.</t>
  </si>
  <si>
    <t>The action research, basic research, or innovation was neither completed nor submitted.</t>
  </si>
  <si>
    <t>Materials donated are fully used by learners all across the quarter mostly on time</t>
  </si>
  <si>
    <t>Materials donated are fully used by learners all across the quarter partly on time</t>
  </si>
  <si>
    <t>Materials donated are fully used by learners all across the quarter were somewhat delayed</t>
  </si>
  <si>
    <t>Materials donated are used by learners all across the quarter delayed in implementation</t>
  </si>
  <si>
    <t>Budget allocation/School MOOE  disbursed within the reglementary period with no overdraft/deficit/disallowance from oversight agency/ies</t>
  </si>
  <si>
    <t>Budget allocation/School MOOE disbursed within the reglementary period with 1-2 overdraft/deficit/disallowance from oversight agency/ies</t>
  </si>
  <si>
    <t>Budget allocation/School MOOE disbursed within the reglementary period with 3-4 overdraft/deficit/disallowance from oversight agency/ies</t>
  </si>
  <si>
    <t>Budget allocation/Schol MOOE disbursed within the reglementary period with 5-6 overdraft/deficit/disallowance from oversight agency/ies</t>
  </si>
  <si>
    <t>Budget allocation/School MOOE disbursed within the reglementary period with 7 or more overdraft/deficit/disallowance from oversight agency/ies</t>
  </si>
  <si>
    <t>Adhere to SDO's streamlined core processes and management of service provisioning of frontline and other office deliverables to ensure ease of transactions and/or digitalization/digitization</t>
  </si>
  <si>
    <t>Adhered to streamlined and/or digitized office core processes identified in the QMS planning documents</t>
  </si>
  <si>
    <t>Achieved 100% resolution and compliance rate to complaints within the prescribed processing time (simple - 3 days; complex - 7 days; highly technical - 20 days) with at least Satisfactory overall average result on the Client Satisfaction Measurement</t>
  </si>
  <si>
    <t>100% resolution and compliance rate to all complaints</t>
  </si>
  <si>
    <t>At least 80% resolution and compliance rate to complaints</t>
  </si>
  <si>
    <t>At least 50% resolution and compliance rate to complaints</t>
  </si>
  <si>
    <t>At least 1% resolution and compliance rate to complaints</t>
  </si>
  <si>
    <t>0% resolution and compliance rate to complaints</t>
  </si>
  <si>
    <t>DepEd OPCRF (ver.Feb2025), page 3 of 4</t>
  </si>
  <si>
    <t>PART III: SUMMARY OF RATINGS</t>
  </si>
  <si>
    <t>Final Performance Components</t>
  </si>
  <si>
    <t>Obtained Score</t>
  </si>
  <si>
    <t>Overall Score</t>
  </si>
  <si>
    <t>RPMS Rating</t>
  </si>
  <si>
    <t>RPMS Rating Table</t>
  </si>
  <si>
    <t>Numerical Rating</t>
  </si>
  <si>
    <t>Adjectival Rating</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</si>
  <si>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</si>
  <si>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</si>
  <si>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</si>
  <si>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</si>
  <si>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</si>
  <si>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</si>
  <si>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</si>
  <si>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</si>
  <si>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</si>
  <si>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</si>
  <si>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</si>
  <si>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</si>
  <si>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</si>
  <si>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2.5% (0.125)</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</si>
  <si>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</si>
  <si>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</si>
  <si>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</si>
  <si>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</si>
  <si>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</si>
  <si>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</si>
  <si>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</si>
  <si>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Name of Superior:</t>
  </si>
  <si>
    <t xml:space="preserve">Signature:  </t>
  </si>
  <si>
    <t>Signature:</t>
  </si>
  <si>
    <t xml:space="preserve">Date: </t>
  </si>
  <si>
    <t>Date:</t>
  </si>
  <si>
    <r>
      <rPr>
        <b/>
        <sz val="18"/>
        <color rgb="FF000000"/>
        <rFont val="Arial Narrow"/>
      </rPr>
      <t xml:space="preserve">OFFICE PERFORMANCE COMMITMENT AND REVIEW FORM (OPCRF) 
</t>
    </r>
    <r>
      <rPr>
        <b/>
        <i/>
        <sz val="18"/>
        <color rgb="FF000000"/>
        <rFont val="Arial Narrow"/>
      </rPr>
      <t>ver. Feb2025</t>
    </r>
  </si>
  <si>
    <t>Name of Employee: REGINA N. BONDA</t>
  </si>
  <si>
    <t>ROGER Z. ROCHAR PhD.</t>
  </si>
  <si>
    <t>Position/Designation: OIC PRINCIPAL</t>
  </si>
  <si>
    <t>OIC ASDS</t>
  </si>
  <si>
    <t>Review Period:  July 2024; July 2025</t>
  </si>
  <si>
    <t>PORTIA MISSION MALLORCA PhD. CESOV</t>
  </si>
  <si>
    <t>Strand/Bureau/Center/Service/Region/Division: SDO VICTORIAS</t>
  </si>
  <si>
    <t>Date of Rating</t>
  </si>
  <si>
    <t>To improve the learning outcomes of the schools in  SDO VIctorias City.</t>
  </si>
  <si>
    <r>
      <rPr>
        <b/>
        <u/>
        <sz val="12"/>
        <color rgb="FF000000"/>
        <rFont val="Arial Narrow"/>
      </rPr>
      <t xml:space="preserve">PART I-A: COMMITMENT TO ORGANIZATIONAL OUTCOMES (60%)
</t>
    </r>
    <r>
      <rPr>
        <b/>
        <i/>
        <sz val="12"/>
        <color rgb="FF000000"/>
        <rFont val="Arial Narrow"/>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</si>
  <si>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r>
      <rPr>
        <b/>
        <sz val="12"/>
        <color theme="1"/>
        <rFont val="Arial Narrow"/>
      </rPr>
      <t xml:space="preserve">Objectives
</t>
    </r>
    <r>
      <rPr>
        <i/>
        <sz val="12"/>
        <color theme="1"/>
        <rFont val="Arial Narrow"/>
      </rPr>
      <t>(based on Office Functions)</t>
    </r>
  </si>
  <si>
    <r>
      <rPr>
        <b/>
        <sz val="12"/>
        <color theme="1"/>
        <rFont val="Arial Narrow"/>
      </rPr>
      <t xml:space="preserve">Performance Targets
</t>
    </r>
    <r>
      <rPr>
        <i/>
        <sz val="12"/>
        <color theme="1"/>
        <rFont val="Arial Narrow"/>
      </rPr>
      <t>(Target Outcome/Ouput of the Bureau/Center/Service/Division aligned with the Outcome/Output Indicators in the Organizational Outcomes)</t>
    </r>
  </si>
  <si>
    <r>
      <rPr>
        <b/>
        <sz val="12"/>
        <color theme="1"/>
        <rFont val="Arial Narrow"/>
      </rPr>
      <t xml:space="preserve">Performance Measure
</t>
    </r>
    <r>
      <rPr>
        <i/>
        <sz val="12"/>
        <color theme="1"/>
        <rFont val="Arial Narrow"/>
      </rPr>
      <t>(Quality, Efficiency, Timeliness)</t>
    </r>
  </si>
  <si>
    <r>
      <rPr>
        <b/>
        <sz val="12"/>
        <color theme="1"/>
        <rFont val="Arial Narrow"/>
      </rPr>
      <t xml:space="preserve">Key Result Areas (KRA)
</t>
    </r>
    <r>
      <rPr>
        <i/>
        <sz val="12"/>
        <color theme="1"/>
        <rFont val="Arial Narrow"/>
      </rPr>
      <t>(Based on Office Mandate and Functions)</t>
    </r>
  </si>
  <si>
    <r>
      <rPr>
        <b/>
        <sz val="12"/>
        <color theme="1"/>
        <rFont val="Arial Narrow"/>
      </rPr>
      <t xml:space="preserve">Organizational Outcome Attribution
</t>
    </r>
    <r>
      <rPr>
        <i/>
        <sz val="12"/>
        <color theme="1"/>
        <rFont val="Arial Narrow"/>
      </rPr>
      <t>(Refer to the GAA Programs/Subprogram and BEDP Pillars)</t>
    </r>
  </si>
  <si>
    <r>
      <rPr>
        <b/>
        <sz val="12"/>
        <color theme="1"/>
        <rFont val="Arial Narrow"/>
      </rPr>
      <t xml:space="preserve">Value
</t>
    </r>
    <r>
      <rPr>
        <i/>
        <sz val="12"/>
        <color theme="1"/>
        <rFont val="Arial Narrow"/>
      </rPr>
      <t>(numerical, statistical, trend)</t>
    </r>
  </si>
  <si>
    <r>
      <rPr>
        <b/>
        <sz val="12"/>
        <color theme="1"/>
        <rFont val="Arial Narrow"/>
      </rPr>
      <t xml:space="preserve">Description
</t>
    </r>
    <r>
      <rPr>
        <i/>
        <sz val="12"/>
        <color theme="1"/>
        <rFont val="Arial Narrow"/>
      </rPr>
      <t>(expected outcome/ output/service)</t>
    </r>
  </si>
  <si>
    <r>
      <rPr>
        <b/>
        <sz val="12"/>
        <color rgb="FF0070C0"/>
        <rFont val="Arial Narrow"/>
      </rPr>
      <t xml:space="preserve">Met all 5 indicators </t>
    </r>
    <r>
      <rPr>
        <sz val="12"/>
        <color rgb="FF0070C0"/>
        <rFont val="Arial Narrow"/>
      </rPr>
      <t>based on the established standards in policy formulation:
a. Consistent with existing laws, policies, guidelines, requirements, and data/information as may be required by law, oversight agencies, and/or DepEd
b. Consistent with agency strategic directions and appropriate with DepEd context
c. Compliant with DepEd guidelines on policy development process and underwent consultations and involvement of relevant management officials, personnel, and stakeholders at all governance levels
d. Provided presentation materials, press release(as needed), and briefers for Directors and Executive sponsors
e. Provided with complete staff work, to include implications/scenario analysis and recommendations</t>
    </r>
  </si>
  <si>
    <r>
      <rPr>
        <b/>
        <sz val="12"/>
        <color rgb="FF0070C0"/>
        <rFont val="Calibri"/>
      </rPr>
      <t xml:space="preserve"> Met 4 out of 5 indicators </t>
    </r>
    <r>
      <rPr>
        <sz val="12"/>
        <color rgb="FF0070C0"/>
        <rFont val="Calibri"/>
      </rPr>
      <t>based on</t>
    </r>
    <r>
      <rPr>
        <b/>
        <sz val="12"/>
        <color rgb="FF0070C0"/>
        <rFont val="Calibri"/>
      </rPr>
      <t xml:space="preserve"> </t>
    </r>
    <r>
      <rPr>
        <sz val="12"/>
        <color rgb="FF0070C0"/>
        <rFont val="Calibri"/>
      </rPr>
      <t>the established standards in policy formulation</t>
    </r>
  </si>
  <si>
    <r>
      <rPr>
        <b/>
        <sz val="12"/>
        <color rgb="FF0070C0"/>
        <rFont val="Calibri"/>
      </rPr>
      <t xml:space="preserve"> Met 3 out of 5 indicators</t>
    </r>
    <r>
      <rPr>
        <sz val="12"/>
        <color rgb="FF0070C0"/>
        <rFont val="Calibri"/>
      </rPr>
      <t xml:space="preserve"> based on the established standards in policy formulation</t>
    </r>
  </si>
  <si>
    <r>
      <rPr>
        <b/>
        <sz val="12"/>
        <color rgb="FF0070C0"/>
        <rFont val="Calibri"/>
      </rPr>
      <t>Met 2 out of 5 indicators</t>
    </r>
    <r>
      <rPr>
        <sz val="12"/>
        <color rgb="FF0070C0"/>
        <rFont val="Calibri"/>
      </rPr>
      <t xml:space="preserve"> based on the established standards in policy formulation</t>
    </r>
  </si>
  <si>
    <r>
      <rPr>
        <b/>
        <sz val="12"/>
        <color rgb="FF0070C0"/>
        <rFont val="Calibri"/>
      </rPr>
      <t>Only 1 out of 5 indicators</t>
    </r>
    <r>
      <rPr>
        <sz val="12"/>
        <color rgb="FF0070C0"/>
        <rFont val="Calibri"/>
      </rPr>
      <t xml:space="preserve"> is met based on the established standards in policy formulation</t>
    </r>
  </si>
  <si>
    <r>
      <rPr>
        <b/>
        <sz val="12"/>
        <color rgb="FF0070C0"/>
        <rFont val="Arial Narrow"/>
      </rPr>
      <t>100%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
</t>
    </r>
  </si>
  <si>
    <r>
      <rPr>
        <b/>
        <sz val="12"/>
        <color rgb="FF0070C0"/>
        <rFont val="Arial Narrow"/>
      </rPr>
      <t>76-99%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</si>
  <si>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51-75%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</si>
  <si>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r>
      <rPr>
        <b/>
        <sz val="12"/>
        <color rgb="FF0070C0"/>
        <rFont val="Arial Narrow"/>
      </rPr>
      <t xml:space="preserve">26-50% of total number of policy deliverables </t>
    </r>
    <r>
      <rPr>
        <sz val="12"/>
        <color rgb="FF0070C0"/>
        <rFont val="Arial Narrow"/>
      </rPr>
      <t>submitted and/or presented to the Director for approval; commented upon by such and provided responses to said comments; and/or integrated into the proposed policy action document.</t>
    </r>
  </si>
  <si>
    <r>
      <rPr>
        <b/>
        <sz val="12"/>
        <color rgb="FF0070C0"/>
        <rFont val="Arial Narrow"/>
      </rPr>
      <t>25 %and below of total number of policy deliverables</t>
    </r>
    <r>
      <rPr>
        <sz val="12"/>
        <color rgb="FF0070C0"/>
        <rFont val="Arial Narrow"/>
      </rPr>
      <t xml:space="preserve"> submitted and/or presented to the Director for approval; commented upon by such and provided responses to said comments; and/or integrated into the proposed policy action document.</t>
    </r>
  </si>
  <si>
    <t>Refer to 5-Point Agenda of the DepEd Secretary</t>
  </si>
  <si>
    <r>
      <rPr>
        <b/>
        <u/>
        <sz val="12"/>
        <color rgb="FF000000"/>
        <rFont val="Arial Narrow"/>
      </rPr>
      <t xml:space="preserve">PART I-B: INNOVATING AND INTERVENING ACCOMPLISHMENTS </t>
    </r>
    <r>
      <rPr>
        <b/>
        <u/>
        <sz val="18"/>
        <color rgb="FF000000"/>
        <rFont val="Arial Narrow"/>
      </rPr>
      <t>(20%)</t>
    </r>
    <r>
      <rPr>
        <b/>
        <u/>
        <sz val="12"/>
        <color rgb="FF000000"/>
        <rFont val="Arial Narrow"/>
      </rPr>
      <t xml:space="preserve">
</t>
    </r>
    <r>
      <rPr>
        <b/>
        <i/>
        <sz val="12"/>
        <color rgb="FF000000"/>
        <rFont val="Arial Narrow"/>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</si>
  <si>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rPr>
        <b/>
        <sz val="12"/>
        <color theme="1"/>
        <rFont val="Arial Narrow"/>
      </rPr>
      <t xml:space="preserve">Performance Targets
</t>
    </r>
    <r>
      <rPr>
        <i/>
        <sz val="11"/>
        <color theme="1"/>
        <rFont val="Arial Narrow"/>
      </rPr>
      <t>(Target Outcome/Ouput of the Bureau/Center/Service/Division that are enabling, supportive, and/or contributory to the achievement of the organizational outcomes and KRAs (Part I-A))</t>
    </r>
  </si>
  <si>
    <r>
      <rPr>
        <b/>
        <sz val="12"/>
        <color theme="1"/>
        <rFont val="Arial Narrow"/>
      </rPr>
      <t xml:space="preserve">Performance Measure
</t>
    </r>
    <r>
      <rPr>
        <i/>
        <sz val="12"/>
        <color theme="1"/>
        <rFont val="Arial Narrow"/>
      </rPr>
      <t>(Quality, Efficiency, Timeliness)</t>
    </r>
  </si>
  <si>
    <r>
      <rPr>
        <b/>
        <sz val="12"/>
        <color theme="1"/>
        <rFont val="Arial Narrow"/>
      </rPr>
      <t xml:space="preserve">Value
</t>
    </r>
    <r>
      <rPr>
        <i/>
        <sz val="12"/>
        <color theme="1"/>
        <rFont val="Arial"/>
      </rPr>
      <t>(numerical, statistical, trend)</t>
    </r>
  </si>
  <si>
    <r>
      <rPr>
        <b/>
        <sz val="12"/>
        <color theme="1"/>
        <rFont val="Arial Narrow"/>
      </rPr>
      <t xml:space="preserve">Description
</t>
    </r>
    <r>
      <rPr>
        <i/>
        <sz val="12"/>
        <color theme="1"/>
        <rFont val="Arial Narrow"/>
      </rPr>
      <t>(expected outcome/ output/service)</t>
    </r>
  </si>
  <si>
    <t>2. LEARNING ENVIRONMENT</t>
  </si>
  <si>
    <t>: Promoted a safe, clean and healthy learning environment by implementing the following Clean and Green program.</t>
  </si>
  <si>
    <t>95% -100% implemented and sustained Clean and Green program</t>
  </si>
  <si>
    <t>90% - 94% implemented and sustained Clean and Green program</t>
  </si>
  <si>
    <t>85% - 89% implemented and sustained Clean and Green program</t>
  </si>
  <si>
    <t>80% - 84% implemented and sustained Clean and Green program</t>
  </si>
  <si>
    <t>75% - 79% implemented and sustained Clean and Green program</t>
  </si>
  <si>
    <t>1. School Memo</t>
  </si>
  <si>
    <t>All MOVs are submitted</t>
  </si>
  <si>
    <t>4-5 MOVs are submitted</t>
  </si>
  <si>
    <t>3 MOVs are submitted</t>
  </si>
  <si>
    <t>2 MOVs are submitted</t>
  </si>
  <si>
    <t>1 MOV are submitted</t>
  </si>
  <si>
    <t>1. Waste Segregation</t>
  </si>
  <si>
    <t>( Clean and Green components will be implemented throughout the year)</t>
  </si>
  <si>
    <t>2. Minutes of the Meeting</t>
  </si>
  <si>
    <t>2. Project SANYOG</t>
  </si>
  <si>
    <t>3. M&amp;E tool</t>
  </si>
  <si>
    <t>3. Edible Landscaping</t>
  </si>
  <si>
    <t>4. Attendance Sheet</t>
  </si>
  <si>
    <t>4. Gulayan sa Paaralan</t>
  </si>
  <si>
    <t>5. Accomplishment Reports</t>
  </si>
  <si>
    <t>6. Pictures</t>
  </si>
  <si>
    <r>
      <rPr>
        <b/>
        <u/>
        <sz val="12"/>
        <color rgb="FF000000"/>
        <rFont val="Arial Narrow"/>
      </rPr>
      <t xml:space="preserve">PART I-C:  ORGANIZATIONAL EFFECTIVENESS </t>
    </r>
    <r>
      <rPr>
        <b/>
        <u/>
        <sz val="18"/>
        <color rgb="FF000000"/>
        <rFont val="Arial Narrow"/>
      </rPr>
      <t>(15%)</t>
    </r>
    <r>
      <rPr>
        <b/>
        <u/>
        <sz val="12"/>
        <color rgb="FF000000"/>
        <rFont val="Arial Narrow"/>
      </rPr>
      <t xml:space="preserve">
</t>
    </r>
    <r>
      <rPr>
        <b/>
        <i/>
        <sz val="12"/>
        <color rgb="FF000000"/>
        <rFont val="Arial Narrow"/>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</si>
  <si>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r>
      <rPr>
        <b/>
        <sz val="12"/>
        <color theme="1"/>
        <rFont val="Arial Narrow"/>
      </rPr>
      <t xml:space="preserve">Performance Measure
</t>
    </r>
    <r>
      <rPr>
        <i/>
        <sz val="12"/>
        <color theme="1"/>
        <rFont val="Arial Narrow"/>
      </rPr>
      <t>(Quality, Efficiency, Timeliness)</t>
    </r>
  </si>
  <si>
    <r>
      <rPr>
        <sz val="11"/>
        <color theme="1"/>
        <rFont val="Arial Narrow"/>
      </rPr>
      <t xml:space="preserve">Streamlined and/or digitized </t>
    </r>
    <r>
      <rPr>
        <b/>
        <sz val="11"/>
        <color theme="1"/>
        <rFont val="Arial Narrow"/>
      </rPr>
      <t>76-99%</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</si>
  <si>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51-75%</t>
    </r>
    <r>
      <rPr>
        <sz val="11"/>
        <color theme="1"/>
        <rFont val="Arial Narrow"/>
      </rPr>
      <t xml:space="preserve"> of the office core processes identified in the QMS planning documents</t>
    </r>
  </si>
  <si>
    <r>
      <rPr>
        <sz val="11"/>
        <color theme="1"/>
        <rFont val="Arial Narrow"/>
      </rPr>
      <t xml:space="preserve">Streamlined and/or digitized </t>
    </r>
    <r>
      <rPr>
        <b/>
        <sz val="11"/>
        <color theme="1"/>
        <rFont val="Arial Narrow"/>
      </rPr>
      <t xml:space="preserve">26-50% </t>
    </r>
    <r>
      <rPr>
        <sz val="11"/>
        <color theme="1"/>
        <rFont val="Arial Narrow"/>
      </rPr>
      <t>of the office core processes identified in the QMS planning documents</t>
    </r>
  </si>
  <si>
    <r>
      <rPr>
        <sz val="11"/>
        <color theme="1"/>
        <rFont val="Arial Narrow"/>
      </rPr>
      <t>Streamlined and/or digitized</t>
    </r>
    <r>
      <rPr>
        <b/>
        <sz val="11"/>
        <color theme="1"/>
        <rFont val="Arial Narrow"/>
      </rPr>
      <t xml:space="preserve"> 0-25% </t>
    </r>
    <r>
      <rPr>
        <sz val="11"/>
        <color theme="1"/>
        <rFont val="Arial Narrow"/>
      </rPr>
      <t>of the office core processes identified in the QMS planning documents</t>
    </r>
  </si>
  <si>
    <t>DepEd OPCRF (ver.Feb2025), page 2 of 4</t>
  </si>
  <si>
    <r>
      <rPr>
        <b/>
        <u/>
        <sz val="12"/>
        <color rgb="FF000000"/>
        <rFont val="Arial Narrow"/>
      </rPr>
      <t xml:space="preserve">PART II-A:  LEADERSHIP COMPETENCIES (2.5%)
</t>
    </r>
    <r>
      <rPr>
        <b/>
        <i/>
        <sz val="12"/>
        <color rgb="FF000000"/>
        <rFont val="Arial Narrow"/>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</si>
  <si>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</si>
  <si>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</si>
  <si>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</si>
  <si>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 xml:space="preserve">RATING </t>
  </si>
  <si>
    <t xml:space="preserve">AVERAGE </t>
  </si>
  <si>
    <t>DepEd Competencies Scale</t>
  </si>
  <si>
    <t>Definition</t>
  </si>
  <si>
    <t>Leading People</t>
  </si>
  <si>
    <t xml:space="preserve">1.   Uses basic persuasion techniques in a discussion or presentation e.g., staff mobilization, appeals to reason and/or emotions, uses data and examples, visual aids
</t>
  </si>
  <si>
    <t>Role Model</t>
  </si>
  <si>
    <t xml:space="preserve">Behavioral indicator is consistently exhibited and is worthy of emulation. </t>
  </si>
  <si>
    <t>2.   Persuades, convinces or influences others, in order to have a specific impact or effect.</t>
  </si>
  <si>
    <t>Consistently Demonstrated</t>
  </si>
  <si>
    <t>Behavioral indicator is constantly shown.</t>
  </si>
  <si>
    <t>3.   “Sets a good example”, is a credible and respected leader; and demonstrates desired behavior.</t>
  </si>
  <si>
    <t>Most of the Time Demonstrated</t>
  </si>
  <si>
    <t>Behavioral indicator is often shown.</t>
  </si>
  <si>
    <t>4.   Forwards personal, professional and work unit needs and interests in an issue.</t>
  </si>
  <si>
    <t>Sometimes Demonstrated</t>
  </si>
  <si>
    <t>Behavioral indicator is irregularly shown.</t>
  </si>
  <si>
    <t>5.   Assumes a pivotal role in promoting the development of an inspiring, relevant vision for the organization and influences others to share ownership of DepEd goals, in order to create an effective work environment.</t>
  </si>
  <si>
    <t>Rarely Demonstrated</t>
  </si>
  <si>
    <t>Behavioral indicator is seldom shown.</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</si>
  <si>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</si>
  <si>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</si>
  <si>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</si>
  <si>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</si>
  <si>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</si>
  <si>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</si>
  <si>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</si>
  <si>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</si>
  <si>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</si>
  <si>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</si>
  <si>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</si>
  <si>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</si>
  <si>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 Weighted Average (Average x 0.025)  </t>
  </si>
  <si>
    <r>
      <rPr>
        <b/>
        <u/>
        <sz val="12"/>
        <color rgb="FF000000"/>
        <rFont val="Arial Narrow"/>
      </rPr>
      <t xml:space="preserve">PART II-B:  CORE BEHAVIOURAL COMPETENCIES (2.5%)
</t>
    </r>
    <r>
      <rPr>
        <b/>
        <i/>
        <sz val="12"/>
        <color rgb="FF000000"/>
        <rFont val="Arial Narrow"/>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</si>
  <si>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RATING</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</si>
  <si>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</si>
  <si>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</si>
  <si>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</si>
  <si>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</si>
  <si>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</si>
  <si>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</si>
  <si>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</si>
  <si>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</si>
  <si>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</si>
  <si>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</si>
  <si>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</si>
  <si>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</si>
  <si>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</si>
  <si>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</si>
  <si>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</si>
  <si>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</si>
  <si>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</si>
  <si>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</si>
  <si>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</si>
  <si>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</si>
  <si>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</si>
  <si>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</si>
  <si>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</si>
  <si>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</si>
  <si>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</si>
  <si>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</si>
  <si>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</si>
  <si>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</si>
  <si>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</si>
  <si>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</si>
  <si>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</si>
  <si>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</si>
  <si>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</si>
  <si>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</si>
  <si>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</si>
  <si>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</si>
  <si>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Weighted Average (Average x 0.025)</t>
  </si>
  <si>
    <t xml:space="preserve">Part II-A Total Score: Weighted Average (Average x 0.025)  </t>
  </si>
  <si>
    <t>Part II-B Total Score: Weighted Average (Average x 0.025)</t>
  </si>
  <si>
    <t>DepEd OPCRF (ver.Feb2025),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</si>
  <si>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</si>
  <si>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</si>
  <si>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</si>
  <si>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</si>
  <si>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</si>
  <si>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</si>
  <si>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</si>
  <si>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</si>
  <si>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Feedback:</t>
  </si>
  <si>
    <t>Part IV-B: Individual Development Plan</t>
  </si>
  <si>
    <t>Strengths</t>
  </si>
  <si>
    <t>Improvement Needs</t>
  </si>
  <si>
    <t>Learning Objective 
(based on the developmental intervention)</t>
  </si>
  <si>
    <t>Recommended Developmental Intervention</t>
  </si>
  <si>
    <t>1. Approved WFP                                                         
2. Approved APP                                                           
3. Approved PPMP                                            
4. Approved Annual Budget Allocation</t>
  </si>
  <si>
    <t>1. Certificate of Related Trainings                                                                 2. SF7                                                          
3. Approved Class and Teachers Program</t>
  </si>
  <si>
    <t xml:space="preserve">5-     95% -100% implemented and sustained  Clean and Green program 
</t>
  </si>
  <si>
    <r>
      <t xml:space="preserve">OFFICE PERFORMANCE COMMITMENT AND REVIEW FORM (OPCRF) 
</t>
    </r>
    <r>
      <rPr>
        <b/>
        <i/>
        <sz val="18"/>
        <color rgb="FF000000"/>
        <rFont val="Bookman Old Style"/>
        <family val="1"/>
      </rPr>
      <t>ver.Feb2025</t>
    </r>
  </si>
  <si>
    <r>
      <rPr>
        <b/>
        <u/>
        <sz val="20"/>
        <color rgb="FF000000"/>
        <rFont val="Bookman Old Style"/>
        <family val="1"/>
      </rPr>
      <t xml:space="preserve">PART I-B: INNOVATING AND INTERVENING ACCOMPLISHMENTS (20%)
</t>
    </r>
    <r>
      <rPr>
        <b/>
        <i/>
        <sz val="20"/>
        <color rgb="FF000000"/>
        <rFont val="Bookman Old Style"/>
        <family val="1"/>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</si>
  <si>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t xml:space="preserve">Performance Targets
</t>
    </r>
    <r>
      <rPr>
        <i/>
        <sz val="20"/>
        <color theme="1"/>
        <rFont val="Bookman Old Style"/>
        <family val="1"/>
      </rPr>
      <t>(Target Outcome/Ouput of the Bureau/Center/Service/Division that are enabling, supportive, and/or contributory to the achievement of the organizational outcomes and KRAs (Part I-A))</t>
    </r>
  </si>
  <si>
    <r>
      <t xml:space="preserve">Performance Measure
</t>
    </r>
    <r>
      <rPr>
        <i/>
        <sz val="20"/>
        <color theme="1"/>
        <rFont val="Bookman Old Style"/>
        <family val="1"/>
      </rPr>
      <t>(Quality, Efficiency, Timeliness)</t>
    </r>
  </si>
  <si>
    <r>
      <t xml:space="preserve">Value
</t>
    </r>
    <r>
      <rPr>
        <i/>
        <sz val="20"/>
        <color theme="1"/>
        <rFont val="Bookman Old Style"/>
        <family val="1"/>
      </rPr>
      <t>(numerical, statistical, trend)</t>
    </r>
  </si>
  <si>
    <r>
      <t xml:space="preserve">Description
</t>
    </r>
    <r>
      <rPr>
        <i/>
        <sz val="20"/>
        <color theme="1"/>
        <rFont val="Bookman Old Style"/>
        <family val="1"/>
      </rPr>
      <t>(expected outcome/ output/service)</t>
    </r>
  </si>
  <si>
    <r>
      <t xml:space="preserve">Objectives
</t>
    </r>
    <r>
      <rPr>
        <i/>
        <sz val="20"/>
        <color theme="1"/>
        <rFont val="Bookman Old Style"/>
        <family val="1"/>
      </rPr>
      <t>(based on Office Functions)</t>
    </r>
  </si>
  <si>
    <r>
      <t xml:space="preserve">Key Result Areas (KRA)
</t>
    </r>
    <r>
      <rPr>
        <i/>
        <sz val="20"/>
        <color theme="1"/>
        <rFont val="Bookman Old Style"/>
        <family val="1"/>
      </rPr>
      <t>(Based on Office Mandate and Functions)</t>
    </r>
  </si>
  <si>
    <t>Division Statement of Purpose:</t>
  </si>
  <si>
    <t xml:space="preserve"> To improve the learning outcomes of the schools in SDO Victorias City</t>
  </si>
  <si>
    <r>
      <rPr>
        <b/>
        <u/>
        <sz val="20"/>
        <color rgb="FF000000"/>
        <rFont val="Bookman Old Style"/>
        <family val="1"/>
      </rPr>
      <t xml:space="preserve">PART I-A: COMMITMENT TO ORGANIZATIONAL OUTCOMES (60%)
</t>
    </r>
    <r>
      <rPr>
        <b/>
        <i/>
        <sz val="20"/>
        <color rgb="FF000000"/>
        <rFont val="Bookman Old Style"/>
        <family val="1"/>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Current Administration Agenda, and other national level commitments that are aligned with and relevant to the office KRAs. Clear attribution shall be made to ensure such alignment.</t>
    </r>
  </si>
  <si>
    <t xml:space="preserve">Division: </t>
  </si>
  <si>
    <t>City Schools Division of Victorias</t>
  </si>
  <si>
    <t>KRA 2: Learning Environment</t>
  </si>
  <si>
    <t>Enabling Mechanism/Access</t>
  </si>
  <si>
    <t>KRA 3: Leadership</t>
  </si>
  <si>
    <t>Education Policy Development Program</t>
  </si>
  <si>
    <t>Crafted all plans with 0-2 corrections/ revisions</t>
  </si>
  <si>
    <t>Crafted plans with 3-4 corrections/ revisions</t>
  </si>
  <si>
    <t>Crafted all plans with 7-8 corrections/ revisions</t>
  </si>
  <si>
    <t>Crafted all plans with 9 and above corrections/ revisions</t>
  </si>
  <si>
    <t>Prepared teachers and class program with 50-69% of the teachers aligned with their area of specialization/ expertise</t>
  </si>
  <si>
    <t>Prepared teachers and class program with 90-100% of the teachers aligned with their area of specialization/ expertise</t>
  </si>
  <si>
    <t>Prepared teachers and class program with 70-89% of the teachers aligned with their area of specialization/ expertise</t>
  </si>
  <si>
    <t>Prepared teachers and class program with 20-49% of the teachers aligned with their area of specialization/ expertise</t>
  </si>
  <si>
    <t>Prepared teachers and class program with 0-19% of the teachers aligned with their area of specialization/ expertise</t>
  </si>
  <si>
    <t>Teachers and class program submitted with 12 and more corrections/ revisions.</t>
  </si>
  <si>
    <t>Teachers and class program submitted with 9-11 corrections/ revisions.</t>
  </si>
  <si>
    <t>Teachers and class program submitted with 6-8 corrections/ revisions.</t>
  </si>
  <si>
    <t>Teachers and class program submitted with 3-5 corrections/ revisions.</t>
  </si>
  <si>
    <t>KRA 5: Human Resource &amp; Team Development</t>
  </si>
  <si>
    <t>Enabling Mechanisms: Governance and Management</t>
  </si>
  <si>
    <t xml:space="preserve">1. Approved LAC PLAN/Training Matrix
2.Attendance Sheet
3.Minutes and Documentation
4.LAC Portfolio/Outputs/Reflection Journal
5. Certificate of Training/Completion
</t>
  </si>
  <si>
    <t xml:space="preserve">1.School PRAISE Plan
2.Certificate of Recognition
3.Certificate of Participation
4.List of Awards given and the recipient
5.School Memorandum re School PRAISE Committee
</t>
  </si>
  <si>
    <t>Implemented the following programs and activities for teachers’ welfare. 
a.GAD
b.Wellness Program
c.Magna Carta for Public School Teachers
d.School Grievance Committee                                      
e.Spirituality in the Workplace</t>
  </si>
  <si>
    <t>KRA: 6 Finance and Resource Manage and Mobilzation</t>
  </si>
  <si>
    <t>op</t>
  </si>
  <si>
    <t xml:space="preserve">1. School Memorandum on Adoption of all CID-led Innovations
2.End-of-the-year Report on Adoption of all CID-led Innovations
3. Monitoring and evaluation Report on Adoption of all CID-led Innovations
4. Success Stories of Innovation Adoption
5.Photo Documentation of Innovation Implementation
</t>
  </si>
  <si>
    <t xml:space="preserve">1.School Memo
2.Minutes of the Meeting
3.M&amp;E tool
4.Attendance Sheet
5.Quarterly Accomplishment Reports
6.Pictures
</t>
  </si>
  <si>
    <t>Adopted a school-coded scheme for 
school priority improvement areas using the SUG Analysis
Red - High Priority
Yellow - Medium Priority
Green - Low Priority</t>
  </si>
  <si>
    <r>
      <rPr>
        <b/>
        <u/>
        <sz val="20"/>
        <color rgb="FF000000"/>
        <rFont val="Bookman Old Style"/>
        <family val="1"/>
      </rPr>
      <t xml:space="preserve">PART I-C:  ORGANIZATIONAL EFFECTIVENESS (15%)
</t>
    </r>
    <r>
      <rPr>
        <b/>
        <i/>
        <sz val="20"/>
        <color rgb="FF000000"/>
        <rFont val="Bookman Old Style"/>
        <family val="1"/>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</si>
  <si>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r>
      <t xml:space="preserve">Adhered to streamlined and/or digitized </t>
    </r>
    <r>
      <rPr>
        <b/>
        <sz val="20"/>
        <color theme="1"/>
        <rFont val="Bookman Old Style"/>
        <family val="1"/>
      </rPr>
      <t>76-99%</t>
    </r>
    <r>
      <rPr>
        <sz val="20"/>
        <color theme="1"/>
        <rFont val="Bookman Old Style"/>
        <family val="1"/>
      </rPr>
      <t xml:space="preserve"> office core processes identified in the QMS planning documents</t>
    </r>
  </si>
  <si>
    <r>
      <t xml:space="preserve">Adhered to streamlined and/or digitized </t>
    </r>
    <r>
      <rPr>
        <b/>
        <sz val="20"/>
        <color theme="1"/>
        <rFont val="Bookman Old Style"/>
        <family val="1"/>
      </rPr>
      <t>51-75%</t>
    </r>
    <r>
      <rPr>
        <sz val="20"/>
        <color theme="1"/>
        <rFont val="Bookman Old Style"/>
        <family val="1"/>
      </rPr>
      <t xml:space="preserve"> office core processes identified in the QMS planning documents</t>
    </r>
  </si>
  <si>
    <r>
      <t xml:space="preserve">Adhered to streamlined and/or digitized </t>
    </r>
    <r>
      <rPr>
        <b/>
        <sz val="20"/>
        <color theme="1"/>
        <rFont val="Bookman Old Style"/>
        <family val="1"/>
      </rPr>
      <t xml:space="preserve">26-50% </t>
    </r>
    <r>
      <rPr>
        <sz val="20"/>
        <color theme="1"/>
        <rFont val="Bookman Old Style"/>
        <family val="1"/>
      </rPr>
      <t>office core processes identified in the QMS planning documents</t>
    </r>
  </si>
  <si>
    <r>
      <t>Adhered to streamlined and/or digitized</t>
    </r>
    <r>
      <rPr>
        <b/>
        <sz val="20"/>
        <color theme="1"/>
        <rFont val="Bookman Old Style"/>
        <family val="1"/>
      </rPr>
      <t xml:space="preserve"> 0-25% </t>
    </r>
    <r>
      <rPr>
        <sz val="20"/>
        <color theme="1"/>
        <rFont val="Bookman Old Style"/>
        <family val="1"/>
      </rPr>
      <t>office core processes identified in the QMS planning documents</t>
    </r>
  </si>
  <si>
    <t>Utilized 98% of the school MOOE in accordance with the quarterly disbursement program with no overdraft/ deficit/ disallowance from oversight agency/ies</t>
  </si>
  <si>
    <t>Improvements/reduction on 1 service standards
1. no. of documentary requirements
2. total processing time
3. transaction cost
4. client steps/ agency action steps
5. no. of signatories</t>
  </si>
  <si>
    <t>1.   Uses basic persuasion techniques in a discussion or presentation e.g., staff mobilization, appeals to reason and/or emotions, uses data and examples, visual aids</t>
  </si>
  <si>
    <r>
      <rPr>
        <b/>
        <u/>
        <sz val="12"/>
        <color rgb="FF000000"/>
        <rFont val="Bookman Old Style"/>
        <family val="1"/>
      </rPr>
      <t xml:space="preserve">PART II-A:  LEADERSHIP COMPETENCIES (2.5%)
</t>
    </r>
    <r>
      <rPr>
        <b/>
        <i/>
        <sz val="12"/>
        <color rgb="FF000000"/>
        <rFont val="Bookman Old Style"/>
        <family val="1"/>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</si>
  <si>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r>
      <rPr>
        <b/>
        <u/>
        <sz val="12"/>
        <color rgb="FF000000"/>
        <rFont val="Bookman Old Style"/>
        <family val="1"/>
      </rPr>
      <t xml:space="preserve">PART II-B:  CORE BEHAVIOURAL COMPETENCIES (2.5%)
</t>
    </r>
    <r>
      <rPr>
        <b/>
        <i/>
        <sz val="12"/>
        <color rgb="FF000000"/>
        <rFont val="Bookman Old Style"/>
        <family val="1"/>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</si>
  <si>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r>
      <t xml:space="preserve">Performance Targets
</t>
    </r>
    <r>
      <rPr>
        <i/>
        <sz val="20"/>
        <color theme="1"/>
        <rFont val="Bookman Old Style"/>
        <family val="1"/>
      </rPr>
      <t>(Target Outcome/ Ouput of the Bureau/ Center/Service/ Division aligned with the Outcome/Output Indicators in the Organizational Outcomes)</t>
    </r>
  </si>
  <si>
    <r>
      <t xml:space="preserve">Name of Superior: </t>
    </r>
    <r>
      <rPr>
        <b/>
        <sz val="12"/>
        <color rgb="FF000000"/>
        <rFont val="Arial Narrow"/>
        <family val="2"/>
      </rPr>
      <t>ROGER Z. ROCHAR, PhD</t>
    </r>
  </si>
  <si>
    <t xml:space="preserve">Whole Year </t>
  </si>
  <si>
    <t>Human Resource</t>
  </si>
  <si>
    <t>June 2025-July 2026</t>
  </si>
  <si>
    <t>June 2025-March 2026</t>
  </si>
  <si>
    <t>June-July 2025</t>
  </si>
  <si>
    <t>January – December 2026</t>
  </si>
  <si>
    <t>Last  Week of June 2025</t>
  </si>
  <si>
    <t>Conducted Inventory of School Facilities</t>
  </si>
  <si>
    <t>February-May 2026</t>
  </si>
  <si>
    <t>June 2025 - March 2026</t>
  </si>
  <si>
    <t>June 2025 – March 2026</t>
  </si>
  <si>
    <t>2nd week of July, 2025</t>
  </si>
  <si>
    <t>High Quality of Education</t>
  </si>
  <si>
    <t>*High Quality of Education   *High Performing Teacher</t>
  </si>
  <si>
    <t>*Education Policy Development Program</t>
  </si>
  <si>
    <t>*Education Policy Development Program               *Education Human Resource Development Program</t>
  </si>
  <si>
    <t>*Efficient and Supportive Governance Structure</t>
  </si>
  <si>
    <t>*Basic Education Input Program</t>
  </si>
  <si>
    <t>Learners physical and Mental well-being protected</t>
  </si>
  <si>
    <t>*Efficient and Supportive Governance Structures</t>
  </si>
  <si>
    <t>Empowered and employable Filipinos</t>
  </si>
  <si>
    <t>Basic Education Inputs Program</t>
  </si>
  <si>
    <t>*High Performing Teachers    *High Quality of Education</t>
  </si>
  <si>
    <t>*High Performing Teachers *Efficient and Supportive Governance Structure</t>
  </si>
  <si>
    <t>*Education Human Resource Development Program *Education Policy Development Program</t>
  </si>
  <si>
    <t>Efficient and Supportive Governace Structure</t>
  </si>
  <si>
    <t>Learners Physical and Mental Well-being Protected</t>
  </si>
  <si>
    <t>Learners Physical and Mental well-being Potected</t>
  </si>
  <si>
    <t>KRA 5: Human Resource and Team Development</t>
  </si>
  <si>
    <t xml:space="preserve">KRA 6: Finance and Resource Manage Mobilization
</t>
  </si>
  <si>
    <t>7 curricular innovations from the CID adopted and maintained</t>
  </si>
  <si>
    <t>3-4 curricular innovations from the CID adopted and maintained</t>
  </si>
  <si>
    <t xml:space="preserve">1. Screenshot of Dashboards with number of tabs.                                       </t>
  </si>
  <si>
    <t>To Implement Adopt a School Program, a whole year round stakeholders -driven learning support.</t>
  </si>
  <si>
    <t>1. Adopt a School Program successfully generated over Php10,000.00 worth of materials
2. Improve learners participation
3. Improved learners comprehension</t>
  </si>
  <si>
    <t>1. DPDS
2. Acknowledgement Letter/Deed of Donation
3.Photo Documentation of Innovation Implementation</t>
  </si>
  <si>
    <t xml:space="preserve">DPDS
Acknowledgement letter/Deed of Donation
Photo Documentation of Innovation Implementation
</t>
  </si>
  <si>
    <t>DPDS
Acknowledgement letter/Deed of Donation
Photo Documentation of Innovation Implementation</t>
  </si>
  <si>
    <t>Adopt a School Program will generate  Php10,000.00 or more worth of resources</t>
  </si>
  <si>
    <t xml:space="preserve"> 100% of materials mobilized through donations are relevant to support learning.</t>
  </si>
  <si>
    <t xml:space="preserve"> 60–79% of materials mobilized through donations are relevant to support learning.</t>
  </si>
  <si>
    <t xml:space="preserve">40–59% of materials mobilized through donations are relevant to support learning.
</t>
  </si>
  <si>
    <t xml:space="preserve">Less than 40% of materials mobilized through donations are relevant to support learning.
</t>
  </si>
  <si>
    <t>80–99% of materials mobilized through donations are relevant to support learning.</t>
  </si>
  <si>
    <t>*Education Policy Development Program   *Inclusive Education Program</t>
  </si>
  <si>
    <t xml:space="preserve">Implemented/conducted and maintained innovations and intervention of National/Division/School-led curricular programs in the school following guidelines and mechanics:                                                           ARAL                Project SUPER+ Project 5K STAANG
Project SANYOG
Project DOREMI
Project Rewinds
Project Bridge 2.0 Cha-Ching
</t>
  </si>
  <si>
    <t>*Promoted a safe, clean and healthy learning environment by implementing the following Clean And Green program component
1. Waste Segregation
2. Project SANYOG
3. Edible Landscaping
4. Gulayan sa Paaralan      
*Provided safe and child-friendly learning and school environment through the implementation of the Child Protection Policy</t>
  </si>
  <si>
    <t>100% of planned instructional supervision reflected in the ISEAP is performed.</t>
  </si>
  <si>
    <t>91-99% of planned instructional supervision reflected in the ISEAP is performed.</t>
  </si>
  <si>
    <t>81-90% of planned instructional supervision reflected in the ISEAP is performed.</t>
  </si>
  <si>
    <t>71-80% of planned instructional supervision reflected in the ISEAP is performed.</t>
  </si>
  <si>
    <t>70% and below of planned instructional supervision reflected in the ISEAP is performed.</t>
  </si>
  <si>
    <t>Increased the participation of learners in school activities( Intramural, Galaw Pilipinas, Nestle Wellness, Boy Scout, Girl Scout, SELG, SSG)</t>
  </si>
  <si>
    <t>Ensured implementation of  SIP and WFP</t>
  </si>
  <si>
    <t>90-100% of the items of SIP and WFP were implemented</t>
  </si>
  <si>
    <t>Achieved 40-50% of learners at Independent Level in Phil-IRI Filipino Results.</t>
  </si>
  <si>
    <t>Achieved 30-40% of learners at Independent Level in Phil-IRI Filipino Results.</t>
  </si>
  <si>
    <t xml:space="preserve">1. Accounted for learning outcomes of school vis-a-vis goals and targets (Reduced Frustration Level Learners, Reduce Non-Numerates)            -----------------------                                                                                                                                                                                                                                                                                                       1.1. Achieved 50%  of learners At Grade Level on CRLA results                              </t>
  </si>
  <si>
    <t xml:space="preserve">Achieved 50% and above of learners At Grade Level on CRLA results           </t>
  </si>
  <si>
    <t xml:space="preserve">Achieved 40-50%  of learners At Grade Level on CRLA results         </t>
  </si>
  <si>
    <t xml:space="preserve">Achieved 30-40%  of learners At Grade Level on CRLA results     </t>
  </si>
  <si>
    <t xml:space="preserve">Achieved 20-30%  of learners At Grade Level on CRLA results          </t>
  </si>
  <si>
    <t xml:space="preserve">Achieved 20% and below of learners At Grade Level on CRLA results         </t>
  </si>
  <si>
    <t>Achieved 50% and above of learners at Independent Level in Phil-IRI Filipino Results.</t>
  </si>
  <si>
    <t>Achieved 20-30% of learners at Independent Level in Phil-IRI Filipino Results.</t>
  </si>
  <si>
    <t>Achieved 20% and below of learners at Independent Level in Phil-IRI Filipino Results.</t>
  </si>
  <si>
    <t xml:space="preserve">1. CRLA Consolidated BOSY Results                                                                2. CRLA Consolidated EOSY Results                                                           3. CRLA Grade Level BOSY Results                            
4. CRLA Grade Level EOSY Results                                
</t>
  </si>
  <si>
    <t xml:space="preserve">1. Phil-IRI  Filipino Consolidated BOSY Results                                                                                             2.Phil-IRI  Filipino Consolidated EOSY Results                                                                                           3. Phil-IRI  Filipino Grade Level BOSY Results                            
4. Phil-IRI  Filipino Grade Level EOSY Results                              
</t>
  </si>
  <si>
    <t xml:space="preserve">1. Phil-IRI  English Consolidated BOSY Results                                                                                    2. Phil-IRI  English Consolidated EOSY Results                                                                                3. Phil-IRI  English Grade Level BOSY Results                           
4. Phil-IRI  English Grade Level EOSY Results                                
 </t>
  </si>
  <si>
    <t xml:space="preserve">1. RMA Consolidated BOSY Results                                                                2. RMA Consolidated EOSY Results                                                           3. RMA Grade Level BOSY Results                             
4. RMA Grade Level EOSY Results                                 
</t>
  </si>
  <si>
    <t>1.2. Achieved 50% of learners at Independent Level in Phil-IRI Filipino Results</t>
  </si>
  <si>
    <t>1.3. Achieved 50% of learners at Independent Level in Phil-IRI English Results</t>
  </si>
  <si>
    <t>Achieved 50% and above of learners at Independent Level in Phil-IRI English Results.</t>
  </si>
  <si>
    <t>Achieved 40-50% of learners at Independent Level in Phil-IRI English Results.</t>
  </si>
  <si>
    <t>Achieved 30-40% of learners at Independent Level in Phil-IRI English Results.</t>
  </si>
  <si>
    <t>Achieved 20-30% of learners at Independent Level in Phil-IRI English Results.</t>
  </si>
  <si>
    <t>Achieved 20% and below of learners at Independent Level in Phil-IRI English Results.</t>
  </si>
  <si>
    <t>1.4. Achieved 50% of learners at Proficient and Highly Proficient Level in RMA Results</t>
  </si>
  <si>
    <t>Achieved 20-30% and of learners at Proficient and Highly Proficient Level in RMA Results</t>
  </si>
  <si>
    <t>Achieved 30-40% of learners at Proficient and Highly Proficient Level in RMA Results</t>
  </si>
  <si>
    <t>Achieved 40-50% of learners at Proficient and Highly Proficient Level in RMA Results</t>
  </si>
  <si>
    <t>Achieved 50% and above of learners at Proficient and Highly Proficient Level in RMA Results</t>
  </si>
  <si>
    <t>Achieved 20% and below of learners at Proficient and Highly Proficient Level in RMA Results</t>
  </si>
  <si>
    <r>
      <t xml:space="preserve">gOrganizational Outcome Attribution
</t>
    </r>
    <r>
      <rPr>
        <i/>
        <sz val="20"/>
        <color theme="1"/>
        <rFont val="Bookman Old Style"/>
        <family val="1"/>
      </rPr>
      <t>(Refer to the GAA Programs/Subprogram and BEDP Pillars)</t>
    </r>
  </si>
  <si>
    <t xml:space="preserve">Name of Employee: </t>
  </si>
  <si>
    <t>MC WELSON C. SOLOMON</t>
  </si>
  <si>
    <t>Head Teacher III</t>
  </si>
  <si>
    <t>1. ISEAP                                 2. ISEAR                                 3. COT                                                  
4. Observation Notes/ STAR Notes</t>
  </si>
  <si>
    <t xml:space="preserve">                                                                                                                                                                                                                                                                                                                                                                     1. SF1                                                        2. SF4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</si>
</sst>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mmmm\ d\,\ yyyy"/>
    <numFmt numFmtId="167" formatCode="mmmm\ yyyy"/>
    <numFmt numFmtId="168" formatCode="0.0%"/>
    <numFmt numFmtId="169" formatCode="mmmm\ d\,yyyy"/>
  </numFmts>
  <fonts count="102">
    <font>
      <sz val="11"/>
      <color theme="1"/>
      <name val="Calibri"/>
      <scheme val="minor"/>
    </font>
    <font>
      <b/>
      <sz val="11"/>
      <color theme="1"/>
      <name val="Tahoma"/>
    </font>
    <font>
      <sz val="11"/>
      <color theme="1"/>
      <name val="Tahoma"/>
    </font>
    <font>
      <sz val="11"/>
      <color theme="1"/>
      <name val="Tahoma"/>
    </font>
    <font>
      <sz val="11"/>
      <name val="Calibri"/>
    </font>
    <font>
      <sz val="12"/>
      <color rgb="FF000000"/>
      <name val="Arial Narrow"/>
    </font>
    <font>
      <b/>
      <sz val="12"/>
      <color theme="1"/>
      <name val="Arial Narrow"/>
    </font>
    <font>
      <sz val="12"/>
      <color theme="1"/>
      <name val="Arial Narrow"/>
    </font>
    <font>
      <sz val="12"/>
      <color rgb="FF000000"/>
      <name val="Calibri"/>
    </font>
    <font>
      <b/>
      <sz val="18"/>
      <color rgb="FF000000"/>
      <name val="Arial Narrow"/>
    </font>
    <font>
      <b/>
      <i/>
      <sz val="12"/>
      <color rgb="FF000000"/>
      <name val="Arial Narrow"/>
    </font>
    <font>
      <b/>
      <sz val="12"/>
      <color rgb="FF000000"/>
      <name val="Arial Narrow"/>
    </font>
    <font>
      <b/>
      <i/>
      <sz val="12"/>
      <color rgb="FF000000"/>
      <name val="Arial"/>
    </font>
    <font>
      <b/>
      <sz val="12"/>
      <color rgb="FF000000"/>
      <name val="Arial"/>
    </font>
    <font>
      <sz val="12"/>
      <color rgb="FF0070C0"/>
      <name val="Calibri"/>
    </font>
    <font>
      <sz val="12"/>
      <color rgb="FF0070C0"/>
      <name val="Arial Narrow"/>
    </font>
    <font>
      <sz val="12"/>
      <color theme="8"/>
      <name val="Calibri"/>
    </font>
    <font>
      <b/>
      <sz val="12"/>
      <color theme="1"/>
      <name val="Arial"/>
    </font>
    <font>
      <sz val="12"/>
      <color theme="1"/>
      <name val="Calibri"/>
    </font>
    <font>
      <sz val="12"/>
      <color theme="8"/>
      <name val="Arial Narrow"/>
    </font>
    <font>
      <b/>
      <i/>
      <sz val="12"/>
      <color rgb="FF7F7F7F"/>
      <name val="Arial Narrow"/>
    </font>
    <font>
      <i/>
      <sz val="12"/>
      <color theme="1"/>
      <name val="Arial Narrow"/>
    </font>
    <font>
      <sz val="10"/>
      <color rgb="FF000000"/>
      <name val="Arial Narrow"/>
    </font>
    <font>
      <sz val="10"/>
      <color theme="1"/>
      <name val="Arial Narrow"/>
    </font>
    <font>
      <i/>
      <sz val="10"/>
      <color theme="1"/>
      <name val="Arial Narrow"/>
    </font>
    <font>
      <b/>
      <sz val="10"/>
      <color theme="1"/>
      <name val="Arial Narrow"/>
    </font>
    <font>
      <i/>
      <sz val="10"/>
      <color rgb="FF000000"/>
      <name val="Arial Narrow"/>
    </font>
    <font>
      <sz val="16"/>
      <color theme="1"/>
      <name val="Arial Narrow"/>
    </font>
    <font>
      <sz val="11"/>
      <color rgb="FF000000"/>
      <name val="Arial Narrow"/>
    </font>
    <font>
      <sz val="11"/>
      <color theme="1"/>
      <name val="Arial Narrow"/>
    </font>
    <font>
      <i/>
      <sz val="12"/>
      <color rgb="FF000000"/>
      <name val="Arial Narrow"/>
    </font>
    <font>
      <sz val="11"/>
      <color rgb="FFFF0000"/>
      <name val="Arial Narrow"/>
    </font>
    <font>
      <b/>
      <i/>
      <sz val="12"/>
      <color theme="1"/>
      <name val="Arial Narrow"/>
    </font>
    <font>
      <sz val="11"/>
      <color theme="1"/>
      <name val="Calibri"/>
    </font>
    <font>
      <sz val="11"/>
      <color theme="1"/>
      <name val="Aptos"/>
    </font>
    <font>
      <b/>
      <sz val="11"/>
      <color theme="1"/>
      <name val="Aptos"/>
    </font>
    <font>
      <i/>
      <sz val="11"/>
      <color theme="1"/>
      <name val="Arial Narrow"/>
    </font>
    <font>
      <b/>
      <i/>
      <sz val="11"/>
      <color rgb="FF000000"/>
      <name val="Arial Narrow"/>
    </font>
    <font>
      <b/>
      <sz val="16"/>
      <color rgb="FF000000"/>
      <name val="Arial Narrow"/>
    </font>
    <font>
      <b/>
      <sz val="11"/>
      <color rgb="FF000000"/>
      <name val="Arial Narrow"/>
    </font>
    <font>
      <b/>
      <u/>
      <sz val="12"/>
      <color rgb="FF000000"/>
      <name val="Arial Narrow"/>
    </font>
    <font>
      <b/>
      <u/>
      <sz val="12"/>
      <color rgb="FF000000"/>
      <name val="Arial Narrow"/>
    </font>
    <font>
      <b/>
      <u/>
      <sz val="12"/>
      <color rgb="FF000000"/>
      <name val="Arial Narrow"/>
    </font>
    <font>
      <b/>
      <u/>
      <sz val="12"/>
      <color rgb="FF000000"/>
      <name val="Arial Narrow"/>
    </font>
    <font>
      <b/>
      <sz val="8"/>
      <color theme="1"/>
      <name val="&quot;Bookman Old Style&quot;"/>
    </font>
    <font>
      <b/>
      <i/>
      <sz val="11"/>
      <color theme="1"/>
      <name val="Arial Narrow"/>
    </font>
    <font>
      <b/>
      <sz val="11"/>
      <color theme="1"/>
      <name val="Arial Narrow"/>
    </font>
    <font>
      <sz val="14"/>
      <color rgb="FF000000"/>
      <name val="Arial Narrow"/>
    </font>
    <font>
      <sz val="20"/>
      <color rgb="FFFFFFFF"/>
      <name val="Arial Narrow"/>
    </font>
    <font>
      <sz val="16"/>
      <color rgb="FF000000"/>
      <name val="Arial Narrow"/>
    </font>
    <font>
      <b/>
      <sz val="18"/>
      <color theme="1"/>
      <name val="Arial Narrow"/>
    </font>
    <font>
      <sz val="24"/>
      <color theme="1"/>
      <name val="Arial Narrow"/>
    </font>
    <font>
      <sz val="20"/>
      <color theme="1"/>
      <name val="Arial Narrow"/>
    </font>
    <font>
      <b/>
      <i/>
      <sz val="18"/>
      <color rgb="FF000000"/>
      <name val="Arial Narrow"/>
    </font>
    <font>
      <b/>
      <sz val="12"/>
      <color rgb="FF0070C0"/>
      <name val="Arial Narrow"/>
    </font>
    <font>
      <b/>
      <sz val="12"/>
      <color rgb="FF0070C0"/>
      <name val="Calibri"/>
    </font>
    <font>
      <b/>
      <u/>
      <sz val="18"/>
      <color rgb="FF000000"/>
      <name val="Arial Narrow"/>
    </font>
    <font>
      <i/>
      <sz val="12"/>
      <color theme="1"/>
      <name val="Arial"/>
    </font>
    <font>
      <b/>
      <sz val="11"/>
      <color theme="1"/>
      <name val="Calibri"/>
      <family val="2"/>
    </font>
    <font>
      <b/>
      <sz val="12"/>
      <color theme="1"/>
      <name val="Arial Narrow"/>
      <family val="2"/>
    </font>
    <font>
      <sz val="12"/>
      <color theme="1"/>
      <name val="Arial Narrow"/>
      <family val="2"/>
    </font>
    <font>
      <sz val="12"/>
      <name val="Calibri"/>
      <family val="2"/>
    </font>
    <font>
      <sz val="12"/>
      <color theme="1"/>
      <name val="Calibri"/>
      <family val="2"/>
    </font>
    <font>
      <sz val="16"/>
      <color theme="1"/>
      <name val="Bookman Old Style"/>
      <family val="1"/>
    </font>
    <font>
      <b/>
      <i/>
      <sz val="12"/>
      <color rgb="FF000000"/>
      <name val="Bookman Old Style"/>
      <family val="1"/>
    </font>
    <font>
      <sz val="11"/>
      <name val="Bookman Old Style"/>
      <family val="1"/>
    </font>
    <font>
      <b/>
      <sz val="12"/>
      <color theme="1"/>
      <name val="Bookman Old Style"/>
      <family val="1"/>
    </font>
    <font>
      <sz val="12"/>
      <color theme="1"/>
      <name val="Bookman Old Style"/>
      <family val="1"/>
    </font>
    <font>
      <sz val="11"/>
      <color theme="1"/>
      <name val="Bookman Old Style"/>
      <family val="1"/>
    </font>
    <font>
      <sz val="12"/>
      <color rgb="FF000000"/>
      <name val="Bookman Old Style"/>
      <family val="1"/>
    </font>
    <font>
      <b/>
      <sz val="18"/>
      <color rgb="FF000000"/>
      <name val="Bookman Old Style"/>
      <family val="1"/>
    </font>
    <font>
      <b/>
      <i/>
      <sz val="18"/>
      <color rgb="FF000000"/>
      <name val="Bookman Old Style"/>
      <family val="1"/>
    </font>
    <font>
      <b/>
      <sz val="20"/>
      <color theme="1"/>
      <name val="Bookman Old Style"/>
      <family val="1"/>
    </font>
    <font>
      <b/>
      <u/>
      <sz val="20"/>
      <color rgb="FF000000"/>
      <name val="Bookman Old Style"/>
      <family val="1"/>
    </font>
    <font>
      <b/>
      <i/>
      <sz val="20"/>
      <color rgb="FF000000"/>
      <name val="Bookman Old Style"/>
      <family val="1"/>
    </font>
    <font>
      <sz val="20"/>
      <color theme="1"/>
      <name val="Bookman Old Style"/>
      <family val="1"/>
    </font>
    <font>
      <b/>
      <i/>
      <sz val="20"/>
      <color theme="1"/>
      <name val="Bookman Old Style"/>
      <family val="1"/>
    </font>
    <font>
      <sz val="20"/>
      <name val="Bookman Old Style"/>
      <family val="1"/>
    </font>
    <font>
      <i/>
      <sz val="20"/>
      <color theme="1"/>
      <name val="Bookman Old Style"/>
      <family val="1"/>
    </font>
    <font>
      <sz val="20"/>
      <color rgb="FF000000"/>
      <name val="Bookman Old Style"/>
      <family val="1"/>
    </font>
    <font>
      <b/>
      <sz val="20"/>
      <color rgb="FF000000"/>
      <name val="Bookman Old Style"/>
      <family val="1"/>
    </font>
    <font>
      <sz val="24"/>
      <color rgb="FF000000"/>
      <name val="Bookman Old Style"/>
      <family val="1"/>
    </font>
    <font>
      <sz val="24"/>
      <name val="Bookman Old Style"/>
      <family val="1"/>
    </font>
    <font>
      <sz val="24"/>
      <color theme="1"/>
      <name val="Bookman Old Style"/>
      <family val="1"/>
    </font>
    <font>
      <b/>
      <sz val="24"/>
      <color theme="1"/>
      <name val="Bookman Old Style"/>
      <family val="1"/>
    </font>
    <font>
      <b/>
      <sz val="24"/>
      <name val="Bookman Old Style"/>
      <family val="1"/>
    </font>
    <font>
      <b/>
      <sz val="25"/>
      <color theme="1"/>
      <name val="Bookman Old Style"/>
      <family val="1"/>
    </font>
    <font>
      <b/>
      <sz val="25"/>
      <name val="Bookman Old Style"/>
      <family val="1"/>
    </font>
    <font>
      <b/>
      <sz val="20"/>
      <name val="Bookman Old Style"/>
      <family val="1"/>
    </font>
    <font>
      <b/>
      <i/>
      <sz val="11"/>
      <color theme="1"/>
      <name val="Bookman Old Style"/>
      <family val="1"/>
    </font>
    <font>
      <b/>
      <sz val="12"/>
      <color rgb="FF000000"/>
      <name val="Bookman Old Style"/>
      <family val="1"/>
    </font>
    <font>
      <b/>
      <u/>
      <sz val="12"/>
      <color rgb="FF000000"/>
      <name val="Bookman Old Style"/>
      <family val="1"/>
    </font>
    <font>
      <b/>
      <sz val="11"/>
      <color theme="1"/>
      <name val="Bookman Old Style"/>
      <family val="1"/>
    </font>
    <font>
      <sz val="12"/>
      <name val="Bookman Old Style"/>
      <family val="1"/>
    </font>
    <font>
      <sz val="14"/>
      <color rgb="FF000000"/>
      <name val="Bookman Old Style"/>
      <family val="1"/>
    </font>
    <font>
      <sz val="20"/>
      <color rgb="FFFFFFFF"/>
      <name val="Bookman Old Style"/>
      <family val="1"/>
    </font>
    <font>
      <b/>
      <sz val="18"/>
      <color theme="1"/>
      <name val="Bookman Old Style"/>
      <family val="1"/>
    </font>
    <font>
      <sz val="11"/>
      <color rgb="FF000000"/>
      <name val="Bookman Old Style"/>
      <family val="1"/>
    </font>
    <font>
      <b/>
      <sz val="12"/>
      <color rgb="FF000000"/>
      <name val="Arial Narrow"/>
      <family val="2"/>
    </font>
    <font>
      <sz val="12"/>
      <color rgb="FF000000"/>
      <name val="Arial Narrow"/>
      <family val="2"/>
    </font>
    <font>
      <b/>
      <sz val="16"/>
      <color rgb="FF000000"/>
      <name val="Bookman Old Style"/>
      <family val="1"/>
    </font>
    <font>
      <b/>
      <sz val="11"/>
      <color rgb="FF000000"/>
      <name val="Bookman Old Style"/>
      <family val="1"/>
    </font>
  </fonts>
  <fills count="14">
    <fill>
      <patternFill patternType="none"/>
    </fill>
    <fill>
      <patternFill patternType="gray125"/>
    </fill>
    <fill>
      <patternFill patternType="solid">
        <fgColor rgb="FFFEFCDA"/>
        <bgColor rgb="FFFEFCDA"/>
      </patternFill>
    </fill>
    <fill>
      <patternFill patternType="solid">
        <fgColor rgb="FFD9F2D0"/>
        <bgColor rgb="FFD9F2D0"/>
      </patternFill>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F2F2F2"/>
        <bgColor rgb="FFF2F2F2"/>
      </patternFill>
    </fill>
    <fill>
      <patternFill patternType="solid">
        <fgColor rgb="FFD9D9D9"/>
        <bgColor rgb="FFD9D9D9"/>
      </patternFill>
    </fill>
    <fill>
      <patternFill patternType="solid">
        <fgColor rgb="FFFBE4D5"/>
        <bgColor rgb="FFFBE4D5"/>
      </patternFill>
    </fill>
    <fill>
      <patternFill patternType="solid">
        <fgColor theme="0"/>
        <bgColor rgb="FFFF0000"/>
      </patternFill>
    </fill>
    <fill>
      <patternFill patternType="solid">
        <fgColor theme="0"/>
        <bgColor indexed="64"/>
      </patternFill>
    </fill>
    <fill>
      <patternFill patternType="solid">
        <fgColor theme="7" tint="0.79998168889431442"/>
        <bgColor indexed="64"/>
      </patternFill>
    </fill>
  </fills>
  <borders count="22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style="thin">
        <color rgb="FF000000"/>
      </top>
      <bottom/>
      <diagonal/>
    </border>
    <border>
      <left/>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medium">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rgb="FF000000"/>
      </left>
      <right/>
      <top style="thick">
        <color rgb="FF000000"/>
      </top>
      <bottom/>
      <diagonal/>
    </border>
    <border>
      <left/>
      <right/>
      <top style="thick">
        <color rgb="FF000000"/>
      </top>
      <bottom/>
      <diagonal/>
    </border>
    <border>
      <left/>
      <right style="thin">
        <color rgb="FF000000"/>
      </right>
      <top style="thick">
        <color rgb="FF000000"/>
      </top>
      <bottom/>
      <diagonal/>
    </border>
    <border>
      <left style="thin">
        <color rgb="FF000000"/>
      </left>
      <right/>
      <top style="thick">
        <color rgb="FF000000"/>
      </top>
      <bottom/>
      <diagonal/>
    </border>
    <border>
      <left style="thin">
        <color rgb="FF000000"/>
      </left>
      <right style="thin">
        <color rgb="FF000000"/>
      </right>
      <top style="thick">
        <color rgb="FF000000"/>
      </top>
      <bottom/>
      <diagonal/>
    </border>
    <border>
      <left style="thin">
        <color rgb="FF000000"/>
      </left>
      <right style="thin">
        <color rgb="FF000000"/>
      </right>
      <top style="thick">
        <color rgb="FF000000"/>
      </top>
      <bottom style="thin">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top/>
      <bottom/>
      <diagonal/>
    </border>
    <border>
      <left style="thin">
        <color rgb="FF000000"/>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right style="medium">
        <color rgb="FF000000"/>
      </right>
      <top/>
      <bottom style="medium">
        <color indexed="64"/>
      </bottom>
      <diagonal/>
    </border>
    <border>
      <left/>
      <right style="thin">
        <color rgb="FF000000"/>
      </right>
      <top/>
      <bottom style="medium">
        <color indexed="64"/>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right style="medium">
        <color rgb="FF000000"/>
      </right>
      <top style="medium">
        <color indexed="64"/>
      </top>
      <bottom style="medium">
        <color rgb="FF000000"/>
      </bottom>
      <diagonal/>
    </border>
    <border>
      <left/>
      <right/>
      <top style="medium">
        <color indexed="64"/>
      </top>
      <bottom/>
      <diagonal/>
    </border>
    <border>
      <left/>
      <right style="medium">
        <color rgb="FF000000"/>
      </right>
      <top style="medium">
        <color indexed="64"/>
      </top>
      <bottom/>
      <diagonal/>
    </border>
    <border>
      <left style="medium">
        <color rgb="FF000000"/>
      </left>
      <right style="medium">
        <color rgb="FF000000"/>
      </right>
      <top style="medium">
        <color indexed="64"/>
      </top>
      <bottom/>
      <diagonal/>
    </border>
    <border>
      <left style="medium">
        <color rgb="FF000000"/>
      </left>
      <right/>
      <top style="medium">
        <color indexed="64"/>
      </top>
      <bottom style="medium">
        <color rgb="FF000000"/>
      </bottom>
      <diagonal/>
    </border>
    <border>
      <left style="medium">
        <color rgb="FF000000"/>
      </left>
      <right style="medium">
        <color indexed="64"/>
      </right>
      <top style="medium">
        <color indexed="64"/>
      </top>
      <bottom/>
      <diagonal/>
    </border>
    <border>
      <left style="medium">
        <color indexed="64"/>
      </left>
      <right style="medium">
        <color rgb="FF000000"/>
      </right>
      <top style="medium">
        <color rgb="FF000000"/>
      </top>
      <bottom/>
      <diagonal/>
    </border>
    <border>
      <left style="medium">
        <color rgb="FF000000"/>
      </left>
      <right style="medium">
        <color indexed="64"/>
      </right>
      <top/>
      <bottom/>
      <diagonal/>
    </border>
    <border>
      <left style="medium">
        <color indexed="64"/>
      </left>
      <right style="medium">
        <color rgb="FF000000"/>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rgb="FF000000"/>
      </left>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bottom style="medium">
        <color rgb="FF000000"/>
      </bottom>
      <diagonal/>
    </border>
    <border>
      <left style="thin">
        <color rgb="FF000000"/>
      </left>
      <right style="medium">
        <color indexed="64"/>
      </right>
      <top/>
      <bottom style="medium">
        <color rgb="FF000000"/>
      </bottom>
      <diagonal/>
    </border>
    <border>
      <left style="medium">
        <color indexed="64"/>
      </left>
      <right/>
      <top/>
      <bottom/>
      <diagonal/>
    </border>
    <border>
      <left style="medium">
        <color indexed="64"/>
      </left>
      <right/>
      <top style="thin">
        <color rgb="FF000000"/>
      </top>
      <bottom style="thin">
        <color rgb="FF000000"/>
      </bottom>
      <diagonal/>
    </border>
    <border>
      <left/>
      <right style="medium">
        <color indexed="64"/>
      </right>
      <top style="thin">
        <color indexed="64"/>
      </top>
      <bottom style="thin">
        <color indexed="64"/>
      </bottom>
      <diagonal/>
    </border>
    <border>
      <left style="medium">
        <color indexed="64"/>
      </left>
      <right/>
      <top style="medium">
        <color rgb="FF000000"/>
      </top>
      <bottom style="medium">
        <color rgb="FF000000"/>
      </bottom>
      <diagonal/>
    </border>
    <border>
      <left/>
      <right style="medium">
        <color indexed="64"/>
      </right>
      <top/>
      <bottom style="medium">
        <color rgb="FF000000"/>
      </bottom>
      <diagonal/>
    </border>
    <border>
      <left style="medium">
        <color indexed="64"/>
      </left>
      <right/>
      <top style="medium">
        <color rgb="FF000000"/>
      </top>
      <bottom/>
      <diagonal/>
    </border>
    <border>
      <left/>
      <right style="medium">
        <color indexed="64"/>
      </right>
      <top style="medium">
        <color rgb="FF000000"/>
      </top>
      <bottom/>
      <diagonal/>
    </border>
    <border>
      <left style="thin">
        <color rgb="FF000000"/>
      </left>
      <right style="medium">
        <color indexed="64"/>
      </right>
      <top style="medium">
        <color rgb="FF000000"/>
      </top>
      <bottom/>
      <diagonal/>
    </border>
    <border>
      <left style="thin">
        <color rgb="FF000000"/>
      </left>
      <right style="medium">
        <color indexed="64"/>
      </right>
      <top/>
      <bottom/>
      <diagonal/>
    </border>
    <border>
      <left style="medium">
        <color indexed="64"/>
      </left>
      <right/>
      <top/>
      <bottom style="medium">
        <color indexed="64"/>
      </bottom>
      <diagonal/>
    </border>
    <border>
      <left style="thin">
        <color rgb="FF000000"/>
      </left>
      <right style="thin">
        <color rgb="FF000000"/>
      </right>
      <top style="thin">
        <color rgb="FF000000"/>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s>
  <cellStyleXfs count="1">
    <xf numFmtId="0" fontId="0" fillId="0" borderId="0"/>
  </cellStyleXfs>
  <cellXfs count="1079">
    <xf numFmtId="0" fontId="0" fillId="0" borderId="0" xfId="0"/>
    <xf numFmtId="0" fontId="2" fillId="0" borderId="0" xfId="0" applyFont="1"/>
    <xf numFmtId="0" fontId="3" fillId="0" borderId="0" xfId="0" applyFont="1" applyAlignment="1">
      <alignment horizontal="center" vertical="center"/>
    </xf>
    <xf numFmtId="0" fontId="1" fillId="0" borderId="1" xfId="0" applyFont="1" applyBorder="1"/>
    <xf numFmtId="0" fontId="3" fillId="0" borderId="1" xfId="0" applyFont="1" applyBorder="1" applyAlignment="1">
      <alignment wrapText="1"/>
    </xf>
    <xf numFmtId="0" fontId="1" fillId="0" borderId="1" xfId="0" applyFont="1" applyBorder="1" applyAlignment="1">
      <alignment wrapText="1"/>
    </xf>
    <xf numFmtId="0" fontId="2" fillId="0" borderId="0" xfId="0" applyFont="1" applyAlignment="1">
      <alignment wrapText="1"/>
    </xf>
    <xf numFmtId="0" fontId="1" fillId="0" borderId="0" xfId="0" applyFont="1"/>
    <xf numFmtId="0" fontId="3" fillId="0" borderId="1" xfId="0" applyFont="1" applyBorder="1" applyAlignment="1">
      <alignment horizontal="center" wrapText="1"/>
    </xf>
    <xf numFmtId="0" fontId="5" fillId="4" borderId="4" xfId="0" applyFont="1" applyFill="1" applyBorder="1" applyAlignment="1">
      <alignment vertical="top"/>
    </xf>
    <xf numFmtId="0" fontId="7" fillId="4" borderId="4" xfId="0" applyFont="1" applyFill="1" applyBorder="1" applyAlignment="1">
      <alignment vertical="top"/>
    </xf>
    <xf numFmtId="0" fontId="8" fillId="0" borderId="0" xfId="0" applyFont="1"/>
    <xf numFmtId="0" fontId="5" fillId="0" borderId="15" xfId="0" applyFont="1" applyBorder="1" applyAlignment="1">
      <alignment vertical="top"/>
    </xf>
    <xf numFmtId="0" fontId="5" fillId="0" borderId="0" xfId="0" applyFont="1"/>
    <xf numFmtId="0" fontId="5" fillId="0" borderId="1" xfId="0" applyFont="1" applyBorder="1" applyAlignment="1">
      <alignment horizontal="left" vertical="top"/>
    </xf>
    <xf numFmtId="0" fontId="7" fillId="5" borderId="4" xfId="0" applyFont="1" applyFill="1" applyBorder="1" applyAlignment="1">
      <alignment horizontal="left" vertical="top" wrapText="1"/>
    </xf>
    <xf numFmtId="0" fontId="7" fillId="5" borderId="23" xfId="0" applyFont="1" applyFill="1" applyBorder="1" applyAlignment="1">
      <alignment horizontal="left" vertical="top" wrapText="1"/>
    </xf>
    <xf numFmtId="0" fontId="6" fillId="6" borderId="40" xfId="0" applyFont="1" applyFill="1" applyBorder="1" applyAlignment="1">
      <alignment horizontal="center" vertical="center" wrapText="1"/>
    </xf>
    <xf numFmtId="0" fontId="5" fillId="4" borderId="4" xfId="0" applyFont="1" applyFill="1" applyBorder="1" applyAlignment="1">
      <alignment vertical="center"/>
    </xf>
    <xf numFmtId="0" fontId="6" fillId="6" borderId="58" xfId="0" applyFont="1" applyFill="1" applyBorder="1" applyAlignment="1">
      <alignment horizontal="center" vertical="center" wrapText="1"/>
    </xf>
    <xf numFmtId="0" fontId="7" fillId="4" borderId="4" xfId="0" applyFont="1" applyFill="1" applyBorder="1" applyAlignment="1">
      <alignment vertical="center"/>
    </xf>
    <xf numFmtId="0" fontId="14" fillId="6" borderId="68" xfId="0" applyFont="1" applyFill="1" applyBorder="1" applyAlignment="1">
      <alignment horizontal="left" vertical="top" wrapText="1"/>
    </xf>
    <xf numFmtId="9" fontId="15" fillId="6" borderId="71" xfId="0" applyNumberFormat="1" applyFont="1" applyFill="1" applyBorder="1" applyAlignment="1">
      <alignment horizontal="center" vertical="top" wrapText="1"/>
    </xf>
    <xf numFmtId="9" fontId="15" fillId="6" borderId="72" xfId="0" applyNumberFormat="1" applyFont="1" applyFill="1" applyBorder="1" applyAlignment="1">
      <alignment horizontal="center" vertical="top" wrapText="1"/>
    </xf>
    <xf numFmtId="0" fontId="15" fillId="6" borderId="72" xfId="0" applyFont="1" applyFill="1" applyBorder="1" applyAlignment="1">
      <alignment vertical="top" wrapText="1"/>
    </xf>
    <xf numFmtId="0" fontId="14" fillId="6" borderId="72" xfId="0" applyFont="1" applyFill="1" applyBorder="1" applyAlignment="1">
      <alignment vertical="top" wrapText="1"/>
    </xf>
    <xf numFmtId="0" fontId="16" fillId="6" borderId="73" xfId="0" applyFont="1" applyFill="1" applyBorder="1" applyAlignment="1">
      <alignment vertical="top" wrapText="1"/>
    </xf>
    <xf numFmtId="2" fontId="6" fillId="6" borderId="72" xfId="0" applyNumberFormat="1" applyFont="1" applyFill="1" applyBorder="1" applyAlignment="1">
      <alignment horizontal="center" vertical="top" wrapText="1"/>
    </xf>
    <xf numFmtId="0" fontId="8" fillId="0" borderId="0" xfId="0" applyFont="1" applyAlignment="1">
      <alignment vertical="top"/>
    </xf>
    <xf numFmtId="0" fontId="18" fillId="0" borderId="76" xfId="0" applyFont="1" applyBorder="1"/>
    <xf numFmtId="0" fontId="15" fillId="6" borderId="78" xfId="0" applyFont="1" applyFill="1" applyBorder="1" applyAlignment="1">
      <alignment horizontal="center" vertical="top" wrapText="1"/>
    </xf>
    <xf numFmtId="0" fontId="15" fillId="6" borderId="1" xfId="0" applyFont="1" applyFill="1" applyBorder="1" applyAlignment="1">
      <alignment horizontal="center" vertical="top" wrapText="1"/>
    </xf>
    <xf numFmtId="0" fontId="15" fillId="6" borderId="1" xfId="0" applyFont="1" applyFill="1" applyBorder="1" applyAlignment="1">
      <alignment vertical="top" wrapText="1"/>
    </xf>
    <xf numFmtId="0" fontId="15" fillId="6" borderId="79" xfId="0" applyFont="1" applyFill="1" applyBorder="1" applyAlignment="1">
      <alignment vertical="top" wrapText="1"/>
    </xf>
    <xf numFmtId="0" fontId="19" fillId="6" borderId="80" xfId="0" applyFont="1" applyFill="1" applyBorder="1" applyAlignment="1">
      <alignment horizontal="left" vertical="top" wrapText="1"/>
    </xf>
    <xf numFmtId="2" fontId="6" fillId="6" borderId="1" xfId="0" applyNumberFormat="1" applyFont="1" applyFill="1" applyBorder="1" applyAlignment="1">
      <alignment horizontal="center" vertical="top" wrapText="1"/>
    </xf>
    <xf numFmtId="0" fontId="15" fillId="6" borderId="78" xfId="0" applyFont="1" applyFill="1" applyBorder="1" applyAlignment="1">
      <alignment vertical="top" wrapText="1"/>
    </xf>
    <xf numFmtId="0" fontId="15" fillId="6" borderId="84" xfId="0" applyFont="1" applyFill="1" applyBorder="1" applyAlignment="1">
      <alignment vertical="top" wrapText="1"/>
    </xf>
    <xf numFmtId="0" fontId="19" fillId="6" borderId="85" xfId="0" applyFont="1" applyFill="1" applyBorder="1" applyAlignment="1">
      <alignment horizontal="left" vertical="top" wrapText="1"/>
    </xf>
    <xf numFmtId="2" fontId="6" fillId="6" borderId="78" xfId="0" applyNumberFormat="1" applyFont="1" applyFill="1" applyBorder="1" applyAlignment="1">
      <alignment horizontal="center" vertical="top" wrapText="1"/>
    </xf>
    <xf numFmtId="9" fontId="7" fillId="0" borderId="15" xfId="0" applyNumberFormat="1" applyFont="1" applyBorder="1" applyAlignment="1">
      <alignment horizontal="center" vertical="center" wrapText="1"/>
    </xf>
    <xf numFmtId="0" fontId="5" fillId="0" borderId="15" xfId="0" applyFont="1" applyBorder="1" applyAlignment="1">
      <alignment horizontal="left" vertical="top" wrapText="1"/>
    </xf>
    <xf numFmtId="0" fontId="7" fillId="0" borderId="15" xfId="0" applyFont="1" applyBorder="1" applyAlignment="1">
      <alignment horizontal="left" vertical="center" wrapText="1"/>
    </xf>
    <xf numFmtId="164" fontId="7" fillId="5" borderId="1" xfId="0" applyNumberFormat="1" applyFont="1" applyFill="1" applyBorder="1" applyAlignment="1">
      <alignment horizontal="center"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top" wrapText="1"/>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7" fillId="0" borderId="1" xfId="0" applyFont="1" applyBorder="1" applyAlignment="1">
      <alignment horizontal="left" vertical="center" wrapText="1"/>
    </xf>
    <xf numFmtId="9" fontId="7" fillId="0" borderId="1" xfId="0" applyNumberFormat="1" applyFont="1" applyBorder="1" applyAlignment="1">
      <alignment horizontal="center" vertical="center" wrapText="1"/>
    </xf>
    <xf numFmtId="0" fontId="7" fillId="0" borderId="104" xfId="0" applyFont="1" applyBorder="1" applyAlignment="1">
      <alignment horizontal="center" vertical="center" wrapText="1"/>
    </xf>
    <xf numFmtId="0" fontId="5" fillId="0" borderId="104" xfId="0" applyFont="1" applyBorder="1" applyAlignment="1">
      <alignment horizontal="left" vertical="center" wrapText="1"/>
    </xf>
    <xf numFmtId="0" fontId="7" fillId="0" borderId="89" xfId="0" applyFont="1" applyBorder="1" applyAlignment="1">
      <alignment horizontal="center" vertical="center" wrapText="1"/>
    </xf>
    <xf numFmtId="0" fontId="5" fillId="0" borderId="105" xfId="0" applyFont="1" applyBorder="1" applyAlignment="1">
      <alignment horizontal="left" vertical="top" wrapText="1"/>
    </xf>
    <xf numFmtId="0" fontId="7" fillId="5" borderId="106" xfId="0" applyFont="1" applyFill="1" applyBorder="1" applyAlignment="1">
      <alignment horizontal="left" vertical="top" wrapText="1"/>
    </xf>
    <xf numFmtId="165" fontId="7" fillId="5" borderId="72" xfId="0" applyNumberFormat="1" applyFont="1" applyFill="1" applyBorder="1" applyAlignment="1">
      <alignment horizontal="center" vertical="top" wrapText="1"/>
    </xf>
    <xf numFmtId="0" fontId="7" fillId="0" borderId="76" xfId="0" applyFont="1" applyBorder="1" applyAlignment="1">
      <alignment horizontal="center" vertical="center" wrapText="1"/>
    </xf>
    <xf numFmtId="0" fontId="5" fillId="0" borderId="79" xfId="0" applyFont="1" applyBorder="1" applyAlignment="1">
      <alignment horizontal="left" vertical="top" wrapText="1"/>
    </xf>
    <xf numFmtId="0" fontId="7" fillId="5" borderId="80" xfId="0" applyFont="1" applyFill="1" applyBorder="1" applyAlignment="1">
      <alignment horizontal="left" vertical="top" wrapText="1"/>
    </xf>
    <xf numFmtId="2" fontId="7" fillId="5" borderId="1" xfId="0" applyNumberFormat="1" applyFont="1" applyFill="1" applyBorder="1" applyAlignment="1">
      <alignment horizontal="center" vertical="top" wrapText="1"/>
    </xf>
    <xf numFmtId="165" fontId="7" fillId="5" borderId="1" xfId="0" applyNumberFormat="1" applyFont="1" applyFill="1" applyBorder="1" applyAlignment="1">
      <alignment horizontal="center" vertical="top" wrapText="1"/>
    </xf>
    <xf numFmtId="0" fontId="7" fillId="0" borderId="103" xfId="0" applyFont="1" applyBorder="1" applyAlignment="1">
      <alignment horizontal="center" vertical="center" wrapText="1"/>
    </xf>
    <xf numFmtId="0" fontId="5" fillId="0" borderId="54" xfId="0" applyFont="1" applyBorder="1" applyAlignment="1">
      <alignment horizontal="left" vertical="top" wrapText="1"/>
    </xf>
    <xf numFmtId="0" fontId="7" fillId="5" borderId="85" xfId="0" applyFont="1" applyFill="1" applyBorder="1" applyAlignment="1">
      <alignment horizontal="left" vertical="top" wrapText="1"/>
    </xf>
    <xf numFmtId="2" fontId="7" fillId="5" borderId="78" xfId="0" applyNumberFormat="1" applyFont="1" applyFill="1" applyBorder="1" applyAlignment="1">
      <alignment horizontal="center" vertical="top" wrapText="1"/>
    </xf>
    <xf numFmtId="164" fontId="10" fillId="0" borderId="34" xfId="0" applyNumberFormat="1" applyFont="1" applyBorder="1" applyAlignment="1">
      <alignment horizontal="center" vertical="center" wrapText="1"/>
    </xf>
    <xf numFmtId="0" fontId="6" fillId="5" borderId="4" xfId="0" applyFont="1" applyFill="1" applyBorder="1" applyAlignment="1">
      <alignment vertical="center" wrapText="1"/>
    </xf>
    <xf numFmtId="2" fontId="7" fillId="5" borderId="4" xfId="0" applyNumberFormat="1" applyFont="1" applyFill="1" applyBorder="1" applyAlignment="1">
      <alignment horizontal="center" vertical="center" wrapText="1"/>
    </xf>
    <xf numFmtId="0" fontId="6" fillId="5" borderId="4" xfId="0" applyFont="1" applyFill="1" applyBorder="1" applyAlignment="1">
      <alignment horizontal="right" vertical="center" wrapText="1"/>
    </xf>
    <xf numFmtId="0" fontId="5" fillId="0" borderId="0" xfId="0" applyFont="1" applyAlignment="1">
      <alignment vertical="center"/>
    </xf>
    <xf numFmtId="0" fontId="6" fillId="6" borderId="114" xfId="0" applyFont="1" applyFill="1" applyBorder="1" applyAlignment="1">
      <alignment horizontal="center" vertical="center" wrapText="1"/>
    </xf>
    <xf numFmtId="0" fontId="22" fillId="4" borderId="4" xfId="0" applyFont="1" applyFill="1" applyBorder="1" applyAlignment="1">
      <alignment vertical="top"/>
    </xf>
    <xf numFmtId="0" fontId="23" fillId="0" borderId="122" xfId="0" applyFont="1" applyBorder="1" applyAlignment="1">
      <alignment horizontal="center" vertical="center"/>
    </xf>
    <xf numFmtId="0" fontId="25" fillId="0" borderId="122" xfId="0" applyFont="1" applyBorder="1" applyAlignment="1">
      <alignment horizontal="center" vertical="center" wrapText="1"/>
    </xf>
    <xf numFmtId="164" fontId="7" fillId="0" borderId="96" xfId="0" applyNumberFormat="1" applyFont="1" applyBorder="1" applyAlignment="1">
      <alignment horizontal="center" vertical="center" wrapText="1"/>
    </xf>
    <xf numFmtId="0" fontId="23" fillId="4" borderId="4" xfId="0" applyFont="1" applyFill="1" applyBorder="1" applyAlignment="1">
      <alignment vertical="top"/>
    </xf>
    <xf numFmtId="0" fontId="22" fillId="0" borderId="0" xfId="0" applyFont="1"/>
    <xf numFmtId="0" fontId="23" fillId="0" borderId="1" xfId="0" applyFont="1" applyBorder="1" applyAlignment="1">
      <alignment horizontal="center" vertical="center"/>
    </xf>
    <xf numFmtId="0" fontId="25" fillId="0" borderId="1" xfId="0" applyFont="1" applyBorder="1" applyAlignment="1">
      <alignment horizontal="center" vertical="center" wrapText="1"/>
    </xf>
    <xf numFmtId="164" fontId="7" fillId="0" borderId="1" xfId="0" applyNumberFormat="1" applyFont="1" applyBorder="1" applyAlignment="1">
      <alignment horizontal="center" vertical="center" wrapText="1"/>
    </xf>
    <xf numFmtId="0" fontId="26" fillId="6" borderId="4" xfId="0" applyFont="1" applyFill="1" applyBorder="1" applyAlignment="1">
      <alignment horizontal="center"/>
    </xf>
    <xf numFmtId="0" fontId="23" fillId="0" borderId="104" xfId="0" applyFont="1" applyBorder="1" applyAlignment="1">
      <alignment horizontal="center" vertical="center"/>
    </xf>
    <xf numFmtId="0" fontId="25" fillId="0" borderId="104" xfId="0" applyFont="1" applyBorder="1" applyAlignment="1">
      <alignment horizontal="center" vertical="center" wrapText="1"/>
    </xf>
    <xf numFmtId="0" fontId="7" fillId="0" borderId="15" xfId="0" applyFont="1" applyBorder="1" applyAlignment="1">
      <alignment horizontal="center" vertical="center"/>
    </xf>
    <xf numFmtId="0" fontId="7" fillId="0" borderId="15" xfId="0" applyFont="1" applyBorder="1" applyAlignment="1">
      <alignment horizontal="left" vertical="top" wrapText="1"/>
    </xf>
    <xf numFmtId="0" fontId="6" fillId="0" borderId="15" xfId="0" applyFont="1" applyBorder="1" applyAlignment="1">
      <alignment horizontal="center" vertical="center" wrapText="1"/>
    </xf>
    <xf numFmtId="0" fontId="7" fillId="0" borderId="15" xfId="0" applyFont="1" applyBorder="1"/>
    <xf numFmtId="0" fontId="6" fillId="0" borderId="96" xfId="0" applyFont="1" applyBorder="1" applyAlignment="1">
      <alignment horizontal="center" vertical="center" wrapText="1"/>
    </xf>
    <xf numFmtId="0" fontId="6" fillId="0" borderId="53" xfId="0" applyFont="1" applyBorder="1" applyAlignment="1">
      <alignment horizontal="center" vertical="center" wrapText="1"/>
    </xf>
    <xf numFmtId="0" fontId="7"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1" xfId="0" applyFont="1" applyBorder="1"/>
    <xf numFmtId="0" fontId="7" fillId="0" borderId="53" xfId="0" applyFont="1" applyBorder="1" applyAlignment="1">
      <alignment horizontal="center" vertical="center"/>
    </xf>
    <xf numFmtId="0" fontId="7" fillId="0" borderId="53" xfId="0" applyFont="1" applyBorder="1"/>
    <xf numFmtId="0" fontId="6" fillId="0" borderId="105" xfId="0" applyFont="1" applyBorder="1"/>
    <xf numFmtId="0" fontId="6" fillId="0" borderId="79" xfId="0" applyFont="1" applyBorder="1"/>
    <xf numFmtId="0" fontId="6" fillId="0" borderId="54" xfId="0" applyFont="1" applyBorder="1"/>
    <xf numFmtId="164" fontId="6" fillId="5" borderId="127" xfId="0" applyNumberFormat="1" applyFont="1" applyFill="1" applyBorder="1" applyAlignment="1">
      <alignment horizontal="center" vertical="center" wrapText="1"/>
    </xf>
    <xf numFmtId="0" fontId="7" fillId="0" borderId="0" xfId="0" applyFont="1"/>
    <xf numFmtId="0" fontId="28" fillId="0" borderId="15" xfId="0" applyFont="1" applyBorder="1" applyAlignment="1">
      <alignment horizontal="left" vertical="center" wrapText="1"/>
    </xf>
    <xf numFmtId="0" fontId="29" fillId="0" borderId="15" xfId="0" applyFont="1" applyBorder="1" applyAlignment="1">
      <alignment horizontal="left" vertical="center" wrapText="1"/>
    </xf>
    <xf numFmtId="164" fontId="7" fillId="0" borderId="15" xfId="0" applyNumberFormat="1" applyFont="1" applyBorder="1" applyAlignment="1">
      <alignment horizontal="center" vertical="center" wrapText="1"/>
    </xf>
    <xf numFmtId="0" fontId="28" fillId="0" borderId="96" xfId="0" applyFont="1" applyBorder="1" applyAlignment="1">
      <alignment horizontal="left" vertical="center" wrapText="1"/>
    </xf>
    <xf numFmtId="0" fontId="29" fillId="0" borderId="96" xfId="0" applyFont="1" applyBorder="1" applyAlignment="1">
      <alignment horizontal="left" vertical="center" wrapText="1"/>
    </xf>
    <xf numFmtId="0" fontId="7" fillId="0" borderId="104" xfId="0" applyFont="1" applyBorder="1" applyAlignment="1">
      <alignment horizontal="center" vertical="center"/>
    </xf>
    <xf numFmtId="0" fontId="28" fillId="0" borderId="64" xfId="0" applyFont="1" applyBorder="1" applyAlignment="1">
      <alignment horizontal="left" vertical="center" wrapText="1"/>
    </xf>
    <xf numFmtId="164" fontId="7" fillId="0" borderId="104" xfId="0" applyNumberFormat="1" applyFont="1" applyBorder="1" applyAlignment="1">
      <alignment horizontal="center" vertical="center" wrapText="1"/>
    </xf>
    <xf numFmtId="0" fontId="30" fillId="6" borderId="4" xfId="0" applyFont="1" applyFill="1" applyBorder="1" applyAlignment="1">
      <alignment horizontal="center"/>
    </xf>
    <xf numFmtId="0" fontId="29" fillId="0" borderId="15" xfId="0" applyFont="1" applyBorder="1" applyAlignment="1">
      <alignment vertical="top" wrapText="1"/>
    </xf>
    <xf numFmtId="0" fontId="29" fillId="0" borderId="1" xfId="0" applyFont="1" applyBorder="1" applyAlignment="1">
      <alignment horizontal="left" vertical="center" wrapText="1"/>
    </xf>
    <xf numFmtId="0" fontId="31" fillId="8" borderId="104" xfId="0" applyFont="1" applyFill="1" applyBorder="1" applyAlignment="1">
      <alignment horizontal="left" vertical="center" wrapText="1"/>
    </xf>
    <xf numFmtId="0" fontId="6" fillId="0" borderId="104" xfId="0" applyFont="1" applyBorder="1" applyAlignment="1">
      <alignment horizontal="center" vertical="center" wrapText="1"/>
    </xf>
    <xf numFmtId="0" fontId="29" fillId="0" borderId="104" xfId="0" applyFont="1" applyBorder="1" applyAlignment="1">
      <alignment horizontal="left" vertical="center" wrapText="1"/>
    </xf>
    <xf numFmtId="0" fontId="29" fillId="8" borderId="104" xfId="0" applyFont="1" applyFill="1" applyBorder="1" applyAlignment="1">
      <alignment horizontal="left" vertical="center" wrapText="1"/>
    </xf>
    <xf numFmtId="0" fontId="7" fillId="0" borderId="96" xfId="0" applyFont="1" applyBorder="1" applyAlignment="1">
      <alignment horizontal="center" vertical="center"/>
    </xf>
    <xf numFmtId="0" fontId="7" fillId="0" borderId="96" xfId="0" applyFont="1" applyBorder="1" applyAlignment="1">
      <alignment horizontal="left" vertical="top" wrapText="1"/>
    </xf>
    <xf numFmtId="0" fontId="7" fillId="0" borderId="96" xfId="0" applyFont="1" applyBorder="1"/>
    <xf numFmtId="0" fontId="7" fillId="0" borderId="105" xfId="0" applyFont="1" applyBorder="1"/>
    <xf numFmtId="0" fontId="7" fillId="0" borderId="79" xfId="0" applyFont="1" applyBorder="1"/>
    <xf numFmtId="0" fontId="7" fillId="0" borderId="132" xfId="0" applyFont="1" applyBorder="1"/>
    <xf numFmtId="164" fontId="32" fillId="5" borderId="58" xfId="0" applyNumberFormat="1" applyFont="1" applyFill="1" applyBorder="1" applyAlignment="1">
      <alignment horizontal="center" vertical="center" wrapText="1"/>
    </xf>
    <xf numFmtId="0" fontId="7" fillId="5" borderId="4" xfId="0" applyFont="1" applyFill="1" applyBorder="1" applyAlignment="1">
      <alignment vertical="top" wrapText="1"/>
    </xf>
    <xf numFmtId="9" fontId="7" fillId="5" borderId="4" xfId="0" applyNumberFormat="1" applyFont="1" applyFill="1" applyBorder="1" applyAlignment="1">
      <alignment vertical="top" wrapText="1"/>
    </xf>
    <xf numFmtId="0" fontId="7" fillId="5" borderId="4" xfId="0" applyFont="1" applyFill="1" applyBorder="1" applyAlignment="1">
      <alignment horizontal="center" vertical="top" wrapText="1"/>
    </xf>
    <xf numFmtId="9" fontId="7" fillId="5" borderId="4" xfId="0" applyNumberFormat="1" applyFont="1" applyFill="1" applyBorder="1" applyAlignment="1">
      <alignment horizontal="center" vertical="top" wrapText="1"/>
    </xf>
    <xf numFmtId="0" fontId="7" fillId="5" borderId="4" xfId="0" applyFont="1" applyFill="1" applyBorder="1" applyAlignment="1">
      <alignment vertical="top"/>
    </xf>
    <xf numFmtId="2" fontId="7" fillId="5" borderId="4" xfId="0" applyNumberFormat="1" applyFont="1" applyFill="1" applyBorder="1" applyAlignment="1">
      <alignment horizontal="center" vertical="top" wrapText="1"/>
    </xf>
    <xf numFmtId="0" fontId="7" fillId="5" borderId="4" xfId="0" applyFont="1" applyFill="1" applyBorder="1" applyAlignment="1">
      <alignment horizontal="center" vertical="center" wrapText="1"/>
    </xf>
    <xf numFmtId="9" fontId="6" fillId="5" borderId="4" xfId="0" applyNumberFormat="1" applyFont="1" applyFill="1" applyBorder="1" applyAlignment="1">
      <alignment vertical="top" wrapText="1"/>
    </xf>
    <xf numFmtId="0" fontId="33" fillId="0" borderId="0" xfId="0" applyFont="1"/>
    <xf numFmtId="9" fontId="7" fillId="5" borderId="4" xfId="0" applyNumberFormat="1" applyFont="1" applyFill="1" applyBorder="1" applyAlignment="1">
      <alignment vertical="top"/>
    </xf>
    <xf numFmtId="0" fontId="7" fillId="5" borderId="4" xfId="0" applyFont="1" applyFill="1" applyBorder="1" applyAlignment="1">
      <alignment horizontal="left" vertical="top"/>
    </xf>
    <xf numFmtId="0" fontId="18" fillId="5" borderId="4" xfId="0" applyFont="1" applyFill="1" applyBorder="1"/>
    <xf numFmtId="0" fontId="18" fillId="0" borderId="0" xfId="0" applyFont="1"/>
    <xf numFmtId="0" fontId="28" fillId="4" borderId="4" xfId="0" applyFont="1" applyFill="1" applyBorder="1"/>
    <xf numFmtId="0" fontId="28" fillId="0" borderId="0" xfId="0" applyFont="1"/>
    <xf numFmtId="0" fontId="28" fillId="4" borderId="135" xfId="0" applyFont="1" applyFill="1" applyBorder="1"/>
    <xf numFmtId="0" fontId="28" fillId="4" borderId="68" xfId="0" applyFont="1" applyFill="1" applyBorder="1"/>
    <xf numFmtId="0" fontId="10" fillId="4" borderId="135" xfId="0" applyFont="1" applyFill="1" applyBorder="1" applyAlignment="1">
      <alignment vertical="center" wrapText="1"/>
    </xf>
    <xf numFmtId="0" fontId="33" fillId="0" borderId="76" xfId="0" applyFont="1" applyBorder="1"/>
    <xf numFmtId="0" fontId="11" fillId="4" borderId="1" xfId="0" applyFont="1" applyFill="1" applyBorder="1" applyAlignment="1">
      <alignment horizontal="center" vertical="center" wrapText="1"/>
    </xf>
    <xf numFmtId="0" fontId="39" fillId="4" borderId="1" xfId="0" applyFont="1" applyFill="1" applyBorder="1" applyAlignment="1">
      <alignment horizontal="center" vertical="center"/>
    </xf>
    <xf numFmtId="0" fontId="39" fillId="4" borderId="80" xfId="0" applyFont="1" applyFill="1" applyBorder="1" applyAlignment="1">
      <alignment horizontal="center" vertical="center"/>
    </xf>
    <xf numFmtId="0" fontId="5" fillId="4" borderId="140" xfId="0" applyFont="1" applyFill="1" applyBorder="1" applyAlignment="1">
      <alignment horizontal="left" vertical="center" wrapText="1"/>
    </xf>
    <xf numFmtId="9" fontId="5" fillId="4" borderId="72" xfId="0" applyNumberFormat="1" applyFont="1" applyFill="1" applyBorder="1" applyAlignment="1">
      <alignment horizontal="center" vertical="center" wrapText="1"/>
    </xf>
    <xf numFmtId="164" fontId="7" fillId="4" borderId="73" xfId="0" applyNumberFormat="1" applyFont="1" applyFill="1" applyBorder="1" applyAlignment="1">
      <alignment horizontal="center" vertical="center" wrapText="1"/>
    </xf>
    <xf numFmtId="0" fontId="28" fillId="4" borderId="1" xfId="0" applyFont="1" applyFill="1" applyBorder="1" applyAlignment="1">
      <alignment horizontal="center" vertical="center"/>
    </xf>
    <xf numFmtId="0" fontId="28" fillId="4" borderId="80" xfId="0" applyFont="1" applyFill="1" applyBorder="1" applyAlignment="1">
      <alignment horizontal="center" vertical="center"/>
    </xf>
    <xf numFmtId="0" fontId="5" fillId="4" borderId="142" xfId="0" applyFont="1" applyFill="1" applyBorder="1" applyAlignment="1">
      <alignment horizontal="left" vertical="center" wrapText="1"/>
    </xf>
    <xf numFmtId="9" fontId="5" fillId="4" borderId="1" xfId="0" applyNumberFormat="1" applyFont="1" applyFill="1" applyBorder="1" applyAlignment="1">
      <alignment horizontal="center" vertical="center" wrapText="1"/>
    </xf>
    <xf numFmtId="164" fontId="7" fillId="4" borderId="80" xfId="0" applyNumberFormat="1" applyFont="1" applyFill="1" applyBorder="1" applyAlignment="1">
      <alignment horizontal="center" vertical="center" wrapText="1"/>
    </xf>
    <xf numFmtId="9" fontId="5" fillId="8" borderId="1" xfId="0" applyNumberFormat="1" applyFont="1" applyFill="1" applyBorder="1" applyAlignment="1">
      <alignment horizontal="center" vertical="center" wrapText="1"/>
    </xf>
    <xf numFmtId="164" fontId="7" fillId="0" borderId="3" xfId="0" applyNumberFormat="1" applyFont="1" applyBorder="1" applyAlignment="1">
      <alignment horizontal="center"/>
    </xf>
    <xf numFmtId="168" fontId="5" fillId="8" borderId="1" xfId="0" applyNumberFormat="1" applyFont="1" applyFill="1" applyBorder="1" applyAlignment="1">
      <alignment horizontal="center" vertical="center" wrapText="1"/>
    </xf>
    <xf numFmtId="0" fontId="40" fillId="4" borderId="135" xfId="0" applyFont="1" applyFill="1" applyBorder="1" applyAlignment="1">
      <alignment vertical="center" wrapText="1"/>
    </xf>
    <xf numFmtId="0" fontId="41" fillId="4" borderId="4" xfId="0" applyFont="1" applyFill="1" applyBorder="1" applyAlignment="1">
      <alignment vertical="center"/>
    </xf>
    <xf numFmtId="0" fontId="42" fillId="4" borderId="4" xfId="0" applyFont="1" applyFill="1" applyBorder="1" applyAlignment="1">
      <alignment vertical="center" wrapText="1"/>
    </xf>
    <xf numFmtId="0" fontId="43" fillId="4" borderId="68" xfId="0" applyFont="1" applyFill="1" applyBorder="1" applyAlignment="1">
      <alignment vertical="center" wrapText="1"/>
    </xf>
    <xf numFmtId="0" fontId="5" fillId="4" borderId="135" xfId="0" applyFont="1" applyFill="1" applyBorder="1" applyAlignment="1">
      <alignment vertical="center" wrapText="1"/>
    </xf>
    <xf numFmtId="0" fontId="5" fillId="4" borderId="4" xfId="0" applyFont="1" applyFill="1" applyBorder="1" applyAlignment="1">
      <alignment vertical="center" wrapText="1"/>
    </xf>
    <xf numFmtId="0" fontId="5" fillId="4" borderId="68" xfId="0" applyFont="1" applyFill="1" applyBorder="1" applyAlignment="1">
      <alignment vertical="center" wrapText="1"/>
    </xf>
    <xf numFmtId="0" fontId="5" fillId="4" borderId="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5" fillId="4" borderId="4" xfId="0" applyFont="1" applyFill="1" applyBorder="1" applyAlignment="1">
      <alignment horizontal="left" vertical="top" wrapText="1"/>
    </xf>
    <xf numFmtId="15" fontId="5" fillId="4" borderId="4" xfId="0" applyNumberFormat="1" applyFont="1" applyFill="1" applyBorder="1" applyAlignment="1">
      <alignment horizontal="right" vertical="center" wrapText="1"/>
    </xf>
    <xf numFmtId="0" fontId="28" fillId="4" borderId="140" xfId="0" applyFont="1" applyFill="1" applyBorder="1" applyAlignment="1">
      <alignment vertical="center" wrapText="1"/>
    </xf>
    <xf numFmtId="0" fontId="28" fillId="4" borderId="144" xfId="0" applyFont="1" applyFill="1" applyBorder="1" applyAlignment="1">
      <alignment vertical="center" wrapText="1"/>
    </xf>
    <xf numFmtId="0" fontId="28" fillId="4" borderId="73" xfId="0" applyFont="1" applyFill="1" applyBorder="1" applyAlignment="1">
      <alignment vertical="center" wrapText="1"/>
    </xf>
    <xf numFmtId="169" fontId="7" fillId="5" borderId="4" xfId="0" applyNumberFormat="1" applyFont="1" applyFill="1" applyBorder="1" applyAlignment="1">
      <alignment horizontal="left" vertical="top" wrapText="1"/>
    </xf>
    <xf numFmtId="0" fontId="35" fillId="0" borderId="0" xfId="0" applyFont="1"/>
    <xf numFmtId="0" fontId="33" fillId="0" borderId="119" xfId="0" applyFont="1" applyBorder="1"/>
    <xf numFmtId="0" fontId="34" fillId="0" borderId="0" xfId="0" applyFont="1"/>
    <xf numFmtId="0" fontId="34" fillId="0" borderId="1" xfId="0" applyFont="1" applyBorder="1" applyAlignment="1">
      <alignment vertical="top"/>
    </xf>
    <xf numFmtId="0" fontId="44" fillId="0" borderId="0" xfId="0" applyFont="1"/>
    <xf numFmtId="0" fontId="23" fillId="0" borderId="77" xfId="0" applyFont="1" applyBorder="1" applyAlignment="1">
      <alignment horizontal="center" vertical="top" wrapText="1"/>
    </xf>
    <xf numFmtId="0" fontId="33" fillId="0" borderId="95" xfId="0" applyFont="1" applyBorder="1"/>
    <xf numFmtId="0" fontId="23" fillId="0" borderId="96" xfId="0" applyFont="1" applyBorder="1" applyAlignment="1">
      <alignment horizontal="center" vertical="top" wrapText="1"/>
    </xf>
    <xf numFmtId="0" fontId="24" fillId="0" borderId="101" xfId="0" applyFont="1" applyBorder="1" applyAlignment="1">
      <alignment horizontal="center" vertical="center" wrapText="1"/>
    </xf>
    <xf numFmtId="0" fontId="24" fillId="0" borderId="76" xfId="0" applyFont="1" applyBorder="1" applyAlignment="1">
      <alignment horizontal="center" vertical="center" wrapText="1"/>
    </xf>
    <xf numFmtId="0" fontId="24" fillId="0" borderId="95" xfId="0" applyFont="1" applyBorder="1" applyAlignment="1">
      <alignment horizontal="center" vertical="center" wrapText="1"/>
    </xf>
    <xf numFmtId="0" fontId="24" fillId="0" borderId="103" xfId="0" applyFont="1" applyBorder="1" applyAlignment="1">
      <alignment horizontal="center" vertical="center" wrapText="1"/>
    </xf>
    <xf numFmtId="0" fontId="7" fillId="0" borderId="15" xfId="0" applyFont="1" applyBorder="1" applyAlignment="1">
      <alignment horizontal="center" vertical="center" wrapText="1"/>
    </xf>
    <xf numFmtId="0" fontId="28" fillId="4" borderId="4" xfId="0" applyFont="1" applyFill="1" applyBorder="1" applyAlignment="1">
      <alignment vertical="top"/>
    </xf>
    <xf numFmtId="0" fontId="29" fillId="4" borderId="4" xfId="0" applyFont="1" applyFill="1" applyBorder="1" applyAlignment="1">
      <alignment vertical="top"/>
    </xf>
    <xf numFmtId="0" fontId="45" fillId="0" borderId="0" xfId="0" applyFont="1" applyAlignment="1">
      <alignment vertical="center"/>
    </xf>
    <xf numFmtId="0" fontId="29" fillId="0" borderId="0" xfId="0" applyFont="1"/>
    <xf numFmtId="0" fontId="46" fillId="4" borderId="4" xfId="0" applyFont="1" applyFill="1" applyBorder="1" applyAlignment="1">
      <alignment vertical="top"/>
    </xf>
    <xf numFmtId="0" fontId="39" fillId="9" borderId="145" xfId="0" applyFont="1" applyFill="1" applyBorder="1" applyAlignment="1">
      <alignment horizontal="center" vertical="center" wrapText="1"/>
    </xf>
    <xf numFmtId="0" fontId="39" fillId="9" borderId="146" xfId="0" applyFont="1" applyFill="1" applyBorder="1" applyAlignment="1">
      <alignment horizontal="center" vertical="center" wrapText="1"/>
    </xf>
    <xf numFmtId="0" fontId="47" fillId="4" borderId="1" xfId="0" applyFont="1" applyFill="1" applyBorder="1" applyAlignment="1">
      <alignment horizontal="center" vertical="center"/>
    </xf>
    <xf numFmtId="0" fontId="28" fillId="0" borderId="57" xfId="0" applyFont="1" applyBorder="1" applyAlignment="1">
      <alignment horizontal="center" vertical="center" wrapText="1"/>
    </xf>
    <xf numFmtId="0" fontId="28" fillId="0" borderId="60" xfId="0" applyFont="1" applyBorder="1" applyAlignment="1">
      <alignment vertical="center" wrapText="1"/>
    </xf>
    <xf numFmtId="0" fontId="49" fillId="4" borderId="4" xfId="0" applyFont="1" applyFill="1" applyBorder="1" applyAlignment="1">
      <alignment horizontal="left" vertical="top" wrapText="1"/>
    </xf>
    <xf numFmtId="164" fontId="51" fillId="0" borderId="132" xfId="0" applyNumberFormat="1" applyFont="1" applyBorder="1" applyAlignment="1">
      <alignment horizontal="center" vertical="center"/>
    </xf>
    <xf numFmtId="10" fontId="29" fillId="4" borderId="4" xfId="0" applyNumberFormat="1" applyFont="1" applyFill="1" applyBorder="1" applyAlignment="1">
      <alignment vertical="top"/>
    </xf>
    <xf numFmtId="0" fontId="29" fillId="5" borderId="4" xfId="0" applyFont="1" applyFill="1" applyBorder="1" applyAlignment="1">
      <alignment vertical="top" wrapText="1"/>
    </xf>
    <xf numFmtId="0" fontId="29" fillId="5" borderId="4" xfId="0" applyFont="1" applyFill="1" applyBorder="1" applyAlignment="1">
      <alignment horizontal="left" vertical="top" wrapText="1"/>
    </xf>
    <xf numFmtId="0" fontId="29" fillId="5" borderId="4" xfId="0" applyFont="1" applyFill="1" applyBorder="1" applyAlignment="1">
      <alignment vertical="top"/>
    </xf>
    <xf numFmtId="0" fontId="29" fillId="5" borderId="4" xfId="0" applyFont="1" applyFill="1" applyBorder="1" applyAlignment="1">
      <alignment horizontal="left" vertical="top"/>
    </xf>
    <xf numFmtId="9" fontId="29" fillId="5" borderId="4" xfId="0" applyNumberFormat="1" applyFont="1" applyFill="1" applyBorder="1" applyAlignment="1">
      <alignment vertical="top"/>
    </xf>
    <xf numFmtId="0" fontId="28" fillId="4" borderId="135" xfId="0" applyFont="1" applyFill="1" applyBorder="1" applyAlignment="1">
      <alignment vertical="center" wrapText="1"/>
    </xf>
    <xf numFmtId="0" fontId="39" fillId="4" borderId="1" xfId="0" applyFont="1" applyFill="1" applyBorder="1" applyAlignment="1">
      <alignment horizontal="center" vertical="center" wrapText="1"/>
    </xf>
    <xf numFmtId="0" fontId="39" fillId="4" borderId="68" xfId="0" applyFont="1" applyFill="1" applyBorder="1" applyAlignment="1">
      <alignment horizontal="center" vertical="center" wrapText="1"/>
    </xf>
    <xf numFmtId="0" fontId="28" fillId="4" borderId="4" xfId="0" applyFont="1" applyFill="1" applyBorder="1" applyAlignment="1">
      <alignment vertical="top" wrapText="1"/>
    </xf>
    <xf numFmtId="0" fontId="28" fillId="4" borderId="68" xfId="0" applyFont="1" applyFill="1" applyBorder="1" applyAlignment="1">
      <alignment vertical="top" wrapText="1"/>
    </xf>
    <xf numFmtId="0" fontId="28" fillId="4" borderId="68" xfId="0" applyFont="1" applyFill="1" applyBorder="1" applyAlignment="1">
      <alignment vertical="center" wrapText="1"/>
    </xf>
    <xf numFmtId="0" fontId="11" fillId="4" borderId="135" xfId="0" applyFont="1" applyFill="1" applyBorder="1" applyAlignment="1">
      <alignment vertical="center" wrapText="1"/>
    </xf>
    <xf numFmtId="0" fontId="11" fillId="4" borderId="68" xfId="0" applyFont="1" applyFill="1" applyBorder="1" applyAlignment="1">
      <alignment vertical="center" wrapText="1"/>
    </xf>
    <xf numFmtId="0" fontId="28" fillId="4" borderId="140" xfId="0" applyFont="1" applyFill="1" applyBorder="1"/>
    <xf numFmtId="0" fontId="28" fillId="4" borderId="144" xfId="0" applyFont="1" applyFill="1" applyBorder="1"/>
    <xf numFmtId="0" fontId="28" fillId="4" borderId="73" xfId="0" applyFont="1" applyFill="1" applyBorder="1"/>
    <xf numFmtId="0" fontId="63" fillId="0" borderId="0" xfId="0" applyFont="1" applyAlignment="1">
      <alignment vertical="center"/>
    </xf>
    <xf numFmtId="0" fontId="68" fillId="0" borderId="0" xfId="0" applyFont="1"/>
    <xf numFmtId="0" fontId="69" fillId="4" borderId="134" xfId="0" applyFont="1" applyFill="1" applyBorder="1" applyAlignment="1">
      <alignment vertical="top"/>
    </xf>
    <xf numFmtId="0" fontId="69" fillId="0" borderId="134" xfId="0" applyFont="1" applyBorder="1"/>
    <xf numFmtId="0" fontId="68" fillId="0" borderId="134" xfId="0" applyFont="1" applyBorder="1"/>
    <xf numFmtId="0" fontId="69" fillId="0" borderId="0" xfId="0" applyFont="1"/>
    <xf numFmtId="0" fontId="69" fillId="0" borderId="0" xfId="0" applyFont="1" applyAlignment="1">
      <alignment horizontal="center" vertical="center"/>
    </xf>
    <xf numFmtId="0" fontId="69" fillId="0" borderId="0" xfId="0" applyFont="1" applyAlignment="1">
      <alignment vertical="center"/>
    </xf>
    <xf numFmtId="0" fontId="69" fillId="0" borderId="0" xfId="0" applyFont="1" applyAlignment="1">
      <alignment wrapText="1"/>
    </xf>
    <xf numFmtId="4" fontId="69" fillId="0" borderId="0" xfId="0" applyNumberFormat="1" applyFont="1" applyAlignment="1">
      <alignment horizontal="center" vertical="center"/>
    </xf>
    <xf numFmtId="4" fontId="69" fillId="0" borderId="0" xfId="0" applyNumberFormat="1" applyFont="1"/>
    <xf numFmtId="0" fontId="69" fillId="4" borderId="134" xfId="0" applyFont="1" applyFill="1" applyBorder="1" applyAlignment="1">
      <alignment vertical="center"/>
    </xf>
    <xf numFmtId="0" fontId="68" fillId="4" borderId="134" xfId="0" applyFont="1" applyFill="1" applyBorder="1" applyAlignment="1">
      <alignment vertical="center"/>
    </xf>
    <xf numFmtId="0" fontId="68" fillId="0" borderId="134" xfId="0" applyFont="1" applyBorder="1" applyAlignment="1">
      <alignment vertical="center"/>
    </xf>
    <xf numFmtId="0" fontId="63" fillId="4" borderId="134" xfId="0" applyFont="1" applyFill="1" applyBorder="1" applyAlignment="1">
      <alignment vertical="center"/>
    </xf>
    <xf numFmtId="0" fontId="63" fillId="0" borderId="134" xfId="0" applyFont="1" applyBorder="1" applyAlignment="1">
      <alignment vertical="center"/>
    </xf>
    <xf numFmtId="0" fontId="68" fillId="0" borderId="134" xfId="0" applyFont="1" applyBorder="1" applyAlignment="1">
      <alignment vertical="top"/>
    </xf>
    <xf numFmtId="0" fontId="66" fillId="0" borderId="0" xfId="0" applyFont="1" applyAlignment="1">
      <alignment wrapText="1"/>
    </xf>
    <xf numFmtId="0" fontId="66" fillId="0" borderId="0" xfId="0" applyFont="1" applyAlignment="1">
      <alignment horizontal="center" vertical="center" wrapText="1"/>
    </xf>
    <xf numFmtId="4" fontId="66" fillId="0" borderId="0" xfId="0" applyNumberFormat="1" applyFont="1" applyAlignment="1">
      <alignment horizontal="center" vertical="center" wrapText="1"/>
    </xf>
    <xf numFmtId="4" fontId="66" fillId="0" borderId="0" xfId="0" applyNumberFormat="1" applyFont="1" applyAlignment="1">
      <alignment wrapText="1"/>
    </xf>
    <xf numFmtId="0" fontId="68" fillId="0" borderId="149" xfId="0" applyFont="1" applyBorder="1"/>
    <xf numFmtId="0" fontId="63" fillId="0" borderId="134" xfId="0" applyFont="1" applyBorder="1" applyAlignment="1">
      <alignment horizontal="left" vertical="center"/>
    </xf>
    <xf numFmtId="0" fontId="63" fillId="0" borderId="0" xfId="0" applyFont="1" applyAlignment="1">
      <alignment horizontal="left" vertical="center"/>
    </xf>
    <xf numFmtId="0" fontId="63" fillId="0" borderId="151" xfId="0" applyFont="1" applyBorder="1" applyAlignment="1">
      <alignment horizontal="left" vertical="center"/>
    </xf>
    <xf numFmtId="0" fontId="63" fillId="0" borderId="153" xfId="0" applyFont="1" applyBorder="1" applyAlignment="1">
      <alignment horizontal="left" vertical="center"/>
    </xf>
    <xf numFmtId="0" fontId="63" fillId="4" borderId="134" xfId="0" applyFont="1" applyFill="1" applyBorder="1" applyAlignment="1">
      <alignment horizontal="left" vertical="center"/>
    </xf>
    <xf numFmtId="0" fontId="75" fillId="0" borderId="149" xfId="0" applyFont="1" applyBorder="1" applyAlignment="1">
      <alignment horizontal="center" vertical="center" wrapText="1"/>
    </xf>
    <xf numFmtId="0" fontId="68" fillId="4" borderId="134" xfId="0" applyFont="1" applyFill="1" applyBorder="1" applyAlignment="1">
      <alignment vertical="top"/>
    </xf>
    <xf numFmtId="0" fontId="67" fillId="5" borderId="134" xfId="0" applyFont="1" applyFill="1" applyBorder="1" applyAlignment="1">
      <alignment vertical="top"/>
    </xf>
    <xf numFmtId="0" fontId="67" fillId="5" borderId="134" xfId="0" applyFont="1" applyFill="1" applyBorder="1" applyAlignment="1">
      <alignment horizontal="left" vertical="top"/>
    </xf>
    <xf numFmtId="9" fontId="67" fillId="5" borderId="134" xfId="0" applyNumberFormat="1" applyFont="1" applyFill="1" applyBorder="1" applyAlignment="1">
      <alignment horizontal="center" vertical="center"/>
    </xf>
    <xf numFmtId="9" fontId="67" fillId="5" borderId="134" xfId="0" applyNumberFormat="1" applyFont="1" applyFill="1" applyBorder="1" applyAlignment="1">
      <alignment vertical="top"/>
    </xf>
    <xf numFmtId="9" fontId="67" fillId="5" borderId="134" xfId="0" applyNumberFormat="1" applyFont="1" applyFill="1" applyBorder="1" applyAlignment="1">
      <alignment vertical="center"/>
    </xf>
    <xf numFmtId="0" fontId="67" fillId="5" borderId="134" xfId="0" applyFont="1" applyFill="1" applyBorder="1" applyAlignment="1">
      <alignment vertical="top" wrapText="1"/>
    </xf>
    <xf numFmtId="4" fontId="67" fillId="5" borderId="134" xfId="0" applyNumberFormat="1" applyFont="1" applyFill="1" applyBorder="1" applyAlignment="1">
      <alignment horizontal="center" vertical="center"/>
    </xf>
    <xf numFmtId="4" fontId="67" fillId="5" borderId="134" xfId="0" applyNumberFormat="1" applyFont="1" applyFill="1" applyBorder="1" applyAlignment="1">
      <alignment vertical="top"/>
    </xf>
    <xf numFmtId="0" fontId="66" fillId="0" borderId="134" xfId="0" applyFont="1" applyBorder="1" applyAlignment="1">
      <alignment wrapText="1"/>
    </xf>
    <xf numFmtId="0" fontId="68" fillId="4" borderId="4" xfId="0" applyFont="1" applyFill="1" applyBorder="1" applyAlignment="1">
      <alignment vertical="top"/>
    </xf>
    <xf numFmtId="0" fontId="68" fillId="4" borderId="4" xfId="0" applyFont="1" applyFill="1" applyBorder="1"/>
    <xf numFmtId="0" fontId="68" fillId="4" borderId="134" xfId="0" applyFont="1" applyFill="1" applyBorder="1"/>
    <xf numFmtId="0" fontId="68" fillId="0" borderId="0" xfId="0" applyFont="1" applyAlignment="1">
      <alignment vertical="center"/>
    </xf>
    <xf numFmtId="0" fontId="67" fillId="5" borderId="4" xfId="0" applyFont="1" applyFill="1" applyBorder="1" applyAlignment="1">
      <alignment vertical="top"/>
    </xf>
    <xf numFmtId="0" fontId="67" fillId="5" borderId="4" xfId="0" applyFont="1" applyFill="1" applyBorder="1" applyAlignment="1">
      <alignment horizontal="left" vertical="top"/>
    </xf>
    <xf numFmtId="9" fontId="67" fillId="5" borderId="4" xfId="0" applyNumberFormat="1" applyFont="1" applyFill="1" applyBorder="1" applyAlignment="1">
      <alignment horizontal="center" vertical="center"/>
    </xf>
    <xf numFmtId="9" fontId="67" fillId="5" borderId="4" xfId="0" applyNumberFormat="1" applyFont="1" applyFill="1" applyBorder="1" applyAlignment="1">
      <alignment vertical="top"/>
    </xf>
    <xf numFmtId="9" fontId="67" fillId="5" borderId="4" xfId="0" applyNumberFormat="1" applyFont="1" applyFill="1" applyBorder="1" applyAlignment="1">
      <alignment vertical="center"/>
    </xf>
    <xf numFmtId="0" fontId="67" fillId="5" borderId="4" xfId="0" applyFont="1" applyFill="1" applyBorder="1" applyAlignment="1">
      <alignment vertical="top" wrapText="1"/>
    </xf>
    <xf numFmtId="4" fontId="67" fillId="5" borderId="4" xfId="0" applyNumberFormat="1" applyFont="1" applyFill="1" applyBorder="1" applyAlignment="1">
      <alignment horizontal="center" vertical="center"/>
    </xf>
    <xf numFmtId="4" fontId="67" fillId="5" borderId="4" xfId="0" applyNumberFormat="1" applyFont="1" applyFill="1" applyBorder="1" applyAlignment="1">
      <alignment vertical="top"/>
    </xf>
    <xf numFmtId="9" fontId="68" fillId="4" borderId="4" xfId="0" applyNumberFormat="1" applyFont="1" applyFill="1" applyBorder="1" applyAlignment="1">
      <alignment horizontal="center" vertical="center"/>
    </xf>
    <xf numFmtId="9" fontId="68" fillId="4" borderId="4" xfId="0" applyNumberFormat="1" applyFont="1" applyFill="1" applyBorder="1" applyAlignment="1">
      <alignment vertical="top"/>
    </xf>
    <xf numFmtId="9" fontId="68" fillId="0" borderId="0" xfId="0" applyNumberFormat="1" applyFont="1"/>
    <xf numFmtId="4" fontId="68" fillId="0" borderId="0" xfId="0" applyNumberFormat="1" applyFont="1" applyAlignment="1">
      <alignment horizontal="center" vertical="center"/>
    </xf>
    <xf numFmtId="4" fontId="68" fillId="4" borderId="4" xfId="0" applyNumberFormat="1" applyFont="1" applyFill="1" applyBorder="1" applyAlignment="1">
      <alignment vertical="top"/>
    </xf>
    <xf numFmtId="4" fontId="68" fillId="4" borderId="4" xfId="0" applyNumberFormat="1" applyFont="1" applyFill="1" applyBorder="1" applyAlignment="1">
      <alignment horizontal="center" vertical="center"/>
    </xf>
    <xf numFmtId="0" fontId="67" fillId="5" borderId="4" xfId="0" applyFont="1" applyFill="1" applyBorder="1"/>
    <xf numFmtId="0" fontId="67" fillId="5" borderId="4" xfId="0" applyFont="1" applyFill="1" applyBorder="1" applyAlignment="1">
      <alignment horizontal="center" vertical="center"/>
    </xf>
    <xf numFmtId="0" fontId="67" fillId="5" borderId="4" xfId="0" applyFont="1" applyFill="1" applyBorder="1" applyAlignment="1">
      <alignment vertical="center"/>
    </xf>
    <xf numFmtId="0" fontId="67" fillId="5" borderId="4" xfId="0" applyFont="1" applyFill="1" applyBorder="1" applyAlignment="1">
      <alignment wrapText="1"/>
    </xf>
    <xf numFmtId="4" fontId="67" fillId="5" borderId="4" xfId="0" applyNumberFormat="1" applyFont="1" applyFill="1" applyBorder="1"/>
    <xf numFmtId="0" fontId="68" fillId="0" borderId="0" xfId="0" applyFont="1" applyAlignment="1">
      <alignment horizontal="center" vertical="center"/>
    </xf>
    <xf numFmtId="0" fontId="68" fillId="0" borderId="0" xfId="0" applyFont="1" applyAlignment="1">
      <alignment wrapText="1"/>
    </xf>
    <xf numFmtId="4" fontId="68" fillId="0" borderId="0" xfId="0" applyNumberFormat="1" applyFont="1"/>
    <xf numFmtId="0" fontId="75" fillId="0" borderId="149" xfId="0" applyFont="1" applyBorder="1" applyAlignment="1">
      <alignment vertical="center" wrapText="1"/>
    </xf>
    <xf numFmtId="0" fontId="75" fillId="0" borderId="149" xfId="0" applyFont="1" applyBorder="1" applyAlignment="1">
      <alignment vertical="center"/>
    </xf>
    <xf numFmtId="0" fontId="81" fillId="0" borderId="15" xfId="0" applyFont="1" applyBorder="1" applyAlignment="1">
      <alignment vertical="center"/>
    </xf>
    <xf numFmtId="0" fontId="81" fillId="4" borderId="134" xfId="0" applyFont="1" applyFill="1" applyBorder="1" applyAlignment="1">
      <alignment vertical="center"/>
    </xf>
    <xf numFmtId="0" fontId="81" fillId="0" borderId="134" xfId="0" applyFont="1" applyBorder="1" applyAlignment="1">
      <alignment vertical="center"/>
    </xf>
    <xf numFmtId="0" fontId="83" fillId="0" borderId="134" xfId="0" applyFont="1" applyBorder="1" applyAlignment="1">
      <alignment vertical="center"/>
    </xf>
    <xf numFmtId="0" fontId="83" fillId="0" borderId="0" xfId="0" applyFont="1" applyAlignment="1">
      <alignment vertical="center"/>
    </xf>
    <xf numFmtId="0" fontId="81" fillId="0" borderId="1" xfId="0" applyFont="1" applyBorder="1" applyAlignment="1">
      <alignment horizontal="left" vertical="center"/>
    </xf>
    <xf numFmtId="0" fontId="81" fillId="0" borderId="1" xfId="0" applyFont="1" applyBorder="1" applyAlignment="1">
      <alignment horizontal="left" vertical="center" wrapText="1"/>
    </xf>
    <xf numFmtId="0" fontId="68" fillId="0" borderId="0" xfId="0" applyFont="1" applyAlignment="1">
      <alignment horizontal="center"/>
    </xf>
    <xf numFmtId="0" fontId="75" fillId="0" borderId="1" xfId="0" applyFont="1" applyBorder="1" applyAlignment="1">
      <alignment vertical="top" wrapText="1"/>
    </xf>
    <xf numFmtId="0" fontId="63" fillId="4" borderId="134" xfId="0" applyFont="1" applyFill="1" applyBorder="1" applyAlignment="1">
      <alignment vertical="top"/>
    </xf>
    <xf numFmtId="0" fontId="63" fillId="0" borderId="134" xfId="0" applyFont="1" applyBorder="1" applyAlignment="1">
      <alignment vertical="top"/>
    </xf>
    <xf numFmtId="0" fontId="63" fillId="0" borderId="0" xfId="0" applyFont="1" applyAlignment="1">
      <alignment vertical="top"/>
    </xf>
    <xf numFmtId="4" fontId="75" fillId="0" borderId="149" xfId="0" applyNumberFormat="1" applyFont="1" applyBorder="1" applyAlignment="1">
      <alignment horizontal="center" vertical="center"/>
    </xf>
    <xf numFmtId="4" fontId="75" fillId="0" borderId="149" xfId="0" applyNumberFormat="1" applyFont="1" applyBorder="1" applyAlignment="1">
      <alignment horizontal="center" vertical="center" wrapText="1"/>
    </xf>
    <xf numFmtId="0" fontId="67" fillId="0" borderId="4" xfId="0" applyFont="1" applyBorder="1" applyAlignment="1">
      <alignment vertical="top"/>
    </xf>
    <xf numFmtId="0" fontId="68" fillId="0" borderId="4" xfId="0" applyFont="1" applyBorder="1" applyAlignment="1">
      <alignment vertical="top"/>
    </xf>
    <xf numFmtId="0" fontId="67" fillId="0" borderId="4" xfId="0" applyFont="1" applyBorder="1"/>
    <xf numFmtId="9" fontId="75" fillId="0" borderId="149" xfId="0" applyNumberFormat="1" applyFont="1" applyBorder="1" applyAlignment="1">
      <alignment vertical="center" wrapText="1"/>
    </xf>
    <xf numFmtId="0" fontId="69" fillId="0" borderId="0" xfId="0" applyFont="1" applyAlignment="1">
      <alignment horizontal="center"/>
    </xf>
    <xf numFmtId="0" fontId="66" fillId="0" borderId="0" xfId="0" applyFont="1" applyAlignment="1">
      <alignment horizontal="center" wrapText="1"/>
    </xf>
    <xf numFmtId="9" fontId="67" fillId="5" borderId="134" xfId="0" applyNumberFormat="1" applyFont="1" applyFill="1" applyBorder="1" applyAlignment="1">
      <alignment horizontal="center" vertical="top"/>
    </xf>
    <xf numFmtId="9" fontId="67" fillId="5" borderId="4" xfId="0" applyNumberFormat="1" applyFont="1" applyFill="1" applyBorder="1" applyAlignment="1">
      <alignment horizontal="center" vertical="top"/>
    </xf>
    <xf numFmtId="9" fontId="68" fillId="4" borderId="4" xfId="0" applyNumberFormat="1" applyFont="1" applyFill="1" applyBorder="1" applyAlignment="1">
      <alignment horizontal="center" vertical="top"/>
    </xf>
    <xf numFmtId="0" fontId="67" fillId="5" borderId="4" xfId="0" applyFont="1" applyFill="1" applyBorder="1" applyAlignment="1">
      <alignment horizontal="center"/>
    </xf>
    <xf numFmtId="0" fontId="72" fillId="0" borderId="115" xfId="0" applyFont="1" applyBorder="1" applyAlignment="1">
      <alignment horizontal="center" vertical="center" wrapText="1"/>
    </xf>
    <xf numFmtId="0" fontId="75" fillId="0" borderId="149" xfId="0" applyFont="1" applyBorder="1" applyAlignment="1">
      <alignment horizontal="left" vertical="top" wrapText="1"/>
    </xf>
    <xf numFmtId="0" fontId="75" fillId="0" borderId="149" xfId="0" applyFont="1" applyBorder="1" applyAlignment="1">
      <alignment vertical="top" wrapText="1"/>
    </xf>
    <xf numFmtId="0" fontId="75" fillId="0" borderId="149" xfId="0" applyFont="1" applyBorder="1" applyAlignment="1">
      <alignment vertical="top"/>
    </xf>
    <xf numFmtId="9" fontId="75" fillId="0" borderId="149" xfId="0" applyNumberFormat="1" applyFont="1" applyBorder="1" applyAlignment="1">
      <alignment vertical="top" wrapText="1"/>
    </xf>
    <xf numFmtId="4" fontId="75" fillId="0" borderId="1" xfId="0" applyNumberFormat="1" applyFont="1" applyBorder="1" applyAlignment="1">
      <alignment horizontal="center" vertical="center"/>
    </xf>
    <xf numFmtId="4" fontId="75" fillId="0" borderId="1" xfId="0" applyNumberFormat="1" applyFont="1" applyBorder="1" applyAlignment="1">
      <alignment horizontal="center" vertical="top"/>
    </xf>
    <xf numFmtId="0" fontId="75" fillId="0" borderId="96" xfId="0" applyFont="1" applyBorder="1" applyAlignment="1">
      <alignment vertical="top" wrapText="1"/>
    </xf>
    <xf numFmtId="0" fontId="79" fillId="0" borderId="149" xfId="0" applyFont="1" applyBorder="1" applyAlignment="1">
      <alignment vertical="top" wrapText="1"/>
    </xf>
    <xf numFmtId="0" fontId="75" fillId="0" borderId="15" xfId="0" applyFont="1" applyBorder="1" applyAlignment="1">
      <alignment vertical="top" wrapText="1"/>
    </xf>
    <xf numFmtId="0" fontId="68" fillId="0" borderId="0" xfId="0" applyFont="1" applyAlignment="1">
      <alignment vertical="top"/>
    </xf>
    <xf numFmtId="0" fontId="69" fillId="0" borderId="0" xfId="0" applyFont="1" applyAlignment="1">
      <alignment horizontal="left" vertical="top"/>
    </xf>
    <xf numFmtId="0" fontId="66" fillId="0" borderId="0" xfId="0" applyFont="1" applyAlignment="1">
      <alignment horizontal="left" vertical="top" wrapText="1"/>
    </xf>
    <xf numFmtId="0" fontId="68" fillId="0" borderId="0" xfId="0" applyFont="1" applyAlignment="1">
      <alignment horizontal="left" vertical="top"/>
    </xf>
    <xf numFmtId="0" fontId="68" fillId="4" borderId="4" xfId="0" applyFont="1" applyFill="1" applyBorder="1" applyAlignment="1">
      <alignment horizontal="left" vertical="top"/>
    </xf>
    <xf numFmtId="0" fontId="75" fillId="0" borderId="156" xfId="0" applyFont="1" applyBorder="1" applyAlignment="1">
      <alignment vertical="top" wrapText="1"/>
    </xf>
    <xf numFmtId="166" fontId="84" fillId="5" borderId="4" xfId="0" applyNumberFormat="1" applyFont="1" applyFill="1" applyBorder="1" applyAlignment="1">
      <alignment horizontal="left" vertical="center" wrapText="1"/>
    </xf>
    <xf numFmtId="0" fontId="84" fillId="5" borderId="4" xfId="0" applyFont="1" applyFill="1" applyBorder="1" applyAlignment="1">
      <alignment horizontal="left" vertical="center" wrapText="1"/>
    </xf>
    <xf numFmtId="0" fontId="84" fillId="5" borderId="4" xfId="0" applyFont="1" applyFill="1" applyBorder="1" applyAlignment="1">
      <alignment horizontal="left" vertical="top" wrapText="1"/>
    </xf>
    <xf numFmtId="4" fontId="84" fillId="5" borderId="4" xfId="0" applyNumberFormat="1" applyFont="1" applyFill="1" applyBorder="1" applyAlignment="1">
      <alignment horizontal="center" vertical="center" wrapText="1"/>
    </xf>
    <xf numFmtId="4" fontId="84" fillId="5" borderId="4" xfId="0" applyNumberFormat="1" applyFont="1" applyFill="1" applyBorder="1" applyAlignment="1">
      <alignment horizontal="left" vertical="center" wrapText="1"/>
    </xf>
    <xf numFmtId="4" fontId="84" fillId="5" borderId="23" xfId="0" applyNumberFormat="1" applyFont="1" applyFill="1" applyBorder="1" applyAlignment="1">
      <alignment horizontal="left" vertical="center" wrapText="1"/>
    </xf>
    <xf numFmtId="4" fontId="75" fillId="0" borderId="149" xfId="0" applyNumberFormat="1" applyFont="1" applyBorder="1" applyAlignment="1">
      <alignment horizontal="center" vertical="top"/>
    </xf>
    <xf numFmtId="0" fontId="75" fillId="0" borderId="180" xfId="0" applyFont="1" applyBorder="1" applyAlignment="1">
      <alignment vertical="top" wrapText="1"/>
    </xf>
    <xf numFmtId="0" fontId="75" fillId="0" borderId="180" xfId="0" applyFont="1" applyBorder="1" applyAlignment="1">
      <alignment horizontal="left" vertical="top" wrapText="1"/>
    </xf>
    <xf numFmtId="4" fontId="75" fillId="0" borderId="180" xfId="0" applyNumberFormat="1" applyFont="1" applyBorder="1" applyAlignment="1">
      <alignment horizontal="center" vertical="center"/>
    </xf>
    <xf numFmtId="4" fontId="75" fillId="0" borderId="180" xfId="0" applyNumberFormat="1" applyFont="1" applyBorder="1" applyAlignment="1">
      <alignment horizontal="center" vertical="center" wrapText="1"/>
    </xf>
    <xf numFmtId="0" fontId="75" fillId="0" borderId="185" xfId="0" applyFont="1" applyBorder="1" applyAlignment="1">
      <alignment vertical="center" wrapText="1"/>
    </xf>
    <xf numFmtId="0" fontId="75" fillId="0" borderId="185" xfId="0" applyFont="1" applyBorder="1" applyAlignment="1">
      <alignment vertical="top" wrapText="1"/>
    </xf>
    <xf numFmtId="4" fontId="75" fillId="0" borderId="185" xfId="0" applyNumberFormat="1" applyFont="1" applyBorder="1" applyAlignment="1">
      <alignment horizontal="center" vertical="center"/>
    </xf>
    <xf numFmtId="0" fontId="75" fillId="0" borderId="156" xfId="0" applyFont="1" applyBorder="1" applyAlignment="1">
      <alignment vertical="center" wrapText="1"/>
    </xf>
    <xf numFmtId="4" fontId="75" fillId="0" borderId="156" xfId="0" applyNumberFormat="1" applyFont="1" applyBorder="1" applyAlignment="1">
      <alignment horizontal="center" vertical="center"/>
    </xf>
    <xf numFmtId="0" fontId="75" fillId="0" borderId="180" xfId="0" applyFont="1" applyBorder="1" applyAlignment="1">
      <alignment vertical="center" wrapText="1"/>
    </xf>
    <xf numFmtId="9" fontId="75" fillId="0" borderId="180" xfId="0" applyNumberFormat="1" applyFont="1" applyBorder="1" applyAlignment="1">
      <alignment vertical="center" wrapText="1"/>
    </xf>
    <xf numFmtId="4" fontId="76" fillId="0" borderId="66" xfId="0" applyNumberFormat="1" applyFont="1" applyBorder="1" applyAlignment="1">
      <alignment horizontal="center" vertical="center" wrapText="1"/>
    </xf>
    <xf numFmtId="0" fontId="72" fillId="0" borderId="156" xfId="0" applyFont="1" applyBorder="1" applyAlignment="1">
      <alignment horizontal="center" vertical="center" wrapText="1"/>
    </xf>
    <xf numFmtId="0" fontId="75" fillId="4" borderId="149" xfId="0" applyFont="1" applyFill="1" applyBorder="1" applyAlignment="1">
      <alignment horizontal="center" vertical="center" wrapText="1"/>
    </xf>
    <xf numFmtId="4" fontId="75" fillId="4" borderId="149" xfId="0" applyNumberFormat="1" applyFont="1" applyFill="1" applyBorder="1" applyAlignment="1">
      <alignment horizontal="center" vertical="center" wrapText="1"/>
    </xf>
    <xf numFmtId="0" fontId="75" fillId="0" borderId="180" xfId="0" applyFont="1" applyBorder="1" applyAlignment="1">
      <alignment horizontal="center" vertical="center" wrapText="1"/>
    </xf>
    <xf numFmtId="0" fontId="75" fillId="4" borderId="185" xfId="0" applyFont="1" applyFill="1" applyBorder="1" applyAlignment="1">
      <alignment horizontal="center" vertical="center" wrapText="1"/>
    </xf>
    <xf numFmtId="0" fontId="75" fillId="0" borderId="185" xfId="0" applyFont="1" applyBorder="1" applyAlignment="1">
      <alignment horizontal="left" vertical="top" wrapText="1"/>
    </xf>
    <xf numFmtId="4" fontId="75" fillId="4" borderId="185" xfId="0" applyNumberFormat="1" applyFont="1" applyFill="1" applyBorder="1" applyAlignment="1">
      <alignment horizontal="center" vertical="center" wrapText="1"/>
    </xf>
    <xf numFmtId="4" fontId="72" fillId="4" borderId="204" xfId="0" applyNumberFormat="1" applyFont="1" applyFill="1" applyBorder="1" applyAlignment="1">
      <alignment horizontal="center" vertical="center" wrapText="1"/>
    </xf>
    <xf numFmtId="0" fontId="67" fillId="0" borderId="205" xfId="0" applyFont="1" applyBorder="1" applyAlignment="1">
      <alignment vertical="top"/>
    </xf>
    <xf numFmtId="4" fontId="67" fillId="5" borderId="198" xfId="0" applyNumberFormat="1" applyFont="1" applyFill="1" applyBorder="1" applyAlignment="1">
      <alignment vertical="top"/>
    </xf>
    <xf numFmtId="0" fontId="72" fillId="6" borderId="114" xfId="0" applyFont="1" applyFill="1" applyBorder="1" applyAlignment="1">
      <alignment horizontal="center" wrapText="1"/>
    </xf>
    <xf numFmtId="9" fontId="75" fillId="0" borderId="15" xfId="0" applyNumberFormat="1" applyFont="1" applyBorder="1" applyAlignment="1">
      <alignment horizontal="center" vertical="center"/>
    </xf>
    <xf numFmtId="4" fontId="75" fillId="0" borderId="15" xfId="0" applyNumberFormat="1" applyFont="1" applyBorder="1" applyAlignment="1">
      <alignment horizontal="center" vertical="center"/>
    </xf>
    <xf numFmtId="9" fontId="75" fillId="0" borderId="1" xfId="0" applyNumberFormat="1" applyFont="1" applyBorder="1" applyAlignment="1">
      <alignment horizontal="center" vertical="center"/>
    </xf>
    <xf numFmtId="4" fontId="75" fillId="0" borderId="104" xfId="0" applyNumberFormat="1" applyFont="1" applyBorder="1" applyAlignment="1">
      <alignment horizontal="center" vertical="center"/>
    </xf>
    <xf numFmtId="9" fontId="75" fillId="0" borderId="215" xfId="0" applyNumberFormat="1" applyFont="1" applyBorder="1" applyAlignment="1">
      <alignment horizontal="center" vertical="center"/>
    </xf>
    <xf numFmtId="4" fontId="75" fillId="0" borderId="215" xfId="0" applyNumberFormat="1" applyFont="1" applyBorder="1" applyAlignment="1">
      <alignment horizontal="center" vertical="center"/>
    </xf>
    <xf numFmtId="4" fontId="76" fillId="4" borderId="66" xfId="0" applyNumberFormat="1" applyFont="1" applyFill="1" applyBorder="1" applyAlignment="1">
      <alignment horizontal="center" vertical="center" wrapText="1"/>
    </xf>
    <xf numFmtId="9" fontId="75" fillId="0" borderId="15" xfId="0" applyNumberFormat="1" applyFont="1" applyBorder="1" applyAlignment="1">
      <alignment horizontal="center" vertical="top"/>
    </xf>
    <xf numFmtId="0" fontId="75" fillId="0" borderId="69" xfId="0" applyFont="1" applyBorder="1" applyAlignment="1">
      <alignment vertical="top"/>
    </xf>
    <xf numFmtId="4" fontId="75" fillId="0" borderId="15" xfId="0" applyNumberFormat="1" applyFont="1" applyBorder="1" applyAlignment="1">
      <alignment horizontal="center" vertical="top"/>
    </xf>
    <xf numFmtId="9" fontId="75" fillId="0" borderId="1" xfId="0" applyNumberFormat="1" applyFont="1" applyBorder="1" applyAlignment="1">
      <alignment horizontal="center" vertical="top"/>
    </xf>
    <xf numFmtId="0" fontId="75" fillId="0" borderId="83" xfId="0" applyFont="1" applyBorder="1" applyAlignment="1">
      <alignment vertical="top"/>
    </xf>
    <xf numFmtId="9" fontId="75" fillId="0" borderId="104" xfId="0" applyNumberFormat="1" applyFont="1" applyBorder="1" applyAlignment="1">
      <alignment horizontal="center" vertical="top"/>
    </xf>
    <xf numFmtId="0" fontId="75" fillId="0" borderId="64" xfId="0" applyFont="1" applyBorder="1" applyAlignment="1">
      <alignment horizontal="left" vertical="top" wrapText="1"/>
    </xf>
    <xf numFmtId="0" fontId="75" fillId="0" borderId="64" xfId="0" applyFont="1" applyBorder="1" applyAlignment="1">
      <alignment vertical="top" wrapText="1"/>
    </xf>
    <xf numFmtId="0" fontId="75" fillId="0" borderId="64" xfId="0" applyFont="1" applyBorder="1" applyAlignment="1">
      <alignment vertical="top"/>
    </xf>
    <xf numFmtId="4" fontId="75" fillId="0" borderId="104" xfId="0" applyNumberFormat="1" applyFont="1" applyBorder="1" applyAlignment="1">
      <alignment horizontal="center" vertical="top"/>
    </xf>
    <xf numFmtId="9" fontId="75" fillId="0" borderId="104" xfId="0" applyNumberFormat="1" applyFont="1" applyBorder="1" applyAlignment="1">
      <alignment horizontal="center" vertical="center" wrapText="1"/>
    </xf>
    <xf numFmtId="0" fontId="75" fillId="8" borderId="104" xfId="0" applyFont="1" applyFill="1" applyBorder="1" applyAlignment="1">
      <alignment vertical="top"/>
    </xf>
    <xf numFmtId="0" fontId="75" fillId="0" borderId="215" xfId="0" applyFont="1" applyBorder="1" applyAlignment="1">
      <alignment vertical="top" wrapText="1"/>
    </xf>
    <xf numFmtId="0" fontId="75" fillId="8" borderId="215" xfId="0" applyFont="1" applyFill="1" applyBorder="1" applyAlignment="1">
      <alignment vertical="top"/>
    </xf>
    <xf numFmtId="0" fontId="75" fillId="4" borderId="4" xfId="0" applyFont="1" applyFill="1" applyBorder="1" applyAlignment="1">
      <alignment vertical="top"/>
    </xf>
    <xf numFmtId="4" fontId="75" fillId="0" borderId="0" xfId="0" applyNumberFormat="1" applyFont="1" applyAlignment="1">
      <alignment horizontal="center" vertical="center"/>
    </xf>
    <xf numFmtId="4" fontId="75" fillId="4" borderId="4" xfId="0" applyNumberFormat="1" applyFont="1" applyFill="1" applyBorder="1" applyAlignment="1">
      <alignment horizontal="center" vertical="center"/>
    </xf>
    <xf numFmtId="0" fontId="75" fillId="0" borderId="4" xfId="0" applyFont="1" applyBorder="1" applyAlignment="1">
      <alignment horizontal="center" vertical="center"/>
    </xf>
    <xf numFmtId="0" fontId="75" fillId="4" borderId="4" xfId="0" applyFont="1" applyFill="1" applyBorder="1" applyAlignment="1">
      <alignment horizontal="center" vertical="center"/>
    </xf>
    <xf numFmtId="0" fontId="75" fillId="0" borderId="0" xfId="0" applyFont="1" applyAlignment="1">
      <alignment horizontal="center" vertical="center"/>
    </xf>
    <xf numFmtId="0" fontId="75" fillId="4" borderId="134" xfId="0" applyFont="1" applyFill="1" applyBorder="1" applyAlignment="1">
      <alignment horizontal="center" vertical="center"/>
    </xf>
    <xf numFmtId="0" fontId="75" fillId="0" borderId="134" xfId="0" applyFont="1" applyBorder="1" applyAlignment="1">
      <alignment horizontal="center" vertical="center"/>
    </xf>
    <xf numFmtId="9" fontId="72" fillId="4" borderId="134" xfId="0" applyNumberFormat="1" applyFont="1" applyFill="1" applyBorder="1" applyAlignment="1">
      <alignment vertical="center"/>
    </xf>
    <xf numFmtId="0" fontId="28" fillId="4" borderId="134" xfId="0" applyFont="1" applyFill="1" applyBorder="1" applyAlignment="1">
      <alignment vertical="top"/>
    </xf>
    <xf numFmtId="0" fontId="28" fillId="4" borderId="4" xfId="0" applyFont="1" applyFill="1" applyBorder="1" applyAlignment="1">
      <alignment vertical="center"/>
    </xf>
    <xf numFmtId="0" fontId="29" fillId="4" borderId="4" xfId="0" applyFont="1" applyFill="1" applyBorder="1" applyAlignment="1">
      <alignment vertical="center"/>
    </xf>
    <xf numFmtId="0" fontId="0" fillId="0" borderId="0" xfId="0" applyAlignment="1">
      <alignment vertical="center"/>
    </xf>
    <xf numFmtId="0" fontId="49" fillId="4" borderId="4" xfId="0" applyFont="1" applyFill="1" applyBorder="1" applyAlignment="1">
      <alignment horizontal="left" vertical="center" wrapText="1"/>
    </xf>
    <xf numFmtId="0" fontId="89" fillId="0" borderId="0" xfId="0" applyFont="1" applyAlignment="1">
      <alignment vertical="center"/>
    </xf>
    <xf numFmtId="0" fontId="66" fillId="5" borderId="4" xfId="0" applyFont="1" applyFill="1" applyBorder="1" applyAlignment="1">
      <alignment horizontal="right" vertical="center" wrapText="1"/>
    </xf>
    <xf numFmtId="0" fontId="94" fillId="4" borderId="1" xfId="0" applyFont="1" applyFill="1" applyBorder="1" applyAlignment="1">
      <alignment horizontal="center" vertical="center"/>
    </xf>
    <xf numFmtId="164" fontId="83" fillId="0" borderId="132" xfId="0" applyNumberFormat="1" applyFont="1" applyBorder="1" applyAlignment="1">
      <alignment horizontal="center" vertical="center"/>
    </xf>
    <xf numFmtId="0" fontId="65" fillId="0" borderId="3" xfId="0" applyFont="1" applyBorder="1" applyAlignment="1">
      <alignment vertical="center"/>
    </xf>
    <xf numFmtId="0" fontId="97" fillId="0" borderId="2" xfId="0" applyFont="1" applyBorder="1" applyAlignment="1">
      <alignment vertical="center"/>
    </xf>
    <xf numFmtId="164" fontId="7" fillId="0" borderId="3" xfId="0" applyNumberFormat="1" applyFont="1" applyBorder="1" applyAlignment="1">
      <alignment horizontal="center" vertical="center"/>
    </xf>
    <xf numFmtId="0" fontId="67" fillId="10" borderId="1" xfId="0" applyFont="1" applyFill="1" applyBorder="1" applyAlignment="1">
      <alignment vertical="center" wrapText="1"/>
    </xf>
    <xf numFmtId="0" fontId="67" fillId="4" borderId="1" xfId="0" applyFont="1" applyFill="1" applyBorder="1" applyAlignment="1">
      <alignment vertical="center" wrapText="1"/>
    </xf>
    <xf numFmtId="0" fontId="100" fillId="4" borderId="4" xfId="0" applyFont="1" applyFill="1" applyBorder="1" applyAlignment="1">
      <alignment horizontal="center" vertical="center" wrapText="1"/>
    </xf>
    <xf numFmtId="0" fontId="101" fillId="4" borderId="1" xfId="0" applyFont="1" applyFill="1" applyBorder="1" applyAlignment="1">
      <alignment horizontal="center" vertical="center" wrapText="1"/>
    </xf>
    <xf numFmtId="0" fontId="101" fillId="4" borderId="72" xfId="0" applyFont="1" applyFill="1" applyBorder="1" applyAlignment="1">
      <alignment horizontal="center" vertical="center" wrapText="1"/>
    </xf>
    <xf numFmtId="0" fontId="100" fillId="4" borderId="4" xfId="0" applyFont="1" applyFill="1" applyBorder="1" applyAlignment="1">
      <alignment vertical="top" wrapText="1"/>
    </xf>
    <xf numFmtId="0" fontId="97" fillId="4" borderId="4" xfId="0" applyFont="1" applyFill="1" applyBorder="1" applyAlignment="1">
      <alignment vertical="top" wrapText="1"/>
    </xf>
    <xf numFmtId="0" fontId="68" fillId="4" borderId="1" xfId="0" applyFont="1" applyFill="1" applyBorder="1" applyAlignment="1">
      <alignment horizontal="center" vertical="center" wrapText="1"/>
    </xf>
    <xf numFmtId="0" fontId="68" fillId="4" borderId="78" xfId="0" applyFont="1" applyFill="1" applyBorder="1" applyAlignment="1">
      <alignment horizontal="center" vertical="center" wrapText="1"/>
    </xf>
    <xf numFmtId="17" fontId="68" fillId="4" borderId="142" xfId="0" applyNumberFormat="1" applyFont="1" applyFill="1" applyBorder="1" applyAlignment="1">
      <alignment horizontal="center" vertical="center" wrapText="1"/>
    </xf>
    <xf numFmtId="0" fontId="68" fillId="0" borderId="149" xfId="0" applyFont="1" applyBorder="1" applyAlignment="1">
      <alignment horizontal="center" vertical="center" wrapText="1"/>
    </xf>
    <xf numFmtId="0" fontId="68" fillId="10" borderId="1" xfId="0" applyFont="1" applyFill="1" applyBorder="1" applyAlignment="1">
      <alignment vertical="center" wrapText="1"/>
    </xf>
    <xf numFmtId="0" fontId="68" fillId="4" borderId="1" xfId="0" applyFont="1" applyFill="1" applyBorder="1" applyAlignment="1">
      <alignment vertical="center" wrapText="1"/>
    </xf>
    <xf numFmtId="15" fontId="5" fillId="4" borderId="4" xfId="0" applyNumberFormat="1" applyFont="1" applyFill="1" applyBorder="1" applyAlignment="1">
      <alignment horizontal="left" vertical="center" wrapText="1"/>
    </xf>
    <xf numFmtId="0" fontId="75" fillId="13" borderId="149" xfId="0" applyFont="1" applyFill="1" applyBorder="1" applyAlignment="1">
      <alignment vertical="top" wrapText="1"/>
    </xf>
    <xf numFmtId="0" fontId="79" fillId="0" borderId="149" xfId="0" applyFont="1" applyBorder="1" applyAlignment="1">
      <alignment horizontal="left" vertical="top" wrapText="1"/>
    </xf>
    <xf numFmtId="0" fontId="98" fillId="4" borderId="2" xfId="0" applyFont="1" applyFill="1" applyBorder="1" applyAlignment="1">
      <alignment horizontal="center" vertical="center" wrapText="1"/>
    </xf>
    <xf numFmtId="0" fontId="4" fillId="0" borderId="3" xfId="0" applyFont="1" applyBorder="1"/>
    <xf numFmtId="0" fontId="4" fillId="0" borderId="3" xfId="0" applyFont="1" applyBorder="1" applyAlignment="1">
      <alignment horizontal="center" vertical="center"/>
    </xf>
    <xf numFmtId="0" fontId="98" fillId="4" borderId="2" xfId="0" applyFont="1" applyFill="1" applyBorder="1" applyAlignment="1">
      <alignment horizontal="center" wrapText="1"/>
    </xf>
    <xf numFmtId="0" fontId="28" fillId="4" borderId="2" xfId="0" applyFont="1" applyFill="1" applyBorder="1" applyAlignment="1">
      <alignment horizontal="center" vertical="center" wrapText="1"/>
    </xf>
    <xf numFmtId="0" fontId="28" fillId="4" borderId="2" xfId="0" applyFont="1" applyFill="1" applyBorder="1" applyAlignment="1">
      <alignment horizontal="left" vertical="top" wrapText="1"/>
    </xf>
    <xf numFmtId="0" fontId="4" fillId="0" borderId="18" xfId="0" applyFont="1" applyBorder="1"/>
    <xf numFmtId="0" fontId="101" fillId="4" borderId="2" xfId="0" applyFont="1" applyFill="1" applyBorder="1" applyAlignment="1">
      <alignment horizontal="center" vertical="center" wrapText="1"/>
    </xf>
    <xf numFmtId="0" fontId="65" fillId="0" borderId="18" xfId="0" applyFont="1" applyBorder="1"/>
    <xf numFmtId="0" fontId="65" fillId="0" borderId="3" xfId="0" applyFont="1" applyBorder="1"/>
    <xf numFmtId="0" fontId="28" fillId="4" borderId="136" xfId="0" applyFont="1" applyFill="1" applyBorder="1" applyAlignment="1">
      <alignment vertical="center" wrapText="1"/>
    </xf>
    <xf numFmtId="0" fontId="4" fillId="0" borderId="6" xfId="0" applyFont="1" applyBorder="1"/>
    <xf numFmtId="0" fontId="4" fillId="0" borderId="137" xfId="0" applyFont="1" applyBorder="1"/>
    <xf numFmtId="0" fontId="68" fillId="4" borderId="2" xfId="0" applyFont="1" applyFill="1" applyBorder="1" applyAlignment="1">
      <alignment horizontal="left" vertical="center" wrapText="1"/>
    </xf>
    <xf numFmtId="0" fontId="65" fillId="0" borderId="3" xfId="0" applyFont="1" applyBorder="1" applyAlignment="1">
      <alignment horizontal="left"/>
    </xf>
    <xf numFmtId="0" fontId="68" fillId="4" borderId="2" xfId="0" applyFont="1" applyFill="1" applyBorder="1" applyAlignment="1">
      <alignment horizontal="left" vertical="top" wrapText="1"/>
    </xf>
    <xf numFmtId="0" fontId="65" fillId="0" borderId="3" xfId="0" applyFont="1" applyBorder="1" applyAlignment="1">
      <alignment horizontal="left" vertical="top"/>
    </xf>
    <xf numFmtId="0" fontId="67" fillId="4" borderId="2" xfId="0" applyFont="1" applyFill="1" applyBorder="1" applyAlignment="1">
      <alignment horizontal="left" vertical="center" wrapText="1"/>
    </xf>
    <xf numFmtId="0" fontId="93" fillId="0" borderId="3" xfId="0" applyFont="1" applyBorder="1" applyAlignment="1">
      <alignment horizontal="left"/>
    </xf>
    <xf numFmtId="0" fontId="93" fillId="0" borderId="3" xfId="0" applyFont="1" applyBorder="1" applyAlignment="1">
      <alignment horizontal="left" vertical="center"/>
    </xf>
    <xf numFmtId="0" fontId="28" fillId="4" borderId="20" xfId="0" applyFont="1" applyFill="1" applyBorder="1" applyAlignment="1">
      <alignment vertical="center" wrapText="1"/>
    </xf>
    <xf numFmtId="0" fontId="4" fillId="0" borderId="21" xfId="0" applyFont="1" applyBorder="1"/>
    <xf numFmtId="0" fontId="4" fillId="0" borderId="22" xfId="0" applyFont="1" applyBorder="1"/>
    <xf numFmtId="0" fontId="100" fillId="4" borderId="5" xfId="0" applyFont="1" applyFill="1" applyBorder="1" applyAlignment="1">
      <alignment horizontal="center" vertical="center" wrapText="1"/>
    </xf>
    <xf numFmtId="0" fontId="65" fillId="0" borderId="6" xfId="0" applyFont="1" applyBorder="1"/>
    <xf numFmtId="0" fontId="65" fillId="0" borderId="7" xfId="0" applyFont="1" applyBorder="1"/>
    <xf numFmtId="0" fontId="1" fillId="3" borderId="2" xfId="0" applyFont="1" applyFill="1" applyBorder="1" applyAlignment="1">
      <alignment horizontal="center" wrapText="1"/>
    </xf>
    <xf numFmtId="0" fontId="1" fillId="0" borderId="0" xfId="0" applyFont="1" applyAlignment="1">
      <alignment horizontal="center"/>
    </xf>
    <xf numFmtId="0" fontId="0" fillId="0" borderId="0" xfId="0"/>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3" fillId="3" borderId="2" xfId="0" applyFont="1" applyFill="1" applyBorder="1" applyAlignment="1">
      <alignment wrapText="1"/>
    </xf>
    <xf numFmtId="0" fontId="21" fillId="0" borderId="100" xfId="0" applyFont="1" applyBorder="1" applyAlignment="1">
      <alignment horizontal="center" vertical="center" wrapText="1"/>
    </xf>
    <xf numFmtId="0" fontId="4" fillId="0" borderId="101" xfId="0" applyFont="1" applyBorder="1"/>
    <xf numFmtId="0" fontId="4" fillId="0" borderId="92" xfId="0" applyFont="1" applyBorder="1"/>
    <xf numFmtId="0" fontId="4" fillId="0" borderId="76" xfId="0" applyFont="1" applyBorder="1"/>
    <xf numFmtId="0" fontId="4" fillId="0" borderId="94" xfId="0" applyFont="1" applyBorder="1"/>
    <xf numFmtId="0" fontId="4" fillId="0" borderId="95" xfId="0" applyFont="1" applyBorder="1"/>
    <xf numFmtId="0" fontId="7" fillId="0" borderId="53" xfId="0" applyFont="1" applyBorder="1" applyAlignment="1">
      <alignment horizontal="center" vertical="top"/>
    </xf>
    <xf numFmtId="0" fontId="4" fillId="0" borderId="77" xfId="0" applyFont="1" applyBorder="1"/>
    <xf numFmtId="0" fontId="4" fillId="0" borderId="96" xfId="0" applyFont="1" applyBorder="1"/>
    <xf numFmtId="9" fontId="7" fillId="0" borderId="53" xfId="0" applyNumberFormat="1" applyFont="1" applyBorder="1" applyAlignment="1">
      <alignment horizontal="center" vertical="top"/>
    </xf>
    <xf numFmtId="0" fontId="7" fillId="0" borderId="53" xfId="0" applyFont="1" applyBorder="1" applyAlignment="1">
      <alignment horizontal="center" vertical="top" wrapText="1"/>
    </xf>
    <xf numFmtId="0" fontId="24" fillId="0" borderId="100" xfId="0" applyFont="1" applyBorder="1" applyAlignment="1">
      <alignment horizontal="center" vertical="center" wrapText="1"/>
    </xf>
    <xf numFmtId="0" fontId="4" fillId="0" borderId="102" xfId="0" applyFont="1" applyBorder="1"/>
    <xf numFmtId="0" fontId="4" fillId="0" borderId="103" xfId="0" applyFont="1" applyBorder="1"/>
    <xf numFmtId="0" fontId="23" fillId="5" borderId="53" xfId="0" applyFont="1" applyFill="1" applyBorder="1" applyAlignment="1">
      <alignment horizontal="center" vertical="top" wrapText="1"/>
    </xf>
    <xf numFmtId="0" fontId="4" fillId="0" borderId="64" xfId="0" applyFont="1" applyBorder="1"/>
    <xf numFmtId="0" fontId="7" fillId="0" borderId="107" xfId="0" applyFont="1" applyBorder="1" applyAlignment="1">
      <alignment horizontal="center" vertical="center" wrapText="1"/>
    </xf>
    <xf numFmtId="0" fontId="4" fillId="0" borderId="108" xfId="0" applyFont="1" applyBorder="1"/>
    <xf numFmtId="0" fontId="4" fillId="0" borderId="89" xfId="0" applyFont="1" applyBorder="1"/>
    <xf numFmtId="0" fontId="4" fillId="0" borderId="123" xfId="0" applyFont="1" applyBorder="1"/>
    <xf numFmtId="0" fontId="4" fillId="0" borderId="124" xfId="0" applyFont="1" applyBorder="1"/>
    <xf numFmtId="0" fontId="4" fillId="0" borderId="125" xfId="0" applyFont="1" applyBorder="1"/>
    <xf numFmtId="0" fontId="21" fillId="0" borderId="88" xfId="0" applyFont="1" applyBorder="1" applyAlignment="1">
      <alignment horizontal="center" vertical="center" wrapText="1"/>
    </xf>
    <xf numFmtId="0" fontId="7" fillId="5" borderId="69" xfId="0" applyFont="1" applyFill="1" applyBorder="1" applyAlignment="1">
      <alignment horizontal="center" vertical="top" wrapText="1"/>
    </xf>
    <xf numFmtId="0" fontId="7" fillId="5" borderId="53" xfId="0" applyFont="1" applyFill="1" applyBorder="1" applyAlignment="1">
      <alignment horizontal="center" vertical="top" wrapText="1"/>
    </xf>
    <xf numFmtId="0" fontId="7" fillId="0" borderId="107" xfId="0" applyFont="1" applyBorder="1" applyAlignment="1">
      <alignment horizontal="center" vertical="center"/>
    </xf>
    <xf numFmtId="9" fontId="7" fillId="0" borderId="69" xfId="0" applyNumberFormat="1" applyFont="1" applyBorder="1" applyAlignment="1">
      <alignment horizontal="center" vertical="top"/>
    </xf>
    <xf numFmtId="0" fontId="7" fillId="0" borderId="69" xfId="0" applyFont="1" applyBorder="1" applyAlignment="1">
      <alignment horizontal="center" vertical="top"/>
    </xf>
    <xf numFmtId="0" fontId="7" fillId="0" borderId="69" xfId="0" applyFont="1" applyBorder="1" applyAlignment="1">
      <alignment horizontal="center" vertical="top" wrapText="1"/>
    </xf>
    <xf numFmtId="0" fontId="23" fillId="0" borderId="117" xfId="0" applyFont="1" applyBorder="1" applyAlignment="1">
      <alignment horizontal="center" vertical="center" wrapText="1"/>
    </xf>
    <xf numFmtId="0" fontId="4" fillId="0" borderId="118" xfId="0" applyFont="1" applyBorder="1"/>
    <xf numFmtId="0" fontId="4" fillId="0" borderId="119" xfId="0" applyFont="1" applyBorder="1"/>
    <xf numFmtId="0" fontId="24" fillId="0" borderId="120" xfId="0" applyFont="1" applyBorder="1" applyAlignment="1">
      <alignment horizontal="center" vertical="center" wrapText="1"/>
    </xf>
    <xf numFmtId="0" fontId="23" fillId="5" borderId="121" xfId="0" applyFont="1" applyFill="1" applyBorder="1" applyAlignment="1">
      <alignment horizontal="center" vertical="top" wrapText="1"/>
    </xf>
    <xf numFmtId="9" fontId="23" fillId="0" borderId="121" xfId="0" applyNumberFormat="1" applyFont="1" applyBorder="1" applyAlignment="1">
      <alignment horizontal="center" vertical="top"/>
    </xf>
    <xf numFmtId="0" fontId="23" fillId="0" borderId="121" xfId="0" applyFont="1" applyBorder="1" applyAlignment="1">
      <alignment horizontal="center" vertical="top"/>
    </xf>
    <xf numFmtId="0" fontId="23" fillId="0" borderId="121" xfId="0" applyFont="1" applyBorder="1" applyAlignment="1">
      <alignment horizontal="center" vertical="top" wrapText="1"/>
    </xf>
    <xf numFmtId="0" fontId="23" fillId="0" borderId="53" xfId="0" applyFont="1" applyBorder="1" applyAlignment="1">
      <alignment horizontal="center" vertical="top" wrapText="1"/>
    </xf>
    <xf numFmtId="9" fontId="23" fillId="0" borderId="53" xfId="0" applyNumberFormat="1" applyFont="1" applyBorder="1" applyAlignment="1">
      <alignment horizontal="center" vertical="top"/>
    </xf>
    <xf numFmtId="0" fontId="23" fillId="0" borderId="53" xfId="0" applyFont="1" applyBorder="1" applyAlignment="1">
      <alignment horizontal="center" vertical="top"/>
    </xf>
    <xf numFmtId="9" fontId="5" fillId="0" borderId="69" xfId="0" applyNumberFormat="1" applyFont="1" applyBorder="1" applyAlignment="1">
      <alignment horizontal="center" vertical="top"/>
    </xf>
    <xf numFmtId="0" fontId="5" fillId="0" borderId="69" xfId="0" applyFont="1" applyBorder="1" applyAlignment="1">
      <alignment horizontal="center" vertical="top" wrapText="1"/>
    </xf>
    <xf numFmtId="0" fontId="21" fillId="0" borderId="53" xfId="0" applyFont="1" applyBorder="1" applyAlignment="1">
      <alignment horizontal="center" vertical="center" wrapText="1"/>
    </xf>
    <xf numFmtId="0" fontId="7" fillId="0" borderId="53" xfId="0" applyFont="1" applyBorder="1" applyAlignment="1">
      <alignment horizontal="left" vertical="center" wrapText="1"/>
    </xf>
    <xf numFmtId="0" fontId="20" fillId="0" borderId="69" xfId="0" applyFont="1" applyBorder="1" applyAlignment="1">
      <alignment horizontal="center" vertical="center" wrapText="1"/>
    </xf>
    <xf numFmtId="0" fontId="7" fillId="0" borderId="69" xfId="0" applyFont="1" applyBorder="1" applyAlignment="1">
      <alignment horizontal="center" vertical="center" wrapText="1"/>
    </xf>
    <xf numFmtId="0" fontId="7" fillId="0" borderId="88" xfId="0" applyFont="1" applyBorder="1" applyAlignment="1">
      <alignment vertical="center" wrapText="1"/>
    </xf>
    <xf numFmtId="0" fontId="7" fillId="0" borderId="69" xfId="0" applyFont="1" applyBorder="1" applyAlignment="1">
      <alignment horizontal="left" vertical="center" wrapText="1"/>
    </xf>
    <xf numFmtId="9" fontId="7" fillId="5" borderId="69" xfId="0" applyNumberFormat="1" applyFont="1" applyFill="1" applyBorder="1" applyAlignment="1">
      <alignment horizontal="center" vertical="center" wrapText="1"/>
    </xf>
    <xf numFmtId="0" fontId="21" fillId="0" borderId="69" xfId="0" applyFont="1" applyBorder="1" applyAlignment="1">
      <alignment horizontal="center" vertical="center" wrapText="1"/>
    </xf>
    <xf numFmtId="0" fontId="7" fillId="0" borderId="100" xfId="0" applyFont="1" applyBorder="1" applyAlignment="1">
      <alignment vertical="center" wrapText="1"/>
    </xf>
    <xf numFmtId="9" fontId="7" fillId="5" borderId="53" xfId="0" applyNumberFormat="1" applyFont="1" applyFill="1" applyBorder="1" applyAlignment="1">
      <alignment horizontal="center" vertical="center" wrapText="1"/>
    </xf>
    <xf numFmtId="2" fontId="7" fillId="5" borderId="69" xfId="0" applyNumberFormat="1" applyFont="1" applyFill="1" applyBorder="1" applyAlignment="1">
      <alignment horizontal="center" vertical="center" wrapText="1"/>
    </xf>
    <xf numFmtId="2" fontId="7" fillId="5" borderId="53" xfId="0" applyNumberFormat="1" applyFont="1" applyFill="1" applyBorder="1" applyAlignment="1">
      <alignment horizontal="center" vertical="center" wrapText="1"/>
    </xf>
    <xf numFmtId="2" fontId="6" fillId="5" borderId="90" xfId="0" applyNumberFormat="1" applyFont="1" applyFill="1" applyBorder="1" applyAlignment="1">
      <alignment horizontal="center" vertical="center" wrapText="1"/>
    </xf>
    <xf numFmtId="0" fontId="4" fillId="0" borderId="81" xfId="0" applyFont="1" applyBorder="1"/>
    <xf numFmtId="0" fontId="4" fillId="0" borderId="97" xfId="0" applyFont="1" applyBorder="1"/>
    <xf numFmtId="2" fontId="6" fillId="5" borderId="54" xfId="0" applyNumberFormat="1" applyFont="1" applyFill="1" applyBorder="1" applyAlignment="1">
      <alignment horizontal="center" vertical="center" wrapText="1"/>
    </xf>
    <xf numFmtId="0" fontId="21" fillId="0" borderId="0" xfId="0" applyFont="1" applyAlignment="1">
      <alignment horizontal="left" vertical="top" wrapText="1"/>
    </xf>
    <xf numFmtId="0" fontId="6" fillId="5" borderId="32" xfId="0" applyFont="1" applyFill="1" applyBorder="1" applyAlignment="1">
      <alignment horizontal="right" vertical="center" wrapText="1"/>
    </xf>
    <xf numFmtId="0" fontId="4" fillId="0" borderId="33" xfId="0" applyFont="1" applyBorder="1"/>
    <xf numFmtId="0" fontId="4" fillId="0" borderId="34" xfId="0" applyFont="1" applyBorder="1"/>
    <xf numFmtId="0" fontId="11" fillId="0" borderId="0" xfId="0" applyFont="1" applyAlignment="1">
      <alignment horizontal="left" vertical="center" wrapText="1"/>
    </xf>
    <xf numFmtId="0" fontId="12" fillId="0" borderId="107" xfId="0" applyFont="1" applyBorder="1" applyAlignment="1">
      <alignment horizontal="center" vertical="center"/>
    </xf>
    <xf numFmtId="0" fontId="4" fillId="0" borderId="109" xfId="0" applyFont="1" applyBorder="1"/>
    <xf numFmtId="0" fontId="7" fillId="0" borderId="87" xfId="0" applyFont="1" applyBorder="1" applyAlignment="1">
      <alignment horizontal="center" vertical="center" wrapText="1"/>
    </xf>
    <xf numFmtId="0" fontId="4" fillId="0" borderId="75" xfId="0" applyFont="1" applyBorder="1"/>
    <xf numFmtId="0" fontId="4" fillId="0" borderId="63" xfId="0" applyFont="1" applyBorder="1"/>
    <xf numFmtId="0" fontId="6" fillId="5" borderId="5" xfId="0" applyFont="1" applyFill="1" applyBorder="1" applyAlignment="1">
      <alignment horizontal="center" vertical="center"/>
    </xf>
    <xf numFmtId="0" fontId="4" fillId="0" borderId="7" xfId="0" applyFont="1" applyBorder="1"/>
    <xf numFmtId="0" fontId="9" fillId="5" borderId="5" xfId="0" applyFont="1" applyFill="1" applyBorder="1" applyAlignment="1">
      <alignment horizontal="center" vertical="center" wrapText="1"/>
    </xf>
    <xf numFmtId="0" fontId="10" fillId="5" borderId="8" xfId="0" applyFont="1" applyFill="1" applyBorder="1" applyAlignment="1">
      <alignment horizontal="center" vertical="center" wrapText="1"/>
    </xf>
    <xf numFmtId="0" fontId="4" fillId="0" borderId="9" xfId="0" applyFont="1" applyBorder="1"/>
    <xf numFmtId="0" fontId="4" fillId="0" borderId="10" xfId="0" applyFont="1" applyBorder="1"/>
    <xf numFmtId="0" fontId="5" fillId="0" borderId="11" xfId="0" applyFont="1" applyBorder="1" applyAlignment="1">
      <alignment vertical="top"/>
    </xf>
    <xf numFmtId="0" fontId="4" fillId="0" borderId="12" xfId="0" applyFont="1" applyBorder="1"/>
    <xf numFmtId="0" fontId="4" fillId="0" borderId="13" xfId="0" applyFont="1" applyBorder="1"/>
    <xf numFmtId="0" fontId="7" fillId="5" borderId="14" xfId="0" applyFont="1" applyFill="1" applyBorder="1" applyAlignment="1">
      <alignment horizontal="left" vertical="top" wrapText="1"/>
    </xf>
    <xf numFmtId="0" fontId="5" fillId="0" borderId="17" xfId="0" applyFont="1" applyBorder="1" applyAlignment="1">
      <alignment vertical="top"/>
    </xf>
    <xf numFmtId="0" fontId="7" fillId="5" borderId="2" xfId="0" applyFont="1" applyFill="1" applyBorder="1" applyAlignment="1">
      <alignment horizontal="left" vertical="top" wrapText="1"/>
    </xf>
    <xf numFmtId="0" fontId="6" fillId="7" borderId="107" xfId="0" applyFont="1" applyFill="1" applyBorder="1" applyAlignment="1">
      <alignment horizontal="center" vertical="center" wrapText="1"/>
    </xf>
    <xf numFmtId="0" fontId="4" fillId="0" borderId="110" xfId="0" applyFont="1" applyBorder="1"/>
    <xf numFmtId="0" fontId="4" fillId="0" borderId="111" xfId="0" applyFont="1" applyBorder="1"/>
    <xf numFmtId="0" fontId="4" fillId="0" borderId="112" xfId="0" applyFont="1" applyBorder="1"/>
    <xf numFmtId="0" fontId="6" fillId="7" borderId="40" xfId="0" applyFont="1" applyFill="1" applyBorder="1" applyAlignment="1">
      <alignment horizontal="center" vertical="center" wrapText="1"/>
    </xf>
    <xf numFmtId="0" fontId="4" fillId="0" borderId="113" xfId="0" applyFont="1" applyBorder="1"/>
    <xf numFmtId="0" fontId="6" fillId="6" borderId="32" xfId="0" applyFont="1" applyFill="1" applyBorder="1" applyAlignment="1">
      <alignment horizontal="center" vertical="center" wrapText="1"/>
    </xf>
    <xf numFmtId="0" fontId="6" fillId="6" borderId="40" xfId="0" applyFont="1" applyFill="1" applyBorder="1" applyAlignment="1">
      <alignment horizontal="center" vertical="center" wrapText="1"/>
    </xf>
    <xf numFmtId="0" fontId="13" fillId="6" borderId="32" xfId="0" applyFont="1" applyFill="1" applyBorder="1" applyAlignment="1">
      <alignment horizontal="center" vertical="center"/>
    </xf>
    <xf numFmtId="0" fontId="4" fillId="0" borderId="16" xfId="0" applyFont="1" applyBorder="1"/>
    <xf numFmtId="0" fontId="4" fillId="0" borderId="19" xfId="0" applyFont="1" applyBorder="1"/>
    <xf numFmtId="0" fontId="7" fillId="5" borderId="20" xfId="0" applyFont="1" applyFill="1" applyBorder="1" applyAlignment="1">
      <alignment horizontal="left" vertical="top" wrapText="1"/>
    </xf>
    <xf numFmtId="0" fontId="5" fillId="0" borderId="24" xfId="0" applyFont="1" applyBorder="1" applyAlignment="1">
      <alignment vertical="top" wrapText="1"/>
    </xf>
    <xf numFmtId="0" fontId="4" fillId="0" borderId="25" xfId="0" applyFont="1" applyBorder="1"/>
    <xf numFmtId="0" fontId="4" fillId="0" borderId="26" xfId="0" applyFont="1" applyBorder="1"/>
    <xf numFmtId="0" fontId="7" fillId="0" borderId="27" xfId="0" applyFont="1" applyBorder="1" applyAlignment="1">
      <alignment horizontal="left" vertical="top" wrapText="1"/>
    </xf>
    <xf numFmtId="0" fontId="4" fillId="0" borderId="28" xfId="0" applyFont="1" applyBorder="1"/>
    <xf numFmtId="0" fontId="6" fillId="5" borderId="29" xfId="0" applyFont="1" applyFill="1" applyBorder="1" applyAlignment="1">
      <alignment horizontal="center" vertical="center" wrapText="1"/>
    </xf>
    <xf numFmtId="0" fontId="4" fillId="0" borderId="30" xfId="0" applyFont="1" applyBorder="1"/>
    <xf numFmtId="0" fontId="4" fillId="0" borderId="31" xfId="0" applyFont="1" applyBorder="1"/>
    <xf numFmtId="0" fontId="13" fillId="6" borderId="41" xfId="0" applyFont="1" applyFill="1" applyBorder="1" applyAlignment="1">
      <alignment horizontal="center" vertical="center"/>
    </xf>
    <xf numFmtId="0" fontId="4" fillId="0" borderId="42" xfId="0" applyFont="1" applyBorder="1"/>
    <xf numFmtId="0" fontId="6" fillId="6" borderId="43" xfId="0" applyFont="1" applyFill="1" applyBorder="1" applyAlignment="1">
      <alignment horizontal="center" vertical="center" wrapText="1"/>
    </xf>
    <xf numFmtId="0" fontId="4" fillId="0" borderId="55" xfId="0" applyFont="1" applyBorder="1"/>
    <xf numFmtId="0" fontId="4" fillId="0" borderId="66" xfId="0" applyFont="1" applyBorder="1"/>
    <xf numFmtId="0" fontId="5" fillId="0" borderId="90" xfId="0" applyFont="1" applyBorder="1" applyAlignment="1">
      <alignment horizontal="center" vertical="top" wrapText="1"/>
    </xf>
    <xf numFmtId="0" fontId="7" fillId="5" borderId="87" xfId="0" applyFont="1" applyFill="1" applyBorder="1" applyAlignment="1">
      <alignment horizontal="center" vertical="top" wrapText="1"/>
    </xf>
    <xf numFmtId="0" fontId="4" fillId="0" borderId="98" xfId="0" applyFont="1" applyBorder="1"/>
    <xf numFmtId="0" fontId="6" fillId="0" borderId="53" xfId="0" applyFont="1" applyBorder="1" applyAlignment="1">
      <alignment horizontal="center" vertical="center" wrapText="1"/>
    </xf>
    <xf numFmtId="0" fontId="6" fillId="0" borderId="81" xfId="0" applyFont="1" applyBorder="1" applyAlignment="1">
      <alignment horizontal="center"/>
    </xf>
    <xf numFmtId="0" fontId="6" fillId="0" borderId="54" xfId="0" applyFont="1" applyBorder="1" applyAlignment="1">
      <alignment horizontal="center"/>
    </xf>
    <xf numFmtId="164" fontId="7" fillId="0" borderId="69" xfId="0" applyNumberFormat="1" applyFont="1" applyBorder="1" applyAlignment="1">
      <alignment horizontal="center" vertical="center" wrapText="1"/>
    </xf>
    <xf numFmtId="164" fontId="6" fillId="0" borderId="81" xfId="0" applyNumberFormat="1" applyFont="1" applyBorder="1" applyAlignment="1">
      <alignment horizontal="center" vertical="center"/>
    </xf>
    <xf numFmtId="164" fontId="7" fillId="0" borderId="53" xfId="0" applyNumberFormat="1" applyFont="1" applyBorder="1" applyAlignment="1">
      <alignment horizontal="center" vertical="center" wrapText="1"/>
    </xf>
    <xf numFmtId="164" fontId="6" fillId="0" borderId="54" xfId="0" applyNumberFormat="1" applyFont="1" applyBorder="1" applyAlignment="1">
      <alignment horizontal="center" vertical="center"/>
    </xf>
    <xf numFmtId="0" fontId="4" fillId="0" borderId="57" xfId="0" applyFont="1" applyBorder="1"/>
    <xf numFmtId="2" fontId="6" fillId="6" borderId="70" xfId="0" applyNumberFormat="1" applyFont="1" applyFill="1" applyBorder="1" applyAlignment="1">
      <alignment horizontal="center" vertical="center" wrapText="1"/>
    </xf>
    <xf numFmtId="0" fontId="4" fillId="0" borderId="83" xfId="0" applyFont="1" applyBorder="1"/>
    <xf numFmtId="0" fontId="17" fillId="6" borderId="74" xfId="0" applyFont="1" applyFill="1" applyBorder="1" applyAlignment="1">
      <alignment horizontal="center" vertical="center"/>
    </xf>
    <xf numFmtId="0" fontId="4" fillId="0" borderId="86" xfId="0" applyFont="1" applyBorder="1"/>
    <xf numFmtId="164" fontId="7" fillId="5" borderId="91" xfId="0" applyNumberFormat="1" applyFont="1" applyFill="1" applyBorder="1" applyAlignment="1">
      <alignment horizontal="center" vertical="center" wrapText="1"/>
    </xf>
    <xf numFmtId="0" fontId="4" fillId="0" borderId="93" xfId="0" applyFont="1" applyBorder="1"/>
    <xf numFmtId="0" fontId="4" fillId="0" borderId="99" xfId="0" applyFont="1" applyBorder="1"/>
    <xf numFmtId="164" fontId="6" fillId="5" borderId="90" xfId="0" applyNumberFormat="1" applyFont="1" applyFill="1" applyBorder="1" applyAlignment="1">
      <alignment horizontal="center" vertical="center" wrapText="1"/>
    </xf>
    <xf numFmtId="0" fontId="25" fillId="0" borderId="53" xfId="0" applyFont="1" applyBorder="1" applyAlignment="1">
      <alignment horizontal="center" vertical="center" wrapText="1"/>
    </xf>
    <xf numFmtId="0" fontId="23" fillId="0" borderId="53" xfId="0" applyFont="1" applyBorder="1" applyAlignment="1">
      <alignment horizontal="center"/>
    </xf>
    <xf numFmtId="0" fontId="6" fillId="6" borderId="44" xfId="0" applyFont="1" applyFill="1" applyBorder="1" applyAlignment="1">
      <alignment horizontal="center" vertical="center" wrapText="1"/>
    </xf>
    <xf numFmtId="0" fontId="6" fillId="6" borderId="45" xfId="0" applyFont="1" applyFill="1" applyBorder="1" applyAlignment="1">
      <alignment horizontal="center" vertical="center" wrapText="1"/>
    </xf>
    <xf numFmtId="0" fontId="4" fillId="0" borderId="56" xfId="0" applyFont="1" applyBorder="1"/>
    <xf numFmtId="0" fontId="4" fillId="0" borderId="61" xfId="0" applyFont="1" applyBorder="1"/>
    <xf numFmtId="0" fontId="5" fillId="0" borderId="54" xfId="0" applyFont="1" applyBorder="1" applyAlignment="1">
      <alignment horizontal="center" vertical="top" wrapText="1"/>
    </xf>
    <xf numFmtId="0" fontId="4" fillId="0" borderId="65" xfId="0" applyFont="1" applyBorder="1"/>
    <xf numFmtId="0" fontId="7" fillId="5" borderId="52" xfId="0" applyFont="1" applyFill="1" applyBorder="1" applyAlignment="1">
      <alignment horizontal="center" vertical="top" wrapText="1"/>
    </xf>
    <xf numFmtId="0" fontId="25" fillId="0" borderId="121" xfId="0" applyFont="1" applyBorder="1" applyAlignment="1">
      <alignment horizontal="center" vertical="center" wrapText="1"/>
    </xf>
    <xf numFmtId="0" fontId="23" fillId="0" borderId="121" xfId="0" applyFont="1" applyBorder="1" applyAlignment="1">
      <alignment horizontal="center"/>
    </xf>
    <xf numFmtId="0" fontId="6" fillId="7" borderId="44" xfId="0" applyFont="1" applyFill="1" applyBorder="1" applyAlignment="1">
      <alignment horizontal="center" vertical="center" wrapText="1"/>
    </xf>
    <xf numFmtId="0" fontId="4" fillId="0" borderId="115" xfId="0" applyFont="1" applyBorder="1"/>
    <xf numFmtId="0" fontId="6" fillId="6" borderId="50" xfId="0" applyFont="1" applyFill="1" applyBorder="1" applyAlignment="1">
      <alignment horizontal="center" vertical="center" wrapText="1"/>
    </xf>
    <xf numFmtId="0" fontId="4" fillId="0" borderId="116" xfId="0" applyFont="1" applyBorder="1"/>
    <xf numFmtId="0" fontId="14" fillId="0" borderId="69" xfId="0" applyFont="1" applyBorder="1" applyAlignment="1">
      <alignment horizontal="center" vertical="top" wrapText="1"/>
    </xf>
    <xf numFmtId="0" fontId="14" fillId="6" borderId="70" xfId="0" applyFont="1" applyFill="1" applyBorder="1" applyAlignment="1">
      <alignment horizontal="center" vertical="top" wrapText="1"/>
    </xf>
    <xf numFmtId="0" fontId="14" fillId="6" borderId="70" xfId="0" applyFont="1" applyFill="1" applyBorder="1" applyAlignment="1">
      <alignment horizontal="left" vertical="top" wrapText="1"/>
    </xf>
    <xf numFmtId="0" fontId="15" fillId="6" borderId="70" xfId="0" applyFont="1" applyFill="1" applyBorder="1" applyAlignment="1">
      <alignment horizontal="center" vertical="top" wrapText="1"/>
    </xf>
    <xf numFmtId="9" fontId="15" fillId="6" borderId="70" xfId="0" applyNumberFormat="1" applyFont="1" applyFill="1" applyBorder="1" applyAlignment="1">
      <alignment horizontal="center" vertical="top" wrapText="1"/>
    </xf>
    <xf numFmtId="0" fontId="14" fillId="6" borderId="67" xfId="0" applyFont="1" applyFill="1" applyBorder="1" applyAlignment="1">
      <alignment horizontal="left" vertical="top" wrapText="1"/>
    </xf>
    <xf numFmtId="0" fontId="4" fillId="0" borderId="82" xfId="0" applyFont="1" applyBorder="1"/>
    <xf numFmtId="0" fontId="6" fillId="6" borderId="35" xfId="0" applyFont="1" applyFill="1" applyBorder="1" applyAlignment="1">
      <alignment horizontal="center" vertical="center" wrapText="1"/>
    </xf>
    <xf numFmtId="0" fontId="4" fillId="0" borderId="49" xfId="0" applyFont="1" applyBorder="1"/>
    <xf numFmtId="0" fontId="6" fillId="6" borderId="51" xfId="0" applyFont="1" applyFill="1" applyBorder="1" applyAlignment="1">
      <alignment horizontal="center" vertical="center" wrapText="1"/>
    </xf>
    <xf numFmtId="0" fontId="4" fillId="0" borderId="62" xfId="0" applyFont="1" applyBorder="1"/>
    <xf numFmtId="0" fontId="6" fillId="6" borderId="52" xfId="0" applyFont="1" applyFill="1" applyBorder="1" applyAlignment="1">
      <alignment horizontal="center" vertical="center" wrapText="1"/>
    </xf>
    <xf numFmtId="0" fontId="6" fillId="6" borderId="53" xfId="0" applyFont="1" applyFill="1" applyBorder="1" applyAlignment="1">
      <alignment horizontal="center" vertical="center" wrapText="1"/>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6" fillId="6" borderId="37" xfId="0" applyFont="1" applyFill="1" applyBorder="1" applyAlignment="1">
      <alignment horizontal="center" vertical="center" wrapText="1"/>
    </xf>
    <xf numFmtId="0" fontId="4" fillId="0" borderId="38" xfId="0" applyFont="1" applyBorder="1"/>
    <xf numFmtId="0" fontId="4" fillId="0" borderId="47" xfId="0" applyFont="1" applyBorder="1"/>
    <xf numFmtId="0" fontId="4" fillId="0" borderId="48" xfId="0" applyFont="1" applyBorder="1"/>
    <xf numFmtId="0" fontId="4" fillId="0" borderId="59" xfId="0" applyFont="1" applyBorder="1"/>
    <xf numFmtId="0" fontId="4" fillId="0" borderId="60" xfId="0" applyFont="1" applyBorder="1"/>
    <xf numFmtId="0" fontId="6" fillId="6" borderId="39" xfId="0" applyFont="1" applyFill="1" applyBorder="1" applyAlignment="1">
      <alignment horizontal="center" vertical="center" wrapText="1"/>
    </xf>
    <xf numFmtId="0" fontId="6" fillId="6" borderId="54" xfId="0" applyFont="1" applyFill="1" applyBorder="1" applyAlignment="1">
      <alignment horizontal="center" vertical="center" wrapText="1"/>
    </xf>
    <xf numFmtId="0" fontId="4" fillId="0" borderId="36" xfId="0" applyFont="1" applyBorder="1"/>
    <xf numFmtId="0" fontId="6" fillId="6" borderId="46" xfId="0" applyFont="1" applyFill="1" applyBorder="1" applyAlignment="1">
      <alignment horizontal="center" vertical="center" wrapText="1"/>
    </xf>
    <xf numFmtId="9" fontId="6" fillId="5" borderId="100" xfId="0" applyNumberFormat="1" applyFont="1" applyFill="1" applyBorder="1" applyAlignment="1">
      <alignment horizontal="center" vertical="top" wrapText="1"/>
    </xf>
    <xf numFmtId="0" fontId="4" fillId="0" borderId="133" xfId="0" applyFont="1" applyBorder="1"/>
    <xf numFmtId="0" fontId="4" fillId="0" borderId="131" xfId="0" applyFont="1" applyBorder="1"/>
    <xf numFmtId="0" fontId="7" fillId="5" borderId="2" xfId="0" applyFont="1" applyFill="1" applyBorder="1" applyAlignment="1">
      <alignment horizontal="center" vertical="top"/>
    </xf>
    <xf numFmtId="0" fontId="4" fillId="0" borderId="130" xfId="0" applyFont="1" applyBorder="1"/>
    <xf numFmtId="0" fontId="27" fillId="0" borderId="107" xfId="0" applyFont="1" applyBorder="1" applyAlignment="1">
      <alignment horizontal="center" vertical="center"/>
    </xf>
    <xf numFmtId="0" fontId="7" fillId="0" borderId="88" xfId="0" applyFont="1" applyBorder="1" applyAlignment="1">
      <alignment horizontal="left" vertical="top" wrapText="1"/>
    </xf>
    <xf numFmtId="0" fontId="7" fillId="0" borderId="123" xfId="0" applyFont="1" applyBorder="1" applyAlignment="1">
      <alignment horizontal="center" vertical="center" wrapText="1"/>
    </xf>
    <xf numFmtId="0" fontId="7" fillId="5" borderId="100" xfId="0" applyFont="1" applyFill="1" applyBorder="1" applyAlignment="1">
      <alignment horizontal="center" wrapText="1"/>
    </xf>
    <xf numFmtId="0" fontId="7" fillId="5" borderId="2" xfId="0" applyFont="1" applyFill="1" applyBorder="1" applyAlignment="1">
      <alignment horizontal="center" vertical="top" wrapText="1"/>
    </xf>
    <xf numFmtId="0" fontId="27" fillId="0" borderId="107" xfId="0" applyFont="1" applyBorder="1" applyAlignment="1">
      <alignment horizontal="center" vertical="center" wrapText="1"/>
    </xf>
    <xf numFmtId="0" fontId="21" fillId="0" borderId="92" xfId="0" applyFont="1" applyBorder="1" applyAlignment="1">
      <alignment horizontal="center" vertical="center" wrapText="1"/>
    </xf>
    <xf numFmtId="0" fontId="7" fillId="5" borderId="70" xfId="0" applyFont="1" applyFill="1" applyBorder="1" applyAlignment="1">
      <alignment horizontal="center" vertical="top" wrapText="1"/>
    </xf>
    <xf numFmtId="9" fontId="7" fillId="0" borderId="77" xfId="0" applyNumberFormat="1" applyFont="1" applyBorder="1" applyAlignment="1">
      <alignment horizontal="center" vertical="top"/>
    </xf>
    <xf numFmtId="9" fontId="5" fillId="0" borderId="77" xfId="0" applyNumberFormat="1" applyFont="1" applyBorder="1" applyAlignment="1">
      <alignment horizontal="center" vertical="top"/>
    </xf>
    <xf numFmtId="0" fontId="5" fillId="0" borderId="77" xfId="0" applyFont="1" applyBorder="1" applyAlignment="1">
      <alignment horizontal="center" vertical="top" wrapText="1"/>
    </xf>
    <xf numFmtId="0" fontId="4" fillId="0" borderId="126" xfId="0" applyFont="1" applyBorder="1"/>
    <xf numFmtId="0" fontId="13" fillId="6" borderId="35" xfId="0" applyFont="1" applyFill="1" applyBorder="1" applyAlignment="1">
      <alignment horizontal="center" vertical="center"/>
    </xf>
    <xf numFmtId="0" fontId="6" fillId="7" borderId="43" xfId="0" applyFont="1" applyFill="1" applyBorder="1" applyAlignment="1">
      <alignment horizontal="center" vertical="center" wrapText="1"/>
    </xf>
    <xf numFmtId="0" fontId="4" fillId="0" borderId="128" xfId="0" applyFont="1" applyBorder="1"/>
    <xf numFmtId="0" fontId="4" fillId="0" borderId="129" xfId="0" applyFont="1" applyBorder="1"/>
    <xf numFmtId="0" fontId="7" fillId="0" borderId="54" xfId="0" applyFont="1" applyBorder="1" applyAlignment="1">
      <alignment horizontal="center"/>
    </xf>
    <xf numFmtId="0" fontId="6" fillId="6" borderId="40" xfId="0" applyFont="1" applyFill="1" applyBorder="1" applyAlignment="1">
      <alignment vertical="center" wrapText="1"/>
    </xf>
    <xf numFmtId="0" fontId="6" fillId="0" borderId="69" xfId="0" applyFont="1" applyBorder="1" applyAlignment="1">
      <alignment horizontal="center" vertical="center" wrapText="1"/>
    </xf>
    <xf numFmtId="0" fontId="7" fillId="0" borderId="69" xfId="0" applyFont="1" applyBorder="1" applyAlignment="1">
      <alignment horizontal="center"/>
    </xf>
    <xf numFmtId="164" fontId="6" fillId="0" borderId="90" xfId="0" applyNumberFormat="1" applyFont="1" applyBorder="1" applyAlignment="1">
      <alignment horizontal="center" vertical="center"/>
    </xf>
    <xf numFmtId="0" fontId="6" fillId="0" borderId="77" xfId="0" applyFont="1" applyBorder="1" applyAlignment="1">
      <alignment horizontal="center" vertical="center" wrapText="1"/>
    </xf>
    <xf numFmtId="0" fontId="7" fillId="0" borderId="81" xfId="0" applyFont="1" applyBorder="1" applyAlignment="1">
      <alignment horizontal="center"/>
    </xf>
    <xf numFmtId="0" fontId="75" fillId="0" borderId="156" xfId="0" applyFont="1" applyBorder="1" applyAlignment="1">
      <alignment horizontal="center" vertical="top" wrapText="1"/>
    </xf>
    <xf numFmtId="0" fontId="75" fillId="0" borderId="216" xfId="0" applyFont="1" applyBorder="1" applyAlignment="1">
      <alignment horizontal="center" vertical="top" wrapText="1"/>
    </xf>
    <xf numFmtId="0" fontId="75" fillId="0" borderId="219" xfId="0" applyFont="1" applyBorder="1" applyAlignment="1">
      <alignment horizontal="center" vertical="top" wrapText="1"/>
    </xf>
    <xf numFmtId="0" fontId="75" fillId="0" borderId="218" xfId="0" applyFont="1" applyBorder="1" applyAlignment="1">
      <alignment horizontal="left" vertical="top" wrapText="1"/>
    </xf>
    <xf numFmtId="0" fontId="75" fillId="0" borderId="216" xfId="0" applyFont="1" applyBorder="1" applyAlignment="1">
      <alignment horizontal="left" vertical="top" wrapText="1"/>
    </xf>
    <xf numFmtId="0" fontId="75" fillId="0" borderId="217" xfId="0" applyFont="1" applyBorder="1" applyAlignment="1">
      <alignment horizontal="left" vertical="top" wrapText="1"/>
    </xf>
    <xf numFmtId="0" fontId="75" fillId="0" borderId="156" xfId="0" applyFont="1" applyBorder="1" applyAlignment="1">
      <alignment horizontal="left" vertical="top" wrapText="1"/>
    </xf>
    <xf numFmtId="0" fontId="75" fillId="0" borderId="219" xfId="0" applyFont="1" applyBorder="1" applyAlignment="1">
      <alignment horizontal="left" vertical="top" wrapText="1"/>
    </xf>
    <xf numFmtId="0" fontId="77" fillId="0" borderId="156" xfId="0" applyFont="1" applyBorder="1" applyAlignment="1">
      <alignment horizontal="left" vertical="top" wrapText="1"/>
    </xf>
    <xf numFmtId="0" fontId="77" fillId="0" borderId="216" xfId="0" applyFont="1" applyBorder="1" applyAlignment="1">
      <alignment horizontal="left" vertical="top" wrapText="1"/>
    </xf>
    <xf numFmtId="0" fontId="77" fillId="0" borderId="219" xfId="0" applyFont="1" applyBorder="1" applyAlignment="1">
      <alignment horizontal="left" vertical="top" wrapText="1"/>
    </xf>
    <xf numFmtId="0" fontId="77" fillId="0" borderId="156" xfId="0" applyFont="1" applyBorder="1" applyAlignment="1">
      <alignment horizontal="center" vertical="top" wrapText="1"/>
    </xf>
    <xf numFmtId="0" fontId="77" fillId="0" borderId="216" xfId="0" applyFont="1" applyBorder="1" applyAlignment="1">
      <alignment horizontal="center" vertical="top" wrapText="1"/>
    </xf>
    <xf numFmtId="0" fontId="77" fillId="0" borderId="217" xfId="0" applyFont="1" applyBorder="1" applyAlignment="1">
      <alignment horizontal="center" vertical="top" wrapText="1"/>
    </xf>
    <xf numFmtId="0" fontId="75" fillId="0" borderId="218" xfId="0" applyFont="1" applyBorder="1" applyAlignment="1">
      <alignment horizontal="center" vertical="top" wrapText="1"/>
    </xf>
    <xf numFmtId="0" fontId="75" fillId="0" borderId="217" xfId="0" applyFont="1" applyBorder="1" applyAlignment="1">
      <alignment horizontal="center" vertical="top" wrapText="1"/>
    </xf>
    <xf numFmtId="0" fontId="77" fillId="0" borderId="217" xfId="0" applyFont="1" applyBorder="1" applyAlignment="1">
      <alignment horizontal="left" vertical="top" wrapText="1"/>
    </xf>
    <xf numFmtId="0" fontId="72" fillId="4" borderId="149" xfId="0" applyFont="1" applyFill="1" applyBorder="1" applyAlignment="1">
      <alignment horizontal="center" vertical="center"/>
    </xf>
    <xf numFmtId="0" fontId="75" fillId="4" borderId="149" xfId="0" applyFont="1" applyFill="1" applyBorder="1" applyAlignment="1">
      <alignment horizontal="center" vertical="center" wrapText="1"/>
    </xf>
    <xf numFmtId="4" fontId="75" fillId="0" borderId="149" xfId="0" applyNumberFormat="1" applyFont="1" applyBorder="1" applyAlignment="1">
      <alignment vertical="center" wrapText="1"/>
    </xf>
    <xf numFmtId="0" fontId="77" fillId="0" borderId="149" xfId="0" applyFont="1" applyBorder="1" applyAlignment="1">
      <alignment vertical="center"/>
    </xf>
    <xf numFmtId="0" fontId="77" fillId="0" borderId="185" xfId="0" applyFont="1" applyBorder="1" applyAlignment="1">
      <alignment vertical="center"/>
    </xf>
    <xf numFmtId="0" fontId="77" fillId="0" borderId="156" xfId="0" applyFont="1" applyBorder="1" applyAlignment="1">
      <alignment vertical="center"/>
    </xf>
    <xf numFmtId="4" fontId="75" fillId="0" borderId="180" xfId="0" applyNumberFormat="1" applyFont="1" applyBorder="1" applyAlignment="1">
      <alignment vertical="center" wrapText="1"/>
    </xf>
    <xf numFmtId="0" fontId="75" fillId="0" borderId="149" xfId="0" applyFont="1" applyBorder="1" applyAlignment="1">
      <alignment horizontal="left" vertical="top" wrapText="1"/>
    </xf>
    <xf numFmtId="0" fontId="77" fillId="0" borderId="149" xfId="0" applyFont="1" applyBorder="1" applyAlignment="1">
      <alignment horizontal="left" vertical="top"/>
    </xf>
    <xf numFmtId="0" fontId="77" fillId="0" borderId="156" xfId="0" applyFont="1" applyBorder="1" applyAlignment="1">
      <alignment horizontal="left" vertical="top"/>
    </xf>
    <xf numFmtId="0" fontId="75" fillId="0" borderId="149" xfId="0" applyFont="1" applyBorder="1" applyAlignment="1">
      <alignment vertical="center"/>
    </xf>
    <xf numFmtId="4" fontId="75" fillId="0" borderId="69" xfId="0" applyNumberFormat="1" applyFont="1" applyBorder="1" applyAlignment="1">
      <alignment horizontal="center" vertical="center" wrapText="1"/>
    </xf>
    <xf numFmtId="0" fontId="77" fillId="0" borderId="83" xfId="0" applyFont="1" applyBorder="1"/>
    <xf numFmtId="0" fontId="75" fillId="0" borderId="69" xfId="0" applyFont="1" applyBorder="1" applyAlignment="1">
      <alignment horizontal="left" vertical="top"/>
    </xf>
    <xf numFmtId="0" fontId="77" fillId="0" borderId="83" xfId="0" applyFont="1" applyBorder="1" applyAlignment="1">
      <alignment horizontal="left" vertical="top"/>
    </xf>
    <xf numFmtId="0" fontId="77" fillId="0" borderId="64" xfId="0" applyFont="1" applyBorder="1" applyAlignment="1">
      <alignment horizontal="left" vertical="top"/>
    </xf>
    <xf numFmtId="0" fontId="77" fillId="0" borderId="164" xfId="0" applyFont="1" applyBorder="1" applyAlignment="1">
      <alignment horizontal="left" vertical="top"/>
    </xf>
    <xf numFmtId="0" fontId="75" fillId="0" borderId="69" xfId="0" applyFont="1" applyBorder="1"/>
    <xf numFmtId="0" fontId="77" fillId="0" borderId="164" xfId="0" applyFont="1" applyBorder="1"/>
    <xf numFmtId="0" fontId="75" fillId="4" borderId="149" xfId="0" applyFont="1" applyFill="1" applyBorder="1" applyAlignment="1">
      <alignment horizontal="center" vertical="center"/>
    </xf>
    <xf numFmtId="9" fontId="72" fillId="4" borderId="149" xfId="0" applyNumberFormat="1" applyFont="1" applyFill="1" applyBorder="1" applyAlignment="1">
      <alignment horizontal="center" vertical="center"/>
    </xf>
    <xf numFmtId="9" fontId="75" fillId="4" borderId="149" xfId="0" applyNumberFormat="1" applyFont="1" applyFill="1" applyBorder="1" applyAlignment="1">
      <alignment horizontal="center" vertical="center" wrapText="1"/>
    </xf>
    <xf numFmtId="4" fontId="75" fillId="0" borderId="183" xfId="0" applyNumberFormat="1" applyFont="1" applyBorder="1" applyAlignment="1">
      <alignment vertical="center" wrapText="1"/>
    </xf>
    <xf numFmtId="0" fontId="77" fillId="0" borderId="183" xfId="0" applyFont="1" applyBorder="1" applyAlignment="1">
      <alignment vertical="center"/>
    </xf>
    <xf numFmtId="0" fontId="77" fillId="0" borderId="186" xfId="0" applyFont="1" applyBorder="1" applyAlignment="1">
      <alignment vertical="center"/>
    </xf>
    <xf numFmtId="0" fontId="75" fillId="0" borderId="134" xfId="0" applyFont="1" applyBorder="1" applyAlignment="1">
      <alignment vertical="top"/>
    </xf>
    <xf numFmtId="0" fontId="75" fillId="0" borderId="134" xfId="0" applyFont="1" applyBorder="1"/>
    <xf numFmtId="0" fontId="72" fillId="0" borderId="124" xfId="0" applyFont="1" applyBorder="1" applyAlignment="1">
      <alignment horizontal="right" vertical="center" wrapText="1"/>
    </xf>
    <xf numFmtId="0" fontId="77" fillId="0" borderId="125" xfId="0" applyFont="1" applyBorder="1" applyAlignment="1">
      <alignment vertical="center"/>
    </xf>
    <xf numFmtId="0" fontId="77" fillId="0" borderId="66" xfId="0" applyFont="1" applyBorder="1" applyAlignment="1">
      <alignment vertical="center"/>
    </xf>
    <xf numFmtId="0" fontId="80" fillId="0" borderId="0" xfId="0" applyFont="1" applyAlignment="1">
      <alignment horizontal="left" vertical="center" wrapText="1"/>
    </xf>
    <xf numFmtId="0" fontId="75" fillId="0" borderId="0" xfId="0" applyFont="1" applyAlignment="1">
      <alignment horizontal="left" vertical="center" wrapText="1"/>
    </xf>
    <xf numFmtId="0" fontId="75" fillId="0" borderId="134" xfId="0" applyFont="1" applyBorder="1" applyAlignment="1">
      <alignment horizontal="left" vertical="center" wrapText="1"/>
    </xf>
    <xf numFmtId="0" fontId="77" fillId="0" borderId="185" xfId="0" applyFont="1" applyBorder="1" applyAlignment="1">
      <alignment horizontal="left" vertical="top"/>
    </xf>
    <xf numFmtId="0" fontId="75" fillId="0" borderId="149" xfId="0" applyFont="1" applyBorder="1" applyAlignment="1">
      <alignment vertical="top" wrapText="1"/>
    </xf>
    <xf numFmtId="0" fontId="77" fillId="0" borderId="149" xfId="0" applyFont="1" applyBorder="1" applyAlignment="1">
      <alignment vertical="top"/>
    </xf>
    <xf numFmtId="0" fontId="77" fillId="0" borderId="185" xfId="0" applyFont="1" applyBorder="1" applyAlignment="1">
      <alignment vertical="top"/>
    </xf>
    <xf numFmtId="0" fontId="75" fillId="0" borderId="149" xfId="0" applyFont="1" applyBorder="1" applyAlignment="1">
      <alignment horizontal="center" vertical="top" wrapText="1"/>
    </xf>
    <xf numFmtId="4" fontId="75" fillId="0" borderId="183" xfId="0" applyNumberFormat="1" applyFont="1" applyBorder="1" applyAlignment="1">
      <alignment horizontal="center" vertical="center" wrapText="1"/>
    </xf>
    <xf numFmtId="0" fontId="77" fillId="0" borderId="183" xfId="0" applyFont="1" applyBorder="1" applyAlignment="1">
      <alignment horizontal="center" vertical="center" wrapText="1"/>
    </xf>
    <xf numFmtId="4" fontId="75" fillId="0" borderId="149" xfId="0" applyNumberFormat="1" applyFont="1" applyBorder="1" applyAlignment="1">
      <alignment horizontal="center" vertical="center" wrapText="1"/>
    </xf>
    <xf numFmtId="0" fontId="77" fillId="0" borderId="149" xfId="0" applyFont="1" applyBorder="1" applyAlignment="1">
      <alignment horizontal="center" vertical="center" wrapText="1"/>
    </xf>
    <xf numFmtId="0" fontId="86" fillId="0" borderId="182" xfId="0" applyFont="1" applyBorder="1" applyAlignment="1">
      <alignment horizontal="center" vertical="center" wrapText="1"/>
    </xf>
    <xf numFmtId="0" fontId="86" fillId="0" borderId="149" xfId="0" applyFont="1" applyBorder="1" applyAlignment="1">
      <alignment horizontal="center" vertical="center" wrapText="1"/>
    </xf>
    <xf numFmtId="0" fontId="87" fillId="0" borderId="149" xfId="0" applyFont="1" applyBorder="1" applyAlignment="1">
      <alignment horizontal="center" vertical="center" wrapText="1"/>
    </xf>
    <xf numFmtId="0" fontId="87" fillId="0" borderId="182" xfId="0" applyFont="1" applyBorder="1" applyAlignment="1">
      <alignment horizontal="center" vertical="center" wrapText="1"/>
    </xf>
    <xf numFmtId="0" fontId="75" fillId="0" borderId="150" xfId="0" applyFont="1" applyBorder="1" applyAlignment="1">
      <alignment horizontal="left" vertical="top" wrapText="1"/>
    </xf>
    <xf numFmtId="0" fontId="75" fillId="0" borderId="154" xfId="0" applyFont="1" applyBorder="1" applyAlignment="1">
      <alignment horizontal="left" vertical="top" wrapText="1"/>
    </xf>
    <xf numFmtId="0" fontId="75" fillId="0" borderId="152" xfId="0" applyFont="1" applyBorder="1" applyAlignment="1">
      <alignment horizontal="left" vertical="top" wrapText="1"/>
    </xf>
    <xf numFmtId="0" fontId="75" fillId="0" borderId="155" xfId="0" applyFont="1" applyBorder="1" applyAlignment="1">
      <alignment horizontal="left" vertical="top" wrapText="1"/>
    </xf>
    <xf numFmtId="0" fontId="75" fillId="0" borderId="220" xfId="0" applyFont="1" applyBorder="1" applyAlignment="1">
      <alignment horizontal="left" vertical="top" wrapText="1"/>
    </xf>
    <xf numFmtId="0" fontId="75" fillId="0" borderId="221" xfId="0" applyFont="1" applyBorder="1" applyAlignment="1">
      <alignment horizontal="left" vertical="top" wrapText="1"/>
    </xf>
    <xf numFmtId="0" fontId="77" fillId="0" borderId="149" xfId="0" applyFont="1" applyBorder="1" applyAlignment="1">
      <alignment horizontal="center" vertical="top" wrapText="1"/>
    </xf>
    <xf numFmtId="9" fontId="75" fillId="0" borderId="149" xfId="0" applyNumberFormat="1" applyFont="1" applyBorder="1" applyAlignment="1">
      <alignment horizontal="center" vertical="top" wrapText="1"/>
    </xf>
    <xf numFmtId="0" fontId="76" fillId="0" borderId="189" xfId="0" applyFont="1" applyBorder="1" applyAlignment="1">
      <alignment horizontal="center" vertical="center" wrapText="1"/>
    </xf>
    <xf numFmtId="0" fontId="77" fillId="0" borderId="171" xfId="0" applyFont="1" applyBorder="1" applyAlignment="1">
      <alignment horizontal="center" vertical="center" wrapText="1"/>
    </xf>
    <xf numFmtId="0" fontId="77" fillId="0" borderId="172" xfId="0" applyFont="1" applyBorder="1" applyAlignment="1">
      <alignment horizontal="center" vertical="center" wrapText="1"/>
    </xf>
    <xf numFmtId="0" fontId="76" fillId="0" borderId="196" xfId="0" applyFont="1" applyBorder="1" applyAlignment="1">
      <alignment horizontal="center" vertical="center" wrapText="1"/>
    </xf>
    <xf numFmtId="0" fontId="77" fillId="0" borderId="190" xfId="0" applyFont="1" applyBorder="1" applyAlignment="1">
      <alignment horizontal="center" vertical="center" wrapText="1"/>
    </xf>
    <xf numFmtId="0" fontId="72" fillId="0" borderId="180" xfId="0" applyFont="1" applyBorder="1" applyAlignment="1">
      <alignment horizontal="center" vertical="center" wrapText="1"/>
    </xf>
    <xf numFmtId="0" fontId="77" fillId="0" borderId="180" xfId="0" applyFont="1" applyBorder="1" applyAlignment="1">
      <alignment horizontal="center" vertical="center" wrapText="1"/>
    </xf>
    <xf numFmtId="0" fontId="77" fillId="0" borderId="156" xfId="0" applyFont="1" applyBorder="1" applyAlignment="1">
      <alignment horizontal="center" vertical="center" wrapText="1"/>
    </xf>
    <xf numFmtId="0" fontId="72" fillId="0" borderId="179" xfId="0" applyFont="1" applyBorder="1" applyAlignment="1">
      <alignment horizontal="center" vertical="center" wrapText="1"/>
    </xf>
    <xf numFmtId="0" fontId="77" fillId="0" borderId="187" xfId="0" applyFont="1" applyBorder="1" applyAlignment="1">
      <alignment horizontal="center" vertical="center" wrapText="1"/>
    </xf>
    <xf numFmtId="0" fontId="86" fillId="0" borderId="179" xfId="0" applyFont="1" applyBorder="1" applyAlignment="1">
      <alignment horizontal="center" vertical="center" wrapText="1"/>
    </xf>
    <xf numFmtId="0" fontId="87" fillId="0" borderId="180" xfId="0" applyFont="1" applyBorder="1" applyAlignment="1">
      <alignment horizontal="center" vertical="center" wrapText="1"/>
    </xf>
    <xf numFmtId="0" fontId="75" fillId="0" borderId="180" xfId="0" applyFont="1" applyBorder="1" applyAlignment="1">
      <alignment horizontal="left" vertical="top" wrapText="1"/>
    </xf>
    <xf numFmtId="0" fontId="77" fillId="0" borderId="180" xfId="0" applyFont="1" applyBorder="1" applyAlignment="1">
      <alignment horizontal="left" vertical="top" wrapText="1"/>
    </xf>
    <xf numFmtId="0" fontId="77" fillId="0" borderId="149" xfId="0" applyFont="1" applyBorder="1" applyAlignment="1">
      <alignment horizontal="left" vertical="top" wrapText="1"/>
    </xf>
    <xf numFmtId="0" fontId="75" fillId="0" borderId="180" xfId="0" applyFont="1" applyBorder="1" applyAlignment="1">
      <alignment horizontal="center" vertical="top" wrapText="1"/>
    </xf>
    <xf numFmtId="4" fontId="75" fillId="0" borderId="212" xfId="0" applyNumberFormat="1" applyFont="1" applyBorder="1" applyAlignment="1">
      <alignment horizontal="center" vertical="center"/>
    </xf>
    <xf numFmtId="0" fontId="77" fillId="0" borderId="213" xfId="0" applyFont="1" applyBorder="1"/>
    <xf numFmtId="0" fontId="77" fillId="0" borderId="194" xfId="0" applyFont="1" applyBorder="1"/>
    <xf numFmtId="4" fontId="75" fillId="0" borderId="212" xfId="0" applyNumberFormat="1" applyFont="1" applyBorder="1" applyAlignment="1">
      <alignment horizontal="center" vertical="top"/>
    </xf>
    <xf numFmtId="0" fontId="77" fillId="0" borderId="213" xfId="0" applyFont="1" applyBorder="1" applyAlignment="1">
      <alignment vertical="top"/>
    </xf>
    <xf numFmtId="0" fontId="77" fillId="0" borderId="204" xfId="0" applyFont="1" applyBorder="1" applyAlignment="1">
      <alignment vertical="top"/>
    </xf>
    <xf numFmtId="0" fontId="77" fillId="0" borderId="64" xfId="0" applyFont="1" applyBorder="1"/>
    <xf numFmtId="0" fontId="77" fillId="0" borderId="204" xfId="0" applyFont="1" applyBorder="1"/>
    <xf numFmtId="4" fontId="72" fillId="0" borderId="180" xfId="0" applyNumberFormat="1" applyFont="1" applyBorder="1" applyAlignment="1">
      <alignment horizontal="center" vertical="center" wrapText="1"/>
    </xf>
    <xf numFmtId="4" fontId="75" fillId="0" borderId="180" xfId="0" applyNumberFormat="1" applyFont="1" applyBorder="1" applyAlignment="1">
      <alignment horizontal="center" vertical="center" wrapText="1"/>
    </xf>
    <xf numFmtId="4" fontId="75" fillId="0" borderId="181" xfId="0" applyNumberFormat="1" applyFont="1" applyBorder="1" applyAlignment="1">
      <alignment horizontal="center" vertical="center" wrapText="1"/>
    </xf>
    <xf numFmtId="9" fontId="72" fillId="0" borderId="180" xfId="0" applyNumberFormat="1" applyFont="1" applyBorder="1" applyAlignment="1">
      <alignment horizontal="center" vertical="center" wrapText="1"/>
    </xf>
    <xf numFmtId="4" fontId="72" fillId="0" borderId="181" xfId="0" applyNumberFormat="1" applyFont="1" applyBorder="1" applyAlignment="1">
      <alignment horizontal="center" vertical="center" wrapText="1"/>
    </xf>
    <xf numFmtId="0" fontId="77" fillId="0" borderId="188" xfId="0" applyFont="1" applyBorder="1" applyAlignment="1">
      <alignment horizontal="center" vertical="center" wrapText="1"/>
    </xf>
    <xf numFmtId="9" fontId="75" fillId="0" borderId="180" xfId="0" applyNumberFormat="1" applyFont="1" applyBorder="1" applyAlignment="1">
      <alignment horizontal="center" vertical="top" wrapText="1"/>
    </xf>
    <xf numFmtId="0" fontId="75" fillId="0" borderId="149" xfId="0" applyFont="1" applyBorder="1" applyAlignment="1">
      <alignment horizontal="center" vertical="center" wrapText="1"/>
    </xf>
    <xf numFmtId="0" fontId="77" fillId="0" borderId="188" xfId="0" applyFont="1" applyBorder="1" applyAlignment="1">
      <alignment vertical="center"/>
    </xf>
    <xf numFmtId="4" fontId="75" fillId="0" borderId="181" xfId="0" applyNumberFormat="1" applyFont="1" applyBorder="1" applyAlignment="1">
      <alignment vertical="center" wrapText="1"/>
    </xf>
    <xf numFmtId="0" fontId="75" fillId="0" borderId="156" xfId="0" applyFont="1" applyBorder="1" applyAlignment="1">
      <alignment vertical="center" wrapText="1"/>
    </xf>
    <xf numFmtId="0" fontId="75" fillId="0" borderId="216" xfId="0" applyFont="1" applyBorder="1" applyAlignment="1">
      <alignment vertical="center" wrapText="1"/>
    </xf>
    <xf numFmtId="0" fontId="75" fillId="0" borderId="217" xfId="0" applyFont="1" applyBorder="1" applyAlignment="1">
      <alignment vertical="center" wrapText="1"/>
    </xf>
    <xf numFmtId="0" fontId="75" fillId="0" borderId="180" xfId="0" applyFont="1" applyBorder="1" applyAlignment="1">
      <alignment vertical="center" wrapText="1"/>
    </xf>
    <xf numFmtId="0" fontId="75" fillId="0" borderId="180" xfId="0" applyFont="1" applyBorder="1" applyAlignment="1">
      <alignment vertical="center"/>
    </xf>
    <xf numFmtId="0" fontId="75" fillId="0" borderId="201" xfId="0" applyFont="1" applyBorder="1" applyAlignment="1">
      <alignment horizontal="left" vertical="top" wrapText="1"/>
    </xf>
    <xf numFmtId="0" fontId="75" fillId="0" borderId="202" xfId="0" applyFont="1" applyBorder="1" applyAlignment="1">
      <alignment horizontal="left" vertical="top" wrapText="1"/>
    </xf>
    <xf numFmtId="0" fontId="75" fillId="0" borderId="149" xfId="0" applyFont="1" applyBorder="1" applyAlignment="1">
      <alignment vertical="top"/>
    </xf>
    <xf numFmtId="9" fontId="75" fillId="0" borderId="149" xfId="0" applyNumberFormat="1" applyFont="1" applyBorder="1" applyAlignment="1">
      <alignment horizontal="center" vertical="top"/>
    </xf>
    <xf numFmtId="0" fontId="77" fillId="0" borderId="149" xfId="0" applyFont="1" applyBorder="1" applyAlignment="1">
      <alignment horizontal="center" vertical="top"/>
    </xf>
    <xf numFmtId="0" fontId="75" fillId="0" borderId="180" xfId="0" applyFont="1" applyBorder="1" applyAlignment="1">
      <alignment vertical="top" wrapText="1"/>
    </xf>
    <xf numFmtId="0" fontId="77" fillId="0" borderId="149" xfId="0" applyFont="1" applyBorder="1" applyAlignment="1">
      <alignment vertical="top" wrapText="1"/>
    </xf>
    <xf numFmtId="0" fontId="77" fillId="0" borderId="156" xfId="0" applyFont="1" applyBorder="1" applyAlignment="1">
      <alignment vertical="top" wrapText="1"/>
    </xf>
    <xf numFmtId="0" fontId="77" fillId="0" borderId="156" xfId="0" applyFont="1" applyBorder="1" applyAlignment="1">
      <alignment horizontal="center" vertical="top"/>
    </xf>
    <xf numFmtId="9" fontId="75" fillId="0" borderId="180" xfId="0" applyNumberFormat="1" applyFont="1" applyBorder="1" applyAlignment="1">
      <alignment horizontal="center" vertical="top"/>
    </xf>
    <xf numFmtId="9" fontId="75" fillId="0" borderId="149" xfId="0" applyNumberFormat="1" applyFont="1" applyBorder="1" applyAlignment="1">
      <alignment horizontal="center" vertical="center"/>
    </xf>
    <xf numFmtId="0" fontId="77" fillId="0" borderId="149" xfId="0" applyFont="1" applyBorder="1" applyAlignment="1">
      <alignment horizontal="center" vertical="center"/>
    </xf>
    <xf numFmtId="4" fontId="75" fillId="0" borderId="149" xfId="0" applyNumberFormat="1" applyFont="1" applyBorder="1" applyAlignment="1">
      <alignment vertical="top" wrapText="1"/>
    </xf>
    <xf numFmtId="4" fontId="75" fillId="0" borderId="183" xfId="0" applyNumberFormat="1" applyFont="1" applyBorder="1" applyAlignment="1">
      <alignment vertical="top" wrapText="1"/>
    </xf>
    <xf numFmtId="0" fontId="77" fillId="0" borderId="183" xfId="0" applyFont="1" applyBorder="1" applyAlignment="1">
      <alignment vertical="top"/>
    </xf>
    <xf numFmtId="9" fontId="75" fillId="0" borderId="156" xfId="0" applyNumberFormat="1" applyFont="1" applyBorder="1" applyAlignment="1">
      <alignment horizontal="center" vertical="top"/>
    </xf>
    <xf numFmtId="0" fontId="72" fillId="0" borderId="172" xfId="0" applyFont="1" applyBorder="1" applyAlignment="1">
      <alignment horizontal="center" vertical="center" wrapText="1"/>
    </xf>
    <xf numFmtId="0" fontId="77" fillId="0" borderId="115" xfId="0" applyFont="1" applyBorder="1"/>
    <xf numFmtId="0" fontId="77" fillId="0" borderId="166" xfId="0" applyFont="1" applyBorder="1"/>
    <xf numFmtId="4" fontId="72" fillId="0" borderId="196" xfId="0" applyNumberFormat="1" applyFont="1" applyBorder="1" applyAlignment="1">
      <alignment horizontal="center" vertical="center" wrapText="1"/>
    </xf>
    <xf numFmtId="0" fontId="77" fillId="0" borderId="123" xfId="0" applyFont="1" applyBorder="1" applyAlignment="1">
      <alignment horizontal="center"/>
    </xf>
    <xf numFmtId="0" fontId="77" fillId="0" borderId="162" xfId="0" applyFont="1" applyBorder="1" applyAlignment="1">
      <alignment horizontal="center"/>
    </xf>
    <xf numFmtId="0" fontId="72" fillId="0" borderId="180" xfId="0" applyFont="1" applyBorder="1" applyAlignment="1">
      <alignment horizontal="left" vertical="top" wrapText="1"/>
    </xf>
    <xf numFmtId="0" fontId="75" fillId="0" borderId="180" xfId="0" applyFont="1" applyBorder="1" applyAlignment="1">
      <alignment horizontal="center" vertical="center" wrapText="1"/>
    </xf>
    <xf numFmtId="0" fontId="72" fillId="0" borderId="191" xfId="0" applyFont="1" applyBorder="1" applyAlignment="1">
      <alignment horizontal="center" vertical="center" wrapText="1"/>
    </xf>
    <xf numFmtId="0" fontId="77" fillId="0" borderId="193" xfId="0" applyFont="1" applyBorder="1"/>
    <xf numFmtId="0" fontId="72" fillId="0" borderId="78" xfId="0" applyFont="1" applyBorder="1" applyAlignment="1">
      <alignment horizontal="center" vertical="center" wrapText="1"/>
    </xf>
    <xf numFmtId="0" fontId="72" fillId="0" borderId="171" xfId="0" applyFont="1" applyBorder="1" applyAlignment="1">
      <alignment horizontal="center" vertical="center" wrapText="1"/>
    </xf>
    <xf numFmtId="0" fontId="77" fillId="0" borderId="172" xfId="0" applyFont="1" applyBorder="1"/>
    <xf numFmtId="0" fontId="77" fillId="0" borderId="134" xfId="0" applyFont="1" applyBorder="1"/>
    <xf numFmtId="0" fontId="72" fillId="0" borderId="173" xfId="0" applyFont="1" applyBorder="1" applyAlignment="1">
      <alignment horizontal="center" vertical="center" wrapText="1"/>
    </xf>
    <xf numFmtId="0" fontId="77" fillId="0" borderId="113" xfId="0" applyFont="1" applyBorder="1"/>
    <xf numFmtId="0" fontId="77" fillId="0" borderId="113" xfId="0" applyFont="1" applyBorder="1" applyAlignment="1">
      <alignment horizontal="center"/>
    </xf>
    <xf numFmtId="0" fontId="72" fillId="0" borderId="176" xfId="0" applyFont="1" applyBorder="1" applyAlignment="1">
      <alignment horizontal="center" vertical="center" wrapText="1"/>
    </xf>
    <xf numFmtId="0" fontId="77" fillId="0" borderId="178" xfId="0" applyFont="1" applyBorder="1"/>
    <xf numFmtId="0" fontId="72" fillId="0" borderId="192" xfId="0" applyFont="1" applyBorder="1" applyAlignment="1">
      <alignment horizontal="center" vertical="center" wrapText="1"/>
    </xf>
    <xf numFmtId="4" fontId="72" fillId="6" borderId="211" xfId="0" applyNumberFormat="1" applyFont="1" applyFill="1" applyBorder="1" applyAlignment="1">
      <alignment horizontal="center" wrapText="1"/>
    </xf>
    <xf numFmtId="0" fontId="77" fillId="0" borderId="198" xfId="0" applyFont="1" applyBorder="1"/>
    <xf numFmtId="0" fontId="77" fillId="0" borderId="185" xfId="0" applyFont="1" applyBorder="1" applyAlignment="1">
      <alignment horizontal="left" vertical="top" wrapText="1"/>
    </xf>
    <xf numFmtId="0" fontId="79" fillId="0" borderId="149" xfId="0" applyFont="1" applyBorder="1" applyAlignment="1">
      <alignment horizontal="left" vertical="top" wrapText="1"/>
    </xf>
    <xf numFmtId="0" fontId="77" fillId="0" borderId="185" xfId="0" applyFont="1" applyBorder="1" applyAlignment="1">
      <alignment horizontal="center" vertical="center" wrapText="1"/>
    </xf>
    <xf numFmtId="4" fontId="75" fillId="4" borderId="183" xfId="0" applyNumberFormat="1" applyFont="1" applyFill="1" applyBorder="1" applyAlignment="1">
      <alignment horizontal="center" vertical="center" wrapText="1"/>
    </xf>
    <xf numFmtId="0" fontId="77" fillId="0" borderId="186" xfId="0" applyFont="1" applyBorder="1" applyAlignment="1">
      <alignment horizontal="center" vertical="center" wrapText="1"/>
    </xf>
    <xf numFmtId="0" fontId="72" fillId="7" borderId="115" xfId="0" applyFont="1" applyFill="1" applyBorder="1" applyAlignment="1">
      <alignment horizontal="left" vertical="top" wrapText="1"/>
    </xf>
    <xf numFmtId="0" fontId="77" fillId="0" borderId="115" xfId="0" applyFont="1" applyBorder="1" applyAlignment="1">
      <alignment horizontal="left" vertical="top"/>
    </xf>
    <xf numFmtId="0" fontId="72" fillId="6" borderId="114" xfId="0" applyFont="1" applyFill="1" applyBorder="1" applyAlignment="1">
      <alignment wrapText="1"/>
    </xf>
    <xf numFmtId="4" fontId="72" fillId="6" borderId="107" xfId="0" applyNumberFormat="1" applyFont="1" applyFill="1" applyBorder="1" applyAlignment="1">
      <alignment horizontal="center" vertical="center" wrapText="1"/>
    </xf>
    <xf numFmtId="0" fontId="72" fillId="0" borderId="206" xfId="0" applyFont="1" applyBorder="1" applyAlignment="1">
      <alignment vertical="top" wrapText="1"/>
    </xf>
    <xf numFmtId="0" fontId="77" fillId="0" borderId="18" xfId="0" applyFont="1" applyBorder="1" applyAlignment="1">
      <alignment vertical="top"/>
    </xf>
    <xf numFmtId="0" fontId="76" fillId="0" borderId="208" xfId="0" applyFont="1" applyBorder="1" applyAlignment="1">
      <alignment horizontal="center"/>
    </xf>
    <xf numFmtId="0" fontId="77" fillId="0" borderId="46" xfId="0" applyFont="1" applyBorder="1"/>
    <xf numFmtId="0" fontId="77" fillId="0" borderId="146" xfId="0" applyFont="1" applyBorder="1"/>
    <xf numFmtId="0" fontId="76" fillId="0" borderId="124" xfId="0" applyFont="1" applyBorder="1" applyAlignment="1">
      <alignment horizontal="center"/>
    </xf>
    <xf numFmtId="0" fontId="77" fillId="0" borderId="125" xfId="0" applyFont="1" applyBorder="1"/>
    <xf numFmtId="0" fontId="77" fillId="0" borderId="209" xfId="0" applyFont="1" applyBorder="1"/>
    <xf numFmtId="0" fontId="72" fillId="6" borderId="124" xfId="0" applyFont="1" applyFill="1" applyBorder="1" applyAlignment="1">
      <alignment horizontal="center"/>
    </xf>
    <xf numFmtId="0" fontId="77" fillId="0" borderId="66" xfId="0" applyFont="1" applyBorder="1"/>
    <xf numFmtId="0" fontId="86" fillId="4" borderId="182" xfId="0" applyFont="1" applyFill="1" applyBorder="1" applyAlignment="1">
      <alignment horizontal="center" vertical="center" wrapText="1"/>
    </xf>
    <xf numFmtId="0" fontId="87" fillId="0" borderId="184" xfId="0" applyFont="1" applyBorder="1" applyAlignment="1">
      <alignment horizontal="center" vertical="center" wrapText="1"/>
    </xf>
    <xf numFmtId="0" fontId="86" fillId="0" borderId="185" xfId="0" applyFont="1" applyBorder="1" applyAlignment="1">
      <alignment horizontal="center" vertical="center" wrapText="1"/>
    </xf>
    <xf numFmtId="0" fontId="77" fillId="0" borderId="185" xfId="0" applyFont="1" applyBorder="1" applyAlignment="1">
      <alignment horizontal="center" vertical="top" wrapText="1"/>
    </xf>
    <xf numFmtId="9" fontId="75" fillId="4" borderId="149" xfId="0" applyNumberFormat="1" applyFont="1" applyFill="1" applyBorder="1" applyAlignment="1">
      <alignment horizontal="center" vertical="top" wrapText="1"/>
    </xf>
    <xf numFmtId="0" fontId="72" fillId="4" borderId="203" xfId="0" applyFont="1" applyFill="1" applyBorder="1" applyAlignment="1">
      <alignment horizontal="right" vertical="center" wrapText="1"/>
    </xf>
    <xf numFmtId="0" fontId="77" fillId="0" borderId="125" xfId="0" applyFont="1" applyBorder="1" applyAlignment="1">
      <alignment horizontal="right" vertical="center" wrapText="1"/>
    </xf>
    <xf numFmtId="0" fontId="77" fillId="0" borderId="103" xfId="0" applyFont="1" applyBorder="1" applyAlignment="1">
      <alignment horizontal="right" vertical="center" wrapText="1"/>
    </xf>
    <xf numFmtId="0" fontId="72" fillId="0" borderId="157" xfId="0" applyFont="1" applyBorder="1" applyAlignment="1">
      <alignment horizontal="left" vertical="top" wrapText="1"/>
    </xf>
    <xf numFmtId="0" fontId="72" fillId="0" borderId="158" xfId="0" applyFont="1" applyBorder="1" applyAlignment="1">
      <alignment horizontal="left" vertical="top" wrapText="1"/>
    </xf>
    <xf numFmtId="0" fontId="72" fillId="0" borderId="207" xfId="0" applyFont="1" applyBorder="1" applyAlignment="1">
      <alignment horizontal="left" vertical="top" wrapText="1"/>
    </xf>
    <xf numFmtId="0" fontId="75" fillId="4" borderId="149" xfId="0" applyFont="1" applyFill="1" applyBorder="1" applyAlignment="1">
      <alignment horizontal="center" vertical="top" wrapText="1"/>
    </xf>
    <xf numFmtId="9" fontId="75" fillId="0" borderId="69" xfId="0" applyNumberFormat="1" applyFont="1" applyBorder="1" applyAlignment="1">
      <alignment horizontal="left" vertical="top" wrapText="1"/>
    </xf>
    <xf numFmtId="9" fontId="75" fillId="0" borderId="69" xfId="0" applyNumberFormat="1" applyFont="1" applyBorder="1" applyAlignment="1">
      <alignment horizontal="center" vertical="top"/>
    </xf>
    <xf numFmtId="0" fontId="77" fillId="0" borderId="83" xfId="0" applyFont="1" applyBorder="1" applyAlignment="1">
      <alignment vertical="top"/>
    </xf>
    <xf numFmtId="0" fontId="77" fillId="0" borderId="64" xfId="0" applyFont="1" applyBorder="1" applyAlignment="1">
      <alignment vertical="top"/>
    </xf>
    <xf numFmtId="4" fontId="75" fillId="11" borderId="69" xfId="0" applyNumberFormat="1" applyFont="1" applyFill="1" applyBorder="1" applyAlignment="1">
      <alignment horizontal="center" vertical="top" wrapText="1"/>
    </xf>
    <xf numFmtId="0" fontId="77" fillId="12" borderId="83" xfId="0" applyFont="1" applyFill="1" applyBorder="1" applyAlignment="1">
      <alignment vertical="top"/>
    </xf>
    <xf numFmtId="0" fontId="72" fillId="7" borderId="210" xfId="0" applyFont="1" applyFill="1" applyBorder="1" applyAlignment="1">
      <alignment horizontal="center" wrapText="1"/>
    </xf>
    <xf numFmtId="0" fontId="77" fillId="0" borderId="128" xfId="0" applyFont="1" applyBorder="1"/>
    <xf numFmtId="0" fontId="77" fillId="0" borderId="205" xfId="0" applyFont="1" applyBorder="1"/>
    <xf numFmtId="0" fontId="72" fillId="7" borderId="107" xfId="0" applyFont="1" applyFill="1" applyBorder="1" applyAlignment="1">
      <alignment horizontal="center" wrapText="1"/>
    </xf>
    <xf numFmtId="0" fontId="77" fillId="0" borderId="109" xfId="0" applyFont="1" applyBorder="1"/>
    <xf numFmtId="0" fontId="77" fillId="0" borderId="123" xfId="0" applyFont="1" applyBorder="1"/>
    <xf numFmtId="9" fontId="72" fillId="7" borderId="115" xfId="0" applyNumberFormat="1" applyFont="1" applyFill="1" applyBorder="1" applyAlignment="1">
      <alignment horizontal="center" wrapText="1"/>
    </xf>
    <xf numFmtId="0" fontId="77" fillId="0" borderId="115" xfId="0" applyFont="1" applyBorder="1" applyAlignment="1">
      <alignment horizontal="center"/>
    </xf>
    <xf numFmtId="9" fontId="72" fillId="6" borderId="109" xfId="0" applyNumberFormat="1" applyFont="1" applyFill="1" applyBorder="1" applyAlignment="1">
      <alignment horizontal="center" wrapText="1"/>
    </xf>
    <xf numFmtId="9" fontId="72" fillId="6" borderId="113" xfId="0" applyNumberFormat="1" applyFont="1" applyFill="1" applyBorder="1" applyAlignment="1">
      <alignment horizontal="center" wrapText="1"/>
    </xf>
    <xf numFmtId="0" fontId="75" fillId="0" borderId="210" xfId="0" applyFont="1" applyBorder="1" applyAlignment="1">
      <alignment horizontal="center" vertical="top" wrapText="1"/>
    </xf>
    <xf numFmtId="0" fontId="77" fillId="0" borderId="128" xfId="0" applyFont="1" applyBorder="1" applyAlignment="1">
      <alignment vertical="top"/>
    </xf>
    <xf numFmtId="0" fontId="77" fillId="0" borderId="91" xfId="0" applyFont="1" applyBorder="1" applyAlignment="1">
      <alignment vertical="top"/>
    </xf>
    <xf numFmtId="0" fontId="77" fillId="0" borderId="205" xfId="0" applyFont="1" applyBorder="1" applyAlignment="1">
      <alignment vertical="top"/>
    </xf>
    <xf numFmtId="0" fontId="77" fillId="0" borderId="137" xfId="0" applyFont="1" applyBorder="1" applyAlignment="1">
      <alignment vertical="top"/>
    </xf>
    <xf numFmtId="0" fontId="77" fillId="0" borderId="203" xfId="0" applyFont="1" applyBorder="1" applyAlignment="1">
      <alignment vertical="top"/>
    </xf>
    <xf numFmtId="0" fontId="77" fillId="0" borderId="125" xfId="0" applyFont="1" applyBorder="1" applyAlignment="1">
      <alignment vertical="top"/>
    </xf>
    <xf numFmtId="0" fontId="77" fillId="0" borderId="103" xfId="0" applyFont="1" applyBorder="1" applyAlignment="1">
      <alignment vertical="top"/>
    </xf>
    <xf numFmtId="0" fontId="75" fillId="0" borderId="88" xfId="0" applyFont="1" applyBorder="1" applyAlignment="1">
      <alignment horizontal="left" vertical="top" wrapText="1"/>
    </xf>
    <xf numFmtId="0" fontId="77" fillId="0" borderId="128" xfId="0" applyFont="1" applyBorder="1" applyAlignment="1">
      <alignment horizontal="left" vertical="top"/>
    </xf>
    <xf numFmtId="0" fontId="77" fillId="0" borderId="91" xfId="0" applyFont="1" applyBorder="1" applyAlignment="1">
      <alignment horizontal="left" vertical="top"/>
    </xf>
    <xf numFmtId="0" fontId="77" fillId="0" borderId="143" xfId="0" applyFont="1" applyBorder="1" applyAlignment="1">
      <alignment horizontal="left" vertical="top"/>
    </xf>
    <xf numFmtId="0" fontId="75" fillId="0" borderId="134" xfId="0" applyFont="1" applyBorder="1" applyAlignment="1">
      <alignment horizontal="left" vertical="top"/>
    </xf>
    <xf numFmtId="0" fontId="77" fillId="0" borderId="137" xfId="0" applyFont="1" applyBorder="1" applyAlignment="1">
      <alignment horizontal="left" vertical="top"/>
    </xf>
    <xf numFmtId="0" fontId="77" fillId="0" borderId="102" xfId="0" applyFont="1" applyBorder="1" applyAlignment="1">
      <alignment horizontal="left" vertical="top"/>
    </xf>
    <xf numFmtId="0" fontId="77" fillId="0" borderId="125" xfId="0" applyFont="1" applyBorder="1" applyAlignment="1">
      <alignment horizontal="left" vertical="top"/>
    </xf>
    <xf numFmtId="0" fontId="77" fillId="0" borderId="103" xfId="0" applyFont="1" applyBorder="1" applyAlignment="1">
      <alignment horizontal="left" vertical="top"/>
    </xf>
    <xf numFmtId="4" fontId="72" fillId="6" borderId="114" xfId="0" applyNumberFormat="1" applyFont="1" applyFill="1" applyBorder="1" applyAlignment="1">
      <alignment horizontal="center" wrapText="1"/>
    </xf>
    <xf numFmtId="0" fontId="75" fillId="0" borderId="88" xfId="0" applyFont="1" applyBorder="1" applyAlignment="1">
      <alignment vertical="top" wrapText="1"/>
    </xf>
    <xf numFmtId="0" fontId="77" fillId="0" borderId="143" xfId="0" applyFont="1" applyBorder="1" applyAlignment="1">
      <alignment vertical="top"/>
    </xf>
    <xf numFmtId="0" fontId="77" fillId="0" borderId="165" xfId="0" applyFont="1" applyBorder="1" applyAlignment="1">
      <alignment vertical="top"/>
    </xf>
    <xf numFmtId="0" fontId="77" fillId="0" borderId="163" xfId="0" applyFont="1" applyBorder="1" applyAlignment="1">
      <alignment vertical="top"/>
    </xf>
    <xf numFmtId="0" fontId="77" fillId="0" borderId="167" xfId="0" applyFont="1" applyBorder="1" applyAlignment="1">
      <alignment vertical="top"/>
    </xf>
    <xf numFmtId="0" fontId="72" fillId="4" borderId="124" xfId="0" applyFont="1" applyFill="1" applyBorder="1" applyAlignment="1">
      <alignment horizontal="right" vertical="center" wrapText="1"/>
    </xf>
    <xf numFmtId="0" fontId="75" fillId="0" borderId="210" xfId="0" applyFont="1" applyBorder="1" applyAlignment="1">
      <alignment horizontal="center" vertical="top"/>
    </xf>
    <xf numFmtId="0" fontId="77" fillId="0" borderId="102" xfId="0" applyFont="1" applyBorder="1" applyAlignment="1">
      <alignment vertical="top"/>
    </xf>
    <xf numFmtId="9" fontId="75" fillId="0" borderId="69" xfId="0" applyNumberFormat="1" applyFont="1" applyBorder="1" applyAlignment="1">
      <alignment horizontal="center" vertical="top" wrapText="1"/>
    </xf>
    <xf numFmtId="0" fontId="77" fillId="0" borderId="83" xfId="0" applyFont="1" applyBorder="1" applyAlignment="1">
      <alignment horizontal="center" vertical="top"/>
    </xf>
    <xf numFmtId="0" fontId="77" fillId="0" borderId="64" xfId="0" applyFont="1" applyBorder="1" applyAlignment="1">
      <alignment horizontal="center" vertical="top"/>
    </xf>
    <xf numFmtId="0" fontId="77" fillId="0" borderId="214" xfId="0" applyFont="1" applyBorder="1" applyAlignment="1">
      <alignment vertical="top"/>
    </xf>
    <xf numFmtId="0" fontId="77" fillId="0" borderId="164" xfId="0" applyFont="1" applyBorder="1" applyAlignment="1">
      <alignment horizontal="center" vertical="top"/>
    </xf>
    <xf numFmtId="0" fontId="77" fillId="0" borderId="164" xfId="0" applyFont="1" applyBorder="1" applyAlignment="1">
      <alignment vertical="top"/>
    </xf>
    <xf numFmtId="0" fontId="75" fillId="0" borderId="149" xfId="0" applyFont="1" applyBorder="1" applyAlignment="1">
      <alignment horizontal="left" vertical="center" wrapText="1"/>
    </xf>
    <xf numFmtId="0" fontId="77" fillId="0" borderId="149" xfId="0" applyFont="1" applyBorder="1" applyAlignment="1">
      <alignment horizontal="left" vertical="center" wrapText="1"/>
    </xf>
    <xf numFmtId="0" fontId="77" fillId="0" borderId="156" xfId="0" applyFont="1" applyBorder="1" applyAlignment="1">
      <alignment vertical="top"/>
    </xf>
    <xf numFmtId="0" fontId="75" fillId="0" borderId="179" xfId="0" applyFont="1" applyBorder="1" applyAlignment="1">
      <alignment vertical="top" wrapText="1"/>
    </xf>
    <xf numFmtId="0" fontId="77" fillId="0" borderId="182" xfId="0" applyFont="1" applyBorder="1" applyAlignment="1">
      <alignment vertical="top"/>
    </xf>
    <xf numFmtId="0" fontId="77" fillId="0" borderId="184" xfId="0" applyFont="1" applyBorder="1" applyAlignment="1">
      <alignment vertical="top"/>
    </xf>
    <xf numFmtId="0" fontId="77" fillId="0" borderId="187" xfId="0" applyFont="1" applyBorder="1" applyAlignment="1">
      <alignment vertical="top"/>
    </xf>
    <xf numFmtId="0" fontId="75" fillId="0" borderId="218" xfId="0" applyFont="1" applyBorder="1" applyAlignment="1">
      <alignment vertical="top" wrapText="1"/>
    </xf>
    <xf numFmtId="0" fontId="75" fillId="0" borderId="216" xfId="0" applyFont="1" applyBorder="1" applyAlignment="1">
      <alignment vertical="top" wrapText="1"/>
    </xf>
    <xf numFmtId="0" fontId="75" fillId="0" borderId="217" xfId="0" applyFont="1" applyBorder="1" applyAlignment="1">
      <alignment vertical="top" wrapText="1"/>
    </xf>
    <xf numFmtId="0" fontId="75" fillId="0" borderId="156" xfId="0" applyFont="1" applyBorder="1" applyAlignment="1">
      <alignment vertical="top" wrapText="1"/>
    </xf>
    <xf numFmtId="0" fontId="78" fillId="0" borderId="149" xfId="0" applyFont="1" applyBorder="1" applyAlignment="1">
      <alignment horizontal="center" vertical="top" wrapText="1"/>
    </xf>
    <xf numFmtId="9" fontId="75" fillId="0" borderId="149" xfId="0" applyNumberFormat="1" applyFont="1" applyBorder="1" applyAlignment="1">
      <alignment vertical="top" wrapText="1"/>
    </xf>
    <xf numFmtId="0" fontId="77" fillId="0" borderId="180" xfId="0" applyFont="1" applyBorder="1" applyAlignment="1">
      <alignment vertical="top"/>
    </xf>
    <xf numFmtId="0" fontId="77" fillId="0" borderId="182" xfId="0" applyFont="1" applyBorder="1" applyAlignment="1">
      <alignment vertical="top" wrapText="1"/>
    </xf>
    <xf numFmtId="0" fontId="77" fillId="0" borderId="187" xfId="0" applyFont="1" applyBorder="1" applyAlignment="1">
      <alignment vertical="top" wrapText="1"/>
    </xf>
    <xf numFmtId="0" fontId="77" fillId="0" borderId="185" xfId="0" applyFont="1" applyBorder="1" applyAlignment="1">
      <alignment horizontal="center" vertical="top"/>
    </xf>
    <xf numFmtId="168" fontId="75" fillId="0" borderId="149" xfId="0" applyNumberFormat="1" applyFont="1" applyBorder="1" applyAlignment="1">
      <alignment horizontal="center" vertical="top"/>
    </xf>
    <xf numFmtId="9" fontId="75" fillId="0" borderId="180" xfId="0" applyNumberFormat="1" applyFont="1" applyBorder="1" applyAlignment="1">
      <alignment vertical="top" wrapText="1"/>
    </xf>
    <xf numFmtId="9" fontId="78" fillId="0" borderId="149" xfId="0" applyNumberFormat="1" applyFont="1" applyBorder="1" applyAlignment="1">
      <alignment horizontal="center" vertical="top" wrapText="1"/>
    </xf>
    <xf numFmtId="0" fontId="75" fillId="12" borderId="149" xfId="0" applyFont="1" applyFill="1" applyBorder="1" applyAlignment="1">
      <alignment vertical="top" wrapText="1"/>
    </xf>
    <xf numFmtId="0" fontId="77" fillId="12" borderId="149" xfId="0" applyFont="1" applyFill="1" applyBorder="1" applyAlignment="1">
      <alignment vertical="top"/>
    </xf>
    <xf numFmtId="0" fontId="75" fillId="12" borderId="149" xfId="0" applyFont="1" applyFill="1" applyBorder="1" applyAlignment="1">
      <alignment vertical="top"/>
    </xf>
    <xf numFmtId="0" fontId="77" fillId="12" borderId="156" xfId="0" applyFont="1" applyFill="1" applyBorder="1" applyAlignment="1">
      <alignment vertical="top"/>
    </xf>
    <xf numFmtId="167" fontId="75" fillId="0" borderId="180" xfId="0" applyNumberFormat="1" applyFont="1" applyBorder="1" applyAlignment="1">
      <alignment vertical="top" wrapText="1"/>
    </xf>
    <xf numFmtId="0" fontId="72" fillId="0" borderId="168" xfId="0" applyFont="1" applyBorder="1" applyAlignment="1">
      <alignment horizontal="center" vertical="center" wrapText="1"/>
    </xf>
    <xf numFmtId="0" fontId="77" fillId="0" borderId="169" xfId="0" applyFont="1" applyBorder="1"/>
    <xf numFmtId="0" fontId="77" fillId="0" borderId="170" xfId="0" applyFont="1" applyBorder="1"/>
    <xf numFmtId="0" fontId="72" fillId="0" borderId="46" xfId="0" applyFont="1" applyBorder="1" applyAlignment="1">
      <alignment horizontal="center" vertical="center" wrapText="1"/>
    </xf>
    <xf numFmtId="0" fontId="72" fillId="0" borderId="174" xfId="0" applyFont="1" applyBorder="1" applyAlignment="1">
      <alignment horizontal="center" vertical="center" wrapText="1"/>
    </xf>
    <xf numFmtId="0" fontId="77" fillId="0" borderId="169" xfId="0" applyFont="1" applyBorder="1" applyAlignment="1">
      <alignment wrapText="1"/>
    </xf>
    <xf numFmtId="0" fontId="72" fillId="0" borderId="107" xfId="0" applyFont="1" applyBorder="1" applyAlignment="1">
      <alignment horizontal="center" vertical="center" wrapText="1"/>
    </xf>
    <xf numFmtId="0" fontId="72" fillId="0" borderId="128" xfId="0" applyFont="1" applyBorder="1" applyAlignment="1">
      <alignment horizontal="center" vertical="center" wrapText="1"/>
    </xf>
    <xf numFmtId="0" fontId="75" fillId="0" borderId="149" xfId="0" applyFont="1" applyBorder="1" applyAlignment="1">
      <alignment horizontal="center" vertical="top"/>
    </xf>
    <xf numFmtId="0" fontId="75" fillId="0" borderId="156" xfId="0" applyFont="1" applyBorder="1" applyAlignment="1">
      <alignment horizontal="center" vertical="top"/>
    </xf>
    <xf numFmtId="0" fontId="81" fillId="0" borderId="17" xfId="0" applyFont="1" applyBorder="1" applyAlignment="1">
      <alignment vertical="center"/>
    </xf>
    <xf numFmtId="0" fontId="82" fillId="0" borderId="18" xfId="0" applyFont="1" applyBorder="1" applyAlignment="1">
      <alignment vertical="center"/>
    </xf>
    <xf numFmtId="0" fontId="82" fillId="0" borderId="3" xfId="0" applyFont="1" applyBorder="1" applyAlignment="1">
      <alignment vertical="center"/>
    </xf>
    <xf numFmtId="0" fontId="84" fillId="5" borderId="20" xfId="0" applyFont="1" applyFill="1" applyBorder="1" applyAlignment="1">
      <alignment horizontal="left" vertical="center" wrapText="1"/>
    </xf>
    <xf numFmtId="0" fontId="85" fillId="0" borderId="21" xfId="0" applyFont="1" applyBorder="1" applyAlignment="1">
      <alignment vertical="center"/>
    </xf>
    <xf numFmtId="0" fontId="85" fillId="0" borderId="22" xfId="0" applyFont="1" applyBorder="1" applyAlignment="1">
      <alignment vertical="center"/>
    </xf>
    <xf numFmtId="0" fontId="81" fillId="0" borderId="24" xfId="0" applyFont="1" applyBorder="1" applyAlignment="1">
      <alignment vertical="center" wrapText="1"/>
    </xf>
    <xf numFmtId="0" fontId="82" fillId="0" borderId="25" xfId="0" applyFont="1" applyBorder="1" applyAlignment="1">
      <alignment vertical="center"/>
    </xf>
    <xf numFmtId="0" fontId="82" fillId="0" borderId="26" xfId="0" applyFont="1" applyBorder="1" applyAlignment="1">
      <alignment vertical="center"/>
    </xf>
    <xf numFmtId="0" fontId="84" fillId="0" borderId="27" xfId="0" applyFont="1" applyBorder="1" applyAlignment="1">
      <alignment horizontal="left" vertical="center" wrapText="1"/>
    </xf>
    <xf numFmtId="0" fontId="85" fillId="0" borderId="25" xfId="0" applyFont="1" applyBorder="1" applyAlignment="1">
      <alignment vertical="center"/>
    </xf>
    <xf numFmtId="0" fontId="85" fillId="0" borderId="28" xfId="0" applyFont="1" applyBorder="1" applyAlignment="1">
      <alignment vertical="center"/>
    </xf>
    <xf numFmtId="0" fontId="66" fillId="5" borderId="29" xfId="0" applyFont="1" applyFill="1" applyBorder="1" applyAlignment="1">
      <alignment horizontal="center" vertical="center" wrapText="1"/>
    </xf>
    <xf numFmtId="0" fontId="65" fillId="0" borderId="30" xfId="0" applyFont="1" applyBorder="1"/>
    <xf numFmtId="0" fontId="65" fillId="0" borderId="31" xfId="0" applyFont="1" applyBorder="1"/>
    <xf numFmtId="0" fontId="75" fillId="0" borderId="179" xfId="0" applyFont="1" applyBorder="1" applyAlignment="1">
      <alignment horizontal="center" vertical="top" wrapText="1"/>
    </xf>
    <xf numFmtId="0" fontId="75" fillId="0" borderId="0" xfId="0" applyFont="1"/>
    <xf numFmtId="0" fontId="74" fillId="0" borderId="159" xfId="0" applyFont="1" applyBorder="1" applyAlignment="1">
      <alignment horizontal="center" vertical="center"/>
    </xf>
    <xf numFmtId="0" fontId="77" fillId="0" borderId="160" xfId="0" applyFont="1" applyBorder="1"/>
    <xf numFmtId="0" fontId="74" fillId="0" borderId="128" xfId="0" applyFont="1" applyBorder="1" applyAlignment="1">
      <alignment horizontal="center" vertical="center"/>
    </xf>
    <xf numFmtId="0" fontId="75" fillId="0" borderId="149" xfId="0" applyFont="1" applyBorder="1" applyAlignment="1">
      <alignment vertical="center" wrapText="1"/>
    </xf>
    <xf numFmtId="0" fontId="72" fillId="0" borderId="195" xfId="0" applyFont="1" applyBorder="1" applyAlignment="1">
      <alignment horizontal="left" vertical="top" wrapText="1"/>
    </xf>
    <xf numFmtId="0" fontId="77" fillId="0" borderId="197" xfId="0" applyFont="1" applyBorder="1" applyAlignment="1">
      <alignment horizontal="left" vertical="top"/>
    </xf>
    <xf numFmtId="0" fontId="77" fillId="0" borderId="199" xfId="0" applyFont="1" applyBorder="1" applyAlignment="1">
      <alignment horizontal="left" vertical="top"/>
    </xf>
    <xf numFmtId="4" fontId="75" fillId="0" borderId="180" xfId="0" applyNumberFormat="1" applyFont="1" applyBorder="1" applyAlignment="1">
      <alignment horizontal="center" vertical="center"/>
    </xf>
    <xf numFmtId="4" fontId="75" fillId="0" borderId="149" xfId="0" applyNumberFormat="1" applyFont="1" applyBorder="1" applyAlignment="1">
      <alignment horizontal="center" vertical="center"/>
    </xf>
    <xf numFmtId="4" fontId="72" fillId="0" borderId="173" xfId="0" applyNumberFormat="1" applyFont="1" applyBorder="1" applyAlignment="1">
      <alignment horizontal="center" vertical="center" wrapText="1"/>
    </xf>
    <xf numFmtId="0" fontId="77" fillId="0" borderId="161" xfId="0" applyFont="1" applyBorder="1"/>
    <xf numFmtId="0" fontId="84" fillId="5" borderId="14" xfId="0" applyFont="1" applyFill="1" applyBorder="1" applyAlignment="1">
      <alignment horizontal="left" vertical="center" wrapText="1"/>
    </xf>
    <xf numFmtId="0" fontId="85" fillId="0" borderId="12" xfId="0" applyFont="1" applyBorder="1" applyAlignment="1">
      <alignment vertical="center"/>
    </xf>
    <xf numFmtId="0" fontId="85" fillId="0" borderId="16" xfId="0" applyFont="1" applyBorder="1" applyAlignment="1">
      <alignment vertical="center"/>
    </xf>
    <xf numFmtId="0" fontId="84" fillId="5" borderId="2" xfId="0" applyFont="1" applyFill="1" applyBorder="1" applyAlignment="1">
      <alignment horizontal="left" vertical="center" wrapText="1"/>
    </xf>
    <xf numFmtId="0" fontId="85" fillId="0" borderId="18" xfId="0" applyFont="1" applyBorder="1" applyAlignment="1">
      <alignment vertical="center"/>
    </xf>
    <xf numFmtId="0" fontId="85" fillId="0" borderId="19" xfId="0" applyFont="1" applyBorder="1" applyAlignment="1">
      <alignment vertical="center"/>
    </xf>
    <xf numFmtId="0" fontId="66" fillId="5" borderId="5" xfId="0" applyFont="1" applyFill="1" applyBorder="1" applyAlignment="1">
      <alignment horizontal="center" vertical="center"/>
    </xf>
    <xf numFmtId="0" fontId="70" fillId="5" borderId="5" xfId="0" applyFont="1" applyFill="1" applyBorder="1" applyAlignment="1">
      <alignment horizontal="center" vertical="center" wrapText="1"/>
    </xf>
    <xf numFmtId="0" fontId="64" fillId="5" borderId="8" xfId="0" applyFont="1" applyFill="1" applyBorder="1" applyAlignment="1">
      <alignment horizontal="center" vertical="center" wrapText="1"/>
    </xf>
    <xf numFmtId="0" fontId="65" fillId="0" borderId="9" xfId="0" applyFont="1" applyBorder="1"/>
    <xf numFmtId="0" fontId="65" fillId="0" borderId="10" xfId="0" applyFont="1" applyBorder="1"/>
    <xf numFmtId="0" fontId="81" fillId="0" borderId="11" xfId="0" applyFont="1" applyBorder="1" applyAlignment="1">
      <alignment vertical="center"/>
    </xf>
    <xf numFmtId="0" fontId="82" fillId="0" borderId="12" xfId="0" applyFont="1" applyBorder="1" applyAlignment="1">
      <alignment vertical="center"/>
    </xf>
    <xf numFmtId="0" fontId="82" fillId="0" borderId="13" xfId="0" applyFont="1" applyBorder="1" applyAlignment="1">
      <alignment vertical="center"/>
    </xf>
    <xf numFmtId="0" fontId="85" fillId="0" borderId="13" xfId="0" applyFont="1" applyBorder="1" applyAlignment="1">
      <alignment vertical="center"/>
    </xf>
    <xf numFmtId="0" fontId="85" fillId="5" borderId="2" xfId="0" applyFont="1" applyFill="1" applyBorder="1" applyAlignment="1">
      <alignment horizontal="left" vertical="center" wrapText="1"/>
    </xf>
    <xf numFmtId="0" fontId="85" fillId="0" borderId="3" xfId="0" applyFont="1" applyBorder="1" applyAlignment="1">
      <alignment vertical="center"/>
    </xf>
    <xf numFmtId="0" fontId="75" fillId="0" borderId="156" xfId="0" applyFont="1" applyBorder="1" applyAlignment="1">
      <alignment horizontal="center" vertical="center" wrapText="1"/>
    </xf>
    <xf numFmtId="0" fontId="75" fillId="0" borderId="217" xfId="0" applyFont="1" applyBorder="1" applyAlignment="1">
      <alignment horizontal="center" vertical="center" wrapText="1"/>
    </xf>
    <xf numFmtId="4" fontId="72" fillId="0" borderId="190" xfId="0" applyNumberFormat="1" applyFont="1" applyBorder="1" applyAlignment="1">
      <alignment horizontal="center" vertical="center" wrapText="1"/>
    </xf>
    <xf numFmtId="0" fontId="77" fillId="0" borderId="200" xfId="0" applyFont="1" applyBorder="1"/>
    <xf numFmtId="0" fontId="75" fillId="0" borderId="180" xfId="0" applyFont="1" applyBorder="1" applyAlignment="1">
      <alignment horizontal="center" vertical="top"/>
    </xf>
    <xf numFmtId="9" fontId="75" fillId="0" borderId="180" xfId="0" applyNumberFormat="1" applyFont="1" applyBorder="1" applyAlignment="1">
      <alignment horizontal="center" vertical="center" wrapText="1"/>
    </xf>
    <xf numFmtId="9" fontId="75" fillId="0" borderId="149" xfId="0" applyNumberFormat="1" applyFont="1" applyBorder="1" applyAlignment="1">
      <alignment horizontal="center" vertical="center" wrapText="1"/>
    </xf>
    <xf numFmtId="0" fontId="79" fillId="0" borderId="180" xfId="0" applyFont="1" applyBorder="1" applyAlignment="1">
      <alignment horizontal="left" vertical="top" wrapText="1"/>
    </xf>
    <xf numFmtId="0" fontId="75" fillId="0" borderId="180" xfId="0" applyFont="1" applyBorder="1" applyAlignment="1">
      <alignment horizontal="center" vertical="center"/>
    </xf>
    <xf numFmtId="0" fontId="75" fillId="0" borderId="149" xfId="0" applyFont="1" applyBorder="1" applyAlignment="1">
      <alignment horizontal="center" vertical="center"/>
    </xf>
    <xf numFmtId="9" fontId="75" fillId="0" borderId="180" xfId="0" applyNumberFormat="1" applyFont="1" applyBorder="1" applyAlignment="1">
      <alignment horizontal="center" vertical="center"/>
    </xf>
    <xf numFmtId="0" fontId="79" fillId="0" borderId="149" xfId="0" applyFont="1" applyBorder="1" applyAlignment="1">
      <alignment vertical="center" wrapText="1"/>
    </xf>
    <xf numFmtId="0" fontId="72" fillId="0" borderId="175" xfId="0" applyFont="1" applyBorder="1" applyAlignment="1">
      <alignment horizontal="center" vertical="center" wrapText="1"/>
    </xf>
    <xf numFmtId="0" fontId="77" fillId="0" borderId="177" xfId="0" applyFont="1" applyBorder="1"/>
    <xf numFmtId="164" fontId="75" fillId="0" borderId="54" xfId="0" applyNumberFormat="1" applyFont="1" applyBorder="1" applyAlignment="1">
      <alignment horizontal="center" vertical="center"/>
    </xf>
    <xf numFmtId="0" fontId="65" fillId="0" borderId="81" xfId="0" applyFont="1" applyBorder="1" applyAlignment="1">
      <alignment vertical="center"/>
    </xf>
    <xf numFmtId="0" fontId="65" fillId="0" borderId="97" xfId="0" applyFont="1" applyBorder="1" applyAlignment="1">
      <alignment vertical="center"/>
    </xf>
    <xf numFmtId="0" fontId="97" fillId="0" borderId="2" xfId="0" applyFont="1" applyBorder="1" applyAlignment="1">
      <alignment horizontal="center" vertical="center"/>
    </xf>
    <xf numFmtId="0" fontId="65" fillId="0" borderId="3" xfId="0" applyFont="1" applyBorder="1" applyAlignment="1">
      <alignment vertical="center"/>
    </xf>
    <xf numFmtId="0" fontId="69" fillId="0" borderId="2" xfId="0" applyFont="1" applyBorder="1" applyAlignment="1">
      <alignment horizontal="left" vertical="center"/>
    </xf>
    <xf numFmtId="0" fontId="93" fillId="0" borderId="18" xfId="0" applyFont="1" applyBorder="1" applyAlignment="1">
      <alignment vertical="center"/>
    </xf>
    <xf numFmtId="0" fontId="93" fillId="0" borderId="3" xfId="0" applyFont="1" applyBorder="1" applyAlignment="1">
      <alignment vertical="center"/>
    </xf>
    <xf numFmtId="0" fontId="67" fillId="0" borderId="2" xfId="0" applyFont="1" applyBorder="1" applyAlignment="1">
      <alignment horizontal="left" vertical="center" wrapText="1"/>
    </xf>
    <xf numFmtId="0" fontId="69" fillId="0" borderId="2" xfId="0" applyFont="1" applyBorder="1" applyAlignment="1">
      <alignment horizontal="left" vertical="center" wrapText="1"/>
    </xf>
    <xf numFmtId="0" fontId="96" fillId="0" borderId="24" xfId="0" applyFont="1" applyBorder="1" applyAlignment="1">
      <alignment horizontal="right" vertical="center"/>
    </xf>
    <xf numFmtId="0" fontId="65" fillId="0" borderId="25" xfId="0" applyFont="1" applyBorder="1"/>
    <xf numFmtId="0" fontId="65" fillId="0" borderId="26" xfId="0" applyFont="1" applyBorder="1"/>
    <xf numFmtId="0" fontId="33" fillId="0" borderId="0" xfId="0" applyFont="1"/>
    <xf numFmtId="0" fontId="72" fillId="5" borderId="100" xfId="0" applyFont="1" applyFill="1" applyBorder="1" applyAlignment="1">
      <alignment horizontal="center" wrapText="1"/>
    </xf>
    <xf numFmtId="0" fontId="88" fillId="0" borderId="133" xfId="0" applyFont="1" applyBorder="1"/>
    <xf numFmtId="0" fontId="88" fillId="0" borderId="101" xfId="0" applyFont="1" applyBorder="1"/>
    <xf numFmtId="0" fontId="88" fillId="0" borderId="94" xfId="0" applyFont="1" applyBorder="1"/>
    <xf numFmtId="0" fontId="88" fillId="0" borderId="131" xfId="0" applyFont="1" applyBorder="1"/>
    <xf numFmtId="0" fontId="88" fillId="0" borderId="95" xfId="0" applyFont="1" applyBorder="1"/>
    <xf numFmtId="0" fontId="29" fillId="5" borderId="140" xfId="0" applyFont="1" applyFill="1" applyBorder="1" applyAlignment="1">
      <alignment horizontal="center" vertical="top" wrapText="1"/>
    </xf>
    <xf numFmtId="0" fontId="4" fillId="0" borderId="144" xfId="0" applyFont="1" applyBorder="1"/>
    <xf numFmtId="0" fontId="29" fillId="0" borderId="0" xfId="0" applyFont="1"/>
    <xf numFmtId="0" fontId="93" fillId="0" borderId="18" xfId="0" applyFont="1" applyBorder="1" applyAlignment="1">
      <alignment vertical="center" wrapText="1"/>
    </xf>
    <xf numFmtId="0" fontId="93" fillId="0" borderId="3" xfId="0" applyFont="1" applyBorder="1" applyAlignment="1">
      <alignment vertical="center" wrapText="1"/>
    </xf>
    <xf numFmtId="0" fontId="66" fillId="0" borderId="52" xfId="0" applyFont="1" applyBorder="1" applyAlignment="1">
      <alignment horizontal="center" vertical="center"/>
    </xf>
    <xf numFmtId="0" fontId="93" fillId="0" borderId="75" xfId="0" applyFont="1" applyBorder="1" applyAlignment="1">
      <alignment vertical="center"/>
    </xf>
    <xf numFmtId="0" fontId="93" fillId="0" borderId="98" xfId="0" applyFont="1" applyBorder="1" applyAlignment="1">
      <alignment vertical="center"/>
    </xf>
    <xf numFmtId="0" fontId="97" fillId="0" borderId="142" xfId="0" applyFont="1" applyBorder="1" applyAlignment="1">
      <alignment horizontal="center" vertical="center"/>
    </xf>
    <xf numFmtId="0" fontId="97" fillId="0" borderId="80" xfId="0" applyFont="1" applyBorder="1" applyAlignment="1">
      <alignment horizontal="center" vertical="center"/>
    </xf>
    <xf numFmtId="0" fontId="66" fillId="0" borderId="52" xfId="0" applyFont="1" applyBorder="1" applyAlignment="1">
      <alignment horizontal="center" vertical="center" wrapText="1"/>
    </xf>
    <xf numFmtId="0" fontId="92" fillId="7" borderId="90" xfId="0" applyFont="1" applyFill="1" applyBorder="1" applyAlignment="1">
      <alignment horizontal="center" vertical="center" wrapText="1"/>
    </xf>
    <xf numFmtId="0" fontId="65" fillId="0" borderId="97" xfId="0" applyFont="1" applyBorder="1"/>
    <xf numFmtId="0" fontId="66" fillId="7" borderId="88" xfId="0" applyFont="1" applyFill="1" applyBorder="1" applyAlignment="1">
      <alignment horizontal="center" vertical="center"/>
    </xf>
    <xf numFmtId="0" fontId="65" fillId="0" borderId="108" xfId="0" applyFont="1" applyBorder="1"/>
    <xf numFmtId="0" fontId="65" fillId="0" borderId="89" xfId="0" applyFont="1" applyBorder="1"/>
    <xf numFmtId="0" fontId="65" fillId="0" borderId="94" xfId="0" applyFont="1" applyBorder="1"/>
    <xf numFmtId="0" fontId="65" fillId="0" borderId="131" xfId="0" applyFont="1" applyBorder="1"/>
    <xf numFmtId="0" fontId="65" fillId="0" borderId="95" xfId="0" applyFont="1" applyBorder="1"/>
    <xf numFmtId="0" fontId="38" fillId="0" borderId="125" xfId="0" applyFont="1" applyBorder="1" applyAlignment="1">
      <alignment horizontal="center" vertical="center"/>
    </xf>
    <xf numFmtId="0" fontId="67" fillId="0" borderId="2" xfId="0" applyFont="1" applyBorder="1" applyAlignment="1">
      <alignment vertical="center" wrapText="1"/>
    </xf>
    <xf numFmtId="0" fontId="67" fillId="0" borderId="2" xfId="0" applyFont="1" applyBorder="1" applyAlignment="1">
      <alignment horizontal="center" vertical="center" wrapText="1"/>
    </xf>
    <xf numFmtId="164" fontId="95" fillId="0" borderId="147" xfId="0" applyNumberFormat="1" applyFont="1" applyBorder="1" applyAlignment="1">
      <alignment horizontal="center" vertical="center"/>
    </xf>
    <xf numFmtId="0" fontId="65" fillId="0" borderId="48" xfId="0" applyFont="1" applyBorder="1" applyAlignment="1">
      <alignment vertical="center"/>
    </xf>
    <xf numFmtId="0" fontId="65" fillId="0" borderId="148" xfId="0" applyFont="1" applyBorder="1" applyAlignment="1">
      <alignment vertical="center"/>
    </xf>
    <xf numFmtId="0" fontId="69" fillId="0" borderId="2" xfId="0" applyFont="1" applyBorder="1" applyAlignment="1">
      <alignment vertical="center" wrapText="1"/>
    </xf>
    <xf numFmtId="0" fontId="66" fillId="6" borderId="87" xfId="0" applyFont="1" applyFill="1" applyBorder="1" applyAlignment="1">
      <alignment horizontal="center" vertical="center"/>
    </xf>
    <xf numFmtId="0" fontId="65" fillId="0" borderId="98" xfId="0" applyFont="1" applyBorder="1"/>
    <xf numFmtId="0" fontId="68" fillId="0" borderId="52" xfId="0" applyFont="1" applyBorder="1" applyAlignment="1">
      <alignment horizontal="center" vertical="center"/>
    </xf>
    <xf numFmtId="0" fontId="65" fillId="0" borderId="75" xfId="0" applyFont="1" applyBorder="1" applyAlignment="1">
      <alignment vertical="center"/>
    </xf>
    <xf numFmtId="0" fontId="65" fillId="0" borderId="98" xfId="0" applyFont="1" applyBorder="1" applyAlignment="1">
      <alignment vertical="center"/>
    </xf>
    <xf numFmtId="0" fontId="68" fillId="0" borderId="52" xfId="0" applyFont="1" applyBorder="1" applyAlignment="1">
      <alignment horizontal="center" vertical="center" wrapText="1"/>
    </xf>
    <xf numFmtId="0" fontId="90" fillId="0" borderId="107" xfId="0" applyFont="1" applyBorder="1" applyAlignment="1">
      <alignment horizontal="left" vertical="center" wrapText="1"/>
    </xf>
    <xf numFmtId="0" fontId="65" fillId="0" borderId="109" xfId="0" applyFont="1" applyBorder="1"/>
    <xf numFmtId="0" fontId="92" fillId="7" borderId="69" xfId="0" applyFont="1" applyFill="1" applyBorder="1" applyAlignment="1">
      <alignment horizontal="center" vertical="center" wrapText="1"/>
    </xf>
    <xf numFmtId="0" fontId="65" fillId="0" borderId="83" xfId="0" applyFont="1" applyBorder="1"/>
    <xf numFmtId="0" fontId="90" fillId="0" borderId="123" xfId="0" applyFont="1" applyBorder="1" applyAlignment="1">
      <alignment horizontal="left" vertical="center" wrapText="1"/>
    </xf>
    <xf numFmtId="0" fontId="68" fillId="0" borderId="0" xfId="0" applyFont="1"/>
    <xf numFmtId="0" fontId="65" fillId="0" borderId="96" xfId="0" applyFont="1" applyBorder="1"/>
    <xf numFmtId="0" fontId="5" fillId="4" borderId="53" xfId="0" applyFont="1" applyFill="1" applyBorder="1" applyAlignment="1">
      <alignment horizontal="center" vertical="center" wrapText="1"/>
    </xf>
    <xf numFmtId="0" fontId="5" fillId="4" borderId="100" xfId="0" applyFont="1" applyFill="1" applyBorder="1" applyAlignment="1">
      <alignment horizontal="left" vertical="center" wrapText="1"/>
    </xf>
    <xf numFmtId="0" fontId="4" fillId="0" borderId="101" xfId="0" applyFont="1" applyBorder="1" applyAlignment="1">
      <alignment horizontal="left" vertical="center"/>
    </xf>
    <xf numFmtId="0" fontId="4" fillId="0" borderId="94" xfId="0" applyFont="1" applyBorder="1" applyAlignment="1">
      <alignment horizontal="left" vertical="center"/>
    </xf>
    <xf numFmtId="0" fontId="4" fillId="0" borderId="95" xfId="0" applyFont="1" applyBorder="1" applyAlignment="1">
      <alignment horizontal="left" vertical="center"/>
    </xf>
    <xf numFmtId="0" fontId="11" fillId="4" borderId="136" xfId="0" applyFont="1" applyFill="1" applyBorder="1" applyAlignment="1">
      <alignment vertical="center" wrapText="1"/>
    </xf>
    <xf numFmtId="0" fontId="5" fillId="4" borderId="5" xfId="0" applyFont="1" applyFill="1" applyBorder="1" applyAlignment="1">
      <alignment horizontal="center" vertical="center" wrapText="1"/>
    </xf>
    <xf numFmtId="0" fontId="5" fillId="4" borderId="136" xfId="0" applyFont="1" applyFill="1" applyBorder="1" applyAlignment="1">
      <alignment vertical="center" wrapText="1"/>
    </xf>
    <xf numFmtId="0" fontId="99" fillId="4" borderId="100" xfId="0" applyFont="1" applyFill="1" applyBorder="1" applyAlignment="1">
      <alignment horizontal="left" vertical="center" wrapText="1"/>
    </xf>
    <xf numFmtId="0" fontId="4" fillId="0" borderId="133" xfId="0" applyFont="1" applyBorder="1" applyAlignment="1">
      <alignment horizontal="left" vertical="center"/>
    </xf>
    <xf numFmtId="0" fontId="4" fillId="0" borderId="131" xfId="0" applyFont="1" applyBorder="1" applyAlignment="1">
      <alignment horizontal="left" vertical="center"/>
    </xf>
    <xf numFmtId="0" fontId="37" fillId="4" borderId="20" xfId="0" applyFont="1" applyFill="1" applyBorder="1" applyAlignment="1">
      <alignment vertical="center" wrapText="1"/>
    </xf>
    <xf numFmtId="0" fontId="38" fillId="4" borderId="2" xfId="0" applyFont="1" applyFill="1" applyBorder="1" applyAlignment="1">
      <alignment horizontal="center" vertical="center" wrapText="1"/>
    </xf>
    <xf numFmtId="0" fontId="10" fillId="4" borderId="136" xfId="0" applyFont="1" applyFill="1" applyBorder="1" applyAlignment="1">
      <alignment vertical="center" wrapText="1"/>
    </xf>
    <xf numFmtId="0" fontId="11" fillId="4" borderId="100" xfId="0" applyFont="1" applyFill="1" applyBorder="1" applyAlignment="1">
      <alignment horizontal="center" vertical="center" wrapText="1"/>
    </xf>
    <xf numFmtId="0" fontId="11" fillId="4" borderId="53" xfId="0" applyFont="1" applyFill="1" applyBorder="1" applyAlignment="1">
      <alignment horizontal="center" vertical="center" wrapText="1"/>
    </xf>
    <xf numFmtId="0" fontId="11" fillId="4" borderId="138" xfId="0" applyFont="1" applyFill="1" applyBorder="1" applyAlignment="1">
      <alignment horizontal="center" vertical="center" wrapText="1"/>
    </xf>
    <xf numFmtId="0" fontId="4" fillId="0" borderId="139" xfId="0" applyFont="1" applyBorder="1"/>
    <xf numFmtId="0" fontId="11" fillId="4" borderId="2" xfId="0" applyFont="1" applyFill="1" applyBorder="1" applyAlignment="1">
      <alignment horizontal="center" vertical="center" wrapText="1"/>
    </xf>
    <xf numFmtId="0" fontId="39" fillId="4" borderId="20" xfId="0" applyFont="1" applyFill="1" applyBorder="1" applyAlignment="1">
      <alignment horizontal="center" vertical="center"/>
    </xf>
    <xf numFmtId="2" fontId="60" fillId="4" borderId="141" xfId="0" applyNumberFormat="1" applyFont="1" applyFill="1" applyBorder="1" applyAlignment="1">
      <alignment horizontal="center" vertical="center" wrapText="1"/>
    </xf>
    <xf numFmtId="0" fontId="61" fillId="0" borderId="143" xfId="0" applyFont="1" applyBorder="1"/>
    <xf numFmtId="0" fontId="61" fillId="0" borderId="139" xfId="0" applyFont="1" applyBorder="1"/>
    <xf numFmtId="2" fontId="60" fillId="4" borderId="53" xfId="0" applyNumberFormat="1" applyFont="1" applyFill="1" applyBorder="1" applyAlignment="1">
      <alignment horizontal="center" vertical="center" wrapText="1"/>
    </xf>
    <xf numFmtId="0" fontId="62" fillId="0" borderId="77" xfId="0" applyFont="1" applyBorder="1"/>
    <xf numFmtId="0" fontId="62" fillId="0" borderId="96" xfId="0" applyFont="1" applyBorder="1"/>
    <xf numFmtId="2" fontId="59" fillId="4" borderId="53" xfId="0" applyNumberFormat="1" applyFont="1" applyFill="1" applyBorder="1" applyAlignment="1">
      <alignment horizontal="center" vertical="center" wrapText="1"/>
    </xf>
    <xf numFmtId="0" fontId="58" fillId="0" borderId="77" xfId="0" applyFont="1" applyBorder="1"/>
    <xf numFmtId="0" fontId="58" fillId="0" borderId="96" xfId="0" applyFont="1" applyBorder="1"/>
    <xf numFmtId="164" fontId="52" fillId="0" borderId="54" xfId="0" applyNumberFormat="1" applyFont="1" applyBorder="1" applyAlignment="1">
      <alignment horizontal="center" vertical="center"/>
    </xf>
    <xf numFmtId="0" fontId="28" fillId="0" borderId="2" xfId="0" applyFont="1" applyBorder="1" applyAlignment="1">
      <alignment horizontal="center"/>
    </xf>
    <xf numFmtId="0" fontId="28" fillId="0" borderId="2" xfId="0" applyFont="1" applyBorder="1" applyAlignment="1">
      <alignment horizontal="left" vertical="top"/>
    </xf>
    <xf numFmtId="0" fontId="29" fillId="0" borderId="2" xfId="0" applyFont="1" applyBorder="1" applyAlignment="1">
      <alignment horizontal="left" vertical="top" wrapText="1"/>
    </xf>
    <xf numFmtId="0" fontId="28" fillId="0" borderId="2" xfId="0" applyFont="1" applyBorder="1" applyAlignment="1">
      <alignment horizontal="left" vertical="top" wrapText="1"/>
    </xf>
    <xf numFmtId="0" fontId="50" fillId="0" borderId="24" xfId="0" applyFont="1" applyBorder="1" applyAlignment="1">
      <alignment horizontal="right" vertical="center"/>
    </xf>
    <xf numFmtId="9" fontId="6" fillId="5" borderId="100" xfId="0" applyNumberFormat="1" applyFont="1" applyFill="1" applyBorder="1" applyAlignment="1">
      <alignment horizontal="center" vertical="center" wrapText="1"/>
    </xf>
    <xf numFmtId="0" fontId="6" fillId="5" borderId="100" xfId="0" applyFont="1" applyFill="1" applyBorder="1" applyAlignment="1">
      <alignment horizontal="center" vertical="center" wrapText="1"/>
    </xf>
    <xf numFmtId="0" fontId="29" fillId="5" borderId="2" xfId="0" applyFont="1" applyFill="1" applyBorder="1" applyAlignment="1">
      <alignment horizontal="center" vertical="top" wrapText="1"/>
    </xf>
    <xf numFmtId="0" fontId="46" fillId="0" borderId="52" xfId="0" applyFont="1" applyBorder="1" applyAlignment="1">
      <alignment horizontal="center" vertical="center"/>
    </xf>
    <xf numFmtId="0" fontId="46" fillId="0" borderId="52" xfId="0" applyFont="1" applyBorder="1" applyAlignment="1">
      <alignment horizontal="center" vertical="center" wrapText="1"/>
    </xf>
    <xf numFmtId="0" fontId="46" fillId="7" borderId="90" xfId="0" applyFont="1" applyFill="1" applyBorder="1" applyAlignment="1">
      <alignment horizontal="center" vertical="center" wrapText="1"/>
    </xf>
    <xf numFmtId="0" fontId="6" fillId="7" borderId="88" xfId="0" applyFont="1" applyFill="1" applyBorder="1" applyAlignment="1">
      <alignment horizontal="center" vertical="center"/>
    </xf>
    <xf numFmtId="0" fontId="29" fillId="0" borderId="2" xfId="0" applyFont="1" applyBorder="1" applyAlignment="1">
      <alignment vertical="top" wrapText="1"/>
    </xf>
    <xf numFmtId="0" fontId="23" fillId="0" borderId="2" xfId="0" applyFont="1" applyBorder="1" applyAlignment="1">
      <alignment horizontal="center" vertical="center" wrapText="1"/>
    </xf>
    <xf numFmtId="164" fontId="48" fillId="0" borderId="147" xfId="0" applyNumberFormat="1" applyFont="1" applyBorder="1" applyAlignment="1">
      <alignment horizontal="center" vertical="center"/>
    </xf>
    <xf numFmtId="0" fontId="4" fillId="0" borderId="148" xfId="0" applyFont="1" applyBorder="1"/>
    <xf numFmtId="0" fontId="28" fillId="0" borderId="2" xfId="0" applyFont="1" applyBorder="1" applyAlignment="1">
      <alignment vertical="top" wrapText="1"/>
    </xf>
    <xf numFmtId="0" fontId="6" fillId="6" borderId="87" xfId="0" applyFont="1" applyFill="1" applyBorder="1" applyAlignment="1">
      <alignment horizontal="center" vertical="center"/>
    </xf>
    <xf numFmtId="0" fontId="29" fillId="0" borderId="52" xfId="0" applyFont="1" applyBorder="1" applyAlignment="1">
      <alignment horizontal="center" vertical="top"/>
    </xf>
    <xf numFmtId="0" fontId="29" fillId="0" borderId="52" xfId="0" applyFont="1" applyBorder="1" applyAlignment="1">
      <alignment horizontal="center" vertical="top" wrapText="1"/>
    </xf>
    <xf numFmtId="0" fontId="11" fillId="0" borderId="107" xfId="0" applyFont="1" applyBorder="1" applyAlignment="1">
      <alignment horizontal="left" vertical="center" wrapText="1"/>
    </xf>
    <xf numFmtId="0" fontId="46" fillId="7" borderId="69" xfId="0" applyFont="1" applyFill="1" applyBorder="1" applyAlignment="1">
      <alignment horizontal="center" vertical="center" wrapText="1"/>
    </xf>
    <xf numFmtId="0" fontId="11" fillId="0" borderId="123" xfId="0" applyFont="1" applyBorder="1" applyAlignment="1">
      <alignment horizontal="left" vertical="center" wrapText="1"/>
    </xf>
    <xf numFmtId="0" fontId="5" fillId="4" borderId="100" xfId="0" applyFont="1" applyFill="1" applyBorder="1" applyAlignment="1">
      <alignment horizontal="left" vertical="top" wrapText="1"/>
    </xf>
    <xf numFmtId="2" fontId="7" fillId="4" borderId="141" xfId="0" applyNumberFormat="1" applyFont="1" applyFill="1" applyBorder="1" applyAlignment="1">
      <alignment horizontal="center" vertical="center" wrapText="1"/>
    </xf>
    <xf numFmtId="0" fontId="4" fillId="0" borderId="143" xfId="0" applyFont="1" applyBorder="1"/>
    <xf numFmtId="2" fontId="19" fillId="4" borderId="53" xfId="0" applyNumberFormat="1" applyFont="1" applyFill="1" applyBorder="1" applyAlignment="1">
      <alignment horizontal="center" vertical="center" wrapText="1"/>
    </xf>
    <xf numFmtId="0" fontId="99" fillId="4" borderId="138" xfId="0" applyFont="1" applyFill="1" applyBorder="1" applyAlignment="1">
      <alignment horizontal="center" vertical="center" wrapText="1"/>
    </xf>
    <xf numFmtId="0" fontId="99" fillId="4" borderId="140" xfId="0" applyFont="1" applyFill="1" applyBorder="1" applyAlignment="1">
      <alignment horizontal="center" vertical="center" wrapText="1"/>
    </xf>
    <xf numFmtId="0" fontId="4" fillId="0" borderId="101" xfId="0" applyFont="1" applyBorder="1" applyAlignment="1">
      <alignment horizontal="center" vertical="center"/>
    </xf>
    <xf numFmtId="0" fontId="4" fillId="0" borderId="99" xfId="0" applyFont="1" applyBorder="1" applyAlignment="1">
      <alignment horizontal="center" vertical="center"/>
    </xf>
    <xf numFmtId="9" fontId="72" fillId="4" borderId="150" xfId="0" applyNumberFormat="1" applyFont="1" applyFill="1" applyBorder="1" applyAlignment="1">
      <alignment horizontal="center" vertical="center"/>
    </xf>
    <xf numFmtId="9" fontId="72" fillId="4" borderId="151" xfId="0" applyNumberFormat="1" applyFont="1" applyFill="1" applyBorder="1" applyAlignment="1">
      <alignment horizontal="center" vertical="center"/>
    </xf>
    <xf numFmtId="9" fontId="72" fillId="4" borderId="154" xfId="0" applyNumberFormat="1" applyFont="1" applyFill="1" applyBorder="1" applyAlignment="1">
      <alignment horizontal="center" vertical="center"/>
    </xf>
    <xf numFmtId="9" fontId="72" fillId="4" borderId="222" xfId="0" applyNumberFormat="1" applyFont="1" applyFill="1" applyBorder="1" applyAlignment="1">
      <alignment horizontal="center" vertical="center"/>
    </xf>
    <xf numFmtId="9" fontId="72" fillId="4" borderId="144" xfId="0" applyNumberFormat="1" applyFont="1" applyFill="1" applyBorder="1" applyAlignment="1">
      <alignment horizontal="center" vertical="center"/>
    </xf>
    <xf numFmtId="9" fontId="72" fillId="4" borderId="223" xfId="0" applyNumberFormat="1" applyFont="1" applyFill="1" applyBorder="1" applyAlignment="1">
      <alignment horizontal="center" vertical="center"/>
    </xf>
    <xf numFmtId="0" fontId="80" fillId="0" borderId="189" xfId="0" applyFont="1" applyBorder="1" applyAlignment="1">
      <alignment horizontal="center" vertical="center" wrapText="1"/>
    </xf>
    <xf numFmtId="0" fontId="77" fillId="0" borderId="171" xfId="0" applyFont="1" applyBorder="1" applyAlignment="1">
      <alignment horizontal="center"/>
    </xf>
    <xf numFmtId="0" fontId="77" fillId="0" borderId="190" xfId="0" applyFont="1" applyBorder="1" applyAlignment="1">
      <alignment horizontal="center"/>
    </xf>
  </cellXfs>
  <cellStyles count="1">
    <cellStyle name="Normal" xfId="0" builtinId="0"/>
  </cellStyles>
  <dxfs count="24">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ill>
        <patternFill patternType="solid">
          <fgColor rgb="FF6FA8DC"/>
          <bgColor rgb="FF6FA8DC"/>
        </patternFill>
      </fill>
    </dxf>
    <dxf>
      <font>
        <color rgb="FF000000"/>
      </font>
      <fill>
        <patternFill patternType="solid">
          <fgColor rgb="FF6FA8DC"/>
          <bgColor rgb="FF6FA8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447675</xdr:colOff>
      <xdr:row>0</xdr:row>
      <xdr:rowOff>685800</xdr:rowOff>
    </xdr:from>
    <xdr:ext cx="1714500" cy="685800"/>
    <xdr:sp macro="" textlink="">
      <xdr:nvSpPr>
        <xdr:cNvPr id="3" name="Shape 3">
          <a:extLst>
            <a:ext uri="{FF2B5EF4-FFF2-40B4-BE49-F238E27FC236}">
              <a16:creationId xmlns:a16="http://schemas.microsoft.com/office/drawing/2014/main" id="{00000000-0008-0000-0100-000003000000}"/>
            </a:ext>
          </a:extLst>
        </xdr:cNvPr>
        <xdr:cNvSpPr txBox="1"/>
      </xdr:nvSpPr>
      <xdr:spPr>
        <a:xfrm>
          <a:off x="4492948" y="3441863"/>
          <a:ext cx="1706105"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485775</xdr:rowOff>
    </xdr:from>
    <xdr:ext cx="11229975" cy="22098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447675</xdr:colOff>
      <xdr:row>0</xdr:row>
      <xdr:rowOff>685800</xdr:rowOff>
    </xdr:from>
    <xdr:ext cx="1714500" cy="685800"/>
    <xdr:sp macro="" textlink="">
      <xdr:nvSpPr>
        <xdr:cNvPr id="4" name="Shape 4">
          <a:extLst>
            <a:ext uri="{FF2B5EF4-FFF2-40B4-BE49-F238E27FC236}">
              <a16:creationId xmlns:a16="http://schemas.microsoft.com/office/drawing/2014/main" id="{00000000-0008-0000-0200-000004000000}"/>
            </a:ext>
          </a:extLst>
        </xdr:cNvPr>
        <xdr:cNvSpPr txBox="1"/>
      </xdr:nvSpPr>
      <xdr:spPr>
        <a:xfrm>
          <a:off x="4492948" y="3441863"/>
          <a:ext cx="1706105"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9</xdr:col>
      <xdr:colOff>381000</xdr:colOff>
      <xdr:row>0</xdr:row>
      <xdr:rowOff>0</xdr:rowOff>
    </xdr:from>
    <xdr:ext cx="11229975" cy="27940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13382625" y="0"/>
          <a:ext cx="11229975" cy="27940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447675</xdr:colOff>
      <xdr:row>0</xdr:row>
      <xdr:rowOff>685800</xdr:rowOff>
    </xdr:from>
    <xdr:ext cx="1714500" cy="685800"/>
    <xdr:sp macro="" textlink="">
      <xdr:nvSpPr>
        <xdr:cNvPr id="7" name="Shape 7">
          <a:extLst>
            <a:ext uri="{FF2B5EF4-FFF2-40B4-BE49-F238E27FC236}">
              <a16:creationId xmlns:a16="http://schemas.microsoft.com/office/drawing/2014/main" id="{00000000-0008-0000-0800-000007000000}"/>
            </a:ext>
          </a:extLst>
        </xdr:cNvPr>
        <xdr:cNvSpPr txBox="1"/>
      </xdr:nvSpPr>
      <xdr:spPr>
        <a:xfrm>
          <a:off x="4492948" y="3441863"/>
          <a:ext cx="1706105"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800"/>
            <a:buFont typeface="Calibri"/>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10</xdr:col>
      <xdr:colOff>381000</xdr:colOff>
      <xdr:row>0</xdr:row>
      <xdr:rowOff>485775</xdr:rowOff>
    </xdr:from>
    <xdr:ext cx="11229975" cy="2209800"/>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4.453125" defaultRowHeight="15" customHeight="1"/>
  <cols>
    <col min="1" max="1" width="10.453125" customWidth="1"/>
    <col min="2" max="2" width="18.453125" customWidth="1"/>
    <col min="3" max="3" width="91.54296875" customWidth="1"/>
    <col min="4" max="26" width="9.81640625" customWidth="1"/>
  </cols>
  <sheetData>
    <row r="1" spans="1:26" ht="14.5">
      <c r="A1" s="432" t="s">
        <v>0</v>
      </c>
      <c r="B1" s="433"/>
      <c r="C1" s="433"/>
      <c r="D1" s="1"/>
      <c r="E1" s="1"/>
      <c r="F1" s="1"/>
      <c r="G1" s="1"/>
      <c r="H1" s="1"/>
      <c r="I1" s="1"/>
      <c r="J1" s="1"/>
      <c r="K1" s="1"/>
      <c r="L1" s="1"/>
      <c r="M1" s="1"/>
      <c r="N1" s="1"/>
      <c r="O1" s="1"/>
      <c r="P1" s="1"/>
      <c r="Q1" s="1"/>
      <c r="R1" s="1"/>
      <c r="S1" s="1"/>
      <c r="T1" s="1"/>
      <c r="U1" s="1"/>
      <c r="V1" s="1"/>
      <c r="W1" s="1"/>
      <c r="X1" s="1"/>
      <c r="Y1" s="1"/>
      <c r="Z1" s="1"/>
    </row>
    <row r="2" spans="1:26" ht="14.5">
      <c r="A2" s="1"/>
      <c r="B2" s="2"/>
      <c r="C2" s="1"/>
      <c r="D2" s="1"/>
      <c r="E2" s="1"/>
      <c r="F2" s="1"/>
      <c r="G2" s="1"/>
      <c r="H2" s="1"/>
      <c r="I2" s="1"/>
      <c r="J2" s="1"/>
      <c r="K2" s="1"/>
      <c r="L2" s="1"/>
      <c r="M2" s="1"/>
      <c r="N2" s="1"/>
      <c r="O2" s="1"/>
      <c r="P2" s="1"/>
      <c r="Q2" s="1"/>
      <c r="R2" s="1"/>
      <c r="S2" s="1"/>
      <c r="T2" s="1"/>
      <c r="U2" s="1"/>
      <c r="V2" s="1"/>
      <c r="W2" s="1"/>
      <c r="X2" s="1"/>
      <c r="Y2" s="1"/>
      <c r="Z2" s="1"/>
    </row>
    <row r="3" spans="1:26" ht="14.5">
      <c r="A3" s="1"/>
      <c r="B3" s="3" t="s">
        <v>1</v>
      </c>
      <c r="C3" s="3" t="s">
        <v>2</v>
      </c>
      <c r="D3" s="1"/>
      <c r="E3" s="1"/>
      <c r="F3" s="1"/>
      <c r="G3" s="1"/>
      <c r="H3" s="1"/>
      <c r="I3" s="1"/>
      <c r="J3" s="1"/>
      <c r="K3" s="1"/>
      <c r="L3" s="1"/>
      <c r="M3" s="1"/>
      <c r="N3" s="1"/>
      <c r="O3" s="1"/>
      <c r="P3" s="1"/>
      <c r="Q3" s="1"/>
      <c r="R3" s="1"/>
      <c r="S3" s="1"/>
      <c r="T3" s="1"/>
      <c r="U3" s="1"/>
      <c r="V3" s="1"/>
      <c r="W3" s="1"/>
      <c r="X3" s="1"/>
      <c r="Y3" s="1"/>
      <c r="Z3" s="1"/>
    </row>
    <row r="4" spans="1:26" ht="14.5">
      <c r="A4" s="1"/>
      <c r="B4" s="434" t="s">
        <v>3</v>
      </c>
      <c r="C4" s="406"/>
      <c r="D4" s="1"/>
      <c r="E4" s="1"/>
      <c r="F4" s="1"/>
      <c r="G4" s="1"/>
      <c r="H4" s="1"/>
      <c r="I4" s="1"/>
      <c r="J4" s="1"/>
      <c r="K4" s="1"/>
      <c r="L4" s="1"/>
      <c r="M4" s="1"/>
      <c r="N4" s="1"/>
      <c r="O4" s="1"/>
      <c r="P4" s="1"/>
      <c r="Q4" s="1"/>
      <c r="R4" s="1"/>
      <c r="S4" s="1"/>
      <c r="T4" s="1"/>
      <c r="U4" s="1"/>
      <c r="V4" s="1"/>
      <c r="W4" s="1"/>
      <c r="X4" s="1"/>
      <c r="Y4" s="1"/>
      <c r="Z4" s="1"/>
    </row>
    <row r="5" spans="1:26" ht="14.5">
      <c r="A5" s="1"/>
      <c r="B5" s="4" t="s">
        <v>4</v>
      </c>
      <c r="C5" s="5"/>
      <c r="D5" s="1"/>
      <c r="E5" s="1"/>
      <c r="F5" s="1"/>
      <c r="G5" s="1"/>
      <c r="H5" s="1"/>
      <c r="I5" s="1"/>
      <c r="J5" s="1"/>
      <c r="K5" s="1"/>
      <c r="L5" s="1"/>
      <c r="M5" s="1"/>
      <c r="N5" s="1"/>
      <c r="O5" s="1"/>
      <c r="P5" s="1"/>
      <c r="Q5" s="1"/>
      <c r="R5" s="1"/>
      <c r="S5" s="1"/>
      <c r="T5" s="1"/>
      <c r="U5" s="1"/>
      <c r="V5" s="1"/>
      <c r="W5" s="1"/>
      <c r="X5" s="1"/>
      <c r="Y5" s="1"/>
      <c r="Z5" s="1"/>
    </row>
    <row r="6" spans="1:26" ht="14.5">
      <c r="A6" s="1"/>
      <c r="B6" s="4" t="s">
        <v>5</v>
      </c>
      <c r="C6" s="5" t="s">
        <v>2</v>
      </c>
      <c r="D6" s="1"/>
      <c r="E6" s="1"/>
      <c r="F6" s="1"/>
      <c r="G6" s="1"/>
      <c r="H6" s="1"/>
      <c r="I6" s="1"/>
      <c r="J6" s="1"/>
      <c r="K6" s="1"/>
      <c r="L6" s="1"/>
      <c r="M6" s="1"/>
      <c r="N6" s="1"/>
      <c r="O6" s="1"/>
      <c r="P6" s="1"/>
      <c r="Q6" s="1"/>
      <c r="R6" s="1"/>
      <c r="S6" s="1"/>
      <c r="T6" s="1"/>
      <c r="U6" s="1"/>
      <c r="V6" s="1"/>
      <c r="W6" s="1"/>
      <c r="X6" s="1"/>
      <c r="Y6" s="1"/>
      <c r="Z6" s="1"/>
    </row>
    <row r="7" spans="1:26" ht="14.5">
      <c r="A7" s="1"/>
      <c r="B7" s="4" t="s">
        <v>6</v>
      </c>
      <c r="C7" s="5" t="s">
        <v>2</v>
      </c>
      <c r="D7" s="1"/>
      <c r="E7" s="1"/>
      <c r="F7" s="1"/>
      <c r="G7" s="1"/>
      <c r="H7" s="1"/>
      <c r="I7" s="1"/>
      <c r="J7" s="1"/>
      <c r="K7" s="1"/>
      <c r="L7" s="1"/>
      <c r="M7" s="1"/>
      <c r="N7" s="1"/>
      <c r="O7" s="1"/>
      <c r="P7" s="1"/>
      <c r="Q7" s="1"/>
      <c r="R7" s="1"/>
      <c r="S7" s="1"/>
      <c r="T7" s="1"/>
      <c r="U7" s="1"/>
      <c r="V7" s="1"/>
      <c r="W7" s="1"/>
      <c r="X7" s="1"/>
      <c r="Y7" s="1"/>
      <c r="Z7" s="1"/>
    </row>
    <row r="8" spans="1:26" ht="14.5">
      <c r="A8" s="1"/>
      <c r="B8" s="6"/>
      <c r="C8" s="6"/>
      <c r="D8" s="1"/>
      <c r="E8" s="1"/>
      <c r="F8" s="1"/>
      <c r="G8" s="1"/>
      <c r="H8" s="1"/>
      <c r="I8" s="1"/>
      <c r="J8" s="1"/>
      <c r="K8" s="1"/>
      <c r="L8" s="1"/>
      <c r="M8" s="1"/>
      <c r="N8" s="1"/>
      <c r="O8" s="1"/>
      <c r="P8" s="1"/>
      <c r="Q8" s="1"/>
      <c r="R8" s="1"/>
      <c r="S8" s="1"/>
      <c r="T8" s="1"/>
      <c r="U8" s="1"/>
      <c r="V8" s="1"/>
      <c r="W8" s="1"/>
      <c r="X8" s="1"/>
      <c r="Y8" s="1"/>
      <c r="Z8" s="1"/>
    </row>
    <row r="9" spans="1:26" ht="14.5">
      <c r="A9" s="7" t="s">
        <v>7</v>
      </c>
      <c r="B9" s="6"/>
      <c r="C9" s="6"/>
      <c r="D9" s="1"/>
      <c r="E9" s="1"/>
      <c r="F9" s="1"/>
      <c r="G9" s="1"/>
      <c r="H9" s="1"/>
      <c r="I9" s="1"/>
      <c r="J9" s="1"/>
      <c r="K9" s="1"/>
      <c r="L9" s="1"/>
      <c r="M9" s="1"/>
      <c r="N9" s="1"/>
      <c r="O9" s="1"/>
      <c r="P9" s="1"/>
      <c r="Q9" s="1"/>
      <c r="R9" s="1"/>
      <c r="S9" s="1"/>
      <c r="T9" s="1"/>
      <c r="U9" s="1"/>
      <c r="V9" s="1"/>
      <c r="W9" s="1"/>
      <c r="X9" s="1"/>
      <c r="Y9" s="1"/>
      <c r="Z9" s="1"/>
    </row>
    <row r="10" spans="1:26" ht="14.5">
      <c r="A10" s="1"/>
      <c r="B10" s="6"/>
      <c r="C10" s="6"/>
      <c r="D10" s="1"/>
      <c r="E10" s="1"/>
      <c r="F10" s="1"/>
      <c r="G10" s="1"/>
      <c r="H10" s="1"/>
      <c r="I10" s="1"/>
      <c r="J10" s="1"/>
      <c r="K10" s="1"/>
      <c r="L10" s="1"/>
      <c r="M10" s="1"/>
      <c r="N10" s="1"/>
      <c r="O10" s="1"/>
      <c r="P10" s="1"/>
      <c r="Q10" s="1"/>
      <c r="R10" s="1"/>
      <c r="S10" s="1"/>
      <c r="T10" s="1"/>
      <c r="U10" s="1"/>
      <c r="V10" s="1"/>
      <c r="W10" s="1"/>
      <c r="X10" s="1"/>
      <c r="Y10" s="1"/>
      <c r="Z10" s="1"/>
    </row>
    <row r="11" spans="1:26" ht="14.5">
      <c r="A11" s="1"/>
      <c r="B11" s="4" t="s">
        <v>8</v>
      </c>
      <c r="C11" s="4" t="s">
        <v>2</v>
      </c>
      <c r="D11" s="1"/>
      <c r="E11" s="1"/>
      <c r="F11" s="1"/>
      <c r="G11" s="1"/>
      <c r="H11" s="1"/>
      <c r="I11" s="1"/>
      <c r="J11" s="1"/>
      <c r="K11" s="1"/>
      <c r="L11" s="1"/>
      <c r="M11" s="1"/>
      <c r="N11" s="1"/>
      <c r="O11" s="1"/>
      <c r="P11" s="1"/>
      <c r="Q11" s="1"/>
      <c r="R11" s="1"/>
      <c r="S11" s="1"/>
      <c r="T11" s="1"/>
      <c r="U11" s="1"/>
      <c r="V11" s="1"/>
      <c r="W11" s="1"/>
      <c r="X11" s="1"/>
      <c r="Y11" s="1"/>
      <c r="Z11" s="1"/>
    </row>
    <row r="12" spans="1:26" ht="14.5">
      <c r="A12" s="1"/>
      <c r="B12" s="4" t="s">
        <v>9</v>
      </c>
      <c r="C12" s="4" t="s">
        <v>2</v>
      </c>
      <c r="D12" s="1"/>
      <c r="E12" s="1"/>
      <c r="F12" s="1"/>
      <c r="G12" s="1"/>
      <c r="H12" s="1"/>
      <c r="I12" s="1"/>
      <c r="J12" s="1"/>
      <c r="K12" s="1"/>
      <c r="L12" s="1"/>
      <c r="M12" s="1"/>
      <c r="N12" s="1"/>
      <c r="O12" s="1"/>
      <c r="P12" s="1"/>
      <c r="Q12" s="1"/>
      <c r="R12" s="1"/>
      <c r="S12" s="1"/>
      <c r="T12" s="1"/>
      <c r="U12" s="1"/>
      <c r="V12" s="1"/>
      <c r="W12" s="1"/>
      <c r="X12" s="1"/>
      <c r="Y12" s="1"/>
      <c r="Z12" s="1"/>
    </row>
    <row r="13" spans="1:26" ht="14.5">
      <c r="A13" s="1"/>
      <c r="B13" s="435" t="s">
        <v>10</v>
      </c>
      <c r="C13" s="406"/>
      <c r="D13" s="1"/>
      <c r="E13" s="1"/>
      <c r="F13" s="1"/>
      <c r="G13" s="1"/>
      <c r="H13" s="1"/>
      <c r="I13" s="1"/>
      <c r="J13" s="1"/>
      <c r="K13" s="1"/>
      <c r="L13" s="1"/>
      <c r="M13" s="1"/>
      <c r="N13" s="1"/>
      <c r="O13" s="1"/>
      <c r="P13" s="1"/>
      <c r="Q13" s="1"/>
      <c r="R13" s="1"/>
      <c r="S13" s="1"/>
      <c r="T13" s="1"/>
      <c r="U13" s="1"/>
      <c r="V13" s="1"/>
      <c r="W13" s="1"/>
      <c r="X13" s="1"/>
      <c r="Y13" s="1"/>
      <c r="Z13" s="1"/>
    </row>
    <row r="14" spans="1:26" ht="14.5">
      <c r="A14" s="1"/>
      <c r="B14" s="4" t="s">
        <v>11</v>
      </c>
      <c r="C14" s="4" t="s">
        <v>2</v>
      </c>
      <c r="D14" s="1"/>
      <c r="E14" s="1"/>
      <c r="F14" s="1"/>
      <c r="G14" s="1"/>
      <c r="H14" s="1"/>
      <c r="I14" s="1"/>
      <c r="J14" s="1"/>
      <c r="K14" s="1"/>
      <c r="L14" s="1"/>
      <c r="M14" s="1"/>
      <c r="N14" s="1"/>
      <c r="O14" s="1"/>
      <c r="P14" s="1"/>
      <c r="Q14" s="1"/>
      <c r="R14" s="1"/>
      <c r="S14" s="1"/>
      <c r="T14" s="1"/>
      <c r="U14" s="1"/>
      <c r="V14" s="1"/>
      <c r="W14" s="1"/>
      <c r="X14" s="1"/>
      <c r="Y14" s="1"/>
      <c r="Z14" s="1"/>
    </row>
    <row r="15" spans="1:26" ht="14.5">
      <c r="A15" s="1"/>
      <c r="B15" s="4" t="s">
        <v>12</v>
      </c>
      <c r="C15" s="4" t="s">
        <v>2</v>
      </c>
      <c r="D15" s="1"/>
      <c r="E15" s="1"/>
      <c r="F15" s="1"/>
      <c r="G15" s="1"/>
      <c r="H15" s="1"/>
      <c r="I15" s="1"/>
      <c r="J15" s="1"/>
      <c r="K15" s="1"/>
      <c r="L15" s="1"/>
      <c r="M15" s="1"/>
      <c r="N15" s="1"/>
      <c r="O15" s="1"/>
      <c r="P15" s="1"/>
      <c r="Q15" s="1"/>
      <c r="R15" s="1"/>
      <c r="S15" s="1"/>
      <c r="T15" s="1"/>
      <c r="U15" s="1"/>
      <c r="V15" s="1"/>
      <c r="W15" s="1"/>
      <c r="X15" s="1"/>
      <c r="Y15" s="1"/>
      <c r="Z15" s="1"/>
    </row>
    <row r="16" spans="1:26" ht="14.5">
      <c r="A16" s="1"/>
      <c r="B16" s="435" t="s">
        <v>13</v>
      </c>
      <c r="C16" s="406"/>
      <c r="D16" s="1"/>
      <c r="E16" s="1"/>
      <c r="F16" s="1"/>
      <c r="G16" s="1"/>
      <c r="H16" s="1"/>
      <c r="I16" s="1"/>
      <c r="J16" s="1"/>
      <c r="K16" s="1"/>
      <c r="L16" s="1"/>
      <c r="M16" s="1"/>
      <c r="N16" s="1"/>
      <c r="O16" s="1"/>
      <c r="P16" s="1"/>
      <c r="Q16" s="1"/>
      <c r="R16" s="1"/>
      <c r="S16" s="1"/>
      <c r="T16" s="1"/>
      <c r="U16" s="1"/>
      <c r="V16" s="1"/>
      <c r="W16" s="1"/>
      <c r="X16" s="1"/>
      <c r="Y16" s="1"/>
      <c r="Z16" s="1"/>
    </row>
    <row r="17" spans="1:26" ht="14.5">
      <c r="A17" s="1"/>
      <c r="B17" s="436" t="s">
        <v>14</v>
      </c>
      <c r="C17" s="406"/>
      <c r="D17" s="1"/>
      <c r="E17" s="1"/>
      <c r="F17" s="1"/>
      <c r="G17" s="1"/>
      <c r="H17" s="1"/>
      <c r="I17" s="1"/>
      <c r="J17" s="1"/>
      <c r="K17" s="1"/>
      <c r="L17" s="1"/>
      <c r="M17" s="1"/>
      <c r="N17" s="1"/>
      <c r="O17" s="1"/>
      <c r="P17" s="1"/>
      <c r="Q17" s="1"/>
      <c r="R17" s="1"/>
      <c r="S17" s="1"/>
      <c r="T17" s="1"/>
      <c r="U17" s="1"/>
      <c r="V17" s="1"/>
      <c r="W17" s="1"/>
      <c r="X17" s="1"/>
      <c r="Y17" s="1"/>
      <c r="Z17" s="1"/>
    </row>
    <row r="18" spans="1:26" ht="14.5">
      <c r="A18" s="1"/>
      <c r="B18" s="8">
        <v>5</v>
      </c>
      <c r="C18" s="4" t="s">
        <v>2</v>
      </c>
      <c r="D18" s="1"/>
      <c r="E18" s="1"/>
      <c r="F18" s="1"/>
      <c r="G18" s="1"/>
      <c r="H18" s="1"/>
      <c r="I18" s="1"/>
      <c r="J18" s="1"/>
      <c r="K18" s="1"/>
      <c r="L18" s="1"/>
      <c r="M18" s="1"/>
      <c r="N18" s="1"/>
      <c r="O18" s="1"/>
      <c r="P18" s="1"/>
      <c r="Q18" s="1"/>
      <c r="R18" s="1"/>
      <c r="S18" s="1"/>
      <c r="T18" s="1"/>
      <c r="U18" s="1"/>
      <c r="V18" s="1"/>
      <c r="W18" s="1"/>
      <c r="X18" s="1"/>
      <c r="Y18" s="1"/>
      <c r="Z18" s="1"/>
    </row>
    <row r="19" spans="1:26" ht="14.5">
      <c r="A19" s="1"/>
      <c r="B19" s="8">
        <v>4</v>
      </c>
      <c r="C19" s="4" t="s">
        <v>2</v>
      </c>
      <c r="D19" s="1"/>
      <c r="E19" s="1"/>
      <c r="F19" s="1"/>
      <c r="G19" s="1"/>
      <c r="H19" s="1"/>
      <c r="I19" s="1"/>
      <c r="J19" s="1"/>
      <c r="K19" s="1"/>
      <c r="L19" s="1"/>
      <c r="M19" s="1"/>
      <c r="N19" s="1"/>
      <c r="O19" s="1"/>
      <c r="P19" s="1"/>
      <c r="Q19" s="1"/>
      <c r="R19" s="1"/>
      <c r="S19" s="1"/>
      <c r="T19" s="1"/>
      <c r="U19" s="1"/>
      <c r="V19" s="1"/>
      <c r="W19" s="1"/>
      <c r="X19" s="1"/>
      <c r="Y19" s="1"/>
      <c r="Z19" s="1"/>
    </row>
    <row r="20" spans="1:26" ht="14.5">
      <c r="A20" s="1"/>
      <c r="B20" s="8">
        <v>3</v>
      </c>
      <c r="C20" s="4" t="s">
        <v>2</v>
      </c>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8">
        <v>2</v>
      </c>
      <c r="C21" s="4" t="s">
        <v>2</v>
      </c>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8">
        <v>1</v>
      </c>
      <c r="C22" s="4" t="s">
        <v>2</v>
      </c>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431" t="s">
        <v>15</v>
      </c>
      <c r="C23" s="406"/>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8">
        <v>5</v>
      </c>
      <c r="C24" s="4" t="s">
        <v>2</v>
      </c>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8">
        <v>4</v>
      </c>
      <c r="C25" s="4" t="s">
        <v>2</v>
      </c>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8">
        <v>3</v>
      </c>
      <c r="C26" s="4" t="s">
        <v>2</v>
      </c>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8">
        <v>2</v>
      </c>
      <c r="C27" s="4" t="s">
        <v>2</v>
      </c>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8">
        <v>1</v>
      </c>
      <c r="C28" s="4" t="s">
        <v>2</v>
      </c>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431" t="s">
        <v>16</v>
      </c>
      <c r="C29" s="406"/>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8">
        <v>5</v>
      </c>
      <c r="C30" s="4" t="s">
        <v>2</v>
      </c>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8">
        <v>4</v>
      </c>
      <c r="C31" s="4" t="s">
        <v>2</v>
      </c>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8">
        <v>3</v>
      </c>
      <c r="C32" s="4" t="s">
        <v>2</v>
      </c>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8">
        <v>2</v>
      </c>
      <c r="C33" s="4" t="s">
        <v>2</v>
      </c>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8">
        <v>1</v>
      </c>
      <c r="C34" s="4" t="s">
        <v>2</v>
      </c>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7">
    <mergeCell ref="B23:C23"/>
    <mergeCell ref="B29:C29"/>
    <mergeCell ref="A1:C1"/>
    <mergeCell ref="B4:C4"/>
    <mergeCell ref="B13:C13"/>
    <mergeCell ref="B16:C16"/>
    <mergeCell ref="B17:C17"/>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85623"/>
    <pageSetUpPr fitToPage="1"/>
  </sheetPr>
  <dimension ref="A1:AG1000"/>
  <sheetViews>
    <sheetView workbookViewId="0"/>
  </sheetViews>
  <sheetFormatPr defaultColWidth="14.453125" defaultRowHeight="15" customHeight="1"/>
  <cols>
    <col min="1" max="1" width="1.453125" customWidth="1"/>
    <col min="2" max="2" width="22" customWidth="1"/>
    <col min="3" max="3" width="21.81640625" customWidth="1"/>
    <col min="4" max="4" width="19.81640625" customWidth="1"/>
    <col min="5" max="5" width="25.08984375" customWidth="1"/>
    <col min="6" max="6" width="24.81640625" customWidth="1"/>
    <col min="7" max="7" width="11" customWidth="1"/>
    <col min="8" max="8" width="14.81640625" customWidth="1"/>
    <col min="9" max="9" width="15.453125" customWidth="1"/>
    <col min="10" max="11" width="16.453125" customWidth="1"/>
    <col min="12" max="12" width="18.81640625" customWidth="1"/>
    <col min="13" max="13" width="34.08984375" customWidth="1"/>
    <col min="14" max="14" width="37.7265625" customWidth="1"/>
    <col min="15" max="15" width="39.08984375" customWidth="1"/>
    <col min="16" max="16" width="35.81640625" customWidth="1"/>
    <col min="17" max="17" width="36.453125" customWidth="1"/>
    <col min="18" max="18" width="24.453125" customWidth="1"/>
    <col min="19" max="19" width="22.08984375" customWidth="1"/>
    <col min="20" max="20" width="15.08984375" customWidth="1"/>
    <col min="21" max="21" width="15.26953125" customWidth="1"/>
    <col min="22" max="22" width="20.453125" customWidth="1"/>
    <col min="23" max="23" width="62.453125" customWidth="1"/>
    <col min="24" max="32" width="9.08984375" customWidth="1"/>
  </cols>
  <sheetData>
    <row r="1" spans="1:33" ht="229.5" customHeight="1">
      <c r="A1" s="9"/>
      <c r="B1" s="505"/>
      <c r="C1" s="416"/>
      <c r="D1" s="416"/>
      <c r="E1" s="416"/>
      <c r="F1" s="416"/>
      <c r="G1" s="416"/>
      <c r="H1" s="416"/>
      <c r="I1" s="416"/>
      <c r="J1" s="416"/>
      <c r="K1" s="416"/>
      <c r="L1" s="416"/>
      <c r="M1" s="416"/>
      <c r="N1" s="416"/>
      <c r="O1" s="416"/>
      <c r="P1" s="416"/>
      <c r="Q1" s="416"/>
      <c r="R1" s="416"/>
      <c r="S1" s="416"/>
      <c r="T1" s="416"/>
      <c r="U1" s="416"/>
      <c r="V1" s="506"/>
      <c r="W1" s="10"/>
      <c r="X1" s="9"/>
      <c r="Y1" s="9"/>
      <c r="Z1" s="9"/>
      <c r="AA1" s="9"/>
      <c r="AB1" s="9"/>
      <c r="AC1" s="9"/>
      <c r="AD1" s="9"/>
      <c r="AE1" s="9"/>
      <c r="AF1" s="9"/>
      <c r="AG1" s="11"/>
    </row>
    <row r="2" spans="1:33" ht="42.75" customHeight="1">
      <c r="A2" s="9"/>
      <c r="B2" s="507" t="s">
        <v>17</v>
      </c>
      <c r="C2" s="416"/>
      <c r="D2" s="416"/>
      <c r="E2" s="416"/>
      <c r="F2" s="416"/>
      <c r="G2" s="416"/>
      <c r="H2" s="416"/>
      <c r="I2" s="416"/>
      <c r="J2" s="416"/>
      <c r="K2" s="416"/>
      <c r="L2" s="416"/>
      <c r="M2" s="416"/>
      <c r="N2" s="416"/>
      <c r="O2" s="416"/>
      <c r="P2" s="416"/>
      <c r="Q2" s="416"/>
      <c r="R2" s="416"/>
      <c r="S2" s="416"/>
      <c r="T2" s="416"/>
      <c r="U2" s="416"/>
      <c r="V2" s="506"/>
      <c r="W2" s="10"/>
      <c r="X2" s="9"/>
      <c r="Y2" s="9"/>
      <c r="Z2" s="9"/>
      <c r="AA2" s="9"/>
      <c r="AB2" s="9"/>
      <c r="AC2" s="9"/>
      <c r="AD2" s="9"/>
      <c r="AE2" s="9"/>
      <c r="AF2" s="9"/>
      <c r="AG2" s="11"/>
    </row>
    <row r="3" spans="1:33" ht="33.75" customHeight="1">
      <c r="A3" s="9"/>
      <c r="B3" s="508"/>
      <c r="C3" s="509"/>
      <c r="D3" s="509"/>
      <c r="E3" s="509"/>
      <c r="F3" s="509"/>
      <c r="G3" s="509"/>
      <c r="H3" s="509"/>
      <c r="I3" s="509"/>
      <c r="J3" s="509"/>
      <c r="K3" s="509"/>
      <c r="L3" s="509"/>
      <c r="M3" s="509"/>
      <c r="N3" s="509"/>
      <c r="O3" s="509"/>
      <c r="P3" s="509"/>
      <c r="Q3" s="509"/>
      <c r="R3" s="509"/>
      <c r="S3" s="509"/>
      <c r="T3" s="509"/>
      <c r="U3" s="509"/>
      <c r="V3" s="510"/>
      <c r="W3" s="10"/>
      <c r="X3" s="9"/>
      <c r="Y3" s="9"/>
      <c r="Z3" s="9"/>
      <c r="AA3" s="9"/>
      <c r="AB3" s="9"/>
      <c r="AC3" s="9"/>
      <c r="AD3" s="9"/>
      <c r="AE3" s="9"/>
      <c r="AF3" s="9"/>
      <c r="AG3" s="11"/>
    </row>
    <row r="4" spans="1:33" ht="15.75" customHeight="1">
      <c r="A4" s="9"/>
      <c r="B4" s="511" t="s">
        <v>18</v>
      </c>
      <c r="C4" s="512"/>
      <c r="D4" s="512"/>
      <c r="E4" s="513"/>
      <c r="F4" s="514"/>
      <c r="G4" s="512"/>
      <c r="H4" s="512"/>
      <c r="I4" s="512"/>
      <c r="J4" s="512"/>
      <c r="K4" s="512"/>
      <c r="L4" s="512"/>
      <c r="M4" s="513"/>
      <c r="N4" s="12" t="s">
        <v>19</v>
      </c>
      <c r="O4" s="514"/>
      <c r="P4" s="512"/>
      <c r="Q4" s="512"/>
      <c r="R4" s="512"/>
      <c r="S4" s="512"/>
      <c r="T4" s="512"/>
      <c r="U4" s="512"/>
      <c r="V4" s="526"/>
      <c r="W4" s="10"/>
      <c r="X4" s="9"/>
      <c r="Y4" s="9"/>
      <c r="Z4" s="9"/>
      <c r="AA4" s="9"/>
      <c r="AB4" s="9"/>
      <c r="AC4" s="9"/>
      <c r="AD4" s="9"/>
      <c r="AE4" s="9"/>
      <c r="AF4" s="9"/>
      <c r="AG4" s="13"/>
    </row>
    <row r="5" spans="1:33" ht="16.5" customHeight="1">
      <c r="A5" s="9"/>
      <c r="B5" s="515" t="s">
        <v>20</v>
      </c>
      <c r="C5" s="411"/>
      <c r="D5" s="411"/>
      <c r="E5" s="406"/>
      <c r="F5" s="516"/>
      <c r="G5" s="411"/>
      <c r="H5" s="411"/>
      <c r="I5" s="411"/>
      <c r="J5" s="411"/>
      <c r="K5" s="411"/>
      <c r="L5" s="411"/>
      <c r="M5" s="406"/>
      <c r="N5" s="14" t="s">
        <v>21</v>
      </c>
      <c r="O5" s="516"/>
      <c r="P5" s="411"/>
      <c r="Q5" s="411"/>
      <c r="R5" s="411"/>
      <c r="S5" s="411"/>
      <c r="T5" s="411"/>
      <c r="U5" s="411"/>
      <c r="V5" s="527"/>
      <c r="W5" s="10"/>
      <c r="X5" s="9"/>
      <c r="Y5" s="9"/>
      <c r="Z5" s="9"/>
      <c r="AA5" s="9"/>
      <c r="AB5" s="9"/>
      <c r="AC5" s="9"/>
      <c r="AD5" s="9"/>
      <c r="AE5" s="9"/>
      <c r="AF5" s="9"/>
      <c r="AG5" s="13"/>
    </row>
    <row r="6" spans="1:33" ht="15.75" customHeight="1">
      <c r="A6" s="9"/>
      <c r="B6" s="515" t="s">
        <v>22</v>
      </c>
      <c r="C6" s="411"/>
      <c r="D6" s="411"/>
      <c r="E6" s="406"/>
      <c r="F6" s="516"/>
      <c r="G6" s="411"/>
      <c r="H6" s="411"/>
      <c r="I6" s="411"/>
      <c r="J6" s="411"/>
      <c r="K6" s="411"/>
      <c r="L6" s="411"/>
      <c r="M6" s="406"/>
      <c r="N6" s="14" t="s">
        <v>23</v>
      </c>
      <c r="O6" s="516"/>
      <c r="P6" s="411"/>
      <c r="Q6" s="411"/>
      <c r="R6" s="411"/>
      <c r="S6" s="411"/>
      <c r="T6" s="411"/>
      <c r="U6" s="411"/>
      <c r="V6" s="527"/>
      <c r="W6" s="10"/>
      <c r="X6" s="9"/>
      <c r="Y6" s="9"/>
      <c r="Z6" s="9"/>
      <c r="AA6" s="9"/>
      <c r="AB6" s="9"/>
      <c r="AC6" s="9"/>
      <c r="AD6" s="9"/>
      <c r="AE6" s="9"/>
      <c r="AF6" s="9"/>
      <c r="AG6" s="13"/>
    </row>
    <row r="7" spans="1:33" ht="16.5" customHeight="1">
      <c r="A7" s="9"/>
      <c r="B7" s="515" t="s">
        <v>24</v>
      </c>
      <c r="C7" s="411"/>
      <c r="D7" s="411"/>
      <c r="E7" s="406"/>
      <c r="F7" s="528"/>
      <c r="G7" s="426"/>
      <c r="H7" s="426"/>
      <c r="I7" s="426"/>
      <c r="J7" s="426"/>
      <c r="K7" s="426"/>
      <c r="L7" s="426"/>
      <c r="M7" s="427"/>
      <c r="N7" s="14" t="s">
        <v>25</v>
      </c>
      <c r="O7" s="15"/>
      <c r="P7" s="15"/>
      <c r="Q7" s="15"/>
      <c r="R7" s="15"/>
      <c r="S7" s="15"/>
      <c r="T7" s="15"/>
      <c r="U7" s="15"/>
      <c r="V7" s="16"/>
      <c r="W7" s="10"/>
      <c r="X7" s="9"/>
      <c r="Y7" s="9"/>
      <c r="Z7" s="9"/>
      <c r="AA7" s="9"/>
      <c r="AB7" s="9"/>
      <c r="AC7" s="9"/>
      <c r="AD7" s="9"/>
      <c r="AE7" s="9"/>
      <c r="AF7" s="9"/>
      <c r="AG7" s="13"/>
    </row>
    <row r="8" spans="1:33" ht="45.75" customHeight="1">
      <c r="A8" s="9"/>
      <c r="B8" s="529" t="s">
        <v>26</v>
      </c>
      <c r="C8" s="530"/>
      <c r="D8" s="530"/>
      <c r="E8" s="531"/>
      <c r="F8" s="532"/>
      <c r="G8" s="530"/>
      <c r="H8" s="530"/>
      <c r="I8" s="530"/>
      <c r="J8" s="530"/>
      <c r="K8" s="530"/>
      <c r="L8" s="530"/>
      <c r="M8" s="530"/>
      <c r="N8" s="530"/>
      <c r="O8" s="530"/>
      <c r="P8" s="530"/>
      <c r="Q8" s="530"/>
      <c r="R8" s="530"/>
      <c r="S8" s="530"/>
      <c r="T8" s="530"/>
      <c r="U8" s="530"/>
      <c r="V8" s="533"/>
      <c r="W8" s="10"/>
      <c r="X8" s="9"/>
      <c r="Y8" s="9"/>
      <c r="Z8" s="9"/>
      <c r="AA8" s="9"/>
      <c r="AB8" s="9"/>
      <c r="AC8" s="9"/>
      <c r="AD8" s="9"/>
      <c r="AE8" s="9"/>
      <c r="AF8" s="9"/>
      <c r="AG8" s="13"/>
    </row>
    <row r="9" spans="1:33" ht="19.5" customHeight="1">
      <c r="A9" s="9"/>
      <c r="B9" s="534"/>
      <c r="C9" s="535"/>
      <c r="D9" s="535"/>
      <c r="E9" s="535"/>
      <c r="F9" s="535"/>
      <c r="G9" s="535"/>
      <c r="H9" s="535"/>
      <c r="I9" s="535"/>
      <c r="J9" s="535"/>
      <c r="K9" s="535"/>
      <c r="L9" s="535"/>
      <c r="M9" s="535"/>
      <c r="N9" s="535"/>
      <c r="O9" s="535"/>
      <c r="P9" s="535"/>
      <c r="Q9" s="535"/>
      <c r="R9" s="535"/>
      <c r="S9" s="535"/>
      <c r="T9" s="535"/>
      <c r="U9" s="535"/>
      <c r="V9" s="536"/>
      <c r="W9" s="10"/>
      <c r="X9" s="9"/>
      <c r="Y9" s="9"/>
      <c r="Z9" s="9"/>
      <c r="AA9" s="9"/>
      <c r="AB9" s="9"/>
      <c r="AC9" s="9"/>
      <c r="AD9" s="9"/>
      <c r="AE9" s="9"/>
      <c r="AF9" s="9"/>
      <c r="AG9" s="11"/>
    </row>
    <row r="10" spans="1:33" ht="72" customHeight="1">
      <c r="A10" s="9"/>
      <c r="B10" s="499" t="s">
        <v>27</v>
      </c>
      <c r="C10" s="433"/>
      <c r="D10" s="433"/>
      <c r="E10" s="433"/>
      <c r="F10" s="433"/>
      <c r="G10" s="433"/>
      <c r="H10" s="433"/>
      <c r="I10" s="433"/>
      <c r="J10" s="433"/>
      <c r="K10" s="433"/>
      <c r="L10" s="433"/>
      <c r="M10" s="433"/>
      <c r="N10" s="433"/>
      <c r="O10" s="433"/>
      <c r="P10" s="433"/>
      <c r="Q10" s="433"/>
      <c r="R10" s="433"/>
      <c r="S10" s="433"/>
      <c r="T10" s="433"/>
      <c r="U10" s="433"/>
      <c r="V10" s="433"/>
      <c r="W10" s="10"/>
      <c r="X10" s="9"/>
      <c r="Y10" s="9"/>
      <c r="Z10" s="9"/>
      <c r="AA10" s="9"/>
      <c r="AB10" s="9"/>
      <c r="AC10" s="9"/>
      <c r="AD10" s="9"/>
      <c r="AE10" s="9"/>
      <c r="AF10" s="9"/>
      <c r="AG10" s="11"/>
    </row>
    <row r="11" spans="1:33" ht="4.5" hidden="1"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21.75" customHeight="1">
      <c r="A12" s="11"/>
      <c r="B12" s="589" t="s">
        <v>28</v>
      </c>
      <c r="C12" s="497"/>
      <c r="D12" s="497"/>
      <c r="E12" s="497"/>
      <c r="F12" s="497"/>
      <c r="G12" s="497"/>
      <c r="H12" s="497"/>
      <c r="I12" s="497"/>
      <c r="J12" s="497"/>
      <c r="K12" s="497"/>
      <c r="L12" s="497"/>
      <c r="M12" s="497"/>
      <c r="N12" s="497"/>
      <c r="O12" s="497"/>
      <c r="P12" s="497"/>
      <c r="Q12" s="497"/>
      <c r="R12" s="498"/>
      <c r="S12" s="590" t="s">
        <v>29</v>
      </c>
      <c r="T12" s="497"/>
      <c r="U12" s="497"/>
      <c r="V12" s="498"/>
      <c r="W12" s="11"/>
      <c r="X12" s="11"/>
      <c r="Y12" s="11"/>
      <c r="Z12" s="11"/>
      <c r="AA12" s="11"/>
      <c r="AB12" s="11"/>
      <c r="AC12" s="11"/>
      <c r="AD12" s="11"/>
      <c r="AE12" s="11"/>
      <c r="AF12" s="11"/>
      <c r="AG12" s="11"/>
    </row>
    <row r="13" spans="1:33" ht="117" customHeight="1">
      <c r="A13" s="11"/>
      <c r="B13" s="583" t="s">
        <v>3</v>
      </c>
      <c r="C13" s="509"/>
      <c r="D13" s="509"/>
      <c r="E13" s="599"/>
      <c r="F13" s="591" t="s">
        <v>30</v>
      </c>
      <c r="G13" s="592"/>
      <c r="H13" s="597" t="s">
        <v>8</v>
      </c>
      <c r="I13" s="597" t="s">
        <v>9</v>
      </c>
      <c r="J13" s="583" t="s">
        <v>31</v>
      </c>
      <c r="K13" s="510"/>
      <c r="L13" s="524" t="s">
        <v>32</v>
      </c>
      <c r="M13" s="537" t="s">
        <v>33</v>
      </c>
      <c r="N13" s="535"/>
      <c r="O13" s="535"/>
      <c r="P13" s="535"/>
      <c r="Q13" s="538"/>
      <c r="R13" s="539" t="s">
        <v>34</v>
      </c>
      <c r="S13" s="563" t="s">
        <v>35</v>
      </c>
      <c r="T13" s="564" t="s">
        <v>36</v>
      </c>
      <c r="U13" s="524" t="s">
        <v>37</v>
      </c>
      <c r="V13" s="563" t="s">
        <v>38</v>
      </c>
      <c r="W13" s="11"/>
      <c r="X13" s="11"/>
      <c r="Y13" s="11"/>
      <c r="Z13" s="11"/>
      <c r="AA13" s="11"/>
      <c r="AB13" s="11"/>
      <c r="AC13" s="11"/>
      <c r="AD13" s="11"/>
      <c r="AE13" s="11"/>
      <c r="AF13" s="11"/>
      <c r="AG13" s="11"/>
    </row>
    <row r="14" spans="1:33" ht="45" customHeight="1">
      <c r="A14" s="11"/>
      <c r="B14" s="524" t="s">
        <v>39</v>
      </c>
      <c r="C14" s="600" t="s">
        <v>40</v>
      </c>
      <c r="D14" s="497"/>
      <c r="E14" s="498"/>
      <c r="F14" s="593"/>
      <c r="G14" s="594"/>
      <c r="H14" s="584"/>
      <c r="I14" s="584"/>
      <c r="J14" s="574" t="s">
        <v>41</v>
      </c>
      <c r="K14" s="585" t="s">
        <v>42</v>
      </c>
      <c r="L14" s="584"/>
      <c r="M14" s="587" t="s">
        <v>43</v>
      </c>
      <c r="N14" s="588" t="s">
        <v>44</v>
      </c>
      <c r="O14" s="588" t="s">
        <v>45</v>
      </c>
      <c r="P14" s="588" t="s">
        <v>46</v>
      </c>
      <c r="Q14" s="598" t="s">
        <v>47</v>
      </c>
      <c r="R14" s="540"/>
      <c r="S14" s="540"/>
      <c r="T14" s="565"/>
      <c r="U14" s="584"/>
      <c r="V14" s="540"/>
      <c r="W14" s="11"/>
      <c r="X14" s="11"/>
      <c r="Y14" s="11"/>
      <c r="Z14" s="11"/>
      <c r="AA14" s="11"/>
      <c r="AB14" s="11"/>
      <c r="AC14" s="11"/>
      <c r="AD14" s="11"/>
      <c r="AE14" s="11"/>
      <c r="AF14" s="11"/>
      <c r="AG14" s="11"/>
    </row>
    <row r="15" spans="1:33" ht="70.5" customHeight="1">
      <c r="A15" s="18"/>
      <c r="B15" s="552"/>
      <c r="C15" s="19" t="s">
        <v>48</v>
      </c>
      <c r="D15" s="19" t="s">
        <v>49</v>
      </c>
      <c r="E15" s="19" t="s">
        <v>50</v>
      </c>
      <c r="F15" s="595"/>
      <c r="G15" s="596"/>
      <c r="H15" s="552"/>
      <c r="I15" s="552"/>
      <c r="J15" s="566"/>
      <c r="K15" s="586"/>
      <c r="L15" s="552"/>
      <c r="M15" s="504"/>
      <c r="N15" s="452"/>
      <c r="O15" s="452"/>
      <c r="P15" s="452"/>
      <c r="Q15" s="568"/>
      <c r="R15" s="540"/>
      <c r="S15" s="541"/>
      <c r="T15" s="566"/>
      <c r="U15" s="552"/>
      <c r="V15" s="541"/>
      <c r="W15" s="20"/>
      <c r="X15" s="18"/>
      <c r="Y15" s="18"/>
      <c r="Z15" s="18"/>
      <c r="AA15" s="18"/>
      <c r="AB15" s="18"/>
      <c r="AC15" s="18"/>
      <c r="AD15" s="18"/>
      <c r="AE15" s="18"/>
      <c r="AF15" s="18"/>
      <c r="AG15" s="11"/>
    </row>
    <row r="16" spans="1:33" ht="90" hidden="1" customHeight="1">
      <c r="A16" s="9"/>
      <c r="B16" s="581" t="s">
        <v>51</v>
      </c>
      <c r="C16" s="21"/>
      <c r="D16" s="21"/>
      <c r="E16" s="576" t="s">
        <v>52</v>
      </c>
      <c r="F16" s="577" t="s">
        <v>53</v>
      </c>
      <c r="G16" s="578" t="s">
        <v>54</v>
      </c>
      <c r="H16" s="579" t="s">
        <v>55</v>
      </c>
      <c r="I16" s="580">
        <v>0.35</v>
      </c>
      <c r="J16" s="22"/>
      <c r="K16" s="22"/>
      <c r="L16" s="23" t="s">
        <v>14</v>
      </c>
      <c r="M16" s="24" t="s">
        <v>56</v>
      </c>
      <c r="N16" s="25" t="s">
        <v>57</v>
      </c>
      <c r="O16" s="25" t="s">
        <v>58</v>
      </c>
      <c r="P16" s="25" t="s">
        <v>59</v>
      </c>
      <c r="Q16" s="25" t="s">
        <v>60</v>
      </c>
      <c r="R16" s="541"/>
      <c r="S16" s="26" t="s">
        <v>61</v>
      </c>
      <c r="T16" s="27">
        <v>5</v>
      </c>
      <c r="U16" s="553">
        <f>AVERAGE(T16:T18)</f>
        <v>4.666666666666667</v>
      </c>
      <c r="V16" s="555"/>
      <c r="W16" s="10"/>
      <c r="X16" s="9"/>
      <c r="Y16" s="9"/>
      <c r="Z16" s="9"/>
      <c r="AA16" s="9"/>
      <c r="AB16" s="9"/>
      <c r="AC16" s="9"/>
      <c r="AD16" s="9"/>
      <c r="AE16" s="9"/>
      <c r="AF16" s="9"/>
      <c r="AG16" s="28"/>
    </row>
    <row r="17" spans="1:33" ht="102.75" hidden="1" customHeight="1">
      <c r="A17" s="9"/>
      <c r="B17" s="503"/>
      <c r="C17" s="29"/>
      <c r="D17" s="29"/>
      <c r="E17" s="444"/>
      <c r="F17" s="444"/>
      <c r="G17" s="444"/>
      <c r="H17" s="444"/>
      <c r="I17" s="444"/>
      <c r="J17" s="30"/>
      <c r="K17" s="30"/>
      <c r="L17" s="31" t="s">
        <v>15</v>
      </c>
      <c r="M17" s="32" t="s">
        <v>62</v>
      </c>
      <c r="N17" s="32" t="s">
        <v>63</v>
      </c>
      <c r="O17" s="32" t="s">
        <v>64</v>
      </c>
      <c r="P17" s="32" t="s">
        <v>65</v>
      </c>
      <c r="Q17" s="32" t="s">
        <v>66</v>
      </c>
      <c r="R17" s="33"/>
      <c r="S17" s="34" t="s">
        <v>67</v>
      </c>
      <c r="T17" s="35">
        <v>4</v>
      </c>
      <c r="U17" s="444"/>
      <c r="V17" s="492"/>
      <c r="W17" s="10"/>
      <c r="X17" s="9"/>
      <c r="Y17" s="9"/>
      <c r="Z17" s="9"/>
      <c r="AA17" s="9"/>
      <c r="AB17" s="9"/>
      <c r="AC17" s="9"/>
      <c r="AD17" s="9"/>
      <c r="AE17" s="9"/>
      <c r="AF17" s="9"/>
      <c r="AG17" s="13"/>
    </row>
    <row r="18" spans="1:33" ht="18" hidden="1" customHeight="1">
      <c r="A18" s="9"/>
      <c r="B18" s="582"/>
      <c r="C18" s="29"/>
      <c r="D18" s="29"/>
      <c r="E18" s="452"/>
      <c r="F18" s="554"/>
      <c r="G18" s="554"/>
      <c r="H18" s="554"/>
      <c r="I18" s="554"/>
      <c r="J18" s="30"/>
      <c r="K18" s="30"/>
      <c r="L18" s="30" t="s">
        <v>16</v>
      </c>
      <c r="M18" s="36" t="s">
        <v>68</v>
      </c>
      <c r="N18" s="36" t="s">
        <v>69</v>
      </c>
      <c r="O18" s="36" t="s">
        <v>70</v>
      </c>
      <c r="P18" s="36" t="s">
        <v>71</v>
      </c>
      <c r="Q18" s="36" t="s">
        <v>72</v>
      </c>
      <c r="R18" s="37"/>
      <c r="S18" s="38" t="s">
        <v>73</v>
      </c>
      <c r="T18" s="39">
        <v>5</v>
      </c>
      <c r="U18" s="554"/>
      <c r="V18" s="556"/>
      <c r="W18" s="10"/>
      <c r="X18" s="9"/>
      <c r="Y18" s="9"/>
      <c r="Z18" s="9"/>
      <c r="AA18" s="9"/>
      <c r="AB18" s="9"/>
      <c r="AC18" s="9"/>
      <c r="AD18" s="9"/>
      <c r="AE18" s="9"/>
      <c r="AF18" s="9"/>
      <c r="AG18" s="13"/>
    </row>
    <row r="19" spans="1:33" ht="24.75" customHeight="1">
      <c r="A19" s="9"/>
      <c r="B19" s="502"/>
      <c r="C19" s="481" t="s">
        <v>74</v>
      </c>
      <c r="D19" s="481" t="s">
        <v>75</v>
      </c>
      <c r="E19" s="481"/>
      <c r="F19" s="483"/>
      <c r="G19" s="455"/>
      <c r="H19" s="484"/>
      <c r="I19" s="485"/>
      <c r="J19" s="482"/>
      <c r="K19" s="484"/>
      <c r="L19" s="40" t="s">
        <v>14</v>
      </c>
      <c r="M19" s="41"/>
      <c r="N19" s="42"/>
      <c r="O19" s="42"/>
      <c r="P19" s="42"/>
      <c r="Q19" s="42"/>
      <c r="R19" s="542"/>
      <c r="S19" s="543"/>
      <c r="T19" s="43"/>
      <c r="U19" s="557" t="e">
        <f>AVERAGE(T19:T21)</f>
        <v>#DIV/0!</v>
      </c>
      <c r="V19" s="560" t="e">
        <f>U19*I19</f>
        <v>#DIV/0!</v>
      </c>
      <c r="W19" s="10"/>
      <c r="X19" s="9"/>
      <c r="Y19" s="9"/>
      <c r="Z19" s="9"/>
      <c r="AA19" s="9"/>
      <c r="AB19" s="9"/>
      <c r="AC19" s="9"/>
      <c r="AD19" s="9"/>
      <c r="AE19" s="9"/>
      <c r="AF19" s="9"/>
      <c r="AG19" s="13"/>
    </row>
    <row r="20" spans="1:33" ht="24.75" customHeight="1">
      <c r="A20" s="9"/>
      <c r="B20" s="503"/>
      <c r="C20" s="444"/>
      <c r="D20" s="444"/>
      <c r="E20" s="444"/>
      <c r="F20" s="439"/>
      <c r="G20" s="440"/>
      <c r="H20" s="444"/>
      <c r="I20" s="444"/>
      <c r="J20" s="444"/>
      <c r="K20" s="444"/>
      <c r="L20" s="44" t="s">
        <v>15</v>
      </c>
      <c r="M20" s="45"/>
      <c r="N20" s="45"/>
      <c r="O20" s="45"/>
      <c r="P20" s="45"/>
      <c r="Q20" s="45"/>
      <c r="R20" s="492"/>
      <c r="S20" s="503"/>
      <c r="T20" s="43"/>
      <c r="U20" s="558"/>
      <c r="V20" s="492"/>
      <c r="W20" s="10"/>
      <c r="X20" s="9"/>
      <c r="Y20" s="9"/>
      <c r="Z20" s="9"/>
      <c r="AA20" s="9"/>
      <c r="AB20" s="9"/>
      <c r="AC20" s="9"/>
      <c r="AD20" s="9"/>
      <c r="AE20" s="9"/>
      <c r="AF20" s="9"/>
      <c r="AG20" s="13"/>
    </row>
    <row r="21" spans="1:33" ht="24.75" customHeight="1">
      <c r="A21" s="9"/>
      <c r="B21" s="503"/>
      <c r="C21" s="444"/>
      <c r="D21" s="444"/>
      <c r="E21" s="444"/>
      <c r="F21" s="441"/>
      <c r="G21" s="442"/>
      <c r="H21" s="445"/>
      <c r="I21" s="445"/>
      <c r="J21" s="445"/>
      <c r="K21" s="445"/>
      <c r="L21" s="44" t="s">
        <v>16</v>
      </c>
      <c r="M21" s="46"/>
      <c r="N21" s="46"/>
      <c r="O21" s="46"/>
      <c r="P21" s="46"/>
      <c r="Q21" s="46"/>
      <c r="R21" s="493"/>
      <c r="S21" s="544"/>
      <c r="T21" s="43"/>
      <c r="U21" s="559"/>
      <c r="V21" s="493"/>
      <c r="W21" s="10"/>
      <c r="X21" s="9"/>
      <c r="Y21" s="9"/>
      <c r="Z21" s="9"/>
      <c r="AA21" s="9"/>
      <c r="AB21" s="9"/>
      <c r="AC21" s="9"/>
      <c r="AD21" s="9"/>
      <c r="AE21" s="9"/>
      <c r="AF21" s="9"/>
      <c r="AG21" s="13"/>
    </row>
    <row r="22" spans="1:33" ht="24.75" customHeight="1">
      <c r="A22" s="9"/>
      <c r="B22" s="503"/>
      <c r="C22" s="444"/>
      <c r="D22" s="444"/>
      <c r="E22" s="444"/>
      <c r="F22" s="487"/>
      <c r="G22" s="438"/>
      <c r="H22" s="480"/>
      <c r="I22" s="488"/>
      <c r="J22" s="479"/>
      <c r="K22" s="480"/>
      <c r="L22" s="40" t="s">
        <v>14</v>
      </c>
      <c r="M22" s="47"/>
      <c r="N22" s="48"/>
      <c r="O22" s="48"/>
      <c r="P22" s="48"/>
      <c r="Q22" s="48"/>
      <c r="R22" s="567"/>
      <c r="S22" s="569"/>
      <c r="T22" s="43"/>
      <c r="U22" s="557" t="e">
        <f>AVERAGE(T22:T24)</f>
        <v>#DIV/0!</v>
      </c>
      <c r="V22" s="560" t="e">
        <f>U22*I22</f>
        <v>#DIV/0!</v>
      </c>
      <c r="W22" s="10"/>
      <c r="X22" s="9"/>
      <c r="Y22" s="9"/>
      <c r="Z22" s="9"/>
      <c r="AA22" s="9"/>
      <c r="AB22" s="9"/>
      <c r="AC22" s="9"/>
      <c r="AD22" s="9"/>
      <c r="AE22" s="9"/>
      <c r="AF22" s="9"/>
      <c r="AG22" s="13"/>
    </row>
    <row r="23" spans="1:33" ht="24.75" customHeight="1">
      <c r="A23" s="9"/>
      <c r="B23" s="503"/>
      <c r="C23" s="444"/>
      <c r="D23" s="444"/>
      <c r="E23" s="444"/>
      <c r="F23" s="439"/>
      <c r="G23" s="440"/>
      <c r="H23" s="444"/>
      <c r="I23" s="444"/>
      <c r="J23" s="444"/>
      <c r="K23" s="444"/>
      <c r="L23" s="44" t="s">
        <v>15</v>
      </c>
      <c r="M23" s="45"/>
      <c r="N23" s="45"/>
      <c r="O23" s="45"/>
      <c r="P23" s="45"/>
      <c r="Q23" s="45"/>
      <c r="R23" s="492"/>
      <c r="S23" s="503"/>
      <c r="T23" s="43"/>
      <c r="U23" s="558"/>
      <c r="V23" s="492"/>
      <c r="W23" s="10"/>
      <c r="X23" s="9"/>
      <c r="Y23" s="9"/>
      <c r="Z23" s="9"/>
      <c r="AA23" s="9"/>
      <c r="AB23" s="9"/>
      <c r="AC23" s="9"/>
      <c r="AD23" s="9"/>
      <c r="AE23" s="9"/>
      <c r="AF23" s="9"/>
      <c r="AG23" s="13"/>
    </row>
    <row r="24" spans="1:33" ht="24.75" customHeight="1">
      <c r="A24" s="9"/>
      <c r="B24" s="503"/>
      <c r="C24" s="444"/>
      <c r="D24" s="444"/>
      <c r="E24" s="444"/>
      <c r="F24" s="441"/>
      <c r="G24" s="442"/>
      <c r="H24" s="445"/>
      <c r="I24" s="445"/>
      <c r="J24" s="445"/>
      <c r="K24" s="445"/>
      <c r="L24" s="44" t="s">
        <v>16</v>
      </c>
      <c r="M24" s="46"/>
      <c r="N24" s="46"/>
      <c r="O24" s="46"/>
      <c r="P24" s="46"/>
      <c r="Q24" s="46"/>
      <c r="R24" s="493"/>
      <c r="S24" s="544"/>
      <c r="T24" s="43"/>
      <c r="U24" s="559"/>
      <c r="V24" s="493"/>
      <c r="W24" s="10"/>
      <c r="X24" s="9"/>
      <c r="Y24" s="9"/>
      <c r="Z24" s="9"/>
      <c r="AA24" s="9"/>
      <c r="AB24" s="9"/>
      <c r="AC24" s="9"/>
      <c r="AD24" s="9"/>
      <c r="AE24" s="9"/>
      <c r="AF24" s="9"/>
      <c r="AG24" s="13"/>
    </row>
    <row r="25" spans="1:33" ht="24.75" customHeight="1">
      <c r="A25" s="9"/>
      <c r="B25" s="503"/>
      <c r="C25" s="444"/>
      <c r="D25" s="444"/>
      <c r="E25" s="444"/>
      <c r="F25" s="487"/>
      <c r="G25" s="438"/>
      <c r="H25" s="480"/>
      <c r="I25" s="488"/>
      <c r="J25" s="479"/>
      <c r="K25" s="480"/>
      <c r="L25" s="49" t="s">
        <v>14</v>
      </c>
      <c r="M25" s="47"/>
      <c r="N25" s="48"/>
      <c r="O25" s="48"/>
      <c r="P25" s="48"/>
      <c r="Q25" s="48"/>
      <c r="R25" s="567"/>
      <c r="S25" s="569"/>
      <c r="T25" s="43"/>
      <c r="U25" s="557" t="e">
        <f>AVERAGE(T25:T27)</f>
        <v>#DIV/0!</v>
      </c>
      <c r="V25" s="560" t="e">
        <f>U25*I25</f>
        <v>#DIV/0!</v>
      </c>
      <c r="W25" s="10"/>
      <c r="X25" s="9"/>
      <c r="Y25" s="9"/>
      <c r="Z25" s="9"/>
      <c r="AA25" s="9"/>
      <c r="AB25" s="9"/>
      <c r="AC25" s="9"/>
      <c r="AD25" s="9"/>
      <c r="AE25" s="9"/>
      <c r="AF25" s="9"/>
      <c r="AG25" s="13"/>
    </row>
    <row r="26" spans="1:33" ht="24.75" customHeight="1">
      <c r="A26" s="9"/>
      <c r="B26" s="503"/>
      <c r="C26" s="444"/>
      <c r="D26" s="444"/>
      <c r="E26" s="444"/>
      <c r="F26" s="439"/>
      <c r="G26" s="440"/>
      <c r="H26" s="444"/>
      <c r="I26" s="444"/>
      <c r="J26" s="444"/>
      <c r="K26" s="444"/>
      <c r="L26" s="44" t="s">
        <v>15</v>
      </c>
      <c r="M26" s="45"/>
      <c r="N26" s="45"/>
      <c r="O26" s="45"/>
      <c r="P26" s="45"/>
      <c r="Q26" s="45"/>
      <c r="R26" s="492"/>
      <c r="S26" s="503"/>
      <c r="T26" s="43"/>
      <c r="U26" s="558"/>
      <c r="V26" s="492"/>
      <c r="W26" s="10"/>
      <c r="X26" s="9"/>
      <c r="Y26" s="9"/>
      <c r="Z26" s="9"/>
      <c r="AA26" s="9"/>
      <c r="AB26" s="9"/>
      <c r="AC26" s="9"/>
      <c r="AD26" s="9"/>
      <c r="AE26" s="9"/>
      <c r="AF26" s="9"/>
      <c r="AG26" s="13"/>
    </row>
    <row r="27" spans="1:33" ht="24.75" customHeight="1">
      <c r="A27" s="9"/>
      <c r="B27" s="504"/>
      <c r="C27" s="452"/>
      <c r="D27" s="452"/>
      <c r="E27" s="452"/>
      <c r="F27" s="449"/>
      <c r="G27" s="450"/>
      <c r="H27" s="452"/>
      <c r="I27" s="452"/>
      <c r="J27" s="452"/>
      <c r="K27" s="452"/>
      <c r="L27" s="50" t="s">
        <v>16</v>
      </c>
      <c r="M27" s="51"/>
      <c r="N27" s="51"/>
      <c r="O27" s="51"/>
      <c r="P27" s="51"/>
      <c r="Q27" s="51"/>
      <c r="R27" s="568"/>
      <c r="S27" s="504"/>
      <c r="T27" s="43"/>
      <c r="U27" s="559"/>
      <c r="V27" s="493"/>
      <c r="W27" s="10"/>
      <c r="X27" s="9"/>
      <c r="Y27" s="9"/>
      <c r="Z27" s="9"/>
      <c r="AA27" s="9"/>
      <c r="AB27" s="9"/>
      <c r="AC27" s="9"/>
      <c r="AD27" s="9"/>
      <c r="AE27" s="9"/>
      <c r="AF27" s="9"/>
      <c r="AG27" s="13"/>
    </row>
    <row r="28" spans="1:33" ht="24.75" hidden="1" customHeight="1">
      <c r="A28" s="9"/>
      <c r="B28" s="502"/>
      <c r="C28" s="52"/>
      <c r="D28" s="52"/>
      <c r="E28" s="482"/>
      <c r="F28" s="483"/>
      <c r="G28" s="455"/>
      <c r="H28" s="484"/>
      <c r="I28" s="485"/>
      <c r="J28" s="486"/>
      <c r="K28" s="484"/>
      <c r="L28" s="40"/>
      <c r="M28" s="41"/>
      <c r="N28" s="42"/>
      <c r="O28" s="42"/>
      <c r="P28" s="42"/>
      <c r="Q28" s="42"/>
      <c r="R28" s="53"/>
      <c r="S28" s="54"/>
      <c r="T28" s="55"/>
      <c r="U28" s="489"/>
      <c r="V28" s="491"/>
      <c r="W28" s="10"/>
      <c r="X28" s="9"/>
      <c r="Y28" s="9"/>
      <c r="Z28" s="9"/>
      <c r="AA28" s="9"/>
      <c r="AB28" s="9"/>
      <c r="AC28" s="9"/>
      <c r="AD28" s="9"/>
      <c r="AE28" s="9"/>
      <c r="AF28" s="9"/>
      <c r="AG28" s="13"/>
    </row>
    <row r="29" spans="1:33" ht="24.75" hidden="1" customHeight="1">
      <c r="A29" s="9"/>
      <c r="B29" s="503"/>
      <c r="C29" s="56"/>
      <c r="D29" s="56"/>
      <c r="E29" s="444"/>
      <c r="F29" s="439"/>
      <c r="G29" s="440"/>
      <c r="H29" s="444"/>
      <c r="I29" s="444"/>
      <c r="J29" s="444"/>
      <c r="K29" s="444"/>
      <c r="L29" s="44"/>
      <c r="M29" s="45"/>
      <c r="N29" s="45"/>
      <c r="O29" s="45"/>
      <c r="P29" s="45"/>
      <c r="Q29" s="45"/>
      <c r="R29" s="57"/>
      <c r="S29" s="58"/>
      <c r="T29" s="59"/>
      <c r="U29" s="444"/>
      <c r="V29" s="492"/>
      <c r="W29" s="10"/>
      <c r="X29" s="9"/>
      <c r="Y29" s="9"/>
      <c r="Z29" s="9"/>
      <c r="AA29" s="9"/>
      <c r="AB29" s="9"/>
      <c r="AC29" s="9"/>
      <c r="AD29" s="9"/>
      <c r="AE29" s="9"/>
      <c r="AF29" s="9"/>
      <c r="AG29" s="13"/>
    </row>
    <row r="30" spans="1:33" ht="24.75" hidden="1" customHeight="1">
      <c r="A30" s="9"/>
      <c r="B30" s="503"/>
      <c r="C30" s="56"/>
      <c r="D30" s="56"/>
      <c r="E30" s="444"/>
      <c r="F30" s="441"/>
      <c r="G30" s="442"/>
      <c r="H30" s="445"/>
      <c r="I30" s="445"/>
      <c r="J30" s="445"/>
      <c r="K30" s="445"/>
      <c r="L30" s="44"/>
      <c r="M30" s="46"/>
      <c r="N30" s="46"/>
      <c r="O30" s="46"/>
      <c r="P30" s="46"/>
      <c r="Q30" s="46"/>
      <c r="R30" s="57"/>
      <c r="S30" s="58"/>
      <c r="T30" s="59"/>
      <c r="U30" s="445"/>
      <c r="V30" s="493"/>
      <c r="W30" s="10"/>
      <c r="X30" s="9"/>
      <c r="Y30" s="9"/>
      <c r="Z30" s="9"/>
      <c r="AA30" s="9"/>
      <c r="AB30" s="9"/>
      <c r="AC30" s="9"/>
      <c r="AD30" s="9"/>
      <c r="AE30" s="9"/>
      <c r="AF30" s="9"/>
      <c r="AG30" s="13"/>
    </row>
    <row r="31" spans="1:33" ht="24.75" hidden="1" customHeight="1">
      <c r="A31" s="9"/>
      <c r="B31" s="503"/>
      <c r="C31" s="56"/>
      <c r="D31" s="56"/>
      <c r="E31" s="444"/>
      <c r="F31" s="487"/>
      <c r="G31" s="438"/>
      <c r="H31" s="480"/>
      <c r="I31" s="488"/>
      <c r="J31" s="479"/>
      <c r="K31" s="480"/>
      <c r="L31" s="49"/>
      <c r="M31" s="47"/>
      <c r="N31" s="48"/>
      <c r="O31" s="48"/>
      <c r="P31" s="48"/>
      <c r="Q31" s="48"/>
      <c r="R31" s="57"/>
      <c r="S31" s="58"/>
      <c r="T31" s="60"/>
      <c r="U31" s="490"/>
      <c r="V31" s="494"/>
      <c r="W31" s="10"/>
      <c r="X31" s="9"/>
      <c r="Y31" s="9"/>
      <c r="Z31" s="9"/>
      <c r="AA31" s="9"/>
      <c r="AB31" s="9"/>
      <c r="AC31" s="9"/>
      <c r="AD31" s="9"/>
      <c r="AE31" s="9"/>
      <c r="AF31" s="9"/>
      <c r="AG31" s="13"/>
    </row>
    <row r="32" spans="1:33" ht="24.75" hidden="1" customHeight="1">
      <c r="A32" s="9"/>
      <c r="B32" s="503"/>
      <c r="C32" s="56"/>
      <c r="D32" s="56"/>
      <c r="E32" s="444"/>
      <c r="F32" s="439"/>
      <c r="G32" s="440"/>
      <c r="H32" s="444"/>
      <c r="I32" s="444"/>
      <c r="J32" s="444"/>
      <c r="K32" s="444"/>
      <c r="L32" s="44"/>
      <c r="M32" s="45"/>
      <c r="N32" s="45"/>
      <c r="O32" s="45"/>
      <c r="P32" s="45"/>
      <c r="Q32" s="45"/>
      <c r="R32" s="57"/>
      <c r="S32" s="58"/>
      <c r="T32" s="59"/>
      <c r="U32" s="444"/>
      <c r="V32" s="492"/>
      <c r="W32" s="10"/>
      <c r="X32" s="9"/>
      <c r="Y32" s="9"/>
      <c r="Z32" s="9"/>
      <c r="AA32" s="9"/>
      <c r="AB32" s="9"/>
      <c r="AC32" s="9"/>
      <c r="AD32" s="9"/>
      <c r="AE32" s="9"/>
      <c r="AF32" s="9"/>
      <c r="AG32" s="13"/>
    </row>
    <row r="33" spans="1:33" ht="24.75" hidden="1" customHeight="1">
      <c r="A33" s="9"/>
      <c r="B33" s="503"/>
      <c r="C33" s="56"/>
      <c r="D33" s="56"/>
      <c r="E33" s="444"/>
      <c r="F33" s="441"/>
      <c r="G33" s="442"/>
      <c r="H33" s="445"/>
      <c r="I33" s="445"/>
      <c r="J33" s="445"/>
      <c r="K33" s="445"/>
      <c r="L33" s="44"/>
      <c r="M33" s="46"/>
      <c r="N33" s="46"/>
      <c r="O33" s="46"/>
      <c r="P33" s="46"/>
      <c r="Q33" s="46"/>
      <c r="R33" s="57"/>
      <c r="S33" s="58"/>
      <c r="T33" s="59"/>
      <c r="U33" s="445"/>
      <c r="V33" s="493"/>
      <c r="W33" s="10"/>
      <c r="X33" s="9"/>
      <c r="Y33" s="9"/>
      <c r="Z33" s="9"/>
      <c r="AA33" s="9"/>
      <c r="AB33" s="9"/>
      <c r="AC33" s="9"/>
      <c r="AD33" s="9"/>
      <c r="AE33" s="9"/>
      <c r="AF33" s="9"/>
      <c r="AG33" s="13"/>
    </row>
    <row r="34" spans="1:33" ht="24.75" hidden="1" customHeight="1">
      <c r="A34" s="9"/>
      <c r="B34" s="503"/>
      <c r="C34" s="56"/>
      <c r="D34" s="56"/>
      <c r="E34" s="444"/>
      <c r="F34" s="487"/>
      <c r="G34" s="438"/>
      <c r="H34" s="480"/>
      <c r="I34" s="488"/>
      <c r="J34" s="479"/>
      <c r="K34" s="480"/>
      <c r="L34" s="49"/>
      <c r="M34" s="47"/>
      <c r="N34" s="48"/>
      <c r="O34" s="48"/>
      <c r="P34" s="48"/>
      <c r="Q34" s="48"/>
      <c r="R34" s="57"/>
      <c r="S34" s="58"/>
      <c r="T34" s="60"/>
      <c r="U34" s="490"/>
      <c r="V34" s="494"/>
      <c r="W34" s="10"/>
      <c r="X34" s="9"/>
      <c r="Y34" s="9"/>
      <c r="Z34" s="9"/>
      <c r="AA34" s="9"/>
      <c r="AB34" s="9"/>
      <c r="AC34" s="9"/>
      <c r="AD34" s="9"/>
      <c r="AE34" s="9"/>
      <c r="AF34" s="9"/>
      <c r="AG34" s="13"/>
    </row>
    <row r="35" spans="1:33" ht="24.75" hidden="1" customHeight="1">
      <c r="A35" s="9"/>
      <c r="B35" s="503"/>
      <c r="C35" s="56"/>
      <c r="D35" s="56"/>
      <c r="E35" s="444"/>
      <c r="F35" s="439"/>
      <c r="G35" s="440"/>
      <c r="H35" s="444"/>
      <c r="I35" s="444"/>
      <c r="J35" s="444"/>
      <c r="K35" s="444"/>
      <c r="L35" s="44"/>
      <c r="M35" s="45"/>
      <c r="N35" s="45"/>
      <c r="O35" s="45"/>
      <c r="P35" s="45"/>
      <c r="Q35" s="45"/>
      <c r="R35" s="57"/>
      <c r="S35" s="58"/>
      <c r="T35" s="59"/>
      <c r="U35" s="444"/>
      <c r="V35" s="492"/>
      <c r="W35" s="10"/>
      <c r="X35" s="9"/>
      <c r="Y35" s="9"/>
      <c r="Z35" s="9"/>
      <c r="AA35" s="9"/>
      <c r="AB35" s="9"/>
      <c r="AC35" s="9"/>
      <c r="AD35" s="9"/>
      <c r="AE35" s="9"/>
      <c r="AF35" s="9"/>
      <c r="AG35" s="13"/>
    </row>
    <row r="36" spans="1:33" ht="24.75" hidden="1" customHeight="1">
      <c r="A36" s="9"/>
      <c r="B36" s="504"/>
      <c r="C36" s="61"/>
      <c r="D36" s="61"/>
      <c r="E36" s="452"/>
      <c r="F36" s="449"/>
      <c r="G36" s="450"/>
      <c r="H36" s="452"/>
      <c r="I36" s="452"/>
      <c r="J36" s="452"/>
      <c r="K36" s="452"/>
      <c r="L36" s="50"/>
      <c r="M36" s="51"/>
      <c r="N36" s="51"/>
      <c r="O36" s="51"/>
      <c r="P36" s="51"/>
      <c r="Q36" s="51"/>
      <c r="R36" s="62"/>
      <c r="S36" s="63"/>
      <c r="T36" s="64"/>
      <c r="U36" s="445"/>
      <c r="V36" s="493"/>
      <c r="W36" s="10"/>
      <c r="X36" s="9"/>
      <c r="Y36" s="9"/>
      <c r="Z36" s="9"/>
      <c r="AA36" s="9"/>
      <c r="AB36" s="9"/>
      <c r="AC36" s="9"/>
      <c r="AD36" s="9"/>
      <c r="AE36" s="9"/>
      <c r="AF36" s="9"/>
      <c r="AG36" s="13"/>
    </row>
    <row r="37" spans="1:33" ht="36" customHeight="1">
      <c r="A37" s="9"/>
      <c r="B37" s="495"/>
      <c r="C37" s="433"/>
      <c r="D37" s="433"/>
      <c r="E37" s="433"/>
      <c r="F37" s="433"/>
      <c r="G37" s="433"/>
      <c r="H37" s="433"/>
      <c r="I37" s="433"/>
      <c r="J37" s="433"/>
      <c r="K37" s="433"/>
      <c r="L37" s="433"/>
      <c r="M37" s="433"/>
      <c r="N37" s="433"/>
      <c r="O37" s="433"/>
      <c r="P37" s="433"/>
      <c r="Q37" s="433"/>
      <c r="R37" s="496" t="s">
        <v>76</v>
      </c>
      <c r="S37" s="497"/>
      <c r="T37" s="497"/>
      <c r="U37" s="498"/>
      <c r="V37" s="65" t="e">
        <f>SUM(V19:V27)</f>
        <v>#DIV/0!</v>
      </c>
      <c r="W37" s="10"/>
      <c r="X37" s="9"/>
      <c r="Y37" s="9"/>
      <c r="Z37" s="9"/>
      <c r="AA37" s="9"/>
      <c r="AB37" s="9"/>
      <c r="AC37" s="9"/>
      <c r="AD37" s="9"/>
      <c r="AE37" s="9"/>
      <c r="AF37" s="9"/>
      <c r="AG37" s="13"/>
    </row>
    <row r="38" spans="1:33" ht="20.25" customHeight="1">
      <c r="A38" s="9"/>
      <c r="B38" s="11"/>
      <c r="C38" s="11"/>
      <c r="D38" s="11"/>
      <c r="E38" s="66"/>
      <c r="F38" s="66"/>
      <c r="G38" s="66"/>
      <c r="H38" s="66"/>
      <c r="I38" s="66"/>
      <c r="J38" s="66"/>
      <c r="K38" s="66"/>
      <c r="L38" s="66"/>
      <c r="M38" s="66"/>
      <c r="N38" s="66"/>
      <c r="O38" s="66"/>
      <c r="P38" s="66"/>
      <c r="Q38" s="66"/>
      <c r="R38" s="66"/>
      <c r="S38" s="11"/>
      <c r="T38" s="11"/>
      <c r="U38" s="67"/>
      <c r="V38" s="67"/>
      <c r="W38" s="10"/>
      <c r="X38" s="9"/>
      <c r="Y38" s="9"/>
      <c r="Z38" s="9"/>
      <c r="AA38" s="9"/>
      <c r="AB38" s="9"/>
      <c r="AC38" s="9"/>
      <c r="AD38" s="9"/>
      <c r="AE38" s="9"/>
      <c r="AF38" s="9"/>
      <c r="AG38" s="13"/>
    </row>
    <row r="39" spans="1:33" ht="20.25" customHeight="1">
      <c r="A39" s="9"/>
      <c r="B39" s="68"/>
      <c r="C39" s="68"/>
      <c r="D39" s="68"/>
      <c r="E39" s="11"/>
      <c r="F39" s="11"/>
      <c r="G39" s="68"/>
      <c r="H39" s="68"/>
      <c r="I39" s="68"/>
      <c r="J39" s="68"/>
      <c r="K39" s="68"/>
      <c r="L39" s="68"/>
      <c r="M39" s="68"/>
      <c r="N39" s="68"/>
      <c r="O39" s="68"/>
      <c r="P39" s="68"/>
      <c r="Q39" s="68"/>
      <c r="R39" s="68"/>
      <c r="S39" s="68"/>
      <c r="T39" s="68"/>
      <c r="U39" s="67"/>
      <c r="V39" s="67"/>
      <c r="W39" s="10"/>
      <c r="X39" s="9"/>
      <c r="Y39" s="9"/>
      <c r="Z39" s="9"/>
      <c r="AA39" s="9"/>
      <c r="AB39" s="9"/>
      <c r="AC39" s="9"/>
      <c r="AD39" s="9"/>
      <c r="AE39" s="9"/>
      <c r="AF39" s="9"/>
      <c r="AG39" s="13"/>
    </row>
    <row r="40" spans="1:33" ht="48" customHeight="1">
      <c r="A40" s="9"/>
      <c r="B40" s="499" t="s">
        <v>77</v>
      </c>
      <c r="C40" s="433"/>
      <c r="D40" s="433"/>
      <c r="E40" s="433"/>
      <c r="F40" s="433"/>
      <c r="G40" s="433"/>
      <c r="H40" s="433"/>
      <c r="I40" s="433"/>
      <c r="J40" s="433"/>
      <c r="K40" s="433"/>
      <c r="L40" s="433"/>
      <c r="M40" s="433"/>
      <c r="N40" s="433"/>
      <c r="O40" s="433"/>
      <c r="P40" s="433"/>
      <c r="Q40" s="433"/>
      <c r="R40" s="433"/>
      <c r="S40" s="433"/>
      <c r="T40" s="433"/>
      <c r="U40" s="433"/>
      <c r="V40" s="433"/>
      <c r="W40" s="10"/>
      <c r="X40" s="9"/>
      <c r="Y40" s="9"/>
      <c r="Z40" s="9"/>
      <c r="AA40" s="9"/>
      <c r="AB40" s="9"/>
      <c r="AC40" s="9"/>
      <c r="AD40" s="9"/>
      <c r="AE40" s="9"/>
      <c r="AF40" s="9"/>
      <c r="AG40" s="13"/>
    </row>
    <row r="41" spans="1:33" ht="21.75" customHeight="1">
      <c r="A41" s="9"/>
      <c r="B41" s="500" t="s">
        <v>78</v>
      </c>
      <c r="C41" s="454"/>
      <c r="D41" s="454"/>
      <c r="E41" s="454"/>
      <c r="F41" s="454"/>
      <c r="G41" s="454"/>
      <c r="H41" s="454"/>
      <c r="I41" s="454"/>
      <c r="J41" s="454"/>
      <c r="K41" s="454"/>
      <c r="L41" s="454"/>
      <c r="M41" s="454"/>
      <c r="N41" s="454"/>
      <c r="O41" s="454"/>
      <c r="P41" s="454"/>
      <c r="Q41" s="454"/>
      <c r="R41" s="501"/>
      <c r="S41" s="500" t="s">
        <v>29</v>
      </c>
      <c r="T41" s="454"/>
      <c r="U41" s="454"/>
      <c r="V41" s="501"/>
      <c r="W41" s="10"/>
      <c r="X41" s="9"/>
      <c r="Y41" s="9"/>
      <c r="Z41" s="9"/>
      <c r="AA41" s="9"/>
      <c r="AB41" s="9"/>
      <c r="AC41" s="9"/>
      <c r="AD41" s="9"/>
      <c r="AE41" s="9"/>
      <c r="AF41" s="9"/>
      <c r="AG41" s="13"/>
    </row>
    <row r="42" spans="1:33" ht="102" customHeight="1">
      <c r="A42" s="18"/>
      <c r="B42" s="517" t="s">
        <v>79</v>
      </c>
      <c r="C42" s="454"/>
      <c r="D42" s="454"/>
      <c r="E42" s="501"/>
      <c r="F42" s="517" t="s">
        <v>80</v>
      </c>
      <c r="G42" s="501"/>
      <c r="H42" s="521" t="s">
        <v>8</v>
      </c>
      <c r="I42" s="521" t="s">
        <v>9</v>
      </c>
      <c r="J42" s="523" t="s">
        <v>81</v>
      </c>
      <c r="K42" s="498"/>
      <c r="L42" s="524" t="s">
        <v>82</v>
      </c>
      <c r="M42" s="525" t="s">
        <v>83</v>
      </c>
      <c r="N42" s="497"/>
      <c r="O42" s="497"/>
      <c r="P42" s="497"/>
      <c r="Q42" s="498"/>
      <c r="R42" s="572" t="s">
        <v>34</v>
      </c>
      <c r="S42" s="574" t="s">
        <v>84</v>
      </c>
      <c r="T42" s="574" t="s">
        <v>36</v>
      </c>
      <c r="U42" s="524" t="s">
        <v>37</v>
      </c>
      <c r="V42" s="524" t="s">
        <v>38</v>
      </c>
      <c r="W42" s="20"/>
      <c r="X42" s="18"/>
      <c r="Y42" s="18"/>
      <c r="Z42" s="18"/>
      <c r="AA42" s="18"/>
      <c r="AB42" s="18"/>
      <c r="AC42" s="18"/>
      <c r="AD42" s="18"/>
      <c r="AE42" s="18"/>
      <c r="AF42" s="18"/>
      <c r="AG42" s="69"/>
    </row>
    <row r="43" spans="1:33" ht="33" customHeight="1">
      <c r="A43" s="9"/>
      <c r="B43" s="518"/>
      <c r="C43" s="519"/>
      <c r="D43" s="519"/>
      <c r="E43" s="520"/>
      <c r="F43" s="518"/>
      <c r="G43" s="520"/>
      <c r="H43" s="522"/>
      <c r="I43" s="522"/>
      <c r="J43" s="70" t="s">
        <v>85</v>
      </c>
      <c r="K43" s="70" t="s">
        <v>86</v>
      </c>
      <c r="L43" s="522"/>
      <c r="M43" s="70" t="s">
        <v>43</v>
      </c>
      <c r="N43" s="70" t="s">
        <v>44</v>
      </c>
      <c r="O43" s="70" t="s">
        <v>45</v>
      </c>
      <c r="P43" s="70" t="s">
        <v>46</v>
      </c>
      <c r="Q43" s="70" t="s">
        <v>47</v>
      </c>
      <c r="R43" s="573"/>
      <c r="S43" s="575"/>
      <c r="T43" s="566"/>
      <c r="U43" s="552"/>
      <c r="V43" s="552"/>
      <c r="W43" s="10"/>
      <c r="X43" s="9"/>
      <c r="Y43" s="9"/>
      <c r="Z43" s="9"/>
      <c r="AA43" s="9"/>
      <c r="AB43" s="9"/>
      <c r="AC43" s="9"/>
      <c r="AD43" s="9"/>
      <c r="AE43" s="9"/>
      <c r="AF43" s="9"/>
      <c r="AG43" s="13"/>
    </row>
    <row r="44" spans="1:33" ht="16.5" customHeight="1">
      <c r="A44" s="71"/>
      <c r="B44" s="466"/>
      <c r="C44" s="467"/>
      <c r="D44" s="467"/>
      <c r="E44" s="468"/>
      <c r="F44" s="469"/>
      <c r="G44" s="468"/>
      <c r="H44" s="470"/>
      <c r="I44" s="471"/>
      <c r="J44" s="472"/>
      <c r="K44" s="473"/>
      <c r="L44" s="72" t="s">
        <v>14</v>
      </c>
      <c r="M44" s="73"/>
      <c r="N44" s="73"/>
      <c r="O44" s="73"/>
      <c r="P44" s="73"/>
      <c r="Q44" s="73"/>
      <c r="R44" s="570"/>
      <c r="S44" s="571"/>
      <c r="T44" s="74"/>
      <c r="U44" s="548" t="e">
        <f>AVERAGE(T44:T46)</f>
        <v>#DIV/0!</v>
      </c>
      <c r="V44" s="549" t="e">
        <f>U44*I44</f>
        <v>#DIV/0!</v>
      </c>
      <c r="W44" s="75"/>
      <c r="X44" s="71"/>
      <c r="Y44" s="71"/>
      <c r="Z44" s="71"/>
      <c r="AA44" s="71"/>
      <c r="AB44" s="71"/>
      <c r="AC44" s="71"/>
      <c r="AD44" s="71"/>
      <c r="AE44" s="71"/>
      <c r="AF44" s="71"/>
      <c r="AG44" s="76"/>
    </row>
    <row r="45" spans="1:33" ht="16.5" customHeight="1">
      <c r="A45" s="71"/>
      <c r="B45" s="456"/>
      <c r="C45" s="433"/>
      <c r="D45" s="433"/>
      <c r="E45" s="440"/>
      <c r="F45" s="439"/>
      <c r="G45" s="440"/>
      <c r="H45" s="444"/>
      <c r="I45" s="444"/>
      <c r="J45" s="444"/>
      <c r="K45" s="444"/>
      <c r="L45" s="77" t="s">
        <v>15</v>
      </c>
      <c r="M45" s="78"/>
      <c r="N45" s="78"/>
      <c r="O45" s="78"/>
      <c r="P45" s="78"/>
      <c r="Q45" s="78"/>
      <c r="R45" s="444"/>
      <c r="S45" s="444"/>
      <c r="T45" s="79"/>
      <c r="U45" s="444"/>
      <c r="V45" s="492"/>
      <c r="W45" s="75"/>
      <c r="X45" s="71"/>
      <c r="Y45" s="71"/>
      <c r="Z45" s="71"/>
      <c r="AA45" s="71"/>
      <c r="AB45" s="71"/>
      <c r="AC45" s="71"/>
      <c r="AD45" s="71"/>
      <c r="AE45" s="71"/>
      <c r="AF45" s="71"/>
      <c r="AG45" s="76"/>
    </row>
    <row r="46" spans="1:33" ht="15" customHeight="1">
      <c r="A46" s="71"/>
      <c r="B46" s="456"/>
      <c r="C46" s="433"/>
      <c r="D46" s="433"/>
      <c r="E46" s="440"/>
      <c r="F46" s="441"/>
      <c r="G46" s="442"/>
      <c r="H46" s="445"/>
      <c r="I46" s="445"/>
      <c r="J46" s="445"/>
      <c r="K46" s="445"/>
      <c r="L46" s="77" t="s">
        <v>16</v>
      </c>
      <c r="M46" s="78"/>
      <c r="N46" s="78"/>
      <c r="O46" s="78"/>
      <c r="P46" s="78"/>
      <c r="Q46" s="78"/>
      <c r="R46" s="445"/>
      <c r="S46" s="445"/>
      <c r="T46" s="79"/>
      <c r="U46" s="445"/>
      <c r="V46" s="493"/>
      <c r="W46" s="75"/>
      <c r="X46" s="71"/>
      <c r="Y46" s="71"/>
      <c r="Z46" s="71"/>
      <c r="AA46" s="71"/>
      <c r="AB46" s="71"/>
      <c r="AC46" s="71"/>
      <c r="AD46" s="71"/>
      <c r="AE46" s="71"/>
      <c r="AF46" s="71"/>
      <c r="AG46" s="76"/>
    </row>
    <row r="47" spans="1:33" ht="15" customHeight="1">
      <c r="A47" s="80"/>
      <c r="B47" s="456"/>
      <c r="C47" s="433"/>
      <c r="D47" s="433"/>
      <c r="E47" s="440"/>
      <c r="F47" s="448"/>
      <c r="G47" s="438"/>
      <c r="H47" s="451"/>
      <c r="I47" s="475"/>
      <c r="J47" s="476"/>
      <c r="K47" s="474"/>
      <c r="L47" s="77" t="s">
        <v>14</v>
      </c>
      <c r="M47" s="78"/>
      <c r="N47" s="78"/>
      <c r="O47" s="78"/>
      <c r="P47" s="78"/>
      <c r="Q47" s="78"/>
      <c r="R47" s="561"/>
      <c r="S47" s="562"/>
      <c r="T47" s="79"/>
      <c r="U47" s="550" t="e">
        <f>AVERAGE(T47:T49)</f>
        <v>#DIV/0!</v>
      </c>
      <c r="V47" s="551" t="e">
        <f>U47*I47</f>
        <v>#DIV/0!</v>
      </c>
      <c r="W47" s="75"/>
      <c r="X47" s="71"/>
      <c r="Y47" s="71"/>
      <c r="Z47" s="71"/>
      <c r="AA47" s="71"/>
      <c r="AB47" s="71"/>
      <c r="AC47" s="71"/>
      <c r="AD47" s="71"/>
      <c r="AE47" s="71"/>
      <c r="AF47" s="71"/>
      <c r="AG47" s="76"/>
    </row>
    <row r="48" spans="1:33" ht="12.75" customHeight="1">
      <c r="A48" s="71"/>
      <c r="B48" s="456"/>
      <c r="C48" s="433"/>
      <c r="D48" s="433"/>
      <c r="E48" s="440"/>
      <c r="F48" s="439"/>
      <c r="G48" s="440"/>
      <c r="H48" s="444"/>
      <c r="I48" s="444"/>
      <c r="J48" s="444"/>
      <c r="K48" s="444"/>
      <c r="L48" s="77" t="s">
        <v>15</v>
      </c>
      <c r="M48" s="78"/>
      <c r="N48" s="78"/>
      <c r="O48" s="78"/>
      <c r="P48" s="78"/>
      <c r="Q48" s="78"/>
      <c r="R48" s="444"/>
      <c r="S48" s="444"/>
      <c r="T48" s="79"/>
      <c r="U48" s="444"/>
      <c r="V48" s="492"/>
      <c r="W48" s="75"/>
      <c r="X48" s="71"/>
      <c r="Y48" s="71"/>
      <c r="Z48" s="71"/>
      <c r="AA48" s="71"/>
      <c r="AB48" s="71"/>
      <c r="AC48" s="71"/>
      <c r="AD48" s="71"/>
      <c r="AE48" s="71"/>
      <c r="AF48" s="71"/>
      <c r="AG48" s="76"/>
    </row>
    <row r="49" spans="1:33" ht="12.75" customHeight="1">
      <c r="A49" s="71"/>
      <c r="B49" s="456"/>
      <c r="C49" s="433"/>
      <c r="D49" s="433"/>
      <c r="E49" s="440"/>
      <c r="F49" s="441"/>
      <c r="G49" s="442"/>
      <c r="H49" s="445"/>
      <c r="I49" s="445"/>
      <c r="J49" s="445"/>
      <c r="K49" s="445"/>
      <c r="L49" s="77" t="s">
        <v>16</v>
      </c>
      <c r="M49" s="78"/>
      <c r="N49" s="78"/>
      <c r="O49" s="78"/>
      <c r="P49" s="78"/>
      <c r="Q49" s="78"/>
      <c r="R49" s="445"/>
      <c r="S49" s="445"/>
      <c r="T49" s="79"/>
      <c r="U49" s="445"/>
      <c r="V49" s="493"/>
      <c r="W49" s="75"/>
      <c r="X49" s="71"/>
      <c r="Y49" s="71"/>
      <c r="Z49" s="71"/>
      <c r="AA49" s="71"/>
      <c r="AB49" s="71"/>
      <c r="AC49" s="71"/>
      <c r="AD49" s="71"/>
      <c r="AE49" s="71"/>
      <c r="AF49" s="71"/>
      <c r="AG49" s="76"/>
    </row>
    <row r="50" spans="1:33" ht="15" customHeight="1">
      <c r="A50" s="71"/>
      <c r="B50" s="456"/>
      <c r="C50" s="433"/>
      <c r="D50" s="433"/>
      <c r="E50" s="440"/>
      <c r="F50" s="448"/>
      <c r="G50" s="438"/>
      <c r="H50" s="451"/>
      <c r="I50" s="475"/>
      <c r="J50" s="476"/>
      <c r="K50" s="474"/>
      <c r="L50" s="77" t="s">
        <v>14</v>
      </c>
      <c r="M50" s="78"/>
      <c r="N50" s="78"/>
      <c r="O50" s="78"/>
      <c r="P50" s="78"/>
      <c r="Q50" s="78"/>
      <c r="R50" s="561"/>
      <c r="S50" s="562"/>
      <c r="T50" s="79"/>
      <c r="U50" s="550" t="e">
        <f>AVERAGE(T50:T52)</f>
        <v>#DIV/0!</v>
      </c>
      <c r="V50" s="551" t="e">
        <f>U50*I50</f>
        <v>#DIV/0!</v>
      </c>
      <c r="W50" s="75"/>
      <c r="X50" s="71"/>
      <c r="Y50" s="71"/>
      <c r="Z50" s="71"/>
      <c r="AA50" s="71"/>
      <c r="AB50" s="71"/>
      <c r="AC50" s="71"/>
      <c r="AD50" s="71"/>
      <c r="AE50" s="71"/>
      <c r="AF50" s="71"/>
      <c r="AG50" s="76"/>
    </row>
    <row r="51" spans="1:33" ht="12.75" customHeight="1">
      <c r="A51" s="71"/>
      <c r="B51" s="456"/>
      <c r="C51" s="433"/>
      <c r="D51" s="433"/>
      <c r="E51" s="440"/>
      <c r="F51" s="439"/>
      <c r="G51" s="440"/>
      <c r="H51" s="444"/>
      <c r="I51" s="444"/>
      <c r="J51" s="444"/>
      <c r="K51" s="444"/>
      <c r="L51" s="77" t="s">
        <v>15</v>
      </c>
      <c r="M51" s="78"/>
      <c r="N51" s="78"/>
      <c r="O51" s="78"/>
      <c r="P51" s="78"/>
      <c r="Q51" s="78"/>
      <c r="R51" s="444"/>
      <c r="S51" s="444"/>
      <c r="T51" s="79"/>
      <c r="U51" s="444"/>
      <c r="V51" s="492"/>
      <c r="W51" s="75"/>
      <c r="X51" s="71"/>
      <c r="Y51" s="71"/>
      <c r="Z51" s="71"/>
      <c r="AA51" s="71"/>
      <c r="AB51" s="71"/>
      <c r="AC51" s="71"/>
      <c r="AD51" s="71"/>
      <c r="AE51" s="71"/>
      <c r="AF51" s="71"/>
      <c r="AG51" s="76"/>
    </row>
    <row r="52" spans="1:33" ht="16.5" customHeight="1">
      <c r="A52" s="71"/>
      <c r="B52" s="457"/>
      <c r="C52" s="458"/>
      <c r="D52" s="458"/>
      <c r="E52" s="450"/>
      <c r="F52" s="449"/>
      <c r="G52" s="450"/>
      <c r="H52" s="452"/>
      <c r="I52" s="452"/>
      <c r="J52" s="452"/>
      <c r="K52" s="452"/>
      <c r="L52" s="81" t="s">
        <v>16</v>
      </c>
      <c r="M52" s="82"/>
      <c r="N52" s="82"/>
      <c r="O52" s="82"/>
      <c r="P52" s="82"/>
      <c r="Q52" s="82"/>
      <c r="R52" s="452"/>
      <c r="S52" s="452"/>
      <c r="T52" s="79"/>
      <c r="U52" s="445"/>
      <c r="V52" s="493"/>
      <c r="W52" s="75"/>
      <c r="X52" s="71"/>
      <c r="Y52" s="71"/>
      <c r="Z52" s="71"/>
      <c r="AA52" s="71"/>
      <c r="AB52" s="71"/>
      <c r="AC52" s="71"/>
      <c r="AD52" s="71"/>
      <c r="AE52" s="71"/>
      <c r="AF52" s="71"/>
      <c r="AG52" s="76"/>
    </row>
    <row r="53" spans="1:33" ht="24.75" hidden="1" customHeight="1">
      <c r="A53" s="9"/>
      <c r="B53" s="453"/>
      <c r="C53" s="454"/>
      <c r="D53" s="454"/>
      <c r="E53" s="455"/>
      <c r="F53" s="459"/>
      <c r="G53" s="455"/>
      <c r="H53" s="460"/>
      <c r="I53" s="463"/>
      <c r="J53" s="477"/>
      <c r="K53" s="478"/>
      <c r="L53" s="83"/>
      <c r="M53" s="84"/>
      <c r="N53" s="84"/>
      <c r="O53" s="84"/>
      <c r="P53" s="84"/>
      <c r="Q53" s="84"/>
      <c r="R53" s="85"/>
      <c r="S53" s="86"/>
      <c r="T53" s="87"/>
      <c r="U53" s="545"/>
      <c r="V53" s="546"/>
      <c r="W53" s="10"/>
      <c r="X53" s="9"/>
      <c r="Y53" s="9"/>
      <c r="Z53" s="9"/>
      <c r="AA53" s="9"/>
      <c r="AB53" s="9"/>
      <c r="AC53" s="9"/>
      <c r="AD53" s="9"/>
      <c r="AE53" s="9"/>
      <c r="AF53" s="9"/>
      <c r="AG53" s="13"/>
    </row>
    <row r="54" spans="1:33" ht="24.75" hidden="1" customHeight="1">
      <c r="A54" s="9"/>
      <c r="B54" s="456"/>
      <c r="C54" s="433"/>
      <c r="D54" s="433"/>
      <c r="E54" s="440"/>
      <c r="F54" s="439"/>
      <c r="G54" s="440"/>
      <c r="H54" s="444"/>
      <c r="I54" s="444"/>
      <c r="J54" s="444"/>
      <c r="K54" s="444"/>
      <c r="L54" s="89"/>
      <c r="M54" s="45"/>
      <c r="N54" s="45"/>
      <c r="O54" s="45"/>
      <c r="P54" s="45"/>
      <c r="Q54" s="45"/>
      <c r="R54" s="90"/>
      <c r="S54" s="91"/>
      <c r="T54" s="90"/>
      <c r="U54" s="444"/>
      <c r="V54" s="492"/>
      <c r="W54" s="10"/>
      <c r="X54" s="9"/>
      <c r="Y54" s="9"/>
      <c r="Z54" s="9"/>
      <c r="AA54" s="9"/>
      <c r="AB54" s="9"/>
      <c r="AC54" s="9"/>
      <c r="AD54" s="9"/>
      <c r="AE54" s="9"/>
      <c r="AF54" s="9"/>
      <c r="AG54" s="13"/>
    </row>
    <row r="55" spans="1:33" ht="24.75" hidden="1" customHeight="1">
      <c r="A55" s="9"/>
      <c r="B55" s="456"/>
      <c r="C55" s="433"/>
      <c r="D55" s="433"/>
      <c r="E55" s="440"/>
      <c r="F55" s="441"/>
      <c r="G55" s="442"/>
      <c r="H55" s="445"/>
      <c r="I55" s="445"/>
      <c r="J55" s="445"/>
      <c r="K55" s="445"/>
      <c r="L55" s="89"/>
      <c r="M55" s="45"/>
      <c r="N55" s="45"/>
      <c r="O55" s="45"/>
      <c r="P55" s="45"/>
      <c r="Q55" s="45"/>
      <c r="R55" s="90"/>
      <c r="S55" s="91"/>
      <c r="T55" s="90"/>
      <c r="U55" s="445"/>
      <c r="V55" s="493"/>
      <c r="W55" s="10"/>
      <c r="X55" s="9"/>
      <c r="Y55" s="9"/>
      <c r="Z55" s="9"/>
      <c r="AA55" s="9"/>
      <c r="AB55" s="9"/>
      <c r="AC55" s="9"/>
      <c r="AD55" s="9"/>
      <c r="AE55" s="9"/>
      <c r="AF55" s="9"/>
      <c r="AG55" s="13"/>
    </row>
    <row r="56" spans="1:33" ht="24.75" hidden="1" customHeight="1">
      <c r="A56" s="9"/>
      <c r="B56" s="456"/>
      <c r="C56" s="433"/>
      <c r="D56" s="433"/>
      <c r="E56" s="440"/>
      <c r="F56" s="437"/>
      <c r="G56" s="438"/>
      <c r="H56" s="461"/>
      <c r="I56" s="446"/>
      <c r="J56" s="443"/>
      <c r="K56" s="447"/>
      <c r="L56" s="89"/>
      <c r="M56" s="90"/>
      <c r="N56" s="90"/>
      <c r="O56" s="90"/>
      <c r="P56" s="90"/>
      <c r="Q56" s="90"/>
      <c r="R56" s="90"/>
      <c r="S56" s="91"/>
      <c r="T56" s="90"/>
      <c r="U56" s="545"/>
      <c r="V56" s="547"/>
      <c r="W56" s="10"/>
      <c r="X56" s="9"/>
      <c r="Y56" s="9"/>
      <c r="Z56" s="9"/>
      <c r="AA56" s="9"/>
      <c r="AB56" s="9"/>
      <c r="AC56" s="9"/>
      <c r="AD56" s="9"/>
      <c r="AE56" s="9"/>
      <c r="AF56" s="9"/>
      <c r="AG56" s="13"/>
    </row>
    <row r="57" spans="1:33" ht="24.75" hidden="1" customHeight="1">
      <c r="A57" s="9"/>
      <c r="B57" s="456"/>
      <c r="C57" s="433"/>
      <c r="D57" s="433"/>
      <c r="E57" s="440"/>
      <c r="F57" s="439"/>
      <c r="G57" s="440"/>
      <c r="H57" s="444"/>
      <c r="I57" s="444"/>
      <c r="J57" s="444"/>
      <c r="K57" s="444"/>
      <c r="L57" s="89"/>
      <c r="M57" s="90"/>
      <c r="N57" s="90"/>
      <c r="O57" s="90"/>
      <c r="P57" s="90"/>
      <c r="Q57" s="90"/>
      <c r="R57" s="90"/>
      <c r="S57" s="91"/>
      <c r="T57" s="90"/>
      <c r="U57" s="444"/>
      <c r="V57" s="492"/>
      <c r="W57" s="10"/>
      <c r="X57" s="9"/>
      <c r="Y57" s="9"/>
      <c r="Z57" s="9"/>
      <c r="AA57" s="9"/>
      <c r="AB57" s="9"/>
      <c r="AC57" s="9"/>
      <c r="AD57" s="9"/>
      <c r="AE57" s="9"/>
      <c r="AF57" s="9"/>
      <c r="AG57" s="13"/>
    </row>
    <row r="58" spans="1:33" ht="24.75" hidden="1" customHeight="1">
      <c r="A58" s="9"/>
      <c r="B58" s="456"/>
      <c r="C58" s="433"/>
      <c r="D58" s="433"/>
      <c r="E58" s="440"/>
      <c r="F58" s="441"/>
      <c r="G58" s="442"/>
      <c r="H58" s="445"/>
      <c r="I58" s="445"/>
      <c r="J58" s="445"/>
      <c r="K58" s="445"/>
      <c r="L58" s="89"/>
      <c r="M58" s="90"/>
      <c r="N58" s="90"/>
      <c r="O58" s="90"/>
      <c r="P58" s="90"/>
      <c r="Q58" s="90"/>
      <c r="R58" s="90"/>
      <c r="S58" s="91"/>
      <c r="T58" s="90"/>
      <c r="U58" s="445"/>
      <c r="V58" s="493"/>
      <c r="W58" s="10"/>
      <c r="X58" s="9"/>
      <c r="Y58" s="9"/>
      <c r="Z58" s="9"/>
      <c r="AA58" s="9"/>
      <c r="AB58" s="9"/>
      <c r="AC58" s="9"/>
      <c r="AD58" s="9"/>
      <c r="AE58" s="9"/>
      <c r="AF58" s="9"/>
      <c r="AG58" s="13"/>
    </row>
    <row r="59" spans="1:33" ht="24.75" hidden="1" customHeight="1">
      <c r="A59" s="9"/>
      <c r="B59" s="456"/>
      <c r="C59" s="433"/>
      <c r="D59" s="433"/>
      <c r="E59" s="440"/>
      <c r="F59" s="437"/>
      <c r="G59" s="438"/>
      <c r="H59" s="461"/>
      <c r="I59" s="446"/>
      <c r="J59" s="443"/>
      <c r="K59" s="447"/>
      <c r="L59" s="89"/>
      <c r="M59" s="90"/>
      <c r="N59" s="90"/>
      <c r="O59" s="90"/>
      <c r="P59" s="90"/>
      <c r="Q59" s="90"/>
      <c r="R59" s="90"/>
      <c r="S59" s="91"/>
      <c r="T59" s="90"/>
      <c r="U59" s="545"/>
      <c r="V59" s="547"/>
      <c r="W59" s="10"/>
      <c r="X59" s="9"/>
      <c r="Y59" s="9"/>
      <c r="Z59" s="9"/>
      <c r="AA59" s="9"/>
      <c r="AB59" s="9"/>
      <c r="AC59" s="9"/>
      <c r="AD59" s="9"/>
      <c r="AE59" s="9"/>
      <c r="AF59" s="9"/>
      <c r="AG59" s="13"/>
    </row>
    <row r="60" spans="1:33" ht="24.75" hidden="1" customHeight="1">
      <c r="A60" s="9"/>
      <c r="B60" s="456"/>
      <c r="C60" s="433"/>
      <c r="D60" s="433"/>
      <c r="E60" s="440"/>
      <c r="F60" s="439"/>
      <c r="G60" s="440"/>
      <c r="H60" s="444"/>
      <c r="I60" s="444"/>
      <c r="J60" s="444"/>
      <c r="K60" s="444"/>
      <c r="L60" s="89"/>
      <c r="M60" s="90"/>
      <c r="N60" s="90"/>
      <c r="O60" s="90"/>
      <c r="P60" s="90"/>
      <c r="Q60" s="90"/>
      <c r="R60" s="90"/>
      <c r="S60" s="91"/>
      <c r="T60" s="90"/>
      <c r="U60" s="444"/>
      <c r="V60" s="492"/>
      <c r="W60" s="10"/>
      <c r="X60" s="9"/>
      <c r="Y60" s="9"/>
      <c r="Z60" s="9"/>
      <c r="AA60" s="9"/>
      <c r="AB60" s="9"/>
      <c r="AC60" s="9"/>
      <c r="AD60" s="9"/>
      <c r="AE60" s="9"/>
      <c r="AF60" s="9"/>
      <c r="AG60" s="13"/>
    </row>
    <row r="61" spans="1:33" ht="24.75" hidden="1" customHeight="1">
      <c r="A61" s="9"/>
      <c r="B61" s="457"/>
      <c r="C61" s="458"/>
      <c r="D61" s="458"/>
      <c r="E61" s="450"/>
      <c r="F61" s="449"/>
      <c r="G61" s="450"/>
      <c r="H61" s="452"/>
      <c r="I61" s="452"/>
      <c r="J61" s="452"/>
      <c r="K61" s="452"/>
      <c r="L61" s="92"/>
      <c r="M61" s="88"/>
      <c r="N61" s="88"/>
      <c r="O61" s="88"/>
      <c r="P61" s="88"/>
      <c r="Q61" s="88"/>
      <c r="R61" s="88"/>
      <c r="S61" s="93"/>
      <c r="T61" s="88"/>
      <c r="U61" s="452"/>
      <c r="V61" s="492"/>
      <c r="W61" s="10"/>
      <c r="X61" s="9"/>
      <c r="Y61" s="9"/>
      <c r="Z61" s="9"/>
      <c r="AA61" s="9"/>
      <c r="AB61" s="9"/>
      <c r="AC61" s="9"/>
      <c r="AD61" s="9"/>
      <c r="AE61" s="9"/>
      <c r="AF61" s="9"/>
      <c r="AG61" s="13"/>
    </row>
    <row r="62" spans="1:33" ht="24.75" hidden="1" customHeight="1">
      <c r="A62" s="9"/>
      <c r="B62" s="462"/>
      <c r="C62" s="454"/>
      <c r="D62" s="454"/>
      <c r="E62" s="455"/>
      <c r="F62" s="459"/>
      <c r="G62" s="455"/>
      <c r="H62" s="464"/>
      <c r="I62" s="463"/>
      <c r="J62" s="464"/>
      <c r="K62" s="465"/>
      <c r="L62" s="83"/>
      <c r="M62" s="85"/>
      <c r="N62" s="85"/>
      <c r="O62" s="85"/>
      <c r="P62" s="85"/>
      <c r="Q62" s="85"/>
      <c r="R62" s="85"/>
      <c r="S62" s="86"/>
      <c r="T62" s="85"/>
      <c r="U62" s="86"/>
      <c r="V62" s="94"/>
      <c r="W62" s="10"/>
      <c r="X62" s="9"/>
      <c r="Y62" s="9"/>
      <c r="Z62" s="9"/>
      <c r="AA62" s="9"/>
      <c r="AB62" s="9"/>
      <c r="AC62" s="9"/>
      <c r="AD62" s="9"/>
      <c r="AE62" s="9"/>
      <c r="AF62" s="9"/>
      <c r="AG62" s="13"/>
    </row>
    <row r="63" spans="1:33" ht="24.75" hidden="1" customHeight="1">
      <c r="A63" s="9"/>
      <c r="B63" s="456"/>
      <c r="C63" s="433"/>
      <c r="D63" s="433"/>
      <c r="E63" s="440"/>
      <c r="F63" s="439"/>
      <c r="G63" s="440"/>
      <c r="H63" s="444"/>
      <c r="I63" s="444"/>
      <c r="J63" s="444"/>
      <c r="K63" s="444"/>
      <c r="L63" s="89"/>
      <c r="M63" s="90"/>
      <c r="N63" s="90"/>
      <c r="O63" s="90"/>
      <c r="P63" s="90"/>
      <c r="Q63" s="90"/>
      <c r="R63" s="90"/>
      <c r="S63" s="91"/>
      <c r="T63" s="90"/>
      <c r="U63" s="91"/>
      <c r="V63" s="95"/>
      <c r="W63" s="10"/>
      <c r="X63" s="9"/>
      <c r="Y63" s="9"/>
      <c r="Z63" s="9"/>
      <c r="AA63" s="9"/>
      <c r="AB63" s="9"/>
      <c r="AC63" s="9"/>
      <c r="AD63" s="9"/>
      <c r="AE63" s="9"/>
      <c r="AF63" s="9"/>
      <c r="AG63" s="13"/>
    </row>
    <row r="64" spans="1:33" ht="24.75" hidden="1" customHeight="1">
      <c r="A64" s="9"/>
      <c r="B64" s="456"/>
      <c r="C64" s="433"/>
      <c r="D64" s="433"/>
      <c r="E64" s="440"/>
      <c r="F64" s="441"/>
      <c r="G64" s="442"/>
      <c r="H64" s="445"/>
      <c r="I64" s="445"/>
      <c r="J64" s="445"/>
      <c r="K64" s="445"/>
      <c r="L64" s="89"/>
      <c r="M64" s="90"/>
      <c r="N64" s="90"/>
      <c r="O64" s="90"/>
      <c r="P64" s="90"/>
      <c r="Q64" s="90"/>
      <c r="R64" s="90"/>
      <c r="S64" s="91"/>
      <c r="T64" s="90"/>
      <c r="U64" s="91"/>
      <c r="V64" s="95"/>
      <c r="W64" s="10"/>
      <c r="X64" s="9"/>
      <c r="Y64" s="9"/>
      <c r="Z64" s="9"/>
      <c r="AA64" s="9"/>
      <c r="AB64" s="9"/>
      <c r="AC64" s="9"/>
      <c r="AD64" s="9"/>
      <c r="AE64" s="9"/>
      <c r="AF64" s="9"/>
      <c r="AG64" s="13"/>
    </row>
    <row r="65" spans="1:33" ht="24.75" hidden="1" customHeight="1">
      <c r="A65" s="9"/>
      <c r="B65" s="456"/>
      <c r="C65" s="433"/>
      <c r="D65" s="433"/>
      <c r="E65" s="440"/>
      <c r="F65" s="437"/>
      <c r="G65" s="438"/>
      <c r="H65" s="443"/>
      <c r="I65" s="446"/>
      <c r="J65" s="443"/>
      <c r="K65" s="447"/>
      <c r="L65" s="89"/>
      <c r="M65" s="90"/>
      <c r="N65" s="90"/>
      <c r="O65" s="90"/>
      <c r="P65" s="90"/>
      <c r="Q65" s="90"/>
      <c r="R65" s="90"/>
      <c r="S65" s="91"/>
      <c r="T65" s="90"/>
      <c r="U65" s="91"/>
      <c r="V65" s="95"/>
      <c r="W65" s="10"/>
      <c r="X65" s="9"/>
      <c r="Y65" s="9"/>
      <c r="Z65" s="9"/>
      <c r="AA65" s="9"/>
      <c r="AB65" s="9"/>
      <c r="AC65" s="9"/>
      <c r="AD65" s="9"/>
      <c r="AE65" s="9"/>
      <c r="AF65" s="9"/>
      <c r="AG65" s="13"/>
    </row>
    <row r="66" spans="1:33" ht="24.75" hidden="1" customHeight="1">
      <c r="A66" s="9"/>
      <c r="B66" s="456"/>
      <c r="C66" s="433"/>
      <c r="D66" s="433"/>
      <c r="E66" s="440"/>
      <c r="F66" s="439"/>
      <c r="G66" s="440"/>
      <c r="H66" s="444"/>
      <c r="I66" s="444"/>
      <c r="J66" s="444"/>
      <c r="K66" s="444"/>
      <c r="L66" s="89"/>
      <c r="M66" s="90"/>
      <c r="N66" s="90"/>
      <c r="O66" s="90"/>
      <c r="P66" s="90"/>
      <c r="Q66" s="90"/>
      <c r="R66" s="90"/>
      <c r="S66" s="91"/>
      <c r="T66" s="90"/>
      <c r="U66" s="91"/>
      <c r="V66" s="95"/>
      <c r="W66" s="10"/>
      <c r="X66" s="9"/>
      <c r="Y66" s="9"/>
      <c r="Z66" s="9"/>
      <c r="AA66" s="9"/>
      <c r="AB66" s="9"/>
      <c r="AC66" s="9"/>
      <c r="AD66" s="9"/>
      <c r="AE66" s="9"/>
      <c r="AF66" s="9"/>
      <c r="AG66" s="13"/>
    </row>
    <row r="67" spans="1:33" ht="24.75" hidden="1" customHeight="1">
      <c r="A67" s="9"/>
      <c r="B67" s="456"/>
      <c r="C67" s="433"/>
      <c r="D67" s="433"/>
      <c r="E67" s="440"/>
      <c r="F67" s="441"/>
      <c r="G67" s="442"/>
      <c r="H67" s="445"/>
      <c r="I67" s="445"/>
      <c r="J67" s="445"/>
      <c r="K67" s="445"/>
      <c r="L67" s="89"/>
      <c r="M67" s="90"/>
      <c r="N67" s="90"/>
      <c r="O67" s="90"/>
      <c r="P67" s="90"/>
      <c r="Q67" s="90"/>
      <c r="R67" s="90"/>
      <c r="S67" s="91"/>
      <c r="T67" s="90"/>
      <c r="U67" s="91"/>
      <c r="V67" s="95"/>
      <c r="W67" s="10"/>
      <c r="X67" s="9"/>
      <c r="Y67" s="9"/>
      <c r="Z67" s="9"/>
      <c r="AA67" s="9"/>
      <c r="AB67" s="9"/>
      <c r="AC67" s="9"/>
      <c r="AD67" s="9"/>
      <c r="AE67" s="9"/>
      <c r="AF67" s="9"/>
      <c r="AG67" s="13"/>
    </row>
    <row r="68" spans="1:33" ht="24.75" hidden="1" customHeight="1">
      <c r="A68" s="9"/>
      <c r="B68" s="456"/>
      <c r="C68" s="433"/>
      <c r="D68" s="433"/>
      <c r="E68" s="440"/>
      <c r="F68" s="437"/>
      <c r="G68" s="438"/>
      <c r="H68" s="443"/>
      <c r="I68" s="446"/>
      <c r="J68" s="443"/>
      <c r="K68" s="447"/>
      <c r="L68" s="89"/>
      <c r="M68" s="90"/>
      <c r="N68" s="90"/>
      <c r="O68" s="90"/>
      <c r="P68" s="90"/>
      <c r="Q68" s="90"/>
      <c r="R68" s="90"/>
      <c r="S68" s="91"/>
      <c r="T68" s="90"/>
      <c r="U68" s="91"/>
      <c r="V68" s="95"/>
      <c r="W68" s="10"/>
      <c r="X68" s="9"/>
      <c r="Y68" s="9"/>
      <c r="Z68" s="9"/>
      <c r="AA68" s="9"/>
      <c r="AB68" s="9"/>
      <c r="AC68" s="9"/>
      <c r="AD68" s="9"/>
      <c r="AE68" s="9"/>
      <c r="AF68" s="9"/>
      <c r="AG68" s="13"/>
    </row>
    <row r="69" spans="1:33" ht="24.75" hidden="1" customHeight="1">
      <c r="A69" s="9"/>
      <c r="B69" s="456"/>
      <c r="C69" s="433"/>
      <c r="D69" s="433"/>
      <c r="E69" s="440"/>
      <c r="F69" s="439"/>
      <c r="G69" s="440"/>
      <c r="H69" s="444"/>
      <c r="I69" s="444"/>
      <c r="J69" s="444"/>
      <c r="K69" s="444"/>
      <c r="L69" s="89"/>
      <c r="M69" s="90"/>
      <c r="N69" s="90"/>
      <c r="O69" s="90"/>
      <c r="P69" s="90"/>
      <c r="Q69" s="90"/>
      <c r="R69" s="90"/>
      <c r="S69" s="91"/>
      <c r="T69" s="90"/>
      <c r="U69" s="91"/>
      <c r="V69" s="95"/>
      <c r="W69" s="10"/>
      <c r="X69" s="9"/>
      <c r="Y69" s="9"/>
      <c r="Z69" s="9"/>
      <c r="AA69" s="9"/>
      <c r="AB69" s="9"/>
      <c r="AC69" s="9"/>
      <c r="AD69" s="9"/>
      <c r="AE69" s="9"/>
      <c r="AF69" s="9"/>
      <c r="AG69" s="13"/>
    </row>
    <row r="70" spans="1:33" ht="24.75" hidden="1" customHeight="1">
      <c r="A70" s="9"/>
      <c r="B70" s="457"/>
      <c r="C70" s="458"/>
      <c r="D70" s="458"/>
      <c r="E70" s="450"/>
      <c r="F70" s="449"/>
      <c r="G70" s="450"/>
      <c r="H70" s="452"/>
      <c r="I70" s="452"/>
      <c r="J70" s="452"/>
      <c r="K70" s="452"/>
      <c r="L70" s="92"/>
      <c r="M70" s="88"/>
      <c r="N70" s="88"/>
      <c r="O70" s="88"/>
      <c r="P70" s="88"/>
      <c r="Q70" s="88"/>
      <c r="R70" s="88"/>
      <c r="S70" s="93"/>
      <c r="T70" s="88"/>
      <c r="U70" s="93"/>
      <c r="V70" s="96"/>
      <c r="W70" s="10"/>
      <c r="X70" s="9"/>
      <c r="Y70" s="9"/>
      <c r="Z70" s="9"/>
      <c r="AA70" s="9"/>
      <c r="AB70" s="9"/>
      <c r="AC70" s="9"/>
      <c r="AD70" s="9"/>
      <c r="AE70" s="9"/>
      <c r="AF70" s="9"/>
      <c r="AG70" s="13"/>
    </row>
    <row r="71" spans="1:33" ht="27" customHeight="1">
      <c r="A71" s="9"/>
      <c r="B71" s="496" t="s">
        <v>87</v>
      </c>
      <c r="C71" s="497"/>
      <c r="D71" s="497"/>
      <c r="E71" s="497"/>
      <c r="F71" s="497"/>
      <c r="G71" s="497"/>
      <c r="H71" s="497"/>
      <c r="I71" s="497"/>
      <c r="J71" s="497"/>
      <c r="K71" s="497"/>
      <c r="L71" s="497"/>
      <c r="M71" s="497"/>
      <c r="N71" s="497"/>
      <c r="O71" s="497"/>
      <c r="P71" s="497"/>
      <c r="Q71" s="497"/>
      <c r="R71" s="497"/>
      <c r="S71" s="497"/>
      <c r="T71" s="497"/>
      <c r="U71" s="617"/>
      <c r="V71" s="97" t="e">
        <f>SUM(V44:V52)</f>
        <v>#DIV/0!</v>
      </c>
      <c r="W71" s="10"/>
      <c r="X71" s="9"/>
      <c r="Y71" s="9"/>
      <c r="Z71" s="9"/>
      <c r="AA71" s="9"/>
      <c r="AB71" s="9"/>
      <c r="AC71" s="9"/>
      <c r="AD71" s="9"/>
      <c r="AE71" s="9"/>
      <c r="AF71" s="9"/>
      <c r="AG71" s="13"/>
    </row>
    <row r="72" spans="1:33" ht="27" customHeight="1">
      <c r="A72" s="9"/>
      <c r="B72" s="68"/>
      <c r="C72" s="68"/>
      <c r="D72" s="68"/>
      <c r="E72" s="98"/>
      <c r="F72" s="98"/>
      <c r="G72" s="98"/>
      <c r="H72" s="98"/>
      <c r="I72" s="98"/>
      <c r="J72" s="98"/>
      <c r="K72" s="98"/>
      <c r="L72" s="98"/>
      <c r="M72" s="98"/>
      <c r="N72" s="98"/>
      <c r="O72" s="98"/>
      <c r="P72" s="98"/>
      <c r="Q72" s="98"/>
      <c r="R72" s="98"/>
      <c r="S72" s="98"/>
      <c r="T72" s="98"/>
      <c r="U72" s="98"/>
      <c r="V72" s="67"/>
      <c r="W72" s="10"/>
      <c r="X72" s="9"/>
      <c r="Y72" s="9"/>
      <c r="Z72" s="9"/>
      <c r="AA72" s="9"/>
      <c r="AB72" s="9"/>
      <c r="AC72" s="9"/>
      <c r="AD72" s="9"/>
      <c r="AE72" s="9"/>
      <c r="AF72" s="9"/>
      <c r="AG72" s="13"/>
    </row>
    <row r="73" spans="1:33" ht="39.75" customHeight="1">
      <c r="A73" s="9"/>
      <c r="B73" s="499" t="s">
        <v>88</v>
      </c>
      <c r="C73" s="433"/>
      <c r="D73" s="433"/>
      <c r="E73" s="433"/>
      <c r="F73" s="433"/>
      <c r="G73" s="433"/>
      <c r="H73" s="433"/>
      <c r="I73" s="433"/>
      <c r="J73" s="433"/>
      <c r="K73" s="433"/>
      <c r="L73" s="433"/>
      <c r="M73" s="433"/>
      <c r="N73" s="433"/>
      <c r="O73" s="433"/>
      <c r="P73" s="433"/>
      <c r="Q73" s="433"/>
      <c r="R73" s="433"/>
      <c r="S73" s="10"/>
      <c r="T73" s="9"/>
      <c r="U73" s="9"/>
      <c r="V73" s="9"/>
      <c r="W73" s="9"/>
      <c r="X73" s="9"/>
      <c r="Y73" s="9"/>
      <c r="Z73" s="9"/>
      <c r="AA73" s="9"/>
      <c r="AB73" s="9"/>
      <c r="AC73" s="11"/>
      <c r="AD73" s="11"/>
      <c r="AE73" s="11"/>
      <c r="AF73" s="11"/>
      <c r="AG73" s="11"/>
    </row>
    <row r="74" spans="1:33" ht="13.5" customHeight="1">
      <c r="A74" s="9"/>
      <c r="B74" s="68"/>
      <c r="C74" s="68"/>
      <c r="D74" s="68"/>
      <c r="E74" s="11"/>
      <c r="F74" s="11"/>
      <c r="G74" s="68"/>
      <c r="H74" s="68"/>
      <c r="I74" s="68"/>
      <c r="J74" s="68"/>
      <c r="K74" s="68"/>
      <c r="L74" s="68"/>
      <c r="M74" s="68"/>
      <c r="N74" s="68"/>
      <c r="O74" s="68"/>
      <c r="P74" s="68"/>
      <c r="Q74" s="68"/>
      <c r="R74" s="68"/>
      <c r="S74" s="68"/>
      <c r="T74" s="68"/>
      <c r="U74" s="67"/>
      <c r="V74" s="67"/>
      <c r="W74" s="10"/>
      <c r="X74" s="9"/>
      <c r="Y74" s="9"/>
      <c r="Z74" s="9"/>
      <c r="AA74" s="9"/>
      <c r="AB74" s="9"/>
      <c r="AC74" s="9"/>
      <c r="AD74" s="9"/>
      <c r="AE74" s="9"/>
      <c r="AF74" s="9"/>
      <c r="AG74" s="13"/>
    </row>
    <row r="75" spans="1:33" ht="21.75" customHeight="1">
      <c r="A75" s="9"/>
      <c r="B75" s="589" t="s">
        <v>78</v>
      </c>
      <c r="C75" s="497"/>
      <c r="D75" s="497"/>
      <c r="E75" s="497"/>
      <c r="F75" s="497"/>
      <c r="G75" s="497"/>
      <c r="H75" s="497"/>
      <c r="I75" s="497"/>
      <c r="J75" s="497"/>
      <c r="K75" s="497"/>
      <c r="L75" s="497"/>
      <c r="M75" s="497"/>
      <c r="N75" s="497"/>
      <c r="O75" s="497"/>
      <c r="P75" s="497"/>
      <c r="Q75" s="497"/>
      <c r="R75" s="498"/>
      <c r="S75" s="589" t="s">
        <v>29</v>
      </c>
      <c r="T75" s="497"/>
      <c r="U75" s="497"/>
      <c r="V75" s="498"/>
      <c r="W75" s="10"/>
      <c r="X75" s="9"/>
      <c r="Y75" s="9"/>
      <c r="Z75" s="9"/>
      <c r="AA75" s="9"/>
      <c r="AB75" s="9"/>
      <c r="AC75" s="9"/>
      <c r="AD75" s="9"/>
      <c r="AE75" s="9"/>
      <c r="AF75" s="9"/>
      <c r="AG75" s="13"/>
    </row>
    <row r="76" spans="1:33" ht="62.25" customHeight="1">
      <c r="A76" s="18"/>
      <c r="B76" s="517" t="s">
        <v>89</v>
      </c>
      <c r="C76" s="454"/>
      <c r="D76" s="454"/>
      <c r="E76" s="620"/>
      <c r="F76" s="517" t="s">
        <v>80</v>
      </c>
      <c r="G76" s="454"/>
      <c r="H76" s="454"/>
      <c r="I76" s="501"/>
      <c r="J76" s="619" t="s">
        <v>8</v>
      </c>
      <c r="K76" s="563" t="s">
        <v>9</v>
      </c>
      <c r="L76" s="597" t="s">
        <v>90</v>
      </c>
      <c r="M76" s="618" t="s">
        <v>83</v>
      </c>
      <c r="N76" s="509"/>
      <c r="O76" s="509"/>
      <c r="P76" s="509"/>
      <c r="Q76" s="599"/>
      <c r="R76" s="619" t="s">
        <v>34</v>
      </c>
      <c r="S76" s="623" t="s">
        <v>84</v>
      </c>
      <c r="T76" s="574" t="s">
        <v>36</v>
      </c>
      <c r="U76" s="524" t="s">
        <v>37</v>
      </c>
      <c r="V76" s="563" t="s">
        <v>38</v>
      </c>
      <c r="W76" s="20"/>
      <c r="X76" s="18"/>
      <c r="Y76" s="18"/>
      <c r="Z76" s="18"/>
      <c r="AA76" s="18"/>
      <c r="AB76" s="18"/>
      <c r="AC76" s="18"/>
      <c r="AD76" s="18"/>
      <c r="AE76" s="18"/>
      <c r="AF76" s="18"/>
      <c r="AG76" s="69"/>
    </row>
    <row r="77" spans="1:33" ht="51" customHeight="1">
      <c r="A77" s="9"/>
      <c r="B77" s="518"/>
      <c r="C77" s="519"/>
      <c r="D77" s="519"/>
      <c r="E77" s="621"/>
      <c r="F77" s="518"/>
      <c r="G77" s="519"/>
      <c r="H77" s="519"/>
      <c r="I77" s="520"/>
      <c r="J77" s="573"/>
      <c r="K77" s="573"/>
      <c r="L77" s="522"/>
      <c r="M77" s="70" t="s">
        <v>43</v>
      </c>
      <c r="N77" s="70" t="s">
        <v>44</v>
      </c>
      <c r="O77" s="70" t="s">
        <v>45</v>
      </c>
      <c r="P77" s="70" t="s">
        <v>46</v>
      </c>
      <c r="Q77" s="70" t="s">
        <v>47</v>
      </c>
      <c r="R77" s="573"/>
      <c r="S77" s="522"/>
      <c r="T77" s="575"/>
      <c r="U77" s="522"/>
      <c r="V77" s="573"/>
      <c r="W77" s="10"/>
      <c r="X77" s="9"/>
      <c r="Y77" s="9"/>
      <c r="Z77" s="9"/>
      <c r="AA77" s="9"/>
      <c r="AB77" s="9"/>
      <c r="AC77" s="9"/>
      <c r="AD77" s="9"/>
      <c r="AE77" s="9"/>
      <c r="AF77" s="9"/>
      <c r="AG77" s="13"/>
    </row>
    <row r="78" spans="1:33" ht="121.5" customHeight="1">
      <c r="A78" s="9"/>
      <c r="B78" s="611" t="s">
        <v>91</v>
      </c>
      <c r="C78" s="454"/>
      <c r="D78" s="454"/>
      <c r="E78" s="455"/>
      <c r="F78" s="607" t="s">
        <v>92</v>
      </c>
      <c r="G78" s="454"/>
      <c r="H78" s="454"/>
      <c r="I78" s="455"/>
      <c r="J78" s="465" t="s">
        <v>93</v>
      </c>
      <c r="K78" s="463">
        <v>0.05</v>
      </c>
      <c r="L78" s="83" t="s">
        <v>14</v>
      </c>
      <c r="M78" s="99" t="s">
        <v>94</v>
      </c>
      <c r="N78" s="100" t="s">
        <v>95</v>
      </c>
      <c r="O78" s="100" t="s">
        <v>96</v>
      </c>
      <c r="P78" s="100" t="s">
        <v>97</v>
      </c>
      <c r="Q78" s="100" t="s">
        <v>98</v>
      </c>
      <c r="R78" s="624"/>
      <c r="S78" s="625"/>
      <c r="T78" s="101"/>
      <c r="U78" s="548" t="e">
        <f>AVERAGE(T78:T80)</f>
        <v>#DIV/0!</v>
      </c>
      <c r="V78" s="626" t="e">
        <f>U78*K78</f>
        <v>#DIV/0!</v>
      </c>
      <c r="W78" s="10"/>
      <c r="X78" s="9"/>
      <c r="Y78" s="9"/>
      <c r="Z78" s="9"/>
      <c r="AA78" s="9"/>
      <c r="AB78" s="9"/>
      <c r="AC78" s="9"/>
      <c r="AD78" s="9"/>
      <c r="AE78" s="9"/>
      <c r="AF78" s="9"/>
      <c r="AG78" s="13"/>
    </row>
    <row r="79" spans="1:33" ht="118.5" customHeight="1">
      <c r="A79" s="9"/>
      <c r="B79" s="456"/>
      <c r="C79" s="433"/>
      <c r="D79" s="433"/>
      <c r="E79" s="440"/>
      <c r="F79" s="439"/>
      <c r="G79" s="433"/>
      <c r="H79" s="433"/>
      <c r="I79" s="440"/>
      <c r="J79" s="444"/>
      <c r="K79" s="444"/>
      <c r="L79" s="89" t="s">
        <v>15</v>
      </c>
      <c r="M79" s="102" t="s">
        <v>99</v>
      </c>
      <c r="N79" s="103" t="s">
        <v>100</v>
      </c>
      <c r="O79" s="103" t="s">
        <v>101</v>
      </c>
      <c r="P79" s="103" t="s">
        <v>102</v>
      </c>
      <c r="Q79" s="103" t="s">
        <v>103</v>
      </c>
      <c r="R79" s="444"/>
      <c r="S79" s="444"/>
      <c r="T79" s="79"/>
      <c r="U79" s="444"/>
      <c r="V79" s="492"/>
      <c r="W79" s="10"/>
      <c r="X79" s="9"/>
      <c r="Y79" s="9"/>
      <c r="Z79" s="9"/>
      <c r="AA79" s="9"/>
      <c r="AB79" s="9"/>
      <c r="AC79" s="9"/>
      <c r="AD79" s="9"/>
      <c r="AE79" s="9"/>
      <c r="AF79" s="9"/>
      <c r="AG79" s="13"/>
    </row>
    <row r="80" spans="1:33" ht="143.25" customHeight="1">
      <c r="A80" s="9"/>
      <c r="B80" s="457"/>
      <c r="C80" s="458"/>
      <c r="D80" s="458"/>
      <c r="E80" s="450"/>
      <c r="F80" s="449"/>
      <c r="G80" s="458"/>
      <c r="H80" s="458"/>
      <c r="I80" s="450"/>
      <c r="J80" s="452"/>
      <c r="K80" s="452"/>
      <c r="L80" s="104" t="s">
        <v>16</v>
      </c>
      <c r="M80" s="105" t="s">
        <v>104</v>
      </c>
      <c r="N80" s="105" t="s">
        <v>105</v>
      </c>
      <c r="O80" s="105" t="s">
        <v>106</v>
      </c>
      <c r="P80" s="105" t="s">
        <v>107</v>
      </c>
      <c r="Q80" s="105" t="s">
        <v>108</v>
      </c>
      <c r="R80" s="452"/>
      <c r="S80" s="452"/>
      <c r="T80" s="106"/>
      <c r="U80" s="452"/>
      <c r="V80" s="568"/>
      <c r="W80" s="10"/>
      <c r="X80" s="9"/>
      <c r="Y80" s="9"/>
      <c r="Z80" s="9"/>
      <c r="AA80" s="9"/>
      <c r="AB80" s="9"/>
      <c r="AC80" s="9"/>
      <c r="AD80" s="9"/>
      <c r="AE80" s="9"/>
      <c r="AF80" s="9"/>
      <c r="AG80" s="13"/>
    </row>
    <row r="81" spans="1:33" ht="132" customHeight="1">
      <c r="A81" s="107"/>
      <c r="B81" s="606" t="s">
        <v>109</v>
      </c>
      <c r="C81" s="454"/>
      <c r="D81" s="454"/>
      <c r="E81" s="455"/>
      <c r="F81" s="607" t="s">
        <v>110</v>
      </c>
      <c r="G81" s="454"/>
      <c r="H81" s="454"/>
      <c r="I81" s="455"/>
      <c r="J81" s="465" t="s">
        <v>93</v>
      </c>
      <c r="K81" s="463">
        <v>0.05</v>
      </c>
      <c r="L81" s="83" t="s">
        <v>14</v>
      </c>
      <c r="M81" s="100" t="s">
        <v>111</v>
      </c>
      <c r="N81" s="108" t="s">
        <v>112</v>
      </c>
      <c r="O81" s="100" t="s">
        <v>113</v>
      </c>
      <c r="P81" s="100" t="s">
        <v>114</v>
      </c>
      <c r="Q81" s="100" t="s">
        <v>115</v>
      </c>
      <c r="R81" s="624"/>
      <c r="S81" s="625"/>
      <c r="T81" s="85"/>
      <c r="U81" s="548" t="e">
        <f>AVERAGE(T81:T83)</f>
        <v>#DIV/0!</v>
      </c>
      <c r="V81" s="626" t="e">
        <f>U81*K81</f>
        <v>#DIV/0!</v>
      </c>
      <c r="W81" s="10"/>
      <c r="X81" s="9"/>
      <c r="Y81" s="9"/>
      <c r="Z81" s="9"/>
      <c r="AA81" s="9"/>
      <c r="AB81" s="9"/>
      <c r="AC81" s="9"/>
      <c r="AD81" s="9"/>
      <c r="AE81" s="9"/>
      <c r="AF81" s="9"/>
      <c r="AG81" s="13"/>
    </row>
    <row r="82" spans="1:33" ht="72.75" customHeight="1">
      <c r="A82" s="9"/>
      <c r="B82" s="456"/>
      <c r="C82" s="433"/>
      <c r="D82" s="433"/>
      <c r="E82" s="440"/>
      <c r="F82" s="439"/>
      <c r="G82" s="433"/>
      <c r="H82" s="433"/>
      <c r="I82" s="440"/>
      <c r="J82" s="444"/>
      <c r="K82" s="444"/>
      <c r="L82" s="89" t="s">
        <v>15</v>
      </c>
      <c r="M82" s="109" t="s">
        <v>116</v>
      </c>
      <c r="N82" s="109" t="s">
        <v>117</v>
      </c>
      <c r="O82" s="109" t="s">
        <v>118</v>
      </c>
      <c r="P82" s="109" t="s">
        <v>119</v>
      </c>
      <c r="Q82" s="109" t="s">
        <v>120</v>
      </c>
      <c r="R82" s="444"/>
      <c r="S82" s="444"/>
      <c r="T82" s="90"/>
      <c r="U82" s="444"/>
      <c r="V82" s="492"/>
      <c r="W82" s="10"/>
      <c r="X82" s="9"/>
      <c r="Y82" s="9"/>
      <c r="Z82" s="9"/>
      <c r="AA82" s="9"/>
      <c r="AB82" s="9"/>
      <c r="AC82" s="9"/>
      <c r="AD82" s="9"/>
      <c r="AE82" s="9"/>
      <c r="AF82" s="9"/>
      <c r="AG82" s="13"/>
    </row>
    <row r="83" spans="1:33" ht="31.5" customHeight="1">
      <c r="A83" s="9"/>
      <c r="B83" s="457"/>
      <c r="C83" s="458"/>
      <c r="D83" s="458"/>
      <c r="E83" s="450"/>
      <c r="F83" s="449"/>
      <c r="G83" s="458"/>
      <c r="H83" s="458"/>
      <c r="I83" s="450"/>
      <c r="J83" s="452"/>
      <c r="K83" s="452"/>
      <c r="L83" s="104" t="s">
        <v>16</v>
      </c>
      <c r="M83" s="110"/>
      <c r="N83" s="110"/>
      <c r="O83" s="110"/>
      <c r="P83" s="110"/>
      <c r="Q83" s="110"/>
      <c r="R83" s="452"/>
      <c r="S83" s="452"/>
      <c r="T83" s="111"/>
      <c r="U83" s="452"/>
      <c r="V83" s="568"/>
      <c r="W83" s="10"/>
      <c r="X83" s="9"/>
      <c r="Y83" s="9"/>
      <c r="Z83" s="9"/>
      <c r="AA83" s="9"/>
      <c r="AB83" s="9"/>
      <c r="AC83" s="9"/>
      <c r="AD83" s="9"/>
      <c r="AE83" s="9"/>
      <c r="AF83" s="9"/>
      <c r="AG83" s="13"/>
    </row>
    <row r="84" spans="1:33" ht="64.5" customHeight="1">
      <c r="A84" s="9"/>
      <c r="B84" s="606" t="s">
        <v>121</v>
      </c>
      <c r="C84" s="454"/>
      <c r="D84" s="454"/>
      <c r="E84" s="455"/>
      <c r="F84" s="607" t="s">
        <v>122</v>
      </c>
      <c r="G84" s="454"/>
      <c r="H84" s="454"/>
      <c r="I84" s="455"/>
      <c r="J84" s="465" t="s">
        <v>93</v>
      </c>
      <c r="K84" s="463">
        <v>0.05</v>
      </c>
      <c r="L84" s="83" t="s">
        <v>14</v>
      </c>
      <c r="M84" s="100" t="s">
        <v>123</v>
      </c>
      <c r="N84" s="100" t="s">
        <v>124</v>
      </c>
      <c r="O84" s="100" t="s">
        <v>125</v>
      </c>
      <c r="P84" s="100" t="s">
        <v>126</v>
      </c>
      <c r="Q84" s="100" t="s">
        <v>127</v>
      </c>
      <c r="R84" s="624"/>
      <c r="S84" s="625"/>
      <c r="T84" s="85"/>
      <c r="U84" s="548" t="e">
        <f>AVERAGE(T84:T86)</f>
        <v>#DIV/0!</v>
      </c>
      <c r="V84" s="626" t="e">
        <f>U84*K84</f>
        <v>#DIV/0!</v>
      </c>
      <c r="W84" s="10"/>
      <c r="X84" s="9"/>
      <c r="Y84" s="9"/>
      <c r="Z84" s="9"/>
      <c r="AA84" s="9"/>
      <c r="AB84" s="9"/>
      <c r="AC84" s="9"/>
      <c r="AD84" s="9"/>
      <c r="AE84" s="9"/>
      <c r="AF84" s="9"/>
      <c r="AG84" s="13"/>
    </row>
    <row r="85" spans="1:33" ht="48" customHeight="1">
      <c r="A85" s="9"/>
      <c r="B85" s="456"/>
      <c r="C85" s="433"/>
      <c r="D85" s="433"/>
      <c r="E85" s="440"/>
      <c r="F85" s="439"/>
      <c r="G85" s="433"/>
      <c r="H85" s="433"/>
      <c r="I85" s="440"/>
      <c r="J85" s="444"/>
      <c r="K85" s="444"/>
      <c r="L85" s="89" t="s">
        <v>15</v>
      </c>
      <c r="M85" s="109" t="s">
        <v>128</v>
      </c>
      <c r="N85" s="109" t="s">
        <v>129</v>
      </c>
      <c r="O85" s="109" t="s">
        <v>130</v>
      </c>
      <c r="P85" s="109" t="s">
        <v>131</v>
      </c>
      <c r="Q85" s="109" t="s">
        <v>132</v>
      </c>
      <c r="R85" s="444"/>
      <c r="S85" s="444"/>
      <c r="T85" s="90"/>
      <c r="U85" s="444"/>
      <c r="V85" s="492"/>
      <c r="W85" s="10"/>
      <c r="X85" s="9"/>
      <c r="Y85" s="9"/>
      <c r="Z85" s="9"/>
      <c r="AA85" s="9"/>
      <c r="AB85" s="9"/>
      <c r="AC85" s="9"/>
      <c r="AD85" s="9"/>
      <c r="AE85" s="9"/>
      <c r="AF85" s="9"/>
      <c r="AG85" s="13"/>
    </row>
    <row r="86" spans="1:33" ht="108" customHeight="1">
      <c r="A86" s="9"/>
      <c r="B86" s="457"/>
      <c r="C86" s="458"/>
      <c r="D86" s="458"/>
      <c r="E86" s="450"/>
      <c r="F86" s="449"/>
      <c r="G86" s="458"/>
      <c r="H86" s="458"/>
      <c r="I86" s="450"/>
      <c r="J86" s="452"/>
      <c r="K86" s="452"/>
      <c r="L86" s="104" t="s">
        <v>16</v>
      </c>
      <c r="M86" s="112" t="s">
        <v>133</v>
      </c>
      <c r="N86" s="113"/>
      <c r="O86" s="112" t="s">
        <v>134</v>
      </c>
      <c r="P86" s="113"/>
      <c r="Q86" s="112" t="s">
        <v>135</v>
      </c>
      <c r="R86" s="452"/>
      <c r="S86" s="452"/>
      <c r="T86" s="111"/>
      <c r="U86" s="452"/>
      <c r="V86" s="568"/>
      <c r="W86" s="10"/>
      <c r="X86" s="9"/>
      <c r="Y86" s="9"/>
      <c r="Z86" s="9"/>
      <c r="AA86" s="9"/>
      <c r="AB86" s="9"/>
      <c r="AC86" s="9"/>
      <c r="AD86" s="9"/>
      <c r="AE86" s="9"/>
      <c r="AF86" s="9"/>
      <c r="AG86" s="13"/>
    </row>
    <row r="87" spans="1:33" ht="24.75" hidden="1" customHeight="1">
      <c r="A87" s="9"/>
      <c r="B87" s="608"/>
      <c r="C87" s="433"/>
      <c r="D87" s="433"/>
      <c r="E87" s="440"/>
      <c r="F87" s="612"/>
      <c r="G87" s="440"/>
      <c r="H87" s="613"/>
      <c r="I87" s="614"/>
      <c r="J87" s="615"/>
      <c r="K87" s="616"/>
      <c r="L87" s="114"/>
      <c r="M87" s="115"/>
      <c r="N87" s="115"/>
      <c r="O87" s="115"/>
      <c r="P87" s="115"/>
      <c r="Q87" s="115"/>
      <c r="R87" s="87"/>
      <c r="S87" s="116"/>
      <c r="T87" s="87"/>
      <c r="U87" s="627"/>
      <c r="V87" s="628"/>
      <c r="W87" s="10"/>
      <c r="X87" s="9"/>
      <c r="Y87" s="9"/>
      <c r="Z87" s="9"/>
      <c r="AA87" s="9"/>
      <c r="AB87" s="9"/>
      <c r="AC87" s="9"/>
      <c r="AD87" s="9"/>
      <c r="AE87" s="9"/>
      <c r="AF87" s="9"/>
      <c r="AG87" s="13"/>
    </row>
    <row r="88" spans="1:33" ht="24.75" hidden="1" customHeight="1">
      <c r="A88" s="9"/>
      <c r="B88" s="456"/>
      <c r="C88" s="433"/>
      <c r="D88" s="433"/>
      <c r="E88" s="440"/>
      <c r="F88" s="439"/>
      <c r="G88" s="440"/>
      <c r="H88" s="444"/>
      <c r="I88" s="444"/>
      <c r="J88" s="444"/>
      <c r="K88" s="444"/>
      <c r="L88" s="89"/>
      <c r="M88" s="45"/>
      <c r="N88" s="45"/>
      <c r="O88" s="45"/>
      <c r="P88" s="45"/>
      <c r="Q88" s="45"/>
      <c r="R88" s="90"/>
      <c r="S88" s="91"/>
      <c r="T88" s="90"/>
      <c r="U88" s="444"/>
      <c r="V88" s="492"/>
      <c r="W88" s="10"/>
      <c r="X88" s="9"/>
      <c r="Y88" s="9"/>
      <c r="Z88" s="9"/>
      <c r="AA88" s="9"/>
      <c r="AB88" s="9"/>
      <c r="AC88" s="9"/>
      <c r="AD88" s="9"/>
      <c r="AE88" s="9"/>
      <c r="AF88" s="9"/>
      <c r="AG88" s="13"/>
    </row>
    <row r="89" spans="1:33" ht="24.75" hidden="1" customHeight="1">
      <c r="A89" s="9"/>
      <c r="B89" s="456"/>
      <c r="C89" s="433"/>
      <c r="D89" s="433"/>
      <c r="E89" s="440"/>
      <c r="F89" s="441"/>
      <c r="G89" s="442"/>
      <c r="H89" s="445"/>
      <c r="I89" s="445"/>
      <c r="J89" s="445"/>
      <c r="K89" s="445"/>
      <c r="L89" s="89"/>
      <c r="M89" s="45"/>
      <c r="N89" s="45"/>
      <c r="O89" s="45"/>
      <c r="P89" s="45"/>
      <c r="Q89" s="45"/>
      <c r="R89" s="90"/>
      <c r="S89" s="91"/>
      <c r="T89" s="90"/>
      <c r="U89" s="445"/>
      <c r="V89" s="493"/>
      <c r="W89" s="10"/>
      <c r="X89" s="9"/>
      <c r="Y89" s="9"/>
      <c r="Z89" s="9"/>
      <c r="AA89" s="9"/>
      <c r="AB89" s="9"/>
      <c r="AC89" s="9"/>
      <c r="AD89" s="9"/>
      <c r="AE89" s="9"/>
      <c r="AF89" s="9"/>
      <c r="AG89" s="13"/>
    </row>
    <row r="90" spans="1:33" ht="24.75" hidden="1" customHeight="1">
      <c r="A90" s="9"/>
      <c r="B90" s="456"/>
      <c r="C90" s="433"/>
      <c r="D90" s="433"/>
      <c r="E90" s="440"/>
      <c r="F90" s="437"/>
      <c r="G90" s="438"/>
      <c r="H90" s="461"/>
      <c r="I90" s="446"/>
      <c r="J90" s="443"/>
      <c r="K90" s="447"/>
      <c r="L90" s="89"/>
      <c r="M90" s="90"/>
      <c r="N90" s="90"/>
      <c r="O90" s="90"/>
      <c r="P90" s="90"/>
      <c r="Q90" s="90"/>
      <c r="R90" s="90"/>
      <c r="S90" s="91"/>
      <c r="T90" s="90"/>
      <c r="U90" s="545"/>
      <c r="V90" s="622"/>
      <c r="W90" s="10"/>
      <c r="X90" s="9"/>
      <c r="Y90" s="9"/>
      <c r="Z90" s="9"/>
      <c r="AA90" s="9"/>
      <c r="AB90" s="9"/>
      <c r="AC90" s="9"/>
      <c r="AD90" s="9"/>
      <c r="AE90" s="9"/>
      <c r="AF90" s="9"/>
      <c r="AG90" s="13"/>
    </row>
    <row r="91" spans="1:33" ht="24.75" hidden="1" customHeight="1">
      <c r="A91" s="9"/>
      <c r="B91" s="456"/>
      <c r="C91" s="433"/>
      <c r="D91" s="433"/>
      <c r="E91" s="440"/>
      <c r="F91" s="439"/>
      <c r="G91" s="440"/>
      <c r="H91" s="444"/>
      <c r="I91" s="444"/>
      <c r="J91" s="444"/>
      <c r="K91" s="444"/>
      <c r="L91" s="89"/>
      <c r="M91" s="90"/>
      <c r="N91" s="90"/>
      <c r="O91" s="90"/>
      <c r="P91" s="90"/>
      <c r="Q91" s="90"/>
      <c r="R91" s="90"/>
      <c r="S91" s="91"/>
      <c r="T91" s="90"/>
      <c r="U91" s="444"/>
      <c r="V91" s="492"/>
      <c r="W91" s="10"/>
      <c r="X91" s="9"/>
      <c r="Y91" s="9"/>
      <c r="Z91" s="9"/>
      <c r="AA91" s="9"/>
      <c r="AB91" s="9"/>
      <c r="AC91" s="9"/>
      <c r="AD91" s="9"/>
      <c r="AE91" s="9"/>
      <c r="AF91" s="9"/>
      <c r="AG91" s="13"/>
    </row>
    <row r="92" spans="1:33" ht="24.75" hidden="1" customHeight="1">
      <c r="A92" s="9"/>
      <c r="B92" s="456"/>
      <c r="C92" s="433"/>
      <c r="D92" s="433"/>
      <c r="E92" s="440"/>
      <c r="F92" s="441"/>
      <c r="G92" s="442"/>
      <c r="H92" s="445"/>
      <c r="I92" s="445"/>
      <c r="J92" s="445"/>
      <c r="K92" s="445"/>
      <c r="L92" s="89"/>
      <c r="M92" s="90"/>
      <c r="N92" s="90"/>
      <c r="O92" s="90"/>
      <c r="P92" s="90"/>
      <c r="Q92" s="90"/>
      <c r="R92" s="90"/>
      <c r="S92" s="91"/>
      <c r="T92" s="90"/>
      <c r="U92" s="445"/>
      <c r="V92" s="493"/>
      <c r="W92" s="10"/>
      <c r="X92" s="9"/>
      <c r="Y92" s="9"/>
      <c r="Z92" s="9"/>
      <c r="AA92" s="9"/>
      <c r="AB92" s="9"/>
      <c r="AC92" s="9"/>
      <c r="AD92" s="9"/>
      <c r="AE92" s="9"/>
      <c r="AF92" s="9"/>
      <c r="AG92" s="13"/>
    </row>
    <row r="93" spans="1:33" ht="24.75" hidden="1" customHeight="1">
      <c r="A93" s="9"/>
      <c r="B93" s="456"/>
      <c r="C93" s="433"/>
      <c r="D93" s="433"/>
      <c r="E93" s="440"/>
      <c r="F93" s="437"/>
      <c r="G93" s="438"/>
      <c r="H93" s="461"/>
      <c r="I93" s="446"/>
      <c r="J93" s="443"/>
      <c r="K93" s="447"/>
      <c r="L93" s="89"/>
      <c r="M93" s="90"/>
      <c r="N93" s="90"/>
      <c r="O93" s="90"/>
      <c r="P93" s="90"/>
      <c r="Q93" s="90"/>
      <c r="R93" s="90"/>
      <c r="S93" s="91"/>
      <c r="T93" s="90"/>
      <c r="U93" s="545"/>
      <c r="V93" s="622"/>
      <c r="W93" s="10"/>
      <c r="X93" s="9"/>
      <c r="Y93" s="9"/>
      <c r="Z93" s="9"/>
      <c r="AA93" s="9"/>
      <c r="AB93" s="9"/>
      <c r="AC93" s="9"/>
      <c r="AD93" s="9"/>
      <c r="AE93" s="9"/>
      <c r="AF93" s="9"/>
      <c r="AG93" s="13"/>
    </row>
    <row r="94" spans="1:33" ht="24.75" hidden="1" customHeight="1">
      <c r="A94" s="9"/>
      <c r="B94" s="456"/>
      <c r="C94" s="433"/>
      <c r="D94" s="433"/>
      <c r="E94" s="440"/>
      <c r="F94" s="439"/>
      <c r="G94" s="440"/>
      <c r="H94" s="444"/>
      <c r="I94" s="444"/>
      <c r="J94" s="444"/>
      <c r="K94" s="444"/>
      <c r="L94" s="89"/>
      <c r="M94" s="90"/>
      <c r="N94" s="90"/>
      <c r="O94" s="90"/>
      <c r="P94" s="90"/>
      <c r="Q94" s="90"/>
      <c r="R94" s="90"/>
      <c r="S94" s="91"/>
      <c r="T94" s="90"/>
      <c r="U94" s="444"/>
      <c r="V94" s="492"/>
      <c r="W94" s="10"/>
      <c r="X94" s="9"/>
      <c r="Y94" s="9"/>
      <c r="Z94" s="9"/>
      <c r="AA94" s="9"/>
      <c r="AB94" s="9"/>
      <c r="AC94" s="9"/>
      <c r="AD94" s="9"/>
      <c r="AE94" s="9"/>
      <c r="AF94" s="9"/>
      <c r="AG94" s="13"/>
    </row>
    <row r="95" spans="1:33" ht="24.75" hidden="1" customHeight="1">
      <c r="A95" s="9"/>
      <c r="B95" s="456"/>
      <c r="C95" s="433"/>
      <c r="D95" s="433"/>
      <c r="E95" s="440"/>
      <c r="F95" s="441"/>
      <c r="G95" s="442"/>
      <c r="H95" s="445"/>
      <c r="I95" s="445"/>
      <c r="J95" s="445"/>
      <c r="K95" s="445"/>
      <c r="L95" s="92"/>
      <c r="M95" s="88"/>
      <c r="N95" s="88"/>
      <c r="O95" s="88"/>
      <c r="P95" s="88"/>
      <c r="Q95" s="88"/>
      <c r="R95" s="88"/>
      <c r="S95" s="93"/>
      <c r="T95" s="88"/>
      <c r="U95" s="444"/>
      <c r="V95" s="492"/>
      <c r="W95" s="10"/>
      <c r="X95" s="9"/>
      <c r="Y95" s="9"/>
      <c r="Z95" s="9"/>
      <c r="AA95" s="9"/>
      <c r="AB95" s="9"/>
      <c r="AC95" s="9"/>
      <c r="AD95" s="9"/>
      <c r="AE95" s="9"/>
      <c r="AF95" s="9"/>
      <c r="AG95" s="13"/>
    </row>
    <row r="96" spans="1:33" ht="24.75" hidden="1" customHeight="1">
      <c r="A96" s="9"/>
      <c r="B96" s="462"/>
      <c r="C96" s="454"/>
      <c r="D96" s="454"/>
      <c r="E96" s="455"/>
      <c r="F96" s="459"/>
      <c r="G96" s="455"/>
      <c r="H96" s="464"/>
      <c r="I96" s="463"/>
      <c r="J96" s="464"/>
      <c r="K96" s="465"/>
      <c r="L96" s="83"/>
      <c r="M96" s="85"/>
      <c r="N96" s="85"/>
      <c r="O96" s="85"/>
      <c r="P96" s="85"/>
      <c r="Q96" s="85"/>
      <c r="R96" s="85"/>
      <c r="S96" s="86"/>
      <c r="T96" s="85"/>
      <c r="U96" s="86"/>
      <c r="V96" s="117"/>
      <c r="W96" s="10"/>
      <c r="X96" s="9"/>
      <c r="Y96" s="9"/>
      <c r="Z96" s="9"/>
      <c r="AA96" s="9"/>
      <c r="AB96" s="9"/>
      <c r="AC96" s="9"/>
      <c r="AD96" s="9"/>
      <c r="AE96" s="9"/>
      <c r="AF96" s="9"/>
      <c r="AG96" s="13"/>
    </row>
    <row r="97" spans="1:33" ht="24.75" hidden="1" customHeight="1">
      <c r="A97" s="9"/>
      <c r="B97" s="456"/>
      <c r="C97" s="433"/>
      <c r="D97" s="433"/>
      <c r="E97" s="440"/>
      <c r="F97" s="439"/>
      <c r="G97" s="440"/>
      <c r="H97" s="444"/>
      <c r="I97" s="444"/>
      <c r="J97" s="444"/>
      <c r="K97" s="444"/>
      <c r="L97" s="89"/>
      <c r="M97" s="90"/>
      <c r="N97" s="90"/>
      <c r="O97" s="90"/>
      <c r="P97" s="90"/>
      <c r="Q97" s="90"/>
      <c r="R97" s="90"/>
      <c r="S97" s="91"/>
      <c r="T97" s="90"/>
      <c r="U97" s="91"/>
      <c r="V97" s="118"/>
      <c r="W97" s="10"/>
      <c r="X97" s="9"/>
      <c r="Y97" s="9"/>
      <c r="Z97" s="9"/>
      <c r="AA97" s="9"/>
      <c r="AB97" s="9"/>
      <c r="AC97" s="9"/>
      <c r="AD97" s="9"/>
      <c r="AE97" s="9"/>
      <c r="AF97" s="9"/>
      <c r="AG97" s="13"/>
    </row>
    <row r="98" spans="1:33" ht="24.75" hidden="1" customHeight="1">
      <c r="A98" s="9"/>
      <c r="B98" s="456"/>
      <c r="C98" s="433"/>
      <c r="D98" s="433"/>
      <c r="E98" s="440"/>
      <c r="F98" s="441"/>
      <c r="G98" s="442"/>
      <c r="H98" s="445"/>
      <c r="I98" s="445"/>
      <c r="J98" s="445"/>
      <c r="K98" s="445"/>
      <c r="L98" s="89"/>
      <c r="M98" s="90"/>
      <c r="N98" s="90"/>
      <c r="O98" s="90"/>
      <c r="P98" s="90"/>
      <c r="Q98" s="90"/>
      <c r="R98" s="90"/>
      <c r="S98" s="91"/>
      <c r="T98" s="90"/>
      <c r="U98" s="91"/>
      <c r="V98" s="118"/>
      <c r="W98" s="10"/>
      <c r="X98" s="9"/>
      <c r="Y98" s="9"/>
      <c r="Z98" s="9"/>
      <c r="AA98" s="9"/>
      <c r="AB98" s="9"/>
      <c r="AC98" s="9"/>
      <c r="AD98" s="9"/>
      <c r="AE98" s="9"/>
      <c r="AF98" s="9"/>
      <c r="AG98" s="13"/>
    </row>
    <row r="99" spans="1:33" ht="24.75" hidden="1" customHeight="1">
      <c r="A99" s="9"/>
      <c r="B99" s="456"/>
      <c r="C99" s="433"/>
      <c r="D99" s="433"/>
      <c r="E99" s="440"/>
      <c r="F99" s="437"/>
      <c r="G99" s="438"/>
      <c r="H99" s="443"/>
      <c r="I99" s="446"/>
      <c r="J99" s="443"/>
      <c r="K99" s="447"/>
      <c r="L99" s="89"/>
      <c r="M99" s="90"/>
      <c r="N99" s="90"/>
      <c r="O99" s="90"/>
      <c r="P99" s="90"/>
      <c r="Q99" s="90"/>
      <c r="R99" s="90"/>
      <c r="S99" s="91"/>
      <c r="T99" s="90"/>
      <c r="U99" s="91"/>
      <c r="V99" s="118"/>
      <c r="W99" s="10"/>
      <c r="X99" s="9"/>
      <c r="Y99" s="9"/>
      <c r="Z99" s="9"/>
      <c r="AA99" s="9"/>
      <c r="AB99" s="9"/>
      <c r="AC99" s="9"/>
      <c r="AD99" s="9"/>
      <c r="AE99" s="9"/>
      <c r="AF99" s="9"/>
      <c r="AG99" s="13"/>
    </row>
    <row r="100" spans="1:33" ht="24.75" hidden="1" customHeight="1">
      <c r="A100" s="9"/>
      <c r="B100" s="456"/>
      <c r="C100" s="433"/>
      <c r="D100" s="433"/>
      <c r="E100" s="440"/>
      <c r="F100" s="439"/>
      <c r="G100" s="440"/>
      <c r="H100" s="444"/>
      <c r="I100" s="444"/>
      <c r="J100" s="444"/>
      <c r="K100" s="444"/>
      <c r="L100" s="89"/>
      <c r="M100" s="90"/>
      <c r="N100" s="90"/>
      <c r="O100" s="90"/>
      <c r="P100" s="90"/>
      <c r="Q100" s="90"/>
      <c r="R100" s="90"/>
      <c r="S100" s="91"/>
      <c r="T100" s="90"/>
      <c r="U100" s="91"/>
      <c r="V100" s="118"/>
      <c r="W100" s="10"/>
      <c r="X100" s="9"/>
      <c r="Y100" s="9"/>
      <c r="Z100" s="9"/>
      <c r="AA100" s="9"/>
      <c r="AB100" s="9"/>
      <c r="AC100" s="9"/>
      <c r="AD100" s="9"/>
      <c r="AE100" s="9"/>
      <c r="AF100" s="9"/>
      <c r="AG100" s="13"/>
    </row>
    <row r="101" spans="1:33" ht="24.75" hidden="1" customHeight="1">
      <c r="A101" s="9"/>
      <c r="B101" s="456"/>
      <c r="C101" s="433"/>
      <c r="D101" s="433"/>
      <c r="E101" s="440"/>
      <c r="F101" s="441"/>
      <c r="G101" s="442"/>
      <c r="H101" s="445"/>
      <c r="I101" s="445"/>
      <c r="J101" s="445"/>
      <c r="K101" s="445"/>
      <c r="L101" s="89"/>
      <c r="M101" s="90"/>
      <c r="N101" s="90"/>
      <c r="O101" s="90"/>
      <c r="P101" s="90"/>
      <c r="Q101" s="90"/>
      <c r="R101" s="90"/>
      <c r="S101" s="91"/>
      <c r="T101" s="90"/>
      <c r="U101" s="91"/>
      <c r="V101" s="118"/>
      <c r="W101" s="10"/>
      <c r="X101" s="9"/>
      <c r="Y101" s="9"/>
      <c r="Z101" s="9"/>
      <c r="AA101" s="9"/>
      <c r="AB101" s="9"/>
      <c r="AC101" s="9"/>
      <c r="AD101" s="9"/>
      <c r="AE101" s="9"/>
      <c r="AF101" s="9"/>
      <c r="AG101" s="13"/>
    </row>
    <row r="102" spans="1:33" ht="24.75" hidden="1" customHeight="1">
      <c r="A102" s="9"/>
      <c r="B102" s="456"/>
      <c r="C102" s="433"/>
      <c r="D102" s="433"/>
      <c r="E102" s="440"/>
      <c r="F102" s="437"/>
      <c r="G102" s="438"/>
      <c r="H102" s="443"/>
      <c r="I102" s="446"/>
      <c r="J102" s="443"/>
      <c r="K102" s="447"/>
      <c r="L102" s="89"/>
      <c r="M102" s="90"/>
      <c r="N102" s="90"/>
      <c r="O102" s="90"/>
      <c r="P102" s="90"/>
      <c r="Q102" s="90"/>
      <c r="R102" s="90"/>
      <c r="S102" s="91"/>
      <c r="T102" s="90"/>
      <c r="U102" s="91"/>
      <c r="V102" s="118"/>
      <c r="W102" s="10"/>
      <c r="X102" s="9"/>
      <c r="Y102" s="9"/>
      <c r="Z102" s="9"/>
      <c r="AA102" s="9"/>
      <c r="AB102" s="9"/>
      <c r="AC102" s="9"/>
      <c r="AD102" s="9"/>
      <c r="AE102" s="9"/>
      <c r="AF102" s="9"/>
      <c r="AG102" s="13"/>
    </row>
    <row r="103" spans="1:33" ht="24.75" hidden="1" customHeight="1">
      <c r="A103" s="9"/>
      <c r="B103" s="456"/>
      <c r="C103" s="433"/>
      <c r="D103" s="433"/>
      <c r="E103" s="440"/>
      <c r="F103" s="439"/>
      <c r="G103" s="440"/>
      <c r="H103" s="444"/>
      <c r="I103" s="444"/>
      <c r="J103" s="444"/>
      <c r="K103" s="444"/>
      <c r="L103" s="89"/>
      <c r="M103" s="90"/>
      <c r="N103" s="90"/>
      <c r="O103" s="90"/>
      <c r="P103" s="90"/>
      <c r="Q103" s="90"/>
      <c r="R103" s="90"/>
      <c r="S103" s="91"/>
      <c r="T103" s="90"/>
      <c r="U103" s="91"/>
      <c r="V103" s="118"/>
      <c r="W103" s="10"/>
      <c r="X103" s="9"/>
      <c r="Y103" s="9"/>
      <c r="Z103" s="9"/>
      <c r="AA103" s="9"/>
      <c r="AB103" s="9"/>
      <c r="AC103" s="9"/>
      <c r="AD103" s="9"/>
      <c r="AE103" s="9"/>
      <c r="AF103" s="9"/>
      <c r="AG103" s="13"/>
    </row>
    <row r="104" spans="1:33" ht="24.75" hidden="1" customHeight="1">
      <c r="A104" s="9"/>
      <c r="B104" s="605"/>
      <c r="C104" s="603"/>
      <c r="D104" s="603"/>
      <c r="E104" s="442"/>
      <c r="F104" s="441"/>
      <c r="G104" s="442"/>
      <c r="H104" s="445"/>
      <c r="I104" s="445"/>
      <c r="J104" s="445"/>
      <c r="K104" s="445"/>
      <c r="L104" s="92"/>
      <c r="M104" s="88"/>
      <c r="N104" s="88"/>
      <c r="O104" s="88"/>
      <c r="P104" s="88"/>
      <c r="Q104" s="88"/>
      <c r="R104" s="88"/>
      <c r="S104" s="93"/>
      <c r="T104" s="88"/>
      <c r="U104" s="93"/>
      <c r="V104" s="119"/>
      <c r="W104" s="10"/>
      <c r="X104" s="9"/>
      <c r="Y104" s="9"/>
      <c r="Z104" s="9"/>
      <c r="AA104" s="9"/>
      <c r="AB104" s="9"/>
      <c r="AC104" s="9"/>
      <c r="AD104" s="9"/>
      <c r="AE104" s="9"/>
      <c r="AF104" s="9"/>
      <c r="AG104" s="13"/>
    </row>
    <row r="105" spans="1:33" ht="27" customHeight="1">
      <c r="A105" s="9"/>
      <c r="B105" s="496" t="s">
        <v>136</v>
      </c>
      <c r="C105" s="497"/>
      <c r="D105" s="497"/>
      <c r="E105" s="497"/>
      <c r="F105" s="497"/>
      <c r="G105" s="497"/>
      <c r="H105" s="497"/>
      <c r="I105" s="497"/>
      <c r="J105" s="497"/>
      <c r="K105" s="497"/>
      <c r="L105" s="497"/>
      <c r="M105" s="497"/>
      <c r="N105" s="497"/>
      <c r="O105" s="497"/>
      <c r="P105" s="497"/>
      <c r="Q105" s="497"/>
      <c r="R105" s="497"/>
      <c r="S105" s="497"/>
      <c r="T105" s="497"/>
      <c r="U105" s="498"/>
      <c r="V105" s="120" t="e">
        <f>SUM(V78:V86)</f>
        <v>#DIV/0!</v>
      </c>
      <c r="W105" s="10"/>
      <c r="X105" s="9"/>
      <c r="Y105" s="9"/>
      <c r="Z105" s="9"/>
      <c r="AA105" s="9"/>
      <c r="AB105" s="9"/>
      <c r="AC105" s="9"/>
      <c r="AD105" s="9"/>
      <c r="AE105" s="9"/>
      <c r="AF105" s="9"/>
      <c r="AG105" s="13"/>
    </row>
    <row r="106" spans="1:33" ht="15" customHeight="1">
      <c r="A106" s="9"/>
      <c r="B106" s="121"/>
      <c r="C106" s="121"/>
      <c r="D106" s="121"/>
      <c r="E106" s="122"/>
      <c r="F106" s="122"/>
      <c r="G106" s="15"/>
      <c r="H106" s="123"/>
      <c r="I106" s="124"/>
      <c r="J106" s="124"/>
      <c r="K106" s="124"/>
      <c r="L106" s="124"/>
      <c r="M106" s="125"/>
      <c r="N106" s="125"/>
      <c r="O106" s="121"/>
      <c r="P106" s="121"/>
      <c r="Q106" s="121"/>
      <c r="R106" s="121"/>
      <c r="S106" s="121"/>
      <c r="T106" s="126"/>
      <c r="U106" s="126"/>
      <c r="V106" s="126"/>
      <c r="W106" s="10"/>
      <c r="X106" s="9"/>
      <c r="Y106" s="9"/>
      <c r="Z106" s="9"/>
      <c r="AA106" s="9"/>
      <c r="AB106" s="9"/>
      <c r="AC106" s="9"/>
      <c r="AD106" s="9"/>
      <c r="AE106" s="9"/>
      <c r="AF106" s="9"/>
      <c r="AG106" s="11"/>
    </row>
    <row r="107" spans="1:33" ht="18" customHeight="1">
      <c r="A107" s="9"/>
      <c r="B107" s="125"/>
      <c r="C107" s="125"/>
      <c r="D107" s="125"/>
      <c r="E107" s="127"/>
      <c r="F107" s="127"/>
      <c r="G107" s="15"/>
      <c r="H107" s="15"/>
      <c r="I107" s="128"/>
      <c r="J107" s="128"/>
      <c r="K107" s="128"/>
      <c r="L107" s="128"/>
      <c r="M107" s="125"/>
      <c r="N107" s="125"/>
      <c r="O107" s="125"/>
      <c r="P107" s="125"/>
      <c r="Q107" s="125"/>
      <c r="R107" s="125"/>
      <c r="S107" s="125"/>
      <c r="T107" s="11"/>
      <c r="U107" s="10"/>
      <c r="V107" s="10"/>
      <c r="W107" s="10"/>
      <c r="X107" s="9"/>
      <c r="Y107" s="9"/>
      <c r="Z107" s="9"/>
      <c r="AA107" s="9"/>
      <c r="AB107" s="9"/>
      <c r="AC107" s="9"/>
      <c r="AD107" s="9"/>
      <c r="AE107" s="9"/>
      <c r="AF107" s="9"/>
      <c r="AG107" s="11"/>
    </row>
    <row r="108" spans="1:33" ht="16.5" customHeight="1">
      <c r="A108" s="9"/>
      <c r="B108" s="125"/>
      <c r="C108" s="125"/>
      <c r="D108" s="125"/>
      <c r="E108" s="127"/>
      <c r="F108" s="127"/>
      <c r="G108" s="15"/>
      <c r="H108" s="15"/>
      <c r="I108" s="128"/>
      <c r="J108" s="128"/>
      <c r="K108" s="128"/>
      <c r="U108" s="10"/>
      <c r="V108" s="10"/>
      <c r="W108" s="10"/>
      <c r="X108" s="9"/>
      <c r="Y108" s="9"/>
      <c r="Z108" s="9"/>
      <c r="AA108" s="9"/>
      <c r="AB108" s="9"/>
      <c r="AC108" s="9"/>
      <c r="AD108" s="9"/>
      <c r="AE108" s="9"/>
      <c r="AF108" s="9"/>
      <c r="AG108" s="11"/>
    </row>
    <row r="109" spans="1:33" ht="15.75" customHeight="1">
      <c r="A109" s="9"/>
      <c r="B109" s="125"/>
      <c r="C109" s="125"/>
      <c r="D109" s="125"/>
      <c r="E109" s="127"/>
      <c r="F109" s="127"/>
      <c r="G109" s="15"/>
      <c r="H109" s="125"/>
      <c r="I109" s="128"/>
      <c r="J109" s="128"/>
      <c r="K109" s="128"/>
      <c r="U109" s="10"/>
      <c r="V109" s="10"/>
      <c r="W109" s="10"/>
      <c r="X109" s="9"/>
      <c r="Y109" s="9"/>
      <c r="Z109" s="9"/>
      <c r="AA109" s="9"/>
      <c r="AB109" s="9"/>
      <c r="AC109" s="9"/>
      <c r="AD109" s="9"/>
      <c r="AE109" s="9"/>
      <c r="AF109" s="9"/>
      <c r="AG109" s="11"/>
    </row>
    <row r="110" spans="1:33" ht="13.5" customHeight="1">
      <c r="A110" s="9"/>
      <c r="B110" s="125"/>
      <c r="C110" s="125"/>
      <c r="D110" s="601"/>
      <c r="E110" s="602"/>
      <c r="F110" s="438"/>
      <c r="G110" s="125"/>
      <c r="H110" s="125"/>
      <c r="I110" s="609"/>
      <c r="J110" s="602"/>
      <c r="K110" s="602"/>
      <c r="L110" s="438"/>
      <c r="N110" s="609"/>
      <c r="O110" s="438"/>
      <c r="P110" s="129"/>
      <c r="U110" s="10"/>
      <c r="V110" s="10"/>
      <c r="W110" s="10"/>
      <c r="X110" s="9"/>
      <c r="Y110" s="9"/>
      <c r="Z110" s="9"/>
      <c r="AA110" s="9"/>
      <c r="AB110" s="9"/>
      <c r="AC110" s="9"/>
      <c r="AD110" s="9"/>
      <c r="AE110" s="9"/>
      <c r="AF110" s="9"/>
      <c r="AG110" s="11"/>
    </row>
    <row r="111" spans="1:33" ht="13.5" customHeight="1">
      <c r="A111" s="9"/>
      <c r="B111" s="125"/>
      <c r="C111" s="125"/>
      <c r="D111" s="441"/>
      <c r="E111" s="603"/>
      <c r="F111" s="442"/>
      <c r="G111" s="125"/>
      <c r="H111" s="125"/>
      <c r="I111" s="441"/>
      <c r="J111" s="603"/>
      <c r="K111" s="603"/>
      <c r="L111" s="442"/>
      <c r="N111" s="441"/>
      <c r="O111" s="442"/>
      <c r="P111" s="129"/>
      <c r="U111" s="10"/>
      <c r="V111" s="10"/>
      <c r="W111" s="10"/>
      <c r="X111" s="9"/>
      <c r="Y111" s="9"/>
      <c r="Z111" s="9"/>
      <c r="AA111" s="9"/>
      <c r="AB111" s="9"/>
      <c r="AC111" s="9"/>
      <c r="AD111" s="9"/>
      <c r="AE111" s="9"/>
      <c r="AF111" s="9"/>
      <c r="AG111" s="11"/>
    </row>
    <row r="112" spans="1:33" ht="13.5" customHeight="1">
      <c r="A112" s="9"/>
      <c r="B112" s="125"/>
      <c r="C112" s="125"/>
      <c r="D112" s="604" t="s">
        <v>137</v>
      </c>
      <c r="E112" s="411"/>
      <c r="F112" s="406"/>
      <c r="G112" s="125"/>
      <c r="H112" s="125"/>
      <c r="I112" s="610" t="s">
        <v>138</v>
      </c>
      <c r="J112" s="411"/>
      <c r="K112" s="411"/>
      <c r="L112" s="406"/>
      <c r="M112" s="125"/>
      <c r="N112" s="610" t="s">
        <v>139</v>
      </c>
      <c r="O112" s="406"/>
      <c r="P112" s="129"/>
      <c r="R112" s="125"/>
      <c r="S112" s="125"/>
      <c r="T112" s="125"/>
      <c r="U112" s="10"/>
      <c r="V112" s="10"/>
      <c r="W112" s="10"/>
      <c r="X112" s="9"/>
      <c r="Y112" s="9"/>
      <c r="Z112" s="9"/>
      <c r="AA112" s="9"/>
      <c r="AB112" s="9"/>
      <c r="AC112" s="9"/>
      <c r="AD112" s="9"/>
      <c r="AE112" s="9"/>
      <c r="AF112" s="9"/>
      <c r="AG112" s="11"/>
    </row>
    <row r="113" spans="1:33" ht="13.5" customHeight="1">
      <c r="A113" s="9"/>
      <c r="B113" s="125"/>
      <c r="C113" s="125"/>
      <c r="D113" s="130"/>
      <c r="E113" s="125"/>
      <c r="F113" s="125"/>
      <c r="G113" s="125"/>
      <c r="H113" s="125"/>
      <c r="I113" s="125"/>
      <c r="J113" s="125"/>
      <c r="K113" s="125"/>
      <c r="L113" s="125"/>
      <c r="M113" s="125"/>
      <c r="N113" s="125"/>
      <c r="R113" s="125"/>
      <c r="S113" s="125"/>
      <c r="T113" s="125"/>
      <c r="U113" s="125"/>
      <c r="V113" s="125"/>
      <c r="W113" s="10"/>
      <c r="X113" s="9"/>
      <c r="Y113" s="9"/>
      <c r="Z113" s="9"/>
      <c r="AA113" s="9"/>
      <c r="AB113" s="9"/>
      <c r="AC113" s="9"/>
      <c r="AD113" s="9"/>
      <c r="AE113" s="9"/>
      <c r="AF113" s="9"/>
      <c r="AG113" s="11"/>
    </row>
    <row r="114" spans="1:33" ht="13.5" customHeight="1">
      <c r="A114" s="9"/>
      <c r="B114" s="125"/>
      <c r="C114" s="125"/>
      <c r="D114" s="125"/>
      <c r="E114" s="125"/>
      <c r="F114" s="125"/>
      <c r="G114" s="131"/>
      <c r="H114" s="125"/>
      <c r="I114" s="130"/>
      <c r="J114" s="130"/>
      <c r="K114" s="130"/>
      <c r="L114" s="130"/>
      <c r="M114" s="125"/>
      <c r="N114" s="125"/>
      <c r="O114" s="125"/>
      <c r="P114" s="125"/>
      <c r="Q114" s="125"/>
      <c r="R114" s="125"/>
      <c r="S114" s="125"/>
      <c r="T114" s="125"/>
      <c r="U114" s="125"/>
      <c r="V114" s="125"/>
      <c r="W114" s="10"/>
      <c r="X114" s="9"/>
      <c r="Y114" s="9"/>
      <c r="Z114" s="9"/>
      <c r="AA114" s="9"/>
      <c r="AB114" s="9"/>
      <c r="AC114" s="9"/>
      <c r="AD114" s="9"/>
      <c r="AE114" s="9"/>
      <c r="AF114" s="9"/>
      <c r="AG114" s="11"/>
    </row>
    <row r="115" spans="1:33" ht="13.5" customHeight="1">
      <c r="A115" s="9"/>
      <c r="B115" s="125"/>
      <c r="C115" s="125"/>
      <c r="D115" s="125"/>
      <c r="E115" s="125"/>
      <c r="F115" s="125"/>
      <c r="G115" s="131"/>
      <c r="H115" s="125"/>
      <c r="I115" s="130"/>
      <c r="J115" s="130"/>
      <c r="K115" s="130"/>
      <c r="L115" s="130"/>
      <c r="M115" s="125"/>
      <c r="N115" s="125"/>
      <c r="O115" s="125"/>
      <c r="P115" s="125"/>
      <c r="Q115" s="125"/>
      <c r="R115" s="125"/>
      <c r="S115" s="125"/>
      <c r="T115" s="125"/>
      <c r="U115" s="125"/>
      <c r="V115" s="125"/>
      <c r="W115" s="10"/>
      <c r="X115" s="9"/>
      <c r="Y115" s="9"/>
      <c r="Z115" s="9"/>
      <c r="AA115" s="9"/>
      <c r="AB115" s="9"/>
      <c r="AC115" s="9"/>
      <c r="AD115" s="9"/>
      <c r="AE115" s="9"/>
      <c r="AF115" s="9"/>
      <c r="AG115" s="11"/>
    </row>
    <row r="116" spans="1:33" ht="13.5" customHeight="1">
      <c r="A116" s="9"/>
      <c r="B116" s="125"/>
      <c r="C116" s="125"/>
      <c r="D116" s="125"/>
      <c r="E116" s="125"/>
      <c r="F116" s="125"/>
      <c r="G116" s="131"/>
      <c r="H116" s="125"/>
      <c r="I116" s="130"/>
      <c r="J116" s="130"/>
      <c r="K116" s="130"/>
      <c r="L116" s="130"/>
      <c r="M116" s="125"/>
      <c r="N116" s="125"/>
      <c r="O116" s="125"/>
      <c r="P116" s="125"/>
      <c r="Q116" s="125"/>
      <c r="R116" s="125"/>
      <c r="S116" s="125"/>
      <c r="T116" s="125"/>
      <c r="U116" s="125"/>
      <c r="V116" s="125"/>
      <c r="W116" s="10"/>
      <c r="X116" s="9"/>
      <c r="Y116" s="9"/>
      <c r="Z116" s="9"/>
      <c r="AA116" s="9"/>
      <c r="AB116" s="9"/>
      <c r="AC116" s="9"/>
      <c r="AD116" s="9"/>
      <c r="AE116" s="9"/>
      <c r="AF116" s="9"/>
      <c r="AG116" s="11"/>
    </row>
    <row r="117" spans="1:33" ht="13.5" customHeight="1">
      <c r="A117" s="9"/>
      <c r="B117" s="125"/>
      <c r="C117" s="125"/>
      <c r="D117" s="125"/>
      <c r="E117" s="125"/>
      <c r="F117" s="125"/>
      <c r="G117" s="131"/>
      <c r="H117" s="125"/>
      <c r="I117" s="130"/>
      <c r="J117" s="130"/>
      <c r="K117" s="130"/>
      <c r="L117" s="130"/>
      <c r="M117" s="125"/>
      <c r="N117" s="125"/>
      <c r="O117" s="125"/>
      <c r="P117" s="125"/>
      <c r="Q117" s="125"/>
      <c r="R117" s="125"/>
      <c r="S117" s="125"/>
      <c r="T117" s="125"/>
      <c r="U117" s="125"/>
      <c r="V117" s="125"/>
      <c r="W117" s="10"/>
      <c r="X117" s="9"/>
      <c r="Y117" s="9"/>
      <c r="Z117" s="9"/>
      <c r="AA117" s="9"/>
      <c r="AB117" s="9"/>
      <c r="AC117" s="9"/>
      <c r="AD117" s="9"/>
      <c r="AE117" s="9"/>
      <c r="AF117" s="9"/>
      <c r="AG117" s="11"/>
    </row>
    <row r="118" spans="1:33" ht="13.5" customHeight="1">
      <c r="A118" s="9"/>
      <c r="B118" s="125"/>
      <c r="C118" s="125"/>
      <c r="D118" s="125"/>
      <c r="E118" s="125"/>
      <c r="F118" s="125"/>
      <c r="G118" s="131"/>
      <c r="H118" s="125"/>
      <c r="I118" s="130"/>
      <c r="J118" s="130"/>
      <c r="K118" s="130"/>
      <c r="L118" s="130"/>
      <c r="M118" s="125"/>
      <c r="N118" s="125"/>
      <c r="O118" s="125"/>
      <c r="P118" s="125"/>
      <c r="Q118" s="125"/>
      <c r="R118" s="125"/>
      <c r="S118" s="125"/>
      <c r="T118" s="125"/>
      <c r="U118" s="125"/>
      <c r="V118" s="125"/>
      <c r="W118" s="10"/>
      <c r="X118" s="9"/>
      <c r="Y118" s="9"/>
      <c r="Z118" s="9"/>
      <c r="AA118" s="9"/>
      <c r="AB118" s="9"/>
      <c r="AC118" s="9"/>
      <c r="AD118" s="9"/>
      <c r="AE118" s="9"/>
      <c r="AF118" s="9"/>
      <c r="AG118" s="11"/>
    </row>
    <row r="119" spans="1:33" ht="13.5" customHeight="1">
      <c r="A119" s="9"/>
      <c r="B119" s="125"/>
      <c r="C119" s="125"/>
      <c r="D119" s="125"/>
      <c r="E119" s="125"/>
      <c r="F119" s="125"/>
      <c r="G119" s="131"/>
      <c r="H119" s="125"/>
      <c r="I119" s="130"/>
      <c r="J119" s="130"/>
      <c r="K119" s="130"/>
      <c r="L119" s="130"/>
      <c r="M119" s="125"/>
      <c r="N119" s="125"/>
      <c r="O119" s="125"/>
      <c r="P119" s="125"/>
      <c r="Q119" s="125"/>
      <c r="R119" s="125"/>
      <c r="S119" s="125"/>
      <c r="T119" s="125"/>
      <c r="U119" s="125"/>
      <c r="V119" s="125"/>
      <c r="W119" s="10"/>
      <c r="X119" s="9"/>
      <c r="Y119" s="9"/>
      <c r="Z119" s="9"/>
      <c r="AA119" s="9"/>
      <c r="AB119" s="9"/>
      <c r="AC119" s="9"/>
      <c r="AD119" s="9"/>
      <c r="AE119" s="9"/>
      <c r="AF119" s="9"/>
      <c r="AG119" s="11"/>
    </row>
    <row r="120" spans="1:33" ht="13.5" customHeight="1">
      <c r="A120" s="9"/>
      <c r="B120" s="125"/>
      <c r="C120" s="125"/>
      <c r="D120" s="125"/>
      <c r="E120" s="125"/>
      <c r="F120" s="125"/>
      <c r="G120" s="131"/>
      <c r="H120" s="125"/>
      <c r="I120" s="130"/>
      <c r="J120" s="130"/>
      <c r="K120" s="130"/>
      <c r="L120" s="130"/>
      <c r="M120" s="125"/>
      <c r="N120" s="125"/>
      <c r="O120" s="125"/>
      <c r="P120" s="125"/>
      <c r="Q120" s="125"/>
      <c r="R120" s="125"/>
      <c r="S120" s="125"/>
      <c r="T120" s="125"/>
      <c r="U120" s="125"/>
      <c r="V120" s="125"/>
      <c r="W120" s="10"/>
      <c r="X120" s="9"/>
      <c r="Y120" s="9"/>
      <c r="Z120" s="9"/>
      <c r="AA120" s="9"/>
      <c r="AB120" s="9"/>
      <c r="AC120" s="9"/>
      <c r="AD120" s="9"/>
      <c r="AE120" s="9"/>
      <c r="AF120" s="9"/>
      <c r="AG120" s="11"/>
    </row>
    <row r="121" spans="1:33" ht="13.5" customHeight="1">
      <c r="A121" s="9"/>
      <c r="B121" s="125"/>
      <c r="C121" s="125"/>
      <c r="D121" s="125"/>
      <c r="E121" s="125"/>
      <c r="F121" s="125"/>
      <c r="G121" s="131"/>
      <c r="H121" s="125"/>
      <c r="I121" s="130"/>
      <c r="J121" s="130"/>
      <c r="K121" s="130"/>
      <c r="L121" s="130"/>
      <c r="M121" s="125"/>
      <c r="N121" s="125"/>
      <c r="O121" s="125"/>
      <c r="P121" s="125"/>
      <c r="Q121" s="125"/>
      <c r="R121" s="125"/>
      <c r="S121" s="125"/>
      <c r="T121" s="125"/>
      <c r="U121" s="125"/>
      <c r="V121" s="125"/>
      <c r="W121" s="10"/>
      <c r="X121" s="9"/>
      <c r="Y121" s="9"/>
      <c r="Z121" s="9"/>
      <c r="AA121" s="9"/>
      <c r="AB121" s="9"/>
      <c r="AC121" s="9"/>
      <c r="AD121" s="9"/>
      <c r="AE121" s="9"/>
      <c r="AF121" s="9"/>
      <c r="AG121" s="11"/>
    </row>
    <row r="122" spans="1:33" ht="13.5" customHeight="1">
      <c r="A122" s="9"/>
      <c r="B122" s="125"/>
      <c r="C122" s="125"/>
      <c r="D122" s="125"/>
      <c r="E122" s="125"/>
      <c r="F122" s="125"/>
      <c r="G122" s="131"/>
      <c r="H122" s="125"/>
      <c r="I122" s="130"/>
      <c r="J122" s="130"/>
      <c r="K122" s="130"/>
      <c r="L122" s="130"/>
      <c r="M122" s="125"/>
      <c r="N122" s="125"/>
      <c r="O122" s="125"/>
      <c r="P122" s="125"/>
      <c r="Q122" s="125"/>
      <c r="R122" s="125"/>
      <c r="S122" s="125"/>
      <c r="T122" s="125"/>
      <c r="U122" s="125"/>
      <c r="V122" s="125"/>
      <c r="W122" s="10"/>
      <c r="X122" s="9"/>
      <c r="Y122" s="9"/>
      <c r="Z122" s="9"/>
      <c r="AA122" s="9"/>
      <c r="AB122" s="9"/>
      <c r="AC122" s="9"/>
      <c r="AD122" s="9"/>
      <c r="AE122" s="9"/>
      <c r="AF122" s="9"/>
      <c r="AG122" s="11"/>
    </row>
    <row r="123" spans="1:33" ht="13.5" customHeight="1">
      <c r="A123" s="9"/>
      <c r="B123" s="125"/>
      <c r="C123" s="125"/>
      <c r="D123" s="125"/>
      <c r="E123" s="125"/>
      <c r="F123" s="125"/>
      <c r="G123" s="131"/>
      <c r="H123" s="125"/>
      <c r="I123" s="130"/>
      <c r="J123" s="130"/>
      <c r="K123" s="130"/>
      <c r="L123" s="130"/>
      <c r="M123" s="125"/>
      <c r="N123" s="125"/>
      <c r="O123" s="125"/>
      <c r="P123" s="125"/>
      <c r="Q123" s="125"/>
      <c r="R123" s="125"/>
      <c r="S123" s="125"/>
      <c r="T123" s="125"/>
      <c r="U123" s="125"/>
      <c r="V123" s="125"/>
      <c r="W123" s="10"/>
      <c r="X123" s="9"/>
      <c r="Y123" s="9"/>
      <c r="Z123" s="9"/>
      <c r="AA123" s="9"/>
      <c r="AB123" s="9"/>
      <c r="AC123" s="9"/>
      <c r="AD123" s="9"/>
      <c r="AE123" s="9"/>
      <c r="AF123" s="9"/>
      <c r="AG123" s="11"/>
    </row>
    <row r="124" spans="1:33" ht="13.5" customHeight="1">
      <c r="A124" s="9"/>
      <c r="B124" s="125"/>
      <c r="C124" s="125"/>
      <c r="D124" s="125"/>
      <c r="E124" s="125"/>
      <c r="F124" s="125"/>
      <c r="G124" s="131"/>
      <c r="H124" s="125"/>
      <c r="I124" s="130"/>
      <c r="J124" s="130"/>
      <c r="K124" s="130"/>
      <c r="L124" s="130"/>
      <c r="M124" s="125"/>
      <c r="N124" s="125"/>
      <c r="O124" s="125"/>
      <c r="P124" s="125"/>
      <c r="Q124" s="125"/>
      <c r="R124" s="125"/>
      <c r="S124" s="125"/>
      <c r="T124" s="125"/>
      <c r="U124" s="125"/>
      <c r="V124" s="125"/>
      <c r="W124" s="10"/>
      <c r="X124" s="9"/>
      <c r="Y124" s="9"/>
      <c r="Z124" s="9"/>
      <c r="AA124" s="9"/>
      <c r="AB124" s="9"/>
      <c r="AC124" s="9"/>
      <c r="AD124" s="9"/>
      <c r="AE124" s="9"/>
      <c r="AF124" s="9"/>
      <c r="AG124" s="11"/>
    </row>
    <row r="125" spans="1:33" ht="13.5" customHeight="1">
      <c r="A125" s="9"/>
      <c r="B125" s="125"/>
      <c r="C125" s="125"/>
      <c r="D125" s="125"/>
      <c r="E125" s="125"/>
      <c r="F125" s="125"/>
      <c r="G125" s="131"/>
      <c r="H125" s="125"/>
      <c r="I125" s="130"/>
      <c r="J125" s="130"/>
      <c r="K125" s="130"/>
      <c r="L125" s="130"/>
      <c r="M125" s="125"/>
      <c r="N125" s="125"/>
      <c r="O125" s="125"/>
      <c r="P125" s="125"/>
      <c r="Q125" s="125"/>
      <c r="R125" s="125"/>
      <c r="S125" s="125"/>
      <c r="T125" s="125"/>
      <c r="U125" s="125"/>
      <c r="V125" s="125"/>
      <c r="W125" s="10"/>
      <c r="X125" s="9"/>
      <c r="Y125" s="9"/>
      <c r="Z125" s="9"/>
      <c r="AA125" s="9"/>
      <c r="AB125" s="9"/>
      <c r="AC125" s="9"/>
      <c r="AD125" s="9"/>
      <c r="AE125" s="9"/>
      <c r="AF125" s="9"/>
      <c r="AG125" s="11"/>
    </row>
    <row r="126" spans="1:33" ht="13.5" customHeight="1">
      <c r="A126" s="9"/>
      <c r="B126" s="125"/>
      <c r="C126" s="125"/>
      <c r="D126" s="125"/>
      <c r="E126" s="125"/>
      <c r="F126" s="125"/>
      <c r="G126" s="131"/>
      <c r="H126" s="125"/>
      <c r="I126" s="130"/>
      <c r="J126" s="130"/>
      <c r="K126" s="130"/>
      <c r="L126" s="130"/>
      <c r="M126" s="125"/>
      <c r="N126" s="125"/>
      <c r="O126" s="125"/>
      <c r="P126" s="125"/>
      <c r="Q126" s="125"/>
      <c r="R126" s="125"/>
      <c r="S126" s="125"/>
      <c r="T126" s="125"/>
      <c r="U126" s="125"/>
      <c r="V126" s="125"/>
      <c r="W126" s="10"/>
      <c r="X126" s="9"/>
      <c r="Y126" s="9"/>
      <c r="Z126" s="9"/>
      <c r="AA126" s="9"/>
      <c r="AB126" s="9"/>
      <c r="AC126" s="9"/>
      <c r="AD126" s="9"/>
      <c r="AE126" s="9"/>
      <c r="AF126" s="9"/>
      <c r="AG126" s="11"/>
    </row>
    <row r="127" spans="1:33" ht="13.5" customHeight="1">
      <c r="A127" s="9"/>
      <c r="B127" s="125"/>
      <c r="C127" s="125"/>
      <c r="D127" s="125"/>
      <c r="E127" s="125"/>
      <c r="F127" s="125"/>
      <c r="G127" s="131"/>
      <c r="H127" s="125"/>
      <c r="I127" s="130"/>
      <c r="J127" s="130"/>
      <c r="K127" s="130"/>
      <c r="L127" s="130"/>
      <c r="M127" s="125"/>
      <c r="N127" s="125"/>
      <c r="O127" s="125"/>
      <c r="P127" s="125"/>
      <c r="Q127" s="125"/>
      <c r="R127" s="125"/>
      <c r="S127" s="125"/>
      <c r="T127" s="125"/>
      <c r="U127" s="125"/>
      <c r="V127" s="125"/>
      <c r="W127" s="10"/>
      <c r="X127" s="9"/>
      <c r="Y127" s="9"/>
      <c r="Z127" s="9"/>
      <c r="AA127" s="9"/>
      <c r="AB127" s="9"/>
      <c r="AC127" s="9"/>
      <c r="AD127" s="9"/>
      <c r="AE127" s="9"/>
      <c r="AF127" s="9"/>
      <c r="AG127" s="11"/>
    </row>
    <row r="128" spans="1:33" ht="13.5" customHeight="1">
      <c r="A128" s="9"/>
      <c r="B128" s="125"/>
      <c r="C128" s="125"/>
      <c r="D128" s="125"/>
      <c r="E128" s="125"/>
      <c r="F128" s="125"/>
      <c r="G128" s="131"/>
      <c r="H128" s="125"/>
      <c r="I128" s="130"/>
      <c r="J128" s="130"/>
      <c r="K128" s="130"/>
      <c r="L128" s="130"/>
      <c r="M128" s="125"/>
      <c r="N128" s="125"/>
      <c r="O128" s="125"/>
      <c r="P128" s="125"/>
      <c r="Q128" s="125"/>
      <c r="R128" s="125"/>
      <c r="S128" s="125"/>
      <c r="T128" s="125"/>
      <c r="U128" s="125"/>
      <c r="V128" s="125"/>
      <c r="W128" s="10"/>
      <c r="X128" s="9"/>
      <c r="Y128" s="9"/>
      <c r="Z128" s="9"/>
      <c r="AA128" s="9"/>
      <c r="AB128" s="9"/>
      <c r="AC128" s="9"/>
      <c r="AD128" s="9"/>
      <c r="AE128" s="9"/>
      <c r="AF128" s="9"/>
      <c r="AG128" s="11"/>
    </row>
    <row r="129" spans="1:33" ht="13.5" customHeight="1">
      <c r="A129" s="9"/>
      <c r="B129" s="125"/>
      <c r="C129" s="125"/>
      <c r="D129" s="125"/>
      <c r="E129" s="125"/>
      <c r="F129" s="125"/>
      <c r="G129" s="131"/>
      <c r="H129" s="125"/>
      <c r="I129" s="130"/>
      <c r="J129" s="130"/>
      <c r="K129" s="130"/>
      <c r="L129" s="130"/>
      <c r="M129" s="125"/>
      <c r="N129" s="125"/>
      <c r="O129" s="125"/>
      <c r="P129" s="125"/>
      <c r="Q129" s="125"/>
      <c r="R129" s="125"/>
      <c r="S129" s="125"/>
      <c r="T129" s="125"/>
      <c r="U129" s="125"/>
      <c r="V129" s="125"/>
      <c r="W129" s="10"/>
      <c r="X129" s="9"/>
      <c r="Y129" s="9"/>
      <c r="Z129" s="9"/>
      <c r="AA129" s="9"/>
      <c r="AB129" s="9"/>
      <c r="AC129" s="9"/>
      <c r="AD129" s="9"/>
      <c r="AE129" s="9"/>
      <c r="AF129" s="9"/>
      <c r="AG129" s="11"/>
    </row>
    <row r="130" spans="1:33" ht="13.5" customHeight="1">
      <c r="A130" s="9"/>
      <c r="B130" s="125"/>
      <c r="C130" s="125"/>
      <c r="D130" s="125"/>
      <c r="E130" s="125"/>
      <c r="F130" s="125"/>
      <c r="G130" s="131"/>
      <c r="H130" s="125"/>
      <c r="I130" s="130"/>
      <c r="J130" s="130"/>
      <c r="K130" s="130"/>
      <c r="L130" s="130"/>
      <c r="M130" s="125"/>
      <c r="N130" s="125"/>
      <c r="O130" s="125"/>
      <c r="P130" s="125"/>
      <c r="Q130" s="125"/>
      <c r="R130" s="125"/>
      <c r="S130" s="125"/>
      <c r="T130" s="125"/>
      <c r="U130" s="125"/>
      <c r="V130" s="125"/>
      <c r="W130" s="10"/>
      <c r="X130" s="9"/>
      <c r="Y130" s="9"/>
      <c r="Z130" s="9"/>
      <c r="AA130" s="9"/>
      <c r="AB130" s="9"/>
      <c r="AC130" s="9"/>
      <c r="AD130" s="9"/>
      <c r="AE130" s="9"/>
      <c r="AF130" s="9"/>
      <c r="AG130" s="11"/>
    </row>
    <row r="131" spans="1:33" ht="13.5" customHeight="1">
      <c r="A131" s="9"/>
      <c r="B131" s="125"/>
      <c r="C131" s="125"/>
      <c r="D131" s="125"/>
      <c r="E131" s="125"/>
      <c r="F131" s="125"/>
      <c r="G131" s="131"/>
      <c r="H131" s="125"/>
      <c r="I131" s="130"/>
      <c r="J131" s="130"/>
      <c r="K131" s="130"/>
      <c r="L131" s="130"/>
      <c r="M131" s="125"/>
      <c r="N131" s="125"/>
      <c r="O131" s="125"/>
      <c r="P131" s="125"/>
      <c r="Q131" s="125"/>
      <c r="R131" s="125"/>
      <c r="S131" s="125"/>
      <c r="T131" s="125"/>
      <c r="U131" s="125"/>
      <c r="V131" s="125"/>
      <c r="W131" s="10"/>
      <c r="X131" s="9"/>
      <c r="Y131" s="9"/>
      <c r="Z131" s="9"/>
      <c r="AA131" s="9"/>
      <c r="AB131" s="9"/>
      <c r="AC131" s="9"/>
      <c r="AD131" s="9"/>
      <c r="AE131" s="9"/>
      <c r="AF131" s="9"/>
      <c r="AG131" s="11"/>
    </row>
    <row r="132" spans="1:33" ht="13.5" customHeight="1">
      <c r="A132" s="9"/>
      <c r="B132" s="125"/>
      <c r="C132" s="125"/>
      <c r="D132" s="125"/>
      <c r="E132" s="125"/>
      <c r="F132" s="125"/>
      <c r="G132" s="131"/>
      <c r="H132" s="125"/>
      <c r="I132" s="130"/>
      <c r="J132" s="130"/>
      <c r="K132" s="130"/>
      <c r="L132" s="130"/>
      <c r="M132" s="125"/>
      <c r="N132" s="125"/>
      <c r="O132" s="125"/>
      <c r="P132" s="125"/>
      <c r="Q132" s="125"/>
      <c r="R132" s="125"/>
      <c r="S132" s="125"/>
      <c r="T132" s="125"/>
      <c r="U132" s="125"/>
      <c r="V132" s="125"/>
      <c r="W132" s="10"/>
      <c r="X132" s="9"/>
      <c r="Y132" s="9"/>
      <c r="Z132" s="9"/>
      <c r="AA132" s="9"/>
      <c r="AB132" s="9"/>
      <c r="AC132" s="9"/>
      <c r="AD132" s="9"/>
      <c r="AE132" s="9"/>
      <c r="AF132" s="9"/>
      <c r="AG132" s="11"/>
    </row>
    <row r="133" spans="1:33" ht="13.5" customHeight="1">
      <c r="A133" s="9"/>
      <c r="B133" s="125"/>
      <c r="C133" s="125"/>
      <c r="D133" s="125"/>
      <c r="E133" s="125"/>
      <c r="F133" s="125"/>
      <c r="G133" s="131"/>
      <c r="H133" s="125"/>
      <c r="I133" s="130"/>
      <c r="J133" s="130"/>
      <c r="K133" s="130"/>
      <c r="L133" s="130"/>
      <c r="M133" s="125"/>
      <c r="N133" s="125"/>
      <c r="O133" s="125"/>
      <c r="P133" s="125"/>
      <c r="Q133" s="125"/>
      <c r="R133" s="125"/>
      <c r="S133" s="125"/>
      <c r="T133" s="125"/>
      <c r="U133" s="125"/>
      <c r="V133" s="125"/>
      <c r="W133" s="10"/>
      <c r="X133" s="9"/>
      <c r="Y133" s="9"/>
      <c r="Z133" s="9"/>
      <c r="AA133" s="9"/>
      <c r="AB133" s="9"/>
      <c r="AC133" s="9"/>
      <c r="AD133" s="9"/>
      <c r="AE133" s="9"/>
      <c r="AF133" s="9"/>
      <c r="AG133" s="11"/>
    </row>
    <row r="134" spans="1:33" ht="13.5" customHeight="1">
      <c r="A134" s="9"/>
      <c r="B134" s="125"/>
      <c r="C134" s="125"/>
      <c r="D134" s="125"/>
      <c r="E134" s="125"/>
      <c r="F134" s="125"/>
      <c r="G134" s="131"/>
      <c r="H134" s="125"/>
      <c r="I134" s="130"/>
      <c r="J134" s="130"/>
      <c r="K134" s="130"/>
      <c r="L134" s="130"/>
      <c r="M134" s="125"/>
      <c r="N134" s="125"/>
      <c r="O134" s="125"/>
      <c r="P134" s="125"/>
      <c r="Q134" s="125"/>
      <c r="R134" s="125"/>
      <c r="S134" s="125"/>
      <c r="T134" s="125"/>
      <c r="U134" s="125"/>
      <c r="V134" s="125"/>
      <c r="W134" s="10"/>
      <c r="X134" s="9"/>
      <c r="Y134" s="9"/>
      <c r="Z134" s="9"/>
      <c r="AA134" s="9"/>
      <c r="AB134" s="9"/>
      <c r="AC134" s="9"/>
      <c r="AD134" s="9"/>
      <c r="AE134" s="9"/>
      <c r="AF134" s="9"/>
      <c r="AG134" s="11"/>
    </row>
    <row r="135" spans="1:33" ht="13.5" customHeight="1">
      <c r="A135" s="9"/>
      <c r="B135" s="125"/>
      <c r="C135" s="125"/>
      <c r="D135" s="125"/>
      <c r="E135" s="125"/>
      <c r="F135" s="125"/>
      <c r="G135" s="131"/>
      <c r="H135" s="125"/>
      <c r="I135" s="130"/>
      <c r="J135" s="130"/>
      <c r="K135" s="130"/>
      <c r="L135" s="130"/>
      <c r="M135" s="125"/>
      <c r="N135" s="125"/>
      <c r="O135" s="125"/>
      <c r="P135" s="125"/>
      <c r="Q135" s="125"/>
      <c r="R135" s="125"/>
      <c r="S135" s="125"/>
      <c r="T135" s="125"/>
      <c r="U135" s="125"/>
      <c r="V135" s="125"/>
      <c r="W135" s="10"/>
      <c r="X135" s="9"/>
      <c r="Y135" s="9"/>
      <c r="Z135" s="9"/>
      <c r="AA135" s="9"/>
      <c r="AB135" s="9"/>
      <c r="AC135" s="9"/>
      <c r="AD135" s="9"/>
      <c r="AE135" s="9"/>
      <c r="AF135" s="9"/>
      <c r="AG135" s="11"/>
    </row>
    <row r="136" spans="1:33" ht="13.5" customHeight="1">
      <c r="A136" s="9"/>
      <c r="B136" s="125"/>
      <c r="C136" s="125"/>
      <c r="D136" s="125"/>
      <c r="E136" s="125"/>
      <c r="F136" s="125"/>
      <c r="G136" s="131"/>
      <c r="H136" s="125"/>
      <c r="I136" s="130"/>
      <c r="J136" s="130"/>
      <c r="K136" s="130"/>
      <c r="L136" s="130"/>
      <c r="M136" s="125"/>
      <c r="N136" s="125"/>
      <c r="O136" s="125"/>
      <c r="P136" s="125"/>
      <c r="Q136" s="125"/>
      <c r="R136" s="125"/>
      <c r="S136" s="125"/>
      <c r="T136" s="125"/>
      <c r="U136" s="125"/>
      <c r="V136" s="125"/>
      <c r="W136" s="10"/>
      <c r="X136" s="9"/>
      <c r="Y136" s="9"/>
      <c r="Z136" s="9"/>
      <c r="AA136" s="9"/>
      <c r="AB136" s="9"/>
      <c r="AC136" s="9"/>
      <c r="AD136" s="9"/>
      <c r="AE136" s="9"/>
      <c r="AF136" s="9"/>
      <c r="AG136" s="11"/>
    </row>
    <row r="137" spans="1:33" ht="13.5" customHeight="1">
      <c r="A137" s="9"/>
      <c r="B137" s="125"/>
      <c r="C137" s="125"/>
      <c r="D137" s="125"/>
      <c r="E137" s="125"/>
      <c r="F137" s="125"/>
      <c r="G137" s="131"/>
      <c r="H137" s="125"/>
      <c r="I137" s="130"/>
      <c r="J137" s="130"/>
      <c r="K137" s="130"/>
      <c r="L137" s="130"/>
      <c r="M137" s="125"/>
      <c r="N137" s="125"/>
      <c r="O137" s="125"/>
      <c r="P137" s="125"/>
      <c r="Q137" s="125"/>
      <c r="R137" s="125"/>
      <c r="S137" s="125"/>
      <c r="T137" s="125"/>
      <c r="U137" s="125"/>
      <c r="V137" s="125"/>
      <c r="W137" s="10"/>
      <c r="X137" s="9"/>
      <c r="Y137" s="9"/>
      <c r="Z137" s="9"/>
      <c r="AA137" s="9"/>
      <c r="AB137" s="9"/>
      <c r="AC137" s="9"/>
      <c r="AD137" s="9"/>
      <c r="AE137" s="9"/>
      <c r="AF137" s="9"/>
      <c r="AG137" s="11"/>
    </row>
    <row r="138" spans="1:33" ht="13.5" customHeight="1">
      <c r="A138" s="9"/>
      <c r="B138" s="125"/>
      <c r="C138" s="125"/>
      <c r="D138" s="125"/>
      <c r="E138" s="125"/>
      <c r="F138" s="125"/>
      <c r="G138" s="131"/>
      <c r="H138" s="125"/>
      <c r="I138" s="130"/>
      <c r="J138" s="130"/>
      <c r="K138" s="130"/>
      <c r="L138" s="130"/>
      <c r="M138" s="125"/>
      <c r="N138" s="125"/>
      <c r="O138" s="125"/>
      <c r="P138" s="125"/>
      <c r="Q138" s="125"/>
      <c r="R138" s="125"/>
      <c r="S138" s="125"/>
      <c r="T138" s="125"/>
      <c r="U138" s="125"/>
      <c r="V138" s="125"/>
      <c r="W138" s="10"/>
      <c r="X138" s="9"/>
      <c r="Y138" s="9"/>
      <c r="Z138" s="9"/>
      <c r="AA138" s="9"/>
      <c r="AB138" s="9"/>
      <c r="AC138" s="9"/>
      <c r="AD138" s="9"/>
      <c r="AE138" s="9"/>
      <c r="AF138" s="9"/>
      <c r="AG138" s="11"/>
    </row>
    <row r="139" spans="1:33" ht="13.5" customHeight="1">
      <c r="A139" s="9"/>
      <c r="B139" s="125"/>
      <c r="C139" s="125"/>
      <c r="D139" s="125"/>
      <c r="E139" s="125"/>
      <c r="F139" s="125"/>
      <c r="G139" s="131"/>
      <c r="H139" s="125"/>
      <c r="I139" s="130"/>
      <c r="J139" s="130"/>
      <c r="K139" s="130"/>
      <c r="L139" s="130"/>
      <c r="M139" s="125"/>
      <c r="N139" s="125"/>
      <c r="O139" s="125"/>
      <c r="P139" s="125"/>
      <c r="Q139" s="125"/>
      <c r="R139" s="125"/>
      <c r="S139" s="125"/>
      <c r="T139" s="125"/>
      <c r="U139" s="125"/>
      <c r="V139" s="125"/>
      <c r="W139" s="10"/>
      <c r="X139" s="9"/>
      <c r="Y139" s="9"/>
      <c r="Z139" s="9"/>
      <c r="AA139" s="9"/>
      <c r="AB139" s="9"/>
      <c r="AC139" s="9"/>
      <c r="AD139" s="9"/>
      <c r="AE139" s="9"/>
      <c r="AF139" s="9"/>
      <c r="AG139" s="11"/>
    </row>
    <row r="140" spans="1:33" ht="13.5" customHeight="1">
      <c r="A140" s="9"/>
      <c r="B140" s="125"/>
      <c r="C140" s="125"/>
      <c r="D140" s="125"/>
      <c r="E140" s="125"/>
      <c r="F140" s="125"/>
      <c r="G140" s="131"/>
      <c r="H140" s="125"/>
      <c r="I140" s="130"/>
      <c r="J140" s="130"/>
      <c r="K140" s="130"/>
      <c r="L140" s="130"/>
      <c r="M140" s="125"/>
      <c r="N140" s="125"/>
      <c r="O140" s="125"/>
      <c r="P140" s="125"/>
      <c r="Q140" s="125"/>
      <c r="R140" s="125"/>
      <c r="S140" s="125"/>
      <c r="T140" s="125"/>
      <c r="U140" s="125"/>
      <c r="V140" s="125"/>
      <c r="W140" s="10"/>
      <c r="X140" s="9"/>
      <c r="Y140" s="9"/>
      <c r="Z140" s="9"/>
      <c r="AA140" s="9"/>
      <c r="AB140" s="9"/>
      <c r="AC140" s="9"/>
      <c r="AD140" s="9"/>
      <c r="AE140" s="9"/>
      <c r="AF140" s="9"/>
      <c r="AG140" s="11"/>
    </row>
    <row r="141" spans="1:33" ht="13.5" customHeight="1">
      <c r="A141" s="9"/>
      <c r="B141" s="125"/>
      <c r="C141" s="125"/>
      <c r="D141" s="125"/>
      <c r="E141" s="125"/>
      <c r="F141" s="125"/>
      <c r="G141" s="131"/>
      <c r="H141" s="125"/>
      <c r="I141" s="130"/>
      <c r="J141" s="130"/>
      <c r="K141" s="130"/>
      <c r="L141" s="130"/>
      <c r="M141" s="125"/>
      <c r="N141" s="125"/>
      <c r="O141" s="125"/>
      <c r="P141" s="125"/>
      <c r="Q141" s="125"/>
      <c r="R141" s="125"/>
      <c r="S141" s="125"/>
      <c r="T141" s="125"/>
      <c r="U141" s="125"/>
      <c r="V141" s="125"/>
      <c r="W141" s="10"/>
      <c r="X141" s="9"/>
      <c r="Y141" s="9"/>
      <c r="Z141" s="9"/>
      <c r="AA141" s="9"/>
      <c r="AB141" s="9"/>
      <c r="AC141" s="9"/>
      <c r="AD141" s="9"/>
      <c r="AE141" s="9"/>
      <c r="AF141" s="9"/>
      <c r="AG141" s="11"/>
    </row>
    <row r="142" spans="1:33" ht="13.5" customHeight="1">
      <c r="A142" s="9"/>
      <c r="B142" s="125"/>
      <c r="C142" s="125"/>
      <c r="D142" s="125"/>
      <c r="E142" s="125"/>
      <c r="F142" s="125"/>
      <c r="G142" s="131"/>
      <c r="H142" s="125"/>
      <c r="I142" s="130"/>
      <c r="J142" s="130"/>
      <c r="K142" s="130"/>
      <c r="L142" s="130"/>
      <c r="M142" s="125"/>
      <c r="N142" s="125"/>
      <c r="O142" s="125"/>
      <c r="P142" s="125"/>
      <c r="Q142" s="125"/>
      <c r="R142" s="125"/>
      <c r="S142" s="125"/>
      <c r="T142" s="125"/>
      <c r="U142" s="125"/>
      <c r="V142" s="125"/>
      <c r="W142" s="10"/>
      <c r="X142" s="9"/>
      <c r="Y142" s="9"/>
      <c r="Z142" s="9"/>
      <c r="AA142" s="9"/>
      <c r="AB142" s="9"/>
      <c r="AC142" s="9"/>
      <c r="AD142" s="9"/>
      <c r="AE142" s="9"/>
      <c r="AF142" s="9"/>
      <c r="AG142" s="11"/>
    </row>
    <row r="143" spans="1:33" ht="13.5" customHeight="1">
      <c r="A143" s="9"/>
      <c r="B143" s="125"/>
      <c r="C143" s="125"/>
      <c r="D143" s="125"/>
      <c r="E143" s="125"/>
      <c r="F143" s="125"/>
      <c r="G143" s="131"/>
      <c r="H143" s="125"/>
      <c r="I143" s="130"/>
      <c r="J143" s="130"/>
      <c r="K143" s="130"/>
      <c r="L143" s="130"/>
      <c r="M143" s="125"/>
      <c r="N143" s="125"/>
      <c r="O143" s="125"/>
      <c r="P143" s="125"/>
      <c r="Q143" s="125"/>
      <c r="R143" s="125"/>
      <c r="S143" s="125"/>
      <c r="T143" s="125"/>
      <c r="U143" s="125"/>
      <c r="V143" s="125"/>
      <c r="W143" s="10"/>
      <c r="X143" s="9"/>
      <c r="Y143" s="9"/>
      <c r="Z143" s="9"/>
      <c r="AA143" s="9"/>
      <c r="AB143" s="9"/>
      <c r="AC143" s="9"/>
      <c r="AD143" s="9"/>
      <c r="AE143" s="9"/>
      <c r="AF143" s="9"/>
      <c r="AG143" s="11"/>
    </row>
    <row r="144" spans="1:33" ht="13.5" customHeight="1">
      <c r="A144" s="9"/>
      <c r="B144" s="125"/>
      <c r="C144" s="125"/>
      <c r="D144" s="125"/>
      <c r="E144" s="125"/>
      <c r="F144" s="125"/>
      <c r="G144" s="131"/>
      <c r="H144" s="125"/>
      <c r="I144" s="130"/>
      <c r="J144" s="130"/>
      <c r="K144" s="130"/>
      <c r="L144" s="130"/>
      <c r="M144" s="125"/>
      <c r="N144" s="125"/>
      <c r="O144" s="125"/>
      <c r="P144" s="125"/>
      <c r="Q144" s="125"/>
      <c r="R144" s="125"/>
      <c r="S144" s="125"/>
      <c r="T144" s="125"/>
      <c r="U144" s="125"/>
      <c r="V144" s="125"/>
      <c r="W144" s="10"/>
      <c r="X144" s="9"/>
      <c r="Y144" s="9"/>
      <c r="Z144" s="9"/>
      <c r="AA144" s="9"/>
      <c r="AB144" s="9"/>
      <c r="AC144" s="9"/>
      <c r="AD144" s="9"/>
      <c r="AE144" s="9"/>
      <c r="AF144" s="9"/>
      <c r="AG144" s="11"/>
    </row>
    <row r="145" spans="1:33" ht="13.5" customHeight="1">
      <c r="A145" s="9"/>
      <c r="B145" s="125"/>
      <c r="C145" s="125"/>
      <c r="D145" s="125"/>
      <c r="E145" s="125"/>
      <c r="F145" s="125"/>
      <c r="G145" s="131"/>
      <c r="H145" s="125"/>
      <c r="I145" s="130"/>
      <c r="J145" s="130"/>
      <c r="K145" s="130"/>
      <c r="L145" s="130"/>
      <c r="M145" s="125"/>
      <c r="N145" s="125"/>
      <c r="O145" s="125"/>
      <c r="P145" s="125"/>
      <c r="Q145" s="125"/>
      <c r="R145" s="125"/>
      <c r="S145" s="125"/>
      <c r="T145" s="125"/>
      <c r="U145" s="125"/>
      <c r="V145" s="125"/>
      <c r="W145" s="10"/>
      <c r="X145" s="9"/>
      <c r="Y145" s="9"/>
      <c r="Z145" s="9"/>
      <c r="AA145" s="9"/>
      <c r="AB145" s="9"/>
      <c r="AC145" s="9"/>
      <c r="AD145" s="9"/>
      <c r="AE145" s="9"/>
      <c r="AF145" s="9"/>
      <c r="AG145" s="11"/>
    </row>
    <row r="146" spans="1:33" ht="13.5" customHeight="1">
      <c r="A146" s="9"/>
      <c r="B146" s="125"/>
      <c r="C146" s="125"/>
      <c r="D146" s="125"/>
      <c r="E146" s="125"/>
      <c r="F146" s="125"/>
      <c r="G146" s="131"/>
      <c r="H146" s="125"/>
      <c r="I146" s="130"/>
      <c r="J146" s="130"/>
      <c r="K146" s="130"/>
      <c r="L146" s="130"/>
      <c r="M146" s="125"/>
      <c r="N146" s="125"/>
      <c r="O146" s="125"/>
      <c r="P146" s="125"/>
      <c r="Q146" s="125"/>
      <c r="R146" s="125"/>
      <c r="S146" s="125"/>
      <c r="T146" s="125"/>
      <c r="U146" s="125"/>
      <c r="V146" s="125"/>
      <c r="W146" s="10"/>
      <c r="X146" s="9"/>
      <c r="Y146" s="9"/>
      <c r="Z146" s="9"/>
      <c r="AA146" s="9"/>
      <c r="AB146" s="9"/>
      <c r="AC146" s="9"/>
      <c r="AD146" s="9"/>
      <c r="AE146" s="9"/>
      <c r="AF146" s="9"/>
      <c r="AG146" s="11"/>
    </row>
    <row r="147" spans="1:33" ht="13.5" customHeight="1">
      <c r="A147" s="9"/>
      <c r="B147" s="125"/>
      <c r="C147" s="125"/>
      <c r="D147" s="125"/>
      <c r="E147" s="125"/>
      <c r="F147" s="125"/>
      <c r="G147" s="131"/>
      <c r="H147" s="125"/>
      <c r="I147" s="130"/>
      <c r="J147" s="130"/>
      <c r="K147" s="130"/>
      <c r="L147" s="130"/>
      <c r="M147" s="125"/>
      <c r="N147" s="125"/>
      <c r="O147" s="125"/>
      <c r="P147" s="125"/>
      <c r="Q147" s="125"/>
      <c r="R147" s="125"/>
      <c r="S147" s="125"/>
      <c r="T147" s="125"/>
      <c r="U147" s="125"/>
      <c r="V147" s="125"/>
      <c r="W147" s="10"/>
      <c r="X147" s="9"/>
      <c r="Y147" s="9"/>
      <c r="Z147" s="9"/>
      <c r="AA147" s="9"/>
      <c r="AB147" s="9"/>
      <c r="AC147" s="9"/>
      <c r="AD147" s="9"/>
      <c r="AE147" s="9"/>
      <c r="AF147" s="9"/>
      <c r="AG147" s="11"/>
    </row>
    <row r="148" spans="1:33" ht="13.5" customHeight="1">
      <c r="A148" s="9"/>
      <c r="B148" s="125"/>
      <c r="C148" s="125"/>
      <c r="D148" s="125"/>
      <c r="E148" s="125"/>
      <c r="F148" s="125"/>
      <c r="G148" s="131"/>
      <c r="H148" s="125"/>
      <c r="I148" s="130"/>
      <c r="J148" s="130"/>
      <c r="K148" s="130"/>
      <c r="L148" s="130"/>
      <c r="M148" s="125"/>
      <c r="N148" s="125"/>
      <c r="O148" s="125"/>
      <c r="P148" s="125"/>
      <c r="Q148" s="125"/>
      <c r="R148" s="125"/>
      <c r="S148" s="125"/>
      <c r="T148" s="125"/>
      <c r="U148" s="125"/>
      <c r="V148" s="125"/>
      <c r="W148" s="10"/>
      <c r="X148" s="9"/>
      <c r="Y148" s="9"/>
      <c r="Z148" s="9"/>
      <c r="AA148" s="9"/>
      <c r="AB148" s="9"/>
      <c r="AC148" s="9"/>
      <c r="AD148" s="9"/>
      <c r="AE148" s="9"/>
      <c r="AF148" s="9"/>
      <c r="AG148" s="11"/>
    </row>
    <row r="149" spans="1:33" ht="13.5" customHeight="1">
      <c r="A149" s="9"/>
      <c r="B149" s="125"/>
      <c r="C149" s="125"/>
      <c r="D149" s="125"/>
      <c r="E149" s="125"/>
      <c r="F149" s="125"/>
      <c r="G149" s="131"/>
      <c r="H149" s="125"/>
      <c r="I149" s="130"/>
      <c r="J149" s="130"/>
      <c r="K149" s="130"/>
      <c r="L149" s="130"/>
      <c r="M149" s="125"/>
      <c r="N149" s="125"/>
      <c r="O149" s="125"/>
      <c r="P149" s="125"/>
      <c r="Q149" s="125"/>
      <c r="R149" s="125"/>
      <c r="S149" s="125"/>
      <c r="T149" s="125"/>
      <c r="U149" s="125"/>
      <c r="V149" s="125"/>
      <c r="W149" s="10"/>
      <c r="X149" s="9"/>
      <c r="Y149" s="9"/>
      <c r="Z149" s="9"/>
      <c r="AA149" s="9"/>
      <c r="AB149" s="9"/>
      <c r="AC149" s="9"/>
      <c r="AD149" s="9"/>
      <c r="AE149" s="9"/>
      <c r="AF149" s="9"/>
      <c r="AG149" s="11"/>
    </row>
    <row r="150" spans="1:33" ht="13.5" customHeight="1">
      <c r="A150" s="9"/>
      <c r="B150" s="125"/>
      <c r="C150" s="125"/>
      <c r="D150" s="125"/>
      <c r="E150" s="125"/>
      <c r="F150" s="125"/>
      <c r="G150" s="131"/>
      <c r="H150" s="125"/>
      <c r="I150" s="130"/>
      <c r="J150" s="130"/>
      <c r="K150" s="130"/>
      <c r="L150" s="130"/>
      <c r="M150" s="125"/>
      <c r="N150" s="125"/>
      <c r="O150" s="125"/>
      <c r="P150" s="125"/>
      <c r="Q150" s="125"/>
      <c r="R150" s="125"/>
      <c r="S150" s="125"/>
      <c r="T150" s="125"/>
      <c r="U150" s="125"/>
      <c r="V150" s="125"/>
      <c r="W150" s="10"/>
      <c r="X150" s="9"/>
      <c r="Y150" s="9"/>
      <c r="Z150" s="9"/>
      <c r="AA150" s="9"/>
      <c r="AB150" s="9"/>
      <c r="AC150" s="9"/>
      <c r="AD150" s="9"/>
      <c r="AE150" s="9"/>
      <c r="AF150" s="9"/>
      <c r="AG150" s="11"/>
    </row>
    <row r="151" spans="1:33" ht="13.5" customHeight="1">
      <c r="A151" s="9"/>
      <c r="B151" s="125"/>
      <c r="C151" s="125"/>
      <c r="D151" s="125"/>
      <c r="E151" s="125"/>
      <c r="F151" s="125"/>
      <c r="G151" s="131"/>
      <c r="H151" s="125"/>
      <c r="I151" s="130"/>
      <c r="J151" s="130"/>
      <c r="K151" s="130"/>
      <c r="L151" s="130"/>
      <c r="M151" s="125"/>
      <c r="N151" s="125"/>
      <c r="O151" s="125"/>
      <c r="P151" s="125"/>
      <c r="Q151" s="125"/>
      <c r="R151" s="125"/>
      <c r="S151" s="125"/>
      <c r="T151" s="125"/>
      <c r="U151" s="125"/>
      <c r="V151" s="125"/>
      <c r="W151" s="10"/>
      <c r="X151" s="9"/>
      <c r="Y151" s="9"/>
      <c r="Z151" s="9"/>
      <c r="AA151" s="9"/>
      <c r="AB151" s="9"/>
      <c r="AC151" s="9"/>
      <c r="AD151" s="9"/>
      <c r="AE151" s="9"/>
      <c r="AF151" s="9"/>
      <c r="AG151" s="11"/>
    </row>
    <row r="152" spans="1:33" ht="13.5" customHeight="1">
      <c r="A152" s="9"/>
      <c r="B152" s="125"/>
      <c r="C152" s="125"/>
      <c r="D152" s="125"/>
      <c r="E152" s="125"/>
      <c r="F152" s="125"/>
      <c r="G152" s="131"/>
      <c r="H152" s="125"/>
      <c r="I152" s="130"/>
      <c r="J152" s="130"/>
      <c r="K152" s="130"/>
      <c r="L152" s="130"/>
      <c r="M152" s="125"/>
      <c r="N152" s="125"/>
      <c r="O152" s="125"/>
      <c r="P152" s="125"/>
      <c r="Q152" s="125"/>
      <c r="R152" s="125"/>
      <c r="S152" s="125"/>
      <c r="T152" s="125"/>
      <c r="U152" s="125"/>
      <c r="V152" s="125"/>
      <c r="W152" s="10"/>
      <c r="X152" s="9"/>
      <c r="Y152" s="9"/>
      <c r="Z152" s="9"/>
      <c r="AA152" s="9"/>
      <c r="AB152" s="9"/>
      <c r="AC152" s="9"/>
      <c r="AD152" s="9"/>
      <c r="AE152" s="9"/>
      <c r="AF152" s="9"/>
      <c r="AG152" s="11"/>
    </row>
    <row r="153" spans="1:33" ht="13.5" customHeight="1">
      <c r="A153" s="9"/>
      <c r="B153" s="125"/>
      <c r="C153" s="125"/>
      <c r="D153" s="125"/>
      <c r="E153" s="125"/>
      <c r="F153" s="125"/>
      <c r="G153" s="131"/>
      <c r="H153" s="125"/>
      <c r="I153" s="130"/>
      <c r="J153" s="130"/>
      <c r="K153" s="130"/>
      <c r="L153" s="130"/>
      <c r="M153" s="125"/>
      <c r="N153" s="125"/>
      <c r="O153" s="125"/>
      <c r="P153" s="125"/>
      <c r="Q153" s="125"/>
      <c r="R153" s="125"/>
      <c r="S153" s="125"/>
      <c r="T153" s="125"/>
      <c r="U153" s="125"/>
      <c r="V153" s="125"/>
      <c r="W153" s="10"/>
      <c r="X153" s="9"/>
      <c r="Y153" s="9"/>
      <c r="Z153" s="9"/>
      <c r="AA153" s="9"/>
      <c r="AB153" s="9"/>
      <c r="AC153" s="9"/>
      <c r="AD153" s="9"/>
      <c r="AE153" s="9"/>
      <c r="AF153" s="9"/>
      <c r="AG153" s="11"/>
    </row>
    <row r="154" spans="1:33" ht="13.5" customHeight="1">
      <c r="A154" s="9"/>
      <c r="B154" s="125"/>
      <c r="C154" s="125"/>
      <c r="D154" s="125"/>
      <c r="E154" s="125"/>
      <c r="F154" s="125"/>
      <c r="G154" s="131"/>
      <c r="H154" s="125"/>
      <c r="I154" s="130"/>
      <c r="J154" s="130"/>
      <c r="K154" s="130"/>
      <c r="L154" s="130"/>
      <c r="M154" s="125"/>
      <c r="N154" s="125"/>
      <c r="O154" s="125"/>
      <c r="P154" s="125"/>
      <c r="Q154" s="125"/>
      <c r="R154" s="125"/>
      <c r="S154" s="125"/>
      <c r="T154" s="125"/>
      <c r="U154" s="125"/>
      <c r="V154" s="125"/>
      <c r="W154" s="10"/>
      <c r="X154" s="9"/>
      <c r="Y154" s="9"/>
      <c r="Z154" s="9"/>
      <c r="AA154" s="9"/>
      <c r="AB154" s="9"/>
      <c r="AC154" s="9"/>
      <c r="AD154" s="9"/>
      <c r="AE154" s="9"/>
      <c r="AF154" s="9"/>
      <c r="AG154" s="11"/>
    </row>
    <row r="155" spans="1:33" ht="13.5" customHeight="1">
      <c r="A155" s="9"/>
      <c r="B155" s="125"/>
      <c r="C155" s="125"/>
      <c r="D155" s="125"/>
      <c r="E155" s="125"/>
      <c r="F155" s="125"/>
      <c r="G155" s="131"/>
      <c r="H155" s="125"/>
      <c r="I155" s="130"/>
      <c r="J155" s="130"/>
      <c r="K155" s="130"/>
      <c r="L155" s="130"/>
      <c r="M155" s="125"/>
      <c r="N155" s="125"/>
      <c r="O155" s="125"/>
      <c r="P155" s="125"/>
      <c r="Q155" s="125"/>
      <c r="R155" s="125"/>
      <c r="S155" s="125"/>
      <c r="T155" s="125"/>
      <c r="U155" s="125"/>
      <c r="V155" s="125"/>
      <c r="W155" s="10"/>
      <c r="X155" s="9"/>
      <c r="Y155" s="9"/>
      <c r="Z155" s="9"/>
      <c r="AA155" s="9"/>
      <c r="AB155" s="9"/>
      <c r="AC155" s="9"/>
      <c r="AD155" s="9"/>
      <c r="AE155" s="9"/>
      <c r="AF155" s="9"/>
      <c r="AG155" s="11"/>
    </row>
    <row r="156" spans="1:33" ht="13.5" customHeight="1">
      <c r="A156" s="9"/>
      <c r="B156" s="125"/>
      <c r="C156" s="125"/>
      <c r="D156" s="125"/>
      <c r="E156" s="125"/>
      <c r="F156" s="125"/>
      <c r="G156" s="131"/>
      <c r="H156" s="125"/>
      <c r="I156" s="130"/>
      <c r="J156" s="130"/>
      <c r="K156" s="130"/>
      <c r="L156" s="130"/>
      <c r="M156" s="125"/>
      <c r="N156" s="125"/>
      <c r="O156" s="125"/>
      <c r="P156" s="125"/>
      <c r="Q156" s="125"/>
      <c r="R156" s="125"/>
      <c r="S156" s="125"/>
      <c r="T156" s="125"/>
      <c r="U156" s="125"/>
      <c r="V156" s="125"/>
      <c r="W156" s="10"/>
      <c r="X156" s="9"/>
      <c r="Y156" s="9"/>
      <c r="Z156" s="9"/>
      <c r="AA156" s="9"/>
      <c r="AB156" s="9"/>
      <c r="AC156" s="9"/>
      <c r="AD156" s="9"/>
      <c r="AE156" s="9"/>
      <c r="AF156" s="9"/>
      <c r="AG156" s="11"/>
    </row>
    <row r="157" spans="1:33" ht="13.5" customHeight="1">
      <c r="A157" s="9"/>
      <c r="B157" s="125"/>
      <c r="C157" s="125"/>
      <c r="D157" s="125"/>
      <c r="E157" s="125"/>
      <c r="F157" s="125"/>
      <c r="G157" s="131"/>
      <c r="H157" s="125"/>
      <c r="I157" s="130"/>
      <c r="J157" s="130"/>
      <c r="K157" s="130"/>
      <c r="L157" s="130"/>
      <c r="M157" s="125"/>
      <c r="N157" s="125"/>
      <c r="O157" s="125"/>
      <c r="P157" s="125"/>
      <c r="Q157" s="125"/>
      <c r="R157" s="125"/>
      <c r="S157" s="125"/>
      <c r="T157" s="125"/>
      <c r="U157" s="125"/>
      <c r="V157" s="125"/>
      <c r="W157" s="10"/>
      <c r="X157" s="9"/>
      <c r="Y157" s="9"/>
      <c r="Z157" s="9"/>
      <c r="AA157" s="9"/>
      <c r="AB157" s="9"/>
      <c r="AC157" s="9"/>
      <c r="AD157" s="9"/>
      <c r="AE157" s="9"/>
      <c r="AF157" s="9"/>
      <c r="AG157" s="11"/>
    </row>
    <row r="158" spans="1:33" ht="13.5" customHeight="1">
      <c r="A158" s="9"/>
      <c r="B158" s="125"/>
      <c r="C158" s="125"/>
      <c r="D158" s="125"/>
      <c r="E158" s="125"/>
      <c r="F158" s="125"/>
      <c r="G158" s="131"/>
      <c r="H158" s="125"/>
      <c r="I158" s="130"/>
      <c r="J158" s="130"/>
      <c r="K158" s="130"/>
      <c r="L158" s="130"/>
      <c r="M158" s="125"/>
      <c r="N158" s="125"/>
      <c r="O158" s="125"/>
      <c r="P158" s="125"/>
      <c r="Q158" s="125"/>
      <c r="R158" s="125"/>
      <c r="S158" s="125"/>
      <c r="T158" s="125"/>
      <c r="U158" s="125"/>
      <c r="V158" s="125"/>
      <c r="W158" s="10"/>
      <c r="X158" s="9"/>
      <c r="Y158" s="9"/>
      <c r="Z158" s="9"/>
      <c r="AA158" s="9"/>
      <c r="AB158" s="9"/>
      <c r="AC158" s="9"/>
      <c r="AD158" s="9"/>
      <c r="AE158" s="9"/>
      <c r="AF158" s="9"/>
      <c r="AG158" s="11"/>
    </row>
    <row r="159" spans="1:33" ht="13.5" customHeight="1">
      <c r="A159" s="9"/>
      <c r="B159" s="125"/>
      <c r="C159" s="125"/>
      <c r="D159" s="125"/>
      <c r="E159" s="125"/>
      <c r="F159" s="125"/>
      <c r="G159" s="131"/>
      <c r="H159" s="125"/>
      <c r="I159" s="130"/>
      <c r="J159" s="130"/>
      <c r="K159" s="130"/>
      <c r="L159" s="130"/>
      <c r="M159" s="125"/>
      <c r="N159" s="125"/>
      <c r="O159" s="125"/>
      <c r="P159" s="125"/>
      <c r="Q159" s="125"/>
      <c r="R159" s="125"/>
      <c r="S159" s="125"/>
      <c r="T159" s="125"/>
      <c r="U159" s="125"/>
      <c r="V159" s="125"/>
      <c r="W159" s="10"/>
      <c r="X159" s="9"/>
      <c r="Y159" s="9"/>
      <c r="Z159" s="9"/>
      <c r="AA159" s="9"/>
      <c r="AB159" s="9"/>
      <c r="AC159" s="9"/>
      <c r="AD159" s="9"/>
      <c r="AE159" s="9"/>
      <c r="AF159" s="9"/>
      <c r="AG159" s="11"/>
    </row>
    <row r="160" spans="1:33" ht="13.5" customHeight="1">
      <c r="A160" s="9"/>
      <c r="B160" s="125"/>
      <c r="C160" s="125"/>
      <c r="D160" s="125"/>
      <c r="E160" s="125"/>
      <c r="F160" s="125"/>
      <c r="G160" s="131"/>
      <c r="H160" s="125"/>
      <c r="I160" s="130"/>
      <c r="J160" s="130"/>
      <c r="K160" s="130"/>
      <c r="L160" s="130"/>
      <c r="M160" s="125"/>
      <c r="N160" s="125"/>
      <c r="O160" s="125"/>
      <c r="P160" s="125"/>
      <c r="Q160" s="125"/>
      <c r="R160" s="125"/>
      <c r="S160" s="125"/>
      <c r="T160" s="125"/>
      <c r="U160" s="125"/>
      <c r="V160" s="125"/>
      <c r="W160" s="10"/>
      <c r="X160" s="9"/>
      <c r="Y160" s="9"/>
      <c r="Z160" s="9"/>
      <c r="AA160" s="9"/>
      <c r="AB160" s="9"/>
      <c r="AC160" s="9"/>
      <c r="AD160" s="9"/>
      <c r="AE160" s="9"/>
      <c r="AF160" s="9"/>
      <c r="AG160" s="11"/>
    </row>
    <row r="161" spans="1:33" ht="13.5" customHeight="1">
      <c r="A161" s="9"/>
      <c r="B161" s="125"/>
      <c r="C161" s="125"/>
      <c r="D161" s="125"/>
      <c r="E161" s="125"/>
      <c r="F161" s="125"/>
      <c r="G161" s="131"/>
      <c r="H161" s="125"/>
      <c r="I161" s="130"/>
      <c r="J161" s="130"/>
      <c r="K161" s="130"/>
      <c r="L161" s="130"/>
      <c r="M161" s="125"/>
      <c r="N161" s="125"/>
      <c r="O161" s="125"/>
      <c r="P161" s="125"/>
      <c r="Q161" s="125"/>
      <c r="R161" s="125"/>
      <c r="S161" s="125"/>
      <c r="T161" s="125"/>
      <c r="U161" s="125"/>
      <c r="V161" s="125"/>
      <c r="W161" s="10"/>
      <c r="X161" s="9"/>
      <c r="Y161" s="9"/>
      <c r="Z161" s="9"/>
      <c r="AA161" s="9"/>
      <c r="AB161" s="9"/>
      <c r="AC161" s="9"/>
      <c r="AD161" s="9"/>
      <c r="AE161" s="9"/>
      <c r="AF161" s="9"/>
      <c r="AG161" s="11"/>
    </row>
    <row r="162" spans="1:33" ht="13.5" customHeight="1">
      <c r="A162" s="9"/>
      <c r="B162" s="125"/>
      <c r="C162" s="125"/>
      <c r="D162" s="125"/>
      <c r="E162" s="125"/>
      <c r="F162" s="125"/>
      <c r="G162" s="131"/>
      <c r="H162" s="125"/>
      <c r="I162" s="130"/>
      <c r="J162" s="130"/>
      <c r="K162" s="130"/>
      <c r="L162" s="130"/>
      <c r="M162" s="125"/>
      <c r="N162" s="125"/>
      <c r="O162" s="125"/>
      <c r="P162" s="125"/>
      <c r="Q162" s="125"/>
      <c r="R162" s="125"/>
      <c r="S162" s="125"/>
      <c r="T162" s="125"/>
      <c r="U162" s="125"/>
      <c r="V162" s="125"/>
      <c r="W162" s="10"/>
      <c r="X162" s="9"/>
      <c r="Y162" s="9"/>
      <c r="Z162" s="9"/>
      <c r="AA162" s="9"/>
      <c r="AB162" s="9"/>
      <c r="AC162" s="9"/>
      <c r="AD162" s="9"/>
      <c r="AE162" s="9"/>
      <c r="AF162" s="9"/>
      <c r="AG162" s="11"/>
    </row>
    <row r="163" spans="1:33" ht="13.5" customHeight="1">
      <c r="A163" s="9"/>
      <c r="B163" s="125"/>
      <c r="C163" s="125"/>
      <c r="D163" s="125"/>
      <c r="E163" s="125"/>
      <c r="F163" s="125"/>
      <c r="G163" s="131"/>
      <c r="H163" s="125"/>
      <c r="I163" s="130"/>
      <c r="J163" s="130"/>
      <c r="K163" s="130"/>
      <c r="L163" s="130"/>
      <c r="M163" s="125"/>
      <c r="N163" s="125"/>
      <c r="O163" s="125"/>
      <c r="P163" s="125"/>
      <c r="Q163" s="125"/>
      <c r="R163" s="125"/>
      <c r="S163" s="125"/>
      <c r="T163" s="125"/>
      <c r="U163" s="125"/>
      <c r="V163" s="125"/>
      <c r="W163" s="10"/>
      <c r="X163" s="9"/>
      <c r="Y163" s="9"/>
      <c r="Z163" s="9"/>
      <c r="AA163" s="9"/>
      <c r="AB163" s="9"/>
      <c r="AC163" s="9"/>
      <c r="AD163" s="9"/>
      <c r="AE163" s="9"/>
      <c r="AF163" s="9"/>
      <c r="AG163" s="11"/>
    </row>
    <row r="164" spans="1:33" ht="13.5" customHeight="1">
      <c r="A164" s="9"/>
      <c r="B164" s="125"/>
      <c r="C164" s="125"/>
      <c r="D164" s="125"/>
      <c r="E164" s="125"/>
      <c r="F164" s="125"/>
      <c r="G164" s="131"/>
      <c r="H164" s="125"/>
      <c r="I164" s="130"/>
      <c r="J164" s="130"/>
      <c r="K164" s="130"/>
      <c r="L164" s="130"/>
      <c r="M164" s="125"/>
      <c r="N164" s="125"/>
      <c r="O164" s="125"/>
      <c r="P164" s="125"/>
      <c r="Q164" s="125"/>
      <c r="R164" s="125"/>
      <c r="S164" s="125"/>
      <c r="T164" s="125"/>
      <c r="U164" s="125"/>
      <c r="V164" s="125"/>
      <c r="W164" s="10"/>
      <c r="X164" s="9"/>
      <c r="Y164" s="9"/>
      <c r="Z164" s="9"/>
      <c r="AA164" s="9"/>
      <c r="AB164" s="9"/>
      <c r="AC164" s="9"/>
      <c r="AD164" s="9"/>
      <c r="AE164" s="9"/>
      <c r="AF164" s="9"/>
      <c r="AG164" s="11"/>
    </row>
    <row r="165" spans="1:33" ht="13.5" customHeight="1">
      <c r="A165" s="9"/>
      <c r="B165" s="125"/>
      <c r="C165" s="125"/>
      <c r="D165" s="125"/>
      <c r="E165" s="125"/>
      <c r="F165" s="125"/>
      <c r="G165" s="131"/>
      <c r="H165" s="125"/>
      <c r="I165" s="130"/>
      <c r="J165" s="130"/>
      <c r="K165" s="130"/>
      <c r="L165" s="130"/>
      <c r="M165" s="125"/>
      <c r="N165" s="125"/>
      <c r="O165" s="125"/>
      <c r="P165" s="125"/>
      <c r="Q165" s="125"/>
      <c r="R165" s="125"/>
      <c r="S165" s="125"/>
      <c r="T165" s="125"/>
      <c r="U165" s="125"/>
      <c r="V165" s="125"/>
      <c r="W165" s="10"/>
      <c r="X165" s="9"/>
      <c r="Y165" s="9"/>
      <c r="Z165" s="9"/>
      <c r="AA165" s="9"/>
      <c r="AB165" s="9"/>
      <c r="AC165" s="9"/>
      <c r="AD165" s="9"/>
      <c r="AE165" s="9"/>
      <c r="AF165" s="9"/>
      <c r="AG165" s="11"/>
    </row>
    <row r="166" spans="1:33" ht="13.5" customHeight="1">
      <c r="A166" s="9"/>
      <c r="B166" s="125"/>
      <c r="C166" s="125"/>
      <c r="D166" s="125"/>
      <c r="E166" s="125"/>
      <c r="F166" s="125"/>
      <c r="G166" s="131"/>
      <c r="H166" s="125"/>
      <c r="I166" s="130"/>
      <c r="J166" s="130"/>
      <c r="K166" s="130"/>
      <c r="L166" s="130"/>
      <c r="M166" s="125"/>
      <c r="N166" s="125"/>
      <c r="O166" s="125"/>
      <c r="P166" s="125"/>
      <c r="Q166" s="125"/>
      <c r="R166" s="125"/>
      <c r="S166" s="125"/>
      <c r="T166" s="125"/>
      <c r="U166" s="125"/>
      <c r="V166" s="125"/>
      <c r="W166" s="10"/>
      <c r="X166" s="9"/>
      <c r="Y166" s="9"/>
      <c r="Z166" s="9"/>
      <c r="AA166" s="9"/>
      <c r="AB166" s="9"/>
      <c r="AC166" s="9"/>
      <c r="AD166" s="9"/>
      <c r="AE166" s="9"/>
      <c r="AF166" s="9"/>
      <c r="AG166" s="11"/>
    </row>
    <row r="167" spans="1:33" ht="13.5" customHeight="1">
      <c r="A167" s="9"/>
      <c r="B167" s="125"/>
      <c r="C167" s="125"/>
      <c r="D167" s="125"/>
      <c r="E167" s="125"/>
      <c r="F167" s="125"/>
      <c r="G167" s="131"/>
      <c r="H167" s="125"/>
      <c r="I167" s="130"/>
      <c r="J167" s="130"/>
      <c r="K167" s="130"/>
      <c r="L167" s="130"/>
      <c r="M167" s="125"/>
      <c r="N167" s="125"/>
      <c r="O167" s="125"/>
      <c r="P167" s="125"/>
      <c r="Q167" s="125"/>
      <c r="R167" s="125"/>
      <c r="S167" s="125"/>
      <c r="T167" s="125"/>
      <c r="U167" s="125"/>
      <c r="V167" s="125"/>
      <c r="W167" s="10"/>
      <c r="X167" s="9"/>
      <c r="Y167" s="9"/>
      <c r="Z167" s="9"/>
      <c r="AA167" s="9"/>
      <c r="AB167" s="9"/>
      <c r="AC167" s="9"/>
      <c r="AD167" s="9"/>
      <c r="AE167" s="9"/>
      <c r="AF167" s="9"/>
      <c r="AG167" s="11"/>
    </row>
    <row r="168" spans="1:33" ht="13.5" customHeight="1">
      <c r="A168" s="9"/>
      <c r="B168" s="125"/>
      <c r="C168" s="125"/>
      <c r="D168" s="125"/>
      <c r="E168" s="125"/>
      <c r="F168" s="125"/>
      <c r="G168" s="131"/>
      <c r="H168" s="125"/>
      <c r="I168" s="130"/>
      <c r="J168" s="130"/>
      <c r="K168" s="130"/>
      <c r="L168" s="130"/>
      <c r="M168" s="125"/>
      <c r="N168" s="125"/>
      <c r="O168" s="125"/>
      <c r="P168" s="125"/>
      <c r="Q168" s="125"/>
      <c r="R168" s="125"/>
      <c r="S168" s="125"/>
      <c r="T168" s="125"/>
      <c r="U168" s="125"/>
      <c r="V168" s="125"/>
      <c r="W168" s="10"/>
      <c r="X168" s="9"/>
      <c r="Y168" s="9"/>
      <c r="Z168" s="9"/>
      <c r="AA168" s="9"/>
      <c r="AB168" s="9"/>
      <c r="AC168" s="9"/>
      <c r="AD168" s="9"/>
      <c r="AE168" s="9"/>
      <c r="AF168" s="9"/>
      <c r="AG168" s="11"/>
    </row>
    <row r="169" spans="1:33" ht="13.5" customHeight="1">
      <c r="A169" s="9"/>
      <c r="B169" s="125"/>
      <c r="C169" s="125"/>
      <c r="D169" s="125"/>
      <c r="E169" s="125"/>
      <c r="F169" s="125"/>
      <c r="G169" s="131"/>
      <c r="H169" s="125"/>
      <c r="I169" s="130"/>
      <c r="J169" s="130"/>
      <c r="K169" s="130"/>
      <c r="L169" s="130"/>
      <c r="M169" s="125"/>
      <c r="N169" s="125"/>
      <c r="O169" s="125"/>
      <c r="P169" s="125"/>
      <c r="Q169" s="125"/>
      <c r="R169" s="125"/>
      <c r="S169" s="125"/>
      <c r="T169" s="125"/>
      <c r="U169" s="125"/>
      <c r="V169" s="125"/>
      <c r="W169" s="10"/>
      <c r="X169" s="9"/>
      <c r="Y169" s="9"/>
      <c r="Z169" s="9"/>
      <c r="AA169" s="9"/>
      <c r="AB169" s="9"/>
      <c r="AC169" s="9"/>
      <c r="AD169" s="9"/>
      <c r="AE169" s="9"/>
      <c r="AF169" s="9"/>
      <c r="AG169" s="11"/>
    </row>
    <row r="170" spans="1:33" ht="13.5" customHeight="1">
      <c r="A170" s="9"/>
      <c r="B170" s="125"/>
      <c r="C170" s="125"/>
      <c r="D170" s="125"/>
      <c r="E170" s="125"/>
      <c r="F170" s="125"/>
      <c r="G170" s="131"/>
      <c r="H170" s="125"/>
      <c r="I170" s="130"/>
      <c r="J170" s="130"/>
      <c r="K170" s="130"/>
      <c r="L170" s="130"/>
      <c r="M170" s="125"/>
      <c r="N170" s="125"/>
      <c r="O170" s="125"/>
      <c r="P170" s="125"/>
      <c r="Q170" s="125"/>
      <c r="R170" s="125"/>
      <c r="S170" s="125"/>
      <c r="T170" s="125"/>
      <c r="U170" s="125"/>
      <c r="V170" s="125"/>
      <c r="W170" s="10"/>
      <c r="X170" s="9"/>
      <c r="Y170" s="9"/>
      <c r="Z170" s="9"/>
      <c r="AA170" s="9"/>
      <c r="AB170" s="9"/>
      <c r="AC170" s="9"/>
      <c r="AD170" s="9"/>
      <c r="AE170" s="9"/>
      <c r="AF170" s="9"/>
      <c r="AG170" s="11"/>
    </row>
    <row r="171" spans="1:33" ht="13.5" customHeight="1">
      <c r="A171" s="9"/>
      <c r="B171" s="125"/>
      <c r="C171" s="125"/>
      <c r="D171" s="125"/>
      <c r="E171" s="125"/>
      <c r="F171" s="125"/>
      <c r="G171" s="131"/>
      <c r="H171" s="125"/>
      <c r="I171" s="130"/>
      <c r="J171" s="130"/>
      <c r="K171" s="130"/>
      <c r="L171" s="130"/>
      <c r="M171" s="125"/>
      <c r="N171" s="125"/>
      <c r="O171" s="125"/>
      <c r="P171" s="125"/>
      <c r="Q171" s="125"/>
      <c r="R171" s="125"/>
      <c r="S171" s="125"/>
      <c r="T171" s="125"/>
      <c r="U171" s="125"/>
      <c r="V171" s="125"/>
      <c r="W171" s="10"/>
      <c r="X171" s="9"/>
      <c r="Y171" s="9"/>
      <c r="Z171" s="9"/>
      <c r="AA171" s="9"/>
      <c r="AB171" s="9"/>
      <c r="AC171" s="9"/>
      <c r="AD171" s="9"/>
      <c r="AE171" s="9"/>
      <c r="AF171" s="9"/>
      <c r="AG171" s="11"/>
    </row>
    <row r="172" spans="1:33" ht="13.5" customHeight="1">
      <c r="A172" s="9"/>
      <c r="B172" s="125"/>
      <c r="C172" s="125"/>
      <c r="D172" s="125"/>
      <c r="E172" s="125"/>
      <c r="F172" s="125"/>
      <c r="G172" s="131"/>
      <c r="H172" s="125"/>
      <c r="I172" s="130"/>
      <c r="J172" s="130"/>
      <c r="K172" s="130"/>
      <c r="L172" s="130"/>
      <c r="M172" s="125"/>
      <c r="N172" s="125"/>
      <c r="O172" s="125"/>
      <c r="P172" s="125"/>
      <c r="Q172" s="125"/>
      <c r="R172" s="125"/>
      <c r="S172" s="125"/>
      <c r="T172" s="125"/>
      <c r="U172" s="125"/>
      <c r="V172" s="125"/>
      <c r="W172" s="10"/>
      <c r="X172" s="9"/>
      <c r="Y172" s="9"/>
      <c r="Z172" s="9"/>
      <c r="AA172" s="9"/>
      <c r="AB172" s="9"/>
      <c r="AC172" s="9"/>
      <c r="AD172" s="9"/>
      <c r="AE172" s="9"/>
      <c r="AF172" s="9"/>
      <c r="AG172" s="11"/>
    </row>
    <row r="173" spans="1:33" ht="13.5" customHeight="1">
      <c r="A173" s="9"/>
      <c r="B173" s="125"/>
      <c r="C173" s="125"/>
      <c r="D173" s="125"/>
      <c r="E173" s="125"/>
      <c r="F173" s="125"/>
      <c r="G173" s="131"/>
      <c r="H173" s="125"/>
      <c r="I173" s="130"/>
      <c r="J173" s="130"/>
      <c r="K173" s="130"/>
      <c r="L173" s="130"/>
      <c r="M173" s="125"/>
      <c r="N173" s="125"/>
      <c r="O173" s="125"/>
      <c r="P173" s="125"/>
      <c r="Q173" s="125"/>
      <c r="R173" s="125"/>
      <c r="S173" s="125"/>
      <c r="T173" s="125"/>
      <c r="U173" s="125"/>
      <c r="V173" s="125"/>
      <c r="W173" s="10"/>
      <c r="X173" s="9"/>
      <c r="Y173" s="9"/>
      <c r="Z173" s="9"/>
      <c r="AA173" s="9"/>
      <c r="AB173" s="9"/>
      <c r="AC173" s="9"/>
      <c r="AD173" s="9"/>
      <c r="AE173" s="9"/>
      <c r="AF173" s="9"/>
      <c r="AG173" s="11"/>
    </row>
    <row r="174" spans="1:33" ht="13.5" customHeight="1">
      <c r="A174" s="9"/>
      <c r="B174" s="125"/>
      <c r="C174" s="125"/>
      <c r="D174" s="125"/>
      <c r="E174" s="125"/>
      <c r="F174" s="125"/>
      <c r="G174" s="131"/>
      <c r="H174" s="125"/>
      <c r="I174" s="130"/>
      <c r="J174" s="130"/>
      <c r="K174" s="130"/>
      <c r="L174" s="130"/>
      <c r="M174" s="125"/>
      <c r="N174" s="125"/>
      <c r="O174" s="125"/>
      <c r="P174" s="125"/>
      <c r="Q174" s="125"/>
      <c r="R174" s="125"/>
      <c r="S174" s="125"/>
      <c r="T174" s="125"/>
      <c r="U174" s="125"/>
      <c r="V174" s="125"/>
      <c r="W174" s="10"/>
      <c r="X174" s="9"/>
      <c r="Y174" s="9"/>
      <c r="Z174" s="9"/>
      <c r="AA174" s="9"/>
      <c r="AB174" s="9"/>
      <c r="AC174" s="9"/>
      <c r="AD174" s="9"/>
      <c r="AE174" s="9"/>
      <c r="AF174" s="9"/>
      <c r="AG174" s="11"/>
    </row>
    <row r="175" spans="1:33" ht="13.5" customHeight="1">
      <c r="A175" s="9"/>
      <c r="B175" s="125"/>
      <c r="C175" s="125"/>
      <c r="D175" s="125"/>
      <c r="E175" s="125"/>
      <c r="F175" s="125"/>
      <c r="G175" s="131"/>
      <c r="H175" s="125"/>
      <c r="I175" s="130"/>
      <c r="J175" s="130"/>
      <c r="K175" s="130"/>
      <c r="L175" s="130"/>
      <c r="M175" s="125"/>
      <c r="N175" s="125"/>
      <c r="O175" s="125"/>
      <c r="P175" s="125"/>
      <c r="Q175" s="125"/>
      <c r="R175" s="125"/>
      <c r="S175" s="125"/>
      <c r="T175" s="125"/>
      <c r="U175" s="125"/>
      <c r="V175" s="125"/>
      <c r="W175" s="10"/>
      <c r="X175" s="9"/>
      <c r="Y175" s="9"/>
      <c r="Z175" s="9"/>
      <c r="AA175" s="9"/>
      <c r="AB175" s="9"/>
      <c r="AC175" s="9"/>
      <c r="AD175" s="9"/>
      <c r="AE175" s="9"/>
      <c r="AF175" s="9"/>
      <c r="AG175" s="11"/>
    </row>
    <row r="176" spans="1:33" ht="13.5" customHeight="1">
      <c r="A176" s="9"/>
      <c r="B176" s="125"/>
      <c r="C176" s="125"/>
      <c r="D176" s="125"/>
      <c r="E176" s="125"/>
      <c r="F176" s="125"/>
      <c r="G176" s="131"/>
      <c r="H176" s="125"/>
      <c r="I176" s="130"/>
      <c r="J176" s="130"/>
      <c r="K176" s="130"/>
      <c r="L176" s="130"/>
      <c r="M176" s="125"/>
      <c r="N176" s="125"/>
      <c r="O176" s="125"/>
      <c r="P176" s="125"/>
      <c r="Q176" s="125"/>
      <c r="R176" s="125"/>
      <c r="S176" s="125"/>
      <c r="T176" s="125"/>
      <c r="U176" s="125"/>
      <c r="V176" s="125"/>
      <c r="W176" s="10"/>
      <c r="X176" s="9"/>
      <c r="Y176" s="9"/>
      <c r="Z176" s="9"/>
      <c r="AA176" s="9"/>
      <c r="AB176" s="9"/>
      <c r="AC176" s="9"/>
      <c r="AD176" s="9"/>
      <c r="AE176" s="9"/>
      <c r="AF176" s="9"/>
      <c r="AG176" s="11"/>
    </row>
    <row r="177" spans="1:33" ht="13.5" customHeight="1">
      <c r="A177" s="9"/>
      <c r="B177" s="125"/>
      <c r="C177" s="125"/>
      <c r="D177" s="125"/>
      <c r="E177" s="125"/>
      <c r="F177" s="125"/>
      <c r="G177" s="131"/>
      <c r="H177" s="125"/>
      <c r="I177" s="130"/>
      <c r="J177" s="130"/>
      <c r="K177" s="130"/>
      <c r="L177" s="130"/>
      <c r="M177" s="125"/>
      <c r="N177" s="125"/>
      <c r="O177" s="125"/>
      <c r="P177" s="125"/>
      <c r="Q177" s="125"/>
      <c r="R177" s="125"/>
      <c r="S177" s="125"/>
      <c r="T177" s="125"/>
      <c r="U177" s="125"/>
      <c r="V177" s="125"/>
      <c r="W177" s="10"/>
      <c r="X177" s="9"/>
      <c r="Y177" s="9"/>
      <c r="Z177" s="9"/>
      <c r="AA177" s="9"/>
      <c r="AB177" s="9"/>
      <c r="AC177" s="9"/>
      <c r="AD177" s="9"/>
      <c r="AE177" s="9"/>
      <c r="AF177" s="9"/>
      <c r="AG177" s="11"/>
    </row>
    <row r="178" spans="1:33" ht="13.5" customHeight="1">
      <c r="A178" s="9"/>
      <c r="B178" s="125"/>
      <c r="C178" s="125"/>
      <c r="D178" s="125"/>
      <c r="E178" s="125"/>
      <c r="F178" s="125"/>
      <c r="G178" s="131"/>
      <c r="H178" s="125"/>
      <c r="I178" s="130"/>
      <c r="J178" s="130"/>
      <c r="K178" s="130"/>
      <c r="L178" s="130"/>
      <c r="M178" s="125"/>
      <c r="N178" s="125"/>
      <c r="O178" s="125"/>
      <c r="P178" s="125"/>
      <c r="Q178" s="125"/>
      <c r="R178" s="125"/>
      <c r="S178" s="125"/>
      <c r="T178" s="125"/>
      <c r="U178" s="125"/>
      <c r="V178" s="125"/>
      <c r="W178" s="10"/>
      <c r="X178" s="9"/>
      <c r="Y178" s="9"/>
      <c r="Z178" s="9"/>
      <c r="AA178" s="9"/>
      <c r="AB178" s="9"/>
      <c r="AC178" s="9"/>
      <c r="AD178" s="9"/>
      <c r="AE178" s="9"/>
      <c r="AF178" s="9"/>
      <c r="AG178" s="11"/>
    </row>
    <row r="179" spans="1:33" ht="13.5" customHeight="1">
      <c r="A179" s="9"/>
      <c r="B179" s="125"/>
      <c r="C179" s="125"/>
      <c r="D179" s="125"/>
      <c r="E179" s="125"/>
      <c r="F179" s="125"/>
      <c r="G179" s="131"/>
      <c r="H179" s="125"/>
      <c r="I179" s="130"/>
      <c r="J179" s="130"/>
      <c r="K179" s="130"/>
      <c r="L179" s="130"/>
      <c r="M179" s="125"/>
      <c r="N179" s="125"/>
      <c r="O179" s="125"/>
      <c r="P179" s="125"/>
      <c r="Q179" s="125"/>
      <c r="R179" s="125"/>
      <c r="S179" s="125"/>
      <c r="T179" s="125"/>
      <c r="U179" s="125"/>
      <c r="V179" s="125"/>
      <c r="W179" s="10"/>
      <c r="X179" s="9"/>
      <c r="Y179" s="9"/>
      <c r="Z179" s="9"/>
      <c r="AA179" s="9"/>
      <c r="AB179" s="9"/>
      <c r="AC179" s="9"/>
      <c r="AD179" s="9"/>
      <c r="AE179" s="9"/>
      <c r="AF179" s="9"/>
      <c r="AG179" s="11"/>
    </row>
    <row r="180" spans="1:33" ht="13.5" customHeight="1">
      <c r="A180" s="9"/>
      <c r="B180" s="125"/>
      <c r="C180" s="125"/>
      <c r="D180" s="125"/>
      <c r="E180" s="125"/>
      <c r="F180" s="125"/>
      <c r="G180" s="131"/>
      <c r="H180" s="125"/>
      <c r="I180" s="130"/>
      <c r="J180" s="130"/>
      <c r="K180" s="130"/>
      <c r="L180" s="130"/>
      <c r="M180" s="125"/>
      <c r="N180" s="125"/>
      <c r="O180" s="125"/>
      <c r="P180" s="125"/>
      <c r="Q180" s="125"/>
      <c r="R180" s="125"/>
      <c r="S180" s="125"/>
      <c r="T180" s="125"/>
      <c r="U180" s="125"/>
      <c r="V180" s="125"/>
      <c r="W180" s="10"/>
      <c r="X180" s="9"/>
      <c r="Y180" s="9"/>
      <c r="Z180" s="9"/>
      <c r="AA180" s="9"/>
      <c r="AB180" s="9"/>
      <c r="AC180" s="9"/>
      <c r="AD180" s="9"/>
      <c r="AE180" s="9"/>
      <c r="AF180" s="9"/>
      <c r="AG180" s="11"/>
    </row>
    <row r="181" spans="1:33" ht="13.5" customHeight="1">
      <c r="A181" s="9"/>
      <c r="B181" s="125"/>
      <c r="C181" s="125"/>
      <c r="D181" s="125"/>
      <c r="E181" s="125"/>
      <c r="F181" s="125"/>
      <c r="G181" s="131"/>
      <c r="H181" s="125"/>
      <c r="I181" s="130"/>
      <c r="J181" s="130"/>
      <c r="K181" s="130"/>
      <c r="L181" s="130"/>
      <c r="M181" s="125"/>
      <c r="N181" s="125"/>
      <c r="O181" s="125"/>
      <c r="P181" s="125"/>
      <c r="Q181" s="125"/>
      <c r="R181" s="125"/>
      <c r="S181" s="125"/>
      <c r="T181" s="125"/>
      <c r="U181" s="125"/>
      <c r="V181" s="125"/>
      <c r="W181" s="10"/>
      <c r="X181" s="9"/>
      <c r="Y181" s="9"/>
      <c r="Z181" s="9"/>
      <c r="AA181" s="9"/>
      <c r="AB181" s="9"/>
      <c r="AC181" s="9"/>
      <c r="AD181" s="9"/>
      <c r="AE181" s="9"/>
      <c r="AF181" s="9"/>
      <c r="AG181" s="11"/>
    </row>
    <row r="182" spans="1:33" ht="13.5" customHeight="1">
      <c r="A182" s="9"/>
      <c r="B182" s="125"/>
      <c r="C182" s="125"/>
      <c r="D182" s="125"/>
      <c r="E182" s="125"/>
      <c r="F182" s="125"/>
      <c r="G182" s="131"/>
      <c r="H182" s="125"/>
      <c r="I182" s="130"/>
      <c r="J182" s="130"/>
      <c r="K182" s="130"/>
      <c r="L182" s="130"/>
      <c r="M182" s="125"/>
      <c r="N182" s="125"/>
      <c r="O182" s="125"/>
      <c r="P182" s="125"/>
      <c r="Q182" s="125"/>
      <c r="R182" s="125"/>
      <c r="S182" s="125"/>
      <c r="T182" s="125"/>
      <c r="U182" s="125"/>
      <c r="V182" s="125"/>
      <c r="W182" s="10"/>
      <c r="X182" s="9"/>
      <c r="Y182" s="9"/>
      <c r="Z182" s="9"/>
      <c r="AA182" s="9"/>
      <c r="AB182" s="9"/>
      <c r="AC182" s="9"/>
      <c r="AD182" s="9"/>
      <c r="AE182" s="9"/>
      <c r="AF182" s="9"/>
      <c r="AG182" s="11"/>
    </row>
    <row r="183" spans="1:33" ht="13.5" customHeight="1">
      <c r="A183" s="9"/>
      <c r="B183" s="125"/>
      <c r="C183" s="125"/>
      <c r="D183" s="125"/>
      <c r="E183" s="125"/>
      <c r="F183" s="125"/>
      <c r="G183" s="131"/>
      <c r="H183" s="125"/>
      <c r="I183" s="130"/>
      <c r="J183" s="130"/>
      <c r="K183" s="130"/>
      <c r="L183" s="130"/>
      <c r="M183" s="125"/>
      <c r="N183" s="125"/>
      <c r="O183" s="125"/>
      <c r="P183" s="125"/>
      <c r="Q183" s="125"/>
      <c r="R183" s="125"/>
      <c r="S183" s="125"/>
      <c r="T183" s="125"/>
      <c r="U183" s="125"/>
      <c r="V183" s="125"/>
      <c r="W183" s="10"/>
      <c r="X183" s="9"/>
      <c r="Y183" s="9"/>
      <c r="Z183" s="9"/>
      <c r="AA183" s="9"/>
      <c r="AB183" s="9"/>
      <c r="AC183" s="9"/>
      <c r="AD183" s="9"/>
      <c r="AE183" s="9"/>
      <c r="AF183" s="9"/>
      <c r="AG183" s="11"/>
    </row>
    <row r="184" spans="1:33" ht="13.5" customHeight="1">
      <c r="A184" s="9"/>
      <c r="B184" s="125"/>
      <c r="C184" s="125"/>
      <c r="D184" s="125"/>
      <c r="E184" s="125"/>
      <c r="F184" s="125"/>
      <c r="G184" s="131"/>
      <c r="H184" s="125"/>
      <c r="I184" s="130"/>
      <c r="J184" s="130"/>
      <c r="K184" s="130"/>
      <c r="L184" s="130"/>
      <c r="M184" s="125"/>
      <c r="N184" s="125"/>
      <c r="O184" s="125"/>
      <c r="P184" s="125"/>
      <c r="Q184" s="125"/>
      <c r="R184" s="125"/>
      <c r="S184" s="125"/>
      <c r="T184" s="125"/>
      <c r="U184" s="125"/>
      <c r="V184" s="125"/>
      <c r="W184" s="10"/>
      <c r="X184" s="9"/>
      <c r="Y184" s="9"/>
      <c r="Z184" s="9"/>
      <c r="AA184" s="9"/>
      <c r="AB184" s="9"/>
      <c r="AC184" s="9"/>
      <c r="AD184" s="9"/>
      <c r="AE184" s="9"/>
      <c r="AF184" s="9"/>
      <c r="AG184" s="11"/>
    </row>
    <row r="185" spans="1:33" ht="13.5" customHeight="1">
      <c r="A185" s="9"/>
      <c r="B185" s="125"/>
      <c r="C185" s="125"/>
      <c r="D185" s="125"/>
      <c r="E185" s="125"/>
      <c r="F185" s="125"/>
      <c r="G185" s="131"/>
      <c r="H185" s="125"/>
      <c r="I185" s="130"/>
      <c r="J185" s="130"/>
      <c r="K185" s="130"/>
      <c r="L185" s="130"/>
      <c r="M185" s="125"/>
      <c r="N185" s="125"/>
      <c r="O185" s="125"/>
      <c r="P185" s="125"/>
      <c r="Q185" s="125"/>
      <c r="R185" s="125"/>
      <c r="S185" s="125"/>
      <c r="T185" s="125"/>
      <c r="U185" s="125"/>
      <c r="V185" s="125"/>
      <c r="W185" s="10"/>
      <c r="X185" s="9"/>
      <c r="Y185" s="9"/>
      <c r="Z185" s="9"/>
      <c r="AA185" s="9"/>
      <c r="AB185" s="9"/>
      <c r="AC185" s="9"/>
      <c r="AD185" s="9"/>
      <c r="AE185" s="9"/>
      <c r="AF185" s="9"/>
      <c r="AG185" s="11"/>
    </row>
    <row r="186" spans="1:33" ht="13.5" customHeight="1">
      <c r="A186" s="9"/>
      <c r="B186" s="125"/>
      <c r="C186" s="125"/>
      <c r="D186" s="125"/>
      <c r="E186" s="125"/>
      <c r="F186" s="125"/>
      <c r="G186" s="131"/>
      <c r="H186" s="125"/>
      <c r="I186" s="130"/>
      <c r="J186" s="130"/>
      <c r="K186" s="130"/>
      <c r="L186" s="130"/>
      <c r="M186" s="125"/>
      <c r="N186" s="125"/>
      <c r="O186" s="125"/>
      <c r="P186" s="125"/>
      <c r="Q186" s="125"/>
      <c r="R186" s="125"/>
      <c r="S186" s="125"/>
      <c r="T186" s="125"/>
      <c r="U186" s="125"/>
      <c r="V186" s="125"/>
      <c r="W186" s="10"/>
      <c r="X186" s="9"/>
      <c r="Y186" s="9"/>
      <c r="Z186" s="9"/>
      <c r="AA186" s="9"/>
      <c r="AB186" s="9"/>
      <c r="AC186" s="9"/>
      <c r="AD186" s="9"/>
      <c r="AE186" s="9"/>
      <c r="AF186" s="9"/>
      <c r="AG186" s="11"/>
    </row>
    <row r="187" spans="1:33" ht="13.5" customHeight="1">
      <c r="A187" s="9"/>
      <c r="B187" s="125"/>
      <c r="C187" s="125"/>
      <c r="D187" s="125"/>
      <c r="E187" s="125"/>
      <c r="F187" s="125"/>
      <c r="G187" s="131"/>
      <c r="H187" s="125"/>
      <c r="I187" s="130"/>
      <c r="J187" s="130"/>
      <c r="K187" s="130"/>
      <c r="L187" s="130"/>
      <c r="M187" s="125"/>
      <c r="N187" s="125"/>
      <c r="O187" s="125"/>
      <c r="P187" s="125"/>
      <c r="Q187" s="125"/>
      <c r="R187" s="125"/>
      <c r="S187" s="125"/>
      <c r="T187" s="125"/>
      <c r="U187" s="125"/>
      <c r="V187" s="125"/>
      <c r="W187" s="10"/>
      <c r="X187" s="9"/>
      <c r="Y187" s="9"/>
      <c r="Z187" s="9"/>
      <c r="AA187" s="9"/>
      <c r="AB187" s="9"/>
      <c r="AC187" s="9"/>
      <c r="AD187" s="9"/>
      <c r="AE187" s="9"/>
      <c r="AF187" s="9"/>
      <c r="AG187" s="11"/>
    </row>
    <row r="188" spans="1:33" ht="13.5" customHeight="1">
      <c r="A188" s="9"/>
      <c r="B188" s="125"/>
      <c r="C188" s="125"/>
      <c r="D188" s="125"/>
      <c r="E188" s="125"/>
      <c r="F188" s="125"/>
      <c r="G188" s="131"/>
      <c r="H188" s="125"/>
      <c r="I188" s="130"/>
      <c r="J188" s="130"/>
      <c r="K188" s="130"/>
      <c r="L188" s="130"/>
      <c r="M188" s="125"/>
      <c r="N188" s="125"/>
      <c r="O188" s="125"/>
      <c r="P188" s="125"/>
      <c r="Q188" s="125"/>
      <c r="R188" s="125"/>
      <c r="S188" s="125"/>
      <c r="T188" s="125"/>
      <c r="U188" s="125"/>
      <c r="V188" s="125"/>
      <c r="W188" s="10"/>
      <c r="X188" s="9"/>
      <c r="Y188" s="9"/>
      <c r="Z188" s="9"/>
      <c r="AA188" s="9"/>
      <c r="AB188" s="9"/>
      <c r="AC188" s="9"/>
      <c r="AD188" s="9"/>
      <c r="AE188" s="9"/>
      <c r="AF188" s="9"/>
      <c r="AG188" s="11"/>
    </row>
    <row r="189" spans="1:33" ht="13.5" customHeight="1">
      <c r="A189" s="9"/>
      <c r="B189" s="125"/>
      <c r="C189" s="125"/>
      <c r="D189" s="125"/>
      <c r="E189" s="125"/>
      <c r="F189" s="125"/>
      <c r="G189" s="131"/>
      <c r="H189" s="125"/>
      <c r="I189" s="130"/>
      <c r="J189" s="130"/>
      <c r="K189" s="130"/>
      <c r="L189" s="130"/>
      <c r="M189" s="125"/>
      <c r="N189" s="125"/>
      <c r="O189" s="125"/>
      <c r="P189" s="125"/>
      <c r="Q189" s="125"/>
      <c r="R189" s="125"/>
      <c r="S189" s="125"/>
      <c r="T189" s="125"/>
      <c r="U189" s="125"/>
      <c r="V189" s="125"/>
      <c r="W189" s="10"/>
      <c r="X189" s="9"/>
      <c r="Y189" s="9"/>
      <c r="Z189" s="9"/>
      <c r="AA189" s="9"/>
      <c r="AB189" s="9"/>
      <c r="AC189" s="9"/>
      <c r="AD189" s="9"/>
      <c r="AE189" s="9"/>
      <c r="AF189" s="9"/>
      <c r="AG189" s="11"/>
    </row>
    <row r="190" spans="1:33" ht="13.5" customHeight="1">
      <c r="A190" s="9"/>
      <c r="B190" s="125"/>
      <c r="C190" s="125"/>
      <c r="D190" s="125"/>
      <c r="E190" s="125"/>
      <c r="F190" s="125"/>
      <c r="G190" s="131"/>
      <c r="H190" s="125"/>
      <c r="I190" s="130"/>
      <c r="J190" s="130"/>
      <c r="K190" s="130"/>
      <c r="L190" s="130"/>
      <c r="M190" s="125"/>
      <c r="N190" s="125"/>
      <c r="O190" s="125"/>
      <c r="P190" s="125"/>
      <c r="Q190" s="125"/>
      <c r="R190" s="125"/>
      <c r="S190" s="125"/>
      <c r="T190" s="125"/>
      <c r="U190" s="125"/>
      <c r="V190" s="125"/>
      <c r="W190" s="10"/>
      <c r="X190" s="9"/>
      <c r="Y190" s="9"/>
      <c r="Z190" s="9"/>
      <c r="AA190" s="9"/>
      <c r="AB190" s="9"/>
      <c r="AC190" s="9"/>
      <c r="AD190" s="9"/>
      <c r="AE190" s="9"/>
      <c r="AF190" s="9"/>
      <c r="AG190" s="11"/>
    </row>
    <row r="191" spans="1:33" ht="13.5" customHeight="1">
      <c r="A191" s="9"/>
      <c r="B191" s="125"/>
      <c r="C191" s="125"/>
      <c r="D191" s="125"/>
      <c r="E191" s="125"/>
      <c r="F191" s="125"/>
      <c r="G191" s="131"/>
      <c r="H191" s="125"/>
      <c r="I191" s="130"/>
      <c r="J191" s="130"/>
      <c r="K191" s="130"/>
      <c r="L191" s="130"/>
      <c r="M191" s="125"/>
      <c r="N191" s="125"/>
      <c r="O191" s="125"/>
      <c r="P191" s="125"/>
      <c r="Q191" s="125"/>
      <c r="R191" s="125"/>
      <c r="S191" s="125"/>
      <c r="T191" s="125"/>
      <c r="U191" s="125"/>
      <c r="V191" s="125"/>
      <c r="W191" s="10"/>
      <c r="X191" s="9"/>
      <c r="Y191" s="9"/>
      <c r="Z191" s="9"/>
      <c r="AA191" s="9"/>
      <c r="AB191" s="9"/>
      <c r="AC191" s="9"/>
      <c r="AD191" s="9"/>
      <c r="AE191" s="9"/>
      <c r="AF191" s="9"/>
      <c r="AG191" s="11"/>
    </row>
    <row r="192" spans="1:33" ht="13.5" customHeight="1">
      <c r="A192" s="9"/>
      <c r="B192" s="125"/>
      <c r="C192" s="125"/>
      <c r="D192" s="125"/>
      <c r="E192" s="125"/>
      <c r="F192" s="125"/>
      <c r="G192" s="131"/>
      <c r="H192" s="125"/>
      <c r="I192" s="130"/>
      <c r="J192" s="130"/>
      <c r="K192" s="130"/>
      <c r="L192" s="130"/>
      <c r="M192" s="125"/>
      <c r="N192" s="125"/>
      <c r="O192" s="125"/>
      <c r="P192" s="125"/>
      <c r="Q192" s="125"/>
      <c r="R192" s="125"/>
      <c r="S192" s="125"/>
      <c r="T192" s="125"/>
      <c r="U192" s="125"/>
      <c r="V192" s="125"/>
      <c r="W192" s="10"/>
      <c r="X192" s="9"/>
      <c r="Y192" s="9"/>
      <c r="Z192" s="9"/>
      <c r="AA192" s="9"/>
      <c r="AB192" s="9"/>
      <c r="AC192" s="9"/>
      <c r="AD192" s="9"/>
      <c r="AE192" s="9"/>
      <c r="AF192" s="9"/>
      <c r="AG192" s="11"/>
    </row>
    <row r="193" spans="1:33" ht="13.5" customHeight="1">
      <c r="A193" s="9"/>
      <c r="B193" s="125"/>
      <c r="C193" s="125"/>
      <c r="D193" s="125"/>
      <c r="E193" s="125"/>
      <c r="F193" s="125"/>
      <c r="G193" s="131"/>
      <c r="H193" s="125"/>
      <c r="I193" s="130"/>
      <c r="J193" s="130"/>
      <c r="K193" s="130"/>
      <c r="L193" s="130"/>
      <c r="M193" s="125"/>
      <c r="N193" s="125"/>
      <c r="O193" s="125"/>
      <c r="P193" s="125"/>
      <c r="Q193" s="125"/>
      <c r="R193" s="125"/>
      <c r="S193" s="125"/>
      <c r="T193" s="125"/>
      <c r="U193" s="125"/>
      <c r="V193" s="125"/>
      <c r="W193" s="10"/>
      <c r="X193" s="9"/>
      <c r="Y193" s="9"/>
      <c r="Z193" s="9"/>
      <c r="AA193" s="9"/>
      <c r="AB193" s="9"/>
      <c r="AC193" s="9"/>
      <c r="AD193" s="9"/>
      <c r="AE193" s="9"/>
      <c r="AF193" s="9"/>
      <c r="AG193" s="11"/>
    </row>
    <row r="194" spans="1:33" ht="13.5" customHeight="1">
      <c r="A194" s="9"/>
      <c r="B194" s="125"/>
      <c r="C194" s="125"/>
      <c r="D194" s="125"/>
      <c r="E194" s="125"/>
      <c r="F194" s="125"/>
      <c r="G194" s="131"/>
      <c r="H194" s="125"/>
      <c r="I194" s="130"/>
      <c r="J194" s="130"/>
      <c r="K194" s="130"/>
      <c r="L194" s="130"/>
      <c r="M194" s="125"/>
      <c r="N194" s="125"/>
      <c r="O194" s="125"/>
      <c r="P194" s="125"/>
      <c r="Q194" s="125"/>
      <c r="R194" s="125"/>
      <c r="S194" s="125"/>
      <c r="T194" s="125"/>
      <c r="U194" s="125"/>
      <c r="V194" s="125"/>
      <c r="W194" s="10"/>
      <c r="X194" s="9"/>
      <c r="Y194" s="9"/>
      <c r="Z194" s="9"/>
      <c r="AA194" s="9"/>
      <c r="AB194" s="9"/>
      <c r="AC194" s="9"/>
      <c r="AD194" s="9"/>
      <c r="AE194" s="9"/>
      <c r="AF194" s="9"/>
      <c r="AG194" s="11"/>
    </row>
    <row r="195" spans="1:33" ht="13.5" customHeight="1">
      <c r="A195" s="9"/>
      <c r="B195" s="125"/>
      <c r="C195" s="125"/>
      <c r="D195" s="125"/>
      <c r="E195" s="125"/>
      <c r="F195" s="125"/>
      <c r="G195" s="131"/>
      <c r="H195" s="125"/>
      <c r="I195" s="130"/>
      <c r="J195" s="130"/>
      <c r="K195" s="130"/>
      <c r="L195" s="130"/>
      <c r="M195" s="125"/>
      <c r="N195" s="125"/>
      <c r="O195" s="125"/>
      <c r="P195" s="125"/>
      <c r="Q195" s="125"/>
      <c r="R195" s="125"/>
      <c r="S195" s="125"/>
      <c r="T195" s="125"/>
      <c r="U195" s="125"/>
      <c r="V195" s="125"/>
      <c r="W195" s="10"/>
      <c r="X195" s="9"/>
      <c r="Y195" s="9"/>
      <c r="Z195" s="9"/>
      <c r="AA195" s="9"/>
      <c r="AB195" s="9"/>
      <c r="AC195" s="9"/>
      <c r="AD195" s="9"/>
      <c r="AE195" s="9"/>
      <c r="AF195" s="9"/>
      <c r="AG195" s="11"/>
    </row>
    <row r="196" spans="1:33" ht="13.5" customHeight="1">
      <c r="A196" s="9"/>
      <c r="B196" s="125"/>
      <c r="C196" s="125"/>
      <c r="D196" s="125"/>
      <c r="E196" s="125"/>
      <c r="F196" s="125"/>
      <c r="G196" s="131"/>
      <c r="H196" s="125"/>
      <c r="I196" s="130"/>
      <c r="J196" s="130"/>
      <c r="K196" s="130"/>
      <c r="L196" s="130"/>
      <c r="M196" s="125"/>
      <c r="N196" s="125"/>
      <c r="O196" s="125"/>
      <c r="P196" s="125"/>
      <c r="Q196" s="125"/>
      <c r="R196" s="125"/>
      <c r="S196" s="125"/>
      <c r="T196" s="125"/>
      <c r="U196" s="125"/>
      <c r="V196" s="125"/>
      <c r="W196" s="10"/>
      <c r="X196" s="9"/>
      <c r="Y196" s="9"/>
      <c r="Z196" s="9"/>
      <c r="AA196" s="9"/>
      <c r="AB196" s="9"/>
      <c r="AC196" s="9"/>
      <c r="AD196" s="9"/>
      <c r="AE196" s="9"/>
      <c r="AF196" s="9"/>
      <c r="AG196" s="11"/>
    </row>
    <row r="197" spans="1:33" ht="13.5" customHeight="1">
      <c r="A197" s="9"/>
      <c r="B197" s="125"/>
      <c r="C197" s="125"/>
      <c r="D197" s="125"/>
      <c r="E197" s="125"/>
      <c r="F197" s="125"/>
      <c r="G197" s="131"/>
      <c r="H197" s="125"/>
      <c r="I197" s="130"/>
      <c r="J197" s="130"/>
      <c r="K197" s="130"/>
      <c r="L197" s="130"/>
      <c r="M197" s="125"/>
      <c r="N197" s="125"/>
      <c r="O197" s="125"/>
      <c r="P197" s="125"/>
      <c r="Q197" s="125"/>
      <c r="R197" s="125"/>
      <c r="S197" s="125"/>
      <c r="T197" s="125"/>
      <c r="U197" s="125"/>
      <c r="V197" s="125"/>
      <c r="W197" s="10"/>
      <c r="X197" s="9"/>
      <c r="Y197" s="9"/>
      <c r="Z197" s="9"/>
      <c r="AA197" s="9"/>
      <c r="AB197" s="9"/>
      <c r="AC197" s="9"/>
      <c r="AD197" s="9"/>
      <c r="AE197" s="9"/>
      <c r="AF197" s="9"/>
      <c r="AG197" s="11"/>
    </row>
    <row r="198" spans="1:33" ht="13.5" customHeight="1">
      <c r="A198" s="9"/>
      <c r="B198" s="125"/>
      <c r="C198" s="125"/>
      <c r="D198" s="125"/>
      <c r="E198" s="125"/>
      <c r="F198" s="125"/>
      <c r="G198" s="131"/>
      <c r="H198" s="125"/>
      <c r="I198" s="130"/>
      <c r="J198" s="130"/>
      <c r="K198" s="130"/>
      <c r="L198" s="130"/>
      <c r="M198" s="125"/>
      <c r="N198" s="125"/>
      <c r="O198" s="125"/>
      <c r="P198" s="125"/>
      <c r="Q198" s="125"/>
      <c r="R198" s="125"/>
      <c r="S198" s="125"/>
      <c r="T198" s="125"/>
      <c r="U198" s="125"/>
      <c r="V198" s="125"/>
      <c r="W198" s="10"/>
      <c r="X198" s="9"/>
      <c r="Y198" s="9"/>
      <c r="Z198" s="9"/>
      <c r="AA198" s="9"/>
      <c r="AB198" s="9"/>
      <c r="AC198" s="9"/>
      <c r="AD198" s="9"/>
      <c r="AE198" s="9"/>
      <c r="AF198" s="9"/>
      <c r="AG198" s="11"/>
    </row>
    <row r="199" spans="1:33" ht="13.5" customHeight="1">
      <c r="A199" s="9"/>
      <c r="B199" s="125"/>
      <c r="C199" s="125"/>
      <c r="D199" s="125"/>
      <c r="E199" s="125"/>
      <c r="F199" s="125"/>
      <c r="G199" s="131"/>
      <c r="H199" s="125"/>
      <c r="I199" s="130"/>
      <c r="J199" s="130"/>
      <c r="K199" s="130"/>
      <c r="L199" s="130"/>
      <c r="M199" s="125"/>
      <c r="N199" s="125"/>
      <c r="O199" s="125"/>
      <c r="P199" s="125"/>
      <c r="Q199" s="125"/>
      <c r="R199" s="125"/>
      <c r="S199" s="125"/>
      <c r="T199" s="125"/>
      <c r="U199" s="125"/>
      <c r="V199" s="125"/>
      <c r="W199" s="10"/>
      <c r="X199" s="9"/>
      <c r="Y199" s="9"/>
      <c r="Z199" s="9"/>
      <c r="AA199" s="9"/>
      <c r="AB199" s="9"/>
      <c r="AC199" s="9"/>
      <c r="AD199" s="9"/>
      <c r="AE199" s="9"/>
      <c r="AF199" s="9"/>
      <c r="AG199" s="11"/>
    </row>
    <row r="200" spans="1:33" ht="13.5" customHeight="1">
      <c r="A200" s="9"/>
      <c r="B200" s="125"/>
      <c r="C200" s="125"/>
      <c r="D200" s="125"/>
      <c r="E200" s="125"/>
      <c r="F200" s="125"/>
      <c r="G200" s="131"/>
      <c r="H200" s="125"/>
      <c r="I200" s="130"/>
      <c r="J200" s="130"/>
      <c r="K200" s="130"/>
      <c r="L200" s="130"/>
      <c r="M200" s="125"/>
      <c r="N200" s="125"/>
      <c r="O200" s="125"/>
      <c r="P200" s="125"/>
      <c r="Q200" s="125"/>
      <c r="R200" s="125"/>
      <c r="S200" s="125"/>
      <c r="T200" s="125"/>
      <c r="U200" s="125"/>
      <c r="V200" s="125"/>
      <c r="W200" s="10"/>
      <c r="X200" s="9"/>
      <c r="Y200" s="9"/>
      <c r="Z200" s="9"/>
      <c r="AA200" s="9"/>
      <c r="AB200" s="9"/>
      <c r="AC200" s="9"/>
      <c r="AD200" s="9"/>
      <c r="AE200" s="9"/>
      <c r="AF200" s="9"/>
      <c r="AG200" s="11"/>
    </row>
    <row r="201" spans="1:33" ht="13.5" customHeight="1">
      <c r="A201" s="9"/>
      <c r="B201" s="125"/>
      <c r="C201" s="125"/>
      <c r="D201" s="125"/>
      <c r="E201" s="125"/>
      <c r="F201" s="125"/>
      <c r="G201" s="131"/>
      <c r="H201" s="125"/>
      <c r="I201" s="130"/>
      <c r="J201" s="130"/>
      <c r="K201" s="130"/>
      <c r="L201" s="130"/>
      <c r="M201" s="125"/>
      <c r="N201" s="125"/>
      <c r="O201" s="125"/>
      <c r="P201" s="125"/>
      <c r="Q201" s="125"/>
      <c r="R201" s="125"/>
      <c r="S201" s="125"/>
      <c r="T201" s="125"/>
      <c r="U201" s="125"/>
      <c r="V201" s="125"/>
      <c r="W201" s="10"/>
      <c r="X201" s="9"/>
      <c r="Y201" s="9"/>
      <c r="Z201" s="9"/>
      <c r="AA201" s="9"/>
      <c r="AB201" s="9"/>
      <c r="AC201" s="9"/>
      <c r="AD201" s="9"/>
      <c r="AE201" s="9"/>
      <c r="AF201" s="9"/>
      <c r="AG201" s="11"/>
    </row>
    <row r="202" spans="1:33" ht="13.5" customHeight="1">
      <c r="A202" s="9"/>
      <c r="B202" s="125"/>
      <c r="C202" s="125"/>
      <c r="D202" s="125"/>
      <c r="E202" s="125"/>
      <c r="F202" s="125"/>
      <c r="G202" s="131"/>
      <c r="H202" s="125"/>
      <c r="I202" s="130"/>
      <c r="J202" s="130"/>
      <c r="K202" s="130"/>
      <c r="L202" s="130"/>
      <c r="M202" s="125"/>
      <c r="N202" s="125"/>
      <c r="O202" s="125"/>
      <c r="P202" s="125"/>
      <c r="Q202" s="125"/>
      <c r="R202" s="125"/>
      <c r="S202" s="125"/>
      <c r="T202" s="125"/>
      <c r="U202" s="125"/>
      <c r="V202" s="125"/>
      <c r="W202" s="10"/>
      <c r="X202" s="9"/>
      <c r="Y202" s="9"/>
      <c r="Z202" s="9"/>
      <c r="AA202" s="9"/>
      <c r="AB202" s="9"/>
      <c r="AC202" s="9"/>
      <c r="AD202" s="9"/>
      <c r="AE202" s="9"/>
      <c r="AF202" s="9"/>
      <c r="AG202" s="11"/>
    </row>
    <row r="203" spans="1:33" ht="13.5" customHeight="1">
      <c r="A203" s="9"/>
      <c r="B203" s="125"/>
      <c r="C203" s="125"/>
      <c r="D203" s="125"/>
      <c r="E203" s="125"/>
      <c r="F203" s="125"/>
      <c r="G203" s="131"/>
      <c r="H203" s="125"/>
      <c r="I203" s="130"/>
      <c r="J203" s="130"/>
      <c r="K203" s="130"/>
      <c r="L203" s="130"/>
      <c r="M203" s="125"/>
      <c r="N203" s="125"/>
      <c r="O203" s="125"/>
      <c r="P203" s="125"/>
      <c r="Q203" s="125"/>
      <c r="R203" s="125"/>
      <c r="S203" s="125"/>
      <c r="T203" s="125"/>
      <c r="U203" s="125"/>
      <c r="V203" s="125"/>
      <c r="W203" s="10"/>
      <c r="X203" s="9"/>
      <c r="Y203" s="9"/>
      <c r="Z203" s="9"/>
      <c r="AA203" s="9"/>
      <c r="AB203" s="9"/>
      <c r="AC203" s="9"/>
      <c r="AD203" s="9"/>
      <c r="AE203" s="9"/>
      <c r="AF203" s="9"/>
      <c r="AG203" s="11"/>
    </row>
    <row r="204" spans="1:33" ht="13.5" customHeight="1">
      <c r="A204" s="9"/>
      <c r="B204" s="125"/>
      <c r="C204" s="125"/>
      <c r="D204" s="125"/>
      <c r="E204" s="125"/>
      <c r="F204" s="125"/>
      <c r="G204" s="131"/>
      <c r="H204" s="125"/>
      <c r="I204" s="130"/>
      <c r="J204" s="130"/>
      <c r="K204" s="130"/>
      <c r="L204" s="130"/>
      <c r="M204" s="125"/>
      <c r="N204" s="125"/>
      <c r="O204" s="125"/>
      <c r="P204" s="125"/>
      <c r="Q204" s="125"/>
      <c r="R204" s="125"/>
      <c r="S204" s="125"/>
      <c r="T204" s="125"/>
      <c r="U204" s="125"/>
      <c r="V204" s="125"/>
      <c r="W204" s="10"/>
      <c r="X204" s="9"/>
      <c r="Y204" s="9"/>
      <c r="Z204" s="9"/>
      <c r="AA204" s="9"/>
      <c r="AB204" s="9"/>
      <c r="AC204" s="9"/>
      <c r="AD204" s="9"/>
      <c r="AE204" s="9"/>
      <c r="AF204" s="9"/>
      <c r="AG204" s="11"/>
    </row>
    <row r="205" spans="1:33" ht="13.5" customHeight="1">
      <c r="A205" s="9"/>
      <c r="B205" s="125"/>
      <c r="C205" s="125"/>
      <c r="D205" s="125"/>
      <c r="E205" s="125"/>
      <c r="F205" s="125"/>
      <c r="G205" s="131"/>
      <c r="H205" s="125"/>
      <c r="I205" s="130"/>
      <c r="J205" s="130"/>
      <c r="K205" s="130"/>
      <c r="L205" s="130"/>
      <c r="M205" s="125"/>
      <c r="N205" s="125"/>
      <c r="O205" s="125"/>
      <c r="P205" s="125"/>
      <c r="Q205" s="125"/>
      <c r="R205" s="125"/>
      <c r="S205" s="125"/>
      <c r="T205" s="125"/>
      <c r="U205" s="125"/>
      <c r="V205" s="125"/>
      <c r="W205" s="10"/>
      <c r="X205" s="9"/>
      <c r="Y205" s="9"/>
      <c r="Z205" s="9"/>
      <c r="AA205" s="9"/>
      <c r="AB205" s="9"/>
      <c r="AC205" s="9"/>
      <c r="AD205" s="9"/>
      <c r="AE205" s="9"/>
      <c r="AF205" s="9"/>
      <c r="AG205" s="11"/>
    </row>
    <row r="206" spans="1:33" ht="13.5" customHeight="1">
      <c r="A206" s="9"/>
      <c r="B206" s="125"/>
      <c r="C206" s="125"/>
      <c r="D206" s="125"/>
      <c r="E206" s="125"/>
      <c r="F206" s="125"/>
      <c r="G206" s="131"/>
      <c r="H206" s="125"/>
      <c r="I206" s="130"/>
      <c r="J206" s="130"/>
      <c r="K206" s="130"/>
      <c r="L206" s="130"/>
      <c r="M206" s="125"/>
      <c r="N206" s="125"/>
      <c r="O206" s="125"/>
      <c r="P206" s="125"/>
      <c r="Q206" s="125"/>
      <c r="R206" s="125"/>
      <c r="S206" s="125"/>
      <c r="T206" s="125"/>
      <c r="U206" s="125"/>
      <c r="V206" s="125"/>
      <c r="W206" s="10"/>
      <c r="X206" s="9"/>
      <c r="Y206" s="9"/>
      <c r="Z206" s="9"/>
      <c r="AA206" s="9"/>
      <c r="AB206" s="9"/>
      <c r="AC206" s="9"/>
      <c r="AD206" s="9"/>
      <c r="AE206" s="9"/>
      <c r="AF206" s="9"/>
      <c r="AG206" s="11"/>
    </row>
    <row r="207" spans="1:33" ht="13.5" customHeight="1">
      <c r="A207" s="9"/>
      <c r="B207" s="125"/>
      <c r="C207" s="125"/>
      <c r="D207" s="125"/>
      <c r="E207" s="125"/>
      <c r="F207" s="125"/>
      <c r="G207" s="131"/>
      <c r="H207" s="125"/>
      <c r="I207" s="130"/>
      <c r="J207" s="130"/>
      <c r="K207" s="130"/>
      <c r="L207" s="130"/>
      <c r="M207" s="125"/>
      <c r="N207" s="125"/>
      <c r="O207" s="125"/>
      <c r="P207" s="125"/>
      <c r="Q207" s="125"/>
      <c r="R207" s="125"/>
      <c r="S207" s="125"/>
      <c r="T207" s="125"/>
      <c r="U207" s="125"/>
      <c r="V207" s="125"/>
      <c r="W207" s="10"/>
      <c r="X207" s="9"/>
      <c r="Y207" s="9"/>
      <c r="Z207" s="9"/>
      <c r="AA207" s="9"/>
      <c r="AB207" s="9"/>
      <c r="AC207" s="9"/>
      <c r="AD207" s="9"/>
      <c r="AE207" s="9"/>
      <c r="AF207" s="9"/>
      <c r="AG207" s="11"/>
    </row>
    <row r="208" spans="1:33" ht="13.5" customHeight="1">
      <c r="A208" s="9"/>
      <c r="B208" s="125"/>
      <c r="C208" s="125"/>
      <c r="D208" s="125"/>
      <c r="E208" s="125"/>
      <c r="F208" s="125"/>
      <c r="G208" s="131"/>
      <c r="H208" s="125"/>
      <c r="I208" s="130"/>
      <c r="J208" s="130"/>
      <c r="K208" s="130"/>
      <c r="L208" s="130"/>
      <c r="M208" s="125"/>
      <c r="N208" s="125"/>
      <c r="O208" s="125"/>
      <c r="P208" s="125"/>
      <c r="Q208" s="125"/>
      <c r="R208" s="125"/>
      <c r="S208" s="125"/>
      <c r="T208" s="125"/>
      <c r="U208" s="125"/>
      <c r="V208" s="125"/>
      <c r="W208" s="10"/>
      <c r="X208" s="9"/>
      <c r="Y208" s="9"/>
      <c r="Z208" s="9"/>
      <c r="AA208" s="9"/>
      <c r="AB208" s="9"/>
      <c r="AC208" s="9"/>
      <c r="AD208" s="9"/>
      <c r="AE208" s="9"/>
      <c r="AF208" s="9"/>
      <c r="AG208" s="11"/>
    </row>
    <row r="209" spans="1:33" ht="13.5" customHeight="1">
      <c r="A209" s="9"/>
      <c r="B209" s="125"/>
      <c r="C209" s="125"/>
      <c r="D209" s="125"/>
      <c r="E209" s="125"/>
      <c r="F209" s="125"/>
      <c r="G209" s="131"/>
      <c r="H209" s="125"/>
      <c r="I209" s="130"/>
      <c r="J209" s="130"/>
      <c r="K209" s="130"/>
      <c r="L209" s="130"/>
      <c r="M209" s="125"/>
      <c r="N209" s="125"/>
      <c r="O209" s="125"/>
      <c r="P209" s="125"/>
      <c r="Q209" s="125"/>
      <c r="R209" s="125"/>
      <c r="S209" s="125"/>
      <c r="T209" s="125"/>
      <c r="U209" s="125"/>
      <c r="V209" s="125"/>
      <c r="W209" s="10"/>
      <c r="X209" s="9"/>
      <c r="Y209" s="9"/>
      <c r="Z209" s="9"/>
      <c r="AA209" s="9"/>
      <c r="AB209" s="9"/>
      <c r="AC209" s="9"/>
      <c r="AD209" s="9"/>
      <c r="AE209" s="9"/>
      <c r="AF209" s="9"/>
      <c r="AG209" s="11"/>
    </row>
    <row r="210" spans="1:33" ht="13.5" customHeight="1">
      <c r="A210" s="9"/>
      <c r="B210" s="125"/>
      <c r="C210" s="125"/>
      <c r="D210" s="125"/>
      <c r="E210" s="125"/>
      <c r="F210" s="125"/>
      <c r="G210" s="131"/>
      <c r="H210" s="125"/>
      <c r="I210" s="130"/>
      <c r="J210" s="130"/>
      <c r="K210" s="130"/>
      <c r="L210" s="130"/>
      <c r="M210" s="125"/>
      <c r="N210" s="125"/>
      <c r="O210" s="125"/>
      <c r="P210" s="125"/>
      <c r="Q210" s="125"/>
      <c r="R210" s="125"/>
      <c r="S210" s="125"/>
      <c r="T210" s="125"/>
      <c r="U210" s="125"/>
      <c r="V210" s="125"/>
      <c r="W210" s="10"/>
      <c r="X210" s="9"/>
      <c r="Y210" s="9"/>
      <c r="Z210" s="9"/>
      <c r="AA210" s="9"/>
      <c r="AB210" s="9"/>
      <c r="AC210" s="9"/>
      <c r="AD210" s="9"/>
      <c r="AE210" s="9"/>
      <c r="AF210" s="9"/>
      <c r="AG210" s="11"/>
    </row>
    <row r="211" spans="1:33" ht="13.5" customHeight="1">
      <c r="A211" s="9"/>
      <c r="B211" s="125"/>
      <c r="C211" s="125"/>
      <c r="D211" s="125"/>
      <c r="E211" s="125"/>
      <c r="F211" s="125"/>
      <c r="G211" s="131"/>
      <c r="H211" s="125"/>
      <c r="I211" s="130"/>
      <c r="J211" s="130"/>
      <c r="K211" s="130"/>
      <c r="L211" s="130"/>
      <c r="M211" s="125"/>
      <c r="N211" s="125"/>
      <c r="O211" s="125"/>
      <c r="P211" s="125"/>
      <c r="Q211" s="125"/>
      <c r="R211" s="125"/>
      <c r="S211" s="125"/>
      <c r="T211" s="125"/>
      <c r="U211" s="125"/>
      <c r="V211" s="125"/>
      <c r="W211" s="10"/>
      <c r="X211" s="9"/>
      <c r="Y211" s="9"/>
      <c r="Z211" s="9"/>
      <c r="AA211" s="9"/>
      <c r="AB211" s="9"/>
      <c r="AC211" s="9"/>
      <c r="AD211" s="9"/>
      <c r="AE211" s="9"/>
      <c r="AF211" s="9"/>
      <c r="AG211" s="11"/>
    </row>
    <row r="212" spans="1:33" ht="13.5" customHeight="1">
      <c r="A212" s="9"/>
      <c r="B212" s="125"/>
      <c r="C212" s="125"/>
      <c r="D212" s="125"/>
      <c r="E212" s="125"/>
      <c r="F212" s="125"/>
      <c r="G212" s="131"/>
      <c r="H212" s="125"/>
      <c r="I212" s="130"/>
      <c r="J212" s="130"/>
      <c r="K212" s="130"/>
      <c r="L212" s="130"/>
      <c r="M212" s="125"/>
      <c r="N212" s="125"/>
      <c r="O212" s="125"/>
      <c r="P212" s="125"/>
      <c r="Q212" s="125"/>
      <c r="R212" s="125"/>
      <c r="S212" s="125"/>
      <c r="T212" s="125"/>
      <c r="U212" s="125"/>
      <c r="V212" s="125"/>
      <c r="W212" s="10"/>
      <c r="X212" s="9"/>
      <c r="Y212" s="9"/>
      <c r="Z212" s="9"/>
      <c r="AA212" s="9"/>
      <c r="AB212" s="9"/>
      <c r="AC212" s="9"/>
      <c r="AD212" s="9"/>
      <c r="AE212" s="9"/>
      <c r="AF212" s="9"/>
      <c r="AG212" s="11"/>
    </row>
    <row r="213" spans="1:33" ht="13.5" customHeight="1">
      <c r="A213" s="9"/>
      <c r="B213" s="125"/>
      <c r="C213" s="125"/>
      <c r="D213" s="125"/>
      <c r="E213" s="125"/>
      <c r="F213" s="125"/>
      <c r="G213" s="131"/>
      <c r="H213" s="125"/>
      <c r="I213" s="130"/>
      <c r="J213" s="130"/>
      <c r="K213" s="130"/>
      <c r="L213" s="130"/>
      <c r="M213" s="125"/>
      <c r="N213" s="125"/>
      <c r="O213" s="125"/>
      <c r="P213" s="125"/>
      <c r="Q213" s="125"/>
      <c r="R213" s="125"/>
      <c r="S213" s="125"/>
      <c r="T213" s="125"/>
      <c r="U213" s="125"/>
      <c r="V213" s="125"/>
      <c r="W213" s="10"/>
      <c r="X213" s="9"/>
      <c r="Y213" s="9"/>
      <c r="Z213" s="9"/>
      <c r="AA213" s="9"/>
      <c r="AB213" s="9"/>
      <c r="AC213" s="9"/>
      <c r="AD213" s="9"/>
      <c r="AE213" s="9"/>
      <c r="AF213" s="9"/>
      <c r="AG213" s="11"/>
    </row>
    <row r="214" spans="1:33" ht="13.5" customHeight="1">
      <c r="A214" s="9"/>
      <c r="B214" s="125"/>
      <c r="C214" s="125"/>
      <c r="D214" s="125"/>
      <c r="E214" s="125"/>
      <c r="F214" s="125"/>
      <c r="G214" s="131"/>
      <c r="H214" s="125"/>
      <c r="I214" s="130"/>
      <c r="J214" s="130"/>
      <c r="K214" s="130"/>
      <c r="L214" s="130"/>
      <c r="M214" s="125"/>
      <c r="N214" s="125"/>
      <c r="O214" s="125"/>
      <c r="P214" s="125"/>
      <c r="Q214" s="125"/>
      <c r="R214" s="125"/>
      <c r="S214" s="125"/>
      <c r="T214" s="125"/>
      <c r="U214" s="125"/>
      <c r="V214" s="125"/>
      <c r="W214" s="10"/>
      <c r="X214" s="9"/>
      <c r="Y214" s="9"/>
      <c r="Z214" s="9"/>
      <c r="AA214" s="9"/>
      <c r="AB214" s="9"/>
      <c r="AC214" s="9"/>
      <c r="AD214" s="9"/>
      <c r="AE214" s="9"/>
      <c r="AF214" s="9"/>
      <c r="AG214" s="11"/>
    </row>
    <row r="215" spans="1:33" ht="13.5" customHeight="1">
      <c r="A215" s="9"/>
      <c r="B215" s="125"/>
      <c r="C215" s="125"/>
      <c r="D215" s="125"/>
      <c r="E215" s="125"/>
      <c r="F215" s="125"/>
      <c r="G215" s="131"/>
      <c r="H215" s="125"/>
      <c r="I215" s="130"/>
      <c r="J215" s="130"/>
      <c r="K215" s="130"/>
      <c r="L215" s="130"/>
      <c r="M215" s="125"/>
      <c r="N215" s="125"/>
      <c r="O215" s="125"/>
      <c r="P215" s="125"/>
      <c r="Q215" s="125"/>
      <c r="R215" s="125"/>
      <c r="S215" s="125"/>
      <c r="T215" s="125"/>
      <c r="U215" s="125"/>
      <c r="V215" s="125"/>
      <c r="W215" s="10"/>
      <c r="X215" s="9"/>
      <c r="Y215" s="9"/>
      <c r="Z215" s="9"/>
      <c r="AA215" s="9"/>
      <c r="AB215" s="9"/>
      <c r="AC215" s="9"/>
      <c r="AD215" s="9"/>
      <c r="AE215" s="9"/>
      <c r="AF215" s="9"/>
      <c r="AG215" s="11"/>
    </row>
    <row r="216" spans="1:33" ht="13.5" customHeight="1">
      <c r="A216" s="9"/>
      <c r="B216" s="125"/>
      <c r="C216" s="125"/>
      <c r="D216" s="125"/>
      <c r="E216" s="125"/>
      <c r="F216" s="125"/>
      <c r="G216" s="131"/>
      <c r="H216" s="125"/>
      <c r="I216" s="130"/>
      <c r="J216" s="130"/>
      <c r="K216" s="130"/>
      <c r="L216" s="130"/>
      <c r="M216" s="125"/>
      <c r="N216" s="125"/>
      <c r="O216" s="125"/>
      <c r="P216" s="125"/>
      <c r="Q216" s="125"/>
      <c r="R216" s="125"/>
      <c r="S216" s="125"/>
      <c r="T216" s="125"/>
      <c r="U216" s="125"/>
      <c r="V216" s="125"/>
      <c r="W216" s="10"/>
      <c r="X216" s="9"/>
      <c r="Y216" s="9"/>
      <c r="Z216" s="9"/>
      <c r="AA216" s="9"/>
      <c r="AB216" s="9"/>
      <c r="AC216" s="9"/>
      <c r="AD216" s="9"/>
      <c r="AE216" s="9"/>
      <c r="AF216" s="9"/>
      <c r="AG216" s="11"/>
    </row>
    <row r="217" spans="1:33" ht="13.5" customHeight="1">
      <c r="A217" s="9"/>
      <c r="B217" s="125"/>
      <c r="C217" s="125"/>
      <c r="D217" s="125"/>
      <c r="E217" s="125"/>
      <c r="F217" s="125"/>
      <c r="G217" s="131"/>
      <c r="H217" s="125"/>
      <c r="I217" s="130"/>
      <c r="J217" s="130"/>
      <c r="K217" s="130"/>
      <c r="L217" s="130"/>
      <c r="M217" s="125"/>
      <c r="N217" s="125"/>
      <c r="O217" s="125"/>
      <c r="P217" s="125"/>
      <c r="Q217" s="125"/>
      <c r="R217" s="125"/>
      <c r="S217" s="125"/>
      <c r="T217" s="125"/>
      <c r="U217" s="125"/>
      <c r="V217" s="125"/>
      <c r="W217" s="10"/>
      <c r="X217" s="9"/>
      <c r="Y217" s="9"/>
      <c r="Z217" s="9"/>
      <c r="AA217" s="9"/>
      <c r="AB217" s="9"/>
      <c r="AC217" s="9"/>
      <c r="AD217" s="9"/>
      <c r="AE217" s="9"/>
      <c r="AF217" s="9"/>
      <c r="AG217" s="11"/>
    </row>
    <row r="218" spans="1:33" ht="13.5" customHeight="1">
      <c r="A218" s="9"/>
      <c r="B218" s="125"/>
      <c r="C218" s="125"/>
      <c r="D218" s="125"/>
      <c r="E218" s="125"/>
      <c r="F218" s="125"/>
      <c r="G218" s="131"/>
      <c r="H218" s="125"/>
      <c r="I218" s="130"/>
      <c r="J218" s="130"/>
      <c r="K218" s="130"/>
      <c r="L218" s="130"/>
      <c r="M218" s="125"/>
      <c r="N218" s="125"/>
      <c r="O218" s="125"/>
      <c r="P218" s="125"/>
      <c r="Q218" s="125"/>
      <c r="R218" s="125"/>
      <c r="S218" s="125"/>
      <c r="T218" s="125"/>
      <c r="U218" s="125"/>
      <c r="V218" s="125"/>
      <c r="W218" s="10"/>
      <c r="X218" s="9"/>
      <c r="Y218" s="9"/>
      <c r="Z218" s="9"/>
      <c r="AA218" s="9"/>
      <c r="AB218" s="9"/>
      <c r="AC218" s="9"/>
      <c r="AD218" s="9"/>
      <c r="AE218" s="9"/>
      <c r="AF218" s="9"/>
      <c r="AG218" s="11"/>
    </row>
    <row r="219" spans="1:33" ht="13.5" customHeight="1">
      <c r="A219" s="9"/>
      <c r="B219" s="125"/>
      <c r="C219" s="125"/>
      <c r="D219" s="125"/>
      <c r="E219" s="125"/>
      <c r="F219" s="125"/>
      <c r="G219" s="131"/>
      <c r="H219" s="125"/>
      <c r="I219" s="130"/>
      <c r="J219" s="130"/>
      <c r="K219" s="130"/>
      <c r="L219" s="130"/>
      <c r="M219" s="125"/>
      <c r="N219" s="125"/>
      <c r="O219" s="125"/>
      <c r="P219" s="125"/>
      <c r="Q219" s="125"/>
      <c r="R219" s="125"/>
      <c r="S219" s="125"/>
      <c r="T219" s="125"/>
      <c r="U219" s="125"/>
      <c r="V219" s="125"/>
      <c r="W219" s="10"/>
      <c r="X219" s="9"/>
      <c r="Y219" s="9"/>
      <c r="Z219" s="9"/>
      <c r="AA219" s="9"/>
      <c r="AB219" s="9"/>
      <c r="AC219" s="9"/>
      <c r="AD219" s="9"/>
      <c r="AE219" s="9"/>
      <c r="AF219" s="9"/>
      <c r="AG219" s="11"/>
    </row>
    <row r="220" spans="1:33" ht="13.5" customHeight="1">
      <c r="A220" s="9"/>
      <c r="B220" s="125"/>
      <c r="C220" s="125"/>
      <c r="D220" s="125"/>
      <c r="E220" s="125"/>
      <c r="F220" s="125"/>
      <c r="G220" s="131"/>
      <c r="H220" s="125"/>
      <c r="I220" s="130"/>
      <c r="J220" s="130"/>
      <c r="K220" s="130"/>
      <c r="L220" s="130"/>
      <c r="M220" s="125"/>
      <c r="N220" s="125"/>
      <c r="O220" s="125"/>
      <c r="P220" s="125"/>
      <c r="Q220" s="125"/>
      <c r="R220" s="125"/>
      <c r="S220" s="125"/>
      <c r="T220" s="125"/>
      <c r="U220" s="125"/>
      <c r="V220" s="125"/>
      <c r="W220" s="10"/>
      <c r="X220" s="9"/>
      <c r="Y220" s="9"/>
      <c r="Z220" s="9"/>
      <c r="AA220" s="9"/>
      <c r="AB220" s="9"/>
      <c r="AC220" s="9"/>
      <c r="AD220" s="9"/>
      <c r="AE220" s="9"/>
      <c r="AF220" s="9"/>
      <c r="AG220" s="11"/>
    </row>
    <row r="221" spans="1:33" ht="13.5" customHeight="1">
      <c r="A221" s="9"/>
      <c r="B221" s="125"/>
      <c r="C221" s="125"/>
      <c r="D221" s="125"/>
      <c r="E221" s="125"/>
      <c r="F221" s="125"/>
      <c r="G221" s="131"/>
      <c r="H221" s="125"/>
      <c r="I221" s="130"/>
      <c r="J221" s="130"/>
      <c r="K221" s="130"/>
      <c r="L221" s="130"/>
      <c r="M221" s="125"/>
      <c r="N221" s="125"/>
      <c r="O221" s="125"/>
      <c r="P221" s="125"/>
      <c r="Q221" s="125"/>
      <c r="R221" s="125"/>
      <c r="S221" s="125"/>
      <c r="T221" s="125"/>
      <c r="U221" s="125"/>
      <c r="V221" s="125"/>
      <c r="W221" s="10"/>
      <c r="X221" s="9"/>
      <c r="Y221" s="9"/>
      <c r="Z221" s="9"/>
      <c r="AA221" s="9"/>
      <c r="AB221" s="9"/>
      <c r="AC221" s="9"/>
      <c r="AD221" s="9"/>
      <c r="AE221" s="9"/>
      <c r="AF221" s="9"/>
      <c r="AG221" s="11"/>
    </row>
    <row r="222" spans="1:33" ht="13.5" customHeight="1">
      <c r="A222" s="9"/>
      <c r="B222" s="125"/>
      <c r="C222" s="125"/>
      <c r="D222" s="125"/>
      <c r="E222" s="125"/>
      <c r="F222" s="125"/>
      <c r="G222" s="131"/>
      <c r="H222" s="125"/>
      <c r="I222" s="130"/>
      <c r="J222" s="130"/>
      <c r="K222" s="130"/>
      <c r="L222" s="130"/>
      <c r="M222" s="125"/>
      <c r="N222" s="125"/>
      <c r="O222" s="125"/>
      <c r="P222" s="125"/>
      <c r="Q222" s="125"/>
      <c r="R222" s="125"/>
      <c r="S222" s="125"/>
      <c r="T222" s="125"/>
      <c r="U222" s="125"/>
      <c r="V222" s="125"/>
      <c r="W222" s="10"/>
      <c r="X222" s="9"/>
      <c r="Y222" s="9"/>
      <c r="Z222" s="9"/>
      <c r="AA222" s="9"/>
      <c r="AB222" s="9"/>
      <c r="AC222" s="9"/>
      <c r="AD222" s="9"/>
      <c r="AE222" s="9"/>
      <c r="AF222" s="9"/>
      <c r="AG222" s="11"/>
    </row>
    <row r="223" spans="1:33" ht="13.5" customHeight="1">
      <c r="A223" s="9"/>
      <c r="B223" s="125"/>
      <c r="C223" s="125"/>
      <c r="D223" s="125"/>
      <c r="E223" s="125"/>
      <c r="F223" s="125"/>
      <c r="G223" s="131"/>
      <c r="H223" s="125"/>
      <c r="I223" s="130"/>
      <c r="J223" s="130"/>
      <c r="K223" s="130"/>
      <c r="L223" s="130"/>
      <c r="M223" s="125"/>
      <c r="N223" s="125"/>
      <c r="O223" s="125"/>
      <c r="P223" s="125"/>
      <c r="Q223" s="125"/>
      <c r="R223" s="125"/>
      <c r="S223" s="125"/>
      <c r="T223" s="125"/>
      <c r="U223" s="125"/>
      <c r="V223" s="125"/>
      <c r="W223" s="10"/>
      <c r="X223" s="9"/>
      <c r="Y223" s="9"/>
      <c r="Z223" s="9"/>
      <c r="AA223" s="9"/>
      <c r="AB223" s="9"/>
      <c r="AC223" s="9"/>
      <c r="AD223" s="9"/>
      <c r="AE223" s="9"/>
      <c r="AF223" s="9"/>
      <c r="AG223" s="11"/>
    </row>
    <row r="224" spans="1:33" ht="13.5" customHeight="1">
      <c r="A224" s="9"/>
      <c r="B224" s="125"/>
      <c r="C224" s="125"/>
      <c r="D224" s="125"/>
      <c r="E224" s="125"/>
      <c r="F224" s="125"/>
      <c r="G224" s="131"/>
      <c r="H224" s="125"/>
      <c r="I224" s="130"/>
      <c r="J224" s="130"/>
      <c r="K224" s="130"/>
      <c r="L224" s="130"/>
      <c r="M224" s="125"/>
      <c r="N224" s="125"/>
      <c r="O224" s="125"/>
      <c r="P224" s="125"/>
      <c r="Q224" s="125"/>
      <c r="R224" s="125"/>
      <c r="S224" s="125"/>
      <c r="T224" s="125"/>
      <c r="U224" s="125"/>
      <c r="V224" s="125"/>
      <c r="W224" s="10"/>
      <c r="X224" s="9"/>
      <c r="Y224" s="9"/>
      <c r="Z224" s="9"/>
      <c r="AA224" s="9"/>
      <c r="AB224" s="9"/>
      <c r="AC224" s="9"/>
      <c r="AD224" s="9"/>
      <c r="AE224" s="9"/>
      <c r="AF224" s="9"/>
      <c r="AG224" s="11"/>
    </row>
    <row r="225" spans="1:33" ht="13.5" customHeight="1">
      <c r="A225" s="9"/>
      <c r="B225" s="125"/>
      <c r="C225" s="125"/>
      <c r="D225" s="125"/>
      <c r="E225" s="125"/>
      <c r="F225" s="125"/>
      <c r="G225" s="131"/>
      <c r="H225" s="125"/>
      <c r="I225" s="130"/>
      <c r="J225" s="130"/>
      <c r="K225" s="130"/>
      <c r="L225" s="130"/>
      <c r="M225" s="125"/>
      <c r="N225" s="125"/>
      <c r="O225" s="125"/>
      <c r="P225" s="125"/>
      <c r="Q225" s="125"/>
      <c r="R225" s="125"/>
      <c r="S225" s="125"/>
      <c r="T225" s="125"/>
      <c r="U225" s="125"/>
      <c r="V225" s="125"/>
      <c r="W225" s="10"/>
      <c r="X225" s="9"/>
      <c r="Y225" s="9"/>
      <c r="Z225" s="9"/>
      <c r="AA225" s="9"/>
      <c r="AB225" s="9"/>
      <c r="AC225" s="9"/>
      <c r="AD225" s="9"/>
      <c r="AE225" s="9"/>
      <c r="AF225" s="9"/>
      <c r="AG225" s="11"/>
    </row>
    <row r="226" spans="1:33" ht="13.5" customHeight="1">
      <c r="A226" s="9"/>
      <c r="B226" s="125"/>
      <c r="C226" s="125"/>
      <c r="D226" s="125"/>
      <c r="E226" s="125"/>
      <c r="F226" s="125"/>
      <c r="G226" s="131"/>
      <c r="H226" s="125"/>
      <c r="I226" s="130"/>
      <c r="J226" s="130"/>
      <c r="K226" s="130"/>
      <c r="L226" s="130"/>
      <c r="M226" s="125"/>
      <c r="N226" s="125"/>
      <c r="O226" s="125"/>
      <c r="P226" s="125"/>
      <c r="Q226" s="125"/>
      <c r="R226" s="125"/>
      <c r="S226" s="125"/>
      <c r="T226" s="125"/>
      <c r="U226" s="125"/>
      <c r="V226" s="125"/>
      <c r="W226" s="10"/>
      <c r="X226" s="9"/>
      <c r="Y226" s="9"/>
      <c r="Z226" s="9"/>
      <c r="AA226" s="9"/>
      <c r="AB226" s="9"/>
      <c r="AC226" s="9"/>
      <c r="AD226" s="9"/>
      <c r="AE226" s="9"/>
      <c r="AF226" s="9"/>
      <c r="AG226" s="11"/>
    </row>
    <row r="227" spans="1:33" ht="13.5" customHeight="1">
      <c r="A227" s="9"/>
      <c r="B227" s="125"/>
      <c r="C227" s="125"/>
      <c r="D227" s="125"/>
      <c r="E227" s="125"/>
      <c r="F227" s="125"/>
      <c r="G227" s="131"/>
      <c r="H227" s="125"/>
      <c r="I227" s="130"/>
      <c r="J227" s="130"/>
      <c r="K227" s="130"/>
      <c r="L227" s="130"/>
      <c r="M227" s="125"/>
      <c r="N227" s="125"/>
      <c r="O227" s="125"/>
      <c r="P227" s="125"/>
      <c r="Q227" s="125"/>
      <c r="R227" s="125"/>
      <c r="S227" s="125"/>
      <c r="T227" s="125"/>
      <c r="U227" s="125"/>
      <c r="V227" s="125"/>
      <c r="W227" s="10"/>
      <c r="X227" s="9"/>
      <c r="Y227" s="9"/>
      <c r="Z227" s="9"/>
      <c r="AA227" s="9"/>
      <c r="AB227" s="9"/>
      <c r="AC227" s="9"/>
      <c r="AD227" s="9"/>
      <c r="AE227" s="9"/>
      <c r="AF227" s="9"/>
      <c r="AG227" s="11"/>
    </row>
    <row r="228" spans="1:33" ht="13.5" customHeight="1">
      <c r="A228" s="9"/>
      <c r="B228" s="125"/>
      <c r="C228" s="125"/>
      <c r="D228" s="125"/>
      <c r="E228" s="125"/>
      <c r="F228" s="125"/>
      <c r="G228" s="131"/>
      <c r="H228" s="125"/>
      <c r="I228" s="130"/>
      <c r="J228" s="130"/>
      <c r="K228" s="130"/>
      <c r="L228" s="130"/>
      <c r="M228" s="125"/>
      <c r="N228" s="125"/>
      <c r="O228" s="125"/>
      <c r="P228" s="125"/>
      <c r="Q228" s="125"/>
      <c r="R228" s="125"/>
      <c r="S228" s="125"/>
      <c r="T228" s="125"/>
      <c r="U228" s="125"/>
      <c r="V228" s="125"/>
      <c r="W228" s="10"/>
      <c r="X228" s="9"/>
      <c r="Y228" s="9"/>
      <c r="Z228" s="9"/>
      <c r="AA228" s="9"/>
      <c r="AB228" s="9"/>
      <c r="AC228" s="9"/>
      <c r="AD228" s="9"/>
      <c r="AE228" s="9"/>
      <c r="AF228" s="9"/>
      <c r="AG228" s="11"/>
    </row>
    <row r="229" spans="1:33" ht="13.5" customHeight="1">
      <c r="A229" s="9"/>
      <c r="B229" s="125"/>
      <c r="C229" s="125"/>
      <c r="D229" s="125"/>
      <c r="E229" s="125"/>
      <c r="F229" s="125"/>
      <c r="G229" s="131"/>
      <c r="H229" s="125"/>
      <c r="I229" s="130"/>
      <c r="J229" s="130"/>
      <c r="K229" s="130"/>
      <c r="L229" s="130"/>
      <c r="M229" s="125"/>
      <c r="N229" s="125"/>
      <c r="O229" s="125"/>
      <c r="P229" s="125"/>
      <c r="Q229" s="125"/>
      <c r="R229" s="125"/>
      <c r="S229" s="125"/>
      <c r="T229" s="125"/>
      <c r="U229" s="125"/>
      <c r="V229" s="125"/>
      <c r="W229" s="10"/>
      <c r="X229" s="9"/>
      <c r="Y229" s="9"/>
      <c r="Z229" s="9"/>
      <c r="AA229" s="9"/>
      <c r="AB229" s="9"/>
      <c r="AC229" s="9"/>
      <c r="AD229" s="9"/>
      <c r="AE229" s="9"/>
      <c r="AF229" s="9"/>
      <c r="AG229" s="11"/>
    </row>
    <row r="230" spans="1:33" ht="13.5" customHeight="1">
      <c r="A230" s="9"/>
      <c r="B230" s="125"/>
      <c r="C230" s="125"/>
      <c r="D230" s="125"/>
      <c r="E230" s="125"/>
      <c r="F230" s="125"/>
      <c r="G230" s="131"/>
      <c r="H230" s="125"/>
      <c r="I230" s="130"/>
      <c r="J230" s="130"/>
      <c r="K230" s="130"/>
      <c r="L230" s="130"/>
      <c r="M230" s="125"/>
      <c r="N230" s="125"/>
      <c r="O230" s="125"/>
      <c r="P230" s="125"/>
      <c r="Q230" s="125"/>
      <c r="R230" s="125"/>
      <c r="S230" s="125"/>
      <c r="T230" s="125"/>
      <c r="U230" s="125"/>
      <c r="V230" s="125"/>
      <c r="W230" s="10"/>
      <c r="X230" s="9"/>
      <c r="Y230" s="9"/>
      <c r="Z230" s="9"/>
      <c r="AA230" s="9"/>
      <c r="AB230" s="9"/>
      <c r="AC230" s="9"/>
      <c r="AD230" s="9"/>
      <c r="AE230" s="9"/>
      <c r="AF230" s="9"/>
      <c r="AG230" s="11"/>
    </row>
    <row r="231" spans="1:33" ht="13.5" customHeight="1">
      <c r="A231" s="9"/>
      <c r="B231" s="125"/>
      <c r="C231" s="125"/>
      <c r="D231" s="125"/>
      <c r="E231" s="125"/>
      <c r="F231" s="125"/>
      <c r="G231" s="131"/>
      <c r="H231" s="125"/>
      <c r="I231" s="130"/>
      <c r="J231" s="130"/>
      <c r="K231" s="130"/>
      <c r="L231" s="130"/>
      <c r="M231" s="125"/>
      <c r="N231" s="125"/>
      <c r="O231" s="125"/>
      <c r="P231" s="125"/>
      <c r="Q231" s="125"/>
      <c r="R231" s="125"/>
      <c r="S231" s="125"/>
      <c r="T231" s="125"/>
      <c r="U231" s="125"/>
      <c r="V231" s="125"/>
      <c r="W231" s="10"/>
      <c r="X231" s="9"/>
      <c r="Y231" s="9"/>
      <c r="Z231" s="9"/>
      <c r="AA231" s="9"/>
      <c r="AB231" s="9"/>
      <c r="AC231" s="9"/>
      <c r="AD231" s="9"/>
      <c r="AE231" s="9"/>
      <c r="AF231" s="9"/>
      <c r="AG231" s="11"/>
    </row>
    <row r="232" spans="1:33" ht="13.5" customHeight="1">
      <c r="A232" s="9"/>
      <c r="B232" s="125"/>
      <c r="C232" s="125"/>
      <c r="D232" s="125"/>
      <c r="E232" s="125"/>
      <c r="F232" s="125"/>
      <c r="G232" s="131"/>
      <c r="H232" s="125"/>
      <c r="I232" s="130"/>
      <c r="J232" s="130"/>
      <c r="K232" s="130"/>
      <c r="L232" s="130"/>
      <c r="M232" s="125"/>
      <c r="N232" s="125"/>
      <c r="O232" s="125"/>
      <c r="P232" s="125"/>
      <c r="Q232" s="125"/>
      <c r="R232" s="125"/>
      <c r="S232" s="125"/>
      <c r="T232" s="125"/>
      <c r="U232" s="125"/>
      <c r="V232" s="125"/>
      <c r="W232" s="10"/>
      <c r="X232" s="9"/>
      <c r="Y232" s="9"/>
      <c r="Z232" s="9"/>
      <c r="AA232" s="9"/>
      <c r="AB232" s="9"/>
      <c r="AC232" s="9"/>
      <c r="AD232" s="9"/>
      <c r="AE232" s="9"/>
      <c r="AF232" s="9"/>
      <c r="AG232" s="11"/>
    </row>
    <row r="233" spans="1:33" ht="13.5" customHeight="1">
      <c r="A233" s="9"/>
      <c r="B233" s="125"/>
      <c r="C233" s="125"/>
      <c r="D233" s="125"/>
      <c r="E233" s="125"/>
      <c r="F233" s="125"/>
      <c r="G233" s="131"/>
      <c r="H233" s="125"/>
      <c r="I233" s="130"/>
      <c r="J233" s="130"/>
      <c r="K233" s="130"/>
      <c r="L233" s="130"/>
      <c r="M233" s="125"/>
      <c r="N233" s="125"/>
      <c r="O233" s="125"/>
      <c r="P233" s="125"/>
      <c r="Q233" s="125"/>
      <c r="R233" s="125"/>
      <c r="S233" s="125"/>
      <c r="T233" s="125"/>
      <c r="U233" s="125"/>
      <c r="V233" s="125"/>
      <c r="W233" s="10"/>
      <c r="X233" s="9"/>
      <c r="Y233" s="9"/>
      <c r="Z233" s="9"/>
      <c r="AA233" s="9"/>
      <c r="AB233" s="9"/>
      <c r="AC233" s="9"/>
      <c r="AD233" s="9"/>
      <c r="AE233" s="9"/>
      <c r="AF233" s="9"/>
      <c r="AG233" s="11"/>
    </row>
    <row r="234" spans="1:33" ht="13.5" customHeight="1">
      <c r="A234" s="9"/>
      <c r="B234" s="125"/>
      <c r="C234" s="125"/>
      <c r="D234" s="125"/>
      <c r="E234" s="125"/>
      <c r="F234" s="125"/>
      <c r="G234" s="131"/>
      <c r="H234" s="125"/>
      <c r="I234" s="130"/>
      <c r="J234" s="130"/>
      <c r="K234" s="130"/>
      <c r="L234" s="130"/>
      <c r="M234" s="125"/>
      <c r="N234" s="125"/>
      <c r="O234" s="125"/>
      <c r="P234" s="125"/>
      <c r="Q234" s="125"/>
      <c r="R234" s="125"/>
      <c r="S234" s="125"/>
      <c r="T234" s="125"/>
      <c r="U234" s="125"/>
      <c r="V234" s="125"/>
      <c r="W234" s="10"/>
      <c r="X234" s="9"/>
      <c r="Y234" s="9"/>
      <c r="Z234" s="9"/>
      <c r="AA234" s="9"/>
      <c r="AB234" s="9"/>
      <c r="AC234" s="9"/>
      <c r="AD234" s="9"/>
      <c r="AE234" s="9"/>
      <c r="AF234" s="9"/>
      <c r="AG234" s="11"/>
    </row>
    <row r="235" spans="1:33" ht="13.5" customHeight="1">
      <c r="A235" s="9"/>
      <c r="B235" s="125"/>
      <c r="C235" s="125"/>
      <c r="D235" s="125"/>
      <c r="E235" s="125"/>
      <c r="F235" s="125"/>
      <c r="G235" s="131"/>
      <c r="H235" s="125"/>
      <c r="I235" s="130"/>
      <c r="J235" s="130"/>
      <c r="K235" s="130"/>
      <c r="L235" s="130"/>
      <c r="M235" s="125"/>
      <c r="N235" s="125"/>
      <c r="O235" s="125"/>
      <c r="P235" s="125"/>
      <c r="Q235" s="125"/>
      <c r="R235" s="125"/>
      <c r="S235" s="125"/>
      <c r="T235" s="125"/>
      <c r="U235" s="125"/>
      <c r="V235" s="125"/>
      <c r="W235" s="10"/>
      <c r="X235" s="9"/>
      <c r="Y235" s="9"/>
      <c r="Z235" s="9"/>
      <c r="AA235" s="9"/>
      <c r="AB235" s="9"/>
      <c r="AC235" s="9"/>
      <c r="AD235" s="9"/>
      <c r="AE235" s="9"/>
      <c r="AF235" s="9"/>
      <c r="AG235" s="11"/>
    </row>
    <row r="236" spans="1:33" ht="13.5" customHeight="1">
      <c r="A236" s="9"/>
      <c r="B236" s="125"/>
      <c r="C236" s="125"/>
      <c r="D236" s="125"/>
      <c r="E236" s="125"/>
      <c r="F236" s="125"/>
      <c r="G236" s="131"/>
      <c r="H236" s="125"/>
      <c r="I236" s="130"/>
      <c r="J236" s="130"/>
      <c r="K236" s="130"/>
      <c r="L236" s="130"/>
      <c r="M236" s="125"/>
      <c r="N236" s="125"/>
      <c r="O236" s="125"/>
      <c r="P236" s="125"/>
      <c r="Q236" s="125"/>
      <c r="R236" s="125"/>
      <c r="S236" s="125"/>
      <c r="T236" s="125"/>
      <c r="U236" s="125"/>
      <c r="V236" s="125"/>
      <c r="W236" s="10"/>
      <c r="X236" s="9"/>
      <c r="Y236" s="9"/>
      <c r="Z236" s="9"/>
      <c r="AA236" s="9"/>
      <c r="AB236" s="9"/>
      <c r="AC236" s="9"/>
      <c r="AD236" s="9"/>
      <c r="AE236" s="9"/>
      <c r="AF236" s="9"/>
      <c r="AG236" s="11"/>
    </row>
    <row r="237" spans="1:33" ht="13.5" customHeight="1">
      <c r="A237" s="9"/>
      <c r="B237" s="125"/>
      <c r="C237" s="125"/>
      <c r="D237" s="125"/>
      <c r="E237" s="125"/>
      <c r="F237" s="125"/>
      <c r="G237" s="131"/>
      <c r="H237" s="125"/>
      <c r="I237" s="130"/>
      <c r="J237" s="130"/>
      <c r="K237" s="130"/>
      <c r="L237" s="130"/>
      <c r="M237" s="125"/>
      <c r="N237" s="125"/>
      <c r="O237" s="125"/>
      <c r="P237" s="125"/>
      <c r="Q237" s="125"/>
      <c r="R237" s="125"/>
      <c r="S237" s="125"/>
      <c r="T237" s="125"/>
      <c r="U237" s="125"/>
      <c r="V237" s="125"/>
      <c r="W237" s="10"/>
      <c r="X237" s="9"/>
      <c r="Y237" s="9"/>
      <c r="Z237" s="9"/>
      <c r="AA237" s="9"/>
      <c r="AB237" s="9"/>
      <c r="AC237" s="9"/>
      <c r="AD237" s="9"/>
      <c r="AE237" s="9"/>
      <c r="AF237" s="9"/>
      <c r="AG237" s="11"/>
    </row>
    <row r="238" spans="1:33" ht="13.5" customHeight="1">
      <c r="A238" s="9"/>
      <c r="B238" s="125"/>
      <c r="C238" s="125"/>
      <c r="D238" s="125"/>
      <c r="E238" s="125"/>
      <c r="F238" s="125"/>
      <c r="G238" s="131"/>
      <c r="H238" s="125"/>
      <c r="I238" s="130"/>
      <c r="J238" s="130"/>
      <c r="K238" s="130"/>
      <c r="L238" s="130"/>
      <c r="M238" s="125"/>
      <c r="N238" s="125"/>
      <c r="O238" s="125"/>
      <c r="P238" s="125"/>
      <c r="Q238" s="125"/>
      <c r="R238" s="125"/>
      <c r="S238" s="125"/>
      <c r="T238" s="125"/>
      <c r="U238" s="125"/>
      <c r="V238" s="125"/>
      <c r="W238" s="10"/>
      <c r="X238" s="9"/>
      <c r="Y238" s="9"/>
      <c r="Z238" s="9"/>
      <c r="AA238" s="9"/>
      <c r="AB238" s="9"/>
      <c r="AC238" s="9"/>
      <c r="AD238" s="9"/>
      <c r="AE238" s="9"/>
      <c r="AF238" s="9"/>
      <c r="AG238" s="11"/>
    </row>
    <row r="239" spans="1:33" ht="13.5" customHeight="1">
      <c r="A239" s="9"/>
      <c r="B239" s="125"/>
      <c r="C239" s="125"/>
      <c r="D239" s="125"/>
      <c r="E239" s="125"/>
      <c r="F239" s="125"/>
      <c r="G239" s="131"/>
      <c r="H239" s="125"/>
      <c r="I239" s="130"/>
      <c r="J239" s="130"/>
      <c r="K239" s="130"/>
      <c r="L239" s="130"/>
      <c r="M239" s="125"/>
      <c r="N239" s="125"/>
      <c r="O239" s="125"/>
      <c r="P239" s="125"/>
      <c r="Q239" s="125"/>
      <c r="R239" s="125"/>
      <c r="S239" s="125"/>
      <c r="T239" s="125"/>
      <c r="U239" s="125"/>
      <c r="V239" s="125"/>
      <c r="W239" s="10"/>
      <c r="X239" s="9"/>
      <c r="Y239" s="9"/>
      <c r="Z239" s="9"/>
      <c r="AA239" s="9"/>
      <c r="AB239" s="9"/>
      <c r="AC239" s="9"/>
      <c r="AD239" s="9"/>
      <c r="AE239" s="9"/>
      <c r="AF239" s="9"/>
      <c r="AG239" s="11"/>
    </row>
    <row r="240" spans="1:33" ht="13.5" customHeight="1">
      <c r="A240" s="9"/>
      <c r="B240" s="125"/>
      <c r="C240" s="125"/>
      <c r="D240" s="125"/>
      <c r="E240" s="125"/>
      <c r="F240" s="125"/>
      <c r="G240" s="131"/>
      <c r="H240" s="125"/>
      <c r="I240" s="130"/>
      <c r="J240" s="130"/>
      <c r="K240" s="130"/>
      <c r="L240" s="130"/>
      <c r="M240" s="125"/>
      <c r="N240" s="125"/>
      <c r="O240" s="125"/>
      <c r="P240" s="125"/>
      <c r="Q240" s="125"/>
      <c r="R240" s="125"/>
      <c r="S240" s="125"/>
      <c r="T240" s="125"/>
      <c r="U240" s="125"/>
      <c r="V240" s="125"/>
      <c r="W240" s="10"/>
      <c r="X240" s="9"/>
      <c r="Y240" s="9"/>
      <c r="Z240" s="9"/>
      <c r="AA240" s="9"/>
      <c r="AB240" s="9"/>
      <c r="AC240" s="9"/>
      <c r="AD240" s="9"/>
      <c r="AE240" s="9"/>
      <c r="AF240" s="9"/>
      <c r="AG240" s="11"/>
    </row>
    <row r="241" spans="1:33" ht="13.5" customHeight="1">
      <c r="A241" s="9"/>
      <c r="B241" s="125"/>
      <c r="C241" s="125"/>
      <c r="D241" s="125"/>
      <c r="E241" s="125"/>
      <c r="F241" s="125"/>
      <c r="G241" s="131"/>
      <c r="H241" s="125"/>
      <c r="I241" s="130"/>
      <c r="J241" s="130"/>
      <c r="K241" s="130"/>
      <c r="L241" s="130"/>
      <c r="M241" s="125"/>
      <c r="N241" s="125"/>
      <c r="O241" s="125"/>
      <c r="P241" s="125"/>
      <c r="Q241" s="125"/>
      <c r="R241" s="125"/>
      <c r="S241" s="125"/>
      <c r="T241" s="125"/>
      <c r="U241" s="125"/>
      <c r="V241" s="125"/>
      <c r="W241" s="10"/>
      <c r="X241" s="9"/>
      <c r="Y241" s="9"/>
      <c r="Z241" s="9"/>
      <c r="AA241" s="9"/>
      <c r="AB241" s="9"/>
      <c r="AC241" s="9"/>
      <c r="AD241" s="9"/>
      <c r="AE241" s="9"/>
      <c r="AF241" s="9"/>
      <c r="AG241" s="11"/>
    </row>
    <row r="242" spans="1:33" ht="13.5" customHeight="1">
      <c r="A242" s="9"/>
      <c r="B242" s="125"/>
      <c r="C242" s="125"/>
      <c r="D242" s="125"/>
      <c r="E242" s="125"/>
      <c r="F242" s="125"/>
      <c r="G242" s="131"/>
      <c r="H242" s="125"/>
      <c r="I242" s="130"/>
      <c r="J242" s="130"/>
      <c r="K242" s="130"/>
      <c r="L242" s="130"/>
      <c r="M242" s="125"/>
      <c r="N242" s="125"/>
      <c r="O242" s="125"/>
      <c r="P242" s="125"/>
      <c r="Q242" s="125"/>
      <c r="R242" s="125"/>
      <c r="S242" s="125"/>
      <c r="T242" s="125"/>
      <c r="U242" s="125"/>
      <c r="V242" s="125"/>
      <c r="W242" s="10"/>
      <c r="X242" s="9"/>
      <c r="Y242" s="9"/>
      <c r="Z242" s="9"/>
      <c r="AA242" s="9"/>
      <c r="AB242" s="9"/>
      <c r="AC242" s="9"/>
      <c r="AD242" s="9"/>
      <c r="AE242" s="9"/>
      <c r="AF242" s="9"/>
      <c r="AG242" s="11"/>
    </row>
    <row r="243" spans="1:33" ht="13.5" customHeight="1">
      <c r="A243" s="9"/>
      <c r="B243" s="125"/>
      <c r="C243" s="125"/>
      <c r="D243" s="125"/>
      <c r="E243" s="125"/>
      <c r="F243" s="125"/>
      <c r="G243" s="131"/>
      <c r="H243" s="125"/>
      <c r="I243" s="130"/>
      <c r="J243" s="130"/>
      <c r="K243" s="130"/>
      <c r="L243" s="130"/>
      <c r="M243" s="125"/>
      <c r="N243" s="125"/>
      <c r="O243" s="125"/>
      <c r="P243" s="125"/>
      <c r="Q243" s="125"/>
      <c r="R243" s="125"/>
      <c r="S243" s="125"/>
      <c r="T243" s="125"/>
      <c r="U243" s="125"/>
      <c r="V243" s="125"/>
      <c r="W243" s="10"/>
      <c r="X243" s="9"/>
      <c r="Y243" s="9"/>
      <c r="Z243" s="9"/>
      <c r="AA243" s="9"/>
      <c r="AB243" s="9"/>
      <c r="AC243" s="9"/>
      <c r="AD243" s="9"/>
      <c r="AE243" s="9"/>
      <c r="AF243" s="9"/>
      <c r="AG243" s="11"/>
    </row>
    <row r="244" spans="1:33" ht="13.5" customHeight="1">
      <c r="A244" s="9"/>
      <c r="B244" s="125"/>
      <c r="C244" s="125"/>
      <c r="D244" s="125"/>
      <c r="E244" s="125"/>
      <c r="F244" s="125"/>
      <c r="G244" s="131"/>
      <c r="H244" s="125"/>
      <c r="I244" s="130"/>
      <c r="J244" s="130"/>
      <c r="K244" s="130"/>
      <c r="L244" s="130"/>
      <c r="M244" s="125"/>
      <c r="N244" s="125"/>
      <c r="O244" s="125"/>
      <c r="P244" s="125"/>
      <c r="Q244" s="125"/>
      <c r="R244" s="125"/>
      <c r="S244" s="125"/>
      <c r="T244" s="125"/>
      <c r="U244" s="125"/>
      <c r="V244" s="125"/>
      <c r="W244" s="10"/>
      <c r="X244" s="9"/>
      <c r="Y244" s="9"/>
      <c r="Z244" s="9"/>
      <c r="AA244" s="9"/>
      <c r="AB244" s="9"/>
      <c r="AC244" s="9"/>
      <c r="AD244" s="9"/>
      <c r="AE244" s="9"/>
      <c r="AF244" s="9"/>
      <c r="AG244" s="11"/>
    </row>
    <row r="245" spans="1:33" ht="13.5" customHeight="1">
      <c r="A245" s="9"/>
      <c r="B245" s="125"/>
      <c r="C245" s="125"/>
      <c r="D245" s="125"/>
      <c r="E245" s="125"/>
      <c r="F245" s="125"/>
      <c r="G245" s="131"/>
      <c r="H245" s="125"/>
      <c r="I245" s="130"/>
      <c r="J245" s="130"/>
      <c r="K245" s="130"/>
      <c r="L245" s="130"/>
      <c r="M245" s="125"/>
      <c r="N245" s="125"/>
      <c r="O245" s="125"/>
      <c r="P245" s="125"/>
      <c r="Q245" s="125"/>
      <c r="R245" s="125"/>
      <c r="S245" s="125"/>
      <c r="T245" s="125"/>
      <c r="U245" s="125"/>
      <c r="V245" s="125"/>
      <c r="W245" s="10"/>
      <c r="X245" s="9"/>
      <c r="Y245" s="9"/>
      <c r="Z245" s="9"/>
      <c r="AA245" s="9"/>
      <c r="AB245" s="9"/>
      <c r="AC245" s="9"/>
      <c r="AD245" s="9"/>
      <c r="AE245" s="9"/>
      <c r="AF245" s="9"/>
      <c r="AG245" s="11"/>
    </row>
    <row r="246" spans="1:33" ht="13.5" customHeight="1">
      <c r="A246" s="9"/>
      <c r="B246" s="125"/>
      <c r="C246" s="125"/>
      <c r="D246" s="125"/>
      <c r="E246" s="125"/>
      <c r="F246" s="125"/>
      <c r="G246" s="131"/>
      <c r="H246" s="125"/>
      <c r="I246" s="130"/>
      <c r="J246" s="130"/>
      <c r="K246" s="130"/>
      <c r="L246" s="130"/>
      <c r="M246" s="125"/>
      <c r="N246" s="125"/>
      <c r="O246" s="125"/>
      <c r="P246" s="125"/>
      <c r="Q246" s="125"/>
      <c r="R246" s="125"/>
      <c r="S246" s="125"/>
      <c r="T246" s="125"/>
      <c r="U246" s="125"/>
      <c r="V246" s="125"/>
      <c r="W246" s="10"/>
      <c r="X246" s="9"/>
      <c r="Y246" s="9"/>
      <c r="Z246" s="9"/>
      <c r="AA246" s="9"/>
      <c r="AB246" s="9"/>
      <c r="AC246" s="9"/>
      <c r="AD246" s="9"/>
      <c r="AE246" s="9"/>
      <c r="AF246" s="9"/>
      <c r="AG246" s="11"/>
    </row>
    <row r="247" spans="1:33" ht="13.5" customHeight="1">
      <c r="A247" s="9"/>
      <c r="B247" s="125"/>
      <c r="C247" s="125"/>
      <c r="D247" s="125"/>
      <c r="E247" s="125"/>
      <c r="F247" s="125"/>
      <c r="G247" s="131"/>
      <c r="H247" s="125"/>
      <c r="I247" s="130"/>
      <c r="J247" s="130"/>
      <c r="K247" s="130"/>
      <c r="L247" s="130"/>
      <c r="M247" s="125"/>
      <c r="N247" s="125"/>
      <c r="O247" s="125"/>
      <c r="P247" s="125"/>
      <c r="Q247" s="125"/>
      <c r="R247" s="125"/>
      <c r="S247" s="125"/>
      <c r="T247" s="125"/>
      <c r="U247" s="125"/>
      <c r="V247" s="125"/>
      <c r="W247" s="10"/>
      <c r="X247" s="9"/>
      <c r="Y247" s="9"/>
      <c r="Z247" s="9"/>
      <c r="AA247" s="9"/>
      <c r="AB247" s="9"/>
      <c r="AC247" s="9"/>
      <c r="AD247" s="9"/>
      <c r="AE247" s="9"/>
      <c r="AF247" s="9"/>
      <c r="AG247" s="11"/>
    </row>
    <row r="248" spans="1:33" ht="13.5" customHeight="1">
      <c r="A248" s="9"/>
      <c r="B248" s="125"/>
      <c r="C248" s="125"/>
      <c r="D248" s="125"/>
      <c r="E248" s="125"/>
      <c r="F248" s="125"/>
      <c r="G248" s="131"/>
      <c r="H248" s="125"/>
      <c r="I248" s="130"/>
      <c r="J248" s="130"/>
      <c r="K248" s="130"/>
      <c r="L248" s="130"/>
      <c r="M248" s="125"/>
      <c r="N248" s="125"/>
      <c r="O248" s="125"/>
      <c r="P248" s="125"/>
      <c r="Q248" s="125"/>
      <c r="R248" s="125"/>
      <c r="S248" s="125"/>
      <c r="T248" s="125"/>
      <c r="U248" s="125"/>
      <c r="V248" s="125"/>
      <c r="W248" s="10"/>
      <c r="X248" s="9"/>
      <c r="Y248" s="9"/>
      <c r="Z248" s="9"/>
      <c r="AA248" s="9"/>
      <c r="AB248" s="9"/>
      <c r="AC248" s="9"/>
      <c r="AD248" s="9"/>
      <c r="AE248" s="9"/>
      <c r="AF248" s="9"/>
      <c r="AG248" s="11"/>
    </row>
    <row r="249" spans="1:33" ht="13.5" customHeight="1">
      <c r="A249" s="9"/>
      <c r="B249" s="125"/>
      <c r="C249" s="125"/>
      <c r="D249" s="125"/>
      <c r="E249" s="125"/>
      <c r="F249" s="125"/>
      <c r="G249" s="131"/>
      <c r="H249" s="125"/>
      <c r="I249" s="130"/>
      <c r="J249" s="130"/>
      <c r="K249" s="130"/>
      <c r="L249" s="130"/>
      <c r="M249" s="125"/>
      <c r="N249" s="125"/>
      <c r="O249" s="125"/>
      <c r="P249" s="125"/>
      <c r="Q249" s="125"/>
      <c r="R249" s="125"/>
      <c r="S249" s="125"/>
      <c r="T249" s="125"/>
      <c r="U249" s="125"/>
      <c r="V249" s="125"/>
      <c r="W249" s="10"/>
      <c r="X249" s="9"/>
      <c r="Y249" s="9"/>
      <c r="Z249" s="9"/>
      <c r="AA249" s="9"/>
      <c r="AB249" s="9"/>
      <c r="AC249" s="9"/>
      <c r="AD249" s="9"/>
      <c r="AE249" s="9"/>
      <c r="AF249" s="9"/>
      <c r="AG249" s="11"/>
    </row>
    <row r="250" spans="1:33" ht="13.5" customHeight="1">
      <c r="A250" s="9"/>
      <c r="B250" s="125"/>
      <c r="C250" s="125"/>
      <c r="D250" s="125"/>
      <c r="E250" s="125"/>
      <c r="F250" s="125"/>
      <c r="G250" s="131"/>
      <c r="H250" s="125"/>
      <c r="I250" s="130"/>
      <c r="J250" s="130"/>
      <c r="K250" s="130"/>
      <c r="L250" s="130"/>
      <c r="M250" s="125"/>
      <c r="N250" s="125"/>
      <c r="O250" s="125"/>
      <c r="P250" s="125"/>
      <c r="Q250" s="125"/>
      <c r="R250" s="125"/>
      <c r="S250" s="125"/>
      <c r="T250" s="125"/>
      <c r="U250" s="125"/>
      <c r="V250" s="125"/>
      <c r="W250" s="10"/>
      <c r="X250" s="9"/>
      <c r="Y250" s="9"/>
      <c r="Z250" s="9"/>
      <c r="AA250" s="9"/>
      <c r="AB250" s="9"/>
      <c r="AC250" s="9"/>
      <c r="AD250" s="9"/>
      <c r="AE250" s="9"/>
      <c r="AF250" s="9"/>
      <c r="AG250" s="11"/>
    </row>
    <row r="251" spans="1:33" ht="13.5" customHeight="1">
      <c r="A251" s="9"/>
      <c r="B251" s="125"/>
      <c r="C251" s="125"/>
      <c r="D251" s="125"/>
      <c r="E251" s="125"/>
      <c r="F251" s="125"/>
      <c r="G251" s="131"/>
      <c r="H251" s="125"/>
      <c r="I251" s="130"/>
      <c r="J251" s="130"/>
      <c r="K251" s="130"/>
      <c r="L251" s="130"/>
      <c r="M251" s="125"/>
      <c r="N251" s="125"/>
      <c r="O251" s="125"/>
      <c r="P251" s="125"/>
      <c r="Q251" s="125"/>
      <c r="R251" s="125"/>
      <c r="S251" s="125"/>
      <c r="T251" s="125"/>
      <c r="U251" s="125"/>
      <c r="V251" s="125"/>
      <c r="W251" s="10"/>
      <c r="X251" s="9"/>
      <c r="Y251" s="9"/>
      <c r="Z251" s="9"/>
      <c r="AA251" s="9"/>
      <c r="AB251" s="9"/>
      <c r="AC251" s="9"/>
      <c r="AD251" s="9"/>
      <c r="AE251" s="9"/>
      <c r="AF251" s="9"/>
      <c r="AG251" s="11"/>
    </row>
    <row r="252" spans="1:33" ht="13.5" customHeight="1">
      <c r="A252" s="9"/>
      <c r="B252" s="125"/>
      <c r="C252" s="125"/>
      <c r="D252" s="125"/>
      <c r="E252" s="125"/>
      <c r="F252" s="125"/>
      <c r="G252" s="131"/>
      <c r="H252" s="125"/>
      <c r="I252" s="130"/>
      <c r="J252" s="130"/>
      <c r="K252" s="130"/>
      <c r="L252" s="130"/>
      <c r="M252" s="125"/>
      <c r="N252" s="125"/>
      <c r="O252" s="125"/>
      <c r="P252" s="125"/>
      <c r="Q252" s="125"/>
      <c r="R252" s="125"/>
      <c r="S252" s="125"/>
      <c r="T252" s="125"/>
      <c r="U252" s="125"/>
      <c r="V252" s="125"/>
      <c r="W252" s="10"/>
      <c r="X252" s="9"/>
      <c r="Y252" s="9"/>
      <c r="Z252" s="9"/>
      <c r="AA252" s="9"/>
      <c r="AB252" s="9"/>
      <c r="AC252" s="9"/>
      <c r="AD252" s="9"/>
      <c r="AE252" s="9"/>
      <c r="AF252" s="9"/>
      <c r="AG252" s="11"/>
    </row>
    <row r="253" spans="1:33" ht="13.5" customHeight="1">
      <c r="A253" s="9"/>
      <c r="B253" s="125"/>
      <c r="C253" s="125"/>
      <c r="D253" s="125"/>
      <c r="E253" s="125"/>
      <c r="F253" s="125"/>
      <c r="G253" s="131"/>
      <c r="H253" s="125"/>
      <c r="I253" s="130"/>
      <c r="J253" s="130"/>
      <c r="K253" s="130"/>
      <c r="L253" s="130"/>
      <c r="M253" s="125"/>
      <c r="N253" s="125"/>
      <c r="O253" s="125"/>
      <c r="P253" s="125"/>
      <c r="Q253" s="125"/>
      <c r="R253" s="125"/>
      <c r="S253" s="125"/>
      <c r="T253" s="125"/>
      <c r="U253" s="125"/>
      <c r="V253" s="125"/>
      <c r="W253" s="10"/>
      <c r="X253" s="9"/>
      <c r="Y253" s="9"/>
      <c r="Z253" s="9"/>
      <c r="AA253" s="9"/>
      <c r="AB253" s="9"/>
      <c r="AC253" s="9"/>
      <c r="AD253" s="9"/>
      <c r="AE253" s="9"/>
      <c r="AF253" s="9"/>
      <c r="AG253" s="11"/>
    </row>
    <row r="254" spans="1:33" ht="13.5" customHeight="1">
      <c r="A254" s="9"/>
      <c r="B254" s="125"/>
      <c r="C254" s="125"/>
      <c r="D254" s="125"/>
      <c r="E254" s="125"/>
      <c r="F254" s="125"/>
      <c r="G254" s="131"/>
      <c r="H254" s="125"/>
      <c r="I254" s="130"/>
      <c r="J254" s="130"/>
      <c r="K254" s="130"/>
      <c r="L254" s="130"/>
      <c r="M254" s="125"/>
      <c r="N254" s="125"/>
      <c r="O254" s="125"/>
      <c r="P254" s="125"/>
      <c r="Q254" s="125"/>
      <c r="R254" s="125"/>
      <c r="S254" s="125"/>
      <c r="T254" s="125"/>
      <c r="U254" s="125"/>
      <c r="V254" s="125"/>
      <c r="W254" s="10"/>
      <c r="X254" s="9"/>
      <c r="Y254" s="9"/>
      <c r="Z254" s="9"/>
      <c r="AA254" s="9"/>
      <c r="AB254" s="9"/>
      <c r="AC254" s="9"/>
      <c r="AD254" s="9"/>
      <c r="AE254" s="9"/>
      <c r="AF254" s="9"/>
      <c r="AG254" s="11"/>
    </row>
    <row r="255" spans="1:33" ht="13.5" customHeight="1">
      <c r="A255" s="9"/>
      <c r="B255" s="125"/>
      <c r="C255" s="125"/>
      <c r="D255" s="125"/>
      <c r="E255" s="125"/>
      <c r="F255" s="125"/>
      <c r="G255" s="131"/>
      <c r="H255" s="125"/>
      <c r="I255" s="130"/>
      <c r="J255" s="130"/>
      <c r="K255" s="130"/>
      <c r="L255" s="130"/>
      <c r="M255" s="125"/>
      <c r="N255" s="125"/>
      <c r="O255" s="125"/>
      <c r="P255" s="125"/>
      <c r="Q255" s="125"/>
      <c r="R255" s="125"/>
      <c r="S255" s="125"/>
      <c r="T255" s="125"/>
      <c r="U255" s="125"/>
      <c r="V255" s="125"/>
      <c r="W255" s="10"/>
      <c r="X255" s="9"/>
      <c r="Y255" s="9"/>
      <c r="Z255" s="9"/>
      <c r="AA255" s="9"/>
      <c r="AB255" s="9"/>
      <c r="AC255" s="9"/>
      <c r="AD255" s="9"/>
      <c r="AE255" s="9"/>
      <c r="AF255" s="9"/>
      <c r="AG255" s="11"/>
    </row>
    <row r="256" spans="1:33" ht="13.5" customHeight="1">
      <c r="A256" s="9"/>
      <c r="B256" s="125"/>
      <c r="C256" s="125"/>
      <c r="D256" s="125"/>
      <c r="E256" s="125"/>
      <c r="F256" s="125"/>
      <c r="G256" s="131"/>
      <c r="H256" s="125"/>
      <c r="I256" s="130"/>
      <c r="J256" s="130"/>
      <c r="K256" s="130"/>
      <c r="L256" s="130"/>
      <c r="M256" s="125"/>
      <c r="N256" s="125"/>
      <c r="O256" s="125"/>
      <c r="P256" s="125"/>
      <c r="Q256" s="125"/>
      <c r="R256" s="125"/>
      <c r="S256" s="125"/>
      <c r="T256" s="125"/>
      <c r="U256" s="125"/>
      <c r="V256" s="125"/>
      <c r="W256" s="10"/>
      <c r="X256" s="9"/>
      <c r="Y256" s="9"/>
      <c r="Z256" s="9"/>
      <c r="AA256" s="9"/>
      <c r="AB256" s="9"/>
      <c r="AC256" s="9"/>
      <c r="AD256" s="9"/>
      <c r="AE256" s="9"/>
      <c r="AF256" s="9"/>
      <c r="AG256" s="11"/>
    </row>
    <row r="257" spans="1:33" ht="13.5" customHeight="1">
      <c r="A257" s="9"/>
      <c r="B257" s="125"/>
      <c r="C257" s="125"/>
      <c r="D257" s="125"/>
      <c r="E257" s="125"/>
      <c r="F257" s="125"/>
      <c r="G257" s="131"/>
      <c r="H257" s="125"/>
      <c r="I257" s="130"/>
      <c r="J257" s="130"/>
      <c r="K257" s="130"/>
      <c r="L257" s="130"/>
      <c r="M257" s="125"/>
      <c r="N257" s="125"/>
      <c r="O257" s="125"/>
      <c r="P257" s="125"/>
      <c r="Q257" s="125"/>
      <c r="R257" s="125"/>
      <c r="S257" s="125"/>
      <c r="T257" s="125"/>
      <c r="U257" s="125"/>
      <c r="V257" s="125"/>
      <c r="W257" s="10"/>
      <c r="X257" s="9"/>
      <c r="Y257" s="9"/>
      <c r="Z257" s="9"/>
      <c r="AA257" s="9"/>
      <c r="AB257" s="9"/>
      <c r="AC257" s="9"/>
      <c r="AD257" s="9"/>
      <c r="AE257" s="9"/>
      <c r="AF257" s="9"/>
      <c r="AG257" s="11"/>
    </row>
    <row r="258" spans="1:33" ht="13.5" customHeight="1">
      <c r="A258" s="9"/>
      <c r="B258" s="125"/>
      <c r="C258" s="125"/>
      <c r="D258" s="125"/>
      <c r="E258" s="125"/>
      <c r="F258" s="125"/>
      <c r="G258" s="131"/>
      <c r="H258" s="125"/>
      <c r="I258" s="130"/>
      <c r="J258" s="130"/>
      <c r="K258" s="130"/>
      <c r="L258" s="130"/>
      <c r="M258" s="125"/>
      <c r="N258" s="125"/>
      <c r="O258" s="125"/>
      <c r="P258" s="125"/>
      <c r="Q258" s="125"/>
      <c r="R258" s="125"/>
      <c r="S258" s="125"/>
      <c r="T258" s="125"/>
      <c r="U258" s="125"/>
      <c r="V258" s="125"/>
      <c r="W258" s="10"/>
      <c r="X258" s="9"/>
      <c r="Y258" s="9"/>
      <c r="Z258" s="9"/>
      <c r="AA258" s="9"/>
      <c r="AB258" s="9"/>
      <c r="AC258" s="9"/>
      <c r="AD258" s="9"/>
      <c r="AE258" s="9"/>
      <c r="AF258" s="9"/>
      <c r="AG258" s="11"/>
    </row>
    <row r="259" spans="1:33" ht="13.5" customHeight="1">
      <c r="A259" s="9"/>
      <c r="B259" s="125"/>
      <c r="C259" s="125"/>
      <c r="D259" s="125"/>
      <c r="E259" s="125"/>
      <c r="F259" s="125"/>
      <c r="G259" s="131"/>
      <c r="H259" s="125"/>
      <c r="I259" s="130"/>
      <c r="J259" s="130"/>
      <c r="K259" s="130"/>
      <c r="L259" s="130"/>
      <c r="M259" s="125"/>
      <c r="N259" s="125"/>
      <c r="O259" s="125"/>
      <c r="P259" s="125"/>
      <c r="Q259" s="125"/>
      <c r="R259" s="125"/>
      <c r="S259" s="125"/>
      <c r="T259" s="125"/>
      <c r="U259" s="125"/>
      <c r="V259" s="125"/>
      <c r="W259" s="10"/>
      <c r="X259" s="9"/>
      <c r="Y259" s="9"/>
      <c r="Z259" s="9"/>
      <c r="AA259" s="9"/>
      <c r="AB259" s="9"/>
      <c r="AC259" s="9"/>
      <c r="AD259" s="9"/>
      <c r="AE259" s="9"/>
      <c r="AF259" s="9"/>
      <c r="AG259" s="11"/>
    </row>
    <row r="260" spans="1:33" ht="13.5" customHeight="1">
      <c r="A260" s="9"/>
      <c r="B260" s="125"/>
      <c r="C260" s="125"/>
      <c r="D260" s="125"/>
      <c r="E260" s="125"/>
      <c r="F260" s="125"/>
      <c r="G260" s="131"/>
      <c r="H260" s="125"/>
      <c r="I260" s="130"/>
      <c r="J260" s="130"/>
      <c r="K260" s="130"/>
      <c r="L260" s="130"/>
      <c r="M260" s="125"/>
      <c r="N260" s="125"/>
      <c r="O260" s="125"/>
      <c r="P260" s="125"/>
      <c r="Q260" s="125"/>
      <c r="R260" s="125"/>
      <c r="S260" s="125"/>
      <c r="T260" s="125"/>
      <c r="U260" s="125"/>
      <c r="V260" s="125"/>
      <c r="W260" s="10"/>
      <c r="X260" s="9"/>
      <c r="Y260" s="9"/>
      <c r="Z260" s="9"/>
      <c r="AA260" s="9"/>
      <c r="AB260" s="9"/>
      <c r="AC260" s="9"/>
      <c r="AD260" s="9"/>
      <c r="AE260" s="9"/>
      <c r="AF260" s="9"/>
      <c r="AG260" s="11"/>
    </row>
    <row r="261" spans="1:33" ht="13.5" customHeight="1">
      <c r="A261" s="9"/>
      <c r="B261" s="125"/>
      <c r="C261" s="125"/>
      <c r="D261" s="125"/>
      <c r="E261" s="125"/>
      <c r="F261" s="125"/>
      <c r="G261" s="131"/>
      <c r="H261" s="125"/>
      <c r="I261" s="130"/>
      <c r="J261" s="130"/>
      <c r="K261" s="130"/>
      <c r="L261" s="130"/>
      <c r="M261" s="125"/>
      <c r="N261" s="125"/>
      <c r="O261" s="125"/>
      <c r="P261" s="125"/>
      <c r="Q261" s="125"/>
      <c r="R261" s="125"/>
      <c r="S261" s="125"/>
      <c r="T261" s="125"/>
      <c r="U261" s="125"/>
      <c r="V261" s="125"/>
      <c r="W261" s="10"/>
      <c r="X261" s="9"/>
      <c r="Y261" s="9"/>
      <c r="Z261" s="9"/>
      <c r="AA261" s="9"/>
      <c r="AB261" s="9"/>
      <c r="AC261" s="9"/>
      <c r="AD261" s="9"/>
      <c r="AE261" s="9"/>
      <c r="AF261" s="9"/>
      <c r="AG261" s="11"/>
    </row>
    <row r="262" spans="1:33" ht="13.5" customHeight="1">
      <c r="A262" s="9"/>
      <c r="B262" s="125"/>
      <c r="C262" s="125"/>
      <c r="D262" s="125"/>
      <c r="E262" s="125"/>
      <c r="F262" s="125"/>
      <c r="G262" s="131"/>
      <c r="H262" s="125"/>
      <c r="I262" s="130"/>
      <c r="J262" s="130"/>
      <c r="K262" s="130"/>
      <c r="L262" s="130"/>
      <c r="M262" s="125"/>
      <c r="N262" s="125"/>
      <c r="O262" s="125"/>
      <c r="P262" s="125"/>
      <c r="Q262" s="125"/>
      <c r="R262" s="125"/>
      <c r="S262" s="125"/>
      <c r="T262" s="125"/>
      <c r="U262" s="125"/>
      <c r="V262" s="125"/>
      <c r="W262" s="10"/>
      <c r="X262" s="9"/>
      <c r="Y262" s="9"/>
      <c r="Z262" s="9"/>
      <c r="AA262" s="9"/>
      <c r="AB262" s="9"/>
      <c r="AC262" s="9"/>
      <c r="AD262" s="9"/>
      <c r="AE262" s="9"/>
      <c r="AF262" s="9"/>
      <c r="AG262" s="11"/>
    </row>
    <row r="263" spans="1:33" ht="13.5" customHeight="1">
      <c r="A263" s="9"/>
      <c r="B263" s="125"/>
      <c r="C263" s="125"/>
      <c r="D263" s="125"/>
      <c r="E263" s="125"/>
      <c r="F263" s="125"/>
      <c r="G263" s="131"/>
      <c r="H263" s="125"/>
      <c r="I263" s="130"/>
      <c r="J263" s="130"/>
      <c r="K263" s="130"/>
      <c r="L263" s="130"/>
      <c r="M263" s="125"/>
      <c r="N263" s="125"/>
      <c r="O263" s="125"/>
      <c r="P263" s="125"/>
      <c r="Q263" s="125"/>
      <c r="R263" s="125"/>
      <c r="S263" s="125"/>
      <c r="T263" s="125"/>
      <c r="U263" s="125"/>
      <c r="V263" s="125"/>
      <c r="W263" s="10"/>
      <c r="X263" s="9"/>
      <c r="Y263" s="9"/>
      <c r="Z263" s="9"/>
      <c r="AA263" s="9"/>
      <c r="AB263" s="9"/>
      <c r="AC263" s="9"/>
      <c r="AD263" s="9"/>
      <c r="AE263" s="9"/>
      <c r="AF263" s="9"/>
      <c r="AG263" s="11"/>
    </row>
    <row r="264" spans="1:33" ht="13.5" customHeight="1">
      <c r="A264" s="9"/>
      <c r="B264" s="125"/>
      <c r="C264" s="125"/>
      <c r="D264" s="125"/>
      <c r="E264" s="125"/>
      <c r="F264" s="125"/>
      <c r="G264" s="131"/>
      <c r="H264" s="125"/>
      <c r="I264" s="130"/>
      <c r="J264" s="130"/>
      <c r="K264" s="130"/>
      <c r="L264" s="130"/>
      <c r="M264" s="125"/>
      <c r="N264" s="125"/>
      <c r="O264" s="125"/>
      <c r="P264" s="125"/>
      <c r="Q264" s="125"/>
      <c r="R264" s="125"/>
      <c r="S264" s="125"/>
      <c r="T264" s="125"/>
      <c r="U264" s="125"/>
      <c r="V264" s="125"/>
      <c r="W264" s="10"/>
      <c r="X264" s="9"/>
      <c r="Y264" s="9"/>
      <c r="Z264" s="9"/>
      <c r="AA264" s="9"/>
      <c r="AB264" s="9"/>
      <c r="AC264" s="9"/>
      <c r="AD264" s="9"/>
      <c r="AE264" s="9"/>
      <c r="AF264" s="9"/>
      <c r="AG264" s="11"/>
    </row>
    <row r="265" spans="1:33" ht="13.5" customHeight="1">
      <c r="A265" s="9"/>
      <c r="B265" s="125"/>
      <c r="C265" s="125"/>
      <c r="D265" s="125"/>
      <c r="E265" s="125"/>
      <c r="F265" s="125"/>
      <c r="G265" s="131"/>
      <c r="H265" s="125"/>
      <c r="I265" s="130"/>
      <c r="J265" s="130"/>
      <c r="K265" s="130"/>
      <c r="L265" s="130"/>
      <c r="M265" s="125"/>
      <c r="N265" s="125"/>
      <c r="O265" s="125"/>
      <c r="P265" s="125"/>
      <c r="Q265" s="125"/>
      <c r="R265" s="125"/>
      <c r="S265" s="125"/>
      <c r="T265" s="125"/>
      <c r="U265" s="125"/>
      <c r="V265" s="125"/>
      <c r="W265" s="10"/>
      <c r="X265" s="9"/>
      <c r="Y265" s="9"/>
      <c r="Z265" s="9"/>
      <c r="AA265" s="9"/>
      <c r="AB265" s="9"/>
      <c r="AC265" s="9"/>
      <c r="AD265" s="9"/>
      <c r="AE265" s="9"/>
      <c r="AF265" s="9"/>
      <c r="AG265" s="11"/>
    </row>
    <row r="266" spans="1:33" ht="13.5" customHeight="1">
      <c r="A266" s="9"/>
      <c r="B266" s="125"/>
      <c r="C266" s="125"/>
      <c r="D266" s="125"/>
      <c r="E266" s="125"/>
      <c r="F266" s="125"/>
      <c r="G266" s="131"/>
      <c r="H266" s="125"/>
      <c r="I266" s="130"/>
      <c r="J266" s="130"/>
      <c r="K266" s="130"/>
      <c r="L266" s="130"/>
      <c r="M266" s="125"/>
      <c r="N266" s="125"/>
      <c r="O266" s="125"/>
      <c r="P266" s="125"/>
      <c r="Q266" s="125"/>
      <c r="R266" s="125"/>
      <c r="S266" s="125"/>
      <c r="T266" s="125"/>
      <c r="U266" s="125"/>
      <c r="V266" s="125"/>
      <c r="W266" s="10"/>
      <c r="X266" s="9"/>
      <c r="Y266" s="9"/>
      <c r="Z266" s="9"/>
      <c r="AA266" s="9"/>
      <c r="AB266" s="9"/>
      <c r="AC266" s="9"/>
      <c r="AD266" s="9"/>
      <c r="AE266" s="9"/>
      <c r="AF266" s="9"/>
      <c r="AG266" s="11"/>
    </row>
    <row r="267" spans="1:33" ht="13.5" customHeight="1">
      <c r="A267" s="9"/>
      <c r="B267" s="125"/>
      <c r="C267" s="125"/>
      <c r="D267" s="125"/>
      <c r="E267" s="125"/>
      <c r="F267" s="125"/>
      <c r="G267" s="131"/>
      <c r="H267" s="125"/>
      <c r="I267" s="130"/>
      <c r="J267" s="130"/>
      <c r="K267" s="130"/>
      <c r="L267" s="130"/>
      <c r="M267" s="125"/>
      <c r="N267" s="125"/>
      <c r="O267" s="125"/>
      <c r="P267" s="125"/>
      <c r="Q267" s="125"/>
      <c r="R267" s="125"/>
      <c r="S267" s="125"/>
      <c r="T267" s="125"/>
      <c r="U267" s="125"/>
      <c r="V267" s="125"/>
      <c r="W267" s="10"/>
      <c r="X267" s="9"/>
      <c r="Y267" s="9"/>
      <c r="Z267" s="9"/>
      <c r="AA267" s="9"/>
      <c r="AB267" s="9"/>
      <c r="AC267" s="9"/>
      <c r="AD267" s="9"/>
      <c r="AE267" s="9"/>
      <c r="AF267" s="9"/>
      <c r="AG267" s="11"/>
    </row>
    <row r="268" spans="1:33" ht="13.5" customHeight="1">
      <c r="A268" s="9"/>
      <c r="B268" s="125"/>
      <c r="C268" s="125"/>
      <c r="D268" s="125"/>
      <c r="E268" s="125"/>
      <c r="F268" s="125"/>
      <c r="G268" s="131"/>
      <c r="H268" s="125"/>
      <c r="I268" s="130"/>
      <c r="J268" s="130"/>
      <c r="K268" s="130"/>
      <c r="L268" s="130"/>
      <c r="M268" s="125"/>
      <c r="N268" s="125"/>
      <c r="O268" s="125"/>
      <c r="P268" s="125"/>
      <c r="Q268" s="125"/>
      <c r="R268" s="125"/>
      <c r="S268" s="125"/>
      <c r="T268" s="125"/>
      <c r="U268" s="125"/>
      <c r="V268" s="125"/>
      <c r="W268" s="10"/>
      <c r="X268" s="9"/>
      <c r="Y268" s="9"/>
      <c r="Z268" s="9"/>
      <c r="AA268" s="9"/>
      <c r="AB268" s="9"/>
      <c r="AC268" s="9"/>
      <c r="AD268" s="9"/>
      <c r="AE268" s="9"/>
      <c r="AF268" s="9"/>
      <c r="AG268" s="11"/>
    </row>
    <row r="269" spans="1:33" ht="13.5" customHeight="1">
      <c r="A269" s="9"/>
      <c r="B269" s="125"/>
      <c r="C269" s="125"/>
      <c r="D269" s="125"/>
      <c r="E269" s="125"/>
      <c r="F269" s="125"/>
      <c r="G269" s="131"/>
      <c r="H269" s="125"/>
      <c r="I269" s="130"/>
      <c r="J269" s="130"/>
      <c r="K269" s="130"/>
      <c r="L269" s="130"/>
      <c r="M269" s="125"/>
      <c r="N269" s="125"/>
      <c r="O269" s="125"/>
      <c r="P269" s="125"/>
      <c r="Q269" s="125"/>
      <c r="R269" s="125"/>
      <c r="S269" s="125"/>
      <c r="T269" s="125"/>
      <c r="U269" s="125"/>
      <c r="V269" s="125"/>
      <c r="W269" s="10"/>
      <c r="X269" s="9"/>
      <c r="Y269" s="9"/>
      <c r="Z269" s="9"/>
      <c r="AA269" s="9"/>
      <c r="AB269" s="9"/>
      <c r="AC269" s="9"/>
      <c r="AD269" s="9"/>
      <c r="AE269" s="9"/>
      <c r="AF269" s="9"/>
      <c r="AG269" s="11"/>
    </row>
    <row r="270" spans="1:33" ht="13.5" customHeight="1">
      <c r="A270" s="9"/>
      <c r="B270" s="125"/>
      <c r="C270" s="125"/>
      <c r="D270" s="125"/>
      <c r="E270" s="125"/>
      <c r="F270" s="125"/>
      <c r="G270" s="131"/>
      <c r="H270" s="125"/>
      <c r="I270" s="130"/>
      <c r="J270" s="130"/>
      <c r="K270" s="130"/>
      <c r="L270" s="130"/>
      <c r="M270" s="125"/>
      <c r="N270" s="125"/>
      <c r="O270" s="125"/>
      <c r="P270" s="125"/>
      <c r="Q270" s="125"/>
      <c r="R270" s="125"/>
      <c r="S270" s="125"/>
      <c r="T270" s="125"/>
      <c r="U270" s="125"/>
      <c r="V270" s="125"/>
      <c r="W270" s="10"/>
      <c r="X270" s="9"/>
      <c r="Y270" s="9"/>
      <c r="Z270" s="9"/>
      <c r="AA270" s="9"/>
      <c r="AB270" s="9"/>
      <c r="AC270" s="9"/>
      <c r="AD270" s="9"/>
      <c r="AE270" s="9"/>
      <c r="AF270" s="9"/>
      <c r="AG270" s="11"/>
    </row>
    <row r="271" spans="1:33" ht="13.5" customHeight="1">
      <c r="A271" s="9"/>
      <c r="B271" s="125"/>
      <c r="C271" s="125"/>
      <c r="D271" s="125"/>
      <c r="E271" s="125"/>
      <c r="F271" s="125"/>
      <c r="G271" s="131"/>
      <c r="H271" s="125"/>
      <c r="I271" s="130"/>
      <c r="J271" s="130"/>
      <c r="K271" s="130"/>
      <c r="L271" s="130"/>
      <c r="M271" s="125"/>
      <c r="N271" s="125"/>
      <c r="O271" s="125"/>
      <c r="P271" s="125"/>
      <c r="Q271" s="125"/>
      <c r="R271" s="125"/>
      <c r="S271" s="125"/>
      <c r="T271" s="125"/>
      <c r="U271" s="125"/>
      <c r="V271" s="125"/>
      <c r="W271" s="10"/>
      <c r="X271" s="9"/>
      <c r="Y271" s="9"/>
      <c r="Z271" s="9"/>
      <c r="AA271" s="9"/>
      <c r="AB271" s="9"/>
      <c r="AC271" s="9"/>
      <c r="AD271" s="9"/>
      <c r="AE271" s="9"/>
      <c r="AF271" s="9"/>
      <c r="AG271" s="11"/>
    </row>
    <row r="272" spans="1:33" ht="13.5" customHeight="1">
      <c r="A272" s="9"/>
      <c r="B272" s="125"/>
      <c r="C272" s="125"/>
      <c r="D272" s="125"/>
      <c r="E272" s="125"/>
      <c r="F272" s="125"/>
      <c r="G272" s="131"/>
      <c r="H272" s="125"/>
      <c r="I272" s="130"/>
      <c r="J272" s="130"/>
      <c r="K272" s="130"/>
      <c r="L272" s="130"/>
      <c r="M272" s="125"/>
      <c r="N272" s="125"/>
      <c r="O272" s="125"/>
      <c r="P272" s="125"/>
      <c r="Q272" s="125"/>
      <c r="R272" s="125"/>
      <c r="S272" s="125"/>
      <c r="T272" s="125"/>
      <c r="U272" s="125"/>
      <c r="V272" s="125"/>
      <c r="W272" s="10"/>
      <c r="X272" s="9"/>
      <c r="Y272" s="9"/>
      <c r="Z272" s="9"/>
      <c r="AA272" s="9"/>
      <c r="AB272" s="9"/>
      <c r="AC272" s="9"/>
      <c r="AD272" s="9"/>
      <c r="AE272" s="9"/>
      <c r="AF272" s="9"/>
      <c r="AG272" s="11"/>
    </row>
    <row r="273" spans="1:33" ht="13.5" customHeight="1">
      <c r="A273" s="9"/>
      <c r="B273" s="125"/>
      <c r="C273" s="125"/>
      <c r="D273" s="125"/>
      <c r="E273" s="125"/>
      <c r="F273" s="125"/>
      <c r="G273" s="131"/>
      <c r="H273" s="125"/>
      <c r="I273" s="130"/>
      <c r="J273" s="130"/>
      <c r="K273" s="130"/>
      <c r="L273" s="130"/>
      <c r="M273" s="125"/>
      <c r="N273" s="125"/>
      <c r="O273" s="125"/>
      <c r="P273" s="125"/>
      <c r="Q273" s="125"/>
      <c r="R273" s="125"/>
      <c r="S273" s="125"/>
      <c r="T273" s="125"/>
      <c r="U273" s="125"/>
      <c r="V273" s="125"/>
      <c r="W273" s="10"/>
      <c r="X273" s="9"/>
      <c r="Y273" s="9"/>
      <c r="Z273" s="9"/>
      <c r="AA273" s="9"/>
      <c r="AB273" s="9"/>
      <c r="AC273" s="9"/>
      <c r="AD273" s="9"/>
      <c r="AE273" s="9"/>
      <c r="AF273" s="9"/>
      <c r="AG273" s="11"/>
    </row>
    <row r="274" spans="1:33" ht="13.5" customHeight="1">
      <c r="A274" s="9"/>
      <c r="B274" s="125"/>
      <c r="C274" s="125"/>
      <c r="D274" s="125"/>
      <c r="E274" s="125"/>
      <c r="F274" s="125"/>
      <c r="G274" s="131"/>
      <c r="H274" s="125"/>
      <c r="I274" s="130"/>
      <c r="J274" s="130"/>
      <c r="K274" s="130"/>
      <c r="L274" s="130"/>
      <c r="M274" s="125"/>
      <c r="N274" s="125"/>
      <c r="O274" s="125"/>
      <c r="P274" s="125"/>
      <c r="Q274" s="125"/>
      <c r="R274" s="125"/>
      <c r="S274" s="125"/>
      <c r="T274" s="125"/>
      <c r="U274" s="125"/>
      <c r="V274" s="125"/>
      <c r="W274" s="10"/>
      <c r="X274" s="9"/>
      <c r="Y274" s="9"/>
      <c r="Z274" s="9"/>
      <c r="AA274" s="9"/>
      <c r="AB274" s="9"/>
      <c r="AC274" s="9"/>
      <c r="AD274" s="9"/>
      <c r="AE274" s="9"/>
      <c r="AF274" s="9"/>
      <c r="AG274" s="11"/>
    </row>
    <row r="275" spans="1:33" ht="13.5" customHeight="1">
      <c r="A275" s="9"/>
      <c r="B275" s="125"/>
      <c r="C275" s="125"/>
      <c r="D275" s="125"/>
      <c r="E275" s="125"/>
      <c r="F275" s="125"/>
      <c r="G275" s="131"/>
      <c r="H275" s="125"/>
      <c r="I275" s="130"/>
      <c r="J275" s="130"/>
      <c r="K275" s="130"/>
      <c r="L275" s="130"/>
      <c r="M275" s="125"/>
      <c r="N275" s="125"/>
      <c r="O275" s="125"/>
      <c r="P275" s="125"/>
      <c r="Q275" s="125"/>
      <c r="R275" s="125"/>
      <c r="S275" s="125"/>
      <c r="T275" s="125"/>
      <c r="U275" s="125"/>
      <c r="V275" s="125"/>
      <c r="W275" s="10"/>
      <c r="X275" s="9"/>
      <c r="Y275" s="9"/>
      <c r="Z275" s="9"/>
      <c r="AA275" s="9"/>
      <c r="AB275" s="9"/>
      <c r="AC275" s="9"/>
      <c r="AD275" s="9"/>
      <c r="AE275" s="9"/>
      <c r="AF275" s="9"/>
      <c r="AG275" s="11"/>
    </row>
    <row r="276" spans="1:33" ht="13.5" customHeight="1">
      <c r="A276" s="9"/>
      <c r="B276" s="125"/>
      <c r="C276" s="125"/>
      <c r="D276" s="125"/>
      <c r="E276" s="125"/>
      <c r="F276" s="125"/>
      <c r="G276" s="131"/>
      <c r="H276" s="125"/>
      <c r="I276" s="130"/>
      <c r="J276" s="130"/>
      <c r="K276" s="130"/>
      <c r="L276" s="130"/>
      <c r="M276" s="125"/>
      <c r="N276" s="125"/>
      <c r="O276" s="125"/>
      <c r="P276" s="125"/>
      <c r="Q276" s="125"/>
      <c r="R276" s="125"/>
      <c r="S276" s="125"/>
      <c r="T276" s="125"/>
      <c r="U276" s="125"/>
      <c r="V276" s="125"/>
      <c r="W276" s="10"/>
      <c r="X276" s="9"/>
      <c r="Y276" s="9"/>
      <c r="Z276" s="9"/>
      <c r="AA276" s="9"/>
      <c r="AB276" s="9"/>
      <c r="AC276" s="9"/>
      <c r="AD276" s="9"/>
      <c r="AE276" s="9"/>
      <c r="AF276" s="9"/>
      <c r="AG276" s="11"/>
    </row>
    <row r="277" spans="1:33" ht="13.5" customHeight="1">
      <c r="A277" s="9"/>
      <c r="B277" s="125"/>
      <c r="C277" s="125"/>
      <c r="D277" s="125"/>
      <c r="E277" s="125"/>
      <c r="F277" s="125"/>
      <c r="G277" s="131"/>
      <c r="H277" s="125"/>
      <c r="I277" s="130"/>
      <c r="J277" s="130"/>
      <c r="K277" s="130"/>
      <c r="L277" s="130"/>
      <c r="M277" s="125"/>
      <c r="N277" s="125"/>
      <c r="O277" s="125"/>
      <c r="P277" s="125"/>
      <c r="Q277" s="125"/>
      <c r="R277" s="125"/>
      <c r="S277" s="125"/>
      <c r="T277" s="125"/>
      <c r="U277" s="125"/>
      <c r="V277" s="125"/>
      <c r="W277" s="10"/>
      <c r="X277" s="9"/>
      <c r="Y277" s="9"/>
      <c r="Z277" s="9"/>
      <c r="AA277" s="9"/>
      <c r="AB277" s="9"/>
      <c r="AC277" s="9"/>
      <c r="AD277" s="9"/>
      <c r="AE277" s="9"/>
      <c r="AF277" s="9"/>
      <c r="AG277" s="11"/>
    </row>
    <row r="278" spans="1:33" ht="13.5" customHeight="1">
      <c r="A278" s="9"/>
      <c r="B278" s="125"/>
      <c r="C278" s="125"/>
      <c r="D278" s="125"/>
      <c r="E278" s="125"/>
      <c r="F278" s="125"/>
      <c r="G278" s="131"/>
      <c r="H278" s="125"/>
      <c r="I278" s="130"/>
      <c r="J278" s="130"/>
      <c r="K278" s="130"/>
      <c r="L278" s="130"/>
      <c r="M278" s="125"/>
      <c r="N278" s="125"/>
      <c r="O278" s="125"/>
      <c r="P278" s="125"/>
      <c r="Q278" s="125"/>
      <c r="R278" s="125"/>
      <c r="S278" s="125"/>
      <c r="T278" s="125"/>
      <c r="U278" s="125"/>
      <c r="V278" s="125"/>
      <c r="W278" s="10"/>
      <c r="X278" s="9"/>
      <c r="Y278" s="9"/>
      <c r="Z278" s="9"/>
      <c r="AA278" s="9"/>
      <c r="AB278" s="9"/>
      <c r="AC278" s="9"/>
      <c r="AD278" s="9"/>
      <c r="AE278" s="9"/>
      <c r="AF278" s="9"/>
      <c r="AG278" s="11"/>
    </row>
    <row r="279" spans="1:33" ht="13.5" customHeight="1">
      <c r="A279" s="9"/>
      <c r="B279" s="125"/>
      <c r="C279" s="125"/>
      <c r="D279" s="125"/>
      <c r="E279" s="125"/>
      <c r="F279" s="125"/>
      <c r="G279" s="131"/>
      <c r="H279" s="125"/>
      <c r="I279" s="130"/>
      <c r="J279" s="130"/>
      <c r="K279" s="130"/>
      <c r="L279" s="130"/>
      <c r="M279" s="125"/>
      <c r="N279" s="125"/>
      <c r="O279" s="125"/>
      <c r="P279" s="125"/>
      <c r="Q279" s="125"/>
      <c r="R279" s="125"/>
      <c r="S279" s="125"/>
      <c r="T279" s="125"/>
      <c r="U279" s="125"/>
      <c r="V279" s="125"/>
      <c r="W279" s="10"/>
      <c r="X279" s="9"/>
      <c r="Y279" s="9"/>
      <c r="Z279" s="9"/>
      <c r="AA279" s="9"/>
      <c r="AB279" s="9"/>
      <c r="AC279" s="9"/>
      <c r="AD279" s="9"/>
      <c r="AE279" s="9"/>
      <c r="AF279" s="9"/>
      <c r="AG279" s="11"/>
    </row>
    <row r="280" spans="1:33" ht="13.5" customHeight="1">
      <c r="A280" s="9"/>
      <c r="B280" s="125"/>
      <c r="C280" s="125"/>
      <c r="D280" s="125"/>
      <c r="E280" s="125"/>
      <c r="F280" s="125"/>
      <c r="G280" s="131"/>
      <c r="H280" s="125"/>
      <c r="I280" s="130"/>
      <c r="J280" s="130"/>
      <c r="K280" s="130"/>
      <c r="L280" s="130"/>
      <c r="M280" s="125"/>
      <c r="N280" s="125"/>
      <c r="O280" s="125"/>
      <c r="P280" s="125"/>
      <c r="Q280" s="125"/>
      <c r="R280" s="125"/>
      <c r="S280" s="125"/>
      <c r="T280" s="125"/>
      <c r="U280" s="125"/>
      <c r="V280" s="125"/>
      <c r="W280" s="10"/>
      <c r="X280" s="9"/>
      <c r="Y280" s="9"/>
      <c r="Z280" s="9"/>
      <c r="AA280" s="9"/>
      <c r="AB280" s="9"/>
      <c r="AC280" s="9"/>
      <c r="AD280" s="9"/>
      <c r="AE280" s="9"/>
      <c r="AF280" s="9"/>
      <c r="AG280" s="11"/>
    </row>
    <row r="281" spans="1:33" ht="13.5" customHeight="1">
      <c r="A281" s="9"/>
      <c r="B281" s="125"/>
      <c r="C281" s="125"/>
      <c r="D281" s="125"/>
      <c r="E281" s="125"/>
      <c r="F281" s="125"/>
      <c r="G281" s="131"/>
      <c r="H281" s="125"/>
      <c r="I281" s="130"/>
      <c r="J281" s="130"/>
      <c r="K281" s="130"/>
      <c r="L281" s="130"/>
      <c r="M281" s="125"/>
      <c r="N281" s="125"/>
      <c r="O281" s="125"/>
      <c r="P281" s="125"/>
      <c r="Q281" s="125"/>
      <c r="R281" s="125"/>
      <c r="S281" s="125"/>
      <c r="T281" s="125"/>
      <c r="U281" s="125"/>
      <c r="V281" s="125"/>
      <c r="W281" s="10"/>
      <c r="X281" s="9"/>
      <c r="Y281" s="9"/>
      <c r="Z281" s="9"/>
      <c r="AA281" s="9"/>
      <c r="AB281" s="9"/>
      <c r="AC281" s="9"/>
      <c r="AD281" s="9"/>
      <c r="AE281" s="9"/>
      <c r="AF281" s="9"/>
      <c r="AG281" s="11"/>
    </row>
    <row r="282" spans="1:33" ht="13.5" customHeight="1">
      <c r="A282" s="9"/>
      <c r="B282" s="125"/>
      <c r="C282" s="125"/>
      <c r="D282" s="125"/>
      <c r="E282" s="125"/>
      <c r="F282" s="125"/>
      <c r="G282" s="131"/>
      <c r="H282" s="125"/>
      <c r="I282" s="130"/>
      <c r="J282" s="130"/>
      <c r="K282" s="130"/>
      <c r="L282" s="130"/>
      <c r="M282" s="125"/>
      <c r="N282" s="125"/>
      <c r="O282" s="125"/>
      <c r="P282" s="125"/>
      <c r="Q282" s="125"/>
      <c r="R282" s="125"/>
      <c r="S282" s="125"/>
      <c r="T282" s="125"/>
      <c r="U282" s="125"/>
      <c r="V282" s="125"/>
      <c r="W282" s="10"/>
      <c r="X282" s="9"/>
      <c r="Y282" s="9"/>
      <c r="Z282" s="9"/>
      <c r="AA282" s="9"/>
      <c r="AB282" s="9"/>
      <c r="AC282" s="9"/>
      <c r="AD282" s="9"/>
      <c r="AE282" s="9"/>
      <c r="AF282" s="9"/>
      <c r="AG282" s="11"/>
    </row>
    <row r="283" spans="1:33" ht="13.5" customHeight="1">
      <c r="A283" s="9"/>
      <c r="B283" s="125"/>
      <c r="C283" s="125"/>
      <c r="D283" s="125"/>
      <c r="E283" s="125"/>
      <c r="F283" s="125"/>
      <c r="G283" s="131"/>
      <c r="H283" s="125"/>
      <c r="I283" s="130"/>
      <c r="J283" s="130"/>
      <c r="K283" s="130"/>
      <c r="L283" s="130"/>
      <c r="M283" s="125"/>
      <c r="N283" s="125"/>
      <c r="O283" s="125"/>
      <c r="P283" s="125"/>
      <c r="Q283" s="125"/>
      <c r="R283" s="125"/>
      <c r="S283" s="125"/>
      <c r="T283" s="125"/>
      <c r="U283" s="125"/>
      <c r="V283" s="125"/>
      <c r="W283" s="10"/>
      <c r="X283" s="9"/>
      <c r="Y283" s="9"/>
      <c r="Z283" s="9"/>
      <c r="AA283" s="9"/>
      <c r="AB283" s="9"/>
      <c r="AC283" s="9"/>
      <c r="AD283" s="9"/>
      <c r="AE283" s="9"/>
      <c r="AF283" s="9"/>
      <c r="AG283" s="11"/>
    </row>
    <row r="284" spans="1:33" ht="13.5" customHeight="1">
      <c r="A284" s="9"/>
      <c r="B284" s="125"/>
      <c r="C284" s="125"/>
      <c r="D284" s="125"/>
      <c r="E284" s="125"/>
      <c r="F284" s="125"/>
      <c r="G284" s="131"/>
      <c r="H284" s="125"/>
      <c r="I284" s="130"/>
      <c r="J284" s="130"/>
      <c r="K284" s="130"/>
      <c r="L284" s="130"/>
      <c r="M284" s="125"/>
      <c r="N284" s="125"/>
      <c r="O284" s="125"/>
      <c r="P284" s="125"/>
      <c r="Q284" s="125"/>
      <c r="R284" s="125"/>
      <c r="S284" s="125"/>
      <c r="T284" s="125"/>
      <c r="U284" s="125"/>
      <c r="V284" s="125"/>
      <c r="W284" s="10"/>
      <c r="X284" s="9"/>
      <c r="Y284" s="9"/>
      <c r="Z284" s="9"/>
      <c r="AA284" s="9"/>
      <c r="AB284" s="9"/>
      <c r="AC284" s="9"/>
      <c r="AD284" s="9"/>
      <c r="AE284" s="9"/>
      <c r="AF284" s="9"/>
      <c r="AG284" s="11"/>
    </row>
    <row r="285" spans="1:33" ht="13.5" customHeight="1">
      <c r="A285" s="9"/>
      <c r="B285" s="125"/>
      <c r="C285" s="125"/>
      <c r="D285" s="125"/>
      <c r="E285" s="125"/>
      <c r="F285" s="125"/>
      <c r="G285" s="131"/>
      <c r="H285" s="125"/>
      <c r="I285" s="130"/>
      <c r="J285" s="130"/>
      <c r="K285" s="130"/>
      <c r="L285" s="130"/>
      <c r="M285" s="125"/>
      <c r="N285" s="125"/>
      <c r="O285" s="125"/>
      <c r="P285" s="125"/>
      <c r="Q285" s="125"/>
      <c r="R285" s="125"/>
      <c r="S285" s="125"/>
      <c r="T285" s="125"/>
      <c r="U285" s="125"/>
      <c r="V285" s="125"/>
      <c r="W285" s="10"/>
      <c r="X285" s="9"/>
      <c r="Y285" s="9"/>
      <c r="Z285" s="9"/>
      <c r="AA285" s="9"/>
      <c r="AB285" s="9"/>
      <c r="AC285" s="9"/>
      <c r="AD285" s="9"/>
      <c r="AE285" s="9"/>
      <c r="AF285" s="9"/>
      <c r="AG285" s="11"/>
    </row>
    <row r="286" spans="1:33" ht="13.5" customHeight="1">
      <c r="A286" s="9"/>
      <c r="B286" s="125"/>
      <c r="C286" s="125"/>
      <c r="D286" s="125"/>
      <c r="E286" s="125"/>
      <c r="F286" s="125"/>
      <c r="G286" s="131"/>
      <c r="H286" s="125"/>
      <c r="I286" s="130"/>
      <c r="J286" s="130"/>
      <c r="K286" s="130"/>
      <c r="L286" s="130"/>
      <c r="M286" s="125"/>
      <c r="N286" s="125"/>
      <c r="O286" s="125"/>
      <c r="P286" s="125"/>
      <c r="Q286" s="125"/>
      <c r="R286" s="125"/>
      <c r="S286" s="125"/>
      <c r="T286" s="125"/>
      <c r="U286" s="125"/>
      <c r="V286" s="125"/>
      <c r="W286" s="10"/>
      <c r="X286" s="9"/>
      <c r="Y286" s="9"/>
      <c r="Z286" s="9"/>
      <c r="AA286" s="9"/>
      <c r="AB286" s="9"/>
      <c r="AC286" s="9"/>
      <c r="AD286" s="9"/>
      <c r="AE286" s="9"/>
      <c r="AF286" s="9"/>
      <c r="AG286" s="11"/>
    </row>
    <row r="287" spans="1:33" ht="13.5" customHeight="1">
      <c r="A287" s="9"/>
      <c r="B287" s="125"/>
      <c r="C287" s="125"/>
      <c r="D287" s="125"/>
      <c r="E287" s="125"/>
      <c r="F287" s="125"/>
      <c r="G287" s="131"/>
      <c r="H287" s="125"/>
      <c r="I287" s="130"/>
      <c r="J287" s="130"/>
      <c r="K287" s="130"/>
      <c r="L287" s="130"/>
      <c r="M287" s="125"/>
      <c r="N287" s="125"/>
      <c r="O287" s="125"/>
      <c r="P287" s="125"/>
      <c r="Q287" s="125"/>
      <c r="R287" s="125"/>
      <c r="S287" s="125"/>
      <c r="T287" s="125"/>
      <c r="U287" s="125"/>
      <c r="V287" s="125"/>
      <c r="W287" s="10"/>
      <c r="X287" s="9"/>
      <c r="Y287" s="9"/>
      <c r="Z287" s="9"/>
      <c r="AA287" s="9"/>
      <c r="AB287" s="9"/>
      <c r="AC287" s="9"/>
      <c r="AD287" s="9"/>
      <c r="AE287" s="9"/>
      <c r="AF287" s="9"/>
      <c r="AG287" s="11"/>
    </row>
    <row r="288" spans="1:33" ht="13.5" customHeight="1">
      <c r="A288" s="9"/>
      <c r="B288" s="125"/>
      <c r="C288" s="125"/>
      <c r="D288" s="125"/>
      <c r="E288" s="125"/>
      <c r="F288" s="125"/>
      <c r="G288" s="131"/>
      <c r="H288" s="125"/>
      <c r="I288" s="130"/>
      <c r="J288" s="130"/>
      <c r="K288" s="130"/>
      <c r="L288" s="130"/>
      <c r="M288" s="125"/>
      <c r="N288" s="125"/>
      <c r="O288" s="125"/>
      <c r="P288" s="125"/>
      <c r="Q288" s="125"/>
      <c r="R288" s="125"/>
      <c r="S288" s="125"/>
      <c r="T288" s="125"/>
      <c r="U288" s="125"/>
      <c r="V288" s="125"/>
      <c r="W288" s="10"/>
      <c r="X288" s="9"/>
      <c r="Y288" s="9"/>
      <c r="Z288" s="9"/>
      <c r="AA288" s="9"/>
      <c r="AB288" s="9"/>
      <c r="AC288" s="9"/>
      <c r="AD288" s="9"/>
      <c r="AE288" s="9"/>
      <c r="AF288" s="9"/>
      <c r="AG288" s="11"/>
    </row>
    <row r="289" spans="1:33" ht="13.5" customHeight="1">
      <c r="A289" s="9"/>
      <c r="B289" s="125"/>
      <c r="C289" s="125"/>
      <c r="D289" s="125"/>
      <c r="E289" s="125"/>
      <c r="F289" s="125"/>
      <c r="G289" s="131"/>
      <c r="H289" s="125"/>
      <c r="I289" s="130"/>
      <c r="J289" s="130"/>
      <c r="K289" s="130"/>
      <c r="L289" s="130"/>
      <c r="M289" s="125"/>
      <c r="N289" s="125"/>
      <c r="O289" s="125"/>
      <c r="P289" s="125"/>
      <c r="Q289" s="125"/>
      <c r="R289" s="125"/>
      <c r="S289" s="125"/>
      <c r="T289" s="125"/>
      <c r="U289" s="125"/>
      <c r="V289" s="125"/>
      <c r="W289" s="10"/>
      <c r="X289" s="9"/>
      <c r="Y289" s="9"/>
      <c r="Z289" s="9"/>
      <c r="AA289" s="9"/>
      <c r="AB289" s="9"/>
      <c r="AC289" s="9"/>
      <c r="AD289" s="9"/>
      <c r="AE289" s="9"/>
      <c r="AF289" s="9"/>
      <c r="AG289" s="11"/>
    </row>
    <row r="290" spans="1:33" ht="13.5" customHeight="1">
      <c r="A290" s="9"/>
      <c r="B290" s="125"/>
      <c r="C290" s="125"/>
      <c r="D290" s="125"/>
      <c r="E290" s="125"/>
      <c r="F290" s="125"/>
      <c r="G290" s="131"/>
      <c r="H290" s="125"/>
      <c r="I290" s="130"/>
      <c r="J290" s="130"/>
      <c r="K290" s="130"/>
      <c r="L290" s="130"/>
      <c r="M290" s="125"/>
      <c r="N290" s="125"/>
      <c r="O290" s="125"/>
      <c r="P290" s="125"/>
      <c r="Q290" s="125"/>
      <c r="R290" s="125"/>
      <c r="S290" s="125"/>
      <c r="T290" s="125"/>
      <c r="U290" s="125"/>
      <c r="V290" s="125"/>
      <c r="W290" s="10"/>
      <c r="X290" s="9"/>
      <c r="Y290" s="9"/>
      <c r="Z290" s="9"/>
      <c r="AA290" s="9"/>
      <c r="AB290" s="9"/>
      <c r="AC290" s="9"/>
      <c r="AD290" s="9"/>
      <c r="AE290" s="9"/>
      <c r="AF290" s="9"/>
      <c r="AG290" s="11"/>
    </row>
    <row r="291" spans="1:33" ht="13.5" customHeight="1">
      <c r="A291" s="9"/>
      <c r="B291" s="125"/>
      <c r="C291" s="125"/>
      <c r="D291" s="125"/>
      <c r="E291" s="125"/>
      <c r="F291" s="125"/>
      <c r="G291" s="131"/>
      <c r="H291" s="125"/>
      <c r="I291" s="130"/>
      <c r="J291" s="130"/>
      <c r="K291" s="130"/>
      <c r="L291" s="130"/>
      <c r="M291" s="125"/>
      <c r="N291" s="125"/>
      <c r="O291" s="125"/>
      <c r="P291" s="125"/>
      <c r="Q291" s="125"/>
      <c r="R291" s="125"/>
      <c r="S291" s="125"/>
      <c r="T291" s="125"/>
      <c r="U291" s="125"/>
      <c r="V291" s="125"/>
      <c r="W291" s="10"/>
      <c r="X291" s="9"/>
      <c r="Y291" s="9"/>
      <c r="Z291" s="9"/>
      <c r="AA291" s="9"/>
      <c r="AB291" s="9"/>
      <c r="AC291" s="9"/>
      <c r="AD291" s="9"/>
      <c r="AE291" s="9"/>
      <c r="AF291" s="9"/>
      <c r="AG291" s="11"/>
    </row>
    <row r="292" spans="1:33" ht="13.5" customHeight="1">
      <c r="A292" s="9"/>
      <c r="B292" s="125"/>
      <c r="C292" s="125"/>
      <c r="D292" s="125"/>
      <c r="E292" s="125"/>
      <c r="F292" s="125"/>
      <c r="G292" s="131"/>
      <c r="H292" s="125"/>
      <c r="I292" s="130"/>
      <c r="J292" s="130"/>
      <c r="K292" s="130"/>
      <c r="L292" s="130"/>
      <c r="M292" s="125"/>
      <c r="N292" s="125"/>
      <c r="O292" s="125"/>
      <c r="P292" s="125"/>
      <c r="Q292" s="125"/>
      <c r="R292" s="125"/>
      <c r="S292" s="125"/>
      <c r="T292" s="125"/>
      <c r="U292" s="125"/>
      <c r="V292" s="125"/>
      <c r="W292" s="10"/>
      <c r="X292" s="9"/>
      <c r="Y292" s="9"/>
      <c r="Z292" s="9"/>
      <c r="AA292" s="9"/>
      <c r="AB292" s="9"/>
      <c r="AC292" s="9"/>
      <c r="AD292" s="9"/>
      <c r="AE292" s="9"/>
      <c r="AF292" s="9"/>
      <c r="AG292" s="11"/>
    </row>
    <row r="293" spans="1:33" ht="13.5" customHeight="1">
      <c r="A293" s="9"/>
      <c r="B293" s="125"/>
      <c r="C293" s="125"/>
      <c r="D293" s="125"/>
      <c r="E293" s="125"/>
      <c r="F293" s="125"/>
      <c r="G293" s="131"/>
      <c r="H293" s="125"/>
      <c r="I293" s="130"/>
      <c r="J293" s="130"/>
      <c r="K293" s="130"/>
      <c r="L293" s="130"/>
      <c r="M293" s="125"/>
      <c r="N293" s="125"/>
      <c r="O293" s="125"/>
      <c r="P293" s="125"/>
      <c r="Q293" s="125"/>
      <c r="R293" s="125"/>
      <c r="S293" s="125"/>
      <c r="T293" s="125"/>
      <c r="U293" s="125"/>
      <c r="V293" s="125"/>
      <c r="W293" s="10"/>
      <c r="X293" s="9"/>
      <c r="Y293" s="9"/>
      <c r="Z293" s="9"/>
      <c r="AA293" s="9"/>
      <c r="AB293" s="9"/>
      <c r="AC293" s="9"/>
      <c r="AD293" s="9"/>
      <c r="AE293" s="9"/>
      <c r="AF293" s="9"/>
      <c r="AG293" s="11"/>
    </row>
    <row r="294" spans="1:33" ht="13.5" customHeight="1">
      <c r="A294" s="9"/>
      <c r="B294" s="125"/>
      <c r="C294" s="125"/>
      <c r="D294" s="125"/>
      <c r="E294" s="125"/>
      <c r="F294" s="125"/>
      <c r="G294" s="131"/>
      <c r="H294" s="125"/>
      <c r="I294" s="130"/>
      <c r="J294" s="130"/>
      <c r="K294" s="130"/>
      <c r="L294" s="130"/>
      <c r="M294" s="125"/>
      <c r="N294" s="125"/>
      <c r="O294" s="125"/>
      <c r="P294" s="125"/>
      <c r="Q294" s="125"/>
      <c r="R294" s="125"/>
      <c r="S294" s="125"/>
      <c r="T294" s="125"/>
      <c r="U294" s="125"/>
      <c r="V294" s="125"/>
      <c r="W294" s="10"/>
      <c r="X294" s="9"/>
      <c r="Y294" s="9"/>
      <c r="Z294" s="9"/>
      <c r="AA294" s="9"/>
      <c r="AB294" s="9"/>
      <c r="AC294" s="9"/>
      <c r="AD294" s="9"/>
      <c r="AE294" s="9"/>
      <c r="AF294" s="9"/>
      <c r="AG294" s="11"/>
    </row>
    <row r="295" spans="1:33" ht="13.5" customHeight="1">
      <c r="A295" s="9"/>
      <c r="B295" s="125"/>
      <c r="C295" s="125"/>
      <c r="D295" s="125"/>
      <c r="E295" s="125"/>
      <c r="F295" s="125"/>
      <c r="G295" s="131"/>
      <c r="H295" s="125"/>
      <c r="I295" s="130"/>
      <c r="J295" s="130"/>
      <c r="K295" s="130"/>
      <c r="L295" s="130"/>
      <c r="M295" s="125"/>
      <c r="N295" s="125"/>
      <c r="O295" s="125"/>
      <c r="P295" s="125"/>
      <c r="Q295" s="125"/>
      <c r="R295" s="125"/>
      <c r="S295" s="125"/>
      <c r="T295" s="125"/>
      <c r="U295" s="125"/>
      <c r="V295" s="125"/>
      <c r="W295" s="10"/>
      <c r="X295" s="9"/>
      <c r="Y295" s="9"/>
      <c r="Z295" s="9"/>
      <c r="AA295" s="9"/>
      <c r="AB295" s="9"/>
      <c r="AC295" s="9"/>
      <c r="AD295" s="9"/>
      <c r="AE295" s="9"/>
      <c r="AF295" s="9"/>
      <c r="AG295" s="11"/>
    </row>
    <row r="296" spans="1:33" ht="13.5" customHeight="1">
      <c r="A296" s="9"/>
      <c r="B296" s="125"/>
      <c r="C296" s="125"/>
      <c r="D296" s="125"/>
      <c r="E296" s="125"/>
      <c r="F296" s="125"/>
      <c r="G296" s="131"/>
      <c r="H296" s="125"/>
      <c r="I296" s="130"/>
      <c r="J296" s="130"/>
      <c r="K296" s="130"/>
      <c r="L296" s="130"/>
      <c r="M296" s="125"/>
      <c r="N296" s="125"/>
      <c r="O296" s="125"/>
      <c r="P296" s="125"/>
      <c r="Q296" s="125"/>
      <c r="R296" s="125"/>
      <c r="S296" s="125"/>
      <c r="T296" s="125"/>
      <c r="U296" s="125"/>
      <c r="V296" s="125"/>
      <c r="W296" s="10"/>
      <c r="X296" s="9"/>
      <c r="Y296" s="9"/>
      <c r="Z296" s="9"/>
      <c r="AA296" s="9"/>
      <c r="AB296" s="9"/>
      <c r="AC296" s="9"/>
      <c r="AD296" s="9"/>
      <c r="AE296" s="9"/>
      <c r="AF296" s="9"/>
      <c r="AG296" s="11"/>
    </row>
    <row r="297" spans="1:33" ht="13.5" customHeight="1">
      <c r="A297" s="9"/>
      <c r="B297" s="125"/>
      <c r="C297" s="125"/>
      <c r="D297" s="125"/>
      <c r="E297" s="125"/>
      <c r="F297" s="125"/>
      <c r="G297" s="131"/>
      <c r="H297" s="125"/>
      <c r="I297" s="130"/>
      <c r="J297" s="130"/>
      <c r="K297" s="130"/>
      <c r="L297" s="130"/>
      <c r="M297" s="125"/>
      <c r="N297" s="125"/>
      <c r="O297" s="125"/>
      <c r="P297" s="125"/>
      <c r="Q297" s="125"/>
      <c r="R297" s="125"/>
      <c r="S297" s="125"/>
      <c r="T297" s="125"/>
      <c r="U297" s="125"/>
      <c r="V297" s="125"/>
      <c r="W297" s="10"/>
      <c r="X297" s="9"/>
      <c r="Y297" s="9"/>
      <c r="Z297" s="9"/>
      <c r="AA297" s="9"/>
      <c r="AB297" s="9"/>
      <c r="AC297" s="9"/>
      <c r="AD297" s="9"/>
      <c r="AE297" s="9"/>
      <c r="AF297" s="9"/>
      <c r="AG297" s="11"/>
    </row>
    <row r="298" spans="1:33" ht="13.5" customHeight="1">
      <c r="A298" s="9"/>
      <c r="B298" s="125"/>
      <c r="C298" s="125"/>
      <c r="D298" s="125"/>
      <c r="E298" s="125"/>
      <c r="F298" s="125"/>
      <c r="G298" s="131"/>
      <c r="H298" s="125"/>
      <c r="I298" s="130"/>
      <c r="J298" s="130"/>
      <c r="K298" s="130"/>
      <c r="L298" s="130"/>
      <c r="M298" s="125"/>
      <c r="N298" s="125"/>
      <c r="O298" s="125"/>
      <c r="P298" s="125"/>
      <c r="Q298" s="125"/>
      <c r="R298" s="125"/>
      <c r="S298" s="125"/>
      <c r="T298" s="125"/>
      <c r="U298" s="125"/>
      <c r="V298" s="125"/>
      <c r="W298" s="10"/>
      <c r="X298" s="9"/>
      <c r="Y298" s="9"/>
      <c r="Z298" s="9"/>
      <c r="AA298" s="9"/>
      <c r="AB298" s="9"/>
      <c r="AC298" s="9"/>
      <c r="AD298" s="9"/>
      <c r="AE298" s="9"/>
      <c r="AF298" s="9"/>
      <c r="AG298" s="11"/>
    </row>
    <row r="299" spans="1:33" ht="13.5" customHeight="1">
      <c r="A299" s="9"/>
      <c r="B299" s="125"/>
      <c r="C299" s="125"/>
      <c r="D299" s="125"/>
      <c r="E299" s="125"/>
      <c r="F299" s="125"/>
      <c r="G299" s="131"/>
      <c r="H299" s="125"/>
      <c r="I299" s="130"/>
      <c r="J299" s="130"/>
      <c r="K299" s="130"/>
      <c r="L299" s="130"/>
      <c r="M299" s="125"/>
      <c r="N299" s="125"/>
      <c r="O299" s="125"/>
      <c r="P299" s="125"/>
      <c r="Q299" s="125"/>
      <c r="R299" s="125"/>
      <c r="S299" s="125"/>
      <c r="T299" s="125"/>
      <c r="U299" s="125"/>
      <c r="V299" s="125"/>
      <c r="W299" s="10"/>
      <c r="X299" s="9"/>
      <c r="Y299" s="9"/>
      <c r="Z299" s="9"/>
      <c r="AA299" s="9"/>
      <c r="AB299" s="9"/>
      <c r="AC299" s="9"/>
      <c r="AD299" s="9"/>
      <c r="AE299" s="9"/>
      <c r="AF299" s="9"/>
      <c r="AG299" s="11"/>
    </row>
    <row r="300" spans="1:33" ht="13.5" customHeight="1">
      <c r="A300" s="9"/>
      <c r="B300" s="125"/>
      <c r="C300" s="125"/>
      <c r="D300" s="125"/>
      <c r="E300" s="125"/>
      <c r="F300" s="125"/>
      <c r="G300" s="131"/>
      <c r="H300" s="125"/>
      <c r="I300" s="130"/>
      <c r="J300" s="130"/>
      <c r="K300" s="130"/>
      <c r="L300" s="130"/>
      <c r="M300" s="125"/>
      <c r="N300" s="125"/>
      <c r="O300" s="125"/>
      <c r="P300" s="125"/>
      <c r="Q300" s="125"/>
      <c r="R300" s="125"/>
      <c r="S300" s="125"/>
      <c r="T300" s="125"/>
      <c r="U300" s="125"/>
      <c r="V300" s="125"/>
      <c r="W300" s="10"/>
      <c r="X300" s="9"/>
      <c r="Y300" s="9"/>
      <c r="Z300" s="9"/>
      <c r="AA300" s="9"/>
      <c r="AB300" s="9"/>
      <c r="AC300" s="9"/>
      <c r="AD300" s="9"/>
      <c r="AE300" s="9"/>
      <c r="AF300" s="9"/>
      <c r="AG300" s="11"/>
    </row>
    <row r="301" spans="1:33" ht="13.5" customHeight="1">
      <c r="A301" s="9"/>
      <c r="B301" s="125"/>
      <c r="C301" s="125"/>
      <c r="D301" s="125"/>
      <c r="E301" s="125"/>
      <c r="F301" s="125"/>
      <c r="G301" s="131"/>
      <c r="H301" s="125"/>
      <c r="I301" s="130"/>
      <c r="J301" s="130"/>
      <c r="K301" s="130"/>
      <c r="L301" s="130"/>
      <c r="M301" s="125"/>
      <c r="N301" s="125"/>
      <c r="O301" s="125"/>
      <c r="P301" s="125"/>
      <c r="Q301" s="125"/>
      <c r="R301" s="125"/>
      <c r="S301" s="125"/>
      <c r="T301" s="125"/>
      <c r="U301" s="125"/>
      <c r="V301" s="125"/>
      <c r="W301" s="10"/>
      <c r="X301" s="9"/>
      <c r="Y301" s="9"/>
      <c r="Z301" s="9"/>
      <c r="AA301" s="9"/>
      <c r="AB301" s="9"/>
      <c r="AC301" s="9"/>
      <c r="AD301" s="9"/>
      <c r="AE301" s="9"/>
      <c r="AF301" s="9"/>
      <c r="AG301" s="11"/>
    </row>
    <row r="302" spans="1:33" ht="13.5" customHeight="1">
      <c r="A302" s="9"/>
      <c r="B302" s="125"/>
      <c r="C302" s="125"/>
      <c r="D302" s="125"/>
      <c r="E302" s="125"/>
      <c r="F302" s="125"/>
      <c r="G302" s="131"/>
      <c r="H302" s="125"/>
      <c r="I302" s="130"/>
      <c r="J302" s="130"/>
      <c r="K302" s="130"/>
      <c r="L302" s="130"/>
      <c r="M302" s="125"/>
      <c r="N302" s="125"/>
      <c r="O302" s="125"/>
      <c r="P302" s="125"/>
      <c r="Q302" s="125"/>
      <c r="R302" s="125"/>
      <c r="S302" s="125"/>
      <c r="T302" s="125"/>
      <c r="U302" s="125"/>
      <c r="V302" s="125"/>
      <c r="W302" s="10"/>
      <c r="X302" s="9"/>
      <c r="Y302" s="9"/>
      <c r="Z302" s="9"/>
      <c r="AA302" s="9"/>
      <c r="AB302" s="9"/>
      <c r="AC302" s="9"/>
      <c r="AD302" s="9"/>
      <c r="AE302" s="9"/>
      <c r="AF302" s="9"/>
      <c r="AG302" s="11"/>
    </row>
    <row r="303" spans="1:33" ht="13.5" customHeight="1">
      <c r="A303" s="9"/>
      <c r="B303" s="125"/>
      <c r="C303" s="125"/>
      <c r="D303" s="125"/>
      <c r="E303" s="125"/>
      <c r="F303" s="125"/>
      <c r="G303" s="131"/>
      <c r="H303" s="125"/>
      <c r="I303" s="130"/>
      <c r="J303" s="130"/>
      <c r="K303" s="130"/>
      <c r="L303" s="130"/>
      <c r="M303" s="125"/>
      <c r="N303" s="125"/>
      <c r="O303" s="125"/>
      <c r="P303" s="125"/>
      <c r="Q303" s="125"/>
      <c r="R303" s="125"/>
      <c r="S303" s="125"/>
      <c r="T303" s="125"/>
      <c r="U303" s="125"/>
      <c r="V303" s="125"/>
      <c r="W303" s="10"/>
      <c r="X303" s="9"/>
      <c r="Y303" s="9"/>
      <c r="Z303" s="9"/>
      <c r="AA303" s="9"/>
      <c r="AB303" s="9"/>
      <c r="AC303" s="9"/>
      <c r="AD303" s="9"/>
      <c r="AE303" s="9"/>
      <c r="AF303" s="9"/>
      <c r="AG303" s="11"/>
    </row>
    <row r="304" spans="1:33" ht="13.5" customHeight="1">
      <c r="A304" s="9"/>
      <c r="B304" s="125"/>
      <c r="C304" s="125"/>
      <c r="D304" s="125"/>
      <c r="E304" s="125"/>
      <c r="F304" s="125"/>
      <c r="G304" s="131"/>
      <c r="H304" s="125"/>
      <c r="I304" s="130"/>
      <c r="J304" s="130"/>
      <c r="K304" s="130"/>
      <c r="L304" s="130"/>
      <c r="M304" s="125"/>
      <c r="N304" s="125"/>
      <c r="O304" s="125"/>
      <c r="P304" s="125"/>
      <c r="Q304" s="125"/>
      <c r="R304" s="125"/>
      <c r="S304" s="125"/>
      <c r="T304" s="125"/>
      <c r="U304" s="125"/>
      <c r="V304" s="125"/>
      <c r="W304" s="10"/>
      <c r="X304" s="9"/>
      <c r="Y304" s="9"/>
      <c r="Z304" s="9"/>
      <c r="AA304" s="9"/>
      <c r="AB304" s="9"/>
      <c r="AC304" s="9"/>
      <c r="AD304" s="9"/>
      <c r="AE304" s="9"/>
      <c r="AF304" s="9"/>
      <c r="AG304" s="11"/>
    </row>
    <row r="305" spans="1:33" ht="13.5" customHeight="1">
      <c r="A305" s="9"/>
      <c r="B305" s="125"/>
      <c r="C305" s="125"/>
      <c r="D305" s="125"/>
      <c r="E305" s="125"/>
      <c r="F305" s="125"/>
      <c r="G305" s="131"/>
      <c r="H305" s="125"/>
      <c r="I305" s="130"/>
      <c r="J305" s="130"/>
      <c r="K305" s="130"/>
      <c r="L305" s="130"/>
      <c r="M305" s="125"/>
      <c r="N305" s="125"/>
      <c r="O305" s="125"/>
      <c r="P305" s="125"/>
      <c r="Q305" s="125"/>
      <c r="R305" s="125"/>
      <c r="S305" s="125"/>
      <c r="T305" s="125"/>
      <c r="U305" s="125"/>
      <c r="V305" s="125"/>
      <c r="W305" s="10"/>
      <c r="X305" s="9"/>
      <c r="Y305" s="9"/>
      <c r="Z305" s="9"/>
      <c r="AA305" s="9"/>
      <c r="AB305" s="9"/>
      <c r="AC305" s="9"/>
      <c r="AD305" s="9"/>
      <c r="AE305" s="9"/>
      <c r="AF305" s="9"/>
      <c r="AG305" s="11"/>
    </row>
    <row r="306" spans="1:33" ht="13.5" customHeight="1">
      <c r="A306" s="9"/>
      <c r="B306" s="125"/>
      <c r="C306" s="125"/>
      <c r="D306" s="125"/>
      <c r="E306" s="125"/>
      <c r="F306" s="125"/>
      <c r="G306" s="131"/>
      <c r="H306" s="125"/>
      <c r="I306" s="130"/>
      <c r="J306" s="130"/>
      <c r="K306" s="130"/>
      <c r="L306" s="130"/>
      <c r="M306" s="125"/>
      <c r="N306" s="125"/>
      <c r="O306" s="125"/>
      <c r="P306" s="125"/>
      <c r="Q306" s="125"/>
      <c r="R306" s="125"/>
      <c r="S306" s="125"/>
      <c r="T306" s="125"/>
      <c r="U306" s="125"/>
      <c r="V306" s="125"/>
      <c r="W306" s="10"/>
      <c r="X306" s="9"/>
      <c r="Y306" s="9"/>
      <c r="Z306" s="9"/>
      <c r="AA306" s="9"/>
      <c r="AB306" s="9"/>
      <c r="AC306" s="9"/>
      <c r="AD306" s="9"/>
      <c r="AE306" s="9"/>
      <c r="AF306" s="9"/>
      <c r="AG306" s="11"/>
    </row>
    <row r="307" spans="1:33" ht="13.5" customHeight="1">
      <c r="A307" s="9"/>
      <c r="B307" s="125"/>
      <c r="C307" s="125"/>
      <c r="D307" s="125"/>
      <c r="E307" s="125"/>
      <c r="F307" s="125"/>
      <c r="G307" s="131"/>
      <c r="H307" s="125"/>
      <c r="I307" s="130"/>
      <c r="J307" s="130"/>
      <c r="K307" s="130"/>
      <c r="L307" s="130"/>
      <c r="M307" s="125"/>
      <c r="N307" s="125"/>
      <c r="O307" s="125"/>
      <c r="P307" s="125"/>
      <c r="Q307" s="125"/>
      <c r="R307" s="125"/>
      <c r="S307" s="125"/>
      <c r="T307" s="125"/>
      <c r="U307" s="125"/>
      <c r="V307" s="125"/>
      <c r="W307" s="10"/>
      <c r="X307" s="9"/>
      <c r="Y307" s="9"/>
      <c r="Z307" s="9"/>
      <c r="AA307" s="9"/>
      <c r="AB307" s="9"/>
      <c r="AC307" s="9"/>
      <c r="AD307" s="9"/>
      <c r="AE307" s="9"/>
      <c r="AF307" s="9"/>
      <c r="AG307" s="11"/>
    </row>
    <row r="308" spans="1:33" ht="13.5" customHeight="1">
      <c r="A308" s="9"/>
      <c r="B308" s="125"/>
      <c r="C308" s="125"/>
      <c r="D308" s="125"/>
      <c r="E308" s="125"/>
      <c r="F308" s="125"/>
      <c r="G308" s="131"/>
      <c r="H308" s="125"/>
      <c r="I308" s="130"/>
      <c r="J308" s="130"/>
      <c r="K308" s="130"/>
      <c r="L308" s="130"/>
      <c r="M308" s="125"/>
      <c r="N308" s="125"/>
      <c r="O308" s="125"/>
      <c r="P308" s="125"/>
      <c r="Q308" s="125"/>
      <c r="R308" s="125"/>
      <c r="S308" s="125"/>
      <c r="T308" s="125"/>
      <c r="U308" s="125"/>
      <c r="V308" s="125"/>
      <c r="W308" s="10"/>
      <c r="X308" s="9"/>
      <c r="Y308" s="9"/>
      <c r="Z308" s="9"/>
      <c r="AA308" s="9"/>
      <c r="AB308" s="9"/>
      <c r="AC308" s="9"/>
      <c r="AD308" s="9"/>
      <c r="AE308" s="9"/>
      <c r="AF308" s="9"/>
      <c r="AG308" s="11"/>
    </row>
    <row r="309" spans="1:33" ht="13.5" customHeight="1">
      <c r="A309" s="9"/>
      <c r="B309" s="125"/>
      <c r="C309" s="125"/>
      <c r="D309" s="125"/>
      <c r="E309" s="125"/>
      <c r="F309" s="125"/>
      <c r="G309" s="131"/>
      <c r="H309" s="125"/>
      <c r="I309" s="130"/>
      <c r="J309" s="130"/>
      <c r="K309" s="130"/>
      <c r="L309" s="130"/>
      <c r="M309" s="125"/>
      <c r="N309" s="125"/>
      <c r="O309" s="125"/>
      <c r="P309" s="125"/>
      <c r="Q309" s="125"/>
      <c r="R309" s="125"/>
      <c r="S309" s="125"/>
      <c r="T309" s="125"/>
      <c r="U309" s="125"/>
      <c r="V309" s="125"/>
      <c r="W309" s="10"/>
      <c r="X309" s="9"/>
      <c r="Y309" s="9"/>
      <c r="Z309" s="9"/>
      <c r="AA309" s="9"/>
      <c r="AB309" s="9"/>
      <c r="AC309" s="9"/>
      <c r="AD309" s="9"/>
      <c r="AE309" s="9"/>
      <c r="AF309" s="9"/>
      <c r="AG309" s="11"/>
    </row>
    <row r="310" spans="1:33" ht="15.75" customHeight="1">
      <c r="A310" s="11"/>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3"/>
      <c r="X310" s="11"/>
      <c r="Y310" s="11"/>
      <c r="Z310" s="11"/>
      <c r="AA310" s="11"/>
      <c r="AB310" s="11"/>
      <c r="AC310" s="11"/>
      <c r="AD310" s="11"/>
      <c r="AE310" s="11"/>
      <c r="AF310" s="11"/>
      <c r="AG310" s="11"/>
    </row>
    <row r="311" spans="1:33"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spans="1:33"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spans="1:33" ht="15.75" customHeight="1"/>
    <row r="314" spans="1:33" ht="15.75" customHeight="1"/>
    <row r="315" spans="1:33" ht="15.75" customHeight="1"/>
    <row r="316" spans="1:33" ht="15.75" customHeight="1"/>
    <row r="317" spans="1:33" ht="15.75" customHeight="1"/>
    <row r="318" spans="1:33" ht="15.75" customHeight="1"/>
    <row r="319" spans="1:33" ht="15.75" customHeight="1"/>
    <row r="320" spans="1:3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0">
    <mergeCell ref="U78:U80"/>
    <mergeCell ref="U81:U83"/>
    <mergeCell ref="U90:U92"/>
    <mergeCell ref="V90:V92"/>
    <mergeCell ref="U93:U95"/>
    <mergeCell ref="V93:V95"/>
    <mergeCell ref="S76:S77"/>
    <mergeCell ref="T76:T77"/>
    <mergeCell ref="R78:R80"/>
    <mergeCell ref="S78:S80"/>
    <mergeCell ref="V78:V80"/>
    <mergeCell ref="S81:S83"/>
    <mergeCell ref="V81:V83"/>
    <mergeCell ref="V76:V77"/>
    <mergeCell ref="R81:R83"/>
    <mergeCell ref="R84:R86"/>
    <mergeCell ref="S84:S86"/>
    <mergeCell ref="U84:U86"/>
    <mergeCell ref="V84:V86"/>
    <mergeCell ref="U87:U89"/>
    <mergeCell ref="V87:V89"/>
    <mergeCell ref="F68:G70"/>
    <mergeCell ref="H68:H70"/>
    <mergeCell ref="I68:I70"/>
    <mergeCell ref="J68:J70"/>
    <mergeCell ref="K68:K70"/>
    <mergeCell ref="B71:U71"/>
    <mergeCell ref="B73:R73"/>
    <mergeCell ref="M76:Q76"/>
    <mergeCell ref="R76:R77"/>
    <mergeCell ref="U76:U77"/>
    <mergeCell ref="B75:R75"/>
    <mergeCell ref="S75:V75"/>
    <mergeCell ref="B76:E77"/>
    <mergeCell ref="F76:I77"/>
    <mergeCell ref="J76:J77"/>
    <mergeCell ref="K76:K77"/>
    <mergeCell ref="L76:L77"/>
    <mergeCell ref="J96:J98"/>
    <mergeCell ref="K96:K98"/>
    <mergeCell ref="J99:J101"/>
    <mergeCell ref="K99:K101"/>
    <mergeCell ref="J102:J104"/>
    <mergeCell ref="H87:H89"/>
    <mergeCell ref="I87:I89"/>
    <mergeCell ref="J87:J89"/>
    <mergeCell ref="K87:K89"/>
    <mergeCell ref="H93:H95"/>
    <mergeCell ref="I93:I95"/>
    <mergeCell ref="H96:H98"/>
    <mergeCell ref="I96:I98"/>
    <mergeCell ref="H99:H101"/>
    <mergeCell ref="I99:I101"/>
    <mergeCell ref="B78:E80"/>
    <mergeCell ref="F78:I80"/>
    <mergeCell ref="J78:J80"/>
    <mergeCell ref="K78:K80"/>
    <mergeCell ref="F81:I83"/>
    <mergeCell ref="J81:J83"/>
    <mergeCell ref="K81:K83"/>
    <mergeCell ref="F90:G92"/>
    <mergeCell ref="H90:H92"/>
    <mergeCell ref="I90:I92"/>
    <mergeCell ref="J90:J92"/>
    <mergeCell ref="F87:G89"/>
    <mergeCell ref="F93:G95"/>
    <mergeCell ref="D110:F111"/>
    <mergeCell ref="D112:F112"/>
    <mergeCell ref="B96:E104"/>
    <mergeCell ref="F96:G98"/>
    <mergeCell ref="F99:G101"/>
    <mergeCell ref="F102:G104"/>
    <mergeCell ref="B105:U105"/>
    <mergeCell ref="B81:E83"/>
    <mergeCell ref="B84:E86"/>
    <mergeCell ref="F84:I86"/>
    <mergeCell ref="J84:J86"/>
    <mergeCell ref="K84:K86"/>
    <mergeCell ref="B87:E95"/>
    <mergeCell ref="K90:K92"/>
    <mergeCell ref="K102:K104"/>
    <mergeCell ref="I110:L111"/>
    <mergeCell ref="N110:O111"/>
    <mergeCell ref="I112:L112"/>
    <mergeCell ref="N112:O112"/>
    <mergeCell ref="H102:H104"/>
    <mergeCell ref="I102:I104"/>
    <mergeCell ref="J93:J95"/>
    <mergeCell ref="K93:K95"/>
    <mergeCell ref="J13:K13"/>
    <mergeCell ref="L13:L15"/>
    <mergeCell ref="J14:J15"/>
    <mergeCell ref="K14:K15"/>
    <mergeCell ref="M14:M15"/>
    <mergeCell ref="N14:N15"/>
    <mergeCell ref="O14:O15"/>
    <mergeCell ref="P14:P15"/>
    <mergeCell ref="B10:V10"/>
    <mergeCell ref="B12:R12"/>
    <mergeCell ref="S12:V12"/>
    <mergeCell ref="F13:G15"/>
    <mergeCell ref="H13:H15"/>
    <mergeCell ref="I13:I15"/>
    <mergeCell ref="B14:B15"/>
    <mergeCell ref="Q14:Q15"/>
    <mergeCell ref="U13:U15"/>
    <mergeCell ref="V13:V15"/>
    <mergeCell ref="B13:E13"/>
    <mergeCell ref="C14:E14"/>
    <mergeCell ref="E16:E18"/>
    <mergeCell ref="F16:F18"/>
    <mergeCell ref="G16:G18"/>
    <mergeCell ref="H16:H18"/>
    <mergeCell ref="I16:I18"/>
    <mergeCell ref="B16:B18"/>
    <mergeCell ref="B19:B27"/>
    <mergeCell ref="C19:C27"/>
    <mergeCell ref="D19:D27"/>
    <mergeCell ref="F25:G27"/>
    <mergeCell ref="H25:H27"/>
    <mergeCell ref="I25:I27"/>
    <mergeCell ref="U16:U18"/>
    <mergeCell ref="V16:V18"/>
    <mergeCell ref="U19:U21"/>
    <mergeCell ref="V19:V21"/>
    <mergeCell ref="V25:V27"/>
    <mergeCell ref="R47:R49"/>
    <mergeCell ref="R50:R52"/>
    <mergeCell ref="S50:S52"/>
    <mergeCell ref="S13:S15"/>
    <mergeCell ref="T13:T15"/>
    <mergeCell ref="R25:R27"/>
    <mergeCell ref="S25:S27"/>
    <mergeCell ref="R44:R46"/>
    <mergeCell ref="S44:S46"/>
    <mergeCell ref="S47:S49"/>
    <mergeCell ref="U50:U52"/>
    <mergeCell ref="R42:R43"/>
    <mergeCell ref="S42:S43"/>
    <mergeCell ref="T42:T43"/>
    <mergeCell ref="R22:R24"/>
    <mergeCell ref="S22:S24"/>
    <mergeCell ref="U22:U24"/>
    <mergeCell ref="V22:V24"/>
    <mergeCell ref="U25:U27"/>
    <mergeCell ref="U53:U55"/>
    <mergeCell ref="U56:U58"/>
    <mergeCell ref="U59:U61"/>
    <mergeCell ref="V53:V55"/>
    <mergeCell ref="V56:V58"/>
    <mergeCell ref="V59:V61"/>
    <mergeCell ref="U34:U36"/>
    <mergeCell ref="V34:V36"/>
    <mergeCell ref="U44:U46"/>
    <mergeCell ref="V44:V46"/>
    <mergeCell ref="U47:U49"/>
    <mergeCell ref="V47:V49"/>
    <mergeCell ref="V50:V52"/>
    <mergeCell ref="U42:U43"/>
    <mergeCell ref="V42:V43"/>
    <mergeCell ref="B42:E43"/>
    <mergeCell ref="F42:G43"/>
    <mergeCell ref="H42:H43"/>
    <mergeCell ref="I42:I43"/>
    <mergeCell ref="J42:K42"/>
    <mergeCell ref="L42:L43"/>
    <mergeCell ref="M42:Q42"/>
    <mergeCell ref="O4:V4"/>
    <mergeCell ref="O5:V5"/>
    <mergeCell ref="O6:V6"/>
    <mergeCell ref="B7:E7"/>
    <mergeCell ref="F7:M7"/>
    <mergeCell ref="B8:E8"/>
    <mergeCell ref="F8:V8"/>
    <mergeCell ref="B9:V9"/>
    <mergeCell ref="M13:Q13"/>
    <mergeCell ref="R13:R16"/>
    <mergeCell ref="J19:J21"/>
    <mergeCell ref="K19:K21"/>
    <mergeCell ref="R19:R21"/>
    <mergeCell ref="S19:S21"/>
    <mergeCell ref="I22:I24"/>
    <mergeCell ref="J22:J24"/>
    <mergeCell ref="K22:K24"/>
    <mergeCell ref="B1:V1"/>
    <mergeCell ref="B2:V2"/>
    <mergeCell ref="B3:V3"/>
    <mergeCell ref="B4:E4"/>
    <mergeCell ref="F4:M4"/>
    <mergeCell ref="B5:E5"/>
    <mergeCell ref="F5:M5"/>
    <mergeCell ref="B6:E6"/>
    <mergeCell ref="F6:M6"/>
    <mergeCell ref="U28:U30"/>
    <mergeCell ref="U31:U33"/>
    <mergeCell ref="V28:V30"/>
    <mergeCell ref="V31:V33"/>
    <mergeCell ref="B37:Q37"/>
    <mergeCell ref="R37:U37"/>
    <mergeCell ref="B40:V40"/>
    <mergeCell ref="B41:R41"/>
    <mergeCell ref="S41:V41"/>
    <mergeCell ref="B28:B36"/>
    <mergeCell ref="J25:J27"/>
    <mergeCell ref="K25:K27"/>
    <mergeCell ref="E19:E27"/>
    <mergeCell ref="E28:E36"/>
    <mergeCell ref="F28:G30"/>
    <mergeCell ref="H28:H30"/>
    <mergeCell ref="I28:I30"/>
    <mergeCell ref="J28:J30"/>
    <mergeCell ref="K28:K30"/>
    <mergeCell ref="F31:G33"/>
    <mergeCell ref="H31:H33"/>
    <mergeCell ref="I31:I33"/>
    <mergeCell ref="J31:J33"/>
    <mergeCell ref="K31:K33"/>
    <mergeCell ref="F34:G36"/>
    <mergeCell ref="H34:H36"/>
    <mergeCell ref="I34:I36"/>
    <mergeCell ref="J34:J36"/>
    <mergeCell ref="K34:K36"/>
    <mergeCell ref="F22:G24"/>
    <mergeCell ref="H22:H24"/>
    <mergeCell ref="F19:G21"/>
    <mergeCell ref="H19:H21"/>
    <mergeCell ref="I19:I21"/>
    <mergeCell ref="J56:J58"/>
    <mergeCell ref="K56:K58"/>
    <mergeCell ref="B44:E52"/>
    <mergeCell ref="F44:G46"/>
    <mergeCell ref="H44:H46"/>
    <mergeCell ref="I44:I46"/>
    <mergeCell ref="J44:J46"/>
    <mergeCell ref="K44:K46"/>
    <mergeCell ref="F47:G49"/>
    <mergeCell ref="K50:K52"/>
    <mergeCell ref="H47:H49"/>
    <mergeCell ref="I47:I49"/>
    <mergeCell ref="J47:J49"/>
    <mergeCell ref="K47:K49"/>
    <mergeCell ref="I50:I52"/>
    <mergeCell ref="J50:J52"/>
    <mergeCell ref="I53:I55"/>
    <mergeCell ref="J53:J55"/>
    <mergeCell ref="K53:K55"/>
    <mergeCell ref="F65:G67"/>
    <mergeCell ref="H65:H67"/>
    <mergeCell ref="I65:I67"/>
    <mergeCell ref="J65:J67"/>
    <mergeCell ref="K65:K67"/>
    <mergeCell ref="F50:G52"/>
    <mergeCell ref="H50:H52"/>
    <mergeCell ref="B53:E61"/>
    <mergeCell ref="F53:G55"/>
    <mergeCell ref="H53:H55"/>
    <mergeCell ref="H56:H58"/>
    <mergeCell ref="B62:E70"/>
    <mergeCell ref="F59:G61"/>
    <mergeCell ref="H59:H61"/>
    <mergeCell ref="I59:I61"/>
    <mergeCell ref="J59:J61"/>
    <mergeCell ref="K59:K61"/>
    <mergeCell ref="F56:G58"/>
    <mergeCell ref="F62:G64"/>
    <mergeCell ref="I62:I64"/>
    <mergeCell ref="J62:J64"/>
    <mergeCell ref="K62:K64"/>
    <mergeCell ref="H62:H64"/>
    <mergeCell ref="I56:I58"/>
  </mergeCells>
  <printOptions horizontalCentered="1"/>
  <pageMargins left="0" right="0" top="0.99803149599999996" bottom="0.49803149600000002" header="0" footer="0"/>
  <pageSetup paperSize="9" scale="23"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85623"/>
    <pageSetUpPr fitToPage="1"/>
  </sheetPr>
  <dimension ref="A1:DS935"/>
  <sheetViews>
    <sheetView tabSelected="1" topLeftCell="A34" zoomScale="25" zoomScaleNormal="25" zoomScaleSheetLayoutView="30" zoomScalePageLayoutView="30" workbookViewId="0">
      <selection activeCell="Q34" sqref="A12:U82"/>
    </sheetView>
  </sheetViews>
  <sheetFormatPr defaultColWidth="14.453125" defaultRowHeight="15" customHeight="1"/>
  <cols>
    <col min="1" max="1" width="22" style="212" customWidth="1"/>
    <col min="2" max="2" width="35.08984375" style="212" customWidth="1"/>
    <col min="3" max="3" width="20.453125" style="212" customWidth="1"/>
    <col min="4" max="4" width="25.08984375" style="212" customWidth="1"/>
    <col min="5" max="5" width="24.81640625" style="212" customWidth="1"/>
    <col min="6" max="6" width="11" style="212" customWidth="1"/>
    <col min="7" max="7" width="32.453125" style="212" customWidth="1"/>
    <col min="8" max="8" width="15.453125" style="284" customWidth="1"/>
    <col min="9" max="9" width="16.453125" style="284" customWidth="1"/>
    <col min="10" max="10" width="22.26953125" style="212" customWidth="1"/>
    <col min="11" max="11" width="18.81640625" style="212" customWidth="1"/>
    <col min="12" max="12" width="39.453125" style="212" customWidth="1"/>
    <col min="13" max="13" width="47.36328125" style="212" customWidth="1"/>
    <col min="14" max="14" width="46.08984375" style="212" customWidth="1"/>
    <col min="15" max="16" width="44.26953125" style="212" customWidth="1"/>
    <col min="17" max="17" width="53.36328125" style="314" customWidth="1"/>
    <col min="18" max="18" width="24.1796875" style="212" customWidth="1"/>
    <col min="19" max="19" width="15.08984375" style="284" customWidth="1"/>
    <col min="20" max="20" width="18.90625" style="212" customWidth="1"/>
    <col min="21" max="21" width="20.453125" style="212" customWidth="1"/>
    <col min="22" max="30" width="9.08984375" style="215" customWidth="1"/>
    <col min="31" max="123" width="14.453125" style="215"/>
    <col min="124" max="16384" width="14.453125" style="212"/>
  </cols>
  <sheetData>
    <row r="1" spans="1:123" ht="229.5" customHeight="1">
      <c r="A1" s="925" t="s">
        <v>140</v>
      </c>
      <c r="B1" s="429"/>
      <c r="C1" s="429"/>
      <c r="D1" s="429"/>
      <c r="E1" s="429"/>
      <c r="F1" s="429"/>
      <c r="G1" s="429"/>
      <c r="H1" s="429"/>
      <c r="I1" s="429"/>
      <c r="J1" s="429"/>
      <c r="K1" s="429"/>
      <c r="L1" s="429"/>
      <c r="M1" s="429"/>
      <c r="N1" s="429"/>
      <c r="O1" s="429"/>
      <c r="P1" s="429"/>
      <c r="Q1" s="429"/>
      <c r="R1" s="429"/>
      <c r="S1" s="429"/>
      <c r="T1" s="429"/>
      <c r="U1" s="430"/>
      <c r="V1" s="213"/>
      <c r="W1" s="213"/>
      <c r="X1" s="213"/>
      <c r="Y1" s="213"/>
      <c r="Z1" s="213"/>
      <c r="AA1" s="213"/>
      <c r="AB1" s="213"/>
      <c r="AC1" s="213"/>
      <c r="AD1" s="213"/>
      <c r="AE1" s="214"/>
    </row>
    <row r="2" spans="1:123" ht="42.75" customHeight="1">
      <c r="A2" s="926" t="s">
        <v>724</v>
      </c>
      <c r="B2" s="429"/>
      <c r="C2" s="429"/>
      <c r="D2" s="429"/>
      <c r="E2" s="429"/>
      <c r="F2" s="429"/>
      <c r="G2" s="429"/>
      <c r="H2" s="429"/>
      <c r="I2" s="429"/>
      <c r="J2" s="429"/>
      <c r="K2" s="429"/>
      <c r="L2" s="429"/>
      <c r="M2" s="429"/>
      <c r="N2" s="429"/>
      <c r="O2" s="429"/>
      <c r="P2" s="429"/>
      <c r="Q2" s="429"/>
      <c r="R2" s="429"/>
      <c r="S2" s="429"/>
      <c r="T2" s="429"/>
      <c r="U2" s="430"/>
      <c r="V2" s="213"/>
      <c r="W2" s="213"/>
      <c r="X2" s="213"/>
      <c r="Y2" s="213"/>
      <c r="Z2" s="213"/>
      <c r="AA2" s="213"/>
      <c r="AB2" s="213"/>
      <c r="AC2" s="213"/>
      <c r="AD2" s="213"/>
      <c r="AE2" s="214"/>
    </row>
    <row r="3" spans="1:123" ht="33.75" customHeight="1" thickBot="1">
      <c r="A3" s="927"/>
      <c r="B3" s="928"/>
      <c r="C3" s="928"/>
      <c r="D3" s="928"/>
      <c r="E3" s="928"/>
      <c r="F3" s="928"/>
      <c r="G3" s="928"/>
      <c r="H3" s="928"/>
      <c r="I3" s="928"/>
      <c r="J3" s="928"/>
      <c r="K3" s="928"/>
      <c r="L3" s="928"/>
      <c r="M3" s="928"/>
      <c r="N3" s="928"/>
      <c r="O3" s="928"/>
      <c r="P3" s="928"/>
      <c r="Q3" s="928"/>
      <c r="R3" s="928"/>
      <c r="S3" s="928"/>
      <c r="T3" s="928"/>
      <c r="U3" s="929"/>
      <c r="V3" s="213"/>
      <c r="W3" s="213"/>
      <c r="X3" s="213"/>
      <c r="Y3" s="213"/>
      <c r="Z3" s="213"/>
      <c r="AA3" s="213"/>
      <c r="AB3" s="213"/>
      <c r="AC3" s="213"/>
      <c r="AD3" s="213"/>
      <c r="AE3" s="214"/>
    </row>
    <row r="4" spans="1:123" s="281" customFormat="1" ht="68" customHeight="1">
      <c r="A4" s="930" t="s">
        <v>141</v>
      </c>
      <c r="B4" s="931"/>
      <c r="C4" s="931"/>
      <c r="D4" s="932"/>
      <c r="E4" s="919" t="s">
        <v>861</v>
      </c>
      <c r="F4" s="920"/>
      <c r="G4" s="920"/>
      <c r="H4" s="920"/>
      <c r="I4" s="920"/>
      <c r="J4" s="920"/>
      <c r="K4" s="920"/>
      <c r="L4" s="933"/>
      <c r="M4" s="277" t="s">
        <v>19</v>
      </c>
      <c r="N4" s="919" t="s">
        <v>142</v>
      </c>
      <c r="O4" s="920"/>
      <c r="P4" s="920"/>
      <c r="Q4" s="920"/>
      <c r="R4" s="920"/>
      <c r="S4" s="920"/>
      <c r="T4" s="920"/>
      <c r="U4" s="921"/>
      <c r="V4" s="278"/>
      <c r="W4" s="278"/>
      <c r="X4" s="278"/>
      <c r="Y4" s="278"/>
      <c r="Z4" s="278"/>
      <c r="AA4" s="278"/>
      <c r="AB4" s="278"/>
      <c r="AC4" s="278"/>
      <c r="AD4" s="278"/>
      <c r="AE4" s="279"/>
      <c r="AF4" s="280"/>
      <c r="AG4" s="280"/>
      <c r="AH4" s="280"/>
      <c r="AI4" s="280"/>
      <c r="AJ4" s="280"/>
      <c r="AK4" s="280"/>
      <c r="AL4" s="280"/>
      <c r="AM4" s="280"/>
      <c r="AN4" s="280"/>
      <c r="AO4" s="280"/>
      <c r="AP4" s="280"/>
      <c r="AQ4" s="280"/>
      <c r="AR4" s="280"/>
      <c r="AS4" s="280"/>
      <c r="AT4" s="280"/>
      <c r="AU4" s="280"/>
      <c r="AV4" s="280"/>
      <c r="AW4" s="280"/>
      <c r="AX4" s="280"/>
      <c r="AY4" s="280"/>
      <c r="AZ4" s="280"/>
      <c r="BA4" s="280"/>
      <c r="BB4" s="280"/>
      <c r="BC4" s="280"/>
      <c r="BD4" s="280"/>
      <c r="BE4" s="280"/>
      <c r="BF4" s="280"/>
      <c r="BG4" s="280"/>
      <c r="BH4" s="280"/>
      <c r="BI4" s="280"/>
      <c r="BJ4" s="280"/>
      <c r="BK4" s="280"/>
      <c r="BL4" s="280"/>
      <c r="BM4" s="280"/>
      <c r="BN4" s="280"/>
      <c r="BO4" s="280"/>
      <c r="BP4" s="280"/>
      <c r="BQ4" s="280"/>
      <c r="BR4" s="280"/>
      <c r="BS4" s="280"/>
      <c r="BT4" s="280"/>
      <c r="BU4" s="280"/>
      <c r="BV4" s="280"/>
      <c r="BW4" s="280"/>
      <c r="BX4" s="280"/>
      <c r="BY4" s="280"/>
      <c r="BZ4" s="280"/>
      <c r="CA4" s="280"/>
      <c r="CB4" s="280"/>
      <c r="CC4" s="280"/>
      <c r="CD4" s="280"/>
      <c r="CE4" s="280"/>
      <c r="CF4" s="280"/>
      <c r="CG4" s="280"/>
      <c r="CH4" s="280"/>
      <c r="CI4" s="280"/>
      <c r="CJ4" s="280"/>
      <c r="CK4" s="280"/>
      <c r="CL4" s="280"/>
      <c r="CM4" s="280"/>
      <c r="CN4" s="280"/>
      <c r="CO4" s="280"/>
      <c r="CP4" s="280"/>
      <c r="CQ4" s="280"/>
      <c r="CR4" s="280"/>
      <c r="CS4" s="280"/>
      <c r="CT4" s="280"/>
      <c r="CU4" s="280"/>
      <c r="CV4" s="280"/>
      <c r="CW4" s="280"/>
      <c r="CX4" s="280"/>
      <c r="CY4" s="280"/>
      <c r="CZ4" s="280"/>
      <c r="DA4" s="280"/>
      <c r="DB4" s="280"/>
      <c r="DC4" s="280"/>
      <c r="DD4" s="280"/>
      <c r="DE4" s="280"/>
      <c r="DF4" s="280"/>
      <c r="DG4" s="280"/>
      <c r="DH4" s="280"/>
      <c r="DI4" s="280"/>
      <c r="DJ4" s="280"/>
      <c r="DK4" s="280"/>
      <c r="DL4" s="280"/>
      <c r="DM4" s="280"/>
      <c r="DN4" s="280"/>
      <c r="DO4" s="280"/>
      <c r="DP4" s="280"/>
      <c r="DQ4" s="280"/>
      <c r="DR4" s="280"/>
      <c r="DS4" s="280"/>
    </row>
    <row r="5" spans="1:123" s="281" customFormat="1" ht="68" customHeight="1">
      <c r="A5" s="891" t="s">
        <v>20</v>
      </c>
      <c r="B5" s="892"/>
      <c r="C5" s="892"/>
      <c r="D5" s="893"/>
      <c r="E5" s="934" t="s">
        <v>862</v>
      </c>
      <c r="F5" s="923"/>
      <c r="G5" s="923"/>
      <c r="H5" s="923"/>
      <c r="I5" s="923"/>
      <c r="J5" s="923"/>
      <c r="K5" s="923"/>
      <c r="L5" s="935"/>
      <c r="M5" s="282" t="s">
        <v>21</v>
      </c>
      <c r="N5" s="922" t="s">
        <v>143</v>
      </c>
      <c r="O5" s="923"/>
      <c r="P5" s="923"/>
      <c r="Q5" s="923"/>
      <c r="R5" s="923"/>
      <c r="S5" s="923"/>
      <c r="T5" s="923"/>
      <c r="U5" s="924"/>
      <c r="V5" s="278"/>
      <c r="W5" s="278"/>
      <c r="X5" s="278"/>
      <c r="Y5" s="278"/>
      <c r="Z5" s="278"/>
      <c r="AA5" s="278"/>
      <c r="AB5" s="278"/>
      <c r="AC5" s="278"/>
      <c r="AD5" s="278"/>
      <c r="AE5" s="279"/>
      <c r="AF5" s="280"/>
      <c r="AG5" s="280"/>
      <c r="AH5" s="280"/>
      <c r="AI5" s="280"/>
      <c r="AJ5" s="280"/>
      <c r="AK5" s="280"/>
      <c r="AL5" s="280"/>
      <c r="AM5" s="280"/>
      <c r="AN5" s="280"/>
      <c r="AO5" s="280"/>
      <c r="AP5" s="280"/>
      <c r="AQ5" s="280"/>
      <c r="AR5" s="280"/>
      <c r="AS5" s="280"/>
      <c r="AT5" s="280"/>
      <c r="AU5" s="280"/>
      <c r="AV5" s="280"/>
      <c r="AW5" s="280"/>
      <c r="AX5" s="280"/>
      <c r="AY5" s="280"/>
      <c r="AZ5" s="280"/>
      <c r="BA5" s="280"/>
      <c r="BB5" s="280"/>
      <c r="BC5" s="280"/>
      <c r="BD5" s="280"/>
      <c r="BE5" s="280"/>
      <c r="BF5" s="280"/>
      <c r="BG5" s="280"/>
      <c r="BH5" s="280"/>
      <c r="BI5" s="280"/>
      <c r="BJ5" s="280"/>
      <c r="BK5" s="280"/>
      <c r="BL5" s="280"/>
      <c r="BM5" s="280"/>
      <c r="BN5" s="280"/>
      <c r="BO5" s="280"/>
      <c r="BP5" s="280"/>
      <c r="BQ5" s="280"/>
      <c r="BR5" s="280"/>
      <c r="BS5" s="280"/>
      <c r="BT5" s="280"/>
      <c r="BU5" s="280"/>
      <c r="BV5" s="280"/>
      <c r="BW5" s="280"/>
      <c r="BX5" s="280"/>
      <c r="BY5" s="280"/>
      <c r="BZ5" s="280"/>
      <c r="CA5" s="280"/>
      <c r="CB5" s="280"/>
      <c r="CC5" s="280"/>
      <c r="CD5" s="280"/>
      <c r="CE5" s="280"/>
      <c r="CF5" s="280"/>
      <c r="CG5" s="280"/>
      <c r="CH5" s="280"/>
      <c r="CI5" s="280"/>
      <c r="CJ5" s="280"/>
      <c r="CK5" s="280"/>
      <c r="CL5" s="280"/>
      <c r="CM5" s="280"/>
      <c r="CN5" s="280"/>
      <c r="CO5" s="280"/>
      <c r="CP5" s="280"/>
      <c r="CQ5" s="280"/>
      <c r="CR5" s="280"/>
      <c r="CS5" s="280"/>
      <c r="CT5" s="280"/>
      <c r="CU5" s="280"/>
      <c r="CV5" s="280"/>
      <c r="CW5" s="280"/>
      <c r="CX5" s="280"/>
      <c r="CY5" s="280"/>
      <c r="CZ5" s="280"/>
      <c r="DA5" s="280"/>
      <c r="DB5" s="280"/>
      <c r="DC5" s="280"/>
      <c r="DD5" s="280"/>
      <c r="DE5" s="280"/>
      <c r="DF5" s="280"/>
      <c r="DG5" s="280"/>
      <c r="DH5" s="280"/>
      <c r="DI5" s="280"/>
      <c r="DJ5" s="280"/>
      <c r="DK5" s="280"/>
      <c r="DL5" s="280"/>
      <c r="DM5" s="280"/>
      <c r="DN5" s="280"/>
      <c r="DO5" s="280"/>
      <c r="DP5" s="280"/>
      <c r="DQ5" s="280"/>
      <c r="DR5" s="280"/>
      <c r="DS5" s="280"/>
    </row>
    <row r="6" spans="1:123" s="281" customFormat="1" ht="68" customHeight="1">
      <c r="A6" s="891" t="s">
        <v>22</v>
      </c>
      <c r="B6" s="892"/>
      <c r="C6" s="892"/>
      <c r="D6" s="893"/>
      <c r="E6" s="922" t="s">
        <v>778</v>
      </c>
      <c r="F6" s="923"/>
      <c r="G6" s="923"/>
      <c r="H6" s="923"/>
      <c r="I6" s="923"/>
      <c r="J6" s="923"/>
      <c r="K6" s="923"/>
      <c r="L6" s="935"/>
      <c r="M6" s="283" t="s">
        <v>23</v>
      </c>
      <c r="N6" s="922" t="s">
        <v>144</v>
      </c>
      <c r="O6" s="923"/>
      <c r="P6" s="923"/>
      <c r="Q6" s="923"/>
      <c r="R6" s="923"/>
      <c r="S6" s="923"/>
      <c r="T6" s="923"/>
      <c r="U6" s="924"/>
      <c r="V6" s="278"/>
      <c r="W6" s="278"/>
      <c r="X6" s="278"/>
      <c r="Y6" s="278"/>
      <c r="Z6" s="278"/>
      <c r="AA6" s="278"/>
      <c r="AB6" s="278"/>
      <c r="AC6" s="278"/>
      <c r="AD6" s="278"/>
      <c r="AE6" s="279"/>
      <c r="AF6" s="280"/>
      <c r="AG6" s="280"/>
      <c r="AH6" s="280"/>
      <c r="AI6" s="280"/>
      <c r="AJ6" s="280"/>
      <c r="AK6" s="280"/>
      <c r="AL6" s="280"/>
      <c r="AM6" s="280"/>
      <c r="AN6" s="280"/>
      <c r="AO6" s="280"/>
      <c r="AP6" s="280"/>
      <c r="AQ6" s="280"/>
      <c r="AR6" s="280"/>
      <c r="AS6" s="280"/>
      <c r="AT6" s="280"/>
      <c r="AU6" s="280"/>
      <c r="AV6" s="280"/>
      <c r="AW6" s="280"/>
      <c r="AX6" s="280"/>
      <c r="AY6" s="280"/>
      <c r="AZ6" s="280"/>
      <c r="BA6" s="280"/>
      <c r="BB6" s="280"/>
      <c r="BC6" s="280"/>
      <c r="BD6" s="280"/>
      <c r="BE6" s="280"/>
      <c r="BF6" s="280"/>
      <c r="BG6" s="280"/>
      <c r="BH6" s="280"/>
      <c r="BI6" s="280"/>
      <c r="BJ6" s="280"/>
      <c r="BK6" s="280"/>
      <c r="BL6" s="280"/>
      <c r="BM6" s="280"/>
      <c r="BN6" s="280"/>
      <c r="BO6" s="280"/>
      <c r="BP6" s="280"/>
      <c r="BQ6" s="280"/>
      <c r="BR6" s="280"/>
      <c r="BS6" s="280"/>
      <c r="BT6" s="280"/>
      <c r="BU6" s="280"/>
      <c r="BV6" s="280"/>
      <c r="BW6" s="280"/>
      <c r="BX6" s="280"/>
      <c r="BY6" s="280"/>
      <c r="BZ6" s="280"/>
      <c r="CA6" s="280"/>
      <c r="CB6" s="280"/>
      <c r="CC6" s="280"/>
      <c r="CD6" s="280"/>
      <c r="CE6" s="280"/>
      <c r="CF6" s="280"/>
      <c r="CG6" s="280"/>
      <c r="CH6" s="280"/>
      <c r="CI6" s="280"/>
      <c r="CJ6" s="280"/>
      <c r="CK6" s="280"/>
      <c r="CL6" s="280"/>
      <c r="CM6" s="280"/>
      <c r="CN6" s="280"/>
      <c r="CO6" s="280"/>
      <c r="CP6" s="280"/>
      <c r="CQ6" s="280"/>
      <c r="CR6" s="280"/>
      <c r="CS6" s="280"/>
      <c r="CT6" s="280"/>
      <c r="CU6" s="280"/>
      <c r="CV6" s="280"/>
      <c r="CW6" s="280"/>
      <c r="CX6" s="280"/>
      <c r="CY6" s="280"/>
      <c r="CZ6" s="280"/>
      <c r="DA6" s="280"/>
      <c r="DB6" s="280"/>
      <c r="DC6" s="280"/>
      <c r="DD6" s="280"/>
      <c r="DE6" s="280"/>
      <c r="DF6" s="280"/>
      <c r="DG6" s="280"/>
      <c r="DH6" s="280"/>
      <c r="DI6" s="280"/>
      <c r="DJ6" s="280"/>
      <c r="DK6" s="280"/>
      <c r="DL6" s="280"/>
      <c r="DM6" s="280"/>
      <c r="DN6" s="280"/>
      <c r="DO6" s="280"/>
      <c r="DP6" s="280"/>
      <c r="DQ6" s="280"/>
      <c r="DR6" s="280"/>
      <c r="DS6" s="280"/>
    </row>
    <row r="7" spans="1:123" s="281" customFormat="1" ht="68" customHeight="1">
      <c r="A7" s="891" t="s">
        <v>735</v>
      </c>
      <c r="B7" s="892"/>
      <c r="C7" s="892"/>
      <c r="D7" s="893"/>
      <c r="E7" s="894" t="s">
        <v>736</v>
      </c>
      <c r="F7" s="895"/>
      <c r="G7" s="895"/>
      <c r="H7" s="895"/>
      <c r="I7" s="895"/>
      <c r="J7" s="895"/>
      <c r="K7" s="895"/>
      <c r="L7" s="896"/>
      <c r="M7" s="282" t="s">
        <v>145</v>
      </c>
      <c r="N7" s="317"/>
      <c r="O7" s="318"/>
      <c r="P7" s="318"/>
      <c r="Q7" s="319"/>
      <c r="R7" s="318"/>
      <c r="S7" s="320"/>
      <c r="T7" s="321"/>
      <c r="U7" s="322"/>
      <c r="V7" s="278"/>
      <c r="W7" s="278"/>
      <c r="X7" s="278"/>
      <c r="Y7" s="278"/>
      <c r="Z7" s="278"/>
      <c r="AA7" s="278"/>
      <c r="AB7" s="278"/>
      <c r="AC7" s="278"/>
      <c r="AD7" s="278"/>
      <c r="AE7" s="279"/>
      <c r="AF7" s="280"/>
      <c r="AG7" s="280"/>
      <c r="AH7" s="280"/>
      <c r="AI7" s="280"/>
      <c r="AJ7" s="280"/>
      <c r="AK7" s="280"/>
      <c r="AL7" s="280"/>
      <c r="AM7" s="280"/>
      <c r="AN7" s="280"/>
      <c r="AO7" s="280"/>
      <c r="AP7" s="280"/>
      <c r="AQ7" s="280"/>
      <c r="AR7" s="280"/>
      <c r="AS7" s="280"/>
      <c r="AT7" s="280"/>
      <c r="AU7" s="280"/>
      <c r="AV7" s="280"/>
      <c r="AW7" s="280"/>
      <c r="AX7" s="280"/>
      <c r="AY7" s="280"/>
      <c r="AZ7" s="280"/>
      <c r="BA7" s="280"/>
      <c r="BB7" s="280"/>
      <c r="BC7" s="280"/>
      <c r="BD7" s="280"/>
      <c r="BE7" s="280"/>
      <c r="BF7" s="280"/>
      <c r="BG7" s="280"/>
      <c r="BH7" s="280"/>
      <c r="BI7" s="280"/>
      <c r="BJ7" s="280"/>
      <c r="BK7" s="280"/>
      <c r="BL7" s="280"/>
      <c r="BM7" s="280"/>
      <c r="BN7" s="280"/>
      <c r="BO7" s="280"/>
      <c r="BP7" s="280"/>
      <c r="BQ7" s="280"/>
      <c r="BR7" s="280"/>
      <c r="BS7" s="280"/>
      <c r="BT7" s="280"/>
      <c r="BU7" s="280"/>
      <c r="BV7" s="280"/>
      <c r="BW7" s="280"/>
      <c r="BX7" s="280"/>
      <c r="BY7" s="280"/>
      <c r="BZ7" s="280"/>
      <c r="CA7" s="280"/>
      <c r="CB7" s="280"/>
      <c r="CC7" s="280"/>
      <c r="CD7" s="280"/>
      <c r="CE7" s="280"/>
      <c r="CF7" s="280"/>
      <c r="CG7" s="280"/>
      <c r="CH7" s="280"/>
      <c r="CI7" s="280"/>
      <c r="CJ7" s="280"/>
      <c r="CK7" s="280"/>
      <c r="CL7" s="280"/>
      <c r="CM7" s="280"/>
      <c r="CN7" s="280"/>
      <c r="CO7" s="280"/>
      <c r="CP7" s="280"/>
      <c r="CQ7" s="280"/>
      <c r="CR7" s="280"/>
      <c r="CS7" s="280"/>
      <c r="CT7" s="280"/>
      <c r="CU7" s="280"/>
      <c r="CV7" s="280"/>
      <c r="CW7" s="280"/>
      <c r="CX7" s="280"/>
      <c r="CY7" s="280"/>
      <c r="CZ7" s="280"/>
      <c r="DA7" s="280"/>
      <c r="DB7" s="280"/>
      <c r="DC7" s="280"/>
      <c r="DD7" s="280"/>
      <c r="DE7" s="280"/>
      <c r="DF7" s="280"/>
      <c r="DG7" s="280"/>
      <c r="DH7" s="280"/>
      <c r="DI7" s="280"/>
      <c r="DJ7" s="280"/>
      <c r="DK7" s="280"/>
      <c r="DL7" s="280"/>
      <c r="DM7" s="280"/>
      <c r="DN7" s="280"/>
      <c r="DO7" s="280"/>
      <c r="DP7" s="280"/>
      <c r="DQ7" s="280"/>
      <c r="DR7" s="280"/>
      <c r="DS7" s="280"/>
    </row>
    <row r="8" spans="1:123" s="281" customFormat="1" ht="68" customHeight="1" thickBot="1">
      <c r="A8" s="897" t="s">
        <v>732</v>
      </c>
      <c r="B8" s="898"/>
      <c r="C8" s="898"/>
      <c r="D8" s="899"/>
      <c r="E8" s="900" t="s">
        <v>733</v>
      </c>
      <c r="F8" s="901"/>
      <c r="G8" s="901"/>
      <c r="H8" s="901"/>
      <c r="I8" s="901"/>
      <c r="J8" s="901"/>
      <c r="K8" s="901"/>
      <c r="L8" s="901"/>
      <c r="M8" s="901"/>
      <c r="N8" s="901"/>
      <c r="O8" s="901"/>
      <c r="P8" s="901"/>
      <c r="Q8" s="901"/>
      <c r="R8" s="901"/>
      <c r="S8" s="901"/>
      <c r="T8" s="901"/>
      <c r="U8" s="902"/>
      <c r="V8" s="278"/>
      <c r="W8" s="278"/>
      <c r="X8" s="278"/>
      <c r="Y8" s="278"/>
      <c r="Z8" s="278"/>
      <c r="AA8" s="278"/>
      <c r="AB8" s="278"/>
      <c r="AC8" s="278"/>
      <c r="AD8" s="278"/>
      <c r="AE8" s="279"/>
      <c r="AF8" s="280"/>
      <c r="AG8" s="280"/>
      <c r="AH8" s="280"/>
      <c r="AI8" s="280"/>
      <c r="AJ8" s="280"/>
      <c r="AK8" s="280"/>
      <c r="AL8" s="280"/>
      <c r="AM8" s="280"/>
      <c r="AN8" s="280"/>
      <c r="AO8" s="280"/>
      <c r="AP8" s="280"/>
      <c r="AQ8" s="280"/>
      <c r="AR8" s="280"/>
      <c r="AS8" s="280"/>
      <c r="AT8" s="280"/>
      <c r="AU8" s="280"/>
      <c r="AV8" s="280"/>
      <c r="AW8" s="280"/>
      <c r="AX8" s="280"/>
      <c r="AY8" s="280"/>
      <c r="AZ8" s="280"/>
      <c r="BA8" s="280"/>
      <c r="BB8" s="280"/>
      <c r="BC8" s="280"/>
      <c r="BD8" s="280"/>
      <c r="BE8" s="280"/>
      <c r="BF8" s="280"/>
      <c r="BG8" s="280"/>
      <c r="BH8" s="280"/>
      <c r="BI8" s="280"/>
      <c r="BJ8" s="280"/>
      <c r="BK8" s="280"/>
      <c r="BL8" s="280"/>
      <c r="BM8" s="280"/>
      <c r="BN8" s="280"/>
      <c r="BO8" s="280"/>
      <c r="BP8" s="280"/>
      <c r="BQ8" s="280"/>
      <c r="BR8" s="280"/>
      <c r="BS8" s="280"/>
      <c r="BT8" s="280"/>
      <c r="BU8" s="280"/>
      <c r="BV8" s="280"/>
      <c r="BW8" s="280"/>
      <c r="BX8" s="280"/>
      <c r="BY8" s="280"/>
      <c r="BZ8" s="280"/>
      <c r="CA8" s="280"/>
      <c r="CB8" s="280"/>
      <c r="CC8" s="280"/>
      <c r="CD8" s="280"/>
      <c r="CE8" s="280"/>
      <c r="CF8" s="280"/>
      <c r="CG8" s="280"/>
      <c r="CH8" s="280"/>
      <c r="CI8" s="280"/>
      <c r="CJ8" s="280"/>
      <c r="CK8" s="280"/>
      <c r="CL8" s="280"/>
      <c r="CM8" s="280"/>
      <c r="CN8" s="280"/>
      <c r="CO8" s="280"/>
      <c r="CP8" s="280"/>
      <c r="CQ8" s="280"/>
      <c r="CR8" s="280"/>
      <c r="CS8" s="280"/>
      <c r="CT8" s="280"/>
      <c r="CU8" s="280"/>
      <c r="CV8" s="280"/>
      <c r="CW8" s="280"/>
      <c r="CX8" s="280"/>
      <c r="CY8" s="280"/>
      <c r="CZ8" s="280"/>
      <c r="DA8" s="280"/>
      <c r="DB8" s="280"/>
      <c r="DC8" s="280"/>
      <c r="DD8" s="280"/>
      <c r="DE8" s="280"/>
      <c r="DF8" s="280"/>
      <c r="DG8" s="280"/>
      <c r="DH8" s="280"/>
      <c r="DI8" s="280"/>
      <c r="DJ8" s="280"/>
      <c r="DK8" s="280"/>
      <c r="DL8" s="280"/>
      <c r="DM8" s="280"/>
      <c r="DN8" s="280"/>
      <c r="DO8" s="280"/>
      <c r="DP8" s="280"/>
      <c r="DQ8" s="280"/>
      <c r="DR8" s="280"/>
      <c r="DS8" s="280"/>
    </row>
    <row r="9" spans="1:123" ht="19.5" customHeight="1">
      <c r="A9" s="903"/>
      <c r="B9" s="904"/>
      <c r="C9" s="904"/>
      <c r="D9" s="904"/>
      <c r="E9" s="904"/>
      <c r="F9" s="904"/>
      <c r="G9" s="904"/>
      <c r="H9" s="904"/>
      <c r="I9" s="904"/>
      <c r="J9" s="904"/>
      <c r="K9" s="904"/>
      <c r="L9" s="904"/>
      <c r="M9" s="904"/>
      <c r="N9" s="904"/>
      <c r="O9" s="904"/>
      <c r="P9" s="904"/>
      <c r="Q9" s="904"/>
      <c r="R9" s="904"/>
      <c r="S9" s="904"/>
      <c r="T9" s="904"/>
      <c r="U9" s="905"/>
      <c r="V9" s="213"/>
      <c r="W9" s="213"/>
      <c r="X9" s="213"/>
      <c r="Y9" s="213"/>
      <c r="Z9" s="213"/>
      <c r="AA9" s="213"/>
      <c r="AB9" s="213"/>
      <c r="AC9" s="213"/>
      <c r="AD9" s="213"/>
      <c r="AE9" s="214"/>
    </row>
    <row r="10" spans="1:123" ht="99.5" customHeight="1" thickBot="1">
      <c r="A10" s="676" t="s">
        <v>734</v>
      </c>
      <c r="B10" s="907"/>
      <c r="C10" s="907"/>
      <c r="D10" s="907"/>
      <c r="E10" s="907"/>
      <c r="F10" s="907"/>
      <c r="G10" s="907"/>
      <c r="H10" s="907"/>
      <c r="I10" s="907"/>
      <c r="J10" s="907"/>
      <c r="K10" s="907"/>
      <c r="L10" s="907"/>
      <c r="M10" s="907"/>
      <c r="N10" s="907"/>
      <c r="O10" s="907"/>
      <c r="P10" s="907"/>
      <c r="Q10" s="907"/>
      <c r="R10" s="907"/>
      <c r="S10" s="907"/>
      <c r="T10" s="907"/>
      <c r="U10" s="907"/>
      <c r="V10" s="213"/>
      <c r="W10" s="213"/>
      <c r="X10" s="213"/>
      <c r="Y10" s="213"/>
      <c r="Z10" s="213"/>
      <c r="AA10" s="213"/>
      <c r="AB10" s="213"/>
      <c r="AC10" s="213"/>
      <c r="AD10" s="213"/>
      <c r="AE10" s="214"/>
    </row>
    <row r="11" spans="1:123" ht="4.5" hidden="1" customHeight="1" thickBot="1">
      <c r="A11" s="216"/>
      <c r="B11" s="216"/>
      <c r="C11" s="216"/>
      <c r="D11" s="216"/>
      <c r="E11" s="216"/>
      <c r="F11" s="216"/>
      <c r="G11" s="216"/>
      <c r="H11" s="217"/>
      <c r="I11" s="295"/>
      <c r="J11" s="218"/>
      <c r="K11" s="216"/>
      <c r="L11" s="219"/>
      <c r="M11" s="216"/>
      <c r="N11" s="216"/>
      <c r="O11" s="216"/>
      <c r="P11" s="216"/>
      <c r="Q11" s="312"/>
      <c r="R11" s="216"/>
      <c r="S11" s="220"/>
      <c r="T11" s="221"/>
      <c r="U11" s="221"/>
      <c r="V11" s="214"/>
      <c r="W11" s="214"/>
      <c r="X11" s="214"/>
      <c r="Y11" s="214"/>
      <c r="Z11" s="214"/>
      <c r="AA11" s="214"/>
      <c r="AB11" s="214"/>
      <c r="AC11" s="214"/>
      <c r="AD11" s="214"/>
      <c r="AE11" s="214"/>
    </row>
    <row r="12" spans="1:123" ht="21.75" customHeight="1" thickBot="1">
      <c r="A12" s="908" t="s">
        <v>28</v>
      </c>
      <c r="B12" s="909"/>
      <c r="C12" s="909"/>
      <c r="D12" s="909"/>
      <c r="E12" s="909"/>
      <c r="F12" s="909"/>
      <c r="G12" s="909"/>
      <c r="H12" s="909"/>
      <c r="I12" s="909"/>
      <c r="J12" s="909"/>
      <c r="K12" s="909"/>
      <c r="L12" s="909"/>
      <c r="M12" s="909"/>
      <c r="N12" s="909"/>
      <c r="O12" s="909"/>
      <c r="P12" s="909"/>
      <c r="Q12" s="818"/>
      <c r="R12" s="910" t="s">
        <v>29</v>
      </c>
      <c r="S12" s="815"/>
      <c r="T12" s="815"/>
      <c r="U12" s="818"/>
      <c r="V12" s="214"/>
      <c r="W12" s="214"/>
      <c r="X12" s="214"/>
      <c r="Y12" s="214"/>
      <c r="Z12" s="214"/>
      <c r="AA12" s="214"/>
      <c r="AB12" s="214"/>
      <c r="AC12" s="214"/>
      <c r="AD12" s="214"/>
      <c r="AE12" s="214"/>
    </row>
    <row r="13" spans="1:123" ht="289" customHeight="1" thickBot="1">
      <c r="A13" s="881" t="s">
        <v>3</v>
      </c>
      <c r="B13" s="882"/>
      <c r="C13" s="882"/>
      <c r="D13" s="883"/>
      <c r="E13" s="766" t="s">
        <v>730</v>
      </c>
      <c r="F13" s="767"/>
      <c r="G13" s="769" t="s">
        <v>8</v>
      </c>
      <c r="H13" s="769" t="s">
        <v>9</v>
      </c>
      <c r="I13" s="885" t="s">
        <v>774</v>
      </c>
      <c r="J13" s="886"/>
      <c r="K13" s="948" t="s">
        <v>727</v>
      </c>
      <c r="L13" s="1076" t="s">
        <v>33</v>
      </c>
      <c r="M13" s="1077"/>
      <c r="N13" s="1077"/>
      <c r="O13" s="1077"/>
      <c r="P13" s="1078"/>
      <c r="Q13" s="912" t="s">
        <v>34</v>
      </c>
      <c r="R13" s="755" t="s">
        <v>35</v>
      </c>
      <c r="S13" s="758" t="s">
        <v>36</v>
      </c>
      <c r="T13" s="917" t="s">
        <v>37</v>
      </c>
      <c r="U13" s="938" t="s">
        <v>38</v>
      </c>
      <c r="V13" s="214"/>
      <c r="W13" s="214"/>
      <c r="X13" s="214"/>
      <c r="Y13" s="214"/>
      <c r="Z13" s="214"/>
      <c r="AA13" s="214"/>
      <c r="AB13" s="214"/>
      <c r="AC13" s="214"/>
      <c r="AD13" s="214"/>
      <c r="AE13" s="214"/>
    </row>
    <row r="14" spans="1:123" ht="90" customHeight="1" thickBot="1">
      <c r="A14" s="772" t="s">
        <v>731</v>
      </c>
      <c r="B14" s="884" t="s">
        <v>859</v>
      </c>
      <c r="C14" s="789"/>
      <c r="D14" s="790"/>
      <c r="E14" s="768"/>
      <c r="F14" s="756"/>
      <c r="G14" s="770"/>
      <c r="H14" s="771"/>
      <c r="I14" s="887" t="s">
        <v>728</v>
      </c>
      <c r="J14" s="888" t="s">
        <v>729</v>
      </c>
      <c r="K14" s="949"/>
      <c r="L14" s="763" t="s">
        <v>43</v>
      </c>
      <c r="M14" s="765" t="s">
        <v>44</v>
      </c>
      <c r="N14" s="765" t="s">
        <v>45</v>
      </c>
      <c r="O14" s="765" t="s">
        <v>46</v>
      </c>
      <c r="P14" s="774" t="s">
        <v>47</v>
      </c>
      <c r="Q14" s="913"/>
      <c r="R14" s="756"/>
      <c r="S14" s="759"/>
      <c r="T14" s="770"/>
      <c r="U14" s="776"/>
      <c r="V14" s="214"/>
      <c r="W14" s="214"/>
      <c r="X14" s="214"/>
      <c r="Y14" s="214"/>
      <c r="Z14" s="214"/>
      <c r="AA14" s="214"/>
      <c r="AB14" s="214"/>
      <c r="AC14" s="214"/>
      <c r="AD14" s="214"/>
      <c r="AE14" s="214"/>
    </row>
    <row r="15" spans="1:123" ht="155.5" customHeight="1" thickBot="1">
      <c r="A15" s="773"/>
      <c r="B15" s="301" t="s">
        <v>48</v>
      </c>
      <c r="C15" s="301" t="s">
        <v>49</v>
      </c>
      <c r="D15" s="301" t="s">
        <v>146</v>
      </c>
      <c r="E15" s="768"/>
      <c r="F15" s="756"/>
      <c r="G15" s="770"/>
      <c r="H15" s="771"/>
      <c r="I15" s="759"/>
      <c r="J15" s="768"/>
      <c r="K15" s="949"/>
      <c r="L15" s="764"/>
      <c r="M15" s="664"/>
      <c r="N15" s="664"/>
      <c r="O15" s="664"/>
      <c r="P15" s="718"/>
      <c r="Q15" s="914"/>
      <c r="R15" s="757"/>
      <c r="S15" s="760"/>
      <c r="T15" s="918"/>
      <c r="U15" s="939"/>
      <c r="V15" s="222"/>
      <c r="W15" s="222"/>
      <c r="X15" s="222"/>
      <c r="Y15" s="222"/>
      <c r="Z15" s="222"/>
      <c r="AA15" s="222"/>
      <c r="AB15" s="222"/>
      <c r="AC15" s="222"/>
      <c r="AD15" s="222"/>
      <c r="AE15" s="214"/>
    </row>
    <row r="16" spans="1:123" ht="74" customHeight="1">
      <c r="A16" s="906" t="s">
        <v>147</v>
      </c>
      <c r="B16" s="632" t="s">
        <v>790</v>
      </c>
      <c r="C16" s="940" t="s">
        <v>14</v>
      </c>
      <c r="D16" s="715" t="s">
        <v>788</v>
      </c>
      <c r="E16" s="713" t="s">
        <v>833</v>
      </c>
      <c r="F16" s="713"/>
      <c r="G16" s="744" t="s">
        <v>779</v>
      </c>
      <c r="H16" s="946">
        <v>0.04</v>
      </c>
      <c r="I16" s="748">
        <v>1</v>
      </c>
      <c r="J16" s="715" t="s">
        <v>149</v>
      </c>
      <c r="K16" s="941" t="s">
        <v>14</v>
      </c>
      <c r="L16" s="943" t="s">
        <v>834</v>
      </c>
      <c r="M16" s="943" t="s">
        <v>835</v>
      </c>
      <c r="N16" s="943" t="s">
        <v>836</v>
      </c>
      <c r="O16" s="943" t="s">
        <v>837</v>
      </c>
      <c r="P16" s="943" t="s">
        <v>838</v>
      </c>
      <c r="Q16" s="712" t="s">
        <v>842</v>
      </c>
      <c r="R16" s="944"/>
      <c r="S16" s="915">
        <v>5</v>
      </c>
      <c r="T16" s="725">
        <f>AVERAGE(S16:S21)</f>
        <v>5</v>
      </c>
      <c r="U16" s="726">
        <f>T16*SUM(H16:H21)</f>
        <v>0.2</v>
      </c>
      <c r="V16" s="223"/>
      <c r="W16" s="223"/>
      <c r="X16" s="223"/>
      <c r="Y16" s="223"/>
      <c r="Z16" s="223"/>
      <c r="AA16" s="223"/>
      <c r="AB16" s="223"/>
      <c r="AC16" s="223"/>
      <c r="AD16" s="223"/>
      <c r="AE16" s="224"/>
    </row>
    <row r="17" spans="1:123" ht="10.5" hidden="1" customHeight="1">
      <c r="A17" s="860"/>
      <c r="B17" s="633"/>
      <c r="C17" s="889"/>
      <c r="D17" s="683"/>
      <c r="E17" s="714"/>
      <c r="F17" s="714"/>
      <c r="G17" s="745"/>
      <c r="H17" s="749"/>
      <c r="I17" s="743"/>
      <c r="J17" s="741"/>
      <c r="K17" s="942"/>
      <c r="L17" s="778"/>
      <c r="M17" s="778"/>
      <c r="N17" s="778"/>
      <c r="O17" s="778"/>
      <c r="P17" s="778"/>
      <c r="Q17" s="653"/>
      <c r="R17" s="945"/>
      <c r="S17" s="916"/>
      <c r="T17" s="686"/>
      <c r="U17" s="684"/>
      <c r="V17" s="223"/>
      <c r="W17" s="223"/>
      <c r="X17" s="223"/>
      <c r="Y17" s="223"/>
      <c r="Z17" s="223"/>
      <c r="AA17" s="223"/>
      <c r="AB17" s="223"/>
      <c r="AC17" s="223"/>
      <c r="AD17" s="223"/>
      <c r="AE17" s="224"/>
    </row>
    <row r="18" spans="1:123" ht="33.5" customHeight="1">
      <c r="A18" s="860"/>
      <c r="B18" s="633"/>
      <c r="C18" s="889"/>
      <c r="D18" s="683"/>
      <c r="E18" s="714"/>
      <c r="F18" s="714"/>
      <c r="G18" s="745"/>
      <c r="H18" s="749"/>
      <c r="I18" s="743"/>
      <c r="J18" s="741"/>
      <c r="K18" s="942"/>
      <c r="L18" s="778"/>
      <c r="M18" s="778"/>
      <c r="N18" s="778"/>
      <c r="O18" s="778"/>
      <c r="P18" s="778"/>
      <c r="Q18" s="653"/>
      <c r="R18" s="945"/>
      <c r="S18" s="916"/>
      <c r="T18" s="686"/>
      <c r="U18" s="684"/>
      <c r="V18" s="223"/>
      <c r="W18" s="223"/>
      <c r="X18" s="223"/>
      <c r="Y18" s="223"/>
      <c r="Z18" s="223"/>
      <c r="AA18" s="223"/>
      <c r="AB18" s="223"/>
      <c r="AC18" s="223"/>
      <c r="AD18" s="223"/>
      <c r="AE18" s="224"/>
    </row>
    <row r="19" spans="1:123" s="211" customFormat="1" ht="13" customHeight="1">
      <c r="A19" s="860"/>
      <c r="B19" s="633"/>
      <c r="C19" s="889"/>
      <c r="D19" s="683"/>
      <c r="E19" s="714"/>
      <c r="F19" s="714"/>
      <c r="G19" s="745"/>
      <c r="H19" s="749"/>
      <c r="I19" s="743"/>
      <c r="J19" s="741"/>
      <c r="K19" s="942"/>
      <c r="L19" s="778"/>
      <c r="M19" s="778"/>
      <c r="N19" s="778"/>
      <c r="O19" s="778"/>
      <c r="P19" s="778"/>
      <c r="Q19" s="653"/>
      <c r="R19" s="945"/>
      <c r="S19" s="916"/>
      <c r="T19" s="686"/>
      <c r="U19" s="684"/>
      <c r="V19" s="225"/>
      <c r="W19" s="225"/>
      <c r="X19" s="225"/>
      <c r="Y19" s="225"/>
      <c r="Z19" s="225"/>
      <c r="AA19" s="225"/>
      <c r="AB19" s="225"/>
      <c r="AC19" s="225"/>
      <c r="AD19" s="225"/>
      <c r="AE19" s="226"/>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6"/>
      <c r="BK19" s="226"/>
      <c r="BL19" s="226"/>
      <c r="BM19" s="226"/>
      <c r="BN19" s="226"/>
      <c r="BO19" s="226"/>
      <c r="BP19" s="226"/>
      <c r="BQ19" s="226"/>
      <c r="BR19" s="226"/>
      <c r="BS19" s="226"/>
      <c r="BT19" s="226"/>
      <c r="BU19" s="226"/>
      <c r="BV19" s="226"/>
      <c r="BW19" s="226"/>
      <c r="BX19" s="226"/>
      <c r="BY19" s="226"/>
      <c r="BZ19" s="226"/>
      <c r="CA19" s="226"/>
      <c r="CB19" s="226"/>
      <c r="CC19" s="226"/>
      <c r="CD19" s="226"/>
      <c r="CE19" s="226"/>
      <c r="CF19" s="226"/>
      <c r="CG19" s="226"/>
      <c r="CH19" s="226"/>
      <c r="CI19" s="226"/>
      <c r="CJ19" s="226"/>
      <c r="CK19" s="226"/>
      <c r="CL19" s="226"/>
      <c r="CM19" s="226"/>
      <c r="CN19" s="226"/>
      <c r="CO19" s="226"/>
      <c r="CP19" s="226"/>
      <c r="CQ19" s="226"/>
      <c r="CR19" s="226"/>
      <c r="CS19" s="226"/>
      <c r="CT19" s="226"/>
      <c r="CU19" s="226"/>
      <c r="CV19" s="226"/>
      <c r="CW19" s="226"/>
      <c r="CX19" s="226"/>
      <c r="CY19" s="226"/>
      <c r="CZ19" s="226"/>
      <c r="DA19" s="226"/>
      <c r="DB19" s="226"/>
      <c r="DC19" s="226"/>
      <c r="DD19" s="226"/>
      <c r="DE19" s="226"/>
      <c r="DF19" s="226"/>
      <c r="DG19" s="226"/>
      <c r="DH19" s="226"/>
      <c r="DI19" s="226"/>
      <c r="DJ19" s="226"/>
      <c r="DK19" s="226"/>
      <c r="DL19" s="226"/>
      <c r="DM19" s="226"/>
      <c r="DN19" s="226"/>
      <c r="DO19" s="226"/>
      <c r="DP19" s="226"/>
      <c r="DQ19" s="226"/>
      <c r="DR19" s="226"/>
      <c r="DS19" s="226"/>
    </row>
    <row r="20" spans="1:123" s="211" customFormat="1" ht="121.5" customHeight="1">
      <c r="A20" s="860"/>
      <c r="B20" s="633"/>
      <c r="C20" s="889"/>
      <c r="D20" s="683"/>
      <c r="E20" s="714"/>
      <c r="F20" s="714"/>
      <c r="G20" s="745"/>
      <c r="H20" s="749"/>
      <c r="I20" s="743"/>
      <c r="J20" s="741"/>
      <c r="K20" s="275" t="s">
        <v>15</v>
      </c>
      <c r="L20" s="404" t="s">
        <v>150</v>
      </c>
      <c r="M20" s="404" t="s">
        <v>151</v>
      </c>
      <c r="N20" s="404" t="s">
        <v>152</v>
      </c>
      <c r="O20" s="404" t="s">
        <v>153</v>
      </c>
      <c r="P20" s="404" t="s">
        <v>154</v>
      </c>
      <c r="Q20" s="653"/>
      <c r="R20" s="945"/>
      <c r="S20" s="289">
        <v>5</v>
      </c>
      <c r="T20" s="686"/>
      <c r="U20" s="684"/>
      <c r="V20" s="225"/>
      <c r="W20" s="225"/>
      <c r="X20" s="225"/>
      <c r="Y20" s="225"/>
      <c r="Z20" s="225"/>
      <c r="AA20" s="225"/>
      <c r="AB20" s="225"/>
      <c r="AC20" s="225"/>
      <c r="AD20" s="225"/>
      <c r="AE20" s="226"/>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6"/>
      <c r="BK20" s="226"/>
      <c r="BL20" s="226"/>
      <c r="BM20" s="226"/>
      <c r="BN20" s="226"/>
      <c r="BO20" s="226"/>
      <c r="BP20" s="226"/>
      <c r="BQ20" s="226"/>
      <c r="BR20" s="226"/>
      <c r="BS20" s="226"/>
      <c r="BT20" s="226"/>
      <c r="BU20" s="226"/>
      <c r="BV20" s="226"/>
      <c r="BW20" s="226"/>
      <c r="BX20" s="226"/>
      <c r="BY20" s="226"/>
      <c r="BZ20" s="226"/>
      <c r="CA20" s="226"/>
      <c r="CB20" s="226"/>
      <c r="CC20" s="226"/>
      <c r="CD20" s="226"/>
      <c r="CE20" s="226"/>
      <c r="CF20" s="226"/>
      <c r="CG20" s="226"/>
      <c r="CH20" s="226"/>
      <c r="CI20" s="226"/>
      <c r="CJ20" s="226"/>
      <c r="CK20" s="226"/>
      <c r="CL20" s="226"/>
      <c r="CM20" s="226"/>
      <c r="CN20" s="226"/>
      <c r="CO20" s="226"/>
      <c r="CP20" s="226"/>
      <c r="CQ20" s="226"/>
      <c r="CR20" s="226"/>
      <c r="CS20" s="226"/>
      <c r="CT20" s="226"/>
      <c r="CU20" s="226"/>
      <c r="CV20" s="226"/>
      <c r="CW20" s="226"/>
      <c r="CX20" s="226"/>
      <c r="CY20" s="226"/>
      <c r="CZ20" s="226"/>
      <c r="DA20" s="226"/>
      <c r="DB20" s="226"/>
      <c r="DC20" s="226"/>
      <c r="DD20" s="226"/>
      <c r="DE20" s="226"/>
      <c r="DF20" s="226"/>
      <c r="DG20" s="226"/>
      <c r="DH20" s="226"/>
      <c r="DI20" s="226"/>
      <c r="DJ20" s="226"/>
      <c r="DK20" s="226"/>
      <c r="DL20" s="226"/>
      <c r="DM20" s="226"/>
      <c r="DN20" s="226"/>
      <c r="DO20" s="226"/>
      <c r="DP20" s="226"/>
      <c r="DQ20" s="226"/>
      <c r="DR20" s="226"/>
      <c r="DS20" s="226"/>
    </row>
    <row r="21" spans="1:123" s="211" customFormat="1" ht="141" customHeight="1">
      <c r="A21" s="860"/>
      <c r="B21" s="633"/>
      <c r="C21" s="889"/>
      <c r="D21" s="683"/>
      <c r="E21" s="714"/>
      <c r="F21" s="714"/>
      <c r="G21" s="745"/>
      <c r="H21" s="749"/>
      <c r="I21" s="743"/>
      <c r="J21" s="741"/>
      <c r="K21" s="275" t="s">
        <v>16</v>
      </c>
      <c r="L21" s="404" t="s">
        <v>155</v>
      </c>
      <c r="M21" s="404" t="s">
        <v>156</v>
      </c>
      <c r="N21" s="404" t="s">
        <v>157</v>
      </c>
      <c r="O21" s="404" t="s">
        <v>158</v>
      </c>
      <c r="P21" s="404" t="s">
        <v>159</v>
      </c>
      <c r="Q21" s="653"/>
      <c r="R21" s="945"/>
      <c r="S21" s="289">
        <v>5</v>
      </c>
      <c r="T21" s="686"/>
      <c r="U21" s="684"/>
      <c r="V21" s="225"/>
      <c r="W21" s="225"/>
      <c r="X21" s="225"/>
      <c r="Y21" s="225"/>
      <c r="Z21" s="225"/>
      <c r="AA21" s="225"/>
      <c r="AB21" s="225"/>
      <c r="AC21" s="225"/>
      <c r="AD21" s="225"/>
      <c r="AE21" s="226"/>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6"/>
      <c r="BK21" s="226"/>
      <c r="BL21" s="226"/>
      <c r="BM21" s="226"/>
      <c r="BN21" s="226"/>
      <c r="BO21" s="226"/>
      <c r="BP21" s="226"/>
      <c r="BQ21" s="226"/>
      <c r="BR21" s="226"/>
      <c r="BS21" s="226"/>
      <c r="BT21" s="226"/>
      <c r="BU21" s="226"/>
      <c r="BV21" s="226"/>
      <c r="BW21" s="226"/>
      <c r="BX21" s="226"/>
      <c r="BY21" s="226"/>
      <c r="BZ21" s="226"/>
      <c r="CA21" s="226"/>
      <c r="CB21" s="226"/>
      <c r="CC21" s="226"/>
      <c r="CD21" s="226"/>
      <c r="CE21" s="226"/>
      <c r="CF21" s="226"/>
      <c r="CG21" s="226"/>
      <c r="CH21" s="226"/>
      <c r="CI21" s="226"/>
      <c r="CJ21" s="226"/>
      <c r="CK21" s="226"/>
      <c r="CL21" s="226"/>
      <c r="CM21" s="226"/>
      <c r="CN21" s="226"/>
      <c r="CO21" s="226"/>
      <c r="CP21" s="226"/>
      <c r="CQ21" s="226"/>
      <c r="CR21" s="226"/>
      <c r="CS21" s="226"/>
      <c r="CT21" s="226"/>
      <c r="CU21" s="226"/>
      <c r="CV21" s="226"/>
      <c r="CW21" s="226"/>
      <c r="CX21" s="226"/>
      <c r="CY21" s="226"/>
      <c r="CZ21" s="226"/>
      <c r="DA21" s="226"/>
      <c r="DB21" s="226"/>
      <c r="DC21" s="226"/>
      <c r="DD21" s="226"/>
      <c r="DE21" s="226"/>
      <c r="DF21" s="226"/>
      <c r="DG21" s="226"/>
      <c r="DH21" s="226"/>
      <c r="DI21" s="226"/>
      <c r="DJ21" s="226"/>
      <c r="DK21" s="226"/>
      <c r="DL21" s="226"/>
      <c r="DM21" s="226"/>
      <c r="DN21" s="226"/>
      <c r="DO21" s="226"/>
      <c r="DP21" s="226"/>
      <c r="DQ21" s="226"/>
      <c r="DR21" s="226"/>
      <c r="DS21" s="226"/>
    </row>
    <row r="22" spans="1:123" s="211" customFormat="1" ht="128.5" customHeight="1">
      <c r="A22" s="860"/>
      <c r="B22" s="633"/>
      <c r="C22" s="889"/>
      <c r="D22" s="683"/>
      <c r="E22" s="911" t="s">
        <v>846</v>
      </c>
      <c r="F22" s="649"/>
      <c r="G22" s="745"/>
      <c r="H22" s="749">
        <v>0.03</v>
      </c>
      <c r="I22" s="743"/>
      <c r="J22" s="741"/>
      <c r="K22" s="294" t="s">
        <v>14</v>
      </c>
      <c r="L22" s="309" t="s">
        <v>839</v>
      </c>
      <c r="M22" s="309" t="s">
        <v>831</v>
      </c>
      <c r="N22" s="309" t="s">
        <v>832</v>
      </c>
      <c r="O22" s="309" t="s">
        <v>840</v>
      </c>
      <c r="P22" s="309" t="s">
        <v>841</v>
      </c>
      <c r="Q22" s="653" t="s">
        <v>843</v>
      </c>
      <c r="R22" s="656"/>
      <c r="S22" s="289"/>
      <c r="T22" s="648" t="e">
        <f>AVERAGE(S22:S24)</f>
        <v>#DIV/0!</v>
      </c>
      <c r="U22" s="668" t="e">
        <f>T22*SUM(H22:H24)</f>
        <v>#DIV/0!</v>
      </c>
      <c r="V22" s="225"/>
      <c r="W22" s="225"/>
      <c r="X22" s="225"/>
      <c r="Y22" s="225"/>
      <c r="Z22" s="225"/>
      <c r="AA22" s="225"/>
      <c r="AB22" s="225"/>
      <c r="AC22" s="225"/>
      <c r="AD22" s="225"/>
      <c r="AE22" s="226"/>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6"/>
      <c r="BK22" s="226"/>
      <c r="BL22" s="226"/>
      <c r="BM22" s="226"/>
      <c r="BN22" s="226"/>
      <c r="BO22" s="226"/>
      <c r="BP22" s="226"/>
      <c r="BQ22" s="226"/>
      <c r="BR22" s="226"/>
      <c r="BS22" s="226"/>
      <c r="BT22" s="226"/>
      <c r="BU22" s="226"/>
      <c r="BV22" s="226"/>
      <c r="BW22" s="226"/>
      <c r="BX22" s="226"/>
      <c r="BY22" s="226"/>
      <c r="BZ22" s="226"/>
      <c r="CA22" s="226"/>
      <c r="CB22" s="226"/>
      <c r="CC22" s="226"/>
      <c r="CD22" s="226"/>
      <c r="CE22" s="226"/>
      <c r="CF22" s="226"/>
      <c r="CG22" s="226"/>
      <c r="CH22" s="226"/>
      <c r="CI22" s="226"/>
      <c r="CJ22" s="226"/>
      <c r="CK22" s="226"/>
      <c r="CL22" s="226"/>
      <c r="CM22" s="226"/>
      <c r="CN22" s="226"/>
      <c r="CO22" s="226"/>
      <c r="CP22" s="226"/>
      <c r="CQ22" s="226"/>
      <c r="CR22" s="226"/>
      <c r="CS22" s="226"/>
      <c r="CT22" s="226"/>
      <c r="CU22" s="226"/>
      <c r="CV22" s="226"/>
      <c r="CW22" s="226"/>
      <c r="CX22" s="226"/>
      <c r="CY22" s="226"/>
      <c r="CZ22" s="226"/>
      <c r="DA22" s="226"/>
      <c r="DB22" s="226"/>
      <c r="DC22" s="226"/>
      <c r="DD22" s="226"/>
      <c r="DE22" s="226"/>
      <c r="DF22" s="226"/>
      <c r="DG22" s="226"/>
      <c r="DH22" s="226"/>
      <c r="DI22" s="226"/>
      <c r="DJ22" s="226"/>
      <c r="DK22" s="226"/>
      <c r="DL22" s="226"/>
      <c r="DM22" s="226"/>
      <c r="DN22" s="226"/>
      <c r="DO22" s="226"/>
      <c r="DP22" s="226"/>
      <c r="DQ22" s="226"/>
      <c r="DR22" s="226"/>
      <c r="DS22" s="226"/>
    </row>
    <row r="23" spans="1:123" s="211" customFormat="1" ht="128" customHeight="1">
      <c r="A23" s="860"/>
      <c r="B23" s="633"/>
      <c r="C23" s="889"/>
      <c r="D23" s="683"/>
      <c r="E23" s="649"/>
      <c r="F23" s="649"/>
      <c r="G23" s="745"/>
      <c r="H23" s="750"/>
      <c r="I23" s="743"/>
      <c r="J23" s="741"/>
      <c r="K23" s="275" t="s">
        <v>15</v>
      </c>
      <c r="L23" s="309" t="s">
        <v>160</v>
      </c>
      <c r="M23" s="309" t="s">
        <v>161</v>
      </c>
      <c r="N23" s="309" t="s">
        <v>162</v>
      </c>
      <c r="O23" s="309" t="s">
        <v>163</v>
      </c>
      <c r="P23" s="309" t="s">
        <v>164</v>
      </c>
      <c r="Q23" s="654"/>
      <c r="R23" s="649"/>
      <c r="S23" s="289"/>
      <c r="T23" s="649"/>
      <c r="U23" s="669"/>
      <c r="V23" s="225"/>
      <c r="W23" s="225"/>
      <c r="X23" s="225"/>
      <c r="Y23" s="225"/>
      <c r="Z23" s="225"/>
      <c r="AA23" s="225"/>
      <c r="AB23" s="225"/>
      <c r="AC23" s="225"/>
      <c r="AD23" s="225"/>
      <c r="AE23" s="226"/>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6"/>
      <c r="BK23" s="226"/>
      <c r="BL23" s="226"/>
      <c r="BM23" s="226"/>
      <c r="BN23" s="226"/>
      <c r="BO23" s="226"/>
      <c r="BP23" s="226"/>
      <c r="BQ23" s="226"/>
      <c r="BR23" s="226"/>
      <c r="BS23" s="226"/>
      <c r="BT23" s="226"/>
      <c r="BU23" s="226"/>
      <c r="BV23" s="226"/>
      <c r="BW23" s="226"/>
      <c r="BX23" s="226"/>
      <c r="BY23" s="226"/>
      <c r="BZ23" s="226"/>
      <c r="CA23" s="226"/>
      <c r="CB23" s="226"/>
      <c r="CC23" s="226"/>
      <c r="CD23" s="226"/>
      <c r="CE23" s="226"/>
      <c r="CF23" s="226"/>
      <c r="CG23" s="226"/>
      <c r="CH23" s="226"/>
      <c r="CI23" s="226"/>
      <c r="CJ23" s="226"/>
      <c r="CK23" s="226"/>
      <c r="CL23" s="226"/>
      <c r="CM23" s="226"/>
      <c r="CN23" s="226"/>
      <c r="CO23" s="226"/>
      <c r="CP23" s="226"/>
      <c r="CQ23" s="226"/>
      <c r="CR23" s="226"/>
      <c r="CS23" s="226"/>
      <c r="CT23" s="226"/>
      <c r="CU23" s="226"/>
      <c r="CV23" s="226"/>
      <c r="CW23" s="226"/>
      <c r="CX23" s="226"/>
      <c r="CY23" s="226"/>
      <c r="CZ23" s="226"/>
      <c r="DA23" s="226"/>
      <c r="DB23" s="226"/>
      <c r="DC23" s="226"/>
      <c r="DD23" s="226"/>
      <c r="DE23" s="226"/>
      <c r="DF23" s="226"/>
      <c r="DG23" s="226"/>
      <c r="DH23" s="226"/>
      <c r="DI23" s="226"/>
      <c r="DJ23" s="226"/>
      <c r="DK23" s="226"/>
      <c r="DL23" s="226"/>
      <c r="DM23" s="226"/>
      <c r="DN23" s="226"/>
      <c r="DO23" s="226"/>
      <c r="DP23" s="226"/>
      <c r="DQ23" s="226"/>
      <c r="DR23" s="226"/>
      <c r="DS23" s="226"/>
    </row>
    <row r="24" spans="1:123" s="211" customFormat="1" ht="88" customHeight="1">
      <c r="A24" s="860"/>
      <c r="B24" s="633"/>
      <c r="C24" s="889"/>
      <c r="D24" s="683"/>
      <c r="E24" s="649"/>
      <c r="F24" s="649"/>
      <c r="G24" s="745"/>
      <c r="H24" s="750"/>
      <c r="I24" s="743"/>
      <c r="J24" s="741"/>
      <c r="K24" s="275" t="s">
        <v>16</v>
      </c>
      <c r="L24" s="309" t="s">
        <v>155</v>
      </c>
      <c r="M24" s="309" t="s">
        <v>156</v>
      </c>
      <c r="N24" s="309" t="s">
        <v>157</v>
      </c>
      <c r="O24" s="309" t="s">
        <v>158</v>
      </c>
      <c r="P24" s="309" t="s">
        <v>159</v>
      </c>
      <c r="Q24" s="654"/>
      <c r="R24" s="649"/>
      <c r="S24" s="289"/>
      <c r="T24" s="649"/>
      <c r="U24" s="669"/>
      <c r="V24" s="225"/>
      <c r="W24" s="225"/>
      <c r="X24" s="225"/>
      <c r="Y24" s="225"/>
      <c r="Z24" s="225"/>
      <c r="AA24" s="225"/>
      <c r="AB24" s="225"/>
      <c r="AC24" s="225"/>
      <c r="AD24" s="225"/>
      <c r="AE24" s="226"/>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6"/>
      <c r="BK24" s="226"/>
      <c r="BL24" s="226"/>
      <c r="BM24" s="226"/>
      <c r="BN24" s="226"/>
      <c r="BO24" s="226"/>
      <c r="BP24" s="226"/>
      <c r="BQ24" s="226"/>
      <c r="BR24" s="226"/>
      <c r="BS24" s="226"/>
      <c r="BT24" s="226"/>
      <c r="BU24" s="226"/>
      <c r="BV24" s="226"/>
      <c r="BW24" s="226"/>
      <c r="BX24" s="226"/>
      <c r="BY24" s="226"/>
      <c r="BZ24" s="226"/>
      <c r="CA24" s="226"/>
      <c r="CB24" s="226"/>
      <c r="CC24" s="226"/>
      <c r="CD24" s="226"/>
      <c r="CE24" s="226"/>
      <c r="CF24" s="226"/>
      <c r="CG24" s="226"/>
      <c r="CH24" s="226"/>
      <c r="CI24" s="226"/>
      <c r="CJ24" s="226"/>
      <c r="CK24" s="226"/>
      <c r="CL24" s="226"/>
      <c r="CM24" s="226"/>
      <c r="CN24" s="226"/>
      <c r="CO24" s="226"/>
      <c r="CP24" s="226"/>
      <c r="CQ24" s="226"/>
      <c r="CR24" s="226"/>
      <c r="CS24" s="226"/>
      <c r="CT24" s="226"/>
      <c r="CU24" s="226"/>
      <c r="CV24" s="226"/>
      <c r="CW24" s="226"/>
      <c r="CX24" s="226"/>
      <c r="CY24" s="226"/>
      <c r="CZ24" s="226"/>
      <c r="DA24" s="226"/>
      <c r="DB24" s="226"/>
      <c r="DC24" s="226"/>
      <c r="DD24" s="226"/>
      <c r="DE24" s="226"/>
      <c r="DF24" s="226"/>
      <c r="DG24" s="226"/>
      <c r="DH24" s="226"/>
      <c r="DI24" s="226"/>
      <c r="DJ24" s="226"/>
      <c r="DK24" s="226"/>
      <c r="DL24" s="226"/>
      <c r="DM24" s="226"/>
      <c r="DN24" s="226"/>
      <c r="DO24" s="226"/>
      <c r="DP24" s="226"/>
      <c r="DQ24" s="226"/>
      <c r="DR24" s="226"/>
      <c r="DS24" s="226"/>
    </row>
    <row r="25" spans="1:123" s="211" customFormat="1" ht="141.5" customHeight="1">
      <c r="A25" s="860"/>
      <c r="B25" s="633"/>
      <c r="C25" s="889"/>
      <c r="D25" s="683"/>
      <c r="E25" s="911" t="s">
        <v>847</v>
      </c>
      <c r="F25" s="649"/>
      <c r="G25" s="745"/>
      <c r="H25" s="749">
        <v>0.03</v>
      </c>
      <c r="I25" s="743"/>
      <c r="J25" s="741"/>
      <c r="K25" s="294" t="s">
        <v>14</v>
      </c>
      <c r="L25" s="309" t="s">
        <v>848</v>
      </c>
      <c r="M25" s="309" t="s">
        <v>849</v>
      </c>
      <c r="N25" s="309" t="s">
        <v>850</v>
      </c>
      <c r="O25" s="309" t="s">
        <v>851</v>
      </c>
      <c r="P25" s="309" t="s">
        <v>852</v>
      </c>
      <c r="Q25" s="653" t="s">
        <v>844</v>
      </c>
      <c r="R25" s="656"/>
      <c r="S25" s="289"/>
      <c r="T25" s="648" t="e">
        <f>AVERAGE(S25:S27)</f>
        <v>#DIV/0!</v>
      </c>
      <c r="U25" s="668" t="e">
        <f>T25*SUM(H25:H27)</f>
        <v>#DIV/0!</v>
      </c>
      <c r="V25" s="225"/>
      <c r="W25" s="225"/>
      <c r="X25" s="225"/>
      <c r="Y25" s="225"/>
      <c r="Z25" s="225"/>
      <c r="AA25" s="225"/>
      <c r="AB25" s="225"/>
      <c r="AC25" s="225"/>
      <c r="AD25" s="225"/>
      <c r="AE25" s="226"/>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6"/>
      <c r="BK25" s="226"/>
      <c r="BL25" s="226"/>
      <c r="BM25" s="226"/>
      <c r="BN25" s="226"/>
      <c r="BO25" s="226"/>
      <c r="BP25" s="226"/>
      <c r="BQ25" s="226"/>
      <c r="BR25" s="226"/>
      <c r="BS25" s="226"/>
      <c r="BT25" s="226"/>
      <c r="BU25" s="226"/>
      <c r="BV25" s="226"/>
      <c r="BW25" s="226"/>
      <c r="BX25" s="226"/>
      <c r="BY25" s="226"/>
      <c r="BZ25" s="226"/>
      <c r="CA25" s="226"/>
      <c r="CB25" s="226"/>
      <c r="CC25" s="226"/>
      <c r="CD25" s="226"/>
      <c r="CE25" s="226"/>
      <c r="CF25" s="226"/>
      <c r="CG25" s="226"/>
      <c r="CH25" s="226"/>
      <c r="CI25" s="226"/>
      <c r="CJ25" s="226"/>
      <c r="CK25" s="226"/>
      <c r="CL25" s="226"/>
      <c r="CM25" s="226"/>
      <c r="CN25" s="226"/>
      <c r="CO25" s="226"/>
      <c r="CP25" s="226"/>
      <c r="CQ25" s="226"/>
      <c r="CR25" s="226"/>
      <c r="CS25" s="226"/>
      <c r="CT25" s="226"/>
      <c r="CU25" s="226"/>
      <c r="CV25" s="226"/>
      <c r="CW25" s="226"/>
      <c r="CX25" s="226"/>
      <c r="CY25" s="226"/>
      <c r="CZ25" s="226"/>
      <c r="DA25" s="226"/>
      <c r="DB25" s="226"/>
      <c r="DC25" s="226"/>
      <c r="DD25" s="226"/>
      <c r="DE25" s="226"/>
      <c r="DF25" s="226"/>
      <c r="DG25" s="226"/>
      <c r="DH25" s="226"/>
      <c r="DI25" s="226"/>
      <c r="DJ25" s="226"/>
      <c r="DK25" s="226"/>
      <c r="DL25" s="226"/>
      <c r="DM25" s="226"/>
      <c r="DN25" s="226"/>
      <c r="DO25" s="226"/>
      <c r="DP25" s="226"/>
      <c r="DQ25" s="226"/>
      <c r="DR25" s="226"/>
      <c r="DS25" s="226"/>
    </row>
    <row r="26" spans="1:123" s="211" customFormat="1" ht="128" customHeight="1">
      <c r="A26" s="860"/>
      <c r="B26" s="633"/>
      <c r="C26" s="889"/>
      <c r="D26" s="683"/>
      <c r="E26" s="649"/>
      <c r="F26" s="649"/>
      <c r="G26" s="745"/>
      <c r="H26" s="750"/>
      <c r="I26" s="743"/>
      <c r="J26" s="741"/>
      <c r="K26" s="275" t="s">
        <v>15</v>
      </c>
      <c r="L26" s="309" t="s">
        <v>165</v>
      </c>
      <c r="M26" s="309" t="s">
        <v>166</v>
      </c>
      <c r="N26" s="309" t="s">
        <v>167</v>
      </c>
      <c r="O26" s="309" t="s">
        <v>168</v>
      </c>
      <c r="P26" s="309" t="s">
        <v>169</v>
      </c>
      <c r="Q26" s="654"/>
      <c r="R26" s="649"/>
      <c r="S26" s="289"/>
      <c r="T26" s="649"/>
      <c r="U26" s="669"/>
      <c r="V26" s="225"/>
      <c r="W26" s="225"/>
      <c r="X26" s="225"/>
      <c r="Y26" s="225"/>
      <c r="Z26" s="225"/>
      <c r="AA26" s="225"/>
      <c r="AB26" s="225"/>
      <c r="AC26" s="225"/>
      <c r="AD26" s="225"/>
      <c r="AE26" s="226"/>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6"/>
      <c r="BK26" s="226"/>
      <c r="BL26" s="226"/>
      <c r="BM26" s="226"/>
      <c r="BN26" s="226"/>
      <c r="BO26" s="226"/>
      <c r="BP26" s="226"/>
      <c r="BQ26" s="226"/>
      <c r="BR26" s="226"/>
      <c r="BS26" s="226"/>
      <c r="BT26" s="226"/>
      <c r="BU26" s="226"/>
      <c r="BV26" s="226"/>
      <c r="BW26" s="226"/>
      <c r="BX26" s="226"/>
      <c r="BY26" s="226"/>
      <c r="BZ26" s="226"/>
      <c r="CA26" s="226"/>
      <c r="CB26" s="226"/>
      <c r="CC26" s="226"/>
      <c r="CD26" s="226"/>
      <c r="CE26" s="226"/>
      <c r="CF26" s="226"/>
      <c r="CG26" s="226"/>
      <c r="CH26" s="226"/>
      <c r="CI26" s="226"/>
      <c r="CJ26" s="226"/>
      <c r="CK26" s="226"/>
      <c r="CL26" s="226"/>
      <c r="CM26" s="226"/>
      <c r="CN26" s="226"/>
      <c r="CO26" s="226"/>
      <c r="CP26" s="226"/>
      <c r="CQ26" s="226"/>
      <c r="CR26" s="226"/>
      <c r="CS26" s="226"/>
      <c r="CT26" s="226"/>
      <c r="CU26" s="226"/>
      <c r="CV26" s="226"/>
      <c r="CW26" s="226"/>
      <c r="CX26" s="226"/>
      <c r="CY26" s="226"/>
      <c r="CZ26" s="226"/>
      <c r="DA26" s="226"/>
      <c r="DB26" s="226"/>
      <c r="DC26" s="226"/>
      <c r="DD26" s="226"/>
      <c r="DE26" s="226"/>
      <c r="DF26" s="226"/>
      <c r="DG26" s="226"/>
      <c r="DH26" s="226"/>
      <c r="DI26" s="226"/>
      <c r="DJ26" s="226"/>
      <c r="DK26" s="226"/>
      <c r="DL26" s="226"/>
      <c r="DM26" s="226"/>
      <c r="DN26" s="226"/>
      <c r="DO26" s="226"/>
      <c r="DP26" s="226"/>
      <c r="DQ26" s="226"/>
      <c r="DR26" s="226"/>
      <c r="DS26" s="226"/>
    </row>
    <row r="27" spans="1:123" s="211" customFormat="1" ht="88" customHeight="1">
      <c r="A27" s="860"/>
      <c r="B27" s="633"/>
      <c r="C27" s="889"/>
      <c r="D27" s="683"/>
      <c r="E27" s="649"/>
      <c r="F27" s="649"/>
      <c r="G27" s="745"/>
      <c r="H27" s="750"/>
      <c r="I27" s="743"/>
      <c r="J27" s="741"/>
      <c r="K27" s="275" t="s">
        <v>16</v>
      </c>
      <c r="L27" s="309" t="s">
        <v>155</v>
      </c>
      <c r="M27" s="309" t="s">
        <v>156</v>
      </c>
      <c r="N27" s="309" t="s">
        <v>157</v>
      </c>
      <c r="O27" s="309" t="s">
        <v>158</v>
      </c>
      <c r="P27" s="309" t="s">
        <v>159</v>
      </c>
      <c r="Q27" s="654"/>
      <c r="R27" s="649"/>
      <c r="S27" s="289"/>
      <c r="T27" s="649"/>
      <c r="U27" s="669"/>
      <c r="V27" s="225"/>
      <c r="W27" s="225"/>
      <c r="X27" s="225"/>
      <c r="Y27" s="225"/>
      <c r="Z27" s="225"/>
      <c r="AA27" s="225"/>
      <c r="AB27" s="225"/>
      <c r="AC27" s="225"/>
      <c r="AD27" s="225"/>
      <c r="AE27" s="226"/>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c r="BK27" s="226"/>
      <c r="BL27" s="226"/>
      <c r="BM27" s="226"/>
      <c r="BN27" s="226"/>
      <c r="BO27" s="226"/>
      <c r="BP27" s="226"/>
      <c r="BQ27" s="226"/>
      <c r="BR27" s="226"/>
      <c r="BS27" s="226"/>
      <c r="BT27" s="226"/>
      <c r="BU27" s="226"/>
      <c r="BV27" s="226"/>
      <c r="BW27" s="226"/>
      <c r="BX27" s="226"/>
      <c r="BY27" s="226"/>
      <c r="BZ27" s="226"/>
      <c r="CA27" s="226"/>
      <c r="CB27" s="226"/>
      <c r="CC27" s="226"/>
      <c r="CD27" s="226"/>
      <c r="CE27" s="226"/>
      <c r="CF27" s="226"/>
      <c r="CG27" s="226"/>
      <c r="CH27" s="226"/>
      <c r="CI27" s="226"/>
      <c r="CJ27" s="226"/>
      <c r="CK27" s="226"/>
      <c r="CL27" s="226"/>
      <c r="CM27" s="226"/>
      <c r="CN27" s="226"/>
      <c r="CO27" s="226"/>
      <c r="CP27" s="226"/>
      <c r="CQ27" s="226"/>
      <c r="CR27" s="226"/>
      <c r="CS27" s="226"/>
      <c r="CT27" s="226"/>
      <c r="CU27" s="226"/>
      <c r="CV27" s="226"/>
      <c r="CW27" s="226"/>
      <c r="CX27" s="226"/>
      <c r="CY27" s="226"/>
      <c r="CZ27" s="226"/>
      <c r="DA27" s="226"/>
      <c r="DB27" s="226"/>
      <c r="DC27" s="226"/>
      <c r="DD27" s="226"/>
      <c r="DE27" s="226"/>
      <c r="DF27" s="226"/>
      <c r="DG27" s="226"/>
      <c r="DH27" s="226"/>
      <c r="DI27" s="226"/>
      <c r="DJ27" s="226"/>
      <c r="DK27" s="226"/>
      <c r="DL27" s="226"/>
      <c r="DM27" s="226"/>
      <c r="DN27" s="226"/>
      <c r="DO27" s="226"/>
      <c r="DP27" s="226"/>
      <c r="DQ27" s="226"/>
      <c r="DR27" s="226"/>
      <c r="DS27" s="226"/>
    </row>
    <row r="28" spans="1:123" s="211" customFormat="1" ht="152" customHeight="1">
      <c r="A28" s="860"/>
      <c r="B28" s="633"/>
      <c r="C28" s="889"/>
      <c r="D28" s="683"/>
      <c r="E28" s="947" t="s">
        <v>853</v>
      </c>
      <c r="F28" s="649"/>
      <c r="G28" s="745"/>
      <c r="H28" s="749">
        <v>0.02</v>
      </c>
      <c r="I28" s="743"/>
      <c r="J28" s="741"/>
      <c r="K28" s="294" t="s">
        <v>14</v>
      </c>
      <c r="L28" s="309" t="s">
        <v>857</v>
      </c>
      <c r="M28" s="309" t="s">
        <v>856</v>
      </c>
      <c r="N28" s="309" t="s">
        <v>855</v>
      </c>
      <c r="O28" s="309" t="s">
        <v>854</v>
      </c>
      <c r="P28" s="309" t="s">
        <v>858</v>
      </c>
      <c r="Q28" s="653" t="s">
        <v>845</v>
      </c>
      <c r="R28" s="656"/>
      <c r="S28" s="289"/>
      <c r="T28" s="648" t="e">
        <f>AVERAGE(S28:S30)</f>
        <v>#DIV/0!</v>
      </c>
      <c r="U28" s="668" t="e">
        <f>T28*SUM(H28:H30)</f>
        <v>#DIV/0!</v>
      </c>
      <c r="V28" s="225"/>
      <c r="W28" s="225"/>
      <c r="X28" s="225"/>
      <c r="Y28" s="225"/>
      <c r="Z28" s="225"/>
      <c r="AA28" s="225"/>
      <c r="AB28" s="225"/>
      <c r="AC28" s="225"/>
      <c r="AD28" s="225"/>
      <c r="AE28" s="226"/>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6"/>
      <c r="BK28" s="226"/>
      <c r="BL28" s="226"/>
      <c r="BM28" s="226"/>
      <c r="BN28" s="226"/>
      <c r="BO28" s="226"/>
      <c r="BP28" s="226"/>
      <c r="BQ28" s="226"/>
      <c r="BR28" s="226"/>
      <c r="BS28" s="226"/>
      <c r="BT28" s="226"/>
      <c r="BU28" s="226"/>
      <c r="BV28" s="226"/>
      <c r="BW28" s="226"/>
      <c r="BX28" s="226"/>
      <c r="BY28" s="226"/>
      <c r="BZ28" s="226"/>
      <c r="CA28" s="226"/>
      <c r="CB28" s="226"/>
      <c r="CC28" s="226"/>
      <c r="CD28" s="226"/>
      <c r="CE28" s="226"/>
      <c r="CF28" s="226"/>
      <c r="CG28" s="226"/>
      <c r="CH28" s="226"/>
      <c r="CI28" s="226"/>
      <c r="CJ28" s="226"/>
      <c r="CK28" s="226"/>
      <c r="CL28" s="226"/>
      <c r="CM28" s="226"/>
      <c r="CN28" s="226"/>
      <c r="CO28" s="226"/>
      <c r="CP28" s="226"/>
      <c r="CQ28" s="226"/>
      <c r="CR28" s="226"/>
      <c r="CS28" s="226"/>
      <c r="CT28" s="226"/>
      <c r="CU28" s="226"/>
      <c r="CV28" s="226"/>
      <c r="CW28" s="226"/>
      <c r="CX28" s="226"/>
      <c r="CY28" s="226"/>
      <c r="CZ28" s="226"/>
      <c r="DA28" s="226"/>
      <c r="DB28" s="226"/>
      <c r="DC28" s="226"/>
      <c r="DD28" s="226"/>
      <c r="DE28" s="226"/>
      <c r="DF28" s="226"/>
      <c r="DG28" s="226"/>
      <c r="DH28" s="226"/>
      <c r="DI28" s="226"/>
      <c r="DJ28" s="226"/>
      <c r="DK28" s="226"/>
      <c r="DL28" s="226"/>
      <c r="DM28" s="226"/>
      <c r="DN28" s="226"/>
      <c r="DO28" s="226"/>
      <c r="DP28" s="226"/>
      <c r="DQ28" s="226"/>
      <c r="DR28" s="226"/>
      <c r="DS28" s="226"/>
    </row>
    <row r="29" spans="1:123" s="211" customFormat="1" ht="111.5" customHeight="1">
      <c r="A29" s="860"/>
      <c r="B29" s="633"/>
      <c r="C29" s="889"/>
      <c r="D29" s="683"/>
      <c r="E29" s="649"/>
      <c r="F29" s="649"/>
      <c r="G29" s="745"/>
      <c r="H29" s="750"/>
      <c r="I29" s="743"/>
      <c r="J29" s="741"/>
      <c r="K29" s="275" t="s">
        <v>15</v>
      </c>
      <c r="L29" s="309" t="s">
        <v>170</v>
      </c>
      <c r="M29" s="309" t="s">
        <v>171</v>
      </c>
      <c r="N29" s="309" t="s">
        <v>172</v>
      </c>
      <c r="O29" s="309" t="s">
        <v>173</v>
      </c>
      <c r="P29" s="309" t="s">
        <v>174</v>
      </c>
      <c r="Q29" s="654"/>
      <c r="R29" s="649"/>
      <c r="S29" s="289"/>
      <c r="T29" s="649"/>
      <c r="U29" s="669"/>
      <c r="V29" s="225"/>
      <c r="W29" s="225"/>
      <c r="X29" s="225"/>
      <c r="Y29" s="225"/>
      <c r="Z29" s="225"/>
      <c r="AA29" s="225"/>
      <c r="AB29" s="225"/>
      <c r="AC29" s="225"/>
      <c r="AD29" s="225"/>
      <c r="AE29" s="226"/>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c r="BK29" s="226"/>
      <c r="BL29" s="226"/>
      <c r="BM29" s="226"/>
      <c r="BN29" s="226"/>
      <c r="BO29" s="226"/>
      <c r="BP29" s="226"/>
      <c r="BQ29" s="226"/>
      <c r="BR29" s="226"/>
      <c r="BS29" s="226"/>
      <c r="BT29" s="226"/>
      <c r="BU29" s="226"/>
      <c r="BV29" s="226"/>
      <c r="BW29" s="226"/>
      <c r="BX29" s="226"/>
      <c r="BY29" s="226"/>
      <c r="BZ29" s="226"/>
      <c r="CA29" s="226"/>
      <c r="CB29" s="226"/>
      <c r="CC29" s="226"/>
      <c r="CD29" s="226"/>
      <c r="CE29" s="226"/>
      <c r="CF29" s="226"/>
      <c r="CG29" s="226"/>
      <c r="CH29" s="226"/>
      <c r="CI29" s="226"/>
      <c r="CJ29" s="226"/>
      <c r="CK29" s="226"/>
      <c r="CL29" s="226"/>
      <c r="CM29" s="226"/>
      <c r="CN29" s="226"/>
      <c r="CO29" s="226"/>
      <c r="CP29" s="226"/>
      <c r="CQ29" s="226"/>
      <c r="CR29" s="226"/>
      <c r="CS29" s="226"/>
      <c r="CT29" s="226"/>
      <c r="CU29" s="226"/>
      <c r="CV29" s="226"/>
      <c r="CW29" s="226"/>
      <c r="CX29" s="226"/>
      <c r="CY29" s="226"/>
      <c r="CZ29" s="226"/>
      <c r="DA29" s="226"/>
      <c r="DB29" s="226"/>
      <c r="DC29" s="226"/>
      <c r="DD29" s="226"/>
      <c r="DE29" s="226"/>
      <c r="DF29" s="226"/>
      <c r="DG29" s="226"/>
      <c r="DH29" s="226"/>
      <c r="DI29" s="226"/>
      <c r="DJ29" s="226"/>
      <c r="DK29" s="226"/>
      <c r="DL29" s="226"/>
      <c r="DM29" s="226"/>
      <c r="DN29" s="226"/>
      <c r="DO29" s="226"/>
      <c r="DP29" s="226"/>
      <c r="DQ29" s="226"/>
      <c r="DR29" s="226"/>
      <c r="DS29" s="226"/>
    </row>
    <row r="30" spans="1:123" s="211" customFormat="1" ht="88" customHeight="1">
      <c r="A30" s="860"/>
      <c r="B30" s="633"/>
      <c r="C30" s="889"/>
      <c r="D30" s="683"/>
      <c r="E30" s="649"/>
      <c r="F30" s="649"/>
      <c r="G30" s="745"/>
      <c r="H30" s="750"/>
      <c r="I30" s="743"/>
      <c r="J30" s="741"/>
      <c r="K30" s="275" t="s">
        <v>16</v>
      </c>
      <c r="L30" s="309" t="s">
        <v>155</v>
      </c>
      <c r="M30" s="309" t="s">
        <v>156</v>
      </c>
      <c r="N30" s="309" t="s">
        <v>157</v>
      </c>
      <c r="O30" s="309" t="s">
        <v>158</v>
      </c>
      <c r="P30" s="309" t="s">
        <v>159</v>
      </c>
      <c r="Q30" s="654"/>
      <c r="R30" s="649"/>
      <c r="S30" s="289"/>
      <c r="T30" s="649"/>
      <c r="U30" s="669"/>
      <c r="V30" s="225"/>
      <c r="W30" s="225"/>
      <c r="X30" s="225"/>
      <c r="Y30" s="225"/>
      <c r="Z30" s="225"/>
      <c r="AA30" s="225"/>
      <c r="AB30" s="225"/>
      <c r="AC30" s="225"/>
      <c r="AD30" s="225"/>
      <c r="AE30" s="226"/>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6"/>
      <c r="BK30" s="226"/>
      <c r="BL30" s="226"/>
      <c r="BM30" s="226"/>
      <c r="BN30" s="226"/>
      <c r="BO30" s="226"/>
      <c r="BP30" s="226"/>
      <c r="BQ30" s="226"/>
      <c r="BR30" s="226"/>
      <c r="BS30" s="226"/>
      <c r="BT30" s="226"/>
      <c r="BU30" s="226"/>
      <c r="BV30" s="226"/>
      <c r="BW30" s="226"/>
      <c r="BX30" s="226"/>
      <c r="BY30" s="226"/>
      <c r="BZ30" s="226"/>
      <c r="CA30" s="226"/>
      <c r="CB30" s="226"/>
      <c r="CC30" s="226"/>
      <c r="CD30" s="226"/>
      <c r="CE30" s="226"/>
      <c r="CF30" s="226"/>
      <c r="CG30" s="226"/>
      <c r="CH30" s="226"/>
      <c r="CI30" s="226"/>
      <c r="CJ30" s="226"/>
      <c r="CK30" s="226"/>
      <c r="CL30" s="226"/>
      <c r="CM30" s="226"/>
      <c r="CN30" s="226"/>
      <c r="CO30" s="226"/>
      <c r="CP30" s="226"/>
      <c r="CQ30" s="226"/>
      <c r="CR30" s="226"/>
      <c r="CS30" s="226"/>
      <c r="CT30" s="226"/>
      <c r="CU30" s="226"/>
      <c r="CV30" s="226"/>
      <c r="CW30" s="226"/>
      <c r="CX30" s="226"/>
      <c r="CY30" s="226"/>
      <c r="CZ30" s="226"/>
      <c r="DA30" s="226"/>
      <c r="DB30" s="226"/>
      <c r="DC30" s="226"/>
      <c r="DD30" s="226"/>
      <c r="DE30" s="226"/>
      <c r="DF30" s="226"/>
      <c r="DG30" s="226"/>
      <c r="DH30" s="226"/>
      <c r="DI30" s="226"/>
      <c r="DJ30" s="226"/>
      <c r="DK30" s="226"/>
      <c r="DL30" s="226"/>
      <c r="DM30" s="226"/>
      <c r="DN30" s="226"/>
      <c r="DO30" s="226"/>
      <c r="DP30" s="226"/>
      <c r="DQ30" s="226"/>
      <c r="DR30" s="226"/>
      <c r="DS30" s="226"/>
    </row>
    <row r="31" spans="1:123" s="288" customFormat="1" ht="158" customHeight="1">
      <c r="A31" s="860"/>
      <c r="B31" s="637" t="s">
        <v>791</v>
      </c>
      <c r="C31" s="889" t="s">
        <v>14</v>
      </c>
      <c r="D31" s="635" t="s">
        <v>789</v>
      </c>
      <c r="E31" s="680" t="s">
        <v>175</v>
      </c>
      <c r="F31" s="681"/>
      <c r="G31" s="680" t="s">
        <v>779</v>
      </c>
      <c r="H31" s="742">
        <v>0.04</v>
      </c>
      <c r="I31" s="742">
        <v>1</v>
      </c>
      <c r="J31" s="683" t="s">
        <v>176</v>
      </c>
      <c r="K31" s="305" t="s">
        <v>14</v>
      </c>
      <c r="L31" s="403" t="s">
        <v>823</v>
      </c>
      <c r="M31" s="403" t="s">
        <v>824</v>
      </c>
      <c r="N31" s="403" t="s">
        <v>825</v>
      </c>
      <c r="O31" s="403" t="s">
        <v>826</v>
      </c>
      <c r="P31" s="403" t="s">
        <v>827</v>
      </c>
      <c r="Q31" s="653" t="s">
        <v>863</v>
      </c>
      <c r="R31" s="741"/>
      <c r="S31" s="323"/>
      <c r="T31" s="751" t="e">
        <f>AVERAGE(S31:S33)</f>
        <v>#DIV/0!</v>
      </c>
      <c r="U31" s="752" t="e">
        <f>T31*H31</f>
        <v>#DIV/0!</v>
      </c>
      <c r="V31" s="286"/>
      <c r="W31" s="286"/>
      <c r="X31" s="286"/>
      <c r="Y31" s="286"/>
      <c r="Z31" s="286"/>
      <c r="AA31" s="286"/>
      <c r="AB31" s="286"/>
      <c r="AC31" s="286"/>
      <c r="AD31" s="286"/>
      <c r="AE31" s="287"/>
      <c r="AF31" s="287"/>
      <c r="AG31" s="287"/>
      <c r="AH31" s="287"/>
      <c r="AI31" s="287"/>
      <c r="AJ31" s="287"/>
      <c r="AK31" s="287"/>
      <c r="AL31" s="287"/>
      <c r="AM31" s="287"/>
      <c r="AN31" s="287"/>
      <c r="AO31" s="287"/>
      <c r="AP31" s="287"/>
      <c r="AQ31" s="287"/>
      <c r="AR31" s="287"/>
      <c r="AS31" s="287"/>
      <c r="AT31" s="287"/>
      <c r="AU31" s="287"/>
      <c r="AV31" s="287"/>
      <c r="AW31" s="287"/>
      <c r="AX31" s="287"/>
      <c r="AY31" s="287"/>
      <c r="AZ31" s="287"/>
      <c r="BA31" s="287"/>
      <c r="BB31" s="287"/>
      <c r="BC31" s="287"/>
      <c r="BD31" s="287"/>
      <c r="BE31" s="287"/>
      <c r="BF31" s="287"/>
      <c r="BG31" s="287"/>
      <c r="BH31" s="287"/>
      <c r="BI31" s="287"/>
      <c r="BJ31" s="287"/>
      <c r="BK31" s="287"/>
      <c r="BL31" s="287"/>
      <c r="BM31" s="287"/>
      <c r="BN31" s="287"/>
      <c r="BO31" s="287"/>
      <c r="BP31" s="287"/>
      <c r="BQ31" s="287"/>
      <c r="BR31" s="287"/>
      <c r="BS31" s="287"/>
      <c r="BT31" s="287"/>
      <c r="BU31" s="287"/>
      <c r="BV31" s="287"/>
      <c r="BW31" s="287"/>
      <c r="BX31" s="287"/>
      <c r="BY31" s="287"/>
      <c r="BZ31" s="287"/>
      <c r="CA31" s="287"/>
      <c r="CB31" s="287"/>
      <c r="CC31" s="287"/>
      <c r="CD31" s="287"/>
      <c r="CE31" s="287"/>
      <c r="CF31" s="287"/>
      <c r="CG31" s="287"/>
      <c r="CH31" s="287"/>
      <c r="CI31" s="287"/>
      <c r="CJ31" s="287"/>
      <c r="CK31" s="287"/>
      <c r="CL31" s="287"/>
      <c r="CM31" s="287"/>
      <c r="CN31" s="287"/>
      <c r="CO31" s="287"/>
      <c r="CP31" s="287"/>
      <c r="CQ31" s="287"/>
      <c r="CR31" s="287"/>
      <c r="CS31" s="287"/>
      <c r="CT31" s="287"/>
      <c r="CU31" s="287"/>
      <c r="CV31" s="287"/>
      <c r="CW31" s="287"/>
      <c r="CX31" s="287"/>
      <c r="CY31" s="287"/>
      <c r="CZ31" s="287"/>
      <c r="DA31" s="287"/>
      <c r="DB31" s="287"/>
      <c r="DC31" s="287"/>
      <c r="DD31" s="287"/>
      <c r="DE31" s="287"/>
      <c r="DF31" s="287"/>
      <c r="DG31" s="287"/>
      <c r="DH31" s="287"/>
      <c r="DI31" s="287"/>
      <c r="DJ31" s="287"/>
      <c r="DK31" s="287"/>
      <c r="DL31" s="287"/>
      <c r="DM31" s="287"/>
      <c r="DN31" s="287"/>
      <c r="DO31" s="287"/>
      <c r="DP31" s="287"/>
      <c r="DQ31" s="287"/>
      <c r="DR31" s="287"/>
      <c r="DS31" s="287"/>
    </row>
    <row r="32" spans="1:123" s="288" customFormat="1" ht="113" customHeight="1">
      <c r="A32" s="860"/>
      <c r="B32" s="638"/>
      <c r="C32" s="889"/>
      <c r="D32" s="633"/>
      <c r="E32" s="681"/>
      <c r="F32" s="681"/>
      <c r="G32" s="745"/>
      <c r="H32" s="743"/>
      <c r="I32" s="743"/>
      <c r="J32" s="683"/>
      <c r="K32" s="303" t="s">
        <v>15</v>
      </c>
      <c r="L32" s="303" t="s">
        <v>177</v>
      </c>
      <c r="M32" s="303" t="s">
        <v>178</v>
      </c>
      <c r="N32" s="303" t="s">
        <v>179</v>
      </c>
      <c r="O32" s="303" t="s">
        <v>180</v>
      </c>
      <c r="P32" s="303" t="s">
        <v>181</v>
      </c>
      <c r="Q32" s="653"/>
      <c r="R32" s="681"/>
      <c r="S32" s="323"/>
      <c r="T32" s="681"/>
      <c r="U32" s="753"/>
      <c r="V32" s="286"/>
      <c r="W32" s="286"/>
      <c r="X32" s="286"/>
      <c r="Y32" s="286"/>
      <c r="Z32" s="286"/>
      <c r="AA32" s="286"/>
      <c r="AB32" s="286"/>
      <c r="AC32" s="286"/>
      <c r="AD32" s="286"/>
      <c r="AE32" s="287"/>
      <c r="AF32" s="287"/>
      <c r="AG32" s="287"/>
      <c r="AH32" s="287"/>
      <c r="AI32" s="287"/>
      <c r="AJ32" s="287"/>
      <c r="AK32" s="287"/>
      <c r="AL32" s="287"/>
      <c r="AM32" s="287"/>
      <c r="AN32" s="287"/>
      <c r="AO32" s="287"/>
      <c r="AP32" s="287"/>
      <c r="AQ32" s="287"/>
      <c r="AR32" s="287"/>
      <c r="AS32" s="287"/>
      <c r="AT32" s="287"/>
      <c r="AU32" s="287"/>
      <c r="AV32" s="287"/>
      <c r="AW32" s="287"/>
      <c r="AX32" s="287"/>
      <c r="AY32" s="287"/>
      <c r="AZ32" s="287"/>
      <c r="BA32" s="287"/>
      <c r="BB32" s="287"/>
      <c r="BC32" s="287"/>
      <c r="BD32" s="287"/>
      <c r="BE32" s="287"/>
      <c r="BF32" s="287"/>
      <c r="BG32" s="287"/>
      <c r="BH32" s="287"/>
      <c r="BI32" s="287"/>
      <c r="BJ32" s="287"/>
      <c r="BK32" s="287"/>
      <c r="BL32" s="287"/>
      <c r="BM32" s="287"/>
      <c r="BN32" s="287"/>
      <c r="BO32" s="287"/>
      <c r="BP32" s="287"/>
      <c r="BQ32" s="287"/>
      <c r="BR32" s="287"/>
      <c r="BS32" s="287"/>
      <c r="BT32" s="287"/>
      <c r="BU32" s="287"/>
      <c r="BV32" s="287"/>
      <c r="BW32" s="287"/>
      <c r="BX32" s="287"/>
      <c r="BY32" s="287"/>
      <c r="BZ32" s="287"/>
      <c r="CA32" s="287"/>
      <c r="CB32" s="287"/>
      <c r="CC32" s="287"/>
      <c r="CD32" s="287"/>
      <c r="CE32" s="287"/>
      <c r="CF32" s="287"/>
      <c r="CG32" s="287"/>
      <c r="CH32" s="287"/>
      <c r="CI32" s="287"/>
      <c r="CJ32" s="287"/>
      <c r="CK32" s="287"/>
      <c r="CL32" s="287"/>
      <c r="CM32" s="287"/>
      <c r="CN32" s="287"/>
      <c r="CO32" s="287"/>
      <c r="CP32" s="287"/>
      <c r="CQ32" s="287"/>
      <c r="CR32" s="287"/>
      <c r="CS32" s="287"/>
      <c r="CT32" s="287"/>
      <c r="CU32" s="287"/>
      <c r="CV32" s="287"/>
      <c r="CW32" s="287"/>
      <c r="CX32" s="287"/>
      <c r="CY32" s="287"/>
      <c r="CZ32" s="287"/>
      <c r="DA32" s="287"/>
      <c r="DB32" s="287"/>
      <c r="DC32" s="287"/>
      <c r="DD32" s="287"/>
      <c r="DE32" s="287"/>
      <c r="DF32" s="287"/>
      <c r="DG32" s="287"/>
      <c r="DH32" s="287"/>
      <c r="DI32" s="287"/>
      <c r="DJ32" s="287"/>
      <c r="DK32" s="287"/>
      <c r="DL32" s="287"/>
      <c r="DM32" s="287"/>
      <c r="DN32" s="287"/>
      <c r="DO32" s="287"/>
      <c r="DP32" s="287"/>
      <c r="DQ32" s="287"/>
      <c r="DR32" s="287"/>
      <c r="DS32" s="287"/>
    </row>
    <row r="33" spans="1:123" s="288" customFormat="1" ht="91.5" customHeight="1">
      <c r="A33" s="860"/>
      <c r="B33" s="645"/>
      <c r="C33" s="889"/>
      <c r="D33" s="634"/>
      <c r="E33" s="681"/>
      <c r="F33" s="681"/>
      <c r="G33" s="745"/>
      <c r="H33" s="743"/>
      <c r="I33" s="743"/>
      <c r="J33" s="683"/>
      <c r="K33" s="303" t="s">
        <v>16</v>
      </c>
      <c r="L33" s="303" t="s">
        <v>182</v>
      </c>
      <c r="M33" s="303" t="s">
        <v>156</v>
      </c>
      <c r="N33" s="303" t="s">
        <v>157</v>
      </c>
      <c r="O33" s="303" t="s">
        <v>158</v>
      </c>
      <c r="P33" s="303" t="s">
        <v>159</v>
      </c>
      <c r="Q33" s="653"/>
      <c r="R33" s="681"/>
      <c r="S33" s="323"/>
      <c r="T33" s="681"/>
      <c r="U33" s="753"/>
      <c r="V33" s="286"/>
      <c r="W33" s="286"/>
      <c r="X33" s="286"/>
      <c r="Y33" s="286"/>
      <c r="Z33" s="286"/>
      <c r="AA33" s="286"/>
      <c r="AB33" s="286"/>
      <c r="AC33" s="286"/>
      <c r="AD33" s="286"/>
      <c r="AE33" s="287"/>
      <c r="AF33" s="287"/>
      <c r="AG33" s="287"/>
      <c r="AH33" s="287"/>
      <c r="AI33" s="287"/>
      <c r="AJ33" s="287"/>
      <c r="AK33" s="287"/>
      <c r="AL33" s="287"/>
      <c r="AM33" s="287"/>
      <c r="AN33" s="287"/>
      <c r="AO33" s="287"/>
      <c r="AP33" s="287"/>
      <c r="AQ33" s="287"/>
      <c r="AR33" s="287"/>
      <c r="AS33" s="287"/>
      <c r="AT33" s="287"/>
      <c r="AU33" s="287"/>
      <c r="AV33" s="287"/>
      <c r="AW33" s="287"/>
      <c r="AX33" s="287"/>
      <c r="AY33" s="287"/>
      <c r="AZ33" s="287"/>
      <c r="BA33" s="287"/>
      <c r="BB33" s="287"/>
      <c r="BC33" s="287"/>
      <c r="BD33" s="287"/>
      <c r="BE33" s="287"/>
      <c r="BF33" s="287"/>
      <c r="BG33" s="287"/>
      <c r="BH33" s="287"/>
      <c r="BI33" s="287"/>
      <c r="BJ33" s="287"/>
      <c r="BK33" s="287"/>
      <c r="BL33" s="287"/>
      <c r="BM33" s="287"/>
      <c r="BN33" s="287"/>
      <c r="BO33" s="287"/>
      <c r="BP33" s="287"/>
      <c r="BQ33" s="287"/>
      <c r="BR33" s="287"/>
      <c r="BS33" s="287"/>
      <c r="BT33" s="287"/>
      <c r="BU33" s="287"/>
      <c r="BV33" s="287"/>
      <c r="BW33" s="287"/>
      <c r="BX33" s="287"/>
      <c r="BY33" s="287"/>
      <c r="BZ33" s="287"/>
      <c r="CA33" s="287"/>
      <c r="CB33" s="287"/>
      <c r="CC33" s="287"/>
      <c r="CD33" s="287"/>
      <c r="CE33" s="287"/>
      <c r="CF33" s="287"/>
      <c r="CG33" s="287"/>
      <c r="CH33" s="287"/>
      <c r="CI33" s="287"/>
      <c r="CJ33" s="287"/>
      <c r="CK33" s="287"/>
      <c r="CL33" s="287"/>
      <c r="CM33" s="287"/>
      <c r="CN33" s="287"/>
      <c r="CO33" s="287"/>
      <c r="CP33" s="287"/>
      <c r="CQ33" s="287"/>
      <c r="CR33" s="287"/>
      <c r="CS33" s="287"/>
      <c r="CT33" s="287"/>
      <c r="CU33" s="287"/>
      <c r="CV33" s="287"/>
      <c r="CW33" s="287"/>
      <c r="CX33" s="287"/>
      <c r="CY33" s="287"/>
      <c r="CZ33" s="287"/>
      <c r="DA33" s="287"/>
      <c r="DB33" s="287"/>
      <c r="DC33" s="287"/>
      <c r="DD33" s="287"/>
      <c r="DE33" s="287"/>
      <c r="DF33" s="287"/>
      <c r="DG33" s="287"/>
      <c r="DH33" s="287"/>
      <c r="DI33" s="287"/>
      <c r="DJ33" s="287"/>
      <c r="DK33" s="287"/>
      <c r="DL33" s="287"/>
      <c r="DM33" s="287"/>
      <c r="DN33" s="287"/>
      <c r="DO33" s="287"/>
      <c r="DP33" s="287"/>
      <c r="DQ33" s="287"/>
      <c r="DR33" s="287"/>
      <c r="DS33" s="287"/>
    </row>
    <row r="34" spans="1:123" s="211" customFormat="1" ht="88" customHeight="1">
      <c r="A34" s="860"/>
      <c r="B34" s="637" t="s">
        <v>820</v>
      </c>
      <c r="C34" s="889"/>
      <c r="D34" s="635" t="s">
        <v>792</v>
      </c>
      <c r="E34" s="680" t="s">
        <v>183</v>
      </c>
      <c r="F34" s="681"/>
      <c r="G34" s="741" t="s">
        <v>780</v>
      </c>
      <c r="H34" s="742">
        <v>0.04</v>
      </c>
      <c r="I34" s="742">
        <v>0.18</v>
      </c>
      <c r="J34" s="683" t="s">
        <v>184</v>
      </c>
      <c r="K34" s="294" t="s">
        <v>14</v>
      </c>
      <c r="L34" s="303" t="s">
        <v>185</v>
      </c>
      <c r="M34" s="303" t="s">
        <v>186</v>
      </c>
      <c r="N34" s="303" t="s">
        <v>187</v>
      </c>
      <c r="O34" s="303" t="s">
        <v>188</v>
      </c>
      <c r="P34" s="303" t="s">
        <v>189</v>
      </c>
      <c r="Q34" s="653" t="s">
        <v>864</v>
      </c>
      <c r="R34" s="656"/>
      <c r="S34" s="289"/>
      <c r="T34" s="648" t="e">
        <f>AVERAGE(S34:S36)</f>
        <v>#DIV/0!</v>
      </c>
      <c r="U34" s="668" t="e">
        <f>T34*H34</f>
        <v>#DIV/0!</v>
      </c>
      <c r="V34" s="225"/>
      <c r="W34" s="225"/>
      <c r="X34" s="225"/>
      <c r="Y34" s="225"/>
      <c r="Z34" s="225"/>
      <c r="AA34" s="225"/>
      <c r="AB34" s="225"/>
      <c r="AC34" s="225"/>
      <c r="AD34" s="225"/>
      <c r="AE34" s="226"/>
      <c r="AF34" s="226"/>
      <c r="AG34" s="226"/>
      <c r="AH34" s="226"/>
      <c r="AI34" s="226"/>
      <c r="AJ34" s="226"/>
      <c r="AK34" s="226"/>
      <c r="AL34" s="226"/>
      <c r="AM34" s="226"/>
      <c r="AN34" s="226"/>
      <c r="AO34" s="226"/>
      <c r="AP34" s="226"/>
      <c r="AQ34" s="226"/>
      <c r="AR34" s="226"/>
      <c r="AS34" s="226"/>
      <c r="AT34" s="226"/>
      <c r="AU34" s="226"/>
      <c r="AV34" s="226"/>
      <c r="AW34" s="226"/>
      <c r="AX34" s="226"/>
      <c r="AY34" s="226"/>
      <c r="AZ34" s="226"/>
      <c r="BA34" s="226"/>
      <c r="BB34" s="226"/>
      <c r="BC34" s="226"/>
      <c r="BD34" s="226"/>
      <c r="BE34" s="226"/>
      <c r="BF34" s="226"/>
      <c r="BG34" s="226"/>
      <c r="BH34" s="226"/>
      <c r="BI34" s="226"/>
      <c r="BJ34" s="226"/>
      <c r="BK34" s="226"/>
      <c r="BL34" s="226"/>
      <c r="BM34" s="226"/>
      <c r="BN34" s="226"/>
      <c r="BO34" s="226"/>
      <c r="BP34" s="226"/>
      <c r="BQ34" s="226"/>
      <c r="BR34" s="226"/>
      <c r="BS34" s="226"/>
      <c r="BT34" s="226"/>
      <c r="BU34" s="226"/>
      <c r="BV34" s="226"/>
      <c r="BW34" s="226"/>
      <c r="BX34" s="226"/>
      <c r="BY34" s="226"/>
      <c r="BZ34" s="226"/>
      <c r="CA34" s="226"/>
      <c r="CB34" s="226"/>
      <c r="CC34" s="226"/>
      <c r="CD34" s="226"/>
      <c r="CE34" s="226"/>
      <c r="CF34" s="226"/>
      <c r="CG34" s="226"/>
      <c r="CH34" s="226"/>
      <c r="CI34" s="226"/>
      <c r="CJ34" s="226"/>
      <c r="CK34" s="226"/>
      <c r="CL34" s="226"/>
      <c r="CM34" s="226"/>
      <c r="CN34" s="226"/>
      <c r="CO34" s="226"/>
      <c r="CP34" s="226"/>
      <c r="CQ34" s="226"/>
      <c r="CR34" s="226"/>
      <c r="CS34" s="226"/>
      <c r="CT34" s="226"/>
      <c r="CU34" s="226"/>
      <c r="CV34" s="226"/>
      <c r="CW34" s="226"/>
      <c r="CX34" s="226"/>
      <c r="CY34" s="226"/>
      <c r="CZ34" s="226"/>
      <c r="DA34" s="226"/>
      <c r="DB34" s="226"/>
      <c r="DC34" s="226"/>
      <c r="DD34" s="226"/>
      <c r="DE34" s="226"/>
      <c r="DF34" s="226"/>
      <c r="DG34" s="226"/>
      <c r="DH34" s="226"/>
      <c r="DI34" s="226"/>
      <c r="DJ34" s="226"/>
      <c r="DK34" s="226"/>
      <c r="DL34" s="226"/>
      <c r="DM34" s="226"/>
      <c r="DN34" s="226"/>
      <c r="DO34" s="226"/>
      <c r="DP34" s="226"/>
      <c r="DQ34" s="226"/>
      <c r="DR34" s="226"/>
      <c r="DS34" s="226"/>
    </row>
    <row r="35" spans="1:123" s="211" customFormat="1" ht="126.5" customHeight="1">
      <c r="A35" s="860"/>
      <c r="B35" s="638"/>
      <c r="C35" s="889"/>
      <c r="D35" s="633"/>
      <c r="E35" s="681"/>
      <c r="F35" s="681"/>
      <c r="G35" s="681"/>
      <c r="H35" s="743"/>
      <c r="I35" s="742"/>
      <c r="J35" s="683"/>
      <c r="K35" s="275" t="s">
        <v>15</v>
      </c>
      <c r="L35" s="303" t="s">
        <v>190</v>
      </c>
      <c r="M35" s="303" t="s">
        <v>191</v>
      </c>
      <c r="N35" s="303" t="s">
        <v>192</v>
      </c>
      <c r="O35" s="303" t="s">
        <v>193</v>
      </c>
      <c r="P35" s="303" t="s">
        <v>194</v>
      </c>
      <c r="Q35" s="653"/>
      <c r="R35" s="649"/>
      <c r="S35" s="289"/>
      <c r="T35" s="649"/>
      <c r="U35" s="669"/>
      <c r="V35" s="225"/>
      <c r="W35" s="225"/>
      <c r="X35" s="225"/>
      <c r="Y35" s="225"/>
      <c r="Z35" s="225"/>
      <c r="AA35" s="225"/>
      <c r="AB35" s="225"/>
      <c r="AC35" s="225"/>
      <c r="AD35" s="225"/>
      <c r="AE35" s="226"/>
      <c r="AF35" s="226"/>
      <c r="AG35" s="226"/>
      <c r="AH35" s="226"/>
      <c r="AI35" s="226"/>
      <c r="AJ35" s="226"/>
      <c r="AK35" s="226"/>
      <c r="AL35" s="226"/>
      <c r="AM35" s="226"/>
      <c r="AN35" s="226"/>
      <c r="AO35" s="226"/>
      <c r="AP35" s="226"/>
      <c r="AQ35" s="226"/>
      <c r="AR35" s="226"/>
      <c r="AS35" s="226"/>
      <c r="AT35" s="226"/>
      <c r="AU35" s="226"/>
      <c r="AV35" s="226"/>
      <c r="AW35" s="226"/>
      <c r="AX35" s="226"/>
      <c r="AY35" s="226"/>
      <c r="AZ35" s="226"/>
      <c r="BA35" s="226"/>
      <c r="BB35" s="226"/>
      <c r="BC35" s="226"/>
      <c r="BD35" s="226"/>
      <c r="BE35" s="226"/>
      <c r="BF35" s="226"/>
      <c r="BG35" s="226"/>
      <c r="BH35" s="226"/>
      <c r="BI35" s="226"/>
      <c r="BJ35" s="226"/>
      <c r="BK35" s="226"/>
      <c r="BL35" s="226"/>
      <c r="BM35" s="226"/>
      <c r="BN35" s="226"/>
      <c r="BO35" s="226"/>
      <c r="BP35" s="226"/>
      <c r="BQ35" s="226"/>
      <c r="BR35" s="226"/>
      <c r="BS35" s="226"/>
      <c r="BT35" s="226"/>
      <c r="BU35" s="226"/>
      <c r="BV35" s="226"/>
      <c r="BW35" s="226"/>
      <c r="BX35" s="226"/>
      <c r="BY35" s="226"/>
      <c r="BZ35" s="226"/>
      <c r="CA35" s="226"/>
      <c r="CB35" s="226"/>
      <c r="CC35" s="226"/>
      <c r="CD35" s="226"/>
      <c r="CE35" s="226"/>
      <c r="CF35" s="226"/>
      <c r="CG35" s="226"/>
      <c r="CH35" s="226"/>
      <c r="CI35" s="226"/>
      <c r="CJ35" s="226"/>
      <c r="CK35" s="226"/>
      <c r="CL35" s="226"/>
      <c r="CM35" s="226"/>
      <c r="CN35" s="226"/>
      <c r="CO35" s="226"/>
      <c r="CP35" s="226"/>
      <c r="CQ35" s="226"/>
      <c r="CR35" s="226"/>
      <c r="CS35" s="226"/>
      <c r="CT35" s="226"/>
      <c r="CU35" s="226"/>
      <c r="CV35" s="226"/>
      <c r="CW35" s="226"/>
      <c r="CX35" s="226"/>
      <c r="CY35" s="226"/>
      <c r="CZ35" s="226"/>
      <c r="DA35" s="226"/>
      <c r="DB35" s="226"/>
      <c r="DC35" s="226"/>
      <c r="DD35" s="226"/>
      <c r="DE35" s="226"/>
      <c r="DF35" s="226"/>
      <c r="DG35" s="226"/>
      <c r="DH35" s="226"/>
      <c r="DI35" s="226"/>
      <c r="DJ35" s="226"/>
      <c r="DK35" s="226"/>
      <c r="DL35" s="226"/>
      <c r="DM35" s="226"/>
      <c r="DN35" s="226"/>
      <c r="DO35" s="226"/>
      <c r="DP35" s="226"/>
      <c r="DQ35" s="226"/>
      <c r="DR35" s="226"/>
      <c r="DS35" s="226"/>
    </row>
    <row r="36" spans="1:123" s="211" customFormat="1" ht="88" customHeight="1" thickBot="1">
      <c r="A36" s="862"/>
      <c r="B36" s="639"/>
      <c r="C36" s="890"/>
      <c r="D36" s="636"/>
      <c r="E36" s="858"/>
      <c r="F36" s="858"/>
      <c r="G36" s="858"/>
      <c r="H36" s="747"/>
      <c r="I36" s="754"/>
      <c r="J36" s="629"/>
      <c r="K36" s="331" t="s">
        <v>16</v>
      </c>
      <c r="L36" s="316" t="s">
        <v>195</v>
      </c>
      <c r="M36" s="316" t="s">
        <v>196</v>
      </c>
      <c r="N36" s="316" t="s">
        <v>197</v>
      </c>
      <c r="O36" s="316" t="s">
        <v>198</v>
      </c>
      <c r="P36" s="316" t="s">
        <v>199</v>
      </c>
      <c r="Q36" s="635"/>
      <c r="R36" s="651"/>
      <c r="S36" s="332"/>
      <c r="T36" s="651"/>
      <c r="U36" s="732"/>
      <c r="V36" s="225"/>
      <c r="W36" s="225"/>
      <c r="X36" s="225"/>
      <c r="Y36" s="225"/>
      <c r="Z36" s="225"/>
      <c r="AA36" s="225"/>
      <c r="AB36" s="225"/>
      <c r="AC36" s="225"/>
      <c r="AD36" s="225"/>
      <c r="AE36" s="226"/>
      <c r="AF36" s="226"/>
      <c r="AG36" s="226"/>
      <c r="AH36" s="226"/>
      <c r="AI36" s="226"/>
      <c r="AJ36" s="226"/>
      <c r="AK36" s="226"/>
      <c r="AL36" s="226"/>
      <c r="AM36" s="226"/>
      <c r="AN36" s="226"/>
      <c r="AO36" s="226"/>
      <c r="AP36" s="226"/>
      <c r="AQ36" s="226"/>
      <c r="AR36" s="226"/>
      <c r="AS36" s="226"/>
      <c r="AT36" s="226"/>
      <c r="AU36" s="226"/>
      <c r="AV36" s="226"/>
      <c r="AW36" s="226"/>
      <c r="AX36" s="226"/>
      <c r="AY36" s="226"/>
      <c r="AZ36" s="226"/>
      <c r="BA36" s="226"/>
      <c r="BB36" s="226"/>
      <c r="BC36" s="226"/>
      <c r="BD36" s="226"/>
      <c r="BE36" s="226"/>
      <c r="BF36" s="226"/>
      <c r="BG36" s="226"/>
      <c r="BH36" s="226"/>
      <c r="BI36" s="226"/>
      <c r="BJ36" s="226"/>
      <c r="BK36" s="226"/>
      <c r="BL36" s="226"/>
      <c r="BM36" s="226"/>
      <c r="BN36" s="226"/>
      <c r="BO36" s="226"/>
      <c r="BP36" s="226"/>
      <c r="BQ36" s="226"/>
      <c r="BR36" s="226"/>
      <c r="BS36" s="226"/>
      <c r="BT36" s="226"/>
      <c r="BU36" s="226"/>
      <c r="BV36" s="226"/>
      <c r="BW36" s="226"/>
      <c r="BX36" s="226"/>
      <c r="BY36" s="226"/>
      <c r="BZ36" s="226"/>
      <c r="CA36" s="226"/>
      <c r="CB36" s="226"/>
      <c r="CC36" s="226"/>
      <c r="CD36" s="226"/>
      <c r="CE36" s="226"/>
      <c r="CF36" s="226"/>
      <c r="CG36" s="226"/>
      <c r="CH36" s="226"/>
      <c r="CI36" s="226"/>
      <c r="CJ36" s="226"/>
      <c r="CK36" s="226"/>
      <c r="CL36" s="226"/>
      <c r="CM36" s="226"/>
      <c r="CN36" s="226"/>
      <c r="CO36" s="226"/>
      <c r="CP36" s="226"/>
      <c r="CQ36" s="226"/>
      <c r="CR36" s="226"/>
      <c r="CS36" s="226"/>
      <c r="CT36" s="226"/>
      <c r="CU36" s="226"/>
      <c r="CV36" s="226"/>
      <c r="CW36" s="226"/>
      <c r="CX36" s="226"/>
      <c r="CY36" s="226"/>
      <c r="CZ36" s="226"/>
      <c r="DA36" s="226"/>
      <c r="DB36" s="226"/>
      <c r="DC36" s="226"/>
      <c r="DD36" s="226"/>
      <c r="DE36" s="226"/>
      <c r="DF36" s="226"/>
      <c r="DG36" s="226"/>
      <c r="DH36" s="226"/>
      <c r="DI36" s="226"/>
      <c r="DJ36" s="226"/>
      <c r="DK36" s="226"/>
      <c r="DL36" s="226"/>
      <c r="DM36" s="226"/>
      <c r="DN36" s="226"/>
      <c r="DO36" s="226"/>
      <c r="DP36" s="226"/>
      <c r="DQ36" s="226"/>
      <c r="DR36" s="226"/>
      <c r="DS36" s="226"/>
    </row>
    <row r="37" spans="1:123" s="211" customFormat="1" ht="183" customHeight="1">
      <c r="A37" s="859" t="s">
        <v>737</v>
      </c>
      <c r="B37" s="643" t="s">
        <v>793</v>
      </c>
      <c r="C37" s="643" t="s">
        <v>738</v>
      </c>
      <c r="D37" s="643" t="s">
        <v>794</v>
      </c>
      <c r="E37" s="744" t="s">
        <v>200</v>
      </c>
      <c r="F37" s="869"/>
      <c r="G37" s="744" t="s">
        <v>781</v>
      </c>
      <c r="H37" s="748">
        <v>0.04</v>
      </c>
      <c r="I37" s="730">
        <v>1</v>
      </c>
      <c r="J37" s="333" t="s">
        <v>201</v>
      </c>
      <c r="K37" s="334" t="s">
        <v>14</v>
      </c>
      <c r="L37" s="324" t="s">
        <v>202</v>
      </c>
      <c r="M37" s="324" t="s">
        <v>203</v>
      </c>
      <c r="N37" s="324" t="s">
        <v>204</v>
      </c>
      <c r="O37" s="324" t="s">
        <v>205</v>
      </c>
      <c r="P37" s="324" t="s">
        <v>206</v>
      </c>
      <c r="Q37" s="712" t="s">
        <v>207</v>
      </c>
      <c r="R37" s="738"/>
      <c r="S37" s="326"/>
      <c r="T37" s="652" t="e">
        <f>AVERAGE(S37:S39)</f>
        <v>#DIV/0!</v>
      </c>
      <c r="U37" s="733" t="e">
        <f>T37*H37</f>
        <v>#DIV/0!</v>
      </c>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6"/>
      <c r="BB37" s="226"/>
      <c r="BC37" s="226"/>
      <c r="BD37" s="226"/>
      <c r="BE37" s="226"/>
      <c r="BF37" s="226"/>
      <c r="BG37" s="226"/>
      <c r="BH37" s="226"/>
      <c r="BI37" s="226"/>
      <c r="BJ37" s="226"/>
      <c r="BK37" s="226"/>
      <c r="BL37" s="226"/>
      <c r="BM37" s="226"/>
      <c r="BN37" s="226"/>
      <c r="BO37" s="226"/>
      <c r="BP37" s="226"/>
      <c r="BQ37" s="226"/>
      <c r="BR37" s="226"/>
      <c r="BS37" s="226"/>
      <c r="BT37" s="226"/>
      <c r="BU37" s="226"/>
      <c r="BV37" s="226"/>
      <c r="BW37" s="226"/>
      <c r="BX37" s="226"/>
      <c r="BY37" s="226"/>
      <c r="BZ37" s="226"/>
      <c r="CA37" s="226"/>
      <c r="CB37" s="226"/>
      <c r="CC37" s="226"/>
      <c r="CD37" s="226"/>
      <c r="CE37" s="226"/>
      <c r="CF37" s="226"/>
      <c r="CG37" s="226"/>
      <c r="CH37" s="226"/>
      <c r="CI37" s="226"/>
      <c r="CJ37" s="226"/>
      <c r="CK37" s="226"/>
      <c r="CL37" s="226"/>
      <c r="CM37" s="226"/>
      <c r="CN37" s="226"/>
      <c r="CO37" s="226"/>
      <c r="CP37" s="226"/>
      <c r="CQ37" s="226"/>
      <c r="CR37" s="226"/>
      <c r="CS37" s="226"/>
      <c r="CT37" s="226"/>
      <c r="CU37" s="226"/>
      <c r="CV37" s="226"/>
      <c r="CW37" s="226"/>
      <c r="CX37" s="226"/>
      <c r="CY37" s="226"/>
      <c r="CZ37" s="226"/>
      <c r="DA37" s="226"/>
      <c r="DB37" s="226"/>
      <c r="DC37" s="226"/>
      <c r="DD37" s="226"/>
      <c r="DE37" s="226"/>
      <c r="DF37" s="226"/>
      <c r="DG37" s="226"/>
      <c r="DH37" s="226"/>
      <c r="DI37" s="226"/>
      <c r="DJ37" s="226"/>
      <c r="DK37" s="226"/>
      <c r="DL37" s="226"/>
      <c r="DM37" s="226"/>
      <c r="DN37" s="226"/>
      <c r="DO37" s="226"/>
      <c r="DP37" s="226"/>
      <c r="DQ37" s="226"/>
      <c r="DR37" s="226"/>
      <c r="DS37" s="226"/>
    </row>
    <row r="38" spans="1:123" s="211" customFormat="1" ht="121.5" customHeight="1">
      <c r="A38" s="860"/>
      <c r="B38" s="630"/>
      <c r="C38" s="630"/>
      <c r="D38" s="630"/>
      <c r="E38" s="681"/>
      <c r="F38" s="681"/>
      <c r="G38" s="681"/>
      <c r="H38" s="743"/>
      <c r="I38" s="743"/>
      <c r="J38" s="276"/>
      <c r="K38" s="275" t="s">
        <v>15</v>
      </c>
      <c r="L38" s="303" t="s">
        <v>208</v>
      </c>
      <c r="M38" s="303" t="s">
        <v>209</v>
      </c>
      <c r="N38" s="303" t="s">
        <v>210</v>
      </c>
      <c r="O38" s="303" t="s">
        <v>211</v>
      </c>
      <c r="P38" s="303" t="s">
        <v>212</v>
      </c>
      <c r="Q38" s="654"/>
      <c r="R38" s="649"/>
      <c r="S38" s="289"/>
      <c r="T38" s="649"/>
      <c r="U38" s="669"/>
      <c r="V38" s="226"/>
      <c r="W38" s="226"/>
      <c r="X38" s="226"/>
      <c r="Y38" s="226"/>
      <c r="Z38" s="226"/>
      <c r="AA38" s="226"/>
      <c r="AB38" s="226"/>
      <c r="AC38" s="226"/>
      <c r="AD38" s="226"/>
      <c r="AE38" s="226"/>
      <c r="AF38" s="226"/>
      <c r="AG38" s="226"/>
      <c r="AH38" s="226"/>
      <c r="AI38" s="226"/>
      <c r="AJ38" s="226"/>
      <c r="AK38" s="226"/>
      <c r="AL38" s="226"/>
      <c r="AM38" s="226"/>
      <c r="AN38" s="226"/>
      <c r="AO38" s="226"/>
      <c r="AP38" s="226"/>
      <c r="AQ38" s="226"/>
      <c r="AR38" s="226"/>
      <c r="AS38" s="226"/>
      <c r="AT38" s="226"/>
      <c r="AU38" s="226"/>
      <c r="AV38" s="226"/>
      <c r="AW38" s="226"/>
      <c r="AX38" s="226"/>
      <c r="AY38" s="226"/>
      <c r="AZ38" s="226"/>
      <c r="BA38" s="226"/>
      <c r="BB38" s="226"/>
      <c r="BC38" s="226"/>
      <c r="BD38" s="226"/>
      <c r="BE38" s="226"/>
      <c r="BF38" s="226"/>
      <c r="BG38" s="226"/>
      <c r="BH38" s="226"/>
      <c r="BI38" s="226"/>
      <c r="BJ38" s="226"/>
      <c r="BK38" s="226"/>
      <c r="BL38" s="226"/>
      <c r="BM38" s="226"/>
      <c r="BN38" s="226"/>
      <c r="BO38" s="226"/>
      <c r="BP38" s="226"/>
      <c r="BQ38" s="226"/>
      <c r="BR38" s="226"/>
      <c r="BS38" s="226"/>
      <c r="BT38" s="226"/>
      <c r="BU38" s="226"/>
      <c r="BV38" s="226"/>
      <c r="BW38" s="226"/>
      <c r="BX38" s="226"/>
      <c r="BY38" s="226"/>
      <c r="BZ38" s="226"/>
      <c r="CA38" s="226"/>
      <c r="CB38" s="226"/>
      <c r="CC38" s="226"/>
      <c r="CD38" s="226"/>
      <c r="CE38" s="226"/>
      <c r="CF38" s="226"/>
      <c r="CG38" s="226"/>
      <c r="CH38" s="226"/>
      <c r="CI38" s="226"/>
      <c r="CJ38" s="226"/>
      <c r="CK38" s="226"/>
      <c r="CL38" s="226"/>
      <c r="CM38" s="226"/>
      <c r="CN38" s="226"/>
      <c r="CO38" s="226"/>
      <c r="CP38" s="226"/>
      <c r="CQ38" s="226"/>
      <c r="CR38" s="226"/>
      <c r="CS38" s="226"/>
      <c r="CT38" s="226"/>
      <c r="CU38" s="226"/>
      <c r="CV38" s="226"/>
      <c r="CW38" s="226"/>
      <c r="CX38" s="226"/>
      <c r="CY38" s="226"/>
      <c r="CZ38" s="226"/>
      <c r="DA38" s="226"/>
      <c r="DB38" s="226"/>
      <c r="DC38" s="226"/>
      <c r="DD38" s="226"/>
      <c r="DE38" s="226"/>
      <c r="DF38" s="226"/>
      <c r="DG38" s="226"/>
      <c r="DH38" s="226"/>
      <c r="DI38" s="226"/>
      <c r="DJ38" s="226"/>
      <c r="DK38" s="226"/>
      <c r="DL38" s="226"/>
      <c r="DM38" s="226"/>
      <c r="DN38" s="226"/>
      <c r="DO38" s="226"/>
      <c r="DP38" s="226"/>
      <c r="DQ38" s="226"/>
      <c r="DR38" s="226"/>
      <c r="DS38" s="226"/>
    </row>
    <row r="39" spans="1:123" s="211" customFormat="1" ht="119.5" customHeight="1">
      <c r="A39" s="860"/>
      <c r="B39" s="630"/>
      <c r="C39" s="630"/>
      <c r="D39" s="630"/>
      <c r="E39" s="681"/>
      <c r="F39" s="681"/>
      <c r="G39" s="681"/>
      <c r="H39" s="743"/>
      <c r="I39" s="743"/>
      <c r="J39" s="276"/>
      <c r="K39" s="275" t="s">
        <v>16</v>
      </c>
      <c r="L39" s="303" t="s">
        <v>213</v>
      </c>
      <c r="M39" s="303" t="s">
        <v>214</v>
      </c>
      <c r="N39" s="303" t="s">
        <v>215</v>
      </c>
      <c r="O39" s="303" t="s">
        <v>216</v>
      </c>
      <c r="P39" s="303" t="s">
        <v>217</v>
      </c>
      <c r="Q39" s="654"/>
      <c r="R39" s="649"/>
      <c r="S39" s="289"/>
      <c r="T39" s="649"/>
      <c r="U39" s="669"/>
      <c r="V39" s="226"/>
      <c r="W39" s="226"/>
      <c r="X39" s="226"/>
      <c r="Y39" s="226"/>
      <c r="Z39" s="226"/>
      <c r="AA39" s="226"/>
      <c r="AB39" s="226"/>
      <c r="AC39" s="226"/>
      <c r="AD39" s="226"/>
      <c r="AE39" s="226"/>
      <c r="AF39" s="226"/>
      <c r="AG39" s="226"/>
      <c r="AH39" s="226"/>
      <c r="AI39" s="226"/>
      <c r="AJ39" s="226"/>
      <c r="AK39" s="226"/>
      <c r="AL39" s="226"/>
      <c r="AM39" s="226"/>
      <c r="AN39" s="226"/>
      <c r="AO39" s="226"/>
      <c r="AP39" s="226"/>
      <c r="AQ39" s="226"/>
      <c r="AR39" s="226"/>
      <c r="AS39" s="226"/>
      <c r="AT39" s="226"/>
      <c r="AU39" s="226"/>
      <c r="AV39" s="226"/>
      <c r="AW39" s="226"/>
      <c r="AX39" s="226"/>
      <c r="AY39" s="226"/>
      <c r="AZ39" s="226"/>
      <c r="BA39" s="226"/>
      <c r="BB39" s="226"/>
      <c r="BC39" s="226"/>
      <c r="BD39" s="226"/>
      <c r="BE39" s="226"/>
      <c r="BF39" s="226"/>
      <c r="BG39" s="226"/>
      <c r="BH39" s="226"/>
      <c r="BI39" s="226"/>
      <c r="BJ39" s="226"/>
      <c r="BK39" s="226"/>
      <c r="BL39" s="226"/>
      <c r="BM39" s="226"/>
      <c r="BN39" s="226"/>
      <c r="BO39" s="226"/>
      <c r="BP39" s="226"/>
      <c r="BQ39" s="226"/>
      <c r="BR39" s="226"/>
      <c r="BS39" s="226"/>
      <c r="BT39" s="226"/>
      <c r="BU39" s="226"/>
      <c r="BV39" s="226"/>
      <c r="BW39" s="226"/>
      <c r="BX39" s="226"/>
      <c r="BY39" s="226"/>
      <c r="BZ39" s="226"/>
      <c r="CA39" s="226"/>
      <c r="CB39" s="226"/>
      <c r="CC39" s="226"/>
      <c r="CD39" s="226"/>
      <c r="CE39" s="226"/>
      <c r="CF39" s="226"/>
      <c r="CG39" s="226"/>
      <c r="CH39" s="226"/>
      <c r="CI39" s="226"/>
      <c r="CJ39" s="226"/>
      <c r="CK39" s="226"/>
      <c r="CL39" s="226"/>
      <c r="CM39" s="226"/>
      <c r="CN39" s="226"/>
      <c r="CO39" s="226"/>
      <c r="CP39" s="226"/>
      <c r="CQ39" s="226"/>
      <c r="CR39" s="226"/>
      <c r="CS39" s="226"/>
      <c r="CT39" s="226"/>
      <c r="CU39" s="226"/>
      <c r="CV39" s="226"/>
      <c r="CW39" s="226"/>
      <c r="CX39" s="226"/>
      <c r="CY39" s="226"/>
      <c r="CZ39" s="226"/>
      <c r="DA39" s="226"/>
      <c r="DB39" s="226"/>
      <c r="DC39" s="226"/>
      <c r="DD39" s="226"/>
      <c r="DE39" s="226"/>
      <c r="DF39" s="226"/>
      <c r="DG39" s="226"/>
      <c r="DH39" s="226"/>
      <c r="DI39" s="226"/>
      <c r="DJ39" s="226"/>
      <c r="DK39" s="226"/>
      <c r="DL39" s="226"/>
      <c r="DM39" s="226"/>
      <c r="DN39" s="226"/>
      <c r="DO39" s="226"/>
      <c r="DP39" s="226"/>
      <c r="DQ39" s="226"/>
      <c r="DR39" s="226"/>
      <c r="DS39" s="226"/>
    </row>
    <row r="40" spans="1:123" s="211" customFormat="1" ht="88" customHeight="1">
      <c r="A40" s="860"/>
      <c r="B40" s="630"/>
      <c r="C40" s="630"/>
      <c r="D40" s="630"/>
      <c r="E40" s="680" t="s">
        <v>218</v>
      </c>
      <c r="F40" s="681"/>
      <c r="G40" s="680" t="s">
        <v>779</v>
      </c>
      <c r="H40" s="742">
        <v>0.03</v>
      </c>
      <c r="I40" s="742">
        <v>1</v>
      </c>
      <c r="J40" s="680" t="s">
        <v>219</v>
      </c>
      <c r="K40" s="294" t="s">
        <v>14</v>
      </c>
      <c r="L40" s="303" t="s">
        <v>220</v>
      </c>
      <c r="M40" s="304" t="s">
        <v>221</v>
      </c>
      <c r="N40" s="304" t="s">
        <v>222</v>
      </c>
      <c r="O40" s="304" t="s">
        <v>223</v>
      </c>
      <c r="P40" s="303" t="s">
        <v>224</v>
      </c>
      <c r="Q40" s="653" t="s">
        <v>225</v>
      </c>
      <c r="R40" s="656"/>
      <c r="S40" s="289"/>
      <c r="T40" s="648" t="e">
        <f>AVERAGE(S40:S42)</f>
        <v>#DIV/0!</v>
      </c>
      <c r="U40" s="668" t="e">
        <f>T40*H40</f>
        <v>#DIV/0!</v>
      </c>
      <c r="V40" s="226"/>
      <c r="W40" s="226"/>
      <c r="X40" s="226"/>
      <c r="Y40" s="226"/>
      <c r="Z40" s="226"/>
      <c r="AA40" s="226"/>
      <c r="AB40" s="226"/>
      <c r="AC40" s="226"/>
      <c r="AD40" s="226"/>
      <c r="AE40" s="226"/>
      <c r="AF40" s="226"/>
      <c r="AG40" s="226"/>
      <c r="AH40" s="226"/>
      <c r="AI40" s="226"/>
      <c r="AJ40" s="226"/>
      <c r="AK40" s="226"/>
      <c r="AL40" s="226"/>
      <c r="AM40" s="226"/>
      <c r="AN40" s="226"/>
      <c r="AO40" s="226"/>
      <c r="AP40" s="226"/>
      <c r="AQ40" s="226"/>
      <c r="AR40" s="226"/>
      <c r="AS40" s="226"/>
      <c r="AT40" s="226"/>
      <c r="AU40" s="226"/>
      <c r="AV40" s="226"/>
      <c r="AW40" s="226"/>
      <c r="AX40" s="226"/>
      <c r="AY40" s="226"/>
      <c r="AZ40" s="226"/>
      <c r="BA40" s="226"/>
      <c r="BB40" s="226"/>
      <c r="BC40" s="226"/>
      <c r="BD40" s="226"/>
      <c r="BE40" s="226"/>
      <c r="BF40" s="226"/>
      <c r="BG40" s="226"/>
      <c r="BH40" s="226"/>
      <c r="BI40" s="226"/>
      <c r="BJ40" s="226"/>
      <c r="BK40" s="226"/>
      <c r="BL40" s="226"/>
      <c r="BM40" s="226"/>
      <c r="BN40" s="226"/>
      <c r="BO40" s="226"/>
      <c r="BP40" s="226"/>
      <c r="BQ40" s="226"/>
      <c r="BR40" s="226"/>
      <c r="BS40" s="226"/>
      <c r="BT40" s="226"/>
      <c r="BU40" s="226"/>
      <c r="BV40" s="226"/>
      <c r="BW40" s="226"/>
      <c r="BX40" s="226"/>
      <c r="BY40" s="226"/>
      <c r="BZ40" s="226"/>
      <c r="CA40" s="226"/>
      <c r="CB40" s="226"/>
      <c r="CC40" s="226"/>
      <c r="CD40" s="226"/>
      <c r="CE40" s="226"/>
      <c r="CF40" s="226"/>
      <c r="CG40" s="226"/>
      <c r="CH40" s="226"/>
      <c r="CI40" s="226"/>
      <c r="CJ40" s="226"/>
      <c r="CK40" s="226"/>
      <c r="CL40" s="226"/>
      <c r="CM40" s="226"/>
      <c r="CN40" s="226"/>
      <c r="CO40" s="226"/>
      <c r="CP40" s="226"/>
      <c r="CQ40" s="226"/>
      <c r="CR40" s="226"/>
      <c r="CS40" s="226"/>
      <c r="CT40" s="226"/>
      <c r="CU40" s="226"/>
      <c r="CV40" s="226"/>
      <c r="CW40" s="226"/>
      <c r="CX40" s="226"/>
      <c r="CY40" s="226"/>
      <c r="CZ40" s="226"/>
      <c r="DA40" s="226"/>
      <c r="DB40" s="226"/>
      <c r="DC40" s="226"/>
      <c r="DD40" s="226"/>
      <c r="DE40" s="226"/>
      <c r="DF40" s="226"/>
      <c r="DG40" s="226"/>
      <c r="DH40" s="226"/>
      <c r="DI40" s="226"/>
      <c r="DJ40" s="226"/>
      <c r="DK40" s="226"/>
      <c r="DL40" s="226"/>
      <c r="DM40" s="226"/>
      <c r="DN40" s="226"/>
      <c r="DO40" s="226"/>
      <c r="DP40" s="226"/>
      <c r="DQ40" s="226"/>
      <c r="DR40" s="226"/>
      <c r="DS40" s="226"/>
    </row>
    <row r="41" spans="1:123" s="211" customFormat="1" ht="68" customHeight="1">
      <c r="A41" s="860"/>
      <c r="B41" s="630"/>
      <c r="C41" s="630"/>
      <c r="D41" s="630"/>
      <c r="E41" s="741"/>
      <c r="F41" s="681"/>
      <c r="G41" s="681"/>
      <c r="H41" s="743"/>
      <c r="I41" s="743"/>
      <c r="J41" s="681"/>
      <c r="K41" s="275" t="s">
        <v>15</v>
      </c>
      <c r="L41" s="303" t="s">
        <v>226</v>
      </c>
      <c r="M41" s="304" t="s">
        <v>227</v>
      </c>
      <c r="N41" s="304" t="s">
        <v>228</v>
      </c>
      <c r="O41" s="304" t="s">
        <v>229</v>
      </c>
      <c r="P41" s="304" t="s">
        <v>230</v>
      </c>
      <c r="Q41" s="654"/>
      <c r="R41" s="649"/>
      <c r="S41" s="289"/>
      <c r="T41" s="649"/>
      <c r="U41" s="669"/>
      <c r="V41" s="226"/>
      <c r="W41" s="226"/>
      <c r="X41" s="226"/>
      <c r="Y41" s="226"/>
      <c r="Z41" s="226"/>
      <c r="AA41" s="226"/>
      <c r="AB41" s="226"/>
      <c r="AC41" s="226"/>
      <c r="AD41" s="226"/>
      <c r="AE41" s="226"/>
      <c r="AF41" s="226"/>
      <c r="AG41" s="226"/>
      <c r="AH41" s="226"/>
      <c r="AI41" s="226"/>
      <c r="AJ41" s="226"/>
      <c r="AK41" s="226"/>
      <c r="AL41" s="226"/>
      <c r="AM41" s="226"/>
      <c r="AN41" s="226"/>
      <c r="AO41" s="226"/>
      <c r="AP41" s="226"/>
      <c r="AQ41" s="226"/>
      <c r="AR41" s="226"/>
      <c r="AS41" s="226"/>
      <c r="AT41" s="226"/>
      <c r="AU41" s="226"/>
      <c r="AV41" s="226"/>
      <c r="AW41" s="226"/>
      <c r="AX41" s="226"/>
      <c r="AY41" s="226"/>
      <c r="AZ41" s="226"/>
      <c r="BA41" s="226"/>
      <c r="BB41" s="226"/>
      <c r="BC41" s="226"/>
      <c r="BD41" s="226"/>
      <c r="BE41" s="226"/>
      <c r="BF41" s="226"/>
      <c r="BG41" s="226"/>
      <c r="BH41" s="226"/>
      <c r="BI41" s="226"/>
      <c r="BJ41" s="226"/>
      <c r="BK41" s="226"/>
      <c r="BL41" s="226"/>
      <c r="BM41" s="226"/>
      <c r="BN41" s="226"/>
      <c r="BO41" s="226"/>
      <c r="BP41" s="226"/>
      <c r="BQ41" s="226"/>
      <c r="BR41" s="226"/>
      <c r="BS41" s="226"/>
      <c r="BT41" s="226"/>
      <c r="BU41" s="226"/>
      <c r="BV41" s="226"/>
      <c r="BW41" s="226"/>
      <c r="BX41" s="226"/>
      <c r="BY41" s="226"/>
      <c r="BZ41" s="226"/>
      <c r="CA41" s="226"/>
      <c r="CB41" s="226"/>
      <c r="CC41" s="226"/>
      <c r="CD41" s="226"/>
      <c r="CE41" s="226"/>
      <c r="CF41" s="226"/>
      <c r="CG41" s="226"/>
      <c r="CH41" s="226"/>
      <c r="CI41" s="226"/>
      <c r="CJ41" s="226"/>
      <c r="CK41" s="226"/>
      <c r="CL41" s="226"/>
      <c r="CM41" s="226"/>
      <c r="CN41" s="226"/>
      <c r="CO41" s="226"/>
      <c r="CP41" s="226"/>
      <c r="CQ41" s="226"/>
      <c r="CR41" s="226"/>
      <c r="CS41" s="226"/>
      <c r="CT41" s="226"/>
      <c r="CU41" s="226"/>
      <c r="CV41" s="226"/>
      <c r="CW41" s="226"/>
      <c r="CX41" s="226"/>
      <c r="CY41" s="226"/>
      <c r="CZ41" s="226"/>
      <c r="DA41" s="226"/>
      <c r="DB41" s="226"/>
      <c r="DC41" s="226"/>
      <c r="DD41" s="226"/>
      <c r="DE41" s="226"/>
      <c r="DF41" s="226"/>
      <c r="DG41" s="226"/>
      <c r="DH41" s="226"/>
      <c r="DI41" s="226"/>
      <c r="DJ41" s="226"/>
      <c r="DK41" s="226"/>
      <c r="DL41" s="226"/>
      <c r="DM41" s="226"/>
      <c r="DN41" s="226"/>
      <c r="DO41" s="226"/>
      <c r="DP41" s="226"/>
      <c r="DQ41" s="226"/>
      <c r="DR41" s="226"/>
      <c r="DS41" s="226"/>
    </row>
    <row r="42" spans="1:123" s="211" customFormat="1" ht="113" customHeight="1">
      <c r="A42" s="860"/>
      <c r="B42" s="644"/>
      <c r="C42" s="630"/>
      <c r="D42" s="630"/>
      <c r="E42" s="681"/>
      <c r="F42" s="681"/>
      <c r="G42" s="681"/>
      <c r="H42" s="743"/>
      <c r="I42" s="743"/>
      <c r="J42" s="681"/>
      <c r="K42" s="275" t="s">
        <v>16</v>
      </c>
      <c r="L42" s="303" t="s">
        <v>231</v>
      </c>
      <c r="M42" s="303" t="s">
        <v>232</v>
      </c>
      <c r="N42" s="303" t="s">
        <v>233</v>
      </c>
      <c r="O42" s="303" t="s">
        <v>234</v>
      </c>
      <c r="P42" s="303" t="s">
        <v>235</v>
      </c>
      <c r="Q42" s="654"/>
      <c r="R42" s="649"/>
      <c r="S42" s="289"/>
      <c r="T42" s="649"/>
      <c r="U42" s="669"/>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226"/>
      <c r="AZ42" s="226"/>
      <c r="BA42" s="226"/>
      <c r="BB42" s="226"/>
      <c r="BC42" s="226"/>
      <c r="BD42" s="226"/>
      <c r="BE42" s="226"/>
      <c r="BF42" s="226"/>
      <c r="BG42" s="226"/>
      <c r="BH42" s="226"/>
      <c r="BI42" s="226"/>
      <c r="BJ42" s="226"/>
      <c r="BK42" s="226"/>
      <c r="BL42" s="226"/>
      <c r="BM42" s="226"/>
      <c r="BN42" s="226"/>
      <c r="BO42" s="226"/>
      <c r="BP42" s="226"/>
      <c r="BQ42" s="226"/>
      <c r="BR42" s="226"/>
      <c r="BS42" s="226"/>
      <c r="BT42" s="226"/>
      <c r="BU42" s="226"/>
      <c r="BV42" s="226"/>
      <c r="BW42" s="226"/>
      <c r="BX42" s="226"/>
      <c r="BY42" s="226"/>
      <c r="BZ42" s="226"/>
      <c r="CA42" s="226"/>
      <c r="CB42" s="226"/>
      <c r="CC42" s="226"/>
      <c r="CD42" s="226"/>
      <c r="CE42" s="226"/>
      <c r="CF42" s="226"/>
      <c r="CG42" s="226"/>
      <c r="CH42" s="226"/>
      <c r="CI42" s="226"/>
      <c r="CJ42" s="226"/>
      <c r="CK42" s="226"/>
      <c r="CL42" s="226"/>
      <c r="CM42" s="226"/>
      <c r="CN42" s="226"/>
      <c r="CO42" s="226"/>
      <c r="CP42" s="226"/>
      <c r="CQ42" s="226"/>
      <c r="CR42" s="226"/>
      <c r="CS42" s="226"/>
      <c r="CT42" s="226"/>
      <c r="CU42" s="226"/>
      <c r="CV42" s="226"/>
      <c r="CW42" s="226"/>
      <c r="CX42" s="226"/>
      <c r="CY42" s="226"/>
      <c r="CZ42" s="226"/>
      <c r="DA42" s="226"/>
      <c r="DB42" s="226"/>
      <c r="DC42" s="226"/>
      <c r="DD42" s="226"/>
      <c r="DE42" s="226"/>
      <c r="DF42" s="226"/>
      <c r="DG42" s="226"/>
      <c r="DH42" s="226"/>
      <c r="DI42" s="226"/>
      <c r="DJ42" s="226"/>
      <c r="DK42" s="226"/>
      <c r="DL42" s="226"/>
      <c r="DM42" s="226"/>
      <c r="DN42" s="226"/>
      <c r="DO42" s="226"/>
      <c r="DP42" s="226"/>
      <c r="DQ42" s="226"/>
      <c r="DR42" s="226"/>
      <c r="DS42" s="226"/>
    </row>
    <row r="43" spans="1:123" s="211" customFormat="1" ht="98" customHeight="1">
      <c r="A43" s="860"/>
      <c r="B43" s="637" t="s">
        <v>740</v>
      </c>
      <c r="C43" s="630"/>
      <c r="D43" s="630"/>
      <c r="E43" s="680" t="s">
        <v>828</v>
      </c>
      <c r="F43" s="681"/>
      <c r="G43" s="680" t="s">
        <v>779</v>
      </c>
      <c r="H43" s="742">
        <v>0.03</v>
      </c>
      <c r="I43" s="742">
        <v>1</v>
      </c>
      <c r="J43" s="680" t="s">
        <v>236</v>
      </c>
      <c r="K43" s="294" t="s">
        <v>14</v>
      </c>
      <c r="L43" s="303" t="s">
        <v>237</v>
      </c>
      <c r="M43" s="303" t="s">
        <v>238</v>
      </c>
      <c r="N43" s="303" t="s">
        <v>239</v>
      </c>
      <c r="O43" s="303" t="s">
        <v>240</v>
      </c>
      <c r="P43" s="303" t="s">
        <v>241</v>
      </c>
      <c r="Q43" s="653" t="s">
        <v>242</v>
      </c>
      <c r="R43" s="656"/>
      <c r="S43" s="289"/>
      <c r="T43" s="648" t="e">
        <f>AVERAGE(S43:S45)</f>
        <v>#DIV/0!</v>
      </c>
      <c r="U43" s="668" t="e">
        <f>T43*H43</f>
        <v>#DIV/0!</v>
      </c>
      <c r="V43" s="226"/>
      <c r="W43" s="226"/>
      <c r="X43" s="226"/>
      <c r="Y43" s="226"/>
      <c r="Z43" s="226"/>
      <c r="AA43" s="226"/>
      <c r="AB43" s="226"/>
      <c r="AC43" s="226"/>
      <c r="AD43" s="226"/>
      <c r="AE43" s="226"/>
      <c r="AF43" s="226"/>
      <c r="AG43" s="226"/>
      <c r="AH43" s="226"/>
      <c r="AI43" s="226"/>
      <c r="AJ43" s="226"/>
      <c r="AK43" s="226"/>
      <c r="AL43" s="226"/>
      <c r="AM43" s="226"/>
      <c r="AN43" s="226"/>
      <c r="AO43" s="226"/>
      <c r="AP43" s="226"/>
      <c r="AQ43" s="226"/>
      <c r="AR43" s="226"/>
      <c r="AS43" s="226"/>
      <c r="AT43" s="226"/>
      <c r="AU43" s="226"/>
      <c r="AV43" s="226"/>
      <c r="AW43" s="226"/>
      <c r="AX43" s="226"/>
      <c r="AY43" s="226"/>
      <c r="AZ43" s="226"/>
      <c r="BA43" s="226"/>
      <c r="BB43" s="226"/>
      <c r="BC43" s="226"/>
      <c r="BD43" s="226"/>
      <c r="BE43" s="226"/>
      <c r="BF43" s="226"/>
      <c r="BG43" s="226"/>
      <c r="BH43" s="226"/>
      <c r="BI43" s="226"/>
      <c r="BJ43" s="226"/>
      <c r="BK43" s="226"/>
      <c r="BL43" s="226"/>
      <c r="BM43" s="226"/>
      <c r="BN43" s="226"/>
      <c r="BO43" s="226"/>
      <c r="BP43" s="226"/>
      <c r="BQ43" s="226"/>
      <c r="BR43" s="226"/>
      <c r="BS43" s="226"/>
      <c r="BT43" s="226"/>
      <c r="BU43" s="226"/>
      <c r="BV43" s="226"/>
      <c r="BW43" s="226"/>
      <c r="BX43" s="226"/>
      <c r="BY43" s="226"/>
      <c r="BZ43" s="226"/>
      <c r="CA43" s="226"/>
      <c r="CB43" s="226"/>
      <c r="CC43" s="226"/>
      <c r="CD43" s="226"/>
      <c r="CE43" s="226"/>
      <c r="CF43" s="226"/>
      <c r="CG43" s="226"/>
      <c r="CH43" s="226"/>
      <c r="CI43" s="226"/>
      <c r="CJ43" s="226"/>
      <c r="CK43" s="226"/>
      <c r="CL43" s="226"/>
      <c r="CM43" s="226"/>
      <c r="CN43" s="226"/>
      <c r="CO43" s="226"/>
      <c r="CP43" s="226"/>
      <c r="CQ43" s="226"/>
      <c r="CR43" s="226"/>
      <c r="CS43" s="226"/>
      <c r="CT43" s="226"/>
      <c r="CU43" s="226"/>
      <c r="CV43" s="226"/>
      <c r="CW43" s="226"/>
      <c r="CX43" s="226"/>
      <c r="CY43" s="226"/>
      <c r="CZ43" s="226"/>
      <c r="DA43" s="226"/>
      <c r="DB43" s="226"/>
      <c r="DC43" s="226"/>
      <c r="DD43" s="226"/>
      <c r="DE43" s="226"/>
      <c r="DF43" s="226"/>
      <c r="DG43" s="226"/>
      <c r="DH43" s="226"/>
      <c r="DI43" s="226"/>
      <c r="DJ43" s="226"/>
      <c r="DK43" s="226"/>
      <c r="DL43" s="226"/>
      <c r="DM43" s="226"/>
      <c r="DN43" s="226"/>
      <c r="DO43" s="226"/>
      <c r="DP43" s="226"/>
      <c r="DQ43" s="226"/>
      <c r="DR43" s="226"/>
      <c r="DS43" s="226"/>
    </row>
    <row r="44" spans="1:123" s="211" customFormat="1" ht="109.5" customHeight="1">
      <c r="A44" s="860"/>
      <c r="B44" s="638"/>
      <c r="C44" s="630"/>
      <c r="D44" s="630"/>
      <c r="E44" s="741"/>
      <c r="F44" s="681"/>
      <c r="G44" s="681"/>
      <c r="H44" s="743"/>
      <c r="I44" s="743"/>
      <c r="J44" s="681"/>
      <c r="K44" s="275" t="s">
        <v>15</v>
      </c>
      <c r="L44" s="303" t="s">
        <v>243</v>
      </c>
      <c r="M44" s="303" t="s">
        <v>244</v>
      </c>
      <c r="N44" s="303" t="s">
        <v>245</v>
      </c>
      <c r="O44" s="303" t="s">
        <v>246</v>
      </c>
      <c r="P44" s="303" t="s">
        <v>247</v>
      </c>
      <c r="Q44" s="654"/>
      <c r="R44" s="649"/>
      <c r="S44" s="289"/>
      <c r="T44" s="649"/>
      <c r="U44" s="669"/>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c r="CL44" s="226"/>
      <c r="CM44" s="226"/>
      <c r="CN44" s="226"/>
      <c r="CO44" s="226"/>
      <c r="CP44" s="226"/>
      <c r="CQ44" s="226"/>
      <c r="CR44" s="226"/>
      <c r="CS44" s="226"/>
      <c r="CT44" s="226"/>
      <c r="CU44" s="226"/>
      <c r="CV44" s="226"/>
      <c r="CW44" s="226"/>
      <c r="CX44" s="226"/>
      <c r="CY44" s="226"/>
      <c r="CZ44" s="226"/>
      <c r="DA44" s="226"/>
      <c r="DB44" s="226"/>
      <c r="DC44" s="226"/>
      <c r="DD44" s="226"/>
      <c r="DE44" s="226"/>
      <c r="DF44" s="226"/>
      <c r="DG44" s="226"/>
      <c r="DH44" s="226"/>
      <c r="DI44" s="226"/>
      <c r="DJ44" s="226"/>
      <c r="DK44" s="226"/>
      <c r="DL44" s="226"/>
      <c r="DM44" s="226"/>
      <c r="DN44" s="226"/>
      <c r="DO44" s="226"/>
      <c r="DP44" s="226"/>
      <c r="DQ44" s="226"/>
      <c r="DR44" s="226"/>
      <c r="DS44" s="226"/>
    </row>
    <row r="45" spans="1:123" s="211" customFormat="1" ht="119.5" customHeight="1" thickBot="1">
      <c r="A45" s="862"/>
      <c r="B45" s="639"/>
      <c r="C45" s="631"/>
      <c r="D45" s="631"/>
      <c r="E45" s="858"/>
      <c r="F45" s="858"/>
      <c r="G45" s="681"/>
      <c r="H45" s="747"/>
      <c r="I45" s="747"/>
      <c r="J45" s="858"/>
      <c r="K45" s="331" t="s">
        <v>16</v>
      </c>
      <c r="L45" s="316" t="s">
        <v>248</v>
      </c>
      <c r="M45" s="316" t="s">
        <v>249</v>
      </c>
      <c r="N45" s="316" t="s">
        <v>250</v>
      </c>
      <c r="O45" s="316" t="s">
        <v>251</v>
      </c>
      <c r="P45" s="316" t="s">
        <v>252</v>
      </c>
      <c r="Q45" s="655"/>
      <c r="R45" s="651"/>
      <c r="S45" s="332"/>
      <c r="T45" s="651"/>
      <c r="U45" s="732"/>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c r="CL45" s="226"/>
      <c r="CM45" s="226"/>
      <c r="CN45" s="226"/>
      <c r="CO45" s="226"/>
      <c r="CP45" s="226"/>
      <c r="CQ45" s="226"/>
      <c r="CR45" s="226"/>
      <c r="CS45" s="226"/>
      <c r="CT45" s="226"/>
      <c r="CU45" s="226"/>
      <c r="CV45" s="226"/>
      <c r="CW45" s="226"/>
      <c r="CX45" s="226"/>
      <c r="CY45" s="226"/>
      <c r="CZ45" s="226"/>
      <c r="DA45" s="226"/>
      <c r="DB45" s="226"/>
      <c r="DC45" s="226"/>
      <c r="DD45" s="226"/>
      <c r="DE45" s="226"/>
      <c r="DF45" s="226"/>
      <c r="DG45" s="226"/>
      <c r="DH45" s="226"/>
      <c r="DI45" s="226"/>
      <c r="DJ45" s="226"/>
      <c r="DK45" s="226"/>
      <c r="DL45" s="226"/>
      <c r="DM45" s="226"/>
      <c r="DN45" s="226"/>
      <c r="DO45" s="226"/>
      <c r="DP45" s="226"/>
      <c r="DQ45" s="226"/>
      <c r="DR45" s="226"/>
      <c r="DS45" s="226"/>
    </row>
    <row r="46" spans="1:123" s="211" customFormat="1" ht="209.5" customHeight="1">
      <c r="A46" s="859" t="s">
        <v>739</v>
      </c>
      <c r="B46" s="643" t="s">
        <v>740</v>
      </c>
      <c r="C46" s="632" t="s">
        <v>755</v>
      </c>
      <c r="D46" s="643" t="s">
        <v>795</v>
      </c>
      <c r="E46" s="744" t="s">
        <v>829</v>
      </c>
      <c r="F46" s="869"/>
      <c r="G46" s="744" t="s">
        <v>253</v>
      </c>
      <c r="H46" s="748">
        <v>0.03</v>
      </c>
      <c r="I46" s="715">
        <v>100</v>
      </c>
      <c r="J46" s="744" t="s">
        <v>254</v>
      </c>
      <c r="K46" s="334" t="s">
        <v>14</v>
      </c>
      <c r="L46" s="324" t="s">
        <v>830</v>
      </c>
      <c r="M46" s="324" t="s">
        <v>255</v>
      </c>
      <c r="N46" s="324" t="s">
        <v>256</v>
      </c>
      <c r="O46" s="324" t="s">
        <v>257</v>
      </c>
      <c r="P46" s="324" t="s">
        <v>258</v>
      </c>
      <c r="Q46" s="712" t="s">
        <v>259</v>
      </c>
      <c r="R46" s="738"/>
      <c r="S46" s="326"/>
      <c r="T46" s="652" t="e">
        <f>AVERAGE(S46:S48)</f>
        <v>#DIV/0!</v>
      </c>
      <c r="U46" s="733" t="e">
        <f>T46*H46</f>
        <v>#DIV/0!</v>
      </c>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c r="CL46" s="226"/>
      <c r="CM46" s="226"/>
      <c r="CN46" s="226"/>
      <c r="CO46" s="226"/>
      <c r="CP46" s="226"/>
      <c r="CQ46" s="226"/>
      <c r="CR46" s="226"/>
      <c r="CS46" s="226"/>
      <c r="CT46" s="226"/>
      <c r="CU46" s="226"/>
      <c r="CV46" s="226"/>
      <c r="CW46" s="226"/>
      <c r="CX46" s="226"/>
      <c r="CY46" s="226"/>
      <c r="CZ46" s="226"/>
      <c r="DA46" s="226"/>
      <c r="DB46" s="226"/>
      <c r="DC46" s="226"/>
      <c r="DD46" s="226"/>
      <c r="DE46" s="226"/>
      <c r="DF46" s="226"/>
      <c r="DG46" s="226"/>
      <c r="DH46" s="226"/>
      <c r="DI46" s="226"/>
      <c r="DJ46" s="226"/>
      <c r="DK46" s="226"/>
      <c r="DL46" s="226"/>
      <c r="DM46" s="226"/>
      <c r="DN46" s="226"/>
      <c r="DO46" s="226"/>
      <c r="DP46" s="226"/>
      <c r="DQ46" s="226"/>
      <c r="DR46" s="226"/>
      <c r="DS46" s="226"/>
    </row>
    <row r="47" spans="1:123" s="211" customFormat="1" ht="183" customHeight="1">
      <c r="A47" s="870"/>
      <c r="B47" s="630"/>
      <c r="C47" s="633"/>
      <c r="D47" s="630"/>
      <c r="E47" s="741"/>
      <c r="F47" s="681"/>
      <c r="G47" s="681"/>
      <c r="H47" s="743"/>
      <c r="I47" s="743"/>
      <c r="J47" s="681"/>
      <c r="K47" s="275" t="s">
        <v>15</v>
      </c>
      <c r="L47" s="303" t="s">
        <v>260</v>
      </c>
      <c r="M47" s="303" t="s">
        <v>261</v>
      </c>
      <c r="N47" s="303" t="s">
        <v>262</v>
      </c>
      <c r="O47" s="303" t="s">
        <v>263</v>
      </c>
      <c r="P47" s="303" t="s">
        <v>264</v>
      </c>
      <c r="Q47" s="714"/>
      <c r="R47" s="649"/>
      <c r="S47" s="289"/>
      <c r="T47" s="649"/>
      <c r="U47" s="669"/>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c r="CL47" s="226"/>
      <c r="CM47" s="226"/>
      <c r="CN47" s="226"/>
      <c r="CO47" s="226"/>
      <c r="CP47" s="226"/>
      <c r="CQ47" s="226"/>
      <c r="CR47" s="226"/>
      <c r="CS47" s="226"/>
      <c r="CT47" s="226"/>
      <c r="CU47" s="226"/>
      <c r="CV47" s="226"/>
      <c r="CW47" s="226"/>
      <c r="CX47" s="226"/>
      <c r="CY47" s="226"/>
      <c r="CZ47" s="226"/>
      <c r="DA47" s="226"/>
      <c r="DB47" s="226"/>
      <c r="DC47" s="226"/>
      <c r="DD47" s="226"/>
      <c r="DE47" s="226"/>
      <c r="DF47" s="226"/>
      <c r="DG47" s="226"/>
      <c r="DH47" s="226"/>
      <c r="DI47" s="226"/>
      <c r="DJ47" s="226"/>
      <c r="DK47" s="226"/>
      <c r="DL47" s="226"/>
      <c r="DM47" s="226"/>
      <c r="DN47" s="226"/>
      <c r="DO47" s="226"/>
      <c r="DP47" s="226"/>
      <c r="DQ47" s="226"/>
      <c r="DR47" s="226"/>
      <c r="DS47" s="226"/>
    </row>
    <row r="48" spans="1:123" s="211" customFormat="1" ht="99.5" customHeight="1">
      <c r="A48" s="870"/>
      <c r="B48" s="630"/>
      <c r="C48" s="633"/>
      <c r="D48" s="644"/>
      <c r="E48" s="681"/>
      <c r="F48" s="681"/>
      <c r="G48" s="681"/>
      <c r="H48" s="743"/>
      <c r="I48" s="743"/>
      <c r="J48" s="681"/>
      <c r="K48" s="275" t="s">
        <v>16</v>
      </c>
      <c r="L48" s="303" t="s">
        <v>265</v>
      </c>
      <c r="M48" s="303" t="s">
        <v>266</v>
      </c>
      <c r="N48" s="303" t="s">
        <v>267</v>
      </c>
      <c r="O48" s="303" t="s">
        <v>268</v>
      </c>
      <c r="P48" s="303" t="s">
        <v>269</v>
      </c>
      <c r="Q48" s="714"/>
      <c r="R48" s="649"/>
      <c r="S48" s="289"/>
      <c r="T48" s="649"/>
      <c r="U48" s="669"/>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c r="CL48" s="226"/>
      <c r="CM48" s="226"/>
      <c r="CN48" s="226"/>
      <c r="CO48" s="226"/>
      <c r="CP48" s="226"/>
      <c r="CQ48" s="226"/>
      <c r="CR48" s="226"/>
      <c r="CS48" s="226"/>
      <c r="CT48" s="226"/>
      <c r="CU48" s="226"/>
      <c r="CV48" s="226"/>
      <c r="CW48" s="226"/>
      <c r="CX48" s="226"/>
      <c r="CY48" s="226"/>
      <c r="CZ48" s="226"/>
      <c r="DA48" s="226"/>
      <c r="DB48" s="226"/>
      <c r="DC48" s="226"/>
      <c r="DD48" s="226"/>
      <c r="DE48" s="226"/>
      <c r="DF48" s="226"/>
      <c r="DG48" s="226"/>
      <c r="DH48" s="226"/>
      <c r="DI48" s="226"/>
      <c r="DJ48" s="226"/>
      <c r="DK48" s="226"/>
      <c r="DL48" s="226"/>
      <c r="DM48" s="226"/>
      <c r="DN48" s="226"/>
      <c r="DO48" s="226"/>
      <c r="DP48" s="226"/>
      <c r="DQ48" s="226"/>
      <c r="DR48" s="226"/>
      <c r="DS48" s="226"/>
    </row>
    <row r="49" spans="1:123" s="211" customFormat="1" ht="118" customHeight="1">
      <c r="A49" s="870"/>
      <c r="B49" s="630"/>
      <c r="C49" s="633"/>
      <c r="D49" s="637" t="s">
        <v>796</v>
      </c>
      <c r="E49" s="680" t="s">
        <v>270</v>
      </c>
      <c r="F49" s="681"/>
      <c r="G49" s="680" t="s">
        <v>253</v>
      </c>
      <c r="H49" s="742">
        <v>0.03</v>
      </c>
      <c r="I49" s="875">
        <v>0.05</v>
      </c>
      <c r="J49" s="680" t="s">
        <v>271</v>
      </c>
      <c r="K49" s="294" t="s">
        <v>14</v>
      </c>
      <c r="L49" s="303" t="s">
        <v>272</v>
      </c>
      <c r="M49" s="303" t="s">
        <v>273</v>
      </c>
      <c r="N49" s="303" t="s">
        <v>274</v>
      </c>
      <c r="O49" s="303" t="s">
        <v>275</v>
      </c>
      <c r="P49" s="303" t="s">
        <v>276</v>
      </c>
      <c r="Q49" s="653" t="s">
        <v>277</v>
      </c>
      <c r="R49" s="656"/>
      <c r="S49" s="289"/>
      <c r="T49" s="648" t="e">
        <f>AVERAGE(S49:S51)</f>
        <v>#DIV/0!</v>
      </c>
      <c r="U49" s="668" t="e">
        <f>T49*H49</f>
        <v>#DIV/0!</v>
      </c>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c r="CL49" s="226"/>
      <c r="CM49" s="226"/>
      <c r="CN49" s="226"/>
      <c r="CO49" s="226"/>
      <c r="CP49" s="226"/>
      <c r="CQ49" s="226"/>
      <c r="CR49" s="226"/>
      <c r="CS49" s="226"/>
      <c r="CT49" s="226"/>
      <c r="CU49" s="226"/>
      <c r="CV49" s="226"/>
      <c r="CW49" s="226"/>
      <c r="CX49" s="226"/>
      <c r="CY49" s="226"/>
      <c r="CZ49" s="226"/>
      <c r="DA49" s="226"/>
      <c r="DB49" s="226"/>
      <c r="DC49" s="226"/>
      <c r="DD49" s="226"/>
      <c r="DE49" s="226"/>
      <c r="DF49" s="226"/>
      <c r="DG49" s="226"/>
      <c r="DH49" s="226"/>
      <c r="DI49" s="226"/>
      <c r="DJ49" s="226"/>
      <c r="DK49" s="226"/>
      <c r="DL49" s="226"/>
      <c r="DM49" s="226"/>
      <c r="DN49" s="226"/>
      <c r="DO49" s="226"/>
      <c r="DP49" s="226"/>
      <c r="DQ49" s="226"/>
      <c r="DR49" s="226"/>
      <c r="DS49" s="226"/>
    </row>
    <row r="50" spans="1:123" s="211" customFormat="1" ht="133" customHeight="1">
      <c r="A50" s="870"/>
      <c r="B50" s="630"/>
      <c r="C50" s="633"/>
      <c r="D50" s="638"/>
      <c r="E50" s="741"/>
      <c r="F50" s="681"/>
      <c r="G50" s="681"/>
      <c r="H50" s="743"/>
      <c r="I50" s="743"/>
      <c r="J50" s="681"/>
      <c r="K50" s="275" t="s">
        <v>15</v>
      </c>
      <c r="L50" s="303" t="s">
        <v>278</v>
      </c>
      <c r="M50" s="303" t="s">
        <v>279</v>
      </c>
      <c r="N50" s="303" t="s">
        <v>280</v>
      </c>
      <c r="O50" s="303" t="s">
        <v>281</v>
      </c>
      <c r="P50" s="303" t="s">
        <v>282</v>
      </c>
      <c r="Q50" s="714"/>
      <c r="R50" s="649"/>
      <c r="S50" s="289"/>
      <c r="T50" s="649"/>
      <c r="U50" s="669"/>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c r="CL50" s="226"/>
      <c r="CM50" s="226"/>
      <c r="CN50" s="226"/>
      <c r="CO50" s="226"/>
      <c r="CP50" s="226"/>
      <c r="CQ50" s="226"/>
      <c r="CR50" s="226"/>
      <c r="CS50" s="226"/>
      <c r="CT50" s="226"/>
      <c r="CU50" s="226"/>
      <c r="CV50" s="226"/>
      <c r="CW50" s="226"/>
      <c r="CX50" s="226"/>
      <c r="CY50" s="226"/>
      <c r="CZ50" s="226"/>
      <c r="DA50" s="226"/>
      <c r="DB50" s="226"/>
      <c r="DC50" s="226"/>
      <c r="DD50" s="226"/>
      <c r="DE50" s="226"/>
      <c r="DF50" s="226"/>
      <c r="DG50" s="226"/>
      <c r="DH50" s="226"/>
      <c r="DI50" s="226"/>
      <c r="DJ50" s="226"/>
      <c r="DK50" s="226"/>
      <c r="DL50" s="226"/>
      <c r="DM50" s="226"/>
      <c r="DN50" s="226"/>
      <c r="DO50" s="226"/>
      <c r="DP50" s="226"/>
      <c r="DQ50" s="226"/>
      <c r="DR50" s="226"/>
      <c r="DS50" s="226"/>
    </row>
    <row r="51" spans="1:123" s="211" customFormat="1" ht="108" customHeight="1">
      <c r="A51" s="870"/>
      <c r="B51" s="630"/>
      <c r="C51" s="633"/>
      <c r="D51" s="645"/>
      <c r="E51" s="681"/>
      <c r="F51" s="681"/>
      <c r="G51" s="681"/>
      <c r="H51" s="743"/>
      <c r="I51" s="743"/>
      <c r="J51" s="681"/>
      <c r="K51" s="275" t="s">
        <v>16</v>
      </c>
      <c r="L51" s="303" t="s">
        <v>283</v>
      </c>
      <c r="M51" s="303" t="s">
        <v>284</v>
      </c>
      <c r="N51" s="303" t="s">
        <v>285</v>
      </c>
      <c r="O51" s="303" t="s">
        <v>286</v>
      </c>
      <c r="P51" s="303" t="s">
        <v>287</v>
      </c>
      <c r="Q51" s="714"/>
      <c r="R51" s="649"/>
      <c r="S51" s="289"/>
      <c r="T51" s="649"/>
      <c r="U51" s="669"/>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c r="CL51" s="226"/>
      <c r="CM51" s="226"/>
      <c r="CN51" s="226"/>
      <c r="CO51" s="226"/>
      <c r="CP51" s="226"/>
      <c r="CQ51" s="226"/>
      <c r="CR51" s="226"/>
      <c r="CS51" s="226"/>
      <c r="CT51" s="226"/>
      <c r="CU51" s="226"/>
      <c r="CV51" s="226"/>
      <c r="CW51" s="226"/>
      <c r="CX51" s="226"/>
      <c r="CY51" s="226"/>
      <c r="CZ51" s="226"/>
      <c r="DA51" s="226"/>
      <c r="DB51" s="226"/>
      <c r="DC51" s="226"/>
      <c r="DD51" s="226"/>
      <c r="DE51" s="226"/>
      <c r="DF51" s="226"/>
      <c r="DG51" s="226"/>
      <c r="DH51" s="226"/>
      <c r="DI51" s="226"/>
      <c r="DJ51" s="226"/>
      <c r="DK51" s="226"/>
      <c r="DL51" s="226"/>
      <c r="DM51" s="226"/>
      <c r="DN51" s="226"/>
      <c r="DO51" s="226"/>
      <c r="DP51" s="226"/>
      <c r="DQ51" s="226"/>
      <c r="DR51" s="226"/>
      <c r="DS51" s="226"/>
    </row>
    <row r="52" spans="1:123" s="211" customFormat="1" ht="118" customHeight="1">
      <c r="A52" s="870"/>
      <c r="B52" s="630"/>
      <c r="C52" s="633"/>
      <c r="D52" s="637" t="s">
        <v>795</v>
      </c>
      <c r="E52" s="692" t="s">
        <v>288</v>
      </c>
      <c r="F52" s="693"/>
      <c r="G52" s="680" t="s">
        <v>253</v>
      </c>
      <c r="H52" s="742">
        <v>0.04</v>
      </c>
      <c r="I52" s="875">
        <v>1</v>
      </c>
      <c r="J52" s="680" t="s">
        <v>289</v>
      </c>
      <c r="K52" s="294" t="s">
        <v>14</v>
      </c>
      <c r="L52" s="303" t="s">
        <v>290</v>
      </c>
      <c r="M52" s="303" t="s">
        <v>291</v>
      </c>
      <c r="N52" s="303" t="s">
        <v>292</v>
      </c>
      <c r="O52" s="303" t="s">
        <v>293</v>
      </c>
      <c r="P52" s="303" t="s">
        <v>294</v>
      </c>
      <c r="Q52" s="653" t="s">
        <v>295</v>
      </c>
      <c r="R52" s="656"/>
      <c r="S52" s="289"/>
      <c r="T52" s="648" t="e">
        <f>AVERAGE(S52:S54)</f>
        <v>#DIV/0!</v>
      </c>
      <c r="U52" s="668" t="e">
        <f>T52*H52</f>
        <v>#DIV/0!</v>
      </c>
      <c r="V52" s="226"/>
      <c r="W52" s="226"/>
      <c r="X52" s="226"/>
      <c r="Y52" s="226"/>
      <c r="Z52" s="226"/>
      <c r="AA52" s="226"/>
      <c r="AB52" s="226"/>
      <c r="AC52" s="226"/>
      <c r="AD52" s="226"/>
      <c r="AE52" s="226"/>
      <c r="AF52" s="226"/>
      <c r="AG52" s="226"/>
      <c r="AH52" s="226"/>
      <c r="AI52" s="226"/>
      <c r="AJ52" s="226"/>
      <c r="AK52" s="226"/>
      <c r="AL52" s="226"/>
      <c r="AM52" s="226"/>
      <c r="AN52" s="226"/>
      <c r="AO52" s="226"/>
      <c r="AP52" s="226"/>
      <c r="AQ52" s="226"/>
      <c r="AR52" s="226"/>
      <c r="AS52" s="226"/>
      <c r="AT52" s="226"/>
      <c r="AU52" s="226"/>
      <c r="AV52" s="226"/>
      <c r="AW52" s="226"/>
      <c r="AX52" s="226"/>
      <c r="AY52" s="226"/>
      <c r="AZ52" s="226"/>
      <c r="BA52" s="226"/>
      <c r="BB52" s="226"/>
      <c r="BC52" s="226"/>
      <c r="BD52" s="226"/>
      <c r="BE52" s="226"/>
      <c r="BF52" s="226"/>
      <c r="BG52" s="226"/>
      <c r="BH52" s="226"/>
      <c r="BI52" s="226"/>
      <c r="BJ52" s="226"/>
      <c r="BK52" s="226"/>
      <c r="BL52" s="226"/>
      <c r="BM52" s="226"/>
      <c r="BN52" s="226"/>
      <c r="BO52" s="226"/>
      <c r="BP52" s="226"/>
      <c r="BQ52" s="226"/>
      <c r="BR52" s="226"/>
      <c r="BS52" s="226"/>
      <c r="BT52" s="226"/>
      <c r="BU52" s="226"/>
      <c r="BV52" s="226"/>
      <c r="BW52" s="226"/>
      <c r="BX52" s="226"/>
      <c r="BY52" s="226"/>
      <c r="BZ52" s="226"/>
      <c r="CA52" s="226"/>
      <c r="CB52" s="226"/>
      <c r="CC52" s="226"/>
      <c r="CD52" s="226"/>
      <c r="CE52" s="226"/>
      <c r="CF52" s="226"/>
      <c r="CG52" s="226"/>
      <c r="CH52" s="226"/>
      <c r="CI52" s="226"/>
      <c r="CJ52" s="226"/>
      <c r="CK52" s="226"/>
      <c r="CL52" s="226"/>
      <c r="CM52" s="226"/>
      <c r="CN52" s="226"/>
      <c r="CO52" s="226"/>
      <c r="CP52" s="226"/>
      <c r="CQ52" s="226"/>
      <c r="CR52" s="226"/>
      <c r="CS52" s="226"/>
      <c r="CT52" s="226"/>
      <c r="CU52" s="226"/>
      <c r="CV52" s="226"/>
      <c r="CW52" s="226"/>
      <c r="CX52" s="226"/>
      <c r="CY52" s="226"/>
      <c r="CZ52" s="226"/>
      <c r="DA52" s="226"/>
      <c r="DB52" s="226"/>
      <c r="DC52" s="226"/>
      <c r="DD52" s="226"/>
      <c r="DE52" s="226"/>
      <c r="DF52" s="226"/>
      <c r="DG52" s="226"/>
      <c r="DH52" s="226"/>
      <c r="DI52" s="226"/>
      <c r="DJ52" s="226"/>
      <c r="DK52" s="226"/>
      <c r="DL52" s="226"/>
      <c r="DM52" s="226"/>
      <c r="DN52" s="226"/>
      <c r="DO52" s="226"/>
      <c r="DP52" s="226"/>
      <c r="DQ52" s="226"/>
      <c r="DR52" s="226"/>
      <c r="DS52" s="226"/>
    </row>
    <row r="53" spans="1:123" s="211" customFormat="1" ht="86.5" customHeight="1">
      <c r="A53" s="870"/>
      <c r="B53" s="630"/>
      <c r="C53" s="633"/>
      <c r="D53" s="638"/>
      <c r="E53" s="694"/>
      <c r="F53" s="695"/>
      <c r="G53" s="681"/>
      <c r="H53" s="743"/>
      <c r="I53" s="743"/>
      <c r="J53" s="681"/>
      <c r="K53" s="275" t="s">
        <v>15</v>
      </c>
      <c r="L53" s="303" t="s">
        <v>296</v>
      </c>
      <c r="M53" s="303" t="s">
        <v>297</v>
      </c>
      <c r="N53" s="303" t="s">
        <v>298</v>
      </c>
      <c r="O53" s="303" t="s">
        <v>299</v>
      </c>
      <c r="P53" s="303" t="s">
        <v>300</v>
      </c>
      <c r="Q53" s="654"/>
      <c r="R53" s="649"/>
      <c r="S53" s="289"/>
      <c r="T53" s="649"/>
      <c r="U53" s="669"/>
      <c r="V53" s="226"/>
      <c r="W53" s="226"/>
      <c r="X53" s="226"/>
      <c r="Y53" s="226"/>
      <c r="Z53" s="226"/>
      <c r="AA53" s="226"/>
      <c r="AB53" s="226"/>
      <c r="AC53" s="226"/>
      <c r="AD53" s="226"/>
      <c r="AE53" s="226"/>
      <c r="AF53" s="226"/>
      <c r="AG53" s="226"/>
      <c r="AH53" s="226"/>
      <c r="AI53" s="226"/>
      <c r="AJ53" s="226"/>
      <c r="AK53" s="226"/>
      <c r="AL53" s="226"/>
      <c r="AM53" s="226"/>
      <c r="AN53" s="226"/>
      <c r="AO53" s="226"/>
      <c r="AP53" s="226"/>
      <c r="AQ53" s="226"/>
      <c r="AR53" s="226"/>
      <c r="AS53" s="226"/>
      <c r="AT53" s="226"/>
      <c r="AU53" s="226"/>
      <c r="AV53" s="226"/>
      <c r="AW53" s="226"/>
      <c r="AX53" s="226"/>
      <c r="AY53" s="226"/>
      <c r="AZ53" s="226"/>
      <c r="BA53" s="226"/>
      <c r="BB53" s="226"/>
      <c r="BC53" s="226"/>
      <c r="BD53" s="226"/>
      <c r="BE53" s="226"/>
      <c r="BF53" s="226"/>
      <c r="BG53" s="226"/>
      <c r="BH53" s="226"/>
      <c r="BI53" s="226"/>
      <c r="BJ53" s="226"/>
      <c r="BK53" s="226"/>
      <c r="BL53" s="226"/>
      <c r="BM53" s="226"/>
      <c r="BN53" s="226"/>
      <c r="BO53" s="226"/>
      <c r="BP53" s="226"/>
      <c r="BQ53" s="226"/>
      <c r="BR53" s="226"/>
      <c r="BS53" s="226"/>
      <c r="BT53" s="226"/>
      <c r="BU53" s="226"/>
      <c r="BV53" s="226"/>
      <c r="BW53" s="226"/>
      <c r="BX53" s="226"/>
      <c r="BY53" s="226"/>
      <c r="BZ53" s="226"/>
      <c r="CA53" s="226"/>
      <c r="CB53" s="226"/>
      <c r="CC53" s="226"/>
      <c r="CD53" s="226"/>
      <c r="CE53" s="226"/>
      <c r="CF53" s="226"/>
      <c r="CG53" s="226"/>
      <c r="CH53" s="226"/>
      <c r="CI53" s="226"/>
      <c r="CJ53" s="226"/>
      <c r="CK53" s="226"/>
      <c r="CL53" s="226"/>
      <c r="CM53" s="226"/>
      <c r="CN53" s="226"/>
      <c r="CO53" s="226"/>
      <c r="CP53" s="226"/>
      <c r="CQ53" s="226"/>
      <c r="CR53" s="226"/>
      <c r="CS53" s="226"/>
      <c r="CT53" s="226"/>
      <c r="CU53" s="226"/>
      <c r="CV53" s="226"/>
      <c r="CW53" s="226"/>
      <c r="CX53" s="226"/>
      <c r="CY53" s="226"/>
      <c r="CZ53" s="226"/>
      <c r="DA53" s="226"/>
      <c r="DB53" s="226"/>
      <c r="DC53" s="226"/>
      <c r="DD53" s="226"/>
      <c r="DE53" s="226"/>
      <c r="DF53" s="226"/>
      <c r="DG53" s="226"/>
      <c r="DH53" s="226"/>
      <c r="DI53" s="226"/>
      <c r="DJ53" s="226"/>
      <c r="DK53" s="226"/>
      <c r="DL53" s="226"/>
      <c r="DM53" s="226"/>
      <c r="DN53" s="226"/>
      <c r="DO53" s="226"/>
      <c r="DP53" s="226"/>
      <c r="DQ53" s="226"/>
      <c r="DR53" s="226"/>
      <c r="DS53" s="226"/>
    </row>
    <row r="54" spans="1:123" s="211" customFormat="1" ht="81.5" customHeight="1" thickBot="1">
      <c r="A54" s="871"/>
      <c r="B54" s="631"/>
      <c r="C54" s="636"/>
      <c r="D54" s="639"/>
      <c r="E54" s="739"/>
      <c r="F54" s="740"/>
      <c r="G54" s="858"/>
      <c r="H54" s="747"/>
      <c r="I54" s="747"/>
      <c r="J54" s="858"/>
      <c r="K54" s="331" t="s">
        <v>16</v>
      </c>
      <c r="L54" s="316" t="s">
        <v>301</v>
      </c>
      <c r="M54" s="316" t="s">
        <v>302</v>
      </c>
      <c r="N54" s="316" t="s">
        <v>303</v>
      </c>
      <c r="O54" s="316" t="s">
        <v>304</v>
      </c>
      <c r="P54" s="316" t="s">
        <v>305</v>
      </c>
      <c r="Q54" s="655"/>
      <c r="R54" s="651"/>
      <c r="S54" s="289"/>
      <c r="T54" s="651"/>
      <c r="U54" s="732"/>
      <c r="V54" s="226"/>
      <c r="W54" s="226"/>
      <c r="X54" s="226"/>
      <c r="Y54" s="226"/>
      <c r="Z54" s="226"/>
      <c r="AA54" s="226"/>
      <c r="AB54" s="226"/>
      <c r="AC54" s="226"/>
      <c r="AD54" s="226"/>
      <c r="AE54" s="226"/>
      <c r="AF54" s="226"/>
      <c r="AG54" s="226"/>
      <c r="AH54" s="226"/>
      <c r="AI54" s="226"/>
      <c r="AJ54" s="226"/>
      <c r="AK54" s="226"/>
      <c r="AL54" s="226"/>
      <c r="AM54" s="226"/>
      <c r="AN54" s="226"/>
      <c r="AO54" s="226"/>
      <c r="AP54" s="226"/>
      <c r="AQ54" s="226"/>
      <c r="AR54" s="226"/>
      <c r="AS54" s="226"/>
      <c r="AT54" s="226"/>
      <c r="AU54" s="226"/>
      <c r="AV54" s="226"/>
      <c r="AW54" s="226"/>
      <c r="AX54" s="226"/>
      <c r="AY54" s="226"/>
      <c r="AZ54" s="226"/>
      <c r="BA54" s="226"/>
      <c r="BB54" s="226"/>
      <c r="BC54" s="226"/>
      <c r="BD54" s="226"/>
      <c r="BE54" s="226"/>
      <c r="BF54" s="226"/>
      <c r="BG54" s="226"/>
      <c r="BH54" s="226"/>
      <c r="BI54" s="226"/>
      <c r="BJ54" s="226"/>
      <c r="BK54" s="226"/>
      <c r="BL54" s="226"/>
      <c r="BM54" s="226"/>
      <c r="BN54" s="226"/>
      <c r="BO54" s="226"/>
      <c r="BP54" s="226"/>
      <c r="BQ54" s="226"/>
      <c r="BR54" s="226"/>
      <c r="BS54" s="226"/>
      <c r="BT54" s="226"/>
      <c r="BU54" s="226"/>
      <c r="BV54" s="226"/>
      <c r="BW54" s="226"/>
      <c r="BX54" s="226"/>
      <c r="BY54" s="226"/>
      <c r="BZ54" s="226"/>
      <c r="CA54" s="226"/>
      <c r="CB54" s="226"/>
      <c r="CC54" s="226"/>
      <c r="CD54" s="226"/>
      <c r="CE54" s="226"/>
      <c r="CF54" s="226"/>
      <c r="CG54" s="226"/>
      <c r="CH54" s="226"/>
      <c r="CI54" s="226"/>
      <c r="CJ54" s="226"/>
      <c r="CK54" s="226"/>
      <c r="CL54" s="226"/>
      <c r="CM54" s="226"/>
      <c r="CN54" s="226"/>
      <c r="CO54" s="226"/>
      <c r="CP54" s="226"/>
      <c r="CQ54" s="226"/>
      <c r="CR54" s="226"/>
      <c r="CS54" s="226"/>
      <c r="CT54" s="226"/>
      <c r="CU54" s="226"/>
      <c r="CV54" s="226"/>
      <c r="CW54" s="226"/>
      <c r="CX54" s="226"/>
      <c r="CY54" s="226"/>
      <c r="CZ54" s="226"/>
      <c r="DA54" s="226"/>
      <c r="DB54" s="226"/>
      <c r="DC54" s="226"/>
      <c r="DD54" s="226"/>
      <c r="DE54" s="226"/>
      <c r="DF54" s="226"/>
      <c r="DG54" s="226"/>
      <c r="DH54" s="226"/>
      <c r="DI54" s="226"/>
      <c r="DJ54" s="226"/>
      <c r="DK54" s="226"/>
      <c r="DL54" s="226"/>
      <c r="DM54" s="226"/>
      <c r="DN54" s="226"/>
      <c r="DO54" s="226"/>
      <c r="DP54" s="226"/>
      <c r="DQ54" s="226"/>
      <c r="DR54" s="226"/>
      <c r="DS54" s="226"/>
    </row>
    <row r="55" spans="1:123" s="211" customFormat="1" ht="183" customHeight="1">
      <c r="A55" s="859" t="s">
        <v>306</v>
      </c>
      <c r="B55" s="632" t="s">
        <v>307</v>
      </c>
      <c r="C55" s="744" t="s">
        <v>308</v>
      </c>
      <c r="D55" s="632" t="s">
        <v>309</v>
      </c>
      <c r="E55" s="744" t="s">
        <v>310</v>
      </c>
      <c r="F55" s="869"/>
      <c r="G55" s="880">
        <v>45962</v>
      </c>
      <c r="H55" s="748">
        <v>0.04</v>
      </c>
      <c r="I55" s="715">
        <v>4</v>
      </c>
      <c r="J55" s="744" t="s">
        <v>311</v>
      </c>
      <c r="K55" s="334" t="s">
        <v>14</v>
      </c>
      <c r="L55" s="324" t="s">
        <v>312</v>
      </c>
      <c r="M55" s="324" t="s">
        <v>313</v>
      </c>
      <c r="N55" s="324" t="s">
        <v>314</v>
      </c>
      <c r="O55" s="324" t="s">
        <v>315</v>
      </c>
      <c r="P55" s="324" t="s">
        <v>316</v>
      </c>
      <c r="Q55" s="712" t="s">
        <v>721</v>
      </c>
      <c r="R55" s="738"/>
      <c r="S55" s="326"/>
      <c r="T55" s="652" t="e">
        <f>AVERAGE(S55:S57)</f>
        <v>#DIV/0!</v>
      </c>
      <c r="U55" s="733" t="e">
        <f>T55*H55</f>
        <v>#DIV/0!</v>
      </c>
      <c r="V55" s="226"/>
      <c r="W55" s="226"/>
      <c r="X55" s="226"/>
      <c r="Y55" s="226"/>
      <c r="Z55" s="226"/>
      <c r="AA55" s="226"/>
      <c r="AB55" s="226"/>
      <c r="AC55" s="226"/>
      <c r="AD55" s="226"/>
      <c r="AE55" s="226"/>
      <c r="AF55" s="226"/>
      <c r="AG55" s="226"/>
      <c r="AH55" s="226"/>
      <c r="AI55" s="226"/>
      <c r="AJ55" s="226"/>
      <c r="AK55" s="226"/>
      <c r="AL55" s="226"/>
      <c r="AM55" s="226"/>
      <c r="AN55" s="226"/>
      <c r="AO55" s="226"/>
      <c r="AP55" s="226"/>
      <c r="AQ55" s="226"/>
      <c r="AR55" s="226"/>
      <c r="AS55" s="226"/>
      <c r="AT55" s="226"/>
      <c r="AU55" s="226"/>
      <c r="AV55" s="226"/>
      <c r="AW55" s="226"/>
      <c r="AX55" s="226"/>
      <c r="AY55" s="226"/>
      <c r="AZ55" s="226"/>
      <c r="BA55" s="226"/>
      <c r="BB55" s="226"/>
      <c r="BC55" s="226"/>
      <c r="BD55" s="226"/>
      <c r="BE55" s="226"/>
      <c r="BF55" s="226"/>
      <c r="BG55" s="226"/>
      <c r="BH55" s="226"/>
      <c r="BI55" s="226"/>
      <c r="BJ55" s="226"/>
      <c r="BK55" s="226"/>
      <c r="BL55" s="226"/>
      <c r="BM55" s="226"/>
      <c r="BN55" s="226"/>
      <c r="BO55" s="226"/>
      <c r="BP55" s="226"/>
      <c r="BQ55" s="226"/>
      <c r="BR55" s="226"/>
      <c r="BS55" s="226"/>
      <c r="BT55" s="226"/>
      <c r="BU55" s="226"/>
      <c r="BV55" s="226"/>
      <c r="BW55" s="226"/>
      <c r="BX55" s="226"/>
      <c r="BY55" s="226"/>
      <c r="BZ55" s="226"/>
      <c r="CA55" s="226"/>
      <c r="CB55" s="226"/>
      <c r="CC55" s="226"/>
      <c r="CD55" s="226"/>
      <c r="CE55" s="226"/>
      <c r="CF55" s="226"/>
      <c r="CG55" s="226"/>
      <c r="CH55" s="226"/>
      <c r="CI55" s="226"/>
      <c r="CJ55" s="226"/>
      <c r="CK55" s="226"/>
      <c r="CL55" s="226"/>
      <c r="CM55" s="226"/>
      <c r="CN55" s="226"/>
      <c r="CO55" s="226"/>
      <c r="CP55" s="226"/>
      <c r="CQ55" s="226"/>
      <c r="CR55" s="226"/>
      <c r="CS55" s="226"/>
      <c r="CT55" s="226"/>
      <c r="CU55" s="226"/>
      <c r="CV55" s="226"/>
      <c r="CW55" s="226"/>
      <c r="CX55" s="226"/>
      <c r="CY55" s="226"/>
      <c r="CZ55" s="226"/>
      <c r="DA55" s="226"/>
      <c r="DB55" s="226"/>
      <c r="DC55" s="226"/>
      <c r="DD55" s="226"/>
      <c r="DE55" s="226"/>
      <c r="DF55" s="226"/>
      <c r="DG55" s="226"/>
      <c r="DH55" s="226"/>
      <c r="DI55" s="226"/>
      <c r="DJ55" s="226"/>
      <c r="DK55" s="226"/>
      <c r="DL55" s="226"/>
      <c r="DM55" s="226"/>
      <c r="DN55" s="226"/>
      <c r="DO55" s="226"/>
      <c r="DP55" s="226"/>
      <c r="DQ55" s="226"/>
      <c r="DR55" s="226"/>
      <c r="DS55" s="226"/>
    </row>
    <row r="56" spans="1:123" s="211" customFormat="1" ht="114.5" customHeight="1">
      <c r="A56" s="860"/>
      <c r="B56" s="633"/>
      <c r="C56" s="745"/>
      <c r="D56" s="633"/>
      <c r="E56" s="681"/>
      <c r="F56" s="681"/>
      <c r="G56" s="681"/>
      <c r="H56" s="743"/>
      <c r="I56" s="743"/>
      <c r="J56" s="681"/>
      <c r="K56" s="275" t="s">
        <v>15</v>
      </c>
      <c r="L56" s="303" t="s">
        <v>741</v>
      </c>
      <c r="M56" s="303" t="s">
        <v>742</v>
      </c>
      <c r="N56" s="303" t="s">
        <v>317</v>
      </c>
      <c r="O56" s="303" t="s">
        <v>743</v>
      </c>
      <c r="P56" s="303" t="s">
        <v>744</v>
      </c>
      <c r="Q56" s="714"/>
      <c r="R56" s="649"/>
      <c r="S56" s="289"/>
      <c r="T56" s="649"/>
      <c r="U56" s="669"/>
      <c r="V56" s="226"/>
      <c r="W56" s="226"/>
      <c r="X56" s="226"/>
      <c r="Y56" s="226"/>
      <c r="Z56" s="226"/>
      <c r="AA56" s="226"/>
      <c r="AB56" s="226"/>
      <c r="AC56" s="226"/>
      <c r="AD56" s="226"/>
      <c r="AE56" s="226"/>
      <c r="AF56" s="226"/>
      <c r="AG56" s="226"/>
      <c r="AH56" s="226"/>
      <c r="AI56" s="226"/>
      <c r="AJ56" s="226"/>
      <c r="AK56" s="226"/>
      <c r="AL56" s="226"/>
      <c r="AM56" s="226"/>
      <c r="AN56" s="226"/>
      <c r="AO56" s="226"/>
      <c r="AP56" s="226"/>
      <c r="AQ56" s="226"/>
      <c r="AR56" s="226"/>
      <c r="AS56" s="226"/>
      <c r="AT56" s="226"/>
      <c r="AU56" s="226"/>
      <c r="AV56" s="226"/>
      <c r="AW56" s="226"/>
      <c r="AX56" s="226"/>
      <c r="AY56" s="226"/>
      <c r="AZ56" s="226"/>
      <c r="BA56" s="226"/>
      <c r="BB56" s="226"/>
      <c r="BC56" s="226"/>
      <c r="BD56" s="226"/>
      <c r="BE56" s="226"/>
      <c r="BF56" s="226"/>
      <c r="BG56" s="226"/>
      <c r="BH56" s="226"/>
      <c r="BI56" s="226"/>
      <c r="BJ56" s="226"/>
      <c r="BK56" s="226"/>
      <c r="BL56" s="226"/>
      <c r="BM56" s="226"/>
      <c r="BN56" s="226"/>
      <c r="BO56" s="226"/>
      <c r="BP56" s="226"/>
      <c r="BQ56" s="226"/>
      <c r="BR56" s="226"/>
      <c r="BS56" s="226"/>
      <c r="BT56" s="226"/>
      <c r="BU56" s="226"/>
      <c r="BV56" s="226"/>
      <c r="BW56" s="226"/>
      <c r="BX56" s="226"/>
      <c r="BY56" s="226"/>
      <c r="BZ56" s="226"/>
      <c r="CA56" s="226"/>
      <c r="CB56" s="226"/>
      <c r="CC56" s="226"/>
      <c r="CD56" s="226"/>
      <c r="CE56" s="226"/>
      <c r="CF56" s="226"/>
      <c r="CG56" s="226"/>
      <c r="CH56" s="226"/>
      <c r="CI56" s="226"/>
      <c r="CJ56" s="226"/>
      <c r="CK56" s="226"/>
      <c r="CL56" s="226"/>
      <c r="CM56" s="226"/>
      <c r="CN56" s="226"/>
      <c r="CO56" s="226"/>
      <c r="CP56" s="226"/>
      <c r="CQ56" s="226"/>
      <c r="CR56" s="226"/>
      <c r="CS56" s="226"/>
      <c r="CT56" s="226"/>
      <c r="CU56" s="226"/>
      <c r="CV56" s="226"/>
      <c r="CW56" s="226"/>
      <c r="CX56" s="226"/>
      <c r="CY56" s="226"/>
      <c r="CZ56" s="226"/>
      <c r="DA56" s="226"/>
      <c r="DB56" s="226"/>
      <c r="DC56" s="226"/>
      <c r="DD56" s="226"/>
      <c r="DE56" s="226"/>
      <c r="DF56" s="226"/>
      <c r="DG56" s="226"/>
      <c r="DH56" s="226"/>
      <c r="DI56" s="226"/>
      <c r="DJ56" s="226"/>
      <c r="DK56" s="226"/>
      <c r="DL56" s="226"/>
      <c r="DM56" s="226"/>
      <c r="DN56" s="226"/>
      <c r="DO56" s="226"/>
      <c r="DP56" s="226"/>
      <c r="DQ56" s="226"/>
      <c r="DR56" s="226"/>
      <c r="DS56" s="226"/>
    </row>
    <row r="57" spans="1:123" s="211" customFormat="1" ht="93" customHeight="1">
      <c r="A57" s="860"/>
      <c r="B57" s="634"/>
      <c r="C57" s="745"/>
      <c r="D57" s="633"/>
      <c r="E57" s="681"/>
      <c r="F57" s="681"/>
      <c r="G57" s="681"/>
      <c r="H57" s="743"/>
      <c r="I57" s="743"/>
      <c r="J57" s="681"/>
      <c r="K57" s="275" t="s">
        <v>16</v>
      </c>
      <c r="L57" s="303" t="s">
        <v>318</v>
      </c>
      <c r="M57" s="303" t="s">
        <v>319</v>
      </c>
      <c r="N57" s="303" t="s">
        <v>320</v>
      </c>
      <c r="O57" s="303" t="s">
        <v>321</v>
      </c>
      <c r="P57" s="303" t="s">
        <v>322</v>
      </c>
      <c r="Q57" s="714"/>
      <c r="R57" s="649"/>
      <c r="S57" s="289"/>
      <c r="T57" s="649"/>
      <c r="U57" s="669"/>
      <c r="V57" s="226"/>
      <c r="W57" s="226"/>
      <c r="X57" s="226"/>
      <c r="Y57" s="226"/>
      <c r="Z57" s="226"/>
      <c r="AA57" s="226"/>
      <c r="AB57" s="226"/>
      <c r="AC57" s="226"/>
      <c r="AD57" s="226"/>
      <c r="AE57" s="226"/>
      <c r="AF57" s="226"/>
      <c r="AG57" s="226"/>
      <c r="AH57" s="226"/>
      <c r="AI57" s="226"/>
      <c r="AJ57" s="226"/>
      <c r="AK57" s="226"/>
      <c r="AL57" s="226"/>
      <c r="AM57" s="226"/>
      <c r="AN57" s="226"/>
      <c r="AO57" s="226"/>
      <c r="AP57" s="226"/>
      <c r="AQ57" s="226"/>
      <c r="AR57" s="226"/>
      <c r="AS57" s="226"/>
      <c r="AT57" s="226"/>
      <c r="AU57" s="226"/>
      <c r="AV57" s="226"/>
      <c r="AW57" s="226"/>
      <c r="AX57" s="226"/>
      <c r="AY57" s="226"/>
      <c r="AZ57" s="226"/>
      <c r="BA57" s="226"/>
      <c r="BB57" s="226"/>
      <c r="BC57" s="226"/>
      <c r="BD57" s="226"/>
      <c r="BE57" s="226"/>
      <c r="BF57" s="226"/>
      <c r="BG57" s="226"/>
      <c r="BH57" s="226"/>
      <c r="BI57" s="226"/>
      <c r="BJ57" s="226"/>
      <c r="BK57" s="226"/>
      <c r="BL57" s="226"/>
      <c r="BM57" s="226"/>
      <c r="BN57" s="226"/>
      <c r="BO57" s="226"/>
      <c r="BP57" s="226"/>
      <c r="BQ57" s="226"/>
      <c r="BR57" s="226"/>
      <c r="BS57" s="226"/>
      <c r="BT57" s="226"/>
      <c r="BU57" s="226"/>
      <c r="BV57" s="226"/>
      <c r="BW57" s="226"/>
      <c r="BX57" s="226"/>
      <c r="BY57" s="226"/>
      <c r="BZ57" s="226"/>
      <c r="CA57" s="226"/>
      <c r="CB57" s="226"/>
      <c r="CC57" s="226"/>
      <c r="CD57" s="226"/>
      <c r="CE57" s="226"/>
      <c r="CF57" s="226"/>
      <c r="CG57" s="226"/>
      <c r="CH57" s="226"/>
      <c r="CI57" s="226"/>
      <c r="CJ57" s="226"/>
      <c r="CK57" s="226"/>
      <c r="CL57" s="226"/>
      <c r="CM57" s="226"/>
      <c r="CN57" s="226"/>
      <c r="CO57" s="226"/>
      <c r="CP57" s="226"/>
      <c r="CQ57" s="226"/>
      <c r="CR57" s="226"/>
      <c r="CS57" s="226"/>
      <c r="CT57" s="226"/>
      <c r="CU57" s="226"/>
      <c r="CV57" s="226"/>
      <c r="CW57" s="226"/>
      <c r="CX57" s="226"/>
      <c r="CY57" s="226"/>
      <c r="CZ57" s="226"/>
      <c r="DA57" s="226"/>
      <c r="DB57" s="226"/>
      <c r="DC57" s="226"/>
      <c r="DD57" s="226"/>
      <c r="DE57" s="226"/>
      <c r="DF57" s="226"/>
      <c r="DG57" s="226"/>
      <c r="DH57" s="226"/>
      <c r="DI57" s="226"/>
      <c r="DJ57" s="226"/>
      <c r="DK57" s="226"/>
      <c r="DL57" s="226"/>
      <c r="DM57" s="226"/>
      <c r="DN57" s="226"/>
      <c r="DO57" s="226"/>
      <c r="DP57" s="226"/>
      <c r="DQ57" s="226"/>
      <c r="DR57" s="226"/>
      <c r="DS57" s="226"/>
    </row>
    <row r="58" spans="1:123" s="211" customFormat="1" ht="183" customHeight="1">
      <c r="A58" s="860"/>
      <c r="B58" s="635" t="s">
        <v>740</v>
      </c>
      <c r="C58" s="745"/>
      <c r="D58" s="633"/>
      <c r="E58" s="680" t="s">
        <v>323</v>
      </c>
      <c r="F58" s="681"/>
      <c r="G58" s="680" t="s">
        <v>782</v>
      </c>
      <c r="H58" s="742">
        <v>0.03</v>
      </c>
      <c r="I58" s="875">
        <v>1</v>
      </c>
      <c r="J58" s="680" t="s">
        <v>324</v>
      </c>
      <c r="K58" s="294" t="s">
        <v>14</v>
      </c>
      <c r="L58" s="303" t="s">
        <v>746</v>
      </c>
      <c r="M58" s="303" t="s">
        <v>747</v>
      </c>
      <c r="N58" s="303" t="s">
        <v>745</v>
      </c>
      <c r="O58" s="303" t="s">
        <v>748</v>
      </c>
      <c r="P58" s="303" t="s">
        <v>749</v>
      </c>
      <c r="Q58" s="653" t="s">
        <v>722</v>
      </c>
      <c r="R58" s="656"/>
      <c r="S58" s="289"/>
      <c r="T58" s="648" t="e">
        <f>AVERAGE(S58:S60)</f>
        <v>#DIV/0!</v>
      </c>
      <c r="U58" s="668" t="e">
        <f>T58*H58</f>
        <v>#DIV/0!</v>
      </c>
      <c r="V58" s="226"/>
      <c r="W58" s="226"/>
      <c r="X58" s="226"/>
      <c r="Y58" s="226"/>
      <c r="Z58" s="226"/>
      <c r="AA58" s="226"/>
      <c r="AB58" s="226"/>
      <c r="AC58" s="226"/>
      <c r="AD58" s="226"/>
      <c r="AE58" s="226"/>
      <c r="AF58" s="226"/>
      <c r="AG58" s="226"/>
      <c r="AH58" s="226"/>
      <c r="AI58" s="226"/>
      <c r="AJ58" s="226"/>
      <c r="AK58" s="226"/>
      <c r="AL58" s="226"/>
      <c r="AM58" s="226"/>
      <c r="AN58" s="226"/>
      <c r="AO58" s="226"/>
      <c r="AP58" s="226"/>
      <c r="AQ58" s="226"/>
      <c r="AR58" s="226"/>
      <c r="AS58" s="226"/>
      <c r="AT58" s="226"/>
      <c r="AU58" s="226"/>
      <c r="AV58" s="226"/>
      <c r="AW58" s="226"/>
      <c r="AX58" s="226"/>
      <c r="AY58" s="226"/>
      <c r="AZ58" s="226"/>
      <c r="BA58" s="226"/>
      <c r="BB58" s="226"/>
      <c r="BC58" s="226"/>
      <c r="BD58" s="226"/>
      <c r="BE58" s="226"/>
      <c r="BF58" s="226"/>
      <c r="BG58" s="226"/>
      <c r="BH58" s="226"/>
      <c r="BI58" s="226"/>
      <c r="BJ58" s="226"/>
      <c r="BK58" s="226"/>
      <c r="BL58" s="226"/>
      <c r="BM58" s="226"/>
      <c r="BN58" s="226"/>
      <c r="BO58" s="226"/>
      <c r="BP58" s="226"/>
      <c r="BQ58" s="226"/>
      <c r="BR58" s="226"/>
      <c r="BS58" s="226"/>
      <c r="BT58" s="226"/>
      <c r="BU58" s="226"/>
      <c r="BV58" s="226"/>
      <c r="BW58" s="226"/>
      <c r="BX58" s="226"/>
      <c r="BY58" s="226"/>
      <c r="BZ58" s="226"/>
      <c r="CA58" s="226"/>
      <c r="CB58" s="226"/>
      <c r="CC58" s="226"/>
      <c r="CD58" s="226"/>
      <c r="CE58" s="226"/>
      <c r="CF58" s="226"/>
      <c r="CG58" s="226"/>
      <c r="CH58" s="226"/>
      <c r="CI58" s="226"/>
      <c r="CJ58" s="226"/>
      <c r="CK58" s="226"/>
      <c r="CL58" s="226"/>
      <c r="CM58" s="226"/>
      <c r="CN58" s="226"/>
      <c r="CO58" s="226"/>
      <c r="CP58" s="226"/>
      <c r="CQ58" s="226"/>
      <c r="CR58" s="226"/>
      <c r="CS58" s="226"/>
      <c r="CT58" s="226"/>
      <c r="CU58" s="226"/>
      <c r="CV58" s="226"/>
      <c r="CW58" s="226"/>
      <c r="CX58" s="226"/>
      <c r="CY58" s="226"/>
      <c r="CZ58" s="226"/>
      <c r="DA58" s="226"/>
      <c r="DB58" s="226"/>
      <c r="DC58" s="226"/>
      <c r="DD58" s="226"/>
      <c r="DE58" s="226"/>
      <c r="DF58" s="226"/>
      <c r="DG58" s="226"/>
      <c r="DH58" s="226"/>
      <c r="DI58" s="226"/>
      <c r="DJ58" s="226"/>
      <c r="DK58" s="226"/>
      <c r="DL58" s="226"/>
      <c r="DM58" s="226"/>
      <c r="DN58" s="226"/>
      <c r="DO58" s="226"/>
      <c r="DP58" s="226"/>
      <c r="DQ58" s="226"/>
      <c r="DR58" s="226"/>
      <c r="DS58" s="226"/>
    </row>
    <row r="59" spans="1:123" s="211" customFormat="1" ht="151.5" customHeight="1">
      <c r="A59" s="860"/>
      <c r="B59" s="633"/>
      <c r="C59" s="745"/>
      <c r="D59" s="633"/>
      <c r="E59" s="741"/>
      <c r="F59" s="681"/>
      <c r="G59" s="681"/>
      <c r="H59" s="743"/>
      <c r="I59" s="743"/>
      <c r="J59" s="681"/>
      <c r="K59" s="275" t="s">
        <v>15</v>
      </c>
      <c r="L59" s="303" t="s">
        <v>325</v>
      </c>
      <c r="M59" s="303" t="s">
        <v>753</v>
      </c>
      <c r="N59" s="303" t="s">
        <v>752</v>
      </c>
      <c r="O59" s="303" t="s">
        <v>751</v>
      </c>
      <c r="P59" s="303" t="s">
        <v>750</v>
      </c>
      <c r="Q59" s="654"/>
      <c r="R59" s="649"/>
      <c r="S59" s="289"/>
      <c r="T59" s="649"/>
      <c r="U59" s="669"/>
      <c r="V59" s="226"/>
      <c r="W59" s="226"/>
      <c r="X59" s="226"/>
      <c r="Y59" s="226"/>
      <c r="Z59" s="226"/>
      <c r="AA59" s="226"/>
      <c r="AB59" s="226"/>
      <c r="AC59" s="226"/>
      <c r="AD59" s="226"/>
      <c r="AE59" s="226"/>
      <c r="AF59" s="226"/>
      <c r="AG59" s="226"/>
      <c r="AH59" s="226"/>
      <c r="AI59" s="226"/>
      <c r="AJ59" s="226"/>
      <c r="AK59" s="226"/>
      <c r="AL59" s="226"/>
      <c r="AM59" s="226"/>
      <c r="AN59" s="226"/>
      <c r="AO59" s="226"/>
      <c r="AP59" s="226"/>
      <c r="AQ59" s="226"/>
      <c r="AR59" s="226"/>
      <c r="AS59" s="226"/>
      <c r="AT59" s="226"/>
      <c r="AU59" s="226"/>
      <c r="AV59" s="226"/>
      <c r="AW59" s="226"/>
      <c r="AX59" s="226"/>
      <c r="AY59" s="226"/>
      <c r="AZ59" s="226"/>
      <c r="BA59" s="226"/>
      <c r="BB59" s="226"/>
      <c r="BC59" s="226"/>
      <c r="BD59" s="226"/>
      <c r="BE59" s="226"/>
      <c r="BF59" s="226"/>
      <c r="BG59" s="226"/>
      <c r="BH59" s="226"/>
      <c r="BI59" s="226"/>
      <c r="BJ59" s="226"/>
      <c r="BK59" s="226"/>
      <c r="BL59" s="226"/>
      <c r="BM59" s="226"/>
      <c r="BN59" s="226"/>
      <c r="BO59" s="226"/>
      <c r="BP59" s="226"/>
      <c r="BQ59" s="226"/>
      <c r="BR59" s="226"/>
      <c r="BS59" s="226"/>
      <c r="BT59" s="226"/>
      <c r="BU59" s="226"/>
      <c r="BV59" s="226"/>
      <c r="BW59" s="226"/>
      <c r="BX59" s="226"/>
      <c r="BY59" s="226"/>
      <c r="BZ59" s="226"/>
      <c r="CA59" s="226"/>
      <c r="CB59" s="226"/>
      <c r="CC59" s="226"/>
      <c r="CD59" s="226"/>
      <c r="CE59" s="226"/>
      <c r="CF59" s="226"/>
      <c r="CG59" s="226"/>
      <c r="CH59" s="226"/>
      <c r="CI59" s="226"/>
      <c r="CJ59" s="226"/>
      <c r="CK59" s="226"/>
      <c r="CL59" s="226"/>
      <c r="CM59" s="226"/>
      <c r="CN59" s="226"/>
      <c r="CO59" s="226"/>
      <c r="CP59" s="226"/>
      <c r="CQ59" s="226"/>
      <c r="CR59" s="226"/>
      <c r="CS59" s="226"/>
      <c r="CT59" s="226"/>
      <c r="CU59" s="226"/>
      <c r="CV59" s="226"/>
      <c r="CW59" s="226"/>
      <c r="CX59" s="226"/>
      <c r="CY59" s="226"/>
      <c r="CZ59" s="226"/>
      <c r="DA59" s="226"/>
      <c r="DB59" s="226"/>
      <c r="DC59" s="226"/>
      <c r="DD59" s="226"/>
      <c r="DE59" s="226"/>
      <c r="DF59" s="226"/>
      <c r="DG59" s="226"/>
      <c r="DH59" s="226"/>
      <c r="DI59" s="226"/>
      <c r="DJ59" s="226"/>
      <c r="DK59" s="226"/>
      <c r="DL59" s="226"/>
      <c r="DM59" s="226"/>
      <c r="DN59" s="226"/>
      <c r="DO59" s="226"/>
      <c r="DP59" s="226"/>
      <c r="DQ59" s="226"/>
      <c r="DR59" s="226"/>
      <c r="DS59" s="226"/>
    </row>
    <row r="60" spans="1:123" s="211" customFormat="1" ht="153" customHeight="1">
      <c r="A60" s="860"/>
      <c r="B60" s="634"/>
      <c r="C60" s="745"/>
      <c r="D60" s="633"/>
      <c r="E60" s="681"/>
      <c r="F60" s="681"/>
      <c r="G60" s="681"/>
      <c r="H60" s="743"/>
      <c r="I60" s="743"/>
      <c r="J60" s="681"/>
      <c r="K60" s="275" t="s">
        <v>16</v>
      </c>
      <c r="L60" s="303" t="s">
        <v>326</v>
      </c>
      <c r="M60" s="303" t="s">
        <v>327</v>
      </c>
      <c r="N60" s="303" t="s">
        <v>328</v>
      </c>
      <c r="O60" s="303" t="s">
        <v>329</v>
      </c>
      <c r="P60" s="303" t="s">
        <v>330</v>
      </c>
      <c r="Q60" s="654"/>
      <c r="R60" s="649"/>
      <c r="S60" s="289"/>
      <c r="T60" s="649"/>
      <c r="U60" s="669"/>
      <c r="V60" s="226"/>
      <c r="W60" s="226"/>
      <c r="X60" s="226"/>
      <c r="Y60" s="226"/>
      <c r="Z60" s="226"/>
      <c r="AA60" s="226"/>
      <c r="AB60" s="226"/>
      <c r="AC60" s="226"/>
      <c r="AD60" s="226"/>
      <c r="AE60" s="226"/>
      <c r="AF60" s="226"/>
      <c r="AG60" s="226"/>
      <c r="AH60" s="226"/>
      <c r="AI60" s="226"/>
      <c r="AJ60" s="226"/>
      <c r="AK60" s="226"/>
      <c r="AL60" s="226"/>
      <c r="AM60" s="226"/>
      <c r="AN60" s="226"/>
      <c r="AO60" s="226"/>
      <c r="AP60" s="226"/>
      <c r="AQ60" s="226"/>
      <c r="AR60" s="226"/>
      <c r="AS60" s="226"/>
      <c r="AT60" s="226"/>
      <c r="AU60" s="226"/>
      <c r="AV60" s="226"/>
      <c r="AW60" s="226"/>
      <c r="AX60" s="226"/>
      <c r="AY60" s="226"/>
      <c r="AZ60" s="226"/>
      <c r="BA60" s="226"/>
      <c r="BB60" s="226"/>
      <c r="BC60" s="226"/>
      <c r="BD60" s="226"/>
      <c r="BE60" s="226"/>
      <c r="BF60" s="226"/>
      <c r="BG60" s="226"/>
      <c r="BH60" s="226"/>
      <c r="BI60" s="226"/>
      <c r="BJ60" s="226"/>
      <c r="BK60" s="226"/>
      <c r="BL60" s="226"/>
      <c r="BM60" s="226"/>
      <c r="BN60" s="226"/>
      <c r="BO60" s="226"/>
      <c r="BP60" s="226"/>
      <c r="BQ60" s="226"/>
      <c r="BR60" s="226"/>
      <c r="BS60" s="226"/>
      <c r="BT60" s="226"/>
      <c r="BU60" s="226"/>
      <c r="BV60" s="226"/>
      <c r="BW60" s="226"/>
      <c r="BX60" s="226"/>
      <c r="BY60" s="226"/>
      <c r="BZ60" s="226"/>
      <c r="CA60" s="226"/>
      <c r="CB60" s="226"/>
      <c r="CC60" s="226"/>
      <c r="CD60" s="226"/>
      <c r="CE60" s="226"/>
      <c r="CF60" s="226"/>
      <c r="CG60" s="226"/>
      <c r="CH60" s="226"/>
      <c r="CI60" s="226"/>
      <c r="CJ60" s="226"/>
      <c r="CK60" s="226"/>
      <c r="CL60" s="226"/>
      <c r="CM60" s="226"/>
      <c r="CN60" s="226"/>
      <c r="CO60" s="226"/>
      <c r="CP60" s="226"/>
      <c r="CQ60" s="226"/>
      <c r="CR60" s="226"/>
      <c r="CS60" s="226"/>
      <c r="CT60" s="226"/>
      <c r="CU60" s="226"/>
      <c r="CV60" s="226"/>
      <c r="CW60" s="226"/>
      <c r="CX60" s="226"/>
      <c r="CY60" s="226"/>
      <c r="CZ60" s="226"/>
      <c r="DA60" s="226"/>
      <c r="DB60" s="226"/>
      <c r="DC60" s="226"/>
      <c r="DD60" s="226"/>
      <c r="DE60" s="226"/>
      <c r="DF60" s="226"/>
      <c r="DG60" s="226"/>
      <c r="DH60" s="226"/>
      <c r="DI60" s="226"/>
      <c r="DJ60" s="226"/>
      <c r="DK60" s="226"/>
      <c r="DL60" s="226"/>
      <c r="DM60" s="226"/>
      <c r="DN60" s="226"/>
      <c r="DO60" s="226"/>
      <c r="DP60" s="226"/>
      <c r="DQ60" s="226"/>
      <c r="DR60" s="226"/>
      <c r="DS60" s="226"/>
    </row>
    <row r="61" spans="1:123" s="211" customFormat="1" ht="88" customHeight="1">
      <c r="A61" s="860"/>
      <c r="B61" s="629" t="s">
        <v>797</v>
      </c>
      <c r="C61" s="745"/>
      <c r="D61" s="633"/>
      <c r="E61" s="876" t="s">
        <v>783</v>
      </c>
      <c r="F61" s="877"/>
      <c r="G61" s="680" t="s">
        <v>784</v>
      </c>
      <c r="H61" s="742">
        <v>0.03</v>
      </c>
      <c r="I61" s="875">
        <v>1</v>
      </c>
      <c r="J61" s="868" t="s">
        <v>331</v>
      </c>
      <c r="K61" s="294" t="s">
        <v>14</v>
      </c>
      <c r="L61" s="303" t="s">
        <v>332</v>
      </c>
      <c r="M61" s="303" t="s">
        <v>333</v>
      </c>
      <c r="N61" s="303" t="s">
        <v>334</v>
      </c>
      <c r="O61" s="303" t="s">
        <v>335</v>
      </c>
      <c r="P61" s="303" t="s">
        <v>336</v>
      </c>
      <c r="Q61" s="653" t="s">
        <v>337</v>
      </c>
      <c r="R61" s="656"/>
      <c r="S61" s="289"/>
      <c r="T61" s="648" t="e">
        <f>AVERAGE(S61:S63)</f>
        <v>#DIV/0!</v>
      </c>
      <c r="U61" s="668" t="e">
        <f>T61*H61</f>
        <v>#DIV/0!</v>
      </c>
      <c r="V61" s="226"/>
      <c r="W61" s="226"/>
      <c r="X61" s="226"/>
      <c r="Y61" s="226"/>
      <c r="Z61" s="226"/>
      <c r="AA61" s="226"/>
      <c r="AB61" s="226"/>
      <c r="AC61" s="226"/>
      <c r="AD61" s="226"/>
      <c r="AE61" s="226"/>
      <c r="AF61" s="226"/>
      <c r="AG61" s="226"/>
      <c r="AH61" s="226"/>
      <c r="AI61" s="226"/>
      <c r="AJ61" s="226"/>
      <c r="AK61" s="226"/>
      <c r="AL61" s="226"/>
      <c r="AM61" s="226"/>
      <c r="AN61" s="226"/>
      <c r="AO61" s="226"/>
      <c r="AP61" s="226"/>
      <c r="AQ61" s="226"/>
      <c r="AR61" s="226"/>
      <c r="AS61" s="226"/>
      <c r="AT61" s="226"/>
      <c r="AU61" s="226"/>
      <c r="AV61" s="226"/>
      <c r="AW61" s="226"/>
      <c r="AX61" s="226"/>
      <c r="AY61" s="226"/>
      <c r="AZ61" s="226"/>
      <c r="BA61" s="226"/>
      <c r="BB61" s="226"/>
      <c r="BC61" s="226"/>
      <c r="BD61" s="226"/>
      <c r="BE61" s="226"/>
      <c r="BF61" s="226"/>
      <c r="BG61" s="226"/>
      <c r="BH61" s="226"/>
      <c r="BI61" s="226"/>
      <c r="BJ61" s="226"/>
      <c r="BK61" s="226"/>
      <c r="BL61" s="226"/>
      <c r="BM61" s="226"/>
      <c r="BN61" s="226"/>
      <c r="BO61" s="226"/>
      <c r="BP61" s="226"/>
      <c r="BQ61" s="226"/>
      <c r="BR61" s="226"/>
      <c r="BS61" s="226"/>
      <c r="BT61" s="226"/>
      <c r="BU61" s="226"/>
      <c r="BV61" s="226"/>
      <c r="BW61" s="226"/>
      <c r="BX61" s="226"/>
      <c r="BY61" s="226"/>
      <c r="BZ61" s="226"/>
      <c r="CA61" s="226"/>
      <c r="CB61" s="226"/>
      <c r="CC61" s="226"/>
      <c r="CD61" s="226"/>
      <c r="CE61" s="226"/>
      <c r="CF61" s="226"/>
      <c r="CG61" s="226"/>
      <c r="CH61" s="226"/>
      <c r="CI61" s="226"/>
      <c r="CJ61" s="226"/>
      <c r="CK61" s="226"/>
      <c r="CL61" s="226"/>
      <c r="CM61" s="226"/>
      <c r="CN61" s="226"/>
      <c r="CO61" s="226"/>
      <c r="CP61" s="226"/>
      <c r="CQ61" s="226"/>
      <c r="CR61" s="226"/>
      <c r="CS61" s="226"/>
      <c r="CT61" s="226"/>
      <c r="CU61" s="226"/>
      <c r="CV61" s="226"/>
      <c r="CW61" s="226"/>
      <c r="CX61" s="226"/>
      <c r="CY61" s="226"/>
      <c r="CZ61" s="226"/>
      <c r="DA61" s="226"/>
      <c r="DB61" s="226"/>
      <c r="DC61" s="226"/>
      <c r="DD61" s="226"/>
      <c r="DE61" s="226"/>
      <c r="DF61" s="226"/>
      <c r="DG61" s="226"/>
      <c r="DH61" s="226"/>
      <c r="DI61" s="226"/>
      <c r="DJ61" s="226"/>
      <c r="DK61" s="226"/>
      <c r="DL61" s="226"/>
      <c r="DM61" s="226"/>
      <c r="DN61" s="226"/>
      <c r="DO61" s="226"/>
      <c r="DP61" s="226"/>
      <c r="DQ61" s="226"/>
      <c r="DR61" s="226"/>
      <c r="DS61" s="226"/>
    </row>
    <row r="62" spans="1:123" s="211" customFormat="1" ht="106.5" customHeight="1">
      <c r="A62" s="860"/>
      <c r="B62" s="630"/>
      <c r="C62" s="745"/>
      <c r="D62" s="633"/>
      <c r="E62" s="878"/>
      <c r="F62" s="877"/>
      <c r="G62" s="681"/>
      <c r="H62" s="743"/>
      <c r="I62" s="743"/>
      <c r="J62" s="681"/>
      <c r="K62" s="275" t="s">
        <v>15</v>
      </c>
      <c r="L62" s="303" t="s">
        <v>338</v>
      </c>
      <c r="M62" s="303" t="s">
        <v>339</v>
      </c>
      <c r="N62" s="303" t="s">
        <v>340</v>
      </c>
      <c r="O62" s="303" t="s">
        <v>341</v>
      </c>
      <c r="P62" s="303" t="s">
        <v>342</v>
      </c>
      <c r="Q62" s="654"/>
      <c r="R62" s="649"/>
      <c r="S62" s="289"/>
      <c r="T62" s="649"/>
      <c r="U62" s="669"/>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c r="CL62" s="226"/>
      <c r="CM62" s="226"/>
      <c r="CN62" s="226"/>
      <c r="CO62" s="226"/>
      <c r="CP62" s="226"/>
      <c r="CQ62" s="226"/>
      <c r="CR62" s="226"/>
      <c r="CS62" s="226"/>
      <c r="CT62" s="226"/>
      <c r="CU62" s="226"/>
      <c r="CV62" s="226"/>
      <c r="CW62" s="226"/>
      <c r="CX62" s="226"/>
      <c r="CY62" s="226"/>
      <c r="CZ62" s="226"/>
      <c r="DA62" s="226"/>
      <c r="DB62" s="226"/>
      <c r="DC62" s="226"/>
      <c r="DD62" s="226"/>
      <c r="DE62" s="226"/>
      <c r="DF62" s="226"/>
      <c r="DG62" s="226"/>
      <c r="DH62" s="226"/>
      <c r="DI62" s="226"/>
      <c r="DJ62" s="226"/>
      <c r="DK62" s="226"/>
      <c r="DL62" s="226"/>
      <c r="DM62" s="226"/>
      <c r="DN62" s="226"/>
      <c r="DO62" s="226"/>
      <c r="DP62" s="226"/>
      <c r="DQ62" s="226"/>
      <c r="DR62" s="226"/>
      <c r="DS62" s="226"/>
    </row>
    <row r="63" spans="1:123" s="211" customFormat="1" ht="101.5" customHeight="1" thickBot="1">
      <c r="A63" s="862"/>
      <c r="B63" s="631"/>
      <c r="C63" s="746"/>
      <c r="D63" s="636"/>
      <c r="E63" s="879"/>
      <c r="F63" s="879"/>
      <c r="G63" s="858"/>
      <c r="H63" s="747"/>
      <c r="I63" s="747"/>
      <c r="J63" s="858"/>
      <c r="K63" s="331" t="s">
        <v>16</v>
      </c>
      <c r="L63" s="316" t="s">
        <v>343</v>
      </c>
      <c r="M63" s="316" t="s">
        <v>344</v>
      </c>
      <c r="N63" s="316" t="s">
        <v>345</v>
      </c>
      <c r="O63" s="316" t="s">
        <v>346</v>
      </c>
      <c r="P63" s="316" t="s">
        <v>347</v>
      </c>
      <c r="Q63" s="655"/>
      <c r="R63" s="651"/>
      <c r="S63" s="332"/>
      <c r="T63" s="651"/>
      <c r="U63" s="732"/>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c r="CL63" s="226"/>
      <c r="CM63" s="226"/>
      <c r="CN63" s="226"/>
      <c r="CO63" s="226"/>
      <c r="CP63" s="226"/>
      <c r="CQ63" s="226"/>
      <c r="CR63" s="226"/>
      <c r="CS63" s="226"/>
      <c r="CT63" s="226"/>
      <c r="CU63" s="226"/>
      <c r="CV63" s="226"/>
      <c r="CW63" s="226"/>
      <c r="CX63" s="226"/>
      <c r="CY63" s="226"/>
      <c r="CZ63" s="226"/>
      <c r="DA63" s="226"/>
      <c r="DB63" s="226"/>
      <c r="DC63" s="226"/>
      <c r="DD63" s="226"/>
      <c r="DE63" s="226"/>
      <c r="DF63" s="226"/>
      <c r="DG63" s="226"/>
      <c r="DH63" s="226"/>
      <c r="DI63" s="226"/>
      <c r="DJ63" s="226"/>
      <c r="DK63" s="226"/>
      <c r="DL63" s="226"/>
      <c r="DM63" s="226"/>
      <c r="DN63" s="226"/>
      <c r="DO63" s="226"/>
      <c r="DP63" s="226"/>
      <c r="DQ63" s="226"/>
      <c r="DR63" s="226"/>
      <c r="DS63" s="226"/>
    </row>
    <row r="64" spans="1:123" s="211" customFormat="1" ht="126.5" customHeight="1">
      <c r="A64" s="859" t="s">
        <v>754</v>
      </c>
      <c r="B64" s="632" t="s">
        <v>51</v>
      </c>
      <c r="C64" s="744" t="s">
        <v>14</v>
      </c>
      <c r="D64" s="632" t="s">
        <v>798</v>
      </c>
      <c r="E64" s="744" t="s">
        <v>348</v>
      </c>
      <c r="F64" s="869"/>
      <c r="G64" s="863" t="s">
        <v>785</v>
      </c>
      <c r="H64" s="748">
        <v>0.02</v>
      </c>
      <c r="I64" s="730">
        <v>1</v>
      </c>
      <c r="J64" s="874" t="s">
        <v>349</v>
      </c>
      <c r="K64" s="334" t="s">
        <v>14</v>
      </c>
      <c r="L64" s="324" t="s">
        <v>350</v>
      </c>
      <c r="M64" s="324" t="s">
        <v>351</v>
      </c>
      <c r="N64" s="324" t="s">
        <v>352</v>
      </c>
      <c r="O64" s="324" t="s">
        <v>353</v>
      </c>
      <c r="P64" s="324" t="s">
        <v>354</v>
      </c>
      <c r="Q64" s="712" t="s">
        <v>756</v>
      </c>
      <c r="R64" s="738"/>
      <c r="S64" s="326"/>
      <c r="T64" s="652" t="e">
        <f>AVERAGE(S64:S66)</f>
        <v>#DIV/0!</v>
      </c>
      <c r="U64" s="733" t="e">
        <f>T64*H64</f>
        <v>#DIV/0!</v>
      </c>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c r="CL64" s="226"/>
      <c r="CM64" s="226"/>
      <c r="CN64" s="226"/>
      <c r="CO64" s="226"/>
      <c r="CP64" s="226"/>
      <c r="CQ64" s="226"/>
      <c r="CR64" s="226"/>
      <c r="CS64" s="226"/>
      <c r="CT64" s="226"/>
      <c r="CU64" s="226"/>
      <c r="CV64" s="226"/>
      <c r="CW64" s="226"/>
      <c r="CX64" s="226"/>
      <c r="CY64" s="226"/>
      <c r="CZ64" s="226"/>
      <c r="DA64" s="226"/>
      <c r="DB64" s="226"/>
      <c r="DC64" s="226"/>
      <c r="DD64" s="226"/>
      <c r="DE64" s="226"/>
      <c r="DF64" s="226"/>
      <c r="DG64" s="226"/>
      <c r="DH64" s="226"/>
      <c r="DI64" s="226"/>
      <c r="DJ64" s="226"/>
      <c r="DK64" s="226"/>
      <c r="DL64" s="226"/>
      <c r="DM64" s="226"/>
      <c r="DN64" s="226"/>
      <c r="DO64" s="226"/>
      <c r="DP64" s="226"/>
      <c r="DQ64" s="226"/>
      <c r="DR64" s="226"/>
      <c r="DS64" s="226"/>
    </row>
    <row r="65" spans="1:123" s="211" customFormat="1" ht="99.5" customHeight="1">
      <c r="A65" s="860"/>
      <c r="B65" s="633"/>
      <c r="C65" s="681"/>
      <c r="D65" s="633"/>
      <c r="E65" s="741"/>
      <c r="F65" s="681"/>
      <c r="G65" s="864"/>
      <c r="H65" s="743"/>
      <c r="I65" s="743"/>
      <c r="J65" s="681"/>
      <c r="K65" s="275" t="s">
        <v>15</v>
      </c>
      <c r="L65" s="303" t="s">
        <v>355</v>
      </c>
      <c r="M65" s="303" t="s">
        <v>356</v>
      </c>
      <c r="N65" s="303" t="s">
        <v>357</v>
      </c>
      <c r="O65" s="303" t="s">
        <v>358</v>
      </c>
      <c r="P65" s="303" t="s">
        <v>359</v>
      </c>
      <c r="Q65" s="654"/>
      <c r="R65" s="649"/>
      <c r="S65" s="289"/>
      <c r="T65" s="649"/>
      <c r="U65" s="669"/>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c r="CL65" s="226"/>
      <c r="CM65" s="226"/>
      <c r="CN65" s="226"/>
      <c r="CO65" s="226"/>
      <c r="CP65" s="226"/>
      <c r="CQ65" s="226"/>
      <c r="CR65" s="226"/>
      <c r="CS65" s="226"/>
      <c r="CT65" s="226"/>
      <c r="CU65" s="226"/>
      <c r="CV65" s="226"/>
      <c r="CW65" s="226"/>
      <c r="CX65" s="226"/>
      <c r="CY65" s="226"/>
      <c r="CZ65" s="226"/>
      <c r="DA65" s="226"/>
      <c r="DB65" s="226"/>
      <c r="DC65" s="226"/>
      <c r="DD65" s="226"/>
      <c r="DE65" s="226"/>
      <c r="DF65" s="226"/>
      <c r="DG65" s="226"/>
      <c r="DH65" s="226"/>
      <c r="DI65" s="226"/>
      <c r="DJ65" s="226"/>
      <c r="DK65" s="226"/>
      <c r="DL65" s="226"/>
      <c r="DM65" s="226"/>
      <c r="DN65" s="226"/>
      <c r="DO65" s="226"/>
      <c r="DP65" s="226"/>
      <c r="DQ65" s="226"/>
      <c r="DR65" s="226"/>
      <c r="DS65" s="226"/>
    </row>
    <row r="66" spans="1:123" s="211" customFormat="1" ht="108" customHeight="1">
      <c r="A66" s="860"/>
      <c r="B66" s="633"/>
      <c r="C66" s="681"/>
      <c r="D66" s="633"/>
      <c r="E66" s="681"/>
      <c r="F66" s="681"/>
      <c r="G66" s="865"/>
      <c r="H66" s="743"/>
      <c r="I66" s="743"/>
      <c r="J66" s="681"/>
      <c r="K66" s="275" t="s">
        <v>16</v>
      </c>
      <c r="L66" s="303" t="s">
        <v>360</v>
      </c>
      <c r="M66" s="303" t="s">
        <v>361</v>
      </c>
      <c r="N66" s="303" t="s">
        <v>362</v>
      </c>
      <c r="O66" s="303" t="s">
        <v>363</v>
      </c>
      <c r="P66" s="303" t="s">
        <v>364</v>
      </c>
      <c r="Q66" s="654"/>
      <c r="R66" s="649"/>
      <c r="S66" s="289"/>
      <c r="T66" s="649"/>
      <c r="U66" s="669"/>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c r="CL66" s="226"/>
      <c r="CM66" s="226"/>
      <c r="CN66" s="226"/>
      <c r="CO66" s="226"/>
      <c r="CP66" s="226"/>
      <c r="CQ66" s="226"/>
      <c r="CR66" s="226"/>
      <c r="CS66" s="226"/>
      <c r="CT66" s="226"/>
      <c r="CU66" s="226"/>
      <c r="CV66" s="226"/>
      <c r="CW66" s="226"/>
      <c r="CX66" s="226"/>
      <c r="CY66" s="226"/>
      <c r="CZ66" s="226"/>
      <c r="DA66" s="226"/>
      <c r="DB66" s="226"/>
      <c r="DC66" s="226"/>
      <c r="DD66" s="226"/>
      <c r="DE66" s="226"/>
      <c r="DF66" s="226"/>
      <c r="DG66" s="226"/>
      <c r="DH66" s="226"/>
      <c r="DI66" s="226"/>
      <c r="DJ66" s="226"/>
      <c r="DK66" s="226"/>
      <c r="DL66" s="226"/>
      <c r="DM66" s="226"/>
      <c r="DN66" s="226"/>
      <c r="DO66" s="226"/>
      <c r="DP66" s="226"/>
      <c r="DQ66" s="226"/>
      <c r="DR66" s="226"/>
      <c r="DS66" s="226"/>
    </row>
    <row r="67" spans="1:123" s="211" customFormat="1" ht="183" customHeight="1">
      <c r="A67" s="860"/>
      <c r="B67" s="633"/>
      <c r="C67" s="681"/>
      <c r="D67" s="633"/>
      <c r="E67" s="680" t="s">
        <v>365</v>
      </c>
      <c r="F67" s="681"/>
      <c r="G67" s="866" t="s">
        <v>785</v>
      </c>
      <c r="H67" s="742">
        <v>0.01</v>
      </c>
      <c r="I67" s="867">
        <v>1</v>
      </c>
      <c r="J67" s="868" t="s">
        <v>366</v>
      </c>
      <c r="K67" s="294" t="s">
        <v>14</v>
      </c>
      <c r="L67" s="303" t="s">
        <v>367</v>
      </c>
      <c r="M67" s="303" t="s">
        <v>368</v>
      </c>
      <c r="N67" s="303" t="s">
        <v>369</v>
      </c>
      <c r="O67" s="303" t="s">
        <v>370</v>
      </c>
      <c r="P67" s="303" t="s">
        <v>371</v>
      </c>
      <c r="Q67" s="653" t="s">
        <v>757</v>
      </c>
      <c r="R67" s="656"/>
      <c r="S67" s="289"/>
      <c r="T67" s="648" t="e">
        <f>AVERAGE(S67:S69)</f>
        <v>#DIV/0!</v>
      </c>
      <c r="U67" s="668" t="e">
        <f>T67*H67</f>
        <v>#DIV/0!</v>
      </c>
      <c r="V67" s="226"/>
      <c r="W67" s="226"/>
      <c r="X67" s="226"/>
      <c r="Y67" s="226"/>
      <c r="Z67" s="226"/>
      <c r="AA67" s="226"/>
      <c r="AB67" s="226"/>
      <c r="AC67" s="226"/>
      <c r="AD67" s="226"/>
      <c r="AE67" s="226"/>
      <c r="AF67" s="226"/>
      <c r="AG67" s="226"/>
      <c r="AH67" s="226"/>
      <c r="AI67" s="226"/>
      <c r="AJ67" s="226"/>
      <c r="AK67" s="226"/>
      <c r="AL67" s="226"/>
      <c r="AM67" s="226"/>
      <c r="AN67" s="226"/>
      <c r="AO67" s="226"/>
      <c r="AP67" s="226"/>
      <c r="AQ67" s="226"/>
      <c r="AR67" s="226"/>
      <c r="AS67" s="226"/>
      <c r="AT67" s="226"/>
      <c r="AU67" s="226"/>
      <c r="AV67" s="226"/>
      <c r="AW67" s="226"/>
      <c r="AX67" s="226"/>
      <c r="AY67" s="226"/>
      <c r="AZ67" s="226"/>
      <c r="BA67" s="226"/>
      <c r="BB67" s="226"/>
      <c r="BC67" s="226"/>
      <c r="BD67" s="226"/>
      <c r="BE67" s="226"/>
      <c r="BF67" s="226"/>
      <c r="BG67" s="226"/>
      <c r="BH67" s="226"/>
      <c r="BI67" s="226"/>
      <c r="BJ67" s="226"/>
      <c r="BK67" s="226"/>
      <c r="BL67" s="226"/>
      <c r="BM67" s="226"/>
      <c r="BN67" s="226"/>
      <c r="BO67" s="226"/>
      <c r="BP67" s="226"/>
      <c r="BQ67" s="226"/>
      <c r="BR67" s="226"/>
      <c r="BS67" s="226"/>
      <c r="BT67" s="226"/>
      <c r="BU67" s="226"/>
      <c r="BV67" s="226"/>
      <c r="BW67" s="226"/>
      <c r="BX67" s="226"/>
      <c r="BY67" s="226"/>
      <c r="BZ67" s="226"/>
      <c r="CA67" s="226"/>
      <c r="CB67" s="226"/>
      <c r="CC67" s="226"/>
      <c r="CD67" s="226"/>
      <c r="CE67" s="226"/>
      <c r="CF67" s="226"/>
      <c r="CG67" s="226"/>
      <c r="CH67" s="226"/>
      <c r="CI67" s="226"/>
      <c r="CJ67" s="226"/>
      <c r="CK67" s="226"/>
      <c r="CL67" s="226"/>
      <c r="CM67" s="226"/>
      <c r="CN67" s="226"/>
      <c r="CO67" s="226"/>
      <c r="CP67" s="226"/>
      <c r="CQ67" s="226"/>
      <c r="CR67" s="226"/>
      <c r="CS67" s="226"/>
      <c r="CT67" s="226"/>
      <c r="CU67" s="226"/>
      <c r="CV67" s="226"/>
      <c r="CW67" s="226"/>
      <c r="CX67" s="226"/>
      <c r="CY67" s="226"/>
      <c r="CZ67" s="226"/>
      <c r="DA67" s="226"/>
      <c r="DB67" s="226"/>
      <c r="DC67" s="226"/>
      <c r="DD67" s="226"/>
      <c r="DE67" s="226"/>
      <c r="DF67" s="226"/>
      <c r="DG67" s="226"/>
      <c r="DH67" s="226"/>
      <c r="DI67" s="226"/>
      <c r="DJ67" s="226"/>
      <c r="DK67" s="226"/>
      <c r="DL67" s="226"/>
      <c r="DM67" s="226"/>
      <c r="DN67" s="226"/>
      <c r="DO67" s="226"/>
      <c r="DP67" s="226"/>
      <c r="DQ67" s="226"/>
      <c r="DR67" s="226"/>
      <c r="DS67" s="226"/>
    </row>
    <row r="68" spans="1:123" s="211" customFormat="1" ht="108" customHeight="1">
      <c r="A68" s="860"/>
      <c r="B68" s="633"/>
      <c r="C68" s="681"/>
      <c r="D68" s="633"/>
      <c r="E68" s="681"/>
      <c r="F68" s="681"/>
      <c r="G68" s="864"/>
      <c r="H68" s="743"/>
      <c r="I68" s="743"/>
      <c r="J68" s="681"/>
      <c r="K68" s="275" t="s">
        <v>15</v>
      </c>
      <c r="L68" s="303" t="s">
        <v>372</v>
      </c>
      <c r="M68" s="303" t="s">
        <v>373</v>
      </c>
      <c r="N68" s="303" t="s">
        <v>374</v>
      </c>
      <c r="O68" s="303" t="s">
        <v>375</v>
      </c>
      <c r="P68" s="303" t="s">
        <v>376</v>
      </c>
      <c r="Q68" s="654"/>
      <c r="R68" s="649"/>
      <c r="S68" s="289"/>
      <c r="T68" s="649"/>
      <c r="U68" s="669"/>
      <c r="V68" s="226"/>
      <c r="W68" s="226"/>
      <c r="X68" s="226"/>
      <c r="Y68" s="226"/>
      <c r="Z68" s="226"/>
      <c r="AA68" s="226"/>
      <c r="AB68" s="226"/>
      <c r="AC68" s="226"/>
      <c r="AD68" s="226"/>
      <c r="AE68" s="226"/>
      <c r="AF68" s="226"/>
      <c r="AG68" s="226"/>
      <c r="AH68" s="226"/>
      <c r="AI68" s="226"/>
      <c r="AJ68" s="226"/>
      <c r="AK68" s="226"/>
      <c r="AL68" s="226"/>
      <c r="AM68" s="226"/>
      <c r="AN68" s="226"/>
      <c r="AO68" s="226"/>
      <c r="AP68" s="226"/>
      <c r="AQ68" s="226"/>
      <c r="AR68" s="226"/>
      <c r="AS68" s="226"/>
      <c r="AT68" s="226"/>
      <c r="AU68" s="226"/>
      <c r="AV68" s="226"/>
      <c r="AW68" s="226"/>
      <c r="AX68" s="226"/>
      <c r="AY68" s="226"/>
      <c r="AZ68" s="226"/>
      <c r="BA68" s="226"/>
      <c r="BB68" s="226"/>
      <c r="BC68" s="226"/>
      <c r="BD68" s="226"/>
      <c r="BE68" s="226"/>
      <c r="BF68" s="226"/>
      <c r="BG68" s="226"/>
      <c r="BH68" s="226"/>
      <c r="BI68" s="226"/>
      <c r="BJ68" s="226"/>
      <c r="BK68" s="226"/>
      <c r="BL68" s="226"/>
      <c r="BM68" s="226"/>
      <c r="BN68" s="226"/>
      <c r="BO68" s="226"/>
      <c r="BP68" s="226"/>
      <c r="BQ68" s="226"/>
      <c r="BR68" s="226"/>
      <c r="BS68" s="226"/>
      <c r="BT68" s="226"/>
      <c r="BU68" s="226"/>
      <c r="BV68" s="226"/>
      <c r="BW68" s="226"/>
      <c r="BX68" s="226"/>
      <c r="BY68" s="226"/>
      <c r="BZ68" s="226"/>
      <c r="CA68" s="226"/>
      <c r="CB68" s="226"/>
      <c r="CC68" s="226"/>
      <c r="CD68" s="226"/>
      <c r="CE68" s="226"/>
      <c r="CF68" s="226"/>
      <c r="CG68" s="226"/>
      <c r="CH68" s="226"/>
      <c r="CI68" s="226"/>
      <c r="CJ68" s="226"/>
      <c r="CK68" s="226"/>
      <c r="CL68" s="226"/>
      <c r="CM68" s="226"/>
      <c r="CN68" s="226"/>
      <c r="CO68" s="226"/>
      <c r="CP68" s="226"/>
      <c r="CQ68" s="226"/>
      <c r="CR68" s="226"/>
      <c r="CS68" s="226"/>
      <c r="CT68" s="226"/>
      <c r="CU68" s="226"/>
      <c r="CV68" s="226"/>
      <c r="CW68" s="226"/>
      <c r="CX68" s="226"/>
      <c r="CY68" s="226"/>
      <c r="CZ68" s="226"/>
      <c r="DA68" s="226"/>
      <c r="DB68" s="226"/>
      <c r="DC68" s="226"/>
      <c r="DD68" s="226"/>
      <c r="DE68" s="226"/>
      <c r="DF68" s="226"/>
      <c r="DG68" s="226"/>
      <c r="DH68" s="226"/>
      <c r="DI68" s="226"/>
      <c r="DJ68" s="226"/>
      <c r="DK68" s="226"/>
      <c r="DL68" s="226"/>
      <c r="DM68" s="226"/>
      <c r="DN68" s="226"/>
      <c r="DO68" s="226"/>
      <c r="DP68" s="226"/>
      <c r="DQ68" s="226"/>
      <c r="DR68" s="226"/>
      <c r="DS68" s="226"/>
    </row>
    <row r="69" spans="1:123" s="211" customFormat="1" ht="101.5" customHeight="1">
      <c r="A69" s="860"/>
      <c r="B69" s="633"/>
      <c r="C69" s="681"/>
      <c r="D69" s="634"/>
      <c r="E69" s="681"/>
      <c r="F69" s="681"/>
      <c r="G69" s="865"/>
      <c r="H69" s="743"/>
      <c r="I69" s="743"/>
      <c r="J69" s="681"/>
      <c r="K69" s="275" t="s">
        <v>16</v>
      </c>
      <c r="L69" s="303" t="s">
        <v>377</v>
      </c>
      <c r="M69" s="303" t="s">
        <v>378</v>
      </c>
      <c r="N69" s="303" t="s">
        <v>379</v>
      </c>
      <c r="O69" s="303" t="s">
        <v>380</v>
      </c>
      <c r="P69" s="303" t="s">
        <v>381</v>
      </c>
      <c r="Q69" s="654"/>
      <c r="R69" s="649"/>
      <c r="S69" s="289"/>
      <c r="T69" s="649"/>
      <c r="U69" s="669"/>
      <c r="V69" s="226"/>
      <c r="W69" s="226"/>
      <c r="X69" s="226"/>
      <c r="Y69" s="226"/>
      <c r="Z69" s="226"/>
      <c r="AA69" s="226"/>
      <c r="AB69" s="226"/>
      <c r="AC69" s="226"/>
      <c r="AD69" s="226"/>
      <c r="AE69" s="226"/>
      <c r="AF69" s="226"/>
      <c r="AG69" s="226"/>
      <c r="AH69" s="226"/>
      <c r="AI69" s="226"/>
      <c r="AJ69" s="226"/>
      <c r="AK69" s="226"/>
      <c r="AL69" s="226"/>
      <c r="AM69" s="226"/>
      <c r="AN69" s="226"/>
      <c r="AO69" s="226"/>
      <c r="AP69" s="226"/>
      <c r="AQ69" s="226"/>
      <c r="AR69" s="226"/>
      <c r="AS69" s="226"/>
      <c r="AT69" s="226"/>
      <c r="AU69" s="226"/>
      <c r="AV69" s="226"/>
      <c r="AW69" s="226"/>
      <c r="AX69" s="226"/>
      <c r="AY69" s="226"/>
      <c r="AZ69" s="226"/>
      <c r="BA69" s="226"/>
      <c r="BB69" s="226"/>
      <c r="BC69" s="226"/>
      <c r="BD69" s="226"/>
      <c r="BE69" s="226"/>
      <c r="BF69" s="226"/>
      <c r="BG69" s="226"/>
      <c r="BH69" s="226"/>
      <c r="BI69" s="226"/>
      <c r="BJ69" s="226"/>
      <c r="BK69" s="226"/>
      <c r="BL69" s="226"/>
      <c r="BM69" s="226"/>
      <c r="BN69" s="226"/>
      <c r="BO69" s="226"/>
      <c r="BP69" s="226"/>
      <c r="BQ69" s="226"/>
      <c r="BR69" s="226"/>
      <c r="BS69" s="226"/>
      <c r="BT69" s="226"/>
      <c r="BU69" s="226"/>
      <c r="BV69" s="226"/>
      <c r="BW69" s="226"/>
      <c r="BX69" s="226"/>
      <c r="BY69" s="226"/>
      <c r="BZ69" s="226"/>
      <c r="CA69" s="226"/>
      <c r="CB69" s="226"/>
      <c r="CC69" s="226"/>
      <c r="CD69" s="226"/>
      <c r="CE69" s="226"/>
      <c r="CF69" s="226"/>
      <c r="CG69" s="226"/>
      <c r="CH69" s="226"/>
      <c r="CI69" s="226"/>
      <c r="CJ69" s="226"/>
      <c r="CK69" s="226"/>
      <c r="CL69" s="226"/>
      <c r="CM69" s="226"/>
      <c r="CN69" s="226"/>
      <c r="CO69" s="226"/>
      <c r="CP69" s="226"/>
      <c r="CQ69" s="226"/>
      <c r="CR69" s="226"/>
      <c r="CS69" s="226"/>
      <c r="CT69" s="226"/>
      <c r="CU69" s="226"/>
      <c r="CV69" s="226"/>
      <c r="CW69" s="226"/>
      <c r="CX69" s="226"/>
      <c r="CY69" s="226"/>
      <c r="CZ69" s="226"/>
      <c r="DA69" s="226"/>
      <c r="DB69" s="226"/>
      <c r="DC69" s="226"/>
      <c r="DD69" s="226"/>
      <c r="DE69" s="226"/>
      <c r="DF69" s="226"/>
      <c r="DG69" s="226"/>
      <c r="DH69" s="226"/>
      <c r="DI69" s="226"/>
      <c r="DJ69" s="226"/>
      <c r="DK69" s="226"/>
      <c r="DL69" s="226"/>
      <c r="DM69" s="226"/>
      <c r="DN69" s="226"/>
      <c r="DO69" s="226"/>
      <c r="DP69" s="226"/>
      <c r="DQ69" s="226"/>
      <c r="DR69" s="226"/>
      <c r="DS69" s="226"/>
    </row>
    <row r="70" spans="1:123" s="211" customFormat="1" ht="183" customHeight="1">
      <c r="A70" s="860"/>
      <c r="B70" s="635" t="s">
        <v>800</v>
      </c>
      <c r="C70" s="681"/>
      <c r="D70" s="637" t="s">
        <v>799</v>
      </c>
      <c r="E70" s="680" t="s">
        <v>758</v>
      </c>
      <c r="F70" s="681"/>
      <c r="G70" s="680" t="s">
        <v>785</v>
      </c>
      <c r="H70" s="742">
        <v>0.02</v>
      </c>
      <c r="I70" s="867">
        <v>5</v>
      </c>
      <c r="J70" s="868" t="s">
        <v>382</v>
      </c>
      <c r="K70" s="294" t="s">
        <v>14</v>
      </c>
      <c r="L70" s="303" t="s">
        <v>383</v>
      </c>
      <c r="M70" s="303" t="s">
        <v>384</v>
      </c>
      <c r="N70" s="303" t="s">
        <v>385</v>
      </c>
      <c r="O70" s="303" t="s">
        <v>386</v>
      </c>
      <c r="P70" s="303" t="s">
        <v>387</v>
      </c>
      <c r="Q70" s="653" t="s">
        <v>388</v>
      </c>
      <c r="R70" s="656"/>
      <c r="S70" s="289"/>
      <c r="T70" s="648" t="e">
        <f>AVERAGE(S70:S72)</f>
        <v>#DIV/0!</v>
      </c>
      <c r="U70" s="668" t="e">
        <f>T70*H70</f>
        <v>#DIV/0!</v>
      </c>
      <c r="V70" s="226"/>
      <c r="W70" s="226"/>
      <c r="X70" s="226"/>
      <c r="Y70" s="226"/>
      <c r="Z70" s="226"/>
      <c r="AA70" s="226"/>
      <c r="AB70" s="226"/>
      <c r="AC70" s="226"/>
      <c r="AD70" s="226"/>
      <c r="AE70" s="226"/>
      <c r="AF70" s="226"/>
      <c r="AG70" s="226"/>
      <c r="AH70" s="226"/>
      <c r="AI70" s="226"/>
      <c r="AJ70" s="226"/>
      <c r="AK70" s="226"/>
      <c r="AL70" s="226"/>
      <c r="AM70" s="226"/>
      <c r="AN70" s="226"/>
      <c r="AO70" s="226"/>
      <c r="AP70" s="226"/>
      <c r="AQ70" s="226"/>
      <c r="AR70" s="226"/>
      <c r="AS70" s="226"/>
      <c r="AT70" s="226"/>
      <c r="AU70" s="226"/>
      <c r="AV70" s="226"/>
      <c r="AW70" s="226"/>
      <c r="AX70" s="226"/>
      <c r="AY70" s="226"/>
      <c r="AZ70" s="226"/>
      <c r="BA70" s="226"/>
      <c r="BB70" s="226"/>
      <c r="BC70" s="226"/>
      <c r="BD70" s="226"/>
      <c r="BE70" s="226"/>
      <c r="BF70" s="226"/>
      <c r="BG70" s="226"/>
      <c r="BH70" s="226"/>
      <c r="BI70" s="226"/>
      <c r="BJ70" s="226"/>
      <c r="BK70" s="226"/>
      <c r="BL70" s="226"/>
      <c r="BM70" s="226"/>
      <c r="BN70" s="226"/>
      <c r="BO70" s="226"/>
      <c r="BP70" s="226"/>
      <c r="BQ70" s="226"/>
      <c r="BR70" s="226"/>
      <c r="BS70" s="226"/>
      <c r="BT70" s="226"/>
      <c r="BU70" s="226"/>
      <c r="BV70" s="226"/>
      <c r="BW70" s="226"/>
      <c r="BX70" s="226"/>
      <c r="BY70" s="226"/>
      <c r="BZ70" s="226"/>
      <c r="CA70" s="226"/>
      <c r="CB70" s="226"/>
      <c r="CC70" s="226"/>
      <c r="CD70" s="226"/>
      <c r="CE70" s="226"/>
      <c r="CF70" s="226"/>
      <c r="CG70" s="226"/>
      <c r="CH70" s="226"/>
      <c r="CI70" s="226"/>
      <c r="CJ70" s="226"/>
      <c r="CK70" s="226"/>
      <c r="CL70" s="226"/>
      <c r="CM70" s="226"/>
      <c r="CN70" s="226"/>
      <c r="CO70" s="226"/>
      <c r="CP70" s="226"/>
      <c r="CQ70" s="226"/>
      <c r="CR70" s="226"/>
      <c r="CS70" s="226"/>
      <c r="CT70" s="226"/>
      <c r="CU70" s="226"/>
      <c r="CV70" s="226"/>
      <c r="CW70" s="226"/>
      <c r="CX70" s="226"/>
      <c r="CY70" s="226"/>
      <c r="CZ70" s="226"/>
      <c r="DA70" s="226"/>
      <c r="DB70" s="226"/>
      <c r="DC70" s="226"/>
      <c r="DD70" s="226"/>
      <c r="DE70" s="226"/>
      <c r="DF70" s="226"/>
      <c r="DG70" s="226"/>
      <c r="DH70" s="226"/>
      <c r="DI70" s="226"/>
      <c r="DJ70" s="226"/>
      <c r="DK70" s="226"/>
      <c r="DL70" s="226"/>
      <c r="DM70" s="226"/>
      <c r="DN70" s="226"/>
      <c r="DO70" s="226"/>
      <c r="DP70" s="226"/>
      <c r="DQ70" s="226"/>
      <c r="DR70" s="226"/>
      <c r="DS70" s="226"/>
    </row>
    <row r="71" spans="1:123" s="211" customFormat="1" ht="183" customHeight="1">
      <c r="A71" s="860"/>
      <c r="B71" s="633"/>
      <c r="C71" s="681"/>
      <c r="D71" s="638"/>
      <c r="E71" s="681"/>
      <c r="F71" s="681"/>
      <c r="G71" s="681"/>
      <c r="H71" s="743"/>
      <c r="I71" s="743"/>
      <c r="J71" s="681"/>
      <c r="K71" s="275" t="s">
        <v>15</v>
      </c>
      <c r="L71" s="303" t="s">
        <v>389</v>
      </c>
      <c r="M71" s="303" t="s">
        <v>390</v>
      </c>
      <c r="N71" s="303" t="s">
        <v>391</v>
      </c>
      <c r="O71" s="303" t="s">
        <v>392</v>
      </c>
      <c r="P71" s="303" t="s">
        <v>393</v>
      </c>
      <c r="Q71" s="654"/>
      <c r="R71" s="649"/>
      <c r="S71" s="289"/>
      <c r="T71" s="649"/>
      <c r="U71" s="669"/>
      <c r="V71" s="226"/>
      <c r="W71" s="226"/>
      <c r="X71" s="226"/>
      <c r="Y71" s="226"/>
      <c r="Z71" s="226"/>
      <c r="AA71" s="226"/>
      <c r="AB71" s="226"/>
      <c r="AC71" s="226"/>
      <c r="AD71" s="226"/>
      <c r="AE71" s="226"/>
      <c r="AF71" s="226"/>
      <c r="AG71" s="226"/>
      <c r="AH71" s="226"/>
      <c r="AI71" s="226"/>
      <c r="AJ71" s="226"/>
      <c r="AK71" s="226"/>
      <c r="AL71" s="226"/>
      <c r="AM71" s="226"/>
      <c r="AN71" s="226"/>
      <c r="AO71" s="226"/>
      <c r="AP71" s="226"/>
      <c r="AQ71" s="226"/>
      <c r="AR71" s="226"/>
      <c r="AS71" s="226"/>
      <c r="AT71" s="226"/>
      <c r="AU71" s="226"/>
      <c r="AV71" s="226"/>
      <c r="AW71" s="226"/>
      <c r="AX71" s="226"/>
      <c r="AY71" s="226"/>
      <c r="AZ71" s="226"/>
      <c r="BA71" s="226"/>
      <c r="BB71" s="226"/>
      <c r="BC71" s="226"/>
      <c r="BD71" s="226"/>
      <c r="BE71" s="226"/>
      <c r="BF71" s="226"/>
      <c r="BG71" s="226"/>
      <c r="BH71" s="226"/>
      <c r="BI71" s="226"/>
      <c r="BJ71" s="226"/>
      <c r="BK71" s="226"/>
      <c r="BL71" s="226"/>
      <c r="BM71" s="226"/>
      <c r="BN71" s="226"/>
      <c r="BO71" s="226"/>
      <c r="BP71" s="226"/>
      <c r="BQ71" s="226"/>
      <c r="BR71" s="226"/>
      <c r="BS71" s="226"/>
      <c r="BT71" s="226"/>
      <c r="BU71" s="226"/>
      <c r="BV71" s="226"/>
      <c r="BW71" s="226"/>
      <c r="BX71" s="226"/>
      <c r="BY71" s="226"/>
      <c r="BZ71" s="226"/>
      <c r="CA71" s="226"/>
      <c r="CB71" s="226"/>
      <c r="CC71" s="226"/>
      <c r="CD71" s="226"/>
      <c r="CE71" s="226"/>
      <c r="CF71" s="226"/>
      <c r="CG71" s="226"/>
      <c r="CH71" s="226"/>
      <c r="CI71" s="226"/>
      <c r="CJ71" s="226"/>
      <c r="CK71" s="226"/>
      <c r="CL71" s="226"/>
      <c r="CM71" s="226"/>
      <c r="CN71" s="226"/>
      <c r="CO71" s="226"/>
      <c r="CP71" s="226"/>
      <c r="CQ71" s="226"/>
      <c r="CR71" s="226"/>
      <c r="CS71" s="226"/>
      <c r="CT71" s="226"/>
      <c r="CU71" s="226"/>
      <c r="CV71" s="226"/>
      <c r="CW71" s="226"/>
      <c r="CX71" s="226"/>
      <c r="CY71" s="226"/>
      <c r="CZ71" s="226"/>
      <c r="DA71" s="226"/>
      <c r="DB71" s="226"/>
      <c r="DC71" s="226"/>
      <c r="DD71" s="226"/>
      <c r="DE71" s="226"/>
      <c r="DF71" s="226"/>
      <c r="DG71" s="226"/>
      <c r="DH71" s="226"/>
      <c r="DI71" s="226"/>
      <c r="DJ71" s="226"/>
      <c r="DK71" s="226"/>
      <c r="DL71" s="226"/>
      <c r="DM71" s="226"/>
      <c r="DN71" s="226"/>
      <c r="DO71" s="226"/>
      <c r="DP71" s="226"/>
      <c r="DQ71" s="226"/>
      <c r="DR71" s="226"/>
      <c r="DS71" s="226"/>
    </row>
    <row r="72" spans="1:123" s="211" customFormat="1" ht="192" customHeight="1" thickBot="1">
      <c r="A72" s="862"/>
      <c r="B72" s="636"/>
      <c r="C72" s="858"/>
      <c r="D72" s="639"/>
      <c r="E72" s="858"/>
      <c r="F72" s="858"/>
      <c r="G72" s="858"/>
      <c r="H72" s="747"/>
      <c r="I72" s="747"/>
      <c r="J72" s="858"/>
      <c r="K72" s="331" t="s">
        <v>16</v>
      </c>
      <c r="L72" s="316" t="s">
        <v>394</v>
      </c>
      <c r="M72" s="316" t="s">
        <v>395</v>
      </c>
      <c r="N72" s="316" t="s">
        <v>396</v>
      </c>
      <c r="O72" s="316" t="s">
        <v>397</v>
      </c>
      <c r="P72" s="316" t="s">
        <v>398</v>
      </c>
      <c r="Q72" s="655"/>
      <c r="R72" s="651"/>
      <c r="S72" s="332"/>
      <c r="T72" s="651"/>
      <c r="U72" s="732"/>
      <c r="V72" s="226"/>
      <c r="W72" s="226"/>
      <c r="X72" s="226"/>
      <c r="Y72" s="226"/>
      <c r="Z72" s="226"/>
      <c r="AA72" s="226"/>
      <c r="AB72" s="226"/>
      <c r="AC72" s="226"/>
      <c r="AD72" s="226"/>
      <c r="AE72" s="226"/>
      <c r="AF72" s="226"/>
      <c r="AG72" s="226"/>
      <c r="AH72" s="226"/>
      <c r="AI72" s="226"/>
      <c r="AJ72" s="226"/>
      <c r="AK72" s="226"/>
      <c r="AL72" s="226"/>
      <c r="AM72" s="226"/>
      <c r="AN72" s="226"/>
      <c r="AO72" s="226"/>
      <c r="AP72" s="226"/>
      <c r="AQ72" s="226"/>
      <c r="AR72" s="226"/>
      <c r="AS72" s="226"/>
      <c r="AT72" s="226"/>
      <c r="AU72" s="226"/>
      <c r="AV72" s="226"/>
      <c r="AW72" s="226"/>
      <c r="AX72" s="226"/>
      <c r="AY72" s="226"/>
      <c r="AZ72" s="226"/>
      <c r="BA72" s="226"/>
      <c r="BB72" s="226"/>
      <c r="BC72" s="226"/>
      <c r="BD72" s="226"/>
      <c r="BE72" s="226"/>
      <c r="BF72" s="226"/>
      <c r="BG72" s="226"/>
      <c r="BH72" s="226"/>
      <c r="BI72" s="226"/>
      <c r="BJ72" s="226"/>
      <c r="BK72" s="226"/>
      <c r="BL72" s="226"/>
      <c r="BM72" s="226"/>
      <c r="BN72" s="226"/>
      <c r="BO72" s="226"/>
      <c r="BP72" s="226"/>
      <c r="BQ72" s="226"/>
      <c r="BR72" s="226"/>
      <c r="BS72" s="226"/>
      <c r="BT72" s="226"/>
      <c r="BU72" s="226"/>
      <c r="BV72" s="226"/>
      <c r="BW72" s="226"/>
      <c r="BX72" s="226"/>
      <c r="BY72" s="226"/>
      <c r="BZ72" s="226"/>
      <c r="CA72" s="226"/>
      <c r="CB72" s="226"/>
      <c r="CC72" s="226"/>
      <c r="CD72" s="226"/>
      <c r="CE72" s="226"/>
      <c r="CF72" s="226"/>
      <c r="CG72" s="226"/>
      <c r="CH72" s="226"/>
      <c r="CI72" s="226"/>
      <c r="CJ72" s="226"/>
      <c r="CK72" s="226"/>
      <c r="CL72" s="226"/>
      <c r="CM72" s="226"/>
      <c r="CN72" s="226"/>
      <c r="CO72" s="226"/>
      <c r="CP72" s="226"/>
      <c r="CQ72" s="226"/>
      <c r="CR72" s="226"/>
      <c r="CS72" s="226"/>
      <c r="CT72" s="226"/>
      <c r="CU72" s="226"/>
      <c r="CV72" s="226"/>
      <c r="CW72" s="226"/>
      <c r="CX72" s="226"/>
      <c r="CY72" s="226"/>
      <c r="CZ72" s="226"/>
      <c r="DA72" s="226"/>
      <c r="DB72" s="226"/>
      <c r="DC72" s="226"/>
      <c r="DD72" s="226"/>
      <c r="DE72" s="226"/>
      <c r="DF72" s="226"/>
      <c r="DG72" s="226"/>
      <c r="DH72" s="226"/>
      <c r="DI72" s="226"/>
      <c r="DJ72" s="226"/>
      <c r="DK72" s="226"/>
      <c r="DL72" s="226"/>
      <c r="DM72" s="226"/>
      <c r="DN72" s="226"/>
      <c r="DO72" s="226"/>
      <c r="DP72" s="226"/>
      <c r="DQ72" s="226"/>
      <c r="DR72" s="226"/>
      <c r="DS72" s="226"/>
    </row>
    <row r="73" spans="1:123" s="211" customFormat="1" ht="178" customHeight="1">
      <c r="A73" s="859" t="s">
        <v>759</v>
      </c>
      <c r="B73" s="744" t="s">
        <v>399</v>
      </c>
      <c r="C73" s="744" t="s">
        <v>400</v>
      </c>
      <c r="D73" s="632" t="s">
        <v>803</v>
      </c>
      <c r="E73" s="744" t="s">
        <v>401</v>
      </c>
      <c r="F73" s="869"/>
      <c r="G73" s="744" t="s">
        <v>786</v>
      </c>
      <c r="H73" s="748">
        <v>0.02</v>
      </c>
      <c r="I73" s="730">
        <v>0.05</v>
      </c>
      <c r="J73" s="744" t="s">
        <v>402</v>
      </c>
      <c r="K73" s="334" t="s">
        <v>14</v>
      </c>
      <c r="L73" s="324" t="s">
        <v>403</v>
      </c>
      <c r="M73" s="324" t="s">
        <v>404</v>
      </c>
      <c r="N73" s="324" t="s">
        <v>405</v>
      </c>
      <c r="O73" s="324" t="s">
        <v>406</v>
      </c>
      <c r="P73" s="324" t="s">
        <v>407</v>
      </c>
      <c r="Q73" s="712" t="s">
        <v>813</v>
      </c>
      <c r="R73" s="737" t="s">
        <v>810</v>
      </c>
      <c r="S73" s="326"/>
      <c r="T73" s="652" t="e">
        <f>AVERAGE(S73:S75)</f>
        <v>#DIV/0!</v>
      </c>
      <c r="U73" s="733" t="e">
        <f>T73*H73</f>
        <v>#DIV/0!</v>
      </c>
      <c r="V73" s="226"/>
      <c r="W73" s="226"/>
      <c r="X73" s="226"/>
      <c r="Y73" s="226"/>
      <c r="Z73" s="226"/>
      <c r="AA73" s="226"/>
      <c r="AB73" s="226"/>
      <c r="AC73" s="226"/>
      <c r="AD73" s="226"/>
      <c r="AE73" s="226"/>
      <c r="AF73" s="226"/>
      <c r="AG73" s="226"/>
      <c r="AH73" s="226"/>
      <c r="AI73" s="226"/>
      <c r="AJ73" s="226"/>
      <c r="AK73" s="226"/>
      <c r="AL73" s="226"/>
      <c r="AM73" s="226"/>
      <c r="AN73" s="226"/>
      <c r="AO73" s="226"/>
      <c r="AP73" s="226"/>
      <c r="AQ73" s="226"/>
      <c r="AR73" s="226"/>
      <c r="AS73" s="226"/>
      <c r="AT73" s="226"/>
      <c r="AU73" s="226"/>
      <c r="AV73" s="226"/>
      <c r="AW73" s="226"/>
      <c r="AX73" s="226"/>
      <c r="AY73" s="226"/>
      <c r="AZ73" s="226"/>
      <c r="BA73" s="226"/>
      <c r="BB73" s="226"/>
      <c r="BC73" s="226"/>
      <c r="BD73" s="226"/>
      <c r="BE73" s="226"/>
      <c r="BF73" s="226"/>
      <c r="BG73" s="226"/>
      <c r="BH73" s="226"/>
      <c r="BI73" s="226"/>
      <c r="BJ73" s="226"/>
      <c r="BK73" s="226"/>
      <c r="BL73" s="226"/>
      <c r="BM73" s="226"/>
      <c r="BN73" s="226"/>
      <c r="BO73" s="226"/>
      <c r="BP73" s="226"/>
      <c r="BQ73" s="226"/>
      <c r="BR73" s="226"/>
      <c r="BS73" s="226"/>
      <c r="BT73" s="226"/>
      <c r="BU73" s="226"/>
      <c r="BV73" s="226"/>
      <c r="BW73" s="226"/>
      <c r="BX73" s="226"/>
      <c r="BY73" s="226"/>
      <c r="BZ73" s="226"/>
      <c r="CA73" s="226"/>
      <c r="CB73" s="226"/>
      <c r="CC73" s="226"/>
      <c r="CD73" s="226"/>
      <c r="CE73" s="226"/>
      <c r="CF73" s="226"/>
      <c r="CG73" s="226"/>
      <c r="CH73" s="226"/>
      <c r="CI73" s="226"/>
      <c r="CJ73" s="226"/>
      <c r="CK73" s="226"/>
      <c r="CL73" s="226"/>
      <c r="CM73" s="226"/>
      <c r="CN73" s="226"/>
      <c r="CO73" s="226"/>
      <c r="CP73" s="226"/>
      <c r="CQ73" s="226"/>
      <c r="CR73" s="226"/>
      <c r="CS73" s="226"/>
      <c r="CT73" s="226"/>
      <c r="CU73" s="226"/>
      <c r="CV73" s="226"/>
      <c r="CW73" s="226"/>
      <c r="CX73" s="226"/>
      <c r="CY73" s="226"/>
      <c r="CZ73" s="226"/>
      <c r="DA73" s="226"/>
      <c r="DB73" s="226"/>
      <c r="DC73" s="226"/>
      <c r="DD73" s="226"/>
      <c r="DE73" s="226"/>
      <c r="DF73" s="226"/>
      <c r="DG73" s="226"/>
      <c r="DH73" s="226"/>
      <c r="DI73" s="226"/>
      <c r="DJ73" s="226"/>
      <c r="DK73" s="226"/>
      <c r="DL73" s="226"/>
      <c r="DM73" s="226"/>
      <c r="DN73" s="226"/>
      <c r="DO73" s="226"/>
      <c r="DP73" s="226"/>
      <c r="DQ73" s="226"/>
      <c r="DR73" s="226"/>
      <c r="DS73" s="226"/>
    </row>
    <row r="74" spans="1:123" s="211" customFormat="1" ht="178" customHeight="1">
      <c r="A74" s="860"/>
      <c r="B74" s="681"/>
      <c r="C74" s="681"/>
      <c r="D74" s="633"/>
      <c r="E74" s="681"/>
      <c r="F74" s="681"/>
      <c r="G74" s="681"/>
      <c r="H74" s="743"/>
      <c r="I74" s="743"/>
      <c r="J74" s="681"/>
      <c r="K74" s="275" t="s">
        <v>15</v>
      </c>
      <c r="L74" s="303" t="s">
        <v>408</v>
      </c>
      <c r="M74" s="303" t="s">
        <v>409</v>
      </c>
      <c r="N74" s="303" t="s">
        <v>410</v>
      </c>
      <c r="O74" s="303" t="s">
        <v>411</v>
      </c>
      <c r="P74" s="303" t="s">
        <v>412</v>
      </c>
      <c r="Q74" s="654"/>
      <c r="R74" s="649"/>
      <c r="S74" s="289"/>
      <c r="T74" s="649"/>
      <c r="U74" s="669"/>
      <c r="V74" s="226"/>
      <c r="W74" s="226"/>
      <c r="X74" s="226"/>
      <c r="Y74" s="226"/>
      <c r="Z74" s="226"/>
      <c r="AA74" s="226"/>
      <c r="AB74" s="226"/>
      <c r="AC74" s="226"/>
      <c r="AD74" s="226"/>
      <c r="AE74" s="226"/>
      <c r="AF74" s="226"/>
      <c r="AG74" s="226"/>
      <c r="AH74" s="226"/>
      <c r="AI74" s="226"/>
      <c r="AJ74" s="226"/>
      <c r="AK74" s="226"/>
      <c r="AL74" s="226"/>
      <c r="AM74" s="226"/>
      <c r="AN74" s="226"/>
      <c r="AO74" s="226"/>
      <c r="AP74" s="226"/>
      <c r="AQ74" s="226"/>
      <c r="AR74" s="226"/>
      <c r="AS74" s="226"/>
      <c r="AT74" s="226"/>
      <c r="AU74" s="226"/>
      <c r="AV74" s="226"/>
      <c r="AW74" s="226"/>
      <c r="AX74" s="226"/>
      <c r="AY74" s="226"/>
      <c r="AZ74" s="226"/>
      <c r="BA74" s="226"/>
      <c r="BB74" s="226"/>
      <c r="BC74" s="226"/>
      <c r="BD74" s="226"/>
      <c r="BE74" s="226"/>
      <c r="BF74" s="226"/>
      <c r="BG74" s="226"/>
      <c r="BH74" s="226"/>
      <c r="BI74" s="226"/>
      <c r="BJ74" s="226"/>
      <c r="BK74" s="226"/>
      <c r="BL74" s="226"/>
      <c r="BM74" s="226"/>
      <c r="BN74" s="226"/>
      <c r="BO74" s="226"/>
      <c r="BP74" s="226"/>
      <c r="BQ74" s="226"/>
      <c r="BR74" s="226"/>
      <c r="BS74" s="226"/>
      <c r="BT74" s="226"/>
      <c r="BU74" s="226"/>
      <c r="BV74" s="226"/>
      <c r="BW74" s="226"/>
      <c r="BX74" s="226"/>
      <c r="BY74" s="226"/>
      <c r="BZ74" s="226"/>
      <c r="CA74" s="226"/>
      <c r="CB74" s="226"/>
      <c r="CC74" s="226"/>
      <c r="CD74" s="226"/>
      <c r="CE74" s="226"/>
      <c r="CF74" s="226"/>
      <c r="CG74" s="226"/>
      <c r="CH74" s="226"/>
      <c r="CI74" s="226"/>
      <c r="CJ74" s="226"/>
      <c r="CK74" s="226"/>
      <c r="CL74" s="226"/>
      <c r="CM74" s="226"/>
      <c r="CN74" s="226"/>
      <c r="CO74" s="226"/>
      <c r="CP74" s="226"/>
      <c r="CQ74" s="226"/>
      <c r="CR74" s="226"/>
      <c r="CS74" s="226"/>
      <c r="CT74" s="226"/>
      <c r="CU74" s="226"/>
      <c r="CV74" s="226"/>
      <c r="CW74" s="226"/>
      <c r="CX74" s="226"/>
      <c r="CY74" s="226"/>
      <c r="CZ74" s="226"/>
      <c r="DA74" s="226"/>
      <c r="DB74" s="226"/>
      <c r="DC74" s="226"/>
      <c r="DD74" s="226"/>
      <c r="DE74" s="226"/>
      <c r="DF74" s="226"/>
      <c r="DG74" s="226"/>
      <c r="DH74" s="226"/>
      <c r="DI74" s="226"/>
      <c r="DJ74" s="226"/>
      <c r="DK74" s="226"/>
      <c r="DL74" s="226"/>
      <c r="DM74" s="226"/>
      <c r="DN74" s="226"/>
      <c r="DO74" s="226"/>
      <c r="DP74" s="226"/>
      <c r="DQ74" s="226"/>
      <c r="DR74" s="226"/>
      <c r="DS74" s="226"/>
    </row>
    <row r="75" spans="1:123" s="211" customFormat="1" ht="178" customHeight="1">
      <c r="A75" s="860"/>
      <c r="B75" s="681"/>
      <c r="C75" s="681"/>
      <c r="D75" s="634"/>
      <c r="E75" s="681"/>
      <c r="F75" s="681"/>
      <c r="G75" s="681"/>
      <c r="H75" s="743"/>
      <c r="I75" s="743"/>
      <c r="J75" s="681"/>
      <c r="K75" s="275" t="s">
        <v>16</v>
      </c>
      <c r="L75" s="303" t="s">
        <v>413</v>
      </c>
      <c r="M75" s="304"/>
      <c r="N75" s="304"/>
      <c r="O75" s="304"/>
      <c r="P75" s="304"/>
      <c r="Q75" s="654"/>
      <c r="R75" s="649"/>
      <c r="S75" s="289"/>
      <c r="T75" s="649"/>
      <c r="U75" s="669"/>
      <c r="V75" s="226"/>
      <c r="W75" s="226"/>
      <c r="X75" s="226"/>
      <c r="Y75" s="226"/>
      <c r="Z75" s="226"/>
      <c r="AA75" s="226"/>
      <c r="AB75" s="226"/>
      <c r="AC75" s="226"/>
      <c r="AD75" s="226"/>
      <c r="AE75" s="226"/>
      <c r="AF75" s="226"/>
      <c r="AG75" s="226"/>
      <c r="AH75" s="226"/>
      <c r="AI75" s="226"/>
      <c r="AJ75" s="226"/>
      <c r="AK75" s="226"/>
      <c r="AL75" s="226"/>
      <c r="AM75" s="226"/>
      <c r="AN75" s="226"/>
      <c r="AO75" s="226"/>
      <c r="AP75" s="226"/>
      <c r="AQ75" s="226"/>
      <c r="AR75" s="226"/>
      <c r="AS75" s="226"/>
      <c r="AT75" s="226"/>
      <c r="AU75" s="226"/>
      <c r="AV75" s="226"/>
      <c r="AW75" s="226"/>
      <c r="AX75" s="226"/>
      <c r="AY75" s="226"/>
      <c r="AZ75" s="226"/>
      <c r="BA75" s="226"/>
      <c r="BB75" s="226"/>
      <c r="BC75" s="226"/>
      <c r="BD75" s="226"/>
      <c r="BE75" s="226"/>
      <c r="BF75" s="226"/>
      <c r="BG75" s="226"/>
      <c r="BH75" s="226"/>
      <c r="BI75" s="226"/>
      <c r="BJ75" s="226"/>
      <c r="BK75" s="226"/>
      <c r="BL75" s="226"/>
      <c r="BM75" s="226"/>
      <c r="BN75" s="226"/>
      <c r="BO75" s="226"/>
      <c r="BP75" s="226"/>
      <c r="BQ75" s="226"/>
      <c r="BR75" s="226"/>
      <c r="BS75" s="226"/>
      <c r="BT75" s="226"/>
      <c r="BU75" s="226"/>
      <c r="BV75" s="226"/>
      <c r="BW75" s="226"/>
      <c r="BX75" s="226"/>
      <c r="BY75" s="226"/>
      <c r="BZ75" s="226"/>
      <c r="CA75" s="226"/>
      <c r="CB75" s="226"/>
      <c r="CC75" s="226"/>
      <c r="CD75" s="226"/>
      <c r="CE75" s="226"/>
      <c r="CF75" s="226"/>
      <c r="CG75" s="226"/>
      <c r="CH75" s="226"/>
      <c r="CI75" s="226"/>
      <c r="CJ75" s="226"/>
      <c r="CK75" s="226"/>
      <c r="CL75" s="226"/>
      <c r="CM75" s="226"/>
      <c r="CN75" s="226"/>
      <c r="CO75" s="226"/>
      <c r="CP75" s="226"/>
      <c r="CQ75" s="226"/>
      <c r="CR75" s="226"/>
      <c r="CS75" s="226"/>
      <c r="CT75" s="226"/>
      <c r="CU75" s="226"/>
      <c r="CV75" s="226"/>
      <c r="CW75" s="226"/>
      <c r="CX75" s="226"/>
      <c r="CY75" s="226"/>
      <c r="CZ75" s="226"/>
      <c r="DA75" s="226"/>
      <c r="DB75" s="226"/>
      <c r="DC75" s="226"/>
      <c r="DD75" s="226"/>
      <c r="DE75" s="226"/>
      <c r="DF75" s="226"/>
      <c r="DG75" s="226"/>
      <c r="DH75" s="226"/>
      <c r="DI75" s="226"/>
      <c r="DJ75" s="226"/>
      <c r="DK75" s="226"/>
      <c r="DL75" s="226"/>
      <c r="DM75" s="226"/>
      <c r="DN75" s="226"/>
      <c r="DO75" s="226"/>
      <c r="DP75" s="226"/>
      <c r="DQ75" s="226"/>
      <c r="DR75" s="226"/>
      <c r="DS75" s="226"/>
    </row>
    <row r="76" spans="1:123" s="211" customFormat="1" ht="178" customHeight="1">
      <c r="A76" s="860"/>
      <c r="B76" s="681"/>
      <c r="C76" s="681"/>
      <c r="D76" s="640" t="s">
        <v>801</v>
      </c>
      <c r="E76" s="680" t="s">
        <v>414</v>
      </c>
      <c r="F76" s="681"/>
      <c r="G76" s="680" t="s">
        <v>786</v>
      </c>
      <c r="H76" s="873">
        <v>1.4999999999999999E-2</v>
      </c>
      <c r="I76" s="699">
        <v>1</v>
      </c>
      <c r="J76" s="680" t="s">
        <v>415</v>
      </c>
      <c r="K76" s="294" t="s">
        <v>14</v>
      </c>
      <c r="L76" s="303" t="s">
        <v>416</v>
      </c>
      <c r="M76" s="303" t="s">
        <v>417</v>
      </c>
      <c r="N76" s="303" t="s">
        <v>418</v>
      </c>
      <c r="O76" s="303" t="s">
        <v>419</v>
      </c>
      <c r="P76" s="303" t="s">
        <v>420</v>
      </c>
      <c r="Q76" s="653" t="s">
        <v>813</v>
      </c>
      <c r="R76" s="734" t="s">
        <v>810</v>
      </c>
      <c r="S76" s="289"/>
      <c r="T76" s="648" t="e">
        <f>AVERAGE(S76:S78)</f>
        <v>#DIV/0!</v>
      </c>
      <c r="U76" s="668" t="e">
        <f>T76*H76</f>
        <v>#DIV/0!</v>
      </c>
      <c r="V76" s="226"/>
      <c r="W76" s="226"/>
      <c r="X76" s="226"/>
      <c r="Y76" s="226"/>
      <c r="Z76" s="226"/>
      <c r="AA76" s="226"/>
      <c r="AB76" s="226"/>
      <c r="AC76" s="226"/>
      <c r="AD76" s="226"/>
      <c r="AE76" s="226"/>
      <c r="AF76" s="226"/>
      <c r="AG76" s="226"/>
      <c r="AH76" s="226"/>
      <c r="AI76" s="226"/>
      <c r="AJ76" s="226"/>
      <c r="AK76" s="226"/>
      <c r="AL76" s="226"/>
      <c r="AM76" s="226"/>
      <c r="AN76" s="226"/>
      <c r="AO76" s="226"/>
      <c r="AP76" s="226"/>
      <c r="AQ76" s="226"/>
      <c r="AR76" s="226"/>
      <c r="AS76" s="226"/>
      <c r="AT76" s="226"/>
      <c r="AU76" s="226"/>
      <c r="AV76" s="226"/>
      <c r="AW76" s="226"/>
      <c r="AX76" s="226"/>
      <c r="AY76" s="226"/>
      <c r="AZ76" s="226"/>
      <c r="BA76" s="226"/>
      <c r="BB76" s="226"/>
      <c r="BC76" s="226"/>
      <c r="BD76" s="226"/>
      <c r="BE76" s="226"/>
      <c r="BF76" s="226"/>
      <c r="BG76" s="226"/>
      <c r="BH76" s="226"/>
      <c r="BI76" s="226"/>
      <c r="BJ76" s="226"/>
      <c r="BK76" s="226"/>
      <c r="BL76" s="226"/>
      <c r="BM76" s="226"/>
      <c r="BN76" s="226"/>
      <c r="BO76" s="226"/>
      <c r="BP76" s="226"/>
      <c r="BQ76" s="226"/>
      <c r="BR76" s="226"/>
      <c r="BS76" s="226"/>
      <c r="BT76" s="226"/>
      <c r="BU76" s="226"/>
      <c r="BV76" s="226"/>
      <c r="BW76" s="226"/>
      <c r="BX76" s="226"/>
      <c r="BY76" s="226"/>
      <c r="BZ76" s="226"/>
      <c r="CA76" s="226"/>
      <c r="CB76" s="226"/>
      <c r="CC76" s="226"/>
      <c r="CD76" s="226"/>
      <c r="CE76" s="226"/>
      <c r="CF76" s="226"/>
      <c r="CG76" s="226"/>
      <c r="CH76" s="226"/>
      <c r="CI76" s="226"/>
      <c r="CJ76" s="226"/>
      <c r="CK76" s="226"/>
      <c r="CL76" s="226"/>
      <c r="CM76" s="226"/>
      <c r="CN76" s="226"/>
      <c r="CO76" s="226"/>
      <c r="CP76" s="226"/>
      <c r="CQ76" s="226"/>
      <c r="CR76" s="226"/>
      <c r="CS76" s="226"/>
      <c r="CT76" s="226"/>
      <c r="CU76" s="226"/>
      <c r="CV76" s="226"/>
      <c r="CW76" s="226"/>
      <c r="CX76" s="226"/>
      <c r="CY76" s="226"/>
      <c r="CZ76" s="226"/>
      <c r="DA76" s="226"/>
      <c r="DB76" s="226"/>
      <c r="DC76" s="226"/>
      <c r="DD76" s="226"/>
      <c r="DE76" s="226"/>
      <c r="DF76" s="226"/>
      <c r="DG76" s="226"/>
      <c r="DH76" s="226"/>
      <c r="DI76" s="226"/>
      <c r="DJ76" s="226"/>
      <c r="DK76" s="226"/>
      <c r="DL76" s="226"/>
      <c r="DM76" s="226"/>
      <c r="DN76" s="226"/>
      <c r="DO76" s="226"/>
      <c r="DP76" s="226"/>
      <c r="DQ76" s="226"/>
      <c r="DR76" s="226"/>
      <c r="DS76" s="226"/>
    </row>
    <row r="77" spans="1:123" s="211" customFormat="1" ht="178" customHeight="1">
      <c r="A77" s="860"/>
      <c r="B77" s="681"/>
      <c r="C77" s="681"/>
      <c r="D77" s="641"/>
      <c r="E77" s="681"/>
      <c r="F77" s="681"/>
      <c r="G77" s="681"/>
      <c r="H77" s="743"/>
      <c r="I77" s="743"/>
      <c r="J77" s="681"/>
      <c r="K77" s="275" t="s">
        <v>15</v>
      </c>
      <c r="L77" s="303" t="s">
        <v>421</v>
      </c>
      <c r="M77" s="303" t="s">
        <v>422</v>
      </c>
      <c r="N77" s="303" t="s">
        <v>423</v>
      </c>
      <c r="O77" s="303" t="s">
        <v>424</v>
      </c>
      <c r="P77" s="303" t="s">
        <v>425</v>
      </c>
      <c r="Q77" s="654"/>
      <c r="R77" s="735"/>
      <c r="S77" s="289"/>
      <c r="T77" s="649"/>
      <c r="U77" s="669"/>
      <c r="V77" s="226"/>
      <c r="W77" s="226"/>
      <c r="X77" s="226"/>
      <c r="Y77" s="226"/>
      <c r="Z77" s="226"/>
      <c r="AA77" s="226"/>
      <c r="AB77" s="226"/>
      <c r="AC77" s="226"/>
      <c r="AD77" s="226"/>
      <c r="AE77" s="226"/>
      <c r="AF77" s="226"/>
      <c r="AG77" s="226"/>
      <c r="AH77" s="226"/>
      <c r="AI77" s="226"/>
      <c r="AJ77" s="226"/>
      <c r="AK77" s="226"/>
      <c r="AL77" s="226"/>
      <c r="AM77" s="226"/>
      <c r="AN77" s="226"/>
      <c r="AO77" s="226"/>
      <c r="AP77" s="226"/>
      <c r="AQ77" s="226"/>
      <c r="AR77" s="226"/>
      <c r="AS77" s="226"/>
      <c r="AT77" s="226"/>
      <c r="AU77" s="226"/>
      <c r="AV77" s="226"/>
      <c r="AW77" s="226"/>
      <c r="AX77" s="226"/>
      <c r="AY77" s="226"/>
      <c r="AZ77" s="226"/>
      <c r="BA77" s="226"/>
      <c r="BB77" s="226"/>
      <c r="BC77" s="226"/>
      <c r="BD77" s="226"/>
      <c r="BE77" s="226"/>
      <c r="BF77" s="226"/>
      <c r="BG77" s="226"/>
      <c r="BH77" s="226"/>
      <c r="BI77" s="226"/>
      <c r="BJ77" s="226"/>
      <c r="BK77" s="226"/>
      <c r="BL77" s="226"/>
      <c r="BM77" s="226"/>
      <c r="BN77" s="226"/>
      <c r="BO77" s="226"/>
      <c r="BP77" s="226"/>
      <c r="BQ77" s="226"/>
      <c r="BR77" s="226"/>
      <c r="BS77" s="226"/>
      <c r="BT77" s="226"/>
      <c r="BU77" s="226"/>
      <c r="BV77" s="226"/>
      <c r="BW77" s="226"/>
      <c r="BX77" s="226"/>
      <c r="BY77" s="226"/>
      <c r="BZ77" s="226"/>
      <c r="CA77" s="226"/>
      <c r="CB77" s="226"/>
      <c r="CC77" s="226"/>
      <c r="CD77" s="226"/>
      <c r="CE77" s="226"/>
      <c r="CF77" s="226"/>
      <c r="CG77" s="226"/>
      <c r="CH77" s="226"/>
      <c r="CI77" s="226"/>
      <c r="CJ77" s="226"/>
      <c r="CK77" s="226"/>
      <c r="CL77" s="226"/>
      <c r="CM77" s="226"/>
      <c r="CN77" s="226"/>
      <c r="CO77" s="226"/>
      <c r="CP77" s="226"/>
      <c r="CQ77" s="226"/>
      <c r="CR77" s="226"/>
      <c r="CS77" s="226"/>
      <c r="CT77" s="226"/>
      <c r="CU77" s="226"/>
      <c r="CV77" s="226"/>
      <c r="CW77" s="226"/>
      <c r="CX77" s="226"/>
      <c r="CY77" s="226"/>
      <c r="CZ77" s="226"/>
      <c r="DA77" s="226"/>
      <c r="DB77" s="226"/>
      <c r="DC77" s="226"/>
      <c r="DD77" s="226"/>
      <c r="DE77" s="226"/>
      <c r="DF77" s="226"/>
      <c r="DG77" s="226"/>
      <c r="DH77" s="226"/>
      <c r="DI77" s="226"/>
      <c r="DJ77" s="226"/>
      <c r="DK77" s="226"/>
      <c r="DL77" s="226"/>
      <c r="DM77" s="226"/>
      <c r="DN77" s="226"/>
      <c r="DO77" s="226"/>
      <c r="DP77" s="226"/>
      <c r="DQ77" s="226"/>
      <c r="DR77" s="226"/>
      <c r="DS77" s="226"/>
    </row>
    <row r="78" spans="1:123" s="211" customFormat="1" ht="64.5" customHeight="1">
      <c r="A78" s="860"/>
      <c r="B78" s="681"/>
      <c r="C78" s="681"/>
      <c r="D78" s="642"/>
      <c r="E78" s="681"/>
      <c r="F78" s="681"/>
      <c r="G78" s="681"/>
      <c r="H78" s="743"/>
      <c r="I78" s="743"/>
      <c r="J78" s="681"/>
      <c r="K78" s="275" t="s">
        <v>16</v>
      </c>
      <c r="L78" s="304"/>
      <c r="M78" s="304"/>
      <c r="N78" s="304"/>
      <c r="O78" s="304"/>
      <c r="P78" s="304"/>
      <c r="Q78" s="654"/>
      <c r="R78" s="736"/>
      <c r="S78" s="289"/>
      <c r="T78" s="649"/>
      <c r="U78" s="669"/>
      <c r="V78" s="226"/>
      <c r="W78" s="226"/>
      <c r="X78" s="226"/>
      <c r="Y78" s="226"/>
      <c r="Z78" s="226"/>
      <c r="AA78" s="226"/>
      <c r="AB78" s="226"/>
      <c r="AC78" s="226"/>
      <c r="AD78" s="226"/>
      <c r="AE78" s="226"/>
      <c r="AF78" s="226"/>
      <c r="AG78" s="226"/>
      <c r="AH78" s="226"/>
      <c r="AI78" s="226"/>
      <c r="AJ78" s="226"/>
      <c r="AK78" s="226"/>
      <c r="AL78" s="226"/>
      <c r="AM78" s="226"/>
      <c r="AN78" s="226"/>
      <c r="AO78" s="226"/>
      <c r="AP78" s="226"/>
      <c r="AQ78" s="226"/>
      <c r="AR78" s="226"/>
      <c r="AS78" s="226"/>
      <c r="AT78" s="226"/>
      <c r="AU78" s="226"/>
      <c r="AV78" s="226"/>
      <c r="AW78" s="226"/>
      <c r="AX78" s="226"/>
      <c r="AY78" s="226"/>
      <c r="AZ78" s="226"/>
      <c r="BA78" s="226"/>
      <c r="BB78" s="226"/>
      <c r="BC78" s="226"/>
      <c r="BD78" s="226"/>
      <c r="BE78" s="226"/>
      <c r="BF78" s="226"/>
      <c r="BG78" s="226"/>
      <c r="BH78" s="226"/>
      <c r="BI78" s="226"/>
      <c r="BJ78" s="226"/>
      <c r="BK78" s="226"/>
      <c r="BL78" s="226"/>
      <c r="BM78" s="226"/>
      <c r="BN78" s="226"/>
      <c r="BO78" s="226"/>
      <c r="BP78" s="226"/>
      <c r="BQ78" s="226"/>
      <c r="BR78" s="226"/>
      <c r="BS78" s="226"/>
      <c r="BT78" s="226"/>
      <c r="BU78" s="226"/>
      <c r="BV78" s="226"/>
      <c r="BW78" s="226"/>
      <c r="BX78" s="226"/>
      <c r="BY78" s="226"/>
      <c r="BZ78" s="226"/>
      <c r="CA78" s="226"/>
      <c r="CB78" s="226"/>
      <c r="CC78" s="226"/>
      <c r="CD78" s="226"/>
      <c r="CE78" s="226"/>
      <c r="CF78" s="226"/>
      <c r="CG78" s="226"/>
      <c r="CH78" s="226"/>
      <c r="CI78" s="226"/>
      <c r="CJ78" s="226"/>
      <c r="CK78" s="226"/>
      <c r="CL78" s="226"/>
      <c r="CM78" s="226"/>
      <c r="CN78" s="226"/>
      <c r="CO78" s="226"/>
      <c r="CP78" s="226"/>
      <c r="CQ78" s="226"/>
      <c r="CR78" s="226"/>
      <c r="CS78" s="226"/>
      <c r="CT78" s="226"/>
      <c r="CU78" s="226"/>
      <c r="CV78" s="226"/>
      <c r="CW78" s="226"/>
      <c r="CX78" s="226"/>
      <c r="CY78" s="226"/>
      <c r="CZ78" s="226"/>
      <c r="DA78" s="226"/>
      <c r="DB78" s="226"/>
      <c r="DC78" s="226"/>
      <c r="DD78" s="226"/>
      <c r="DE78" s="226"/>
      <c r="DF78" s="226"/>
      <c r="DG78" s="226"/>
      <c r="DH78" s="226"/>
      <c r="DI78" s="226"/>
      <c r="DJ78" s="226"/>
      <c r="DK78" s="226"/>
      <c r="DL78" s="226"/>
      <c r="DM78" s="226"/>
      <c r="DN78" s="226"/>
      <c r="DO78" s="226"/>
      <c r="DP78" s="226"/>
      <c r="DQ78" s="226"/>
      <c r="DR78" s="226"/>
      <c r="DS78" s="226"/>
    </row>
    <row r="79" spans="1:123" s="211" customFormat="1" ht="151.5" customHeight="1">
      <c r="A79" s="860"/>
      <c r="B79" s="681"/>
      <c r="C79" s="681"/>
      <c r="D79" s="637" t="s">
        <v>802</v>
      </c>
      <c r="E79" s="680" t="s">
        <v>426</v>
      </c>
      <c r="F79" s="681"/>
      <c r="G79" s="680" t="s">
        <v>786</v>
      </c>
      <c r="H79" s="873">
        <v>1.4999999999999999E-2</v>
      </c>
      <c r="I79" s="742">
        <v>1</v>
      </c>
      <c r="J79" s="680" t="s">
        <v>427</v>
      </c>
      <c r="K79" s="294" t="s">
        <v>14</v>
      </c>
      <c r="L79" s="303" t="s">
        <v>428</v>
      </c>
      <c r="M79" s="303" t="s">
        <v>429</v>
      </c>
      <c r="N79" s="303" t="s">
        <v>430</v>
      </c>
      <c r="O79" s="303" t="s">
        <v>431</v>
      </c>
      <c r="P79" s="303" t="s">
        <v>432</v>
      </c>
      <c r="Q79" s="653" t="s">
        <v>811</v>
      </c>
      <c r="R79" s="680" t="s">
        <v>810</v>
      </c>
      <c r="S79" s="289"/>
      <c r="T79" s="648" t="e">
        <f>AVERAGE(S79:S81)</f>
        <v>#DIV/0!</v>
      </c>
      <c r="U79" s="668" t="e">
        <f>T79*H79</f>
        <v>#DIV/0!</v>
      </c>
      <c r="V79" s="226"/>
      <c r="W79" s="226"/>
      <c r="X79" s="226"/>
      <c r="Y79" s="226"/>
      <c r="Z79" s="226"/>
      <c r="AA79" s="226"/>
      <c r="AB79" s="226"/>
      <c r="AC79" s="226"/>
      <c r="AD79" s="226"/>
      <c r="AE79" s="226"/>
      <c r="AF79" s="226"/>
      <c r="AG79" s="226"/>
      <c r="AH79" s="226"/>
      <c r="AI79" s="226"/>
      <c r="AJ79" s="226"/>
      <c r="AK79" s="226"/>
      <c r="AL79" s="226"/>
      <c r="AM79" s="226"/>
      <c r="AN79" s="226"/>
      <c r="AO79" s="226"/>
      <c r="AP79" s="226"/>
      <c r="AQ79" s="226"/>
      <c r="AR79" s="226"/>
      <c r="AS79" s="226"/>
      <c r="AT79" s="226"/>
      <c r="AU79" s="226"/>
      <c r="AV79" s="226"/>
      <c r="AW79" s="226"/>
      <c r="AX79" s="226"/>
      <c r="AY79" s="226"/>
      <c r="AZ79" s="226"/>
      <c r="BA79" s="226"/>
      <c r="BB79" s="226"/>
      <c r="BC79" s="226"/>
      <c r="BD79" s="226"/>
      <c r="BE79" s="226"/>
      <c r="BF79" s="226"/>
      <c r="BG79" s="226"/>
      <c r="BH79" s="226"/>
      <c r="BI79" s="226"/>
      <c r="BJ79" s="226"/>
      <c r="BK79" s="226"/>
      <c r="BL79" s="226"/>
      <c r="BM79" s="226"/>
      <c r="BN79" s="226"/>
      <c r="BO79" s="226"/>
      <c r="BP79" s="226"/>
      <c r="BQ79" s="226"/>
      <c r="BR79" s="226"/>
      <c r="BS79" s="226"/>
      <c r="BT79" s="226"/>
      <c r="BU79" s="226"/>
      <c r="BV79" s="226"/>
      <c r="BW79" s="226"/>
      <c r="BX79" s="226"/>
      <c r="BY79" s="226"/>
      <c r="BZ79" s="226"/>
      <c r="CA79" s="226"/>
      <c r="CB79" s="226"/>
      <c r="CC79" s="226"/>
      <c r="CD79" s="226"/>
      <c r="CE79" s="226"/>
      <c r="CF79" s="226"/>
      <c r="CG79" s="226"/>
      <c r="CH79" s="226"/>
      <c r="CI79" s="226"/>
      <c r="CJ79" s="226"/>
      <c r="CK79" s="226"/>
      <c r="CL79" s="226"/>
      <c r="CM79" s="226"/>
      <c r="CN79" s="226"/>
      <c r="CO79" s="226"/>
      <c r="CP79" s="226"/>
      <c r="CQ79" s="226"/>
      <c r="CR79" s="226"/>
      <c r="CS79" s="226"/>
      <c r="CT79" s="226"/>
      <c r="CU79" s="226"/>
      <c r="CV79" s="226"/>
      <c r="CW79" s="226"/>
      <c r="CX79" s="226"/>
      <c r="CY79" s="226"/>
      <c r="CZ79" s="226"/>
      <c r="DA79" s="226"/>
      <c r="DB79" s="226"/>
      <c r="DC79" s="226"/>
      <c r="DD79" s="226"/>
      <c r="DE79" s="226"/>
      <c r="DF79" s="226"/>
      <c r="DG79" s="226"/>
      <c r="DH79" s="226"/>
      <c r="DI79" s="226"/>
      <c r="DJ79" s="226"/>
      <c r="DK79" s="226"/>
      <c r="DL79" s="226"/>
      <c r="DM79" s="226"/>
      <c r="DN79" s="226"/>
      <c r="DO79" s="226"/>
      <c r="DP79" s="226"/>
      <c r="DQ79" s="226"/>
      <c r="DR79" s="226"/>
      <c r="DS79" s="226"/>
    </row>
    <row r="80" spans="1:123" s="211" customFormat="1" ht="156.5" customHeight="1">
      <c r="A80" s="860"/>
      <c r="B80" s="681"/>
      <c r="C80" s="681"/>
      <c r="D80" s="638"/>
      <c r="E80" s="741"/>
      <c r="F80" s="681"/>
      <c r="G80" s="681"/>
      <c r="H80" s="743"/>
      <c r="I80" s="743"/>
      <c r="J80" s="681"/>
      <c r="K80" s="275" t="s">
        <v>15</v>
      </c>
      <c r="L80" s="303" t="s">
        <v>433</v>
      </c>
      <c r="M80" s="303" t="s">
        <v>434</v>
      </c>
      <c r="N80" s="303" t="s">
        <v>435</v>
      </c>
      <c r="O80" s="303" t="s">
        <v>436</v>
      </c>
      <c r="P80" s="303" t="s">
        <v>437</v>
      </c>
      <c r="Q80" s="654"/>
      <c r="R80" s="681"/>
      <c r="S80" s="289"/>
      <c r="T80" s="649"/>
      <c r="U80" s="669"/>
      <c r="V80" s="226"/>
      <c r="W80" s="226"/>
      <c r="X80" s="226"/>
      <c r="Y80" s="226"/>
      <c r="Z80" s="226"/>
      <c r="AA80" s="226"/>
      <c r="AB80" s="226"/>
      <c r="AC80" s="226"/>
      <c r="AD80" s="226"/>
      <c r="AE80" s="226"/>
      <c r="AF80" s="226"/>
      <c r="AG80" s="226"/>
      <c r="AH80" s="226"/>
      <c r="AI80" s="226"/>
      <c r="AJ80" s="226"/>
      <c r="AK80" s="226"/>
      <c r="AL80" s="226"/>
      <c r="AM80" s="226"/>
      <c r="AN80" s="226"/>
      <c r="AO80" s="226"/>
      <c r="AP80" s="226"/>
      <c r="AQ80" s="226"/>
      <c r="AR80" s="226"/>
      <c r="AS80" s="226"/>
      <c r="AT80" s="226"/>
      <c r="AU80" s="226"/>
      <c r="AV80" s="226"/>
      <c r="AW80" s="226"/>
      <c r="AX80" s="226"/>
      <c r="AY80" s="226"/>
      <c r="AZ80" s="226"/>
      <c r="BA80" s="226"/>
      <c r="BB80" s="226"/>
      <c r="BC80" s="226"/>
      <c r="BD80" s="226"/>
      <c r="BE80" s="226"/>
      <c r="BF80" s="226"/>
      <c r="BG80" s="226"/>
      <c r="BH80" s="226"/>
      <c r="BI80" s="226"/>
      <c r="BJ80" s="226"/>
      <c r="BK80" s="226"/>
      <c r="BL80" s="226"/>
      <c r="BM80" s="226"/>
      <c r="BN80" s="226"/>
      <c r="BO80" s="226"/>
      <c r="BP80" s="226"/>
      <c r="BQ80" s="226"/>
      <c r="BR80" s="226"/>
      <c r="BS80" s="226"/>
      <c r="BT80" s="226"/>
      <c r="BU80" s="226"/>
      <c r="BV80" s="226"/>
      <c r="BW80" s="226"/>
      <c r="BX80" s="226"/>
      <c r="BY80" s="226"/>
      <c r="BZ80" s="226"/>
      <c r="CA80" s="226"/>
      <c r="CB80" s="226"/>
      <c r="CC80" s="226"/>
      <c r="CD80" s="226"/>
      <c r="CE80" s="226"/>
      <c r="CF80" s="226"/>
      <c r="CG80" s="226"/>
      <c r="CH80" s="226"/>
      <c r="CI80" s="226"/>
      <c r="CJ80" s="226"/>
      <c r="CK80" s="226"/>
      <c r="CL80" s="226"/>
      <c r="CM80" s="226"/>
      <c r="CN80" s="226"/>
      <c r="CO80" s="226"/>
      <c r="CP80" s="226"/>
      <c r="CQ80" s="226"/>
      <c r="CR80" s="226"/>
      <c r="CS80" s="226"/>
      <c r="CT80" s="226"/>
      <c r="CU80" s="226"/>
      <c r="CV80" s="226"/>
      <c r="CW80" s="226"/>
      <c r="CX80" s="226"/>
      <c r="CY80" s="226"/>
      <c r="CZ80" s="226"/>
      <c r="DA80" s="226"/>
      <c r="DB80" s="226"/>
      <c r="DC80" s="226"/>
      <c r="DD80" s="226"/>
      <c r="DE80" s="226"/>
      <c r="DF80" s="226"/>
      <c r="DG80" s="226"/>
      <c r="DH80" s="226"/>
      <c r="DI80" s="226"/>
      <c r="DJ80" s="226"/>
      <c r="DK80" s="226"/>
      <c r="DL80" s="226"/>
      <c r="DM80" s="226"/>
      <c r="DN80" s="226"/>
      <c r="DO80" s="226"/>
      <c r="DP80" s="226"/>
      <c r="DQ80" s="226"/>
      <c r="DR80" s="226"/>
      <c r="DS80" s="226"/>
    </row>
    <row r="81" spans="1:123" s="211" customFormat="1" ht="183" customHeight="1" thickBot="1">
      <c r="A81" s="861"/>
      <c r="B81" s="682"/>
      <c r="C81" s="682"/>
      <c r="D81" s="639"/>
      <c r="E81" s="682"/>
      <c r="F81" s="682"/>
      <c r="G81" s="682"/>
      <c r="H81" s="872"/>
      <c r="I81" s="872"/>
      <c r="J81" s="682"/>
      <c r="K81" s="328" t="s">
        <v>16</v>
      </c>
      <c r="L81" s="329" t="s">
        <v>438</v>
      </c>
      <c r="M81" s="329" t="s">
        <v>439</v>
      </c>
      <c r="N81" s="329" t="s">
        <v>440</v>
      </c>
      <c r="O81" s="329" t="s">
        <v>441</v>
      </c>
      <c r="P81" s="329" t="s">
        <v>442</v>
      </c>
      <c r="Q81" s="679"/>
      <c r="R81" s="682"/>
      <c r="S81" s="330"/>
      <c r="T81" s="650"/>
      <c r="U81" s="670"/>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X81" s="226"/>
      <c r="AY81" s="226"/>
      <c r="AZ81" s="226"/>
      <c r="BA81" s="226"/>
      <c r="BB81" s="226"/>
      <c r="BC81" s="226"/>
      <c r="BD81" s="226"/>
      <c r="BE81" s="226"/>
      <c r="BF81" s="226"/>
      <c r="BG81" s="226"/>
      <c r="BH81" s="226"/>
      <c r="BI81" s="226"/>
      <c r="BJ81" s="226"/>
      <c r="BK81" s="226"/>
      <c r="BL81" s="226"/>
      <c r="BM81" s="226"/>
      <c r="BN81" s="226"/>
      <c r="BO81" s="226"/>
      <c r="BP81" s="226"/>
      <c r="BQ81" s="226"/>
      <c r="BR81" s="226"/>
      <c r="BS81" s="226"/>
      <c r="BT81" s="226"/>
      <c r="BU81" s="226"/>
      <c r="BV81" s="226"/>
      <c r="BW81" s="226"/>
      <c r="BX81" s="226"/>
      <c r="BY81" s="226"/>
      <c r="BZ81" s="226"/>
      <c r="CA81" s="226"/>
      <c r="CB81" s="226"/>
      <c r="CC81" s="226"/>
      <c r="CD81" s="226"/>
      <c r="CE81" s="226"/>
      <c r="CF81" s="226"/>
      <c r="CG81" s="226"/>
      <c r="CH81" s="226"/>
      <c r="CI81" s="226"/>
      <c r="CJ81" s="226"/>
      <c r="CK81" s="226"/>
      <c r="CL81" s="226"/>
      <c r="CM81" s="226"/>
      <c r="CN81" s="226"/>
      <c r="CO81" s="226"/>
      <c r="CP81" s="226"/>
      <c r="CQ81" s="226"/>
      <c r="CR81" s="226"/>
      <c r="CS81" s="226"/>
      <c r="CT81" s="226"/>
      <c r="CU81" s="226"/>
      <c r="CV81" s="226"/>
      <c r="CW81" s="226"/>
      <c r="CX81" s="226"/>
      <c r="CY81" s="226"/>
      <c r="CZ81" s="226"/>
      <c r="DA81" s="226"/>
      <c r="DB81" s="226"/>
      <c r="DC81" s="226"/>
      <c r="DD81" s="226"/>
      <c r="DE81" s="226"/>
      <c r="DF81" s="226"/>
      <c r="DG81" s="226"/>
      <c r="DH81" s="226"/>
      <c r="DI81" s="226"/>
      <c r="DJ81" s="226"/>
      <c r="DK81" s="226"/>
      <c r="DL81" s="226"/>
      <c r="DM81" s="226"/>
      <c r="DN81" s="226"/>
      <c r="DO81" s="226"/>
      <c r="DP81" s="226"/>
      <c r="DQ81" s="226"/>
      <c r="DR81" s="226"/>
      <c r="DS81" s="226"/>
    </row>
    <row r="82" spans="1:123" ht="43" customHeight="1" thickBot="1">
      <c r="A82" s="671"/>
      <c r="B82" s="672"/>
      <c r="C82" s="672"/>
      <c r="D82" s="672"/>
      <c r="E82" s="672"/>
      <c r="F82" s="672"/>
      <c r="G82" s="672"/>
      <c r="H82" s="672"/>
      <c r="I82" s="672"/>
      <c r="J82" s="672"/>
      <c r="K82" s="672"/>
      <c r="L82" s="672"/>
      <c r="M82" s="672"/>
      <c r="N82" s="672"/>
      <c r="O82" s="672"/>
      <c r="P82" s="672"/>
      <c r="Q82" s="673" t="s">
        <v>76</v>
      </c>
      <c r="R82" s="674"/>
      <c r="S82" s="674"/>
      <c r="T82" s="675"/>
      <c r="U82" s="335" t="e">
        <f>SUM(U16:U81)</f>
        <v>#DIV/0!</v>
      </c>
      <c r="V82" s="227"/>
      <c r="W82" s="227"/>
      <c r="X82" s="227"/>
      <c r="Y82" s="227"/>
      <c r="Z82" s="227"/>
      <c r="AA82" s="227"/>
      <c r="AB82" s="227"/>
      <c r="AC82" s="227"/>
      <c r="AD82" s="227"/>
    </row>
    <row r="83" spans="1:123" ht="24.75" customHeight="1">
      <c r="A83" s="228"/>
      <c r="B83" s="228"/>
      <c r="C83" s="228"/>
      <c r="D83" s="228"/>
      <c r="E83" s="228"/>
      <c r="F83" s="228"/>
      <c r="G83" s="228"/>
      <c r="H83" s="229"/>
      <c r="I83" s="296"/>
      <c r="J83" s="228"/>
      <c r="K83" s="228"/>
      <c r="L83" s="228"/>
      <c r="M83" s="228"/>
      <c r="N83" s="228"/>
      <c r="O83" s="228"/>
      <c r="P83" s="228"/>
      <c r="Q83" s="313"/>
      <c r="R83" s="228"/>
      <c r="S83" s="230"/>
      <c r="T83" s="231"/>
      <c r="U83" s="231"/>
      <c r="V83" s="227"/>
      <c r="W83" s="227"/>
      <c r="X83" s="227"/>
      <c r="Y83" s="227"/>
      <c r="Z83" s="227"/>
      <c r="AA83" s="227"/>
      <c r="AB83" s="227"/>
      <c r="AC83" s="227"/>
      <c r="AD83" s="227"/>
    </row>
    <row r="84" spans="1:123" ht="125.5" customHeight="1" thickBot="1">
      <c r="A84" s="676" t="s">
        <v>725</v>
      </c>
      <c r="B84" s="677"/>
      <c r="C84" s="677"/>
      <c r="D84" s="677"/>
      <c r="E84" s="677"/>
      <c r="F84" s="677"/>
      <c r="G84" s="677"/>
      <c r="H84" s="677"/>
      <c r="I84" s="677"/>
      <c r="J84" s="677"/>
      <c r="K84" s="677"/>
      <c r="L84" s="677"/>
      <c r="M84" s="677"/>
      <c r="N84" s="677"/>
      <c r="O84" s="677"/>
      <c r="P84" s="677"/>
      <c r="Q84" s="677"/>
      <c r="R84" s="677"/>
      <c r="S84" s="677"/>
      <c r="T84" s="677"/>
      <c r="U84" s="678"/>
      <c r="V84" s="227"/>
      <c r="W84" s="227"/>
      <c r="X84" s="227"/>
      <c r="Y84" s="227"/>
      <c r="Z84" s="227"/>
      <c r="AA84" s="227"/>
      <c r="AB84" s="227"/>
      <c r="AC84" s="227"/>
      <c r="AD84" s="227"/>
    </row>
    <row r="85" spans="1:123" ht="24.75" customHeight="1" thickBot="1">
      <c r="A85" s="700" t="s">
        <v>78</v>
      </c>
      <c r="B85" s="701"/>
      <c r="C85" s="701"/>
      <c r="D85" s="701"/>
      <c r="E85" s="701"/>
      <c r="F85" s="701"/>
      <c r="G85" s="701"/>
      <c r="H85" s="701"/>
      <c r="I85" s="701"/>
      <c r="J85" s="701"/>
      <c r="K85" s="701"/>
      <c r="L85" s="701"/>
      <c r="M85" s="701"/>
      <c r="N85" s="701"/>
      <c r="O85" s="701"/>
      <c r="P85" s="701"/>
      <c r="Q85" s="702"/>
      <c r="R85" s="703" t="s">
        <v>29</v>
      </c>
      <c r="S85" s="701"/>
      <c r="T85" s="701"/>
      <c r="U85" s="704"/>
      <c r="V85" s="227"/>
      <c r="W85" s="227"/>
      <c r="X85" s="227"/>
      <c r="Y85" s="227"/>
      <c r="Z85" s="227"/>
      <c r="AA85" s="227"/>
      <c r="AB85" s="227"/>
      <c r="AC85" s="227"/>
      <c r="AD85" s="227"/>
    </row>
    <row r="86" spans="1:123" s="232" customFormat="1" ht="83.5" customHeight="1">
      <c r="A86" s="708" t="s">
        <v>79</v>
      </c>
      <c r="B86" s="706"/>
      <c r="C86" s="706"/>
      <c r="D86" s="706"/>
      <c r="E86" s="705" t="s">
        <v>80</v>
      </c>
      <c r="F86" s="706"/>
      <c r="G86" s="705" t="s">
        <v>8</v>
      </c>
      <c r="H86" s="727" t="s">
        <v>9</v>
      </c>
      <c r="I86" s="705" t="s">
        <v>726</v>
      </c>
      <c r="J86" s="706"/>
      <c r="K86" s="705" t="s">
        <v>727</v>
      </c>
      <c r="L86" s="705" t="s">
        <v>83</v>
      </c>
      <c r="M86" s="706"/>
      <c r="N86" s="706"/>
      <c r="O86" s="706"/>
      <c r="P86" s="706"/>
      <c r="Q86" s="761" t="s">
        <v>34</v>
      </c>
      <c r="R86" s="705" t="s">
        <v>84</v>
      </c>
      <c r="S86" s="724" t="s">
        <v>36</v>
      </c>
      <c r="T86" s="724" t="s">
        <v>37</v>
      </c>
      <c r="U86" s="728" t="s">
        <v>38</v>
      </c>
      <c r="V86" s="215"/>
      <c r="W86" s="215"/>
      <c r="X86" s="215"/>
      <c r="Y86" s="215"/>
      <c r="Z86" s="215"/>
      <c r="AA86" s="215"/>
      <c r="AB86" s="215"/>
      <c r="AC86" s="215"/>
      <c r="AD86" s="215"/>
      <c r="AE86" s="215" t="s">
        <v>760</v>
      </c>
      <c r="AF86" s="215"/>
      <c r="AG86" s="215"/>
      <c r="AH86" s="215"/>
      <c r="AI86" s="215"/>
      <c r="AJ86" s="215"/>
      <c r="AK86" s="215"/>
      <c r="AL86" s="215"/>
      <c r="AM86" s="215"/>
      <c r="AN86" s="215"/>
      <c r="AO86" s="215"/>
      <c r="AP86" s="215"/>
      <c r="AQ86" s="215"/>
      <c r="AR86" s="215"/>
      <c r="AS86" s="215"/>
      <c r="AT86" s="215"/>
      <c r="AU86" s="215"/>
      <c r="AV86" s="215"/>
      <c r="AW86" s="215"/>
      <c r="AX86" s="215"/>
      <c r="AY86" s="215"/>
      <c r="AZ86" s="215"/>
      <c r="BA86" s="215"/>
      <c r="BB86" s="215"/>
      <c r="BC86" s="215"/>
      <c r="BD86" s="215"/>
      <c r="BE86" s="215"/>
      <c r="BF86" s="215"/>
      <c r="BG86" s="215"/>
      <c r="BH86" s="215"/>
      <c r="BI86" s="215"/>
      <c r="BJ86" s="215"/>
      <c r="BK86" s="215"/>
      <c r="BL86" s="215"/>
      <c r="BM86" s="215"/>
      <c r="BN86" s="215"/>
      <c r="BO86" s="215"/>
      <c r="BP86" s="215"/>
      <c r="BQ86" s="215"/>
      <c r="BR86" s="215"/>
      <c r="BS86" s="215"/>
      <c r="BT86" s="215"/>
      <c r="BU86" s="215"/>
      <c r="BV86" s="215"/>
      <c r="BW86" s="215"/>
      <c r="BX86" s="215"/>
      <c r="BY86" s="215"/>
      <c r="BZ86" s="215"/>
      <c r="CA86" s="215"/>
      <c r="CB86" s="215"/>
      <c r="CC86" s="215"/>
      <c r="CD86" s="215"/>
      <c r="CE86" s="215"/>
      <c r="CF86" s="215"/>
      <c r="CG86" s="215"/>
      <c r="CH86" s="215"/>
      <c r="CI86" s="215"/>
      <c r="CJ86" s="215"/>
      <c r="CK86" s="215"/>
      <c r="CL86" s="215"/>
      <c r="CM86" s="215"/>
      <c r="CN86" s="215"/>
      <c r="CO86" s="215"/>
      <c r="CP86" s="215"/>
      <c r="CQ86" s="215"/>
      <c r="CR86" s="215"/>
      <c r="CS86" s="215"/>
      <c r="CT86" s="215"/>
      <c r="CU86" s="215"/>
      <c r="CV86" s="215"/>
      <c r="CW86" s="215"/>
      <c r="CX86" s="215"/>
      <c r="CY86" s="215"/>
      <c r="CZ86" s="215"/>
      <c r="DA86" s="215"/>
      <c r="DB86" s="215"/>
      <c r="DC86" s="215"/>
      <c r="DD86" s="215"/>
      <c r="DE86" s="215"/>
      <c r="DF86" s="215"/>
      <c r="DG86" s="215"/>
      <c r="DH86" s="215"/>
      <c r="DI86" s="215"/>
      <c r="DJ86" s="215"/>
      <c r="DK86" s="215"/>
      <c r="DL86" s="215"/>
      <c r="DM86" s="215"/>
      <c r="DN86" s="215"/>
      <c r="DO86" s="215"/>
      <c r="DP86" s="215"/>
      <c r="DQ86" s="215"/>
      <c r="DR86" s="215"/>
      <c r="DS86" s="215"/>
    </row>
    <row r="87" spans="1:123" s="232" customFormat="1" ht="72" customHeight="1" thickBot="1">
      <c r="A87" s="709"/>
      <c r="B87" s="707"/>
      <c r="C87" s="707"/>
      <c r="D87" s="707"/>
      <c r="E87" s="707"/>
      <c r="F87" s="707"/>
      <c r="G87" s="707"/>
      <c r="H87" s="707"/>
      <c r="I87" s="336" t="s">
        <v>728</v>
      </c>
      <c r="J87" s="336" t="s">
        <v>729</v>
      </c>
      <c r="K87" s="707"/>
      <c r="L87" s="336" t="s">
        <v>43</v>
      </c>
      <c r="M87" s="336" t="s">
        <v>44</v>
      </c>
      <c r="N87" s="336" t="s">
        <v>45</v>
      </c>
      <c r="O87" s="336" t="s">
        <v>46</v>
      </c>
      <c r="P87" s="336" t="s">
        <v>47</v>
      </c>
      <c r="Q87" s="637"/>
      <c r="R87" s="707"/>
      <c r="S87" s="707"/>
      <c r="T87" s="707"/>
      <c r="U87" s="729"/>
      <c r="V87" s="227"/>
      <c r="W87" s="227"/>
      <c r="X87" s="227"/>
      <c r="Y87" s="227"/>
      <c r="Z87" s="227"/>
      <c r="AA87" s="227"/>
      <c r="AB87" s="227"/>
      <c r="AC87" s="227"/>
      <c r="AD87" s="227"/>
      <c r="AE87" s="215"/>
      <c r="AF87" s="215"/>
      <c r="AG87" s="215"/>
      <c r="AH87" s="215"/>
      <c r="AI87" s="215"/>
      <c r="AJ87" s="215"/>
      <c r="AK87" s="215"/>
      <c r="AL87" s="215"/>
      <c r="AM87" s="215"/>
      <c r="AN87" s="215"/>
      <c r="AO87" s="215"/>
      <c r="AP87" s="215"/>
      <c r="AQ87" s="215"/>
      <c r="AR87" s="215"/>
      <c r="AS87" s="215"/>
      <c r="AT87" s="215"/>
      <c r="AU87" s="215"/>
      <c r="AV87" s="215"/>
      <c r="AW87" s="215"/>
      <c r="AX87" s="215"/>
      <c r="AY87" s="215"/>
      <c r="AZ87" s="215"/>
      <c r="BA87" s="215"/>
      <c r="BB87" s="215"/>
      <c r="BC87" s="215"/>
      <c r="BD87" s="215"/>
      <c r="BE87" s="215"/>
      <c r="BF87" s="215"/>
      <c r="BG87" s="215"/>
      <c r="BH87" s="215"/>
      <c r="BI87" s="215"/>
      <c r="BJ87" s="215"/>
      <c r="BK87" s="215"/>
      <c r="BL87" s="215"/>
      <c r="BM87" s="215"/>
      <c r="BN87" s="215"/>
      <c r="BO87" s="215"/>
      <c r="BP87" s="215"/>
      <c r="BQ87" s="215"/>
      <c r="BR87" s="215"/>
      <c r="BS87" s="215"/>
      <c r="BT87" s="215"/>
      <c r="BU87" s="215"/>
      <c r="BV87" s="215"/>
      <c r="BW87" s="215"/>
      <c r="BX87" s="215"/>
      <c r="BY87" s="215"/>
      <c r="BZ87" s="215"/>
      <c r="CA87" s="215"/>
      <c r="CB87" s="215"/>
      <c r="CC87" s="215"/>
      <c r="CD87" s="215"/>
      <c r="CE87" s="215"/>
      <c r="CF87" s="215"/>
      <c r="CG87" s="215"/>
      <c r="CH87" s="215"/>
      <c r="CI87" s="215"/>
      <c r="CJ87" s="215"/>
      <c r="CK87" s="215"/>
      <c r="CL87" s="215"/>
      <c r="CM87" s="215"/>
      <c r="CN87" s="215"/>
      <c r="CO87" s="215"/>
      <c r="CP87" s="215"/>
      <c r="CQ87" s="215"/>
      <c r="CR87" s="215"/>
      <c r="CS87" s="215"/>
      <c r="CT87" s="215"/>
      <c r="CU87" s="215"/>
      <c r="CV87" s="215"/>
      <c r="CW87" s="215"/>
      <c r="CX87" s="215"/>
      <c r="CY87" s="215"/>
      <c r="CZ87" s="215"/>
      <c r="DA87" s="215"/>
      <c r="DB87" s="215"/>
      <c r="DC87" s="215"/>
      <c r="DD87" s="215"/>
      <c r="DE87" s="215"/>
      <c r="DF87" s="215"/>
      <c r="DG87" s="215"/>
      <c r="DH87" s="215"/>
      <c r="DI87" s="215"/>
      <c r="DJ87" s="215"/>
      <c r="DK87" s="215"/>
      <c r="DL87" s="215"/>
      <c r="DM87" s="215"/>
      <c r="DN87" s="215"/>
      <c r="DO87" s="215"/>
      <c r="DP87" s="215"/>
      <c r="DQ87" s="215"/>
      <c r="DR87" s="215"/>
      <c r="DS87" s="215"/>
    </row>
    <row r="88" spans="1:123" s="233" customFormat="1" ht="104" customHeight="1">
      <c r="A88" s="710" t="s">
        <v>147</v>
      </c>
      <c r="B88" s="711"/>
      <c r="C88" s="711"/>
      <c r="D88" s="711"/>
      <c r="E88" s="712" t="s">
        <v>821</v>
      </c>
      <c r="F88" s="713"/>
      <c r="G88" s="715" t="s">
        <v>786</v>
      </c>
      <c r="H88" s="730">
        <v>0.05</v>
      </c>
      <c r="I88" s="715">
        <v>6</v>
      </c>
      <c r="J88" s="712" t="s">
        <v>443</v>
      </c>
      <c r="K88" s="339" t="s">
        <v>14</v>
      </c>
      <c r="L88" s="325" t="s">
        <v>806</v>
      </c>
      <c r="M88" s="325" t="s">
        <v>444</v>
      </c>
      <c r="N88" s="325" t="s">
        <v>445</v>
      </c>
      <c r="O88" s="325" t="s">
        <v>807</v>
      </c>
      <c r="P88" s="325" t="s">
        <v>446</v>
      </c>
      <c r="Q88" s="712" t="s">
        <v>761</v>
      </c>
      <c r="R88" s="762"/>
      <c r="S88" s="327"/>
      <c r="T88" s="725" t="e">
        <f>AVERAGE(S88:S90)</f>
        <v>#DIV/0!</v>
      </c>
      <c r="U88" s="726" t="e">
        <f>T88*H88</f>
        <v>#DIV/0!</v>
      </c>
    </row>
    <row r="89" spans="1:123" s="234" customFormat="1" ht="155.5" customHeight="1">
      <c r="A89" s="691"/>
      <c r="B89" s="689"/>
      <c r="C89" s="689"/>
      <c r="D89" s="690"/>
      <c r="E89" s="714"/>
      <c r="F89" s="714"/>
      <c r="G89" s="698"/>
      <c r="H89" s="698"/>
      <c r="I89" s="698"/>
      <c r="J89" s="714"/>
      <c r="K89" s="238" t="s">
        <v>15</v>
      </c>
      <c r="L89" s="302" t="s">
        <v>447</v>
      </c>
      <c r="M89" s="302" t="s">
        <v>448</v>
      </c>
      <c r="N89" s="302" t="s">
        <v>449</v>
      </c>
      <c r="O89" s="302" t="s">
        <v>450</v>
      </c>
      <c r="P89" s="302" t="s">
        <v>451</v>
      </c>
      <c r="Q89" s="714"/>
      <c r="R89" s="687"/>
      <c r="S89" s="290"/>
      <c r="T89" s="687"/>
      <c r="U89" s="685"/>
      <c r="V89" s="233"/>
      <c r="W89" s="233"/>
      <c r="X89" s="233"/>
      <c r="Y89" s="233"/>
      <c r="Z89" s="233"/>
      <c r="AA89" s="233"/>
      <c r="AB89" s="233"/>
      <c r="AC89" s="233"/>
      <c r="AD89" s="233"/>
      <c r="AE89" s="233"/>
      <c r="AF89" s="233"/>
      <c r="AG89" s="233"/>
      <c r="AH89" s="233"/>
      <c r="AI89" s="233"/>
      <c r="AJ89" s="233"/>
      <c r="AK89" s="233"/>
      <c r="AL89" s="233"/>
      <c r="AM89" s="233"/>
      <c r="AN89" s="233"/>
      <c r="AO89" s="233"/>
      <c r="AP89" s="233"/>
      <c r="AQ89" s="233"/>
      <c r="AR89" s="233"/>
      <c r="AS89" s="233"/>
      <c r="AT89" s="233"/>
      <c r="AU89" s="233"/>
      <c r="AV89" s="233"/>
      <c r="AW89" s="233"/>
      <c r="AX89" s="233"/>
      <c r="AY89" s="233"/>
      <c r="AZ89" s="233"/>
      <c r="BA89" s="233"/>
      <c r="BB89" s="233"/>
      <c r="BC89" s="233"/>
      <c r="BD89" s="233"/>
      <c r="BE89" s="233"/>
      <c r="BF89" s="233"/>
      <c r="BG89" s="233"/>
      <c r="BH89" s="233"/>
      <c r="BI89" s="233"/>
      <c r="BJ89" s="233"/>
      <c r="BK89" s="233"/>
      <c r="BL89" s="233"/>
      <c r="BM89" s="233"/>
      <c r="BN89" s="233"/>
      <c r="BO89" s="233"/>
      <c r="BP89" s="233"/>
      <c r="BQ89" s="233"/>
      <c r="BR89" s="233"/>
      <c r="BS89" s="233"/>
      <c r="BT89" s="233"/>
      <c r="BU89" s="233"/>
      <c r="BV89" s="233"/>
      <c r="BW89" s="233"/>
      <c r="BX89" s="233"/>
      <c r="BY89" s="233"/>
      <c r="BZ89" s="233"/>
      <c r="CA89" s="233"/>
      <c r="CB89" s="233"/>
      <c r="CC89" s="233"/>
      <c r="CD89" s="233"/>
      <c r="CE89" s="233"/>
      <c r="CF89" s="233"/>
      <c r="CG89" s="233"/>
      <c r="CH89" s="233"/>
      <c r="CI89" s="233"/>
      <c r="CJ89" s="233"/>
      <c r="CK89" s="233"/>
      <c r="CL89" s="233"/>
      <c r="CM89" s="233"/>
      <c r="CN89" s="233"/>
      <c r="CO89" s="233"/>
      <c r="CP89" s="233"/>
      <c r="CQ89" s="233"/>
      <c r="CR89" s="233"/>
      <c r="CS89" s="233"/>
      <c r="CT89" s="233"/>
      <c r="CU89" s="233"/>
      <c r="CV89" s="233"/>
      <c r="CW89" s="233"/>
      <c r="CX89" s="233"/>
      <c r="CY89" s="233"/>
      <c r="CZ89" s="233"/>
      <c r="DA89" s="233"/>
      <c r="DB89" s="233"/>
      <c r="DC89" s="233"/>
      <c r="DD89" s="233"/>
      <c r="DE89" s="233"/>
      <c r="DF89" s="233"/>
      <c r="DG89" s="233"/>
      <c r="DH89" s="233"/>
      <c r="DI89" s="233"/>
      <c r="DJ89" s="233"/>
      <c r="DK89" s="233"/>
      <c r="DL89" s="233"/>
      <c r="DM89" s="233"/>
      <c r="DN89" s="233"/>
      <c r="DO89" s="233"/>
      <c r="DP89" s="233"/>
      <c r="DQ89" s="233"/>
      <c r="DR89" s="233"/>
      <c r="DS89" s="233"/>
    </row>
    <row r="90" spans="1:123" s="233" customFormat="1" ht="277" customHeight="1">
      <c r="A90" s="691"/>
      <c r="B90" s="689"/>
      <c r="C90" s="689"/>
      <c r="D90" s="690"/>
      <c r="E90" s="714"/>
      <c r="F90" s="714"/>
      <c r="G90" s="698"/>
      <c r="H90" s="698"/>
      <c r="I90" s="698"/>
      <c r="J90" s="714"/>
      <c r="K90" s="238" t="s">
        <v>16</v>
      </c>
      <c r="L90" s="302" t="s">
        <v>452</v>
      </c>
      <c r="M90" s="302" t="s">
        <v>453</v>
      </c>
      <c r="N90" s="302" t="s">
        <v>454</v>
      </c>
      <c r="O90" s="302" t="s">
        <v>455</v>
      </c>
      <c r="P90" s="302" t="s">
        <v>159</v>
      </c>
      <c r="Q90" s="714"/>
      <c r="R90" s="687"/>
      <c r="S90" s="290"/>
      <c r="T90" s="687"/>
      <c r="U90" s="685"/>
    </row>
    <row r="91" spans="1:123" s="235" customFormat="1" ht="153.5" customHeight="1">
      <c r="A91" s="688" t="s">
        <v>737</v>
      </c>
      <c r="B91" s="689"/>
      <c r="C91" s="689"/>
      <c r="D91" s="690"/>
      <c r="E91" s="692" t="s">
        <v>822</v>
      </c>
      <c r="F91" s="693"/>
      <c r="G91" s="683" t="s">
        <v>786</v>
      </c>
      <c r="H91" s="699">
        <v>0.03</v>
      </c>
      <c r="I91" s="683">
        <v>1</v>
      </c>
      <c r="J91" s="683" t="s">
        <v>456</v>
      </c>
      <c r="K91" s="238" t="s">
        <v>14</v>
      </c>
      <c r="L91" s="302" t="s">
        <v>723</v>
      </c>
      <c r="M91" s="302" t="s">
        <v>457</v>
      </c>
      <c r="N91" s="302" t="s">
        <v>458</v>
      </c>
      <c r="O91" s="302" t="s">
        <v>459</v>
      </c>
      <c r="P91" s="302" t="s">
        <v>460</v>
      </c>
      <c r="Q91" s="653" t="s">
        <v>762</v>
      </c>
      <c r="R91" s="731"/>
      <c r="S91" s="290"/>
      <c r="T91" s="686" t="e">
        <f>AVERAGE(S91:S94)</f>
        <v>#DIV/0!</v>
      </c>
      <c r="U91" s="684" t="e">
        <f>T91*H91</f>
        <v>#DIV/0!</v>
      </c>
      <c r="V91" s="233"/>
      <c r="W91" s="233"/>
      <c r="X91" s="233"/>
      <c r="Y91" s="233"/>
      <c r="Z91" s="233"/>
      <c r="AA91" s="233"/>
      <c r="AB91" s="233"/>
      <c r="AC91" s="233"/>
      <c r="AD91" s="233"/>
      <c r="AE91" s="233"/>
      <c r="AF91" s="233"/>
      <c r="AG91" s="233"/>
      <c r="AH91" s="233"/>
      <c r="AI91" s="233"/>
      <c r="AJ91" s="233"/>
      <c r="AK91" s="233"/>
      <c r="AL91" s="233"/>
      <c r="AM91" s="233"/>
      <c r="AN91" s="233"/>
      <c r="AO91" s="233"/>
      <c r="AP91" s="233"/>
      <c r="AQ91" s="233"/>
      <c r="AR91" s="233"/>
      <c r="AS91" s="233"/>
      <c r="AT91" s="233"/>
      <c r="AU91" s="233"/>
      <c r="AV91" s="233"/>
      <c r="AW91" s="233"/>
      <c r="AX91" s="233"/>
      <c r="AY91" s="233"/>
      <c r="AZ91" s="233"/>
      <c r="BA91" s="233"/>
      <c r="BB91" s="233"/>
      <c r="BC91" s="233"/>
      <c r="BD91" s="233"/>
      <c r="BE91" s="233"/>
      <c r="BF91" s="233"/>
      <c r="BG91" s="233"/>
      <c r="BH91" s="233"/>
      <c r="BI91" s="233"/>
      <c r="BJ91" s="233"/>
      <c r="BK91" s="233"/>
      <c r="BL91" s="233"/>
      <c r="BM91" s="233"/>
      <c r="BN91" s="233"/>
      <c r="BO91" s="233"/>
      <c r="BP91" s="233"/>
      <c r="BQ91" s="233"/>
      <c r="BR91" s="233"/>
      <c r="BS91" s="233"/>
      <c r="BT91" s="233"/>
      <c r="BU91" s="233"/>
      <c r="BV91" s="233"/>
      <c r="BW91" s="233"/>
      <c r="BX91" s="233"/>
      <c r="BY91" s="233"/>
      <c r="BZ91" s="233"/>
      <c r="CA91" s="233"/>
      <c r="CB91" s="233"/>
      <c r="CC91" s="233"/>
      <c r="CD91" s="233"/>
      <c r="CE91" s="233"/>
      <c r="CF91" s="233"/>
      <c r="CG91" s="233"/>
      <c r="CH91" s="233"/>
      <c r="CI91" s="233"/>
      <c r="CJ91" s="233"/>
      <c r="CK91" s="233"/>
      <c r="CL91" s="233"/>
      <c r="CM91" s="233"/>
      <c r="CN91" s="233"/>
      <c r="CO91" s="233"/>
      <c r="CP91" s="233"/>
      <c r="CQ91" s="233"/>
      <c r="CR91" s="233"/>
      <c r="CS91" s="233"/>
      <c r="CT91" s="233"/>
      <c r="CU91" s="233"/>
      <c r="CV91" s="233"/>
      <c r="CW91" s="233"/>
      <c r="CX91" s="233"/>
      <c r="CY91" s="233"/>
      <c r="CZ91" s="233"/>
      <c r="DA91" s="233"/>
      <c r="DB91" s="233"/>
      <c r="DC91" s="233"/>
      <c r="DD91" s="233"/>
      <c r="DE91" s="233"/>
      <c r="DF91" s="233"/>
      <c r="DG91" s="233"/>
      <c r="DH91" s="233"/>
      <c r="DI91" s="233"/>
      <c r="DJ91" s="233"/>
      <c r="DK91" s="233"/>
      <c r="DL91" s="233"/>
      <c r="DM91" s="233"/>
      <c r="DN91" s="233"/>
      <c r="DO91" s="233"/>
      <c r="DP91" s="233"/>
      <c r="DQ91" s="233"/>
      <c r="DR91" s="233"/>
      <c r="DS91" s="233"/>
    </row>
    <row r="92" spans="1:123" s="233" customFormat="1" ht="153.5" customHeight="1">
      <c r="A92" s="691"/>
      <c r="B92" s="689"/>
      <c r="C92" s="689"/>
      <c r="D92" s="690"/>
      <c r="E92" s="694"/>
      <c r="F92" s="695"/>
      <c r="G92" s="698"/>
      <c r="H92" s="698"/>
      <c r="I92" s="698"/>
      <c r="J92" s="698"/>
      <c r="K92" s="238" t="s">
        <v>15</v>
      </c>
      <c r="L92" s="302" t="s">
        <v>461</v>
      </c>
      <c r="M92" s="302" t="s">
        <v>462</v>
      </c>
      <c r="N92" s="302" t="s">
        <v>463</v>
      </c>
      <c r="O92" s="302" t="s">
        <v>464</v>
      </c>
      <c r="P92" s="302" t="s">
        <v>465</v>
      </c>
      <c r="Q92" s="714"/>
      <c r="R92" s="687"/>
      <c r="S92" s="290"/>
      <c r="T92" s="687"/>
      <c r="U92" s="685"/>
    </row>
    <row r="93" spans="1:123" s="233" customFormat="1" ht="153.5" customHeight="1">
      <c r="A93" s="691"/>
      <c r="B93" s="689"/>
      <c r="C93" s="689"/>
      <c r="D93" s="690"/>
      <c r="E93" s="694"/>
      <c r="F93" s="695"/>
      <c r="G93" s="698"/>
      <c r="H93" s="698"/>
      <c r="I93" s="698"/>
      <c r="J93" s="698"/>
      <c r="K93" s="936" t="s">
        <v>16</v>
      </c>
      <c r="L93" s="629" t="s">
        <v>466</v>
      </c>
      <c r="M93" s="629"/>
      <c r="N93" s="629"/>
      <c r="O93" s="629"/>
      <c r="P93" s="629"/>
      <c r="Q93" s="714"/>
      <c r="R93" s="687"/>
      <c r="S93" s="290"/>
      <c r="T93" s="687"/>
      <c r="U93" s="685"/>
    </row>
    <row r="94" spans="1:123" s="236" customFormat="1" ht="240" customHeight="1">
      <c r="A94" s="691"/>
      <c r="B94" s="689"/>
      <c r="C94" s="689"/>
      <c r="D94" s="690"/>
      <c r="E94" s="696"/>
      <c r="F94" s="697"/>
      <c r="G94" s="698"/>
      <c r="H94" s="698"/>
      <c r="I94" s="698"/>
      <c r="J94" s="698"/>
      <c r="K94" s="937"/>
      <c r="L94" s="644"/>
      <c r="M94" s="644"/>
      <c r="N94" s="644"/>
      <c r="O94" s="644"/>
      <c r="P94" s="644"/>
      <c r="Q94" s="714"/>
      <c r="R94" s="687"/>
      <c r="S94" s="290"/>
      <c r="T94" s="687"/>
      <c r="U94" s="685"/>
      <c r="V94" s="233"/>
      <c r="W94" s="233"/>
      <c r="X94" s="233"/>
      <c r="Y94" s="233"/>
      <c r="Z94" s="233"/>
      <c r="AA94" s="233"/>
      <c r="AB94" s="233"/>
      <c r="AC94" s="233"/>
      <c r="AD94" s="233"/>
      <c r="AE94" s="233"/>
      <c r="AF94" s="233"/>
      <c r="AG94" s="233"/>
      <c r="AH94" s="233"/>
      <c r="AI94" s="233"/>
      <c r="AJ94" s="233"/>
      <c r="AK94" s="233"/>
      <c r="AL94" s="233"/>
      <c r="AM94" s="233"/>
      <c r="AN94" s="233"/>
      <c r="AO94" s="233"/>
      <c r="AP94" s="233"/>
      <c r="AQ94" s="233"/>
      <c r="AR94" s="233"/>
      <c r="AS94" s="233"/>
      <c r="AT94" s="233"/>
      <c r="AU94" s="233"/>
      <c r="AV94" s="233"/>
      <c r="AW94" s="233"/>
      <c r="AX94" s="233"/>
      <c r="AY94" s="233"/>
      <c r="AZ94" s="233"/>
      <c r="BA94" s="233"/>
      <c r="BB94" s="233"/>
      <c r="BC94" s="233"/>
      <c r="BD94" s="233"/>
      <c r="BE94" s="233"/>
      <c r="BF94" s="233"/>
      <c r="BG94" s="233"/>
      <c r="BH94" s="233"/>
      <c r="BI94" s="233"/>
      <c r="BJ94" s="233"/>
      <c r="BK94" s="233"/>
      <c r="BL94" s="233"/>
      <c r="BM94" s="233"/>
      <c r="BN94" s="233"/>
      <c r="BO94" s="233"/>
      <c r="BP94" s="233"/>
      <c r="BQ94" s="233"/>
      <c r="BR94" s="233"/>
      <c r="BS94" s="233"/>
      <c r="BT94" s="233"/>
      <c r="BU94" s="233"/>
      <c r="BV94" s="233"/>
      <c r="BW94" s="233"/>
      <c r="BX94" s="233"/>
      <c r="BY94" s="233"/>
      <c r="BZ94" s="233"/>
      <c r="CA94" s="233"/>
      <c r="CB94" s="233"/>
      <c r="CC94" s="233"/>
      <c r="CD94" s="233"/>
      <c r="CE94" s="233"/>
      <c r="CF94" s="233"/>
      <c r="CG94" s="233"/>
      <c r="CH94" s="233"/>
      <c r="CI94" s="233"/>
      <c r="CJ94" s="233"/>
      <c r="CK94" s="233"/>
      <c r="CL94" s="233"/>
      <c r="CM94" s="233"/>
      <c r="CN94" s="233"/>
      <c r="CO94" s="233"/>
      <c r="CP94" s="233"/>
      <c r="CQ94" s="233"/>
      <c r="CR94" s="233"/>
      <c r="CS94" s="233"/>
      <c r="CT94" s="233"/>
      <c r="CU94" s="233"/>
      <c r="CV94" s="233"/>
      <c r="CW94" s="233"/>
      <c r="CX94" s="233"/>
      <c r="CY94" s="233"/>
      <c r="CZ94" s="233"/>
      <c r="DA94" s="233"/>
      <c r="DB94" s="233"/>
      <c r="DC94" s="233"/>
      <c r="DD94" s="233"/>
      <c r="DE94" s="233"/>
      <c r="DF94" s="233"/>
      <c r="DG94" s="233"/>
      <c r="DH94" s="233"/>
      <c r="DI94" s="233"/>
      <c r="DJ94" s="233"/>
      <c r="DK94" s="233"/>
      <c r="DL94" s="233"/>
      <c r="DM94" s="233"/>
      <c r="DN94" s="233"/>
      <c r="DO94" s="233"/>
      <c r="DP94" s="233"/>
      <c r="DQ94" s="233"/>
      <c r="DR94" s="233"/>
      <c r="DS94" s="233"/>
    </row>
    <row r="95" spans="1:123" s="235" customFormat="1" ht="127" customHeight="1">
      <c r="A95" s="688" t="s">
        <v>739</v>
      </c>
      <c r="B95" s="689"/>
      <c r="C95" s="689"/>
      <c r="D95" s="690"/>
      <c r="E95" s="653" t="s">
        <v>763</v>
      </c>
      <c r="F95" s="714"/>
      <c r="G95" s="683" t="s">
        <v>786</v>
      </c>
      <c r="H95" s="699">
        <v>0.03</v>
      </c>
      <c r="I95" s="699">
        <v>1</v>
      </c>
      <c r="J95" s="683" t="s">
        <v>467</v>
      </c>
      <c r="K95" s="238" t="s">
        <v>14</v>
      </c>
      <c r="L95" s="302" t="s">
        <v>468</v>
      </c>
      <c r="M95" s="302" t="s">
        <v>469</v>
      </c>
      <c r="N95" s="302" t="s">
        <v>470</v>
      </c>
      <c r="O95" s="302" t="s">
        <v>471</v>
      </c>
      <c r="P95" s="302" t="s">
        <v>472</v>
      </c>
      <c r="Q95" s="653" t="s">
        <v>473</v>
      </c>
      <c r="R95" s="731"/>
      <c r="S95" s="290"/>
      <c r="T95" s="686" t="e">
        <f>AVERAGE(S95:S97)</f>
        <v>#DIV/0!</v>
      </c>
      <c r="U95" s="684" t="e">
        <f>T95*H95</f>
        <v>#DIV/0!</v>
      </c>
      <c r="V95" s="233"/>
      <c r="W95" s="233"/>
      <c r="X95" s="233"/>
      <c r="Y95" s="233"/>
      <c r="Z95" s="233"/>
      <c r="AA95" s="233"/>
      <c r="AB95" s="233"/>
      <c r="AC95" s="233"/>
      <c r="AD95" s="233"/>
      <c r="AE95" s="233"/>
      <c r="AF95" s="233"/>
      <c r="AG95" s="233"/>
      <c r="AH95" s="233"/>
      <c r="AI95" s="233"/>
      <c r="AJ95" s="233"/>
      <c r="AK95" s="233"/>
      <c r="AL95" s="233"/>
      <c r="AM95" s="233"/>
      <c r="AN95" s="233"/>
      <c r="AO95" s="233"/>
      <c r="AP95" s="233"/>
      <c r="AQ95" s="233"/>
      <c r="AR95" s="233"/>
      <c r="AS95" s="233"/>
      <c r="AT95" s="233"/>
      <c r="AU95" s="233"/>
      <c r="AV95" s="233"/>
      <c r="AW95" s="233"/>
      <c r="AX95" s="233"/>
      <c r="AY95" s="233"/>
      <c r="AZ95" s="233"/>
      <c r="BA95" s="233"/>
      <c r="BB95" s="233"/>
      <c r="BC95" s="233"/>
      <c r="BD95" s="233"/>
      <c r="BE95" s="233"/>
      <c r="BF95" s="233"/>
      <c r="BG95" s="233"/>
      <c r="BH95" s="233"/>
      <c r="BI95" s="233"/>
      <c r="BJ95" s="233"/>
      <c r="BK95" s="233"/>
      <c r="BL95" s="233"/>
      <c r="BM95" s="233"/>
      <c r="BN95" s="233"/>
      <c r="BO95" s="233"/>
      <c r="BP95" s="233"/>
      <c r="BQ95" s="233"/>
      <c r="BR95" s="233"/>
      <c r="BS95" s="233"/>
      <c r="BT95" s="233"/>
      <c r="BU95" s="233"/>
      <c r="BV95" s="233"/>
      <c r="BW95" s="233"/>
      <c r="BX95" s="233"/>
      <c r="BY95" s="233"/>
      <c r="BZ95" s="233"/>
      <c r="CA95" s="233"/>
      <c r="CB95" s="233"/>
      <c r="CC95" s="233"/>
      <c r="CD95" s="233"/>
      <c r="CE95" s="233"/>
      <c r="CF95" s="233"/>
      <c r="CG95" s="233"/>
      <c r="CH95" s="233"/>
      <c r="CI95" s="233"/>
      <c r="CJ95" s="233"/>
      <c r="CK95" s="233"/>
      <c r="CL95" s="233"/>
      <c r="CM95" s="233"/>
      <c r="CN95" s="233"/>
      <c r="CO95" s="233"/>
      <c r="CP95" s="233"/>
      <c r="CQ95" s="233"/>
      <c r="CR95" s="233"/>
      <c r="CS95" s="233"/>
      <c r="CT95" s="233"/>
      <c r="CU95" s="233"/>
      <c r="CV95" s="233"/>
      <c r="CW95" s="233"/>
      <c r="CX95" s="233"/>
      <c r="CY95" s="233"/>
      <c r="CZ95" s="233"/>
      <c r="DA95" s="233"/>
      <c r="DB95" s="233"/>
      <c r="DC95" s="233"/>
      <c r="DD95" s="233"/>
      <c r="DE95" s="233"/>
      <c r="DF95" s="233"/>
      <c r="DG95" s="233"/>
      <c r="DH95" s="233"/>
      <c r="DI95" s="233"/>
      <c r="DJ95" s="233"/>
      <c r="DK95" s="233"/>
      <c r="DL95" s="233"/>
      <c r="DM95" s="233"/>
      <c r="DN95" s="233"/>
      <c r="DO95" s="233"/>
      <c r="DP95" s="233"/>
      <c r="DQ95" s="233"/>
      <c r="DR95" s="233"/>
      <c r="DS95" s="233"/>
    </row>
    <row r="96" spans="1:123" s="233" customFormat="1" ht="72" customHeight="1">
      <c r="A96" s="691"/>
      <c r="B96" s="689"/>
      <c r="C96" s="689"/>
      <c r="D96" s="690"/>
      <c r="E96" s="714"/>
      <c r="F96" s="714"/>
      <c r="G96" s="698"/>
      <c r="H96" s="698"/>
      <c r="I96" s="698"/>
      <c r="J96" s="683"/>
      <c r="K96" s="238" t="s">
        <v>15</v>
      </c>
      <c r="L96" s="302" t="s">
        <v>474</v>
      </c>
      <c r="M96" s="302"/>
      <c r="N96" s="302" t="s">
        <v>475</v>
      </c>
      <c r="O96" s="302"/>
      <c r="P96" s="302" t="s">
        <v>476</v>
      </c>
      <c r="Q96" s="714"/>
      <c r="R96" s="687"/>
      <c r="S96" s="290"/>
      <c r="T96" s="687"/>
      <c r="U96" s="685"/>
    </row>
    <row r="97" spans="1:123" s="236" customFormat="1" ht="85.5" customHeight="1">
      <c r="A97" s="691"/>
      <c r="B97" s="689"/>
      <c r="C97" s="689"/>
      <c r="D97" s="690"/>
      <c r="E97" s="714"/>
      <c r="F97" s="714"/>
      <c r="G97" s="698"/>
      <c r="H97" s="698"/>
      <c r="I97" s="698"/>
      <c r="J97" s="683"/>
      <c r="K97" s="238" t="s">
        <v>16</v>
      </c>
      <c r="L97" s="302"/>
      <c r="M97" s="302"/>
      <c r="N97" s="302"/>
      <c r="O97" s="302"/>
      <c r="P97" s="302"/>
      <c r="Q97" s="714"/>
      <c r="R97" s="687"/>
      <c r="S97" s="290"/>
      <c r="T97" s="687"/>
      <c r="U97" s="685"/>
      <c r="V97" s="233"/>
      <c r="W97" s="233"/>
      <c r="X97" s="233"/>
      <c r="Y97" s="233"/>
      <c r="Z97" s="233"/>
      <c r="AA97" s="233"/>
      <c r="AB97" s="233"/>
      <c r="AC97" s="233"/>
      <c r="AD97" s="233"/>
      <c r="AE97" s="233"/>
      <c r="AF97" s="233"/>
      <c r="AG97" s="233"/>
      <c r="AH97" s="233"/>
      <c r="AI97" s="233"/>
      <c r="AJ97" s="233"/>
      <c r="AK97" s="233"/>
      <c r="AL97" s="233"/>
      <c r="AM97" s="233"/>
      <c r="AN97" s="233"/>
      <c r="AO97" s="233"/>
      <c r="AP97" s="233"/>
      <c r="AQ97" s="233"/>
      <c r="AR97" s="233"/>
      <c r="AS97" s="233"/>
      <c r="AT97" s="233"/>
      <c r="AU97" s="233"/>
      <c r="AV97" s="233"/>
      <c r="AW97" s="233"/>
      <c r="AX97" s="233"/>
      <c r="AY97" s="233"/>
      <c r="AZ97" s="233"/>
      <c r="BA97" s="233"/>
      <c r="BB97" s="233"/>
      <c r="BC97" s="233"/>
      <c r="BD97" s="233"/>
      <c r="BE97" s="233"/>
      <c r="BF97" s="233"/>
      <c r="BG97" s="233"/>
      <c r="BH97" s="233"/>
      <c r="BI97" s="233"/>
      <c r="BJ97" s="233"/>
      <c r="BK97" s="233"/>
      <c r="BL97" s="233"/>
      <c r="BM97" s="233"/>
      <c r="BN97" s="233"/>
      <c r="BO97" s="233"/>
      <c r="BP97" s="233"/>
      <c r="BQ97" s="233"/>
      <c r="BR97" s="233"/>
      <c r="BS97" s="233"/>
      <c r="BT97" s="233"/>
      <c r="BU97" s="233"/>
      <c r="BV97" s="233"/>
      <c r="BW97" s="233"/>
      <c r="BX97" s="233"/>
      <c r="BY97" s="233"/>
      <c r="BZ97" s="233"/>
      <c r="CA97" s="233"/>
      <c r="CB97" s="233"/>
      <c r="CC97" s="233"/>
      <c r="CD97" s="233"/>
      <c r="CE97" s="233"/>
      <c r="CF97" s="233"/>
      <c r="CG97" s="233"/>
      <c r="CH97" s="233"/>
      <c r="CI97" s="233"/>
      <c r="CJ97" s="233"/>
      <c r="CK97" s="233"/>
      <c r="CL97" s="233"/>
      <c r="CM97" s="233"/>
      <c r="CN97" s="233"/>
      <c r="CO97" s="233"/>
      <c r="CP97" s="233"/>
      <c r="CQ97" s="233"/>
      <c r="CR97" s="233"/>
      <c r="CS97" s="233"/>
      <c r="CT97" s="233"/>
      <c r="CU97" s="233"/>
      <c r="CV97" s="233"/>
      <c r="CW97" s="233"/>
      <c r="CX97" s="233"/>
      <c r="CY97" s="233"/>
      <c r="CZ97" s="233"/>
      <c r="DA97" s="233"/>
      <c r="DB97" s="233"/>
      <c r="DC97" s="233"/>
      <c r="DD97" s="233"/>
      <c r="DE97" s="233"/>
      <c r="DF97" s="233"/>
      <c r="DG97" s="233"/>
      <c r="DH97" s="233"/>
      <c r="DI97" s="233"/>
      <c r="DJ97" s="233"/>
      <c r="DK97" s="233"/>
      <c r="DL97" s="233"/>
      <c r="DM97" s="233"/>
      <c r="DN97" s="233"/>
      <c r="DO97" s="233"/>
      <c r="DP97" s="233"/>
      <c r="DQ97" s="233"/>
      <c r="DR97" s="233"/>
      <c r="DS97" s="233"/>
    </row>
    <row r="98" spans="1:123" s="233" customFormat="1" ht="205.5" customHeight="1">
      <c r="A98" s="688" t="s">
        <v>306</v>
      </c>
      <c r="B98" s="689"/>
      <c r="C98" s="689"/>
      <c r="D98" s="690"/>
      <c r="E98" s="653" t="s">
        <v>477</v>
      </c>
      <c r="F98" s="714"/>
      <c r="G98" s="683" t="s">
        <v>787</v>
      </c>
      <c r="H98" s="699">
        <v>0.03</v>
      </c>
      <c r="I98" s="683">
        <v>1</v>
      </c>
      <c r="J98" s="683" t="s">
        <v>478</v>
      </c>
      <c r="K98" s="238" t="s">
        <v>14</v>
      </c>
      <c r="L98" s="302" t="s">
        <v>479</v>
      </c>
      <c r="M98" s="302" t="s">
        <v>480</v>
      </c>
      <c r="N98" s="302" t="s">
        <v>481</v>
      </c>
      <c r="O98" s="302" t="s">
        <v>482</v>
      </c>
      <c r="P98" s="302" t="s">
        <v>483</v>
      </c>
      <c r="Q98" s="653" t="s">
        <v>808</v>
      </c>
      <c r="R98" s="731"/>
      <c r="S98" s="290"/>
      <c r="T98" s="686" t="e">
        <f>AVERAGE(S98:S100)</f>
        <v>#DIV/0!</v>
      </c>
      <c r="U98" s="684" t="e">
        <f>T98*H98</f>
        <v>#DIV/0!</v>
      </c>
    </row>
    <row r="99" spans="1:123" s="235" customFormat="1" ht="99" customHeight="1">
      <c r="A99" s="691"/>
      <c r="B99" s="689"/>
      <c r="C99" s="689"/>
      <c r="D99" s="690"/>
      <c r="E99" s="653"/>
      <c r="F99" s="714"/>
      <c r="G99" s="698"/>
      <c r="H99" s="698"/>
      <c r="I99" s="698"/>
      <c r="J99" s="698"/>
      <c r="K99" s="238" t="s">
        <v>15</v>
      </c>
      <c r="L99" s="302" t="s">
        <v>484</v>
      </c>
      <c r="M99" s="302" t="s">
        <v>485</v>
      </c>
      <c r="N99" s="302" t="s">
        <v>486</v>
      </c>
      <c r="O99" s="302" t="s">
        <v>487</v>
      </c>
      <c r="P99" s="302" t="s">
        <v>488</v>
      </c>
      <c r="Q99" s="714"/>
      <c r="R99" s="687"/>
      <c r="S99" s="290"/>
      <c r="T99" s="687"/>
      <c r="U99" s="685"/>
      <c r="V99" s="233"/>
      <c r="W99" s="233"/>
      <c r="X99" s="233"/>
      <c r="Y99" s="233"/>
      <c r="Z99" s="233"/>
      <c r="AA99" s="233"/>
      <c r="AB99" s="233"/>
      <c r="AC99" s="233"/>
      <c r="AD99" s="233"/>
      <c r="AE99" s="233"/>
      <c r="AF99" s="233"/>
      <c r="AG99" s="233"/>
      <c r="AH99" s="233"/>
      <c r="AI99" s="233"/>
      <c r="AJ99" s="233"/>
      <c r="AK99" s="233"/>
      <c r="AL99" s="233"/>
      <c r="AM99" s="233"/>
      <c r="AN99" s="233"/>
      <c r="AO99" s="233"/>
      <c r="AP99" s="233"/>
      <c r="AQ99" s="233"/>
      <c r="AR99" s="233"/>
      <c r="AS99" s="233"/>
      <c r="AT99" s="233"/>
      <c r="AU99" s="233"/>
      <c r="AV99" s="233"/>
      <c r="AW99" s="233"/>
      <c r="AX99" s="233"/>
      <c r="AY99" s="233"/>
      <c r="AZ99" s="233"/>
      <c r="BA99" s="233"/>
      <c r="BB99" s="233"/>
      <c r="BC99" s="233"/>
      <c r="BD99" s="233"/>
      <c r="BE99" s="233"/>
      <c r="BF99" s="233"/>
      <c r="BG99" s="233"/>
      <c r="BH99" s="233"/>
      <c r="BI99" s="233"/>
      <c r="BJ99" s="233"/>
      <c r="BK99" s="233"/>
      <c r="BL99" s="233"/>
      <c r="BM99" s="233"/>
      <c r="BN99" s="233"/>
      <c r="BO99" s="233"/>
      <c r="BP99" s="233"/>
      <c r="BQ99" s="233"/>
      <c r="BR99" s="233"/>
      <c r="BS99" s="233"/>
      <c r="BT99" s="233"/>
      <c r="BU99" s="233"/>
      <c r="BV99" s="233"/>
      <c r="BW99" s="233"/>
      <c r="BX99" s="233"/>
      <c r="BY99" s="233"/>
      <c r="BZ99" s="233"/>
      <c r="CA99" s="233"/>
      <c r="CB99" s="233"/>
      <c r="CC99" s="233"/>
      <c r="CD99" s="233"/>
      <c r="CE99" s="233"/>
      <c r="CF99" s="233"/>
      <c r="CG99" s="233"/>
      <c r="CH99" s="233"/>
      <c r="CI99" s="233"/>
      <c r="CJ99" s="233"/>
      <c r="CK99" s="233"/>
      <c r="CL99" s="233"/>
      <c r="CM99" s="233"/>
      <c r="CN99" s="233"/>
      <c r="CO99" s="233"/>
      <c r="CP99" s="233"/>
      <c r="CQ99" s="233"/>
      <c r="CR99" s="233"/>
      <c r="CS99" s="233"/>
      <c r="CT99" s="233"/>
      <c r="CU99" s="233"/>
      <c r="CV99" s="233"/>
      <c r="CW99" s="233"/>
      <c r="CX99" s="233"/>
      <c r="CY99" s="233"/>
      <c r="CZ99" s="233"/>
      <c r="DA99" s="233"/>
      <c r="DB99" s="233"/>
      <c r="DC99" s="233"/>
      <c r="DD99" s="233"/>
      <c r="DE99" s="233"/>
      <c r="DF99" s="233"/>
      <c r="DG99" s="233"/>
      <c r="DH99" s="233"/>
      <c r="DI99" s="233"/>
      <c r="DJ99" s="233"/>
      <c r="DK99" s="233"/>
      <c r="DL99" s="233"/>
      <c r="DM99" s="233"/>
      <c r="DN99" s="233"/>
      <c r="DO99" s="233"/>
      <c r="DP99" s="233"/>
      <c r="DQ99" s="233"/>
      <c r="DR99" s="233"/>
      <c r="DS99" s="233"/>
    </row>
    <row r="100" spans="1:123" s="236" customFormat="1" ht="190.5" customHeight="1">
      <c r="A100" s="691"/>
      <c r="B100" s="690"/>
      <c r="C100" s="690"/>
      <c r="D100" s="690"/>
      <c r="E100" s="714"/>
      <c r="F100" s="714"/>
      <c r="G100" s="698"/>
      <c r="H100" s="698"/>
      <c r="I100" s="698"/>
      <c r="J100" s="698"/>
      <c r="K100" s="238" t="s">
        <v>16</v>
      </c>
      <c r="L100" s="302" t="s">
        <v>489</v>
      </c>
      <c r="M100" s="302" t="s">
        <v>490</v>
      </c>
      <c r="N100" s="302" t="s">
        <v>491</v>
      </c>
      <c r="O100" s="302" t="s">
        <v>492</v>
      </c>
      <c r="P100" s="302" t="s">
        <v>493</v>
      </c>
      <c r="Q100" s="714"/>
      <c r="R100" s="687"/>
      <c r="S100" s="290"/>
      <c r="T100" s="687"/>
      <c r="U100" s="685"/>
      <c r="V100" s="233"/>
      <c r="W100" s="233"/>
      <c r="X100" s="233"/>
      <c r="Y100" s="233"/>
      <c r="Z100" s="233"/>
      <c r="AA100" s="233"/>
      <c r="AB100" s="233"/>
      <c r="AC100" s="233"/>
      <c r="AD100" s="233"/>
      <c r="AE100" s="233"/>
      <c r="AF100" s="233"/>
      <c r="AG100" s="233"/>
      <c r="AH100" s="233"/>
      <c r="AI100" s="233"/>
      <c r="AJ100" s="233"/>
      <c r="AK100" s="233"/>
      <c r="AL100" s="233"/>
      <c r="AM100" s="233"/>
      <c r="AN100" s="233"/>
      <c r="AO100" s="233"/>
      <c r="AP100" s="233"/>
      <c r="AQ100" s="233"/>
      <c r="AR100" s="233"/>
      <c r="AS100" s="233"/>
      <c r="AT100" s="233"/>
      <c r="AU100" s="233"/>
      <c r="AV100" s="233"/>
      <c r="AW100" s="233"/>
      <c r="AX100" s="233"/>
      <c r="AY100" s="233"/>
      <c r="AZ100" s="233"/>
      <c r="BA100" s="233"/>
      <c r="BB100" s="233"/>
      <c r="BC100" s="233"/>
      <c r="BD100" s="233"/>
      <c r="BE100" s="233"/>
      <c r="BF100" s="233"/>
      <c r="BG100" s="233"/>
      <c r="BH100" s="233"/>
      <c r="BI100" s="233"/>
      <c r="BJ100" s="233"/>
      <c r="BK100" s="233"/>
      <c r="BL100" s="233"/>
      <c r="BM100" s="233"/>
      <c r="BN100" s="233"/>
      <c r="BO100" s="233"/>
      <c r="BP100" s="233"/>
      <c r="BQ100" s="233"/>
      <c r="BR100" s="233"/>
      <c r="BS100" s="233"/>
      <c r="BT100" s="233"/>
      <c r="BU100" s="233"/>
      <c r="BV100" s="233"/>
      <c r="BW100" s="233"/>
      <c r="BX100" s="233"/>
      <c r="BY100" s="233"/>
      <c r="BZ100" s="233"/>
      <c r="CA100" s="233"/>
      <c r="CB100" s="233"/>
      <c r="CC100" s="233"/>
      <c r="CD100" s="233"/>
      <c r="CE100" s="233"/>
      <c r="CF100" s="233"/>
      <c r="CG100" s="233"/>
      <c r="CH100" s="233"/>
      <c r="CI100" s="233"/>
      <c r="CJ100" s="233"/>
      <c r="CK100" s="233"/>
      <c r="CL100" s="233"/>
      <c r="CM100" s="233"/>
      <c r="CN100" s="233"/>
      <c r="CO100" s="233"/>
      <c r="CP100" s="233"/>
      <c r="CQ100" s="233"/>
      <c r="CR100" s="233"/>
      <c r="CS100" s="233"/>
      <c r="CT100" s="233"/>
      <c r="CU100" s="233"/>
      <c r="CV100" s="233"/>
      <c r="CW100" s="233"/>
      <c r="CX100" s="233"/>
      <c r="CY100" s="233"/>
      <c r="CZ100" s="233"/>
      <c r="DA100" s="233"/>
      <c r="DB100" s="233"/>
      <c r="DC100" s="233"/>
      <c r="DD100" s="233"/>
      <c r="DE100" s="233"/>
      <c r="DF100" s="233"/>
      <c r="DG100" s="233"/>
      <c r="DH100" s="233"/>
      <c r="DI100" s="233"/>
      <c r="DJ100" s="233"/>
      <c r="DK100" s="233"/>
      <c r="DL100" s="233"/>
      <c r="DM100" s="233"/>
      <c r="DN100" s="233"/>
      <c r="DO100" s="233"/>
      <c r="DP100" s="233"/>
      <c r="DQ100" s="233"/>
      <c r="DR100" s="233"/>
      <c r="DS100" s="233"/>
    </row>
    <row r="101" spans="1:123" s="233" customFormat="1" ht="205.5" customHeight="1">
      <c r="A101" s="688" t="s">
        <v>804</v>
      </c>
      <c r="B101" s="690"/>
      <c r="C101" s="690"/>
      <c r="D101" s="690"/>
      <c r="E101" s="653" t="s">
        <v>494</v>
      </c>
      <c r="F101" s="714"/>
      <c r="G101" s="683" t="s">
        <v>786</v>
      </c>
      <c r="H101" s="699">
        <v>0.03</v>
      </c>
      <c r="I101" s="683">
        <v>1</v>
      </c>
      <c r="J101" s="856" t="s">
        <v>495</v>
      </c>
      <c r="K101" s="238" t="s">
        <v>14</v>
      </c>
      <c r="L101" s="302" t="s">
        <v>496</v>
      </c>
      <c r="M101" s="302" t="s">
        <v>497</v>
      </c>
      <c r="N101" s="302" t="s">
        <v>498</v>
      </c>
      <c r="O101" s="302" t="s">
        <v>499</v>
      </c>
      <c r="P101" s="302" t="s">
        <v>500</v>
      </c>
      <c r="Q101" s="653" t="s">
        <v>501</v>
      </c>
      <c r="R101" s="731"/>
      <c r="S101" s="290"/>
      <c r="T101" s="686" t="e">
        <f>AVERAGE(S101)</f>
        <v>#DIV/0!</v>
      </c>
      <c r="U101" s="684" t="e">
        <f>T101*H101</f>
        <v>#DIV/0!</v>
      </c>
    </row>
    <row r="102" spans="1:123" s="233" customFormat="1" ht="205.5" customHeight="1">
      <c r="A102" s="691"/>
      <c r="B102" s="689"/>
      <c r="C102" s="689"/>
      <c r="D102" s="690"/>
      <c r="E102" s="653"/>
      <c r="F102" s="714"/>
      <c r="G102" s="698"/>
      <c r="H102" s="698"/>
      <c r="I102" s="698"/>
      <c r="J102" s="857"/>
      <c r="K102" s="238" t="s">
        <v>15</v>
      </c>
      <c r="L102" s="302" t="s">
        <v>502</v>
      </c>
      <c r="M102" s="302" t="s">
        <v>503</v>
      </c>
      <c r="N102" s="302" t="s">
        <v>504</v>
      </c>
      <c r="O102" s="302" t="s">
        <v>505</v>
      </c>
      <c r="P102" s="302" t="s">
        <v>506</v>
      </c>
      <c r="Q102" s="714"/>
      <c r="R102" s="687"/>
      <c r="S102" s="290"/>
      <c r="T102" s="687"/>
      <c r="U102" s="685"/>
    </row>
    <row r="103" spans="1:123" s="236" customFormat="1" ht="205.5" customHeight="1">
      <c r="A103" s="691"/>
      <c r="B103" s="690"/>
      <c r="C103" s="690"/>
      <c r="D103" s="690"/>
      <c r="E103" s="714"/>
      <c r="F103" s="714"/>
      <c r="G103" s="698"/>
      <c r="H103" s="698"/>
      <c r="I103" s="698"/>
      <c r="J103" s="857"/>
      <c r="K103" s="238" t="s">
        <v>16</v>
      </c>
      <c r="L103" s="302" t="s">
        <v>507</v>
      </c>
      <c r="M103" s="302" t="s">
        <v>508</v>
      </c>
      <c r="N103" s="302" t="s">
        <v>509</v>
      </c>
      <c r="O103" s="302" t="s">
        <v>510</v>
      </c>
      <c r="P103" s="302" t="s">
        <v>511</v>
      </c>
      <c r="Q103" s="714"/>
      <c r="R103" s="687"/>
      <c r="S103" s="290"/>
      <c r="T103" s="687"/>
      <c r="U103" s="685"/>
      <c r="V103" s="233"/>
      <c r="W103" s="233"/>
      <c r="X103" s="233"/>
      <c r="Y103" s="233"/>
      <c r="Z103" s="233"/>
      <c r="AA103" s="233"/>
      <c r="AB103" s="233"/>
      <c r="AC103" s="233"/>
      <c r="AD103" s="233"/>
      <c r="AE103" s="233"/>
      <c r="AF103" s="233"/>
      <c r="AG103" s="233"/>
      <c r="AH103" s="233"/>
      <c r="AI103" s="233"/>
      <c r="AJ103" s="233"/>
      <c r="AK103" s="233"/>
      <c r="AL103" s="233"/>
      <c r="AM103" s="233"/>
      <c r="AN103" s="233"/>
      <c r="AO103" s="233"/>
      <c r="AP103" s="233"/>
      <c r="AQ103" s="233"/>
      <c r="AR103" s="233"/>
      <c r="AS103" s="233"/>
      <c r="AT103" s="233"/>
      <c r="AU103" s="233"/>
      <c r="AV103" s="233"/>
      <c r="AW103" s="233"/>
      <c r="AX103" s="233"/>
      <c r="AY103" s="233"/>
      <c r="AZ103" s="233"/>
      <c r="BA103" s="233"/>
      <c r="BB103" s="233"/>
      <c r="BC103" s="233"/>
      <c r="BD103" s="233"/>
      <c r="BE103" s="233"/>
      <c r="BF103" s="233"/>
      <c r="BG103" s="233"/>
      <c r="BH103" s="233"/>
      <c r="BI103" s="233"/>
      <c r="BJ103" s="233"/>
      <c r="BK103" s="233"/>
      <c r="BL103" s="233"/>
      <c r="BM103" s="233"/>
      <c r="BN103" s="233"/>
      <c r="BO103" s="233"/>
      <c r="BP103" s="233"/>
      <c r="BQ103" s="233"/>
      <c r="BR103" s="233"/>
      <c r="BS103" s="233"/>
      <c r="BT103" s="233"/>
      <c r="BU103" s="233"/>
      <c r="BV103" s="233"/>
      <c r="BW103" s="233"/>
      <c r="BX103" s="233"/>
      <c r="BY103" s="233"/>
      <c r="BZ103" s="233"/>
      <c r="CA103" s="233"/>
      <c r="CB103" s="233"/>
      <c r="CC103" s="233"/>
      <c r="CD103" s="233"/>
      <c r="CE103" s="233"/>
      <c r="CF103" s="233"/>
      <c r="CG103" s="233"/>
      <c r="CH103" s="233"/>
      <c r="CI103" s="233"/>
      <c r="CJ103" s="233"/>
      <c r="CK103" s="233"/>
      <c r="CL103" s="233"/>
      <c r="CM103" s="233"/>
      <c r="CN103" s="233"/>
      <c r="CO103" s="233"/>
      <c r="CP103" s="233"/>
      <c r="CQ103" s="233"/>
      <c r="CR103" s="233"/>
      <c r="CS103" s="233"/>
      <c r="CT103" s="233"/>
      <c r="CU103" s="233"/>
      <c r="CV103" s="233"/>
      <c r="CW103" s="233"/>
      <c r="CX103" s="233"/>
      <c r="CY103" s="233"/>
      <c r="CZ103" s="233"/>
      <c r="DA103" s="233"/>
      <c r="DB103" s="233"/>
      <c r="DC103" s="233"/>
      <c r="DD103" s="233"/>
      <c r="DE103" s="233"/>
      <c r="DF103" s="233"/>
      <c r="DG103" s="233"/>
      <c r="DH103" s="233"/>
      <c r="DI103" s="233"/>
      <c r="DJ103" s="233"/>
      <c r="DK103" s="233"/>
      <c r="DL103" s="233"/>
      <c r="DM103" s="233"/>
      <c r="DN103" s="233"/>
      <c r="DO103" s="233"/>
      <c r="DP103" s="233"/>
      <c r="DQ103" s="233"/>
      <c r="DR103" s="233"/>
      <c r="DS103" s="233"/>
    </row>
    <row r="104" spans="1:123" s="233" customFormat="1" ht="205.5" customHeight="1">
      <c r="A104" s="796" t="s">
        <v>805</v>
      </c>
      <c r="B104" s="690"/>
      <c r="C104" s="690"/>
      <c r="D104" s="690"/>
      <c r="E104" s="653" t="s">
        <v>809</v>
      </c>
      <c r="F104" s="714"/>
      <c r="G104" s="683" t="s">
        <v>786</v>
      </c>
      <c r="H104" s="800">
        <v>0.03</v>
      </c>
      <c r="I104" s="807">
        <v>10</v>
      </c>
      <c r="J104" s="683" t="s">
        <v>814</v>
      </c>
      <c r="K104" s="238" t="s">
        <v>14</v>
      </c>
      <c r="L104" s="302" t="s">
        <v>815</v>
      </c>
      <c r="M104" s="302" t="s">
        <v>819</v>
      </c>
      <c r="N104" s="302" t="s">
        <v>816</v>
      </c>
      <c r="O104" s="302" t="s">
        <v>817</v>
      </c>
      <c r="P104" s="302" t="s">
        <v>818</v>
      </c>
      <c r="Q104" s="653" t="s">
        <v>812</v>
      </c>
      <c r="R104" s="778" t="s">
        <v>810</v>
      </c>
      <c r="S104" s="290"/>
      <c r="T104" s="686" t="e">
        <f>AVERAGE(S104:S106)</f>
        <v>#DIV/0!</v>
      </c>
      <c r="U104" s="780" t="e">
        <f>T104*H104</f>
        <v>#DIV/0!</v>
      </c>
    </row>
    <row r="105" spans="1:123" s="233" customFormat="1" ht="205.5" customHeight="1">
      <c r="A105" s="691"/>
      <c r="B105" s="689"/>
      <c r="C105" s="689"/>
      <c r="D105" s="689"/>
      <c r="E105" s="653"/>
      <c r="F105" s="714"/>
      <c r="G105" s="698"/>
      <c r="H105" s="698"/>
      <c r="I105" s="698"/>
      <c r="J105" s="698"/>
      <c r="K105" s="337" t="s">
        <v>15</v>
      </c>
      <c r="L105" s="302" t="s">
        <v>815</v>
      </c>
      <c r="M105" s="302" t="s">
        <v>819</v>
      </c>
      <c r="N105" s="302" t="s">
        <v>816</v>
      </c>
      <c r="O105" s="302" t="s">
        <v>817</v>
      </c>
      <c r="P105" s="302" t="s">
        <v>818</v>
      </c>
      <c r="Q105" s="714"/>
      <c r="R105" s="714"/>
      <c r="S105" s="338"/>
      <c r="T105" s="687"/>
      <c r="U105" s="685"/>
      <c r="V105" s="237"/>
      <c r="W105" s="237"/>
      <c r="X105" s="237"/>
      <c r="Y105" s="237"/>
      <c r="Z105" s="237"/>
      <c r="AA105" s="237"/>
      <c r="AB105" s="237"/>
      <c r="AC105" s="237"/>
      <c r="AD105" s="237"/>
      <c r="AE105" s="237"/>
    </row>
    <row r="106" spans="1:123" s="236" customFormat="1" ht="130.5" customHeight="1" thickBot="1">
      <c r="A106" s="797"/>
      <c r="B106" s="798"/>
      <c r="C106" s="798"/>
      <c r="D106" s="798"/>
      <c r="E106" s="777"/>
      <c r="F106" s="777"/>
      <c r="G106" s="799"/>
      <c r="H106" s="799"/>
      <c r="I106" s="799"/>
      <c r="J106" s="799"/>
      <c r="K106" s="340" t="s">
        <v>16</v>
      </c>
      <c r="L106" s="341" t="s">
        <v>413</v>
      </c>
      <c r="M106" s="341" t="s">
        <v>512</v>
      </c>
      <c r="N106" s="341" t="s">
        <v>513</v>
      </c>
      <c r="O106" s="341" t="s">
        <v>514</v>
      </c>
      <c r="P106" s="341" t="s">
        <v>515</v>
      </c>
      <c r="Q106" s="777"/>
      <c r="R106" s="777"/>
      <c r="S106" s="342"/>
      <c r="T106" s="779"/>
      <c r="U106" s="781"/>
      <c r="V106" s="237"/>
      <c r="W106" s="237"/>
      <c r="X106" s="237"/>
      <c r="Y106" s="237"/>
      <c r="Z106" s="237"/>
      <c r="AA106" s="237"/>
      <c r="AB106" s="237"/>
      <c r="AC106" s="237"/>
      <c r="AD106" s="237"/>
      <c r="AE106" s="237"/>
      <c r="AF106" s="233"/>
      <c r="AG106" s="233"/>
      <c r="AH106" s="233"/>
      <c r="AI106" s="233"/>
      <c r="AJ106" s="233"/>
      <c r="AK106" s="233"/>
      <c r="AL106" s="233"/>
      <c r="AM106" s="233"/>
      <c r="AN106" s="233"/>
      <c r="AO106" s="233"/>
      <c r="AP106" s="233"/>
      <c r="AQ106" s="233"/>
      <c r="AR106" s="233"/>
      <c r="AS106" s="233"/>
      <c r="AT106" s="233"/>
      <c r="AU106" s="233"/>
      <c r="AV106" s="233"/>
      <c r="AW106" s="233"/>
      <c r="AX106" s="233"/>
      <c r="AY106" s="233"/>
      <c r="AZ106" s="233"/>
      <c r="BA106" s="233"/>
      <c r="BB106" s="233"/>
      <c r="BC106" s="233"/>
      <c r="BD106" s="233"/>
      <c r="BE106" s="233"/>
      <c r="BF106" s="233"/>
      <c r="BG106" s="233"/>
      <c r="BH106" s="233"/>
      <c r="BI106" s="233"/>
      <c r="BJ106" s="233"/>
      <c r="BK106" s="233"/>
      <c r="BL106" s="233"/>
      <c r="BM106" s="233"/>
      <c r="BN106" s="233"/>
      <c r="BO106" s="233"/>
      <c r="BP106" s="233"/>
      <c r="BQ106" s="233"/>
      <c r="BR106" s="233"/>
      <c r="BS106" s="233"/>
      <c r="BT106" s="233"/>
      <c r="BU106" s="233"/>
      <c r="BV106" s="233"/>
      <c r="BW106" s="233"/>
      <c r="BX106" s="233"/>
      <c r="BY106" s="233"/>
      <c r="BZ106" s="233"/>
      <c r="CA106" s="233"/>
      <c r="CB106" s="233"/>
      <c r="CC106" s="233"/>
      <c r="CD106" s="233"/>
      <c r="CE106" s="233"/>
      <c r="CF106" s="233"/>
      <c r="CG106" s="233"/>
      <c r="CH106" s="233"/>
      <c r="CI106" s="233"/>
      <c r="CJ106" s="233"/>
      <c r="CK106" s="233"/>
      <c r="CL106" s="233"/>
      <c r="CM106" s="233"/>
      <c r="CN106" s="233"/>
      <c r="CO106" s="233"/>
      <c r="CP106" s="233"/>
      <c r="CQ106" s="233"/>
      <c r="CR106" s="233"/>
      <c r="CS106" s="233"/>
      <c r="CT106" s="233"/>
      <c r="CU106" s="233"/>
      <c r="CV106" s="233"/>
      <c r="CW106" s="233"/>
      <c r="CX106" s="233"/>
      <c r="CY106" s="233"/>
      <c r="CZ106" s="233"/>
      <c r="DA106" s="233"/>
      <c r="DB106" s="233"/>
      <c r="DC106" s="233"/>
      <c r="DD106" s="233"/>
      <c r="DE106" s="233"/>
      <c r="DF106" s="233"/>
      <c r="DG106" s="233"/>
      <c r="DH106" s="233"/>
      <c r="DI106" s="233"/>
      <c r="DJ106" s="233"/>
      <c r="DK106" s="233"/>
      <c r="DL106" s="233"/>
      <c r="DM106" s="233"/>
      <c r="DN106" s="233"/>
      <c r="DO106" s="233"/>
      <c r="DP106" s="233"/>
      <c r="DQ106" s="233"/>
      <c r="DR106" s="233"/>
      <c r="DS106" s="233"/>
    </row>
    <row r="107" spans="1:123" s="215" customFormat="1" ht="47" customHeight="1" thickBot="1">
      <c r="A107" s="801" t="s">
        <v>87</v>
      </c>
      <c r="B107" s="802"/>
      <c r="C107" s="802"/>
      <c r="D107" s="802"/>
      <c r="E107" s="802"/>
      <c r="F107" s="802"/>
      <c r="G107" s="802"/>
      <c r="H107" s="802"/>
      <c r="I107" s="802"/>
      <c r="J107" s="802"/>
      <c r="K107" s="802"/>
      <c r="L107" s="802"/>
      <c r="M107" s="802"/>
      <c r="N107" s="802"/>
      <c r="O107" s="802"/>
      <c r="P107" s="802"/>
      <c r="Q107" s="802"/>
      <c r="R107" s="802"/>
      <c r="S107" s="802"/>
      <c r="T107" s="803"/>
      <c r="U107" s="343" t="e">
        <f>SUM(U88:U106)</f>
        <v>#DIV/0!</v>
      </c>
      <c r="V107" s="239"/>
      <c r="W107" s="239"/>
      <c r="X107" s="239"/>
      <c r="Y107" s="239"/>
      <c r="Z107" s="239"/>
      <c r="AA107" s="239"/>
      <c r="AB107" s="239"/>
      <c r="AC107" s="239"/>
      <c r="AD107" s="239"/>
    </row>
    <row r="108" spans="1:123" ht="75" customHeight="1">
      <c r="A108" s="344"/>
      <c r="B108" s="240"/>
      <c r="C108" s="240"/>
      <c r="D108" s="240"/>
      <c r="E108" s="240"/>
      <c r="F108" s="241"/>
      <c r="G108" s="240"/>
      <c r="H108" s="242"/>
      <c r="I108" s="297"/>
      <c r="J108" s="244"/>
      <c r="K108" s="243"/>
      <c r="L108" s="245"/>
      <c r="M108" s="240"/>
      <c r="N108" s="240"/>
      <c r="O108" s="240"/>
      <c r="P108" s="240"/>
      <c r="Q108" s="241"/>
      <c r="R108" s="240"/>
      <c r="S108" s="246"/>
      <c r="T108" s="247"/>
      <c r="U108" s="345"/>
      <c r="V108" s="213"/>
      <c r="W108" s="213"/>
      <c r="X108" s="213"/>
      <c r="Y108" s="213"/>
      <c r="Z108" s="213"/>
      <c r="AA108" s="213"/>
      <c r="AB108" s="213"/>
      <c r="AC108" s="213"/>
      <c r="AD108" s="213"/>
      <c r="AE108" s="214"/>
    </row>
    <row r="109" spans="1:123" ht="329" customHeight="1" thickBot="1">
      <c r="A109" s="786" t="s">
        <v>764</v>
      </c>
      <c r="B109" s="787"/>
      <c r="C109" s="787"/>
      <c r="D109" s="787"/>
      <c r="E109" s="787"/>
      <c r="F109" s="787"/>
      <c r="G109" s="787"/>
      <c r="H109" s="787"/>
      <c r="I109" s="787"/>
      <c r="J109" s="787"/>
      <c r="K109" s="787"/>
      <c r="L109" s="787"/>
      <c r="M109" s="787"/>
      <c r="N109" s="787"/>
      <c r="O109" s="787"/>
      <c r="P109" s="787"/>
      <c r="Q109" s="787"/>
      <c r="R109" s="804" t="s">
        <v>764</v>
      </c>
      <c r="S109" s="805"/>
      <c r="T109" s="805"/>
      <c r="U109" s="806"/>
      <c r="V109" s="248"/>
      <c r="W109" s="248"/>
      <c r="X109" s="248"/>
      <c r="Y109" s="248"/>
      <c r="Z109" s="248"/>
      <c r="AA109" s="248"/>
      <c r="AB109" s="248"/>
      <c r="AC109" s="248"/>
      <c r="AD109" s="248"/>
      <c r="AE109" s="248"/>
    </row>
    <row r="110" spans="1:123" ht="38.5" customHeight="1" thickBot="1">
      <c r="A110" s="788" t="s">
        <v>78</v>
      </c>
      <c r="B110" s="789"/>
      <c r="C110" s="789"/>
      <c r="D110" s="789"/>
      <c r="E110" s="789"/>
      <c r="F110" s="789"/>
      <c r="G110" s="789"/>
      <c r="H110" s="789"/>
      <c r="I110" s="789"/>
      <c r="J110" s="789"/>
      <c r="K110" s="789"/>
      <c r="L110" s="789"/>
      <c r="M110" s="789"/>
      <c r="N110" s="789"/>
      <c r="O110" s="789"/>
      <c r="P110" s="789"/>
      <c r="Q110" s="790"/>
      <c r="R110" s="791" t="s">
        <v>29</v>
      </c>
      <c r="S110" s="792"/>
      <c r="T110" s="792"/>
      <c r="U110" s="793"/>
      <c r="V110" s="239"/>
      <c r="W110" s="239"/>
      <c r="X110" s="239"/>
      <c r="Y110" s="239"/>
      <c r="Z110" s="239"/>
      <c r="AA110" s="239"/>
      <c r="AB110" s="239"/>
      <c r="AC110" s="239"/>
      <c r="AD110" s="239"/>
    </row>
    <row r="111" spans="1:123" ht="13.5" customHeight="1" thickBot="1">
      <c r="A111" s="814" t="s">
        <v>89</v>
      </c>
      <c r="B111" s="815"/>
      <c r="C111" s="815"/>
      <c r="D111" s="815"/>
      <c r="E111" s="817" t="s">
        <v>80</v>
      </c>
      <c r="F111" s="815"/>
      <c r="G111" s="815"/>
      <c r="H111" s="818"/>
      <c r="I111" s="820" t="s">
        <v>8</v>
      </c>
      <c r="J111" s="822" t="s">
        <v>9</v>
      </c>
      <c r="K111" s="823" t="s">
        <v>727</v>
      </c>
      <c r="L111" s="794" t="s">
        <v>83</v>
      </c>
      <c r="M111" s="792"/>
      <c r="N111" s="792"/>
      <c r="O111" s="792"/>
      <c r="P111" s="795"/>
      <c r="Q111" s="782" t="s">
        <v>34</v>
      </c>
      <c r="R111" s="784" t="s">
        <v>84</v>
      </c>
      <c r="S111" s="785" t="s">
        <v>36</v>
      </c>
      <c r="T111" s="841" t="s">
        <v>37</v>
      </c>
      <c r="U111" s="775" t="s">
        <v>38</v>
      </c>
      <c r="V111" s="251"/>
      <c r="W111" s="251"/>
      <c r="X111" s="251"/>
      <c r="Y111" s="251"/>
      <c r="Z111" s="251"/>
      <c r="AA111" s="251"/>
      <c r="AB111" s="251"/>
      <c r="AC111" s="251"/>
      <c r="AD111" s="251"/>
    </row>
    <row r="112" spans="1:123" ht="13.5" customHeight="1" thickBot="1">
      <c r="A112" s="816"/>
      <c r="B112" s="768"/>
      <c r="C112" s="768"/>
      <c r="D112" s="768"/>
      <c r="E112" s="819"/>
      <c r="F112" s="768"/>
      <c r="G112" s="768"/>
      <c r="H112" s="756"/>
      <c r="I112" s="821"/>
      <c r="J112" s="756"/>
      <c r="K112" s="770"/>
      <c r="L112" s="346" t="s">
        <v>43</v>
      </c>
      <c r="M112" s="346" t="s">
        <v>44</v>
      </c>
      <c r="N112" s="346" t="s">
        <v>45</v>
      </c>
      <c r="O112" s="346" t="s">
        <v>46</v>
      </c>
      <c r="P112" s="346" t="s">
        <v>47</v>
      </c>
      <c r="Q112" s="783"/>
      <c r="R112" s="770"/>
      <c r="S112" s="759"/>
      <c r="T112" s="770"/>
      <c r="U112" s="776"/>
      <c r="V112" s="239"/>
      <c r="W112" s="239"/>
      <c r="X112" s="239"/>
      <c r="Y112" s="239"/>
      <c r="Z112" s="239"/>
      <c r="AA112" s="239"/>
      <c r="AB112" s="239"/>
      <c r="AC112" s="239"/>
      <c r="AD112" s="239"/>
    </row>
    <row r="113" spans="1:123" s="311" customFormat="1" ht="267.5" customHeight="1">
      <c r="A113" s="824" t="s">
        <v>91</v>
      </c>
      <c r="B113" s="825"/>
      <c r="C113" s="825"/>
      <c r="D113" s="826"/>
      <c r="E113" s="832" t="s">
        <v>769</v>
      </c>
      <c r="F113" s="833"/>
      <c r="G113" s="833"/>
      <c r="H113" s="834"/>
      <c r="I113" s="808" t="s">
        <v>93</v>
      </c>
      <c r="J113" s="809">
        <v>0.05</v>
      </c>
      <c r="K113" s="354" t="s">
        <v>14</v>
      </c>
      <c r="L113" s="310" t="s">
        <v>516</v>
      </c>
      <c r="M113" s="310" t="s">
        <v>517</v>
      </c>
      <c r="N113" s="310" t="s">
        <v>518</v>
      </c>
      <c r="O113" s="310" t="s">
        <v>519</v>
      </c>
      <c r="P113" s="310" t="s">
        <v>520</v>
      </c>
      <c r="Q113" s="659"/>
      <c r="R113" s="355"/>
      <c r="S113" s="356"/>
      <c r="T113" s="812" t="e">
        <f>AVERAGE(S113:S115)</f>
        <v>#DIV/0!</v>
      </c>
      <c r="U113" s="719" t="e">
        <f>T113*J113</f>
        <v>#DIV/0!</v>
      </c>
      <c r="V113" s="239"/>
      <c r="W113" s="239"/>
      <c r="X113" s="239"/>
      <c r="Y113" s="239"/>
      <c r="Z113" s="239"/>
      <c r="AA113" s="239"/>
      <c r="AB113" s="239"/>
      <c r="AC113" s="239"/>
      <c r="AD113" s="239"/>
      <c r="AE113" s="227"/>
      <c r="AF113" s="227"/>
      <c r="AG113" s="227"/>
      <c r="AH113" s="227"/>
      <c r="AI113" s="227"/>
      <c r="AJ113" s="227"/>
      <c r="AK113" s="227"/>
      <c r="AL113" s="227"/>
      <c r="AM113" s="227"/>
      <c r="AN113" s="227"/>
      <c r="AO113" s="227"/>
      <c r="AP113" s="227"/>
      <c r="AQ113" s="227"/>
      <c r="AR113" s="227"/>
      <c r="AS113" s="227"/>
      <c r="AT113" s="227"/>
      <c r="AU113" s="227"/>
      <c r="AV113" s="227"/>
      <c r="AW113" s="227"/>
      <c r="AX113" s="227"/>
      <c r="AY113" s="227"/>
      <c r="AZ113" s="227"/>
      <c r="BA113" s="227"/>
      <c r="BB113" s="227"/>
      <c r="BC113" s="227"/>
      <c r="BD113" s="227"/>
      <c r="BE113" s="227"/>
      <c r="BF113" s="227"/>
      <c r="BG113" s="227"/>
      <c r="BH113" s="227"/>
      <c r="BI113" s="227"/>
      <c r="BJ113" s="227"/>
      <c r="BK113" s="227"/>
      <c r="BL113" s="227"/>
      <c r="BM113" s="227"/>
      <c r="BN113" s="227"/>
      <c r="BO113" s="227"/>
      <c r="BP113" s="227"/>
      <c r="BQ113" s="227"/>
      <c r="BR113" s="227"/>
      <c r="BS113" s="227"/>
      <c r="BT113" s="227"/>
      <c r="BU113" s="227"/>
      <c r="BV113" s="227"/>
      <c r="BW113" s="227"/>
      <c r="BX113" s="227"/>
      <c r="BY113" s="227"/>
      <c r="BZ113" s="227"/>
      <c r="CA113" s="227"/>
      <c r="CB113" s="227"/>
      <c r="CC113" s="227"/>
      <c r="CD113" s="227"/>
      <c r="CE113" s="227"/>
      <c r="CF113" s="227"/>
      <c r="CG113" s="227"/>
      <c r="CH113" s="227"/>
      <c r="CI113" s="227"/>
      <c r="CJ113" s="227"/>
      <c r="CK113" s="227"/>
      <c r="CL113" s="227"/>
      <c r="CM113" s="227"/>
      <c r="CN113" s="227"/>
      <c r="CO113" s="227"/>
      <c r="CP113" s="227"/>
      <c r="CQ113" s="227"/>
      <c r="CR113" s="227"/>
      <c r="CS113" s="227"/>
      <c r="CT113" s="227"/>
      <c r="CU113" s="227"/>
      <c r="CV113" s="227"/>
      <c r="CW113" s="227"/>
      <c r="CX113" s="227"/>
      <c r="CY113" s="227"/>
      <c r="CZ113" s="227"/>
      <c r="DA113" s="227"/>
      <c r="DB113" s="227"/>
      <c r="DC113" s="227"/>
      <c r="DD113" s="227"/>
      <c r="DE113" s="227"/>
      <c r="DF113" s="227"/>
      <c r="DG113" s="227"/>
      <c r="DH113" s="227"/>
      <c r="DI113" s="227"/>
      <c r="DJ113" s="227"/>
      <c r="DK113" s="227"/>
      <c r="DL113" s="227"/>
      <c r="DM113" s="227"/>
      <c r="DN113" s="227"/>
      <c r="DO113" s="227"/>
      <c r="DP113" s="227"/>
      <c r="DQ113" s="227"/>
      <c r="DR113" s="227"/>
      <c r="DS113" s="227"/>
    </row>
    <row r="114" spans="1:123" s="311" customFormat="1" ht="306" customHeight="1">
      <c r="A114" s="827"/>
      <c r="B114" s="671"/>
      <c r="C114" s="671"/>
      <c r="D114" s="828"/>
      <c r="E114" s="835"/>
      <c r="F114" s="836"/>
      <c r="G114" s="836"/>
      <c r="H114" s="837"/>
      <c r="I114" s="660"/>
      <c r="J114" s="810"/>
      <c r="K114" s="357" t="s">
        <v>15</v>
      </c>
      <c r="L114" s="308" t="s">
        <v>99</v>
      </c>
      <c r="M114" s="308" t="s">
        <v>100</v>
      </c>
      <c r="N114" s="308" t="s">
        <v>101</v>
      </c>
      <c r="O114" s="308" t="s">
        <v>102</v>
      </c>
      <c r="P114" s="308" t="s">
        <v>103</v>
      </c>
      <c r="Q114" s="660"/>
      <c r="R114" s="358"/>
      <c r="S114" s="307"/>
      <c r="T114" s="813"/>
      <c r="U114" s="720"/>
      <c r="V114" s="239"/>
      <c r="W114" s="239"/>
      <c r="X114" s="239"/>
      <c r="Y114" s="239"/>
      <c r="Z114" s="239"/>
      <c r="AA114" s="239"/>
      <c r="AB114" s="239"/>
      <c r="AC114" s="239"/>
      <c r="AD114" s="239"/>
      <c r="AE114" s="227"/>
      <c r="AF114" s="227"/>
      <c r="AG114" s="227"/>
      <c r="AH114" s="227"/>
      <c r="AI114" s="227"/>
      <c r="AJ114" s="227"/>
      <c r="AK114" s="227"/>
      <c r="AL114" s="227"/>
      <c r="AM114" s="227"/>
      <c r="AN114" s="227"/>
      <c r="AO114" s="227"/>
      <c r="AP114" s="227"/>
      <c r="AQ114" s="227"/>
      <c r="AR114" s="227"/>
      <c r="AS114" s="227"/>
      <c r="AT114" s="227"/>
      <c r="AU114" s="227"/>
      <c r="AV114" s="227"/>
      <c r="AW114" s="227"/>
      <c r="AX114" s="227"/>
      <c r="AY114" s="227"/>
      <c r="AZ114" s="227"/>
      <c r="BA114" s="227"/>
      <c r="BB114" s="227"/>
      <c r="BC114" s="227"/>
      <c r="BD114" s="227"/>
      <c r="BE114" s="227"/>
      <c r="BF114" s="227"/>
      <c r="BG114" s="227"/>
      <c r="BH114" s="227"/>
      <c r="BI114" s="227"/>
      <c r="BJ114" s="227"/>
      <c r="BK114" s="227"/>
      <c r="BL114" s="227"/>
      <c r="BM114" s="227"/>
      <c r="BN114" s="227"/>
      <c r="BO114" s="227"/>
      <c r="BP114" s="227"/>
      <c r="BQ114" s="227"/>
      <c r="BR114" s="227"/>
      <c r="BS114" s="227"/>
      <c r="BT114" s="227"/>
      <c r="BU114" s="227"/>
      <c r="BV114" s="227"/>
      <c r="BW114" s="227"/>
      <c r="BX114" s="227"/>
      <c r="BY114" s="227"/>
      <c r="BZ114" s="227"/>
      <c r="CA114" s="227"/>
      <c r="CB114" s="227"/>
      <c r="CC114" s="227"/>
      <c r="CD114" s="227"/>
      <c r="CE114" s="227"/>
      <c r="CF114" s="227"/>
      <c r="CG114" s="227"/>
      <c r="CH114" s="227"/>
      <c r="CI114" s="227"/>
      <c r="CJ114" s="227"/>
      <c r="CK114" s="227"/>
      <c r="CL114" s="227"/>
      <c r="CM114" s="227"/>
      <c r="CN114" s="227"/>
      <c r="CO114" s="227"/>
      <c r="CP114" s="227"/>
      <c r="CQ114" s="227"/>
      <c r="CR114" s="227"/>
      <c r="CS114" s="227"/>
      <c r="CT114" s="227"/>
      <c r="CU114" s="227"/>
      <c r="CV114" s="227"/>
      <c r="CW114" s="227"/>
      <c r="CX114" s="227"/>
      <c r="CY114" s="227"/>
      <c r="CZ114" s="227"/>
      <c r="DA114" s="227"/>
      <c r="DB114" s="227"/>
      <c r="DC114" s="227"/>
      <c r="DD114" s="227"/>
      <c r="DE114" s="227"/>
      <c r="DF114" s="227"/>
      <c r="DG114" s="227"/>
      <c r="DH114" s="227"/>
      <c r="DI114" s="227"/>
      <c r="DJ114" s="227"/>
      <c r="DK114" s="227"/>
      <c r="DL114" s="227"/>
      <c r="DM114" s="227"/>
      <c r="DN114" s="227"/>
      <c r="DO114" s="227"/>
      <c r="DP114" s="227"/>
      <c r="DQ114" s="227"/>
      <c r="DR114" s="227"/>
      <c r="DS114" s="227"/>
    </row>
    <row r="115" spans="1:123" s="311" customFormat="1" ht="311" customHeight="1" thickBot="1">
      <c r="A115" s="829"/>
      <c r="B115" s="830"/>
      <c r="C115" s="830"/>
      <c r="D115" s="831"/>
      <c r="E115" s="838"/>
      <c r="F115" s="839"/>
      <c r="G115" s="839"/>
      <c r="H115" s="840"/>
      <c r="I115" s="661"/>
      <c r="J115" s="811"/>
      <c r="K115" s="359" t="s">
        <v>16</v>
      </c>
      <c r="L115" s="360" t="s">
        <v>104</v>
      </c>
      <c r="M115" s="360" t="s">
        <v>105</v>
      </c>
      <c r="N115" s="360" t="s">
        <v>106</v>
      </c>
      <c r="O115" s="361" t="s">
        <v>107</v>
      </c>
      <c r="P115" s="361" t="s">
        <v>108</v>
      </c>
      <c r="Q115" s="661"/>
      <c r="R115" s="362"/>
      <c r="S115" s="363"/>
      <c r="T115" s="813"/>
      <c r="U115" s="721"/>
      <c r="V115" s="239"/>
      <c r="W115" s="239"/>
      <c r="X115" s="239"/>
      <c r="Y115" s="239"/>
      <c r="Z115" s="239"/>
      <c r="AA115" s="239"/>
      <c r="AB115" s="239"/>
      <c r="AC115" s="239"/>
      <c r="AD115" s="239"/>
      <c r="AE115" s="227"/>
      <c r="AF115" s="227"/>
      <c r="AG115" s="227"/>
      <c r="AH115" s="227"/>
      <c r="AI115" s="227"/>
      <c r="AJ115" s="227"/>
      <c r="AK115" s="227"/>
      <c r="AL115" s="227"/>
      <c r="AM115" s="227"/>
      <c r="AN115" s="227"/>
      <c r="AO115" s="227"/>
      <c r="AP115" s="227"/>
      <c r="AQ115" s="227"/>
      <c r="AR115" s="227"/>
      <c r="AS115" s="227"/>
      <c r="AT115" s="227"/>
      <c r="AU115" s="227"/>
      <c r="AV115" s="227"/>
      <c r="AW115" s="227"/>
      <c r="AX115" s="227"/>
      <c r="AY115" s="227"/>
      <c r="AZ115" s="227"/>
      <c r="BA115" s="227"/>
      <c r="BB115" s="227"/>
      <c r="BC115" s="227"/>
      <c r="BD115" s="227"/>
      <c r="BE115" s="227"/>
      <c r="BF115" s="227"/>
      <c r="BG115" s="227"/>
      <c r="BH115" s="227"/>
      <c r="BI115" s="227"/>
      <c r="BJ115" s="227"/>
      <c r="BK115" s="227"/>
      <c r="BL115" s="227"/>
      <c r="BM115" s="227"/>
      <c r="BN115" s="227"/>
      <c r="BO115" s="227"/>
      <c r="BP115" s="227"/>
      <c r="BQ115" s="227"/>
      <c r="BR115" s="227"/>
      <c r="BS115" s="227"/>
      <c r="BT115" s="227"/>
      <c r="BU115" s="227"/>
      <c r="BV115" s="227"/>
      <c r="BW115" s="227"/>
      <c r="BX115" s="227"/>
      <c r="BY115" s="227"/>
      <c r="BZ115" s="227"/>
      <c r="CA115" s="227"/>
      <c r="CB115" s="227"/>
      <c r="CC115" s="227"/>
      <c r="CD115" s="227"/>
      <c r="CE115" s="227"/>
      <c r="CF115" s="227"/>
      <c r="CG115" s="227"/>
      <c r="CH115" s="227"/>
      <c r="CI115" s="227"/>
      <c r="CJ115" s="227"/>
      <c r="CK115" s="227"/>
      <c r="CL115" s="227"/>
      <c r="CM115" s="227"/>
      <c r="CN115" s="227"/>
      <c r="CO115" s="227"/>
      <c r="CP115" s="227"/>
      <c r="CQ115" s="227"/>
      <c r="CR115" s="227"/>
      <c r="CS115" s="227"/>
      <c r="CT115" s="227"/>
      <c r="CU115" s="227"/>
      <c r="CV115" s="227"/>
      <c r="CW115" s="227"/>
      <c r="CX115" s="227"/>
      <c r="CY115" s="227"/>
      <c r="CZ115" s="227"/>
      <c r="DA115" s="227"/>
      <c r="DB115" s="227"/>
      <c r="DC115" s="227"/>
      <c r="DD115" s="227"/>
      <c r="DE115" s="227"/>
      <c r="DF115" s="227"/>
      <c r="DG115" s="227"/>
      <c r="DH115" s="227"/>
      <c r="DI115" s="227"/>
      <c r="DJ115" s="227"/>
      <c r="DK115" s="227"/>
      <c r="DL115" s="227"/>
      <c r="DM115" s="227"/>
      <c r="DN115" s="227"/>
      <c r="DO115" s="227"/>
      <c r="DP115" s="227"/>
      <c r="DQ115" s="227"/>
      <c r="DR115" s="227"/>
      <c r="DS115" s="227"/>
    </row>
    <row r="116" spans="1:123" ht="371.5" customHeight="1">
      <c r="A116" s="848" t="s">
        <v>109</v>
      </c>
      <c r="B116" s="825"/>
      <c r="C116" s="825"/>
      <c r="D116" s="826"/>
      <c r="E116" s="842" t="s">
        <v>521</v>
      </c>
      <c r="F116" s="825"/>
      <c r="G116" s="825"/>
      <c r="H116" s="826"/>
      <c r="I116" s="850" t="s">
        <v>93</v>
      </c>
      <c r="J116" s="809">
        <v>0.05</v>
      </c>
      <c r="K116" s="347" t="s">
        <v>14</v>
      </c>
      <c r="L116" s="310" t="s">
        <v>111</v>
      </c>
      <c r="M116" s="310" t="s">
        <v>112</v>
      </c>
      <c r="N116" s="310" t="s">
        <v>113</v>
      </c>
      <c r="O116" s="310" t="s">
        <v>770</v>
      </c>
      <c r="P116" s="310" t="s">
        <v>115</v>
      </c>
      <c r="Q116" s="659"/>
      <c r="R116" s="663"/>
      <c r="S116" s="348"/>
      <c r="T116" s="657" t="e">
        <f>AVERAGE(S116:S118)</f>
        <v>#DIV/0!</v>
      </c>
      <c r="U116" s="716" t="e">
        <f>T116*J116</f>
        <v>#DIV/0!</v>
      </c>
      <c r="V116" s="239"/>
      <c r="W116" s="239"/>
      <c r="X116" s="239"/>
      <c r="Y116" s="239"/>
      <c r="Z116" s="239"/>
      <c r="AA116" s="239"/>
      <c r="AB116" s="239"/>
      <c r="AC116" s="239"/>
      <c r="AD116" s="239"/>
    </row>
    <row r="117" spans="1:123" ht="213.5" customHeight="1">
      <c r="A117" s="827"/>
      <c r="B117" s="671"/>
      <c r="C117" s="671"/>
      <c r="D117" s="828"/>
      <c r="E117" s="843"/>
      <c r="F117" s="671"/>
      <c r="G117" s="671"/>
      <c r="H117" s="828"/>
      <c r="I117" s="851"/>
      <c r="J117" s="810"/>
      <c r="K117" s="349" t="s">
        <v>15</v>
      </c>
      <c r="L117" s="285" t="s">
        <v>522</v>
      </c>
      <c r="M117" s="285" t="s">
        <v>765</v>
      </c>
      <c r="N117" s="285" t="s">
        <v>766</v>
      </c>
      <c r="O117" s="285" t="s">
        <v>767</v>
      </c>
      <c r="P117" s="285" t="s">
        <v>768</v>
      </c>
      <c r="Q117" s="660"/>
      <c r="R117" s="658"/>
      <c r="S117" s="306"/>
      <c r="T117" s="658"/>
      <c r="U117" s="717"/>
      <c r="V117" s="239"/>
      <c r="W117" s="239"/>
      <c r="X117" s="239"/>
      <c r="Y117" s="239"/>
      <c r="Z117" s="239"/>
      <c r="AA117" s="239"/>
      <c r="AB117" s="239"/>
      <c r="AC117" s="239"/>
      <c r="AD117" s="239"/>
    </row>
    <row r="118" spans="1:123" ht="85.5" customHeight="1" thickBot="1">
      <c r="A118" s="829"/>
      <c r="B118" s="830"/>
      <c r="C118" s="830"/>
      <c r="D118" s="831"/>
      <c r="E118" s="849"/>
      <c r="F118" s="830"/>
      <c r="G118" s="830"/>
      <c r="H118" s="831"/>
      <c r="I118" s="852"/>
      <c r="J118" s="811"/>
      <c r="K118" s="364" t="s">
        <v>16</v>
      </c>
      <c r="L118" s="365"/>
      <c r="M118" s="365"/>
      <c r="N118" s="365"/>
      <c r="O118" s="365"/>
      <c r="P118" s="365"/>
      <c r="Q118" s="661"/>
      <c r="R118" s="722"/>
      <c r="S118" s="350"/>
      <c r="T118" s="658"/>
      <c r="U118" s="723"/>
      <c r="V118" s="239"/>
      <c r="W118" s="239"/>
      <c r="X118" s="239"/>
      <c r="Y118" s="239"/>
      <c r="Z118" s="239"/>
      <c r="AA118" s="239"/>
      <c r="AB118" s="239"/>
      <c r="AC118" s="239"/>
      <c r="AD118" s="239"/>
    </row>
    <row r="119" spans="1:123" ht="47.5" customHeight="1">
      <c r="A119" s="848" t="s">
        <v>121</v>
      </c>
      <c r="B119" s="825"/>
      <c r="C119" s="825"/>
      <c r="D119" s="826"/>
      <c r="E119" s="842" t="s">
        <v>523</v>
      </c>
      <c r="F119" s="825"/>
      <c r="G119" s="825"/>
      <c r="H119" s="826"/>
      <c r="I119" s="850" t="s">
        <v>93</v>
      </c>
      <c r="J119" s="809">
        <v>0.05</v>
      </c>
      <c r="K119" s="347" t="s">
        <v>14</v>
      </c>
      <c r="L119" s="310" t="s">
        <v>123</v>
      </c>
      <c r="M119" s="310" t="s">
        <v>124</v>
      </c>
      <c r="N119" s="310" t="s">
        <v>125</v>
      </c>
      <c r="O119" s="310" t="s">
        <v>126</v>
      </c>
      <c r="P119" s="310" t="s">
        <v>127</v>
      </c>
      <c r="Q119" s="659"/>
      <c r="R119" s="663"/>
      <c r="S119" s="348"/>
      <c r="T119" s="657" t="e">
        <f>AVERAGE(S119:S121)</f>
        <v>#DIV/0!</v>
      </c>
      <c r="U119" s="716" t="e">
        <f>T119*J119</f>
        <v>#DIV/0!</v>
      </c>
      <c r="V119" s="239"/>
      <c r="W119" s="239"/>
      <c r="X119" s="239"/>
      <c r="Y119" s="239"/>
      <c r="Z119" s="239"/>
      <c r="AA119" s="239"/>
      <c r="AB119" s="239"/>
      <c r="AC119" s="239"/>
      <c r="AD119" s="239"/>
    </row>
    <row r="120" spans="1:123" ht="50.5" customHeight="1">
      <c r="A120" s="827"/>
      <c r="B120" s="671"/>
      <c r="C120" s="671"/>
      <c r="D120" s="828"/>
      <c r="E120" s="843"/>
      <c r="F120" s="671"/>
      <c r="G120" s="671"/>
      <c r="H120" s="828"/>
      <c r="I120" s="851"/>
      <c r="J120" s="810"/>
      <c r="K120" s="349" t="s">
        <v>15</v>
      </c>
      <c r="L120" s="285" t="s">
        <v>524</v>
      </c>
      <c r="M120" s="285" t="s">
        <v>525</v>
      </c>
      <c r="N120" s="285" t="s">
        <v>526</v>
      </c>
      <c r="O120" s="285" t="s">
        <v>527</v>
      </c>
      <c r="P120" s="285" t="s">
        <v>528</v>
      </c>
      <c r="Q120" s="660"/>
      <c r="R120" s="658"/>
      <c r="S120" s="306"/>
      <c r="T120" s="658"/>
      <c r="U120" s="717"/>
      <c r="V120" s="239"/>
      <c r="W120" s="239"/>
      <c r="X120" s="239"/>
      <c r="Y120" s="239"/>
      <c r="Z120" s="239"/>
      <c r="AA120" s="239"/>
      <c r="AB120" s="239"/>
      <c r="AC120" s="239"/>
      <c r="AD120" s="239"/>
    </row>
    <row r="121" spans="1:123" ht="134" customHeight="1" thickBot="1">
      <c r="A121" s="853"/>
      <c r="B121" s="845"/>
      <c r="C121" s="845"/>
      <c r="D121" s="846"/>
      <c r="E121" s="844"/>
      <c r="F121" s="845"/>
      <c r="G121" s="845"/>
      <c r="H121" s="846"/>
      <c r="I121" s="854"/>
      <c r="J121" s="855"/>
      <c r="K121" s="351" t="s">
        <v>16</v>
      </c>
      <c r="L121" s="366" t="s">
        <v>133</v>
      </c>
      <c r="M121" s="367"/>
      <c r="N121" s="366" t="s">
        <v>134</v>
      </c>
      <c r="O121" s="367"/>
      <c r="P121" s="366" t="s">
        <v>135</v>
      </c>
      <c r="Q121" s="662"/>
      <c r="R121" s="664"/>
      <c r="S121" s="352"/>
      <c r="T121" s="664"/>
      <c r="U121" s="718"/>
      <c r="V121" s="239"/>
      <c r="W121" s="239"/>
      <c r="X121" s="239"/>
      <c r="Y121" s="239"/>
      <c r="Z121" s="239"/>
      <c r="AA121" s="239"/>
      <c r="AB121" s="239"/>
      <c r="AC121" s="239"/>
      <c r="AD121" s="239"/>
    </row>
    <row r="122" spans="1:123" ht="63.5" customHeight="1" thickBot="1">
      <c r="A122" s="847" t="s">
        <v>136</v>
      </c>
      <c r="B122" s="674"/>
      <c r="C122" s="674"/>
      <c r="D122" s="674"/>
      <c r="E122" s="674"/>
      <c r="F122" s="674"/>
      <c r="G122" s="674"/>
      <c r="H122" s="674"/>
      <c r="I122" s="674"/>
      <c r="J122" s="674"/>
      <c r="K122" s="674"/>
      <c r="L122" s="674"/>
      <c r="M122" s="674"/>
      <c r="N122" s="674"/>
      <c r="O122" s="674"/>
      <c r="P122" s="674"/>
      <c r="Q122" s="674"/>
      <c r="R122" s="674"/>
      <c r="S122" s="674"/>
      <c r="T122" s="675"/>
      <c r="U122" s="353" t="e">
        <f>SUM(U113:U121)</f>
        <v>#DIV/0!</v>
      </c>
      <c r="V122" s="239"/>
      <c r="W122" s="239"/>
      <c r="X122" s="239"/>
      <c r="Y122" s="239"/>
      <c r="Z122" s="239"/>
      <c r="AA122" s="239"/>
      <c r="AB122" s="239"/>
      <c r="AC122" s="239"/>
      <c r="AD122" s="239"/>
    </row>
    <row r="123" spans="1:123" ht="13.5" customHeight="1">
      <c r="A123" s="291"/>
      <c r="B123" s="253"/>
      <c r="C123" s="253"/>
      <c r="D123" s="253"/>
      <c r="E123" s="253"/>
      <c r="F123" s="254"/>
      <c r="G123" s="253"/>
      <c r="H123" s="255"/>
      <c r="I123" s="298"/>
      <c r="J123" s="257"/>
      <c r="K123" s="256"/>
      <c r="L123" s="258"/>
      <c r="M123" s="253"/>
      <c r="N123" s="253"/>
      <c r="O123" s="253"/>
      <c r="P123" s="253"/>
      <c r="Q123" s="254"/>
      <c r="R123" s="253"/>
      <c r="S123" s="259"/>
      <c r="T123" s="260"/>
      <c r="U123" s="259"/>
      <c r="V123" s="213"/>
      <c r="W123" s="213"/>
      <c r="X123" s="213"/>
      <c r="Y123" s="213"/>
      <c r="Z123" s="213"/>
      <c r="AA123" s="213"/>
      <c r="AB123" s="213"/>
      <c r="AC123" s="213"/>
      <c r="AD123" s="213"/>
      <c r="AE123" s="214"/>
    </row>
    <row r="124" spans="1:123" ht="13.5" customHeight="1">
      <c r="A124" s="291"/>
      <c r="B124" s="253"/>
      <c r="C124" s="253"/>
      <c r="D124" s="253"/>
      <c r="E124" s="253"/>
      <c r="F124" s="254"/>
      <c r="G124" s="253"/>
      <c r="H124" s="255"/>
      <c r="I124" s="298"/>
      <c r="J124" s="257"/>
      <c r="K124" s="256"/>
      <c r="L124" s="258"/>
      <c r="M124" s="253"/>
      <c r="N124" s="253"/>
      <c r="O124" s="253"/>
      <c r="P124" s="253"/>
      <c r="Q124" s="254"/>
      <c r="R124" s="253"/>
      <c r="S124" s="259"/>
      <c r="T124" s="260"/>
      <c r="U124" s="259"/>
      <c r="V124" s="213"/>
      <c r="W124" s="213"/>
      <c r="X124" s="213"/>
      <c r="Y124" s="213"/>
      <c r="Z124" s="213"/>
      <c r="AA124" s="213"/>
      <c r="AB124" s="213"/>
      <c r="AC124" s="213"/>
      <c r="AD124" s="213"/>
      <c r="AE124" s="214"/>
    </row>
    <row r="125" spans="1:123" ht="13.5" customHeight="1">
      <c r="A125" s="291"/>
      <c r="B125" s="253"/>
      <c r="C125" s="253"/>
      <c r="D125" s="253"/>
      <c r="E125" s="253"/>
      <c r="F125" s="254"/>
      <c r="G125" s="253"/>
      <c r="H125" s="255"/>
      <c r="I125" s="298"/>
      <c r="J125" s="257"/>
      <c r="K125" s="256"/>
      <c r="L125" s="258"/>
      <c r="M125" s="253"/>
      <c r="N125" s="253"/>
      <c r="O125" s="253"/>
      <c r="P125" s="253"/>
      <c r="Q125" s="254"/>
      <c r="R125" s="253"/>
      <c r="S125" s="259"/>
      <c r="T125" s="260"/>
      <c r="U125" s="259"/>
      <c r="V125" s="213"/>
      <c r="W125" s="213"/>
      <c r="X125" s="213"/>
      <c r="Y125" s="213"/>
      <c r="Z125" s="213"/>
      <c r="AA125" s="213"/>
      <c r="AB125" s="213"/>
      <c r="AC125" s="213"/>
      <c r="AD125" s="213"/>
      <c r="AE125" s="214"/>
    </row>
    <row r="126" spans="1:123" ht="13.5" customHeight="1">
      <c r="A126" s="292"/>
      <c r="B126" s="249"/>
      <c r="C126" s="249"/>
      <c r="D126" s="250"/>
      <c r="E126" s="250"/>
      <c r="F126" s="249"/>
      <c r="G126" s="249"/>
      <c r="H126" s="261"/>
      <c r="I126" s="299"/>
      <c r="J126" s="262"/>
      <c r="K126" s="263"/>
      <c r="S126" s="264"/>
      <c r="T126" s="265"/>
      <c r="U126" s="266"/>
      <c r="V126" s="239"/>
      <c r="W126" s="239"/>
      <c r="X126" s="239"/>
      <c r="Y126" s="239"/>
      <c r="Z126" s="239"/>
      <c r="AA126" s="239"/>
      <c r="AB126" s="239"/>
      <c r="AC126" s="239"/>
      <c r="AD126" s="239"/>
    </row>
    <row r="127" spans="1:123" ht="13.5" customHeight="1">
      <c r="A127" s="292"/>
      <c r="B127" s="249"/>
      <c r="C127" s="249"/>
      <c r="D127" s="250"/>
      <c r="E127" s="250"/>
      <c r="F127" s="249"/>
      <c r="G127" s="249"/>
      <c r="H127" s="261"/>
      <c r="I127" s="299"/>
      <c r="J127" s="262"/>
      <c r="K127" s="263"/>
      <c r="S127" s="264"/>
      <c r="T127" s="265"/>
      <c r="U127" s="266"/>
      <c r="V127" s="239"/>
      <c r="W127" s="239"/>
      <c r="X127" s="239"/>
      <c r="Y127" s="239"/>
      <c r="Z127" s="239"/>
      <c r="AA127" s="239"/>
      <c r="AB127" s="239"/>
      <c r="AC127" s="239"/>
      <c r="AD127" s="239"/>
    </row>
    <row r="128" spans="1:123" s="373" customFormat="1" ht="13.5" customHeight="1">
      <c r="A128" s="371"/>
      <c r="B128" s="646" t="str">
        <f>E4</f>
        <v>MC WELSON C. SOLOMON</v>
      </c>
      <c r="C128" s="646"/>
      <c r="D128" s="646"/>
      <c r="E128" s="646"/>
      <c r="F128" s="372"/>
      <c r="G128" s="372"/>
      <c r="H128" s="666" t="s">
        <v>142</v>
      </c>
      <c r="I128" s="666"/>
      <c r="J128" s="666"/>
      <c r="K128" s="666"/>
      <c r="L128" s="666"/>
      <c r="N128" s="646" t="s">
        <v>144</v>
      </c>
      <c r="O128" s="646"/>
      <c r="P128" s="646"/>
      <c r="S128" s="369"/>
      <c r="T128" s="370"/>
      <c r="U128" s="370"/>
      <c r="V128" s="374"/>
      <c r="W128" s="374"/>
      <c r="X128" s="374"/>
      <c r="Y128" s="374"/>
      <c r="Z128" s="374"/>
      <c r="AA128" s="374"/>
      <c r="AB128" s="374"/>
      <c r="AC128" s="374"/>
      <c r="AD128" s="374"/>
      <c r="AE128" s="375"/>
      <c r="AF128" s="375"/>
      <c r="AG128" s="375"/>
      <c r="AH128" s="375"/>
      <c r="AI128" s="375"/>
      <c r="AJ128" s="375"/>
      <c r="AK128" s="375"/>
      <c r="AL128" s="375"/>
      <c r="AM128" s="375"/>
      <c r="AN128" s="375"/>
      <c r="AO128" s="375"/>
      <c r="AP128" s="375"/>
      <c r="AQ128" s="375"/>
      <c r="AR128" s="375"/>
      <c r="AS128" s="375"/>
      <c r="AT128" s="375"/>
      <c r="AU128" s="375"/>
      <c r="AV128" s="375"/>
      <c r="AW128" s="375"/>
      <c r="AX128" s="375"/>
      <c r="AY128" s="375"/>
      <c r="AZ128" s="375"/>
      <c r="BA128" s="375"/>
      <c r="BB128" s="375"/>
      <c r="BC128" s="375"/>
      <c r="BD128" s="375"/>
      <c r="BE128" s="375"/>
      <c r="BF128" s="375"/>
      <c r="BG128" s="375"/>
      <c r="BH128" s="375"/>
      <c r="BI128" s="375"/>
      <c r="BJ128" s="375"/>
      <c r="BK128" s="375"/>
      <c r="BL128" s="375"/>
      <c r="BM128" s="375"/>
      <c r="BN128" s="375"/>
      <c r="BO128" s="375"/>
      <c r="BP128" s="375"/>
      <c r="BQ128" s="375"/>
      <c r="BR128" s="375"/>
      <c r="BS128" s="375"/>
      <c r="BT128" s="375"/>
      <c r="BU128" s="375"/>
      <c r="BV128" s="375"/>
      <c r="BW128" s="375"/>
      <c r="BX128" s="375"/>
      <c r="BY128" s="375"/>
      <c r="BZ128" s="375"/>
      <c r="CA128" s="375"/>
      <c r="CB128" s="375"/>
      <c r="CC128" s="375"/>
      <c r="CD128" s="375"/>
      <c r="CE128" s="375"/>
      <c r="CF128" s="375"/>
      <c r="CG128" s="375"/>
      <c r="CH128" s="375"/>
      <c r="CI128" s="375"/>
      <c r="CJ128" s="375"/>
      <c r="CK128" s="375"/>
      <c r="CL128" s="375"/>
      <c r="CM128" s="375"/>
      <c r="CN128" s="375"/>
      <c r="CO128" s="375"/>
      <c r="CP128" s="375"/>
      <c r="CQ128" s="375"/>
      <c r="CR128" s="375"/>
      <c r="CS128" s="375"/>
      <c r="CT128" s="375"/>
      <c r="CU128" s="375"/>
      <c r="CV128" s="375"/>
      <c r="CW128" s="375"/>
      <c r="CX128" s="375"/>
      <c r="CY128" s="375"/>
      <c r="CZ128" s="375"/>
      <c r="DA128" s="375"/>
      <c r="DB128" s="375"/>
      <c r="DC128" s="375"/>
      <c r="DD128" s="375"/>
      <c r="DE128" s="375"/>
      <c r="DF128" s="375"/>
      <c r="DG128" s="375"/>
      <c r="DH128" s="375"/>
      <c r="DI128" s="375"/>
      <c r="DJ128" s="375"/>
      <c r="DK128" s="375"/>
      <c r="DL128" s="375"/>
      <c r="DM128" s="375"/>
      <c r="DN128" s="375"/>
      <c r="DO128" s="375"/>
      <c r="DP128" s="375"/>
      <c r="DQ128" s="375"/>
      <c r="DR128" s="375"/>
      <c r="DS128" s="375"/>
    </row>
    <row r="129" spans="1:123" s="373" customFormat="1" ht="35" customHeight="1">
      <c r="A129" s="371"/>
      <c r="B129" s="646"/>
      <c r="C129" s="646"/>
      <c r="D129" s="646"/>
      <c r="E129" s="646"/>
      <c r="F129" s="372"/>
      <c r="G129" s="372"/>
      <c r="H129" s="666"/>
      <c r="I129" s="666"/>
      <c r="J129" s="666"/>
      <c r="K129" s="666"/>
      <c r="L129" s="666"/>
      <c r="N129" s="646"/>
      <c r="O129" s="646"/>
      <c r="P129" s="646"/>
      <c r="S129" s="369"/>
      <c r="T129" s="370"/>
      <c r="U129" s="370"/>
      <c r="V129" s="374"/>
      <c r="W129" s="374"/>
      <c r="X129" s="374"/>
      <c r="Y129" s="374"/>
      <c r="Z129" s="374"/>
      <c r="AA129" s="374"/>
      <c r="AB129" s="374"/>
      <c r="AC129" s="374"/>
      <c r="AD129" s="374"/>
      <c r="AE129" s="375"/>
      <c r="AF129" s="375"/>
      <c r="AG129" s="375"/>
      <c r="AH129" s="375"/>
      <c r="AI129" s="375"/>
      <c r="AJ129" s="375"/>
      <c r="AK129" s="375"/>
      <c r="AL129" s="375"/>
      <c r="AM129" s="375"/>
      <c r="AN129" s="375"/>
      <c r="AO129" s="375"/>
      <c r="AP129" s="375"/>
      <c r="AQ129" s="375"/>
      <c r="AR129" s="375"/>
      <c r="AS129" s="375"/>
      <c r="AT129" s="375"/>
      <c r="AU129" s="375"/>
      <c r="AV129" s="375"/>
      <c r="AW129" s="375"/>
      <c r="AX129" s="375"/>
      <c r="AY129" s="375"/>
      <c r="AZ129" s="375"/>
      <c r="BA129" s="375"/>
      <c r="BB129" s="375"/>
      <c r="BC129" s="375"/>
      <c r="BD129" s="375"/>
      <c r="BE129" s="375"/>
      <c r="BF129" s="375"/>
      <c r="BG129" s="375"/>
      <c r="BH129" s="375"/>
      <c r="BI129" s="375"/>
      <c r="BJ129" s="375"/>
      <c r="BK129" s="375"/>
      <c r="BL129" s="375"/>
      <c r="BM129" s="375"/>
      <c r="BN129" s="375"/>
      <c r="BO129" s="375"/>
      <c r="BP129" s="375"/>
      <c r="BQ129" s="375"/>
      <c r="BR129" s="375"/>
      <c r="BS129" s="375"/>
      <c r="BT129" s="375"/>
      <c r="BU129" s="375"/>
      <c r="BV129" s="375"/>
      <c r="BW129" s="375"/>
      <c r="BX129" s="375"/>
      <c r="BY129" s="375"/>
      <c r="BZ129" s="375"/>
      <c r="CA129" s="375"/>
      <c r="CB129" s="375"/>
      <c r="CC129" s="375"/>
      <c r="CD129" s="375"/>
      <c r="CE129" s="375"/>
      <c r="CF129" s="375"/>
      <c r="CG129" s="375"/>
      <c r="CH129" s="375"/>
      <c r="CI129" s="375"/>
      <c r="CJ129" s="375"/>
      <c r="CK129" s="375"/>
      <c r="CL129" s="375"/>
      <c r="CM129" s="375"/>
      <c r="CN129" s="375"/>
      <c r="CO129" s="375"/>
      <c r="CP129" s="375"/>
      <c r="CQ129" s="375"/>
      <c r="CR129" s="375"/>
      <c r="CS129" s="375"/>
      <c r="CT129" s="375"/>
      <c r="CU129" s="375"/>
      <c r="CV129" s="375"/>
      <c r="CW129" s="375"/>
      <c r="CX129" s="375"/>
      <c r="CY129" s="375"/>
      <c r="CZ129" s="375"/>
      <c r="DA129" s="375"/>
      <c r="DB129" s="375"/>
      <c r="DC129" s="375"/>
      <c r="DD129" s="375"/>
      <c r="DE129" s="375"/>
      <c r="DF129" s="375"/>
      <c r="DG129" s="375"/>
      <c r="DH129" s="375"/>
      <c r="DI129" s="375"/>
      <c r="DJ129" s="375"/>
      <c r="DK129" s="375"/>
      <c r="DL129" s="375"/>
      <c r="DM129" s="375"/>
      <c r="DN129" s="375"/>
      <c r="DO129" s="375"/>
      <c r="DP129" s="375"/>
      <c r="DQ129" s="375"/>
      <c r="DR129" s="375"/>
      <c r="DS129" s="375"/>
    </row>
    <row r="130" spans="1:123" ht="47" customHeight="1">
      <c r="A130" s="292"/>
      <c r="B130" s="665" t="s">
        <v>137</v>
      </c>
      <c r="C130" s="665"/>
      <c r="D130" s="665"/>
      <c r="E130" s="665"/>
      <c r="F130" s="368"/>
      <c r="G130" s="368"/>
      <c r="H130" s="667" t="s">
        <v>138</v>
      </c>
      <c r="I130" s="667"/>
      <c r="J130" s="667"/>
      <c r="K130" s="667"/>
      <c r="L130" s="667"/>
      <c r="N130" s="647" t="s">
        <v>139</v>
      </c>
      <c r="O130" s="647"/>
      <c r="P130" s="647"/>
      <c r="Q130" s="315"/>
      <c r="R130" s="249"/>
      <c r="S130" s="266"/>
      <c r="T130" s="265"/>
      <c r="U130" s="265"/>
      <c r="V130" s="239"/>
      <c r="W130" s="239"/>
      <c r="X130" s="239"/>
      <c r="Y130" s="239"/>
      <c r="Z130" s="239"/>
      <c r="AA130" s="239"/>
      <c r="AB130" s="239"/>
      <c r="AC130" s="239"/>
      <c r="AD130" s="239"/>
    </row>
    <row r="131" spans="1:123" ht="13.5" customHeight="1">
      <c r="A131" s="292"/>
      <c r="B131" s="249"/>
      <c r="C131" s="262"/>
      <c r="D131" s="249"/>
      <c r="E131" s="249"/>
      <c r="F131" s="249"/>
      <c r="G131" s="249"/>
      <c r="H131" s="261"/>
      <c r="I131" s="299"/>
      <c r="J131" s="262"/>
      <c r="K131" s="262"/>
      <c r="L131" s="249"/>
      <c r="M131" s="249"/>
      <c r="Q131" s="315"/>
      <c r="R131" s="249"/>
      <c r="S131" s="266"/>
      <c r="T131" s="265"/>
      <c r="U131" s="265"/>
      <c r="V131" s="239"/>
      <c r="W131" s="239"/>
      <c r="X131" s="239"/>
      <c r="Y131" s="239"/>
      <c r="Z131" s="239"/>
      <c r="AA131" s="239"/>
      <c r="AB131" s="239"/>
      <c r="AC131" s="239"/>
      <c r="AD131" s="239"/>
    </row>
    <row r="132" spans="1:123" ht="13.5" customHeight="1">
      <c r="A132" s="292"/>
      <c r="B132" s="249"/>
      <c r="C132" s="249"/>
      <c r="D132" s="249"/>
      <c r="E132" s="249"/>
      <c r="F132" s="249"/>
      <c r="G132" s="249"/>
      <c r="H132" s="261"/>
      <c r="I132" s="299"/>
      <c r="J132" s="262"/>
      <c r="K132" s="262"/>
      <c r="L132" s="249"/>
      <c r="M132" s="249"/>
      <c r="N132" s="249"/>
      <c r="O132" s="249"/>
      <c r="P132" s="249"/>
      <c r="Q132" s="315"/>
      <c r="R132" s="249"/>
      <c r="S132" s="266"/>
      <c r="T132" s="265"/>
      <c r="U132" s="265"/>
      <c r="V132" s="239"/>
      <c r="W132" s="239"/>
      <c r="X132" s="239"/>
      <c r="Y132" s="239"/>
      <c r="Z132" s="239"/>
      <c r="AA132" s="239"/>
      <c r="AB132" s="239"/>
      <c r="AC132" s="239"/>
      <c r="AD132" s="239"/>
    </row>
    <row r="133" spans="1:123" ht="13.5" customHeight="1">
      <c r="A133" s="291"/>
      <c r="B133" s="253"/>
      <c r="C133" s="253"/>
      <c r="D133" s="253"/>
      <c r="E133" s="253"/>
      <c r="F133" s="254"/>
      <c r="G133" s="253"/>
      <c r="H133" s="255"/>
      <c r="I133" s="298"/>
      <c r="J133" s="257"/>
      <c r="K133" s="256"/>
      <c r="L133" s="258"/>
      <c r="M133" s="253"/>
      <c r="N133" s="253"/>
      <c r="O133" s="253"/>
      <c r="P133" s="253"/>
      <c r="Q133" s="254"/>
      <c r="R133" s="253"/>
      <c r="S133" s="259"/>
      <c r="T133" s="260"/>
      <c r="U133" s="260"/>
      <c r="V133" s="213"/>
      <c r="W133" s="213"/>
      <c r="X133" s="213"/>
      <c r="Y133" s="213"/>
      <c r="Z133" s="213"/>
      <c r="AA133" s="213"/>
      <c r="AB133" s="213"/>
      <c r="AC133" s="213"/>
      <c r="AD133" s="213"/>
      <c r="AE133" s="214"/>
    </row>
    <row r="134" spans="1:123" ht="13.5" customHeight="1">
      <c r="A134" s="291"/>
      <c r="B134" s="253"/>
      <c r="C134" s="253"/>
      <c r="D134" s="253"/>
      <c r="E134" s="253"/>
      <c r="F134" s="254"/>
      <c r="G134" s="253"/>
      <c r="H134" s="255"/>
      <c r="I134" s="298"/>
      <c r="J134" s="257"/>
      <c r="K134" s="256"/>
      <c r="L134" s="258"/>
      <c r="M134" s="253"/>
      <c r="N134" s="253"/>
      <c r="O134" s="253"/>
      <c r="P134" s="253"/>
      <c r="Q134" s="254"/>
      <c r="R134" s="253"/>
      <c r="S134" s="259"/>
      <c r="T134" s="260"/>
      <c r="U134" s="260"/>
      <c r="V134" s="213"/>
      <c r="W134" s="213"/>
      <c r="X134" s="213"/>
      <c r="Y134" s="213"/>
      <c r="Z134" s="213"/>
      <c r="AA134" s="213"/>
      <c r="AB134" s="213"/>
      <c r="AC134" s="213"/>
      <c r="AD134" s="213"/>
      <c r="AE134" s="214"/>
    </row>
    <row r="135" spans="1:123" ht="13.5" customHeight="1">
      <c r="A135" s="291"/>
      <c r="B135" s="253"/>
      <c r="C135" s="253"/>
      <c r="D135" s="253"/>
      <c r="E135" s="253"/>
      <c r="F135" s="254"/>
      <c r="G135" s="253"/>
      <c r="H135" s="255"/>
      <c r="I135" s="298"/>
      <c r="J135" s="257"/>
      <c r="K135" s="256"/>
      <c r="L135" s="258"/>
      <c r="M135" s="253"/>
      <c r="N135" s="253"/>
      <c r="O135" s="253"/>
      <c r="P135" s="253"/>
      <c r="Q135" s="254"/>
      <c r="R135" s="253"/>
      <c r="S135" s="259"/>
      <c r="T135" s="260"/>
      <c r="U135" s="260"/>
      <c r="V135" s="213"/>
      <c r="W135" s="213"/>
      <c r="X135" s="213"/>
      <c r="Y135" s="213"/>
      <c r="Z135" s="213"/>
      <c r="AA135" s="213"/>
      <c r="AB135" s="213"/>
      <c r="AC135" s="213"/>
      <c r="AD135" s="213"/>
      <c r="AE135" s="214"/>
    </row>
    <row r="136" spans="1:123" ht="13.5" customHeight="1">
      <c r="A136" s="291"/>
      <c r="B136" s="253"/>
      <c r="C136" s="253"/>
      <c r="D136" s="253"/>
      <c r="E136" s="253"/>
      <c r="F136" s="254"/>
      <c r="G136" s="253"/>
      <c r="H136" s="255"/>
      <c r="I136" s="298"/>
      <c r="J136" s="257"/>
      <c r="K136" s="256"/>
      <c r="L136" s="258"/>
      <c r="M136" s="253"/>
      <c r="N136" s="253"/>
      <c r="O136" s="253"/>
      <c r="P136" s="253"/>
      <c r="Q136" s="254"/>
      <c r="R136" s="253"/>
      <c r="S136" s="259"/>
      <c r="T136" s="260"/>
      <c r="U136" s="260"/>
      <c r="V136" s="213"/>
      <c r="W136" s="213"/>
      <c r="X136" s="213"/>
      <c r="Y136" s="213"/>
      <c r="Z136" s="213"/>
      <c r="AA136" s="213"/>
      <c r="AB136" s="213"/>
      <c r="AC136" s="213"/>
      <c r="AD136" s="213"/>
      <c r="AE136" s="214"/>
    </row>
    <row r="137" spans="1:123" ht="13.5" customHeight="1">
      <c r="A137" s="291"/>
      <c r="B137" s="253"/>
      <c r="C137" s="253"/>
      <c r="D137" s="253"/>
      <c r="E137" s="253"/>
      <c r="F137" s="254"/>
      <c r="G137" s="253"/>
      <c r="H137" s="255"/>
      <c r="I137" s="298"/>
      <c r="J137" s="257"/>
      <c r="K137" s="256"/>
      <c r="L137" s="258"/>
      <c r="M137" s="253"/>
      <c r="N137" s="253"/>
      <c r="O137" s="253"/>
      <c r="P137" s="253"/>
      <c r="Q137" s="254"/>
      <c r="R137" s="253"/>
      <c r="S137" s="259"/>
      <c r="T137" s="260"/>
      <c r="U137" s="260"/>
      <c r="V137" s="213"/>
      <c r="W137" s="213"/>
      <c r="X137" s="213"/>
      <c r="Y137" s="213"/>
      <c r="Z137" s="213"/>
      <c r="AA137" s="213"/>
      <c r="AB137" s="213"/>
      <c r="AC137" s="213"/>
      <c r="AD137" s="213"/>
      <c r="AE137" s="214"/>
    </row>
    <row r="138" spans="1:123" ht="13.5" customHeight="1">
      <c r="A138" s="291"/>
      <c r="B138" s="253"/>
      <c r="C138" s="253"/>
      <c r="D138" s="253"/>
      <c r="E138" s="253"/>
      <c r="F138" s="254"/>
      <c r="G138" s="253"/>
      <c r="H138" s="255"/>
      <c r="I138" s="298"/>
      <c r="J138" s="257"/>
      <c r="K138" s="256"/>
      <c r="L138" s="258"/>
      <c r="M138" s="253"/>
      <c r="N138" s="253"/>
      <c r="O138" s="253"/>
      <c r="P138" s="253"/>
      <c r="Q138" s="254"/>
      <c r="R138" s="253"/>
      <c r="S138" s="259"/>
      <c r="T138" s="260"/>
      <c r="U138" s="260"/>
      <c r="V138" s="213"/>
      <c r="W138" s="213"/>
      <c r="X138" s="213"/>
      <c r="Y138" s="213"/>
      <c r="Z138" s="213"/>
      <c r="AA138" s="213"/>
      <c r="AB138" s="213"/>
      <c r="AC138" s="213"/>
      <c r="AD138" s="213"/>
      <c r="AE138" s="214"/>
    </row>
    <row r="139" spans="1:123" ht="13.5" customHeight="1">
      <c r="A139" s="291"/>
      <c r="B139" s="253"/>
      <c r="C139" s="253"/>
      <c r="D139" s="253"/>
      <c r="E139" s="253"/>
      <c r="F139" s="254"/>
      <c r="G139" s="253"/>
      <c r="H139" s="255"/>
      <c r="I139" s="298"/>
      <c r="J139" s="257"/>
      <c r="K139" s="256"/>
      <c r="L139" s="258"/>
      <c r="M139" s="253"/>
      <c r="N139" s="253"/>
      <c r="O139" s="253"/>
      <c r="P139" s="253"/>
      <c r="Q139" s="254"/>
      <c r="R139" s="253"/>
      <c r="S139" s="259"/>
      <c r="T139" s="260"/>
      <c r="U139" s="260"/>
      <c r="V139" s="213"/>
      <c r="W139" s="213"/>
      <c r="X139" s="213"/>
      <c r="Y139" s="213"/>
      <c r="Z139" s="213"/>
      <c r="AA139" s="213"/>
      <c r="AB139" s="213"/>
      <c r="AC139" s="213"/>
      <c r="AD139" s="213"/>
      <c r="AE139" s="214"/>
    </row>
    <row r="140" spans="1:123" ht="13.5" customHeight="1">
      <c r="A140" s="291"/>
      <c r="B140" s="253"/>
      <c r="C140" s="253"/>
      <c r="D140" s="253"/>
      <c r="E140" s="253"/>
      <c r="F140" s="254"/>
      <c r="G140" s="253"/>
      <c r="H140" s="255"/>
      <c r="I140" s="298"/>
      <c r="J140" s="257"/>
      <c r="K140" s="256"/>
      <c r="L140" s="258"/>
      <c r="M140" s="253"/>
      <c r="N140" s="253"/>
      <c r="O140" s="253"/>
      <c r="P140" s="253"/>
      <c r="Q140" s="254"/>
      <c r="R140" s="253"/>
      <c r="S140" s="259"/>
      <c r="T140" s="260"/>
      <c r="U140" s="260"/>
      <c r="V140" s="213"/>
      <c r="W140" s="213"/>
      <c r="X140" s="213"/>
      <c r="Y140" s="213"/>
      <c r="Z140" s="213"/>
      <c r="AA140" s="213"/>
      <c r="AB140" s="213"/>
      <c r="AC140" s="213"/>
      <c r="AD140" s="213"/>
      <c r="AE140" s="214"/>
    </row>
    <row r="141" spans="1:123" ht="13.5" customHeight="1">
      <c r="A141" s="291"/>
      <c r="B141" s="253"/>
      <c r="C141" s="253"/>
      <c r="D141" s="253"/>
      <c r="E141" s="253"/>
      <c r="F141" s="254"/>
      <c r="G141" s="253"/>
      <c r="H141" s="255"/>
      <c r="I141" s="298"/>
      <c r="J141" s="257"/>
      <c r="K141" s="256"/>
      <c r="L141" s="258"/>
      <c r="M141" s="253"/>
      <c r="N141" s="253"/>
      <c r="O141" s="253"/>
      <c r="P141" s="253"/>
      <c r="Q141" s="254"/>
      <c r="R141" s="253"/>
      <c r="S141" s="259"/>
      <c r="T141" s="260"/>
      <c r="U141" s="260"/>
      <c r="V141" s="213"/>
      <c r="W141" s="213"/>
      <c r="X141" s="213"/>
      <c r="Y141" s="213"/>
      <c r="Z141" s="213"/>
      <c r="AA141" s="213"/>
      <c r="AB141" s="213"/>
      <c r="AC141" s="213"/>
      <c r="AD141" s="213"/>
      <c r="AE141" s="214"/>
    </row>
    <row r="142" spans="1:123" ht="13.5" customHeight="1">
      <c r="A142" s="291"/>
      <c r="B142" s="253"/>
      <c r="C142" s="253"/>
      <c r="D142" s="253"/>
      <c r="E142" s="253"/>
      <c r="F142" s="254"/>
      <c r="G142" s="253"/>
      <c r="H142" s="255"/>
      <c r="I142" s="298"/>
      <c r="J142" s="257"/>
      <c r="K142" s="256"/>
      <c r="L142" s="258"/>
      <c r="M142" s="253"/>
      <c r="N142" s="253"/>
      <c r="O142" s="253"/>
      <c r="P142" s="253"/>
      <c r="Q142" s="254"/>
      <c r="R142" s="253"/>
      <c r="S142" s="259"/>
      <c r="T142" s="260"/>
      <c r="U142" s="260"/>
      <c r="V142" s="213"/>
      <c r="W142" s="213"/>
      <c r="X142" s="213"/>
      <c r="Y142" s="213"/>
      <c r="Z142" s="213"/>
      <c r="AA142" s="213"/>
      <c r="AB142" s="213"/>
      <c r="AC142" s="213"/>
      <c r="AD142" s="213"/>
      <c r="AE142" s="214"/>
    </row>
    <row r="143" spans="1:123" ht="13.5" customHeight="1">
      <c r="A143" s="291"/>
      <c r="B143" s="253"/>
      <c r="C143" s="253"/>
      <c r="D143" s="253"/>
      <c r="E143" s="253"/>
      <c r="F143" s="254"/>
      <c r="G143" s="253"/>
      <c r="H143" s="255"/>
      <c r="I143" s="298"/>
      <c r="J143" s="257"/>
      <c r="K143" s="256"/>
      <c r="L143" s="258"/>
      <c r="M143" s="253"/>
      <c r="N143" s="253"/>
      <c r="O143" s="253"/>
      <c r="P143" s="253"/>
      <c r="Q143" s="254"/>
      <c r="R143" s="253"/>
      <c r="S143" s="259"/>
      <c r="T143" s="260"/>
      <c r="U143" s="260"/>
      <c r="V143" s="213"/>
      <c r="W143" s="213"/>
      <c r="X143" s="213"/>
      <c r="Y143" s="213"/>
      <c r="Z143" s="213"/>
      <c r="AA143" s="213"/>
      <c r="AB143" s="213"/>
      <c r="AC143" s="213"/>
      <c r="AD143" s="213"/>
      <c r="AE143" s="214"/>
    </row>
    <row r="144" spans="1:123" ht="13.5" customHeight="1">
      <c r="A144" s="291"/>
      <c r="B144" s="253"/>
      <c r="C144" s="253"/>
      <c r="D144" s="253"/>
      <c r="E144" s="253"/>
      <c r="F144" s="254"/>
      <c r="G144" s="253"/>
      <c r="H144" s="255"/>
      <c r="I144" s="298"/>
      <c r="J144" s="257"/>
      <c r="K144" s="256"/>
      <c r="L144" s="258"/>
      <c r="M144" s="253"/>
      <c r="N144" s="253"/>
      <c r="O144" s="253"/>
      <c r="P144" s="253"/>
      <c r="Q144" s="254"/>
      <c r="R144" s="253"/>
      <c r="S144" s="259"/>
      <c r="T144" s="260"/>
      <c r="U144" s="260"/>
      <c r="V144" s="213"/>
      <c r="W144" s="213"/>
      <c r="X144" s="213"/>
      <c r="Y144" s="213"/>
      <c r="Z144" s="213"/>
      <c r="AA144" s="213"/>
      <c r="AB144" s="213"/>
      <c r="AC144" s="213"/>
      <c r="AD144" s="213"/>
      <c r="AE144" s="214"/>
    </row>
    <row r="145" spans="1:31" ht="13.5" customHeight="1">
      <c r="A145" s="291"/>
      <c r="B145" s="253"/>
      <c r="C145" s="253"/>
      <c r="D145" s="253"/>
      <c r="E145" s="253"/>
      <c r="F145" s="254"/>
      <c r="G145" s="253"/>
      <c r="H145" s="255"/>
      <c r="I145" s="298"/>
      <c r="J145" s="257"/>
      <c r="K145" s="256"/>
      <c r="L145" s="258"/>
      <c r="M145" s="253"/>
      <c r="N145" s="253"/>
      <c r="O145" s="253"/>
      <c r="P145" s="253"/>
      <c r="Q145" s="254"/>
      <c r="R145" s="253"/>
      <c r="S145" s="259"/>
      <c r="T145" s="260"/>
      <c r="U145" s="260"/>
      <c r="V145" s="213"/>
      <c r="W145" s="213"/>
      <c r="X145" s="213"/>
      <c r="Y145" s="213"/>
      <c r="Z145" s="213"/>
      <c r="AA145" s="213"/>
      <c r="AB145" s="213"/>
      <c r="AC145" s="213"/>
      <c r="AD145" s="213"/>
      <c r="AE145" s="214"/>
    </row>
    <row r="146" spans="1:31" ht="13.5" customHeight="1">
      <c r="A146" s="291"/>
      <c r="B146" s="253"/>
      <c r="C146" s="253"/>
      <c r="D146" s="253"/>
      <c r="E146" s="253"/>
      <c r="F146" s="254"/>
      <c r="G146" s="253"/>
      <c r="H146" s="255"/>
      <c r="I146" s="298"/>
      <c r="J146" s="257"/>
      <c r="K146" s="256"/>
      <c r="L146" s="258"/>
      <c r="M146" s="253"/>
      <c r="N146" s="253"/>
      <c r="O146" s="253"/>
      <c r="P146" s="253"/>
      <c r="Q146" s="254"/>
      <c r="R146" s="253"/>
      <c r="S146" s="259"/>
      <c r="T146" s="260"/>
      <c r="U146" s="260"/>
      <c r="V146" s="213"/>
      <c r="W146" s="213"/>
      <c r="X146" s="213"/>
      <c r="Y146" s="213"/>
      <c r="Z146" s="213"/>
      <c r="AA146" s="213"/>
      <c r="AB146" s="213"/>
      <c r="AC146" s="213"/>
      <c r="AD146" s="213"/>
      <c r="AE146" s="214"/>
    </row>
    <row r="147" spans="1:31" ht="13.5" customHeight="1">
      <c r="A147" s="291"/>
      <c r="B147" s="253"/>
      <c r="C147" s="253"/>
      <c r="D147" s="253"/>
      <c r="E147" s="253"/>
      <c r="F147" s="254"/>
      <c r="G147" s="253"/>
      <c r="H147" s="255"/>
      <c r="I147" s="298"/>
      <c r="J147" s="257"/>
      <c r="K147" s="256"/>
      <c r="L147" s="258"/>
      <c r="M147" s="253"/>
      <c r="N147" s="253"/>
      <c r="O147" s="253"/>
      <c r="P147" s="253"/>
      <c r="Q147" s="254"/>
      <c r="R147" s="253"/>
      <c r="S147" s="259"/>
      <c r="T147" s="260"/>
      <c r="U147" s="260"/>
      <c r="V147" s="213"/>
      <c r="W147" s="213"/>
      <c r="X147" s="213"/>
      <c r="Y147" s="213"/>
      <c r="Z147" s="213"/>
      <c r="AA147" s="213"/>
      <c r="AB147" s="213"/>
      <c r="AC147" s="213"/>
      <c r="AD147" s="213"/>
      <c r="AE147" s="214"/>
    </row>
    <row r="148" spans="1:31" ht="13.5" customHeight="1">
      <c r="A148" s="291"/>
      <c r="B148" s="253"/>
      <c r="C148" s="253"/>
      <c r="D148" s="253"/>
      <c r="E148" s="253"/>
      <c r="F148" s="254"/>
      <c r="G148" s="253"/>
      <c r="H148" s="255"/>
      <c r="I148" s="298"/>
      <c r="J148" s="257"/>
      <c r="K148" s="256"/>
      <c r="L148" s="258"/>
      <c r="M148" s="253"/>
      <c r="N148" s="253"/>
      <c r="O148" s="253"/>
      <c r="P148" s="253"/>
      <c r="Q148" s="254"/>
      <c r="R148" s="253"/>
      <c r="S148" s="259"/>
      <c r="T148" s="260"/>
      <c r="U148" s="260"/>
      <c r="V148" s="213"/>
      <c r="W148" s="213"/>
      <c r="X148" s="213"/>
      <c r="Y148" s="213"/>
      <c r="Z148" s="213"/>
      <c r="AA148" s="213"/>
      <c r="AB148" s="213"/>
      <c r="AC148" s="213"/>
      <c r="AD148" s="213"/>
      <c r="AE148" s="214"/>
    </row>
    <row r="149" spans="1:31" ht="13.5" customHeight="1">
      <c r="A149" s="291"/>
      <c r="B149" s="253"/>
      <c r="C149" s="253"/>
      <c r="D149" s="253"/>
      <c r="E149" s="253"/>
      <c r="F149" s="254"/>
      <c r="G149" s="253"/>
      <c r="H149" s="255"/>
      <c r="I149" s="298"/>
      <c r="J149" s="257"/>
      <c r="K149" s="256"/>
      <c r="L149" s="258"/>
      <c r="M149" s="253"/>
      <c r="N149" s="253"/>
      <c r="O149" s="253"/>
      <c r="P149" s="253"/>
      <c r="Q149" s="254"/>
      <c r="R149" s="253"/>
      <c r="S149" s="259"/>
      <c r="T149" s="260"/>
      <c r="U149" s="260"/>
      <c r="V149" s="213"/>
      <c r="W149" s="213"/>
      <c r="X149" s="213"/>
      <c r="Y149" s="213"/>
      <c r="Z149" s="213"/>
      <c r="AA149" s="213"/>
      <c r="AB149" s="213"/>
      <c r="AC149" s="213"/>
      <c r="AD149" s="213"/>
      <c r="AE149" s="214"/>
    </row>
    <row r="150" spans="1:31" ht="13.5" customHeight="1">
      <c r="A150" s="291"/>
      <c r="B150" s="253"/>
      <c r="C150" s="253"/>
      <c r="D150" s="253"/>
      <c r="E150" s="253"/>
      <c r="F150" s="254"/>
      <c r="G150" s="253"/>
      <c r="H150" s="255"/>
      <c r="I150" s="298"/>
      <c r="J150" s="257"/>
      <c r="K150" s="256"/>
      <c r="L150" s="258"/>
      <c r="M150" s="253"/>
      <c r="N150" s="253"/>
      <c r="O150" s="253"/>
      <c r="P150" s="253"/>
      <c r="Q150" s="254"/>
      <c r="R150" s="253"/>
      <c r="S150" s="259"/>
      <c r="T150" s="260"/>
      <c r="U150" s="260"/>
      <c r="V150" s="213"/>
      <c r="W150" s="213"/>
      <c r="X150" s="213"/>
      <c r="Y150" s="213"/>
      <c r="Z150" s="213"/>
      <c r="AA150" s="213"/>
      <c r="AB150" s="213"/>
      <c r="AC150" s="213"/>
      <c r="AD150" s="213"/>
      <c r="AE150" s="214"/>
    </row>
    <row r="151" spans="1:31" ht="13.5" customHeight="1">
      <c r="A151" s="291"/>
      <c r="B151" s="253"/>
      <c r="C151" s="253"/>
      <c r="D151" s="253"/>
      <c r="E151" s="253"/>
      <c r="F151" s="254"/>
      <c r="G151" s="253"/>
      <c r="H151" s="255"/>
      <c r="I151" s="298"/>
      <c r="J151" s="257"/>
      <c r="K151" s="256"/>
      <c r="L151" s="258"/>
      <c r="M151" s="253"/>
      <c r="N151" s="253"/>
      <c r="O151" s="253"/>
      <c r="P151" s="253"/>
      <c r="Q151" s="254"/>
      <c r="R151" s="253"/>
      <c r="S151" s="259"/>
      <c r="T151" s="260"/>
      <c r="U151" s="260"/>
      <c r="V151" s="213"/>
      <c r="W151" s="213"/>
      <c r="X151" s="213"/>
      <c r="Y151" s="213"/>
      <c r="Z151" s="213"/>
      <c r="AA151" s="213"/>
      <c r="AB151" s="213"/>
      <c r="AC151" s="213"/>
      <c r="AD151" s="213"/>
      <c r="AE151" s="214"/>
    </row>
    <row r="152" spans="1:31" ht="13.5" customHeight="1">
      <c r="A152" s="291"/>
      <c r="B152" s="253"/>
      <c r="C152" s="253"/>
      <c r="D152" s="253"/>
      <c r="E152" s="253"/>
      <c r="F152" s="254"/>
      <c r="G152" s="253"/>
      <c r="H152" s="255"/>
      <c r="I152" s="298"/>
      <c r="J152" s="257"/>
      <c r="K152" s="256"/>
      <c r="L152" s="258"/>
      <c r="M152" s="253"/>
      <c r="N152" s="253"/>
      <c r="O152" s="253"/>
      <c r="P152" s="253"/>
      <c r="Q152" s="254"/>
      <c r="R152" s="253"/>
      <c r="S152" s="259"/>
      <c r="T152" s="260"/>
      <c r="U152" s="260"/>
      <c r="V152" s="213"/>
      <c r="W152" s="213"/>
      <c r="X152" s="213"/>
      <c r="Y152" s="213"/>
      <c r="Z152" s="213"/>
      <c r="AA152" s="213"/>
      <c r="AB152" s="213"/>
      <c r="AC152" s="213"/>
      <c r="AD152" s="213"/>
      <c r="AE152" s="214"/>
    </row>
    <row r="153" spans="1:31" ht="13.5" customHeight="1">
      <c r="A153" s="291"/>
      <c r="B153" s="253"/>
      <c r="C153" s="253"/>
      <c r="D153" s="253"/>
      <c r="E153" s="253"/>
      <c r="F153" s="254"/>
      <c r="G153" s="253"/>
      <c r="H153" s="255"/>
      <c r="I153" s="298"/>
      <c r="J153" s="257"/>
      <c r="K153" s="256"/>
      <c r="L153" s="258"/>
      <c r="M153" s="253"/>
      <c r="N153" s="253"/>
      <c r="O153" s="253"/>
      <c r="P153" s="253"/>
      <c r="Q153" s="254"/>
      <c r="R153" s="253"/>
      <c r="S153" s="259"/>
      <c r="T153" s="260"/>
      <c r="U153" s="260"/>
      <c r="V153" s="213"/>
      <c r="W153" s="213"/>
      <c r="X153" s="213"/>
      <c r="Y153" s="213"/>
      <c r="Z153" s="213"/>
      <c r="AA153" s="213"/>
      <c r="AB153" s="213"/>
      <c r="AC153" s="213"/>
      <c r="AD153" s="213"/>
      <c r="AE153" s="214"/>
    </row>
    <row r="154" spans="1:31" ht="13.5" customHeight="1">
      <c r="A154" s="291"/>
      <c r="B154" s="253"/>
      <c r="C154" s="253"/>
      <c r="D154" s="253"/>
      <c r="E154" s="253"/>
      <c r="F154" s="254"/>
      <c r="G154" s="253"/>
      <c r="H154" s="255"/>
      <c r="I154" s="298"/>
      <c r="J154" s="257"/>
      <c r="K154" s="256"/>
      <c r="L154" s="258"/>
      <c r="M154" s="253"/>
      <c r="N154" s="253"/>
      <c r="O154" s="253"/>
      <c r="P154" s="253"/>
      <c r="Q154" s="254"/>
      <c r="R154" s="253"/>
      <c r="S154" s="259"/>
      <c r="T154" s="260"/>
      <c r="U154" s="260"/>
      <c r="V154" s="213"/>
      <c r="W154" s="213"/>
      <c r="X154" s="213"/>
      <c r="Y154" s="213"/>
      <c r="Z154" s="213"/>
      <c r="AA154" s="213"/>
      <c r="AB154" s="213"/>
      <c r="AC154" s="213"/>
      <c r="AD154" s="213"/>
      <c r="AE154" s="214"/>
    </row>
    <row r="155" spans="1:31" ht="13.5" customHeight="1">
      <c r="A155" s="291"/>
      <c r="B155" s="253"/>
      <c r="C155" s="253"/>
      <c r="D155" s="253"/>
      <c r="E155" s="253"/>
      <c r="F155" s="254"/>
      <c r="G155" s="253"/>
      <c r="H155" s="255"/>
      <c r="I155" s="298"/>
      <c r="J155" s="257"/>
      <c r="K155" s="256"/>
      <c r="L155" s="258"/>
      <c r="M155" s="253"/>
      <c r="N155" s="253"/>
      <c r="O155" s="253"/>
      <c r="P155" s="253"/>
      <c r="Q155" s="254"/>
      <c r="R155" s="253"/>
      <c r="S155" s="259"/>
      <c r="T155" s="260"/>
      <c r="U155" s="260"/>
      <c r="V155" s="213"/>
      <c r="W155" s="213"/>
      <c r="X155" s="213"/>
      <c r="Y155" s="213"/>
      <c r="Z155" s="213"/>
      <c r="AA155" s="213"/>
      <c r="AB155" s="213"/>
      <c r="AC155" s="213"/>
      <c r="AD155" s="213"/>
      <c r="AE155" s="214"/>
    </row>
    <row r="156" spans="1:31" ht="13.5" customHeight="1">
      <c r="A156" s="291"/>
      <c r="B156" s="253"/>
      <c r="C156" s="253"/>
      <c r="D156" s="253"/>
      <c r="E156" s="253"/>
      <c r="F156" s="254"/>
      <c r="G156" s="253"/>
      <c r="H156" s="255"/>
      <c r="I156" s="298"/>
      <c r="J156" s="257"/>
      <c r="K156" s="256"/>
      <c r="L156" s="258"/>
      <c r="M156" s="253"/>
      <c r="N156" s="253"/>
      <c r="O156" s="253"/>
      <c r="P156" s="253"/>
      <c r="Q156" s="254"/>
      <c r="R156" s="253"/>
      <c r="S156" s="259"/>
      <c r="T156" s="260"/>
      <c r="U156" s="260"/>
      <c r="V156" s="213"/>
      <c r="W156" s="213"/>
      <c r="X156" s="213"/>
      <c r="Y156" s="213"/>
      <c r="Z156" s="213"/>
      <c r="AA156" s="213"/>
      <c r="AB156" s="213"/>
      <c r="AC156" s="213"/>
      <c r="AD156" s="213"/>
      <c r="AE156" s="214"/>
    </row>
    <row r="157" spans="1:31" ht="13.5" customHeight="1">
      <c r="A157" s="291"/>
      <c r="B157" s="253"/>
      <c r="C157" s="253"/>
      <c r="D157" s="253"/>
      <c r="E157" s="253"/>
      <c r="F157" s="254"/>
      <c r="G157" s="253"/>
      <c r="H157" s="255"/>
      <c r="I157" s="298"/>
      <c r="J157" s="257"/>
      <c r="K157" s="256"/>
      <c r="L157" s="258"/>
      <c r="M157" s="253"/>
      <c r="N157" s="253"/>
      <c r="O157" s="253"/>
      <c r="P157" s="253"/>
      <c r="Q157" s="254"/>
      <c r="R157" s="253"/>
      <c r="S157" s="259"/>
      <c r="T157" s="260"/>
      <c r="U157" s="260"/>
      <c r="V157" s="213"/>
      <c r="W157" s="213"/>
      <c r="X157" s="213"/>
      <c r="Y157" s="213"/>
      <c r="Z157" s="213"/>
      <c r="AA157" s="213"/>
      <c r="AB157" s="213"/>
      <c r="AC157" s="213"/>
      <c r="AD157" s="213"/>
      <c r="AE157" s="214"/>
    </row>
    <row r="158" spans="1:31" ht="13.5" customHeight="1">
      <c r="A158" s="291"/>
      <c r="B158" s="253"/>
      <c r="C158" s="253"/>
      <c r="D158" s="253"/>
      <c r="E158" s="253"/>
      <c r="F158" s="254"/>
      <c r="G158" s="253"/>
      <c r="H158" s="255"/>
      <c r="I158" s="298"/>
      <c r="J158" s="257"/>
      <c r="K158" s="256"/>
      <c r="L158" s="258"/>
      <c r="M158" s="253"/>
      <c r="N158" s="253"/>
      <c r="O158" s="253"/>
      <c r="P158" s="253"/>
      <c r="Q158" s="254"/>
      <c r="R158" s="253"/>
      <c r="S158" s="259"/>
      <c r="T158" s="260"/>
      <c r="U158" s="260"/>
      <c r="V158" s="213"/>
      <c r="W158" s="213"/>
      <c r="X158" s="213"/>
      <c r="Y158" s="213"/>
      <c r="Z158" s="213"/>
      <c r="AA158" s="213"/>
      <c r="AB158" s="213"/>
      <c r="AC158" s="213"/>
      <c r="AD158" s="213"/>
      <c r="AE158" s="214"/>
    </row>
    <row r="159" spans="1:31" ht="13.5" customHeight="1">
      <c r="A159" s="291"/>
      <c r="B159" s="253"/>
      <c r="C159" s="253"/>
      <c r="D159" s="253"/>
      <c r="E159" s="253"/>
      <c r="F159" s="254"/>
      <c r="G159" s="253"/>
      <c r="H159" s="255"/>
      <c r="I159" s="298"/>
      <c r="J159" s="257"/>
      <c r="K159" s="256"/>
      <c r="L159" s="258"/>
      <c r="M159" s="253"/>
      <c r="N159" s="253"/>
      <c r="O159" s="253"/>
      <c r="P159" s="253"/>
      <c r="Q159" s="254"/>
      <c r="R159" s="253"/>
      <c r="S159" s="259"/>
      <c r="T159" s="260"/>
      <c r="U159" s="260"/>
      <c r="V159" s="213"/>
      <c r="W159" s="213"/>
      <c r="X159" s="213"/>
      <c r="Y159" s="213"/>
      <c r="Z159" s="213"/>
      <c r="AA159" s="213"/>
      <c r="AB159" s="213"/>
      <c r="AC159" s="213"/>
      <c r="AD159" s="213"/>
      <c r="AE159" s="214"/>
    </row>
    <row r="160" spans="1:31" ht="13.5" customHeight="1">
      <c r="A160" s="291"/>
      <c r="B160" s="253"/>
      <c r="C160" s="253"/>
      <c r="D160" s="253"/>
      <c r="E160" s="253"/>
      <c r="F160" s="254"/>
      <c r="G160" s="253"/>
      <c r="H160" s="255"/>
      <c r="I160" s="298"/>
      <c r="J160" s="257"/>
      <c r="K160" s="256"/>
      <c r="L160" s="258"/>
      <c r="M160" s="253"/>
      <c r="N160" s="253"/>
      <c r="O160" s="253"/>
      <c r="P160" s="253"/>
      <c r="Q160" s="254"/>
      <c r="R160" s="253"/>
      <c r="S160" s="259"/>
      <c r="T160" s="260"/>
      <c r="U160" s="260"/>
      <c r="V160" s="213"/>
      <c r="W160" s="213"/>
      <c r="X160" s="213"/>
      <c r="Y160" s="213"/>
      <c r="Z160" s="213"/>
      <c r="AA160" s="213"/>
      <c r="AB160" s="213"/>
      <c r="AC160" s="213"/>
      <c r="AD160" s="213"/>
      <c r="AE160" s="214"/>
    </row>
    <row r="161" spans="1:31" ht="13.5" customHeight="1">
      <c r="A161" s="291"/>
      <c r="B161" s="253"/>
      <c r="C161" s="253"/>
      <c r="D161" s="253"/>
      <c r="E161" s="253"/>
      <c r="F161" s="254"/>
      <c r="G161" s="253"/>
      <c r="H161" s="255"/>
      <c r="I161" s="298"/>
      <c r="J161" s="257"/>
      <c r="K161" s="256"/>
      <c r="L161" s="258"/>
      <c r="M161" s="253"/>
      <c r="N161" s="253"/>
      <c r="O161" s="253"/>
      <c r="P161" s="253"/>
      <c r="Q161" s="254"/>
      <c r="R161" s="253"/>
      <c r="S161" s="259"/>
      <c r="T161" s="260"/>
      <c r="U161" s="260"/>
      <c r="V161" s="213"/>
      <c r="W161" s="213"/>
      <c r="X161" s="213"/>
      <c r="Y161" s="213"/>
      <c r="Z161" s="213"/>
      <c r="AA161" s="213"/>
      <c r="AB161" s="213"/>
      <c r="AC161" s="213"/>
      <c r="AD161" s="213"/>
      <c r="AE161" s="214"/>
    </row>
    <row r="162" spans="1:31" ht="13.5" customHeight="1">
      <c r="A162" s="291"/>
      <c r="B162" s="253"/>
      <c r="C162" s="253"/>
      <c r="D162" s="253"/>
      <c r="E162" s="253"/>
      <c r="F162" s="254"/>
      <c r="G162" s="253"/>
      <c r="H162" s="255"/>
      <c r="I162" s="298"/>
      <c r="J162" s="257"/>
      <c r="K162" s="256"/>
      <c r="L162" s="258"/>
      <c r="M162" s="253"/>
      <c r="N162" s="253"/>
      <c r="O162" s="253"/>
      <c r="P162" s="253"/>
      <c r="Q162" s="254"/>
      <c r="R162" s="253"/>
      <c r="S162" s="259"/>
      <c r="T162" s="260"/>
      <c r="U162" s="260"/>
      <c r="V162" s="213"/>
      <c r="W162" s="213"/>
      <c r="X162" s="213"/>
      <c r="Y162" s="213"/>
      <c r="Z162" s="213"/>
      <c r="AA162" s="213"/>
      <c r="AB162" s="213"/>
      <c r="AC162" s="213"/>
      <c r="AD162" s="213"/>
      <c r="AE162" s="214"/>
    </row>
    <row r="163" spans="1:31" ht="13.5" customHeight="1">
      <c r="A163" s="291"/>
      <c r="B163" s="253"/>
      <c r="C163" s="253"/>
      <c r="D163" s="253"/>
      <c r="E163" s="253"/>
      <c r="F163" s="254"/>
      <c r="G163" s="253"/>
      <c r="H163" s="255"/>
      <c r="I163" s="298"/>
      <c r="J163" s="257"/>
      <c r="K163" s="256"/>
      <c r="L163" s="258"/>
      <c r="M163" s="253"/>
      <c r="N163" s="253"/>
      <c r="O163" s="253"/>
      <c r="P163" s="253"/>
      <c r="Q163" s="254"/>
      <c r="R163" s="253"/>
      <c r="S163" s="259"/>
      <c r="T163" s="260"/>
      <c r="U163" s="260"/>
      <c r="V163" s="213"/>
      <c r="W163" s="213"/>
      <c r="X163" s="213"/>
      <c r="Y163" s="213"/>
      <c r="Z163" s="213"/>
      <c r="AA163" s="213"/>
      <c r="AB163" s="213"/>
      <c r="AC163" s="213"/>
      <c r="AD163" s="213"/>
      <c r="AE163" s="214"/>
    </row>
    <row r="164" spans="1:31" ht="13.5" customHeight="1">
      <c r="A164" s="291"/>
      <c r="B164" s="253"/>
      <c r="C164" s="253"/>
      <c r="D164" s="253"/>
      <c r="E164" s="253"/>
      <c r="F164" s="254"/>
      <c r="G164" s="253"/>
      <c r="H164" s="255"/>
      <c r="I164" s="298"/>
      <c r="J164" s="257"/>
      <c r="K164" s="256"/>
      <c r="L164" s="258"/>
      <c r="M164" s="253"/>
      <c r="N164" s="253"/>
      <c r="O164" s="253"/>
      <c r="P164" s="253"/>
      <c r="Q164" s="254"/>
      <c r="R164" s="253"/>
      <c r="S164" s="259"/>
      <c r="T164" s="260"/>
      <c r="U164" s="260"/>
      <c r="V164" s="213"/>
      <c r="W164" s="213"/>
      <c r="X164" s="213"/>
      <c r="Y164" s="213"/>
      <c r="Z164" s="213"/>
      <c r="AA164" s="213"/>
      <c r="AB164" s="213"/>
      <c r="AC164" s="213"/>
      <c r="AD164" s="213"/>
      <c r="AE164" s="214"/>
    </row>
    <row r="165" spans="1:31" ht="13.5" customHeight="1">
      <c r="A165" s="291"/>
      <c r="B165" s="253"/>
      <c r="C165" s="253"/>
      <c r="D165" s="253"/>
      <c r="E165" s="253"/>
      <c r="F165" s="254"/>
      <c r="G165" s="253"/>
      <c r="H165" s="255"/>
      <c r="I165" s="298"/>
      <c r="J165" s="257"/>
      <c r="K165" s="256"/>
      <c r="L165" s="258"/>
      <c r="M165" s="253"/>
      <c r="N165" s="253"/>
      <c r="O165" s="253"/>
      <c r="P165" s="253"/>
      <c r="Q165" s="254"/>
      <c r="R165" s="253"/>
      <c r="S165" s="259"/>
      <c r="T165" s="260"/>
      <c r="U165" s="260"/>
      <c r="V165" s="213"/>
      <c r="W165" s="213"/>
      <c r="X165" s="213"/>
      <c r="Y165" s="213"/>
      <c r="Z165" s="213"/>
      <c r="AA165" s="213"/>
      <c r="AB165" s="213"/>
      <c r="AC165" s="213"/>
      <c r="AD165" s="213"/>
      <c r="AE165" s="214"/>
    </row>
    <row r="166" spans="1:31" ht="13.5" customHeight="1">
      <c r="A166" s="291"/>
      <c r="B166" s="253"/>
      <c r="C166" s="253"/>
      <c r="D166" s="253"/>
      <c r="E166" s="253"/>
      <c r="F166" s="254"/>
      <c r="G166" s="253"/>
      <c r="H166" s="255"/>
      <c r="I166" s="298"/>
      <c r="J166" s="257"/>
      <c r="K166" s="256"/>
      <c r="L166" s="258"/>
      <c r="M166" s="253"/>
      <c r="N166" s="253"/>
      <c r="O166" s="253"/>
      <c r="P166" s="253"/>
      <c r="Q166" s="254"/>
      <c r="R166" s="253"/>
      <c r="S166" s="259"/>
      <c r="T166" s="260"/>
      <c r="U166" s="260"/>
      <c r="V166" s="213"/>
      <c r="W166" s="213"/>
      <c r="X166" s="213"/>
      <c r="Y166" s="213"/>
      <c r="Z166" s="213"/>
      <c r="AA166" s="213"/>
      <c r="AB166" s="213"/>
      <c r="AC166" s="213"/>
      <c r="AD166" s="213"/>
      <c r="AE166" s="214"/>
    </row>
    <row r="167" spans="1:31" ht="13.5" customHeight="1">
      <c r="A167" s="291"/>
      <c r="B167" s="253"/>
      <c r="C167" s="253"/>
      <c r="D167" s="253"/>
      <c r="E167" s="253"/>
      <c r="F167" s="254"/>
      <c r="G167" s="253"/>
      <c r="H167" s="255"/>
      <c r="I167" s="298"/>
      <c r="J167" s="257"/>
      <c r="K167" s="256"/>
      <c r="L167" s="258"/>
      <c r="M167" s="253"/>
      <c r="N167" s="253"/>
      <c r="O167" s="253"/>
      <c r="P167" s="253"/>
      <c r="Q167" s="254"/>
      <c r="R167" s="253"/>
      <c r="S167" s="259"/>
      <c r="T167" s="260"/>
      <c r="U167" s="260"/>
      <c r="V167" s="213"/>
      <c r="W167" s="213"/>
      <c r="X167" s="213"/>
      <c r="Y167" s="213"/>
      <c r="Z167" s="213"/>
      <c r="AA167" s="213"/>
      <c r="AB167" s="213"/>
      <c r="AC167" s="213"/>
      <c r="AD167" s="213"/>
      <c r="AE167" s="214"/>
    </row>
    <row r="168" spans="1:31" ht="13.5" customHeight="1">
      <c r="A168" s="291"/>
      <c r="B168" s="253"/>
      <c r="C168" s="253"/>
      <c r="D168" s="253"/>
      <c r="E168" s="253"/>
      <c r="F168" s="254"/>
      <c r="G168" s="253"/>
      <c r="H168" s="255"/>
      <c r="I168" s="298"/>
      <c r="J168" s="257"/>
      <c r="K168" s="256"/>
      <c r="L168" s="258"/>
      <c r="M168" s="253"/>
      <c r="N168" s="253"/>
      <c r="O168" s="253"/>
      <c r="P168" s="253"/>
      <c r="Q168" s="254"/>
      <c r="R168" s="253"/>
      <c r="S168" s="259"/>
      <c r="T168" s="260"/>
      <c r="U168" s="260"/>
      <c r="V168" s="213"/>
      <c r="W168" s="213"/>
      <c r="X168" s="213"/>
      <c r="Y168" s="213"/>
      <c r="Z168" s="213"/>
      <c r="AA168" s="213"/>
      <c r="AB168" s="213"/>
      <c r="AC168" s="213"/>
      <c r="AD168" s="213"/>
      <c r="AE168" s="214"/>
    </row>
    <row r="169" spans="1:31" ht="13.5" customHeight="1">
      <c r="A169" s="291"/>
      <c r="B169" s="253"/>
      <c r="C169" s="253"/>
      <c r="D169" s="253"/>
      <c r="E169" s="253"/>
      <c r="F169" s="254"/>
      <c r="G169" s="253"/>
      <c r="H169" s="255"/>
      <c r="I169" s="298"/>
      <c r="J169" s="257"/>
      <c r="K169" s="256"/>
      <c r="L169" s="258"/>
      <c r="M169" s="253"/>
      <c r="N169" s="253"/>
      <c r="O169" s="253"/>
      <c r="P169" s="253"/>
      <c r="Q169" s="254"/>
      <c r="R169" s="253"/>
      <c r="S169" s="259"/>
      <c r="T169" s="260"/>
      <c r="U169" s="260"/>
      <c r="V169" s="213"/>
      <c r="W169" s="213"/>
      <c r="X169" s="213"/>
      <c r="Y169" s="213"/>
      <c r="Z169" s="213"/>
      <c r="AA169" s="213"/>
      <c r="AB169" s="213"/>
      <c r="AC169" s="213"/>
      <c r="AD169" s="213"/>
      <c r="AE169" s="214"/>
    </row>
    <row r="170" spans="1:31" ht="13.5" customHeight="1">
      <c r="A170" s="291"/>
      <c r="B170" s="253"/>
      <c r="C170" s="253"/>
      <c r="D170" s="253"/>
      <c r="E170" s="253"/>
      <c r="F170" s="254"/>
      <c r="G170" s="253"/>
      <c r="H170" s="255"/>
      <c r="I170" s="298"/>
      <c r="J170" s="257"/>
      <c r="K170" s="256"/>
      <c r="L170" s="258"/>
      <c r="M170" s="253"/>
      <c r="N170" s="253"/>
      <c r="O170" s="253"/>
      <c r="P170" s="253"/>
      <c r="Q170" s="254"/>
      <c r="R170" s="253"/>
      <c r="S170" s="259"/>
      <c r="T170" s="260"/>
      <c r="U170" s="260"/>
      <c r="V170" s="213"/>
      <c r="W170" s="213"/>
      <c r="X170" s="213"/>
      <c r="Y170" s="213"/>
      <c r="Z170" s="213"/>
      <c r="AA170" s="213"/>
      <c r="AB170" s="213"/>
      <c r="AC170" s="213"/>
      <c r="AD170" s="213"/>
      <c r="AE170" s="214"/>
    </row>
    <row r="171" spans="1:31" ht="13.5" customHeight="1">
      <c r="A171" s="291"/>
      <c r="B171" s="253"/>
      <c r="C171" s="253"/>
      <c r="D171" s="253"/>
      <c r="E171" s="253"/>
      <c r="F171" s="254"/>
      <c r="G171" s="253"/>
      <c r="H171" s="255"/>
      <c r="I171" s="298"/>
      <c r="J171" s="257"/>
      <c r="K171" s="256"/>
      <c r="L171" s="258"/>
      <c r="M171" s="253"/>
      <c r="N171" s="253"/>
      <c r="O171" s="253"/>
      <c r="P171" s="253"/>
      <c r="Q171" s="254"/>
      <c r="R171" s="253"/>
      <c r="S171" s="259"/>
      <c r="T171" s="260"/>
      <c r="U171" s="260"/>
      <c r="V171" s="213"/>
      <c r="W171" s="213"/>
      <c r="X171" s="213"/>
      <c r="Y171" s="213"/>
      <c r="Z171" s="213"/>
      <c r="AA171" s="213"/>
      <c r="AB171" s="213"/>
      <c r="AC171" s="213"/>
      <c r="AD171" s="213"/>
      <c r="AE171" s="214"/>
    </row>
    <row r="172" spans="1:31" ht="13.5" customHeight="1">
      <c r="A172" s="291"/>
      <c r="B172" s="253"/>
      <c r="C172" s="253"/>
      <c r="D172" s="253"/>
      <c r="E172" s="253"/>
      <c r="F172" s="254"/>
      <c r="G172" s="253"/>
      <c r="H172" s="255"/>
      <c r="I172" s="298"/>
      <c r="J172" s="257"/>
      <c r="K172" s="256"/>
      <c r="L172" s="258"/>
      <c r="M172" s="253"/>
      <c r="N172" s="253"/>
      <c r="O172" s="253"/>
      <c r="P172" s="253"/>
      <c r="Q172" s="254"/>
      <c r="R172" s="253"/>
      <c r="S172" s="259"/>
      <c r="T172" s="260"/>
      <c r="U172" s="260"/>
      <c r="V172" s="213"/>
      <c r="W172" s="213"/>
      <c r="X172" s="213"/>
      <c r="Y172" s="213"/>
      <c r="Z172" s="213"/>
      <c r="AA172" s="213"/>
      <c r="AB172" s="213"/>
      <c r="AC172" s="213"/>
      <c r="AD172" s="213"/>
      <c r="AE172" s="214"/>
    </row>
    <row r="173" spans="1:31" ht="13.5" customHeight="1">
      <c r="A173" s="291"/>
      <c r="B173" s="253"/>
      <c r="C173" s="253"/>
      <c r="D173" s="253"/>
      <c r="E173" s="253"/>
      <c r="F173" s="254"/>
      <c r="G173" s="253"/>
      <c r="H173" s="255"/>
      <c r="I173" s="298"/>
      <c r="J173" s="257"/>
      <c r="K173" s="256"/>
      <c r="L173" s="258"/>
      <c r="M173" s="253"/>
      <c r="N173" s="253"/>
      <c r="O173" s="253"/>
      <c r="P173" s="253"/>
      <c r="Q173" s="254"/>
      <c r="R173" s="253"/>
      <c r="S173" s="259"/>
      <c r="T173" s="260"/>
      <c r="U173" s="260"/>
      <c r="V173" s="213"/>
      <c r="W173" s="213"/>
      <c r="X173" s="213"/>
      <c r="Y173" s="213"/>
      <c r="Z173" s="213"/>
      <c r="AA173" s="213"/>
      <c r="AB173" s="213"/>
      <c r="AC173" s="213"/>
      <c r="AD173" s="213"/>
      <c r="AE173" s="214"/>
    </row>
    <row r="174" spans="1:31" ht="13.5" customHeight="1">
      <c r="A174" s="291"/>
      <c r="B174" s="253"/>
      <c r="C174" s="253"/>
      <c r="D174" s="253"/>
      <c r="E174" s="253"/>
      <c r="F174" s="254"/>
      <c r="G174" s="253"/>
      <c r="H174" s="255"/>
      <c r="I174" s="298"/>
      <c r="J174" s="257"/>
      <c r="K174" s="256"/>
      <c r="L174" s="258"/>
      <c r="M174" s="253"/>
      <c r="N174" s="253"/>
      <c r="O174" s="253"/>
      <c r="P174" s="253"/>
      <c r="Q174" s="254"/>
      <c r="R174" s="253"/>
      <c r="S174" s="259"/>
      <c r="T174" s="260"/>
      <c r="U174" s="260"/>
      <c r="V174" s="213"/>
      <c r="W174" s="213"/>
      <c r="X174" s="213"/>
      <c r="Y174" s="213"/>
      <c r="Z174" s="213"/>
      <c r="AA174" s="213"/>
      <c r="AB174" s="213"/>
      <c r="AC174" s="213"/>
      <c r="AD174" s="213"/>
      <c r="AE174" s="214"/>
    </row>
    <row r="175" spans="1:31" ht="13.5" customHeight="1">
      <c r="A175" s="291"/>
      <c r="B175" s="253"/>
      <c r="C175" s="253"/>
      <c r="D175" s="253"/>
      <c r="E175" s="253"/>
      <c r="F175" s="254"/>
      <c r="G175" s="253"/>
      <c r="H175" s="255"/>
      <c r="I175" s="298"/>
      <c r="J175" s="257"/>
      <c r="K175" s="256"/>
      <c r="L175" s="258"/>
      <c r="M175" s="253"/>
      <c r="N175" s="253"/>
      <c r="O175" s="253"/>
      <c r="P175" s="253"/>
      <c r="Q175" s="254"/>
      <c r="R175" s="253"/>
      <c r="S175" s="259"/>
      <c r="T175" s="260"/>
      <c r="U175" s="260"/>
      <c r="V175" s="213"/>
      <c r="W175" s="213"/>
      <c r="X175" s="213"/>
      <c r="Y175" s="213"/>
      <c r="Z175" s="213"/>
      <c r="AA175" s="213"/>
      <c r="AB175" s="213"/>
      <c r="AC175" s="213"/>
      <c r="AD175" s="213"/>
      <c r="AE175" s="214"/>
    </row>
    <row r="176" spans="1:31" ht="13.5" customHeight="1">
      <c r="A176" s="291"/>
      <c r="B176" s="253"/>
      <c r="C176" s="253"/>
      <c r="D176" s="253"/>
      <c r="E176" s="253"/>
      <c r="F176" s="254"/>
      <c r="G176" s="253"/>
      <c r="H176" s="255"/>
      <c r="I176" s="298"/>
      <c r="J176" s="257"/>
      <c r="K176" s="256"/>
      <c r="L176" s="258"/>
      <c r="M176" s="253"/>
      <c r="N176" s="253"/>
      <c r="O176" s="253"/>
      <c r="P176" s="253"/>
      <c r="Q176" s="254"/>
      <c r="R176" s="253"/>
      <c r="S176" s="259"/>
      <c r="T176" s="260"/>
      <c r="U176" s="260"/>
      <c r="V176" s="213"/>
      <c r="W176" s="213"/>
      <c r="X176" s="213"/>
      <c r="Y176" s="213"/>
      <c r="Z176" s="213"/>
      <c r="AA176" s="213"/>
      <c r="AB176" s="213"/>
      <c r="AC176" s="213"/>
      <c r="AD176" s="213"/>
      <c r="AE176" s="214"/>
    </row>
    <row r="177" spans="1:31" ht="13.5" customHeight="1">
      <c r="A177" s="291"/>
      <c r="B177" s="253"/>
      <c r="C177" s="253"/>
      <c r="D177" s="253"/>
      <c r="E177" s="253"/>
      <c r="F177" s="254"/>
      <c r="G177" s="253"/>
      <c r="H177" s="255"/>
      <c r="I177" s="298"/>
      <c r="J177" s="257"/>
      <c r="K177" s="256"/>
      <c r="L177" s="258"/>
      <c r="M177" s="253"/>
      <c r="N177" s="253"/>
      <c r="O177" s="253"/>
      <c r="P177" s="253"/>
      <c r="Q177" s="254"/>
      <c r="R177" s="253"/>
      <c r="S177" s="259"/>
      <c r="T177" s="260"/>
      <c r="U177" s="260"/>
      <c r="V177" s="213"/>
      <c r="W177" s="213"/>
      <c r="X177" s="213"/>
      <c r="Y177" s="213"/>
      <c r="Z177" s="213"/>
      <c r="AA177" s="213"/>
      <c r="AB177" s="213"/>
      <c r="AC177" s="213"/>
      <c r="AD177" s="213"/>
      <c r="AE177" s="214"/>
    </row>
    <row r="178" spans="1:31" ht="13.5" customHeight="1">
      <c r="A178" s="291"/>
      <c r="B178" s="253"/>
      <c r="C178" s="253"/>
      <c r="D178" s="253"/>
      <c r="E178" s="253"/>
      <c r="F178" s="254"/>
      <c r="G178" s="253"/>
      <c r="H178" s="255"/>
      <c r="I178" s="298"/>
      <c r="J178" s="257"/>
      <c r="K178" s="256"/>
      <c r="L178" s="258"/>
      <c r="M178" s="253"/>
      <c r="N178" s="253"/>
      <c r="O178" s="253"/>
      <c r="P178" s="253"/>
      <c r="Q178" s="254"/>
      <c r="R178" s="253"/>
      <c r="S178" s="259"/>
      <c r="T178" s="260"/>
      <c r="U178" s="260"/>
      <c r="V178" s="213"/>
      <c r="W178" s="213"/>
      <c r="X178" s="213"/>
      <c r="Y178" s="213"/>
      <c r="Z178" s="213"/>
      <c r="AA178" s="213"/>
      <c r="AB178" s="213"/>
      <c r="AC178" s="213"/>
      <c r="AD178" s="213"/>
      <c r="AE178" s="214"/>
    </row>
    <row r="179" spans="1:31" ht="13.5" customHeight="1">
      <c r="A179" s="291"/>
      <c r="B179" s="253"/>
      <c r="C179" s="253"/>
      <c r="D179" s="253"/>
      <c r="E179" s="253"/>
      <c r="F179" s="254"/>
      <c r="G179" s="253"/>
      <c r="H179" s="255"/>
      <c r="I179" s="298"/>
      <c r="J179" s="257"/>
      <c r="K179" s="256"/>
      <c r="L179" s="258"/>
      <c r="M179" s="253"/>
      <c r="N179" s="253"/>
      <c r="O179" s="253"/>
      <c r="P179" s="253"/>
      <c r="Q179" s="254"/>
      <c r="R179" s="253"/>
      <c r="S179" s="259"/>
      <c r="T179" s="260"/>
      <c r="U179" s="260"/>
      <c r="V179" s="213"/>
      <c r="W179" s="213"/>
      <c r="X179" s="213"/>
      <c r="Y179" s="213"/>
      <c r="Z179" s="213"/>
      <c r="AA179" s="213"/>
      <c r="AB179" s="213"/>
      <c r="AC179" s="213"/>
      <c r="AD179" s="213"/>
      <c r="AE179" s="214"/>
    </row>
    <row r="180" spans="1:31" ht="13.5" customHeight="1">
      <c r="A180" s="291"/>
      <c r="B180" s="253"/>
      <c r="C180" s="253"/>
      <c r="D180" s="253"/>
      <c r="E180" s="253"/>
      <c r="F180" s="254"/>
      <c r="G180" s="253"/>
      <c r="H180" s="255"/>
      <c r="I180" s="298"/>
      <c r="J180" s="257"/>
      <c r="K180" s="256"/>
      <c r="L180" s="258"/>
      <c r="M180" s="253"/>
      <c r="N180" s="253"/>
      <c r="O180" s="253"/>
      <c r="P180" s="253"/>
      <c r="Q180" s="254"/>
      <c r="R180" s="253"/>
      <c r="S180" s="259"/>
      <c r="T180" s="260"/>
      <c r="U180" s="260"/>
      <c r="V180" s="213"/>
      <c r="W180" s="213"/>
      <c r="X180" s="213"/>
      <c r="Y180" s="213"/>
      <c r="Z180" s="213"/>
      <c r="AA180" s="213"/>
      <c r="AB180" s="213"/>
      <c r="AC180" s="213"/>
      <c r="AD180" s="213"/>
      <c r="AE180" s="214"/>
    </row>
    <row r="181" spans="1:31" ht="13.5" customHeight="1">
      <c r="A181" s="291"/>
      <c r="B181" s="253"/>
      <c r="C181" s="253"/>
      <c r="D181" s="253"/>
      <c r="E181" s="253"/>
      <c r="F181" s="254"/>
      <c r="G181" s="253"/>
      <c r="H181" s="255"/>
      <c r="I181" s="298"/>
      <c r="J181" s="257"/>
      <c r="K181" s="256"/>
      <c r="L181" s="258"/>
      <c r="M181" s="253"/>
      <c r="N181" s="253"/>
      <c r="O181" s="253"/>
      <c r="P181" s="253"/>
      <c r="Q181" s="254"/>
      <c r="R181" s="253"/>
      <c r="S181" s="259"/>
      <c r="T181" s="260"/>
      <c r="U181" s="260"/>
      <c r="V181" s="213"/>
      <c r="W181" s="213"/>
      <c r="X181" s="213"/>
      <c r="Y181" s="213"/>
      <c r="Z181" s="213"/>
      <c r="AA181" s="213"/>
      <c r="AB181" s="213"/>
      <c r="AC181" s="213"/>
      <c r="AD181" s="213"/>
      <c r="AE181" s="214"/>
    </row>
    <row r="182" spans="1:31" ht="13.5" customHeight="1">
      <c r="A182" s="291"/>
      <c r="B182" s="253"/>
      <c r="C182" s="253"/>
      <c r="D182" s="253"/>
      <c r="E182" s="253"/>
      <c r="F182" s="254"/>
      <c r="G182" s="253"/>
      <c r="H182" s="255"/>
      <c r="I182" s="298"/>
      <c r="J182" s="257"/>
      <c r="K182" s="256"/>
      <c r="L182" s="258"/>
      <c r="M182" s="253"/>
      <c r="N182" s="253"/>
      <c r="O182" s="253"/>
      <c r="P182" s="253"/>
      <c r="Q182" s="254"/>
      <c r="R182" s="253"/>
      <c r="S182" s="259"/>
      <c r="T182" s="260"/>
      <c r="U182" s="260"/>
      <c r="V182" s="213"/>
      <c r="W182" s="213"/>
      <c r="X182" s="213"/>
      <c r="Y182" s="213"/>
      <c r="Z182" s="213"/>
      <c r="AA182" s="213"/>
      <c r="AB182" s="213"/>
      <c r="AC182" s="213"/>
      <c r="AD182" s="213"/>
      <c r="AE182" s="214"/>
    </row>
    <row r="183" spans="1:31" ht="13.5" customHeight="1">
      <c r="A183" s="291"/>
      <c r="B183" s="253"/>
      <c r="C183" s="253"/>
      <c r="D183" s="253"/>
      <c r="E183" s="253"/>
      <c r="F183" s="254"/>
      <c r="G183" s="253"/>
      <c r="H183" s="255"/>
      <c r="I183" s="298"/>
      <c r="J183" s="257"/>
      <c r="K183" s="256"/>
      <c r="L183" s="258"/>
      <c r="M183" s="253"/>
      <c r="N183" s="253"/>
      <c r="O183" s="253"/>
      <c r="P183" s="253"/>
      <c r="Q183" s="254"/>
      <c r="R183" s="253"/>
      <c r="S183" s="259"/>
      <c r="T183" s="260"/>
      <c r="U183" s="260"/>
      <c r="V183" s="213"/>
      <c r="W183" s="213"/>
      <c r="X183" s="213"/>
      <c r="Y183" s="213"/>
      <c r="Z183" s="213"/>
      <c r="AA183" s="213"/>
      <c r="AB183" s="213"/>
      <c r="AC183" s="213"/>
      <c r="AD183" s="213"/>
      <c r="AE183" s="214"/>
    </row>
    <row r="184" spans="1:31" ht="13.5" customHeight="1">
      <c r="A184" s="291"/>
      <c r="B184" s="253"/>
      <c r="C184" s="253"/>
      <c r="D184" s="253"/>
      <c r="E184" s="253"/>
      <c r="F184" s="254"/>
      <c r="G184" s="253"/>
      <c r="H184" s="255"/>
      <c r="I184" s="298"/>
      <c r="J184" s="257"/>
      <c r="K184" s="256"/>
      <c r="L184" s="258"/>
      <c r="M184" s="253"/>
      <c r="N184" s="253"/>
      <c r="O184" s="253"/>
      <c r="P184" s="253"/>
      <c r="Q184" s="254"/>
      <c r="R184" s="253"/>
      <c r="S184" s="259"/>
      <c r="T184" s="260"/>
      <c r="U184" s="260"/>
      <c r="V184" s="213"/>
      <c r="W184" s="213"/>
      <c r="X184" s="213"/>
      <c r="Y184" s="213"/>
      <c r="Z184" s="213"/>
      <c r="AA184" s="213"/>
      <c r="AB184" s="213"/>
      <c r="AC184" s="213"/>
      <c r="AD184" s="213"/>
      <c r="AE184" s="214"/>
    </row>
    <row r="185" spans="1:31" ht="13.5" customHeight="1">
      <c r="A185" s="291"/>
      <c r="B185" s="253"/>
      <c r="C185" s="253"/>
      <c r="D185" s="253"/>
      <c r="E185" s="253"/>
      <c r="F185" s="254"/>
      <c r="G185" s="253"/>
      <c r="H185" s="255"/>
      <c r="I185" s="298"/>
      <c r="J185" s="257"/>
      <c r="K185" s="256"/>
      <c r="L185" s="258"/>
      <c r="M185" s="253"/>
      <c r="N185" s="253"/>
      <c r="O185" s="253"/>
      <c r="P185" s="253"/>
      <c r="Q185" s="254"/>
      <c r="R185" s="253"/>
      <c r="S185" s="259"/>
      <c r="T185" s="260"/>
      <c r="U185" s="260"/>
      <c r="V185" s="213"/>
      <c r="W185" s="213"/>
      <c r="X185" s="213"/>
      <c r="Y185" s="213"/>
      <c r="Z185" s="213"/>
      <c r="AA185" s="213"/>
      <c r="AB185" s="213"/>
      <c r="AC185" s="213"/>
      <c r="AD185" s="213"/>
      <c r="AE185" s="214"/>
    </row>
    <row r="186" spans="1:31" ht="13.5" customHeight="1">
      <c r="A186" s="291"/>
      <c r="B186" s="253"/>
      <c r="C186" s="253"/>
      <c r="D186" s="253"/>
      <c r="E186" s="253"/>
      <c r="F186" s="254"/>
      <c r="G186" s="253"/>
      <c r="H186" s="255"/>
      <c r="I186" s="298"/>
      <c r="J186" s="257"/>
      <c r="K186" s="256"/>
      <c r="L186" s="258"/>
      <c r="M186" s="253"/>
      <c r="N186" s="253"/>
      <c r="O186" s="253"/>
      <c r="P186" s="253"/>
      <c r="Q186" s="254"/>
      <c r="R186" s="253"/>
      <c r="S186" s="259"/>
      <c r="T186" s="260"/>
      <c r="U186" s="260"/>
      <c r="V186" s="213"/>
      <c r="W186" s="213"/>
      <c r="X186" s="213"/>
      <c r="Y186" s="213"/>
      <c r="Z186" s="213"/>
      <c r="AA186" s="213"/>
      <c r="AB186" s="213"/>
      <c r="AC186" s="213"/>
      <c r="AD186" s="213"/>
      <c r="AE186" s="214"/>
    </row>
    <row r="187" spans="1:31" ht="13.5" customHeight="1">
      <c r="A187" s="291"/>
      <c r="B187" s="253"/>
      <c r="C187" s="253"/>
      <c r="D187" s="253"/>
      <c r="E187" s="253"/>
      <c r="F187" s="254"/>
      <c r="G187" s="253"/>
      <c r="H187" s="255"/>
      <c r="I187" s="298"/>
      <c r="J187" s="257"/>
      <c r="K187" s="256"/>
      <c r="L187" s="258"/>
      <c r="M187" s="253"/>
      <c r="N187" s="253"/>
      <c r="O187" s="253"/>
      <c r="P187" s="253"/>
      <c r="Q187" s="254"/>
      <c r="R187" s="253"/>
      <c r="S187" s="259"/>
      <c r="T187" s="260"/>
      <c r="U187" s="260"/>
      <c r="V187" s="213"/>
      <c r="W187" s="213"/>
      <c r="X187" s="213"/>
      <c r="Y187" s="213"/>
      <c r="Z187" s="213"/>
      <c r="AA187" s="213"/>
      <c r="AB187" s="213"/>
      <c r="AC187" s="213"/>
      <c r="AD187" s="213"/>
      <c r="AE187" s="214"/>
    </row>
    <row r="188" spans="1:31" ht="13.5" customHeight="1">
      <c r="A188" s="291"/>
      <c r="B188" s="253"/>
      <c r="C188" s="253"/>
      <c r="D188" s="253"/>
      <c r="E188" s="253"/>
      <c r="F188" s="254"/>
      <c r="G188" s="253"/>
      <c r="H188" s="255"/>
      <c r="I188" s="298"/>
      <c r="J188" s="257"/>
      <c r="K188" s="256"/>
      <c r="L188" s="258"/>
      <c r="M188" s="253"/>
      <c r="N188" s="253"/>
      <c r="O188" s="253"/>
      <c r="P188" s="253"/>
      <c r="Q188" s="254"/>
      <c r="R188" s="253"/>
      <c r="S188" s="259"/>
      <c r="T188" s="260"/>
      <c r="U188" s="260"/>
      <c r="V188" s="213"/>
      <c r="W188" s="213"/>
      <c r="X188" s="213"/>
      <c r="Y188" s="213"/>
      <c r="Z188" s="213"/>
      <c r="AA188" s="213"/>
      <c r="AB188" s="213"/>
      <c r="AC188" s="213"/>
      <c r="AD188" s="213"/>
      <c r="AE188" s="214"/>
    </row>
    <row r="189" spans="1:31" ht="13.5" customHeight="1">
      <c r="A189" s="291"/>
      <c r="B189" s="253"/>
      <c r="C189" s="253"/>
      <c r="D189" s="253"/>
      <c r="E189" s="253"/>
      <c r="F189" s="254"/>
      <c r="G189" s="253"/>
      <c r="H189" s="255"/>
      <c r="I189" s="298"/>
      <c r="J189" s="257"/>
      <c r="K189" s="256"/>
      <c r="L189" s="258"/>
      <c r="M189" s="253"/>
      <c r="N189" s="253"/>
      <c r="O189" s="253"/>
      <c r="P189" s="253"/>
      <c r="Q189" s="254"/>
      <c r="R189" s="253"/>
      <c r="S189" s="259"/>
      <c r="T189" s="260"/>
      <c r="U189" s="260"/>
      <c r="V189" s="213"/>
      <c r="W189" s="213"/>
      <c r="X189" s="213"/>
      <c r="Y189" s="213"/>
      <c r="Z189" s="213"/>
      <c r="AA189" s="213"/>
      <c r="AB189" s="213"/>
      <c r="AC189" s="213"/>
      <c r="AD189" s="213"/>
      <c r="AE189" s="214"/>
    </row>
    <row r="190" spans="1:31" ht="13.5" customHeight="1">
      <c r="A190" s="291"/>
      <c r="B190" s="253"/>
      <c r="C190" s="253"/>
      <c r="D190" s="253"/>
      <c r="E190" s="253"/>
      <c r="F190" s="254"/>
      <c r="G190" s="253"/>
      <c r="H190" s="255"/>
      <c r="I190" s="298"/>
      <c r="J190" s="257"/>
      <c r="K190" s="256"/>
      <c r="L190" s="258"/>
      <c r="M190" s="253"/>
      <c r="N190" s="253"/>
      <c r="O190" s="253"/>
      <c r="P190" s="253"/>
      <c r="Q190" s="254"/>
      <c r="R190" s="253"/>
      <c r="S190" s="259"/>
      <c r="T190" s="260"/>
      <c r="U190" s="260"/>
      <c r="V190" s="213"/>
      <c r="W190" s="213"/>
      <c r="X190" s="213"/>
      <c r="Y190" s="213"/>
      <c r="Z190" s="213"/>
      <c r="AA190" s="213"/>
      <c r="AB190" s="213"/>
      <c r="AC190" s="213"/>
      <c r="AD190" s="213"/>
      <c r="AE190" s="214"/>
    </row>
    <row r="191" spans="1:31" ht="13.5" customHeight="1">
      <c r="A191" s="291"/>
      <c r="B191" s="253"/>
      <c r="C191" s="253"/>
      <c r="D191" s="253"/>
      <c r="E191" s="253"/>
      <c r="F191" s="254"/>
      <c r="G191" s="253"/>
      <c r="H191" s="255"/>
      <c r="I191" s="298"/>
      <c r="J191" s="257"/>
      <c r="K191" s="256"/>
      <c r="L191" s="258"/>
      <c r="M191" s="253"/>
      <c r="N191" s="253"/>
      <c r="O191" s="253"/>
      <c r="P191" s="253"/>
      <c r="Q191" s="254"/>
      <c r="R191" s="253"/>
      <c r="S191" s="259"/>
      <c r="T191" s="260"/>
      <c r="U191" s="260"/>
      <c r="V191" s="213"/>
      <c r="W191" s="213"/>
      <c r="X191" s="213"/>
      <c r="Y191" s="213"/>
      <c r="Z191" s="213"/>
      <c r="AA191" s="213"/>
      <c r="AB191" s="213"/>
      <c r="AC191" s="213"/>
      <c r="AD191" s="213"/>
      <c r="AE191" s="214"/>
    </row>
    <row r="192" spans="1:31" ht="13.5" customHeight="1">
      <c r="A192" s="291"/>
      <c r="B192" s="253"/>
      <c r="C192" s="253"/>
      <c r="D192" s="253"/>
      <c r="E192" s="253"/>
      <c r="F192" s="254"/>
      <c r="G192" s="253"/>
      <c r="H192" s="255"/>
      <c r="I192" s="298"/>
      <c r="J192" s="257"/>
      <c r="K192" s="256"/>
      <c r="L192" s="258"/>
      <c r="M192" s="253"/>
      <c r="N192" s="253"/>
      <c r="O192" s="253"/>
      <c r="P192" s="253"/>
      <c r="Q192" s="254"/>
      <c r="R192" s="253"/>
      <c r="S192" s="259"/>
      <c r="T192" s="260"/>
      <c r="U192" s="260"/>
      <c r="V192" s="213"/>
      <c r="W192" s="213"/>
      <c r="X192" s="213"/>
      <c r="Y192" s="213"/>
      <c r="Z192" s="213"/>
      <c r="AA192" s="213"/>
      <c r="AB192" s="213"/>
      <c r="AC192" s="213"/>
      <c r="AD192" s="213"/>
      <c r="AE192" s="214"/>
    </row>
    <row r="193" spans="1:31" ht="13.5" customHeight="1">
      <c r="A193" s="291"/>
      <c r="B193" s="253"/>
      <c r="C193" s="253"/>
      <c r="D193" s="253"/>
      <c r="E193" s="253"/>
      <c r="F193" s="254"/>
      <c r="G193" s="253"/>
      <c r="H193" s="255"/>
      <c r="I193" s="298"/>
      <c r="J193" s="257"/>
      <c r="K193" s="256"/>
      <c r="L193" s="258"/>
      <c r="M193" s="253"/>
      <c r="N193" s="253"/>
      <c r="O193" s="253"/>
      <c r="P193" s="253"/>
      <c r="Q193" s="254"/>
      <c r="R193" s="253"/>
      <c r="S193" s="259"/>
      <c r="T193" s="260"/>
      <c r="U193" s="260"/>
      <c r="V193" s="213"/>
      <c r="W193" s="213"/>
      <c r="X193" s="213"/>
      <c r="Y193" s="213"/>
      <c r="Z193" s="213"/>
      <c r="AA193" s="213"/>
      <c r="AB193" s="213"/>
      <c r="AC193" s="213"/>
      <c r="AD193" s="213"/>
      <c r="AE193" s="214"/>
    </row>
    <row r="194" spans="1:31" ht="13.5" customHeight="1">
      <c r="A194" s="291"/>
      <c r="B194" s="253"/>
      <c r="C194" s="253"/>
      <c r="D194" s="253"/>
      <c r="E194" s="253"/>
      <c r="F194" s="254"/>
      <c r="G194" s="253"/>
      <c r="H194" s="255"/>
      <c r="I194" s="298"/>
      <c r="J194" s="257"/>
      <c r="K194" s="256"/>
      <c r="L194" s="258"/>
      <c r="M194" s="253"/>
      <c r="N194" s="253"/>
      <c r="O194" s="253"/>
      <c r="P194" s="253"/>
      <c r="Q194" s="254"/>
      <c r="R194" s="253"/>
      <c r="S194" s="259"/>
      <c r="T194" s="260"/>
      <c r="U194" s="260"/>
      <c r="V194" s="213"/>
      <c r="W194" s="213"/>
      <c r="X194" s="213"/>
      <c r="Y194" s="213"/>
      <c r="Z194" s="213"/>
      <c r="AA194" s="213"/>
      <c r="AB194" s="213"/>
      <c r="AC194" s="213"/>
      <c r="AD194" s="213"/>
      <c r="AE194" s="214"/>
    </row>
    <row r="195" spans="1:31" ht="13.5" customHeight="1">
      <c r="A195" s="291"/>
      <c r="B195" s="253"/>
      <c r="C195" s="253"/>
      <c r="D195" s="253"/>
      <c r="E195" s="253"/>
      <c r="F195" s="254"/>
      <c r="G195" s="253"/>
      <c r="H195" s="255"/>
      <c r="I195" s="298"/>
      <c r="J195" s="257"/>
      <c r="K195" s="256"/>
      <c r="L195" s="258"/>
      <c r="M195" s="253"/>
      <c r="N195" s="253"/>
      <c r="O195" s="253"/>
      <c r="P195" s="253"/>
      <c r="Q195" s="254"/>
      <c r="R195" s="253"/>
      <c r="S195" s="259"/>
      <c r="T195" s="260"/>
      <c r="U195" s="260"/>
      <c r="V195" s="213"/>
      <c r="W195" s="213"/>
      <c r="X195" s="213"/>
      <c r="Y195" s="213"/>
      <c r="Z195" s="213"/>
      <c r="AA195" s="213"/>
      <c r="AB195" s="213"/>
      <c r="AC195" s="213"/>
      <c r="AD195" s="213"/>
      <c r="AE195" s="214"/>
    </row>
    <row r="196" spans="1:31" ht="13.5" customHeight="1">
      <c r="A196" s="291"/>
      <c r="B196" s="253"/>
      <c r="C196" s="253"/>
      <c r="D196" s="253"/>
      <c r="E196" s="253"/>
      <c r="F196" s="254"/>
      <c r="G196" s="253"/>
      <c r="H196" s="255"/>
      <c r="I196" s="298"/>
      <c r="J196" s="257"/>
      <c r="K196" s="256"/>
      <c r="L196" s="258"/>
      <c r="M196" s="253"/>
      <c r="N196" s="253"/>
      <c r="O196" s="253"/>
      <c r="P196" s="253"/>
      <c r="Q196" s="254"/>
      <c r="R196" s="253"/>
      <c r="S196" s="259"/>
      <c r="T196" s="260"/>
      <c r="U196" s="260"/>
      <c r="V196" s="213"/>
      <c r="W196" s="213"/>
      <c r="X196" s="213"/>
      <c r="Y196" s="213"/>
      <c r="Z196" s="213"/>
      <c r="AA196" s="213"/>
      <c r="AB196" s="213"/>
      <c r="AC196" s="213"/>
      <c r="AD196" s="213"/>
      <c r="AE196" s="214"/>
    </row>
    <row r="197" spans="1:31" ht="13.5" customHeight="1">
      <c r="A197" s="291"/>
      <c r="B197" s="253"/>
      <c r="C197" s="253"/>
      <c r="D197" s="253"/>
      <c r="E197" s="253"/>
      <c r="F197" s="254"/>
      <c r="G197" s="253"/>
      <c r="H197" s="255"/>
      <c r="I197" s="298"/>
      <c r="J197" s="257"/>
      <c r="K197" s="256"/>
      <c r="L197" s="258"/>
      <c r="M197" s="253"/>
      <c r="N197" s="253"/>
      <c r="O197" s="253"/>
      <c r="P197" s="253"/>
      <c r="Q197" s="254"/>
      <c r="R197" s="253"/>
      <c r="S197" s="259"/>
      <c r="T197" s="260"/>
      <c r="U197" s="260"/>
      <c r="V197" s="213"/>
      <c r="W197" s="213"/>
      <c r="X197" s="213"/>
      <c r="Y197" s="213"/>
      <c r="Z197" s="213"/>
      <c r="AA197" s="213"/>
      <c r="AB197" s="213"/>
      <c r="AC197" s="213"/>
      <c r="AD197" s="213"/>
      <c r="AE197" s="214"/>
    </row>
    <row r="198" spans="1:31" ht="13.5" customHeight="1">
      <c r="A198" s="291"/>
      <c r="B198" s="253"/>
      <c r="C198" s="253"/>
      <c r="D198" s="253"/>
      <c r="E198" s="253"/>
      <c r="F198" s="254"/>
      <c r="G198" s="253"/>
      <c r="H198" s="255"/>
      <c r="I198" s="298"/>
      <c r="J198" s="257"/>
      <c r="K198" s="256"/>
      <c r="L198" s="258"/>
      <c r="M198" s="253"/>
      <c r="N198" s="253"/>
      <c r="O198" s="253"/>
      <c r="P198" s="253"/>
      <c r="Q198" s="254"/>
      <c r="R198" s="253"/>
      <c r="S198" s="259"/>
      <c r="T198" s="260"/>
      <c r="U198" s="260"/>
      <c r="V198" s="213"/>
      <c r="W198" s="213"/>
      <c r="X198" s="213"/>
      <c r="Y198" s="213"/>
      <c r="Z198" s="213"/>
      <c r="AA198" s="213"/>
      <c r="AB198" s="213"/>
      <c r="AC198" s="213"/>
      <c r="AD198" s="213"/>
      <c r="AE198" s="214"/>
    </row>
    <row r="199" spans="1:31" ht="13.5" customHeight="1">
      <c r="A199" s="291"/>
      <c r="B199" s="253"/>
      <c r="C199" s="253"/>
      <c r="D199" s="253"/>
      <c r="E199" s="253"/>
      <c r="F199" s="254"/>
      <c r="G199" s="253"/>
      <c r="H199" s="255"/>
      <c r="I199" s="298"/>
      <c r="J199" s="257"/>
      <c r="K199" s="256"/>
      <c r="L199" s="258"/>
      <c r="M199" s="253"/>
      <c r="N199" s="253"/>
      <c r="O199" s="253"/>
      <c r="P199" s="253"/>
      <c r="Q199" s="254"/>
      <c r="R199" s="253"/>
      <c r="S199" s="259"/>
      <c r="T199" s="260"/>
      <c r="U199" s="260"/>
      <c r="V199" s="213"/>
      <c r="W199" s="213"/>
      <c r="X199" s="213"/>
      <c r="Y199" s="213"/>
      <c r="Z199" s="213"/>
      <c r="AA199" s="213"/>
      <c r="AB199" s="213"/>
      <c r="AC199" s="213"/>
      <c r="AD199" s="213"/>
      <c r="AE199" s="214"/>
    </row>
    <row r="200" spans="1:31" ht="13.5" customHeight="1">
      <c r="A200" s="291"/>
      <c r="B200" s="253"/>
      <c r="C200" s="253"/>
      <c r="D200" s="253"/>
      <c r="E200" s="253"/>
      <c r="F200" s="254"/>
      <c r="G200" s="253"/>
      <c r="H200" s="255"/>
      <c r="I200" s="298"/>
      <c r="J200" s="257"/>
      <c r="K200" s="256"/>
      <c r="L200" s="258"/>
      <c r="M200" s="253"/>
      <c r="N200" s="253"/>
      <c r="O200" s="253"/>
      <c r="P200" s="253"/>
      <c r="Q200" s="254"/>
      <c r="R200" s="253"/>
      <c r="S200" s="259"/>
      <c r="T200" s="260"/>
      <c r="U200" s="260"/>
      <c r="V200" s="213"/>
      <c r="W200" s="213"/>
      <c r="X200" s="213"/>
      <c r="Y200" s="213"/>
      <c r="Z200" s="213"/>
      <c r="AA200" s="213"/>
      <c r="AB200" s="213"/>
      <c r="AC200" s="213"/>
      <c r="AD200" s="213"/>
      <c r="AE200" s="214"/>
    </row>
    <row r="201" spans="1:31" ht="13.5" customHeight="1">
      <c r="A201" s="291"/>
      <c r="B201" s="253"/>
      <c r="C201" s="253"/>
      <c r="D201" s="253"/>
      <c r="E201" s="253"/>
      <c r="F201" s="254"/>
      <c r="G201" s="253"/>
      <c r="H201" s="255"/>
      <c r="I201" s="298"/>
      <c r="J201" s="257"/>
      <c r="K201" s="256"/>
      <c r="L201" s="258"/>
      <c r="M201" s="253"/>
      <c r="N201" s="253"/>
      <c r="O201" s="253"/>
      <c r="P201" s="253"/>
      <c r="Q201" s="254"/>
      <c r="R201" s="253"/>
      <c r="S201" s="259"/>
      <c r="T201" s="260"/>
      <c r="U201" s="260"/>
      <c r="V201" s="213"/>
      <c r="W201" s="213"/>
      <c r="X201" s="213"/>
      <c r="Y201" s="213"/>
      <c r="Z201" s="213"/>
      <c r="AA201" s="213"/>
      <c r="AB201" s="213"/>
      <c r="AC201" s="213"/>
      <c r="AD201" s="213"/>
      <c r="AE201" s="214"/>
    </row>
    <row r="202" spans="1:31" ht="13.5" customHeight="1">
      <c r="A202" s="291"/>
      <c r="B202" s="253"/>
      <c r="C202" s="253"/>
      <c r="D202" s="253"/>
      <c r="E202" s="253"/>
      <c r="F202" s="254"/>
      <c r="G202" s="253"/>
      <c r="H202" s="255"/>
      <c r="I202" s="298"/>
      <c r="J202" s="257"/>
      <c r="K202" s="256"/>
      <c r="L202" s="258"/>
      <c r="M202" s="253"/>
      <c r="N202" s="253"/>
      <c r="O202" s="253"/>
      <c r="P202" s="253"/>
      <c r="Q202" s="254"/>
      <c r="R202" s="253"/>
      <c r="S202" s="259"/>
      <c r="T202" s="260"/>
      <c r="U202" s="260"/>
      <c r="V202" s="213"/>
      <c r="W202" s="213"/>
      <c r="X202" s="213"/>
      <c r="Y202" s="213"/>
      <c r="Z202" s="213"/>
      <c r="AA202" s="213"/>
      <c r="AB202" s="213"/>
      <c r="AC202" s="213"/>
      <c r="AD202" s="213"/>
      <c r="AE202" s="214"/>
    </row>
    <row r="203" spans="1:31" ht="13.5" customHeight="1">
      <c r="A203" s="291"/>
      <c r="B203" s="253"/>
      <c r="C203" s="253"/>
      <c r="D203" s="253"/>
      <c r="E203" s="253"/>
      <c r="F203" s="254"/>
      <c r="G203" s="253"/>
      <c r="H203" s="255"/>
      <c r="I203" s="298"/>
      <c r="J203" s="257"/>
      <c r="K203" s="256"/>
      <c r="L203" s="258"/>
      <c r="M203" s="253"/>
      <c r="N203" s="253"/>
      <c r="O203" s="253"/>
      <c r="P203" s="253"/>
      <c r="Q203" s="254"/>
      <c r="R203" s="253"/>
      <c r="S203" s="259"/>
      <c r="T203" s="260"/>
      <c r="U203" s="260"/>
      <c r="V203" s="213"/>
      <c r="W203" s="213"/>
      <c r="X203" s="213"/>
      <c r="Y203" s="213"/>
      <c r="Z203" s="213"/>
      <c r="AA203" s="213"/>
      <c r="AB203" s="213"/>
      <c r="AC203" s="213"/>
      <c r="AD203" s="213"/>
      <c r="AE203" s="214"/>
    </row>
    <row r="204" spans="1:31" ht="13.5" customHeight="1">
      <c r="A204" s="291"/>
      <c r="B204" s="253"/>
      <c r="C204" s="253"/>
      <c r="D204" s="253"/>
      <c r="E204" s="253"/>
      <c r="F204" s="254"/>
      <c r="G204" s="253"/>
      <c r="H204" s="255"/>
      <c r="I204" s="298"/>
      <c r="J204" s="257"/>
      <c r="K204" s="256"/>
      <c r="L204" s="258"/>
      <c r="M204" s="253"/>
      <c r="N204" s="253"/>
      <c r="O204" s="253"/>
      <c r="P204" s="253"/>
      <c r="Q204" s="254"/>
      <c r="R204" s="253"/>
      <c r="S204" s="259"/>
      <c r="T204" s="260"/>
      <c r="U204" s="260"/>
      <c r="V204" s="213"/>
      <c r="W204" s="213"/>
      <c r="X204" s="213"/>
      <c r="Y204" s="213"/>
      <c r="Z204" s="213"/>
      <c r="AA204" s="213"/>
      <c r="AB204" s="213"/>
      <c r="AC204" s="213"/>
      <c r="AD204" s="213"/>
      <c r="AE204" s="214"/>
    </row>
    <row r="205" spans="1:31" ht="13.5" customHeight="1">
      <c r="A205" s="291"/>
      <c r="B205" s="253"/>
      <c r="C205" s="253"/>
      <c r="D205" s="253"/>
      <c r="E205" s="253"/>
      <c r="F205" s="254"/>
      <c r="G205" s="253"/>
      <c r="H205" s="255"/>
      <c r="I205" s="298"/>
      <c r="J205" s="257"/>
      <c r="K205" s="256"/>
      <c r="L205" s="258"/>
      <c r="M205" s="253"/>
      <c r="N205" s="253"/>
      <c r="O205" s="253"/>
      <c r="P205" s="253"/>
      <c r="Q205" s="254"/>
      <c r="R205" s="253"/>
      <c r="S205" s="259"/>
      <c r="T205" s="260"/>
      <c r="U205" s="260"/>
      <c r="V205" s="213"/>
      <c r="W205" s="213"/>
      <c r="X205" s="213"/>
      <c r="Y205" s="213"/>
      <c r="Z205" s="213"/>
      <c r="AA205" s="213"/>
      <c r="AB205" s="213"/>
      <c r="AC205" s="213"/>
      <c r="AD205" s="213"/>
      <c r="AE205" s="214"/>
    </row>
    <row r="206" spans="1:31" ht="13.5" customHeight="1">
      <c r="A206" s="291"/>
      <c r="B206" s="253"/>
      <c r="C206" s="253"/>
      <c r="D206" s="253"/>
      <c r="E206" s="253"/>
      <c r="F206" s="254"/>
      <c r="G206" s="253"/>
      <c r="H206" s="255"/>
      <c r="I206" s="298"/>
      <c r="J206" s="257"/>
      <c r="K206" s="256"/>
      <c r="L206" s="258"/>
      <c r="M206" s="253"/>
      <c r="N206" s="253"/>
      <c r="O206" s="253"/>
      <c r="P206" s="253"/>
      <c r="Q206" s="254"/>
      <c r="R206" s="253"/>
      <c r="S206" s="259"/>
      <c r="T206" s="260"/>
      <c r="U206" s="260"/>
      <c r="V206" s="213"/>
      <c r="W206" s="213"/>
      <c r="X206" s="213"/>
      <c r="Y206" s="213"/>
      <c r="Z206" s="213"/>
      <c r="AA206" s="213"/>
      <c r="AB206" s="213"/>
      <c r="AC206" s="213"/>
      <c r="AD206" s="213"/>
      <c r="AE206" s="214"/>
    </row>
    <row r="207" spans="1:31" ht="13.5" customHeight="1">
      <c r="A207" s="291"/>
      <c r="B207" s="253"/>
      <c r="C207" s="253"/>
      <c r="D207" s="253"/>
      <c r="E207" s="253"/>
      <c r="F207" s="254"/>
      <c r="G207" s="253"/>
      <c r="H207" s="255"/>
      <c r="I207" s="298"/>
      <c r="J207" s="257"/>
      <c r="K207" s="256"/>
      <c r="L207" s="258"/>
      <c r="M207" s="253"/>
      <c r="N207" s="253"/>
      <c r="O207" s="253"/>
      <c r="P207" s="253"/>
      <c r="Q207" s="254"/>
      <c r="R207" s="253"/>
      <c r="S207" s="259"/>
      <c r="T207" s="260"/>
      <c r="U207" s="260"/>
      <c r="V207" s="213"/>
      <c r="W207" s="213"/>
      <c r="X207" s="213"/>
      <c r="Y207" s="213"/>
      <c r="Z207" s="213"/>
      <c r="AA207" s="213"/>
      <c r="AB207" s="213"/>
      <c r="AC207" s="213"/>
      <c r="AD207" s="213"/>
      <c r="AE207" s="214"/>
    </row>
    <row r="208" spans="1:31" ht="13.5" customHeight="1">
      <c r="A208" s="291"/>
      <c r="B208" s="253"/>
      <c r="C208" s="253"/>
      <c r="D208" s="253"/>
      <c r="E208" s="253"/>
      <c r="F208" s="254"/>
      <c r="G208" s="253"/>
      <c r="H208" s="255"/>
      <c r="I208" s="298"/>
      <c r="J208" s="257"/>
      <c r="K208" s="256"/>
      <c r="L208" s="258"/>
      <c r="M208" s="253"/>
      <c r="N208" s="253"/>
      <c r="O208" s="253"/>
      <c r="P208" s="253"/>
      <c r="Q208" s="254"/>
      <c r="R208" s="253"/>
      <c r="S208" s="259"/>
      <c r="T208" s="260"/>
      <c r="U208" s="260"/>
      <c r="V208" s="213"/>
      <c r="W208" s="213"/>
      <c r="X208" s="213"/>
      <c r="Y208" s="213"/>
      <c r="Z208" s="213"/>
      <c r="AA208" s="213"/>
      <c r="AB208" s="213"/>
      <c r="AC208" s="213"/>
      <c r="AD208" s="213"/>
      <c r="AE208" s="214"/>
    </row>
    <row r="209" spans="1:31" ht="13.5" customHeight="1">
      <c r="A209" s="291"/>
      <c r="B209" s="253"/>
      <c r="C209" s="253"/>
      <c r="D209" s="253"/>
      <c r="E209" s="253"/>
      <c r="F209" s="254"/>
      <c r="G209" s="253"/>
      <c r="H209" s="255"/>
      <c r="I209" s="298"/>
      <c r="J209" s="257"/>
      <c r="K209" s="256"/>
      <c r="L209" s="258"/>
      <c r="M209" s="253"/>
      <c r="N209" s="253"/>
      <c r="O209" s="253"/>
      <c r="P209" s="253"/>
      <c r="Q209" s="254"/>
      <c r="R209" s="253"/>
      <c r="S209" s="259"/>
      <c r="T209" s="260"/>
      <c r="U209" s="260"/>
      <c r="V209" s="213"/>
      <c r="W209" s="213"/>
      <c r="X209" s="213"/>
      <c r="Y209" s="213"/>
      <c r="Z209" s="213"/>
      <c r="AA209" s="213"/>
      <c r="AB209" s="213"/>
      <c r="AC209" s="213"/>
      <c r="AD209" s="213"/>
      <c r="AE209" s="214"/>
    </row>
    <row r="210" spans="1:31" ht="13.5" customHeight="1">
      <c r="A210" s="291"/>
      <c r="B210" s="253"/>
      <c r="C210" s="253"/>
      <c r="D210" s="253"/>
      <c r="E210" s="253"/>
      <c r="F210" s="254"/>
      <c r="G210" s="253"/>
      <c r="H210" s="255"/>
      <c r="I210" s="298"/>
      <c r="J210" s="257"/>
      <c r="K210" s="256"/>
      <c r="L210" s="258"/>
      <c r="M210" s="253"/>
      <c r="N210" s="253"/>
      <c r="O210" s="253"/>
      <c r="P210" s="253"/>
      <c r="Q210" s="254"/>
      <c r="R210" s="253"/>
      <c r="S210" s="259"/>
      <c r="T210" s="260"/>
      <c r="U210" s="260"/>
      <c r="V210" s="213"/>
      <c r="W210" s="213"/>
      <c r="X210" s="213"/>
      <c r="Y210" s="213"/>
      <c r="Z210" s="213"/>
      <c r="AA210" s="213"/>
      <c r="AB210" s="213"/>
      <c r="AC210" s="213"/>
      <c r="AD210" s="213"/>
      <c r="AE210" s="214"/>
    </row>
    <row r="211" spans="1:31" ht="13.5" customHeight="1">
      <c r="A211" s="291"/>
      <c r="B211" s="253"/>
      <c r="C211" s="253"/>
      <c r="D211" s="253"/>
      <c r="E211" s="253"/>
      <c r="F211" s="254"/>
      <c r="G211" s="253"/>
      <c r="H211" s="255"/>
      <c r="I211" s="298"/>
      <c r="J211" s="257"/>
      <c r="K211" s="256"/>
      <c r="L211" s="258"/>
      <c r="M211" s="253"/>
      <c r="N211" s="253"/>
      <c r="O211" s="253"/>
      <c r="P211" s="253"/>
      <c r="Q211" s="254"/>
      <c r="R211" s="253"/>
      <c r="S211" s="259"/>
      <c r="T211" s="260"/>
      <c r="U211" s="260"/>
      <c r="V211" s="213"/>
      <c r="W211" s="213"/>
      <c r="X211" s="213"/>
      <c r="Y211" s="213"/>
      <c r="Z211" s="213"/>
      <c r="AA211" s="213"/>
      <c r="AB211" s="213"/>
      <c r="AC211" s="213"/>
      <c r="AD211" s="213"/>
      <c r="AE211" s="214"/>
    </row>
    <row r="212" spans="1:31" ht="13.5" customHeight="1">
      <c r="A212" s="291"/>
      <c r="B212" s="253"/>
      <c r="C212" s="253"/>
      <c r="D212" s="253"/>
      <c r="E212" s="253"/>
      <c r="F212" s="254"/>
      <c r="G212" s="253"/>
      <c r="H212" s="255"/>
      <c r="I212" s="298"/>
      <c r="J212" s="257"/>
      <c r="K212" s="256"/>
      <c r="L212" s="258"/>
      <c r="M212" s="253"/>
      <c r="N212" s="253"/>
      <c r="O212" s="253"/>
      <c r="P212" s="253"/>
      <c r="Q212" s="254"/>
      <c r="R212" s="253"/>
      <c r="S212" s="259"/>
      <c r="T212" s="260"/>
      <c r="U212" s="260"/>
      <c r="V212" s="213"/>
      <c r="W212" s="213"/>
      <c r="X212" s="213"/>
      <c r="Y212" s="213"/>
      <c r="Z212" s="213"/>
      <c r="AA212" s="213"/>
      <c r="AB212" s="213"/>
      <c r="AC212" s="213"/>
      <c r="AD212" s="213"/>
      <c r="AE212" s="214"/>
    </row>
    <row r="213" spans="1:31" ht="13.5" customHeight="1">
      <c r="A213" s="291"/>
      <c r="B213" s="253"/>
      <c r="C213" s="253"/>
      <c r="D213" s="253"/>
      <c r="E213" s="253"/>
      <c r="F213" s="254"/>
      <c r="G213" s="253"/>
      <c r="H213" s="255"/>
      <c r="I213" s="298"/>
      <c r="J213" s="257"/>
      <c r="K213" s="256"/>
      <c r="L213" s="258"/>
      <c r="M213" s="253"/>
      <c r="N213" s="253"/>
      <c r="O213" s="253"/>
      <c r="P213" s="253"/>
      <c r="Q213" s="254"/>
      <c r="R213" s="253"/>
      <c r="S213" s="259"/>
      <c r="T213" s="260"/>
      <c r="U213" s="260"/>
      <c r="V213" s="213"/>
      <c r="W213" s="213"/>
      <c r="X213" s="213"/>
      <c r="Y213" s="213"/>
      <c r="Z213" s="213"/>
      <c r="AA213" s="213"/>
      <c r="AB213" s="213"/>
      <c r="AC213" s="213"/>
      <c r="AD213" s="213"/>
      <c r="AE213" s="214"/>
    </row>
    <row r="214" spans="1:31" ht="13.5" customHeight="1">
      <c r="A214" s="291"/>
      <c r="B214" s="253"/>
      <c r="C214" s="253"/>
      <c r="D214" s="253"/>
      <c r="E214" s="253"/>
      <c r="F214" s="254"/>
      <c r="G214" s="253"/>
      <c r="H214" s="255"/>
      <c r="I214" s="298"/>
      <c r="J214" s="257"/>
      <c r="K214" s="256"/>
      <c r="L214" s="258"/>
      <c r="M214" s="253"/>
      <c r="N214" s="253"/>
      <c r="O214" s="253"/>
      <c r="P214" s="253"/>
      <c r="Q214" s="254"/>
      <c r="R214" s="253"/>
      <c r="S214" s="259"/>
      <c r="T214" s="260"/>
      <c r="U214" s="260"/>
      <c r="V214" s="213"/>
      <c r="W214" s="213"/>
      <c r="X214" s="213"/>
      <c r="Y214" s="213"/>
      <c r="Z214" s="213"/>
      <c r="AA214" s="213"/>
      <c r="AB214" s="213"/>
      <c r="AC214" s="213"/>
      <c r="AD214" s="213"/>
      <c r="AE214" s="214"/>
    </row>
    <row r="215" spans="1:31" ht="13.5" customHeight="1">
      <c r="A215" s="291"/>
      <c r="B215" s="253"/>
      <c r="C215" s="253"/>
      <c r="D215" s="253"/>
      <c r="E215" s="253"/>
      <c r="F215" s="254"/>
      <c r="G215" s="253"/>
      <c r="H215" s="255"/>
      <c r="I215" s="298"/>
      <c r="J215" s="257"/>
      <c r="K215" s="256"/>
      <c r="L215" s="258"/>
      <c r="M215" s="253"/>
      <c r="N215" s="253"/>
      <c r="O215" s="253"/>
      <c r="P215" s="253"/>
      <c r="Q215" s="254"/>
      <c r="R215" s="253"/>
      <c r="S215" s="259"/>
      <c r="T215" s="260"/>
      <c r="U215" s="260"/>
      <c r="V215" s="213"/>
      <c r="W215" s="213"/>
      <c r="X215" s="213"/>
      <c r="Y215" s="213"/>
      <c r="Z215" s="213"/>
      <c r="AA215" s="213"/>
      <c r="AB215" s="213"/>
      <c r="AC215" s="213"/>
      <c r="AD215" s="213"/>
      <c r="AE215" s="214"/>
    </row>
    <row r="216" spans="1:31" ht="13.5" customHeight="1">
      <c r="A216" s="291"/>
      <c r="B216" s="253"/>
      <c r="C216" s="253"/>
      <c r="D216" s="253"/>
      <c r="E216" s="253"/>
      <c r="F216" s="254"/>
      <c r="G216" s="253"/>
      <c r="H216" s="255"/>
      <c r="I216" s="298"/>
      <c r="J216" s="257"/>
      <c r="K216" s="256"/>
      <c r="L216" s="258"/>
      <c r="M216" s="253"/>
      <c r="N216" s="253"/>
      <c r="O216" s="253"/>
      <c r="P216" s="253"/>
      <c r="Q216" s="254"/>
      <c r="R216" s="253"/>
      <c r="S216" s="259"/>
      <c r="T216" s="260"/>
      <c r="U216" s="260"/>
      <c r="V216" s="213"/>
      <c r="W216" s="213"/>
      <c r="X216" s="213"/>
      <c r="Y216" s="213"/>
      <c r="Z216" s="213"/>
      <c r="AA216" s="213"/>
      <c r="AB216" s="213"/>
      <c r="AC216" s="213"/>
      <c r="AD216" s="213"/>
      <c r="AE216" s="214"/>
    </row>
    <row r="217" spans="1:31" ht="13.5" customHeight="1">
      <c r="A217" s="291"/>
      <c r="B217" s="253"/>
      <c r="C217" s="253"/>
      <c r="D217" s="253"/>
      <c r="E217" s="253"/>
      <c r="F217" s="254"/>
      <c r="G217" s="253"/>
      <c r="H217" s="255"/>
      <c r="I217" s="298"/>
      <c r="J217" s="257"/>
      <c r="K217" s="256"/>
      <c r="L217" s="258"/>
      <c r="M217" s="253"/>
      <c r="N217" s="253"/>
      <c r="O217" s="253"/>
      <c r="P217" s="253"/>
      <c r="Q217" s="254"/>
      <c r="R217" s="253"/>
      <c r="S217" s="259"/>
      <c r="T217" s="260"/>
      <c r="U217" s="260"/>
      <c r="V217" s="213"/>
      <c r="W217" s="213"/>
      <c r="X217" s="213"/>
      <c r="Y217" s="213"/>
      <c r="Z217" s="213"/>
      <c r="AA217" s="213"/>
      <c r="AB217" s="213"/>
      <c r="AC217" s="213"/>
      <c r="AD217" s="213"/>
      <c r="AE217" s="214"/>
    </row>
    <row r="218" spans="1:31" ht="13.5" customHeight="1">
      <c r="A218" s="291"/>
      <c r="B218" s="253"/>
      <c r="C218" s="253"/>
      <c r="D218" s="253"/>
      <c r="E218" s="253"/>
      <c r="F218" s="254"/>
      <c r="G218" s="253"/>
      <c r="H218" s="255"/>
      <c r="I218" s="298"/>
      <c r="J218" s="257"/>
      <c r="K218" s="256"/>
      <c r="L218" s="258"/>
      <c r="M218" s="253"/>
      <c r="N218" s="253"/>
      <c r="O218" s="253"/>
      <c r="P218" s="253"/>
      <c r="Q218" s="254"/>
      <c r="R218" s="253"/>
      <c r="S218" s="259"/>
      <c r="T218" s="260"/>
      <c r="U218" s="260"/>
      <c r="V218" s="213"/>
      <c r="W218" s="213"/>
      <c r="X218" s="213"/>
      <c r="Y218" s="213"/>
      <c r="Z218" s="213"/>
      <c r="AA218" s="213"/>
      <c r="AB218" s="213"/>
      <c r="AC218" s="213"/>
      <c r="AD218" s="213"/>
      <c r="AE218" s="214"/>
    </row>
    <row r="219" spans="1:31" ht="13.5" customHeight="1">
      <c r="A219" s="291"/>
      <c r="B219" s="253"/>
      <c r="C219" s="253"/>
      <c r="D219" s="253"/>
      <c r="E219" s="253"/>
      <c r="F219" s="254"/>
      <c r="G219" s="253"/>
      <c r="H219" s="255"/>
      <c r="I219" s="298"/>
      <c r="J219" s="257"/>
      <c r="K219" s="256"/>
      <c r="L219" s="258"/>
      <c r="M219" s="253"/>
      <c r="N219" s="253"/>
      <c r="O219" s="253"/>
      <c r="P219" s="253"/>
      <c r="Q219" s="254"/>
      <c r="R219" s="253"/>
      <c r="S219" s="259"/>
      <c r="T219" s="260"/>
      <c r="U219" s="260"/>
      <c r="V219" s="213"/>
      <c r="W219" s="213"/>
      <c r="X219" s="213"/>
      <c r="Y219" s="213"/>
      <c r="Z219" s="213"/>
      <c r="AA219" s="213"/>
      <c r="AB219" s="213"/>
      <c r="AC219" s="213"/>
      <c r="AD219" s="213"/>
      <c r="AE219" s="214"/>
    </row>
    <row r="220" spans="1:31" ht="13.5" customHeight="1">
      <c r="A220" s="291"/>
      <c r="B220" s="253"/>
      <c r="C220" s="253"/>
      <c r="D220" s="253"/>
      <c r="E220" s="253"/>
      <c r="F220" s="254"/>
      <c r="G220" s="253"/>
      <c r="H220" s="255"/>
      <c r="I220" s="298"/>
      <c r="J220" s="257"/>
      <c r="K220" s="256"/>
      <c r="L220" s="258"/>
      <c r="M220" s="253"/>
      <c r="N220" s="253"/>
      <c r="O220" s="253"/>
      <c r="P220" s="253"/>
      <c r="Q220" s="254"/>
      <c r="R220" s="253"/>
      <c r="S220" s="259"/>
      <c r="T220" s="260"/>
      <c r="U220" s="260"/>
      <c r="V220" s="213"/>
      <c r="W220" s="213"/>
      <c r="X220" s="213"/>
      <c r="Y220" s="213"/>
      <c r="Z220" s="213"/>
      <c r="AA220" s="213"/>
      <c r="AB220" s="213"/>
      <c r="AC220" s="213"/>
      <c r="AD220" s="213"/>
      <c r="AE220" s="214"/>
    </row>
    <row r="221" spans="1:31" ht="13.5" customHeight="1">
      <c r="A221" s="291"/>
      <c r="B221" s="253"/>
      <c r="C221" s="253"/>
      <c r="D221" s="253"/>
      <c r="E221" s="253"/>
      <c r="F221" s="254"/>
      <c r="G221" s="253"/>
      <c r="H221" s="255"/>
      <c r="I221" s="298"/>
      <c r="J221" s="257"/>
      <c r="K221" s="256"/>
      <c r="L221" s="258"/>
      <c r="M221" s="253"/>
      <c r="N221" s="253"/>
      <c r="O221" s="253"/>
      <c r="P221" s="253"/>
      <c r="Q221" s="254"/>
      <c r="R221" s="253"/>
      <c r="S221" s="259"/>
      <c r="T221" s="260"/>
      <c r="U221" s="260"/>
      <c r="V221" s="213"/>
      <c r="W221" s="213"/>
      <c r="X221" s="213"/>
      <c r="Y221" s="213"/>
      <c r="Z221" s="213"/>
      <c r="AA221" s="213"/>
      <c r="AB221" s="213"/>
      <c r="AC221" s="213"/>
      <c r="AD221" s="213"/>
      <c r="AE221" s="214"/>
    </row>
    <row r="222" spans="1:31" ht="13.5" customHeight="1">
      <c r="A222" s="291"/>
      <c r="B222" s="253"/>
      <c r="C222" s="253"/>
      <c r="D222" s="253"/>
      <c r="E222" s="253"/>
      <c r="F222" s="254"/>
      <c r="G222" s="253"/>
      <c r="H222" s="255"/>
      <c r="I222" s="298"/>
      <c r="J222" s="257"/>
      <c r="K222" s="256"/>
      <c r="L222" s="258"/>
      <c r="M222" s="253"/>
      <c r="N222" s="253"/>
      <c r="O222" s="253"/>
      <c r="P222" s="253"/>
      <c r="Q222" s="254"/>
      <c r="R222" s="253"/>
      <c r="S222" s="259"/>
      <c r="T222" s="260"/>
      <c r="U222" s="260"/>
      <c r="V222" s="213"/>
      <c r="W222" s="213"/>
      <c r="X222" s="213"/>
      <c r="Y222" s="213"/>
      <c r="Z222" s="213"/>
      <c r="AA222" s="213"/>
      <c r="AB222" s="213"/>
      <c r="AC222" s="213"/>
      <c r="AD222" s="213"/>
      <c r="AE222" s="214"/>
    </row>
    <row r="223" spans="1:31" ht="13.5" customHeight="1">
      <c r="A223" s="291"/>
      <c r="B223" s="253"/>
      <c r="C223" s="253"/>
      <c r="D223" s="253"/>
      <c r="E223" s="253"/>
      <c r="F223" s="254"/>
      <c r="G223" s="253"/>
      <c r="H223" s="255"/>
      <c r="I223" s="298"/>
      <c r="J223" s="257"/>
      <c r="K223" s="256"/>
      <c r="L223" s="258"/>
      <c r="M223" s="253"/>
      <c r="N223" s="253"/>
      <c r="O223" s="253"/>
      <c r="P223" s="253"/>
      <c r="Q223" s="254"/>
      <c r="R223" s="253"/>
      <c r="S223" s="259"/>
      <c r="T223" s="260"/>
      <c r="U223" s="260"/>
      <c r="V223" s="213"/>
      <c r="W223" s="213"/>
      <c r="X223" s="213"/>
      <c r="Y223" s="213"/>
      <c r="Z223" s="213"/>
      <c r="AA223" s="213"/>
      <c r="AB223" s="213"/>
      <c r="AC223" s="213"/>
      <c r="AD223" s="213"/>
      <c r="AE223" s="214"/>
    </row>
    <row r="224" spans="1:31" ht="13.5" customHeight="1">
      <c r="A224" s="291"/>
      <c r="B224" s="253"/>
      <c r="C224" s="253"/>
      <c r="D224" s="253"/>
      <c r="E224" s="253"/>
      <c r="F224" s="254"/>
      <c r="G224" s="253"/>
      <c r="H224" s="255"/>
      <c r="I224" s="298"/>
      <c r="J224" s="257"/>
      <c r="K224" s="256"/>
      <c r="L224" s="258"/>
      <c r="M224" s="253"/>
      <c r="N224" s="253"/>
      <c r="O224" s="253"/>
      <c r="P224" s="253"/>
      <c r="Q224" s="254"/>
      <c r="R224" s="253"/>
      <c r="S224" s="259"/>
      <c r="T224" s="260"/>
      <c r="U224" s="260"/>
      <c r="V224" s="213"/>
      <c r="W224" s="213"/>
      <c r="X224" s="213"/>
      <c r="Y224" s="213"/>
      <c r="Z224" s="213"/>
      <c r="AA224" s="213"/>
      <c r="AB224" s="213"/>
      <c r="AC224" s="213"/>
      <c r="AD224" s="213"/>
      <c r="AE224" s="214"/>
    </row>
    <row r="225" spans="1:31" ht="13.5" customHeight="1">
      <c r="A225" s="291"/>
      <c r="B225" s="253"/>
      <c r="C225" s="253"/>
      <c r="D225" s="253"/>
      <c r="E225" s="253"/>
      <c r="F225" s="254"/>
      <c r="G225" s="253"/>
      <c r="H225" s="255"/>
      <c r="I225" s="298"/>
      <c r="J225" s="257"/>
      <c r="K225" s="256"/>
      <c r="L225" s="258"/>
      <c r="M225" s="253"/>
      <c r="N225" s="253"/>
      <c r="O225" s="253"/>
      <c r="P225" s="253"/>
      <c r="Q225" s="254"/>
      <c r="R225" s="253"/>
      <c r="S225" s="259"/>
      <c r="T225" s="260"/>
      <c r="U225" s="260"/>
      <c r="V225" s="213"/>
      <c r="W225" s="213"/>
      <c r="X225" s="213"/>
      <c r="Y225" s="213"/>
      <c r="Z225" s="213"/>
      <c r="AA225" s="213"/>
      <c r="AB225" s="213"/>
      <c r="AC225" s="213"/>
      <c r="AD225" s="213"/>
      <c r="AE225" s="214"/>
    </row>
    <row r="226" spans="1:31" ht="13.5" customHeight="1">
      <c r="A226" s="291"/>
      <c r="B226" s="253"/>
      <c r="C226" s="253"/>
      <c r="D226" s="253"/>
      <c r="E226" s="253"/>
      <c r="F226" s="254"/>
      <c r="G226" s="253"/>
      <c r="H226" s="255"/>
      <c r="I226" s="298"/>
      <c r="J226" s="257"/>
      <c r="K226" s="256"/>
      <c r="L226" s="258"/>
      <c r="M226" s="253"/>
      <c r="N226" s="253"/>
      <c r="O226" s="253"/>
      <c r="P226" s="253"/>
      <c r="Q226" s="254"/>
      <c r="R226" s="253"/>
      <c r="S226" s="259"/>
      <c r="T226" s="260"/>
      <c r="U226" s="260"/>
      <c r="V226" s="213"/>
      <c r="W226" s="213"/>
      <c r="X226" s="213"/>
      <c r="Y226" s="213"/>
      <c r="Z226" s="213"/>
      <c r="AA226" s="213"/>
      <c r="AB226" s="213"/>
      <c r="AC226" s="213"/>
      <c r="AD226" s="213"/>
      <c r="AE226" s="214"/>
    </row>
    <row r="227" spans="1:31" ht="13.5" customHeight="1">
      <c r="A227" s="291"/>
      <c r="B227" s="253"/>
      <c r="C227" s="253"/>
      <c r="D227" s="253"/>
      <c r="E227" s="253"/>
      <c r="F227" s="254"/>
      <c r="G227" s="253"/>
      <c r="H227" s="255"/>
      <c r="I227" s="298"/>
      <c r="J227" s="257"/>
      <c r="K227" s="256"/>
      <c r="L227" s="258"/>
      <c r="M227" s="253"/>
      <c r="N227" s="253"/>
      <c r="O227" s="253"/>
      <c r="P227" s="253"/>
      <c r="Q227" s="254"/>
      <c r="R227" s="253"/>
      <c r="S227" s="259"/>
      <c r="T227" s="260"/>
      <c r="U227" s="260"/>
      <c r="V227" s="213"/>
      <c r="W227" s="213"/>
      <c r="X227" s="213"/>
      <c r="Y227" s="213"/>
      <c r="Z227" s="213"/>
      <c r="AA227" s="213"/>
      <c r="AB227" s="213"/>
      <c r="AC227" s="213"/>
      <c r="AD227" s="213"/>
      <c r="AE227" s="214"/>
    </row>
    <row r="228" spans="1:31" ht="13.5" customHeight="1">
      <c r="A228" s="291"/>
      <c r="B228" s="253"/>
      <c r="C228" s="253"/>
      <c r="D228" s="253"/>
      <c r="E228" s="253"/>
      <c r="F228" s="254"/>
      <c r="G228" s="253"/>
      <c r="H228" s="255"/>
      <c r="I228" s="298"/>
      <c r="J228" s="257"/>
      <c r="K228" s="256"/>
      <c r="L228" s="258"/>
      <c r="M228" s="253"/>
      <c r="N228" s="253"/>
      <c r="O228" s="253"/>
      <c r="P228" s="253"/>
      <c r="Q228" s="254"/>
      <c r="R228" s="253"/>
      <c r="S228" s="259"/>
      <c r="T228" s="260"/>
      <c r="U228" s="260"/>
      <c r="V228" s="213"/>
      <c r="W228" s="213"/>
      <c r="X228" s="213"/>
      <c r="Y228" s="213"/>
      <c r="Z228" s="213"/>
      <c r="AA228" s="213"/>
      <c r="AB228" s="213"/>
      <c r="AC228" s="213"/>
      <c r="AD228" s="213"/>
      <c r="AE228" s="214"/>
    </row>
    <row r="229" spans="1:31" ht="13.5" customHeight="1">
      <c r="A229" s="291"/>
      <c r="B229" s="253"/>
      <c r="C229" s="253"/>
      <c r="D229" s="253"/>
      <c r="E229" s="253"/>
      <c r="F229" s="254"/>
      <c r="G229" s="253"/>
      <c r="H229" s="255"/>
      <c r="I229" s="298"/>
      <c r="J229" s="257"/>
      <c r="K229" s="256"/>
      <c r="L229" s="258"/>
      <c r="M229" s="253"/>
      <c r="N229" s="253"/>
      <c r="O229" s="253"/>
      <c r="P229" s="253"/>
      <c r="Q229" s="254"/>
      <c r="R229" s="253"/>
      <c r="S229" s="259"/>
      <c r="T229" s="260"/>
      <c r="U229" s="260"/>
      <c r="V229" s="213"/>
      <c r="W229" s="213"/>
      <c r="X229" s="213"/>
      <c r="Y229" s="213"/>
      <c r="Z229" s="213"/>
      <c r="AA229" s="213"/>
      <c r="AB229" s="213"/>
      <c r="AC229" s="213"/>
      <c r="AD229" s="213"/>
      <c r="AE229" s="214"/>
    </row>
    <row r="230" spans="1:31" ht="13.5" customHeight="1">
      <c r="A230" s="291"/>
      <c r="B230" s="253"/>
      <c r="C230" s="253"/>
      <c r="D230" s="253"/>
      <c r="E230" s="253"/>
      <c r="F230" s="254"/>
      <c r="G230" s="253"/>
      <c r="H230" s="255"/>
      <c r="I230" s="298"/>
      <c r="J230" s="257"/>
      <c r="K230" s="256"/>
      <c r="L230" s="258"/>
      <c r="M230" s="253"/>
      <c r="N230" s="253"/>
      <c r="O230" s="253"/>
      <c r="P230" s="253"/>
      <c r="Q230" s="254"/>
      <c r="R230" s="253"/>
      <c r="S230" s="259"/>
      <c r="T230" s="260"/>
      <c r="U230" s="260"/>
      <c r="V230" s="213"/>
      <c r="W230" s="213"/>
      <c r="X230" s="213"/>
      <c r="Y230" s="213"/>
      <c r="Z230" s="213"/>
      <c r="AA230" s="213"/>
      <c r="AB230" s="213"/>
      <c r="AC230" s="213"/>
      <c r="AD230" s="213"/>
      <c r="AE230" s="214"/>
    </row>
    <row r="231" spans="1:31" ht="13.5" customHeight="1">
      <c r="A231" s="291"/>
      <c r="B231" s="253"/>
      <c r="C231" s="253"/>
      <c r="D231" s="253"/>
      <c r="E231" s="253"/>
      <c r="F231" s="254"/>
      <c r="G231" s="253"/>
      <c r="H231" s="255"/>
      <c r="I231" s="298"/>
      <c r="J231" s="257"/>
      <c r="K231" s="256"/>
      <c r="L231" s="258"/>
      <c r="M231" s="253"/>
      <c r="N231" s="253"/>
      <c r="O231" s="253"/>
      <c r="P231" s="253"/>
      <c r="Q231" s="254"/>
      <c r="R231" s="253"/>
      <c r="S231" s="259"/>
      <c r="T231" s="260"/>
      <c r="U231" s="260"/>
      <c r="V231" s="213"/>
      <c r="W231" s="213"/>
      <c r="X231" s="213"/>
      <c r="Y231" s="213"/>
      <c r="Z231" s="213"/>
      <c r="AA231" s="213"/>
      <c r="AB231" s="213"/>
      <c r="AC231" s="213"/>
      <c r="AD231" s="213"/>
      <c r="AE231" s="214"/>
    </row>
    <row r="232" spans="1:31" ht="13.5" customHeight="1">
      <c r="A232" s="291"/>
      <c r="B232" s="253"/>
      <c r="C232" s="253"/>
      <c r="D232" s="253"/>
      <c r="E232" s="253"/>
      <c r="F232" s="254"/>
      <c r="G232" s="253"/>
      <c r="H232" s="255"/>
      <c r="I232" s="298"/>
      <c r="J232" s="257"/>
      <c r="K232" s="256"/>
      <c r="L232" s="258"/>
      <c r="M232" s="253"/>
      <c r="N232" s="253"/>
      <c r="O232" s="253"/>
      <c r="P232" s="253"/>
      <c r="Q232" s="254"/>
      <c r="R232" s="253"/>
      <c r="S232" s="259"/>
      <c r="T232" s="260"/>
      <c r="U232" s="260"/>
      <c r="V232" s="213"/>
      <c r="W232" s="213"/>
      <c r="X232" s="213"/>
      <c r="Y232" s="213"/>
      <c r="Z232" s="213"/>
      <c r="AA232" s="213"/>
      <c r="AB232" s="213"/>
      <c r="AC232" s="213"/>
      <c r="AD232" s="213"/>
      <c r="AE232" s="214"/>
    </row>
    <row r="233" spans="1:31" ht="13.5" customHeight="1">
      <c r="A233" s="291"/>
      <c r="B233" s="253"/>
      <c r="C233" s="253"/>
      <c r="D233" s="253"/>
      <c r="E233" s="253"/>
      <c r="F233" s="254"/>
      <c r="G233" s="253"/>
      <c r="H233" s="255"/>
      <c r="I233" s="298"/>
      <c r="J233" s="257"/>
      <c r="K233" s="256"/>
      <c r="L233" s="258"/>
      <c r="M233" s="253"/>
      <c r="N233" s="253"/>
      <c r="O233" s="253"/>
      <c r="P233" s="253"/>
      <c r="Q233" s="254"/>
      <c r="R233" s="253"/>
      <c r="S233" s="259"/>
      <c r="T233" s="260"/>
      <c r="U233" s="260"/>
      <c r="V233" s="213"/>
      <c r="W233" s="213"/>
      <c r="X233" s="213"/>
      <c r="Y233" s="213"/>
      <c r="Z233" s="213"/>
      <c r="AA233" s="213"/>
      <c r="AB233" s="213"/>
      <c r="AC233" s="213"/>
      <c r="AD233" s="213"/>
      <c r="AE233" s="214"/>
    </row>
    <row r="234" spans="1:31" ht="13.5" customHeight="1">
      <c r="A234" s="291"/>
      <c r="B234" s="253"/>
      <c r="C234" s="253"/>
      <c r="D234" s="253"/>
      <c r="E234" s="253"/>
      <c r="F234" s="254"/>
      <c r="G234" s="253"/>
      <c r="H234" s="255"/>
      <c r="I234" s="298"/>
      <c r="J234" s="257"/>
      <c r="K234" s="256"/>
      <c r="L234" s="258"/>
      <c r="M234" s="253"/>
      <c r="N234" s="253"/>
      <c r="O234" s="253"/>
      <c r="P234" s="253"/>
      <c r="Q234" s="254"/>
      <c r="R234" s="253"/>
      <c r="S234" s="259"/>
      <c r="T234" s="260"/>
      <c r="U234" s="260"/>
      <c r="V234" s="213"/>
      <c r="W234" s="213"/>
      <c r="X234" s="213"/>
      <c r="Y234" s="213"/>
      <c r="Z234" s="213"/>
      <c r="AA234" s="213"/>
      <c r="AB234" s="213"/>
      <c r="AC234" s="213"/>
      <c r="AD234" s="213"/>
      <c r="AE234" s="214"/>
    </row>
    <row r="235" spans="1:31" ht="13.5" customHeight="1">
      <c r="A235" s="291"/>
      <c r="B235" s="253"/>
      <c r="C235" s="253"/>
      <c r="D235" s="253"/>
      <c r="E235" s="253"/>
      <c r="F235" s="254"/>
      <c r="G235" s="253"/>
      <c r="H235" s="255"/>
      <c r="I235" s="298"/>
      <c r="J235" s="257"/>
      <c r="K235" s="256"/>
      <c r="L235" s="258"/>
      <c r="M235" s="253"/>
      <c r="N235" s="253"/>
      <c r="O235" s="253"/>
      <c r="P235" s="253"/>
      <c r="Q235" s="254"/>
      <c r="R235" s="253"/>
      <c r="S235" s="259"/>
      <c r="T235" s="260"/>
      <c r="U235" s="260"/>
      <c r="V235" s="213"/>
      <c r="W235" s="213"/>
      <c r="X235" s="213"/>
      <c r="Y235" s="213"/>
      <c r="Z235" s="213"/>
      <c r="AA235" s="213"/>
      <c r="AB235" s="213"/>
      <c r="AC235" s="213"/>
      <c r="AD235" s="213"/>
      <c r="AE235" s="214"/>
    </row>
    <row r="236" spans="1:31" ht="13.5" customHeight="1">
      <c r="A236" s="291"/>
      <c r="B236" s="253"/>
      <c r="C236" s="253"/>
      <c r="D236" s="253"/>
      <c r="E236" s="253"/>
      <c r="F236" s="254"/>
      <c r="G236" s="253"/>
      <c r="H236" s="255"/>
      <c r="I236" s="298"/>
      <c r="J236" s="257"/>
      <c r="K236" s="256"/>
      <c r="L236" s="258"/>
      <c r="M236" s="253"/>
      <c r="N236" s="253"/>
      <c r="O236" s="253"/>
      <c r="P236" s="253"/>
      <c r="Q236" s="254"/>
      <c r="R236" s="253"/>
      <c r="S236" s="259"/>
      <c r="T236" s="260"/>
      <c r="U236" s="260"/>
      <c r="V236" s="213"/>
      <c r="W236" s="213"/>
      <c r="X236" s="213"/>
      <c r="Y236" s="213"/>
      <c r="Z236" s="213"/>
      <c r="AA236" s="213"/>
      <c r="AB236" s="213"/>
      <c r="AC236" s="213"/>
      <c r="AD236" s="213"/>
      <c r="AE236" s="214"/>
    </row>
    <row r="237" spans="1:31" ht="13.5" customHeight="1">
      <c r="A237" s="291"/>
      <c r="B237" s="253"/>
      <c r="C237" s="253"/>
      <c r="D237" s="253"/>
      <c r="E237" s="253"/>
      <c r="F237" s="254"/>
      <c r="G237" s="253"/>
      <c r="H237" s="255"/>
      <c r="I237" s="298"/>
      <c r="J237" s="257"/>
      <c r="K237" s="256"/>
      <c r="L237" s="258"/>
      <c r="M237" s="253"/>
      <c r="N237" s="253"/>
      <c r="O237" s="253"/>
      <c r="P237" s="253"/>
      <c r="Q237" s="254"/>
      <c r="R237" s="253"/>
      <c r="S237" s="259"/>
      <c r="T237" s="260"/>
      <c r="U237" s="260"/>
      <c r="V237" s="213"/>
      <c r="W237" s="213"/>
      <c r="X237" s="213"/>
      <c r="Y237" s="213"/>
      <c r="Z237" s="213"/>
      <c r="AA237" s="213"/>
      <c r="AB237" s="213"/>
      <c r="AC237" s="213"/>
      <c r="AD237" s="213"/>
      <c r="AE237" s="214"/>
    </row>
    <row r="238" spans="1:31" ht="13.5" customHeight="1">
      <c r="A238" s="291"/>
      <c r="B238" s="253"/>
      <c r="C238" s="253"/>
      <c r="D238" s="253"/>
      <c r="E238" s="253"/>
      <c r="F238" s="254"/>
      <c r="G238" s="253"/>
      <c r="H238" s="255"/>
      <c r="I238" s="298"/>
      <c r="J238" s="257"/>
      <c r="K238" s="256"/>
      <c r="L238" s="258"/>
      <c r="M238" s="253"/>
      <c r="N238" s="253"/>
      <c r="O238" s="253"/>
      <c r="P238" s="253"/>
      <c r="Q238" s="254"/>
      <c r="R238" s="253"/>
      <c r="S238" s="259"/>
      <c r="T238" s="260"/>
      <c r="U238" s="260"/>
      <c r="V238" s="213"/>
      <c r="W238" s="213"/>
      <c r="X238" s="213"/>
      <c r="Y238" s="213"/>
      <c r="Z238" s="213"/>
      <c r="AA238" s="213"/>
      <c r="AB238" s="213"/>
      <c r="AC238" s="213"/>
      <c r="AD238" s="213"/>
      <c r="AE238" s="214"/>
    </row>
    <row r="239" spans="1:31" ht="13.5" customHeight="1">
      <c r="A239" s="291"/>
      <c r="B239" s="253"/>
      <c r="C239" s="253"/>
      <c r="D239" s="253"/>
      <c r="E239" s="253"/>
      <c r="F239" s="254"/>
      <c r="G239" s="253"/>
      <c r="H239" s="255"/>
      <c r="I239" s="298"/>
      <c r="J239" s="257"/>
      <c r="K239" s="256"/>
      <c r="L239" s="258"/>
      <c r="M239" s="253"/>
      <c r="N239" s="253"/>
      <c r="O239" s="253"/>
      <c r="P239" s="253"/>
      <c r="Q239" s="254"/>
      <c r="R239" s="253"/>
      <c r="S239" s="259"/>
      <c r="T239" s="260"/>
      <c r="U239" s="260"/>
      <c r="V239" s="213"/>
      <c r="W239" s="213"/>
      <c r="X239" s="213"/>
      <c r="Y239" s="213"/>
      <c r="Z239" s="213"/>
      <c r="AA239" s="213"/>
      <c r="AB239" s="213"/>
      <c r="AC239" s="213"/>
      <c r="AD239" s="213"/>
      <c r="AE239" s="214"/>
    </row>
    <row r="240" spans="1:31" ht="13.5" customHeight="1">
      <c r="A240" s="291"/>
      <c r="B240" s="253"/>
      <c r="C240" s="253"/>
      <c r="D240" s="253"/>
      <c r="E240" s="253"/>
      <c r="F240" s="254"/>
      <c r="G240" s="253"/>
      <c r="H240" s="255"/>
      <c r="I240" s="298"/>
      <c r="J240" s="257"/>
      <c r="K240" s="256"/>
      <c r="L240" s="258"/>
      <c r="M240" s="253"/>
      <c r="N240" s="253"/>
      <c r="O240" s="253"/>
      <c r="P240" s="253"/>
      <c r="Q240" s="254"/>
      <c r="R240" s="253"/>
      <c r="S240" s="259"/>
      <c r="T240" s="260"/>
      <c r="U240" s="260"/>
      <c r="V240" s="213"/>
      <c r="W240" s="213"/>
      <c r="X240" s="213"/>
      <c r="Y240" s="213"/>
      <c r="Z240" s="213"/>
      <c r="AA240" s="213"/>
      <c r="AB240" s="213"/>
      <c r="AC240" s="213"/>
      <c r="AD240" s="213"/>
      <c r="AE240" s="214"/>
    </row>
    <row r="241" spans="1:31" ht="13.5" customHeight="1">
      <c r="A241" s="291"/>
      <c r="B241" s="253"/>
      <c r="C241" s="253"/>
      <c r="D241" s="253"/>
      <c r="E241" s="253"/>
      <c r="F241" s="254"/>
      <c r="G241" s="253"/>
      <c r="H241" s="255"/>
      <c r="I241" s="298"/>
      <c r="J241" s="257"/>
      <c r="K241" s="256"/>
      <c r="L241" s="258"/>
      <c r="M241" s="253"/>
      <c r="N241" s="253"/>
      <c r="O241" s="253"/>
      <c r="P241" s="253"/>
      <c r="Q241" s="254"/>
      <c r="R241" s="253"/>
      <c r="S241" s="259"/>
      <c r="T241" s="260"/>
      <c r="U241" s="260"/>
      <c r="V241" s="213"/>
      <c r="W241" s="213"/>
      <c r="X241" s="213"/>
      <c r="Y241" s="213"/>
      <c r="Z241" s="213"/>
      <c r="AA241" s="213"/>
      <c r="AB241" s="213"/>
      <c r="AC241" s="213"/>
      <c r="AD241" s="213"/>
      <c r="AE241" s="214"/>
    </row>
    <row r="242" spans="1:31" ht="13.5" customHeight="1">
      <c r="A242" s="291"/>
      <c r="B242" s="253"/>
      <c r="C242" s="253"/>
      <c r="D242" s="253"/>
      <c r="E242" s="253"/>
      <c r="F242" s="254"/>
      <c r="G242" s="253"/>
      <c r="H242" s="255"/>
      <c r="I242" s="298"/>
      <c r="J242" s="257"/>
      <c r="K242" s="256"/>
      <c r="L242" s="258"/>
      <c r="M242" s="253"/>
      <c r="N242" s="253"/>
      <c r="O242" s="253"/>
      <c r="P242" s="253"/>
      <c r="Q242" s="254"/>
      <c r="R242" s="253"/>
      <c r="S242" s="259"/>
      <c r="T242" s="260"/>
      <c r="U242" s="260"/>
      <c r="V242" s="213"/>
      <c r="W242" s="213"/>
      <c r="X242" s="213"/>
      <c r="Y242" s="213"/>
      <c r="Z242" s="213"/>
      <c r="AA242" s="213"/>
      <c r="AB242" s="213"/>
      <c r="AC242" s="213"/>
      <c r="AD242" s="213"/>
      <c r="AE242" s="214"/>
    </row>
    <row r="243" spans="1:31" ht="13.5" customHeight="1">
      <c r="A243" s="291"/>
      <c r="B243" s="253"/>
      <c r="C243" s="253"/>
      <c r="D243" s="253"/>
      <c r="E243" s="253"/>
      <c r="F243" s="254"/>
      <c r="G243" s="253"/>
      <c r="H243" s="255"/>
      <c r="I243" s="298"/>
      <c r="J243" s="257"/>
      <c r="K243" s="256"/>
      <c r="L243" s="258"/>
      <c r="M243" s="253"/>
      <c r="N243" s="253"/>
      <c r="O243" s="253"/>
      <c r="P243" s="253"/>
      <c r="Q243" s="254"/>
      <c r="R243" s="253"/>
      <c r="S243" s="259"/>
      <c r="T243" s="260"/>
      <c r="U243" s="260"/>
      <c r="V243" s="213"/>
      <c r="W243" s="213"/>
      <c r="X243" s="213"/>
      <c r="Y243" s="213"/>
      <c r="Z243" s="213"/>
      <c r="AA243" s="213"/>
      <c r="AB243" s="213"/>
      <c r="AC243" s="213"/>
      <c r="AD243" s="213"/>
      <c r="AE243" s="214"/>
    </row>
    <row r="244" spans="1:31" ht="13.5" customHeight="1">
      <c r="A244" s="291"/>
      <c r="B244" s="253"/>
      <c r="C244" s="253"/>
      <c r="D244" s="253"/>
      <c r="E244" s="253"/>
      <c r="F244" s="254"/>
      <c r="G244" s="253"/>
      <c r="H244" s="255"/>
      <c r="I244" s="298"/>
      <c r="J244" s="257"/>
      <c r="K244" s="256"/>
      <c r="L244" s="258"/>
      <c r="M244" s="253"/>
      <c r="N244" s="253"/>
      <c r="O244" s="253"/>
      <c r="P244" s="253"/>
      <c r="Q244" s="254"/>
      <c r="R244" s="253"/>
      <c r="S244" s="259"/>
      <c r="T244" s="260"/>
      <c r="U244" s="260"/>
      <c r="V244" s="213"/>
      <c r="W244" s="213"/>
      <c r="X244" s="213"/>
      <c r="Y244" s="213"/>
      <c r="Z244" s="213"/>
      <c r="AA244" s="213"/>
      <c r="AB244" s="213"/>
      <c r="AC244" s="213"/>
      <c r="AD244" s="213"/>
      <c r="AE244" s="214"/>
    </row>
    <row r="245" spans="1:31" ht="15.75" customHeight="1">
      <c r="A245" s="293"/>
      <c r="B245" s="267"/>
      <c r="C245" s="267"/>
      <c r="D245" s="267"/>
      <c r="E245" s="267"/>
      <c r="F245" s="267"/>
      <c r="G245" s="267"/>
      <c r="H245" s="268"/>
      <c r="I245" s="300"/>
      <c r="J245" s="269"/>
      <c r="K245" s="267"/>
      <c r="L245" s="270"/>
      <c r="M245" s="267"/>
      <c r="N245" s="267"/>
      <c r="O245" s="267"/>
      <c r="P245" s="267"/>
      <c r="Q245" s="254"/>
      <c r="R245" s="267"/>
      <c r="S245" s="259"/>
      <c r="T245" s="271"/>
      <c r="U245" s="271"/>
      <c r="V245" s="214"/>
      <c r="W245" s="214"/>
      <c r="X245" s="214"/>
      <c r="Y245" s="214"/>
      <c r="Z245" s="214"/>
      <c r="AA245" s="214"/>
      <c r="AB245" s="214"/>
      <c r="AC245" s="214"/>
      <c r="AD245" s="214"/>
      <c r="AE245" s="214"/>
    </row>
    <row r="246" spans="1:31" ht="15.75" customHeight="1">
      <c r="A246" s="216"/>
      <c r="B246" s="216"/>
      <c r="C246" s="216"/>
      <c r="D246" s="216"/>
      <c r="E246" s="216"/>
      <c r="F246" s="216"/>
      <c r="G246" s="216"/>
      <c r="H246" s="217"/>
      <c r="I246" s="295"/>
      <c r="J246" s="218"/>
      <c r="K246" s="216"/>
      <c r="L246" s="219"/>
      <c r="M246" s="216"/>
      <c r="N246" s="216"/>
      <c r="O246" s="216"/>
      <c r="P246" s="216"/>
      <c r="Q246" s="312"/>
      <c r="R246" s="216"/>
      <c r="S246" s="220"/>
      <c r="T246" s="221"/>
      <c r="U246" s="221"/>
      <c r="V246" s="214"/>
      <c r="W246" s="214"/>
      <c r="X246" s="214"/>
      <c r="Y246" s="214"/>
      <c r="Z246" s="214"/>
      <c r="AA246" s="214"/>
      <c r="AB246" s="214"/>
      <c r="AC246" s="214"/>
      <c r="AD246" s="214"/>
      <c r="AE246" s="214"/>
    </row>
    <row r="247" spans="1:31" ht="15.75" customHeight="1">
      <c r="A247" s="216"/>
      <c r="B247" s="216"/>
      <c r="C247" s="216"/>
      <c r="D247" s="216"/>
      <c r="E247" s="216"/>
      <c r="F247" s="216"/>
      <c r="G247" s="216"/>
      <c r="H247" s="217"/>
      <c r="I247" s="295"/>
      <c r="J247" s="218"/>
      <c r="K247" s="216"/>
      <c r="L247" s="219"/>
      <c r="M247" s="216"/>
      <c r="N247" s="216"/>
      <c r="O247" s="216"/>
      <c r="P247" s="216"/>
      <c r="Q247" s="312"/>
      <c r="R247" s="216"/>
      <c r="S247" s="220"/>
      <c r="T247" s="221"/>
      <c r="U247" s="221"/>
      <c r="V247" s="214"/>
      <c r="W247" s="214"/>
      <c r="X247" s="214"/>
      <c r="Y247" s="214"/>
      <c r="Z247" s="214"/>
      <c r="AA247" s="214"/>
      <c r="AB247" s="214"/>
      <c r="AC247" s="214"/>
      <c r="AD247" s="214"/>
      <c r="AE247" s="214"/>
    </row>
    <row r="248" spans="1:31" ht="15.75" customHeight="1">
      <c r="H248" s="272"/>
      <c r="J248" s="252"/>
      <c r="L248" s="273"/>
      <c r="S248" s="264"/>
      <c r="T248" s="274"/>
      <c r="U248" s="274"/>
    </row>
    <row r="249" spans="1:31" ht="15.75" customHeight="1">
      <c r="H249" s="272"/>
      <c r="J249" s="252"/>
      <c r="L249" s="273"/>
      <c r="S249" s="264"/>
      <c r="T249" s="274"/>
      <c r="U249" s="274"/>
    </row>
    <row r="250" spans="1:31" ht="15.75" customHeight="1">
      <c r="H250" s="272"/>
      <c r="J250" s="252"/>
      <c r="L250" s="273"/>
      <c r="S250" s="264"/>
      <c r="T250" s="274"/>
      <c r="U250" s="274"/>
    </row>
    <row r="251" spans="1:31" ht="15.75" customHeight="1">
      <c r="H251" s="272"/>
      <c r="J251" s="252"/>
      <c r="L251" s="273"/>
      <c r="S251" s="264"/>
      <c r="T251" s="274"/>
      <c r="U251" s="274"/>
    </row>
    <row r="252" spans="1:31" ht="15.75" customHeight="1">
      <c r="H252" s="272"/>
      <c r="J252" s="252"/>
      <c r="L252" s="273"/>
      <c r="S252" s="264"/>
      <c r="T252" s="274"/>
      <c r="U252" s="274"/>
    </row>
    <row r="253" spans="1:31" ht="15.75" customHeight="1">
      <c r="H253" s="272"/>
      <c r="J253" s="252"/>
      <c r="L253" s="273"/>
      <c r="S253" s="264"/>
      <c r="T253" s="274"/>
      <c r="U253" s="274"/>
    </row>
    <row r="254" spans="1:31" ht="15.75" customHeight="1">
      <c r="H254" s="272"/>
      <c r="J254" s="252"/>
      <c r="L254" s="273"/>
      <c r="S254" s="264"/>
      <c r="T254" s="274"/>
      <c r="U254" s="274"/>
    </row>
    <row r="255" spans="1:31" ht="15.75" customHeight="1">
      <c r="H255" s="272"/>
      <c r="J255" s="252"/>
      <c r="L255" s="273"/>
      <c r="S255" s="264"/>
      <c r="T255" s="274"/>
      <c r="U255" s="274"/>
    </row>
    <row r="256" spans="1:31" ht="15.75" customHeight="1">
      <c r="H256" s="272"/>
      <c r="J256" s="252"/>
      <c r="L256" s="273"/>
      <c r="S256" s="264"/>
      <c r="T256" s="274"/>
      <c r="U256" s="274"/>
    </row>
    <row r="257" spans="8:21" ht="15.75" customHeight="1">
      <c r="H257" s="272"/>
      <c r="J257" s="252"/>
      <c r="L257" s="273"/>
      <c r="S257" s="264"/>
      <c r="T257" s="274"/>
      <c r="U257" s="274"/>
    </row>
    <row r="258" spans="8:21" ht="15.75" customHeight="1">
      <c r="H258" s="272"/>
      <c r="J258" s="252"/>
      <c r="L258" s="273"/>
      <c r="S258" s="264"/>
      <c r="T258" s="274"/>
      <c r="U258" s="274"/>
    </row>
    <row r="259" spans="8:21" ht="15.75" customHeight="1">
      <c r="H259" s="272"/>
      <c r="J259" s="252"/>
      <c r="L259" s="273"/>
      <c r="S259" s="264"/>
      <c r="T259" s="274"/>
      <c r="U259" s="274"/>
    </row>
    <row r="260" spans="8:21" ht="15.75" customHeight="1">
      <c r="H260" s="272"/>
      <c r="J260" s="252"/>
      <c r="L260" s="273"/>
      <c r="S260" s="264"/>
      <c r="T260" s="274"/>
      <c r="U260" s="274"/>
    </row>
    <row r="261" spans="8:21" ht="15.75" customHeight="1">
      <c r="H261" s="272"/>
      <c r="J261" s="252"/>
      <c r="L261" s="273"/>
      <c r="S261" s="264"/>
      <c r="T261" s="274"/>
      <c r="U261" s="274"/>
    </row>
    <row r="262" spans="8:21" ht="15.75" customHeight="1">
      <c r="H262" s="272"/>
      <c r="J262" s="252"/>
      <c r="L262" s="273"/>
      <c r="S262" s="264"/>
      <c r="T262" s="274"/>
      <c r="U262" s="274"/>
    </row>
    <row r="263" spans="8:21" ht="15.75" customHeight="1">
      <c r="H263" s="272"/>
      <c r="J263" s="252"/>
      <c r="L263" s="273"/>
      <c r="S263" s="264"/>
      <c r="T263" s="274"/>
      <c r="U263" s="274"/>
    </row>
    <row r="264" spans="8:21" ht="15.75" customHeight="1">
      <c r="H264" s="272"/>
      <c r="J264" s="252"/>
      <c r="L264" s="273"/>
      <c r="S264" s="264"/>
      <c r="T264" s="274"/>
      <c r="U264" s="274"/>
    </row>
    <row r="265" spans="8:21" ht="15.75" customHeight="1">
      <c r="H265" s="272"/>
      <c r="J265" s="252"/>
      <c r="L265" s="273"/>
      <c r="S265" s="264"/>
      <c r="T265" s="274"/>
      <c r="U265" s="274"/>
    </row>
    <row r="266" spans="8:21" ht="15.75" customHeight="1">
      <c r="H266" s="272"/>
      <c r="J266" s="252"/>
      <c r="L266" s="273"/>
      <c r="S266" s="264"/>
      <c r="T266" s="274"/>
      <c r="U266" s="274"/>
    </row>
    <row r="267" spans="8:21" ht="15.75" customHeight="1">
      <c r="H267" s="272"/>
      <c r="J267" s="252"/>
      <c r="L267" s="273"/>
      <c r="S267" s="264"/>
      <c r="T267" s="274"/>
      <c r="U267" s="274"/>
    </row>
    <row r="268" spans="8:21" ht="15.75" customHeight="1">
      <c r="H268" s="272"/>
      <c r="J268" s="252"/>
      <c r="L268" s="273"/>
      <c r="S268" s="264"/>
      <c r="T268" s="274"/>
      <c r="U268" s="274"/>
    </row>
    <row r="269" spans="8:21" ht="15.75" customHeight="1">
      <c r="H269" s="272"/>
      <c r="J269" s="252"/>
      <c r="L269" s="273"/>
      <c r="S269" s="264"/>
      <c r="T269" s="274"/>
      <c r="U269" s="274"/>
    </row>
    <row r="270" spans="8:21" ht="15.75" customHeight="1">
      <c r="H270" s="272"/>
      <c r="J270" s="252"/>
      <c r="L270" s="273"/>
      <c r="S270" s="264"/>
      <c r="T270" s="274"/>
      <c r="U270" s="274"/>
    </row>
    <row r="271" spans="8:21" ht="15.75" customHeight="1">
      <c r="H271" s="272"/>
      <c r="J271" s="252"/>
      <c r="L271" s="273"/>
      <c r="S271" s="264"/>
      <c r="T271" s="274"/>
      <c r="U271" s="274"/>
    </row>
    <row r="272" spans="8:21" ht="15.75" customHeight="1">
      <c r="H272" s="272"/>
      <c r="J272" s="252"/>
      <c r="L272" s="273"/>
      <c r="S272" s="264"/>
      <c r="T272" s="274"/>
      <c r="U272" s="274"/>
    </row>
    <row r="273" spans="8:21" ht="15.75" customHeight="1">
      <c r="H273" s="272"/>
      <c r="J273" s="252"/>
      <c r="L273" s="273"/>
      <c r="S273" s="264"/>
      <c r="T273" s="274"/>
      <c r="U273" s="274"/>
    </row>
    <row r="274" spans="8:21" ht="15.75" customHeight="1">
      <c r="H274" s="272"/>
      <c r="J274" s="252"/>
      <c r="L274" s="273"/>
      <c r="S274" s="264"/>
      <c r="T274" s="274"/>
      <c r="U274" s="274"/>
    </row>
    <row r="275" spans="8:21" ht="15.75" customHeight="1">
      <c r="H275" s="272"/>
      <c r="J275" s="252"/>
      <c r="L275" s="273"/>
      <c r="S275" s="264"/>
      <c r="T275" s="274"/>
      <c r="U275" s="274"/>
    </row>
    <row r="276" spans="8:21" ht="15.75" customHeight="1">
      <c r="H276" s="272"/>
      <c r="J276" s="252"/>
      <c r="L276" s="273"/>
      <c r="S276" s="264"/>
      <c r="T276" s="274"/>
      <c r="U276" s="274"/>
    </row>
    <row r="277" spans="8:21" ht="15.75" customHeight="1">
      <c r="H277" s="272"/>
      <c r="J277" s="252"/>
      <c r="L277" s="273"/>
      <c r="S277" s="264"/>
      <c r="T277" s="274"/>
      <c r="U277" s="274"/>
    </row>
    <row r="278" spans="8:21" ht="15.75" customHeight="1">
      <c r="H278" s="272"/>
      <c r="J278" s="252"/>
      <c r="L278" s="273"/>
      <c r="S278" s="264"/>
      <c r="T278" s="274"/>
      <c r="U278" s="274"/>
    </row>
    <row r="279" spans="8:21" ht="15.75" customHeight="1">
      <c r="H279" s="272"/>
      <c r="J279" s="252"/>
      <c r="L279" s="273"/>
      <c r="S279" s="264"/>
      <c r="T279" s="274"/>
      <c r="U279" s="274"/>
    </row>
    <row r="280" spans="8:21" ht="15.75" customHeight="1">
      <c r="H280" s="272"/>
      <c r="J280" s="252"/>
      <c r="L280" s="273"/>
      <c r="S280" s="264"/>
      <c r="T280" s="274"/>
      <c r="U280" s="274"/>
    </row>
    <row r="281" spans="8:21" ht="15.75" customHeight="1">
      <c r="H281" s="272"/>
      <c r="J281" s="252"/>
      <c r="L281" s="273"/>
      <c r="S281" s="264"/>
      <c r="T281" s="274"/>
      <c r="U281" s="274"/>
    </row>
    <row r="282" spans="8:21" ht="15.75" customHeight="1">
      <c r="H282" s="272"/>
      <c r="J282" s="252"/>
      <c r="L282" s="273"/>
      <c r="S282" s="264"/>
      <c r="T282" s="274"/>
      <c r="U282" s="274"/>
    </row>
    <row r="283" spans="8:21" ht="15.75" customHeight="1">
      <c r="H283" s="272"/>
      <c r="J283" s="252"/>
      <c r="L283" s="273"/>
      <c r="S283" s="264"/>
      <c r="T283" s="274"/>
      <c r="U283" s="274"/>
    </row>
    <row r="284" spans="8:21" ht="15.75" customHeight="1">
      <c r="H284" s="272"/>
      <c r="J284" s="252"/>
      <c r="L284" s="273"/>
      <c r="S284" s="264"/>
      <c r="T284" s="274"/>
      <c r="U284" s="274"/>
    </row>
    <row r="285" spans="8:21" ht="15.75" customHeight="1">
      <c r="H285" s="272"/>
      <c r="J285" s="252"/>
      <c r="L285" s="273"/>
      <c r="S285" s="264"/>
      <c r="T285" s="274"/>
      <c r="U285" s="274"/>
    </row>
    <row r="286" spans="8:21" ht="15.75" customHeight="1">
      <c r="H286" s="272"/>
      <c r="J286" s="252"/>
      <c r="L286" s="273"/>
      <c r="S286" s="264"/>
      <c r="T286" s="274"/>
      <c r="U286" s="274"/>
    </row>
    <row r="287" spans="8:21" ht="15.75" customHeight="1">
      <c r="H287" s="272"/>
      <c r="J287" s="252"/>
      <c r="L287" s="273"/>
      <c r="S287" s="264"/>
      <c r="T287" s="274"/>
      <c r="U287" s="274"/>
    </row>
    <row r="288" spans="8:21" ht="15.75" customHeight="1">
      <c r="H288" s="272"/>
      <c r="J288" s="252"/>
      <c r="L288" s="273"/>
      <c r="S288" s="264"/>
      <c r="T288" s="274"/>
      <c r="U288" s="274"/>
    </row>
    <row r="289" spans="8:21" ht="15.75" customHeight="1">
      <c r="H289" s="272"/>
      <c r="J289" s="252"/>
      <c r="L289" s="273"/>
      <c r="S289" s="264"/>
      <c r="T289" s="274"/>
      <c r="U289" s="274"/>
    </row>
    <row r="290" spans="8:21" ht="15.75" customHeight="1">
      <c r="H290" s="272"/>
      <c r="J290" s="252"/>
      <c r="L290" s="273"/>
      <c r="S290" s="264"/>
      <c r="T290" s="274"/>
      <c r="U290" s="274"/>
    </row>
    <row r="291" spans="8:21" ht="15.75" customHeight="1">
      <c r="H291" s="272"/>
      <c r="J291" s="252"/>
      <c r="L291" s="273"/>
      <c r="S291" s="264"/>
      <c r="T291" s="274"/>
      <c r="U291" s="274"/>
    </row>
    <row r="292" spans="8:21" ht="15.75" customHeight="1">
      <c r="H292" s="272"/>
      <c r="J292" s="252"/>
      <c r="L292" s="273"/>
      <c r="S292" s="264"/>
      <c r="T292" s="274"/>
      <c r="U292" s="274"/>
    </row>
    <row r="293" spans="8:21" ht="15.75" customHeight="1">
      <c r="H293" s="272"/>
      <c r="J293" s="252"/>
      <c r="L293" s="273"/>
      <c r="S293" s="264"/>
      <c r="T293" s="274"/>
      <c r="U293" s="274"/>
    </row>
    <row r="294" spans="8:21" ht="15.75" customHeight="1">
      <c r="H294" s="272"/>
      <c r="J294" s="252"/>
      <c r="L294" s="273"/>
      <c r="S294" s="264"/>
      <c r="T294" s="274"/>
      <c r="U294" s="274"/>
    </row>
    <row r="295" spans="8:21" ht="15.75" customHeight="1">
      <c r="H295" s="272"/>
      <c r="J295" s="252"/>
      <c r="L295" s="273"/>
      <c r="S295" s="264"/>
      <c r="T295" s="274"/>
      <c r="U295" s="274"/>
    </row>
    <row r="296" spans="8:21" ht="15.75" customHeight="1">
      <c r="H296" s="272"/>
      <c r="J296" s="252"/>
      <c r="L296" s="273"/>
      <c r="S296" s="264"/>
      <c r="T296" s="274"/>
      <c r="U296" s="274"/>
    </row>
    <row r="297" spans="8:21" ht="15.75" customHeight="1">
      <c r="H297" s="272"/>
      <c r="J297" s="252"/>
      <c r="L297" s="273"/>
      <c r="S297" s="264"/>
      <c r="T297" s="274"/>
      <c r="U297" s="274"/>
    </row>
    <row r="298" spans="8:21" ht="15.75" customHeight="1">
      <c r="H298" s="272"/>
      <c r="J298" s="252"/>
      <c r="L298" s="273"/>
      <c r="S298" s="264"/>
      <c r="T298" s="274"/>
      <c r="U298" s="274"/>
    </row>
    <row r="299" spans="8:21" ht="15.75" customHeight="1">
      <c r="H299" s="272"/>
      <c r="J299" s="252"/>
      <c r="L299" s="273"/>
      <c r="S299" s="264"/>
      <c r="T299" s="274"/>
      <c r="U299" s="274"/>
    </row>
    <row r="300" spans="8:21" ht="15.75" customHeight="1">
      <c r="H300" s="272"/>
      <c r="J300" s="252"/>
      <c r="L300" s="273"/>
      <c r="S300" s="264"/>
      <c r="T300" s="274"/>
      <c r="U300" s="274"/>
    </row>
    <row r="301" spans="8:21" ht="15.75" customHeight="1">
      <c r="H301" s="272"/>
      <c r="J301" s="252"/>
      <c r="L301" s="273"/>
      <c r="S301" s="264"/>
      <c r="T301" s="274"/>
      <c r="U301" s="274"/>
    </row>
    <row r="302" spans="8:21" ht="15.75" customHeight="1">
      <c r="H302" s="272"/>
      <c r="J302" s="252"/>
      <c r="L302" s="273"/>
      <c r="S302" s="264"/>
      <c r="T302" s="274"/>
      <c r="U302" s="274"/>
    </row>
    <row r="303" spans="8:21" ht="15.75" customHeight="1">
      <c r="H303" s="272"/>
      <c r="J303" s="252"/>
      <c r="L303" s="273"/>
      <c r="S303" s="264"/>
      <c r="T303" s="274"/>
      <c r="U303" s="274"/>
    </row>
    <row r="304" spans="8:21" ht="15.75" customHeight="1">
      <c r="H304" s="272"/>
      <c r="J304" s="252"/>
      <c r="L304" s="273"/>
      <c r="S304" s="264"/>
      <c r="T304" s="274"/>
      <c r="U304" s="274"/>
    </row>
    <row r="305" spans="8:21" ht="15.75" customHeight="1">
      <c r="H305" s="272"/>
      <c r="J305" s="252"/>
      <c r="L305" s="273"/>
      <c r="S305" s="264"/>
      <c r="T305" s="274"/>
      <c r="U305" s="274"/>
    </row>
    <row r="306" spans="8:21" ht="15.75" customHeight="1">
      <c r="H306" s="272"/>
      <c r="J306" s="252"/>
      <c r="L306" s="273"/>
      <c r="S306" s="264"/>
      <c r="T306" s="274"/>
      <c r="U306" s="274"/>
    </row>
    <row r="307" spans="8:21" ht="15.75" customHeight="1">
      <c r="H307" s="272"/>
      <c r="J307" s="252"/>
      <c r="L307" s="273"/>
      <c r="S307" s="264"/>
      <c r="T307" s="274"/>
      <c r="U307" s="274"/>
    </row>
    <row r="308" spans="8:21" ht="15.75" customHeight="1">
      <c r="H308" s="272"/>
      <c r="J308" s="252"/>
      <c r="L308" s="273"/>
      <c r="S308" s="264"/>
      <c r="T308" s="274"/>
      <c r="U308" s="274"/>
    </row>
    <row r="309" spans="8:21" ht="15.75" customHeight="1">
      <c r="H309" s="272"/>
      <c r="J309" s="252"/>
      <c r="L309" s="273"/>
      <c r="S309" s="264"/>
      <c r="T309" s="274"/>
      <c r="U309" s="274"/>
    </row>
    <row r="310" spans="8:21" ht="15.75" customHeight="1">
      <c r="H310" s="272"/>
      <c r="J310" s="252"/>
      <c r="L310" s="273"/>
      <c r="S310" s="264"/>
      <c r="T310" s="274"/>
      <c r="U310" s="274"/>
    </row>
    <row r="311" spans="8:21" ht="15.75" customHeight="1">
      <c r="H311" s="272"/>
      <c r="J311" s="252"/>
      <c r="L311" s="273"/>
      <c r="S311" s="264"/>
      <c r="T311" s="274"/>
      <c r="U311" s="274"/>
    </row>
    <row r="312" spans="8:21" ht="15.75" customHeight="1">
      <c r="H312" s="272"/>
      <c r="J312" s="252"/>
      <c r="L312" s="273"/>
      <c r="S312" s="264"/>
      <c r="T312" s="274"/>
      <c r="U312" s="274"/>
    </row>
    <row r="313" spans="8:21" ht="15.75" customHeight="1">
      <c r="H313" s="272"/>
      <c r="J313" s="252"/>
      <c r="L313" s="273"/>
      <c r="S313" s="264"/>
      <c r="T313" s="274"/>
      <c r="U313" s="274"/>
    </row>
    <row r="314" spans="8:21" ht="15.75" customHeight="1">
      <c r="H314" s="272"/>
      <c r="J314" s="252"/>
      <c r="L314" s="273"/>
      <c r="S314" s="264"/>
      <c r="T314" s="274"/>
      <c r="U314" s="274"/>
    </row>
    <row r="315" spans="8:21" ht="15.75" customHeight="1">
      <c r="H315" s="272"/>
      <c r="J315" s="252"/>
      <c r="L315" s="273"/>
      <c r="S315" s="264"/>
      <c r="T315" s="274"/>
      <c r="U315" s="274"/>
    </row>
    <row r="316" spans="8:21" ht="15.75" customHeight="1">
      <c r="H316" s="272"/>
      <c r="J316" s="252"/>
      <c r="L316" s="273"/>
      <c r="S316" s="264"/>
      <c r="T316" s="274"/>
      <c r="U316" s="274"/>
    </row>
    <row r="317" spans="8:21" ht="15.75" customHeight="1">
      <c r="H317" s="272"/>
      <c r="J317" s="252"/>
      <c r="L317" s="273"/>
      <c r="S317" s="264"/>
      <c r="T317" s="274"/>
      <c r="U317" s="274"/>
    </row>
    <row r="318" spans="8:21" ht="15.75" customHeight="1">
      <c r="H318" s="272"/>
      <c r="J318" s="252"/>
      <c r="L318" s="273"/>
      <c r="S318" s="264"/>
      <c r="T318" s="274"/>
      <c r="U318" s="274"/>
    </row>
    <row r="319" spans="8:21" ht="15.75" customHeight="1">
      <c r="H319" s="272"/>
      <c r="J319" s="252"/>
      <c r="L319" s="273"/>
      <c r="S319" s="264"/>
      <c r="T319" s="274"/>
      <c r="U319" s="274"/>
    </row>
    <row r="320" spans="8:21" ht="15.75" customHeight="1">
      <c r="H320" s="272"/>
      <c r="J320" s="252"/>
      <c r="L320" s="273"/>
      <c r="S320" s="264"/>
      <c r="T320" s="274"/>
      <c r="U320" s="274"/>
    </row>
    <row r="321" spans="8:21" ht="15.75" customHeight="1">
      <c r="H321" s="272"/>
      <c r="J321" s="252"/>
      <c r="L321" s="273"/>
      <c r="S321" s="264"/>
      <c r="T321" s="274"/>
      <c r="U321" s="274"/>
    </row>
    <row r="322" spans="8:21" ht="15.75" customHeight="1">
      <c r="H322" s="272"/>
      <c r="J322" s="252"/>
      <c r="L322" s="273"/>
      <c r="S322" s="264"/>
      <c r="T322" s="274"/>
      <c r="U322" s="274"/>
    </row>
    <row r="323" spans="8:21" ht="15.75" customHeight="1">
      <c r="H323" s="272"/>
      <c r="J323" s="252"/>
      <c r="L323" s="273"/>
      <c r="S323" s="264"/>
      <c r="T323" s="274"/>
      <c r="U323" s="274"/>
    </row>
    <row r="324" spans="8:21" ht="15.75" customHeight="1">
      <c r="H324" s="272"/>
      <c r="J324" s="252"/>
      <c r="L324" s="273"/>
      <c r="S324" s="264"/>
      <c r="T324" s="274"/>
      <c r="U324" s="274"/>
    </row>
    <row r="325" spans="8:21" ht="15.75" customHeight="1">
      <c r="H325" s="272"/>
      <c r="J325" s="252"/>
      <c r="L325" s="273"/>
      <c r="S325" s="264"/>
      <c r="T325" s="274"/>
      <c r="U325" s="274"/>
    </row>
    <row r="326" spans="8:21" ht="15.75" customHeight="1">
      <c r="H326" s="272"/>
      <c r="J326" s="252"/>
      <c r="L326" s="273"/>
      <c r="S326" s="264"/>
      <c r="T326" s="274"/>
      <c r="U326" s="274"/>
    </row>
    <row r="327" spans="8:21" ht="15.75" customHeight="1">
      <c r="H327" s="272"/>
      <c r="J327" s="252"/>
      <c r="L327" s="273"/>
      <c r="S327" s="264"/>
      <c r="T327" s="274"/>
      <c r="U327" s="274"/>
    </row>
    <row r="328" spans="8:21" ht="15.75" customHeight="1">
      <c r="H328" s="272"/>
      <c r="J328" s="252"/>
      <c r="L328" s="273"/>
      <c r="S328" s="264"/>
      <c r="T328" s="274"/>
      <c r="U328" s="274"/>
    </row>
    <row r="329" spans="8:21" ht="15.75" customHeight="1">
      <c r="H329" s="272"/>
      <c r="J329" s="252"/>
      <c r="L329" s="273"/>
      <c r="S329" s="264"/>
      <c r="T329" s="274"/>
      <c r="U329" s="274"/>
    </row>
    <row r="330" spans="8:21" ht="15.75" customHeight="1">
      <c r="H330" s="272"/>
      <c r="J330" s="252"/>
      <c r="L330" s="273"/>
      <c r="S330" s="264"/>
      <c r="T330" s="274"/>
      <c r="U330" s="274"/>
    </row>
    <row r="331" spans="8:21" ht="15.75" customHeight="1">
      <c r="H331" s="272"/>
      <c r="J331" s="252"/>
      <c r="L331" s="273"/>
      <c r="S331" s="264"/>
      <c r="T331" s="274"/>
      <c r="U331" s="274"/>
    </row>
    <row r="332" spans="8:21" ht="15.75" customHeight="1">
      <c r="H332" s="272"/>
      <c r="J332" s="252"/>
      <c r="L332" s="273"/>
      <c r="S332" s="264"/>
      <c r="T332" s="274"/>
      <c r="U332" s="274"/>
    </row>
    <row r="333" spans="8:21" ht="15.75" customHeight="1">
      <c r="H333" s="272"/>
      <c r="J333" s="252"/>
      <c r="L333" s="273"/>
      <c r="S333" s="264"/>
      <c r="T333" s="274"/>
      <c r="U333" s="274"/>
    </row>
    <row r="334" spans="8:21" ht="15.75" customHeight="1">
      <c r="H334" s="272"/>
      <c r="J334" s="252"/>
      <c r="L334" s="273"/>
      <c r="S334" s="264"/>
      <c r="T334" s="274"/>
      <c r="U334" s="274"/>
    </row>
    <row r="335" spans="8:21" ht="15.75" customHeight="1">
      <c r="H335" s="272"/>
      <c r="J335" s="252"/>
      <c r="L335" s="273"/>
      <c r="S335" s="264"/>
      <c r="T335" s="274"/>
      <c r="U335" s="274"/>
    </row>
    <row r="336" spans="8:21" ht="15.75" customHeight="1">
      <c r="H336" s="272"/>
      <c r="J336" s="252"/>
      <c r="L336" s="273"/>
      <c r="S336" s="264"/>
      <c r="T336" s="274"/>
      <c r="U336" s="274"/>
    </row>
    <row r="337" spans="8:21" ht="15.75" customHeight="1">
      <c r="H337" s="272"/>
      <c r="J337" s="252"/>
      <c r="L337" s="273"/>
      <c r="S337" s="264"/>
      <c r="T337" s="274"/>
      <c r="U337" s="274"/>
    </row>
    <row r="338" spans="8:21" ht="15.75" customHeight="1">
      <c r="H338" s="272"/>
      <c r="J338" s="252"/>
      <c r="L338" s="273"/>
      <c r="S338" s="264"/>
      <c r="T338" s="274"/>
      <c r="U338" s="274"/>
    </row>
    <row r="339" spans="8:21" ht="15.75" customHeight="1">
      <c r="H339" s="272"/>
      <c r="J339" s="252"/>
      <c r="L339" s="273"/>
      <c r="S339" s="264"/>
      <c r="T339" s="274"/>
      <c r="U339" s="274"/>
    </row>
    <row r="340" spans="8:21" ht="15.75" customHeight="1">
      <c r="H340" s="272"/>
      <c r="J340" s="252"/>
      <c r="L340" s="273"/>
      <c r="S340" s="264"/>
      <c r="T340" s="274"/>
      <c r="U340" s="274"/>
    </row>
    <row r="341" spans="8:21" ht="15.75" customHeight="1">
      <c r="H341" s="272"/>
      <c r="J341" s="252"/>
      <c r="L341" s="273"/>
      <c r="S341" s="264"/>
      <c r="T341" s="274"/>
      <c r="U341" s="274"/>
    </row>
    <row r="342" spans="8:21" ht="15.75" customHeight="1">
      <c r="H342" s="272"/>
      <c r="J342" s="252"/>
      <c r="L342" s="273"/>
      <c r="S342" s="264"/>
      <c r="T342" s="274"/>
      <c r="U342" s="274"/>
    </row>
    <row r="343" spans="8:21" ht="15.75" customHeight="1">
      <c r="H343" s="272"/>
      <c r="J343" s="252"/>
      <c r="L343" s="273"/>
      <c r="S343" s="264"/>
      <c r="T343" s="274"/>
      <c r="U343" s="274"/>
    </row>
    <row r="344" spans="8:21" ht="15.75" customHeight="1">
      <c r="H344" s="272"/>
      <c r="J344" s="252"/>
      <c r="L344" s="273"/>
      <c r="S344" s="264"/>
      <c r="T344" s="274"/>
      <c r="U344" s="274"/>
    </row>
    <row r="345" spans="8:21" ht="15.75" customHeight="1">
      <c r="H345" s="272"/>
      <c r="J345" s="252"/>
      <c r="L345" s="273"/>
      <c r="S345" s="264"/>
      <c r="T345" s="274"/>
      <c r="U345" s="274"/>
    </row>
    <row r="346" spans="8:21" ht="15.75" customHeight="1">
      <c r="H346" s="272"/>
      <c r="J346" s="252"/>
      <c r="L346" s="273"/>
      <c r="S346" s="264"/>
      <c r="T346" s="274"/>
      <c r="U346" s="274"/>
    </row>
    <row r="347" spans="8:21" ht="15.75" customHeight="1">
      <c r="H347" s="272"/>
      <c r="J347" s="252"/>
      <c r="L347" s="273"/>
      <c r="S347" s="264"/>
      <c r="T347" s="274"/>
      <c r="U347" s="274"/>
    </row>
    <row r="348" spans="8:21" ht="15.75" customHeight="1">
      <c r="H348" s="272"/>
      <c r="J348" s="252"/>
      <c r="L348" s="273"/>
      <c r="S348" s="264"/>
      <c r="T348" s="274"/>
      <c r="U348" s="274"/>
    </row>
    <row r="349" spans="8:21" ht="15.75" customHeight="1">
      <c r="H349" s="272"/>
      <c r="J349" s="252"/>
      <c r="L349" s="273"/>
      <c r="S349" s="264"/>
      <c r="T349" s="274"/>
      <c r="U349" s="274"/>
    </row>
    <row r="350" spans="8:21" ht="15.75" customHeight="1">
      <c r="H350" s="272"/>
      <c r="J350" s="252"/>
      <c r="L350" s="273"/>
      <c r="S350" s="264"/>
      <c r="T350" s="274"/>
      <c r="U350" s="274"/>
    </row>
    <row r="351" spans="8:21" ht="15.75" customHeight="1">
      <c r="H351" s="272"/>
      <c r="J351" s="252"/>
      <c r="L351" s="273"/>
      <c r="S351" s="264"/>
      <c r="T351" s="274"/>
      <c r="U351" s="274"/>
    </row>
    <row r="352" spans="8:21" ht="15.75" customHeight="1">
      <c r="H352" s="272"/>
      <c r="J352" s="252"/>
      <c r="L352" s="273"/>
      <c r="S352" s="264"/>
      <c r="T352" s="274"/>
      <c r="U352" s="274"/>
    </row>
    <row r="353" spans="8:21" ht="15.75" customHeight="1">
      <c r="H353" s="272"/>
      <c r="J353" s="252"/>
      <c r="L353" s="273"/>
      <c r="S353" s="264"/>
      <c r="T353" s="274"/>
      <c r="U353" s="274"/>
    </row>
    <row r="354" spans="8:21" ht="15.75" customHeight="1">
      <c r="H354" s="272"/>
      <c r="J354" s="252"/>
      <c r="L354" s="273"/>
      <c r="S354" s="264"/>
      <c r="T354" s="274"/>
      <c r="U354" s="274"/>
    </row>
    <row r="355" spans="8:21" ht="15.75" customHeight="1">
      <c r="H355" s="272"/>
      <c r="J355" s="252"/>
      <c r="L355" s="273"/>
      <c r="S355" s="264"/>
      <c r="T355" s="274"/>
      <c r="U355" s="274"/>
    </row>
    <row r="356" spans="8:21" ht="15.75" customHeight="1">
      <c r="H356" s="272"/>
      <c r="J356" s="252"/>
      <c r="L356" s="273"/>
      <c r="S356" s="264"/>
      <c r="T356" s="274"/>
      <c r="U356" s="274"/>
    </row>
    <row r="357" spans="8:21" ht="15.75" customHeight="1">
      <c r="H357" s="272"/>
      <c r="J357" s="252"/>
      <c r="L357" s="273"/>
      <c r="S357" s="264"/>
      <c r="T357" s="274"/>
      <c r="U357" s="274"/>
    </row>
    <row r="358" spans="8:21" ht="15.75" customHeight="1">
      <c r="H358" s="272"/>
      <c r="J358" s="252"/>
      <c r="L358" s="273"/>
      <c r="S358" s="264"/>
      <c r="T358" s="274"/>
      <c r="U358" s="274"/>
    </row>
    <row r="359" spans="8:21" ht="15.75" customHeight="1">
      <c r="H359" s="272"/>
      <c r="J359" s="252"/>
      <c r="L359" s="273"/>
      <c r="S359" s="264"/>
      <c r="T359" s="274"/>
      <c r="U359" s="274"/>
    </row>
    <row r="360" spans="8:21" ht="15.75" customHeight="1">
      <c r="H360" s="272"/>
      <c r="J360" s="252"/>
      <c r="L360" s="273"/>
      <c r="S360" s="264"/>
      <c r="T360" s="274"/>
      <c r="U360" s="274"/>
    </row>
    <row r="361" spans="8:21" ht="15.75" customHeight="1">
      <c r="H361" s="272"/>
      <c r="J361" s="252"/>
      <c r="L361" s="273"/>
      <c r="S361" s="264"/>
      <c r="T361" s="274"/>
      <c r="U361" s="274"/>
    </row>
    <row r="362" spans="8:21" ht="15.75" customHeight="1">
      <c r="H362" s="272"/>
      <c r="J362" s="252"/>
      <c r="L362" s="273"/>
      <c r="S362" s="264"/>
      <c r="T362" s="274"/>
      <c r="U362" s="274"/>
    </row>
    <row r="363" spans="8:21" ht="15.75" customHeight="1">
      <c r="H363" s="272"/>
      <c r="J363" s="252"/>
      <c r="L363" s="273"/>
      <c r="S363" s="264"/>
      <c r="T363" s="274"/>
      <c r="U363" s="274"/>
    </row>
    <row r="364" spans="8:21" ht="15.75" customHeight="1">
      <c r="H364" s="272"/>
      <c r="J364" s="252"/>
      <c r="L364" s="273"/>
      <c r="S364" s="264"/>
      <c r="T364" s="274"/>
      <c r="U364" s="274"/>
    </row>
    <row r="365" spans="8:21" ht="15.75" customHeight="1">
      <c r="H365" s="272"/>
      <c r="J365" s="252"/>
      <c r="L365" s="273"/>
      <c r="S365" s="264"/>
      <c r="T365" s="274"/>
      <c r="U365" s="274"/>
    </row>
    <row r="366" spans="8:21" ht="15.75" customHeight="1">
      <c r="H366" s="272"/>
      <c r="J366" s="252"/>
      <c r="L366" s="273"/>
      <c r="S366" s="264"/>
      <c r="T366" s="274"/>
      <c r="U366" s="274"/>
    </row>
    <row r="367" spans="8:21" ht="15.75" customHeight="1">
      <c r="H367" s="272"/>
      <c r="J367" s="252"/>
      <c r="L367" s="273"/>
      <c r="S367" s="264"/>
      <c r="T367" s="274"/>
      <c r="U367" s="274"/>
    </row>
    <row r="368" spans="8:21" ht="15.75" customHeight="1">
      <c r="H368" s="272"/>
      <c r="J368" s="252"/>
      <c r="L368" s="273"/>
      <c r="S368" s="264"/>
      <c r="T368" s="274"/>
      <c r="U368" s="274"/>
    </row>
    <row r="369" spans="8:21" ht="15.75" customHeight="1">
      <c r="H369" s="272"/>
      <c r="J369" s="252"/>
      <c r="L369" s="273"/>
      <c r="S369" s="264"/>
      <c r="T369" s="274"/>
      <c r="U369" s="274"/>
    </row>
    <row r="370" spans="8:21" ht="15.75" customHeight="1">
      <c r="H370" s="272"/>
      <c r="J370" s="252"/>
      <c r="L370" s="273"/>
      <c r="S370" s="264"/>
      <c r="T370" s="274"/>
      <c r="U370" s="274"/>
    </row>
    <row r="371" spans="8:21" ht="15.75" customHeight="1">
      <c r="H371" s="272"/>
      <c r="J371" s="252"/>
      <c r="L371" s="273"/>
      <c r="S371" s="264"/>
      <c r="T371" s="274"/>
      <c r="U371" s="274"/>
    </row>
    <row r="372" spans="8:21" ht="15.75" customHeight="1">
      <c r="H372" s="272"/>
      <c r="J372" s="252"/>
      <c r="L372" s="273"/>
      <c r="S372" s="264"/>
      <c r="T372" s="274"/>
      <c r="U372" s="274"/>
    </row>
    <row r="373" spans="8:21" ht="15.75" customHeight="1">
      <c r="H373" s="272"/>
      <c r="J373" s="252"/>
      <c r="L373" s="273"/>
      <c r="S373" s="264"/>
      <c r="T373" s="274"/>
      <c r="U373" s="274"/>
    </row>
    <row r="374" spans="8:21" ht="15.75" customHeight="1">
      <c r="H374" s="272"/>
      <c r="J374" s="252"/>
      <c r="L374" s="273"/>
      <c r="S374" s="264"/>
      <c r="T374" s="274"/>
      <c r="U374" s="274"/>
    </row>
    <row r="375" spans="8:21" ht="15.75" customHeight="1">
      <c r="H375" s="272"/>
      <c r="J375" s="252"/>
      <c r="L375" s="273"/>
      <c r="S375" s="264"/>
      <c r="T375" s="274"/>
      <c r="U375" s="274"/>
    </row>
    <row r="376" spans="8:21" ht="15.75" customHeight="1">
      <c r="H376" s="272"/>
      <c r="J376" s="252"/>
      <c r="L376" s="273"/>
      <c r="S376" s="264"/>
      <c r="T376" s="274"/>
      <c r="U376" s="274"/>
    </row>
    <row r="377" spans="8:21" ht="15.75" customHeight="1">
      <c r="H377" s="272"/>
      <c r="J377" s="252"/>
      <c r="L377" s="273"/>
      <c r="S377" s="264"/>
      <c r="T377" s="274"/>
      <c r="U377" s="274"/>
    </row>
    <row r="378" spans="8:21" ht="15.75" customHeight="1">
      <c r="H378" s="272"/>
      <c r="J378" s="252"/>
      <c r="L378" s="273"/>
      <c r="S378" s="264"/>
      <c r="T378" s="274"/>
      <c r="U378" s="274"/>
    </row>
    <row r="379" spans="8:21" ht="15.75" customHeight="1">
      <c r="H379" s="272"/>
      <c r="J379" s="252"/>
      <c r="L379" s="273"/>
      <c r="S379" s="264"/>
      <c r="T379" s="274"/>
      <c r="U379" s="274"/>
    </row>
    <row r="380" spans="8:21" ht="15.75" customHeight="1">
      <c r="H380" s="272"/>
      <c r="J380" s="252"/>
      <c r="L380" s="273"/>
      <c r="S380" s="264"/>
      <c r="T380" s="274"/>
      <c r="U380" s="274"/>
    </row>
    <row r="381" spans="8:21" ht="15.75" customHeight="1">
      <c r="H381" s="272"/>
      <c r="J381" s="252"/>
      <c r="L381" s="273"/>
      <c r="S381" s="264"/>
      <c r="T381" s="274"/>
      <c r="U381" s="274"/>
    </row>
    <row r="382" spans="8:21" ht="15.75" customHeight="1">
      <c r="H382" s="272"/>
      <c r="J382" s="252"/>
      <c r="L382" s="273"/>
      <c r="S382" s="264"/>
      <c r="T382" s="274"/>
      <c r="U382" s="274"/>
    </row>
    <row r="383" spans="8:21" ht="15.75" customHeight="1">
      <c r="H383" s="272"/>
      <c r="J383" s="252"/>
      <c r="L383" s="273"/>
      <c r="S383" s="264"/>
      <c r="T383" s="274"/>
      <c r="U383" s="274"/>
    </row>
    <row r="384" spans="8:21" ht="15.75" customHeight="1">
      <c r="H384" s="272"/>
      <c r="J384" s="252"/>
      <c r="L384" s="273"/>
      <c r="S384" s="264"/>
      <c r="T384" s="274"/>
      <c r="U384" s="274"/>
    </row>
    <row r="385" spans="8:21" ht="15.75" customHeight="1">
      <c r="H385" s="272"/>
      <c r="J385" s="252"/>
      <c r="L385" s="273"/>
      <c r="S385" s="264"/>
      <c r="T385" s="274"/>
      <c r="U385" s="274"/>
    </row>
    <row r="386" spans="8:21" ht="15.75" customHeight="1">
      <c r="H386" s="272"/>
      <c r="J386" s="252"/>
      <c r="L386" s="273"/>
      <c r="S386" s="264"/>
      <c r="T386" s="274"/>
      <c r="U386" s="274"/>
    </row>
    <row r="387" spans="8:21" ht="15.75" customHeight="1">
      <c r="H387" s="272"/>
      <c r="J387" s="252"/>
      <c r="L387" s="273"/>
      <c r="S387" s="264"/>
      <c r="T387" s="274"/>
      <c r="U387" s="274"/>
    </row>
    <row r="388" spans="8:21" ht="15.75" customHeight="1">
      <c r="H388" s="272"/>
      <c r="J388" s="252"/>
      <c r="L388" s="273"/>
      <c r="S388" s="264"/>
      <c r="T388" s="274"/>
      <c r="U388" s="274"/>
    </row>
    <row r="389" spans="8:21" ht="15.75" customHeight="1">
      <c r="H389" s="272"/>
      <c r="J389" s="252"/>
      <c r="L389" s="273"/>
      <c r="S389" s="264"/>
      <c r="T389" s="274"/>
      <c r="U389" s="274"/>
    </row>
    <row r="390" spans="8:21" ht="15.75" customHeight="1">
      <c r="H390" s="272"/>
      <c r="J390" s="252"/>
      <c r="L390" s="273"/>
      <c r="S390" s="264"/>
      <c r="T390" s="274"/>
      <c r="U390" s="274"/>
    </row>
    <row r="391" spans="8:21" ht="15.75" customHeight="1">
      <c r="H391" s="272"/>
      <c r="J391" s="252"/>
      <c r="L391" s="273"/>
      <c r="S391" s="264"/>
      <c r="T391" s="274"/>
      <c r="U391" s="274"/>
    </row>
    <row r="392" spans="8:21" ht="15.75" customHeight="1">
      <c r="H392" s="272"/>
      <c r="J392" s="252"/>
      <c r="L392" s="273"/>
      <c r="S392" s="264"/>
      <c r="T392" s="274"/>
      <c r="U392" s="274"/>
    </row>
    <row r="393" spans="8:21" ht="15.75" customHeight="1">
      <c r="H393" s="272"/>
      <c r="J393" s="252"/>
      <c r="L393" s="273"/>
      <c r="S393" s="264"/>
      <c r="T393" s="274"/>
      <c r="U393" s="274"/>
    </row>
    <row r="394" spans="8:21" ht="15.75" customHeight="1">
      <c r="H394" s="272"/>
      <c r="J394" s="252"/>
      <c r="L394" s="273"/>
      <c r="S394" s="264"/>
      <c r="T394" s="274"/>
      <c r="U394" s="274"/>
    </row>
    <row r="395" spans="8:21" ht="15.75" customHeight="1">
      <c r="H395" s="272"/>
      <c r="J395" s="252"/>
      <c r="L395" s="273"/>
      <c r="S395" s="264"/>
      <c r="T395" s="274"/>
      <c r="U395" s="274"/>
    </row>
    <row r="396" spans="8:21" ht="15.75" customHeight="1">
      <c r="H396" s="272"/>
      <c r="J396" s="252"/>
      <c r="L396" s="273"/>
      <c r="S396" s="264"/>
      <c r="T396" s="274"/>
      <c r="U396" s="274"/>
    </row>
    <row r="397" spans="8:21" ht="15.75" customHeight="1">
      <c r="H397" s="272"/>
      <c r="J397" s="252"/>
      <c r="L397" s="273"/>
      <c r="S397" s="264"/>
      <c r="T397" s="274"/>
      <c r="U397" s="274"/>
    </row>
    <row r="398" spans="8:21" ht="15.75" customHeight="1">
      <c r="H398" s="272"/>
      <c r="J398" s="252"/>
      <c r="L398" s="273"/>
      <c r="S398" s="264"/>
      <c r="T398" s="274"/>
      <c r="U398" s="274"/>
    </row>
    <row r="399" spans="8:21" ht="15.75" customHeight="1">
      <c r="H399" s="272"/>
      <c r="J399" s="252"/>
      <c r="L399" s="273"/>
      <c r="S399" s="264"/>
      <c r="T399" s="274"/>
      <c r="U399" s="274"/>
    </row>
    <row r="400" spans="8:21" ht="15.75" customHeight="1">
      <c r="H400" s="272"/>
      <c r="J400" s="252"/>
      <c r="L400" s="273"/>
      <c r="S400" s="264"/>
      <c r="T400" s="274"/>
      <c r="U400" s="274"/>
    </row>
    <row r="401" spans="8:21" ht="15.75" customHeight="1">
      <c r="H401" s="272"/>
      <c r="J401" s="252"/>
      <c r="L401" s="273"/>
      <c r="S401" s="264"/>
      <c r="T401" s="274"/>
      <c r="U401" s="274"/>
    </row>
    <row r="402" spans="8:21" ht="15.75" customHeight="1">
      <c r="H402" s="272"/>
      <c r="J402" s="252"/>
      <c r="L402" s="273"/>
      <c r="S402" s="264"/>
      <c r="T402" s="274"/>
      <c r="U402" s="274"/>
    </row>
    <row r="403" spans="8:21" ht="15.75" customHeight="1">
      <c r="H403" s="272"/>
      <c r="J403" s="252"/>
      <c r="L403" s="273"/>
      <c r="S403" s="264"/>
      <c r="T403" s="274"/>
      <c r="U403" s="274"/>
    </row>
    <row r="404" spans="8:21" ht="15.75" customHeight="1">
      <c r="H404" s="272"/>
      <c r="J404" s="252"/>
      <c r="L404" s="273"/>
      <c r="S404" s="264"/>
      <c r="T404" s="274"/>
      <c r="U404" s="274"/>
    </row>
    <row r="405" spans="8:21" ht="15.75" customHeight="1">
      <c r="H405" s="272"/>
      <c r="J405" s="252"/>
      <c r="L405" s="273"/>
      <c r="S405" s="264"/>
      <c r="T405" s="274"/>
      <c r="U405" s="274"/>
    </row>
    <row r="406" spans="8:21" ht="15.75" customHeight="1">
      <c r="H406" s="272"/>
      <c r="J406" s="252"/>
      <c r="L406" s="273"/>
      <c r="S406" s="264"/>
      <c r="T406" s="274"/>
      <c r="U406" s="274"/>
    </row>
    <row r="407" spans="8:21" ht="15.75" customHeight="1">
      <c r="H407" s="272"/>
      <c r="J407" s="252"/>
      <c r="L407" s="273"/>
      <c r="S407" s="264"/>
      <c r="T407" s="274"/>
      <c r="U407" s="274"/>
    </row>
    <row r="408" spans="8:21" ht="15.75" customHeight="1">
      <c r="H408" s="272"/>
      <c r="J408" s="252"/>
      <c r="L408" s="273"/>
      <c r="S408" s="264"/>
      <c r="T408" s="274"/>
      <c r="U408" s="274"/>
    </row>
    <row r="409" spans="8:21" ht="15.75" customHeight="1">
      <c r="H409" s="272"/>
      <c r="J409" s="252"/>
      <c r="L409" s="273"/>
      <c r="S409" s="264"/>
      <c r="T409" s="274"/>
      <c r="U409" s="274"/>
    </row>
    <row r="410" spans="8:21" ht="15.75" customHeight="1">
      <c r="H410" s="272"/>
      <c r="J410" s="252"/>
      <c r="L410" s="273"/>
      <c r="S410" s="264"/>
      <c r="T410" s="274"/>
      <c r="U410" s="274"/>
    </row>
    <row r="411" spans="8:21" ht="15.75" customHeight="1">
      <c r="H411" s="272"/>
      <c r="J411" s="252"/>
      <c r="L411" s="273"/>
      <c r="S411" s="264"/>
      <c r="T411" s="274"/>
      <c r="U411" s="274"/>
    </row>
    <row r="412" spans="8:21" ht="15.75" customHeight="1">
      <c r="H412" s="272"/>
      <c r="J412" s="252"/>
      <c r="L412" s="273"/>
      <c r="S412" s="264"/>
      <c r="T412" s="274"/>
      <c r="U412" s="274"/>
    </row>
    <row r="413" spans="8:21" ht="15.75" customHeight="1">
      <c r="H413" s="272"/>
      <c r="J413" s="252"/>
      <c r="L413" s="273"/>
      <c r="S413" s="264"/>
      <c r="T413" s="274"/>
      <c r="U413" s="274"/>
    </row>
    <row r="414" spans="8:21" ht="15.75" customHeight="1">
      <c r="H414" s="272"/>
      <c r="J414" s="252"/>
      <c r="L414" s="273"/>
      <c r="S414" s="264"/>
      <c r="T414" s="274"/>
      <c r="U414" s="274"/>
    </row>
    <row r="415" spans="8:21" ht="15.75" customHeight="1">
      <c r="H415" s="272"/>
      <c r="J415" s="252"/>
      <c r="L415" s="273"/>
      <c r="S415" s="264"/>
      <c r="T415" s="274"/>
      <c r="U415" s="274"/>
    </row>
    <row r="416" spans="8:21" ht="15.75" customHeight="1">
      <c r="H416" s="272"/>
      <c r="J416" s="252"/>
      <c r="L416" s="273"/>
      <c r="S416" s="264"/>
      <c r="T416" s="274"/>
      <c r="U416" s="274"/>
    </row>
    <row r="417" spans="8:21" ht="15.75" customHeight="1">
      <c r="H417" s="272"/>
      <c r="J417" s="252"/>
      <c r="L417" s="273"/>
      <c r="S417" s="264"/>
      <c r="T417" s="274"/>
      <c r="U417" s="274"/>
    </row>
    <row r="418" spans="8:21" ht="15.75" customHeight="1">
      <c r="H418" s="272"/>
      <c r="J418" s="252"/>
      <c r="L418" s="273"/>
      <c r="S418" s="264"/>
      <c r="T418" s="274"/>
      <c r="U418" s="274"/>
    </row>
    <row r="419" spans="8:21" ht="15.75" customHeight="1">
      <c r="H419" s="272"/>
      <c r="J419" s="252"/>
      <c r="L419" s="273"/>
      <c r="S419" s="264"/>
      <c r="T419" s="274"/>
      <c r="U419" s="274"/>
    </row>
    <row r="420" spans="8:21" ht="15.75" customHeight="1">
      <c r="H420" s="272"/>
      <c r="J420" s="252"/>
      <c r="L420" s="273"/>
      <c r="S420" s="264"/>
      <c r="T420" s="274"/>
      <c r="U420" s="274"/>
    </row>
    <row r="421" spans="8:21" ht="15.75" customHeight="1">
      <c r="H421" s="272"/>
      <c r="J421" s="252"/>
      <c r="L421" s="273"/>
      <c r="S421" s="264"/>
      <c r="T421" s="274"/>
      <c r="U421" s="274"/>
    </row>
    <row r="422" spans="8:21" ht="15.75" customHeight="1">
      <c r="H422" s="272"/>
      <c r="J422" s="252"/>
      <c r="L422" s="273"/>
      <c r="S422" s="264"/>
      <c r="T422" s="274"/>
      <c r="U422" s="274"/>
    </row>
    <row r="423" spans="8:21" ht="15.75" customHeight="1">
      <c r="H423" s="272"/>
      <c r="J423" s="252"/>
      <c r="L423" s="273"/>
      <c r="S423" s="264"/>
      <c r="T423" s="274"/>
      <c r="U423" s="274"/>
    </row>
    <row r="424" spans="8:21" ht="15.75" customHeight="1">
      <c r="H424" s="272"/>
      <c r="J424" s="252"/>
      <c r="L424" s="273"/>
      <c r="S424" s="264"/>
      <c r="T424" s="274"/>
      <c r="U424" s="274"/>
    </row>
    <row r="425" spans="8:21" ht="15.75" customHeight="1">
      <c r="H425" s="272"/>
      <c r="J425" s="252"/>
      <c r="L425" s="273"/>
      <c r="S425" s="264"/>
      <c r="T425" s="274"/>
      <c r="U425" s="274"/>
    </row>
    <row r="426" spans="8:21" ht="15.75" customHeight="1">
      <c r="H426" s="272"/>
      <c r="J426" s="252"/>
      <c r="L426" s="273"/>
      <c r="S426" s="264"/>
      <c r="T426" s="274"/>
      <c r="U426" s="274"/>
    </row>
    <row r="427" spans="8:21" ht="15.75" customHeight="1">
      <c r="H427" s="272"/>
      <c r="J427" s="252"/>
      <c r="L427" s="273"/>
      <c r="S427" s="264"/>
      <c r="T427" s="274"/>
      <c r="U427" s="274"/>
    </row>
    <row r="428" spans="8:21" ht="15.75" customHeight="1">
      <c r="H428" s="272"/>
      <c r="J428" s="252"/>
      <c r="L428" s="273"/>
      <c r="S428" s="264"/>
      <c r="T428" s="274"/>
      <c r="U428" s="274"/>
    </row>
    <row r="429" spans="8:21" ht="15.75" customHeight="1">
      <c r="H429" s="272"/>
      <c r="J429" s="252"/>
      <c r="L429" s="273"/>
      <c r="S429" s="264"/>
      <c r="T429" s="274"/>
      <c r="U429" s="274"/>
    </row>
    <row r="430" spans="8:21" ht="15.75" customHeight="1">
      <c r="H430" s="272"/>
      <c r="J430" s="252"/>
      <c r="L430" s="273"/>
      <c r="S430" s="264"/>
      <c r="T430" s="274"/>
      <c r="U430" s="274"/>
    </row>
    <row r="431" spans="8:21" ht="15.75" customHeight="1">
      <c r="H431" s="272"/>
      <c r="J431" s="252"/>
      <c r="L431" s="273"/>
      <c r="S431" s="264"/>
      <c r="T431" s="274"/>
      <c r="U431" s="274"/>
    </row>
    <row r="432" spans="8:21" ht="15.75" customHeight="1">
      <c r="H432" s="272"/>
      <c r="J432" s="252"/>
      <c r="L432" s="273"/>
      <c r="S432" s="264"/>
      <c r="T432" s="274"/>
      <c r="U432" s="274"/>
    </row>
    <row r="433" spans="8:21" ht="15.75" customHeight="1">
      <c r="H433" s="272"/>
      <c r="J433" s="252"/>
      <c r="L433" s="273"/>
      <c r="S433" s="264"/>
      <c r="T433" s="274"/>
      <c r="U433" s="274"/>
    </row>
    <row r="434" spans="8:21" ht="15.75" customHeight="1">
      <c r="H434" s="272"/>
      <c r="J434" s="252"/>
      <c r="L434" s="273"/>
      <c r="S434" s="264"/>
      <c r="T434" s="274"/>
      <c r="U434" s="274"/>
    </row>
    <row r="435" spans="8:21" ht="15.75" customHeight="1">
      <c r="H435" s="272"/>
      <c r="J435" s="252"/>
      <c r="L435" s="273"/>
      <c r="S435" s="264"/>
      <c r="T435" s="274"/>
      <c r="U435" s="274"/>
    </row>
    <row r="436" spans="8:21" ht="15.75" customHeight="1">
      <c r="H436" s="272"/>
      <c r="J436" s="252"/>
      <c r="L436" s="273"/>
      <c r="S436" s="264"/>
      <c r="T436" s="274"/>
      <c r="U436" s="274"/>
    </row>
    <row r="437" spans="8:21" ht="15.75" customHeight="1">
      <c r="H437" s="272"/>
      <c r="J437" s="252"/>
      <c r="L437" s="273"/>
      <c r="S437" s="264"/>
      <c r="T437" s="274"/>
      <c r="U437" s="274"/>
    </row>
    <row r="438" spans="8:21" ht="15.75" customHeight="1">
      <c r="H438" s="272"/>
      <c r="J438" s="252"/>
      <c r="L438" s="273"/>
      <c r="S438" s="264"/>
      <c r="T438" s="274"/>
      <c r="U438" s="274"/>
    </row>
    <row r="439" spans="8:21" ht="15.75" customHeight="1">
      <c r="H439" s="272"/>
      <c r="J439" s="252"/>
      <c r="L439" s="273"/>
      <c r="S439" s="264"/>
      <c r="T439" s="274"/>
      <c r="U439" s="274"/>
    </row>
    <row r="440" spans="8:21" ht="15.75" customHeight="1">
      <c r="H440" s="272"/>
      <c r="J440" s="252"/>
      <c r="L440" s="273"/>
      <c r="S440" s="264"/>
      <c r="T440" s="274"/>
      <c r="U440" s="274"/>
    </row>
    <row r="441" spans="8:21" ht="15.75" customHeight="1">
      <c r="H441" s="272"/>
      <c r="J441" s="252"/>
      <c r="L441" s="273"/>
      <c r="S441" s="264"/>
      <c r="T441" s="274"/>
      <c r="U441" s="274"/>
    </row>
    <row r="442" spans="8:21" ht="15.75" customHeight="1">
      <c r="H442" s="272"/>
      <c r="J442" s="252"/>
      <c r="L442" s="273"/>
      <c r="S442" s="264"/>
      <c r="T442" s="274"/>
      <c r="U442" s="274"/>
    </row>
    <row r="443" spans="8:21" ht="15.75" customHeight="1">
      <c r="H443" s="272"/>
      <c r="J443" s="252"/>
      <c r="L443" s="273"/>
      <c r="S443" s="264"/>
      <c r="T443" s="274"/>
      <c r="U443" s="274"/>
    </row>
    <row r="444" spans="8:21" ht="15.75" customHeight="1">
      <c r="H444" s="272"/>
      <c r="J444" s="252"/>
      <c r="L444" s="273"/>
      <c r="S444" s="264"/>
      <c r="T444" s="274"/>
      <c r="U444" s="274"/>
    </row>
    <row r="445" spans="8:21" ht="15.75" customHeight="1">
      <c r="H445" s="272"/>
      <c r="J445" s="252"/>
      <c r="L445" s="273"/>
      <c r="S445" s="264"/>
      <c r="T445" s="274"/>
      <c r="U445" s="274"/>
    </row>
    <row r="446" spans="8:21" ht="15.75" customHeight="1">
      <c r="H446" s="272"/>
      <c r="J446" s="252"/>
      <c r="L446" s="273"/>
      <c r="S446" s="264"/>
      <c r="T446" s="274"/>
      <c r="U446" s="274"/>
    </row>
    <row r="447" spans="8:21" ht="15.75" customHeight="1">
      <c r="H447" s="272"/>
      <c r="J447" s="252"/>
      <c r="L447" s="273"/>
      <c r="S447" s="264"/>
      <c r="T447" s="274"/>
      <c r="U447" s="274"/>
    </row>
    <row r="448" spans="8:21" ht="15.75" customHeight="1">
      <c r="H448" s="272"/>
      <c r="J448" s="252"/>
      <c r="L448" s="273"/>
      <c r="S448" s="264"/>
      <c r="T448" s="274"/>
      <c r="U448" s="274"/>
    </row>
    <row r="449" spans="8:21" ht="15.75" customHeight="1">
      <c r="H449" s="272"/>
      <c r="J449" s="252"/>
      <c r="L449" s="273"/>
      <c r="S449" s="264"/>
      <c r="T449" s="274"/>
      <c r="U449" s="274"/>
    </row>
    <row r="450" spans="8:21" ht="15.75" customHeight="1">
      <c r="H450" s="272"/>
      <c r="J450" s="252"/>
      <c r="L450" s="273"/>
      <c r="S450" s="264"/>
      <c r="T450" s="274"/>
      <c r="U450" s="274"/>
    </row>
    <row r="451" spans="8:21" ht="15.75" customHeight="1">
      <c r="H451" s="272"/>
      <c r="J451" s="252"/>
      <c r="L451" s="273"/>
      <c r="S451" s="264"/>
      <c r="T451" s="274"/>
      <c r="U451" s="274"/>
    </row>
    <row r="452" spans="8:21" ht="15.75" customHeight="1">
      <c r="H452" s="272"/>
      <c r="J452" s="252"/>
      <c r="L452" s="273"/>
      <c r="S452" s="264"/>
      <c r="T452" s="274"/>
      <c r="U452" s="274"/>
    </row>
    <row r="453" spans="8:21" ht="15.75" customHeight="1">
      <c r="H453" s="272"/>
      <c r="J453" s="252"/>
      <c r="L453" s="273"/>
      <c r="S453" s="264"/>
      <c r="T453" s="274"/>
      <c r="U453" s="274"/>
    </row>
    <row r="454" spans="8:21" ht="15.75" customHeight="1">
      <c r="H454" s="272"/>
      <c r="J454" s="252"/>
      <c r="L454" s="273"/>
      <c r="S454" s="264"/>
      <c r="T454" s="274"/>
      <c r="U454" s="274"/>
    </row>
    <row r="455" spans="8:21" ht="15.75" customHeight="1">
      <c r="H455" s="272"/>
      <c r="J455" s="252"/>
      <c r="L455" s="273"/>
      <c r="S455" s="264"/>
      <c r="T455" s="274"/>
      <c r="U455" s="274"/>
    </row>
    <row r="456" spans="8:21" ht="15.75" customHeight="1">
      <c r="H456" s="272"/>
      <c r="J456" s="252"/>
      <c r="L456" s="273"/>
      <c r="S456" s="264"/>
      <c r="T456" s="274"/>
      <c r="U456" s="274"/>
    </row>
    <row r="457" spans="8:21" ht="15.75" customHeight="1">
      <c r="H457" s="272"/>
      <c r="J457" s="252"/>
      <c r="L457" s="273"/>
      <c r="S457" s="264"/>
      <c r="T457" s="274"/>
      <c r="U457" s="274"/>
    </row>
    <row r="458" spans="8:21" ht="15.75" customHeight="1">
      <c r="H458" s="272"/>
      <c r="J458" s="252"/>
      <c r="L458" s="273"/>
      <c r="S458" s="264"/>
      <c r="T458" s="274"/>
      <c r="U458" s="274"/>
    </row>
    <row r="459" spans="8:21" ht="15.75" customHeight="1">
      <c r="H459" s="272"/>
      <c r="J459" s="252"/>
      <c r="L459" s="273"/>
      <c r="S459" s="264"/>
      <c r="T459" s="274"/>
      <c r="U459" s="274"/>
    </row>
    <row r="460" spans="8:21" ht="15.75" customHeight="1">
      <c r="H460" s="272"/>
      <c r="J460" s="252"/>
      <c r="L460" s="273"/>
      <c r="S460" s="264"/>
      <c r="T460" s="274"/>
      <c r="U460" s="274"/>
    </row>
    <row r="461" spans="8:21" ht="15.75" customHeight="1">
      <c r="H461" s="272"/>
      <c r="J461" s="252"/>
      <c r="L461" s="273"/>
      <c r="S461" s="264"/>
      <c r="T461" s="274"/>
      <c r="U461" s="274"/>
    </row>
    <row r="462" spans="8:21" ht="15.75" customHeight="1">
      <c r="H462" s="272"/>
      <c r="J462" s="252"/>
      <c r="L462" s="273"/>
      <c r="S462" s="264"/>
      <c r="T462" s="274"/>
      <c r="U462" s="274"/>
    </row>
    <row r="463" spans="8:21" ht="15.75" customHeight="1">
      <c r="H463" s="272"/>
      <c r="J463" s="252"/>
      <c r="L463" s="273"/>
      <c r="S463" s="264"/>
      <c r="T463" s="274"/>
      <c r="U463" s="274"/>
    </row>
    <row r="464" spans="8:21" ht="15.75" customHeight="1">
      <c r="H464" s="272"/>
      <c r="J464" s="252"/>
      <c r="L464" s="273"/>
      <c r="S464" s="264"/>
      <c r="T464" s="274"/>
      <c r="U464" s="274"/>
    </row>
    <row r="465" spans="8:21" ht="15.75" customHeight="1">
      <c r="H465" s="272"/>
      <c r="J465" s="252"/>
      <c r="L465" s="273"/>
      <c r="S465" s="264"/>
      <c r="T465" s="274"/>
      <c r="U465" s="274"/>
    </row>
    <row r="466" spans="8:21" ht="15.75" customHeight="1">
      <c r="H466" s="272"/>
      <c r="J466" s="252"/>
      <c r="L466" s="273"/>
      <c r="S466" s="264"/>
      <c r="T466" s="274"/>
      <c r="U466" s="274"/>
    </row>
    <row r="467" spans="8:21" ht="15.75" customHeight="1">
      <c r="H467" s="272"/>
      <c r="J467" s="252"/>
      <c r="L467" s="273"/>
      <c r="S467" s="264"/>
      <c r="T467" s="274"/>
      <c r="U467" s="274"/>
    </row>
    <row r="468" spans="8:21" ht="15.75" customHeight="1">
      <c r="H468" s="272"/>
      <c r="J468" s="252"/>
      <c r="L468" s="273"/>
      <c r="S468" s="264"/>
      <c r="T468" s="274"/>
      <c r="U468" s="274"/>
    </row>
    <row r="469" spans="8:21" ht="15.75" customHeight="1">
      <c r="H469" s="272"/>
      <c r="J469" s="252"/>
      <c r="L469" s="273"/>
      <c r="S469" s="264"/>
      <c r="T469" s="274"/>
      <c r="U469" s="274"/>
    </row>
    <row r="470" spans="8:21" ht="15.75" customHeight="1">
      <c r="H470" s="272"/>
      <c r="J470" s="252"/>
      <c r="L470" s="273"/>
      <c r="S470" s="264"/>
      <c r="T470" s="274"/>
      <c r="U470" s="274"/>
    </row>
    <row r="471" spans="8:21" ht="15.75" customHeight="1">
      <c r="H471" s="272"/>
      <c r="J471" s="252"/>
      <c r="L471" s="273"/>
      <c r="S471" s="264"/>
      <c r="T471" s="274"/>
      <c r="U471" s="274"/>
    </row>
    <row r="472" spans="8:21" ht="15.75" customHeight="1">
      <c r="H472" s="272"/>
      <c r="J472" s="252"/>
      <c r="L472" s="273"/>
      <c r="S472" s="264"/>
      <c r="T472" s="274"/>
      <c r="U472" s="274"/>
    </row>
    <row r="473" spans="8:21" ht="15.75" customHeight="1">
      <c r="H473" s="272"/>
      <c r="J473" s="252"/>
      <c r="L473" s="273"/>
      <c r="S473" s="264"/>
      <c r="T473" s="274"/>
      <c r="U473" s="274"/>
    </row>
    <row r="474" spans="8:21" ht="15.75" customHeight="1">
      <c r="H474" s="272"/>
      <c r="J474" s="252"/>
      <c r="L474" s="273"/>
      <c r="S474" s="264"/>
      <c r="T474" s="274"/>
      <c r="U474" s="274"/>
    </row>
    <row r="475" spans="8:21" ht="15.75" customHeight="1">
      <c r="H475" s="272"/>
      <c r="J475" s="252"/>
      <c r="L475" s="273"/>
      <c r="S475" s="264"/>
      <c r="T475" s="274"/>
      <c r="U475" s="274"/>
    </row>
    <row r="476" spans="8:21" ht="15.75" customHeight="1">
      <c r="H476" s="272"/>
      <c r="J476" s="252"/>
      <c r="L476" s="273"/>
      <c r="S476" s="264"/>
      <c r="T476" s="274"/>
      <c r="U476" s="274"/>
    </row>
    <row r="477" spans="8:21" ht="15.75" customHeight="1">
      <c r="H477" s="272"/>
      <c r="J477" s="252"/>
      <c r="L477" s="273"/>
      <c r="S477" s="264"/>
      <c r="T477" s="274"/>
      <c r="U477" s="274"/>
    </row>
    <row r="478" spans="8:21" ht="15.75" customHeight="1">
      <c r="H478" s="272"/>
      <c r="J478" s="252"/>
      <c r="L478" s="273"/>
      <c r="S478" s="264"/>
      <c r="T478" s="274"/>
      <c r="U478" s="274"/>
    </row>
    <row r="479" spans="8:21" ht="15.75" customHeight="1">
      <c r="H479" s="272"/>
      <c r="J479" s="252"/>
      <c r="L479" s="273"/>
      <c r="S479" s="264"/>
      <c r="T479" s="274"/>
      <c r="U479" s="274"/>
    </row>
    <row r="480" spans="8:21" ht="15.75" customHeight="1">
      <c r="H480" s="272"/>
      <c r="J480" s="252"/>
      <c r="L480" s="273"/>
      <c r="S480" s="264"/>
      <c r="T480" s="274"/>
      <c r="U480" s="274"/>
    </row>
    <row r="481" spans="8:21" ht="15.75" customHeight="1">
      <c r="H481" s="272"/>
      <c r="J481" s="252"/>
      <c r="L481" s="273"/>
      <c r="S481" s="264"/>
      <c r="T481" s="274"/>
      <c r="U481" s="274"/>
    </row>
    <row r="482" spans="8:21" ht="15.75" customHeight="1">
      <c r="H482" s="272"/>
      <c r="J482" s="252"/>
      <c r="L482" s="273"/>
      <c r="S482" s="264"/>
      <c r="T482" s="274"/>
      <c r="U482" s="274"/>
    </row>
    <row r="483" spans="8:21" ht="15.75" customHeight="1">
      <c r="H483" s="272"/>
      <c r="J483" s="252"/>
      <c r="L483" s="273"/>
      <c r="S483" s="264"/>
      <c r="T483" s="274"/>
      <c r="U483" s="274"/>
    </row>
    <row r="484" spans="8:21" ht="15.75" customHeight="1">
      <c r="H484" s="272"/>
      <c r="J484" s="252"/>
      <c r="L484" s="273"/>
      <c r="S484" s="264"/>
      <c r="T484" s="274"/>
      <c r="U484" s="274"/>
    </row>
    <row r="485" spans="8:21" ht="15.75" customHeight="1">
      <c r="H485" s="272"/>
      <c r="J485" s="252"/>
      <c r="L485" s="273"/>
      <c r="S485" s="264"/>
      <c r="T485" s="274"/>
      <c r="U485" s="274"/>
    </row>
    <row r="486" spans="8:21" ht="15.75" customHeight="1">
      <c r="H486" s="272"/>
      <c r="J486" s="252"/>
      <c r="L486" s="273"/>
      <c r="S486" s="264"/>
      <c r="T486" s="274"/>
      <c r="U486" s="274"/>
    </row>
    <row r="487" spans="8:21" ht="15.75" customHeight="1">
      <c r="H487" s="272"/>
      <c r="J487" s="252"/>
      <c r="L487" s="273"/>
      <c r="S487" s="264"/>
      <c r="T487" s="274"/>
      <c r="U487" s="274"/>
    </row>
    <row r="488" spans="8:21" ht="15.75" customHeight="1">
      <c r="H488" s="272"/>
      <c r="J488" s="252"/>
      <c r="L488" s="273"/>
      <c r="S488" s="264"/>
      <c r="T488" s="274"/>
      <c r="U488" s="274"/>
    </row>
    <row r="489" spans="8:21" ht="15.75" customHeight="1">
      <c r="H489" s="272"/>
      <c r="J489" s="252"/>
      <c r="L489" s="273"/>
      <c r="S489" s="264"/>
      <c r="T489" s="274"/>
      <c r="U489" s="274"/>
    </row>
    <row r="490" spans="8:21" ht="15.75" customHeight="1">
      <c r="H490" s="272"/>
      <c r="J490" s="252"/>
      <c r="L490" s="273"/>
      <c r="S490" s="264"/>
      <c r="T490" s="274"/>
      <c r="U490" s="274"/>
    </row>
    <row r="491" spans="8:21" ht="15.75" customHeight="1">
      <c r="H491" s="272"/>
      <c r="J491" s="252"/>
      <c r="L491" s="273"/>
      <c r="S491" s="264"/>
      <c r="T491" s="274"/>
      <c r="U491" s="274"/>
    </row>
    <row r="492" spans="8:21" ht="15.75" customHeight="1">
      <c r="H492" s="272"/>
      <c r="J492" s="252"/>
      <c r="L492" s="273"/>
      <c r="S492" s="264"/>
      <c r="T492" s="274"/>
      <c r="U492" s="274"/>
    </row>
    <row r="493" spans="8:21" ht="15.75" customHeight="1">
      <c r="H493" s="272"/>
      <c r="J493" s="252"/>
      <c r="L493" s="273"/>
      <c r="S493" s="264"/>
      <c r="T493" s="274"/>
      <c r="U493" s="274"/>
    </row>
    <row r="494" spans="8:21" ht="15.75" customHeight="1">
      <c r="H494" s="272"/>
      <c r="J494" s="252"/>
      <c r="L494" s="273"/>
      <c r="S494" s="264"/>
      <c r="T494" s="274"/>
      <c r="U494" s="274"/>
    </row>
    <row r="495" spans="8:21" ht="15.75" customHeight="1">
      <c r="H495" s="272"/>
      <c r="J495" s="252"/>
      <c r="L495" s="273"/>
      <c r="S495" s="264"/>
      <c r="T495" s="274"/>
      <c r="U495" s="274"/>
    </row>
    <row r="496" spans="8:21" ht="15.75" customHeight="1">
      <c r="H496" s="272"/>
      <c r="J496" s="252"/>
      <c r="L496" s="273"/>
      <c r="S496" s="264"/>
      <c r="T496" s="274"/>
      <c r="U496" s="274"/>
    </row>
    <row r="497" spans="8:21" ht="15.75" customHeight="1">
      <c r="H497" s="272"/>
      <c r="J497" s="252"/>
      <c r="L497" s="273"/>
      <c r="S497" s="264"/>
      <c r="T497" s="274"/>
      <c r="U497" s="274"/>
    </row>
    <row r="498" spans="8:21" ht="15.75" customHeight="1">
      <c r="H498" s="272"/>
      <c r="J498" s="252"/>
      <c r="L498" s="273"/>
      <c r="S498" s="264"/>
      <c r="T498" s="274"/>
      <c r="U498" s="274"/>
    </row>
    <row r="499" spans="8:21" ht="15.75" customHeight="1">
      <c r="H499" s="272"/>
      <c r="J499" s="252"/>
      <c r="L499" s="273"/>
      <c r="S499" s="264"/>
      <c r="T499" s="274"/>
      <c r="U499" s="274"/>
    </row>
    <row r="500" spans="8:21" ht="15.75" customHeight="1">
      <c r="H500" s="272"/>
      <c r="J500" s="252"/>
      <c r="L500" s="273"/>
      <c r="S500" s="264"/>
      <c r="T500" s="274"/>
      <c r="U500" s="274"/>
    </row>
    <row r="501" spans="8:21" ht="15.75" customHeight="1">
      <c r="H501" s="272"/>
      <c r="J501" s="252"/>
      <c r="L501" s="273"/>
      <c r="S501" s="264"/>
      <c r="T501" s="274"/>
      <c r="U501" s="274"/>
    </row>
    <row r="502" spans="8:21" ht="15.75" customHeight="1">
      <c r="H502" s="272"/>
      <c r="J502" s="252"/>
      <c r="L502" s="273"/>
      <c r="S502" s="264"/>
      <c r="T502" s="274"/>
      <c r="U502" s="274"/>
    </row>
    <row r="503" spans="8:21" ht="15.75" customHeight="1">
      <c r="H503" s="272"/>
      <c r="J503" s="252"/>
      <c r="L503" s="273"/>
      <c r="S503" s="264"/>
      <c r="T503" s="274"/>
      <c r="U503" s="274"/>
    </row>
    <row r="504" spans="8:21" ht="15.75" customHeight="1">
      <c r="H504" s="272"/>
      <c r="J504" s="252"/>
      <c r="L504" s="273"/>
      <c r="S504" s="264"/>
      <c r="T504" s="274"/>
      <c r="U504" s="274"/>
    </row>
    <row r="505" spans="8:21" ht="15.75" customHeight="1">
      <c r="H505" s="272"/>
      <c r="J505" s="252"/>
      <c r="L505" s="273"/>
      <c r="S505" s="264"/>
      <c r="T505" s="274"/>
      <c r="U505" s="274"/>
    </row>
    <row r="506" spans="8:21" ht="15.75" customHeight="1">
      <c r="H506" s="272"/>
      <c r="J506" s="252"/>
      <c r="L506" s="273"/>
      <c r="S506" s="264"/>
      <c r="T506" s="274"/>
      <c r="U506" s="274"/>
    </row>
    <row r="507" spans="8:21" ht="15.75" customHeight="1">
      <c r="H507" s="272"/>
      <c r="J507" s="252"/>
      <c r="L507" s="273"/>
      <c r="S507" s="264"/>
      <c r="T507" s="274"/>
      <c r="U507" s="274"/>
    </row>
    <row r="508" spans="8:21" ht="15.75" customHeight="1">
      <c r="H508" s="272"/>
      <c r="J508" s="252"/>
      <c r="L508" s="273"/>
      <c r="S508" s="264"/>
      <c r="T508" s="274"/>
      <c r="U508" s="274"/>
    </row>
    <row r="509" spans="8:21" ht="15.75" customHeight="1">
      <c r="H509" s="272"/>
      <c r="J509" s="252"/>
      <c r="L509" s="273"/>
      <c r="S509" s="264"/>
      <c r="T509" s="274"/>
      <c r="U509" s="274"/>
    </row>
    <row r="510" spans="8:21" ht="15.75" customHeight="1">
      <c r="H510" s="272"/>
      <c r="J510" s="252"/>
      <c r="L510" s="273"/>
      <c r="S510" s="264"/>
      <c r="T510" s="274"/>
      <c r="U510" s="274"/>
    </row>
    <row r="511" spans="8:21" ht="15.75" customHeight="1">
      <c r="H511" s="272"/>
      <c r="J511" s="252"/>
      <c r="L511" s="273"/>
      <c r="S511" s="264"/>
      <c r="T511" s="274"/>
      <c r="U511" s="274"/>
    </row>
    <row r="512" spans="8:21" ht="15.75" customHeight="1">
      <c r="H512" s="272"/>
      <c r="J512" s="252"/>
      <c r="L512" s="273"/>
      <c r="S512" s="264"/>
      <c r="T512" s="274"/>
      <c r="U512" s="274"/>
    </row>
    <row r="513" spans="8:21" ht="15.75" customHeight="1">
      <c r="H513" s="272"/>
      <c r="J513" s="252"/>
      <c r="L513" s="273"/>
      <c r="S513" s="264"/>
      <c r="T513" s="274"/>
      <c r="U513" s="274"/>
    </row>
    <row r="514" spans="8:21" ht="15.75" customHeight="1">
      <c r="H514" s="272"/>
      <c r="J514" s="252"/>
      <c r="L514" s="273"/>
      <c r="S514" s="264"/>
      <c r="T514" s="274"/>
      <c r="U514" s="274"/>
    </row>
    <row r="515" spans="8:21" ht="15.75" customHeight="1">
      <c r="H515" s="272"/>
      <c r="J515" s="252"/>
      <c r="L515" s="273"/>
      <c r="S515" s="264"/>
      <c r="T515" s="274"/>
      <c r="U515" s="274"/>
    </row>
    <row r="516" spans="8:21" ht="15.75" customHeight="1">
      <c r="H516" s="272"/>
      <c r="J516" s="252"/>
      <c r="L516" s="273"/>
      <c r="S516" s="264"/>
      <c r="T516" s="274"/>
      <c r="U516" s="274"/>
    </row>
    <row r="517" spans="8:21" ht="15.75" customHeight="1">
      <c r="H517" s="272"/>
      <c r="J517" s="252"/>
      <c r="L517" s="273"/>
      <c r="S517" s="264"/>
      <c r="T517" s="274"/>
      <c r="U517" s="274"/>
    </row>
    <row r="518" spans="8:21" ht="15.75" customHeight="1">
      <c r="H518" s="272"/>
      <c r="J518" s="252"/>
      <c r="L518" s="273"/>
      <c r="S518" s="264"/>
      <c r="T518" s="274"/>
      <c r="U518" s="274"/>
    </row>
    <row r="519" spans="8:21" ht="15.75" customHeight="1">
      <c r="H519" s="272"/>
      <c r="J519" s="252"/>
      <c r="L519" s="273"/>
      <c r="S519" s="264"/>
      <c r="T519" s="274"/>
      <c r="U519" s="274"/>
    </row>
    <row r="520" spans="8:21" ht="15.75" customHeight="1">
      <c r="H520" s="272"/>
      <c r="J520" s="252"/>
      <c r="L520" s="273"/>
      <c r="S520" s="264"/>
      <c r="T520" s="274"/>
      <c r="U520" s="274"/>
    </row>
    <row r="521" spans="8:21" ht="15.75" customHeight="1">
      <c r="H521" s="272"/>
      <c r="J521" s="252"/>
      <c r="L521" s="273"/>
      <c r="S521" s="264"/>
      <c r="T521" s="274"/>
      <c r="U521" s="274"/>
    </row>
    <row r="522" spans="8:21" ht="15.75" customHeight="1">
      <c r="H522" s="272"/>
      <c r="J522" s="252"/>
      <c r="L522" s="273"/>
      <c r="S522" s="264"/>
      <c r="T522" s="274"/>
      <c r="U522" s="274"/>
    </row>
    <row r="523" spans="8:21" ht="15.75" customHeight="1">
      <c r="H523" s="272"/>
      <c r="J523" s="252"/>
      <c r="L523" s="273"/>
      <c r="S523" s="264"/>
      <c r="T523" s="274"/>
      <c r="U523" s="274"/>
    </row>
    <row r="524" spans="8:21" ht="15.75" customHeight="1">
      <c r="H524" s="272"/>
      <c r="J524" s="252"/>
      <c r="L524" s="273"/>
      <c r="S524" s="264"/>
      <c r="T524" s="274"/>
      <c r="U524" s="274"/>
    </row>
    <row r="525" spans="8:21" ht="15.75" customHeight="1">
      <c r="H525" s="272"/>
      <c r="J525" s="252"/>
      <c r="L525" s="273"/>
      <c r="S525" s="264"/>
      <c r="T525" s="274"/>
      <c r="U525" s="274"/>
    </row>
    <row r="526" spans="8:21" ht="15.75" customHeight="1">
      <c r="H526" s="272"/>
      <c r="J526" s="252"/>
      <c r="L526" s="273"/>
      <c r="S526" s="264"/>
      <c r="T526" s="274"/>
      <c r="U526" s="274"/>
    </row>
    <row r="527" spans="8:21" ht="15.75" customHeight="1">
      <c r="H527" s="272"/>
      <c r="J527" s="252"/>
      <c r="L527" s="273"/>
      <c r="S527" s="264"/>
      <c r="T527" s="274"/>
      <c r="U527" s="274"/>
    </row>
    <row r="528" spans="8:21" ht="15.75" customHeight="1">
      <c r="H528" s="272"/>
      <c r="J528" s="252"/>
      <c r="L528" s="273"/>
      <c r="S528" s="264"/>
      <c r="T528" s="274"/>
      <c r="U528" s="274"/>
    </row>
    <row r="529" spans="8:21" ht="15.75" customHeight="1">
      <c r="H529" s="272"/>
      <c r="J529" s="252"/>
      <c r="L529" s="273"/>
      <c r="S529" s="264"/>
      <c r="T529" s="274"/>
      <c r="U529" s="274"/>
    </row>
    <row r="530" spans="8:21" ht="15.75" customHeight="1">
      <c r="H530" s="272"/>
      <c r="J530" s="252"/>
      <c r="L530" s="273"/>
      <c r="S530" s="264"/>
      <c r="T530" s="274"/>
      <c r="U530" s="274"/>
    </row>
    <row r="531" spans="8:21" ht="15.75" customHeight="1">
      <c r="H531" s="272"/>
      <c r="J531" s="252"/>
      <c r="L531" s="273"/>
      <c r="S531" s="264"/>
      <c r="T531" s="274"/>
      <c r="U531" s="274"/>
    </row>
    <row r="532" spans="8:21" ht="15.75" customHeight="1">
      <c r="H532" s="272"/>
      <c r="J532" s="252"/>
      <c r="L532" s="273"/>
      <c r="S532" s="264"/>
      <c r="T532" s="274"/>
      <c r="U532" s="274"/>
    </row>
    <row r="533" spans="8:21" ht="15.75" customHeight="1">
      <c r="H533" s="272"/>
      <c r="J533" s="252"/>
      <c r="L533" s="273"/>
      <c r="S533" s="264"/>
      <c r="T533" s="274"/>
      <c r="U533" s="274"/>
    </row>
    <row r="534" spans="8:21" ht="15.75" customHeight="1">
      <c r="H534" s="272"/>
      <c r="J534" s="252"/>
      <c r="L534" s="273"/>
      <c r="S534" s="264"/>
      <c r="T534" s="274"/>
      <c r="U534" s="274"/>
    </row>
    <row r="535" spans="8:21" ht="15.75" customHeight="1">
      <c r="H535" s="272"/>
      <c r="J535" s="252"/>
      <c r="L535" s="273"/>
      <c r="S535" s="264"/>
      <c r="T535" s="274"/>
      <c r="U535" s="274"/>
    </row>
    <row r="536" spans="8:21" ht="15.75" customHeight="1">
      <c r="H536" s="272"/>
      <c r="J536" s="252"/>
      <c r="L536" s="273"/>
      <c r="S536" s="264"/>
      <c r="T536" s="274"/>
      <c r="U536" s="274"/>
    </row>
    <row r="537" spans="8:21" ht="15.75" customHeight="1">
      <c r="H537" s="272"/>
      <c r="J537" s="252"/>
      <c r="L537" s="273"/>
      <c r="S537" s="264"/>
      <c r="T537" s="274"/>
      <c r="U537" s="274"/>
    </row>
    <row r="538" spans="8:21" ht="15.75" customHeight="1">
      <c r="H538" s="272"/>
      <c r="J538" s="252"/>
      <c r="L538" s="273"/>
      <c r="S538" s="264"/>
      <c r="T538" s="274"/>
      <c r="U538" s="274"/>
    </row>
    <row r="539" spans="8:21" ht="15.75" customHeight="1">
      <c r="H539" s="272"/>
      <c r="J539" s="252"/>
      <c r="L539" s="273"/>
      <c r="S539" s="264"/>
      <c r="T539" s="274"/>
      <c r="U539" s="274"/>
    </row>
    <row r="540" spans="8:21" ht="15.75" customHeight="1">
      <c r="H540" s="272"/>
      <c r="J540" s="252"/>
      <c r="L540" s="273"/>
      <c r="S540" s="264"/>
      <c r="T540" s="274"/>
      <c r="U540" s="274"/>
    </row>
    <row r="541" spans="8:21" ht="15.75" customHeight="1">
      <c r="H541" s="272"/>
      <c r="J541" s="252"/>
      <c r="L541" s="273"/>
      <c r="S541" s="264"/>
      <c r="T541" s="274"/>
      <c r="U541" s="274"/>
    </row>
    <row r="542" spans="8:21" ht="15.75" customHeight="1">
      <c r="H542" s="272"/>
      <c r="J542" s="252"/>
      <c r="L542" s="273"/>
      <c r="S542" s="264"/>
      <c r="T542" s="274"/>
      <c r="U542" s="274"/>
    </row>
    <row r="543" spans="8:21" ht="15.75" customHeight="1">
      <c r="H543" s="272"/>
      <c r="J543" s="252"/>
      <c r="L543" s="273"/>
      <c r="S543" s="264"/>
      <c r="T543" s="274"/>
      <c r="U543" s="274"/>
    </row>
    <row r="544" spans="8:21" ht="15.75" customHeight="1">
      <c r="H544" s="272"/>
      <c r="J544" s="252"/>
      <c r="L544" s="273"/>
      <c r="S544" s="264"/>
      <c r="T544" s="274"/>
      <c r="U544" s="274"/>
    </row>
    <row r="545" spans="8:21" ht="15.75" customHeight="1">
      <c r="H545" s="272"/>
      <c r="J545" s="252"/>
      <c r="L545" s="273"/>
      <c r="S545" s="264"/>
      <c r="T545" s="274"/>
      <c r="U545" s="274"/>
    </row>
    <row r="546" spans="8:21" ht="15.75" customHeight="1">
      <c r="H546" s="272"/>
      <c r="J546" s="252"/>
      <c r="L546" s="273"/>
      <c r="S546" s="264"/>
      <c r="T546" s="274"/>
      <c r="U546" s="274"/>
    </row>
    <row r="547" spans="8:21" ht="15.75" customHeight="1">
      <c r="H547" s="272"/>
      <c r="J547" s="252"/>
      <c r="L547" s="273"/>
      <c r="S547" s="264"/>
      <c r="T547" s="274"/>
      <c r="U547" s="274"/>
    </row>
    <row r="548" spans="8:21" ht="15.75" customHeight="1">
      <c r="H548" s="272"/>
      <c r="J548" s="252"/>
      <c r="L548" s="273"/>
      <c r="S548" s="264"/>
      <c r="T548" s="274"/>
      <c r="U548" s="274"/>
    </row>
    <row r="549" spans="8:21" ht="15.75" customHeight="1">
      <c r="H549" s="272"/>
      <c r="J549" s="252"/>
      <c r="L549" s="273"/>
      <c r="S549" s="264"/>
      <c r="T549" s="274"/>
      <c r="U549" s="274"/>
    </row>
    <row r="550" spans="8:21" ht="15.75" customHeight="1">
      <c r="H550" s="272"/>
      <c r="J550" s="252"/>
      <c r="L550" s="273"/>
      <c r="S550" s="264"/>
      <c r="T550" s="274"/>
      <c r="U550" s="274"/>
    </row>
    <row r="551" spans="8:21" ht="15.75" customHeight="1">
      <c r="H551" s="272"/>
      <c r="J551" s="252"/>
      <c r="L551" s="273"/>
      <c r="S551" s="264"/>
      <c r="T551" s="274"/>
      <c r="U551" s="274"/>
    </row>
    <row r="552" spans="8:21" ht="15.75" customHeight="1">
      <c r="H552" s="272"/>
      <c r="J552" s="252"/>
      <c r="L552" s="273"/>
      <c r="S552" s="264"/>
      <c r="T552" s="274"/>
      <c r="U552" s="274"/>
    </row>
    <row r="553" spans="8:21" ht="15.75" customHeight="1">
      <c r="H553" s="272"/>
      <c r="J553" s="252"/>
      <c r="L553" s="273"/>
      <c r="S553" s="264"/>
      <c r="T553" s="274"/>
      <c r="U553" s="274"/>
    </row>
    <row r="554" spans="8:21" ht="15.75" customHeight="1">
      <c r="H554" s="272"/>
      <c r="J554" s="252"/>
      <c r="L554" s="273"/>
      <c r="S554" s="264"/>
      <c r="T554" s="274"/>
      <c r="U554" s="274"/>
    </row>
    <row r="555" spans="8:21" ht="15.75" customHeight="1">
      <c r="H555" s="272"/>
      <c r="J555" s="252"/>
      <c r="L555" s="273"/>
      <c r="S555" s="264"/>
      <c r="T555" s="274"/>
      <c r="U555" s="274"/>
    </row>
    <row r="556" spans="8:21" ht="15.75" customHeight="1">
      <c r="H556" s="272"/>
      <c r="J556" s="252"/>
      <c r="L556" s="273"/>
      <c r="S556" s="264"/>
      <c r="T556" s="274"/>
      <c r="U556" s="274"/>
    </row>
    <row r="557" spans="8:21" ht="15.75" customHeight="1">
      <c r="H557" s="272"/>
      <c r="J557" s="252"/>
      <c r="L557" s="273"/>
      <c r="S557" s="264"/>
      <c r="T557" s="274"/>
      <c r="U557" s="274"/>
    </row>
    <row r="558" spans="8:21" ht="15.75" customHeight="1">
      <c r="H558" s="272"/>
      <c r="J558" s="252"/>
      <c r="L558" s="273"/>
      <c r="S558" s="264"/>
      <c r="T558" s="274"/>
      <c r="U558" s="274"/>
    </row>
    <row r="559" spans="8:21" ht="15.75" customHeight="1">
      <c r="H559" s="272"/>
      <c r="J559" s="252"/>
      <c r="L559" s="273"/>
      <c r="S559" s="264"/>
      <c r="T559" s="274"/>
      <c r="U559" s="274"/>
    </row>
    <row r="560" spans="8:21" ht="15.75" customHeight="1">
      <c r="H560" s="272"/>
      <c r="J560" s="252"/>
      <c r="L560" s="273"/>
      <c r="S560" s="264"/>
      <c r="T560" s="274"/>
      <c r="U560" s="274"/>
    </row>
    <row r="561" spans="8:21" ht="15.75" customHeight="1">
      <c r="H561" s="272"/>
      <c r="J561" s="252"/>
      <c r="L561" s="273"/>
      <c r="S561" s="264"/>
      <c r="T561" s="274"/>
      <c r="U561" s="274"/>
    </row>
    <row r="562" spans="8:21" ht="15.75" customHeight="1">
      <c r="H562" s="272"/>
      <c r="J562" s="252"/>
      <c r="L562" s="273"/>
      <c r="S562" s="264"/>
      <c r="T562" s="274"/>
      <c r="U562" s="274"/>
    </row>
    <row r="563" spans="8:21" ht="15.75" customHeight="1">
      <c r="H563" s="272"/>
      <c r="J563" s="252"/>
      <c r="L563" s="273"/>
      <c r="S563" s="264"/>
      <c r="T563" s="274"/>
      <c r="U563" s="274"/>
    </row>
    <row r="564" spans="8:21" ht="15.75" customHeight="1">
      <c r="H564" s="272"/>
      <c r="J564" s="252"/>
      <c r="L564" s="273"/>
      <c r="S564" s="264"/>
      <c r="T564" s="274"/>
      <c r="U564" s="274"/>
    </row>
    <row r="565" spans="8:21" ht="15.75" customHeight="1">
      <c r="H565" s="272"/>
      <c r="J565" s="252"/>
      <c r="L565" s="273"/>
      <c r="S565" s="264"/>
      <c r="T565" s="274"/>
      <c r="U565" s="274"/>
    </row>
    <row r="566" spans="8:21" ht="15.75" customHeight="1">
      <c r="H566" s="272"/>
      <c r="J566" s="252"/>
      <c r="L566" s="273"/>
      <c r="S566" s="264"/>
      <c r="T566" s="274"/>
      <c r="U566" s="274"/>
    </row>
    <row r="567" spans="8:21" ht="15.75" customHeight="1">
      <c r="H567" s="272"/>
      <c r="J567" s="252"/>
      <c r="L567" s="273"/>
      <c r="S567" s="264"/>
      <c r="T567" s="274"/>
      <c r="U567" s="274"/>
    </row>
    <row r="568" spans="8:21" ht="15.75" customHeight="1">
      <c r="H568" s="272"/>
      <c r="J568" s="252"/>
      <c r="L568" s="273"/>
      <c r="S568" s="264"/>
      <c r="T568" s="274"/>
      <c r="U568" s="274"/>
    </row>
    <row r="569" spans="8:21" ht="15.75" customHeight="1">
      <c r="H569" s="272"/>
      <c r="J569" s="252"/>
      <c r="L569" s="273"/>
      <c r="S569" s="264"/>
      <c r="T569" s="274"/>
      <c r="U569" s="274"/>
    </row>
    <row r="570" spans="8:21" ht="15.75" customHeight="1">
      <c r="H570" s="272"/>
      <c r="J570" s="252"/>
      <c r="L570" s="273"/>
      <c r="S570" s="264"/>
      <c r="T570" s="274"/>
      <c r="U570" s="274"/>
    </row>
    <row r="571" spans="8:21" ht="15.75" customHeight="1">
      <c r="H571" s="272"/>
      <c r="J571" s="252"/>
      <c r="L571" s="273"/>
      <c r="S571" s="264"/>
      <c r="T571" s="274"/>
      <c r="U571" s="274"/>
    </row>
    <row r="572" spans="8:21" ht="15.75" customHeight="1">
      <c r="H572" s="272"/>
      <c r="J572" s="252"/>
      <c r="L572" s="273"/>
      <c r="S572" s="264"/>
      <c r="T572" s="274"/>
      <c r="U572" s="274"/>
    </row>
    <row r="573" spans="8:21" ht="15.75" customHeight="1">
      <c r="H573" s="272"/>
      <c r="J573" s="252"/>
      <c r="L573" s="273"/>
      <c r="S573" s="264"/>
      <c r="T573" s="274"/>
      <c r="U573" s="274"/>
    </row>
    <row r="574" spans="8:21" ht="15.75" customHeight="1">
      <c r="H574" s="272"/>
      <c r="J574" s="252"/>
      <c r="L574" s="273"/>
      <c r="S574" s="264"/>
      <c r="T574" s="274"/>
      <c r="U574" s="274"/>
    </row>
    <row r="575" spans="8:21" ht="15.75" customHeight="1">
      <c r="H575" s="272"/>
      <c r="J575" s="252"/>
      <c r="L575" s="273"/>
      <c r="S575" s="264"/>
      <c r="T575" s="274"/>
      <c r="U575" s="274"/>
    </row>
    <row r="576" spans="8:21" ht="15.75" customHeight="1">
      <c r="H576" s="272"/>
      <c r="J576" s="252"/>
      <c r="L576" s="273"/>
      <c r="S576" s="264"/>
      <c r="T576" s="274"/>
      <c r="U576" s="274"/>
    </row>
    <row r="577" spans="8:21" ht="15.75" customHeight="1">
      <c r="H577" s="272"/>
      <c r="J577" s="252"/>
      <c r="L577" s="273"/>
      <c r="S577" s="264"/>
      <c r="T577" s="274"/>
      <c r="U577" s="274"/>
    </row>
    <row r="578" spans="8:21" ht="15.75" customHeight="1">
      <c r="H578" s="272"/>
      <c r="J578" s="252"/>
      <c r="L578" s="273"/>
      <c r="S578" s="264"/>
      <c r="T578" s="274"/>
      <c r="U578" s="274"/>
    </row>
    <row r="579" spans="8:21" ht="15.75" customHeight="1">
      <c r="H579" s="272"/>
      <c r="J579" s="252"/>
      <c r="L579" s="273"/>
      <c r="S579" s="264"/>
      <c r="T579" s="274"/>
      <c r="U579" s="274"/>
    </row>
    <row r="580" spans="8:21" ht="15.75" customHeight="1">
      <c r="H580" s="272"/>
      <c r="J580" s="252"/>
      <c r="L580" s="273"/>
      <c r="S580" s="264"/>
      <c r="T580" s="274"/>
      <c r="U580" s="274"/>
    </row>
    <row r="581" spans="8:21" ht="15.75" customHeight="1">
      <c r="H581" s="272"/>
      <c r="J581" s="252"/>
      <c r="L581" s="273"/>
      <c r="S581" s="264"/>
      <c r="T581" s="274"/>
      <c r="U581" s="274"/>
    </row>
    <row r="582" spans="8:21" ht="15.75" customHeight="1">
      <c r="H582" s="272"/>
      <c r="J582" s="252"/>
      <c r="L582" s="273"/>
      <c r="S582" s="264"/>
      <c r="T582" s="274"/>
      <c r="U582" s="274"/>
    </row>
    <row r="583" spans="8:21" ht="15.75" customHeight="1">
      <c r="H583" s="272"/>
      <c r="J583" s="252"/>
      <c r="L583" s="273"/>
      <c r="S583" s="264"/>
      <c r="T583" s="274"/>
      <c r="U583" s="274"/>
    </row>
    <row r="584" spans="8:21" ht="15.75" customHeight="1">
      <c r="H584" s="272"/>
      <c r="J584" s="252"/>
      <c r="L584" s="273"/>
      <c r="S584" s="264"/>
      <c r="T584" s="274"/>
      <c r="U584" s="274"/>
    </row>
    <row r="585" spans="8:21" ht="15.75" customHeight="1">
      <c r="H585" s="272"/>
      <c r="J585" s="252"/>
      <c r="L585" s="273"/>
      <c r="S585" s="264"/>
      <c r="T585" s="274"/>
      <c r="U585" s="274"/>
    </row>
    <row r="586" spans="8:21" ht="15.75" customHeight="1">
      <c r="H586" s="272"/>
      <c r="J586" s="252"/>
      <c r="L586" s="273"/>
      <c r="S586" s="264"/>
      <c r="T586" s="274"/>
      <c r="U586" s="274"/>
    </row>
    <row r="587" spans="8:21" ht="15.75" customHeight="1">
      <c r="H587" s="272"/>
      <c r="J587" s="252"/>
      <c r="L587" s="273"/>
      <c r="S587" s="264"/>
      <c r="T587" s="274"/>
      <c r="U587" s="274"/>
    </row>
    <row r="588" spans="8:21" ht="15.75" customHeight="1">
      <c r="H588" s="272"/>
      <c r="J588" s="252"/>
      <c r="L588" s="273"/>
      <c r="S588" s="264"/>
      <c r="T588" s="274"/>
      <c r="U588" s="274"/>
    </row>
    <row r="589" spans="8:21" ht="15.75" customHeight="1">
      <c r="H589" s="272"/>
      <c r="J589" s="252"/>
      <c r="L589" s="273"/>
      <c r="S589" s="264"/>
      <c r="T589" s="274"/>
      <c r="U589" s="274"/>
    </row>
    <row r="590" spans="8:21" ht="15.75" customHeight="1">
      <c r="H590" s="272"/>
      <c r="J590" s="252"/>
      <c r="L590" s="273"/>
      <c r="S590" s="264"/>
      <c r="T590" s="274"/>
      <c r="U590" s="274"/>
    </row>
    <row r="591" spans="8:21" ht="15.75" customHeight="1">
      <c r="H591" s="272"/>
      <c r="J591" s="252"/>
      <c r="L591" s="273"/>
      <c r="S591" s="264"/>
      <c r="T591" s="274"/>
      <c r="U591" s="274"/>
    </row>
    <row r="592" spans="8:21" ht="15.75" customHeight="1">
      <c r="H592" s="272"/>
      <c r="J592" s="252"/>
      <c r="L592" s="273"/>
      <c r="S592" s="264"/>
      <c r="T592" s="274"/>
      <c r="U592" s="274"/>
    </row>
    <row r="593" spans="8:21" ht="15.75" customHeight="1">
      <c r="H593" s="272"/>
      <c r="J593" s="252"/>
      <c r="L593" s="273"/>
      <c r="S593" s="264"/>
      <c r="T593" s="274"/>
      <c r="U593" s="274"/>
    </row>
    <row r="594" spans="8:21" ht="15.75" customHeight="1">
      <c r="H594" s="272"/>
      <c r="J594" s="252"/>
      <c r="L594" s="273"/>
      <c r="S594" s="264"/>
      <c r="T594" s="274"/>
      <c r="U594" s="274"/>
    </row>
    <row r="595" spans="8:21" ht="15.75" customHeight="1">
      <c r="H595" s="272"/>
      <c r="J595" s="252"/>
      <c r="L595" s="273"/>
      <c r="S595" s="264"/>
      <c r="T595" s="274"/>
      <c r="U595" s="274"/>
    </row>
    <row r="596" spans="8:21" ht="15.75" customHeight="1">
      <c r="H596" s="272"/>
      <c r="J596" s="252"/>
      <c r="L596" s="273"/>
      <c r="S596" s="264"/>
      <c r="T596" s="274"/>
      <c r="U596" s="274"/>
    </row>
    <row r="597" spans="8:21" ht="15.75" customHeight="1">
      <c r="H597" s="272"/>
      <c r="J597" s="252"/>
      <c r="L597" s="273"/>
      <c r="S597" s="264"/>
      <c r="T597" s="274"/>
      <c r="U597" s="274"/>
    </row>
    <row r="598" spans="8:21" ht="15.75" customHeight="1">
      <c r="H598" s="272"/>
      <c r="J598" s="252"/>
      <c r="L598" s="273"/>
      <c r="S598" s="264"/>
      <c r="T598" s="274"/>
      <c r="U598" s="274"/>
    </row>
    <row r="599" spans="8:21" ht="15.75" customHeight="1">
      <c r="H599" s="272"/>
      <c r="J599" s="252"/>
      <c r="L599" s="273"/>
      <c r="S599" s="264"/>
      <c r="T599" s="274"/>
      <c r="U599" s="274"/>
    </row>
    <row r="600" spans="8:21" ht="15.75" customHeight="1">
      <c r="H600" s="272"/>
      <c r="J600" s="252"/>
      <c r="L600" s="273"/>
      <c r="S600" s="264"/>
      <c r="T600" s="274"/>
      <c r="U600" s="274"/>
    </row>
    <row r="601" spans="8:21" ht="15.75" customHeight="1">
      <c r="H601" s="272"/>
      <c r="J601" s="252"/>
      <c r="L601" s="273"/>
      <c r="S601" s="264"/>
      <c r="T601" s="274"/>
      <c r="U601" s="274"/>
    </row>
    <row r="602" spans="8:21" ht="15.75" customHeight="1">
      <c r="H602" s="272"/>
      <c r="J602" s="252"/>
      <c r="L602" s="273"/>
      <c r="S602" s="264"/>
      <c r="T602" s="274"/>
      <c r="U602" s="274"/>
    </row>
    <row r="603" spans="8:21" ht="15.75" customHeight="1">
      <c r="H603" s="272"/>
      <c r="J603" s="252"/>
      <c r="L603" s="273"/>
      <c r="S603" s="264"/>
      <c r="T603" s="274"/>
      <c r="U603" s="274"/>
    </row>
    <row r="604" spans="8:21" ht="15.75" customHeight="1">
      <c r="H604" s="272"/>
      <c r="J604" s="252"/>
      <c r="L604" s="273"/>
      <c r="S604" s="264"/>
      <c r="T604" s="274"/>
      <c r="U604" s="274"/>
    </row>
    <row r="605" spans="8:21" ht="15.75" customHeight="1">
      <c r="H605" s="272"/>
      <c r="J605" s="252"/>
      <c r="L605" s="273"/>
      <c r="S605" s="264"/>
      <c r="T605" s="274"/>
      <c r="U605" s="274"/>
    </row>
    <row r="606" spans="8:21" ht="15.75" customHeight="1">
      <c r="H606" s="272"/>
      <c r="J606" s="252"/>
      <c r="L606" s="273"/>
      <c r="S606" s="264"/>
      <c r="T606" s="274"/>
      <c r="U606" s="274"/>
    </row>
    <row r="607" spans="8:21" ht="15.75" customHeight="1">
      <c r="H607" s="272"/>
      <c r="J607" s="252"/>
      <c r="L607" s="273"/>
      <c r="S607" s="264"/>
      <c r="T607" s="274"/>
      <c r="U607" s="274"/>
    </row>
    <row r="608" spans="8:21" ht="15.75" customHeight="1">
      <c r="H608" s="272"/>
      <c r="J608" s="252"/>
      <c r="L608" s="273"/>
      <c r="S608" s="264"/>
      <c r="T608" s="274"/>
      <c r="U608" s="274"/>
    </row>
    <row r="609" spans="8:21" ht="15.75" customHeight="1">
      <c r="H609" s="272"/>
      <c r="J609" s="252"/>
      <c r="L609" s="273"/>
      <c r="S609" s="264"/>
      <c r="T609" s="274"/>
      <c r="U609" s="274"/>
    </row>
    <row r="610" spans="8:21" ht="15.75" customHeight="1">
      <c r="H610" s="272"/>
      <c r="J610" s="252"/>
      <c r="L610" s="273"/>
      <c r="S610" s="264"/>
      <c r="T610" s="274"/>
      <c r="U610" s="274"/>
    </row>
    <row r="611" spans="8:21" ht="15.75" customHeight="1">
      <c r="H611" s="272"/>
      <c r="J611" s="252"/>
      <c r="L611" s="273"/>
      <c r="S611" s="264"/>
      <c r="T611" s="274"/>
      <c r="U611" s="274"/>
    </row>
    <row r="612" spans="8:21" ht="15.75" customHeight="1">
      <c r="H612" s="272"/>
      <c r="J612" s="252"/>
      <c r="L612" s="273"/>
      <c r="S612" s="264"/>
      <c r="T612" s="274"/>
      <c r="U612" s="274"/>
    </row>
    <row r="613" spans="8:21" ht="15.75" customHeight="1">
      <c r="H613" s="272"/>
      <c r="J613" s="252"/>
      <c r="L613" s="273"/>
      <c r="S613" s="264"/>
      <c r="T613" s="274"/>
      <c r="U613" s="274"/>
    </row>
    <row r="614" spans="8:21" ht="15.75" customHeight="1">
      <c r="H614" s="272"/>
      <c r="J614" s="252"/>
      <c r="L614" s="273"/>
      <c r="S614" s="264"/>
      <c r="T614" s="274"/>
      <c r="U614" s="274"/>
    </row>
    <row r="615" spans="8:21" ht="15.75" customHeight="1">
      <c r="H615" s="272"/>
      <c r="J615" s="252"/>
      <c r="L615" s="273"/>
      <c r="S615" s="264"/>
      <c r="T615" s="274"/>
      <c r="U615" s="274"/>
    </row>
    <row r="616" spans="8:21" ht="15.75" customHeight="1">
      <c r="H616" s="272"/>
      <c r="J616" s="252"/>
      <c r="L616" s="273"/>
      <c r="S616" s="264"/>
      <c r="T616" s="274"/>
      <c r="U616" s="274"/>
    </row>
    <row r="617" spans="8:21" ht="15.75" customHeight="1">
      <c r="H617" s="272"/>
      <c r="J617" s="252"/>
      <c r="L617" s="273"/>
      <c r="S617" s="264"/>
      <c r="T617" s="274"/>
      <c r="U617" s="274"/>
    </row>
    <row r="618" spans="8:21" ht="15.75" customHeight="1">
      <c r="H618" s="272"/>
      <c r="J618" s="252"/>
      <c r="L618" s="273"/>
      <c r="S618" s="264"/>
      <c r="T618" s="274"/>
      <c r="U618" s="274"/>
    </row>
    <row r="619" spans="8:21" ht="15.75" customHeight="1">
      <c r="H619" s="272"/>
      <c r="J619" s="252"/>
      <c r="L619" s="273"/>
      <c r="S619" s="264"/>
      <c r="T619" s="274"/>
      <c r="U619" s="274"/>
    </row>
    <row r="620" spans="8:21" ht="15.75" customHeight="1">
      <c r="H620" s="272"/>
      <c r="J620" s="252"/>
      <c r="L620" s="273"/>
      <c r="S620" s="264"/>
      <c r="T620" s="274"/>
      <c r="U620" s="274"/>
    </row>
    <row r="621" spans="8:21" ht="15.75" customHeight="1">
      <c r="H621" s="272"/>
      <c r="J621" s="252"/>
      <c r="L621" s="273"/>
      <c r="S621" s="264"/>
      <c r="T621" s="274"/>
      <c r="U621" s="274"/>
    </row>
    <row r="622" spans="8:21" ht="15.75" customHeight="1">
      <c r="H622" s="272"/>
      <c r="J622" s="252"/>
      <c r="L622" s="273"/>
      <c r="S622" s="264"/>
      <c r="T622" s="274"/>
      <c r="U622" s="274"/>
    </row>
    <row r="623" spans="8:21" ht="15.75" customHeight="1">
      <c r="H623" s="272"/>
      <c r="J623" s="252"/>
      <c r="L623" s="273"/>
      <c r="S623" s="264"/>
      <c r="T623" s="274"/>
      <c r="U623" s="274"/>
    </row>
    <row r="624" spans="8:21" ht="15.75" customHeight="1">
      <c r="H624" s="272"/>
      <c r="J624" s="252"/>
      <c r="L624" s="273"/>
      <c r="S624" s="264"/>
      <c r="T624" s="274"/>
      <c r="U624" s="274"/>
    </row>
    <row r="625" spans="8:21" ht="15.75" customHeight="1">
      <c r="H625" s="272"/>
      <c r="J625" s="252"/>
      <c r="L625" s="273"/>
      <c r="S625" s="264"/>
      <c r="T625" s="274"/>
      <c r="U625" s="274"/>
    </row>
    <row r="626" spans="8:21" ht="15.75" customHeight="1">
      <c r="H626" s="272"/>
      <c r="J626" s="252"/>
      <c r="L626" s="273"/>
      <c r="S626" s="264"/>
      <c r="T626" s="274"/>
      <c r="U626" s="274"/>
    </row>
    <row r="627" spans="8:21" ht="15.75" customHeight="1">
      <c r="H627" s="272"/>
      <c r="J627" s="252"/>
      <c r="L627" s="273"/>
      <c r="S627" s="264"/>
      <c r="T627" s="274"/>
      <c r="U627" s="274"/>
    </row>
    <row r="628" spans="8:21" ht="15.75" customHeight="1">
      <c r="H628" s="272"/>
      <c r="J628" s="252"/>
      <c r="L628" s="273"/>
      <c r="S628" s="264"/>
      <c r="T628" s="274"/>
      <c r="U628" s="274"/>
    </row>
    <row r="629" spans="8:21" ht="15.75" customHeight="1">
      <c r="H629" s="272"/>
      <c r="J629" s="252"/>
      <c r="L629" s="273"/>
      <c r="S629" s="264"/>
      <c r="T629" s="274"/>
      <c r="U629" s="274"/>
    </row>
    <row r="630" spans="8:21" ht="15.75" customHeight="1">
      <c r="H630" s="272"/>
      <c r="J630" s="252"/>
      <c r="L630" s="273"/>
      <c r="S630" s="264"/>
      <c r="T630" s="274"/>
      <c r="U630" s="274"/>
    </row>
    <row r="631" spans="8:21" ht="15.75" customHeight="1">
      <c r="H631" s="272"/>
      <c r="J631" s="252"/>
      <c r="L631" s="273"/>
      <c r="S631" s="264"/>
      <c r="T631" s="274"/>
      <c r="U631" s="274"/>
    </row>
    <row r="632" spans="8:21" ht="15.75" customHeight="1">
      <c r="H632" s="272"/>
      <c r="J632" s="252"/>
      <c r="L632" s="273"/>
      <c r="S632" s="264"/>
      <c r="T632" s="274"/>
      <c r="U632" s="274"/>
    </row>
    <row r="633" spans="8:21" ht="15.75" customHeight="1">
      <c r="H633" s="272"/>
      <c r="J633" s="252"/>
      <c r="L633" s="273"/>
      <c r="S633" s="264"/>
      <c r="T633" s="274"/>
      <c r="U633" s="274"/>
    </row>
    <row r="634" spans="8:21" ht="15.75" customHeight="1">
      <c r="H634" s="272"/>
      <c r="J634" s="252"/>
      <c r="L634" s="273"/>
      <c r="S634" s="264"/>
      <c r="T634" s="274"/>
      <c r="U634" s="274"/>
    </row>
    <row r="635" spans="8:21" ht="15.75" customHeight="1">
      <c r="H635" s="272"/>
      <c r="J635" s="252"/>
      <c r="L635" s="273"/>
      <c r="S635" s="264"/>
      <c r="T635" s="274"/>
      <c r="U635" s="274"/>
    </row>
    <row r="636" spans="8:21" ht="15.75" customHeight="1">
      <c r="H636" s="272"/>
      <c r="J636" s="252"/>
      <c r="L636" s="273"/>
      <c r="S636" s="264"/>
      <c r="T636" s="274"/>
      <c r="U636" s="274"/>
    </row>
    <row r="637" spans="8:21" ht="15.75" customHeight="1">
      <c r="H637" s="272"/>
      <c r="J637" s="252"/>
      <c r="L637" s="273"/>
      <c r="S637" s="264"/>
      <c r="T637" s="274"/>
      <c r="U637" s="274"/>
    </row>
    <row r="638" spans="8:21" ht="15.75" customHeight="1">
      <c r="H638" s="272"/>
      <c r="J638" s="252"/>
      <c r="L638" s="273"/>
      <c r="S638" s="264"/>
      <c r="T638" s="274"/>
      <c r="U638" s="274"/>
    </row>
    <row r="639" spans="8:21" ht="15.75" customHeight="1">
      <c r="H639" s="272"/>
      <c r="J639" s="252"/>
      <c r="L639" s="273"/>
      <c r="S639" s="264"/>
      <c r="T639" s="274"/>
      <c r="U639" s="274"/>
    </row>
    <row r="640" spans="8:21" ht="15.75" customHeight="1">
      <c r="H640" s="272"/>
      <c r="J640" s="252"/>
      <c r="L640" s="273"/>
      <c r="S640" s="264"/>
      <c r="T640" s="274"/>
      <c r="U640" s="274"/>
    </row>
    <row r="641" spans="8:21" ht="15.75" customHeight="1">
      <c r="H641" s="272"/>
      <c r="J641" s="252"/>
      <c r="L641" s="273"/>
      <c r="S641" s="264"/>
      <c r="T641" s="274"/>
      <c r="U641" s="274"/>
    </row>
    <row r="642" spans="8:21" ht="15.75" customHeight="1">
      <c r="H642" s="272"/>
      <c r="J642" s="252"/>
      <c r="L642" s="273"/>
      <c r="S642" s="264"/>
      <c r="T642" s="274"/>
      <c r="U642" s="274"/>
    </row>
    <row r="643" spans="8:21" ht="15.75" customHeight="1">
      <c r="H643" s="272"/>
      <c r="J643" s="252"/>
      <c r="L643" s="273"/>
      <c r="S643" s="264"/>
      <c r="T643" s="274"/>
      <c r="U643" s="274"/>
    </row>
    <row r="644" spans="8:21" ht="15.75" customHeight="1">
      <c r="H644" s="272"/>
      <c r="J644" s="252"/>
      <c r="L644" s="273"/>
      <c r="S644" s="264"/>
      <c r="T644" s="274"/>
      <c r="U644" s="274"/>
    </row>
    <row r="645" spans="8:21" ht="15.75" customHeight="1">
      <c r="H645" s="272"/>
      <c r="J645" s="252"/>
      <c r="L645" s="273"/>
      <c r="S645" s="264"/>
      <c r="T645" s="274"/>
      <c r="U645" s="274"/>
    </row>
    <row r="646" spans="8:21" ht="15.75" customHeight="1">
      <c r="H646" s="272"/>
      <c r="J646" s="252"/>
      <c r="L646" s="273"/>
      <c r="S646" s="264"/>
      <c r="T646" s="274"/>
      <c r="U646" s="274"/>
    </row>
    <row r="647" spans="8:21" ht="15.75" customHeight="1">
      <c r="H647" s="272"/>
      <c r="J647" s="252"/>
      <c r="L647" s="273"/>
      <c r="S647" s="264"/>
      <c r="T647" s="274"/>
      <c r="U647" s="274"/>
    </row>
    <row r="648" spans="8:21" ht="15.75" customHeight="1">
      <c r="H648" s="272"/>
      <c r="J648" s="252"/>
      <c r="L648" s="273"/>
      <c r="S648" s="264"/>
      <c r="T648" s="274"/>
      <c r="U648" s="274"/>
    </row>
    <row r="649" spans="8:21" ht="15.75" customHeight="1">
      <c r="H649" s="272"/>
      <c r="J649" s="252"/>
      <c r="L649" s="273"/>
      <c r="S649" s="264"/>
      <c r="T649" s="274"/>
      <c r="U649" s="274"/>
    </row>
    <row r="650" spans="8:21" ht="15.75" customHeight="1">
      <c r="H650" s="272"/>
      <c r="J650" s="252"/>
      <c r="L650" s="273"/>
      <c r="S650" s="264"/>
      <c r="T650" s="274"/>
      <c r="U650" s="274"/>
    </row>
    <row r="651" spans="8:21" ht="15.75" customHeight="1">
      <c r="H651" s="272"/>
      <c r="J651" s="252"/>
      <c r="L651" s="273"/>
      <c r="S651" s="264"/>
      <c r="T651" s="274"/>
      <c r="U651" s="274"/>
    </row>
    <row r="652" spans="8:21" ht="15.75" customHeight="1">
      <c r="H652" s="272"/>
      <c r="J652" s="252"/>
      <c r="L652" s="273"/>
      <c r="S652" s="264"/>
      <c r="T652" s="274"/>
      <c r="U652" s="274"/>
    </row>
    <row r="653" spans="8:21" ht="15.75" customHeight="1">
      <c r="H653" s="272"/>
      <c r="J653" s="252"/>
      <c r="L653" s="273"/>
      <c r="S653" s="264"/>
      <c r="T653" s="274"/>
      <c r="U653" s="274"/>
    </row>
    <row r="654" spans="8:21" ht="15.75" customHeight="1">
      <c r="H654" s="272"/>
      <c r="J654" s="252"/>
      <c r="L654" s="273"/>
      <c r="S654" s="264"/>
      <c r="T654" s="274"/>
      <c r="U654" s="274"/>
    </row>
    <row r="655" spans="8:21" ht="15.75" customHeight="1">
      <c r="H655" s="272"/>
      <c r="J655" s="252"/>
      <c r="L655" s="273"/>
      <c r="S655" s="264"/>
      <c r="T655" s="274"/>
      <c r="U655" s="274"/>
    </row>
    <row r="656" spans="8:21" ht="15.75" customHeight="1">
      <c r="H656" s="272"/>
      <c r="J656" s="252"/>
      <c r="L656" s="273"/>
      <c r="S656" s="264"/>
      <c r="T656" s="274"/>
      <c r="U656" s="274"/>
    </row>
    <row r="657" spans="8:21" ht="15.75" customHeight="1">
      <c r="H657" s="272"/>
      <c r="J657" s="252"/>
      <c r="L657" s="273"/>
      <c r="S657" s="264"/>
      <c r="T657" s="274"/>
      <c r="U657" s="274"/>
    </row>
    <row r="658" spans="8:21" ht="15.75" customHeight="1">
      <c r="H658" s="272"/>
      <c r="J658" s="252"/>
      <c r="L658" s="273"/>
      <c r="S658" s="264"/>
      <c r="T658" s="274"/>
      <c r="U658" s="274"/>
    </row>
    <row r="659" spans="8:21" ht="15.75" customHeight="1">
      <c r="H659" s="272"/>
      <c r="J659" s="252"/>
      <c r="L659" s="273"/>
      <c r="S659" s="264"/>
      <c r="T659" s="274"/>
      <c r="U659" s="274"/>
    </row>
    <row r="660" spans="8:21" ht="15.75" customHeight="1">
      <c r="H660" s="272"/>
      <c r="J660" s="252"/>
      <c r="L660" s="273"/>
      <c r="S660" s="264"/>
      <c r="T660" s="274"/>
      <c r="U660" s="274"/>
    </row>
    <row r="661" spans="8:21" ht="15.75" customHeight="1">
      <c r="H661" s="272"/>
      <c r="J661" s="252"/>
      <c r="L661" s="273"/>
      <c r="S661" s="264"/>
      <c r="T661" s="274"/>
      <c r="U661" s="274"/>
    </row>
    <row r="662" spans="8:21" ht="15.75" customHeight="1">
      <c r="H662" s="272"/>
      <c r="J662" s="252"/>
      <c r="L662" s="273"/>
      <c r="S662" s="264"/>
      <c r="T662" s="274"/>
      <c r="U662" s="274"/>
    </row>
    <row r="663" spans="8:21" ht="15.75" customHeight="1">
      <c r="H663" s="272"/>
      <c r="J663" s="252"/>
      <c r="L663" s="273"/>
      <c r="S663" s="264"/>
      <c r="T663" s="274"/>
      <c r="U663" s="274"/>
    </row>
    <row r="664" spans="8:21" ht="15.75" customHeight="1">
      <c r="H664" s="272"/>
      <c r="J664" s="252"/>
      <c r="L664" s="273"/>
      <c r="S664" s="264"/>
      <c r="T664" s="274"/>
      <c r="U664" s="274"/>
    </row>
    <row r="665" spans="8:21" ht="15.75" customHeight="1">
      <c r="H665" s="272"/>
      <c r="J665" s="252"/>
      <c r="L665" s="273"/>
      <c r="S665" s="264"/>
      <c r="T665" s="274"/>
      <c r="U665" s="274"/>
    </row>
    <row r="666" spans="8:21" ht="15.75" customHeight="1">
      <c r="H666" s="272"/>
      <c r="J666" s="252"/>
      <c r="L666" s="273"/>
      <c r="S666" s="264"/>
      <c r="T666" s="274"/>
      <c r="U666" s="274"/>
    </row>
    <row r="667" spans="8:21" ht="15.75" customHeight="1">
      <c r="H667" s="272"/>
      <c r="J667" s="252"/>
      <c r="L667" s="273"/>
      <c r="S667" s="264"/>
      <c r="T667" s="274"/>
      <c r="U667" s="274"/>
    </row>
    <row r="668" spans="8:21" ht="15.75" customHeight="1">
      <c r="H668" s="272"/>
      <c r="J668" s="252"/>
      <c r="L668" s="273"/>
      <c r="S668" s="264"/>
      <c r="T668" s="274"/>
      <c r="U668" s="274"/>
    </row>
    <row r="669" spans="8:21" ht="15.75" customHeight="1">
      <c r="H669" s="272"/>
      <c r="J669" s="252"/>
      <c r="L669" s="273"/>
      <c r="S669" s="264"/>
      <c r="T669" s="274"/>
      <c r="U669" s="274"/>
    </row>
    <row r="670" spans="8:21" ht="15.75" customHeight="1">
      <c r="H670" s="272"/>
      <c r="J670" s="252"/>
      <c r="L670" s="273"/>
      <c r="S670" s="264"/>
      <c r="T670" s="274"/>
      <c r="U670" s="274"/>
    </row>
    <row r="671" spans="8:21" ht="15.75" customHeight="1">
      <c r="H671" s="272"/>
      <c r="J671" s="252"/>
      <c r="L671" s="273"/>
      <c r="S671" s="264"/>
      <c r="T671" s="274"/>
      <c r="U671" s="274"/>
    </row>
    <row r="672" spans="8:21" ht="15.75" customHeight="1">
      <c r="H672" s="272"/>
      <c r="J672" s="252"/>
      <c r="L672" s="273"/>
      <c r="S672" s="264"/>
      <c r="T672" s="274"/>
      <c r="U672" s="274"/>
    </row>
    <row r="673" spans="8:21" ht="15.75" customHeight="1">
      <c r="H673" s="272"/>
      <c r="J673" s="252"/>
      <c r="L673" s="273"/>
      <c r="S673" s="264"/>
      <c r="T673" s="274"/>
      <c r="U673" s="274"/>
    </row>
    <row r="674" spans="8:21" ht="15.75" customHeight="1">
      <c r="H674" s="272"/>
      <c r="J674" s="252"/>
      <c r="L674" s="273"/>
      <c r="S674" s="264"/>
      <c r="T674" s="274"/>
      <c r="U674" s="274"/>
    </row>
    <row r="675" spans="8:21" ht="15.75" customHeight="1">
      <c r="H675" s="272"/>
      <c r="J675" s="252"/>
      <c r="L675" s="273"/>
      <c r="S675" s="264"/>
      <c r="T675" s="274"/>
      <c r="U675" s="274"/>
    </row>
    <row r="676" spans="8:21" ht="15.75" customHeight="1">
      <c r="H676" s="272"/>
      <c r="J676" s="252"/>
      <c r="L676" s="273"/>
      <c r="S676" s="264"/>
      <c r="T676" s="274"/>
      <c r="U676" s="274"/>
    </row>
    <row r="677" spans="8:21" ht="15.75" customHeight="1">
      <c r="H677" s="272"/>
      <c r="J677" s="252"/>
      <c r="L677" s="273"/>
      <c r="S677" s="264"/>
      <c r="T677" s="274"/>
      <c r="U677" s="274"/>
    </row>
    <row r="678" spans="8:21" ht="15.75" customHeight="1">
      <c r="H678" s="272"/>
      <c r="J678" s="252"/>
      <c r="L678" s="273"/>
      <c r="S678" s="264"/>
      <c r="T678" s="274"/>
      <c r="U678" s="274"/>
    </row>
    <row r="679" spans="8:21" ht="15.75" customHeight="1">
      <c r="H679" s="272"/>
      <c r="J679" s="252"/>
      <c r="L679" s="273"/>
      <c r="S679" s="264"/>
      <c r="T679" s="274"/>
      <c r="U679" s="274"/>
    </row>
    <row r="680" spans="8:21" ht="15.75" customHeight="1">
      <c r="H680" s="272"/>
      <c r="J680" s="252"/>
      <c r="L680" s="273"/>
      <c r="S680" s="264"/>
      <c r="T680" s="274"/>
      <c r="U680" s="274"/>
    </row>
    <row r="681" spans="8:21" ht="15.75" customHeight="1">
      <c r="H681" s="272"/>
      <c r="J681" s="252"/>
      <c r="L681" s="273"/>
      <c r="S681" s="264"/>
      <c r="T681" s="274"/>
      <c r="U681" s="274"/>
    </row>
    <row r="682" spans="8:21" ht="15.75" customHeight="1">
      <c r="H682" s="272"/>
      <c r="J682" s="252"/>
      <c r="L682" s="273"/>
      <c r="S682" s="264"/>
      <c r="T682" s="274"/>
      <c r="U682" s="274"/>
    </row>
    <row r="683" spans="8:21" ht="15.75" customHeight="1">
      <c r="H683" s="272"/>
      <c r="J683" s="252"/>
      <c r="L683" s="273"/>
      <c r="S683" s="264"/>
      <c r="T683" s="274"/>
      <c r="U683" s="274"/>
    </row>
    <row r="684" spans="8:21" ht="15.75" customHeight="1">
      <c r="H684" s="272"/>
      <c r="J684" s="252"/>
      <c r="L684" s="273"/>
      <c r="S684" s="264"/>
      <c r="T684" s="274"/>
      <c r="U684" s="274"/>
    </row>
    <row r="685" spans="8:21" ht="15.75" customHeight="1">
      <c r="H685" s="272"/>
      <c r="J685" s="252"/>
      <c r="L685" s="273"/>
      <c r="S685" s="264"/>
      <c r="T685" s="274"/>
      <c r="U685" s="274"/>
    </row>
    <row r="686" spans="8:21" ht="15.75" customHeight="1">
      <c r="H686" s="272"/>
      <c r="J686" s="252"/>
      <c r="L686" s="273"/>
      <c r="S686" s="264"/>
      <c r="T686" s="274"/>
      <c r="U686" s="274"/>
    </row>
    <row r="687" spans="8:21" ht="15.75" customHeight="1">
      <c r="H687" s="272"/>
      <c r="J687" s="252"/>
      <c r="L687" s="273"/>
      <c r="S687" s="264"/>
      <c r="T687" s="274"/>
      <c r="U687" s="274"/>
    </row>
    <row r="688" spans="8:21" ht="15.75" customHeight="1">
      <c r="H688" s="272"/>
      <c r="J688" s="252"/>
      <c r="L688" s="273"/>
      <c r="S688" s="264"/>
      <c r="T688" s="274"/>
      <c r="U688" s="274"/>
    </row>
    <row r="689" spans="8:21" ht="15.75" customHeight="1">
      <c r="H689" s="272"/>
      <c r="J689" s="252"/>
      <c r="L689" s="273"/>
      <c r="S689" s="264"/>
      <c r="T689" s="274"/>
      <c r="U689" s="274"/>
    </row>
    <row r="690" spans="8:21" ht="15.75" customHeight="1">
      <c r="H690" s="272"/>
      <c r="J690" s="252"/>
      <c r="L690" s="273"/>
      <c r="S690" s="264"/>
      <c r="T690" s="274"/>
      <c r="U690" s="274"/>
    </row>
    <row r="691" spans="8:21" ht="15.75" customHeight="1">
      <c r="H691" s="272"/>
      <c r="J691" s="252"/>
      <c r="L691" s="273"/>
      <c r="S691" s="264"/>
      <c r="T691" s="274"/>
      <c r="U691" s="274"/>
    </row>
    <row r="692" spans="8:21" ht="15.75" customHeight="1">
      <c r="H692" s="272"/>
      <c r="J692" s="252"/>
      <c r="L692" s="273"/>
      <c r="S692" s="264"/>
      <c r="T692" s="274"/>
      <c r="U692" s="274"/>
    </row>
    <row r="693" spans="8:21" ht="15.75" customHeight="1">
      <c r="H693" s="272"/>
      <c r="J693" s="252"/>
      <c r="L693" s="273"/>
      <c r="S693" s="264"/>
      <c r="T693" s="274"/>
      <c r="U693" s="274"/>
    </row>
    <row r="694" spans="8:21" ht="15.75" customHeight="1">
      <c r="H694" s="272"/>
      <c r="J694" s="252"/>
      <c r="L694" s="273"/>
      <c r="S694" s="264"/>
      <c r="T694" s="274"/>
      <c r="U694" s="274"/>
    </row>
    <row r="695" spans="8:21" ht="15.75" customHeight="1">
      <c r="H695" s="272"/>
      <c r="J695" s="252"/>
      <c r="L695" s="273"/>
      <c r="S695" s="264"/>
      <c r="T695" s="274"/>
      <c r="U695" s="274"/>
    </row>
    <row r="696" spans="8:21" ht="15.75" customHeight="1">
      <c r="H696" s="272"/>
      <c r="J696" s="252"/>
      <c r="L696" s="273"/>
      <c r="S696" s="264"/>
      <c r="T696" s="274"/>
      <c r="U696" s="274"/>
    </row>
    <row r="697" spans="8:21" ht="15.75" customHeight="1">
      <c r="H697" s="272"/>
      <c r="J697" s="252"/>
      <c r="L697" s="273"/>
      <c r="S697" s="264"/>
      <c r="T697" s="274"/>
      <c r="U697" s="274"/>
    </row>
    <row r="698" spans="8:21" ht="15.75" customHeight="1">
      <c r="H698" s="272"/>
      <c r="J698" s="252"/>
      <c r="L698" s="273"/>
      <c r="S698" s="264"/>
      <c r="T698" s="274"/>
      <c r="U698" s="274"/>
    </row>
    <row r="699" spans="8:21" ht="15.75" customHeight="1">
      <c r="H699" s="272"/>
      <c r="J699" s="252"/>
      <c r="L699" s="273"/>
      <c r="S699" s="264"/>
      <c r="T699" s="274"/>
      <c r="U699" s="274"/>
    </row>
    <row r="700" spans="8:21" ht="15.75" customHeight="1">
      <c r="H700" s="272"/>
      <c r="J700" s="252"/>
      <c r="L700" s="273"/>
      <c r="S700" s="264"/>
      <c r="T700" s="274"/>
      <c r="U700" s="274"/>
    </row>
    <row r="701" spans="8:21" ht="15.75" customHeight="1">
      <c r="H701" s="272"/>
      <c r="J701" s="252"/>
      <c r="L701" s="273"/>
      <c r="S701" s="264"/>
      <c r="T701" s="274"/>
      <c r="U701" s="274"/>
    </row>
    <row r="702" spans="8:21" ht="15.75" customHeight="1">
      <c r="H702" s="272"/>
      <c r="J702" s="252"/>
      <c r="L702" s="273"/>
      <c r="S702" s="264"/>
      <c r="T702" s="274"/>
      <c r="U702" s="274"/>
    </row>
    <row r="703" spans="8:21" ht="15.75" customHeight="1">
      <c r="H703" s="272"/>
      <c r="J703" s="252"/>
      <c r="L703" s="273"/>
      <c r="S703" s="264"/>
      <c r="T703" s="274"/>
      <c r="U703" s="274"/>
    </row>
    <row r="704" spans="8:21" ht="15.75" customHeight="1">
      <c r="H704" s="272"/>
      <c r="J704" s="252"/>
      <c r="L704" s="273"/>
      <c r="S704" s="264"/>
      <c r="T704" s="274"/>
      <c r="U704" s="274"/>
    </row>
    <row r="705" spans="8:21" ht="15.75" customHeight="1">
      <c r="H705" s="272"/>
      <c r="J705" s="252"/>
      <c r="L705" s="273"/>
      <c r="S705" s="264"/>
      <c r="T705" s="274"/>
      <c r="U705" s="274"/>
    </row>
    <row r="706" spans="8:21" ht="15.75" customHeight="1">
      <c r="H706" s="272"/>
      <c r="J706" s="252"/>
      <c r="L706" s="273"/>
      <c r="S706" s="264"/>
      <c r="T706" s="274"/>
      <c r="U706" s="274"/>
    </row>
    <row r="707" spans="8:21" ht="15.75" customHeight="1">
      <c r="H707" s="272"/>
      <c r="J707" s="252"/>
      <c r="L707" s="273"/>
      <c r="S707" s="264"/>
      <c r="T707" s="274"/>
      <c r="U707" s="274"/>
    </row>
    <row r="708" spans="8:21" ht="15.75" customHeight="1">
      <c r="H708" s="272"/>
      <c r="J708" s="252"/>
      <c r="L708" s="273"/>
      <c r="S708" s="264"/>
      <c r="T708" s="274"/>
      <c r="U708" s="274"/>
    </row>
    <row r="709" spans="8:21" ht="15.75" customHeight="1">
      <c r="H709" s="272"/>
      <c r="J709" s="252"/>
      <c r="L709" s="273"/>
      <c r="S709" s="264"/>
      <c r="T709" s="274"/>
      <c r="U709" s="274"/>
    </row>
    <row r="710" spans="8:21" ht="15.75" customHeight="1">
      <c r="H710" s="272"/>
      <c r="J710" s="252"/>
      <c r="L710" s="273"/>
      <c r="S710" s="264"/>
      <c r="T710" s="274"/>
      <c r="U710" s="274"/>
    </row>
    <row r="711" spans="8:21" ht="15.75" customHeight="1">
      <c r="H711" s="272"/>
      <c r="J711" s="252"/>
      <c r="L711" s="273"/>
      <c r="S711" s="264"/>
      <c r="T711" s="274"/>
      <c r="U711" s="274"/>
    </row>
    <row r="712" spans="8:21" ht="15.75" customHeight="1">
      <c r="H712" s="272"/>
      <c r="J712" s="252"/>
      <c r="L712" s="273"/>
      <c r="S712" s="264"/>
      <c r="T712" s="274"/>
      <c r="U712" s="274"/>
    </row>
    <row r="713" spans="8:21" ht="15.75" customHeight="1">
      <c r="H713" s="272"/>
      <c r="J713" s="252"/>
      <c r="L713" s="273"/>
      <c r="S713" s="264"/>
      <c r="T713" s="274"/>
      <c r="U713" s="274"/>
    </row>
    <row r="714" spans="8:21" ht="15.75" customHeight="1">
      <c r="H714" s="272"/>
      <c r="J714" s="252"/>
      <c r="L714" s="273"/>
      <c r="S714" s="264"/>
      <c r="T714" s="274"/>
      <c r="U714" s="274"/>
    </row>
    <row r="715" spans="8:21" ht="15.75" customHeight="1">
      <c r="H715" s="272"/>
      <c r="J715" s="252"/>
      <c r="L715" s="273"/>
      <c r="S715" s="264"/>
      <c r="T715" s="274"/>
      <c r="U715" s="274"/>
    </row>
    <row r="716" spans="8:21" ht="15.75" customHeight="1">
      <c r="H716" s="272"/>
      <c r="J716" s="252"/>
      <c r="L716" s="273"/>
      <c r="S716" s="264"/>
      <c r="T716" s="274"/>
      <c r="U716" s="274"/>
    </row>
    <row r="717" spans="8:21" ht="15.75" customHeight="1">
      <c r="H717" s="272"/>
      <c r="J717" s="252"/>
      <c r="L717" s="273"/>
      <c r="S717" s="264"/>
      <c r="T717" s="274"/>
      <c r="U717" s="274"/>
    </row>
    <row r="718" spans="8:21" ht="15.75" customHeight="1">
      <c r="H718" s="272"/>
      <c r="J718" s="252"/>
      <c r="L718" s="273"/>
      <c r="S718" s="264"/>
      <c r="T718" s="274"/>
      <c r="U718" s="274"/>
    </row>
    <row r="719" spans="8:21" ht="15.75" customHeight="1">
      <c r="H719" s="272"/>
      <c r="J719" s="252"/>
      <c r="L719" s="273"/>
      <c r="S719" s="264"/>
      <c r="T719" s="274"/>
      <c r="U719" s="274"/>
    </row>
    <row r="720" spans="8:21" ht="15.75" customHeight="1">
      <c r="H720" s="272"/>
      <c r="J720" s="252"/>
      <c r="L720" s="273"/>
      <c r="S720" s="264"/>
      <c r="T720" s="274"/>
      <c r="U720" s="274"/>
    </row>
    <row r="721" spans="8:21" ht="15.75" customHeight="1">
      <c r="H721" s="272"/>
      <c r="J721" s="252"/>
      <c r="L721" s="273"/>
      <c r="S721" s="264"/>
      <c r="T721" s="274"/>
      <c r="U721" s="274"/>
    </row>
    <row r="722" spans="8:21" ht="15.75" customHeight="1">
      <c r="H722" s="272"/>
      <c r="J722" s="252"/>
      <c r="L722" s="273"/>
      <c r="S722" s="264"/>
      <c r="T722" s="274"/>
      <c r="U722" s="274"/>
    </row>
    <row r="723" spans="8:21" ht="15.75" customHeight="1">
      <c r="H723" s="272"/>
      <c r="J723" s="252"/>
      <c r="L723" s="273"/>
      <c r="S723" s="264"/>
      <c r="T723" s="274"/>
      <c r="U723" s="274"/>
    </row>
    <row r="724" spans="8:21" ht="15.75" customHeight="1">
      <c r="H724" s="272"/>
      <c r="J724" s="252"/>
      <c r="L724" s="273"/>
      <c r="S724" s="264"/>
      <c r="T724" s="274"/>
      <c r="U724" s="274"/>
    </row>
    <row r="725" spans="8:21" ht="15.75" customHeight="1">
      <c r="H725" s="272"/>
      <c r="J725" s="252"/>
      <c r="L725" s="273"/>
      <c r="S725" s="264"/>
      <c r="T725" s="274"/>
      <c r="U725" s="274"/>
    </row>
    <row r="726" spans="8:21" ht="15.75" customHeight="1">
      <c r="H726" s="272"/>
      <c r="J726" s="252"/>
      <c r="L726" s="273"/>
      <c r="S726" s="264"/>
      <c r="T726" s="274"/>
      <c r="U726" s="274"/>
    </row>
    <row r="727" spans="8:21" ht="15.75" customHeight="1">
      <c r="H727" s="272"/>
      <c r="J727" s="252"/>
      <c r="L727" s="273"/>
      <c r="S727" s="264"/>
      <c r="T727" s="274"/>
      <c r="U727" s="274"/>
    </row>
    <row r="728" spans="8:21" ht="15.75" customHeight="1">
      <c r="H728" s="272"/>
      <c r="J728" s="252"/>
      <c r="L728" s="273"/>
      <c r="S728" s="264"/>
      <c r="T728" s="274"/>
      <c r="U728" s="274"/>
    </row>
    <row r="729" spans="8:21" ht="15.75" customHeight="1">
      <c r="H729" s="272"/>
      <c r="J729" s="252"/>
      <c r="L729" s="273"/>
      <c r="S729" s="264"/>
      <c r="T729" s="274"/>
      <c r="U729" s="274"/>
    </row>
    <row r="730" spans="8:21" ht="15.75" customHeight="1">
      <c r="H730" s="272"/>
      <c r="J730" s="252"/>
      <c r="L730" s="273"/>
      <c r="S730" s="264"/>
      <c r="T730" s="274"/>
      <c r="U730" s="274"/>
    </row>
    <row r="731" spans="8:21" ht="15.75" customHeight="1">
      <c r="H731" s="272"/>
      <c r="J731" s="252"/>
      <c r="L731" s="273"/>
      <c r="S731" s="264"/>
      <c r="T731" s="274"/>
      <c r="U731" s="274"/>
    </row>
    <row r="732" spans="8:21" ht="15.75" customHeight="1">
      <c r="H732" s="272"/>
      <c r="J732" s="252"/>
      <c r="L732" s="273"/>
      <c r="S732" s="264"/>
      <c r="T732" s="274"/>
      <c r="U732" s="274"/>
    </row>
    <row r="733" spans="8:21" ht="15.75" customHeight="1">
      <c r="H733" s="272"/>
      <c r="J733" s="252"/>
      <c r="L733" s="273"/>
      <c r="S733" s="264"/>
      <c r="T733" s="274"/>
      <c r="U733" s="274"/>
    </row>
    <row r="734" spans="8:21" ht="15.75" customHeight="1">
      <c r="H734" s="272"/>
      <c r="J734" s="252"/>
      <c r="L734" s="273"/>
      <c r="S734" s="264"/>
      <c r="T734" s="274"/>
      <c r="U734" s="274"/>
    </row>
    <row r="735" spans="8:21" ht="15.75" customHeight="1">
      <c r="H735" s="272"/>
      <c r="J735" s="252"/>
      <c r="L735" s="273"/>
      <c r="S735" s="264"/>
      <c r="T735" s="274"/>
      <c r="U735" s="274"/>
    </row>
    <row r="736" spans="8:21" ht="15.75" customHeight="1">
      <c r="H736" s="272"/>
      <c r="J736" s="252"/>
      <c r="L736" s="273"/>
      <c r="S736" s="264"/>
      <c r="T736" s="274"/>
      <c r="U736" s="274"/>
    </row>
    <row r="737" spans="8:21" ht="15.75" customHeight="1">
      <c r="H737" s="272"/>
      <c r="J737" s="252"/>
      <c r="L737" s="273"/>
      <c r="S737" s="264"/>
      <c r="T737" s="274"/>
      <c r="U737" s="274"/>
    </row>
    <row r="738" spans="8:21" ht="15.75" customHeight="1">
      <c r="H738" s="272"/>
      <c r="J738" s="252"/>
      <c r="L738" s="273"/>
      <c r="S738" s="264"/>
      <c r="T738" s="274"/>
      <c r="U738" s="274"/>
    </row>
    <row r="739" spans="8:21" ht="15.75" customHeight="1">
      <c r="H739" s="272"/>
      <c r="J739" s="252"/>
      <c r="L739" s="273"/>
      <c r="S739" s="264"/>
      <c r="T739" s="274"/>
      <c r="U739" s="274"/>
    </row>
    <row r="740" spans="8:21" ht="15.75" customHeight="1">
      <c r="H740" s="272"/>
      <c r="J740" s="252"/>
      <c r="L740" s="273"/>
      <c r="S740" s="264"/>
      <c r="T740" s="274"/>
      <c r="U740" s="274"/>
    </row>
    <row r="741" spans="8:21" ht="15.75" customHeight="1">
      <c r="H741" s="272"/>
      <c r="J741" s="252"/>
      <c r="L741" s="273"/>
      <c r="S741" s="264"/>
      <c r="T741" s="274"/>
      <c r="U741" s="274"/>
    </row>
    <row r="742" spans="8:21" ht="15.75" customHeight="1">
      <c r="H742" s="272"/>
      <c r="J742" s="252"/>
      <c r="L742" s="273"/>
      <c r="S742" s="264"/>
      <c r="T742" s="274"/>
      <c r="U742" s="274"/>
    </row>
    <row r="743" spans="8:21" ht="15.75" customHeight="1">
      <c r="H743" s="272"/>
      <c r="J743" s="252"/>
      <c r="L743" s="273"/>
      <c r="S743" s="264"/>
      <c r="T743" s="274"/>
      <c r="U743" s="274"/>
    </row>
    <row r="744" spans="8:21" ht="15.75" customHeight="1">
      <c r="H744" s="272"/>
      <c r="J744" s="252"/>
      <c r="L744" s="273"/>
      <c r="S744" s="264"/>
      <c r="T744" s="274"/>
      <c r="U744" s="274"/>
    </row>
    <row r="745" spans="8:21" ht="15.75" customHeight="1">
      <c r="H745" s="272"/>
      <c r="J745" s="252"/>
      <c r="L745" s="273"/>
      <c r="S745" s="264"/>
      <c r="T745" s="274"/>
      <c r="U745" s="274"/>
    </row>
    <row r="746" spans="8:21" ht="15.75" customHeight="1">
      <c r="H746" s="272"/>
      <c r="J746" s="252"/>
      <c r="L746" s="273"/>
      <c r="S746" s="264"/>
      <c r="T746" s="274"/>
      <c r="U746" s="274"/>
    </row>
    <row r="747" spans="8:21" ht="15.75" customHeight="1">
      <c r="H747" s="272"/>
      <c r="J747" s="252"/>
      <c r="L747" s="273"/>
      <c r="S747" s="264"/>
      <c r="T747" s="274"/>
      <c r="U747" s="274"/>
    </row>
    <row r="748" spans="8:21" ht="15.75" customHeight="1">
      <c r="H748" s="272"/>
      <c r="J748" s="252"/>
      <c r="L748" s="273"/>
      <c r="S748" s="264"/>
      <c r="T748" s="274"/>
      <c r="U748" s="274"/>
    </row>
    <row r="749" spans="8:21" ht="15.75" customHeight="1">
      <c r="H749" s="272"/>
      <c r="J749" s="252"/>
      <c r="L749" s="273"/>
      <c r="S749" s="264"/>
      <c r="T749" s="274"/>
      <c r="U749" s="274"/>
    </row>
    <row r="750" spans="8:21" ht="15.75" customHeight="1">
      <c r="H750" s="272"/>
      <c r="J750" s="252"/>
      <c r="L750" s="273"/>
      <c r="S750" s="264"/>
      <c r="T750" s="274"/>
      <c r="U750" s="274"/>
    </row>
    <row r="751" spans="8:21" ht="15.75" customHeight="1">
      <c r="H751" s="272"/>
      <c r="J751" s="252"/>
      <c r="L751" s="273"/>
      <c r="S751" s="264"/>
      <c r="T751" s="274"/>
      <c r="U751" s="274"/>
    </row>
    <row r="752" spans="8:21" ht="15.75" customHeight="1">
      <c r="H752" s="272"/>
      <c r="J752" s="252"/>
      <c r="L752" s="273"/>
      <c r="S752" s="264"/>
      <c r="T752" s="274"/>
      <c r="U752" s="274"/>
    </row>
    <row r="753" spans="8:21" ht="15.75" customHeight="1">
      <c r="H753" s="272"/>
      <c r="J753" s="252"/>
      <c r="L753" s="273"/>
      <c r="S753" s="264"/>
      <c r="T753" s="274"/>
      <c r="U753" s="274"/>
    </row>
    <row r="754" spans="8:21" ht="15.75" customHeight="1">
      <c r="H754" s="272"/>
      <c r="J754" s="252"/>
      <c r="L754" s="273"/>
      <c r="S754" s="264"/>
      <c r="T754" s="274"/>
      <c r="U754" s="274"/>
    </row>
    <row r="755" spans="8:21" ht="15.75" customHeight="1">
      <c r="H755" s="272"/>
      <c r="J755" s="252"/>
      <c r="L755" s="273"/>
      <c r="S755" s="264"/>
      <c r="T755" s="274"/>
      <c r="U755" s="274"/>
    </row>
    <row r="756" spans="8:21" ht="15.75" customHeight="1">
      <c r="H756" s="272"/>
      <c r="J756" s="252"/>
      <c r="L756" s="273"/>
      <c r="S756" s="264"/>
      <c r="T756" s="274"/>
      <c r="U756" s="274"/>
    </row>
    <row r="757" spans="8:21" ht="15.75" customHeight="1">
      <c r="H757" s="272"/>
      <c r="J757" s="252"/>
      <c r="L757" s="273"/>
      <c r="S757" s="264"/>
      <c r="T757" s="274"/>
      <c r="U757" s="274"/>
    </row>
    <row r="758" spans="8:21" ht="15.75" customHeight="1">
      <c r="H758" s="272"/>
      <c r="J758" s="252"/>
      <c r="L758" s="273"/>
      <c r="S758" s="264"/>
      <c r="T758" s="274"/>
      <c r="U758" s="274"/>
    </row>
    <row r="759" spans="8:21" ht="15.75" customHeight="1">
      <c r="H759" s="272"/>
      <c r="J759" s="252"/>
      <c r="L759" s="273"/>
      <c r="S759" s="264"/>
      <c r="T759" s="274"/>
      <c r="U759" s="274"/>
    </row>
    <row r="760" spans="8:21" ht="15.75" customHeight="1">
      <c r="H760" s="272"/>
      <c r="J760" s="252"/>
      <c r="L760" s="273"/>
      <c r="S760" s="264"/>
      <c r="T760" s="274"/>
      <c r="U760" s="274"/>
    </row>
    <row r="761" spans="8:21" ht="15.75" customHeight="1">
      <c r="H761" s="272"/>
      <c r="J761" s="252"/>
      <c r="L761" s="273"/>
      <c r="S761" s="264"/>
      <c r="T761" s="274"/>
      <c r="U761" s="274"/>
    </row>
    <row r="762" spans="8:21" ht="15.75" customHeight="1">
      <c r="H762" s="272"/>
      <c r="J762" s="252"/>
      <c r="L762" s="273"/>
      <c r="S762" s="264"/>
      <c r="T762" s="274"/>
      <c r="U762" s="274"/>
    </row>
    <row r="763" spans="8:21" ht="15.75" customHeight="1">
      <c r="H763" s="272"/>
      <c r="J763" s="252"/>
      <c r="L763" s="273"/>
      <c r="S763" s="264"/>
      <c r="T763" s="274"/>
      <c r="U763" s="274"/>
    </row>
    <row r="764" spans="8:21" ht="15.75" customHeight="1">
      <c r="H764" s="272"/>
      <c r="J764" s="252"/>
      <c r="L764" s="273"/>
      <c r="S764" s="264"/>
      <c r="T764" s="274"/>
      <c r="U764" s="274"/>
    </row>
    <row r="765" spans="8:21" ht="15.75" customHeight="1">
      <c r="H765" s="272"/>
      <c r="J765" s="252"/>
      <c r="L765" s="273"/>
      <c r="S765" s="264"/>
      <c r="T765" s="274"/>
      <c r="U765" s="274"/>
    </row>
    <row r="766" spans="8:21" ht="15.75" customHeight="1">
      <c r="H766" s="272"/>
      <c r="J766" s="252"/>
      <c r="L766" s="273"/>
      <c r="S766" s="264"/>
      <c r="T766" s="274"/>
      <c r="U766" s="274"/>
    </row>
    <row r="767" spans="8:21" ht="15.75" customHeight="1">
      <c r="H767" s="272"/>
      <c r="J767" s="252"/>
      <c r="L767" s="273"/>
      <c r="S767" s="264"/>
      <c r="T767" s="274"/>
      <c r="U767" s="274"/>
    </row>
    <row r="768" spans="8:21" ht="15.75" customHeight="1">
      <c r="H768" s="272"/>
      <c r="J768" s="252"/>
      <c r="L768" s="273"/>
      <c r="S768" s="264"/>
      <c r="T768" s="274"/>
      <c r="U768" s="274"/>
    </row>
    <row r="769" spans="8:21" ht="15.75" customHeight="1">
      <c r="H769" s="272"/>
      <c r="J769" s="252"/>
      <c r="L769" s="273"/>
      <c r="S769" s="264"/>
      <c r="T769" s="274"/>
      <c r="U769" s="274"/>
    </row>
    <row r="770" spans="8:21" ht="15.75" customHeight="1">
      <c r="H770" s="272"/>
      <c r="J770" s="252"/>
      <c r="L770" s="273"/>
      <c r="S770" s="264"/>
      <c r="T770" s="274"/>
      <c r="U770" s="274"/>
    </row>
    <row r="771" spans="8:21" ht="15.75" customHeight="1">
      <c r="H771" s="272"/>
      <c r="J771" s="252"/>
      <c r="L771" s="273"/>
      <c r="S771" s="264"/>
      <c r="T771" s="274"/>
      <c r="U771" s="274"/>
    </row>
    <row r="772" spans="8:21" ht="15.75" customHeight="1">
      <c r="H772" s="272"/>
      <c r="J772" s="252"/>
      <c r="L772" s="273"/>
      <c r="S772" s="264"/>
      <c r="T772" s="274"/>
      <c r="U772" s="274"/>
    </row>
    <row r="773" spans="8:21" ht="15.75" customHeight="1">
      <c r="H773" s="272"/>
      <c r="J773" s="252"/>
      <c r="L773" s="273"/>
      <c r="S773" s="264"/>
      <c r="T773" s="274"/>
      <c r="U773" s="274"/>
    </row>
    <row r="774" spans="8:21" ht="15.75" customHeight="1">
      <c r="H774" s="272"/>
      <c r="J774" s="252"/>
      <c r="L774" s="273"/>
      <c r="S774" s="264"/>
      <c r="T774" s="274"/>
      <c r="U774" s="274"/>
    </row>
    <row r="775" spans="8:21" ht="15.75" customHeight="1">
      <c r="H775" s="272"/>
      <c r="J775" s="252"/>
      <c r="L775" s="273"/>
      <c r="S775" s="264"/>
      <c r="T775" s="274"/>
      <c r="U775" s="274"/>
    </row>
    <row r="776" spans="8:21" ht="15.75" customHeight="1">
      <c r="H776" s="272"/>
      <c r="J776" s="252"/>
      <c r="L776" s="273"/>
      <c r="S776" s="264"/>
      <c r="T776" s="274"/>
      <c r="U776" s="274"/>
    </row>
    <row r="777" spans="8:21" ht="15.75" customHeight="1">
      <c r="H777" s="272"/>
      <c r="J777" s="252"/>
      <c r="L777" s="273"/>
      <c r="S777" s="264"/>
      <c r="T777" s="274"/>
      <c r="U777" s="274"/>
    </row>
    <row r="778" spans="8:21" ht="15.75" customHeight="1">
      <c r="H778" s="272"/>
      <c r="J778" s="252"/>
      <c r="L778" s="273"/>
      <c r="S778" s="264"/>
      <c r="T778" s="274"/>
      <c r="U778" s="274"/>
    </row>
    <row r="779" spans="8:21" ht="15.75" customHeight="1">
      <c r="H779" s="272"/>
      <c r="J779" s="252"/>
      <c r="L779" s="273"/>
      <c r="S779" s="264"/>
      <c r="T779" s="274"/>
      <c r="U779" s="274"/>
    </row>
    <row r="780" spans="8:21" ht="15.75" customHeight="1">
      <c r="H780" s="272"/>
      <c r="J780" s="252"/>
      <c r="L780" s="273"/>
      <c r="S780" s="264"/>
      <c r="T780" s="274"/>
      <c r="U780" s="274"/>
    </row>
    <row r="781" spans="8:21" ht="15.75" customHeight="1">
      <c r="H781" s="272"/>
      <c r="J781" s="252"/>
      <c r="L781" s="273"/>
      <c r="S781" s="264"/>
      <c r="T781" s="274"/>
      <c r="U781" s="274"/>
    </row>
    <row r="782" spans="8:21" ht="15.75" customHeight="1">
      <c r="H782" s="272"/>
      <c r="J782" s="252"/>
      <c r="L782" s="273"/>
      <c r="S782" s="264"/>
      <c r="T782" s="274"/>
      <c r="U782" s="274"/>
    </row>
    <row r="783" spans="8:21" ht="15.75" customHeight="1">
      <c r="H783" s="272"/>
      <c r="J783" s="252"/>
      <c r="L783" s="273"/>
      <c r="S783" s="264"/>
      <c r="T783" s="274"/>
      <c r="U783" s="274"/>
    </row>
    <row r="784" spans="8:21" ht="15.75" customHeight="1">
      <c r="H784" s="272"/>
      <c r="J784" s="252"/>
      <c r="L784" s="273"/>
      <c r="S784" s="264"/>
      <c r="T784" s="274"/>
      <c r="U784" s="274"/>
    </row>
    <row r="785" spans="8:21" ht="15.75" customHeight="1">
      <c r="H785" s="272"/>
      <c r="J785" s="252"/>
      <c r="L785" s="273"/>
      <c r="S785" s="264"/>
      <c r="T785" s="274"/>
      <c r="U785" s="274"/>
    </row>
    <row r="786" spans="8:21" ht="15.75" customHeight="1">
      <c r="H786" s="272"/>
      <c r="J786" s="252"/>
      <c r="L786" s="273"/>
      <c r="S786" s="264"/>
      <c r="T786" s="274"/>
      <c r="U786" s="274"/>
    </row>
    <row r="787" spans="8:21" ht="15.75" customHeight="1">
      <c r="H787" s="272"/>
      <c r="J787" s="252"/>
      <c r="L787" s="273"/>
      <c r="S787" s="264"/>
      <c r="T787" s="274"/>
      <c r="U787" s="274"/>
    </row>
    <row r="788" spans="8:21" ht="15.75" customHeight="1">
      <c r="H788" s="272"/>
      <c r="J788" s="252"/>
      <c r="L788" s="273"/>
      <c r="S788" s="264"/>
      <c r="T788" s="274"/>
      <c r="U788" s="274"/>
    </row>
    <row r="789" spans="8:21" ht="15.75" customHeight="1">
      <c r="H789" s="272"/>
      <c r="J789" s="252"/>
      <c r="L789" s="273"/>
      <c r="S789" s="264"/>
      <c r="T789" s="274"/>
      <c r="U789" s="274"/>
    </row>
    <row r="790" spans="8:21" ht="15.75" customHeight="1">
      <c r="H790" s="272"/>
      <c r="J790" s="252"/>
      <c r="L790" s="273"/>
      <c r="S790" s="264"/>
      <c r="T790" s="274"/>
      <c r="U790" s="274"/>
    </row>
    <row r="791" spans="8:21" ht="15.75" customHeight="1">
      <c r="H791" s="272"/>
      <c r="J791" s="252"/>
      <c r="L791" s="273"/>
      <c r="S791" s="264"/>
      <c r="T791" s="274"/>
      <c r="U791" s="274"/>
    </row>
    <row r="792" spans="8:21" ht="15.75" customHeight="1">
      <c r="H792" s="272"/>
      <c r="J792" s="252"/>
      <c r="L792" s="273"/>
      <c r="S792" s="264"/>
      <c r="T792" s="274"/>
      <c r="U792" s="274"/>
    </row>
    <row r="793" spans="8:21" ht="15.75" customHeight="1">
      <c r="H793" s="272"/>
      <c r="J793" s="252"/>
      <c r="L793" s="273"/>
      <c r="S793" s="264"/>
      <c r="T793" s="274"/>
      <c r="U793" s="274"/>
    </row>
    <row r="794" spans="8:21" ht="15.75" customHeight="1">
      <c r="H794" s="272"/>
      <c r="J794" s="252"/>
      <c r="L794" s="273"/>
      <c r="S794" s="264"/>
      <c r="T794" s="274"/>
      <c r="U794" s="274"/>
    </row>
    <row r="795" spans="8:21" ht="15.75" customHeight="1">
      <c r="H795" s="272"/>
      <c r="J795" s="252"/>
      <c r="L795" s="273"/>
      <c r="S795" s="264"/>
      <c r="T795" s="274"/>
      <c r="U795" s="274"/>
    </row>
    <row r="796" spans="8:21" ht="15.75" customHeight="1">
      <c r="H796" s="272"/>
      <c r="J796" s="252"/>
      <c r="L796" s="273"/>
      <c r="S796" s="264"/>
      <c r="T796" s="274"/>
      <c r="U796" s="274"/>
    </row>
    <row r="797" spans="8:21" ht="15.75" customHeight="1">
      <c r="H797" s="272"/>
      <c r="J797" s="252"/>
      <c r="L797" s="273"/>
      <c r="S797" s="264"/>
      <c r="T797" s="274"/>
      <c r="U797" s="274"/>
    </row>
    <row r="798" spans="8:21" ht="15.75" customHeight="1">
      <c r="H798" s="272"/>
      <c r="J798" s="252"/>
      <c r="L798" s="273"/>
      <c r="S798" s="264"/>
      <c r="T798" s="274"/>
      <c r="U798" s="274"/>
    </row>
    <row r="799" spans="8:21" ht="15.75" customHeight="1">
      <c r="H799" s="272"/>
      <c r="J799" s="252"/>
      <c r="L799" s="273"/>
      <c r="S799" s="264"/>
      <c r="T799" s="274"/>
      <c r="U799" s="274"/>
    </row>
    <row r="800" spans="8:21" ht="15.75" customHeight="1">
      <c r="H800" s="272"/>
      <c r="J800" s="252"/>
      <c r="L800" s="273"/>
      <c r="S800" s="264"/>
      <c r="T800" s="274"/>
      <c r="U800" s="274"/>
    </row>
    <row r="801" spans="8:21" ht="15.75" customHeight="1">
      <c r="H801" s="272"/>
      <c r="J801" s="252"/>
      <c r="L801" s="273"/>
      <c r="S801" s="264"/>
      <c r="T801" s="274"/>
      <c r="U801" s="274"/>
    </row>
    <row r="802" spans="8:21" ht="15.75" customHeight="1">
      <c r="H802" s="272"/>
      <c r="J802" s="252"/>
      <c r="L802" s="273"/>
      <c r="S802" s="264"/>
      <c r="T802" s="274"/>
      <c r="U802" s="274"/>
    </row>
    <row r="803" spans="8:21" ht="15.75" customHeight="1">
      <c r="H803" s="272"/>
      <c r="J803" s="252"/>
      <c r="L803" s="273"/>
      <c r="S803" s="264"/>
      <c r="T803" s="274"/>
      <c r="U803" s="274"/>
    </row>
    <row r="804" spans="8:21" ht="15.75" customHeight="1">
      <c r="H804" s="272"/>
      <c r="J804" s="252"/>
      <c r="L804" s="273"/>
      <c r="S804" s="264"/>
      <c r="T804" s="274"/>
      <c r="U804" s="274"/>
    </row>
    <row r="805" spans="8:21" ht="15.75" customHeight="1">
      <c r="H805" s="272"/>
      <c r="J805" s="252"/>
      <c r="L805" s="273"/>
      <c r="S805" s="264"/>
      <c r="T805" s="274"/>
      <c r="U805" s="274"/>
    </row>
    <row r="806" spans="8:21" ht="15.75" customHeight="1">
      <c r="H806" s="272"/>
      <c r="J806" s="252"/>
      <c r="L806" s="273"/>
      <c r="S806" s="264"/>
      <c r="T806" s="274"/>
      <c r="U806" s="274"/>
    </row>
    <row r="807" spans="8:21" ht="15.75" customHeight="1">
      <c r="H807" s="272"/>
      <c r="J807" s="252"/>
      <c r="L807" s="273"/>
      <c r="S807" s="264"/>
      <c r="T807" s="274"/>
      <c r="U807" s="274"/>
    </row>
    <row r="808" spans="8:21" ht="15.75" customHeight="1">
      <c r="H808" s="272"/>
      <c r="J808" s="252"/>
      <c r="L808" s="273"/>
      <c r="S808" s="264"/>
      <c r="T808" s="274"/>
      <c r="U808" s="274"/>
    </row>
    <row r="809" spans="8:21" ht="15.75" customHeight="1">
      <c r="H809" s="272"/>
      <c r="J809" s="252"/>
      <c r="L809" s="273"/>
      <c r="S809" s="264"/>
      <c r="T809" s="274"/>
      <c r="U809" s="274"/>
    </row>
    <row r="810" spans="8:21" ht="15.75" customHeight="1">
      <c r="H810" s="272"/>
      <c r="J810" s="252"/>
      <c r="L810" s="273"/>
      <c r="S810" s="264"/>
      <c r="T810" s="274"/>
      <c r="U810" s="274"/>
    </row>
    <row r="811" spans="8:21" ht="15.75" customHeight="1">
      <c r="H811" s="272"/>
      <c r="J811" s="252"/>
      <c r="L811" s="273"/>
      <c r="S811" s="264"/>
      <c r="T811" s="274"/>
      <c r="U811" s="274"/>
    </row>
    <row r="812" spans="8:21" ht="15.75" customHeight="1">
      <c r="H812" s="272"/>
      <c r="J812" s="252"/>
      <c r="L812" s="273"/>
      <c r="S812" s="264"/>
      <c r="T812" s="274"/>
      <c r="U812" s="274"/>
    </row>
    <row r="813" spans="8:21" ht="15.75" customHeight="1">
      <c r="H813" s="272"/>
      <c r="J813" s="252"/>
      <c r="L813" s="273"/>
      <c r="S813" s="264"/>
      <c r="T813" s="274"/>
      <c r="U813" s="274"/>
    </row>
    <row r="814" spans="8:21" ht="15.75" customHeight="1">
      <c r="H814" s="272"/>
      <c r="J814" s="252"/>
      <c r="L814" s="273"/>
      <c r="S814" s="264"/>
      <c r="T814" s="274"/>
      <c r="U814" s="274"/>
    </row>
    <row r="815" spans="8:21" ht="15.75" customHeight="1">
      <c r="H815" s="272"/>
      <c r="J815" s="252"/>
      <c r="L815" s="273"/>
      <c r="S815" s="264"/>
      <c r="T815" s="274"/>
      <c r="U815" s="274"/>
    </row>
    <row r="816" spans="8:21" ht="15.75" customHeight="1">
      <c r="H816" s="272"/>
      <c r="J816" s="252"/>
      <c r="L816" s="273"/>
      <c r="S816" s="264"/>
      <c r="T816" s="274"/>
      <c r="U816" s="274"/>
    </row>
    <row r="817" spans="8:21" ht="15.75" customHeight="1">
      <c r="H817" s="272"/>
      <c r="J817" s="252"/>
      <c r="L817" s="273"/>
      <c r="S817" s="264"/>
      <c r="T817" s="274"/>
      <c r="U817" s="274"/>
    </row>
    <row r="818" spans="8:21" ht="15.75" customHeight="1">
      <c r="H818" s="272"/>
      <c r="J818" s="252"/>
      <c r="L818" s="273"/>
      <c r="S818" s="264"/>
      <c r="T818" s="274"/>
      <c r="U818" s="274"/>
    </row>
    <row r="819" spans="8:21" ht="15.75" customHeight="1">
      <c r="H819" s="272"/>
      <c r="J819" s="252"/>
      <c r="L819" s="273"/>
      <c r="S819" s="264"/>
      <c r="T819" s="274"/>
      <c r="U819" s="274"/>
    </row>
    <row r="820" spans="8:21" ht="15.75" customHeight="1">
      <c r="H820" s="272"/>
      <c r="J820" s="252"/>
      <c r="L820" s="273"/>
      <c r="S820" s="264"/>
      <c r="T820" s="274"/>
      <c r="U820" s="274"/>
    </row>
    <row r="821" spans="8:21" ht="15.75" customHeight="1">
      <c r="H821" s="272"/>
      <c r="J821" s="252"/>
      <c r="L821" s="273"/>
      <c r="S821" s="264"/>
      <c r="T821" s="274"/>
      <c r="U821" s="274"/>
    </row>
    <row r="822" spans="8:21" ht="15.75" customHeight="1">
      <c r="H822" s="272"/>
      <c r="J822" s="252"/>
      <c r="L822" s="273"/>
      <c r="S822" s="264"/>
      <c r="T822" s="274"/>
      <c r="U822" s="274"/>
    </row>
    <row r="823" spans="8:21" ht="15.75" customHeight="1">
      <c r="H823" s="272"/>
      <c r="J823" s="252"/>
      <c r="L823" s="273"/>
      <c r="S823" s="264"/>
      <c r="T823" s="274"/>
      <c r="U823" s="274"/>
    </row>
    <row r="824" spans="8:21" ht="15.75" customHeight="1">
      <c r="H824" s="272"/>
      <c r="J824" s="252"/>
      <c r="L824" s="273"/>
      <c r="S824" s="264"/>
      <c r="T824" s="274"/>
      <c r="U824" s="274"/>
    </row>
    <row r="825" spans="8:21" ht="15.75" customHeight="1">
      <c r="H825" s="272"/>
      <c r="J825" s="252"/>
      <c r="L825" s="273"/>
      <c r="S825" s="264"/>
      <c r="T825" s="274"/>
      <c r="U825" s="274"/>
    </row>
    <row r="826" spans="8:21" ht="15.75" customHeight="1">
      <c r="H826" s="272"/>
      <c r="J826" s="252"/>
      <c r="L826" s="273"/>
      <c r="S826" s="264"/>
      <c r="T826" s="274"/>
      <c r="U826" s="274"/>
    </row>
    <row r="827" spans="8:21" ht="15.75" customHeight="1">
      <c r="H827" s="272"/>
      <c r="J827" s="252"/>
      <c r="L827" s="273"/>
      <c r="S827" s="264"/>
      <c r="T827" s="274"/>
      <c r="U827" s="274"/>
    </row>
    <row r="828" spans="8:21" ht="15.75" customHeight="1">
      <c r="H828" s="272"/>
      <c r="J828" s="252"/>
      <c r="L828" s="273"/>
      <c r="S828" s="264"/>
      <c r="T828" s="274"/>
      <c r="U828" s="274"/>
    </row>
    <row r="829" spans="8:21" ht="15.75" customHeight="1">
      <c r="H829" s="272"/>
      <c r="J829" s="252"/>
      <c r="L829" s="273"/>
      <c r="S829" s="264"/>
      <c r="T829" s="274"/>
      <c r="U829" s="274"/>
    </row>
    <row r="830" spans="8:21" ht="15.75" customHeight="1">
      <c r="H830" s="272"/>
      <c r="J830" s="252"/>
      <c r="L830" s="273"/>
      <c r="S830" s="264"/>
      <c r="T830" s="274"/>
      <c r="U830" s="274"/>
    </row>
    <row r="831" spans="8:21" ht="15.75" customHeight="1">
      <c r="H831" s="272"/>
      <c r="J831" s="252"/>
      <c r="L831" s="273"/>
      <c r="S831" s="264"/>
      <c r="T831" s="274"/>
      <c r="U831" s="274"/>
    </row>
    <row r="832" spans="8:21" ht="15.75" customHeight="1">
      <c r="H832" s="272"/>
      <c r="J832" s="252"/>
      <c r="L832" s="273"/>
      <c r="S832" s="264"/>
      <c r="T832" s="274"/>
      <c r="U832" s="274"/>
    </row>
    <row r="833" spans="8:21" ht="15.75" customHeight="1">
      <c r="H833" s="272"/>
      <c r="J833" s="252"/>
      <c r="L833" s="273"/>
      <c r="S833" s="264"/>
      <c r="T833" s="274"/>
      <c r="U833" s="274"/>
    </row>
    <row r="834" spans="8:21" ht="15.75" customHeight="1">
      <c r="H834" s="272"/>
      <c r="J834" s="252"/>
      <c r="L834" s="273"/>
      <c r="S834" s="264"/>
      <c r="T834" s="274"/>
      <c r="U834" s="274"/>
    </row>
    <row r="835" spans="8:21" ht="15.75" customHeight="1">
      <c r="H835" s="272"/>
      <c r="J835" s="252"/>
      <c r="L835" s="273"/>
      <c r="S835" s="264"/>
      <c r="T835" s="274"/>
      <c r="U835" s="274"/>
    </row>
    <row r="836" spans="8:21" ht="15.75" customHeight="1">
      <c r="H836" s="272"/>
      <c r="J836" s="252"/>
      <c r="L836" s="273"/>
      <c r="S836" s="264"/>
      <c r="T836" s="274"/>
      <c r="U836" s="274"/>
    </row>
    <row r="837" spans="8:21" ht="15.75" customHeight="1">
      <c r="H837" s="272"/>
      <c r="J837" s="252"/>
      <c r="L837" s="273"/>
      <c r="S837" s="264"/>
      <c r="T837" s="274"/>
      <c r="U837" s="274"/>
    </row>
    <row r="838" spans="8:21" ht="15.75" customHeight="1">
      <c r="H838" s="272"/>
      <c r="J838" s="252"/>
      <c r="L838" s="273"/>
      <c r="S838" s="264"/>
      <c r="T838" s="274"/>
      <c r="U838" s="274"/>
    </row>
    <row r="839" spans="8:21" ht="15.75" customHeight="1">
      <c r="H839" s="272"/>
      <c r="J839" s="252"/>
      <c r="L839" s="273"/>
      <c r="S839" s="264"/>
      <c r="T839" s="274"/>
      <c r="U839" s="274"/>
    </row>
    <row r="840" spans="8:21" ht="15.75" customHeight="1">
      <c r="H840" s="272"/>
      <c r="J840" s="252"/>
      <c r="L840" s="273"/>
      <c r="S840" s="264"/>
      <c r="T840" s="274"/>
      <c r="U840" s="274"/>
    </row>
    <row r="841" spans="8:21" ht="15.75" customHeight="1">
      <c r="H841" s="272"/>
      <c r="J841" s="252"/>
      <c r="L841" s="273"/>
      <c r="S841" s="264"/>
      <c r="T841" s="274"/>
      <c r="U841" s="274"/>
    </row>
    <row r="842" spans="8:21" ht="15.75" customHeight="1">
      <c r="H842" s="272"/>
      <c r="J842" s="252"/>
      <c r="L842" s="273"/>
      <c r="S842" s="264"/>
      <c r="T842" s="274"/>
      <c r="U842" s="274"/>
    </row>
    <row r="843" spans="8:21" ht="15.75" customHeight="1">
      <c r="H843" s="272"/>
      <c r="J843" s="252"/>
      <c r="L843" s="273"/>
      <c r="S843" s="264"/>
      <c r="T843" s="274"/>
      <c r="U843" s="274"/>
    </row>
    <row r="844" spans="8:21" ht="15.75" customHeight="1">
      <c r="H844" s="272"/>
      <c r="J844" s="252"/>
      <c r="L844" s="273"/>
      <c r="S844" s="264"/>
      <c r="T844" s="274"/>
      <c r="U844" s="274"/>
    </row>
    <row r="845" spans="8:21" ht="15.75" customHeight="1">
      <c r="H845" s="272"/>
      <c r="J845" s="252"/>
      <c r="L845" s="273"/>
      <c r="S845" s="264"/>
      <c r="T845" s="274"/>
      <c r="U845" s="274"/>
    </row>
    <row r="846" spans="8:21" ht="15.75" customHeight="1">
      <c r="H846" s="272"/>
      <c r="J846" s="252"/>
      <c r="L846" s="273"/>
      <c r="S846" s="264"/>
      <c r="T846" s="274"/>
      <c r="U846" s="274"/>
    </row>
    <row r="847" spans="8:21" ht="15.75" customHeight="1">
      <c r="H847" s="272"/>
      <c r="J847" s="252"/>
      <c r="L847" s="273"/>
      <c r="S847" s="264"/>
      <c r="T847" s="274"/>
      <c r="U847" s="274"/>
    </row>
    <row r="848" spans="8:21" ht="15.75" customHeight="1">
      <c r="H848" s="272"/>
      <c r="J848" s="252"/>
      <c r="L848" s="273"/>
      <c r="S848" s="264"/>
      <c r="T848" s="274"/>
      <c r="U848" s="274"/>
    </row>
    <row r="849" spans="8:21" ht="15.75" customHeight="1">
      <c r="H849" s="272"/>
      <c r="J849" s="252"/>
      <c r="L849" s="273"/>
      <c r="S849" s="264"/>
      <c r="T849" s="274"/>
      <c r="U849" s="274"/>
    </row>
    <row r="850" spans="8:21" ht="15.75" customHeight="1">
      <c r="H850" s="272"/>
      <c r="J850" s="252"/>
      <c r="L850" s="273"/>
      <c r="S850" s="264"/>
      <c r="T850" s="274"/>
      <c r="U850" s="274"/>
    </row>
    <row r="851" spans="8:21" ht="15.75" customHeight="1">
      <c r="H851" s="272"/>
      <c r="J851" s="252"/>
      <c r="L851" s="273"/>
      <c r="S851" s="264"/>
      <c r="T851" s="274"/>
      <c r="U851" s="274"/>
    </row>
    <row r="852" spans="8:21" ht="15.75" customHeight="1">
      <c r="H852" s="272"/>
      <c r="J852" s="252"/>
      <c r="L852" s="273"/>
      <c r="S852" s="264"/>
      <c r="T852" s="274"/>
      <c r="U852" s="274"/>
    </row>
    <row r="853" spans="8:21" ht="15.75" customHeight="1">
      <c r="H853" s="272"/>
      <c r="J853" s="252"/>
      <c r="L853" s="273"/>
      <c r="S853" s="264"/>
      <c r="T853" s="274"/>
      <c r="U853" s="274"/>
    </row>
    <row r="854" spans="8:21" ht="15.75" customHeight="1">
      <c r="H854" s="272"/>
      <c r="J854" s="252"/>
      <c r="L854" s="273"/>
      <c r="S854" s="264"/>
      <c r="T854" s="274"/>
      <c r="U854" s="274"/>
    </row>
    <row r="855" spans="8:21" ht="15.75" customHeight="1">
      <c r="H855" s="272"/>
      <c r="J855" s="252"/>
      <c r="L855" s="273"/>
      <c r="S855" s="264"/>
      <c r="T855" s="274"/>
      <c r="U855" s="274"/>
    </row>
    <row r="856" spans="8:21" ht="15.75" customHeight="1">
      <c r="H856" s="272"/>
      <c r="J856" s="252"/>
      <c r="L856" s="273"/>
      <c r="S856" s="264"/>
      <c r="T856" s="274"/>
      <c r="U856" s="274"/>
    </row>
    <row r="857" spans="8:21" ht="15.75" customHeight="1">
      <c r="H857" s="272"/>
      <c r="J857" s="252"/>
      <c r="L857" s="273"/>
      <c r="S857" s="264"/>
      <c r="T857" s="274"/>
      <c r="U857" s="274"/>
    </row>
    <row r="858" spans="8:21" ht="15.75" customHeight="1">
      <c r="H858" s="272"/>
      <c r="J858" s="252"/>
      <c r="L858" s="273"/>
      <c r="S858" s="264"/>
      <c r="T858" s="274"/>
      <c r="U858" s="274"/>
    </row>
    <row r="859" spans="8:21" ht="15.75" customHeight="1">
      <c r="H859" s="272"/>
      <c r="J859" s="252"/>
      <c r="L859" s="273"/>
      <c r="S859" s="264"/>
      <c r="T859" s="274"/>
      <c r="U859" s="274"/>
    </row>
    <row r="860" spans="8:21" ht="15.75" customHeight="1">
      <c r="H860" s="272"/>
      <c r="J860" s="252"/>
      <c r="L860" s="273"/>
      <c r="S860" s="264"/>
      <c r="T860" s="274"/>
      <c r="U860" s="274"/>
    </row>
    <row r="861" spans="8:21" ht="15.75" customHeight="1">
      <c r="H861" s="272"/>
      <c r="J861" s="252"/>
      <c r="L861" s="273"/>
      <c r="S861" s="264"/>
      <c r="T861" s="274"/>
      <c r="U861" s="274"/>
    </row>
    <row r="862" spans="8:21" ht="15.75" customHeight="1">
      <c r="H862" s="272"/>
      <c r="J862" s="252"/>
      <c r="L862" s="273"/>
      <c r="S862" s="264"/>
      <c r="T862" s="274"/>
      <c r="U862" s="274"/>
    </row>
    <row r="863" spans="8:21" ht="15.75" customHeight="1">
      <c r="H863" s="272"/>
      <c r="J863" s="252"/>
      <c r="L863" s="273"/>
      <c r="S863" s="264"/>
      <c r="T863" s="274"/>
      <c r="U863" s="274"/>
    </row>
    <row r="864" spans="8:21" ht="15.75" customHeight="1">
      <c r="H864" s="272"/>
      <c r="J864" s="252"/>
      <c r="L864" s="273"/>
      <c r="S864" s="264"/>
      <c r="T864" s="274"/>
      <c r="U864" s="274"/>
    </row>
    <row r="865" spans="8:21" ht="15.75" customHeight="1">
      <c r="H865" s="272"/>
      <c r="J865" s="252"/>
      <c r="L865" s="273"/>
      <c r="S865" s="264"/>
      <c r="T865" s="274"/>
      <c r="U865" s="274"/>
    </row>
    <row r="866" spans="8:21" ht="15.75" customHeight="1">
      <c r="H866" s="272"/>
      <c r="J866" s="252"/>
      <c r="L866" s="273"/>
      <c r="S866" s="264"/>
      <c r="T866" s="274"/>
      <c r="U866" s="274"/>
    </row>
    <row r="867" spans="8:21" ht="15.75" customHeight="1">
      <c r="H867" s="272"/>
      <c r="J867" s="252"/>
      <c r="L867" s="273"/>
      <c r="S867" s="264"/>
      <c r="T867" s="274"/>
      <c r="U867" s="274"/>
    </row>
    <row r="868" spans="8:21" ht="15.75" customHeight="1">
      <c r="H868" s="272"/>
      <c r="J868" s="252"/>
      <c r="L868" s="273"/>
      <c r="S868" s="264"/>
      <c r="T868" s="274"/>
      <c r="U868" s="274"/>
    </row>
    <row r="869" spans="8:21" ht="15.75" customHeight="1">
      <c r="H869" s="272"/>
      <c r="J869" s="252"/>
      <c r="L869" s="273"/>
      <c r="S869" s="264"/>
      <c r="T869" s="274"/>
      <c r="U869" s="274"/>
    </row>
    <row r="870" spans="8:21" ht="15.75" customHeight="1">
      <c r="H870" s="272"/>
      <c r="J870" s="252"/>
      <c r="L870" s="273"/>
      <c r="S870" s="264"/>
      <c r="T870" s="274"/>
      <c r="U870" s="274"/>
    </row>
    <row r="871" spans="8:21" ht="15.75" customHeight="1">
      <c r="H871" s="272"/>
      <c r="J871" s="252"/>
      <c r="L871" s="273"/>
      <c r="S871" s="264"/>
      <c r="T871" s="274"/>
      <c r="U871" s="274"/>
    </row>
    <row r="872" spans="8:21" ht="15.75" customHeight="1">
      <c r="H872" s="272"/>
      <c r="J872" s="252"/>
      <c r="L872" s="273"/>
      <c r="S872" s="264"/>
      <c r="T872" s="274"/>
      <c r="U872" s="274"/>
    </row>
    <row r="873" spans="8:21" ht="15.75" customHeight="1">
      <c r="H873" s="272"/>
      <c r="J873" s="252"/>
      <c r="L873" s="273"/>
      <c r="S873" s="264"/>
      <c r="T873" s="274"/>
      <c r="U873" s="274"/>
    </row>
    <row r="874" spans="8:21" ht="15.75" customHeight="1">
      <c r="H874" s="272"/>
      <c r="J874" s="252"/>
      <c r="L874" s="273"/>
      <c r="S874" s="264"/>
      <c r="T874" s="274"/>
      <c r="U874" s="274"/>
    </row>
    <row r="875" spans="8:21" ht="15.75" customHeight="1">
      <c r="H875" s="272"/>
      <c r="J875" s="252"/>
      <c r="L875" s="273"/>
      <c r="S875" s="264"/>
      <c r="T875" s="274"/>
      <c r="U875" s="274"/>
    </row>
    <row r="876" spans="8:21" ht="15.75" customHeight="1">
      <c r="H876" s="272"/>
      <c r="J876" s="252"/>
      <c r="L876" s="273"/>
      <c r="S876" s="264"/>
      <c r="T876" s="274"/>
      <c r="U876" s="274"/>
    </row>
    <row r="877" spans="8:21" ht="15.75" customHeight="1">
      <c r="H877" s="272"/>
      <c r="J877" s="252"/>
      <c r="L877" s="273"/>
      <c r="S877" s="264"/>
      <c r="T877" s="274"/>
      <c r="U877" s="274"/>
    </row>
    <row r="878" spans="8:21" ht="15.75" customHeight="1">
      <c r="H878" s="272"/>
      <c r="J878" s="252"/>
      <c r="L878" s="273"/>
      <c r="S878" s="264"/>
      <c r="T878" s="274"/>
      <c r="U878" s="274"/>
    </row>
    <row r="879" spans="8:21" ht="15.75" customHeight="1">
      <c r="H879" s="272"/>
      <c r="J879" s="252"/>
      <c r="L879" s="273"/>
      <c r="S879" s="264"/>
      <c r="T879" s="274"/>
      <c r="U879" s="274"/>
    </row>
    <row r="880" spans="8:21" ht="15.75" customHeight="1">
      <c r="H880" s="272"/>
      <c r="J880" s="252"/>
      <c r="L880" s="273"/>
      <c r="S880" s="264"/>
      <c r="T880" s="274"/>
      <c r="U880" s="274"/>
    </row>
    <row r="881" spans="8:21" ht="15.75" customHeight="1">
      <c r="H881" s="272"/>
      <c r="J881" s="252"/>
      <c r="L881" s="273"/>
      <c r="S881" s="264"/>
      <c r="T881" s="274"/>
      <c r="U881" s="274"/>
    </row>
    <row r="882" spans="8:21" ht="15.75" customHeight="1">
      <c r="H882" s="272"/>
      <c r="J882" s="252"/>
      <c r="L882" s="273"/>
      <c r="S882" s="264"/>
      <c r="T882" s="274"/>
      <c r="U882" s="274"/>
    </row>
    <row r="883" spans="8:21" ht="15.75" customHeight="1">
      <c r="H883" s="272"/>
      <c r="J883" s="252"/>
      <c r="L883" s="273"/>
      <c r="S883" s="264"/>
      <c r="T883" s="274"/>
      <c r="U883" s="274"/>
    </row>
    <row r="884" spans="8:21" ht="15.75" customHeight="1">
      <c r="H884" s="272"/>
      <c r="J884" s="252"/>
      <c r="L884" s="273"/>
      <c r="S884" s="264"/>
      <c r="T884" s="274"/>
      <c r="U884" s="274"/>
    </row>
    <row r="885" spans="8:21" ht="15.75" customHeight="1">
      <c r="H885" s="272"/>
      <c r="J885" s="252"/>
      <c r="L885" s="273"/>
      <c r="S885" s="264"/>
      <c r="T885" s="274"/>
      <c r="U885" s="274"/>
    </row>
    <row r="886" spans="8:21" ht="15.75" customHeight="1">
      <c r="H886" s="272"/>
      <c r="J886" s="252"/>
      <c r="L886" s="273"/>
      <c r="S886" s="264"/>
      <c r="T886" s="274"/>
      <c r="U886" s="274"/>
    </row>
    <row r="887" spans="8:21" ht="15.75" customHeight="1">
      <c r="H887" s="272"/>
      <c r="J887" s="252"/>
      <c r="L887" s="273"/>
      <c r="S887" s="264"/>
      <c r="T887" s="274"/>
      <c r="U887" s="274"/>
    </row>
    <row r="888" spans="8:21" ht="15.75" customHeight="1">
      <c r="H888" s="272"/>
      <c r="J888" s="252"/>
      <c r="L888" s="273"/>
      <c r="S888" s="264"/>
      <c r="T888" s="274"/>
      <c r="U888" s="274"/>
    </row>
    <row r="889" spans="8:21" ht="15.75" customHeight="1">
      <c r="H889" s="272"/>
      <c r="J889" s="252"/>
      <c r="L889" s="273"/>
      <c r="S889" s="264"/>
      <c r="T889" s="274"/>
      <c r="U889" s="274"/>
    </row>
    <row r="890" spans="8:21" ht="15.75" customHeight="1">
      <c r="H890" s="272"/>
      <c r="J890" s="252"/>
      <c r="L890" s="273"/>
      <c r="S890" s="264"/>
      <c r="T890" s="274"/>
      <c r="U890" s="274"/>
    </row>
    <row r="891" spans="8:21" ht="15.75" customHeight="1">
      <c r="H891" s="272"/>
      <c r="J891" s="252"/>
      <c r="L891" s="273"/>
      <c r="S891" s="264"/>
      <c r="T891" s="274"/>
      <c r="U891" s="274"/>
    </row>
    <row r="892" spans="8:21" ht="15.75" customHeight="1">
      <c r="H892" s="272"/>
      <c r="J892" s="252"/>
      <c r="L892" s="273"/>
      <c r="S892" s="264"/>
      <c r="T892" s="274"/>
      <c r="U892" s="274"/>
    </row>
    <row r="893" spans="8:21" ht="15.75" customHeight="1">
      <c r="H893" s="272"/>
      <c r="J893" s="252"/>
      <c r="L893" s="273"/>
      <c r="S893" s="264"/>
      <c r="T893" s="274"/>
      <c r="U893" s="274"/>
    </row>
    <row r="894" spans="8:21" ht="15.75" customHeight="1">
      <c r="H894" s="272"/>
      <c r="J894" s="252"/>
      <c r="L894" s="273"/>
      <c r="S894" s="264"/>
      <c r="T894" s="274"/>
      <c r="U894" s="274"/>
    </row>
    <row r="895" spans="8:21" ht="15.75" customHeight="1">
      <c r="H895" s="272"/>
      <c r="J895" s="252"/>
      <c r="L895" s="273"/>
      <c r="S895" s="264"/>
      <c r="T895" s="274"/>
      <c r="U895" s="274"/>
    </row>
    <row r="896" spans="8:21" ht="15.75" customHeight="1">
      <c r="H896" s="272"/>
      <c r="J896" s="252"/>
      <c r="L896" s="273"/>
      <c r="S896" s="264"/>
      <c r="T896" s="274"/>
      <c r="U896" s="274"/>
    </row>
    <row r="897" spans="8:21" ht="15.75" customHeight="1">
      <c r="H897" s="272"/>
      <c r="J897" s="252"/>
      <c r="L897" s="273"/>
      <c r="S897" s="264"/>
      <c r="T897" s="274"/>
      <c r="U897" s="274"/>
    </row>
    <row r="898" spans="8:21" ht="15.75" customHeight="1">
      <c r="H898" s="272"/>
      <c r="J898" s="252"/>
      <c r="L898" s="273"/>
      <c r="S898" s="264"/>
      <c r="T898" s="274"/>
      <c r="U898" s="274"/>
    </row>
    <row r="899" spans="8:21" ht="15.75" customHeight="1">
      <c r="H899" s="272"/>
      <c r="J899" s="252"/>
      <c r="L899" s="273"/>
      <c r="S899" s="264"/>
      <c r="T899" s="274"/>
      <c r="U899" s="274"/>
    </row>
    <row r="900" spans="8:21" ht="15.75" customHeight="1">
      <c r="H900" s="272"/>
      <c r="J900" s="252"/>
      <c r="L900" s="273"/>
      <c r="S900" s="264"/>
      <c r="T900" s="274"/>
      <c r="U900" s="274"/>
    </row>
    <row r="901" spans="8:21" ht="15.75" customHeight="1">
      <c r="H901" s="272"/>
      <c r="J901" s="252"/>
      <c r="L901" s="273"/>
      <c r="S901" s="264"/>
      <c r="T901" s="274"/>
      <c r="U901" s="274"/>
    </row>
    <row r="902" spans="8:21" ht="15.75" customHeight="1">
      <c r="H902" s="272"/>
      <c r="J902" s="252"/>
      <c r="L902" s="273"/>
      <c r="S902" s="264"/>
      <c r="T902" s="274"/>
      <c r="U902" s="274"/>
    </row>
    <row r="903" spans="8:21" ht="15.75" customHeight="1">
      <c r="H903" s="272"/>
      <c r="J903" s="252"/>
      <c r="L903" s="273"/>
      <c r="S903" s="264"/>
      <c r="T903" s="274"/>
      <c r="U903" s="274"/>
    </row>
    <row r="904" spans="8:21" ht="15.75" customHeight="1">
      <c r="H904" s="272"/>
      <c r="J904" s="252"/>
      <c r="L904" s="273"/>
      <c r="S904" s="264"/>
      <c r="T904" s="274"/>
      <c r="U904" s="274"/>
    </row>
    <row r="905" spans="8:21" ht="15.75" customHeight="1">
      <c r="H905" s="272"/>
      <c r="J905" s="252"/>
      <c r="L905" s="273"/>
      <c r="S905" s="264"/>
      <c r="T905" s="274"/>
      <c r="U905" s="274"/>
    </row>
    <row r="906" spans="8:21" ht="15.75" customHeight="1">
      <c r="H906" s="272"/>
      <c r="J906" s="252"/>
      <c r="L906" s="273"/>
      <c r="S906" s="264"/>
      <c r="T906" s="274"/>
      <c r="U906" s="274"/>
    </row>
    <row r="907" spans="8:21" ht="15.75" customHeight="1">
      <c r="H907" s="272"/>
      <c r="J907" s="252"/>
      <c r="L907" s="273"/>
      <c r="S907" s="264"/>
      <c r="T907" s="274"/>
      <c r="U907" s="274"/>
    </row>
    <row r="908" spans="8:21" ht="15.75" customHeight="1">
      <c r="H908" s="272"/>
      <c r="J908" s="252"/>
      <c r="L908" s="273"/>
      <c r="S908" s="264"/>
      <c r="T908" s="274"/>
      <c r="U908" s="274"/>
    </row>
    <row r="909" spans="8:21" ht="15.75" customHeight="1">
      <c r="H909" s="272"/>
      <c r="J909" s="252"/>
      <c r="L909" s="273"/>
      <c r="S909" s="264"/>
      <c r="T909" s="274"/>
      <c r="U909" s="274"/>
    </row>
    <row r="910" spans="8:21" ht="15.75" customHeight="1">
      <c r="H910" s="272"/>
      <c r="J910" s="252"/>
      <c r="L910" s="273"/>
      <c r="S910" s="264"/>
      <c r="T910" s="274"/>
      <c r="U910" s="274"/>
    </row>
    <row r="911" spans="8:21" ht="15.75" customHeight="1">
      <c r="H911" s="272"/>
      <c r="J911" s="252"/>
      <c r="L911" s="273"/>
      <c r="S911" s="264"/>
      <c r="T911" s="274"/>
      <c r="U911" s="274"/>
    </row>
    <row r="912" spans="8:21" ht="15.75" customHeight="1">
      <c r="H912" s="272"/>
      <c r="J912" s="252"/>
      <c r="L912" s="273"/>
      <c r="S912" s="264"/>
      <c r="T912" s="274"/>
      <c r="U912" s="274"/>
    </row>
    <row r="913" spans="8:21" ht="15.75" customHeight="1">
      <c r="H913" s="272"/>
      <c r="J913" s="252"/>
      <c r="L913" s="273"/>
      <c r="S913" s="264"/>
      <c r="T913" s="274"/>
      <c r="U913" s="274"/>
    </row>
    <row r="914" spans="8:21" ht="15.75" customHeight="1">
      <c r="H914" s="272"/>
      <c r="J914" s="252"/>
      <c r="L914" s="273"/>
      <c r="S914" s="264"/>
      <c r="T914" s="274"/>
      <c r="U914" s="274"/>
    </row>
    <row r="915" spans="8:21" ht="15.75" customHeight="1">
      <c r="H915" s="272"/>
      <c r="J915" s="252"/>
      <c r="L915" s="273"/>
      <c r="S915" s="264"/>
      <c r="T915" s="274"/>
      <c r="U915" s="274"/>
    </row>
    <row r="916" spans="8:21" ht="15.75" customHeight="1">
      <c r="H916" s="272"/>
      <c r="J916" s="252"/>
      <c r="L916" s="273"/>
      <c r="S916" s="264"/>
      <c r="T916" s="274"/>
      <c r="U916" s="274"/>
    </row>
    <row r="917" spans="8:21" ht="15.75" customHeight="1">
      <c r="H917" s="272"/>
      <c r="J917" s="252"/>
      <c r="L917" s="273"/>
      <c r="S917" s="264"/>
      <c r="T917" s="274"/>
      <c r="U917" s="274"/>
    </row>
    <row r="918" spans="8:21" ht="15.75" customHeight="1">
      <c r="H918" s="272"/>
      <c r="J918" s="252"/>
      <c r="L918" s="273"/>
      <c r="S918" s="264"/>
      <c r="T918" s="274"/>
      <c r="U918" s="274"/>
    </row>
    <row r="919" spans="8:21" ht="15.75" customHeight="1">
      <c r="H919" s="272"/>
      <c r="J919" s="252"/>
      <c r="L919" s="273"/>
      <c r="S919" s="264"/>
      <c r="T919" s="274"/>
      <c r="U919" s="274"/>
    </row>
    <row r="920" spans="8:21" ht="15.75" customHeight="1">
      <c r="H920" s="272"/>
      <c r="J920" s="252"/>
      <c r="L920" s="273"/>
      <c r="S920" s="264"/>
      <c r="T920" s="274"/>
      <c r="U920" s="274"/>
    </row>
    <row r="921" spans="8:21" ht="15.75" customHeight="1">
      <c r="H921" s="272"/>
      <c r="J921" s="252"/>
      <c r="L921" s="273"/>
      <c r="S921" s="264"/>
      <c r="T921" s="274"/>
      <c r="U921" s="274"/>
    </row>
    <row r="922" spans="8:21" ht="15.75" customHeight="1">
      <c r="H922" s="272"/>
      <c r="J922" s="252"/>
      <c r="L922" s="273"/>
      <c r="S922" s="264"/>
      <c r="T922" s="274"/>
      <c r="U922" s="274"/>
    </row>
    <row r="923" spans="8:21" ht="15.75" customHeight="1">
      <c r="H923" s="272"/>
      <c r="J923" s="252"/>
      <c r="L923" s="273"/>
      <c r="S923" s="264"/>
      <c r="T923" s="274"/>
      <c r="U923" s="274"/>
    </row>
    <row r="924" spans="8:21" ht="15.75" customHeight="1">
      <c r="H924" s="272"/>
      <c r="J924" s="252"/>
      <c r="L924" s="273"/>
      <c r="S924" s="264"/>
      <c r="T924" s="274"/>
      <c r="U924" s="274"/>
    </row>
    <row r="925" spans="8:21" ht="15.75" customHeight="1">
      <c r="H925" s="272"/>
      <c r="J925" s="252"/>
      <c r="L925" s="273"/>
      <c r="S925" s="264"/>
      <c r="T925" s="274"/>
      <c r="U925" s="274"/>
    </row>
    <row r="926" spans="8:21" ht="15.75" customHeight="1">
      <c r="H926" s="272"/>
      <c r="J926" s="252"/>
      <c r="L926" s="273"/>
      <c r="S926" s="264"/>
      <c r="T926" s="274"/>
      <c r="U926" s="274"/>
    </row>
    <row r="927" spans="8:21" ht="15.75" customHeight="1">
      <c r="H927" s="272"/>
      <c r="J927" s="252"/>
      <c r="L927" s="273"/>
      <c r="S927" s="264"/>
      <c r="T927" s="274"/>
      <c r="U927" s="274"/>
    </row>
    <row r="928" spans="8:21" ht="15.75" customHeight="1">
      <c r="H928" s="272"/>
      <c r="J928" s="252"/>
      <c r="L928" s="273"/>
      <c r="S928" s="264"/>
      <c r="T928" s="274"/>
      <c r="U928" s="274"/>
    </row>
    <row r="929" spans="8:21" ht="15.75" customHeight="1">
      <c r="H929" s="272"/>
      <c r="J929" s="252"/>
      <c r="L929" s="273"/>
      <c r="S929" s="264"/>
      <c r="T929" s="274"/>
      <c r="U929" s="274"/>
    </row>
    <row r="930" spans="8:21" ht="15.75" customHeight="1">
      <c r="H930" s="272"/>
      <c r="J930" s="252"/>
      <c r="L930" s="273"/>
      <c r="S930" s="264"/>
      <c r="T930" s="274"/>
      <c r="U930" s="274"/>
    </row>
    <row r="931" spans="8:21" ht="15.75" customHeight="1">
      <c r="H931" s="272"/>
      <c r="J931" s="252"/>
      <c r="L931" s="273"/>
      <c r="S931" s="264"/>
      <c r="T931" s="274"/>
      <c r="U931" s="274"/>
    </row>
    <row r="932" spans="8:21" ht="15.75" customHeight="1">
      <c r="H932" s="272"/>
      <c r="J932" s="252"/>
      <c r="L932" s="273"/>
      <c r="S932" s="264"/>
      <c r="T932" s="274"/>
      <c r="U932" s="274"/>
    </row>
    <row r="933" spans="8:21" ht="15.75" customHeight="1">
      <c r="H933" s="272"/>
      <c r="J933" s="252"/>
      <c r="L933" s="273"/>
      <c r="S933" s="264"/>
      <c r="T933" s="274"/>
      <c r="U933" s="274"/>
    </row>
    <row r="934" spans="8:21" ht="15.75" customHeight="1">
      <c r="H934" s="272"/>
      <c r="J934" s="252"/>
      <c r="L934" s="273"/>
      <c r="S934" s="264"/>
      <c r="T934" s="274"/>
      <c r="U934" s="274"/>
    </row>
    <row r="935" spans="8:21" ht="15.75" customHeight="1">
      <c r="H935" s="272"/>
      <c r="J935" s="252"/>
      <c r="L935" s="273"/>
      <c r="S935" s="264"/>
      <c r="T935" s="274"/>
      <c r="U935" s="274"/>
    </row>
  </sheetData>
  <mergeCells count="394">
    <mergeCell ref="K93:K94"/>
    <mergeCell ref="L93:L94"/>
    <mergeCell ref="M93:M94"/>
    <mergeCell ref="N93:N94"/>
    <mergeCell ref="O93:O94"/>
    <mergeCell ref="P93:P94"/>
    <mergeCell ref="U13:U15"/>
    <mergeCell ref="C16:C30"/>
    <mergeCell ref="K16:K19"/>
    <mergeCell ref="L16:L19"/>
    <mergeCell ref="M16:M19"/>
    <mergeCell ref="N16:N19"/>
    <mergeCell ref="O16:O19"/>
    <mergeCell ref="P16:P19"/>
    <mergeCell ref="Q16:Q21"/>
    <mergeCell ref="R16:R21"/>
    <mergeCell ref="E16:F21"/>
    <mergeCell ref="H16:H21"/>
    <mergeCell ref="D16:D30"/>
    <mergeCell ref="E28:F30"/>
    <mergeCell ref="H28:H30"/>
    <mergeCell ref="K13:K15"/>
    <mergeCell ref="I52:I54"/>
    <mergeCell ref="I40:I42"/>
    <mergeCell ref="N4:U4"/>
    <mergeCell ref="N5:U5"/>
    <mergeCell ref="N6:U6"/>
    <mergeCell ref="A1:U1"/>
    <mergeCell ref="A2:U2"/>
    <mergeCell ref="A3:U3"/>
    <mergeCell ref="A4:D4"/>
    <mergeCell ref="E4:L4"/>
    <mergeCell ref="A5:D5"/>
    <mergeCell ref="E5:L5"/>
    <mergeCell ref="A6:D6"/>
    <mergeCell ref="E6:L6"/>
    <mergeCell ref="A7:D7"/>
    <mergeCell ref="E7:L7"/>
    <mergeCell ref="A8:D8"/>
    <mergeCell ref="E8:U8"/>
    <mergeCell ref="A9:U9"/>
    <mergeCell ref="A16:A36"/>
    <mergeCell ref="A10:U10"/>
    <mergeCell ref="A12:Q12"/>
    <mergeCell ref="R12:U12"/>
    <mergeCell ref="Q25:Q27"/>
    <mergeCell ref="R25:R27"/>
    <mergeCell ref="Q28:Q30"/>
    <mergeCell ref="R28:R30"/>
    <mergeCell ref="E22:F24"/>
    <mergeCell ref="H25:H27"/>
    <mergeCell ref="E25:F27"/>
    <mergeCell ref="U28:U30"/>
    <mergeCell ref="T22:T24"/>
    <mergeCell ref="U22:U24"/>
    <mergeCell ref="Q13:Q15"/>
    <mergeCell ref="S16:S19"/>
    <mergeCell ref="T16:T21"/>
    <mergeCell ref="U16:U21"/>
    <mergeCell ref="T13:T15"/>
    <mergeCell ref="E37:F39"/>
    <mergeCell ref="G37:G39"/>
    <mergeCell ref="H37:H39"/>
    <mergeCell ref="H40:H42"/>
    <mergeCell ref="A13:D13"/>
    <mergeCell ref="B14:D14"/>
    <mergeCell ref="I37:I39"/>
    <mergeCell ref="G40:G42"/>
    <mergeCell ref="I13:J13"/>
    <mergeCell ref="I14:I15"/>
    <mergeCell ref="J14:J15"/>
    <mergeCell ref="A37:A45"/>
    <mergeCell ref="G34:G36"/>
    <mergeCell ref="H34:H36"/>
    <mergeCell ref="C31:C36"/>
    <mergeCell ref="E34:F36"/>
    <mergeCell ref="D37:D45"/>
    <mergeCell ref="E31:F33"/>
    <mergeCell ref="J40:J42"/>
    <mergeCell ref="E40:F42"/>
    <mergeCell ref="E43:F45"/>
    <mergeCell ref="G43:G45"/>
    <mergeCell ref="H43:H45"/>
    <mergeCell ref="I43:I45"/>
    <mergeCell ref="I58:I60"/>
    <mergeCell ref="E55:F57"/>
    <mergeCell ref="E61:F63"/>
    <mergeCell ref="G61:G63"/>
    <mergeCell ref="H61:H63"/>
    <mergeCell ref="I61:I63"/>
    <mergeCell ref="J52:J54"/>
    <mergeCell ref="I46:I48"/>
    <mergeCell ref="J46:J48"/>
    <mergeCell ref="E49:F51"/>
    <mergeCell ref="G49:G51"/>
    <mergeCell ref="J49:J51"/>
    <mergeCell ref="J61:J63"/>
    <mergeCell ref="G55:G57"/>
    <mergeCell ref="H55:H57"/>
    <mergeCell ref="I55:I57"/>
    <mergeCell ref="J55:J57"/>
    <mergeCell ref="J58:J60"/>
    <mergeCell ref="E46:F48"/>
    <mergeCell ref="G46:G48"/>
    <mergeCell ref="H46:H48"/>
    <mergeCell ref="H49:H51"/>
    <mergeCell ref="I49:I51"/>
    <mergeCell ref="G52:G54"/>
    <mergeCell ref="E79:F81"/>
    <mergeCell ref="H64:H66"/>
    <mergeCell ref="H67:H69"/>
    <mergeCell ref="H70:H72"/>
    <mergeCell ref="I70:I72"/>
    <mergeCell ref="J70:J72"/>
    <mergeCell ref="H73:H75"/>
    <mergeCell ref="I73:I75"/>
    <mergeCell ref="J73:J75"/>
    <mergeCell ref="I79:I81"/>
    <mergeCell ref="J79:J81"/>
    <mergeCell ref="H76:H78"/>
    <mergeCell ref="I76:I78"/>
    <mergeCell ref="J76:J78"/>
    <mergeCell ref="H79:H81"/>
    <mergeCell ref="I64:I66"/>
    <mergeCell ref="J64:J66"/>
    <mergeCell ref="J43:J45"/>
    <mergeCell ref="A73:A81"/>
    <mergeCell ref="B73:B81"/>
    <mergeCell ref="C73:C81"/>
    <mergeCell ref="A64:A72"/>
    <mergeCell ref="C64:C72"/>
    <mergeCell ref="G64:G66"/>
    <mergeCell ref="G70:G72"/>
    <mergeCell ref="G73:G75"/>
    <mergeCell ref="G76:G78"/>
    <mergeCell ref="G79:G81"/>
    <mergeCell ref="E67:F69"/>
    <mergeCell ref="G67:G69"/>
    <mergeCell ref="I67:I69"/>
    <mergeCell ref="C37:C45"/>
    <mergeCell ref="J67:J69"/>
    <mergeCell ref="E64:F66"/>
    <mergeCell ref="E70:F72"/>
    <mergeCell ref="E73:F75"/>
    <mergeCell ref="E76:F78"/>
    <mergeCell ref="A46:A54"/>
    <mergeCell ref="B46:B54"/>
    <mergeCell ref="C46:C54"/>
    <mergeCell ref="A55:A63"/>
    <mergeCell ref="A95:D97"/>
    <mergeCell ref="E95:F97"/>
    <mergeCell ref="G95:G97"/>
    <mergeCell ref="U101:U103"/>
    <mergeCell ref="E101:F103"/>
    <mergeCell ref="G101:G103"/>
    <mergeCell ref="H101:H103"/>
    <mergeCell ref="I101:I103"/>
    <mergeCell ref="J101:J103"/>
    <mergeCell ref="A101:D103"/>
    <mergeCell ref="T98:T100"/>
    <mergeCell ref="U98:U100"/>
    <mergeCell ref="Q101:Q103"/>
    <mergeCell ref="R101:R103"/>
    <mergeCell ref="T101:T103"/>
    <mergeCell ref="A98:D100"/>
    <mergeCell ref="E98:F100"/>
    <mergeCell ref="G98:G100"/>
    <mergeCell ref="H98:H100"/>
    <mergeCell ref="E119:H121"/>
    <mergeCell ref="A122:T122"/>
    <mergeCell ref="A116:D118"/>
    <mergeCell ref="E116:H118"/>
    <mergeCell ref="I116:I118"/>
    <mergeCell ref="J116:J118"/>
    <mergeCell ref="A119:D121"/>
    <mergeCell ref="I119:I121"/>
    <mergeCell ref="J119:J121"/>
    <mergeCell ref="I113:I115"/>
    <mergeCell ref="J113:J115"/>
    <mergeCell ref="T113:T115"/>
    <mergeCell ref="A111:D112"/>
    <mergeCell ref="E111:H112"/>
    <mergeCell ref="I111:I112"/>
    <mergeCell ref="J111:J112"/>
    <mergeCell ref="K111:K112"/>
    <mergeCell ref="A113:D115"/>
    <mergeCell ref="E113:H115"/>
    <mergeCell ref="T111:T112"/>
    <mergeCell ref="U111:U112"/>
    <mergeCell ref="Q104:Q106"/>
    <mergeCell ref="R104:R106"/>
    <mergeCell ref="T104:T106"/>
    <mergeCell ref="U104:U106"/>
    <mergeCell ref="Q111:Q112"/>
    <mergeCell ref="R111:R112"/>
    <mergeCell ref="S111:S112"/>
    <mergeCell ref="A109:Q109"/>
    <mergeCell ref="A110:Q110"/>
    <mergeCell ref="R110:U110"/>
    <mergeCell ref="L111:P111"/>
    <mergeCell ref="A104:D106"/>
    <mergeCell ref="E104:F106"/>
    <mergeCell ref="G104:G106"/>
    <mergeCell ref="H104:H106"/>
    <mergeCell ref="A107:T107"/>
    <mergeCell ref="R109:U109"/>
    <mergeCell ref="I104:I106"/>
    <mergeCell ref="J104:J106"/>
    <mergeCell ref="L14:L15"/>
    <mergeCell ref="M14:M15"/>
    <mergeCell ref="N14:N15"/>
    <mergeCell ref="O14:O15"/>
    <mergeCell ref="E13:F15"/>
    <mergeCell ref="G13:G15"/>
    <mergeCell ref="H13:H15"/>
    <mergeCell ref="L13:P13"/>
    <mergeCell ref="A14:A15"/>
    <mergeCell ref="P14:P15"/>
    <mergeCell ref="R13:R15"/>
    <mergeCell ref="S13:S15"/>
    <mergeCell ref="Q98:Q100"/>
    <mergeCell ref="Q86:Q87"/>
    <mergeCell ref="R86:R87"/>
    <mergeCell ref="Q88:Q90"/>
    <mergeCell ref="R88:R90"/>
    <mergeCell ref="Q91:Q94"/>
    <mergeCell ref="R34:R36"/>
    <mergeCell ref="Q40:Q42"/>
    <mergeCell ref="R40:R42"/>
    <mergeCell ref="S86:S87"/>
    <mergeCell ref="Q95:Q97"/>
    <mergeCell ref="E52:F54"/>
    <mergeCell ref="E58:F60"/>
    <mergeCell ref="G58:G60"/>
    <mergeCell ref="H58:H60"/>
    <mergeCell ref="C55:C63"/>
    <mergeCell ref="D55:D63"/>
    <mergeCell ref="H52:H54"/>
    <mergeCell ref="U34:U36"/>
    <mergeCell ref="G16:G30"/>
    <mergeCell ref="G31:G33"/>
    <mergeCell ref="H31:H33"/>
    <mergeCell ref="I31:I33"/>
    <mergeCell ref="I16:I30"/>
    <mergeCell ref="J16:J30"/>
    <mergeCell ref="H22:H24"/>
    <mergeCell ref="T25:T27"/>
    <mergeCell ref="U25:U27"/>
    <mergeCell ref="R31:R33"/>
    <mergeCell ref="T31:T33"/>
    <mergeCell ref="U31:U33"/>
    <mergeCell ref="J34:J36"/>
    <mergeCell ref="I34:I36"/>
    <mergeCell ref="Q34:Q36"/>
    <mergeCell ref="Q31:Q33"/>
    <mergeCell ref="J31:J33"/>
    <mergeCell ref="T28:T30"/>
    <mergeCell ref="Q22:Q24"/>
    <mergeCell ref="R22:R24"/>
    <mergeCell ref="U40:U42"/>
    <mergeCell ref="R43:R45"/>
    <mergeCell ref="U43:U45"/>
    <mergeCell ref="T52:T54"/>
    <mergeCell ref="Q37:Q39"/>
    <mergeCell ref="R37:R39"/>
    <mergeCell ref="Q43:Q45"/>
    <mergeCell ref="Q46:Q48"/>
    <mergeCell ref="R46:R48"/>
    <mergeCell ref="Q49:Q51"/>
    <mergeCell ref="R49:R51"/>
    <mergeCell ref="Q52:Q54"/>
    <mergeCell ref="R52:R54"/>
    <mergeCell ref="T40:T42"/>
    <mergeCell ref="T43:T45"/>
    <mergeCell ref="T46:T48"/>
    <mergeCell ref="U46:U48"/>
    <mergeCell ref="T49:T51"/>
    <mergeCell ref="U49:U51"/>
    <mergeCell ref="U52:U54"/>
    <mergeCell ref="T37:T39"/>
    <mergeCell ref="U37:U39"/>
    <mergeCell ref="U61:U63"/>
    <mergeCell ref="R64:R66"/>
    <mergeCell ref="U64:U66"/>
    <mergeCell ref="Q55:Q57"/>
    <mergeCell ref="R55:R57"/>
    <mergeCell ref="U55:U57"/>
    <mergeCell ref="Q58:Q60"/>
    <mergeCell ref="R58:R60"/>
    <mergeCell ref="U58:U60"/>
    <mergeCell ref="T61:T63"/>
    <mergeCell ref="T64:T66"/>
    <mergeCell ref="Q64:Q66"/>
    <mergeCell ref="U70:U72"/>
    <mergeCell ref="T73:T75"/>
    <mergeCell ref="U73:U75"/>
    <mergeCell ref="T67:T69"/>
    <mergeCell ref="U67:U69"/>
    <mergeCell ref="T76:T78"/>
    <mergeCell ref="U76:U78"/>
    <mergeCell ref="Q76:Q78"/>
    <mergeCell ref="R76:R78"/>
    <mergeCell ref="Q67:Q69"/>
    <mergeCell ref="R67:R69"/>
    <mergeCell ref="Q70:Q72"/>
    <mergeCell ref="R70:R72"/>
    <mergeCell ref="Q73:Q75"/>
    <mergeCell ref="R73:R75"/>
    <mergeCell ref="U119:U121"/>
    <mergeCell ref="Q113:Q115"/>
    <mergeCell ref="U113:U115"/>
    <mergeCell ref="R116:R118"/>
    <mergeCell ref="U116:U118"/>
    <mergeCell ref="I86:J86"/>
    <mergeCell ref="L86:P86"/>
    <mergeCell ref="H95:H97"/>
    <mergeCell ref="T86:T87"/>
    <mergeCell ref="T88:T90"/>
    <mergeCell ref="U88:U90"/>
    <mergeCell ref="T91:T94"/>
    <mergeCell ref="U91:U94"/>
    <mergeCell ref="H86:H87"/>
    <mergeCell ref="K86:K87"/>
    <mergeCell ref="U86:U87"/>
    <mergeCell ref="H88:H90"/>
    <mergeCell ref="I88:I90"/>
    <mergeCell ref="J88:J90"/>
    <mergeCell ref="I98:I100"/>
    <mergeCell ref="J98:J100"/>
    <mergeCell ref="R91:R94"/>
    <mergeCell ref="R95:R97"/>
    <mergeCell ref="R98:R100"/>
    <mergeCell ref="U79:U81"/>
    <mergeCell ref="A82:P82"/>
    <mergeCell ref="Q82:T82"/>
    <mergeCell ref="A84:U84"/>
    <mergeCell ref="Q79:Q81"/>
    <mergeCell ref="R79:R81"/>
    <mergeCell ref="J95:J97"/>
    <mergeCell ref="U95:U97"/>
    <mergeCell ref="T95:T97"/>
    <mergeCell ref="A91:D94"/>
    <mergeCell ref="E91:F94"/>
    <mergeCell ref="G91:G94"/>
    <mergeCell ref="H91:H94"/>
    <mergeCell ref="A85:Q85"/>
    <mergeCell ref="R85:U85"/>
    <mergeCell ref="E86:F87"/>
    <mergeCell ref="G86:G87"/>
    <mergeCell ref="A86:D87"/>
    <mergeCell ref="A88:D90"/>
    <mergeCell ref="E88:F90"/>
    <mergeCell ref="G88:G90"/>
    <mergeCell ref="I95:I97"/>
    <mergeCell ref="I91:I94"/>
    <mergeCell ref="J91:J94"/>
    <mergeCell ref="B16:B30"/>
    <mergeCell ref="B31:B33"/>
    <mergeCell ref="B34:B36"/>
    <mergeCell ref="D31:D33"/>
    <mergeCell ref="D34:D36"/>
    <mergeCell ref="B37:B42"/>
    <mergeCell ref="N128:P129"/>
    <mergeCell ref="N130:P130"/>
    <mergeCell ref="T79:T81"/>
    <mergeCell ref="T70:T72"/>
    <mergeCell ref="T55:T57"/>
    <mergeCell ref="T58:T60"/>
    <mergeCell ref="Q61:Q63"/>
    <mergeCell ref="R61:R63"/>
    <mergeCell ref="T34:T36"/>
    <mergeCell ref="T116:T118"/>
    <mergeCell ref="Q116:Q118"/>
    <mergeCell ref="Q119:Q121"/>
    <mergeCell ref="R119:R121"/>
    <mergeCell ref="T119:T121"/>
    <mergeCell ref="B128:E129"/>
    <mergeCell ref="B130:E130"/>
    <mergeCell ref="H128:L129"/>
    <mergeCell ref="H130:L130"/>
    <mergeCell ref="B61:B63"/>
    <mergeCell ref="B64:B69"/>
    <mergeCell ref="D64:D69"/>
    <mergeCell ref="B70:B72"/>
    <mergeCell ref="D70:D72"/>
    <mergeCell ref="D73:D75"/>
    <mergeCell ref="D76:D78"/>
    <mergeCell ref="D79:D81"/>
    <mergeCell ref="B43:B45"/>
    <mergeCell ref="D46:D48"/>
    <mergeCell ref="D49:D51"/>
    <mergeCell ref="D52:D54"/>
    <mergeCell ref="B55:B57"/>
    <mergeCell ref="B58:B60"/>
  </mergeCells>
  <printOptions horizontalCentered="1"/>
  <pageMargins left="0" right="0" top="0.51" bottom="0.55000000000000004" header="0" footer="0"/>
  <pageSetup paperSize="14" scale="27" fitToHeight="0" orientation="landscape" r:id="rId1"/>
  <ignoredErrors>
    <ignoredError sqref="T91 T95 T98 T104" formulaRange="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5623"/>
  </sheetPr>
  <dimension ref="A1:T69"/>
  <sheetViews>
    <sheetView view="pageBreakPreview" topLeftCell="A42" zoomScale="40" zoomScaleNormal="40" zoomScaleSheetLayoutView="40" workbookViewId="0">
      <selection activeCell="C58" sqref="C58:E59"/>
    </sheetView>
  </sheetViews>
  <sheetFormatPr defaultColWidth="14.453125" defaultRowHeight="15" customHeight="1"/>
  <cols>
    <col min="1" max="1" width="1.453125" customWidth="1"/>
    <col min="2" max="2" width="22.453125" customWidth="1"/>
    <col min="3" max="3" width="47.26953125" customWidth="1"/>
    <col min="4" max="4" width="29.26953125" customWidth="1"/>
    <col min="5" max="5" width="14.08984375" customWidth="1"/>
    <col min="6" max="6" width="30.81640625" customWidth="1"/>
    <col min="7" max="7" width="34" customWidth="1"/>
    <col min="8" max="8" width="55.453125" customWidth="1"/>
    <col min="9" max="9" width="13.81640625" customWidth="1"/>
    <col min="10" max="10" width="21.453125" customWidth="1"/>
    <col min="11" max="11" width="24.453125" customWidth="1"/>
    <col min="12" max="12" width="9.36328125" customWidth="1"/>
    <col min="13" max="13" width="19.26953125" customWidth="1"/>
    <col min="14" max="14" width="28.90625" customWidth="1"/>
    <col min="15" max="20" width="9.08984375" customWidth="1"/>
  </cols>
  <sheetData>
    <row r="1" spans="1:20" ht="0.75" customHeight="1">
      <c r="A1" s="182"/>
      <c r="B1" s="505"/>
      <c r="C1" s="416"/>
      <c r="D1" s="416"/>
      <c r="E1" s="416"/>
      <c r="F1" s="416"/>
      <c r="G1" s="416"/>
      <c r="H1" s="416"/>
      <c r="I1" s="416"/>
      <c r="J1" s="506"/>
      <c r="K1" s="183"/>
      <c r="L1" s="182"/>
      <c r="M1" s="182"/>
      <c r="N1" s="182"/>
      <c r="O1" s="182"/>
      <c r="P1" s="182"/>
      <c r="Q1" s="182"/>
      <c r="R1" s="182"/>
      <c r="S1" s="182"/>
      <c r="T1" s="182"/>
    </row>
    <row r="2" spans="1:20" ht="19" customHeight="1">
      <c r="A2" s="182"/>
      <c r="B2" s="382" t="s">
        <v>627</v>
      </c>
      <c r="C2" s="212"/>
      <c r="D2" s="212"/>
      <c r="E2" s="212"/>
      <c r="F2" s="212"/>
      <c r="G2" s="212"/>
      <c r="H2" s="383"/>
      <c r="I2" s="212"/>
      <c r="J2" s="212"/>
      <c r="K2" s="183"/>
      <c r="L2" s="182"/>
      <c r="M2" s="182"/>
      <c r="N2" s="182"/>
      <c r="O2" s="182"/>
    </row>
    <row r="3" spans="1:20" ht="73.5" customHeight="1">
      <c r="A3" s="182"/>
      <c r="B3" s="1002" t="s">
        <v>772</v>
      </c>
      <c r="C3" s="984"/>
      <c r="D3" s="984"/>
      <c r="E3" s="984"/>
      <c r="F3" s="984"/>
      <c r="G3" s="984"/>
      <c r="H3" s="984"/>
      <c r="I3" s="984"/>
      <c r="J3" s="1003"/>
      <c r="K3" s="183"/>
      <c r="L3" s="182"/>
      <c r="M3" s="182"/>
      <c r="N3" s="182"/>
      <c r="O3" s="182"/>
    </row>
    <row r="4" spans="1:20" ht="23.25" customHeight="1">
      <c r="A4" s="182"/>
      <c r="B4" s="996" t="s">
        <v>629</v>
      </c>
      <c r="C4" s="983" t="s">
        <v>630</v>
      </c>
      <c r="D4" s="984"/>
      <c r="E4" s="984"/>
      <c r="F4" s="985"/>
      <c r="G4" s="983" t="s">
        <v>631</v>
      </c>
      <c r="H4" s="985"/>
      <c r="I4" s="1004" t="s">
        <v>632</v>
      </c>
      <c r="J4" s="981" t="s">
        <v>633</v>
      </c>
      <c r="K4" s="186"/>
      <c r="L4" s="989" t="s">
        <v>634</v>
      </c>
      <c r="M4" s="458"/>
      <c r="N4" s="458"/>
      <c r="O4" s="182"/>
    </row>
    <row r="5" spans="1:20" ht="39" customHeight="1">
      <c r="A5" s="182"/>
      <c r="B5" s="997"/>
      <c r="C5" s="986"/>
      <c r="D5" s="987"/>
      <c r="E5" s="987"/>
      <c r="F5" s="988"/>
      <c r="G5" s="986"/>
      <c r="H5" s="988"/>
      <c r="I5" s="1005"/>
      <c r="J5" s="982"/>
      <c r="K5" s="183"/>
      <c r="L5" s="187" t="s">
        <v>536</v>
      </c>
      <c r="M5" s="188" t="s">
        <v>537</v>
      </c>
      <c r="N5" s="188" t="s">
        <v>635</v>
      </c>
      <c r="O5" s="182"/>
    </row>
    <row r="6" spans="1:20" s="380" customFormat="1" ht="34.5" customHeight="1">
      <c r="A6" s="378"/>
      <c r="B6" s="998" t="s">
        <v>636</v>
      </c>
      <c r="C6" s="990" t="s">
        <v>771</v>
      </c>
      <c r="D6" s="956"/>
      <c r="E6" s="956"/>
      <c r="F6" s="957"/>
      <c r="G6" s="991"/>
      <c r="H6" s="956"/>
      <c r="I6" s="384"/>
      <c r="J6" s="992" t="e">
        <f>AVERAGE(I6:I10)</f>
        <v>#DIV/0!</v>
      </c>
      <c r="K6" s="379"/>
      <c r="L6" s="190">
        <v>5</v>
      </c>
      <c r="M6" s="191" t="s">
        <v>638</v>
      </c>
      <c r="N6" s="191" t="s">
        <v>639</v>
      </c>
      <c r="O6" s="378"/>
      <c r="P6"/>
      <c r="Q6"/>
      <c r="R6"/>
      <c r="S6"/>
      <c r="T6"/>
    </row>
    <row r="7" spans="1:20" s="380" customFormat="1" ht="34.5" customHeight="1">
      <c r="A7" s="378"/>
      <c r="B7" s="999"/>
      <c r="C7" s="990" t="s">
        <v>640</v>
      </c>
      <c r="D7" s="956"/>
      <c r="E7" s="956"/>
      <c r="F7" s="957"/>
      <c r="G7" s="991"/>
      <c r="H7" s="956"/>
      <c r="I7" s="384"/>
      <c r="J7" s="993"/>
      <c r="K7" s="379"/>
      <c r="L7" s="190">
        <v>4</v>
      </c>
      <c r="M7" s="191" t="s">
        <v>641</v>
      </c>
      <c r="N7" s="191" t="s">
        <v>642</v>
      </c>
      <c r="O7" s="378"/>
      <c r="P7"/>
      <c r="Q7"/>
      <c r="R7"/>
      <c r="S7"/>
      <c r="T7"/>
    </row>
    <row r="8" spans="1:20" s="380" customFormat="1" ht="34.5" customHeight="1">
      <c r="A8" s="378"/>
      <c r="B8" s="999"/>
      <c r="C8" s="990" t="s">
        <v>643</v>
      </c>
      <c r="D8" s="956"/>
      <c r="E8" s="956"/>
      <c r="F8" s="957"/>
      <c r="G8" s="991"/>
      <c r="H8" s="956"/>
      <c r="I8" s="384"/>
      <c r="J8" s="993"/>
      <c r="K8" s="379"/>
      <c r="L8" s="190">
        <v>3</v>
      </c>
      <c r="M8" s="191" t="s">
        <v>644</v>
      </c>
      <c r="N8" s="191" t="s">
        <v>645</v>
      </c>
      <c r="O8" s="378"/>
      <c r="P8"/>
      <c r="Q8"/>
      <c r="R8"/>
      <c r="S8"/>
      <c r="T8"/>
    </row>
    <row r="9" spans="1:20" s="380" customFormat="1" ht="34.5" customHeight="1">
      <c r="A9" s="378"/>
      <c r="B9" s="999"/>
      <c r="C9" s="990" t="s">
        <v>646</v>
      </c>
      <c r="D9" s="956"/>
      <c r="E9" s="956"/>
      <c r="F9" s="957"/>
      <c r="G9" s="991"/>
      <c r="H9" s="956"/>
      <c r="I9" s="384"/>
      <c r="J9" s="993"/>
      <c r="K9" s="379"/>
      <c r="L9" s="190">
        <v>2</v>
      </c>
      <c r="M9" s="191" t="s">
        <v>647</v>
      </c>
      <c r="N9" s="191" t="s">
        <v>648</v>
      </c>
      <c r="O9" s="378"/>
      <c r="P9"/>
      <c r="Q9"/>
      <c r="R9"/>
      <c r="S9"/>
      <c r="T9"/>
    </row>
    <row r="10" spans="1:20" s="380" customFormat="1" ht="34.5" customHeight="1">
      <c r="A10" s="378"/>
      <c r="B10" s="1000"/>
      <c r="C10" s="995" t="s">
        <v>649</v>
      </c>
      <c r="D10" s="956"/>
      <c r="E10" s="956"/>
      <c r="F10" s="957"/>
      <c r="G10" s="991"/>
      <c r="H10" s="956"/>
      <c r="I10" s="384"/>
      <c r="J10" s="994"/>
      <c r="K10" s="379"/>
      <c r="L10" s="190">
        <v>1</v>
      </c>
      <c r="M10" s="191" t="s">
        <v>650</v>
      </c>
      <c r="N10" s="191" t="s">
        <v>651</v>
      </c>
      <c r="O10" s="378"/>
      <c r="P10"/>
      <c r="Q10"/>
      <c r="R10"/>
      <c r="S10"/>
      <c r="T10"/>
    </row>
    <row r="11" spans="1:20" s="380" customFormat="1" ht="43.5" customHeight="1">
      <c r="A11" s="378"/>
      <c r="B11" s="1001" t="s">
        <v>652</v>
      </c>
      <c r="C11" s="959" t="s">
        <v>653</v>
      </c>
      <c r="D11" s="956"/>
      <c r="E11" s="956"/>
      <c r="F11" s="957"/>
      <c r="G11" s="991"/>
      <c r="H11" s="956"/>
      <c r="I11" s="384"/>
      <c r="J11" s="992" t="e">
        <f>AVERAGE(I11:I15)</f>
        <v>#DIV/0!</v>
      </c>
      <c r="K11" s="379"/>
      <c r="L11" s="381"/>
      <c r="M11" s="381"/>
      <c r="N11" s="381"/>
      <c r="O11" s="378"/>
      <c r="P11"/>
      <c r="Q11"/>
      <c r="R11"/>
      <c r="S11"/>
      <c r="T11"/>
    </row>
    <row r="12" spans="1:20" s="380" customFormat="1" ht="34.5" customHeight="1">
      <c r="A12" s="378"/>
      <c r="B12" s="999"/>
      <c r="C12" s="959" t="s">
        <v>654</v>
      </c>
      <c r="D12" s="956"/>
      <c r="E12" s="956"/>
      <c r="F12" s="957"/>
      <c r="G12" s="991"/>
      <c r="H12" s="956"/>
      <c r="I12" s="384"/>
      <c r="J12" s="993"/>
      <c r="K12" s="379"/>
      <c r="L12" s="381"/>
      <c r="M12" s="381"/>
      <c r="N12" s="381"/>
      <c r="O12" s="378"/>
      <c r="P12"/>
      <c r="Q12"/>
      <c r="R12"/>
      <c r="S12"/>
      <c r="T12"/>
    </row>
    <row r="13" spans="1:20" s="380" customFormat="1" ht="34.5" customHeight="1">
      <c r="A13" s="378"/>
      <c r="B13" s="999"/>
      <c r="C13" s="959" t="s">
        <v>655</v>
      </c>
      <c r="D13" s="956"/>
      <c r="E13" s="956"/>
      <c r="F13" s="957"/>
      <c r="G13" s="991"/>
      <c r="H13" s="956"/>
      <c r="I13" s="384"/>
      <c r="J13" s="993"/>
      <c r="K13" s="379"/>
      <c r="L13" s="381"/>
      <c r="M13" s="381"/>
      <c r="N13" s="381"/>
      <c r="O13" s="378"/>
      <c r="P13"/>
      <c r="Q13"/>
      <c r="R13"/>
      <c r="S13"/>
      <c r="T13"/>
    </row>
    <row r="14" spans="1:20" s="380" customFormat="1" ht="34.5" customHeight="1">
      <c r="A14" s="378"/>
      <c r="B14" s="999"/>
      <c r="C14" s="959" t="s">
        <v>656</v>
      </c>
      <c r="D14" s="956"/>
      <c r="E14" s="956"/>
      <c r="F14" s="957"/>
      <c r="G14" s="991"/>
      <c r="H14" s="956"/>
      <c r="I14" s="384"/>
      <c r="J14" s="993"/>
      <c r="K14" s="379"/>
      <c r="L14" s="381"/>
      <c r="M14" s="381"/>
      <c r="N14" s="381"/>
      <c r="O14" s="378"/>
      <c r="P14"/>
      <c r="Q14"/>
      <c r="R14"/>
      <c r="S14"/>
      <c r="T14"/>
    </row>
    <row r="15" spans="1:20" s="380" customFormat="1" ht="34.5" customHeight="1">
      <c r="A15" s="378"/>
      <c r="B15" s="1000"/>
      <c r="C15" s="958" t="s">
        <v>657</v>
      </c>
      <c r="D15" s="956"/>
      <c r="E15" s="956"/>
      <c r="F15" s="957"/>
      <c r="G15" s="991"/>
      <c r="H15" s="956"/>
      <c r="I15" s="384"/>
      <c r="J15" s="994"/>
      <c r="K15" s="379"/>
      <c r="L15" s="381"/>
      <c r="M15" s="381"/>
      <c r="N15" s="381"/>
      <c r="O15" s="378"/>
      <c r="P15"/>
      <c r="Q15"/>
      <c r="R15"/>
      <c r="S15"/>
      <c r="T15"/>
    </row>
    <row r="16" spans="1:20" s="380" customFormat="1" ht="34.5" customHeight="1">
      <c r="A16" s="378"/>
      <c r="B16" s="998" t="s">
        <v>658</v>
      </c>
      <c r="C16" s="958" t="s">
        <v>659</v>
      </c>
      <c r="D16" s="956"/>
      <c r="E16" s="956"/>
      <c r="F16" s="957"/>
      <c r="G16" s="991"/>
      <c r="H16" s="956"/>
      <c r="I16" s="384"/>
      <c r="J16" s="992" t="e">
        <f>AVERAGE(I16:I20)</f>
        <v>#DIV/0!</v>
      </c>
      <c r="K16" s="379"/>
      <c r="L16" s="381"/>
      <c r="M16" s="381"/>
      <c r="N16" s="381"/>
      <c r="O16" s="378"/>
      <c r="P16"/>
      <c r="Q16"/>
      <c r="R16"/>
      <c r="S16"/>
      <c r="T16"/>
    </row>
    <row r="17" spans="1:20" s="380" customFormat="1" ht="34.5" customHeight="1">
      <c r="A17" s="378"/>
      <c r="B17" s="999"/>
      <c r="C17" s="958" t="s">
        <v>660</v>
      </c>
      <c r="D17" s="956"/>
      <c r="E17" s="956"/>
      <c r="F17" s="957"/>
      <c r="G17" s="991"/>
      <c r="H17" s="956"/>
      <c r="I17" s="384"/>
      <c r="J17" s="993"/>
      <c r="K17" s="379"/>
      <c r="L17" s="381"/>
      <c r="M17" s="381"/>
      <c r="N17" s="381"/>
      <c r="O17" s="378"/>
      <c r="P17"/>
      <c r="Q17"/>
      <c r="R17"/>
      <c r="S17"/>
      <c r="T17"/>
    </row>
    <row r="18" spans="1:20" s="380" customFormat="1" ht="34.5" customHeight="1">
      <c r="A18" s="378"/>
      <c r="B18" s="999"/>
      <c r="C18" s="958" t="s">
        <v>661</v>
      </c>
      <c r="D18" s="956"/>
      <c r="E18" s="956"/>
      <c r="F18" s="957"/>
      <c r="G18" s="991"/>
      <c r="H18" s="956"/>
      <c r="I18" s="384"/>
      <c r="J18" s="993"/>
      <c r="K18" s="379"/>
      <c r="L18" s="381"/>
      <c r="M18" s="381"/>
      <c r="N18" s="381"/>
      <c r="O18" s="378"/>
      <c r="P18"/>
      <c r="Q18"/>
      <c r="R18"/>
      <c r="S18"/>
      <c r="T18"/>
    </row>
    <row r="19" spans="1:20" s="380" customFormat="1" ht="34.5" customHeight="1">
      <c r="A19" s="378"/>
      <c r="B19" s="999"/>
      <c r="C19" s="958" t="s">
        <v>662</v>
      </c>
      <c r="D19" s="956"/>
      <c r="E19" s="956"/>
      <c r="F19" s="957"/>
      <c r="G19" s="991"/>
      <c r="H19" s="956"/>
      <c r="I19" s="384"/>
      <c r="J19" s="993"/>
      <c r="K19" s="379"/>
      <c r="L19" s="381"/>
      <c r="M19" s="381"/>
      <c r="N19" s="381"/>
      <c r="O19" s="378"/>
      <c r="P19"/>
      <c r="Q19"/>
      <c r="R19"/>
      <c r="S19"/>
      <c r="T19"/>
    </row>
    <row r="20" spans="1:20" s="380" customFormat="1" ht="34.5" customHeight="1">
      <c r="A20" s="378"/>
      <c r="B20" s="1000"/>
      <c r="C20" s="958" t="s">
        <v>663</v>
      </c>
      <c r="D20" s="956"/>
      <c r="E20" s="956"/>
      <c r="F20" s="957"/>
      <c r="G20" s="991"/>
      <c r="H20" s="956"/>
      <c r="I20" s="384"/>
      <c r="J20" s="994"/>
      <c r="K20" s="379"/>
      <c r="L20" s="381"/>
      <c r="M20" s="381"/>
      <c r="N20" s="381"/>
      <c r="O20" s="378"/>
      <c r="P20"/>
      <c r="Q20"/>
      <c r="R20"/>
      <c r="S20"/>
      <c r="T20"/>
    </row>
    <row r="21" spans="1:20" ht="34.5" customHeight="1">
      <c r="A21" s="182"/>
      <c r="B21" s="960" t="s">
        <v>704</v>
      </c>
      <c r="C21" s="961"/>
      <c r="D21" s="961"/>
      <c r="E21" s="961"/>
      <c r="F21" s="961"/>
      <c r="G21" s="961"/>
      <c r="H21" s="961"/>
      <c r="I21" s="962"/>
      <c r="J21" s="385" t="e">
        <f>AVERAGE(J6:J20)*0.025</f>
        <v>#DIV/0!</v>
      </c>
      <c r="K21" s="194"/>
      <c r="L21" s="192"/>
      <c r="M21" s="192"/>
      <c r="N21" s="192"/>
      <c r="O21" s="182"/>
    </row>
    <row r="22" spans="1:20" ht="55.5" customHeight="1">
      <c r="A22" s="182"/>
      <c r="B22" s="1006" t="s">
        <v>773</v>
      </c>
      <c r="C22" s="1007"/>
      <c r="D22" s="1007"/>
      <c r="E22" s="1007"/>
      <c r="F22" s="1007"/>
      <c r="G22" s="1007"/>
      <c r="H22" s="1007"/>
      <c r="I22" s="1007"/>
      <c r="J22" s="1007"/>
      <c r="K22" s="183"/>
      <c r="L22" s="192"/>
      <c r="M22" s="192"/>
      <c r="N22" s="192"/>
      <c r="O22" s="182"/>
    </row>
    <row r="23" spans="1:20" ht="34.5" customHeight="1">
      <c r="A23" s="182"/>
      <c r="B23" s="996" t="s">
        <v>629</v>
      </c>
      <c r="C23" s="983" t="s">
        <v>630</v>
      </c>
      <c r="D23" s="984"/>
      <c r="E23" s="984"/>
      <c r="F23" s="985"/>
      <c r="G23" s="983" t="s">
        <v>631</v>
      </c>
      <c r="H23" s="985"/>
      <c r="I23" s="1004" t="s">
        <v>666</v>
      </c>
      <c r="J23" s="981" t="s">
        <v>633</v>
      </c>
      <c r="K23" s="183"/>
      <c r="L23" s="192"/>
      <c r="M23" s="192"/>
      <c r="N23" s="192"/>
      <c r="O23" s="182"/>
    </row>
    <row r="24" spans="1:20" ht="34.5" customHeight="1">
      <c r="A24" s="182"/>
      <c r="B24" s="997"/>
      <c r="C24" s="986"/>
      <c r="D24" s="987"/>
      <c r="E24" s="987"/>
      <c r="F24" s="988"/>
      <c r="G24" s="986"/>
      <c r="H24" s="988"/>
      <c r="I24" s="1008"/>
      <c r="J24" s="982"/>
      <c r="K24" s="183"/>
      <c r="L24" s="192"/>
      <c r="M24" s="192"/>
      <c r="N24" s="192"/>
      <c r="O24" s="182"/>
    </row>
    <row r="25" spans="1:20" s="380" customFormat="1" ht="34.5" customHeight="1">
      <c r="A25" s="378"/>
      <c r="B25" s="975" t="s">
        <v>667</v>
      </c>
      <c r="C25" s="955" t="s">
        <v>668</v>
      </c>
      <c r="D25" s="956"/>
      <c r="E25" s="956"/>
      <c r="F25" s="957"/>
      <c r="G25" s="953"/>
      <c r="H25" s="954"/>
      <c r="I25" s="384"/>
      <c r="J25" s="950" t="e">
        <f>AVERAGE(I25:I29)</f>
        <v>#DIV/0!</v>
      </c>
      <c r="K25" s="379"/>
      <c r="L25" s="381"/>
      <c r="M25" s="381"/>
      <c r="N25" s="381"/>
      <c r="O25" s="378"/>
      <c r="P25"/>
      <c r="Q25"/>
      <c r="R25"/>
      <c r="S25"/>
      <c r="T25"/>
    </row>
    <row r="26" spans="1:20" s="380" customFormat="1" ht="34.5" customHeight="1">
      <c r="A26" s="378"/>
      <c r="B26" s="976"/>
      <c r="C26" s="955" t="s">
        <v>669</v>
      </c>
      <c r="D26" s="956"/>
      <c r="E26" s="956"/>
      <c r="F26" s="957"/>
      <c r="G26" s="953"/>
      <c r="H26" s="954"/>
      <c r="I26" s="384"/>
      <c r="J26" s="951"/>
      <c r="K26" s="379"/>
      <c r="L26" s="378"/>
      <c r="M26" s="378"/>
      <c r="N26" s="378"/>
      <c r="O26" s="378"/>
      <c r="P26"/>
      <c r="Q26"/>
      <c r="R26"/>
      <c r="S26"/>
      <c r="T26"/>
    </row>
    <row r="27" spans="1:20" s="380" customFormat="1" ht="34.5" customHeight="1">
      <c r="A27" s="378"/>
      <c r="B27" s="976"/>
      <c r="C27" s="955" t="s">
        <v>670</v>
      </c>
      <c r="D27" s="956"/>
      <c r="E27" s="956"/>
      <c r="F27" s="957"/>
      <c r="G27" s="953"/>
      <c r="H27" s="954"/>
      <c r="I27" s="384"/>
      <c r="J27" s="951"/>
      <c r="K27" s="379"/>
      <c r="L27" s="378"/>
      <c r="M27" s="378"/>
      <c r="N27" s="378"/>
      <c r="O27" s="378"/>
      <c r="P27"/>
      <c r="Q27"/>
      <c r="R27"/>
      <c r="S27"/>
      <c r="T27"/>
    </row>
    <row r="28" spans="1:20" s="380" customFormat="1" ht="34.5" customHeight="1">
      <c r="A28" s="378"/>
      <c r="B28" s="976"/>
      <c r="C28" s="955" t="s">
        <v>671</v>
      </c>
      <c r="D28" s="956"/>
      <c r="E28" s="956"/>
      <c r="F28" s="957"/>
      <c r="G28" s="953"/>
      <c r="H28" s="954"/>
      <c r="I28" s="384"/>
      <c r="J28" s="951"/>
      <c r="K28" s="379"/>
      <c r="L28" s="378"/>
      <c r="M28" s="378"/>
      <c r="N28" s="378"/>
      <c r="O28" s="378"/>
      <c r="P28"/>
      <c r="Q28"/>
      <c r="R28"/>
      <c r="S28"/>
      <c r="T28"/>
    </row>
    <row r="29" spans="1:20" s="380" customFormat="1" ht="34.5" customHeight="1">
      <c r="A29" s="378"/>
      <c r="B29" s="977"/>
      <c r="C29" s="955" t="s">
        <v>672</v>
      </c>
      <c r="D29" s="956"/>
      <c r="E29" s="956"/>
      <c r="F29" s="957"/>
      <c r="G29" s="953"/>
      <c r="H29" s="954"/>
      <c r="I29" s="384"/>
      <c r="J29" s="952"/>
      <c r="K29" s="379"/>
      <c r="L29" s="378"/>
      <c r="M29" s="378"/>
      <c r="N29" s="378"/>
      <c r="O29" s="378"/>
      <c r="P29"/>
      <c r="Q29"/>
      <c r="R29"/>
      <c r="S29"/>
      <c r="T29"/>
    </row>
    <row r="30" spans="1:20" s="380" customFormat="1" ht="34.5" customHeight="1">
      <c r="A30" s="378"/>
      <c r="B30" s="980" t="s">
        <v>673</v>
      </c>
      <c r="C30" s="955" t="s">
        <v>674</v>
      </c>
      <c r="D30" s="956"/>
      <c r="E30" s="956"/>
      <c r="F30" s="957"/>
      <c r="G30" s="953"/>
      <c r="H30" s="954"/>
      <c r="I30" s="384"/>
      <c r="J30" s="950" t="e">
        <f>AVERAGE(I30:I34)</f>
        <v>#DIV/0!</v>
      </c>
      <c r="K30" s="379"/>
      <c r="L30" s="378"/>
      <c r="M30" s="378"/>
      <c r="N30" s="378"/>
      <c r="O30" s="378"/>
      <c r="P30"/>
      <c r="Q30"/>
      <c r="R30"/>
      <c r="S30"/>
      <c r="T30"/>
    </row>
    <row r="31" spans="1:20" s="380" customFormat="1" ht="34.5" customHeight="1">
      <c r="A31" s="378"/>
      <c r="B31" s="976"/>
      <c r="C31" s="955" t="s">
        <v>675</v>
      </c>
      <c r="D31" s="956"/>
      <c r="E31" s="956"/>
      <c r="F31" s="957"/>
      <c r="G31" s="953"/>
      <c r="H31" s="954"/>
      <c r="I31" s="384"/>
      <c r="J31" s="951"/>
      <c r="K31" s="379"/>
      <c r="L31" s="378"/>
      <c r="M31" s="378"/>
      <c r="N31" s="378"/>
      <c r="O31" s="378"/>
      <c r="P31"/>
      <c r="Q31"/>
      <c r="R31"/>
      <c r="S31"/>
      <c r="T31"/>
    </row>
    <row r="32" spans="1:20" s="380" customFormat="1" ht="34.5" customHeight="1">
      <c r="A32" s="378"/>
      <c r="B32" s="976"/>
      <c r="C32" s="955" t="s">
        <v>676</v>
      </c>
      <c r="D32" s="956"/>
      <c r="E32" s="956"/>
      <c r="F32" s="957"/>
      <c r="G32" s="953"/>
      <c r="H32" s="954"/>
      <c r="I32" s="384"/>
      <c r="J32" s="951"/>
      <c r="K32" s="379"/>
      <c r="L32" s="378"/>
      <c r="M32" s="378"/>
      <c r="N32" s="378"/>
      <c r="O32" s="378"/>
      <c r="P32"/>
      <c r="Q32"/>
      <c r="R32"/>
      <c r="S32"/>
      <c r="T32"/>
    </row>
    <row r="33" spans="1:20" s="380" customFormat="1" ht="34.5" customHeight="1">
      <c r="A33" s="378"/>
      <c r="B33" s="976"/>
      <c r="C33" s="955" t="s">
        <v>677</v>
      </c>
      <c r="D33" s="956"/>
      <c r="E33" s="956"/>
      <c r="F33" s="957"/>
      <c r="G33" s="953"/>
      <c r="H33" s="954"/>
      <c r="I33" s="384"/>
      <c r="J33" s="951"/>
      <c r="K33" s="379"/>
      <c r="L33" s="378"/>
      <c r="M33" s="378"/>
      <c r="N33" s="378"/>
      <c r="O33" s="378"/>
      <c r="P33"/>
      <c r="Q33"/>
      <c r="R33"/>
      <c r="S33"/>
      <c r="T33"/>
    </row>
    <row r="34" spans="1:20" s="380" customFormat="1" ht="34.5" customHeight="1">
      <c r="A34" s="378"/>
      <c r="B34" s="977"/>
      <c r="C34" s="955" t="s">
        <v>678</v>
      </c>
      <c r="D34" s="956"/>
      <c r="E34" s="956"/>
      <c r="F34" s="957"/>
      <c r="G34" s="953"/>
      <c r="H34" s="954"/>
      <c r="I34" s="384"/>
      <c r="J34" s="952"/>
      <c r="K34" s="379"/>
      <c r="L34" s="378"/>
      <c r="M34" s="378"/>
      <c r="N34" s="378"/>
      <c r="O34" s="378"/>
      <c r="P34"/>
      <c r="Q34"/>
      <c r="R34"/>
      <c r="S34"/>
      <c r="T34"/>
    </row>
    <row r="35" spans="1:20" s="380" customFormat="1" ht="34.5" customHeight="1">
      <c r="A35" s="378"/>
      <c r="B35" s="975" t="s">
        <v>679</v>
      </c>
      <c r="C35" s="955" t="s">
        <v>680</v>
      </c>
      <c r="D35" s="956"/>
      <c r="E35" s="956"/>
      <c r="F35" s="957"/>
      <c r="G35" s="953"/>
      <c r="H35" s="954"/>
      <c r="I35" s="384"/>
      <c r="J35" s="950" t="e">
        <f>AVERAGE(I35:I39)</f>
        <v>#DIV/0!</v>
      </c>
      <c r="K35" s="379"/>
      <c r="L35" s="378"/>
      <c r="M35" s="378"/>
      <c r="N35" s="378"/>
      <c r="O35" s="378"/>
      <c r="P35"/>
      <c r="Q35"/>
      <c r="R35"/>
      <c r="S35"/>
      <c r="T35"/>
    </row>
    <row r="36" spans="1:20" s="380" customFormat="1" ht="34.5" customHeight="1">
      <c r="A36" s="378"/>
      <c r="B36" s="976"/>
      <c r="C36" s="955" t="s">
        <v>681</v>
      </c>
      <c r="D36" s="956"/>
      <c r="E36" s="956"/>
      <c r="F36" s="957"/>
      <c r="G36" s="953"/>
      <c r="H36" s="954"/>
      <c r="I36" s="384"/>
      <c r="J36" s="951"/>
      <c r="K36" s="379"/>
      <c r="L36" s="378"/>
      <c r="M36" s="378"/>
      <c r="N36" s="378"/>
      <c r="O36" s="378"/>
      <c r="P36"/>
      <c r="Q36"/>
      <c r="R36"/>
      <c r="S36"/>
      <c r="T36"/>
    </row>
    <row r="37" spans="1:20" s="380" customFormat="1" ht="52" customHeight="1">
      <c r="A37" s="378"/>
      <c r="B37" s="976"/>
      <c r="C37" s="959" t="s">
        <v>682</v>
      </c>
      <c r="D37" s="956"/>
      <c r="E37" s="956"/>
      <c r="F37" s="957"/>
      <c r="G37" s="953"/>
      <c r="H37" s="954"/>
      <c r="I37" s="384"/>
      <c r="J37" s="951"/>
      <c r="K37" s="379"/>
      <c r="L37" s="378"/>
      <c r="M37" s="378"/>
      <c r="N37" s="378"/>
      <c r="O37" s="378"/>
      <c r="P37"/>
      <c r="Q37"/>
      <c r="R37"/>
      <c r="S37"/>
      <c r="T37"/>
    </row>
    <row r="38" spans="1:20" s="380" customFormat="1" ht="34.5" customHeight="1">
      <c r="A38" s="378"/>
      <c r="B38" s="976"/>
      <c r="C38" s="955" t="s">
        <v>683</v>
      </c>
      <c r="D38" s="956"/>
      <c r="E38" s="956"/>
      <c r="F38" s="957"/>
      <c r="G38" s="953"/>
      <c r="H38" s="954"/>
      <c r="I38" s="384"/>
      <c r="J38" s="951"/>
      <c r="K38" s="379"/>
      <c r="L38" s="378"/>
      <c r="M38" s="378"/>
      <c r="N38" s="378"/>
      <c r="O38" s="378"/>
      <c r="P38"/>
      <c r="Q38"/>
      <c r="R38"/>
      <c r="S38"/>
      <c r="T38"/>
    </row>
    <row r="39" spans="1:20" s="380" customFormat="1" ht="51" customHeight="1">
      <c r="A39" s="378"/>
      <c r="B39" s="977"/>
      <c r="C39" s="958" t="s">
        <v>684</v>
      </c>
      <c r="D39" s="956"/>
      <c r="E39" s="956"/>
      <c r="F39" s="957"/>
      <c r="G39" s="953"/>
      <c r="H39" s="954"/>
      <c r="I39" s="384"/>
      <c r="J39" s="952"/>
      <c r="K39" s="379"/>
      <c r="L39" s="378"/>
      <c r="M39" s="378"/>
      <c r="N39" s="378"/>
      <c r="O39" s="378"/>
      <c r="P39"/>
      <c r="Q39"/>
      <c r="R39"/>
      <c r="S39"/>
      <c r="T39"/>
    </row>
    <row r="40" spans="1:20" s="380" customFormat="1" ht="34.5" customHeight="1">
      <c r="A40" s="378"/>
      <c r="B40" s="975" t="s">
        <v>685</v>
      </c>
      <c r="C40" s="955" t="s">
        <v>686</v>
      </c>
      <c r="D40" s="956"/>
      <c r="E40" s="956"/>
      <c r="F40" s="957"/>
      <c r="G40" s="953"/>
      <c r="H40" s="954"/>
      <c r="I40" s="384"/>
      <c r="J40" s="950" t="e">
        <f>AVERAGE(I40:I44)</f>
        <v>#DIV/0!</v>
      </c>
      <c r="K40" s="379"/>
      <c r="L40" s="378"/>
      <c r="M40" s="378"/>
      <c r="N40" s="378"/>
      <c r="O40" s="378"/>
      <c r="P40"/>
      <c r="Q40"/>
      <c r="R40"/>
      <c r="S40"/>
      <c r="T40"/>
    </row>
    <row r="41" spans="1:20" s="380" customFormat="1" ht="34.5" customHeight="1">
      <c r="A41" s="378"/>
      <c r="B41" s="976"/>
      <c r="C41" s="955" t="s">
        <v>687</v>
      </c>
      <c r="D41" s="956"/>
      <c r="E41" s="956"/>
      <c r="F41" s="957"/>
      <c r="G41" s="953"/>
      <c r="H41" s="954"/>
      <c r="I41" s="384"/>
      <c r="J41" s="951"/>
      <c r="K41" s="379"/>
      <c r="L41" s="378"/>
      <c r="M41" s="378"/>
      <c r="N41" s="378"/>
      <c r="O41" s="378"/>
      <c r="P41"/>
      <c r="Q41"/>
      <c r="R41"/>
      <c r="S41"/>
      <c r="T41"/>
    </row>
    <row r="42" spans="1:20" s="380" customFormat="1" ht="34.5" customHeight="1">
      <c r="A42" s="378"/>
      <c r="B42" s="976"/>
      <c r="C42" s="955" t="s">
        <v>688</v>
      </c>
      <c r="D42" s="956"/>
      <c r="E42" s="956"/>
      <c r="F42" s="957"/>
      <c r="G42" s="953"/>
      <c r="H42" s="954"/>
      <c r="I42" s="384"/>
      <c r="J42" s="951"/>
      <c r="K42" s="379"/>
      <c r="L42" s="378"/>
      <c r="M42" s="378"/>
      <c r="N42" s="378"/>
      <c r="O42" s="378"/>
      <c r="P42"/>
      <c r="Q42"/>
      <c r="R42"/>
      <c r="S42"/>
      <c r="T42"/>
    </row>
    <row r="43" spans="1:20" s="380" customFormat="1" ht="34.5" customHeight="1">
      <c r="A43" s="378"/>
      <c r="B43" s="976"/>
      <c r="C43" s="955" t="s">
        <v>689</v>
      </c>
      <c r="D43" s="956"/>
      <c r="E43" s="956"/>
      <c r="F43" s="957"/>
      <c r="G43" s="953"/>
      <c r="H43" s="954"/>
      <c r="I43" s="384"/>
      <c r="J43" s="951"/>
      <c r="K43" s="379"/>
      <c r="L43" s="378"/>
      <c r="M43" s="378"/>
      <c r="N43" s="378"/>
      <c r="O43" s="378"/>
      <c r="P43"/>
      <c r="Q43"/>
      <c r="R43"/>
      <c r="S43"/>
      <c r="T43"/>
    </row>
    <row r="44" spans="1:20" s="380" customFormat="1" ht="34.5" customHeight="1">
      <c r="A44" s="378"/>
      <c r="B44" s="977"/>
      <c r="C44" s="958" t="s">
        <v>690</v>
      </c>
      <c r="D44" s="956"/>
      <c r="E44" s="956"/>
      <c r="F44" s="957"/>
      <c r="G44" s="953"/>
      <c r="H44" s="954"/>
      <c r="I44" s="384"/>
      <c r="J44" s="952"/>
      <c r="K44" s="379"/>
      <c r="L44" s="378"/>
      <c r="M44" s="378"/>
      <c r="N44" s="378"/>
      <c r="O44" s="378"/>
      <c r="P44"/>
      <c r="Q44"/>
      <c r="R44"/>
      <c r="S44"/>
      <c r="T44"/>
    </row>
    <row r="45" spans="1:20" s="380" customFormat="1" ht="34.5" customHeight="1">
      <c r="A45" s="378"/>
      <c r="B45" s="975" t="s">
        <v>691</v>
      </c>
      <c r="C45" s="955" t="s">
        <v>692</v>
      </c>
      <c r="D45" s="956"/>
      <c r="E45" s="956"/>
      <c r="F45" s="957"/>
      <c r="G45" s="953"/>
      <c r="H45" s="954"/>
      <c r="I45" s="384"/>
      <c r="J45" s="950" t="e">
        <f>AVERAGE(I45:I49)</f>
        <v>#DIV/0!</v>
      </c>
      <c r="K45" s="379"/>
      <c r="L45" s="378"/>
      <c r="M45" s="378"/>
      <c r="N45" s="378"/>
      <c r="O45" s="378"/>
      <c r="P45"/>
      <c r="Q45"/>
      <c r="R45"/>
      <c r="S45"/>
      <c r="T45"/>
    </row>
    <row r="46" spans="1:20" s="380" customFormat="1" ht="34.5" customHeight="1">
      <c r="A46" s="378"/>
      <c r="B46" s="976"/>
      <c r="C46" s="955" t="s">
        <v>693</v>
      </c>
      <c r="D46" s="956"/>
      <c r="E46" s="956"/>
      <c r="F46" s="957"/>
      <c r="G46" s="953"/>
      <c r="H46" s="954"/>
      <c r="I46" s="384"/>
      <c r="J46" s="951"/>
      <c r="K46" s="379"/>
      <c r="L46" s="378"/>
      <c r="M46" s="378"/>
      <c r="N46" s="378"/>
      <c r="O46" s="378"/>
      <c r="P46"/>
      <c r="Q46"/>
      <c r="R46"/>
      <c r="S46"/>
      <c r="T46"/>
    </row>
    <row r="47" spans="1:20" s="380" customFormat="1" ht="34.5" customHeight="1">
      <c r="A47" s="378"/>
      <c r="B47" s="976"/>
      <c r="C47" s="955" t="s">
        <v>694</v>
      </c>
      <c r="D47" s="956"/>
      <c r="E47" s="956"/>
      <c r="F47" s="957"/>
      <c r="G47" s="953"/>
      <c r="H47" s="954"/>
      <c r="I47" s="384"/>
      <c r="J47" s="951"/>
      <c r="K47" s="379"/>
      <c r="L47" s="378"/>
      <c r="M47" s="378"/>
      <c r="N47" s="378"/>
      <c r="O47" s="378"/>
      <c r="P47"/>
      <c r="Q47"/>
      <c r="R47"/>
      <c r="S47"/>
      <c r="T47"/>
    </row>
    <row r="48" spans="1:20" s="380" customFormat="1" ht="34.5" customHeight="1">
      <c r="A48" s="378"/>
      <c r="B48" s="976"/>
      <c r="C48" s="959" t="s">
        <v>695</v>
      </c>
      <c r="D48" s="973"/>
      <c r="E48" s="973"/>
      <c r="F48" s="974"/>
      <c r="G48" s="953"/>
      <c r="H48" s="954"/>
      <c r="I48" s="384"/>
      <c r="J48" s="951"/>
      <c r="K48" s="379"/>
      <c r="L48" s="378"/>
      <c r="M48" s="378"/>
      <c r="N48" s="378"/>
      <c r="O48" s="378"/>
      <c r="P48"/>
      <c r="Q48"/>
      <c r="R48"/>
      <c r="S48"/>
      <c r="T48"/>
    </row>
    <row r="49" spans="1:20" s="380" customFormat="1" ht="34.5" customHeight="1">
      <c r="A49" s="378"/>
      <c r="B49" s="977"/>
      <c r="C49" s="959" t="s">
        <v>696</v>
      </c>
      <c r="D49" s="973"/>
      <c r="E49" s="973"/>
      <c r="F49" s="974"/>
      <c r="G49" s="953"/>
      <c r="H49" s="954"/>
      <c r="I49" s="384"/>
      <c r="J49" s="952"/>
      <c r="K49" s="379"/>
      <c r="L49" s="378"/>
      <c r="M49" s="378"/>
      <c r="N49" s="378"/>
      <c r="O49" s="378"/>
      <c r="P49"/>
      <c r="Q49"/>
      <c r="R49"/>
      <c r="S49"/>
      <c r="T49"/>
    </row>
    <row r="50" spans="1:20" s="380" customFormat="1" ht="34.5" customHeight="1">
      <c r="A50" s="378"/>
      <c r="B50" s="975" t="s">
        <v>697</v>
      </c>
      <c r="C50" s="958" t="s">
        <v>698</v>
      </c>
      <c r="D50" s="956"/>
      <c r="E50" s="956"/>
      <c r="F50" s="957"/>
      <c r="G50" s="978"/>
      <c r="H50" s="979"/>
      <c r="I50" s="384"/>
      <c r="J50" s="950" t="e">
        <f>AVERAGE(I50:I54)</f>
        <v>#DIV/0!</v>
      </c>
      <c r="K50" s="379"/>
      <c r="L50" s="378"/>
      <c r="M50" s="378"/>
      <c r="N50" s="378"/>
      <c r="O50" s="378"/>
      <c r="P50"/>
      <c r="Q50"/>
      <c r="R50"/>
      <c r="S50"/>
      <c r="T50"/>
    </row>
    <row r="51" spans="1:20" s="380" customFormat="1" ht="34.5" customHeight="1">
      <c r="A51" s="378"/>
      <c r="B51" s="976"/>
      <c r="C51" s="959" t="s">
        <v>699</v>
      </c>
      <c r="D51" s="956"/>
      <c r="E51" s="956"/>
      <c r="F51" s="957"/>
      <c r="G51" s="387"/>
      <c r="H51" s="386"/>
      <c r="I51" s="384"/>
      <c r="J51" s="951"/>
      <c r="K51" s="379"/>
      <c r="L51" s="378"/>
      <c r="M51" s="378"/>
      <c r="N51" s="378"/>
      <c r="O51" s="378"/>
      <c r="P51"/>
      <c r="Q51"/>
      <c r="R51"/>
      <c r="S51"/>
      <c r="T51"/>
    </row>
    <row r="52" spans="1:20" s="380" customFormat="1" ht="34.5" customHeight="1">
      <c r="A52" s="378"/>
      <c r="B52" s="976"/>
      <c r="C52" s="959" t="s">
        <v>700</v>
      </c>
      <c r="D52" s="956"/>
      <c r="E52" s="956"/>
      <c r="F52" s="957"/>
      <c r="G52" s="953"/>
      <c r="H52" s="954"/>
      <c r="I52" s="384"/>
      <c r="J52" s="951"/>
      <c r="K52" s="379"/>
      <c r="L52" s="378"/>
      <c r="M52" s="378"/>
      <c r="N52" s="378"/>
      <c r="O52" s="378"/>
      <c r="P52"/>
      <c r="Q52"/>
      <c r="R52"/>
      <c r="S52"/>
      <c r="T52"/>
    </row>
    <row r="53" spans="1:20" s="380" customFormat="1" ht="34.5" customHeight="1">
      <c r="A53" s="378"/>
      <c r="B53" s="976"/>
      <c r="C53" s="959" t="s">
        <v>701</v>
      </c>
      <c r="D53" s="956"/>
      <c r="E53" s="956"/>
      <c r="F53" s="957"/>
      <c r="G53" s="953"/>
      <c r="H53" s="954"/>
      <c r="I53" s="384"/>
      <c r="J53" s="951"/>
      <c r="K53" s="379"/>
      <c r="L53" s="378"/>
      <c r="M53" s="378"/>
      <c r="N53" s="378"/>
      <c r="O53" s="378"/>
      <c r="P53"/>
      <c r="Q53"/>
      <c r="R53"/>
      <c r="S53"/>
      <c r="T53"/>
    </row>
    <row r="54" spans="1:20" s="380" customFormat="1" ht="34.5" customHeight="1">
      <c r="A54" s="378"/>
      <c r="B54" s="977"/>
      <c r="C54" s="959" t="s">
        <v>702</v>
      </c>
      <c r="D54" s="956"/>
      <c r="E54" s="956"/>
      <c r="F54" s="957"/>
      <c r="G54" s="953"/>
      <c r="H54" s="954"/>
      <c r="I54" s="384"/>
      <c r="J54" s="952"/>
      <c r="K54" s="379"/>
      <c r="L54" s="378"/>
      <c r="M54" s="378"/>
      <c r="N54" s="378"/>
      <c r="O54" s="378"/>
      <c r="P54"/>
      <c r="Q54"/>
      <c r="R54"/>
      <c r="S54"/>
      <c r="T54"/>
    </row>
    <row r="55" spans="1:20" ht="22.5" customHeight="1">
      <c r="A55" s="182"/>
      <c r="B55" s="960" t="s">
        <v>705</v>
      </c>
      <c r="C55" s="961"/>
      <c r="D55" s="961"/>
      <c r="E55" s="961"/>
      <c r="F55" s="961"/>
      <c r="G55" s="961"/>
      <c r="H55" s="961"/>
      <c r="I55" s="962"/>
      <c r="J55" s="385" t="e">
        <f>AVERAGE(J25:J54)*0.025</f>
        <v>#DIV/0!</v>
      </c>
      <c r="K55" s="194"/>
      <c r="L55" s="182"/>
      <c r="M55" s="182"/>
      <c r="N55" s="182"/>
      <c r="O55" s="182"/>
    </row>
    <row r="56" spans="1:20" ht="70.5" customHeight="1">
      <c r="A56" s="182"/>
      <c r="B56" s="121"/>
      <c r="C56" s="15"/>
      <c r="D56" s="123"/>
      <c r="E56" s="124"/>
      <c r="F56" s="124"/>
      <c r="G56" s="195"/>
      <c r="H56" s="195"/>
      <c r="I56" s="126"/>
      <c r="J56" s="126"/>
      <c r="K56" s="183"/>
      <c r="L56" s="182"/>
      <c r="M56" s="182"/>
      <c r="N56" s="182"/>
      <c r="O56" s="182"/>
    </row>
    <row r="57" spans="1:20" ht="15" customHeight="1">
      <c r="A57" s="182"/>
      <c r="B57" s="121"/>
      <c r="C57" s="185"/>
      <c r="D57" s="196"/>
      <c r="E57" s="124"/>
      <c r="F57" s="124"/>
      <c r="G57" s="195"/>
      <c r="H57" s="195"/>
      <c r="I57" s="126"/>
      <c r="J57" s="126"/>
      <c r="K57" s="183"/>
      <c r="L57" s="182"/>
      <c r="M57" s="182"/>
      <c r="N57" s="182"/>
      <c r="O57" s="182"/>
    </row>
    <row r="58" spans="1:20" ht="43.5" customHeight="1">
      <c r="A58" s="182"/>
      <c r="B58" s="197"/>
      <c r="C58" s="1070" t="s">
        <v>861</v>
      </c>
      <c r="D58" s="1071"/>
      <c r="E58" s="1072"/>
      <c r="G58" s="666" t="s">
        <v>142</v>
      </c>
      <c r="H58" s="666"/>
      <c r="I58" s="666"/>
      <c r="J58" s="376"/>
      <c r="K58" s="376"/>
      <c r="L58" s="377"/>
      <c r="M58" s="182"/>
      <c r="N58" s="182"/>
      <c r="O58" s="182"/>
    </row>
    <row r="59" spans="1:20" ht="15" customHeight="1">
      <c r="A59" s="182"/>
      <c r="B59" s="197"/>
      <c r="C59" s="1073"/>
      <c r="D59" s="1074"/>
      <c r="E59" s="1075"/>
      <c r="G59" s="666"/>
      <c r="H59" s="666"/>
      <c r="I59" s="666"/>
      <c r="J59" s="376"/>
      <c r="K59" s="376"/>
      <c r="L59" s="377"/>
      <c r="M59" s="182"/>
      <c r="N59" s="182"/>
      <c r="O59" s="182"/>
    </row>
    <row r="60" spans="1:20" ht="18" customHeight="1">
      <c r="A60" s="182"/>
      <c r="B60" s="197"/>
      <c r="C60" s="604" t="s">
        <v>137</v>
      </c>
      <c r="D60" s="411"/>
      <c r="E60" s="406"/>
      <c r="G60" s="970" t="s">
        <v>138</v>
      </c>
      <c r="H60" s="971"/>
      <c r="I60" s="559"/>
      <c r="J60" s="185"/>
      <c r="K60" s="183"/>
      <c r="L60" s="182"/>
      <c r="M60" s="182"/>
      <c r="N60" s="182"/>
      <c r="O60" s="182"/>
    </row>
    <row r="61" spans="1:20" ht="16.5" customHeight="1">
      <c r="A61" s="182"/>
      <c r="B61" s="197"/>
      <c r="C61" s="196"/>
      <c r="D61" s="196"/>
      <c r="E61" s="128"/>
      <c r="F61" s="128"/>
      <c r="G61" s="972"/>
      <c r="H61" s="433"/>
      <c r="I61" s="433"/>
      <c r="J61" s="433"/>
      <c r="K61" s="183"/>
      <c r="L61" s="182"/>
      <c r="M61" s="182"/>
      <c r="N61" s="182"/>
      <c r="O61" s="182"/>
    </row>
    <row r="62" spans="1:20" ht="13.5" customHeight="1">
      <c r="A62" s="182"/>
      <c r="B62" s="197"/>
      <c r="C62" s="196"/>
      <c r="D62" s="197"/>
      <c r="E62" s="128"/>
      <c r="F62" s="128"/>
      <c r="G62" s="963"/>
      <c r="H62" s="433"/>
      <c r="I62" s="433"/>
      <c r="J62" s="433"/>
      <c r="K62" s="183"/>
      <c r="L62" s="182"/>
      <c r="M62" s="182"/>
      <c r="N62" s="182"/>
      <c r="O62" s="182"/>
    </row>
    <row r="63" spans="1:20" ht="6.75" hidden="1" customHeight="1">
      <c r="A63" s="182"/>
      <c r="B63" s="197"/>
      <c r="C63" s="198"/>
      <c r="D63" s="197"/>
      <c r="E63" s="199"/>
      <c r="F63" s="199"/>
      <c r="G63" s="197"/>
      <c r="H63" s="197"/>
      <c r="I63" s="197"/>
      <c r="J63" s="197"/>
      <c r="K63" s="183"/>
      <c r="L63" s="182"/>
      <c r="M63" s="182"/>
      <c r="N63" s="182"/>
      <c r="O63" s="182"/>
    </row>
    <row r="64" spans="1:20" ht="54" customHeight="1">
      <c r="A64" s="182"/>
      <c r="B64" s="197"/>
      <c r="C64" s="198"/>
      <c r="D64" s="197"/>
      <c r="E64" s="199"/>
      <c r="F64" s="199"/>
      <c r="G64" s="197"/>
      <c r="H64" s="197"/>
      <c r="I64" s="197"/>
      <c r="J64" s="197"/>
      <c r="K64" s="183"/>
      <c r="L64" s="182"/>
      <c r="M64" s="182"/>
      <c r="N64" s="182"/>
      <c r="O64" s="182"/>
    </row>
    <row r="65" spans="1:15" ht="33.75" customHeight="1">
      <c r="A65" s="182"/>
      <c r="B65" s="197"/>
      <c r="C65" s="198"/>
      <c r="D65" s="964" t="s">
        <v>144</v>
      </c>
      <c r="E65" s="965"/>
      <c r="F65" s="965"/>
      <c r="G65" s="966"/>
      <c r="H65" s="197"/>
      <c r="I65" s="197"/>
      <c r="J65" s="197"/>
      <c r="K65" s="183"/>
      <c r="L65" s="182"/>
      <c r="M65" s="182"/>
      <c r="N65" s="182"/>
      <c r="O65" s="182"/>
    </row>
    <row r="66" spans="1:15" ht="13.5" customHeight="1">
      <c r="A66" s="182"/>
      <c r="B66" s="197"/>
      <c r="C66" s="198"/>
      <c r="D66" s="967"/>
      <c r="E66" s="968"/>
      <c r="F66" s="968"/>
      <c r="G66" s="969"/>
      <c r="H66" s="197"/>
      <c r="I66" s="197"/>
      <c r="J66" s="197"/>
      <c r="K66" s="183"/>
      <c r="L66" s="182"/>
      <c r="M66" s="182"/>
      <c r="N66" s="182"/>
      <c r="O66" s="182"/>
    </row>
    <row r="67" spans="1:15" ht="21.75" customHeight="1">
      <c r="A67" s="182"/>
      <c r="B67" s="197"/>
      <c r="C67" s="198"/>
      <c r="D67" s="610" t="s">
        <v>139</v>
      </c>
      <c r="E67" s="411"/>
      <c r="F67" s="411"/>
      <c r="G67" s="406"/>
      <c r="H67" s="197"/>
      <c r="I67" s="197"/>
      <c r="J67" s="197"/>
      <c r="K67" s="183"/>
      <c r="L67" s="182"/>
      <c r="M67" s="182"/>
      <c r="N67" s="182"/>
      <c r="O67" s="182"/>
    </row>
    <row r="68" spans="1:15" ht="13.5" customHeight="1">
      <c r="A68" s="182"/>
      <c r="B68" s="197"/>
      <c r="C68" s="198"/>
      <c r="D68" s="197"/>
      <c r="E68" s="199"/>
      <c r="F68" s="199"/>
      <c r="G68" s="197"/>
      <c r="H68" s="197"/>
      <c r="I68" s="197"/>
      <c r="J68" s="197"/>
      <c r="K68" s="183"/>
      <c r="L68" s="182"/>
      <c r="M68" s="182"/>
      <c r="N68" s="182"/>
      <c r="O68" s="182"/>
    </row>
    <row r="69" spans="1:15" ht="13.5" customHeight="1">
      <c r="A69" s="182"/>
      <c r="B69" s="197"/>
      <c r="C69" s="198"/>
      <c r="D69" s="197"/>
      <c r="E69" s="199"/>
      <c r="F69" s="199"/>
      <c r="G69" s="197"/>
      <c r="H69" s="197"/>
      <c r="I69" s="197"/>
      <c r="J69" s="197"/>
      <c r="K69" s="183"/>
      <c r="L69" s="182"/>
      <c r="M69" s="182"/>
      <c r="N69" s="182"/>
      <c r="O69" s="182"/>
    </row>
  </sheetData>
  <mergeCells count="131">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L4:N4"/>
    <mergeCell ref="C9:F9"/>
    <mergeCell ref="G9:H9"/>
    <mergeCell ref="C6:F6"/>
    <mergeCell ref="G6:H6"/>
    <mergeCell ref="J6:J10"/>
    <mergeCell ref="C7:F7"/>
    <mergeCell ref="G7:H7"/>
    <mergeCell ref="C8:F8"/>
    <mergeCell ref="G8:H8"/>
    <mergeCell ref="C10:F10"/>
    <mergeCell ref="G10:H10"/>
    <mergeCell ref="J23:J24"/>
    <mergeCell ref="C23:F24"/>
    <mergeCell ref="C25:F25"/>
    <mergeCell ref="G25:H25"/>
    <mergeCell ref="J25:J29"/>
    <mergeCell ref="C26:F26"/>
    <mergeCell ref="G26:H26"/>
    <mergeCell ref="G27:H27"/>
    <mergeCell ref="C31:F31"/>
    <mergeCell ref="G31:H31"/>
    <mergeCell ref="J30:J34"/>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45:J49"/>
    <mergeCell ref="G46:H46"/>
    <mergeCell ref="G52:H52"/>
    <mergeCell ref="C53:F53"/>
    <mergeCell ref="G53:H53"/>
    <mergeCell ref="C49:F49"/>
    <mergeCell ref="G49:H49"/>
    <mergeCell ref="B50:B54"/>
    <mergeCell ref="C50:F50"/>
    <mergeCell ref="G50:H50"/>
    <mergeCell ref="J50:J54"/>
    <mergeCell ref="C46:F46"/>
    <mergeCell ref="C47:F47"/>
    <mergeCell ref="C51:F51"/>
    <mergeCell ref="C52:F52"/>
    <mergeCell ref="G47:H47"/>
    <mergeCell ref="C48:F48"/>
    <mergeCell ref="G48:H48"/>
    <mergeCell ref="B45:B49"/>
    <mergeCell ref="C45:F45"/>
    <mergeCell ref="G45:H45"/>
    <mergeCell ref="B55:I55"/>
    <mergeCell ref="G62:J62"/>
    <mergeCell ref="D65:G66"/>
    <mergeCell ref="D67:G67"/>
    <mergeCell ref="C54:F54"/>
    <mergeCell ref="G54:H54"/>
    <mergeCell ref="C58:E59"/>
    <mergeCell ref="G58:I59"/>
    <mergeCell ref="C60:E60"/>
    <mergeCell ref="G60:I60"/>
    <mergeCell ref="G61:J61"/>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s>
  <conditionalFormatting sqref="J6:J21">
    <cfRule type="cellIs" dxfId="23" priority="1" operator="greaterThanOrEqual">
      <formula>5</formula>
    </cfRule>
    <cfRule type="cellIs" dxfId="22" priority="2" operator="greaterThanOrEqual">
      <formula>4</formula>
    </cfRule>
    <cfRule type="cellIs" dxfId="21" priority="3" operator="greaterThanOrEqual">
      <formula>3</formula>
    </cfRule>
    <cfRule type="cellIs" dxfId="20" priority="4" operator="greaterThanOrEqual">
      <formula>2</formula>
    </cfRule>
    <cfRule type="cellIs" dxfId="19" priority="5" operator="greaterThanOrEqual">
      <formula>1</formula>
    </cfRule>
    <cfRule type="cellIs" dxfId="18" priority="6" operator="greaterThanOrEqual">
      <formula>0.1</formula>
    </cfRule>
  </conditionalFormatting>
  <conditionalFormatting sqref="J25:J54">
    <cfRule type="cellIs" dxfId="17" priority="11" operator="greaterThanOrEqual">
      <formula>5</formula>
    </cfRule>
  </conditionalFormatting>
  <conditionalFormatting sqref="J25:J55">
    <cfRule type="cellIs" dxfId="16" priority="7" operator="greaterThanOrEqual">
      <formula>3</formula>
    </cfRule>
    <cfRule type="cellIs" dxfId="15" priority="8" operator="greaterThanOrEqual">
      <formula>2</formula>
    </cfRule>
    <cfRule type="cellIs" dxfId="14" priority="9" operator="greaterThanOrEqual">
      <formula>1</formula>
    </cfRule>
    <cfRule type="cellIs" dxfId="13" priority="10" operator="greaterThanOrEqual">
      <formula>0.1</formula>
    </cfRule>
    <cfRule type="cellIs" dxfId="12" priority="12" operator="greaterThanOrEqual">
      <formula>4</formula>
    </cfRule>
  </conditionalFormatting>
  <printOptions horizontalCentered="1"/>
  <pageMargins left="0.12" right="0" top="0.6" bottom="0.41" header="0" footer="0.39"/>
  <pageSetup paperSize="14" scale="45"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85623"/>
    <pageSetUpPr fitToPage="1"/>
  </sheetPr>
  <dimension ref="A1:Z827"/>
  <sheetViews>
    <sheetView topLeftCell="A12" zoomScale="80" zoomScaleNormal="80" zoomScaleSheetLayoutView="20" workbookViewId="0">
      <selection activeCell="D17" sqref="D17:D18"/>
    </sheetView>
  </sheetViews>
  <sheetFormatPr defaultColWidth="14.453125" defaultRowHeight="15" customHeight="1"/>
  <cols>
    <col min="1" max="1" width="4.453125" customWidth="1"/>
    <col min="2" max="2" width="2.81640625" customWidth="1"/>
    <col min="3" max="3" width="13.453125" customWidth="1"/>
    <col min="4" max="4" width="36.81640625" customWidth="1"/>
    <col min="5" max="5" width="17.08984375" customWidth="1"/>
    <col min="6" max="6" width="20.81640625" customWidth="1"/>
    <col min="7" max="8" width="15.81640625" customWidth="1"/>
    <col min="9" max="9" width="16.08984375" customWidth="1"/>
    <col min="10" max="10" width="2.81640625" customWidth="1"/>
    <col min="11" max="11" width="4.08984375" customWidth="1"/>
    <col min="12" max="12" width="2.08984375" customWidth="1"/>
    <col min="15" max="15" width="16.453125" customWidth="1"/>
    <col min="16" max="25" width="9.08984375" customWidth="1"/>
  </cols>
  <sheetData>
    <row r="1" spans="1:26" ht="16.5" customHeight="1">
      <c r="A1" s="134"/>
      <c r="B1" s="1020" t="s">
        <v>529</v>
      </c>
      <c r="C1" s="426"/>
      <c r="D1" s="426"/>
      <c r="E1" s="426"/>
      <c r="F1" s="426"/>
      <c r="G1" s="426"/>
      <c r="H1" s="426"/>
      <c r="I1" s="426"/>
      <c r="J1" s="427"/>
      <c r="K1" s="134"/>
      <c r="L1" s="134"/>
      <c r="M1" s="134"/>
      <c r="N1" s="134"/>
      <c r="O1" s="134"/>
      <c r="P1" s="134"/>
      <c r="Q1" s="134"/>
      <c r="R1" s="134"/>
      <c r="S1" s="134"/>
      <c r="T1" s="134"/>
      <c r="U1" s="134"/>
      <c r="V1" s="134"/>
      <c r="W1" s="134"/>
      <c r="X1" s="134"/>
      <c r="Y1" s="134"/>
      <c r="Z1" s="135"/>
    </row>
    <row r="2" spans="1:26" ht="36.5" customHeight="1">
      <c r="A2" s="134"/>
      <c r="B2" s="136"/>
      <c r="C2" s="1021" t="s">
        <v>530</v>
      </c>
      <c r="D2" s="411"/>
      <c r="E2" s="411"/>
      <c r="F2" s="411"/>
      <c r="G2" s="411"/>
      <c r="H2" s="411"/>
      <c r="I2" s="406"/>
      <c r="J2" s="137"/>
      <c r="K2" s="134"/>
      <c r="L2" s="134"/>
      <c r="M2" s="134"/>
      <c r="N2" s="134"/>
      <c r="O2" s="134"/>
      <c r="P2" s="134"/>
      <c r="Q2" s="134"/>
      <c r="R2" s="134"/>
      <c r="S2" s="134"/>
      <c r="T2" s="134"/>
      <c r="U2" s="134"/>
      <c r="V2" s="134"/>
      <c r="W2" s="134"/>
      <c r="X2" s="134"/>
      <c r="Y2" s="134"/>
      <c r="Z2" s="135"/>
    </row>
    <row r="3" spans="1:26" ht="6" customHeight="1">
      <c r="A3" s="134"/>
      <c r="B3" s="415"/>
      <c r="C3" s="416"/>
      <c r="D3" s="416"/>
      <c r="E3" s="416"/>
      <c r="F3" s="416"/>
      <c r="G3" s="416"/>
      <c r="H3" s="416"/>
      <c r="I3" s="416"/>
      <c r="J3" s="417"/>
      <c r="K3" s="134"/>
      <c r="L3" s="134"/>
      <c r="M3" s="134"/>
      <c r="N3" s="134"/>
      <c r="O3" s="134"/>
      <c r="P3" s="134"/>
      <c r="Q3" s="134"/>
      <c r="R3" s="134"/>
      <c r="S3" s="134"/>
      <c r="T3" s="134"/>
      <c r="U3" s="134"/>
      <c r="V3" s="134"/>
      <c r="W3" s="134"/>
      <c r="X3" s="134"/>
      <c r="Y3" s="134"/>
      <c r="Z3" s="135"/>
    </row>
    <row r="4" spans="1:26" ht="7.5" customHeight="1">
      <c r="A4" s="134"/>
      <c r="B4" s="1022"/>
      <c r="C4" s="416"/>
      <c r="D4" s="416"/>
      <c r="E4" s="416"/>
      <c r="F4" s="416"/>
      <c r="G4" s="416"/>
      <c r="H4" s="416"/>
      <c r="I4" s="416"/>
      <c r="J4" s="417"/>
      <c r="K4" s="134"/>
      <c r="L4" s="134"/>
      <c r="M4" s="134"/>
      <c r="N4" s="134"/>
      <c r="O4" s="134"/>
      <c r="P4" s="134"/>
      <c r="Q4" s="134"/>
      <c r="R4" s="134"/>
      <c r="S4" s="134"/>
      <c r="T4" s="134"/>
      <c r="U4" s="134"/>
      <c r="V4" s="134"/>
      <c r="W4" s="134"/>
      <c r="X4" s="134"/>
      <c r="Y4" s="134"/>
      <c r="Z4" s="135"/>
    </row>
    <row r="5" spans="1:26" ht="18.75" customHeight="1">
      <c r="A5" s="134"/>
      <c r="B5" s="138"/>
      <c r="C5" s="1023" t="s">
        <v>531</v>
      </c>
      <c r="D5" s="438"/>
      <c r="E5" s="1024" t="s">
        <v>9</v>
      </c>
      <c r="F5" s="1024" t="s">
        <v>532</v>
      </c>
      <c r="G5" s="1025" t="s">
        <v>533</v>
      </c>
      <c r="H5" s="1027" t="s">
        <v>534</v>
      </c>
      <c r="I5" s="406"/>
      <c r="J5" s="139"/>
      <c r="K5" s="134"/>
      <c r="L5" s="134"/>
      <c r="M5" s="1028" t="s">
        <v>535</v>
      </c>
      <c r="N5" s="426"/>
      <c r="O5" s="427"/>
      <c r="P5" s="134"/>
      <c r="Q5" s="134"/>
      <c r="R5" s="134"/>
      <c r="S5" s="134"/>
      <c r="T5" s="134"/>
      <c r="U5" s="134"/>
      <c r="V5" s="134"/>
      <c r="W5" s="134"/>
      <c r="X5" s="134"/>
      <c r="Y5" s="134"/>
      <c r="Z5" s="135"/>
    </row>
    <row r="6" spans="1:26" ht="35.25" customHeight="1">
      <c r="A6" s="134"/>
      <c r="B6" s="136"/>
      <c r="C6" s="441"/>
      <c r="D6" s="442"/>
      <c r="E6" s="445"/>
      <c r="F6" s="445"/>
      <c r="G6" s="1026"/>
      <c r="H6" s="140" t="s">
        <v>536</v>
      </c>
      <c r="I6" s="140" t="s">
        <v>537</v>
      </c>
      <c r="J6" s="137"/>
      <c r="K6" s="134"/>
      <c r="L6" s="134"/>
      <c r="M6" s="141" t="s">
        <v>538</v>
      </c>
      <c r="N6" s="141" t="s">
        <v>536</v>
      </c>
      <c r="O6" s="142" t="s">
        <v>537</v>
      </c>
      <c r="P6" s="134"/>
      <c r="Q6" s="134"/>
      <c r="R6" s="134"/>
      <c r="S6" s="134"/>
      <c r="T6" s="134"/>
      <c r="U6" s="134"/>
      <c r="V6" s="134"/>
      <c r="W6" s="134"/>
      <c r="X6" s="134"/>
      <c r="Y6" s="134"/>
      <c r="Z6" s="135"/>
    </row>
    <row r="7" spans="1:26" ht="47.5" customHeight="1">
      <c r="A7" s="134"/>
      <c r="B7" s="136"/>
      <c r="C7" s="1009" t="s">
        <v>539</v>
      </c>
      <c r="D7" s="143" t="s">
        <v>540</v>
      </c>
      <c r="E7" s="144">
        <v>0.6</v>
      </c>
      <c r="F7" s="145" t="e">
        <f>'PART I (CY 2025&amp;SY2025-2026)'!U82</f>
        <v>#DIV/0!</v>
      </c>
      <c r="G7" s="1029" t="e">
        <f>SUM(F$7:F$11)</f>
        <v>#DIV/0!</v>
      </c>
      <c r="H7" s="1032" t="e">
        <f>G7</f>
        <v>#DIV/0!</v>
      </c>
      <c r="I7" s="1035" t="e">
        <f>IF(G7&gt;=4.5, "Outstanding", IF(G7&gt;=3.5, "Very Satisfactory", IF(G7&gt;=2.5, "Satisfactory", IF(G7&gt;=1.5, "Unsatisfactory", "Poor"))))</f>
        <v>#DIV/0!</v>
      </c>
      <c r="J7" s="137"/>
      <c r="K7" s="134"/>
      <c r="L7" s="134"/>
      <c r="M7" s="146" t="s">
        <v>541</v>
      </c>
      <c r="N7" s="146">
        <v>5</v>
      </c>
      <c r="O7" s="147" t="s">
        <v>542</v>
      </c>
      <c r="P7" s="134"/>
      <c r="Q7" s="134"/>
      <c r="R7" s="134"/>
      <c r="S7" s="134"/>
      <c r="T7" s="134"/>
      <c r="U7" s="134"/>
      <c r="V7" s="134"/>
      <c r="W7" s="134"/>
      <c r="X7" s="134"/>
      <c r="Y7" s="134"/>
      <c r="Z7" s="135"/>
    </row>
    <row r="8" spans="1:26" ht="47.5" customHeight="1">
      <c r="A8" s="134"/>
      <c r="B8" s="136"/>
      <c r="C8" s="444"/>
      <c r="D8" s="148" t="s">
        <v>543</v>
      </c>
      <c r="E8" s="149">
        <v>0.2</v>
      </c>
      <c r="F8" s="150" t="e">
        <f>'PART I (CY 2025&amp;SY2025-2026)'!U107</f>
        <v>#DIV/0!</v>
      </c>
      <c r="G8" s="1030"/>
      <c r="H8" s="1033"/>
      <c r="I8" s="1036"/>
      <c r="J8" s="137"/>
      <c r="K8" s="134"/>
      <c r="L8" s="134"/>
      <c r="M8" s="146" t="s">
        <v>544</v>
      </c>
      <c r="N8" s="146">
        <v>4</v>
      </c>
      <c r="O8" s="147" t="s">
        <v>545</v>
      </c>
      <c r="P8" s="134"/>
      <c r="Q8" s="134"/>
      <c r="R8" s="134"/>
      <c r="S8" s="134"/>
      <c r="T8" s="134"/>
      <c r="U8" s="134"/>
      <c r="V8" s="134"/>
      <c r="W8" s="134"/>
      <c r="X8" s="134"/>
      <c r="Y8" s="134"/>
      <c r="Z8" s="135"/>
    </row>
    <row r="9" spans="1:26" ht="47.5" customHeight="1">
      <c r="A9" s="134"/>
      <c r="B9" s="136"/>
      <c r="C9" s="445"/>
      <c r="D9" s="148" t="s">
        <v>546</v>
      </c>
      <c r="E9" s="151">
        <v>0.15</v>
      </c>
      <c r="F9" s="388" t="e">
        <f>'PART I (CY 2025&amp;SY2025-2026)'!U122</f>
        <v>#DIV/0!</v>
      </c>
      <c r="G9" s="1030"/>
      <c r="H9" s="1033"/>
      <c r="I9" s="1036"/>
      <c r="J9" s="137"/>
      <c r="K9" s="134"/>
      <c r="L9" s="134"/>
      <c r="M9" s="146" t="s">
        <v>547</v>
      </c>
      <c r="N9" s="146">
        <v>3</v>
      </c>
      <c r="O9" s="147" t="s">
        <v>548</v>
      </c>
      <c r="P9" s="134"/>
      <c r="Q9" s="134"/>
      <c r="R9" s="134"/>
      <c r="S9" s="134"/>
      <c r="T9" s="134"/>
      <c r="U9" s="134"/>
      <c r="V9" s="134"/>
      <c r="W9" s="134"/>
      <c r="X9" s="134"/>
      <c r="Y9" s="134"/>
      <c r="Z9" s="135"/>
    </row>
    <row r="10" spans="1:26" ht="47.5" customHeight="1">
      <c r="A10" s="134"/>
      <c r="B10" s="136"/>
      <c r="C10" s="1009" t="s">
        <v>549</v>
      </c>
      <c r="D10" s="148" t="s">
        <v>550</v>
      </c>
      <c r="E10" s="153" t="s">
        <v>551</v>
      </c>
      <c r="F10" s="388" t="e">
        <f>'PART II'!J21</f>
        <v>#DIV/0!</v>
      </c>
      <c r="G10" s="1030"/>
      <c r="H10" s="1033"/>
      <c r="I10" s="1036"/>
      <c r="J10" s="137"/>
      <c r="K10" s="134"/>
      <c r="L10" s="134"/>
      <c r="M10" s="146" t="s">
        <v>552</v>
      </c>
      <c r="N10" s="146">
        <v>2</v>
      </c>
      <c r="O10" s="147" t="s">
        <v>553</v>
      </c>
      <c r="P10" s="134"/>
      <c r="Q10" s="134"/>
      <c r="R10" s="134"/>
      <c r="S10" s="134"/>
      <c r="T10" s="134"/>
      <c r="U10" s="134"/>
      <c r="V10" s="134"/>
      <c r="W10" s="134"/>
      <c r="X10" s="134"/>
      <c r="Y10" s="134"/>
      <c r="Z10" s="135"/>
    </row>
    <row r="11" spans="1:26" ht="47.5" customHeight="1">
      <c r="A11" s="134"/>
      <c r="B11" s="136"/>
      <c r="C11" s="445"/>
      <c r="D11" s="148" t="s">
        <v>554</v>
      </c>
      <c r="E11" s="153" t="s">
        <v>551</v>
      </c>
      <c r="F11" s="388" t="e">
        <f>'PART II'!J55</f>
        <v>#DIV/0!</v>
      </c>
      <c r="G11" s="1031"/>
      <c r="H11" s="1034"/>
      <c r="I11" s="1037"/>
      <c r="J11" s="137"/>
      <c r="K11" s="134"/>
      <c r="L11" s="134"/>
      <c r="M11" s="146" t="s">
        <v>555</v>
      </c>
      <c r="N11" s="146">
        <v>1</v>
      </c>
      <c r="O11" s="147" t="s">
        <v>556</v>
      </c>
      <c r="P11" s="134"/>
      <c r="Q11" s="134"/>
      <c r="R11" s="134"/>
      <c r="S11" s="134"/>
      <c r="T11" s="134"/>
      <c r="U11" s="134"/>
      <c r="V11" s="134"/>
      <c r="W11" s="134"/>
      <c r="X11" s="134"/>
      <c r="Y11" s="134"/>
      <c r="Z11" s="135"/>
    </row>
    <row r="12" spans="1:26" ht="6" customHeight="1">
      <c r="A12" s="134"/>
      <c r="B12" s="1014"/>
      <c r="C12" s="416"/>
      <c r="D12" s="416"/>
      <c r="E12" s="416"/>
      <c r="F12" s="416"/>
      <c r="G12" s="416"/>
      <c r="H12" s="416"/>
      <c r="I12" s="416"/>
      <c r="J12" s="417"/>
      <c r="K12" s="134"/>
      <c r="L12" s="134"/>
      <c r="M12" s="134"/>
      <c r="N12" s="134"/>
      <c r="O12" s="134"/>
      <c r="P12" s="134"/>
      <c r="Q12" s="134"/>
      <c r="R12" s="134"/>
      <c r="S12" s="134"/>
      <c r="T12" s="134"/>
      <c r="U12" s="134"/>
      <c r="V12" s="134"/>
      <c r="W12" s="134"/>
      <c r="X12" s="134"/>
      <c r="Y12" s="134"/>
      <c r="Z12" s="135"/>
    </row>
    <row r="13" spans="1:26" ht="15.75" customHeight="1">
      <c r="A13" s="134"/>
      <c r="B13" s="154"/>
      <c r="C13" s="155" t="s">
        <v>557</v>
      </c>
      <c r="D13" s="156"/>
      <c r="E13" s="156"/>
      <c r="F13" s="156"/>
      <c r="G13" s="156"/>
      <c r="H13" s="156"/>
      <c r="I13" s="156"/>
      <c r="J13" s="157"/>
      <c r="K13" s="134"/>
      <c r="L13" s="134"/>
      <c r="M13" s="134"/>
      <c r="N13" s="134"/>
      <c r="O13" s="134"/>
      <c r="P13" s="134"/>
      <c r="Q13" s="134"/>
      <c r="R13" s="134"/>
      <c r="S13" s="134"/>
      <c r="T13" s="134"/>
      <c r="U13" s="134"/>
      <c r="V13" s="134"/>
      <c r="W13" s="134"/>
      <c r="X13" s="134"/>
      <c r="Y13" s="134"/>
      <c r="Z13" s="135"/>
    </row>
    <row r="14" spans="1:26" ht="4.5" customHeight="1">
      <c r="A14" s="134"/>
      <c r="B14" s="158"/>
      <c r="C14" s="159"/>
      <c r="D14" s="159"/>
      <c r="E14" s="159"/>
      <c r="F14" s="159"/>
      <c r="G14" s="159"/>
      <c r="H14" s="159"/>
      <c r="I14" s="159"/>
      <c r="J14" s="160"/>
      <c r="K14" s="134"/>
      <c r="L14" s="134"/>
      <c r="M14" s="134"/>
      <c r="N14" s="134"/>
      <c r="O14" s="134"/>
      <c r="P14" s="134"/>
      <c r="Q14" s="134"/>
      <c r="R14" s="134"/>
      <c r="S14" s="134"/>
      <c r="T14" s="134"/>
      <c r="U14" s="134"/>
      <c r="V14" s="134"/>
      <c r="W14" s="134"/>
      <c r="X14" s="134"/>
      <c r="Y14" s="134"/>
      <c r="Z14" s="135"/>
    </row>
    <row r="15" spans="1:26" ht="45" customHeight="1">
      <c r="A15" s="134"/>
      <c r="B15" s="136"/>
      <c r="C15" s="1015" t="s">
        <v>558</v>
      </c>
      <c r="D15" s="416"/>
      <c r="E15" s="416"/>
      <c r="F15" s="416"/>
      <c r="G15" s="416"/>
      <c r="H15" s="416"/>
      <c r="I15" s="506"/>
      <c r="J15" s="160"/>
      <c r="K15" s="134"/>
      <c r="L15" s="134"/>
      <c r="M15" s="134"/>
      <c r="N15" s="134"/>
      <c r="O15" s="134"/>
      <c r="P15" s="134"/>
      <c r="Q15" s="134"/>
      <c r="R15" s="134"/>
      <c r="S15" s="134"/>
      <c r="T15" s="134"/>
      <c r="U15" s="134"/>
      <c r="V15" s="134"/>
      <c r="W15" s="134"/>
      <c r="X15" s="134"/>
      <c r="Y15" s="134"/>
      <c r="Z15" s="135"/>
    </row>
    <row r="16" spans="1:26" ht="14.25" customHeight="1">
      <c r="A16" s="134"/>
      <c r="B16" s="1016"/>
      <c r="C16" s="416"/>
      <c r="D16" s="416"/>
      <c r="E16" s="416"/>
      <c r="F16" s="416"/>
      <c r="G16" s="416"/>
      <c r="H16" s="416"/>
      <c r="I16" s="416"/>
      <c r="J16" s="417"/>
      <c r="K16" s="134"/>
      <c r="L16" s="134"/>
      <c r="M16" s="134"/>
      <c r="N16" s="134"/>
      <c r="O16" s="134"/>
      <c r="P16" s="134"/>
      <c r="Q16" s="134"/>
      <c r="R16" s="134"/>
      <c r="S16" s="134"/>
      <c r="T16" s="134"/>
      <c r="U16" s="134"/>
      <c r="V16" s="134"/>
      <c r="W16" s="134"/>
      <c r="X16" s="134"/>
      <c r="Y16" s="134"/>
      <c r="Z16" s="135"/>
    </row>
    <row r="17" spans="1:26" ht="24" customHeight="1">
      <c r="A17" s="134"/>
      <c r="B17" s="136"/>
      <c r="C17" s="1066" t="s">
        <v>860</v>
      </c>
      <c r="D17" s="1068" t="s">
        <v>861</v>
      </c>
      <c r="E17" s="161"/>
      <c r="F17" s="1017" t="s">
        <v>775</v>
      </c>
      <c r="G17" s="1018"/>
      <c r="H17" s="1018"/>
      <c r="I17" s="1011"/>
      <c r="J17" s="137"/>
      <c r="K17" s="134"/>
      <c r="L17" s="134"/>
      <c r="M17" s="134"/>
      <c r="N17" s="134"/>
      <c r="O17" s="134"/>
      <c r="P17" s="134"/>
      <c r="Q17" s="134"/>
      <c r="R17" s="134"/>
      <c r="S17" s="134"/>
      <c r="T17" s="134"/>
      <c r="U17" s="134"/>
      <c r="V17" s="134"/>
      <c r="W17" s="134"/>
      <c r="X17" s="134"/>
      <c r="Y17" s="134"/>
      <c r="Z17" s="135"/>
    </row>
    <row r="18" spans="1:26" ht="24" customHeight="1">
      <c r="A18" s="134"/>
      <c r="B18" s="136"/>
      <c r="C18" s="1067"/>
      <c r="D18" s="1069"/>
      <c r="E18" s="162"/>
      <c r="F18" s="1012"/>
      <c r="G18" s="1019"/>
      <c r="H18" s="1019"/>
      <c r="I18" s="1013"/>
      <c r="J18" s="137"/>
      <c r="K18" s="134"/>
      <c r="L18" s="134"/>
      <c r="M18" s="134"/>
      <c r="N18" s="134"/>
      <c r="O18" s="134"/>
      <c r="P18" s="134"/>
      <c r="Q18" s="134"/>
      <c r="R18" s="134"/>
      <c r="S18" s="134"/>
      <c r="T18" s="134"/>
      <c r="U18" s="134"/>
      <c r="V18" s="134"/>
      <c r="W18" s="134"/>
      <c r="X18" s="134"/>
      <c r="Y18" s="134"/>
      <c r="Z18" s="135"/>
    </row>
    <row r="19" spans="1:26" ht="24" customHeight="1">
      <c r="A19" s="134"/>
      <c r="B19" s="136"/>
      <c r="C19" s="1010" t="s">
        <v>560</v>
      </c>
      <c r="D19" s="1011"/>
      <c r="E19" s="161"/>
      <c r="F19" s="1010" t="s">
        <v>561</v>
      </c>
      <c r="G19" s="1018"/>
      <c r="H19" s="1018"/>
      <c r="I19" s="1011"/>
      <c r="J19" s="137"/>
      <c r="K19" s="134"/>
      <c r="L19" s="134"/>
      <c r="M19" s="134"/>
      <c r="N19" s="134"/>
      <c r="O19" s="134"/>
      <c r="P19" s="134"/>
      <c r="Q19" s="134"/>
      <c r="R19" s="134"/>
      <c r="S19" s="134"/>
      <c r="T19" s="134"/>
      <c r="U19" s="134"/>
      <c r="V19" s="134"/>
      <c r="W19" s="134"/>
      <c r="X19" s="134"/>
      <c r="Y19" s="134"/>
      <c r="Z19" s="135"/>
    </row>
    <row r="20" spans="1:26" ht="24" customHeight="1">
      <c r="A20" s="134"/>
      <c r="B20" s="136"/>
      <c r="C20" s="1012"/>
      <c r="D20" s="1013"/>
      <c r="E20" s="161"/>
      <c r="F20" s="1012"/>
      <c r="G20" s="1019"/>
      <c r="H20" s="1019"/>
      <c r="I20" s="1013"/>
      <c r="J20" s="137"/>
      <c r="K20" s="134"/>
      <c r="L20" s="134"/>
      <c r="M20" s="134"/>
      <c r="N20" s="134"/>
      <c r="O20" s="134"/>
      <c r="P20" s="134"/>
      <c r="Q20" s="134"/>
      <c r="R20" s="134"/>
      <c r="S20" s="134"/>
      <c r="T20" s="134"/>
      <c r="U20" s="134"/>
      <c r="V20" s="134"/>
      <c r="W20" s="134"/>
      <c r="X20" s="134"/>
      <c r="Y20" s="134"/>
      <c r="Z20" s="135"/>
    </row>
    <row r="21" spans="1:26" ht="24" customHeight="1">
      <c r="A21" s="134"/>
      <c r="B21" s="136"/>
      <c r="C21" s="1010" t="s">
        <v>562</v>
      </c>
      <c r="D21" s="1011"/>
      <c r="E21" s="161"/>
      <c r="F21" s="1010" t="s">
        <v>563</v>
      </c>
      <c r="G21" s="1018"/>
      <c r="H21" s="1018"/>
      <c r="I21" s="1011"/>
      <c r="J21" s="137"/>
      <c r="K21" s="134"/>
      <c r="L21" s="134"/>
      <c r="M21" s="134"/>
      <c r="N21" s="134"/>
      <c r="O21" s="134"/>
      <c r="P21" s="134"/>
      <c r="Q21" s="134"/>
      <c r="R21" s="134"/>
      <c r="S21" s="134"/>
      <c r="T21" s="134"/>
      <c r="U21" s="134"/>
      <c r="V21" s="134"/>
      <c r="W21" s="134"/>
      <c r="X21" s="134"/>
      <c r="Y21" s="134"/>
      <c r="Z21" s="135"/>
    </row>
    <row r="22" spans="1:26" ht="24" customHeight="1">
      <c r="A22" s="134"/>
      <c r="B22" s="136"/>
      <c r="C22" s="1012"/>
      <c r="D22" s="1013"/>
      <c r="E22" s="402"/>
      <c r="F22" s="1012"/>
      <c r="G22" s="1019"/>
      <c r="H22" s="1019"/>
      <c r="I22" s="1013"/>
      <c r="J22" s="137"/>
      <c r="K22" s="134"/>
      <c r="L22" s="134"/>
      <c r="M22" s="134"/>
      <c r="N22" s="134"/>
      <c r="O22" s="134"/>
      <c r="P22" s="134"/>
      <c r="Q22" s="134"/>
      <c r="R22" s="134"/>
      <c r="S22" s="134"/>
      <c r="T22" s="134"/>
      <c r="U22" s="134"/>
      <c r="V22" s="134"/>
      <c r="W22" s="134"/>
      <c r="X22" s="134"/>
      <c r="Y22" s="134"/>
      <c r="Z22" s="135"/>
    </row>
    <row r="23" spans="1:26" ht="24" customHeight="1">
      <c r="A23" s="134"/>
      <c r="B23" s="158"/>
      <c r="C23" s="159"/>
      <c r="D23" s="159"/>
      <c r="E23" s="159"/>
      <c r="F23" s="159"/>
      <c r="G23" s="159"/>
      <c r="H23" s="159"/>
      <c r="I23" s="159"/>
      <c r="J23" s="160"/>
      <c r="K23" s="134"/>
      <c r="L23" s="134"/>
      <c r="M23" s="134"/>
      <c r="N23" s="134"/>
      <c r="O23" s="134"/>
      <c r="P23" s="134"/>
      <c r="Q23" s="134"/>
      <c r="R23" s="134"/>
      <c r="S23" s="134"/>
      <c r="T23" s="134"/>
      <c r="U23" s="134"/>
      <c r="V23" s="134"/>
      <c r="W23" s="134"/>
      <c r="X23" s="134"/>
      <c r="Y23" s="134"/>
      <c r="Z23" s="135"/>
    </row>
    <row r="24" spans="1:26" ht="24" customHeight="1">
      <c r="A24" s="134"/>
      <c r="B24" s="165"/>
      <c r="C24" s="166"/>
      <c r="D24" s="166"/>
      <c r="E24" s="166"/>
      <c r="F24" s="166"/>
      <c r="G24" s="166"/>
      <c r="H24" s="166"/>
      <c r="I24" s="166"/>
      <c r="J24" s="167"/>
      <c r="K24" s="134"/>
      <c r="L24" s="134"/>
      <c r="M24" s="134"/>
      <c r="N24" s="134"/>
      <c r="O24" s="134"/>
      <c r="P24" s="134"/>
      <c r="Q24" s="134"/>
      <c r="R24" s="134"/>
      <c r="S24" s="134"/>
      <c r="T24" s="134"/>
      <c r="U24" s="134"/>
      <c r="V24" s="134"/>
      <c r="W24" s="134"/>
      <c r="X24" s="134"/>
      <c r="Y24" s="134"/>
      <c r="Z24" s="135"/>
    </row>
    <row r="25" spans="1:26"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5"/>
    </row>
    <row r="26" spans="1: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5"/>
    </row>
    <row r="27" spans="1:26"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5"/>
    </row>
    <row r="28" spans="1:26"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5"/>
    </row>
    <row r="29" spans="1:26"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5"/>
    </row>
    <row r="30" spans="1:26"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5"/>
    </row>
    <row r="31" spans="1:26"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5"/>
    </row>
    <row r="32" spans="1:26"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5"/>
    </row>
    <row r="33" spans="1:26"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5"/>
    </row>
    <row r="34" spans="1:26"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5"/>
    </row>
    <row r="35" spans="1:26"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5"/>
    </row>
    <row r="36" spans="1:2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5"/>
    </row>
    <row r="37" spans="1:26"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5"/>
    </row>
    <row r="38" spans="1:26"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5"/>
    </row>
    <row r="39" spans="1:26"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5"/>
    </row>
    <row r="40" spans="1:26"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5"/>
    </row>
    <row r="41" spans="1:26"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5"/>
    </row>
    <row r="42" spans="1:26"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5"/>
    </row>
    <row r="43" spans="1:26"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5"/>
    </row>
    <row r="44" spans="1:26"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5"/>
    </row>
    <row r="45" spans="1:26"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5"/>
    </row>
    <row r="46" spans="1:2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5"/>
    </row>
    <row r="47" spans="1:26"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5"/>
    </row>
    <row r="48" spans="1:26"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sheetData>
  <mergeCells count="25">
    <mergeCell ref="M5:O5"/>
    <mergeCell ref="F5:F6"/>
    <mergeCell ref="G7:G11"/>
    <mergeCell ref="H7:H11"/>
    <mergeCell ref="I7:I11"/>
    <mergeCell ref="B1:J1"/>
    <mergeCell ref="C2:I2"/>
    <mergeCell ref="B3:J3"/>
    <mergeCell ref="B4:J4"/>
    <mergeCell ref="C5:D6"/>
    <mergeCell ref="E5:E6"/>
    <mergeCell ref="G5:G6"/>
    <mergeCell ref="H5:I5"/>
    <mergeCell ref="C7:C9"/>
    <mergeCell ref="C19:D20"/>
    <mergeCell ref="C21:D22"/>
    <mergeCell ref="C10:C11"/>
    <mergeCell ref="B12:J12"/>
    <mergeCell ref="C15:I15"/>
    <mergeCell ref="B16:J16"/>
    <mergeCell ref="F17:I18"/>
    <mergeCell ref="F19:I20"/>
    <mergeCell ref="F21:I22"/>
    <mergeCell ref="C17:C18"/>
    <mergeCell ref="D17:D18"/>
  </mergeCells>
  <pageMargins left="0.70866141732283472" right="0.70866141732283472" top="0.74803149606299213" bottom="0.74803149606299213" header="0" footer="0"/>
  <pageSetup paperSize="14" scale="51"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4.453125" defaultRowHeight="1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4.453125" defaultRowHeight="1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4.453125" defaultRowHeig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4.453125" defaultRowHeig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2EFD9"/>
    <pageSetUpPr fitToPage="1"/>
  </sheetPr>
  <dimension ref="A1:AG1000"/>
  <sheetViews>
    <sheetView topLeftCell="A82" workbookViewId="0"/>
  </sheetViews>
  <sheetFormatPr defaultColWidth="14.453125" defaultRowHeight="15" customHeight="1"/>
  <cols>
    <col min="1" max="1" width="1.453125" customWidth="1"/>
    <col min="2" max="2" width="22" customWidth="1"/>
    <col min="3" max="3" width="21.81640625" customWidth="1"/>
    <col min="4" max="4" width="19.81640625" customWidth="1"/>
    <col min="5" max="5" width="25.08984375" customWidth="1"/>
    <col min="6" max="6" width="24.81640625" customWidth="1"/>
    <col min="7" max="7" width="11" customWidth="1"/>
    <col min="8" max="8" width="14.81640625" customWidth="1"/>
    <col min="9" max="9" width="15.453125" customWidth="1"/>
    <col min="10" max="11" width="16.453125" customWidth="1"/>
    <col min="12" max="12" width="18.81640625" customWidth="1"/>
    <col min="13" max="13" width="34.08984375" customWidth="1"/>
    <col min="14" max="14" width="37.7265625" customWidth="1"/>
    <col min="15" max="15" width="39.08984375" customWidth="1"/>
    <col min="16" max="16" width="35.81640625" customWidth="1"/>
    <col min="17" max="17" width="36.453125" customWidth="1"/>
    <col min="18" max="18" width="24.453125" customWidth="1"/>
    <col min="19" max="19" width="22.08984375" customWidth="1"/>
    <col min="20" max="20" width="15.08984375" customWidth="1"/>
    <col min="21" max="21" width="15.26953125" customWidth="1"/>
    <col min="22" max="22" width="20.453125" customWidth="1"/>
    <col min="23" max="23" width="62.453125" customWidth="1"/>
    <col min="24" max="32" width="9.08984375" customWidth="1"/>
  </cols>
  <sheetData>
    <row r="1" spans="1:33" ht="229.5" customHeight="1">
      <c r="A1" s="9"/>
      <c r="B1" s="505"/>
      <c r="C1" s="416"/>
      <c r="D1" s="416"/>
      <c r="E1" s="416"/>
      <c r="F1" s="416"/>
      <c r="G1" s="416"/>
      <c r="H1" s="416"/>
      <c r="I1" s="416"/>
      <c r="J1" s="416"/>
      <c r="K1" s="416"/>
      <c r="L1" s="416"/>
      <c r="M1" s="416"/>
      <c r="N1" s="416"/>
      <c r="O1" s="416"/>
      <c r="P1" s="416"/>
      <c r="Q1" s="416"/>
      <c r="R1" s="416"/>
      <c r="S1" s="416"/>
      <c r="T1" s="416"/>
      <c r="U1" s="416"/>
      <c r="V1" s="506"/>
      <c r="W1" s="10"/>
      <c r="X1" s="9"/>
      <c r="Y1" s="9"/>
      <c r="Z1" s="9"/>
      <c r="AA1" s="9"/>
      <c r="AB1" s="9"/>
      <c r="AC1" s="9"/>
      <c r="AD1" s="9"/>
      <c r="AE1" s="9"/>
      <c r="AF1" s="9"/>
      <c r="AG1" s="11"/>
    </row>
    <row r="2" spans="1:33" ht="42.75" customHeight="1">
      <c r="A2" s="9"/>
      <c r="B2" s="507" t="s">
        <v>564</v>
      </c>
      <c r="C2" s="416"/>
      <c r="D2" s="416"/>
      <c r="E2" s="416"/>
      <c r="F2" s="416"/>
      <c r="G2" s="416"/>
      <c r="H2" s="416"/>
      <c r="I2" s="416"/>
      <c r="J2" s="416"/>
      <c r="K2" s="416"/>
      <c r="L2" s="416"/>
      <c r="M2" s="416"/>
      <c r="N2" s="416"/>
      <c r="O2" s="416"/>
      <c r="P2" s="416"/>
      <c r="Q2" s="416"/>
      <c r="R2" s="416"/>
      <c r="S2" s="416"/>
      <c r="T2" s="416"/>
      <c r="U2" s="416"/>
      <c r="V2" s="506"/>
      <c r="W2" s="10"/>
      <c r="X2" s="9"/>
      <c r="Y2" s="9"/>
      <c r="Z2" s="9"/>
      <c r="AA2" s="9"/>
      <c r="AB2" s="9"/>
      <c r="AC2" s="9"/>
      <c r="AD2" s="9"/>
      <c r="AE2" s="9"/>
      <c r="AF2" s="9"/>
      <c r="AG2" s="11"/>
    </row>
    <row r="3" spans="1:33" ht="33.75" customHeight="1">
      <c r="A3" s="9"/>
      <c r="B3" s="508"/>
      <c r="C3" s="509"/>
      <c r="D3" s="509"/>
      <c r="E3" s="509"/>
      <c r="F3" s="509"/>
      <c r="G3" s="509"/>
      <c r="H3" s="509"/>
      <c r="I3" s="509"/>
      <c r="J3" s="509"/>
      <c r="K3" s="509"/>
      <c r="L3" s="509"/>
      <c r="M3" s="509"/>
      <c r="N3" s="509"/>
      <c r="O3" s="509"/>
      <c r="P3" s="509"/>
      <c r="Q3" s="509"/>
      <c r="R3" s="509"/>
      <c r="S3" s="509"/>
      <c r="T3" s="509"/>
      <c r="U3" s="509"/>
      <c r="V3" s="510"/>
      <c r="W3" s="10"/>
      <c r="X3" s="9"/>
      <c r="Y3" s="9"/>
      <c r="Z3" s="9"/>
      <c r="AA3" s="9"/>
      <c r="AB3" s="9"/>
      <c r="AC3" s="9"/>
      <c r="AD3" s="9"/>
      <c r="AE3" s="9"/>
      <c r="AF3" s="9"/>
      <c r="AG3" s="11"/>
    </row>
    <row r="4" spans="1:33" ht="15.75" customHeight="1">
      <c r="A4" s="9"/>
      <c r="B4" s="511" t="s">
        <v>565</v>
      </c>
      <c r="C4" s="512"/>
      <c r="D4" s="512"/>
      <c r="E4" s="513"/>
      <c r="F4" s="514"/>
      <c r="G4" s="512"/>
      <c r="H4" s="512"/>
      <c r="I4" s="512"/>
      <c r="J4" s="512"/>
      <c r="K4" s="512"/>
      <c r="L4" s="512"/>
      <c r="M4" s="513"/>
      <c r="N4" s="12" t="s">
        <v>19</v>
      </c>
      <c r="O4" s="514" t="s">
        <v>566</v>
      </c>
      <c r="P4" s="512"/>
      <c r="Q4" s="512"/>
      <c r="R4" s="512"/>
      <c r="S4" s="512"/>
      <c r="T4" s="512"/>
      <c r="U4" s="512"/>
      <c r="V4" s="526"/>
      <c r="W4" s="10"/>
      <c r="X4" s="9"/>
      <c r="Y4" s="9"/>
      <c r="Z4" s="9"/>
      <c r="AA4" s="9"/>
      <c r="AB4" s="9"/>
      <c r="AC4" s="9"/>
      <c r="AD4" s="9"/>
      <c r="AE4" s="9"/>
      <c r="AF4" s="9"/>
      <c r="AG4" s="13"/>
    </row>
    <row r="5" spans="1:33" ht="16.5" customHeight="1">
      <c r="A5" s="9"/>
      <c r="B5" s="515" t="s">
        <v>567</v>
      </c>
      <c r="C5" s="411"/>
      <c r="D5" s="411"/>
      <c r="E5" s="406"/>
      <c r="F5" s="516"/>
      <c r="G5" s="411"/>
      <c r="H5" s="411"/>
      <c r="I5" s="411"/>
      <c r="J5" s="411"/>
      <c r="K5" s="411"/>
      <c r="L5" s="411"/>
      <c r="M5" s="406"/>
      <c r="N5" s="14" t="s">
        <v>21</v>
      </c>
      <c r="O5" s="516" t="s">
        <v>568</v>
      </c>
      <c r="P5" s="411"/>
      <c r="Q5" s="411"/>
      <c r="R5" s="411"/>
      <c r="S5" s="411"/>
      <c r="T5" s="411"/>
      <c r="U5" s="411"/>
      <c r="V5" s="527"/>
      <c r="W5" s="10"/>
      <c r="X5" s="9"/>
      <c r="Y5" s="9"/>
      <c r="Z5" s="9"/>
      <c r="AA5" s="9"/>
      <c r="AB5" s="9"/>
      <c r="AC5" s="9"/>
      <c r="AD5" s="9"/>
      <c r="AE5" s="9"/>
      <c r="AF5" s="9"/>
      <c r="AG5" s="13"/>
    </row>
    <row r="6" spans="1:33" ht="15.75" customHeight="1">
      <c r="A6" s="9"/>
      <c r="B6" s="515" t="s">
        <v>569</v>
      </c>
      <c r="C6" s="411"/>
      <c r="D6" s="411"/>
      <c r="E6" s="406"/>
      <c r="F6" s="516"/>
      <c r="G6" s="411"/>
      <c r="H6" s="411"/>
      <c r="I6" s="411"/>
      <c r="J6" s="411"/>
      <c r="K6" s="411"/>
      <c r="L6" s="411"/>
      <c r="M6" s="406"/>
      <c r="N6" s="14" t="s">
        <v>23</v>
      </c>
      <c r="O6" s="516" t="s">
        <v>570</v>
      </c>
      <c r="P6" s="411"/>
      <c r="Q6" s="411"/>
      <c r="R6" s="411"/>
      <c r="S6" s="411"/>
      <c r="T6" s="411"/>
      <c r="U6" s="411"/>
      <c r="V6" s="527"/>
      <c r="W6" s="10"/>
      <c r="X6" s="9"/>
      <c r="Y6" s="9"/>
      <c r="Z6" s="9"/>
      <c r="AA6" s="9"/>
      <c r="AB6" s="9"/>
      <c r="AC6" s="9"/>
      <c r="AD6" s="9"/>
      <c r="AE6" s="9"/>
      <c r="AF6" s="9"/>
      <c r="AG6" s="13"/>
    </row>
    <row r="7" spans="1:33" ht="16.5" customHeight="1">
      <c r="A7" s="9"/>
      <c r="B7" s="515" t="s">
        <v>571</v>
      </c>
      <c r="C7" s="411"/>
      <c r="D7" s="411"/>
      <c r="E7" s="406"/>
      <c r="F7" s="528"/>
      <c r="G7" s="426"/>
      <c r="H7" s="426"/>
      <c r="I7" s="426"/>
      <c r="J7" s="426"/>
      <c r="K7" s="426"/>
      <c r="L7" s="426"/>
      <c r="M7" s="427"/>
      <c r="N7" s="14" t="s">
        <v>572</v>
      </c>
      <c r="O7" s="168">
        <v>45828</v>
      </c>
      <c r="P7" s="15"/>
      <c r="Q7" s="15"/>
      <c r="R7" s="15"/>
      <c r="S7" s="15"/>
      <c r="T7" s="15"/>
      <c r="U7" s="15"/>
      <c r="V7" s="16"/>
      <c r="W7" s="10"/>
      <c r="X7" s="9"/>
      <c r="Y7" s="9"/>
      <c r="Z7" s="9"/>
      <c r="AA7" s="9"/>
      <c r="AB7" s="9"/>
      <c r="AC7" s="9"/>
      <c r="AD7" s="9"/>
      <c r="AE7" s="9"/>
      <c r="AF7" s="9"/>
      <c r="AG7" s="13"/>
    </row>
    <row r="8" spans="1:33" ht="45.75" customHeight="1">
      <c r="A8" s="9"/>
      <c r="B8" s="529" t="s">
        <v>573</v>
      </c>
      <c r="C8" s="530"/>
      <c r="D8" s="530"/>
      <c r="E8" s="531"/>
      <c r="F8" s="532"/>
      <c r="G8" s="530"/>
      <c r="H8" s="530"/>
      <c r="I8" s="530"/>
      <c r="J8" s="530"/>
      <c r="K8" s="530"/>
      <c r="L8" s="530"/>
      <c r="M8" s="530"/>
      <c r="N8" s="530"/>
      <c r="O8" s="530"/>
      <c r="P8" s="530"/>
      <c r="Q8" s="530"/>
      <c r="R8" s="530"/>
      <c r="S8" s="530"/>
      <c r="T8" s="530"/>
      <c r="U8" s="530"/>
      <c r="V8" s="533"/>
      <c r="W8" s="10"/>
      <c r="X8" s="9"/>
      <c r="Y8" s="9"/>
      <c r="Z8" s="9"/>
      <c r="AA8" s="9"/>
      <c r="AB8" s="9"/>
      <c r="AC8" s="9"/>
      <c r="AD8" s="9"/>
      <c r="AE8" s="9"/>
      <c r="AF8" s="9"/>
      <c r="AG8" s="13"/>
    </row>
    <row r="9" spans="1:33" ht="19.5" customHeight="1">
      <c r="A9" s="9"/>
      <c r="B9" s="534"/>
      <c r="C9" s="535"/>
      <c r="D9" s="535"/>
      <c r="E9" s="535"/>
      <c r="F9" s="535"/>
      <c r="G9" s="535"/>
      <c r="H9" s="535"/>
      <c r="I9" s="535"/>
      <c r="J9" s="535"/>
      <c r="K9" s="535"/>
      <c r="L9" s="535"/>
      <c r="M9" s="535"/>
      <c r="N9" s="535"/>
      <c r="O9" s="535"/>
      <c r="P9" s="535"/>
      <c r="Q9" s="535"/>
      <c r="R9" s="535"/>
      <c r="S9" s="535"/>
      <c r="T9" s="535"/>
      <c r="U9" s="535"/>
      <c r="V9" s="536"/>
      <c r="W9" s="10"/>
      <c r="X9" s="9"/>
      <c r="Y9" s="9"/>
      <c r="Z9" s="9"/>
      <c r="AA9" s="9"/>
      <c r="AB9" s="9"/>
      <c r="AC9" s="9"/>
      <c r="AD9" s="9"/>
      <c r="AE9" s="9"/>
      <c r="AF9" s="9"/>
      <c r="AG9" s="11"/>
    </row>
    <row r="10" spans="1:33" ht="72" customHeight="1">
      <c r="A10" s="9"/>
      <c r="B10" s="499" t="s">
        <v>574</v>
      </c>
      <c r="C10" s="433"/>
      <c r="D10" s="433"/>
      <c r="E10" s="433"/>
      <c r="F10" s="433"/>
      <c r="G10" s="433"/>
      <c r="H10" s="433"/>
      <c r="I10" s="433"/>
      <c r="J10" s="433"/>
      <c r="K10" s="433"/>
      <c r="L10" s="433"/>
      <c r="M10" s="433"/>
      <c r="N10" s="433"/>
      <c r="O10" s="433"/>
      <c r="P10" s="433"/>
      <c r="Q10" s="433"/>
      <c r="R10" s="433"/>
      <c r="S10" s="433"/>
      <c r="T10" s="433"/>
      <c r="U10" s="433"/>
      <c r="V10" s="433"/>
      <c r="W10" s="10"/>
      <c r="X10" s="9"/>
      <c r="Y10" s="9"/>
      <c r="Z10" s="9"/>
      <c r="AA10" s="9"/>
      <c r="AB10" s="9"/>
      <c r="AC10" s="9"/>
      <c r="AD10" s="9"/>
      <c r="AE10" s="9"/>
      <c r="AF10" s="9"/>
      <c r="AG10" s="11"/>
    </row>
    <row r="11" spans="1:33" ht="4.5" hidden="1"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21.75" customHeight="1">
      <c r="A12" s="11"/>
      <c r="B12" s="589" t="s">
        <v>28</v>
      </c>
      <c r="C12" s="497"/>
      <c r="D12" s="497"/>
      <c r="E12" s="497"/>
      <c r="F12" s="497"/>
      <c r="G12" s="497"/>
      <c r="H12" s="497"/>
      <c r="I12" s="497"/>
      <c r="J12" s="497"/>
      <c r="K12" s="497"/>
      <c r="L12" s="497"/>
      <c r="M12" s="497"/>
      <c r="N12" s="497"/>
      <c r="O12" s="497"/>
      <c r="P12" s="497"/>
      <c r="Q12" s="497"/>
      <c r="R12" s="498"/>
      <c r="S12" s="590" t="s">
        <v>29</v>
      </c>
      <c r="T12" s="497"/>
      <c r="U12" s="497"/>
      <c r="V12" s="498"/>
      <c r="W12" s="11"/>
      <c r="X12" s="11"/>
      <c r="Y12" s="11"/>
      <c r="Z12" s="11"/>
      <c r="AA12" s="11"/>
      <c r="AB12" s="11"/>
      <c r="AC12" s="11"/>
      <c r="AD12" s="11"/>
      <c r="AE12" s="11"/>
      <c r="AF12" s="11"/>
      <c r="AG12" s="11"/>
    </row>
    <row r="13" spans="1:33" ht="117" customHeight="1">
      <c r="A13" s="11"/>
      <c r="B13" s="583" t="s">
        <v>3</v>
      </c>
      <c r="C13" s="509"/>
      <c r="D13" s="509"/>
      <c r="E13" s="599"/>
      <c r="F13" s="591" t="s">
        <v>575</v>
      </c>
      <c r="G13" s="592"/>
      <c r="H13" s="597" t="s">
        <v>8</v>
      </c>
      <c r="I13" s="597" t="s">
        <v>9</v>
      </c>
      <c r="J13" s="583" t="s">
        <v>576</v>
      </c>
      <c r="K13" s="510"/>
      <c r="L13" s="524" t="s">
        <v>577</v>
      </c>
      <c r="M13" s="537" t="s">
        <v>33</v>
      </c>
      <c r="N13" s="535"/>
      <c r="O13" s="535"/>
      <c r="P13" s="535"/>
      <c r="Q13" s="538"/>
      <c r="R13" s="539" t="s">
        <v>34</v>
      </c>
      <c r="S13" s="563" t="s">
        <v>35</v>
      </c>
      <c r="T13" s="564" t="s">
        <v>36</v>
      </c>
      <c r="U13" s="524" t="s">
        <v>37</v>
      </c>
      <c r="V13" s="563" t="s">
        <v>38</v>
      </c>
      <c r="W13" s="11"/>
      <c r="X13" s="11"/>
      <c r="Y13" s="11"/>
      <c r="Z13" s="11"/>
      <c r="AA13" s="11"/>
      <c r="AB13" s="11"/>
      <c r="AC13" s="11"/>
      <c r="AD13" s="11"/>
      <c r="AE13" s="11"/>
      <c r="AF13" s="11"/>
      <c r="AG13" s="11"/>
    </row>
    <row r="14" spans="1:33" ht="45" customHeight="1">
      <c r="A14" s="11"/>
      <c r="B14" s="524" t="s">
        <v>578</v>
      </c>
      <c r="C14" s="600" t="s">
        <v>579</v>
      </c>
      <c r="D14" s="497"/>
      <c r="E14" s="498"/>
      <c r="F14" s="593"/>
      <c r="G14" s="594"/>
      <c r="H14" s="584"/>
      <c r="I14" s="584"/>
      <c r="J14" s="574" t="s">
        <v>580</v>
      </c>
      <c r="K14" s="585" t="s">
        <v>581</v>
      </c>
      <c r="L14" s="584"/>
      <c r="M14" s="587" t="s">
        <v>43</v>
      </c>
      <c r="N14" s="588" t="s">
        <v>44</v>
      </c>
      <c r="O14" s="588" t="s">
        <v>45</v>
      </c>
      <c r="P14" s="588" t="s">
        <v>46</v>
      </c>
      <c r="Q14" s="598" t="s">
        <v>47</v>
      </c>
      <c r="R14" s="540"/>
      <c r="S14" s="540"/>
      <c r="T14" s="565"/>
      <c r="U14" s="584"/>
      <c r="V14" s="540"/>
      <c r="W14" s="11"/>
      <c r="X14" s="11"/>
      <c r="Y14" s="11"/>
      <c r="Z14" s="11"/>
      <c r="AA14" s="11"/>
      <c r="AB14" s="11"/>
      <c r="AC14" s="11"/>
      <c r="AD14" s="11"/>
      <c r="AE14" s="11"/>
      <c r="AF14" s="11"/>
      <c r="AG14" s="11"/>
    </row>
    <row r="15" spans="1:33" ht="70.5" customHeight="1">
      <c r="A15" s="18"/>
      <c r="B15" s="552"/>
      <c r="C15" s="19" t="s">
        <v>48</v>
      </c>
      <c r="D15" s="19" t="s">
        <v>49</v>
      </c>
      <c r="E15" s="19" t="s">
        <v>146</v>
      </c>
      <c r="F15" s="595"/>
      <c r="G15" s="596"/>
      <c r="H15" s="552"/>
      <c r="I15" s="552"/>
      <c r="J15" s="566"/>
      <c r="K15" s="586"/>
      <c r="L15" s="552"/>
      <c r="M15" s="504"/>
      <c r="N15" s="452"/>
      <c r="O15" s="452"/>
      <c r="P15" s="452"/>
      <c r="Q15" s="568"/>
      <c r="R15" s="540"/>
      <c r="S15" s="541"/>
      <c r="T15" s="566"/>
      <c r="U15" s="552"/>
      <c r="V15" s="541"/>
      <c r="W15" s="20"/>
      <c r="X15" s="18"/>
      <c r="Y15" s="18"/>
      <c r="Z15" s="18"/>
      <c r="AA15" s="18"/>
      <c r="AB15" s="18"/>
      <c r="AC15" s="18"/>
      <c r="AD15" s="18"/>
      <c r="AE15" s="18"/>
      <c r="AF15" s="18"/>
      <c r="AG15" s="11"/>
    </row>
    <row r="16" spans="1:33" ht="90" hidden="1" customHeight="1">
      <c r="A16" s="9"/>
      <c r="B16" s="581" t="s">
        <v>51</v>
      </c>
      <c r="C16" s="21"/>
      <c r="D16" s="21"/>
      <c r="E16" s="576" t="s">
        <v>52</v>
      </c>
      <c r="F16" s="577" t="s">
        <v>53</v>
      </c>
      <c r="G16" s="578" t="s">
        <v>54</v>
      </c>
      <c r="H16" s="579" t="s">
        <v>55</v>
      </c>
      <c r="I16" s="580">
        <v>0.35</v>
      </c>
      <c r="J16" s="22"/>
      <c r="K16" s="22"/>
      <c r="L16" s="23" t="s">
        <v>14</v>
      </c>
      <c r="M16" s="24" t="s">
        <v>582</v>
      </c>
      <c r="N16" s="25" t="s">
        <v>583</v>
      </c>
      <c r="O16" s="25" t="s">
        <v>584</v>
      </c>
      <c r="P16" s="25" t="s">
        <v>585</v>
      </c>
      <c r="Q16" s="25" t="s">
        <v>586</v>
      </c>
      <c r="R16" s="541"/>
      <c r="S16" s="26" t="s">
        <v>61</v>
      </c>
      <c r="T16" s="27">
        <v>5</v>
      </c>
      <c r="U16" s="553">
        <f>AVERAGE(T16:T18)</f>
        <v>4.666666666666667</v>
      </c>
      <c r="V16" s="555"/>
      <c r="W16" s="10"/>
      <c r="X16" s="9"/>
      <c r="Y16" s="9"/>
      <c r="Z16" s="9"/>
      <c r="AA16" s="9"/>
      <c r="AB16" s="9"/>
      <c r="AC16" s="9"/>
      <c r="AD16" s="9"/>
      <c r="AE16" s="9"/>
      <c r="AF16" s="9"/>
      <c r="AG16" s="28"/>
    </row>
    <row r="17" spans="1:33" ht="102.75" hidden="1" customHeight="1">
      <c r="A17" s="9"/>
      <c r="B17" s="503"/>
      <c r="C17" s="29"/>
      <c r="D17" s="29"/>
      <c r="E17" s="444"/>
      <c r="F17" s="444"/>
      <c r="G17" s="444"/>
      <c r="H17" s="444"/>
      <c r="I17" s="444"/>
      <c r="J17" s="30"/>
      <c r="K17" s="30"/>
      <c r="L17" s="31" t="s">
        <v>15</v>
      </c>
      <c r="M17" s="32" t="s">
        <v>587</v>
      </c>
      <c r="N17" s="32" t="s">
        <v>588</v>
      </c>
      <c r="O17" s="32" t="s">
        <v>589</v>
      </c>
      <c r="P17" s="32" t="s">
        <v>590</v>
      </c>
      <c r="Q17" s="32" t="s">
        <v>591</v>
      </c>
      <c r="R17" s="33"/>
      <c r="S17" s="34" t="s">
        <v>67</v>
      </c>
      <c r="T17" s="35">
        <v>4</v>
      </c>
      <c r="U17" s="444"/>
      <c r="V17" s="492"/>
      <c r="W17" s="10"/>
      <c r="X17" s="9"/>
      <c r="Y17" s="9"/>
      <c r="Z17" s="9"/>
      <c r="AA17" s="9"/>
      <c r="AB17" s="9"/>
      <c r="AC17" s="9"/>
      <c r="AD17" s="9"/>
      <c r="AE17" s="9"/>
      <c r="AF17" s="9"/>
      <c r="AG17" s="13"/>
    </row>
    <row r="18" spans="1:33" ht="18" hidden="1" customHeight="1">
      <c r="A18" s="9"/>
      <c r="B18" s="582"/>
      <c r="C18" s="29"/>
      <c r="D18" s="29"/>
      <c r="E18" s="452"/>
      <c r="F18" s="554"/>
      <c r="G18" s="554"/>
      <c r="H18" s="554"/>
      <c r="I18" s="554"/>
      <c r="J18" s="30"/>
      <c r="K18" s="30"/>
      <c r="L18" s="30" t="s">
        <v>16</v>
      </c>
      <c r="M18" s="36" t="s">
        <v>68</v>
      </c>
      <c r="N18" s="36" t="s">
        <v>69</v>
      </c>
      <c r="O18" s="36" t="s">
        <v>70</v>
      </c>
      <c r="P18" s="36" t="s">
        <v>71</v>
      </c>
      <c r="Q18" s="36" t="s">
        <v>72</v>
      </c>
      <c r="R18" s="37"/>
      <c r="S18" s="38" t="s">
        <v>73</v>
      </c>
      <c r="T18" s="39">
        <v>5</v>
      </c>
      <c r="U18" s="554"/>
      <c r="V18" s="556"/>
      <c r="W18" s="10"/>
      <c r="X18" s="9"/>
      <c r="Y18" s="9"/>
      <c r="Z18" s="9"/>
      <c r="AA18" s="9"/>
      <c r="AB18" s="9"/>
      <c r="AC18" s="9"/>
      <c r="AD18" s="9"/>
      <c r="AE18" s="9"/>
      <c r="AF18" s="9"/>
      <c r="AG18" s="13"/>
    </row>
    <row r="19" spans="1:33" ht="24.75" customHeight="1">
      <c r="A19" s="9"/>
      <c r="B19" s="502"/>
      <c r="C19" s="481" t="s">
        <v>74</v>
      </c>
      <c r="D19" s="481" t="s">
        <v>74</v>
      </c>
      <c r="E19" s="481" t="s">
        <v>592</v>
      </c>
      <c r="F19" s="483"/>
      <c r="G19" s="455"/>
      <c r="H19" s="484"/>
      <c r="I19" s="485">
        <v>0.2</v>
      </c>
      <c r="J19" s="482"/>
      <c r="K19" s="484"/>
      <c r="L19" s="40" t="s">
        <v>14</v>
      </c>
      <c r="M19" s="41"/>
      <c r="N19" s="42"/>
      <c r="O19" s="42"/>
      <c r="P19" s="42"/>
      <c r="Q19" s="42"/>
      <c r="R19" s="542"/>
      <c r="S19" s="543"/>
      <c r="T19" s="43">
        <v>5</v>
      </c>
      <c r="U19" s="557">
        <f>AVERAGE(T19:T21)</f>
        <v>5</v>
      </c>
      <c r="V19" s="560">
        <f>U19*I19</f>
        <v>1</v>
      </c>
      <c r="W19" s="10"/>
      <c r="X19" s="9"/>
      <c r="Y19" s="9"/>
      <c r="Z19" s="9"/>
      <c r="AA19" s="9"/>
      <c r="AB19" s="9"/>
      <c r="AC19" s="9"/>
      <c r="AD19" s="9"/>
      <c r="AE19" s="9"/>
      <c r="AF19" s="9"/>
      <c r="AG19" s="13"/>
    </row>
    <row r="20" spans="1:33" ht="24.75" customHeight="1">
      <c r="A20" s="9"/>
      <c r="B20" s="503"/>
      <c r="C20" s="444"/>
      <c r="D20" s="444"/>
      <c r="E20" s="444"/>
      <c r="F20" s="439"/>
      <c r="G20" s="440"/>
      <c r="H20" s="444"/>
      <c r="I20" s="444"/>
      <c r="J20" s="444"/>
      <c r="K20" s="444"/>
      <c r="L20" s="44" t="s">
        <v>15</v>
      </c>
      <c r="M20" s="45"/>
      <c r="N20" s="45"/>
      <c r="O20" s="45"/>
      <c r="P20" s="45"/>
      <c r="Q20" s="45"/>
      <c r="R20" s="492"/>
      <c r="S20" s="503"/>
      <c r="T20" s="43">
        <v>5</v>
      </c>
      <c r="U20" s="558"/>
      <c r="V20" s="492"/>
      <c r="W20" s="10"/>
      <c r="X20" s="9"/>
      <c r="Y20" s="9"/>
      <c r="Z20" s="9"/>
      <c r="AA20" s="9"/>
      <c r="AB20" s="9"/>
      <c r="AC20" s="9"/>
      <c r="AD20" s="9"/>
      <c r="AE20" s="9"/>
      <c r="AF20" s="9"/>
      <c r="AG20" s="13"/>
    </row>
    <row r="21" spans="1:33" ht="24.75" customHeight="1">
      <c r="A21" s="9"/>
      <c r="B21" s="503"/>
      <c r="C21" s="444"/>
      <c r="D21" s="444"/>
      <c r="E21" s="444"/>
      <c r="F21" s="441"/>
      <c r="G21" s="442"/>
      <c r="H21" s="445"/>
      <c r="I21" s="445"/>
      <c r="J21" s="445"/>
      <c r="K21" s="445"/>
      <c r="L21" s="44" t="s">
        <v>16</v>
      </c>
      <c r="M21" s="46"/>
      <c r="N21" s="46"/>
      <c r="O21" s="46"/>
      <c r="P21" s="46"/>
      <c r="Q21" s="46"/>
      <c r="R21" s="493"/>
      <c r="S21" s="544"/>
      <c r="T21" s="43">
        <v>5</v>
      </c>
      <c r="U21" s="559"/>
      <c r="V21" s="493"/>
      <c r="W21" s="10"/>
      <c r="X21" s="9"/>
      <c r="Y21" s="9"/>
      <c r="Z21" s="9"/>
      <c r="AA21" s="9"/>
      <c r="AB21" s="9"/>
      <c r="AC21" s="9"/>
      <c r="AD21" s="9"/>
      <c r="AE21" s="9"/>
      <c r="AF21" s="9"/>
      <c r="AG21" s="13"/>
    </row>
    <row r="22" spans="1:33" ht="24.75" customHeight="1">
      <c r="A22" s="9"/>
      <c r="B22" s="503"/>
      <c r="C22" s="444"/>
      <c r="D22" s="444"/>
      <c r="E22" s="444"/>
      <c r="F22" s="487"/>
      <c r="G22" s="438"/>
      <c r="H22" s="480"/>
      <c r="I22" s="488">
        <v>0.2</v>
      </c>
      <c r="J22" s="479"/>
      <c r="K22" s="480"/>
      <c r="L22" s="40" t="s">
        <v>14</v>
      </c>
      <c r="M22" s="47"/>
      <c r="N22" s="48"/>
      <c r="O22" s="48"/>
      <c r="P22" s="48"/>
      <c r="Q22" s="48"/>
      <c r="R22" s="567"/>
      <c r="S22" s="569"/>
      <c r="T22" s="43">
        <v>5</v>
      </c>
      <c r="U22" s="557">
        <f>AVERAGE(T22:T24)</f>
        <v>5</v>
      </c>
      <c r="V22" s="560">
        <f>U22*I22</f>
        <v>1</v>
      </c>
      <c r="W22" s="10"/>
      <c r="X22" s="9"/>
      <c r="Y22" s="9"/>
      <c r="Z22" s="9"/>
      <c r="AA22" s="9"/>
      <c r="AB22" s="9"/>
      <c r="AC22" s="9"/>
      <c r="AD22" s="9"/>
      <c r="AE22" s="9"/>
      <c r="AF22" s="9"/>
      <c r="AG22" s="13"/>
    </row>
    <row r="23" spans="1:33" ht="24.75" customHeight="1">
      <c r="A23" s="9"/>
      <c r="B23" s="503"/>
      <c r="C23" s="444"/>
      <c r="D23" s="444"/>
      <c r="E23" s="444"/>
      <c r="F23" s="439"/>
      <c r="G23" s="440"/>
      <c r="H23" s="444"/>
      <c r="I23" s="444"/>
      <c r="J23" s="444"/>
      <c r="K23" s="444"/>
      <c r="L23" s="44" t="s">
        <v>15</v>
      </c>
      <c r="M23" s="45"/>
      <c r="N23" s="45"/>
      <c r="O23" s="45"/>
      <c r="P23" s="45"/>
      <c r="Q23" s="45"/>
      <c r="R23" s="492"/>
      <c r="S23" s="503"/>
      <c r="T23" s="43">
        <v>5</v>
      </c>
      <c r="U23" s="558"/>
      <c r="V23" s="492"/>
      <c r="W23" s="10"/>
      <c r="X23" s="9"/>
      <c r="Y23" s="9"/>
      <c r="Z23" s="9"/>
      <c r="AA23" s="9"/>
      <c r="AB23" s="9"/>
      <c r="AC23" s="9"/>
      <c r="AD23" s="9"/>
      <c r="AE23" s="9"/>
      <c r="AF23" s="9"/>
      <c r="AG23" s="13"/>
    </row>
    <row r="24" spans="1:33" ht="24.75" customHeight="1">
      <c r="A24" s="9"/>
      <c r="B24" s="503"/>
      <c r="C24" s="444"/>
      <c r="D24" s="444"/>
      <c r="E24" s="444"/>
      <c r="F24" s="441"/>
      <c r="G24" s="442"/>
      <c r="H24" s="445"/>
      <c r="I24" s="445"/>
      <c r="J24" s="445"/>
      <c r="K24" s="445"/>
      <c r="L24" s="44" t="s">
        <v>16</v>
      </c>
      <c r="M24" s="46"/>
      <c r="N24" s="46"/>
      <c r="O24" s="46"/>
      <c r="P24" s="46"/>
      <c r="Q24" s="46"/>
      <c r="R24" s="493"/>
      <c r="S24" s="544"/>
      <c r="T24" s="43">
        <v>5</v>
      </c>
      <c r="U24" s="559"/>
      <c r="V24" s="493"/>
      <c r="W24" s="10"/>
      <c r="X24" s="9"/>
      <c r="Y24" s="9"/>
      <c r="Z24" s="9"/>
      <c r="AA24" s="9"/>
      <c r="AB24" s="9"/>
      <c r="AC24" s="9"/>
      <c r="AD24" s="9"/>
      <c r="AE24" s="9"/>
      <c r="AF24" s="9"/>
      <c r="AG24" s="13"/>
    </row>
    <row r="25" spans="1:33" ht="24.75" customHeight="1">
      <c r="A25" s="9"/>
      <c r="B25" s="503"/>
      <c r="C25" s="444"/>
      <c r="D25" s="444"/>
      <c r="E25" s="444"/>
      <c r="F25" s="487"/>
      <c r="G25" s="438"/>
      <c r="H25" s="480"/>
      <c r="I25" s="488">
        <v>0.2</v>
      </c>
      <c r="J25" s="479"/>
      <c r="K25" s="480"/>
      <c r="L25" s="49" t="s">
        <v>14</v>
      </c>
      <c r="M25" s="47"/>
      <c r="N25" s="48"/>
      <c r="O25" s="48"/>
      <c r="P25" s="48"/>
      <c r="Q25" s="48"/>
      <c r="R25" s="567"/>
      <c r="S25" s="569"/>
      <c r="T25" s="43">
        <v>5</v>
      </c>
      <c r="U25" s="557">
        <f>AVERAGE(T25:T27)</f>
        <v>5</v>
      </c>
      <c r="V25" s="560">
        <f>U25*I25</f>
        <v>1</v>
      </c>
      <c r="W25" s="10"/>
      <c r="X25" s="9"/>
      <c r="Y25" s="9"/>
      <c r="Z25" s="9"/>
      <c r="AA25" s="9"/>
      <c r="AB25" s="9"/>
      <c r="AC25" s="9"/>
      <c r="AD25" s="9"/>
      <c r="AE25" s="9"/>
      <c r="AF25" s="9"/>
      <c r="AG25" s="13"/>
    </row>
    <row r="26" spans="1:33" ht="24.75" customHeight="1">
      <c r="A26" s="9"/>
      <c r="B26" s="503"/>
      <c r="C26" s="444"/>
      <c r="D26" s="444"/>
      <c r="E26" s="444"/>
      <c r="F26" s="439"/>
      <c r="G26" s="440"/>
      <c r="H26" s="444"/>
      <c r="I26" s="444"/>
      <c r="J26" s="444"/>
      <c r="K26" s="444"/>
      <c r="L26" s="44" t="s">
        <v>15</v>
      </c>
      <c r="M26" s="45"/>
      <c r="N26" s="45"/>
      <c r="O26" s="45"/>
      <c r="P26" s="45"/>
      <c r="Q26" s="45"/>
      <c r="R26" s="492"/>
      <c r="S26" s="503"/>
      <c r="T26" s="43">
        <v>5</v>
      </c>
      <c r="U26" s="558"/>
      <c r="V26" s="492"/>
      <c r="W26" s="10"/>
      <c r="X26" s="9"/>
      <c r="Y26" s="9"/>
      <c r="Z26" s="9"/>
      <c r="AA26" s="9"/>
      <c r="AB26" s="9"/>
      <c r="AC26" s="9"/>
      <c r="AD26" s="9"/>
      <c r="AE26" s="9"/>
      <c r="AF26" s="9"/>
      <c r="AG26" s="13"/>
    </row>
    <row r="27" spans="1:33" ht="24.75" customHeight="1">
      <c r="A27" s="9"/>
      <c r="B27" s="504"/>
      <c r="C27" s="452"/>
      <c r="D27" s="452"/>
      <c r="E27" s="452"/>
      <c r="F27" s="449"/>
      <c r="G27" s="450"/>
      <c r="H27" s="452"/>
      <c r="I27" s="452"/>
      <c r="J27" s="452"/>
      <c r="K27" s="452"/>
      <c r="L27" s="50" t="s">
        <v>16</v>
      </c>
      <c r="M27" s="51"/>
      <c r="N27" s="51"/>
      <c r="O27" s="51"/>
      <c r="P27" s="51"/>
      <c r="Q27" s="51"/>
      <c r="R27" s="568"/>
      <c r="S27" s="504"/>
      <c r="T27" s="43">
        <v>5</v>
      </c>
      <c r="U27" s="559"/>
      <c r="V27" s="493"/>
      <c r="W27" s="10"/>
      <c r="X27" s="9"/>
      <c r="Y27" s="9"/>
      <c r="Z27" s="9"/>
      <c r="AA27" s="9"/>
      <c r="AB27" s="9"/>
      <c r="AC27" s="9"/>
      <c r="AD27" s="9"/>
      <c r="AE27" s="9"/>
      <c r="AF27" s="9"/>
      <c r="AG27" s="13"/>
    </row>
    <row r="28" spans="1:33" ht="24.75" hidden="1" customHeight="1">
      <c r="A28" s="9"/>
      <c r="B28" s="502"/>
      <c r="C28" s="52"/>
      <c r="D28" s="52"/>
      <c r="E28" s="482"/>
      <c r="F28" s="483"/>
      <c r="G28" s="455"/>
      <c r="H28" s="484"/>
      <c r="I28" s="485"/>
      <c r="J28" s="486"/>
      <c r="K28" s="484"/>
      <c r="L28" s="40"/>
      <c r="M28" s="41"/>
      <c r="N28" s="42"/>
      <c r="O28" s="42"/>
      <c r="P28" s="42"/>
      <c r="Q28" s="42"/>
      <c r="R28" s="53"/>
      <c r="S28" s="54"/>
      <c r="T28" s="55"/>
      <c r="U28" s="489"/>
      <c r="V28" s="491"/>
      <c r="W28" s="10"/>
      <c r="X28" s="9"/>
      <c r="Y28" s="9"/>
      <c r="Z28" s="9"/>
      <c r="AA28" s="9"/>
      <c r="AB28" s="9"/>
      <c r="AC28" s="9"/>
      <c r="AD28" s="9"/>
      <c r="AE28" s="9"/>
      <c r="AF28" s="9"/>
      <c r="AG28" s="13"/>
    </row>
    <row r="29" spans="1:33" ht="24.75" hidden="1" customHeight="1">
      <c r="A29" s="9"/>
      <c r="B29" s="503"/>
      <c r="C29" s="56"/>
      <c r="D29" s="56"/>
      <c r="E29" s="444"/>
      <c r="F29" s="439"/>
      <c r="G29" s="440"/>
      <c r="H29" s="444"/>
      <c r="I29" s="444"/>
      <c r="J29" s="444"/>
      <c r="K29" s="444"/>
      <c r="L29" s="44"/>
      <c r="M29" s="45"/>
      <c r="N29" s="45"/>
      <c r="O29" s="45"/>
      <c r="P29" s="45"/>
      <c r="Q29" s="45"/>
      <c r="R29" s="57"/>
      <c r="S29" s="58"/>
      <c r="T29" s="59"/>
      <c r="U29" s="444"/>
      <c r="V29" s="492"/>
      <c r="W29" s="10"/>
      <c r="X29" s="9"/>
      <c r="Y29" s="9"/>
      <c r="Z29" s="9"/>
      <c r="AA29" s="9"/>
      <c r="AB29" s="9"/>
      <c r="AC29" s="9"/>
      <c r="AD29" s="9"/>
      <c r="AE29" s="9"/>
      <c r="AF29" s="9"/>
      <c r="AG29" s="13"/>
    </row>
    <row r="30" spans="1:33" ht="24.75" hidden="1" customHeight="1">
      <c r="A30" s="9"/>
      <c r="B30" s="503"/>
      <c r="C30" s="56"/>
      <c r="D30" s="56"/>
      <c r="E30" s="444"/>
      <c r="F30" s="441"/>
      <c r="G30" s="442"/>
      <c r="H30" s="445"/>
      <c r="I30" s="445"/>
      <c r="J30" s="445"/>
      <c r="K30" s="445"/>
      <c r="L30" s="44"/>
      <c r="M30" s="46"/>
      <c r="N30" s="46"/>
      <c r="O30" s="46"/>
      <c r="P30" s="46"/>
      <c r="Q30" s="46"/>
      <c r="R30" s="57"/>
      <c r="S30" s="58"/>
      <c r="T30" s="59"/>
      <c r="U30" s="445"/>
      <c r="V30" s="493"/>
      <c r="W30" s="10"/>
      <c r="X30" s="9"/>
      <c r="Y30" s="9"/>
      <c r="Z30" s="9"/>
      <c r="AA30" s="9"/>
      <c r="AB30" s="9"/>
      <c r="AC30" s="9"/>
      <c r="AD30" s="9"/>
      <c r="AE30" s="9"/>
      <c r="AF30" s="9"/>
      <c r="AG30" s="13"/>
    </row>
    <row r="31" spans="1:33" ht="24.75" hidden="1" customHeight="1">
      <c r="A31" s="9"/>
      <c r="B31" s="503"/>
      <c r="C31" s="56"/>
      <c r="D31" s="56"/>
      <c r="E31" s="444"/>
      <c r="F31" s="487"/>
      <c r="G31" s="438"/>
      <c r="H31" s="480"/>
      <c r="I31" s="488"/>
      <c r="J31" s="479"/>
      <c r="K31" s="480"/>
      <c r="L31" s="49"/>
      <c r="M31" s="47"/>
      <c r="N31" s="48"/>
      <c r="O31" s="48"/>
      <c r="P31" s="48"/>
      <c r="Q31" s="48"/>
      <c r="R31" s="57"/>
      <c r="S31" s="58"/>
      <c r="T31" s="60"/>
      <c r="U31" s="490"/>
      <c r="V31" s="494"/>
      <c r="W31" s="10"/>
      <c r="X31" s="9"/>
      <c r="Y31" s="9"/>
      <c r="Z31" s="9"/>
      <c r="AA31" s="9"/>
      <c r="AB31" s="9"/>
      <c r="AC31" s="9"/>
      <c r="AD31" s="9"/>
      <c r="AE31" s="9"/>
      <c r="AF31" s="9"/>
      <c r="AG31" s="13"/>
    </row>
    <row r="32" spans="1:33" ht="24.75" hidden="1" customHeight="1">
      <c r="A32" s="9"/>
      <c r="B32" s="503"/>
      <c r="C32" s="56"/>
      <c r="D32" s="56"/>
      <c r="E32" s="444"/>
      <c r="F32" s="439"/>
      <c r="G32" s="440"/>
      <c r="H32" s="444"/>
      <c r="I32" s="444"/>
      <c r="J32" s="444"/>
      <c r="K32" s="444"/>
      <c r="L32" s="44"/>
      <c r="M32" s="45"/>
      <c r="N32" s="45"/>
      <c r="O32" s="45"/>
      <c r="P32" s="45"/>
      <c r="Q32" s="45"/>
      <c r="R32" s="57"/>
      <c r="S32" s="58"/>
      <c r="T32" s="59"/>
      <c r="U32" s="444"/>
      <c r="V32" s="492"/>
      <c r="W32" s="10"/>
      <c r="X32" s="9"/>
      <c r="Y32" s="9"/>
      <c r="Z32" s="9"/>
      <c r="AA32" s="9"/>
      <c r="AB32" s="9"/>
      <c r="AC32" s="9"/>
      <c r="AD32" s="9"/>
      <c r="AE32" s="9"/>
      <c r="AF32" s="9"/>
      <c r="AG32" s="13"/>
    </row>
    <row r="33" spans="1:33" ht="24.75" hidden="1" customHeight="1">
      <c r="A33" s="9"/>
      <c r="B33" s="503"/>
      <c r="C33" s="56"/>
      <c r="D33" s="56"/>
      <c r="E33" s="444"/>
      <c r="F33" s="441"/>
      <c r="G33" s="442"/>
      <c r="H33" s="445"/>
      <c r="I33" s="445"/>
      <c r="J33" s="445"/>
      <c r="K33" s="445"/>
      <c r="L33" s="44"/>
      <c r="M33" s="46"/>
      <c r="N33" s="46"/>
      <c r="O33" s="46"/>
      <c r="P33" s="46"/>
      <c r="Q33" s="46"/>
      <c r="R33" s="57"/>
      <c r="S33" s="58"/>
      <c r="T33" s="59"/>
      <c r="U33" s="445"/>
      <c r="V33" s="493"/>
      <c r="W33" s="10"/>
      <c r="X33" s="9"/>
      <c r="Y33" s="9"/>
      <c r="Z33" s="9"/>
      <c r="AA33" s="9"/>
      <c r="AB33" s="9"/>
      <c r="AC33" s="9"/>
      <c r="AD33" s="9"/>
      <c r="AE33" s="9"/>
      <c r="AF33" s="9"/>
      <c r="AG33" s="13"/>
    </row>
    <row r="34" spans="1:33" ht="24.75" hidden="1" customHeight="1">
      <c r="A34" s="9"/>
      <c r="B34" s="503"/>
      <c r="C34" s="56"/>
      <c r="D34" s="56"/>
      <c r="E34" s="444"/>
      <c r="F34" s="487"/>
      <c r="G34" s="438"/>
      <c r="H34" s="480"/>
      <c r="I34" s="488"/>
      <c r="J34" s="479"/>
      <c r="K34" s="480"/>
      <c r="L34" s="49"/>
      <c r="M34" s="47"/>
      <c r="N34" s="48"/>
      <c r="O34" s="48"/>
      <c r="P34" s="48"/>
      <c r="Q34" s="48"/>
      <c r="R34" s="57"/>
      <c r="S34" s="58"/>
      <c r="T34" s="60"/>
      <c r="U34" s="490"/>
      <c r="V34" s="494"/>
      <c r="W34" s="10"/>
      <c r="X34" s="9"/>
      <c r="Y34" s="9"/>
      <c r="Z34" s="9"/>
      <c r="AA34" s="9"/>
      <c r="AB34" s="9"/>
      <c r="AC34" s="9"/>
      <c r="AD34" s="9"/>
      <c r="AE34" s="9"/>
      <c r="AF34" s="9"/>
      <c r="AG34" s="13"/>
    </row>
    <row r="35" spans="1:33" ht="24.75" hidden="1" customHeight="1">
      <c r="A35" s="9"/>
      <c r="B35" s="503"/>
      <c r="C35" s="56"/>
      <c r="D35" s="56"/>
      <c r="E35" s="444"/>
      <c r="F35" s="439"/>
      <c r="G35" s="440"/>
      <c r="H35" s="444"/>
      <c r="I35" s="444"/>
      <c r="J35" s="444"/>
      <c r="K35" s="444"/>
      <c r="L35" s="44"/>
      <c r="M35" s="45"/>
      <c r="N35" s="45"/>
      <c r="O35" s="45"/>
      <c r="P35" s="45"/>
      <c r="Q35" s="45"/>
      <c r="R35" s="57"/>
      <c r="S35" s="58"/>
      <c r="T35" s="59"/>
      <c r="U35" s="444"/>
      <c r="V35" s="492"/>
      <c r="W35" s="10"/>
      <c r="X35" s="9"/>
      <c r="Y35" s="9"/>
      <c r="Z35" s="9"/>
      <c r="AA35" s="9"/>
      <c r="AB35" s="9"/>
      <c r="AC35" s="9"/>
      <c r="AD35" s="9"/>
      <c r="AE35" s="9"/>
      <c r="AF35" s="9"/>
      <c r="AG35" s="13"/>
    </row>
    <row r="36" spans="1:33" ht="24.75" hidden="1" customHeight="1">
      <c r="A36" s="9"/>
      <c r="B36" s="504"/>
      <c r="C36" s="61"/>
      <c r="D36" s="61"/>
      <c r="E36" s="452"/>
      <c r="F36" s="449"/>
      <c r="G36" s="450"/>
      <c r="H36" s="452"/>
      <c r="I36" s="452"/>
      <c r="J36" s="452"/>
      <c r="K36" s="452"/>
      <c r="L36" s="50"/>
      <c r="M36" s="51"/>
      <c r="N36" s="51"/>
      <c r="O36" s="51"/>
      <c r="P36" s="51"/>
      <c r="Q36" s="51"/>
      <c r="R36" s="62"/>
      <c r="S36" s="63"/>
      <c r="T36" s="64"/>
      <c r="U36" s="445"/>
      <c r="V36" s="493"/>
      <c r="W36" s="10"/>
      <c r="X36" s="9"/>
      <c r="Y36" s="9"/>
      <c r="Z36" s="9"/>
      <c r="AA36" s="9"/>
      <c r="AB36" s="9"/>
      <c r="AC36" s="9"/>
      <c r="AD36" s="9"/>
      <c r="AE36" s="9"/>
      <c r="AF36" s="9"/>
      <c r="AG36" s="13"/>
    </row>
    <row r="37" spans="1:33" ht="36" customHeight="1">
      <c r="A37" s="9"/>
      <c r="B37" s="495"/>
      <c r="C37" s="433"/>
      <c r="D37" s="433"/>
      <c r="E37" s="433"/>
      <c r="F37" s="433"/>
      <c r="G37" s="433"/>
      <c r="H37" s="433"/>
      <c r="I37" s="433"/>
      <c r="J37" s="433"/>
      <c r="K37" s="433"/>
      <c r="L37" s="433"/>
      <c r="M37" s="433"/>
      <c r="N37" s="433"/>
      <c r="O37" s="433"/>
      <c r="P37" s="433"/>
      <c r="Q37" s="433"/>
      <c r="R37" s="496" t="s">
        <v>76</v>
      </c>
      <c r="S37" s="497"/>
      <c r="T37" s="497"/>
      <c r="U37" s="498"/>
      <c r="V37" s="65">
        <f>SUM(V19:V27)</f>
        <v>3</v>
      </c>
      <c r="W37" s="10"/>
      <c r="X37" s="9"/>
      <c r="Y37" s="9"/>
      <c r="Z37" s="9"/>
      <c r="AA37" s="9"/>
      <c r="AB37" s="9"/>
      <c r="AC37" s="9"/>
      <c r="AD37" s="9"/>
      <c r="AE37" s="9"/>
      <c r="AF37" s="9"/>
      <c r="AG37" s="13"/>
    </row>
    <row r="38" spans="1:33" ht="20.25" customHeight="1">
      <c r="A38" s="9"/>
      <c r="B38" s="11"/>
      <c r="C38" s="11"/>
      <c r="D38" s="11"/>
      <c r="E38" s="66"/>
      <c r="F38" s="66"/>
      <c r="G38" s="66"/>
      <c r="H38" s="66"/>
      <c r="I38" s="66"/>
      <c r="J38" s="66"/>
      <c r="K38" s="66"/>
      <c r="L38" s="66"/>
      <c r="M38" s="66"/>
      <c r="N38" s="66"/>
      <c r="O38" s="66"/>
      <c r="P38" s="66"/>
      <c r="Q38" s="66"/>
      <c r="R38" s="66"/>
      <c r="S38" s="11"/>
      <c r="T38" s="11"/>
      <c r="U38" s="67"/>
      <c r="V38" s="67"/>
      <c r="W38" s="10"/>
      <c r="X38" s="9"/>
      <c r="Y38" s="9"/>
      <c r="Z38" s="9"/>
      <c r="AA38" s="9"/>
      <c r="AB38" s="9"/>
      <c r="AC38" s="9"/>
      <c r="AD38" s="9"/>
      <c r="AE38" s="9"/>
      <c r="AF38" s="9"/>
      <c r="AG38" s="13"/>
    </row>
    <row r="39" spans="1:33" ht="20.25" customHeight="1">
      <c r="A39" s="9"/>
      <c r="B39" s="68"/>
      <c r="C39" s="68"/>
      <c r="D39" s="68"/>
      <c r="E39" s="11"/>
      <c r="F39" s="11"/>
      <c r="G39" s="68"/>
      <c r="H39" s="68"/>
      <c r="I39" s="68"/>
      <c r="J39" s="68"/>
      <c r="K39" s="68"/>
      <c r="L39" s="68"/>
      <c r="M39" s="68"/>
      <c r="N39" s="68"/>
      <c r="O39" s="68"/>
      <c r="P39" s="68"/>
      <c r="Q39" s="68"/>
      <c r="R39" s="68"/>
      <c r="S39" s="68"/>
      <c r="T39" s="68"/>
      <c r="U39" s="67"/>
      <c r="V39" s="67"/>
      <c r="W39" s="10"/>
      <c r="X39" s="9"/>
      <c r="Y39" s="9"/>
      <c r="Z39" s="9"/>
      <c r="AA39" s="9"/>
      <c r="AB39" s="9"/>
      <c r="AC39" s="9"/>
      <c r="AD39" s="9"/>
      <c r="AE39" s="9"/>
      <c r="AF39" s="9"/>
      <c r="AG39" s="13"/>
    </row>
    <row r="40" spans="1:33" ht="48" customHeight="1">
      <c r="A40" s="9"/>
      <c r="B40" s="499" t="s">
        <v>593</v>
      </c>
      <c r="C40" s="433"/>
      <c r="D40" s="433"/>
      <c r="E40" s="433"/>
      <c r="F40" s="433"/>
      <c r="G40" s="433"/>
      <c r="H40" s="433"/>
      <c r="I40" s="433"/>
      <c r="J40" s="433"/>
      <c r="K40" s="433"/>
      <c r="L40" s="433"/>
      <c r="M40" s="433"/>
      <c r="N40" s="433"/>
      <c r="O40" s="433"/>
      <c r="P40" s="433"/>
      <c r="Q40" s="433"/>
      <c r="R40" s="433"/>
      <c r="S40" s="433"/>
      <c r="T40" s="433"/>
      <c r="U40" s="433"/>
      <c r="V40" s="433"/>
      <c r="W40" s="10"/>
      <c r="X40" s="9"/>
      <c r="Y40" s="9"/>
      <c r="Z40" s="9"/>
      <c r="AA40" s="9"/>
      <c r="AB40" s="9"/>
      <c r="AC40" s="9"/>
      <c r="AD40" s="9"/>
      <c r="AE40" s="9"/>
      <c r="AF40" s="9"/>
      <c r="AG40" s="13"/>
    </row>
    <row r="41" spans="1:33" ht="21.75" customHeight="1">
      <c r="A41" s="9"/>
      <c r="B41" s="500" t="s">
        <v>78</v>
      </c>
      <c r="C41" s="454"/>
      <c r="D41" s="454"/>
      <c r="E41" s="454"/>
      <c r="F41" s="454"/>
      <c r="G41" s="454"/>
      <c r="H41" s="454"/>
      <c r="I41" s="454"/>
      <c r="J41" s="454"/>
      <c r="K41" s="454"/>
      <c r="L41" s="454"/>
      <c r="M41" s="454"/>
      <c r="N41" s="454"/>
      <c r="O41" s="454"/>
      <c r="P41" s="454"/>
      <c r="Q41" s="454"/>
      <c r="R41" s="501"/>
      <c r="S41" s="500" t="s">
        <v>29</v>
      </c>
      <c r="T41" s="454"/>
      <c r="U41" s="454"/>
      <c r="V41" s="501"/>
      <c r="W41" s="10"/>
      <c r="X41" s="9"/>
      <c r="Y41" s="9"/>
      <c r="Z41" s="9"/>
      <c r="AA41" s="9"/>
      <c r="AB41" s="9"/>
      <c r="AC41" s="9"/>
      <c r="AD41" s="9"/>
      <c r="AE41" s="9"/>
      <c r="AF41" s="9"/>
      <c r="AG41" s="13"/>
    </row>
    <row r="42" spans="1:33" ht="102" customHeight="1">
      <c r="A42" s="18"/>
      <c r="B42" s="517" t="s">
        <v>79</v>
      </c>
      <c r="C42" s="454"/>
      <c r="D42" s="454"/>
      <c r="E42" s="501"/>
      <c r="F42" s="517" t="s">
        <v>80</v>
      </c>
      <c r="G42" s="501"/>
      <c r="H42" s="521" t="s">
        <v>8</v>
      </c>
      <c r="I42" s="521" t="s">
        <v>9</v>
      </c>
      <c r="J42" s="523" t="s">
        <v>594</v>
      </c>
      <c r="K42" s="498"/>
      <c r="L42" s="524" t="s">
        <v>595</v>
      </c>
      <c r="M42" s="525" t="s">
        <v>83</v>
      </c>
      <c r="N42" s="497"/>
      <c r="O42" s="497"/>
      <c r="P42" s="497"/>
      <c r="Q42" s="498"/>
      <c r="R42" s="572" t="s">
        <v>34</v>
      </c>
      <c r="S42" s="574" t="s">
        <v>84</v>
      </c>
      <c r="T42" s="574" t="s">
        <v>36</v>
      </c>
      <c r="U42" s="524" t="s">
        <v>37</v>
      </c>
      <c r="V42" s="524" t="s">
        <v>38</v>
      </c>
      <c r="W42" s="20"/>
      <c r="X42" s="18"/>
      <c r="Y42" s="18"/>
      <c r="Z42" s="18"/>
      <c r="AA42" s="18"/>
      <c r="AB42" s="18"/>
      <c r="AC42" s="18"/>
      <c r="AD42" s="18"/>
      <c r="AE42" s="18"/>
      <c r="AF42" s="18"/>
      <c r="AG42" s="69"/>
    </row>
    <row r="43" spans="1:33" ht="33" customHeight="1">
      <c r="A43" s="9"/>
      <c r="B43" s="518"/>
      <c r="C43" s="519"/>
      <c r="D43" s="519"/>
      <c r="E43" s="520"/>
      <c r="F43" s="518"/>
      <c r="G43" s="520"/>
      <c r="H43" s="522"/>
      <c r="I43" s="522"/>
      <c r="J43" s="70" t="s">
        <v>596</v>
      </c>
      <c r="K43" s="17" t="s">
        <v>597</v>
      </c>
      <c r="L43" s="522"/>
      <c r="M43" s="70" t="s">
        <v>43</v>
      </c>
      <c r="N43" s="70" t="s">
        <v>44</v>
      </c>
      <c r="O43" s="70" t="s">
        <v>45</v>
      </c>
      <c r="P43" s="70" t="s">
        <v>46</v>
      </c>
      <c r="Q43" s="70" t="s">
        <v>47</v>
      </c>
      <c r="R43" s="573"/>
      <c r="S43" s="575"/>
      <c r="T43" s="566"/>
      <c r="U43" s="552"/>
      <c r="V43" s="552"/>
      <c r="W43" s="10"/>
      <c r="X43" s="9"/>
      <c r="Y43" s="9"/>
      <c r="Z43" s="9"/>
      <c r="AA43" s="9"/>
      <c r="AB43" s="9"/>
      <c r="AC43" s="9"/>
      <c r="AD43" s="9"/>
      <c r="AE43" s="9"/>
      <c r="AF43" s="9"/>
      <c r="AG43" s="13"/>
    </row>
    <row r="44" spans="1:33" ht="16.5" customHeight="1">
      <c r="A44" s="71"/>
      <c r="B44" s="466" t="s">
        <v>598</v>
      </c>
      <c r="C44" s="467"/>
      <c r="D44" s="467"/>
      <c r="E44" s="468"/>
      <c r="F44" s="169" t="s">
        <v>599</v>
      </c>
      <c r="G44" s="170"/>
      <c r="H44" s="470" t="s">
        <v>148</v>
      </c>
      <c r="I44" s="471">
        <v>0.05</v>
      </c>
      <c r="J44" s="471">
        <v>0.01</v>
      </c>
      <c r="K44" s="171" t="s">
        <v>456</v>
      </c>
      <c r="L44" s="72" t="s">
        <v>14</v>
      </c>
      <c r="M44" s="171" t="s">
        <v>600</v>
      </c>
      <c r="N44" s="172" t="s">
        <v>601</v>
      </c>
      <c r="O44" s="171" t="s">
        <v>602</v>
      </c>
      <c r="P44" s="171" t="s">
        <v>603</v>
      </c>
      <c r="Q44" s="172" t="s">
        <v>604</v>
      </c>
      <c r="R44" s="173" t="s">
        <v>605</v>
      </c>
      <c r="S44" s="571"/>
      <c r="T44" s="74">
        <v>5</v>
      </c>
      <c r="U44" s="548">
        <f>AVERAGE(T44:T46)</f>
        <v>5</v>
      </c>
      <c r="V44" s="549">
        <f>U44*I44</f>
        <v>0.25</v>
      </c>
      <c r="W44" s="75"/>
      <c r="X44" s="71"/>
      <c r="Y44" s="71"/>
      <c r="Z44" s="71"/>
      <c r="AA44" s="71"/>
      <c r="AB44" s="71"/>
      <c r="AC44" s="71"/>
      <c r="AD44" s="71"/>
      <c r="AE44" s="71"/>
      <c r="AF44" s="71"/>
      <c r="AG44" s="76"/>
    </row>
    <row r="45" spans="1:33" ht="16.5" customHeight="1">
      <c r="A45" s="71"/>
      <c r="B45" s="456"/>
      <c r="C45" s="433"/>
      <c r="D45" s="433"/>
      <c r="E45" s="440"/>
      <c r="F45" s="169"/>
      <c r="G45" s="139"/>
      <c r="H45" s="444"/>
      <c r="I45" s="444"/>
      <c r="J45" s="444"/>
      <c r="K45" s="174"/>
      <c r="L45" s="77" t="s">
        <v>15</v>
      </c>
      <c r="M45" s="172" t="s">
        <v>606</v>
      </c>
      <c r="N45" s="171" t="s">
        <v>607</v>
      </c>
      <c r="O45" s="172" t="s">
        <v>608</v>
      </c>
      <c r="P45" s="171" t="s">
        <v>609</v>
      </c>
      <c r="Q45" s="172" t="s">
        <v>610</v>
      </c>
      <c r="R45" s="169"/>
      <c r="S45" s="444"/>
      <c r="T45" s="79">
        <v>5</v>
      </c>
      <c r="U45" s="444"/>
      <c r="V45" s="492"/>
      <c r="W45" s="75"/>
      <c r="X45" s="71"/>
      <c r="Y45" s="71"/>
      <c r="Z45" s="71"/>
      <c r="AA45" s="71"/>
      <c r="AB45" s="71"/>
      <c r="AC45" s="71"/>
      <c r="AD45" s="71"/>
      <c r="AE45" s="71"/>
      <c r="AF45" s="71"/>
      <c r="AG45" s="76"/>
    </row>
    <row r="46" spans="1:33" ht="15" customHeight="1">
      <c r="A46" s="71"/>
      <c r="B46" s="456"/>
      <c r="C46" s="433"/>
      <c r="D46" s="433"/>
      <c r="E46" s="440"/>
      <c r="F46" s="169" t="s">
        <v>611</v>
      </c>
      <c r="G46" s="175"/>
      <c r="H46" s="445"/>
      <c r="I46" s="445"/>
      <c r="J46" s="445"/>
      <c r="K46" s="176"/>
      <c r="L46" s="77" t="s">
        <v>16</v>
      </c>
      <c r="M46" s="169" t="s">
        <v>612</v>
      </c>
      <c r="N46" s="171"/>
      <c r="O46" s="172"/>
      <c r="P46" s="172"/>
      <c r="Q46" s="171"/>
      <c r="R46" s="173" t="s">
        <v>613</v>
      </c>
      <c r="S46" s="445"/>
      <c r="T46" s="79">
        <v>5</v>
      </c>
      <c r="U46" s="445"/>
      <c r="V46" s="493"/>
      <c r="W46" s="75"/>
      <c r="X46" s="71"/>
      <c r="Y46" s="71"/>
      <c r="Z46" s="71"/>
      <c r="AA46" s="71"/>
      <c r="AB46" s="71"/>
      <c r="AC46" s="71"/>
      <c r="AD46" s="71"/>
      <c r="AE46" s="71"/>
      <c r="AF46" s="71"/>
      <c r="AG46" s="76"/>
    </row>
    <row r="47" spans="1:33" ht="15" customHeight="1">
      <c r="A47" s="80"/>
      <c r="B47" s="456"/>
      <c r="C47" s="433"/>
      <c r="D47" s="433"/>
      <c r="E47" s="440"/>
      <c r="F47" s="169"/>
      <c r="G47" s="177"/>
      <c r="H47" s="451"/>
      <c r="I47" s="475">
        <v>0.05</v>
      </c>
      <c r="J47" s="476"/>
      <c r="K47" s="474"/>
      <c r="L47" s="77" t="s">
        <v>14</v>
      </c>
      <c r="M47" s="78"/>
      <c r="N47" s="78"/>
      <c r="O47" s="78"/>
      <c r="P47" s="78"/>
      <c r="Q47" s="78"/>
      <c r="R47" s="169"/>
      <c r="S47" s="562"/>
      <c r="T47" s="79">
        <v>5</v>
      </c>
      <c r="U47" s="550">
        <f>AVERAGE(T47:T49)</f>
        <v>5</v>
      </c>
      <c r="V47" s="551">
        <f>U47*I47</f>
        <v>0.25</v>
      </c>
      <c r="W47" s="75"/>
      <c r="X47" s="71"/>
      <c r="Y47" s="71"/>
      <c r="Z47" s="71"/>
      <c r="AA47" s="71"/>
      <c r="AB47" s="71"/>
      <c r="AC47" s="71"/>
      <c r="AD47" s="71"/>
      <c r="AE47" s="71"/>
      <c r="AF47" s="71"/>
      <c r="AG47" s="76"/>
    </row>
    <row r="48" spans="1:33" ht="12.75" customHeight="1">
      <c r="A48" s="71"/>
      <c r="B48" s="456"/>
      <c r="C48" s="433"/>
      <c r="D48" s="433"/>
      <c r="E48" s="440"/>
      <c r="F48" s="169" t="s">
        <v>614</v>
      </c>
      <c r="G48" s="178"/>
      <c r="H48" s="444"/>
      <c r="I48" s="444"/>
      <c r="J48" s="444"/>
      <c r="K48" s="444"/>
      <c r="L48" s="77" t="s">
        <v>15</v>
      </c>
      <c r="M48" s="78"/>
      <c r="N48" s="78"/>
      <c r="O48" s="78"/>
      <c r="P48" s="78"/>
      <c r="Q48" s="78"/>
      <c r="R48" s="173" t="s">
        <v>615</v>
      </c>
      <c r="S48" s="444"/>
      <c r="T48" s="79">
        <v>5</v>
      </c>
      <c r="U48" s="444"/>
      <c r="V48" s="492"/>
      <c r="W48" s="75"/>
      <c r="X48" s="71"/>
      <c r="Y48" s="71"/>
      <c r="Z48" s="71"/>
      <c r="AA48" s="71"/>
      <c r="AB48" s="71"/>
      <c r="AC48" s="71"/>
      <c r="AD48" s="71"/>
      <c r="AE48" s="71"/>
      <c r="AF48" s="71"/>
      <c r="AG48" s="76"/>
    </row>
    <row r="49" spans="1:33" ht="12.75" customHeight="1">
      <c r="A49" s="71"/>
      <c r="B49" s="456"/>
      <c r="C49" s="433"/>
      <c r="D49" s="433"/>
      <c r="E49" s="440"/>
      <c r="F49" s="169"/>
      <c r="G49" s="179"/>
      <c r="H49" s="445"/>
      <c r="I49" s="445"/>
      <c r="J49" s="445"/>
      <c r="K49" s="445"/>
      <c r="L49" s="77" t="s">
        <v>16</v>
      </c>
      <c r="M49" s="78"/>
      <c r="N49" s="78"/>
      <c r="O49" s="78"/>
      <c r="P49" s="78"/>
      <c r="Q49" s="78"/>
      <c r="R49" s="169"/>
      <c r="S49" s="445"/>
      <c r="T49" s="79">
        <v>5</v>
      </c>
      <c r="U49" s="445"/>
      <c r="V49" s="493"/>
      <c r="W49" s="75"/>
      <c r="X49" s="71"/>
      <c r="Y49" s="71"/>
      <c r="Z49" s="71"/>
      <c r="AA49" s="71"/>
      <c r="AB49" s="71"/>
      <c r="AC49" s="71"/>
      <c r="AD49" s="71"/>
      <c r="AE49" s="71"/>
      <c r="AF49" s="71"/>
      <c r="AG49" s="76"/>
    </row>
    <row r="50" spans="1:33" ht="15" customHeight="1">
      <c r="A50" s="71"/>
      <c r="B50" s="456"/>
      <c r="C50" s="433"/>
      <c r="D50" s="433"/>
      <c r="E50" s="440"/>
      <c r="F50" s="169" t="s">
        <v>616</v>
      </c>
      <c r="G50" s="177"/>
      <c r="H50" s="451"/>
      <c r="I50" s="475">
        <v>0.1</v>
      </c>
      <c r="J50" s="476"/>
      <c r="K50" s="474"/>
      <c r="L50" s="77" t="s">
        <v>14</v>
      </c>
      <c r="M50" s="78"/>
      <c r="N50" s="78"/>
      <c r="O50" s="78"/>
      <c r="P50" s="78"/>
      <c r="Q50" s="78"/>
      <c r="R50" s="173" t="s">
        <v>617</v>
      </c>
      <c r="S50" s="562"/>
      <c r="T50" s="79">
        <v>5</v>
      </c>
      <c r="U50" s="550">
        <f>AVERAGE(T50:T52)</f>
        <v>5</v>
      </c>
      <c r="V50" s="551">
        <f>U50*I50</f>
        <v>0.5</v>
      </c>
      <c r="W50" s="75"/>
      <c r="X50" s="71"/>
      <c r="Y50" s="71"/>
      <c r="Z50" s="71"/>
      <c r="AA50" s="71"/>
      <c r="AB50" s="71"/>
      <c r="AC50" s="71"/>
      <c r="AD50" s="71"/>
      <c r="AE50" s="71"/>
      <c r="AF50" s="71"/>
      <c r="AG50" s="76"/>
    </row>
    <row r="51" spans="1:33" ht="12.75" customHeight="1">
      <c r="A51" s="71"/>
      <c r="B51" s="456"/>
      <c r="C51" s="433"/>
      <c r="D51" s="433"/>
      <c r="E51" s="440"/>
      <c r="F51" s="169"/>
      <c r="G51" s="178"/>
      <c r="H51" s="444"/>
      <c r="I51" s="444"/>
      <c r="J51" s="444"/>
      <c r="K51" s="444"/>
      <c r="L51" s="77" t="s">
        <v>15</v>
      </c>
      <c r="M51" s="78"/>
      <c r="N51" s="78"/>
      <c r="O51" s="78"/>
      <c r="P51" s="78"/>
      <c r="Q51" s="78"/>
      <c r="R51" s="169"/>
      <c r="S51" s="444"/>
      <c r="T51" s="79">
        <v>5</v>
      </c>
      <c r="U51" s="444"/>
      <c r="V51" s="492"/>
      <c r="W51" s="75"/>
      <c r="X51" s="71"/>
      <c r="Y51" s="71"/>
      <c r="Z51" s="71"/>
      <c r="AA51" s="71"/>
      <c r="AB51" s="71"/>
      <c r="AC51" s="71"/>
      <c r="AD51" s="71"/>
      <c r="AE51" s="71"/>
      <c r="AF51" s="71"/>
      <c r="AG51" s="76"/>
    </row>
    <row r="52" spans="1:33" ht="16.5" customHeight="1">
      <c r="A52" s="71"/>
      <c r="B52" s="457"/>
      <c r="C52" s="458"/>
      <c r="D52" s="458"/>
      <c r="E52" s="450"/>
      <c r="F52" s="169" t="s">
        <v>618</v>
      </c>
      <c r="G52" s="180"/>
      <c r="H52" s="452"/>
      <c r="I52" s="452"/>
      <c r="J52" s="452"/>
      <c r="K52" s="452"/>
      <c r="L52" s="81" t="s">
        <v>16</v>
      </c>
      <c r="M52" s="82"/>
      <c r="N52" s="82"/>
      <c r="O52" s="82"/>
      <c r="P52" s="82"/>
      <c r="Q52" s="82"/>
      <c r="R52" s="173" t="s">
        <v>619</v>
      </c>
      <c r="S52" s="452"/>
      <c r="T52" s="79">
        <v>5</v>
      </c>
      <c r="U52" s="445"/>
      <c r="V52" s="493"/>
      <c r="W52" s="75"/>
      <c r="X52" s="71"/>
      <c r="Y52" s="71"/>
      <c r="Z52" s="71"/>
      <c r="AA52" s="71"/>
      <c r="AB52" s="71"/>
      <c r="AC52" s="71"/>
      <c r="AD52" s="71"/>
      <c r="AE52" s="71"/>
      <c r="AF52" s="71"/>
      <c r="AG52" s="76"/>
    </row>
    <row r="53" spans="1:33" ht="24.75" hidden="1" customHeight="1">
      <c r="A53" s="9"/>
      <c r="B53" s="453"/>
      <c r="C53" s="454"/>
      <c r="D53" s="454"/>
      <c r="E53" s="455"/>
      <c r="F53" s="459"/>
      <c r="G53" s="455"/>
      <c r="H53" s="460"/>
      <c r="I53" s="463"/>
      <c r="J53" s="477"/>
      <c r="K53" s="478"/>
      <c r="L53" s="83"/>
      <c r="M53" s="84"/>
      <c r="N53" s="84"/>
      <c r="O53" s="84"/>
      <c r="P53" s="84"/>
      <c r="Q53" s="84"/>
      <c r="R53" s="169"/>
      <c r="S53" s="86"/>
      <c r="T53" s="87"/>
      <c r="U53" s="545"/>
      <c r="V53" s="546"/>
      <c r="W53" s="10"/>
      <c r="X53" s="9"/>
      <c r="Y53" s="9"/>
      <c r="Z53" s="9"/>
      <c r="AA53" s="9"/>
      <c r="AB53" s="9"/>
      <c r="AC53" s="9"/>
      <c r="AD53" s="9"/>
      <c r="AE53" s="9"/>
      <c r="AF53" s="9"/>
      <c r="AG53" s="13"/>
    </row>
    <row r="54" spans="1:33" ht="24.75" hidden="1" customHeight="1">
      <c r="A54" s="9"/>
      <c r="B54" s="456"/>
      <c r="C54" s="433"/>
      <c r="D54" s="433"/>
      <c r="E54" s="440"/>
      <c r="F54" s="439"/>
      <c r="G54" s="440"/>
      <c r="H54" s="444"/>
      <c r="I54" s="444"/>
      <c r="J54" s="444"/>
      <c r="K54" s="444"/>
      <c r="L54" s="89"/>
      <c r="M54" s="45"/>
      <c r="N54" s="45"/>
      <c r="O54" s="45"/>
      <c r="P54" s="45"/>
      <c r="Q54" s="45"/>
      <c r="R54" s="173" t="s">
        <v>620</v>
      </c>
      <c r="S54" s="91"/>
      <c r="T54" s="90"/>
      <c r="U54" s="444"/>
      <c r="V54" s="492"/>
      <c r="W54" s="10"/>
      <c r="X54" s="9"/>
      <c r="Y54" s="9"/>
      <c r="Z54" s="9"/>
      <c r="AA54" s="9"/>
      <c r="AB54" s="9"/>
      <c r="AC54" s="9"/>
      <c r="AD54" s="9"/>
      <c r="AE54" s="9"/>
      <c r="AF54" s="9"/>
      <c r="AG54" s="13"/>
    </row>
    <row r="55" spans="1:33" ht="24.75" hidden="1" customHeight="1">
      <c r="A55" s="9"/>
      <c r="B55" s="456"/>
      <c r="C55" s="433"/>
      <c r="D55" s="433"/>
      <c r="E55" s="440"/>
      <c r="F55" s="441"/>
      <c r="G55" s="442"/>
      <c r="H55" s="445"/>
      <c r="I55" s="445"/>
      <c r="J55" s="445"/>
      <c r="K55" s="445"/>
      <c r="L55" s="89"/>
      <c r="M55" s="45"/>
      <c r="N55" s="45"/>
      <c r="O55" s="45"/>
      <c r="P55" s="45"/>
      <c r="Q55" s="45"/>
      <c r="R55" s="169"/>
      <c r="S55" s="91"/>
      <c r="T55" s="90"/>
      <c r="U55" s="445"/>
      <c r="V55" s="493"/>
      <c r="W55" s="10"/>
      <c r="X55" s="9"/>
      <c r="Y55" s="9"/>
      <c r="Z55" s="9"/>
      <c r="AA55" s="9"/>
      <c r="AB55" s="9"/>
      <c r="AC55" s="9"/>
      <c r="AD55" s="9"/>
      <c r="AE55" s="9"/>
      <c r="AF55" s="9"/>
      <c r="AG55" s="13"/>
    </row>
    <row r="56" spans="1:33" ht="24.75" hidden="1" customHeight="1">
      <c r="A56" s="9"/>
      <c r="B56" s="456"/>
      <c r="C56" s="433"/>
      <c r="D56" s="433"/>
      <c r="E56" s="440"/>
      <c r="F56" s="437"/>
      <c r="G56" s="438"/>
      <c r="H56" s="461"/>
      <c r="I56" s="446"/>
      <c r="J56" s="443"/>
      <c r="K56" s="447"/>
      <c r="L56" s="89"/>
      <c r="M56" s="90"/>
      <c r="N56" s="90"/>
      <c r="O56" s="90"/>
      <c r="P56" s="90"/>
      <c r="Q56" s="90"/>
      <c r="R56" s="90"/>
      <c r="S56" s="91"/>
      <c r="T56" s="90"/>
      <c r="U56" s="545"/>
      <c r="V56" s="547"/>
      <c r="W56" s="10"/>
      <c r="X56" s="9"/>
      <c r="Y56" s="9"/>
      <c r="Z56" s="9"/>
      <c r="AA56" s="9"/>
      <c r="AB56" s="9"/>
      <c r="AC56" s="9"/>
      <c r="AD56" s="9"/>
      <c r="AE56" s="9"/>
      <c r="AF56" s="9"/>
      <c r="AG56" s="13"/>
    </row>
    <row r="57" spans="1:33" ht="24.75" hidden="1" customHeight="1">
      <c r="A57" s="9"/>
      <c r="B57" s="456"/>
      <c r="C57" s="433"/>
      <c r="D57" s="433"/>
      <c r="E57" s="440"/>
      <c r="F57" s="439"/>
      <c r="G57" s="440"/>
      <c r="H57" s="444"/>
      <c r="I57" s="444"/>
      <c r="J57" s="444"/>
      <c r="K57" s="444"/>
      <c r="L57" s="89"/>
      <c r="M57" s="90"/>
      <c r="N57" s="90"/>
      <c r="O57" s="90"/>
      <c r="P57" s="90"/>
      <c r="Q57" s="90"/>
      <c r="R57" s="90"/>
      <c r="S57" s="91"/>
      <c r="T57" s="90"/>
      <c r="U57" s="444"/>
      <c r="V57" s="492"/>
      <c r="W57" s="10"/>
      <c r="X57" s="9"/>
      <c r="Y57" s="9"/>
      <c r="Z57" s="9"/>
      <c r="AA57" s="9"/>
      <c r="AB57" s="9"/>
      <c r="AC57" s="9"/>
      <c r="AD57" s="9"/>
      <c r="AE57" s="9"/>
      <c r="AF57" s="9"/>
      <c r="AG57" s="13"/>
    </row>
    <row r="58" spans="1:33" ht="24.75" hidden="1" customHeight="1">
      <c r="A58" s="9"/>
      <c r="B58" s="456"/>
      <c r="C58" s="433"/>
      <c r="D58" s="433"/>
      <c r="E58" s="440"/>
      <c r="F58" s="441"/>
      <c r="G58" s="442"/>
      <c r="H58" s="445"/>
      <c r="I58" s="445"/>
      <c r="J58" s="445"/>
      <c r="K58" s="445"/>
      <c r="L58" s="89"/>
      <c r="M58" s="90"/>
      <c r="N58" s="90"/>
      <c r="O58" s="90"/>
      <c r="P58" s="90"/>
      <c r="Q58" s="90"/>
      <c r="R58" s="90"/>
      <c r="S58" s="91"/>
      <c r="T58" s="90"/>
      <c r="U58" s="445"/>
      <c r="V58" s="493"/>
      <c r="W58" s="10"/>
      <c r="X58" s="9"/>
      <c r="Y58" s="9"/>
      <c r="Z58" s="9"/>
      <c r="AA58" s="9"/>
      <c r="AB58" s="9"/>
      <c r="AC58" s="9"/>
      <c r="AD58" s="9"/>
      <c r="AE58" s="9"/>
      <c r="AF58" s="9"/>
      <c r="AG58" s="13"/>
    </row>
    <row r="59" spans="1:33" ht="24.75" hidden="1" customHeight="1">
      <c r="A59" s="9"/>
      <c r="B59" s="456"/>
      <c r="C59" s="433"/>
      <c r="D59" s="433"/>
      <c r="E59" s="440"/>
      <c r="F59" s="437"/>
      <c r="G59" s="438"/>
      <c r="H59" s="461"/>
      <c r="I59" s="446"/>
      <c r="J59" s="443"/>
      <c r="K59" s="447"/>
      <c r="L59" s="89"/>
      <c r="M59" s="90"/>
      <c r="N59" s="90"/>
      <c r="O59" s="90"/>
      <c r="P59" s="90"/>
      <c r="Q59" s="90"/>
      <c r="R59" s="90"/>
      <c r="S59" s="91"/>
      <c r="T59" s="90"/>
      <c r="U59" s="545"/>
      <c r="V59" s="547"/>
      <c r="W59" s="10"/>
      <c r="X59" s="9"/>
      <c r="Y59" s="9"/>
      <c r="Z59" s="9"/>
      <c r="AA59" s="9"/>
      <c r="AB59" s="9"/>
      <c r="AC59" s="9"/>
      <c r="AD59" s="9"/>
      <c r="AE59" s="9"/>
      <c r="AF59" s="9"/>
      <c r="AG59" s="13"/>
    </row>
    <row r="60" spans="1:33" ht="24.75" hidden="1" customHeight="1">
      <c r="A60" s="9"/>
      <c r="B60" s="456"/>
      <c r="C60" s="433"/>
      <c r="D60" s="433"/>
      <c r="E60" s="440"/>
      <c r="F60" s="439"/>
      <c r="G60" s="440"/>
      <c r="H60" s="444"/>
      <c r="I60" s="444"/>
      <c r="J60" s="444"/>
      <c r="K60" s="444"/>
      <c r="L60" s="89"/>
      <c r="M60" s="90"/>
      <c r="N60" s="90"/>
      <c r="O60" s="90"/>
      <c r="P60" s="90"/>
      <c r="Q60" s="90"/>
      <c r="R60" s="90"/>
      <c r="S60" s="91"/>
      <c r="T60" s="90"/>
      <c r="U60" s="444"/>
      <c r="V60" s="492"/>
      <c r="W60" s="10"/>
      <c r="X60" s="9"/>
      <c r="Y60" s="9"/>
      <c r="Z60" s="9"/>
      <c r="AA60" s="9"/>
      <c r="AB60" s="9"/>
      <c r="AC60" s="9"/>
      <c r="AD60" s="9"/>
      <c r="AE60" s="9"/>
      <c r="AF60" s="9"/>
      <c r="AG60" s="13"/>
    </row>
    <row r="61" spans="1:33" ht="24.75" hidden="1" customHeight="1">
      <c r="A61" s="9"/>
      <c r="B61" s="457"/>
      <c r="C61" s="458"/>
      <c r="D61" s="458"/>
      <c r="E61" s="450"/>
      <c r="F61" s="449"/>
      <c r="G61" s="450"/>
      <c r="H61" s="452"/>
      <c r="I61" s="452"/>
      <c r="J61" s="452"/>
      <c r="K61" s="452"/>
      <c r="L61" s="92"/>
      <c r="M61" s="88"/>
      <c r="N61" s="88"/>
      <c r="O61" s="88"/>
      <c r="P61" s="88"/>
      <c r="Q61" s="88"/>
      <c r="R61" s="88"/>
      <c r="S61" s="93"/>
      <c r="T61" s="88"/>
      <c r="U61" s="452"/>
      <c r="V61" s="492"/>
      <c r="W61" s="10"/>
      <c r="X61" s="9"/>
      <c r="Y61" s="9"/>
      <c r="Z61" s="9"/>
      <c r="AA61" s="9"/>
      <c r="AB61" s="9"/>
      <c r="AC61" s="9"/>
      <c r="AD61" s="9"/>
      <c r="AE61" s="9"/>
      <c r="AF61" s="9"/>
      <c r="AG61" s="13"/>
    </row>
    <row r="62" spans="1:33" ht="24.75" hidden="1" customHeight="1">
      <c r="A62" s="9"/>
      <c r="B62" s="462"/>
      <c r="C62" s="454"/>
      <c r="D62" s="454"/>
      <c r="E62" s="455"/>
      <c r="F62" s="459"/>
      <c r="G62" s="455"/>
      <c r="H62" s="464"/>
      <c r="I62" s="463"/>
      <c r="J62" s="464"/>
      <c r="K62" s="465"/>
      <c r="L62" s="83"/>
      <c r="M62" s="85"/>
      <c r="N62" s="85"/>
      <c r="O62" s="85"/>
      <c r="P62" s="85"/>
      <c r="Q62" s="85"/>
      <c r="R62" s="85"/>
      <c r="S62" s="86"/>
      <c r="T62" s="85"/>
      <c r="U62" s="86"/>
      <c r="V62" s="94"/>
      <c r="W62" s="10"/>
      <c r="X62" s="9"/>
      <c r="Y62" s="9"/>
      <c r="Z62" s="9"/>
      <c r="AA62" s="9"/>
      <c r="AB62" s="9"/>
      <c r="AC62" s="9"/>
      <c r="AD62" s="9"/>
      <c r="AE62" s="9"/>
      <c r="AF62" s="9"/>
      <c r="AG62" s="13"/>
    </row>
    <row r="63" spans="1:33" ht="24.75" hidden="1" customHeight="1">
      <c r="A63" s="9"/>
      <c r="B63" s="456"/>
      <c r="C63" s="433"/>
      <c r="D63" s="433"/>
      <c r="E63" s="440"/>
      <c r="F63" s="439"/>
      <c r="G63" s="440"/>
      <c r="H63" s="444"/>
      <c r="I63" s="444"/>
      <c r="J63" s="444"/>
      <c r="K63" s="444"/>
      <c r="L63" s="89"/>
      <c r="M63" s="90"/>
      <c r="N63" s="90"/>
      <c r="O63" s="90"/>
      <c r="P63" s="90"/>
      <c r="Q63" s="90"/>
      <c r="R63" s="90"/>
      <c r="S63" s="91"/>
      <c r="T63" s="90"/>
      <c r="U63" s="91"/>
      <c r="V63" s="95"/>
      <c r="W63" s="10"/>
      <c r="X63" s="9"/>
      <c r="Y63" s="9"/>
      <c r="Z63" s="9"/>
      <c r="AA63" s="9"/>
      <c r="AB63" s="9"/>
      <c r="AC63" s="9"/>
      <c r="AD63" s="9"/>
      <c r="AE63" s="9"/>
      <c r="AF63" s="9"/>
      <c r="AG63" s="13"/>
    </row>
    <row r="64" spans="1:33" ht="24.75" hidden="1" customHeight="1">
      <c r="A64" s="9"/>
      <c r="B64" s="456"/>
      <c r="C64" s="433"/>
      <c r="D64" s="433"/>
      <c r="E64" s="440"/>
      <c r="F64" s="441"/>
      <c r="G64" s="442"/>
      <c r="H64" s="445"/>
      <c r="I64" s="445"/>
      <c r="J64" s="445"/>
      <c r="K64" s="445"/>
      <c r="L64" s="89"/>
      <c r="M64" s="90"/>
      <c r="N64" s="90"/>
      <c r="O64" s="90"/>
      <c r="P64" s="90"/>
      <c r="Q64" s="90"/>
      <c r="R64" s="90"/>
      <c r="S64" s="91"/>
      <c r="T64" s="90"/>
      <c r="U64" s="91"/>
      <c r="V64" s="95"/>
      <c r="W64" s="10"/>
      <c r="X64" s="9"/>
      <c r="Y64" s="9"/>
      <c r="Z64" s="9"/>
      <c r="AA64" s="9"/>
      <c r="AB64" s="9"/>
      <c r="AC64" s="9"/>
      <c r="AD64" s="9"/>
      <c r="AE64" s="9"/>
      <c r="AF64" s="9"/>
      <c r="AG64" s="13"/>
    </row>
    <row r="65" spans="1:33" ht="24.75" hidden="1" customHeight="1">
      <c r="A65" s="9"/>
      <c r="B65" s="456"/>
      <c r="C65" s="433"/>
      <c r="D65" s="433"/>
      <c r="E65" s="440"/>
      <c r="F65" s="437"/>
      <c r="G65" s="438"/>
      <c r="H65" s="443"/>
      <c r="I65" s="446"/>
      <c r="J65" s="443"/>
      <c r="K65" s="447"/>
      <c r="L65" s="89"/>
      <c r="M65" s="90"/>
      <c r="N65" s="90"/>
      <c r="O65" s="90"/>
      <c r="P65" s="90"/>
      <c r="Q65" s="90"/>
      <c r="R65" s="90"/>
      <c r="S65" s="91"/>
      <c r="T65" s="90"/>
      <c r="U65" s="91"/>
      <c r="V65" s="95"/>
      <c r="W65" s="10"/>
      <c r="X65" s="9"/>
      <c r="Y65" s="9"/>
      <c r="Z65" s="9"/>
      <c r="AA65" s="9"/>
      <c r="AB65" s="9"/>
      <c r="AC65" s="9"/>
      <c r="AD65" s="9"/>
      <c r="AE65" s="9"/>
      <c r="AF65" s="9"/>
      <c r="AG65" s="13"/>
    </row>
    <row r="66" spans="1:33" ht="24.75" hidden="1" customHeight="1">
      <c r="A66" s="9"/>
      <c r="B66" s="456"/>
      <c r="C66" s="433"/>
      <c r="D66" s="433"/>
      <c r="E66" s="440"/>
      <c r="F66" s="439"/>
      <c r="G66" s="440"/>
      <c r="H66" s="444"/>
      <c r="I66" s="444"/>
      <c r="J66" s="444"/>
      <c r="K66" s="444"/>
      <c r="L66" s="89"/>
      <c r="M66" s="90"/>
      <c r="N66" s="90"/>
      <c r="O66" s="90"/>
      <c r="P66" s="90"/>
      <c r="Q66" s="90"/>
      <c r="R66" s="90"/>
      <c r="S66" s="91"/>
      <c r="T66" s="90"/>
      <c r="U66" s="91"/>
      <c r="V66" s="95"/>
      <c r="W66" s="10"/>
      <c r="X66" s="9"/>
      <c r="Y66" s="9"/>
      <c r="Z66" s="9"/>
      <c r="AA66" s="9"/>
      <c r="AB66" s="9"/>
      <c r="AC66" s="9"/>
      <c r="AD66" s="9"/>
      <c r="AE66" s="9"/>
      <c r="AF66" s="9"/>
      <c r="AG66" s="13"/>
    </row>
    <row r="67" spans="1:33" ht="24.75" hidden="1" customHeight="1">
      <c r="A67" s="9"/>
      <c r="B67" s="456"/>
      <c r="C67" s="433"/>
      <c r="D67" s="433"/>
      <c r="E67" s="440"/>
      <c r="F67" s="441"/>
      <c r="G67" s="442"/>
      <c r="H67" s="445"/>
      <c r="I67" s="445"/>
      <c r="J67" s="445"/>
      <c r="K67" s="445"/>
      <c r="L67" s="89"/>
      <c r="M67" s="90"/>
      <c r="N67" s="90"/>
      <c r="O67" s="90"/>
      <c r="P67" s="90"/>
      <c r="Q67" s="90"/>
      <c r="R67" s="90"/>
      <c r="S67" s="91"/>
      <c r="T67" s="90"/>
      <c r="U67" s="91"/>
      <c r="V67" s="95"/>
      <c r="W67" s="10"/>
      <c r="X67" s="9"/>
      <c r="Y67" s="9"/>
      <c r="Z67" s="9"/>
      <c r="AA67" s="9"/>
      <c r="AB67" s="9"/>
      <c r="AC67" s="9"/>
      <c r="AD67" s="9"/>
      <c r="AE67" s="9"/>
      <c r="AF67" s="9"/>
      <c r="AG67" s="13"/>
    </row>
    <row r="68" spans="1:33" ht="24.75" hidden="1" customHeight="1">
      <c r="A68" s="9"/>
      <c r="B68" s="456"/>
      <c r="C68" s="433"/>
      <c r="D68" s="433"/>
      <c r="E68" s="440"/>
      <c r="F68" s="437"/>
      <c r="G68" s="438"/>
      <c r="H68" s="443"/>
      <c r="I68" s="446"/>
      <c r="J68" s="443"/>
      <c r="K68" s="447"/>
      <c r="L68" s="89"/>
      <c r="M68" s="90"/>
      <c r="N68" s="90"/>
      <c r="O68" s="90"/>
      <c r="P68" s="90"/>
      <c r="Q68" s="90"/>
      <c r="R68" s="90"/>
      <c r="S68" s="91"/>
      <c r="T68" s="90"/>
      <c r="U68" s="91"/>
      <c r="V68" s="95"/>
      <c r="W68" s="10"/>
      <c r="X68" s="9"/>
      <c r="Y68" s="9"/>
      <c r="Z68" s="9"/>
      <c r="AA68" s="9"/>
      <c r="AB68" s="9"/>
      <c r="AC68" s="9"/>
      <c r="AD68" s="9"/>
      <c r="AE68" s="9"/>
      <c r="AF68" s="9"/>
      <c r="AG68" s="13"/>
    </row>
    <row r="69" spans="1:33" ht="24.75" hidden="1" customHeight="1">
      <c r="A69" s="9"/>
      <c r="B69" s="456"/>
      <c r="C69" s="433"/>
      <c r="D69" s="433"/>
      <c r="E69" s="440"/>
      <c r="F69" s="439"/>
      <c r="G69" s="440"/>
      <c r="H69" s="444"/>
      <c r="I69" s="444"/>
      <c r="J69" s="444"/>
      <c r="K69" s="444"/>
      <c r="L69" s="89"/>
      <c r="M69" s="90"/>
      <c r="N69" s="90"/>
      <c r="O69" s="90"/>
      <c r="P69" s="90"/>
      <c r="Q69" s="90"/>
      <c r="R69" s="90"/>
      <c r="S69" s="91"/>
      <c r="T69" s="90"/>
      <c r="U69" s="91"/>
      <c r="V69" s="95"/>
      <c r="W69" s="10"/>
      <c r="X69" s="9"/>
      <c r="Y69" s="9"/>
      <c r="Z69" s="9"/>
      <c r="AA69" s="9"/>
      <c r="AB69" s="9"/>
      <c r="AC69" s="9"/>
      <c r="AD69" s="9"/>
      <c r="AE69" s="9"/>
      <c r="AF69" s="9"/>
      <c r="AG69" s="13"/>
    </row>
    <row r="70" spans="1:33" ht="24.75" hidden="1" customHeight="1">
      <c r="A70" s="9"/>
      <c r="B70" s="457"/>
      <c r="C70" s="458"/>
      <c r="D70" s="458"/>
      <c r="E70" s="450"/>
      <c r="F70" s="449"/>
      <c r="G70" s="450"/>
      <c r="H70" s="452"/>
      <c r="I70" s="452"/>
      <c r="J70" s="452"/>
      <c r="K70" s="452"/>
      <c r="L70" s="92"/>
      <c r="M70" s="88"/>
      <c r="N70" s="88"/>
      <c r="O70" s="88"/>
      <c r="P70" s="88"/>
      <c r="Q70" s="88"/>
      <c r="R70" s="88"/>
      <c r="S70" s="93"/>
      <c r="T70" s="88"/>
      <c r="U70" s="93"/>
      <c r="V70" s="96"/>
      <c r="W70" s="10"/>
      <c r="X70" s="9"/>
      <c r="Y70" s="9"/>
      <c r="Z70" s="9"/>
      <c r="AA70" s="9"/>
      <c r="AB70" s="9"/>
      <c r="AC70" s="9"/>
      <c r="AD70" s="9"/>
      <c r="AE70" s="9"/>
      <c r="AF70" s="9"/>
      <c r="AG70" s="13"/>
    </row>
    <row r="71" spans="1:33" ht="27" customHeight="1">
      <c r="A71" s="9"/>
      <c r="B71" s="496" t="s">
        <v>87</v>
      </c>
      <c r="C71" s="497"/>
      <c r="D71" s="497"/>
      <c r="E71" s="497"/>
      <c r="F71" s="497"/>
      <c r="G71" s="497"/>
      <c r="H71" s="497"/>
      <c r="I71" s="497"/>
      <c r="J71" s="497"/>
      <c r="K71" s="497"/>
      <c r="L71" s="497"/>
      <c r="M71" s="497"/>
      <c r="N71" s="497"/>
      <c r="O71" s="497"/>
      <c r="P71" s="497"/>
      <c r="Q71" s="497"/>
      <c r="R71" s="497"/>
      <c r="S71" s="497"/>
      <c r="T71" s="497"/>
      <c r="U71" s="617"/>
      <c r="V71" s="97">
        <f>SUM(V44:V52)</f>
        <v>1</v>
      </c>
      <c r="W71" s="10"/>
      <c r="X71" s="9"/>
      <c r="Y71" s="9"/>
      <c r="Z71" s="9"/>
      <c r="AA71" s="9"/>
      <c r="AB71" s="9"/>
      <c r="AC71" s="9"/>
      <c r="AD71" s="9"/>
      <c r="AE71" s="9"/>
      <c r="AF71" s="9"/>
      <c r="AG71" s="13"/>
    </row>
    <row r="72" spans="1:33" ht="27" customHeight="1">
      <c r="A72" s="9"/>
      <c r="B72" s="68"/>
      <c r="C72" s="68"/>
      <c r="D72" s="68"/>
      <c r="E72" s="98"/>
      <c r="F72" s="98"/>
      <c r="G72" s="98"/>
      <c r="H72" s="98"/>
      <c r="I72" s="98"/>
      <c r="J72" s="98"/>
      <c r="K72" s="98"/>
      <c r="L72" s="98"/>
      <c r="M72" s="98"/>
      <c r="N72" s="98"/>
      <c r="O72" s="98"/>
      <c r="P72" s="98"/>
      <c r="Q72" s="98"/>
      <c r="R72" s="98"/>
      <c r="S72" s="98"/>
      <c r="T72" s="98"/>
      <c r="U72" s="98"/>
      <c r="V72" s="67"/>
      <c r="W72" s="10"/>
      <c r="X72" s="9"/>
      <c r="Y72" s="9"/>
      <c r="Z72" s="9"/>
      <c r="AA72" s="9"/>
      <c r="AB72" s="9"/>
      <c r="AC72" s="9"/>
      <c r="AD72" s="9"/>
      <c r="AE72" s="9"/>
      <c r="AF72" s="9"/>
      <c r="AG72" s="13"/>
    </row>
    <row r="73" spans="1:33" ht="39.75" customHeight="1">
      <c r="A73" s="9"/>
      <c r="B73" s="499" t="s">
        <v>621</v>
      </c>
      <c r="C73" s="433"/>
      <c r="D73" s="433"/>
      <c r="E73" s="433"/>
      <c r="F73" s="433"/>
      <c r="G73" s="433"/>
      <c r="H73" s="433"/>
      <c r="I73" s="433"/>
      <c r="J73" s="433"/>
      <c r="K73" s="433"/>
      <c r="L73" s="433"/>
      <c r="M73" s="433"/>
      <c r="N73" s="433"/>
      <c r="O73" s="433"/>
      <c r="P73" s="433"/>
      <c r="Q73" s="433"/>
      <c r="R73" s="433"/>
      <c r="S73" s="10"/>
      <c r="T73" s="9"/>
      <c r="U73" s="9"/>
      <c r="V73" s="9"/>
      <c r="W73" s="9"/>
      <c r="X73" s="9"/>
      <c r="Y73" s="9"/>
      <c r="Z73" s="9"/>
      <c r="AA73" s="9"/>
      <c r="AB73" s="9"/>
      <c r="AC73" s="11"/>
      <c r="AD73" s="11"/>
      <c r="AE73" s="11"/>
      <c r="AF73" s="11"/>
      <c r="AG73" s="11"/>
    </row>
    <row r="74" spans="1:33" ht="13.5" customHeight="1">
      <c r="A74" s="9"/>
      <c r="B74" s="68"/>
      <c r="C74" s="68"/>
      <c r="D74" s="68"/>
      <c r="E74" s="11"/>
      <c r="F74" s="11"/>
      <c r="G74" s="68"/>
      <c r="H74" s="68"/>
      <c r="I74" s="68"/>
      <c r="J74" s="68"/>
      <c r="K74" s="68"/>
      <c r="L74" s="68"/>
      <c r="M74" s="68"/>
      <c r="N74" s="68"/>
      <c r="O74" s="68"/>
      <c r="P74" s="68"/>
      <c r="Q74" s="68"/>
      <c r="R74" s="68"/>
      <c r="S74" s="68"/>
      <c r="T74" s="68"/>
      <c r="U74" s="67"/>
      <c r="V74" s="67"/>
      <c r="W74" s="10"/>
      <c r="X74" s="9"/>
      <c r="Y74" s="9"/>
      <c r="Z74" s="9"/>
      <c r="AA74" s="9"/>
      <c r="AB74" s="9"/>
      <c r="AC74" s="9"/>
      <c r="AD74" s="9"/>
      <c r="AE74" s="9"/>
      <c r="AF74" s="9"/>
      <c r="AG74" s="13"/>
    </row>
    <row r="75" spans="1:33" ht="21.75" customHeight="1">
      <c r="A75" s="9"/>
      <c r="B75" s="589" t="s">
        <v>78</v>
      </c>
      <c r="C75" s="497"/>
      <c r="D75" s="497"/>
      <c r="E75" s="497"/>
      <c r="F75" s="497"/>
      <c r="G75" s="497"/>
      <c r="H75" s="497"/>
      <c r="I75" s="497"/>
      <c r="J75" s="497"/>
      <c r="K75" s="497"/>
      <c r="L75" s="497"/>
      <c r="M75" s="497"/>
      <c r="N75" s="497"/>
      <c r="O75" s="497"/>
      <c r="P75" s="497"/>
      <c r="Q75" s="497"/>
      <c r="R75" s="498"/>
      <c r="S75" s="589" t="s">
        <v>29</v>
      </c>
      <c r="T75" s="497"/>
      <c r="U75" s="497"/>
      <c r="V75" s="498"/>
      <c r="W75" s="10"/>
      <c r="X75" s="9"/>
      <c r="Y75" s="9"/>
      <c r="Z75" s="9"/>
      <c r="AA75" s="9"/>
      <c r="AB75" s="9"/>
      <c r="AC75" s="9"/>
      <c r="AD75" s="9"/>
      <c r="AE75" s="9"/>
      <c r="AF75" s="9"/>
      <c r="AG75" s="13"/>
    </row>
    <row r="76" spans="1:33" ht="62.25" customHeight="1">
      <c r="A76" s="18"/>
      <c r="B76" s="517" t="s">
        <v>89</v>
      </c>
      <c r="C76" s="454"/>
      <c r="D76" s="454"/>
      <c r="E76" s="620"/>
      <c r="F76" s="517" t="s">
        <v>80</v>
      </c>
      <c r="G76" s="454"/>
      <c r="H76" s="454"/>
      <c r="I76" s="501"/>
      <c r="J76" s="619" t="s">
        <v>8</v>
      </c>
      <c r="K76" s="563" t="s">
        <v>9</v>
      </c>
      <c r="L76" s="597" t="s">
        <v>622</v>
      </c>
      <c r="M76" s="618" t="s">
        <v>83</v>
      </c>
      <c r="N76" s="509"/>
      <c r="O76" s="509"/>
      <c r="P76" s="509"/>
      <c r="Q76" s="599"/>
      <c r="R76" s="619" t="s">
        <v>34</v>
      </c>
      <c r="S76" s="623" t="s">
        <v>84</v>
      </c>
      <c r="T76" s="574" t="s">
        <v>36</v>
      </c>
      <c r="U76" s="524" t="s">
        <v>37</v>
      </c>
      <c r="V76" s="563" t="s">
        <v>38</v>
      </c>
      <c r="W76" s="20"/>
      <c r="X76" s="18"/>
      <c r="Y76" s="18"/>
      <c r="Z76" s="18"/>
      <c r="AA76" s="18"/>
      <c r="AB76" s="18"/>
      <c r="AC76" s="18"/>
      <c r="AD76" s="18"/>
      <c r="AE76" s="18"/>
      <c r="AF76" s="18"/>
      <c r="AG76" s="69"/>
    </row>
    <row r="77" spans="1:33" ht="51" customHeight="1">
      <c r="A77" s="9"/>
      <c r="B77" s="518"/>
      <c r="C77" s="519"/>
      <c r="D77" s="519"/>
      <c r="E77" s="621"/>
      <c r="F77" s="518"/>
      <c r="G77" s="519"/>
      <c r="H77" s="519"/>
      <c r="I77" s="520"/>
      <c r="J77" s="573"/>
      <c r="K77" s="573"/>
      <c r="L77" s="522"/>
      <c r="M77" s="70" t="s">
        <v>43</v>
      </c>
      <c r="N77" s="70" t="s">
        <v>44</v>
      </c>
      <c r="O77" s="70" t="s">
        <v>45</v>
      </c>
      <c r="P77" s="70" t="s">
        <v>46</v>
      </c>
      <c r="Q77" s="70" t="s">
        <v>47</v>
      </c>
      <c r="R77" s="573"/>
      <c r="S77" s="522"/>
      <c r="T77" s="575"/>
      <c r="U77" s="522"/>
      <c r="V77" s="573"/>
      <c r="W77" s="10"/>
      <c r="X77" s="9"/>
      <c r="Y77" s="9"/>
      <c r="Z77" s="9"/>
      <c r="AA77" s="9"/>
      <c r="AB77" s="9"/>
      <c r="AC77" s="9"/>
      <c r="AD77" s="9"/>
      <c r="AE77" s="9"/>
      <c r="AF77" s="9"/>
      <c r="AG77" s="13"/>
    </row>
    <row r="78" spans="1:33" ht="121.5" customHeight="1">
      <c r="A78" s="9"/>
      <c r="B78" s="611" t="s">
        <v>91</v>
      </c>
      <c r="C78" s="454"/>
      <c r="D78" s="454"/>
      <c r="E78" s="455"/>
      <c r="F78" s="607" t="s">
        <v>92</v>
      </c>
      <c r="G78" s="454"/>
      <c r="H78" s="454"/>
      <c r="I78" s="455"/>
      <c r="J78" s="465" t="s">
        <v>93</v>
      </c>
      <c r="K78" s="463">
        <v>0.05</v>
      </c>
      <c r="L78" s="83" t="s">
        <v>14</v>
      </c>
      <c r="M78" s="99" t="s">
        <v>94</v>
      </c>
      <c r="N78" s="100" t="s">
        <v>95</v>
      </c>
      <c r="O78" s="100" t="s">
        <v>96</v>
      </c>
      <c r="P78" s="100" t="s">
        <v>97</v>
      </c>
      <c r="Q78" s="100" t="s">
        <v>98</v>
      </c>
      <c r="R78" s="624"/>
      <c r="S78" s="625"/>
      <c r="T78" s="101"/>
      <c r="U78" s="548" t="e">
        <f>AVERAGE(T78:T80)</f>
        <v>#DIV/0!</v>
      </c>
      <c r="V78" s="626" t="e">
        <f>U78*K78</f>
        <v>#DIV/0!</v>
      </c>
      <c r="W78" s="10"/>
      <c r="X78" s="9"/>
      <c r="Y78" s="9"/>
      <c r="Z78" s="9"/>
      <c r="AA78" s="9"/>
      <c r="AB78" s="9"/>
      <c r="AC78" s="9"/>
      <c r="AD78" s="9"/>
      <c r="AE78" s="9"/>
      <c r="AF78" s="9"/>
      <c r="AG78" s="13"/>
    </row>
    <row r="79" spans="1:33" ht="118.5" customHeight="1">
      <c r="A79" s="9"/>
      <c r="B79" s="456"/>
      <c r="C79" s="433"/>
      <c r="D79" s="433"/>
      <c r="E79" s="440"/>
      <c r="F79" s="439"/>
      <c r="G79" s="433"/>
      <c r="H79" s="433"/>
      <c r="I79" s="440"/>
      <c r="J79" s="444"/>
      <c r="K79" s="444"/>
      <c r="L79" s="89" t="s">
        <v>15</v>
      </c>
      <c r="M79" s="102" t="s">
        <v>99</v>
      </c>
      <c r="N79" s="103" t="s">
        <v>100</v>
      </c>
      <c r="O79" s="103" t="s">
        <v>101</v>
      </c>
      <c r="P79" s="103" t="s">
        <v>102</v>
      </c>
      <c r="Q79" s="103" t="s">
        <v>103</v>
      </c>
      <c r="R79" s="444"/>
      <c r="S79" s="444"/>
      <c r="T79" s="79"/>
      <c r="U79" s="444"/>
      <c r="V79" s="492"/>
      <c r="W79" s="10"/>
      <c r="X79" s="9"/>
      <c r="Y79" s="9"/>
      <c r="Z79" s="9"/>
      <c r="AA79" s="9"/>
      <c r="AB79" s="9"/>
      <c r="AC79" s="9"/>
      <c r="AD79" s="9"/>
      <c r="AE79" s="9"/>
      <c r="AF79" s="9"/>
      <c r="AG79" s="13"/>
    </row>
    <row r="80" spans="1:33" ht="143.25" customHeight="1">
      <c r="A80" s="9"/>
      <c r="B80" s="457"/>
      <c r="C80" s="458"/>
      <c r="D80" s="458"/>
      <c r="E80" s="450"/>
      <c r="F80" s="449"/>
      <c r="G80" s="458"/>
      <c r="H80" s="458"/>
      <c r="I80" s="450"/>
      <c r="J80" s="452"/>
      <c r="K80" s="452"/>
      <c r="L80" s="104" t="s">
        <v>16</v>
      </c>
      <c r="M80" s="105" t="s">
        <v>104</v>
      </c>
      <c r="N80" s="105" t="s">
        <v>105</v>
      </c>
      <c r="O80" s="105" t="s">
        <v>106</v>
      </c>
      <c r="P80" s="105" t="s">
        <v>107</v>
      </c>
      <c r="Q80" s="105" t="s">
        <v>108</v>
      </c>
      <c r="R80" s="452"/>
      <c r="S80" s="452"/>
      <c r="T80" s="106"/>
      <c r="U80" s="452"/>
      <c r="V80" s="568"/>
      <c r="W80" s="10"/>
      <c r="X80" s="9"/>
      <c r="Y80" s="9"/>
      <c r="Z80" s="9"/>
      <c r="AA80" s="9"/>
      <c r="AB80" s="9"/>
      <c r="AC80" s="9"/>
      <c r="AD80" s="9"/>
      <c r="AE80" s="9"/>
      <c r="AF80" s="9"/>
      <c r="AG80" s="13"/>
    </row>
    <row r="81" spans="1:33" ht="132" customHeight="1">
      <c r="A81" s="107"/>
      <c r="B81" s="606" t="s">
        <v>109</v>
      </c>
      <c r="C81" s="454"/>
      <c r="D81" s="454"/>
      <c r="E81" s="455"/>
      <c r="F81" s="607" t="s">
        <v>110</v>
      </c>
      <c r="G81" s="454"/>
      <c r="H81" s="454"/>
      <c r="I81" s="455"/>
      <c r="J81" s="465" t="s">
        <v>93</v>
      </c>
      <c r="K81" s="463">
        <v>0.05</v>
      </c>
      <c r="L81" s="83" t="s">
        <v>14</v>
      </c>
      <c r="M81" s="100" t="s">
        <v>111</v>
      </c>
      <c r="N81" s="108" t="s">
        <v>112</v>
      </c>
      <c r="O81" s="100" t="s">
        <v>113</v>
      </c>
      <c r="P81" s="100" t="s">
        <v>114</v>
      </c>
      <c r="Q81" s="100" t="s">
        <v>115</v>
      </c>
      <c r="R81" s="624"/>
      <c r="S81" s="625"/>
      <c r="T81" s="181">
        <v>5</v>
      </c>
      <c r="U81" s="548">
        <f>AVERAGE(T81:T83)</f>
        <v>5</v>
      </c>
      <c r="V81" s="626">
        <f>U81*K81</f>
        <v>0.25</v>
      </c>
      <c r="W81" s="10"/>
      <c r="X81" s="9"/>
      <c r="Y81" s="9"/>
      <c r="Z81" s="9"/>
      <c r="AA81" s="9"/>
      <c r="AB81" s="9"/>
      <c r="AC81" s="9"/>
      <c r="AD81" s="9"/>
      <c r="AE81" s="9"/>
      <c r="AF81" s="9"/>
      <c r="AG81" s="13"/>
    </row>
    <row r="82" spans="1:33" ht="72.75" customHeight="1">
      <c r="A82" s="9"/>
      <c r="B82" s="456"/>
      <c r="C82" s="433"/>
      <c r="D82" s="433"/>
      <c r="E82" s="440"/>
      <c r="F82" s="439"/>
      <c r="G82" s="433"/>
      <c r="H82" s="433"/>
      <c r="I82" s="440"/>
      <c r="J82" s="444"/>
      <c r="K82" s="444"/>
      <c r="L82" s="89" t="s">
        <v>15</v>
      </c>
      <c r="M82" s="109" t="s">
        <v>116</v>
      </c>
      <c r="N82" s="109" t="s">
        <v>623</v>
      </c>
      <c r="O82" s="109" t="s">
        <v>624</v>
      </c>
      <c r="P82" s="109" t="s">
        <v>625</v>
      </c>
      <c r="Q82" s="109" t="s">
        <v>626</v>
      </c>
      <c r="R82" s="444"/>
      <c r="S82" s="444"/>
      <c r="T82" s="44">
        <v>5</v>
      </c>
      <c r="U82" s="444"/>
      <c r="V82" s="492"/>
      <c r="W82" s="10"/>
      <c r="X82" s="9"/>
      <c r="Y82" s="9"/>
      <c r="Z82" s="9"/>
      <c r="AA82" s="9"/>
      <c r="AB82" s="9"/>
      <c r="AC82" s="9"/>
      <c r="AD82" s="9"/>
      <c r="AE82" s="9"/>
      <c r="AF82" s="9"/>
      <c r="AG82" s="13"/>
    </row>
    <row r="83" spans="1:33" ht="31.5" customHeight="1">
      <c r="A83" s="9"/>
      <c r="B83" s="457"/>
      <c r="C83" s="458"/>
      <c r="D83" s="458"/>
      <c r="E83" s="450"/>
      <c r="F83" s="449"/>
      <c r="G83" s="458"/>
      <c r="H83" s="458"/>
      <c r="I83" s="450"/>
      <c r="J83" s="452"/>
      <c r="K83" s="452"/>
      <c r="L83" s="104" t="s">
        <v>16</v>
      </c>
      <c r="M83" s="110"/>
      <c r="N83" s="110"/>
      <c r="O83" s="110"/>
      <c r="P83" s="110"/>
      <c r="Q83" s="110"/>
      <c r="R83" s="452"/>
      <c r="S83" s="452"/>
      <c r="T83" s="50">
        <v>5</v>
      </c>
      <c r="U83" s="452"/>
      <c r="V83" s="568"/>
      <c r="W83" s="10"/>
      <c r="X83" s="9"/>
      <c r="Y83" s="9"/>
      <c r="Z83" s="9"/>
      <c r="AA83" s="9"/>
      <c r="AB83" s="9"/>
      <c r="AC83" s="9"/>
      <c r="AD83" s="9"/>
      <c r="AE83" s="9"/>
      <c r="AF83" s="9"/>
      <c r="AG83" s="13"/>
    </row>
    <row r="84" spans="1:33" ht="64.5" customHeight="1">
      <c r="A84" s="9"/>
      <c r="B84" s="606" t="s">
        <v>121</v>
      </c>
      <c r="C84" s="454"/>
      <c r="D84" s="454"/>
      <c r="E84" s="455"/>
      <c r="F84" s="607" t="s">
        <v>122</v>
      </c>
      <c r="G84" s="454"/>
      <c r="H84" s="454"/>
      <c r="I84" s="455"/>
      <c r="J84" s="465" t="s">
        <v>93</v>
      </c>
      <c r="K84" s="463">
        <v>0.05</v>
      </c>
      <c r="L84" s="83" t="s">
        <v>14</v>
      </c>
      <c r="M84" s="100" t="s">
        <v>123</v>
      </c>
      <c r="N84" s="100" t="s">
        <v>124</v>
      </c>
      <c r="O84" s="100" t="s">
        <v>125</v>
      </c>
      <c r="P84" s="100" t="s">
        <v>126</v>
      </c>
      <c r="Q84" s="100" t="s">
        <v>127</v>
      </c>
      <c r="R84" s="624"/>
      <c r="S84" s="625"/>
      <c r="T84" s="181">
        <v>5</v>
      </c>
      <c r="U84" s="548">
        <f>AVERAGE(T84:T86)</f>
        <v>5</v>
      </c>
      <c r="V84" s="626">
        <f>U84*K84</f>
        <v>0.25</v>
      </c>
      <c r="W84" s="10"/>
      <c r="X84" s="9"/>
      <c r="Y84" s="9"/>
      <c r="Z84" s="9"/>
      <c r="AA84" s="9"/>
      <c r="AB84" s="9"/>
      <c r="AC84" s="9"/>
      <c r="AD84" s="9"/>
      <c r="AE84" s="9"/>
      <c r="AF84" s="9"/>
      <c r="AG84" s="13"/>
    </row>
    <row r="85" spans="1:33" ht="48" customHeight="1">
      <c r="A85" s="9"/>
      <c r="B85" s="456"/>
      <c r="C85" s="433"/>
      <c r="D85" s="433"/>
      <c r="E85" s="440"/>
      <c r="F85" s="439"/>
      <c r="G85" s="433"/>
      <c r="H85" s="433"/>
      <c r="I85" s="440"/>
      <c r="J85" s="444"/>
      <c r="K85" s="444"/>
      <c r="L85" s="89" t="s">
        <v>15</v>
      </c>
      <c r="M85" s="109" t="s">
        <v>128</v>
      </c>
      <c r="N85" s="109" t="s">
        <v>129</v>
      </c>
      <c r="O85" s="109" t="s">
        <v>130</v>
      </c>
      <c r="P85" s="109" t="s">
        <v>131</v>
      </c>
      <c r="Q85" s="109" t="s">
        <v>132</v>
      </c>
      <c r="R85" s="444"/>
      <c r="S85" s="444"/>
      <c r="T85" s="44">
        <v>5</v>
      </c>
      <c r="U85" s="444"/>
      <c r="V85" s="492"/>
      <c r="W85" s="10"/>
      <c r="X85" s="9"/>
      <c r="Y85" s="9"/>
      <c r="Z85" s="9"/>
      <c r="AA85" s="9"/>
      <c r="AB85" s="9"/>
      <c r="AC85" s="9"/>
      <c r="AD85" s="9"/>
      <c r="AE85" s="9"/>
      <c r="AF85" s="9"/>
      <c r="AG85" s="13"/>
    </row>
    <row r="86" spans="1:33" ht="108" customHeight="1">
      <c r="A86" s="9"/>
      <c r="B86" s="457"/>
      <c r="C86" s="458"/>
      <c r="D86" s="458"/>
      <c r="E86" s="450"/>
      <c r="F86" s="449"/>
      <c r="G86" s="458"/>
      <c r="H86" s="458"/>
      <c r="I86" s="450"/>
      <c r="J86" s="452"/>
      <c r="K86" s="452"/>
      <c r="L86" s="104" t="s">
        <v>16</v>
      </c>
      <c r="M86" s="112" t="s">
        <v>133</v>
      </c>
      <c r="N86" s="113"/>
      <c r="O86" s="112" t="s">
        <v>134</v>
      </c>
      <c r="P86" s="113"/>
      <c r="Q86" s="112" t="s">
        <v>135</v>
      </c>
      <c r="R86" s="452"/>
      <c r="S86" s="452"/>
      <c r="T86" s="50">
        <v>5</v>
      </c>
      <c r="U86" s="452"/>
      <c r="V86" s="568"/>
      <c r="W86" s="10"/>
      <c r="X86" s="9"/>
      <c r="Y86" s="9"/>
      <c r="Z86" s="9"/>
      <c r="AA86" s="9"/>
      <c r="AB86" s="9"/>
      <c r="AC86" s="9"/>
      <c r="AD86" s="9"/>
      <c r="AE86" s="9"/>
      <c r="AF86" s="9"/>
      <c r="AG86" s="13"/>
    </row>
    <row r="87" spans="1:33" ht="24.75" hidden="1" customHeight="1">
      <c r="A87" s="9"/>
      <c r="B87" s="608"/>
      <c r="C87" s="433"/>
      <c r="D87" s="433"/>
      <c r="E87" s="440"/>
      <c r="F87" s="612"/>
      <c r="G87" s="440"/>
      <c r="H87" s="613"/>
      <c r="I87" s="614"/>
      <c r="J87" s="615"/>
      <c r="K87" s="616"/>
      <c r="L87" s="114"/>
      <c r="M87" s="115"/>
      <c r="N87" s="115"/>
      <c r="O87" s="115"/>
      <c r="P87" s="115"/>
      <c r="Q87" s="115"/>
      <c r="R87" s="87"/>
      <c r="S87" s="116"/>
      <c r="T87" s="87"/>
      <c r="U87" s="627"/>
      <c r="V87" s="628"/>
      <c r="W87" s="10"/>
      <c r="X87" s="9"/>
      <c r="Y87" s="9"/>
      <c r="Z87" s="9"/>
      <c r="AA87" s="9"/>
      <c r="AB87" s="9"/>
      <c r="AC87" s="9"/>
      <c r="AD87" s="9"/>
      <c r="AE87" s="9"/>
      <c r="AF87" s="9"/>
      <c r="AG87" s="13"/>
    </row>
    <row r="88" spans="1:33" ht="24.75" hidden="1" customHeight="1">
      <c r="A88" s="9"/>
      <c r="B88" s="456"/>
      <c r="C88" s="433"/>
      <c r="D88" s="433"/>
      <c r="E88" s="440"/>
      <c r="F88" s="439"/>
      <c r="G88" s="440"/>
      <c r="H88" s="444"/>
      <c r="I88" s="444"/>
      <c r="J88" s="444"/>
      <c r="K88" s="444"/>
      <c r="L88" s="89"/>
      <c r="M88" s="45"/>
      <c r="N88" s="45"/>
      <c r="O88" s="45"/>
      <c r="P88" s="45"/>
      <c r="Q88" s="45"/>
      <c r="R88" s="90"/>
      <c r="S88" s="91"/>
      <c r="T88" s="90"/>
      <c r="U88" s="444"/>
      <c r="V88" s="492"/>
      <c r="W88" s="10"/>
      <c r="X88" s="9"/>
      <c r="Y88" s="9"/>
      <c r="Z88" s="9"/>
      <c r="AA88" s="9"/>
      <c r="AB88" s="9"/>
      <c r="AC88" s="9"/>
      <c r="AD88" s="9"/>
      <c r="AE88" s="9"/>
      <c r="AF88" s="9"/>
      <c r="AG88" s="13"/>
    </row>
    <row r="89" spans="1:33" ht="24.75" hidden="1" customHeight="1">
      <c r="A89" s="9"/>
      <c r="B89" s="456"/>
      <c r="C89" s="433"/>
      <c r="D89" s="433"/>
      <c r="E89" s="440"/>
      <c r="F89" s="441"/>
      <c r="G89" s="442"/>
      <c r="H89" s="445"/>
      <c r="I89" s="445"/>
      <c r="J89" s="445"/>
      <c r="K89" s="445"/>
      <c r="L89" s="89"/>
      <c r="M89" s="45"/>
      <c r="N89" s="45"/>
      <c r="O89" s="45"/>
      <c r="P89" s="45"/>
      <c r="Q89" s="45"/>
      <c r="R89" s="90"/>
      <c r="S89" s="91"/>
      <c r="T89" s="90"/>
      <c r="U89" s="445"/>
      <c r="V89" s="493"/>
      <c r="W89" s="10"/>
      <c r="X89" s="9"/>
      <c r="Y89" s="9"/>
      <c r="Z89" s="9"/>
      <c r="AA89" s="9"/>
      <c r="AB89" s="9"/>
      <c r="AC89" s="9"/>
      <c r="AD89" s="9"/>
      <c r="AE89" s="9"/>
      <c r="AF89" s="9"/>
      <c r="AG89" s="13"/>
    </row>
    <row r="90" spans="1:33" ht="24.75" hidden="1" customHeight="1">
      <c r="A90" s="9"/>
      <c r="B90" s="456"/>
      <c r="C90" s="433"/>
      <c r="D90" s="433"/>
      <c r="E90" s="440"/>
      <c r="F90" s="437"/>
      <c r="G90" s="438"/>
      <c r="H90" s="461"/>
      <c r="I90" s="446"/>
      <c r="J90" s="443"/>
      <c r="K90" s="447"/>
      <c r="L90" s="89"/>
      <c r="M90" s="90"/>
      <c r="N90" s="90"/>
      <c r="O90" s="90"/>
      <c r="P90" s="90"/>
      <c r="Q90" s="90"/>
      <c r="R90" s="90"/>
      <c r="S90" s="91"/>
      <c r="T90" s="90"/>
      <c r="U90" s="545"/>
      <c r="V90" s="622"/>
      <c r="W90" s="10"/>
      <c r="X90" s="9"/>
      <c r="Y90" s="9"/>
      <c r="Z90" s="9"/>
      <c r="AA90" s="9"/>
      <c r="AB90" s="9"/>
      <c r="AC90" s="9"/>
      <c r="AD90" s="9"/>
      <c r="AE90" s="9"/>
      <c r="AF90" s="9"/>
      <c r="AG90" s="13"/>
    </row>
    <row r="91" spans="1:33" ht="24.75" hidden="1" customHeight="1">
      <c r="A91" s="9"/>
      <c r="B91" s="456"/>
      <c r="C91" s="433"/>
      <c r="D91" s="433"/>
      <c r="E91" s="440"/>
      <c r="F91" s="439"/>
      <c r="G91" s="440"/>
      <c r="H91" s="444"/>
      <c r="I91" s="444"/>
      <c r="J91" s="444"/>
      <c r="K91" s="444"/>
      <c r="L91" s="89"/>
      <c r="M91" s="90"/>
      <c r="N91" s="90"/>
      <c r="O91" s="90"/>
      <c r="P91" s="90"/>
      <c r="Q91" s="90"/>
      <c r="R91" s="90"/>
      <c r="S91" s="91"/>
      <c r="T91" s="90"/>
      <c r="U91" s="444"/>
      <c r="V91" s="492"/>
      <c r="W91" s="10"/>
      <c r="X91" s="9"/>
      <c r="Y91" s="9"/>
      <c r="Z91" s="9"/>
      <c r="AA91" s="9"/>
      <c r="AB91" s="9"/>
      <c r="AC91" s="9"/>
      <c r="AD91" s="9"/>
      <c r="AE91" s="9"/>
      <c r="AF91" s="9"/>
      <c r="AG91" s="13"/>
    </row>
    <row r="92" spans="1:33" ht="24.75" hidden="1" customHeight="1">
      <c r="A92" s="9"/>
      <c r="B92" s="456"/>
      <c r="C92" s="433"/>
      <c r="D92" s="433"/>
      <c r="E92" s="440"/>
      <c r="F92" s="441"/>
      <c r="G92" s="442"/>
      <c r="H92" s="445"/>
      <c r="I92" s="445"/>
      <c r="J92" s="445"/>
      <c r="K92" s="445"/>
      <c r="L92" s="89"/>
      <c r="M92" s="90"/>
      <c r="N92" s="90"/>
      <c r="O92" s="90"/>
      <c r="P92" s="90"/>
      <c r="Q92" s="90"/>
      <c r="R92" s="90"/>
      <c r="S92" s="91"/>
      <c r="T92" s="90"/>
      <c r="U92" s="445"/>
      <c r="V92" s="493"/>
      <c r="W92" s="10"/>
      <c r="X92" s="9"/>
      <c r="Y92" s="9"/>
      <c r="Z92" s="9"/>
      <c r="AA92" s="9"/>
      <c r="AB92" s="9"/>
      <c r="AC92" s="9"/>
      <c r="AD92" s="9"/>
      <c r="AE92" s="9"/>
      <c r="AF92" s="9"/>
      <c r="AG92" s="13"/>
    </row>
    <row r="93" spans="1:33" ht="24.75" hidden="1" customHeight="1">
      <c r="A93" s="9"/>
      <c r="B93" s="456"/>
      <c r="C93" s="433"/>
      <c r="D93" s="433"/>
      <c r="E93" s="440"/>
      <c r="F93" s="437"/>
      <c r="G93" s="438"/>
      <c r="H93" s="461"/>
      <c r="I93" s="446"/>
      <c r="J93" s="443"/>
      <c r="K93" s="447"/>
      <c r="L93" s="89"/>
      <c r="M93" s="90"/>
      <c r="N93" s="90"/>
      <c r="O93" s="90"/>
      <c r="P93" s="90"/>
      <c r="Q93" s="90"/>
      <c r="R93" s="90"/>
      <c r="S93" s="91"/>
      <c r="T93" s="90"/>
      <c r="U93" s="545"/>
      <c r="V93" s="622"/>
      <c r="W93" s="10"/>
      <c r="X93" s="9"/>
      <c r="Y93" s="9"/>
      <c r="Z93" s="9"/>
      <c r="AA93" s="9"/>
      <c r="AB93" s="9"/>
      <c r="AC93" s="9"/>
      <c r="AD93" s="9"/>
      <c r="AE93" s="9"/>
      <c r="AF93" s="9"/>
      <c r="AG93" s="13"/>
    </row>
    <row r="94" spans="1:33" ht="24.75" hidden="1" customHeight="1">
      <c r="A94" s="9"/>
      <c r="B94" s="456"/>
      <c r="C94" s="433"/>
      <c r="D94" s="433"/>
      <c r="E94" s="440"/>
      <c r="F94" s="439"/>
      <c r="G94" s="440"/>
      <c r="H94" s="444"/>
      <c r="I94" s="444"/>
      <c r="J94" s="444"/>
      <c r="K94" s="444"/>
      <c r="L94" s="89"/>
      <c r="M94" s="90"/>
      <c r="N94" s="90"/>
      <c r="O94" s="90"/>
      <c r="P94" s="90"/>
      <c r="Q94" s="90"/>
      <c r="R94" s="90"/>
      <c r="S94" s="91"/>
      <c r="T94" s="90"/>
      <c r="U94" s="444"/>
      <c r="V94" s="492"/>
      <c r="W94" s="10"/>
      <c r="X94" s="9"/>
      <c r="Y94" s="9"/>
      <c r="Z94" s="9"/>
      <c r="AA94" s="9"/>
      <c r="AB94" s="9"/>
      <c r="AC94" s="9"/>
      <c r="AD94" s="9"/>
      <c r="AE94" s="9"/>
      <c r="AF94" s="9"/>
      <c r="AG94" s="13"/>
    </row>
    <row r="95" spans="1:33" ht="24.75" hidden="1" customHeight="1">
      <c r="A95" s="9"/>
      <c r="B95" s="456"/>
      <c r="C95" s="433"/>
      <c r="D95" s="433"/>
      <c r="E95" s="440"/>
      <c r="F95" s="441"/>
      <c r="G95" s="442"/>
      <c r="H95" s="445"/>
      <c r="I95" s="445"/>
      <c r="J95" s="445"/>
      <c r="K95" s="445"/>
      <c r="L95" s="92"/>
      <c r="M95" s="88"/>
      <c r="N95" s="88"/>
      <c r="O95" s="88"/>
      <c r="P95" s="88"/>
      <c r="Q95" s="88"/>
      <c r="R95" s="88"/>
      <c r="S95" s="93"/>
      <c r="T95" s="88"/>
      <c r="U95" s="444"/>
      <c r="V95" s="492"/>
      <c r="W95" s="10"/>
      <c r="X95" s="9"/>
      <c r="Y95" s="9"/>
      <c r="Z95" s="9"/>
      <c r="AA95" s="9"/>
      <c r="AB95" s="9"/>
      <c r="AC95" s="9"/>
      <c r="AD95" s="9"/>
      <c r="AE95" s="9"/>
      <c r="AF95" s="9"/>
      <c r="AG95" s="13"/>
    </row>
    <row r="96" spans="1:33" ht="24.75" hidden="1" customHeight="1">
      <c r="A96" s="9"/>
      <c r="B96" s="462"/>
      <c r="C96" s="454"/>
      <c r="D96" s="454"/>
      <c r="E96" s="455"/>
      <c r="F96" s="459"/>
      <c r="G96" s="455"/>
      <c r="H96" s="464"/>
      <c r="I96" s="463"/>
      <c r="J96" s="464"/>
      <c r="K96" s="465"/>
      <c r="L96" s="83"/>
      <c r="M96" s="85"/>
      <c r="N96" s="85"/>
      <c r="O96" s="85"/>
      <c r="P96" s="85"/>
      <c r="Q96" s="85"/>
      <c r="R96" s="85"/>
      <c r="S96" s="86"/>
      <c r="T96" s="85"/>
      <c r="U96" s="86"/>
      <c r="V96" s="117"/>
      <c r="W96" s="10"/>
      <c r="X96" s="9"/>
      <c r="Y96" s="9"/>
      <c r="Z96" s="9"/>
      <c r="AA96" s="9"/>
      <c r="AB96" s="9"/>
      <c r="AC96" s="9"/>
      <c r="AD96" s="9"/>
      <c r="AE96" s="9"/>
      <c r="AF96" s="9"/>
      <c r="AG96" s="13"/>
    </row>
    <row r="97" spans="1:33" ht="24.75" hidden="1" customHeight="1">
      <c r="A97" s="9"/>
      <c r="B97" s="456"/>
      <c r="C97" s="433"/>
      <c r="D97" s="433"/>
      <c r="E97" s="440"/>
      <c r="F97" s="439"/>
      <c r="G97" s="440"/>
      <c r="H97" s="444"/>
      <c r="I97" s="444"/>
      <c r="J97" s="444"/>
      <c r="K97" s="444"/>
      <c r="L97" s="89"/>
      <c r="M97" s="90"/>
      <c r="N97" s="90"/>
      <c r="O97" s="90"/>
      <c r="P97" s="90"/>
      <c r="Q97" s="90"/>
      <c r="R97" s="90"/>
      <c r="S97" s="91"/>
      <c r="T97" s="90"/>
      <c r="U97" s="91"/>
      <c r="V97" s="118"/>
      <c r="W97" s="10"/>
      <c r="X97" s="9"/>
      <c r="Y97" s="9"/>
      <c r="Z97" s="9"/>
      <c r="AA97" s="9"/>
      <c r="AB97" s="9"/>
      <c r="AC97" s="9"/>
      <c r="AD97" s="9"/>
      <c r="AE97" s="9"/>
      <c r="AF97" s="9"/>
      <c r="AG97" s="13"/>
    </row>
    <row r="98" spans="1:33" ht="24.75" hidden="1" customHeight="1">
      <c r="A98" s="9"/>
      <c r="B98" s="456"/>
      <c r="C98" s="433"/>
      <c r="D98" s="433"/>
      <c r="E98" s="440"/>
      <c r="F98" s="441"/>
      <c r="G98" s="442"/>
      <c r="H98" s="445"/>
      <c r="I98" s="445"/>
      <c r="J98" s="445"/>
      <c r="K98" s="445"/>
      <c r="L98" s="89"/>
      <c r="M98" s="90"/>
      <c r="N98" s="90"/>
      <c r="O98" s="90"/>
      <c r="P98" s="90"/>
      <c r="Q98" s="90"/>
      <c r="R98" s="90"/>
      <c r="S98" s="91"/>
      <c r="T98" s="90"/>
      <c r="U98" s="91"/>
      <c r="V98" s="118"/>
      <c r="W98" s="10"/>
      <c r="X98" s="9"/>
      <c r="Y98" s="9"/>
      <c r="Z98" s="9"/>
      <c r="AA98" s="9"/>
      <c r="AB98" s="9"/>
      <c r="AC98" s="9"/>
      <c r="AD98" s="9"/>
      <c r="AE98" s="9"/>
      <c r="AF98" s="9"/>
      <c r="AG98" s="13"/>
    </row>
    <row r="99" spans="1:33" ht="24.75" hidden="1" customHeight="1">
      <c r="A99" s="9"/>
      <c r="B99" s="456"/>
      <c r="C99" s="433"/>
      <c r="D99" s="433"/>
      <c r="E99" s="440"/>
      <c r="F99" s="437"/>
      <c r="G99" s="438"/>
      <c r="H99" s="443"/>
      <c r="I99" s="446"/>
      <c r="J99" s="443"/>
      <c r="K99" s="447"/>
      <c r="L99" s="89"/>
      <c r="M99" s="90"/>
      <c r="N99" s="90"/>
      <c r="O99" s="90"/>
      <c r="P99" s="90"/>
      <c r="Q99" s="90"/>
      <c r="R99" s="90"/>
      <c r="S99" s="91"/>
      <c r="T99" s="90"/>
      <c r="U99" s="91"/>
      <c r="V99" s="118"/>
      <c r="W99" s="10"/>
      <c r="X99" s="9"/>
      <c r="Y99" s="9"/>
      <c r="Z99" s="9"/>
      <c r="AA99" s="9"/>
      <c r="AB99" s="9"/>
      <c r="AC99" s="9"/>
      <c r="AD99" s="9"/>
      <c r="AE99" s="9"/>
      <c r="AF99" s="9"/>
      <c r="AG99" s="13"/>
    </row>
    <row r="100" spans="1:33" ht="24.75" hidden="1" customHeight="1">
      <c r="A100" s="9"/>
      <c r="B100" s="456"/>
      <c r="C100" s="433"/>
      <c r="D100" s="433"/>
      <c r="E100" s="440"/>
      <c r="F100" s="439"/>
      <c r="G100" s="440"/>
      <c r="H100" s="444"/>
      <c r="I100" s="444"/>
      <c r="J100" s="444"/>
      <c r="K100" s="444"/>
      <c r="L100" s="89"/>
      <c r="M100" s="90"/>
      <c r="N100" s="90"/>
      <c r="O100" s="90"/>
      <c r="P100" s="90"/>
      <c r="Q100" s="90"/>
      <c r="R100" s="90"/>
      <c r="S100" s="91"/>
      <c r="T100" s="90"/>
      <c r="U100" s="91"/>
      <c r="V100" s="118"/>
      <c r="W100" s="10"/>
      <c r="X100" s="9"/>
      <c r="Y100" s="9"/>
      <c r="Z100" s="9"/>
      <c r="AA100" s="9"/>
      <c r="AB100" s="9"/>
      <c r="AC100" s="9"/>
      <c r="AD100" s="9"/>
      <c r="AE100" s="9"/>
      <c r="AF100" s="9"/>
      <c r="AG100" s="13"/>
    </row>
    <row r="101" spans="1:33" ht="24.75" hidden="1" customHeight="1">
      <c r="A101" s="9"/>
      <c r="B101" s="456"/>
      <c r="C101" s="433"/>
      <c r="D101" s="433"/>
      <c r="E101" s="440"/>
      <c r="F101" s="441"/>
      <c r="G101" s="442"/>
      <c r="H101" s="445"/>
      <c r="I101" s="445"/>
      <c r="J101" s="445"/>
      <c r="K101" s="445"/>
      <c r="L101" s="89"/>
      <c r="M101" s="90"/>
      <c r="N101" s="90"/>
      <c r="O101" s="90"/>
      <c r="P101" s="90"/>
      <c r="Q101" s="90"/>
      <c r="R101" s="90"/>
      <c r="S101" s="91"/>
      <c r="T101" s="90"/>
      <c r="U101" s="91"/>
      <c r="V101" s="118"/>
      <c r="W101" s="10"/>
      <c r="X101" s="9"/>
      <c r="Y101" s="9"/>
      <c r="Z101" s="9"/>
      <c r="AA101" s="9"/>
      <c r="AB101" s="9"/>
      <c r="AC101" s="9"/>
      <c r="AD101" s="9"/>
      <c r="AE101" s="9"/>
      <c r="AF101" s="9"/>
      <c r="AG101" s="13"/>
    </row>
    <row r="102" spans="1:33" ht="24.75" hidden="1" customHeight="1">
      <c r="A102" s="9"/>
      <c r="B102" s="456"/>
      <c r="C102" s="433"/>
      <c r="D102" s="433"/>
      <c r="E102" s="440"/>
      <c r="F102" s="437"/>
      <c r="G102" s="438"/>
      <c r="H102" s="443"/>
      <c r="I102" s="446"/>
      <c r="J102" s="443"/>
      <c r="K102" s="447"/>
      <c r="L102" s="89"/>
      <c r="M102" s="90"/>
      <c r="N102" s="90"/>
      <c r="O102" s="90"/>
      <c r="P102" s="90"/>
      <c r="Q102" s="90"/>
      <c r="R102" s="90"/>
      <c r="S102" s="91"/>
      <c r="T102" s="90"/>
      <c r="U102" s="91"/>
      <c r="V102" s="118"/>
      <c r="W102" s="10"/>
      <c r="X102" s="9"/>
      <c r="Y102" s="9"/>
      <c r="Z102" s="9"/>
      <c r="AA102" s="9"/>
      <c r="AB102" s="9"/>
      <c r="AC102" s="9"/>
      <c r="AD102" s="9"/>
      <c r="AE102" s="9"/>
      <c r="AF102" s="9"/>
      <c r="AG102" s="13"/>
    </row>
    <row r="103" spans="1:33" ht="24.75" hidden="1" customHeight="1">
      <c r="A103" s="9"/>
      <c r="B103" s="456"/>
      <c r="C103" s="433"/>
      <c r="D103" s="433"/>
      <c r="E103" s="440"/>
      <c r="F103" s="439"/>
      <c r="G103" s="440"/>
      <c r="H103" s="444"/>
      <c r="I103" s="444"/>
      <c r="J103" s="444"/>
      <c r="K103" s="444"/>
      <c r="L103" s="89"/>
      <c r="M103" s="90"/>
      <c r="N103" s="90"/>
      <c r="O103" s="90"/>
      <c r="P103" s="90"/>
      <c r="Q103" s="90"/>
      <c r="R103" s="90"/>
      <c r="S103" s="91"/>
      <c r="T103" s="90"/>
      <c r="U103" s="91"/>
      <c r="V103" s="118"/>
      <c r="W103" s="10"/>
      <c r="X103" s="9"/>
      <c r="Y103" s="9"/>
      <c r="Z103" s="9"/>
      <c r="AA103" s="9"/>
      <c r="AB103" s="9"/>
      <c r="AC103" s="9"/>
      <c r="AD103" s="9"/>
      <c r="AE103" s="9"/>
      <c r="AF103" s="9"/>
      <c r="AG103" s="13"/>
    </row>
    <row r="104" spans="1:33" ht="24.75" hidden="1" customHeight="1">
      <c r="A104" s="9"/>
      <c r="B104" s="605"/>
      <c r="C104" s="603"/>
      <c r="D104" s="603"/>
      <c r="E104" s="442"/>
      <c r="F104" s="441"/>
      <c r="G104" s="442"/>
      <c r="H104" s="445"/>
      <c r="I104" s="445"/>
      <c r="J104" s="445"/>
      <c r="K104" s="445"/>
      <c r="L104" s="92"/>
      <c r="M104" s="88"/>
      <c r="N104" s="88"/>
      <c r="O104" s="88"/>
      <c r="P104" s="88"/>
      <c r="Q104" s="88"/>
      <c r="R104" s="88"/>
      <c r="S104" s="93"/>
      <c r="T104" s="88"/>
      <c r="U104" s="93"/>
      <c r="V104" s="119"/>
      <c r="W104" s="10"/>
      <c r="X104" s="9"/>
      <c r="Y104" s="9"/>
      <c r="Z104" s="9"/>
      <c r="AA104" s="9"/>
      <c r="AB104" s="9"/>
      <c r="AC104" s="9"/>
      <c r="AD104" s="9"/>
      <c r="AE104" s="9"/>
      <c r="AF104" s="9"/>
      <c r="AG104" s="13"/>
    </row>
    <row r="105" spans="1:33" ht="27" customHeight="1">
      <c r="A105" s="9"/>
      <c r="B105" s="496" t="s">
        <v>136</v>
      </c>
      <c r="C105" s="497"/>
      <c r="D105" s="497"/>
      <c r="E105" s="497"/>
      <c r="F105" s="497"/>
      <c r="G105" s="497"/>
      <c r="H105" s="497"/>
      <c r="I105" s="497"/>
      <c r="J105" s="497"/>
      <c r="K105" s="497"/>
      <c r="L105" s="497"/>
      <c r="M105" s="497"/>
      <c r="N105" s="497"/>
      <c r="O105" s="497"/>
      <c r="P105" s="497"/>
      <c r="Q105" s="497"/>
      <c r="R105" s="497"/>
      <c r="S105" s="497"/>
      <c r="T105" s="497"/>
      <c r="U105" s="498"/>
      <c r="V105" s="120" t="e">
        <f>SUM(V78:V86)</f>
        <v>#DIV/0!</v>
      </c>
      <c r="W105" s="10"/>
      <c r="X105" s="9"/>
      <c r="Y105" s="9"/>
      <c r="Z105" s="9"/>
      <c r="AA105" s="9"/>
      <c r="AB105" s="9"/>
      <c r="AC105" s="9"/>
      <c r="AD105" s="9"/>
      <c r="AE105" s="9"/>
      <c r="AF105" s="9"/>
      <c r="AG105" s="13"/>
    </row>
    <row r="106" spans="1:33" ht="15" customHeight="1">
      <c r="A106" s="9"/>
      <c r="B106" s="121"/>
      <c r="C106" s="121"/>
      <c r="D106" s="121"/>
      <c r="E106" s="122"/>
      <c r="F106" s="122"/>
      <c r="G106" s="15"/>
      <c r="H106" s="123"/>
      <c r="I106" s="124"/>
      <c r="J106" s="124"/>
      <c r="K106" s="124"/>
      <c r="L106" s="124"/>
      <c r="M106" s="125"/>
      <c r="N106" s="125"/>
      <c r="O106" s="121"/>
      <c r="P106" s="121"/>
      <c r="Q106" s="121"/>
      <c r="R106" s="121"/>
      <c r="S106" s="121"/>
      <c r="T106" s="126"/>
      <c r="U106" s="126"/>
      <c r="V106" s="126"/>
      <c r="W106" s="10"/>
      <c r="X106" s="9"/>
      <c r="Y106" s="9"/>
      <c r="Z106" s="9"/>
      <c r="AA106" s="9"/>
      <c r="AB106" s="9"/>
      <c r="AC106" s="9"/>
      <c r="AD106" s="9"/>
      <c r="AE106" s="9"/>
      <c r="AF106" s="9"/>
      <c r="AG106" s="11"/>
    </row>
    <row r="107" spans="1:33" ht="18" customHeight="1">
      <c r="A107" s="9"/>
      <c r="B107" s="125"/>
      <c r="C107" s="125"/>
      <c r="D107" s="125"/>
      <c r="E107" s="127"/>
      <c r="F107" s="127"/>
      <c r="G107" s="15"/>
      <c r="H107" s="15"/>
      <c r="I107" s="128"/>
      <c r="J107" s="128"/>
      <c r="K107" s="128"/>
      <c r="L107" s="128"/>
      <c r="M107" s="125"/>
      <c r="N107" s="125"/>
      <c r="O107" s="125"/>
      <c r="P107" s="125"/>
      <c r="Q107" s="125"/>
      <c r="R107" s="125"/>
      <c r="S107" s="125"/>
      <c r="T107" s="11"/>
      <c r="U107" s="10"/>
      <c r="V107" s="10"/>
      <c r="W107" s="10"/>
      <c r="X107" s="9"/>
      <c r="Y107" s="9"/>
      <c r="Z107" s="9"/>
      <c r="AA107" s="9"/>
      <c r="AB107" s="9"/>
      <c r="AC107" s="9"/>
      <c r="AD107" s="9"/>
      <c r="AE107" s="9"/>
      <c r="AF107" s="9"/>
      <c r="AG107" s="11"/>
    </row>
    <row r="108" spans="1:33" ht="16.5" customHeight="1">
      <c r="A108" s="9"/>
      <c r="B108" s="125"/>
      <c r="C108" s="125"/>
      <c r="D108" s="125"/>
      <c r="E108" s="127"/>
      <c r="F108" s="127"/>
      <c r="G108" s="15"/>
      <c r="H108" s="15"/>
      <c r="I108" s="128"/>
      <c r="J108" s="128"/>
      <c r="K108" s="128"/>
      <c r="U108" s="10"/>
      <c r="V108" s="10"/>
      <c r="W108" s="10"/>
      <c r="X108" s="9"/>
      <c r="Y108" s="9"/>
      <c r="Z108" s="9"/>
      <c r="AA108" s="9"/>
      <c r="AB108" s="9"/>
      <c r="AC108" s="9"/>
      <c r="AD108" s="9"/>
      <c r="AE108" s="9"/>
      <c r="AF108" s="9"/>
      <c r="AG108" s="11"/>
    </row>
    <row r="109" spans="1:33" ht="15.75" customHeight="1">
      <c r="A109" s="9"/>
      <c r="B109" s="125"/>
      <c r="C109" s="125"/>
      <c r="D109" s="125"/>
      <c r="E109" s="127"/>
      <c r="F109" s="127"/>
      <c r="G109" s="15"/>
      <c r="H109" s="125"/>
      <c r="I109" s="128"/>
      <c r="J109" s="128"/>
      <c r="K109" s="128"/>
      <c r="U109" s="10"/>
      <c r="V109" s="10"/>
      <c r="W109" s="10"/>
      <c r="X109" s="9"/>
      <c r="Y109" s="9"/>
      <c r="Z109" s="9"/>
      <c r="AA109" s="9"/>
      <c r="AB109" s="9"/>
      <c r="AC109" s="9"/>
      <c r="AD109" s="9"/>
      <c r="AE109" s="9"/>
      <c r="AF109" s="9"/>
      <c r="AG109" s="11"/>
    </row>
    <row r="110" spans="1:33" ht="13.5" customHeight="1">
      <c r="A110" s="9"/>
      <c r="B110" s="125"/>
      <c r="C110" s="125"/>
      <c r="D110" s="601"/>
      <c r="E110" s="602"/>
      <c r="F110" s="438"/>
      <c r="G110" s="125"/>
      <c r="H110" s="125"/>
      <c r="I110" s="609"/>
      <c r="J110" s="602"/>
      <c r="K110" s="602"/>
      <c r="L110" s="438"/>
      <c r="N110" s="609"/>
      <c r="O110" s="438"/>
      <c r="P110" s="129"/>
      <c r="U110" s="10"/>
      <c r="V110" s="10"/>
      <c r="W110" s="10"/>
      <c r="X110" s="9"/>
      <c r="Y110" s="9"/>
      <c r="Z110" s="9"/>
      <c r="AA110" s="9"/>
      <c r="AB110" s="9"/>
      <c r="AC110" s="9"/>
      <c r="AD110" s="9"/>
      <c r="AE110" s="9"/>
      <c r="AF110" s="9"/>
      <c r="AG110" s="11"/>
    </row>
    <row r="111" spans="1:33" ht="13.5" customHeight="1">
      <c r="A111" s="9"/>
      <c r="B111" s="125"/>
      <c r="C111" s="125"/>
      <c r="D111" s="441"/>
      <c r="E111" s="603"/>
      <c r="F111" s="442"/>
      <c r="G111" s="125"/>
      <c r="H111" s="125"/>
      <c r="I111" s="441"/>
      <c r="J111" s="603"/>
      <c r="K111" s="603"/>
      <c r="L111" s="442"/>
      <c r="N111" s="441"/>
      <c r="O111" s="442"/>
      <c r="P111" s="129"/>
      <c r="U111" s="10"/>
      <c r="V111" s="10"/>
      <c r="W111" s="10"/>
      <c r="X111" s="9"/>
      <c r="Y111" s="9"/>
      <c r="Z111" s="9"/>
      <c r="AA111" s="9"/>
      <c r="AB111" s="9"/>
      <c r="AC111" s="9"/>
      <c r="AD111" s="9"/>
      <c r="AE111" s="9"/>
      <c r="AF111" s="9"/>
      <c r="AG111" s="11"/>
    </row>
    <row r="112" spans="1:33" ht="13.5" customHeight="1">
      <c r="A112" s="9"/>
      <c r="B112" s="125"/>
      <c r="C112" s="125"/>
      <c r="D112" s="604" t="s">
        <v>137</v>
      </c>
      <c r="E112" s="411"/>
      <c r="F112" s="406"/>
      <c r="G112" s="125"/>
      <c r="H112" s="125"/>
      <c r="I112" s="610" t="s">
        <v>138</v>
      </c>
      <c r="J112" s="411"/>
      <c r="K112" s="411"/>
      <c r="L112" s="406"/>
      <c r="M112" s="125"/>
      <c r="N112" s="610" t="s">
        <v>139</v>
      </c>
      <c r="O112" s="406"/>
      <c r="P112" s="129"/>
      <c r="R112" s="125"/>
      <c r="S112" s="125"/>
      <c r="T112" s="125"/>
      <c r="U112" s="10"/>
      <c r="V112" s="10"/>
      <c r="W112" s="10"/>
      <c r="X112" s="9"/>
      <c r="Y112" s="9"/>
      <c r="Z112" s="9"/>
      <c r="AA112" s="9"/>
      <c r="AB112" s="9"/>
      <c r="AC112" s="9"/>
      <c r="AD112" s="9"/>
      <c r="AE112" s="9"/>
      <c r="AF112" s="9"/>
      <c r="AG112" s="11"/>
    </row>
    <row r="113" spans="1:33" ht="13.5" customHeight="1">
      <c r="A113" s="9"/>
      <c r="B113" s="125"/>
      <c r="C113" s="125"/>
      <c r="D113" s="130"/>
      <c r="E113" s="125"/>
      <c r="F113" s="125"/>
      <c r="G113" s="125"/>
      <c r="H113" s="125"/>
      <c r="I113" s="125"/>
      <c r="J113" s="125"/>
      <c r="K113" s="125"/>
      <c r="L113" s="125"/>
      <c r="M113" s="125"/>
      <c r="N113" s="125"/>
      <c r="R113" s="125"/>
      <c r="S113" s="125"/>
      <c r="T113" s="125"/>
      <c r="U113" s="125"/>
      <c r="V113" s="125"/>
      <c r="W113" s="10"/>
      <c r="X113" s="9"/>
      <c r="Y113" s="9"/>
      <c r="Z113" s="9"/>
      <c r="AA113" s="9"/>
      <c r="AB113" s="9"/>
      <c r="AC113" s="9"/>
      <c r="AD113" s="9"/>
      <c r="AE113" s="9"/>
      <c r="AF113" s="9"/>
      <c r="AG113" s="11"/>
    </row>
    <row r="114" spans="1:33" ht="13.5" customHeight="1">
      <c r="A114" s="9"/>
      <c r="B114" s="125"/>
      <c r="C114" s="125"/>
      <c r="D114" s="125"/>
      <c r="E114" s="125"/>
      <c r="F114" s="125"/>
      <c r="G114" s="131"/>
      <c r="H114" s="125"/>
      <c r="I114" s="130"/>
      <c r="J114" s="130"/>
      <c r="K114" s="130"/>
      <c r="L114" s="130"/>
      <c r="M114" s="125"/>
      <c r="N114" s="125"/>
      <c r="O114" s="125"/>
      <c r="P114" s="125"/>
      <c r="Q114" s="125"/>
      <c r="R114" s="125"/>
      <c r="S114" s="125"/>
      <c r="T114" s="125"/>
      <c r="U114" s="125"/>
      <c r="V114" s="125"/>
      <c r="W114" s="10"/>
      <c r="X114" s="9"/>
      <c r="Y114" s="9"/>
      <c r="Z114" s="9"/>
      <c r="AA114" s="9"/>
      <c r="AB114" s="9"/>
      <c r="AC114" s="9"/>
      <c r="AD114" s="9"/>
      <c r="AE114" s="9"/>
      <c r="AF114" s="9"/>
      <c r="AG114" s="11"/>
    </row>
    <row r="115" spans="1:33" ht="13.5" customHeight="1">
      <c r="A115" s="9"/>
      <c r="B115" s="125"/>
      <c r="C115" s="125"/>
      <c r="D115" s="125"/>
      <c r="E115" s="125"/>
      <c r="F115" s="125"/>
      <c r="G115" s="131"/>
      <c r="H115" s="125"/>
      <c r="I115" s="130"/>
      <c r="J115" s="130"/>
      <c r="K115" s="130"/>
      <c r="L115" s="130"/>
      <c r="M115" s="125"/>
      <c r="N115" s="125"/>
      <c r="O115" s="125"/>
      <c r="P115" s="125"/>
      <c r="Q115" s="125"/>
      <c r="R115" s="125"/>
      <c r="S115" s="125"/>
      <c r="T115" s="125"/>
      <c r="U115" s="125"/>
      <c r="V115" s="125"/>
      <c r="W115" s="10"/>
      <c r="X115" s="9"/>
      <c r="Y115" s="9"/>
      <c r="Z115" s="9"/>
      <c r="AA115" s="9"/>
      <c r="AB115" s="9"/>
      <c r="AC115" s="9"/>
      <c r="AD115" s="9"/>
      <c r="AE115" s="9"/>
      <c r="AF115" s="9"/>
      <c r="AG115" s="11"/>
    </row>
    <row r="116" spans="1:33" ht="13.5" customHeight="1">
      <c r="A116" s="9"/>
      <c r="B116" s="125"/>
      <c r="C116" s="125"/>
      <c r="D116" s="125"/>
      <c r="E116" s="125"/>
      <c r="F116" s="125"/>
      <c r="G116" s="131"/>
      <c r="H116" s="125"/>
      <c r="I116" s="130"/>
      <c r="J116" s="130"/>
      <c r="K116" s="130"/>
      <c r="L116" s="130"/>
      <c r="M116" s="125"/>
      <c r="N116" s="125"/>
      <c r="O116" s="125"/>
      <c r="P116" s="125"/>
      <c r="Q116" s="125"/>
      <c r="R116" s="125"/>
      <c r="S116" s="125"/>
      <c r="T116" s="125"/>
      <c r="U116" s="125"/>
      <c r="V116" s="125"/>
      <c r="W116" s="10"/>
      <c r="X116" s="9"/>
      <c r="Y116" s="9"/>
      <c r="Z116" s="9"/>
      <c r="AA116" s="9"/>
      <c r="AB116" s="9"/>
      <c r="AC116" s="9"/>
      <c r="AD116" s="9"/>
      <c r="AE116" s="9"/>
      <c r="AF116" s="9"/>
      <c r="AG116" s="11"/>
    </row>
    <row r="117" spans="1:33" ht="13.5" customHeight="1">
      <c r="A117" s="9"/>
      <c r="B117" s="125"/>
      <c r="C117" s="125"/>
      <c r="D117" s="125"/>
      <c r="E117" s="125"/>
      <c r="F117" s="125"/>
      <c r="G117" s="131"/>
      <c r="H117" s="125"/>
      <c r="I117" s="130"/>
      <c r="J117" s="130"/>
      <c r="K117" s="130"/>
      <c r="L117" s="130"/>
      <c r="M117" s="125"/>
      <c r="N117" s="125"/>
      <c r="O117" s="125"/>
      <c r="P117" s="125"/>
      <c r="Q117" s="125"/>
      <c r="R117" s="125"/>
      <c r="S117" s="125"/>
      <c r="T117" s="125"/>
      <c r="U117" s="125"/>
      <c r="V117" s="125"/>
      <c r="W117" s="10"/>
      <c r="X117" s="9"/>
      <c r="Y117" s="9"/>
      <c r="Z117" s="9"/>
      <c r="AA117" s="9"/>
      <c r="AB117" s="9"/>
      <c r="AC117" s="9"/>
      <c r="AD117" s="9"/>
      <c r="AE117" s="9"/>
      <c r="AF117" s="9"/>
      <c r="AG117" s="11"/>
    </row>
    <row r="118" spans="1:33" ht="13.5" customHeight="1">
      <c r="A118" s="9"/>
      <c r="B118" s="125"/>
      <c r="C118" s="125"/>
      <c r="D118" s="125"/>
      <c r="E118" s="125"/>
      <c r="F118" s="125"/>
      <c r="G118" s="131"/>
      <c r="H118" s="125"/>
      <c r="I118" s="130"/>
      <c r="J118" s="130"/>
      <c r="K118" s="130"/>
      <c r="L118" s="130"/>
      <c r="M118" s="125"/>
      <c r="N118" s="125"/>
      <c r="O118" s="125"/>
      <c r="P118" s="125"/>
      <c r="Q118" s="125"/>
      <c r="R118" s="125"/>
      <c r="S118" s="125"/>
      <c r="T118" s="125"/>
      <c r="U118" s="125"/>
      <c r="V118" s="125"/>
      <c r="W118" s="10"/>
      <c r="X118" s="9"/>
      <c r="Y118" s="9"/>
      <c r="Z118" s="9"/>
      <c r="AA118" s="9"/>
      <c r="AB118" s="9"/>
      <c r="AC118" s="9"/>
      <c r="AD118" s="9"/>
      <c r="AE118" s="9"/>
      <c r="AF118" s="9"/>
      <c r="AG118" s="11"/>
    </row>
    <row r="119" spans="1:33" ht="13.5" customHeight="1">
      <c r="A119" s="9"/>
      <c r="B119" s="125"/>
      <c r="C119" s="125"/>
      <c r="D119" s="125"/>
      <c r="E119" s="125"/>
      <c r="F119" s="125"/>
      <c r="G119" s="131"/>
      <c r="H119" s="125"/>
      <c r="I119" s="130"/>
      <c r="J119" s="130"/>
      <c r="K119" s="130"/>
      <c r="L119" s="130"/>
      <c r="M119" s="125"/>
      <c r="N119" s="125"/>
      <c r="O119" s="125"/>
      <c r="P119" s="125"/>
      <c r="Q119" s="125"/>
      <c r="R119" s="125"/>
      <c r="S119" s="125"/>
      <c r="T119" s="125"/>
      <c r="U119" s="125"/>
      <c r="V119" s="125"/>
      <c r="W119" s="10"/>
      <c r="X119" s="9"/>
      <c r="Y119" s="9"/>
      <c r="Z119" s="9"/>
      <c r="AA119" s="9"/>
      <c r="AB119" s="9"/>
      <c r="AC119" s="9"/>
      <c r="AD119" s="9"/>
      <c r="AE119" s="9"/>
      <c r="AF119" s="9"/>
      <c r="AG119" s="11"/>
    </row>
    <row r="120" spans="1:33" ht="13.5" customHeight="1">
      <c r="A120" s="9"/>
      <c r="B120" s="125"/>
      <c r="C120" s="125"/>
      <c r="D120" s="125"/>
      <c r="E120" s="125"/>
      <c r="F120" s="125"/>
      <c r="G120" s="131"/>
      <c r="H120" s="125"/>
      <c r="I120" s="130"/>
      <c r="J120" s="130"/>
      <c r="K120" s="130"/>
      <c r="L120" s="130"/>
      <c r="M120" s="125"/>
      <c r="N120" s="125"/>
      <c r="O120" s="125"/>
      <c r="P120" s="125"/>
      <c r="Q120" s="125"/>
      <c r="R120" s="125"/>
      <c r="S120" s="125"/>
      <c r="T120" s="125"/>
      <c r="U120" s="125"/>
      <c r="V120" s="125"/>
      <c r="W120" s="10"/>
      <c r="X120" s="9"/>
      <c r="Y120" s="9"/>
      <c r="Z120" s="9"/>
      <c r="AA120" s="9"/>
      <c r="AB120" s="9"/>
      <c r="AC120" s="9"/>
      <c r="AD120" s="9"/>
      <c r="AE120" s="9"/>
      <c r="AF120" s="9"/>
      <c r="AG120" s="11"/>
    </row>
    <row r="121" spans="1:33" ht="13.5" customHeight="1">
      <c r="A121" s="9"/>
      <c r="B121" s="125"/>
      <c r="C121" s="125"/>
      <c r="D121" s="125"/>
      <c r="E121" s="125"/>
      <c r="F121" s="125"/>
      <c r="G121" s="131"/>
      <c r="H121" s="125"/>
      <c r="I121" s="130"/>
      <c r="J121" s="130"/>
      <c r="K121" s="130"/>
      <c r="L121" s="130"/>
      <c r="M121" s="125"/>
      <c r="N121" s="125"/>
      <c r="O121" s="125"/>
      <c r="P121" s="125"/>
      <c r="Q121" s="125"/>
      <c r="R121" s="125"/>
      <c r="S121" s="125"/>
      <c r="T121" s="125"/>
      <c r="U121" s="125"/>
      <c r="V121" s="125"/>
      <c r="W121" s="10"/>
      <c r="X121" s="9"/>
      <c r="Y121" s="9"/>
      <c r="Z121" s="9"/>
      <c r="AA121" s="9"/>
      <c r="AB121" s="9"/>
      <c r="AC121" s="9"/>
      <c r="AD121" s="9"/>
      <c r="AE121" s="9"/>
      <c r="AF121" s="9"/>
      <c r="AG121" s="11"/>
    </row>
    <row r="122" spans="1:33" ht="13.5" customHeight="1">
      <c r="A122" s="9"/>
      <c r="B122" s="125"/>
      <c r="C122" s="125"/>
      <c r="D122" s="125"/>
      <c r="E122" s="125"/>
      <c r="F122" s="125"/>
      <c r="G122" s="131"/>
      <c r="H122" s="125"/>
      <c r="I122" s="130"/>
      <c r="J122" s="130"/>
      <c r="K122" s="130"/>
      <c r="L122" s="130"/>
      <c r="M122" s="125"/>
      <c r="N122" s="125"/>
      <c r="O122" s="125"/>
      <c r="P122" s="125"/>
      <c r="Q122" s="125"/>
      <c r="R122" s="125"/>
      <c r="S122" s="125"/>
      <c r="T122" s="125"/>
      <c r="U122" s="125"/>
      <c r="V122" s="125"/>
      <c r="W122" s="10"/>
      <c r="X122" s="9"/>
      <c r="Y122" s="9"/>
      <c r="Z122" s="9"/>
      <c r="AA122" s="9"/>
      <c r="AB122" s="9"/>
      <c r="AC122" s="9"/>
      <c r="AD122" s="9"/>
      <c r="AE122" s="9"/>
      <c r="AF122" s="9"/>
      <c r="AG122" s="11"/>
    </row>
    <row r="123" spans="1:33" ht="13.5" customHeight="1">
      <c r="A123" s="9"/>
      <c r="B123" s="125"/>
      <c r="C123" s="125"/>
      <c r="D123" s="125"/>
      <c r="E123" s="125"/>
      <c r="F123" s="125"/>
      <c r="G123" s="131"/>
      <c r="H123" s="125"/>
      <c r="I123" s="130"/>
      <c r="J123" s="130"/>
      <c r="K123" s="130"/>
      <c r="L123" s="130"/>
      <c r="M123" s="125"/>
      <c r="N123" s="125"/>
      <c r="O123" s="125"/>
      <c r="P123" s="125"/>
      <c r="Q123" s="125"/>
      <c r="R123" s="125"/>
      <c r="S123" s="125"/>
      <c r="T123" s="125"/>
      <c r="U123" s="125"/>
      <c r="V123" s="125"/>
      <c r="W123" s="10"/>
      <c r="X123" s="9"/>
      <c r="Y123" s="9"/>
      <c r="Z123" s="9"/>
      <c r="AA123" s="9"/>
      <c r="AB123" s="9"/>
      <c r="AC123" s="9"/>
      <c r="AD123" s="9"/>
      <c r="AE123" s="9"/>
      <c r="AF123" s="9"/>
      <c r="AG123" s="11"/>
    </row>
    <row r="124" spans="1:33" ht="13.5" customHeight="1">
      <c r="A124" s="9"/>
      <c r="B124" s="125"/>
      <c r="C124" s="125"/>
      <c r="D124" s="125"/>
      <c r="E124" s="125"/>
      <c r="F124" s="125"/>
      <c r="G124" s="131"/>
      <c r="H124" s="125"/>
      <c r="I124" s="130"/>
      <c r="J124" s="130"/>
      <c r="K124" s="130"/>
      <c r="L124" s="130"/>
      <c r="M124" s="125"/>
      <c r="N124" s="125"/>
      <c r="O124" s="125"/>
      <c r="P124" s="125"/>
      <c r="Q124" s="125"/>
      <c r="R124" s="125"/>
      <c r="S124" s="125"/>
      <c r="T124" s="125"/>
      <c r="U124" s="125"/>
      <c r="V124" s="125"/>
      <c r="W124" s="10"/>
      <c r="X124" s="9"/>
      <c r="Y124" s="9"/>
      <c r="Z124" s="9"/>
      <c r="AA124" s="9"/>
      <c r="AB124" s="9"/>
      <c r="AC124" s="9"/>
      <c r="AD124" s="9"/>
      <c r="AE124" s="9"/>
      <c r="AF124" s="9"/>
      <c r="AG124" s="11"/>
    </row>
    <row r="125" spans="1:33" ht="13.5" customHeight="1">
      <c r="A125" s="9"/>
      <c r="B125" s="125"/>
      <c r="C125" s="125"/>
      <c r="D125" s="125"/>
      <c r="E125" s="125"/>
      <c r="F125" s="125"/>
      <c r="G125" s="131"/>
      <c r="H125" s="125"/>
      <c r="I125" s="130"/>
      <c r="J125" s="130"/>
      <c r="K125" s="130"/>
      <c r="L125" s="130"/>
      <c r="M125" s="125"/>
      <c r="N125" s="125"/>
      <c r="O125" s="125"/>
      <c r="P125" s="125"/>
      <c r="Q125" s="125"/>
      <c r="R125" s="125"/>
      <c r="S125" s="125"/>
      <c r="T125" s="125"/>
      <c r="U125" s="125"/>
      <c r="V125" s="125"/>
      <c r="W125" s="10"/>
      <c r="X125" s="9"/>
      <c r="Y125" s="9"/>
      <c r="Z125" s="9"/>
      <c r="AA125" s="9"/>
      <c r="AB125" s="9"/>
      <c r="AC125" s="9"/>
      <c r="AD125" s="9"/>
      <c r="AE125" s="9"/>
      <c r="AF125" s="9"/>
      <c r="AG125" s="11"/>
    </row>
    <row r="126" spans="1:33" ht="13.5" customHeight="1">
      <c r="A126" s="9"/>
      <c r="B126" s="125"/>
      <c r="C126" s="125"/>
      <c r="D126" s="125"/>
      <c r="E126" s="125"/>
      <c r="F126" s="125"/>
      <c r="G126" s="131"/>
      <c r="H126" s="125"/>
      <c r="I126" s="130"/>
      <c r="J126" s="130"/>
      <c r="K126" s="130"/>
      <c r="L126" s="130"/>
      <c r="M126" s="125"/>
      <c r="N126" s="125"/>
      <c r="O126" s="125"/>
      <c r="P126" s="125"/>
      <c r="Q126" s="125"/>
      <c r="R126" s="125"/>
      <c r="S126" s="125"/>
      <c r="T126" s="125"/>
      <c r="U126" s="125"/>
      <c r="V126" s="125"/>
      <c r="W126" s="10"/>
      <c r="X126" s="9"/>
      <c r="Y126" s="9"/>
      <c r="Z126" s="9"/>
      <c r="AA126" s="9"/>
      <c r="AB126" s="9"/>
      <c r="AC126" s="9"/>
      <c r="AD126" s="9"/>
      <c r="AE126" s="9"/>
      <c r="AF126" s="9"/>
      <c r="AG126" s="11"/>
    </row>
    <row r="127" spans="1:33" ht="13.5" customHeight="1">
      <c r="A127" s="9"/>
      <c r="B127" s="125"/>
      <c r="C127" s="125"/>
      <c r="D127" s="125"/>
      <c r="E127" s="125"/>
      <c r="F127" s="125"/>
      <c r="G127" s="131"/>
      <c r="H127" s="125"/>
      <c r="I127" s="130"/>
      <c r="J127" s="130"/>
      <c r="K127" s="130"/>
      <c r="L127" s="130"/>
      <c r="M127" s="125"/>
      <c r="N127" s="125"/>
      <c r="O127" s="125"/>
      <c r="P127" s="125"/>
      <c r="Q127" s="125"/>
      <c r="R127" s="125"/>
      <c r="S127" s="125"/>
      <c r="T127" s="125"/>
      <c r="U127" s="125"/>
      <c r="V127" s="125"/>
      <c r="W127" s="10"/>
      <c r="X127" s="9"/>
      <c r="Y127" s="9"/>
      <c r="Z127" s="9"/>
      <c r="AA127" s="9"/>
      <c r="AB127" s="9"/>
      <c r="AC127" s="9"/>
      <c r="AD127" s="9"/>
      <c r="AE127" s="9"/>
      <c r="AF127" s="9"/>
      <c r="AG127" s="11"/>
    </row>
    <row r="128" spans="1:33" ht="13.5" customHeight="1">
      <c r="A128" s="9"/>
      <c r="B128" s="125"/>
      <c r="C128" s="125"/>
      <c r="D128" s="125"/>
      <c r="E128" s="125"/>
      <c r="F128" s="125"/>
      <c r="G128" s="131"/>
      <c r="H128" s="125"/>
      <c r="I128" s="130"/>
      <c r="J128" s="130"/>
      <c r="K128" s="130"/>
      <c r="L128" s="130"/>
      <c r="M128" s="125"/>
      <c r="N128" s="125"/>
      <c r="O128" s="125"/>
      <c r="P128" s="125"/>
      <c r="Q128" s="125"/>
      <c r="R128" s="125"/>
      <c r="S128" s="125"/>
      <c r="T128" s="125"/>
      <c r="U128" s="125"/>
      <c r="V128" s="125"/>
      <c r="W128" s="10"/>
      <c r="X128" s="9"/>
      <c r="Y128" s="9"/>
      <c r="Z128" s="9"/>
      <c r="AA128" s="9"/>
      <c r="AB128" s="9"/>
      <c r="AC128" s="9"/>
      <c r="AD128" s="9"/>
      <c r="AE128" s="9"/>
      <c r="AF128" s="9"/>
      <c r="AG128" s="11"/>
    </row>
    <row r="129" spans="1:33" ht="13.5" customHeight="1">
      <c r="A129" s="9"/>
      <c r="B129" s="125"/>
      <c r="C129" s="125"/>
      <c r="D129" s="125"/>
      <c r="E129" s="125"/>
      <c r="F129" s="125"/>
      <c r="G129" s="131"/>
      <c r="H129" s="125"/>
      <c r="I129" s="130"/>
      <c r="J129" s="130"/>
      <c r="K129" s="130"/>
      <c r="L129" s="130"/>
      <c r="M129" s="125"/>
      <c r="N129" s="125"/>
      <c r="O129" s="125"/>
      <c r="P129" s="125"/>
      <c r="Q129" s="125"/>
      <c r="R129" s="125"/>
      <c r="S129" s="125"/>
      <c r="T129" s="125"/>
      <c r="U129" s="125"/>
      <c r="V129" s="125"/>
      <c r="W129" s="10"/>
      <c r="X129" s="9"/>
      <c r="Y129" s="9"/>
      <c r="Z129" s="9"/>
      <c r="AA129" s="9"/>
      <c r="AB129" s="9"/>
      <c r="AC129" s="9"/>
      <c r="AD129" s="9"/>
      <c r="AE129" s="9"/>
      <c r="AF129" s="9"/>
      <c r="AG129" s="11"/>
    </row>
    <row r="130" spans="1:33" ht="13.5" customHeight="1">
      <c r="A130" s="9"/>
      <c r="B130" s="125"/>
      <c r="C130" s="125"/>
      <c r="D130" s="125"/>
      <c r="E130" s="125"/>
      <c r="F130" s="125"/>
      <c r="G130" s="131"/>
      <c r="H130" s="125"/>
      <c r="I130" s="130"/>
      <c r="J130" s="130"/>
      <c r="K130" s="130"/>
      <c r="L130" s="130"/>
      <c r="M130" s="125"/>
      <c r="N130" s="125"/>
      <c r="O130" s="125"/>
      <c r="P130" s="125"/>
      <c r="Q130" s="125"/>
      <c r="R130" s="125"/>
      <c r="S130" s="125"/>
      <c r="T130" s="125"/>
      <c r="U130" s="125"/>
      <c r="V130" s="125"/>
      <c r="W130" s="10"/>
      <c r="X130" s="9"/>
      <c r="Y130" s="9"/>
      <c r="Z130" s="9"/>
      <c r="AA130" s="9"/>
      <c r="AB130" s="9"/>
      <c r="AC130" s="9"/>
      <c r="AD130" s="9"/>
      <c r="AE130" s="9"/>
      <c r="AF130" s="9"/>
      <c r="AG130" s="11"/>
    </row>
    <row r="131" spans="1:33" ht="13.5" customHeight="1">
      <c r="A131" s="9"/>
      <c r="B131" s="125"/>
      <c r="C131" s="125"/>
      <c r="D131" s="125"/>
      <c r="E131" s="125"/>
      <c r="F131" s="125"/>
      <c r="G131" s="131"/>
      <c r="H131" s="125"/>
      <c r="I131" s="130"/>
      <c r="J131" s="130"/>
      <c r="K131" s="130"/>
      <c r="L131" s="130"/>
      <c r="M131" s="125"/>
      <c r="N131" s="125"/>
      <c r="O131" s="125"/>
      <c r="P131" s="125"/>
      <c r="Q131" s="125"/>
      <c r="R131" s="125"/>
      <c r="S131" s="125"/>
      <c r="T131" s="125"/>
      <c r="U131" s="125"/>
      <c r="V131" s="125"/>
      <c r="W131" s="10"/>
      <c r="X131" s="9"/>
      <c r="Y131" s="9"/>
      <c r="Z131" s="9"/>
      <c r="AA131" s="9"/>
      <c r="AB131" s="9"/>
      <c r="AC131" s="9"/>
      <c r="AD131" s="9"/>
      <c r="AE131" s="9"/>
      <c r="AF131" s="9"/>
      <c r="AG131" s="11"/>
    </row>
    <row r="132" spans="1:33" ht="13.5" customHeight="1">
      <c r="A132" s="9"/>
      <c r="B132" s="125"/>
      <c r="C132" s="125"/>
      <c r="D132" s="125"/>
      <c r="E132" s="125"/>
      <c r="F132" s="125"/>
      <c r="G132" s="131"/>
      <c r="H132" s="125"/>
      <c r="I132" s="130"/>
      <c r="J132" s="130"/>
      <c r="K132" s="130"/>
      <c r="L132" s="130"/>
      <c r="M132" s="125"/>
      <c r="N132" s="125"/>
      <c r="O132" s="125"/>
      <c r="P132" s="125"/>
      <c r="Q132" s="125"/>
      <c r="R132" s="125"/>
      <c r="S132" s="125"/>
      <c r="T132" s="125"/>
      <c r="U132" s="125"/>
      <c r="V132" s="125"/>
      <c r="W132" s="10"/>
      <c r="X132" s="9"/>
      <c r="Y132" s="9"/>
      <c r="Z132" s="9"/>
      <c r="AA132" s="9"/>
      <c r="AB132" s="9"/>
      <c r="AC132" s="9"/>
      <c r="AD132" s="9"/>
      <c r="AE132" s="9"/>
      <c r="AF132" s="9"/>
      <c r="AG132" s="11"/>
    </row>
    <row r="133" spans="1:33" ht="13.5" customHeight="1">
      <c r="A133" s="9"/>
      <c r="B133" s="125"/>
      <c r="C133" s="125"/>
      <c r="D133" s="125"/>
      <c r="E133" s="125"/>
      <c r="F133" s="125"/>
      <c r="G133" s="131"/>
      <c r="H133" s="125"/>
      <c r="I133" s="130"/>
      <c r="J133" s="130"/>
      <c r="K133" s="130"/>
      <c r="L133" s="130"/>
      <c r="M133" s="125"/>
      <c r="N133" s="125"/>
      <c r="O133" s="125"/>
      <c r="P133" s="125"/>
      <c r="Q133" s="125"/>
      <c r="R133" s="125"/>
      <c r="S133" s="125"/>
      <c r="T133" s="125"/>
      <c r="U133" s="125"/>
      <c r="V133" s="125"/>
      <c r="W133" s="10"/>
      <c r="X133" s="9"/>
      <c r="Y133" s="9"/>
      <c r="Z133" s="9"/>
      <c r="AA133" s="9"/>
      <c r="AB133" s="9"/>
      <c r="AC133" s="9"/>
      <c r="AD133" s="9"/>
      <c r="AE133" s="9"/>
      <c r="AF133" s="9"/>
      <c r="AG133" s="11"/>
    </row>
    <row r="134" spans="1:33" ht="13.5" customHeight="1">
      <c r="A134" s="9"/>
      <c r="B134" s="125"/>
      <c r="C134" s="125"/>
      <c r="D134" s="125"/>
      <c r="E134" s="125"/>
      <c r="F134" s="125"/>
      <c r="G134" s="131"/>
      <c r="H134" s="125"/>
      <c r="I134" s="130"/>
      <c r="J134" s="130"/>
      <c r="K134" s="130"/>
      <c r="L134" s="130"/>
      <c r="M134" s="125"/>
      <c r="N134" s="125"/>
      <c r="O134" s="125"/>
      <c r="P134" s="125"/>
      <c r="Q134" s="125"/>
      <c r="R134" s="125"/>
      <c r="S134" s="125"/>
      <c r="T134" s="125"/>
      <c r="U134" s="125"/>
      <c r="V134" s="125"/>
      <c r="W134" s="10"/>
      <c r="X134" s="9"/>
      <c r="Y134" s="9"/>
      <c r="Z134" s="9"/>
      <c r="AA134" s="9"/>
      <c r="AB134" s="9"/>
      <c r="AC134" s="9"/>
      <c r="AD134" s="9"/>
      <c r="AE134" s="9"/>
      <c r="AF134" s="9"/>
      <c r="AG134" s="11"/>
    </row>
    <row r="135" spans="1:33" ht="13.5" customHeight="1">
      <c r="A135" s="9"/>
      <c r="B135" s="125"/>
      <c r="C135" s="125"/>
      <c r="D135" s="125"/>
      <c r="E135" s="125"/>
      <c r="F135" s="125"/>
      <c r="G135" s="131"/>
      <c r="H135" s="125"/>
      <c r="I135" s="130"/>
      <c r="J135" s="130"/>
      <c r="K135" s="130"/>
      <c r="L135" s="130"/>
      <c r="M135" s="125"/>
      <c r="N135" s="125"/>
      <c r="O135" s="125"/>
      <c r="P135" s="125"/>
      <c r="Q135" s="125"/>
      <c r="R135" s="125"/>
      <c r="S135" s="125"/>
      <c r="T135" s="125"/>
      <c r="U135" s="125"/>
      <c r="V135" s="125"/>
      <c r="W135" s="10"/>
      <c r="X135" s="9"/>
      <c r="Y135" s="9"/>
      <c r="Z135" s="9"/>
      <c r="AA135" s="9"/>
      <c r="AB135" s="9"/>
      <c r="AC135" s="9"/>
      <c r="AD135" s="9"/>
      <c r="AE135" s="9"/>
      <c r="AF135" s="9"/>
      <c r="AG135" s="11"/>
    </row>
    <row r="136" spans="1:33" ht="13.5" customHeight="1">
      <c r="A136" s="9"/>
      <c r="B136" s="125"/>
      <c r="C136" s="125"/>
      <c r="D136" s="125"/>
      <c r="E136" s="125"/>
      <c r="F136" s="125"/>
      <c r="G136" s="131"/>
      <c r="H136" s="125"/>
      <c r="I136" s="130"/>
      <c r="J136" s="130"/>
      <c r="K136" s="130"/>
      <c r="L136" s="130"/>
      <c r="M136" s="125"/>
      <c r="N136" s="125"/>
      <c r="O136" s="125"/>
      <c r="P136" s="125"/>
      <c r="Q136" s="125"/>
      <c r="R136" s="125"/>
      <c r="S136" s="125"/>
      <c r="T136" s="125"/>
      <c r="U136" s="125"/>
      <c r="V136" s="125"/>
      <c r="W136" s="10"/>
      <c r="X136" s="9"/>
      <c r="Y136" s="9"/>
      <c r="Z136" s="9"/>
      <c r="AA136" s="9"/>
      <c r="AB136" s="9"/>
      <c r="AC136" s="9"/>
      <c r="AD136" s="9"/>
      <c r="AE136" s="9"/>
      <c r="AF136" s="9"/>
      <c r="AG136" s="11"/>
    </row>
    <row r="137" spans="1:33" ht="13.5" customHeight="1">
      <c r="A137" s="9"/>
      <c r="B137" s="125"/>
      <c r="C137" s="125"/>
      <c r="D137" s="125"/>
      <c r="E137" s="125"/>
      <c r="F137" s="125"/>
      <c r="G137" s="131"/>
      <c r="H137" s="125"/>
      <c r="I137" s="130"/>
      <c r="J137" s="130"/>
      <c r="K137" s="130"/>
      <c r="L137" s="130"/>
      <c r="M137" s="125"/>
      <c r="N137" s="125"/>
      <c r="O137" s="125"/>
      <c r="P137" s="125"/>
      <c r="Q137" s="125"/>
      <c r="R137" s="125"/>
      <c r="S137" s="125"/>
      <c r="T137" s="125"/>
      <c r="U137" s="125"/>
      <c r="V137" s="125"/>
      <c r="W137" s="10"/>
      <c r="X137" s="9"/>
      <c r="Y137" s="9"/>
      <c r="Z137" s="9"/>
      <c r="AA137" s="9"/>
      <c r="AB137" s="9"/>
      <c r="AC137" s="9"/>
      <c r="AD137" s="9"/>
      <c r="AE137" s="9"/>
      <c r="AF137" s="9"/>
      <c r="AG137" s="11"/>
    </row>
    <row r="138" spans="1:33" ht="13.5" customHeight="1">
      <c r="A138" s="9"/>
      <c r="B138" s="125"/>
      <c r="C138" s="125"/>
      <c r="D138" s="125"/>
      <c r="E138" s="125"/>
      <c r="F138" s="125"/>
      <c r="G138" s="131"/>
      <c r="H138" s="125"/>
      <c r="I138" s="130"/>
      <c r="J138" s="130"/>
      <c r="K138" s="130"/>
      <c r="L138" s="130"/>
      <c r="M138" s="125"/>
      <c r="N138" s="125"/>
      <c r="O138" s="125"/>
      <c r="P138" s="125"/>
      <c r="Q138" s="125"/>
      <c r="R138" s="125"/>
      <c r="S138" s="125"/>
      <c r="T138" s="125"/>
      <c r="U138" s="125"/>
      <c r="V138" s="125"/>
      <c r="W138" s="10"/>
      <c r="X138" s="9"/>
      <c r="Y138" s="9"/>
      <c r="Z138" s="9"/>
      <c r="AA138" s="9"/>
      <c r="AB138" s="9"/>
      <c r="AC138" s="9"/>
      <c r="AD138" s="9"/>
      <c r="AE138" s="9"/>
      <c r="AF138" s="9"/>
      <c r="AG138" s="11"/>
    </row>
    <row r="139" spans="1:33" ht="13.5" customHeight="1">
      <c r="A139" s="9"/>
      <c r="B139" s="125"/>
      <c r="C139" s="125"/>
      <c r="D139" s="125"/>
      <c r="E139" s="125"/>
      <c r="F139" s="125"/>
      <c r="G139" s="131"/>
      <c r="H139" s="125"/>
      <c r="I139" s="130"/>
      <c r="J139" s="130"/>
      <c r="K139" s="130"/>
      <c r="L139" s="130"/>
      <c r="M139" s="125"/>
      <c r="N139" s="125"/>
      <c r="O139" s="125"/>
      <c r="P139" s="125"/>
      <c r="Q139" s="125"/>
      <c r="R139" s="125"/>
      <c r="S139" s="125"/>
      <c r="T139" s="125"/>
      <c r="U139" s="125"/>
      <c r="V139" s="125"/>
      <c r="W139" s="10"/>
      <c r="X139" s="9"/>
      <c r="Y139" s="9"/>
      <c r="Z139" s="9"/>
      <c r="AA139" s="9"/>
      <c r="AB139" s="9"/>
      <c r="AC139" s="9"/>
      <c r="AD139" s="9"/>
      <c r="AE139" s="9"/>
      <c r="AF139" s="9"/>
      <c r="AG139" s="11"/>
    </row>
    <row r="140" spans="1:33" ht="13.5" customHeight="1">
      <c r="A140" s="9"/>
      <c r="B140" s="125"/>
      <c r="C140" s="125"/>
      <c r="D140" s="125"/>
      <c r="E140" s="125"/>
      <c r="F140" s="125"/>
      <c r="G140" s="131"/>
      <c r="H140" s="125"/>
      <c r="I140" s="130"/>
      <c r="J140" s="130"/>
      <c r="K140" s="130"/>
      <c r="L140" s="130"/>
      <c r="M140" s="125"/>
      <c r="N140" s="125"/>
      <c r="O140" s="125"/>
      <c r="P140" s="125"/>
      <c r="Q140" s="125"/>
      <c r="R140" s="125"/>
      <c r="S140" s="125"/>
      <c r="T140" s="125"/>
      <c r="U140" s="125"/>
      <c r="V140" s="125"/>
      <c r="W140" s="10"/>
      <c r="X140" s="9"/>
      <c r="Y140" s="9"/>
      <c r="Z140" s="9"/>
      <c r="AA140" s="9"/>
      <c r="AB140" s="9"/>
      <c r="AC140" s="9"/>
      <c r="AD140" s="9"/>
      <c r="AE140" s="9"/>
      <c r="AF140" s="9"/>
      <c r="AG140" s="11"/>
    </row>
    <row r="141" spans="1:33" ht="13.5" customHeight="1">
      <c r="A141" s="9"/>
      <c r="B141" s="125"/>
      <c r="C141" s="125"/>
      <c r="D141" s="125"/>
      <c r="E141" s="125"/>
      <c r="F141" s="125"/>
      <c r="G141" s="131"/>
      <c r="H141" s="125"/>
      <c r="I141" s="130"/>
      <c r="J141" s="130"/>
      <c r="K141" s="130"/>
      <c r="L141" s="130"/>
      <c r="M141" s="125"/>
      <c r="N141" s="125"/>
      <c r="O141" s="125"/>
      <c r="P141" s="125"/>
      <c r="Q141" s="125"/>
      <c r="R141" s="125"/>
      <c r="S141" s="125"/>
      <c r="T141" s="125"/>
      <c r="U141" s="125"/>
      <c r="V141" s="125"/>
      <c r="W141" s="10"/>
      <c r="X141" s="9"/>
      <c r="Y141" s="9"/>
      <c r="Z141" s="9"/>
      <c r="AA141" s="9"/>
      <c r="AB141" s="9"/>
      <c r="AC141" s="9"/>
      <c r="AD141" s="9"/>
      <c r="AE141" s="9"/>
      <c r="AF141" s="9"/>
      <c r="AG141" s="11"/>
    </row>
    <row r="142" spans="1:33" ht="13.5" customHeight="1">
      <c r="A142" s="9"/>
      <c r="B142" s="125"/>
      <c r="C142" s="125"/>
      <c r="D142" s="125"/>
      <c r="E142" s="125"/>
      <c r="F142" s="125"/>
      <c r="G142" s="131"/>
      <c r="H142" s="125"/>
      <c r="I142" s="130"/>
      <c r="J142" s="130"/>
      <c r="K142" s="130"/>
      <c r="L142" s="130"/>
      <c r="M142" s="125"/>
      <c r="N142" s="125"/>
      <c r="O142" s="125"/>
      <c r="P142" s="125"/>
      <c r="Q142" s="125"/>
      <c r="R142" s="125"/>
      <c r="S142" s="125"/>
      <c r="T142" s="125"/>
      <c r="U142" s="125"/>
      <c r="V142" s="125"/>
      <c r="W142" s="10"/>
      <c r="X142" s="9"/>
      <c r="Y142" s="9"/>
      <c r="Z142" s="9"/>
      <c r="AA142" s="9"/>
      <c r="AB142" s="9"/>
      <c r="AC142" s="9"/>
      <c r="AD142" s="9"/>
      <c r="AE142" s="9"/>
      <c r="AF142" s="9"/>
      <c r="AG142" s="11"/>
    </row>
    <row r="143" spans="1:33" ht="13.5" customHeight="1">
      <c r="A143" s="9"/>
      <c r="B143" s="125"/>
      <c r="C143" s="125"/>
      <c r="D143" s="125"/>
      <c r="E143" s="125"/>
      <c r="F143" s="125"/>
      <c r="G143" s="131"/>
      <c r="H143" s="125"/>
      <c r="I143" s="130"/>
      <c r="J143" s="130"/>
      <c r="K143" s="130"/>
      <c r="L143" s="130"/>
      <c r="M143" s="125"/>
      <c r="N143" s="125"/>
      <c r="O143" s="125"/>
      <c r="P143" s="125"/>
      <c r="Q143" s="125"/>
      <c r="R143" s="125"/>
      <c r="S143" s="125"/>
      <c r="T143" s="125"/>
      <c r="U143" s="125"/>
      <c r="V143" s="125"/>
      <c r="W143" s="10"/>
      <c r="X143" s="9"/>
      <c r="Y143" s="9"/>
      <c r="Z143" s="9"/>
      <c r="AA143" s="9"/>
      <c r="AB143" s="9"/>
      <c r="AC143" s="9"/>
      <c r="AD143" s="9"/>
      <c r="AE143" s="9"/>
      <c r="AF143" s="9"/>
      <c r="AG143" s="11"/>
    </row>
    <row r="144" spans="1:33" ht="13.5" customHeight="1">
      <c r="A144" s="9"/>
      <c r="B144" s="125"/>
      <c r="C144" s="125"/>
      <c r="D144" s="125"/>
      <c r="E144" s="125"/>
      <c r="F144" s="125"/>
      <c r="G144" s="131"/>
      <c r="H144" s="125"/>
      <c r="I144" s="130"/>
      <c r="J144" s="130"/>
      <c r="K144" s="130"/>
      <c r="L144" s="130"/>
      <c r="M144" s="125"/>
      <c r="N144" s="125"/>
      <c r="O144" s="125"/>
      <c r="P144" s="125"/>
      <c r="Q144" s="125"/>
      <c r="R144" s="125"/>
      <c r="S144" s="125"/>
      <c r="T144" s="125"/>
      <c r="U144" s="125"/>
      <c r="V144" s="125"/>
      <c r="W144" s="10"/>
      <c r="X144" s="9"/>
      <c r="Y144" s="9"/>
      <c r="Z144" s="9"/>
      <c r="AA144" s="9"/>
      <c r="AB144" s="9"/>
      <c r="AC144" s="9"/>
      <c r="AD144" s="9"/>
      <c r="AE144" s="9"/>
      <c r="AF144" s="9"/>
      <c r="AG144" s="11"/>
    </row>
    <row r="145" spans="1:33" ht="13.5" customHeight="1">
      <c r="A145" s="9"/>
      <c r="B145" s="125"/>
      <c r="C145" s="125"/>
      <c r="D145" s="125"/>
      <c r="E145" s="125"/>
      <c r="F145" s="125"/>
      <c r="G145" s="131"/>
      <c r="H145" s="125"/>
      <c r="I145" s="130"/>
      <c r="J145" s="130"/>
      <c r="K145" s="130"/>
      <c r="L145" s="130"/>
      <c r="M145" s="125"/>
      <c r="N145" s="125"/>
      <c r="O145" s="125"/>
      <c r="P145" s="125"/>
      <c r="Q145" s="125"/>
      <c r="R145" s="125"/>
      <c r="S145" s="125"/>
      <c r="T145" s="125"/>
      <c r="U145" s="125"/>
      <c r="V145" s="125"/>
      <c r="W145" s="10"/>
      <c r="X145" s="9"/>
      <c r="Y145" s="9"/>
      <c r="Z145" s="9"/>
      <c r="AA145" s="9"/>
      <c r="AB145" s="9"/>
      <c r="AC145" s="9"/>
      <c r="AD145" s="9"/>
      <c r="AE145" s="9"/>
      <c r="AF145" s="9"/>
      <c r="AG145" s="11"/>
    </row>
    <row r="146" spans="1:33" ht="13.5" customHeight="1">
      <c r="A146" s="9"/>
      <c r="B146" s="125"/>
      <c r="C146" s="125"/>
      <c r="D146" s="125"/>
      <c r="E146" s="125"/>
      <c r="F146" s="125"/>
      <c r="G146" s="131"/>
      <c r="H146" s="125"/>
      <c r="I146" s="130"/>
      <c r="J146" s="130"/>
      <c r="K146" s="130"/>
      <c r="L146" s="130"/>
      <c r="M146" s="125"/>
      <c r="N146" s="125"/>
      <c r="O146" s="125"/>
      <c r="P146" s="125"/>
      <c r="Q146" s="125"/>
      <c r="R146" s="125"/>
      <c r="S146" s="125"/>
      <c r="T146" s="125"/>
      <c r="U146" s="125"/>
      <c r="V146" s="125"/>
      <c r="W146" s="10"/>
      <c r="X146" s="9"/>
      <c r="Y146" s="9"/>
      <c r="Z146" s="9"/>
      <c r="AA146" s="9"/>
      <c r="AB146" s="9"/>
      <c r="AC146" s="9"/>
      <c r="AD146" s="9"/>
      <c r="AE146" s="9"/>
      <c r="AF146" s="9"/>
      <c r="AG146" s="11"/>
    </row>
    <row r="147" spans="1:33" ht="13.5" customHeight="1">
      <c r="A147" s="9"/>
      <c r="B147" s="125"/>
      <c r="C147" s="125"/>
      <c r="D147" s="125"/>
      <c r="E147" s="125"/>
      <c r="F147" s="125"/>
      <c r="G147" s="131"/>
      <c r="H147" s="125"/>
      <c r="I147" s="130"/>
      <c r="J147" s="130"/>
      <c r="K147" s="130"/>
      <c r="L147" s="130"/>
      <c r="M147" s="125"/>
      <c r="N147" s="125"/>
      <c r="O147" s="125"/>
      <c r="P147" s="125"/>
      <c r="Q147" s="125"/>
      <c r="R147" s="125"/>
      <c r="S147" s="125"/>
      <c r="T147" s="125"/>
      <c r="U147" s="125"/>
      <c r="V147" s="125"/>
      <c r="W147" s="10"/>
      <c r="X147" s="9"/>
      <c r="Y147" s="9"/>
      <c r="Z147" s="9"/>
      <c r="AA147" s="9"/>
      <c r="AB147" s="9"/>
      <c r="AC147" s="9"/>
      <c r="AD147" s="9"/>
      <c r="AE147" s="9"/>
      <c r="AF147" s="9"/>
      <c r="AG147" s="11"/>
    </row>
    <row r="148" spans="1:33" ht="13.5" customHeight="1">
      <c r="A148" s="9"/>
      <c r="B148" s="125"/>
      <c r="C148" s="125"/>
      <c r="D148" s="125"/>
      <c r="E148" s="125"/>
      <c r="F148" s="125"/>
      <c r="G148" s="131"/>
      <c r="H148" s="125"/>
      <c r="I148" s="130"/>
      <c r="J148" s="130"/>
      <c r="K148" s="130"/>
      <c r="L148" s="130"/>
      <c r="M148" s="125"/>
      <c r="N148" s="125"/>
      <c r="O148" s="125"/>
      <c r="P148" s="125"/>
      <c r="Q148" s="125"/>
      <c r="R148" s="125"/>
      <c r="S148" s="125"/>
      <c r="T148" s="125"/>
      <c r="U148" s="125"/>
      <c r="V148" s="125"/>
      <c r="W148" s="10"/>
      <c r="X148" s="9"/>
      <c r="Y148" s="9"/>
      <c r="Z148" s="9"/>
      <c r="AA148" s="9"/>
      <c r="AB148" s="9"/>
      <c r="AC148" s="9"/>
      <c r="AD148" s="9"/>
      <c r="AE148" s="9"/>
      <c r="AF148" s="9"/>
      <c r="AG148" s="11"/>
    </row>
    <row r="149" spans="1:33" ht="13.5" customHeight="1">
      <c r="A149" s="9"/>
      <c r="B149" s="125"/>
      <c r="C149" s="125"/>
      <c r="D149" s="125"/>
      <c r="E149" s="125"/>
      <c r="F149" s="125"/>
      <c r="G149" s="131"/>
      <c r="H149" s="125"/>
      <c r="I149" s="130"/>
      <c r="J149" s="130"/>
      <c r="K149" s="130"/>
      <c r="L149" s="130"/>
      <c r="M149" s="125"/>
      <c r="N149" s="125"/>
      <c r="O149" s="125"/>
      <c r="P149" s="125"/>
      <c r="Q149" s="125"/>
      <c r="R149" s="125"/>
      <c r="S149" s="125"/>
      <c r="T149" s="125"/>
      <c r="U149" s="125"/>
      <c r="V149" s="125"/>
      <c r="W149" s="10"/>
      <c r="X149" s="9"/>
      <c r="Y149" s="9"/>
      <c r="Z149" s="9"/>
      <c r="AA149" s="9"/>
      <c r="AB149" s="9"/>
      <c r="AC149" s="9"/>
      <c r="AD149" s="9"/>
      <c r="AE149" s="9"/>
      <c r="AF149" s="9"/>
      <c r="AG149" s="11"/>
    </row>
    <row r="150" spans="1:33" ht="13.5" customHeight="1">
      <c r="A150" s="9"/>
      <c r="B150" s="125"/>
      <c r="C150" s="125"/>
      <c r="D150" s="125"/>
      <c r="E150" s="125"/>
      <c r="F150" s="125"/>
      <c r="G150" s="131"/>
      <c r="H150" s="125"/>
      <c r="I150" s="130"/>
      <c r="J150" s="130"/>
      <c r="K150" s="130"/>
      <c r="L150" s="130"/>
      <c r="M150" s="125"/>
      <c r="N150" s="125"/>
      <c r="O150" s="125"/>
      <c r="P150" s="125"/>
      <c r="Q150" s="125"/>
      <c r="R150" s="125"/>
      <c r="S150" s="125"/>
      <c r="T150" s="125"/>
      <c r="U150" s="125"/>
      <c r="V150" s="125"/>
      <c r="W150" s="10"/>
      <c r="X150" s="9"/>
      <c r="Y150" s="9"/>
      <c r="Z150" s="9"/>
      <c r="AA150" s="9"/>
      <c r="AB150" s="9"/>
      <c r="AC150" s="9"/>
      <c r="AD150" s="9"/>
      <c r="AE150" s="9"/>
      <c r="AF150" s="9"/>
      <c r="AG150" s="11"/>
    </row>
    <row r="151" spans="1:33" ht="13.5" customHeight="1">
      <c r="A151" s="9"/>
      <c r="B151" s="125"/>
      <c r="C151" s="125"/>
      <c r="D151" s="125"/>
      <c r="E151" s="125"/>
      <c r="F151" s="125"/>
      <c r="G151" s="131"/>
      <c r="H151" s="125"/>
      <c r="I151" s="130"/>
      <c r="J151" s="130"/>
      <c r="K151" s="130"/>
      <c r="L151" s="130"/>
      <c r="M151" s="125"/>
      <c r="N151" s="125"/>
      <c r="O151" s="125"/>
      <c r="P151" s="125"/>
      <c r="Q151" s="125"/>
      <c r="R151" s="125"/>
      <c r="S151" s="125"/>
      <c r="T151" s="125"/>
      <c r="U151" s="125"/>
      <c r="V151" s="125"/>
      <c r="W151" s="10"/>
      <c r="X151" s="9"/>
      <c r="Y151" s="9"/>
      <c r="Z151" s="9"/>
      <c r="AA151" s="9"/>
      <c r="AB151" s="9"/>
      <c r="AC151" s="9"/>
      <c r="AD151" s="9"/>
      <c r="AE151" s="9"/>
      <c r="AF151" s="9"/>
      <c r="AG151" s="11"/>
    </row>
    <row r="152" spans="1:33" ht="13.5" customHeight="1">
      <c r="A152" s="9"/>
      <c r="B152" s="125"/>
      <c r="C152" s="125"/>
      <c r="D152" s="125"/>
      <c r="E152" s="125"/>
      <c r="F152" s="125"/>
      <c r="G152" s="131"/>
      <c r="H152" s="125"/>
      <c r="I152" s="130"/>
      <c r="J152" s="130"/>
      <c r="K152" s="130"/>
      <c r="L152" s="130"/>
      <c r="M152" s="125"/>
      <c r="N152" s="125"/>
      <c r="O152" s="125"/>
      <c r="P152" s="125"/>
      <c r="Q152" s="125"/>
      <c r="R152" s="125"/>
      <c r="S152" s="125"/>
      <c r="T152" s="125"/>
      <c r="U152" s="125"/>
      <c r="V152" s="125"/>
      <c r="W152" s="10"/>
      <c r="X152" s="9"/>
      <c r="Y152" s="9"/>
      <c r="Z152" s="9"/>
      <c r="AA152" s="9"/>
      <c r="AB152" s="9"/>
      <c r="AC152" s="9"/>
      <c r="AD152" s="9"/>
      <c r="AE152" s="9"/>
      <c r="AF152" s="9"/>
      <c r="AG152" s="11"/>
    </row>
    <row r="153" spans="1:33" ht="13.5" customHeight="1">
      <c r="A153" s="9"/>
      <c r="B153" s="125"/>
      <c r="C153" s="125"/>
      <c r="D153" s="125"/>
      <c r="E153" s="125"/>
      <c r="F153" s="125"/>
      <c r="G153" s="131"/>
      <c r="H153" s="125"/>
      <c r="I153" s="130"/>
      <c r="J153" s="130"/>
      <c r="K153" s="130"/>
      <c r="L153" s="130"/>
      <c r="M153" s="125"/>
      <c r="N153" s="125"/>
      <c r="O153" s="125"/>
      <c r="P153" s="125"/>
      <c r="Q153" s="125"/>
      <c r="R153" s="125"/>
      <c r="S153" s="125"/>
      <c r="T153" s="125"/>
      <c r="U153" s="125"/>
      <c r="V153" s="125"/>
      <c r="W153" s="10"/>
      <c r="X153" s="9"/>
      <c r="Y153" s="9"/>
      <c r="Z153" s="9"/>
      <c r="AA153" s="9"/>
      <c r="AB153" s="9"/>
      <c r="AC153" s="9"/>
      <c r="AD153" s="9"/>
      <c r="AE153" s="9"/>
      <c r="AF153" s="9"/>
      <c r="AG153" s="11"/>
    </row>
    <row r="154" spans="1:33" ht="13.5" customHeight="1">
      <c r="A154" s="9"/>
      <c r="B154" s="125"/>
      <c r="C154" s="125"/>
      <c r="D154" s="125"/>
      <c r="E154" s="125"/>
      <c r="F154" s="125"/>
      <c r="G154" s="131"/>
      <c r="H154" s="125"/>
      <c r="I154" s="130"/>
      <c r="J154" s="130"/>
      <c r="K154" s="130"/>
      <c r="L154" s="130"/>
      <c r="M154" s="125"/>
      <c r="N154" s="125"/>
      <c r="O154" s="125"/>
      <c r="P154" s="125"/>
      <c r="Q154" s="125"/>
      <c r="R154" s="125"/>
      <c r="S154" s="125"/>
      <c r="T154" s="125"/>
      <c r="U154" s="125"/>
      <c r="V154" s="125"/>
      <c r="W154" s="10"/>
      <c r="X154" s="9"/>
      <c r="Y154" s="9"/>
      <c r="Z154" s="9"/>
      <c r="AA154" s="9"/>
      <c r="AB154" s="9"/>
      <c r="AC154" s="9"/>
      <c r="AD154" s="9"/>
      <c r="AE154" s="9"/>
      <c r="AF154" s="9"/>
      <c r="AG154" s="11"/>
    </row>
    <row r="155" spans="1:33" ht="13.5" customHeight="1">
      <c r="A155" s="9"/>
      <c r="B155" s="125"/>
      <c r="C155" s="125"/>
      <c r="D155" s="125"/>
      <c r="E155" s="125"/>
      <c r="F155" s="125"/>
      <c r="G155" s="131"/>
      <c r="H155" s="125"/>
      <c r="I155" s="130"/>
      <c r="J155" s="130"/>
      <c r="K155" s="130"/>
      <c r="L155" s="130"/>
      <c r="M155" s="125"/>
      <c r="N155" s="125"/>
      <c r="O155" s="125"/>
      <c r="P155" s="125"/>
      <c r="Q155" s="125"/>
      <c r="R155" s="125"/>
      <c r="S155" s="125"/>
      <c r="T155" s="125"/>
      <c r="U155" s="125"/>
      <c r="V155" s="125"/>
      <c r="W155" s="10"/>
      <c r="X155" s="9"/>
      <c r="Y155" s="9"/>
      <c r="Z155" s="9"/>
      <c r="AA155" s="9"/>
      <c r="AB155" s="9"/>
      <c r="AC155" s="9"/>
      <c r="AD155" s="9"/>
      <c r="AE155" s="9"/>
      <c r="AF155" s="9"/>
      <c r="AG155" s="11"/>
    </row>
    <row r="156" spans="1:33" ht="13.5" customHeight="1">
      <c r="A156" s="9"/>
      <c r="B156" s="125"/>
      <c r="C156" s="125"/>
      <c r="D156" s="125"/>
      <c r="E156" s="125"/>
      <c r="F156" s="125"/>
      <c r="G156" s="131"/>
      <c r="H156" s="125"/>
      <c r="I156" s="130"/>
      <c r="J156" s="130"/>
      <c r="K156" s="130"/>
      <c r="L156" s="130"/>
      <c r="M156" s="125"/>
      <c r="N156" s="125"/>
      <c r="O156" s="125"/>
      <c r="P156" s="125"/>
      <c r="Q156" s="125"/>
      <c r="R156" s="125"/>
      <c r="S156" s="125"/>
      <c r="T156" s="125"/>
      <c r="U156" s="125"/>
      <c r="V156" s="125"/>
      <c r="W156" s="10"/>
      <c r="X156" s="9"/>
      <c r="Y156" s="9"/>
      <c r="Z156" s="9"/>
      <c r="AA156" s="9"/>
      <c r="AB156" s="9"/>
      <c r="AC156" s="9"/>
      <c r="AD156" s="9"/>
      <c r="AE156" s="9"/>
      <c r="AF156" s="9"/>
      <c r="AG156" s="11"/>
    </row>
    <row r="157" spans="1:33" ht="13.5" customHeight="1">
      <c r="A157" s="9"/>
      <c r="B157" s="125"/>
      <c r="C157" s="125"/>
      <c r="D157" s="125"/>
      <c r="E157" s="125"/>
      <c r="F157" s="125"/>
      <c r="G157" s="131"/>
      <c r="H157" s="125"/>
      <c r="I157" s="130"/>
      <c r="J157" s="130"/>
      <c r="K157" s="130"/>
      <c r="L157" s="130"/>
      <c r="M157" s="125"/>
      <c r="N157" s="125"/>
      <c r="O157" s="125"/>
      <c r="P157" s="125"/>
      <c r="Q157" s="125"/>
      <c r="R157" s="125"/>
      <c r="S157" s="125"/>
      <c r="T157" s="125"/>
      <c r="U157" s="125"/>
      <c r="V157" s="125"/>
      <c r="W157" s="10"/>
      <c r="X157" s="9"/>
      <c r="Y157" s="9"/>
      <c r="Z157" s="9"/>
      <c r="AA157" s="9"/>
      <c r="AB157" s="9"/>
      <c r="AC157" s="9"/>
      <c r="AD157" s="9"/>
      <c r="AE157" s="9"/>
      <c r="AF157" s="9"/>
      <c r="AG157" s="11"/>
    </row>
    <row r="158" spans="1:33" ht="13.5" customHeight="1">
      <c r="A158" s="9"/>
      <c r="B158" s="125"/>
      <c r="C158" s="125"/>
      <c r="D158" s="125"/>
      <c r="E158" s="125"/>
      <c r="F158" s="125"/>
      <c r="G158" s="131"/>
      <c r="H158" s="125"/>
      <c r="I158" s="130"/>
      <c r="J158" s="130"/>
      <c r="K158" s="130"/>
      <c r="L158" s="130"/>
      <c r="M158" s="125"/>
      <c r="N158" s="125"/>
      <c r="O158" s="125"/>
      <c r="P158" s="125"/>
      <c r="Q158" s="125"/>
      <c r="R158" s="125"/>
      <c r="S158" s="125"/>
      <c r="T158" s="125"/>
      <c r="U158" s="125"/>
      <c r="V158" s="125"/>
      <c r="W158" s="10"/>
      <c r="X158" s="9"/>
      <c r="Y158" s="9"/>
      <c r="Z158" s="9"/>
      <c r="AA158" s="9"/>
      <c r="AB158" s="9"/>
      <c r="AC158" s="9"/>
      <c r="AD158" s="9"/>
      <c r="AE158" s="9"/>
      <c r="AF158" s="9"/>
      <c r="AG158" s="11"/>
    </row>
    <row r="159" spans="1:33" ht="13.5" customHeight="1">
      <c r="A159" s="9"/>
      <c r="B159" s="125"/>
      <c r="C159" s="125"/>
      <c r="D159" s="125"/>
      <c r="E159" s="125"/>
      <c r="F159" s="125"/>
      <c r="G159" s="131"/>
      <c r="H159" s="125"/>
      <c r="I159" s="130"/>
      <c r="J159" s="130"/>
      <c r="K159" s="130"/>
      <c r="L159" s="130"/>
      <c r="M159" s="125"/>
      <c r="N159" s="125"/>
      <c r="O159" s="125"/>
      <c r="P159" s="125"/>
      <c r="Q159" s="125"/>
      <c r="R159" s="125"/>
      <c r="S159" s="125"/>
      <c r="T159" s="125"/>
      <c r="U159" s="125"/>
      <c r="V159" s="125"/>
      <c r="W159" s="10"/>
      <c r="X159" s="9"/>
      <c r="Y159" s="9"/>
      <c r="Z159" s="9"/>
      <c r="AA159" s="9"/>
      <c r="AB159" s="9"/>
      <c r="AC159" s="9"/>
      <c r="AD159" s="9"/>
      <c r="AE159" s="9"/>
      <c r="AF159" s="9"/>
      <c r="AG159" s="11"/>
    </row>
    <row r="160" spans="1:33" ht="13.5" customHeight="1">
      <c r="A160" s="9"/>
      <c r="B160" s="125"/>
      <c r="C160" s="125"/>
      <c r="D160" s="125"/>
      <c r="E160" s="125"/>
      <c r="F160" s="125"/>
      <c r="G160" s="131"/>
      <c r="H160" s="125"/>
      <c r="I160" s="130"/>
      <c r="J160" s="130"/>
      <c r="K160" s="130"/>
      <c r="L160" s="130"/>
      <c r="M160" s="125"/>
      <c r="N160" s="125"/>
      <c r="O160" s="125"/>
      <c r="P160" s="125"/>
      <c r="Q160" s="125"/>
      <c r="R160" s="125"/>
      <c r="S160" s="125"/>
      <c r="T160" s="125"/>
      <c r="U160" s="125"/>
      <c r="V160" s="125"/>
      <c r="W160" s="10"/>
      <c r="X160" s="9"/>
      <c r="Y160" s="9"/>
      <c r="Z160" s="9"/>
      <c r="AA160" s="9"/>
      <c r="AB160" s="9"/>
      <c r="AC160" s="9"/>
      <c r="AD160" s="9"/>
      <c r="AE160" s="9"/>
      <c r="AF160" s="9"/>
      <c r="AG160" s="11"/>
    </row>
    <row r="161" spans="1:33" ht="13.5" customHeight="1">
      <c r="A161" s="9"/>
      <c r="B161" s="125"/>
      <c r="C161" s="125"/>
      <c r="D161" s="125"/>
      <c r="E161" s="125"/>
      <c r="F161" s="125"/>
      <c r="G161" s="131"/>
      <c r="H161" s="125"/>
      <c r="I161" s="130"/>
      <c r="J161" s="130"/>
      <c r="K161" s="130"/>
      <c r="L161" s="130"/>
      <c r="M161" s="125"/>
      <c r="N161" s="125"/>
      <c r="O161" s="125"/>
      <c r="P161" s="125"/>
      <c r="Q161" s="125"/>
      <c r="R161" s="125"/>
      <c r="S161" s="125"/>
      <c r="T161" s="125"/>
      <c r="U161" s="125"/>
      <c r="V161" s="125"/>
      <c r="W161" s="10"/>
      <c r="X161" s="9"/>
      <c r="Y161" s="9"/>
      <c r="Z161" s="9"/>
      <c r="AA161" s="9"/>
      <c r="AB161" s="9"/>
      <c r="AC161" s="9"/>
      <c r="AD161" s="9"/>
      <c r="AE161" s="9"/>
      <c r="AF161" s="9"/>
      <c r="AG161" s="11"/>
    </row>
    <row r="162" spans="1:33" ht="13.5" customHeight="1">
      <c r="A162" s="9"/>
      <c r="B162" s="125"/>
      <c r="C162" s="125"/>
      <c r="D162" s="125"/>
      <c r="E162" s="125"/>
      <c r="F162" s="125"/>
      <c r="G162" s="131"/>
      <c r="H162" s="125"/>
      <c r="I162" s="130"/>
      <c r="J162" s="130"/>
      <c r="K162" s="130"/>
      <c r="L162" s="130"/>
      <c r="M162" s="125"/>
      <c r="N162" s="125"/>
      <c r="O162" s="125"/>
      <c r="P162" s="125"/>
      <c r="Q162" s="125"/>
      <c r="R162" s="125"/>
      <c r="S162" s="125"/>
      <c r="T162" s="125"/>
      <c r="U162" s="125"/>
      <c r="V162" s="125"/>
      <c r="W162" s="10"/>
      <c r="X162" s="9"/>
      <c r="Y162" s="9"/>
      <c r="Z162" s="9"/>
      <c r="AA162" s="9"/>
      <c r="AB162" s="9"/>
      <c r="AC162" s="9"/>
      <c r="AD162" s="9"/>
      <c r="AE162" s="9"/>
      <c r="AF162" s="9"/>
      <c r="AG162" s="11"/>
    </row>
    <row r="163" spans="1:33" ht="13.5" customHeight="1">
      <c r="A163" s="9"/>
      <c r="B163" s="125"/>
      <c r="C163" s="125"/>
      <c r="D163" s="125"/>
      <c r="E163" s="125"/>
      <c r="F163" s="125"/>
      <c r="G163" s="131"/>
      <c r="H163" s="125"/>
      <c r="I163" s="130"/>
      <c r="J163" s="130"/>
      <c r="K163" s="130"/>
      <c r="L163" s="130"/>
      <c r="M163" s="125"/>
      <c r="N163" s="125"/>
      <c r="O163" s="125"/>
      <c r="P163" s="125"/>
      <c r="Q163" s="125"/>
      <c r="R163" s="125"/>
      <c r="S163" s="125"/>
      <c r="T163" s="125"/>
      <c r="U163" s="125"/>
      <c r="V163" s="125"/>
      <c r="W163" s="10"/>
      <c r="X163" s="9"/>
      <c r="Y163" s="9"/>
      <c r="Z163" s="9"/>
      <c r="AA163" s="9"/>
      <c r="AB163" s="9"/>
      <c r="AC163" s="9"/>
      <c r="AD163" s="9"/>
      <c r="AE163" s="9"/>
      <c r="AF163" s="9"/>
      <c r="AG163" s="11"/>
    </row>
    <row r="164" spans="1:33" ht="13.5" customHeight="1">
      <c r="A164" s="9"/>
      <c r="B164" s="125"/>
      <c r="C164" s="125"/>
      <c r="D164" s="125"/>
      <c r="E164" s="125"/>
      <c r="F164" s="125"/>
      <c r="G164" s="131"/>
      <c r="H164" s="125"/>
      <c r="I164" s="130"/>
      <c r="J164" s="130"/>
      <c r="K164" s="130"/>
      <c r="L164" s="130"/>
      <c r="M164" s="125"/>
      <c r="N164" s="125"/>
      <c r="O164" s="125"/>
      <c r="P164" s="125"/>
      <c r="Q164" s="125"/>
      <c r="R164" s="125"/>
      <c r="S164" s="125"/>
      <c r="T164" s="125"/>
      <c r="U164" s="125"/>
      <c r="V164" s="125"/>
      <c r="W164" s="10"/>
      <c r="X164" s="9"/>
      <c r="Y164" s="9"/>
      <c r="Z164" s="9"/>
      <c r="AA164" s="9"/>
      <c r="AB164" s="9"/>
      <c r="AC164" s="9"/>
      <c r="AD164" s="9"/>
      <c r="AE164" s="9"/>
      <c r="AF164" s="9"/>
      <c r="AG164" s="11"/>
    </row>
    <row r="165" spans="1:33" ht="13.5" customHeight="1">
      <c r="A165" s="9"/>
      <c r="B165" s="125"/>
      <c r="C165" s="125"/>
      <c r="D165" s="125"/>
      <c r="E165" s="125"/>
      <c r="F165" s="125"/>
      <c r="G165" s="131"/>
      <c r="H165" s="125"/>
      <c r="I165" s="130"/>
      <c r="J165" s="130"/>
      <c r="K165" s="130"/>
      <c r="L165" s="130"/>
      <c r="M165" s="125"/>
      <c r="N165" s="125"/>
      <c r="O165" s="125"/>
      <c r="P165" s="125"/>
      <c r="Q165" s="125"/>
      <c r="R165" s="125"/>
      <c r="S165" s="125"/>
      <c r="T165" s="125"/>
      <c r="U165" s="125"/>
      <c r="V165" s="125"/>
      <c r="W165" s="10"/>
      <c r="X165" s="9"/>
      <c r="Y165" s="9"/>
      <c r="Z165" s="9"/>
      <c r="AA165" s="9"/>
      <c r="AB165" s="9"/>
      <c r="AC165" s="9"/>
      <c r="AD165" s="9"/>
      <c r="AE165" s="9"/>
      <c r="AF165" s="9"/>
      <c r="AG165" s="11"/>
    </row>
    <row r="166" spans="1:33" ht="13.5" customHeight="1">
      <c r="A166" s="9"/>
      <c r="B166" s="125"/>
      <c r="C166" s="125"/>
      <c r="D166" s="125"/>
      <c r="E166" s="125"/>
      <c r="F166" s="125"/>
      <c r="G166" s="131"/>
      <c r="H166" s="125"/>
      <c r="I166" s="130"/>
      <c r="J166" s="130"/>
      <c r="K166" s="130"/>
      <c r="L166" s="130"/>
      <c r="M166" s="125"/>
      <c r="N166" s="125"/>
      <c r="O166" s="125"/>
      <c r="P166" s="125"/>
      <c r="Q166" s="125"/>
      <c r="R166" s="125"/>
      <c r="S166" s="125"/>
      <c r="T166" s="125"/>
      <c r="U166" s="125"/>
      <c r="V166" s="125"/>
      <c r="W166" s="10"/>
      <c r="X166" s="9"/>
      <c r="Y166" s="9"/>
      <c r="Z166" s="9"/>
      <c r="AA166" s="9"/>
      <c r="AB166" s="9"/>
      <c r="AC166" s="9"/>
      <c r="AD166" s="9"/>
      <c r="AE166" s="9"/>
      <c r="AF166" s="9"/>
      <c r="AG166" s="11"/>
    </row>
    <row r="167" spans="1:33" ht="13.5" customHeight="1">
      <c r="A167" s="9"/>
      <c r="B167" s="125"/>
      <c r="C167" s="125"/>
      <c r="D167" s="125"/>
      <c r="E167" s="125"/>
      <c r="F167" s="125"/>
      <c r="G167" s="131"/>
      <c r="H167" s="125"/>
      <c r="I167" s="130"/>
      <c r="J167" s="130"/>
      <c r="K167" s="130"/>
      <c r="L167" s="130"/>
      <c r="M167" s="125"/>
      <c r="N167" s="125"/>
      <c r="O167" s="125"/>
      <c r="P167" s="125"/>
      <c r="Q167" s="125"/>
      <c r="R167" s="125"/>
      <c r="S167" s="125"/>
      <c r="T167" s="125"/>
      <c r="U167" s="125"/>
      <c r="V167" s="125"/>
      <c r="W167" s="10"/>
      <c r="X167" s="9"/>
      <c r="Y167" s="9"/>
      <c r="Z167" s="9"/>
      <c r="AA167" s="9"/>
      <c r="AB167" s="9"/>
      <c r="AC167" s="9"/>
      <c r="AD167" s="9"/>
      <c r="AE167" s="9"/>
      <c r="AF167" s="9"/>
      <c r="AG167" s="11"/>
    </row>
    <row r="168" spans="1:33" ht="13.5" customHeight="1">
      <c r="A168" s="9"/>
      <c r="B168" s="125"/>
      <c r="C168" s="125"/>
      <c r="D168" s="125"/>
      <c r="E168" s="125"/>
      <c r="F168" s="125"/>
      <c r="G168" s="131"/>
      <c r="H168" s="125"/>
      <c r="I168" s="130"/>
      <c r="J168" s="130"/>
      <c r="K168" s="130"/>
      <c r="L168" s="130"/>
      <c r="M168" s="125"/>
      <c r="N168" s="125"/>
      <c r="O168" s="125"/>
      <c r="P168" s="125"/>
      <c r="Q168" s="125"/>
      <c r="R168" s="125"/>
      <c r="S168" s="125"/>
      <c r="T168" s="125"/>
      <c r="U168" s="125"/>
      <c r="V168" s="125"/>
      <c r="W168" s="10"/>
      <c r="X168" s="9"/>
      <c r="Y168" s="9"/>
      <c r="Z168" s="9"/>
      <c r="AA168" s="9"/>
      <c r="AB168" s="9"/>
      <c r="AC168" s="9"/>
      <c r="AD168" s="9"/>
      <c r="AE168" s="9"/>
      <c r="AF168" s="9"/>
      <c r="AG168" s="11"/>
    </row>
    <row r="169" spans="1:33" ht="13.5" customHeight="1">
      <c r="A169" s="9"/>
      <c r="B169" s="125"/>
      <c r="C169" s="125"/>
      <c r="D169" s="125"/>
      <c r="E169" s="125"/>
      <c r="F169" s="125"/>
      <c r="G169" s="131"/>
      <c r="H169" s="125"/>
      <c r="I169" s="130"/>
      <c r="J169" s="130"/>
      <c r="K169" s="130"/>
      <c r="L169" s="130"/>
      <c r="M169" s="125"/>
      <c r="N169" s="125"/>
      <c r="O169" s="125"/>
      <c r="P169" s="125"/>
      <c r="Q169" s="125"/>
      <c r="R169" s="125"/>
      <c r="S169" s="125"/>
      <c r="T169" s="125"/>
      <c r="U169" s="125"/>
      <c r="V169" s="125"/>
      <c r="W169" s="10"/>
      <c r="X169" s="9"/>
      <c r="Y169" s="9"/>
      <c r="Z169" s="9"/>
      <c r="AA169" s="9"/>
      <c r="AB169" s="9"/>
      <c r="AC169" s="9"/>
      <c r="AD169" s="9"/>
      <c r="AE169" s="9"/>
      <c r="AF169" s="9"/>
      <c r="AG169" s="11"/>
    </row>
    <row r="170" spans="1:33" ht="13.5" customHeight="1">
      <c r="A170" s="9"/>
      <c r="B170" s="125"/>
      <c r="C170" s="125"/>
      <c r="D170" s="125"/>
      <c r="E170" s="125"/>
      <c r="F170" s="125"/>
      <c r="G170" s="131"/>
      <c r="H170" s="125"/>
      <c r="I170" s="130"/>
      <c r="J170" s="130"/>
      <c r="K170" s="130"/>
      <c r="L170" s="130"/>
      <c r="M170" s="125"/>
      <c r="N170" s="125"/>
      <c r="O170" s="125"/>
      <c r="P170" s="125"/>
      <c r="Q170" s="125"/>
      <c r="R170" s="125"/>
      <c r="S170" s="125"/>
      <c r="T170" s="125"/>
      <c r="U170" s="125"/>
      <c r="V170" s="125"/>
      <c r="W170" s="10"/>
      <c r="X170" s="9"/>
      <c r="Y170" s="9"/>
      <c r="Z170" s="9"/>
      <c r="AA170" s="9"/>
      <c r="AB170" s="9"/>
      <c r="AC170" s="9"/>
      <c r="AD170" s="9"/>
      <c r="AE170" s="9"/>
      <c r="AF170" s="9"/>
      <c r="AG170" s="11"/>
    </row>
    <row r="171" spans="1:33" ht="13.5" customHeight="1">
      <c r="A171" s="9"/>
      <c r="B171" s="125"/>
      <c r="C171" s="125"/>
      <c r="D171" s="125"/>
      <c r="E171" s="125"/>
      <c r="F171" s="125"/>
      <c r="G171" s="131"/>
      <c r="H171" s="125"/>
      <c r="I171" s="130"/>
      <c r="J171" s="130"/>
      <c r="K171" s="130"/>
      <c r="L171" s="130"/>
      <c r="M171" s="125"/>
      <c r="N171" s="125"/>
      <c r="O171" s="125"/>
      <c r="P171" s="125"/>
      <c r="Q171" s="125"/>
      <c r="R171" s="125"/>
      <c r="S171" s="125"/>
      <c r="T171" s="125"/>
      <c r="U171" s="125"/>
      <c r="V171" s="125"/>
      <c r="W171" s="10"/>
      <c r="X171" s="9"/>
      <c r="Y171" s="9"/>
      <c r="Z171" s="9"/>
      <c r="AA171" s="9"/>
      <c r="AB171" s="9"/>
      <c r="AC171" s="9"/>
      <c r="AD171" s="9"/>
      <c r="AE171" s="9"/>
      <c r="AF171" s="9"/>
      <c r="AG171" s="11"/>
    </row>
    <row r="172" spans="1:33" ht="13.5" customHeight="1">
      <c r="A172" s="9"/>
      <c r="B172" s="125"/>
      <c r="C172" s="125"/>
      <c r="D172" s="125"/>
      <c r="E172" s="125"/>
      <c r="F172" s="125"/>
      <c r="G172" s="131"/>
      <c r="H172" s="125"/>
      <c r="I172" s="130"/>
      <c r="J172" s="130"/>
      <c r="K172" s="130"/>
      <c r="L172" s="130"/>
      <c r="M172" s="125"/>
      <c r="N172" s="125"/>
      <c r="O172" s="125"/>
      <c r="P172" s="125"/>
      <c r="Q172" s="125"/>
      <c r="R172" s="125"/>
      <c r="S172" s="125"/>
      <c r="T172" s="125"/>
      <c r="U172" s="125"/>
      <c r="V172" s="125"/>
      <c r="W172" s="10"/>
      <c r="X172" s="9"/>
      <c r="Y172" s="9"/>
      <c r="Z172" s="9"/>
      <c r="AA172" s="9"/>
      <c r="AB172" s="9"/>
      <c r="AC172" s="9"/>
      <c r="AD172" s="9"/>
      <c r="AE172" s="9"/>
      <c r="AF172" s="9"/>
      <c r="AG172" s="11"/>
    </row>
    <row r="173" spans="1:33" ht="13.5" customHeight="1">
      <c r="A173" s="9"/>
      <c r="B173" s="125"/>
      <c r="C173" s="125"/>
      <c r="D173" s="125"/>
      <c r="E173" s="125"/>
      <c r="F173" s="125"/>
      <c r="G173" s="131"/>
      <c r="H173" s="125"/>
      <c r="I173" s="130"/>
      <c r="J173" s="130"/>
      <c r="K173" s="130"/>
      <c r="L173" s="130"/>
      <c r="M173" s="125"/>
      <c r="N173" s="125"/>
      <c r="O173" s="125"/>
      <c r="P173" s="125"/>
      <c r="Q173" s="125"/>
      <c r="R173" s="125"/>
      <c r="S173" s="125"/>
      <c r="T173" s="125"/>
      <c r="U173" s="125"/>
      <c r="V173" s="125"/>
      <c r="W173" s="10"/>
      <c r="X173" s="9"/>
      <c r="Y173" s="9"/>
      <c r="Z173" s="9"/>
      <c r="AA173" s="9"/>
      <c r="AB173" s="9"/>
      <c r="AC173" s="9"/>
      <c r="AD173" s="9"/>
      <c r="AE173" s="9"/>
      <c r="AF173" s="9"/>
      <c r="AG173" s="11"/>
    </row>
    <row r="174" spans="1:33" ht="13.5" customHeight="1">
      <c r="A174" s="9"/>
      <c r="B174" s="125"/>
      <c r="C174" s="125"/>
      <c r="D174" s="125"/>
      <c r="E174" s="125"/>
      <c r="F174" s="125"/>
      <c r="G174" s="131"/>
      <c r="H174" s="125"/>
      <c r="I174" s="130"/>
      <c r="J174" s="130"/>
      <c r="K174" s="130"/>
      <c r="L174" s="130"/>
      <c r="M174" s="125"/>
      <c r="N174" s="125"/>
      <c r="O174" s="125"/>
      <c r="P174" s="125"/>
      <c r="Q174" s="125"/>
      <c r="R174" s="125"/>
      <c r="S174" s="125"/>
      <c r="T174" s="125"/>
      <c r="U174" s="125"/>
      <c r="V174" s="125"/>
      <c r="W174" s="10"/>
      <c r="X174" s="9"/>
      <c r="Y174" s="9"/>
      <c r="Z174" s="9"/>
      <c r="AA174" s="9"/>
      <c r="AB174" s="9"/>
      <c r="AC174" s="9"/>
      <c r="AD174" s="9"/>
      <c r="AE174" s="9"/>
      <c r="AF174" s="9"/>
      <c r="AG174" s="11"/>
    </row>
    <row r="175" spans="1:33" ht="13.5" customHeight="1">
      <c r="A175" s="9"/>
      <c r="B175" s="125"/>
      <c r="C175" s="125"/>
      <c r="D175" s="125"/>
      <c r="E175" s="125"/>
      <c r="F175" s="125"/>
      <c r="G175" s="131"/>
      <c r="H175" s="125"/>
      <c r="I175" s="130"/>
      <c r="J175" s="130"/>
      <c r="K175" s="130"/>
      <c r="L175" s="130"/>
      <c r="M175" s="125"/>
      <c r="N175" s="125"/>
      <c r="O175" s="125"/>
      <c r="P175" s="125"/>
      <c r="Q175" s="125"/>
      <c r="R175" s="125"/>
      <c r="S175" s="125"/>
      <c r="T175" s="125"/>
      <c r="U175" s="125"/>
      <c r="V175" s="125"/>
      <c r="W175" s="10"/>
      <c r="X175" s="9"/>
      <c r="Y175" s="9"/>
      <c r="Z175" s="9"/>
      <c r="AA175" s="9"/>
      <c r="AB175" s="9"/>
      <c r="AC175" s="9"/>
      <c r="AD175" s="9"/>
      <c r="AE175" s="9"/>
      <c r="AF175" s="9"/>
      <c r="AG175" s="11"/>
    </row>
    <row r="176" spans="1:33" ht="13.5" customHeight="1">
      <c r="A176" s="9"/>
      <c r="B176" s="125"/>
      <c r="C176" s="125"/>
      <c r="D176" s="125"/>
      <c r="E176" s="125"/>
      <c r="F176" s="125"/>
      <c r="G176" s="131"/>
      <c r="H176" s="125"/>
      <c r="I176" s="130"/>
      <c r="J176" s="130"/>
      <c r="K176" s="130"/>
      <c r="L176" s="130"/>
      <c r="M176" s="125"/>
      <c r="N176" s="125"/>
      <c r="O176" s="125"/>
      <c r="P176" s="125"/>
      <c r="Q176" s="125"/>
      <c r="R176" s="125"/>
      <c r="S176" s="125"/>
      <c r="T176" s="125"/>
      <c r="U176" s="125"/>
      <c r="V176" s="125"/>
      <c r="W176" s="10"/>
      <c r="X176" s="9"/>
      <c r="Y176" s="9"/>
      <c r="Z176" s="9"/>
      <c r="AA176" s="9"/>
      <c r="AB176" s="9"/>
      <c r="AC176" s="9"/>
      <c r="AD176" s="9"/>
      <c r="AE176" s="9"/>
      <c r="AF176" s="9"/>
      <c r="AG176" s="11"/>
    </row>
    <row r="177" spans="1:33" ht="13.5" customHeight="1">
      <c r="A177" s="9"/>
      <c r="B177" s="125"/>
      <c r="C177" s="125"/>
      <c r="D177" s="125"/>
      <c r="E177" s="125"/>
      <c r="F177" s="125"/>
      <c r="G177" s="131"/>
      <c r="H177" s="125"/>
      <c r="I177" s="130"/>
      <c r="J177" s="130"/>
      <c r="K177" s="130"/>
      <c r="L177" s="130"/>
      <c r="M177" s="125"/>
      <c r="N177" s="125"/>
      <c r="O177" s="125"/>
      <c r="P177" s="125"/>
      <c r="Q177" s="125"/>
      <c r="R177" s="125"/>
      <c r="S177" s="125"/>
      <c r="T177" s="125"/>
      <c r="U177" s="125"/>
      <c r="V177" s="125"/>
      <c r="W177" s="10"/>
      <c r="X177" s="9"/>
      <c r="Y177" s="9"/>
      <c r="Z177" s="9"/>
      <c r="AA177" s="9"/>
      <c r="AB177" s="9"/>
      <c r="AC177" s="9"/>
      <c r="AD177" s="9"/>
      <c r="AE177" s="9"/>
      <c r="AF177" s="9"/>
      <c r="AG177" s="11"/>
    </row>
    <row r="178" spans="1:33" ht="13.5" customHeight="1">
      <c r="A178" s="9"/>
      <c r="B178" s="125"/>
      <c r="C178" s="125"/>
      <c r="D178" s="125"/>
      <c r="E178" s="125"/>
      <c r="F178" s="125"/>
      <c r="G178" s="131"/>
      <c r="H178" s="125"/>
      <c r="I178" s="130"/>
      <c r="J178" s="130"/>
      <c r="K178" s="130"/>
      <c r="L178" s="130"/>
      <c r="M178" s="125"/>
      <c r="N178" s="125"/>
      <c r="O178" s="125"/>
      <c r="P178" s="125"/>
      <c r="Q178" s="125"/>
      <c r="R178" s="125"/>
      <c r="S178" s="125"/>
      <c r="T178" s="125"/>
      <c r="U178" s="125"/>
      <c r="V178" s="125"/>
      <c r="W178" s="10"/>
      <c r="X178" s="9"/>
      <c r="Y178" s="9"/>
      <c r="Z178" s="9"/>
      <c r="AA178" s="9"/>
      <c r="AB178" s="9"/>
      <c r="AC178" s="9"/>
      <c r="AD178" s="9"/>
      <c r="AE178" s="9"/>
      <c r="AF178" s="9"/>
      <c r="AG178" s="11"/>
    </row>
    <row r="179" spans="1:33" ht="13.5" customHeight="1">
      <c r="A179" s="9"/>
      <c r="B179" s="125"/>
      <c r="C179" s="125"/>
      <c r="D179" s="125"/>
      <c r="E179" s="125"/>
      <c r="F179" s="125"/>
      <c r="G179" s="131"/>
      <c r="H179" s="125"/>
      <c r="I179" s="130"/>
      <c r="J179" s="130"/>
      <c r="K179" s="130"/>
      <c r="L179" s="130"/>
      <c r="M179" s="125"/>
      <c r="N179" s="125"/>
      <c r="O179" s="125"/>
      <c r="P179" s="125"/>
      <c r="Q179" s="125"/>
      <c r="R179" s="125"/>
      <c r="S179" s="125"/>
      <c r="T179" s="125"/>
      <c r="U179" s="125"/>
      <c r="V179" s="125"/>
      <c r="W179" s="10"/>
      <c r="X179" s="9"/>
      <c r="Y179" s="9"/>
      <c r="Z179" s="9"/>
      <c r="AA179" s="9"/>
      <c r="AB179" s="9"/>
      <c r="AC179" s="9"/>
      <c r="AD179" s="9"/>
      <c r="AE179" s="9"/>
      <c r="AF179" s="9"/>
      <c r="AG179" s="11"/>
    </row>
    <row r="180" spans="1:33" ht="13.5" customHeight="1">
      <c r="A180" s="9"/>
      <c r="B180" s="125"/>
      <c r="C180" s="125"/>
      <c r="D180" s="125"/>
      <c r="E180" s="125"/>
      <c r="F180" s="125"/>
      <c r="G180" s="131"/>
      <c r="H180" s="125"/>
      <c r="I180" s="130"/>
      <c r="J180" s="130"/>
      <c r="K180" s="130"/>
      <c r="L180" s="130"/>
      <c r="M180" s="125"/>
      <c r="N180" s="125"/>
      <c r="O180" s="125"/>
      <c r="P180" s="125"/>
      <c r="Q180" s="125"/>
      <c r="R180" s="125"/>
      <c r="S180" s="125"/>
      <c r="T180" s="125"/>
      <c r="U180" s="125"/>
      <c r="V180" s="125"/>
      <c r="W180" s="10"/>
      <c r="X180" s="9"/>
      <c r="Y180" s="9"/>
      <c r="Z180" s="9"/>
      <c r="AA180" s="9"/>
      <c r="AB180" s="9"/>
      <c r="AC180" s="9"/>
      <c r="AD180" s="9"/>
      <c r="AE180" s="9"/>
      <c r="AF180" s="9"/>
      <c r="AG180" s="11"/>
    </row>
    <row r="181" spans="1:33" ht="13.5" customHeight="1">
      <c r="A181" s="9"/>
      <c r="B181" s="125"/>
      <c r="C181" s="125"/>
      <c r="D181" s="125"/>
      <c r="E181" s="125"/>
      <c r="F181" s="125"/>
      <c r="G181" s="131"/>
      <c r="H181" s="125"/>
      <c r="I181" s="130"/>
      <c r="J181" s="130"/>
      <c r="K181" s="130"/>
      <c r="L181" s="130"/>
      <c r="M181" s="125"/>
      <c r="N181" s="125"/>
      <c r="O181" s="125"/>
      <c r="P181" s="125"/>
      <c r="Q181" s="125"/>
      <c r="R181" s="125"/>
      <c r="S181" s="125"/>
      <c r="T181" s="125"/>
      <c r="U181" s="125"/>
      <c r="V181" s="125"/>
      <c r="W181" s="10"/>
      <c r="X181" s="9"/>
      <c r="Y181" s="9"/>
      <c r="Z181" s="9"/>
      <c r="AA181" s="9"/>
      <c r="AB181" s="9"/>
      <c r="AC181" s="9"/>
      <c r="AD181" s="9"/>
      <c r="AE181" s="9"/>
      <c r="AF181" s="9"/>
      <c r="AG181" s="11"/>
    </row>
    <row r="182" spans="1:33" ht="13.5" customHeight="1">
      <c r="A182" s="9"/>
      <c r="B182" s="125"/>
      <c r="C182" s="125"/>
      <c r="D182" s="125"/>
      <c r="E182" s="125"/>
      <c r="F182" s="125"/>
      <c r="G182" s="131"/>
      <c r="H182" s="125"/>
      <c r="I182" s="130"/>
      <c r="J182" s="130"/>
      <c r="K182" s="130"/>
      <c r="L182" s="130"/>
      <c r="M182" s="125"/>
      <c r="N182" s="125"/>
      <c r="O182" s="125"/>
      <c r="P182" s="125"/>
      <c r="Q182" s="125"/>
      <c r="R182" s="125"/>
      <c r="S182" s="125"/>
      <c r="T182" s="125"/>
      <c r="U182" s="125"/>
      <c r="V182" s="125"/>
      <c r="W182" s="10"/>
      <c r="X182" s="9"/>
      <c r="Y182" s="9"/>
      <c r="Z182" s="9"/>
      <c r="AA182" s="9"/>
      <c r="AB182" s="9"/>
      <c r="AC182" s="9"/>
      <c r="AD182" s="9"/>
      <c r="AE182" s="9"/>
      <c r="AF182" s="9"/>
      <c r="AG182" s="11"/>
    </row>
    <row r="183" spans="1:33" ht="13.5" customHeight="1">
      <c r="A183" s="9"/>
      <c r="B183" s="125"/>
      <c r="C183" s="125"/>
      <c r="D183" s="125"/>
      <c r="E183" s="125"/>
      <c r="F183" s="125"/>
      <c r="G183" s="131"/>
      <c r="H183" s="125"/>
      <c r="I183" s="130"/>
      <c r="J183" s="130"/>
      <c r="K183" s="130"/>
      <c r="L183" s="130"/>
      <c r="M183" s="125"/>
      <c r="N183" s="125"/>
      <c r="O183" s="125"/>
      <c r="P183" s="125"/>
      <c r="Q183" s="125"/>
      <c r="R183" s="125"/>
      <c r="S183" s="125"/>
      <c r="T183" s="125"/>
      <c r="U183" s="125"/>
      <c r="V183" s="125"/>
      <c r="W183" s="10"/>
      <c r="X183" s="9"/>
      <c r="Y183" s="9"/>
      <c r="Z183" s="9"/>
      <c r="AA183" s="9"/>
      <c r="AB183" s="9"/>
      <c r="AC183" s="9"/>
      <c r="AD183" s="9"/>
      <c r="AE183" s="9"/>
      <c r="AF183" s="9"/>
      <c r="AG183" s="11"/>
    </row>
    <row r="184" spans="1:33" ht="13.5" customHeight="1">
      <c r="A184" s="9"/>
      <c r="B184" s="125"/>
      <c r="C184" s="125"/>
      <c r="D184" s="125"/>
      <c r="E184" s="125"/>
      <c r="F184" s="125"/>
      <c r="G184" s="131"/>
      <c r="H184" s="125"/>
      <c r="I184" s="130"/>
      <c r="J184" s="130"/>
      <c r="K184" s="130"/>
      <c r="L184" s="130"/>
      <c r="M184" s="125"/>
      <c r="N184" s="125"/>
      <c r="O184" s="125"/>
      <c r="P184" s="125"/>
      <c r="Q184" s="125"/>
      <c r="R184" s="125"/>
      <c r="S184" s="125"/>
      <c r="T184" s="125"/>
      <c r="U184" s="125"/>
      <c r="V184" s="125"/>
      <c r="W184" s="10"/>
      <c r="X184" s="9"/>
      <c r="Y184" s="9"/>
      <c r="Z184" s="9"/>
      <c r="AA184" s="9"/>
      <c r="AB184" s="9"/>
      <c r="AC184" s="9"/>
      <c r="AD184" s="9"/>
      <c r="AE184" s="9"/>
      <c r="AF184" s="9"/>
      <c r="AG184" s="11"/>
    </row>
    <row r="185" spans="1:33" ht="13.5" customHeight="1">
      <c r="A185" s="9"/>
      <c r="B185" s="125"/>
      <c r="C185" s="125"/>
      <c r="D185" s="125"/>
      <c r="E185" s="125"/>
      <c r="F185" s="125"/>
      <c r="G185" s="131"/>
      <c r="H185" s="125"/>
      <c r="I185" s="130"/>
      <c r="J185" s="130"/>
      <c r="K185" s="130"/>
      <c r="L185" s="130"/>
      <c r="M185" s="125"/>
      <c r="N185" s="125"/>
      <c r="O185" s="125"/>
      <c r="P185" s="125"/>
      <c r="Q185" s="125"/>
      <c r="R185" s="125"/>
      <c r="S185" s="125"/>
      <c r="T185" s="125"/>
      <c r="U185" s="125"/>
      <c r="V185" s="125"/>
      <c r="W185" s="10"/>
      <c r="X185" s="9"/>
      <c r="Y185" s="9"/>
      <c r="Z185" s="9"/>
      <c r="AA185" s="9"/>
      <c r="AB185" s="9"/>
      <c r="AC185" s="9"/>
      <c r="AD185" s="9"/>
      <c r="AE185" s="9"/>
      <c r="AF185" s="9"/>
      <c r="AG185" s="11"/>
    </row>
    <row r="186" spans="1:33" ht="13.5" customHeight="1">
      <c r="A186" s="9"/>
      <c r="B186" s="125"/>
      <c r="C186" s="125"/>
      <c r="D186" s="125"/>
      <c r="E186" s="125"/>
      <c r="F186" s="125"/>
      <c r="G186" s="131"/>
      <c r="H186" s="125"/>
      <c r="I186" s="130"/>
      <c r="J186" s="130"/>
      <c r="K186" s="130"/>
      <c r="L186" s="130"/>
      <c r="M186" s="125"/>
      <c r="N186" s="125"/>
      <c r="O186" s="125"/>
      <c r="P186" s="125"/>
      <c r="Q186" s="125"/>
      <c r="R186" s="125"/>
      <c r="S186" s="125"/>
      <c r="T186" s="125"/>
      <c r="U186" s="125"/>
      <c r="V186" s="125"/>
      <c r="W186" s="10"/>
      <c r="X186" s="9"/>
      <c r="Y186" s="9"/>
      <c r="Z186" s="9"/>
      <c r="AA186" s="9"/>
      <c r="AB186" s="9"/>
      <c r="AC186" s="9"/>
      <c r="AD186" s="9"/>
      <c r="AE186" s="9"/>
      <c r="AF186" s="9"/>
      <c r="AG186" s="11"/>
    </row>
    <row r="187" spans="1:33" ht="13.5" customHeight="1">
      <c r="A187" s="9"/>
      <c r="B187" s="125"/>
      <c r="C187" s="125"/>
      <c r="D187" s="125"/>
      <c r="E187" s="125"/>
      <c r="F187" s="125"/>
      <c r="G187" s="131"/>
      <c r="H187" s="125"/>
      <c r="I187" s="130"/>
      <c r="J187" s="130"/>
      <c r="K187" s="130"/>
      <c r="L187" s="130"/>
      <c r="M187" s="125"/>
      <c r="N187" s="125"/>
      <c r="O187" s="125"/>
      <c r="P187" s="125"/>
      <c r="Q187" s="125"/>
      <c r="R187" s="125"/>
      <c r="S187" s="125"/>
      <c r="T187" s="125"/>
      <c r="U187" s="125"/>
      <c r="V187" s="125"/>
      <c r="W187" s="10"/>
      <c r="X187" s="9"/>
      <c r="Y187" s="9"/>
      <c r="Z187" s="9"/>
      <c r="AA187" s="9"/>
      <c r="AB187" s="9"/>
      <c r="AC187" s="9"/>
      <c r="AD187" s="9"/>
      <c r="AE187" s="9"/>
      <c r="AF187" s="9"/>
      <c r="AG187" s="11"/>
    </row>
    <row r="188" spans="1:33" ht="13.5" customHeight="1">
      <c r="A188" s="9"/>
      <c r="B188" s="125"/>
      <c r="C188" s="125"/>
      <c r="D188" s="125"/>
      <c r="E188" s="125"/>
      <c r="F188" s="125"/>
      <c r="G188" s="131"/>
      <c r="H188" s="125"/>
      <c r="I188" s="130"/>
      <c r="J188" s="130"/>
      <c r="K188" s="130"/>
      <c r="L188" s="130"/>
      <c r="M188" s="125"/>
      <c r="N188" s="125"/>
      <c r="O188" s="125"/>
      <c r="P188" s="125"/>
      <c r="Q188" s="125"/>
      <c r="R188" s="125"/>
      <c r="S188" s="125"/>
      <c r="T188" s="125"/>
      <c r="U188" s="125"/>
      <c r="V188" s="125"/>
      <c r="W188" s="10"/>
      <c r="X188" s="9"/>
      <c r="Y188" s="9"/>
      <c r="Z188" s="9"/>
      <c r="AA188" s="9"/>
      <c r="AB188" s="9"/>
      <c r="AC188" s="9"/>
      <c r="AD188" s="9"/>
      <c r="AE188" s="9"/>
      <c r="AF188" s="9"/>
      <c r="AG188" s="11"/>
    </row>
    <row r="189" spans="1:33" ht="13.5" customHeight="1">
      <c r="A189" s="9"/>
      <c r="B189" s="125"/>
      <c r="C189" s="125"/>
      <c r="D189" s="125"/>
      <c r="E189" s="125"/>
      <c r="F189" s="125"/>
      <c r="G189" s="131"/>
      <c r="H189" s="125"/>
      <c r="I189" s="130"/>
      <c r="J189" s="130"/>
      <c r="K189" s="130"/>
      <c r="L189" s="130"/>
      <c r="M189" s="125"/>
      <c r="N189" s="125"/>
      <c r="O189" s="125"/>
      <c r="P189" s="125"/>
      <c r="Q189" s="125"/>
      <c r="R189" s="125"/>
      <c r="S189" s="125"/>
      <c r="T189" s="125"/>
      <c r="U189" s="125"/>
      <c r="V189" s="125"/>
      <c r="W189" s="10"/>
      <c r="X189" s="9"/>
      <c r="Y189" s="9"/>
      <c r="Z189" s="9"/>
      <c r="AA189" s="9"/>
      <c r="AB189" s="9"/>
      <c r="AC189" s="9"/>
      <c r="AD189" s="9"/>
      <c r="AE189" s="9"/>
      <c r="AF189" s="9"/>
      <c r="AG189" s="11"/>
    </row>
    <row r="190" spans="1:33" ht="13.5" customHeight="1">
      <c r="A190" s="9"/>
      <c r="B190" s="125"/>
      <c r="C190" s="125"/>
      <c r="D190" s="125"/>
      <c r="E190" s="125"/>
      <c r="F190" s="125"/>
      <c r="G190" s="131"/>
      <c r="H190" s="125"/>
      <c r="I190" s="130"/>
      <c r="J190" s="130"/>
      <c r="K190" s="130"/>
      <c r="L190" s="130"/>
      <c r="M190" s="125"/>
      <c r="N190" s="125"/>
      <c r="O190" s="125"/>
      <c r="P190" s="125"/>
      <c r="Q190" s="125"/>
      <c r="R190" s="125"/>
      <c r="S190" s="125"/>
      <c r="T190" s="125"/>
      <c r="U190" s="125"/>
      <c r="V190" s="125"/>
      <c r="W190" s="10"/>
      <c r="X190" s="9"/>
      <c r="Y190" s="9"/>
      <c r="Z190" s="9"/>
      <c r="AA190" s="9"/>
      <c r="AB190" s="9"/>
      <c r="AC190" s="9"/>
      <c r="AD190" s="9"/>
      <c r="AE190" s="9"/>
      <c r="AF190" s="9"/>
      <c r="AG190" s="11"/>
    </row>
    <row r="191" spans="1:33" ht="13.5" customHeight="1">
      <c r="A191" s="9"/>
      <c r="B191" s="125"/>
      <c r="C191" s="125"/>
      <c r="D191" s="125"/>
      <c r="E191" s="125"/>
      <c r="F191" s="125"/>
      <c r="G191" s="131"/>
      <c r="H191" s="125"/>
      <c r="I191" s="130"/>
      <c r="J191" s="130"/>
      <c r="K191" s="130"/>
      <c r="L191" s="130"/>
      <c r="M191" s="125"/>
      <c r="N191" s="125"/>
      <c r="O191" s="125"/>
      <c r="P191" s="125"/>
      <c r="Q191" s="125"/>
      <c r="R191" s="125"/>
      <c r="S191" s="125"/>
      <c r="T191" s="125"/>
      <c r="U191" s="125"/>
      <c r="V191" s="125"/>
      <c r="W191" s="10"/>
      <c r="X191" s="9"/>
      <c r="Y191" s="9"/>
      <c r="Z191" s="9"/>
      <c r="AA191" s="9"/>
      <c r="AB191" s="9"/>
      <c r="AC191" s="9"/>
      <c r="AD191" s="9"/>
      <c r="AE191" s="9"/>
      <c r="AF191" s="9"/>
      <c r="AG191" s="11"/>
    </row>
    <row r="192" spans="1:33" ht="13.5" customHeight="1">
      <c r="A192" s="9"/>
      <c r="B192" s="125"/>
      <c r="C192" s="125"/>
      <c r="D192" s="125"/>
      <c r="E192" s="125"/>
      <c r="F192" s="125"/>
      <c r="G192" s="131"/>
      <c r="H192" s="125"/>
      <c r="I192" s="130"/>
      <c r="J192" s="130"/>
      <c r="K192" s="130"/>
      <c r="L192" s="130"/>
      <c r="M192" s="125"/>
      <c r="N192" s="125"/>
      <c r="O192" s="125"/>
      <c r="P192" s="125"/>
      <c r="Q192" s="125"/>
      <c r="R192" s="125"/>
      <c r="S192" s="125"/>
      <c r="T192" s="125"/>
      <c r="U192" s="125"/>
      <c r="V192" s="125"/>
      <c r="W192" s="10"/>
      <c r="X192" s="9"/>
      <c r="Y192" s="9"/>
      <c r="Z192" s="9"/>
      <c r="AA192" s="9"/>
      <c r="AB192" s="9"/>
      <c r="AC192" s="9"/>
      <c r="AD192" s="9"/>
      <c r="AE192" s="9"/>
      <c r="AF192" s="9"/>
      <c r="AG192" s="11"/>
    </row>
    <row r="193" spans="1:33" ht="13.5" customHeight="1">
      <c r="A193" s="9"/>
      <c r="B193" s="125"/>
      <c r="C193" s="125"/>
      <c r="D193" s="125"/>
      <c r="E193" s="125"/>
      <c r="F193" s="125"/>
      <c r="G193" s="131"/>
      <c r="H193" s="125"/>
      <c r="I193" s="130"/>
      <c r="J193" s="130"/>
      <c r="K193" s="130"/>
      <c r="L193" s="130"/>
      <c r="M193" s="125"/>
      <c r="N193" s="125"/>
      <c r="O193" s="125"/>
      <c r="P193" s="125"/>
      <c r="Q193" s="125"/>
      <c r="R193" s="125"/>
      <c r="S193" s="125"/>
      <c r="T193" s="125"/>
      <c r="U193" s="125"/>
      <c r="V193" s="125"/>
      <c r="W193" s="10"/>
      <c r="X193" s="9"/>
      <c r="Y193" s="9"/>
      <c r="Z193" s="9"/>
      <c r="AA193" s="9"/>
      <c r="AB193" s="9"/>
      <c r="AC193" s="9"/>
      <c r="AD193" s="9"/>
      <c r="AE193" s="9"/>
      <c r="AF193" s="9"/>
      <c r="AG193" s="11"/>
    </row>
    <row r="194" spans="1:33" ht="13.5" customHeight="1">
      <c r="A194" s="9"/>
      <c r="B194" s="125"/>
      <c r="C194" s="125"/>
      <c r="D194" s="125"/>
      <c r="E194" s="125"/>
      <c r="F194" s="125"/>
      <c r="G194" s="131"/>
      <c r="H194" s="125"/>
      <c r="I194" s="130"/>
      <c r="J194" s="130"/>
      <c r="K194" s="130"/>
      <c r="L194" s="130"/>
      <c r="M194" s="125"/>
      <c r="N194" s="125"/>
      <c r="O194" s="125"/>
      <c r="P194" s="125"/>
      <c r="Q194" s="125"/>
      <c r="R194" s="125"/>
      <c r="S194" s="125"/>
      <c r="T194" s="125"/>
      <c r="U194" s="125"/>
      <c r="V194" s="125"/>
      <c r="W194" s="10"/>
      <c r="X194" s="9"/>
      <c r="Y194" s="9"/>
      <c r="Z194" s="9"/>
      <c r="AA194" s="9"/>
      <c r="AB194" s="9"/>
      <c r="AC194" s="9"/>
      <c r="AD194" s="9"/>
      <c r="AE194" s="9"/>
      <c r="AF194" s="9"/>
      <c r="AG194" s="11"/>
    </row>
    <row r="195" spans="1:33" ht="13.5" customHeight="1">
      <c r="A195" s="9"/>
      <c r="B195" s="125"/>
      <c r="C195" s="125"/>
      <c r="D195" s="125"/>
      <c r="E195" s="125"/>
      <c r="F195" s="125"/>
      <c r="G195" s="131"/>
      <c r="H195" s="125"/>
      <c r="I195" s="130"/>
      <c r="J195" s="130"/>
      <c r="K195" s="130"/>
      <c r="L195" s="130"/>
      <c r="M195" s="125"/>
      <c r="N195" s="125"/>
      <c r="O195" s="125"/>
      <c r="P195" s="125"/>
      <c r="Q195" s="125"/>
      <c r="R195" s="125"/>
      <c r="S195" s="125"/>
      <c r="T195" s="125"/>
      <c r="U195" s="125"/>
      <c r="V195" s="125"/>
      <c r="W195" s="10"/>
      <c r="X195" s="9"/>
      <c r="Y195" s="9"/>
      <c r="Z195" s="9"/>
      <c r="AA195" s="9"/>
      <c r="AB195" s="9"/>
      <c r="AC195" s="9"/>
      <c r="AD195" s="9"/>
      <c r="AE195" s="9"/>
      <c r="AF195" s="9"/>
      <c r="AG195" s="11"/>
    </row>
    <row r="196" spans="1:33" ht="13.5" customHeight="1">
      <c r="A196" s="9"/>
      <c r="B196" s="125"/>
      <c r="C196" s="125"/>
      <c r="D196" s="125"/>
      <c r="E196" s="125"/>
      <c r="F196" s="125"/>
      <c r="G196" s="131"/>
      <c r="H196" s="125"/>
      <c r="I196" s="130"/>
      <c r="J196" s="130"/>
      <c r="K196" s="130"/>
      <c r="L196" s="130"/>
      <c r="M196" s="125"/>
      <c r="N196" s="125"/>
      <c r="O196" s="125"/>
      <c r="P196" s="125"/>
      <c r="Q196" s="125"/>
      <c r="R196" s="125"/>
      <c r="S196" s="125"/>
      <c r="T196" s="125"/>
      <c r="U196" s="125"/>
      <c r="V196" s="125"/>
      <c r="W196" s="10"/>
      <c r="X196" s="9"/>
      <c r="Y196" s="9"/>
      <c r="Z196" s="9"/>
      <c r="AA196" s="9"/>
      <c r="AB196" s="9"/>
      <c r="AC196" s="9"/>
      <c r="AD196" s="9"/>
      <c r="AE196" s="9"/>
      <c r="AF196" s="9"/>
      <c r="AG196" s="11"/>
    </row>
    <row r="197" spans="1:33" ht="13.5" customHeight="1">
      <c r="A197" s="9"/>
      <c r="B197" s="125"/>
      <c r="C197" s="125"/>
      <c r="D197" s="125"/>
      <c r="E197" s="125"/>
      <c r="F197" s="125"/>
      <c r="G197" s="131"/>
      <c r="H197" s="125"/>
      <c r="I197" s="130"/>
      <c r="J197" s="130"/>
      <c r="K197" s="130"/>
      <c r="L197" s="130"/>
      <c r="M197" s="125"/>
      <c r="N197" s="125"/>
      <c r="O197" s="125"/>
      <c r="P197" s="125"/>
      <c r="Q197" s="125"/>
      <c r="R197" s="125"/>
      <c r="S197" s="125"/>
      <c r="T197" s="125"/>
      <c r="U197" s="125"/>
      <c r="V197" s="125"/>
      <c r="W197" s="10"/>
      <c r="X197" s="9"/>
      <c r="Y197" s="9"/>
      <c r="Z197" s="9"/>
      <c r="AA197" s="9"/>
      <c r="AB197" s="9"/>
      <c r="AC197" s="9"/>
      <c r="AD197" s="9"/>
      <c r="AE197" s="9"/>
      <c r="AF197" s="9"/>
      <c r="AG197" s="11"/>
    </row>
    <row r="198" spans="1:33" ht="13.5" customHeight="1">
      <c r="A198" s="9"/>
      <c r="B198" s="125"/>
      <c r="C198" s="125"/>
      <c r="D198" s="125"/>
      <c r="E198" s="125"/>
      <c r="F198" s="125"/>
      <c r="G198" s="131"/>
      <c r="H198" s="125"/>
      <c r="I198" s="130"/>
      <c r="J198" s="130"/>
      <c r="K198" s="130"/>
      <c r="L198" s="130"/>
      <c r="M198" s="125"/>
      <c r="N198" s="125"/>
      <c r="O198" s="125"/>
      <c r="P198" s="125"/>
      <c r="Q198" s="125"/>
      <c r="R198" s="125"/>
      <c r="S198" s="125"/>
      <c r="T198" s="125"/>
      <c r="U198" s="125"/>
      <c r="V198" s="125"/>
      <c r="W198" s="10"/>
      <c r="X198" s="9"/>
      <c r="Y198" s="9"/>
      <c r="Z198" s="9"/>
      <c r="AA198" s="9"/>
      <c r="AB198" s="9"/>
      <c r="AC198" s="9"/>
      <c r="AD198" s="9"/>
      <c r="AE198" s="9"/>
      <c r="AF198" s="9"/>
      <c r="AG198" s="11"/>
    </row>
    <row r="199" spans="1:33" ht="13.5" customHeight="1">
      <c r="A199" s="9"/>
      <c r="B199" s="125"/>
      <c r="C199" s="125"/>
      <c r="D199" s="125"/>
      <c r="E199" s="125"/>
      <c r="F199" s="125"/>
      <c r="G199" s="131"/>
      <c r="H199" s="125"/>
      <c r="I199" s="130"/>
      <c r="J199" s="130"/>
      <c r="K199" s="130"/>
      <c r="L199" s="130"/>
      <c r="M199" s="125"/>
      <c r="N199" s="125"/>
      <c r="O199" s="125"/>
      <c r="P199" s="125"/>
      <c r="Q199" s="125"/>
      <c r="R199" s="125"/>
      <c r="S199" s="125"/>
      <c r="T199" s="125"/>
      <c r="U199" s="125"/>
      <c r="V199" s="125"/>
      <c r="W199" s="10"/>
      <c r="X199" s="9"/>
      <c r="Y199" s="9"/>
      <c r="Z199" s="9"/>
      <c r="AA199" s="9"/>
      <c r="AB199" s="9"/>
      <c r="AC199" s="9"/>
      <c r="AD199" s="9"/>
      <c r="AE199" s="9"/>
      <c r="AF199" s="9"/>
      <c r="AG199" s="11"/>
    </row>
    <row r="200" spans="1:33" ht="13.5" customHeight="1">
      <c r="A200" s="9"/>
      <c r="B200" s="125"/>
      <c r="C200" s="125"/>
      <c r="D200" s="125"/>
      <c r="E200" s="125"/>
      <c r="F200" s="125"/>
      <c r="G200" s="131"/>
      <c r="H200" s="125"/>
      <c r="I200" s="130"/>
      <c r="J200" s="130"/>
      <c r="K200" s="130"/>
      <c r="L200" s="130"/>
      <c r="M200" s="125"/>
      <c r="N200" s="125"/>
      <c r="O200" s="125"/>
      <c r="P200" s="125"/>
      <c r="Q200" s="125"/>
      <c r="R200" s="125"/>
      <c r="S200" s="125"/>
      <c r="T200" s="125"/>
      <c r="U200" s="125"/>
      <c r="V200" s="125"/>
      <c r="W200" s="10"/>
      <c r="X200" s="9"/>
      <c r="Y200" s="9"/>
      <c r="Z200" s="9"/>
      <c r="AA200" s="9"/>
      <c r="AB200" s="9"/>
      <c r="AC200" s="9"/>
      <c r="AD200" s="9"/>
      <c r="AE200" s="9"/>
      <c r="AF200" s="9"/>
      <c r="AG200" s="11"/>
    </row>
    <row r="201" spans="1:33" ht="13.5" customHeight="1">
      <c r="A201" s="9"/>
      <c r="B201" s="125"/>
      <c r="C201" s="125"/>
      <c r="D201" s="125"/>
      <c r="E201" s="125"/>
      <c r="F201" s="125"/>
      <c r="G201" s="131"/>
      <c r="H201" s="125"/>
      <c r="I201" s="130"/>
      <c r="J201" s="130"/>
      <c r="K201" s="130"/>
      <c r="L201" s="130"/>
      <c r="M201" s="125"/>
      <c r="N201" s="125"/>
      <c r="O201" s="125"/>
      <c r="P201" s="125"/>
      <c r="Q201" s="125"/>
      <c r="R201" s="125"/>
      <c r="S201" s="125"/>
      <c r="T201" s="125"/>
      <c r="U201" s="125"/>
      <c r="V201" s="125"/>
      <c r="W201" s="10"/>
      <c r="X201" s="9"/>
      <c r="Y201" s="9"/>
      <c r="Z201" s="9"/>
      <c r="AA201" s="9"/>
      <c r="AB201" s="9"/>
      <c r="AC201" s="9"/>
      <c r="AD201" s="9"/>
      <c r="AE201" s="9"/>
      <c r="AF201" s="9"/>
      <c r="AG201" s="11"/>
    </row>
    <row r="202" spans="1:33" ht="13.5" customHeight="1">
      <c r="A202" s="9"/>
      <c r="B202" s="125"/>
      <c r="C202" s="125"/>
      <c r="D202" s="125"/>
      <c r="E202" s="125"/>
      <c r="F202" s="125"/>
      <c r="G202" s="131"/>
      <c r="H202" s="125"/>
      <c r="I202" s="130"/>
      <c r="J202" s="130"/>
      <c r="K202" s="130"/>
      <c r="L202" s="130"/>
      <c r="M202" s="125"/>
      <c r="N202" s="125"/>
      <c r="O202" s="125"/>
      <c r="P202" s="125"/>
      <c r="Q202" s="125"/>
      <c r="R202" s="125"/>
      <c r="S202" s="125"/>
      <c r="T202" s="125"/>
      <c r="U202" s="125"/>
      <c r="V202" s="125"/>
      <c r="W202" s="10"/>
      <c r="X202" s="9"/>
      <c r="Y202" s="9"/>
      <c r="Z202" s="9"/>
      <c r="AA202" s="9"/>
      <c r="AB202" s="9"/>
      <c r="AC202" s="9"/>
      <c r="AD202" s="9"/>
      <c r="AE202" s="9"/>
      <c r="AF202" s="9"/>
      <c r="AG202" s="11"/>
    </row>
    <row r="203" spans="1:33" ht="13.5" customHeight="1">
      <c r="A203" s="9"/>
      <c r="B203" s="125"/>
      <c r="C203" s="125"/>
      <c r="D203" s="125"/>
      <c r="E203" s="125"/>
      <c r="F203" s="125"/>
      <c r="G203" s="131"/>
      <c r="H203" s="125"/>
      <c r="I203" s="130"/>
      <c r="J203" s="130"/>
      <c r="K203" s="130"/>
      <c r="L203" s="130"/>
      <c r="M203" s="125"/>
      <c r="N203" s="125"/>
      <c r="O203" s="125"/>
      <c r="P203" s="125"/>
      <c r="Q203" s="125"/>
      <c r="R203" s="125"/>
      <c r="S203" s="125"/>
      <c r="T203" s="125"/>
      <c r="U203" s="125"/>
      <c r="V203" s="125"/>
      <c r="W203" s="10"/>
      <c r="X203" s="9"/>
      <c r="Y203" s="9"/>
      <c r="Z203" s="9"/>
      <c r="AA203" s="9"/>
      <c r="AB203" s="9"/>
      <c r="AC203" s="9"/>
      <c r="AD203" s="9"/>
      <c r="AE203" s="9"/>
      <c r="AF203" s="9"/>
      <c r="AG203" s="11"/>
    </row>
    <row r="204" spans="1:33" ht="13.5" customHeight="1">
      <c r="A204" s="9"/>
      <c r="B204" s="125"/>
      <c r="C204" s="125"/>
      <c r="D204" s="125"/>
      <c r="E204" s="125"/>
      <c r="F204" s="125"/>
      <c r="G204" s="131"/>
      <c r="H204" s="125"/>
      <c r="I204" s="130"/>
      <c r="J204" s="130"/>
      <c r="K204" s="130"/>
      <c r="L204" s="130"/>
      <c r="M204" s="125"/>
      <c r="N204" s="125"/>
      <c r="O204" s="125"/>
      <c r="P204" s="125"/>
      <c r="Q204" s="125"/>
      <c r="R204" s="125"/>
      <c r="S204" s="125"/>
      <c r="T204" s="125"/>
      <c r="U204" s="125"/>
      <c r="V204" s="125"/>
      <c r="W204" s="10"/>
      <c r="X204" s="9"/>
      <c r="Y204" s="9"/>
      <c r="Z204" s="9"/>
      <c r="AA204" s="9"/>
      <c r="AB204" s="9"/>
      <c r="AC204" s="9"/>
      <c r="AD204" s="9"/>
      <c r="AE204" s="9"/>
      <c r="AF204" s="9"/>
      <c r="AG204" s="11"/>
    </row>
    <row r="205" spans="1:33" ht="13.5" customHeight="1">
      <c r="A205" s="9"/>
      <c r="B205" s="125"/>
      <c r="C205" s="125"/>
      <c r="D205" s="125"/>
      <c r="E205" s="125"/>
      <c r="F205" s="125"/>
      <c r="G205" s="131"/>
      <c r="H205" s="125"/>
      <c r="I205" s="130"/>
      <c r="J205" s="130"/>
      <c r="K205" s="130"/>
      <c r="L205" s="130"/>
      <c r="M205" s="125"/>
      <c r="N205" s="125"/>
      <c r="O205" s="125"/>
      <c r="P205" s="125"/>
      <c r="Q205" s="125"/>
      <c r="R205" s="125"/>
      <c r="S205" s="125"/>
      <c r="T205" s="125"/>
      <c r="U205" s="125"/>
      <c r="V205" s="125"/>
      <c r="W205" s="10"/>
      <c r="X205" s="9"/>
      <c r="Y205" s="9"/>
      <c r="Z205" s="9"/>
      <c r="AA205" s="9"/>
      <c r="AB205" s="9"/>
      <c r="AC205" s="9"/>
      <c r="AD205" s="9"/>
      <c r="AE205" s="9"/>
      <c r="AF205" s="9"/>
      <c r="AG205" s="11"/>
    </row>
    <row r="206" spans="1:33" ht="13.5" customHeight="1">
      <c r="A206" s="9"/>
      <c r="B206" s="125"/>
      <c r="C206" s="125"/>
      <c r="D206" s="125"/>
      <c r="E206" s="125"/>
      <c r="F206" s="125"/>
      <c r="G206" s="131"/>
      <c r="H206" s="125"/>
      <c r="I206" s="130"/>
      <c r="J206" s="130"/>
      <c r="K206" s="130"/>
      <c r="L206" s="130"/>
      <c r="M206" s="125"/>
      <c r="N206" s="125"/>
      <c r="O206" s="125"/>
      <c r="P206" s="125"/>
      <c r="Q206" s="125"/>
      <c r="R206" s="125"/>
      <c r="S206" s="125"/>
      <c r="T206" s="125"/>
      <c r="U206" s="125"/>
      <c r="V206" s="125"/>
      <c r="W206" s="10"/>
      <c r="X206" s="9"/>
      <c r="Y206" s="9"/>
      <c r="Z206" s="9"/>
      <c r="AA206" s="9"/>
      <c r="AB206" s="9"/>
      <c r="AC206" s="9"/>
      <c r="AD206" s="9"/>
      <c r="AE206" s="9"/>
      <c r="AF206" s="9"/>
      <c r="AG206" s="11"/>
    </row>
    <row r="207" spans="1:33" ht="13.5" customHeight="1">
      <c r="A207" s="9"/>
      <c r="B207" s="125"/>
      <c r="C207" s="125"/>
      <c r="D207" s="125"/>
      <c r="E207" s="125"/>
      <c r="F207" s="125"/>
      <c r="G207" s="131"/>
      <c r="H207" s="125"/>
      <c r="I207" s="130"/>
      <c r="J207" s="130"/>
      <c r="K207" s="130"/>
      <c r="L207" s="130"/>
      <c r="M207" s="125"/>
      <c r="N207" s="125"/>
      <c r="O207" s="125"/>
      <c r="P207" s="125"/>
      <c r="Q207" s="125"/>
      <c r="R207" s="125"/>
      <c r="S207" s="125"/>
      <c r="T207" s="125"/>
      <c r="U207" s="125"/>
      <c r="V207" s="125"/>
      <c r="W207" s="10"/>
      <c r="X207" s="9"/>
      <c r="Y207" s="9"/>
      <c r="Z207" s="9"/>
      <c r="AA207" s="9"/>
      <c r="AB207" s="9"/>
      <c r="AC207" s="9"/>
      <c r="AD207" s="9"/>
      <c r="AE207" s="9"/>
      <c r="AF207" s="9"/>
      <c r="AG207" s="11"/>
    </row>
    <row r="208" spans="1:33" ht="13.5" customHeight="1">
      <c r="A208" s="9"/>
      <c r="B208" s="125"/>
      <c r="C208" s="125"/>
      <c r="D208" s="125"/>
      <c r="E208" s="125"/>
      <c r="F208" s="125"/>
      <c r="G208" s="131"/>
      <c r="H208" s="125"/>
      <c r="I208" s="130"/>
      <c r="J208" s="130"/>
      <c r="K208" s="130"/>
      <c r="L208" s="130"/>
      <c r="M208" s="125"/>
      <c r="N208" s="125"/>
      <c r="O208" s="125"/>
      <c r="P208" s="125"/>
      <c r="Q208" s="125"/>
      <c r="R208" s="125"/>
      <c r="S208" s="125"/>
      <c r="T208" s="125"/>
      <c r="U208" s="125"/>
      <c r="V208" s="125"/>
      <c r="W208" s="10"/>
      <c r="X208" s="9"/>
      <c r="Y208" s="9"/>
      <c r="Z208" s="9"/>
      <c r="AA208" s="9"/>
      <c r="AB208" s="9"/>
      <c r="AC208" s="9"/>
      <c r="AD208" s="9"/>
      <c r="AE208" s="9"/>
      <c r="AF208" s="9"/>
      <c r="AG208" s="11"/>
    </row>
    <row r="209" spans="1:33" ht="13.5" customHeight="1">
      <c r="A209" s="9"/>
      <c r="B209" s="125"/>
      <c r="C209" s="125"/>
      <c r="D209" s="125"/>
      <c r="E209" s="125"/>
      <c r="F209" s="125"/>
      <c r="G209" s="131"/>
      <c r="H209" s="125"/>
      <c r="I209" s="130"/>
      <c r="J209" s="130"/>
      <c r="K209" s="130"/>
      <c r="L209" s="130"/>
      <c r="M209" s="125"/>
      <c r="N209" s="125"/>
      <c r="O209" s="125"/>
      <c r="P209" s="125"/>
      <c r="Q209" s="125"/>
      <c r="R209" s="125"/>
      <c r="S209" s="125"/>
      <c r="T209" s="125"/>
      <c r="U209" s="125"/>
      <c r="V209" s="125"/>
      <c r="W209" s="10"/>
      <c r="X209" s="9"/>
      <c r="Y209" s="9"/>
      <c r="Z209" s="9"/>
      <c r="AA209" s="9"/>
      <c r="AB209" s="9"/>
      <c r="AC209" s="9"/>
      <c r="AD209" s="9"/>
      <c r="AE209" s="9"/>
      <c r="AF209" s="9"/>
      <c r="AG209" s="11"/>
    </row>
    <row r="210" spans="1:33" ht="13.5" customHeight="1">
      <c r="A210" s="9"/>
      <c r="B210" s="125"/>
      <c r="C210" s="125"/>
      <c r="D210" s="125"/>
      <c r="E210" s="125"/>
      <c r="F210" s="125"/>
      <c r="G210" s="131"/>
      <c r="H210" s="125"/>
      <c r="I210" s="130"/>
      <c r="J210" s="130"/>
      <c r="K210" s="130"/>
      <c r="L210" s="130"/>
      <c r="M210" s="125"/>
      <c r="N210" s="125"/>
      <c r="O210" s="125"/>
      <c r="P210" s="125"/>
      <c r="Q210" s="125"/>
      <c r="R210" s="125"/>
      <c r="S210" s="125"/>
      <c r="T210" s="125"/>
      <c r="U210" s="125"/>
      <c r="V210" s="125"/>
      <c r="W210" s="10"/>
      <c r="X210" s="9"/>
      <c r="Y210" s="9"/>
      <c r="Z210" s="9"/>
      <c r="AA210" s="9"/>
      <c r="AB210" s="9"/>
      <c r="AC210" s="9"/>
      <c r="AD210" s="9"/>
      <c r="AE210" s="9"/>
      <c r="AF210" s="9"/>
      <c r="AG210" s="11"/>
    </row>
    <row r="211" spans="1:33" ht="13.5" customHeight="1">
      <c r="A211" s="9"/>
      <c r="B211" s="125"/>
      <c r="C211" s="125"/>
      <c r="D211" s="125"/>
      <c r="E211" s="125"/>
      <c r="F211" s="125"/>
      <c r="G211" s="131"/>
      <c r="H211" s="125"/>
      <c r="I211" s="130"/>
      <c r="J211" s="130"/>
      <c r="K211" s="130"/>
      <c r="L211" s="130"/>
      <c r="M211" s="125"/>
      <c r="N211" s="125"/>
      <c r="O211" s="125"/>
      <c r="P211" s="125"/>
      <c r="Q211" s="125"/>
      <c r="R211" s="125"/>
      <c r="S211" s="125"/>
      <c r="T211" s="125"/>
      <c r="U211" s="125"/>
      <c r="V211" s="125"/>
      <c r="W211" s="10"/>
      <c r="X211" s="9"/>
      <c r="Y211" s="9"/>
      <c r="Z211" s="9"/>
      <c r="AA211" s="9"/>
      <c r="AB211" s="9"/>
      <c r="AC211" s="9"/>
      <c r="AD211" s="9"/>
      <c r="AE211" s="9"/>
      <c r="AF211" s="9"/>
      <c r="AG211" s="11"/>
    </row>
    <row r="212" spans="1:33" ht="13.5" customHeight="1">
      <c r="A212" s="9"/>
      <c r="B212" s="125"/>
      <c r="C212" s="125"/>
      <c r="D212" s="125"/>
      <c r="E212" s="125"/>
      <c r="F212" s="125"/>
      <c r="G212" s="131"/>
      <c r="H212" s="125"/>
      <c r="I212" s="130"/>
      <c r="J212" s="130"/>
      <c r="K212" s="130"/>
      <c r="L212" s="130"/>
      <c r="M212" s="125"/>
      <c r="N212" s="125"/>
      <c r="O212" s="125"/>
      <c r="P212" s="125"/>
      <c r="Q212" s="125"/>
      <c r="R212" s="125"/>
      <c r="S212" s="125"/>
      <c r="T212" s="125"/>
      <c r="U212" s="125"/>
      <c r="V212" s="125"/>
      <c r="W212" s="10"/>
      <c r="X212" s="9"/>
      <c r="Y212" s="9"/>
      <c r="Z212" s="9"/>
      <c r="AA212" s="9"/>
      <c r="AB212" s="9"/>
      <c r="AC212" s="9"/>
      <c r="AD212" s="9"/>
      <c r="AE212" s="9"/>
      <c r="AF212" s="9"/>
      <c r="AG212" s="11"/>
    </row>
    <row r="213" spans="1:33" ht="13.5" customHeight="1">
      <c r="A213" s="9"/>
      <c r="B213" s="125"/>
      <c r="C213" s="125"/>
      <c r="D213" s="125"/>
      <c r="E213" s="125"/>
      <c r="F213" s="125"/>
      <c r="G213" s="131"/>
      <c r="H213" s="125"/>
      <c r="I213" s="130"/>
      <c r="J213" s="130"/>
      <c r="K213" s="130"/>
      <c r="L213" s="130"/>
      <c r="M213" s="125"/>
      <c r="N213" s="125"/>
      <c r="O213" s="125"/>
      <c r="P213" s="125"/>
      <c r="Q213" s="125"/>
      <c r="R213" s="125"/>
      <c r="S213" s="125"/>
      <c r="T213" s="125"/>
      <c r="U213" s="125"/>
      <c r="V213" s="125"/>
      <c r="W213" s="10"/>
      <c r="X213" s="9"/>
      <c r="Y213" s="9"/>
      <c r="Z213" s="9"/>
      <c r="AA213" s="9"/>
      <c r="AB213" s="9"/>
      <c r="AC213" s="9"/>
      <c r="AD213" s="9"/>
      <c r="AE213" s="9"/>
      <c r="AF213" s="9"/>
      <c r="AG213" s="11"/>
    </row>
    <row r="214" spans="1:33" ht="13.5" customHeight="1">
      <c r="A214" s="9"/>
      <c r="B214" s="125"/>
      <c r="C214" s="125"/>
      <c r="D214" s="125"/>
      <c r="E214" s="125"/>
      <c r="F214" s="125"/>
      <c r="G214" s="131"/>
      <c r="H214" s="125"/>
      <c r="I214" s="130"/>
      <c r="J214" s="130"/>
      <c r="K214" s="130"/>
      <c r="L214" s="130"/>
      <c r="M214" s="125"/>
      <c r="N214" s="125"/>
      <c r="O214" s="125"/>
      <c r="P214" s="125"/>
      <c r="Q214" s="125"/>
      <c r="R214" s="125"/>
      <c r="S214" s="125"/>
      <c r="T214" s="125"/>
      <c r="U214" s="125"/>
      <c r="V214" s="125"/>
      <c r="W214" s="10"/>
      <c r="X214" s="9"/>
      <c r="Y214" s="9"/>
      <c r="Z214" s="9"/>
      <c r="AA214" s="9"/>
      <c r="AB214" s="9"/>
      <c r="AC214" s="9"/>
      <c r="AD214" s="9"/>
      <c r="AE214" s="9"/>
      <c r="AF214" s="9"/>
      <c r="AG214" s="11"/>
    </row>
    <row r="215" spans="1:33" ht="13.5" customHeight="1">
      <c r="A215" s="9"/>
      <c r="B215" s="125"/>
      <c r="C215" s="125"/>
      <c r="D215" s="125"/>
      <c r="E215" s="125"/>
      <c r="F215" s="125"/>
      <c r="G215" s="131"/>
      <c r="H215" s="125"/>
      <c r="I215" s="130"/>
      <c r="J215" s="130"/>
      <c r="K215" s="130"/>
      <c r="L215" s="130"/>
      <c r="M215" s="125"/>
      <c r="N215" s="125"/>
      <c r="O215" s="125"/>
      <c r="P215" s="125"/>
      <c r="Q215" s="125"/>
      <c r="R215" s="125"/>
      <c r="S215" s="125"/>
      <c r="T215" s="125"/>
      <c r="U215" s="125"/>
      <c r="V215" s="125"/>
      <c r="W215" s="10"/>
      <c r="X215" s="9"/>
      <c r="Y215" s="9"/>
      <c r="Z215" s="9"/>
      <c r="AA215" s="9"/>
      <c r="AB215" s="9"/>
      <c r="AC215" s="9"/>
      <c r="AD215" s="9"/>
      <c r="AE215" s="9"/>
      <c r="AF215" s="9"/>
      <c r="AG215" s="11"/>
    </row>
    <row r="216" spans="1:33" ht="13.5" customHeight="1">
      <c r="A216" s="9"/>
      <c r="B216" s="125"/>
      <c r="C216" s="125"/>
      <c r="D216" s="125"/>
      <c r="E216" s="125"/>
      <c r="F216" s="125"/>
      <c r="G216" s="131"/>
      <c r="H216" s="125"/>
      <c r="I216" s="130"/>
      <c r="J216" s="130"/>
      <c r="K216" s="130"/>
      <c r="L216" s="130"/>
      <c r="M216" s="125"/>
      <c r="N216" s="125"/>
      <c r="O216" s="125"/>
      <c r="P216" s="125"/>
      <c r="Q216" s="125"/>
      <c r="R216" s="125"/>
      <c r="S216" s="125"/>
      <c r="T216" s="125"/>
      <c r="U216" s="125"/>
      <c r="V216" s="125"/>
      <c r="W216" s="10"/>
      <c r="X216" s="9"/>
      <c r="Y216" s="9"/>
      <c r="Z216" s="9"/>
      <c r="AA216" s="9"/>
      <c r="AB216" s="9"/>
      <c r="AC216" s="9"/>
      <c r="AD216" s="9"/>
      <c r="AE216" s="9"/>
      <c r="AF216" s="9"/>
      <c r="AG216" s="11"/>
    </row>
    <row r="217" spans="1:33" ht="13.5" customHeight="1">
      <c r="A217" s="9"/>
      <c r="B217" s="125"/>
      <c r="C217" s="125"/>
      <c r="D217" s="125"/>
      <c r="E217" s="125"/>
      <c r="F217" s="125"/>
      <c r="G217" s="131"/>
      <c r="H217" s="125"/>
      <c r="I217" s="130"/>
      <c r="J217" s="130"/>
      <c r="K217" s="130"/>
      <c r="L217" s="130"/>
      <c r="M217" s="125"/>
      <c r="N217" s="125"/>
      <c r="O217" s="125"/>
      <c r="P217" s="125"/>
      <c r="Q217" s="125"/>
      <c r="R217" s="125"/>
      <c r="S217" s="125"/>
      <c r="T217" s="125"/>
      <c r="U217" s="125"/>
      <c r="V217" s="125"/>
      <c r="W217" s="10"/>
      <c r="X217" s="9"/>
      <c r="Y217" s="9"/>
      <c r="Z217" s="9"/>
      <c r="AA217" s="9"/>
      <c r="AB217" s="9"/>
      <c r="AC217" s="9"/>
      <c r="AD217" s="9"/>
      <c r="AE217" s="9"/>
      <c r="AF217" s="9"/>
      <c r="AG217" s="11"/>
    </row>
    <row r="218" spans="1:33" ht="13.5" customHeight="1">
      <c r="A218" s="9"/>
      <c r="B218" s="125"/>
      <c r="C218" s="125"/>
      <c r="D218" s="125"/>
      <c r="E218" s="125"/>
      <c r="F218" s="125"/>
      <c r="G218" s="131"/>
      <c r="H218" s="125"/>
      <c r="I218" s="130"/>
      <c r="J218" s="130"/>
      <c r="K218" s="130"/>
      <c r="L218" s="130"/>
      <c r="M218" s="125"/>
      <c r="N218" s="125"/>
      <c r="O218" s="125"/>
      <c r="P218" s="125"/>
      <c r="Q218" s="125"/>
      <c r="R218" s="125"/>
      <c r="S218" s="125"/>
      <c r="T218" s="125"/>
      <c r="U218" s="125"/>
      <c r="V218" s="125"/>
      <c r="W218" s="10"/>
      <c r="X218" s="9"/>
      <c r="Y218" s="9"/>
      <c r="Z218" s="9"/>
      <c r="AA218" s="9"/>
      <c r="AB218" s="9"/>
      <c r="AC218" s="9"/>
      <c r="AD218" s="9"/>
      <c r="AE218" s="9"/>
      <c r="AF218" s="9"/>
      <c r="AG218" s="11"/>
    </row>
    <row r="219" spans="1:33" ht="13.5" customHeight="1">
      <c r="A219" s="9"/>
      <c r="B219" s="125"/>
      <c r="C219" s="125"/>
      <c r="D219" s="125"/>
      <c r="E219" s="125"/>
      <c r="F219" s="125"/>
      <c r="G219" s="131"/>
      <c r="H219" s="125"/>
      <c r="I219" s="130"/>
      <c r="J219" s="130"/>
      <c r="K219" s="130"/>
      <c r="L219" s="130"/>
      <c r="M219" s="125"/>
      <c r="N219" s="125"/>
      <c r="O219" s="125"/>
      <c r="P219" s="125"/>
      <c r="Q219" s="125"/>
      <c r="R219" s="125"/>
      <c r="S219" s="125"/>
      <c r="T219" s="125"/>
      <c r="U219" s="125"/>
      <c r="V219" s="125"/>
      <c r="W219" s="10"/>
      <c r="X219" s="9"/>
      <c r="Y219" s="9"/>
      <c r="Z219" s="9"/>
      <c r="AA219" s="9"/>
      <c r="AB219" s="9"/>
      <c r="AC219" s="9"/>
      <c r="AD219" s="9"/>
      <c r="AE219" s="9"/>
      <c r="AF219" s="9"/>
      <c r="AG219" s="11"/>
    </row>
    <row r="220" spans="1:33" ht="13.5" customHeight="1">
      <c r="A220" s="9"/>
      <c r="B220" s="125"/>
      <c r="C220" s="125"/>
      <c r="D220" s="125"/>
      <c r="E220" s="125"/>
      <c r="F220" s="125"/>
      <c r="G220" s="131"/>
      <c r="H220" s="125"/>
      <c r="I220" s="130"/>
      <c r="J220" s="130"/>
      <c r="K220" s="130"/>
      <c r="L220" s="130"/>
      <c r="M220" s="125"/>
      <c r="N220" s="125"/>
      <c r="O220" s="125"/>
      <c r="P220" s="125"/>
      <c r="Q220" s="125"/>
      <c r="R220" s="125"/>
      <c r="S220" s="125"/>
      <c r="T220" s="125"/>
      <c r="U220" s="125"/>
      <c r="V220" s="125"/>
      <c r="W220" s="10"/>
      <c r="X220" s="9"/>
      <c r="Y220" s="9"/>
      <c r="Z220" s="9"/>
      <c r="AA220" s="9"/>
      <c r="AB220" s="9"/>
      <c r="AC220" s="9"/>
      <c r="AD220" s="9"/>
      <c r="AE220" s="9"/>
      <c r="AF220" s="9"/>
      <c r="AG220" s="11"/>
    </row>
    <row r="221" spans="1:33" ht="13.5" customHeight="1">
      <c r="A221" s="9"/>
      <c r="B221" s="125"/>
      <c r="C221" s="125"/>
      <c r="D221" s="125"/>
      <c r="E221" s="125"/>
      <c r="F221" s="125"/>
      <c r="G221" s="131"/>
      <c r="H221" s="125"/>
      <c r="I221" s="130"/>
      <c r="J221" s="130"/>
      <c r="K221" s="130"/>
      <c r="L221" s="130"/>
      <c r="M221" s="125"/>
      <c r="N221" s="125"/>
      <c r="O221" s="125"/>
      <c r="P221" s="125"/>
      <c r="Q221" s="125"/>
      <c r="R221" s="125"/>
      <c r="S221" s="125"/>
      <c r="T221" s="125"/>
      <c r="U221" s="125"/>
      <c r="V221" s="125"/>
      <c r="W221" s="10"/>
      <c r="X221" s="9"/>
      <c r="Y221" s="9"/>
      <c r="Z221" s="9"/>
      <c r="AA221" s="9"/>
      <c r="AB221" s="9"/>
      <c r="AC221" s="9"/>
      <c r="AD221" s="9"/>
      <c r="AE221" s="9"/>
      <c r="AF221" s="9"/>
      <c r="AG221" s="11"/>
    </row>
    <row r="222" spans="1:33" ht="13.5" customHeight="1">
      <c r="A222" s="9"/>
      <c r="B222" s="125"/>
      <c r="C222" s="125"/>
      <c r="D222" s="125"/>
      <c r="E222" s="125"/>
      <c r="F222" s="125"/>
      <c r="G222" s="131"/>
      <c r="H222" s="125"/>
      <c r="I222" s="130"/>
      <c r="J222" s="130"/>
      <c r="K222" s="130"/>
      <c r="L222" s="130"/>
      <c r="M222" s="125"/>
      <c r="N222" s="125"/>
      <c r="O222" s="125"/>
      <c r="P222" s="125"/>
      <c r="Q222" s="125"/>
      <c r="R222" s="125"/>
      <c r="S222" s="125"/>
      <c r="T222" s="125"/>
      <c r="U222" s="125"/>
      <c r="V222" s="125"/>
      <c r="W222" s="10"/>
      <c r="X222" s="9"/>
      <c r="Y222" s="9"/>
      <c r="Z222" s="9"/>
      <c r="AA222" s="9"/>
      <c r="AB222" s="9"/>
      <c r="AC222" s="9"/>
      <c r="AD222" s="9"/>
      <c r="AE222" s="9"/>
      <c r="AF222" s="9"/>
      <c r="AG222" s="11"/>
    </row>
    <row r="223" spans="1:33" ht="13.5" customHeight="1">
      <c r="A223" s="9"/>
      <c r="B223" s="125"/>
      <c r="C223" s="125"/>
      <c r="D223" s="125"/>
      <c r="E223" s="125"/>
      <c r="F223" s="125"/>
      <c r="G223" s="131"/>
      <c r="H223" s="125"/>
      <c r="I223" s="130"/>
      <c r="J223" s="130"/>
      <c r="K223" s="130"/>
      <c r="L223" s="130"/>
      <c r="M223" s="125"/>
      <c r="N223" s="125"/>
      <c r="O223" s="125"/>
      <c r="P223" s="125"/>
      <c r="Q223" s="125"/>
      <c r="R223" s="125"/>
      <c r="S223" s="125"/>
      <c r="T223" s="125"/>
      <c r="U223" s="125"/>
      <c r="V223" s="125"/>
      <c r="W223" s="10"/>
      <c r="X223" s="9"/>
      <c r="Y223" s="9"/>
      <c r="Z223" s="9"/>
      <c r="AA223" s="9"/>
      <c r="AB223" s="9"/>
      <c r="AC223" s="9"/>
      <c r="AD223" s="9"/>
      <c r="AE223" s="9"/>
      <c r="AF223" s="9"/>
      <c r="AG223" s="11"/>
    </row>
    <row r="224" spans="1:33" ht="13.5" customHeight="1">
      <c r="A224" s="9"/>
      <c r="B224" s="125"/>
      <c r="C224" s="125"/>
      <c r="D224" s="125"/>
      <c r="E224" s="125"/>
      <c r="F224" s="125"/>
      <c r="G224" s="131"/>
      <c r="H224" s="125"/>
      <c r="I224" s="130"/>
      <c r="J224" s="130"/>
      <c r="K224" s="130"/>
      <c r="L224" s="130"/>
      <c r="M224" s="125"/>
      <c r="N224" s="125"/>
      <c r="O224" s="125"/>
      <c r="P224" s="125"/>
      <c r="Q224" s="125"/>
      <c r="R224" s="125"/>
      <c r="S224" s="125"/>
      <c r="T224" s="125"/>
      <c r="U224" s="125"/>
      <c r="V224" s="125"/>
      <c r="W224" s="10"/>
      <c r="X224" s="9"/>
      <c r="Y224" s="9"/>
      <c r="Z224" s="9"/>
      <c r="AA224" s="9"/>
      <c r="AB224" s="9"/>
      <c r="AC224" s="9"/>
      <c r="AD224" s="9"/>
      <c r="AE224" s="9"/>
      <c r="AF224" s="9"/>
      <c r="AG224" s="11"/>
    </row>
    <row r="225" spans="1:33" ht="13.5" customHeight="1">
      <c r="A225" s="9"/>
      <c r="B225" s="125"/>
      <c r="C225" s="125"/>
      <c r="D225" s="125"/>
      <c r="E225" s="125"/>
      <c r="F225" s="125"/>
      <c r="G225" s="131"/>
      <c r="H225" s="125"/>
      <c r="I225" s="130"/>
      <c r="J225" s="130"/>
      <c r="K225" s="130"/>
      <c r="L225" s="130"/>
      <c r="M225" s="125"/>
      <c r="N225" s="125"/>
      <c r="O225" s="125"/>
      <c r="P225" s="125"/>
      <c r="Q225" s="125"/>
      <c r="R225" s="125"/>
      <c r="S225" s="125"/>
      <c r="T225" s="125"/>
      <c r="U225" s="125"/>
      <c r="V225" s="125"/>
      <c r="W225" s="10"/>
      <c r="X225" s="9"/>
      <c r="Y225" s="9"/>
      <c r="Z225" s="9"/>
      <c r="AA225" s="9"/>
      <c r="AB225" s="9"/>
      <c r="AC225" s="9"/>
      <c r="AD225" s="9"/>
      <c r="AE225" s="9"/>
      <c r="AF225" s="9"/>
      <c r="AG225" s="11"/>
    </row>
    <row r="226" spans="1:33" ht="13.5" customHeight="1">
      <c r="A226" s="9"/>
      <c r="B226" s="125"/>
      <c r="C226" s="125"/>
      <c r="D226" s="125"/>
      <c r="E226" s="125"/>
      <c r="F226" s="125"/>
      <c r="G226" s="131"/>
      <c r="H226" s="125"/>
      <c r="I226" s="130"/>
      <c r="J226" s="130"/>
      <c r="K226" s="130"/>
      <c r="L226" s="130"/>
      <c r="M226" s="125"/>
      <c r="N226" s="125"/>
      <c r="O226" s="125"/>
      <c r="P226" s="125"/>
      <c r="Q226" s="125"/>
      <c r="R226" s="125"/>
      <c r="S226" s="125"/>
      <c r="T226" s="125"/>
      <c r="U226" s="125"/>
      <c r="V226" s="125"/>
      <c r="W226" s="10"/>
      <c r="X226" s="9"/>
      <c r="Y226" s="9"/>
      <c r="Z226" s="9"/>
      <c r="AA226" s="9"/>
      <c r="AB226" s="9"/>
      <c r="AC226" s="9"/>
      <c r="AD226" s="9"/>
      <c r="AE226" s="9"/>
      <c r="AF226" s="9"/>
      <c r="AG226" s="11"/>
    </row>
    <row r="227" spans="1:33" ht="13.5" customHeight="1">
      <c r="A227" s="9"/>
      <c r="B227" s="125"/>
      <c r="C227" s="125"/>
      <c r="D227" s="125"/>
      <c r="E227" s="125"/>
      <c r="F227" s="125"/>
      <c r="G227" s="131"/>
      <c r="H227" s="125"/>
      <c r="I227" s="130"/>
      <c r="J227" s="130"/>
      <c r="K227" s="130"/>
      <c r="L227" s="130"/>
      <c r="M227" s="125"/>
      <c r="N227" s="125"/>
      <c r="O227" s="125"/>
      <c r="P227" s="125"/>
      <c r="Q227" s="125"/>
      <c r="R227" s="125"/>
      <c r="S227" s="125"/>
      <c r="T227" s="125"/>
      <c r="U227" s="125"/>
      <c r="V227" s="125"/>
      <c r="W227" s="10"/>
      <c r="X227" s="9"/>
      <c r="Y227" s="9"/>
      <c r="Z227" s="9"/>
      <c r="AA227" s="9"/>
      <c r="AB227" s="9"/>
      <c r="AC227" s="9"/>
      <c r="AD227" s="9"/>
      <c r="AE227" s="9"/>
      <c r="AF227" s="9"/>
      <c r="AG227" s="11"/>
    </row>
    <row r="228" spans="1:33" ht="13.5" customHeight="1">
      <c r="A228" s="9"/>
      <c r="B228" s="125"/>
      <c r="C228" s="125"/>
      <c r="D228" s="125"/>
      <c r="E228" s="125"/>
      <c r="F228" s="125"/>
      <c r="G228" s="131"/>
      <c r="H228" s="125"/>
      <c r="I228" s="130"/>
      <c r="J228" s="130"/>
      <c r="K228" s="130"/>
      <c r="L228" s="130"/>
      <c r="M228" s="125"/>
      <c r="N228" s="125"/>
      <c r="O228" s="125"/>
      <c r="P228" s="125"/>
      <c r="Q228" s="125"/>
      <c r="R228" s="125"/>
      <c r="S228" s="125"/>
      <c r="T228" s="125"/>
      <c r="U228" s="125"/>
      <c r="V228" s="125"/>
      <c r="W228" s="10"/>
      <c r="X228" s="9"/>
      <c r="Y228" s="9"/>
      <c r="Z228" s="9"/>
      <c r="AA228" s="9"/>
      <c r="AB228" s="9"/>
      <c r="AC228" s="9"/>
      <c r="AD228" s="9"/>
      <c r="AE228" s="9"/>
      <c r="AF228" s="9"/>
      <c r="AG228" s="11"/>
    </row>
    <row r="229" spans="1:33" ht="13.5" customHeight="1">
      <c r="A229" s="9"/>
      <c r="B229" s="125"/>
      <c r="C229" s="125"/>
      <c r="D229" s="125"/>
      <c r="E229" s="125"/>
      <c r="F229" s="125"/>
      <c r="G229" s="131"/>
      <c r="H229" s="125"/>
      <c r="I229" s="130"/>
      <c r="J229" s="130"/>
      <c r="K229" s="130"/>
      <c r="L229" s="130"/>
      <c r="M229" s="125"/>
      <c r="N229" s="125"/>
      <c r="O229" s="125"/>
      <c r="P229" s="125"/>
      <c r="Q229" s="125"/>
      <c r="R229" s="125"/>
      <c r="S229" s="125"/>
      <c r="T229" s="125"/>
      <c r="U229" s="125"/>
      <c r="V229" s="125"/>
      <c r="W229" s="10"/>
      <c r="X229" s="9"/>
      <c r="Y229" s="9"/>
      <c r="Z229" s="9"/>
      <c r="AA229" s="9"/>
      <c r="AB229" s="9"/>
      <c r="AC229" s="9"/>
      <c r="AD229" s="9"/>
      <c r="AE229" s="9"/>
      <c r="AF229" s="9"/>
      <c r="AG229" s="11"/>
    </row>
    <row r="230" spans="1:33" ht="13.5" customHeight="1">
      <c r="A230" s="9"/>
      <c r="B230" s="125"/>
      <c r="C230" s="125"/>
      <c r="D230" s="125"/>
      <c r="E230" s="125"/>
      <c r="F230" s="125"/>
      <c r="G230" s="131"/>
      <c r="H230" s="125"/>
      <c r="I230" s="130"/>
      <c r="J230" s="130"/>
      <c r="K230" s="130"/>
      <c r="L230" s="130"/>
      <c r="M230" s="125"/>
      <c r="N230" s="125"/>
      <c r="O230" s="125"/>
      <c r="P230" s="125"/>
      <c r="Q230" s="125"/>
      <c r="R230" s="125"/>
      <c r="S230" s="125"/>
      <c r="T230" s="125"/>
      <c r="U230" s="125"/>
      <c r="V230" s="125"/>
      <c r="W230" s="10"/>
      <c r="X230" s="9"/>
      <c r="Y230" s="9"/>
      <c r="Z230" s="9"/>
      <c r="AA230" s="9"/>
      <c r="AB230" s="9"/>
      <c r="AC230" s="9"/>
      <c r="AD230" s="9"/>
      <c r="AE230" s="9"/>
      <c r="AF230" s="9"/>
      <c r="AG230" s="11"/>
    </row>
    <row r="231" spans="1:33" ht="13.5" customHeight="1">
      <c r="A231" s="9"/>
      <c r="B231" s="125"/>
      <c r="C231" s="125"/>
      <c r="D231" s="125"/>
      <c r="E231" s="125"/>
      <c r="F231" s="125"/>
      <c r="G231" s="131"/>
      <c r="H231" s="125"/>
      <c r="I231" s="130"/>
      <c r="J231" s="130"/>
      <c r="K231" s="130"/>
      <c r="L231" s="130"/>
      <c r="M231" s="125"/>
      <c r="N231" s="125"/>
      <c r="O231" s="125"/>
      <c r="P231" s="125"/>
      <c r="Q231" s="125"/>
      <c r="R231" s="125"/>
      <c r="S231" s="125"/>
      <c r="T231" s="125"/>
      <c r="U231" s="125"/>
      <c r="V231" s="125"/>
      <c r="W231" s="10"/>
      <c r="X231" s="9"/>
      <c r="Y231" s="9"/>
      <c r="Z231" s="9"/>
      <c r="AA231" s="9"/>
      <c r="AB231" s="9"/>
      <c r="AC231" s="9"/>
      <c r="AD231" s="9"/>
      <c r="AE231" s="9"/>
      <c r="AF231" s="9"/>
      <c r="AG231" s="11"/>
    </row>
    <row r="232" spans="1:33" ht="13.5" customHeight="1">
      <c r="A232" s="9"/>
      <c r="B232" s="125"/>
      <c r="C232" s="125"/>
      <c r="D232" s="125"/>
      <c r="E232" s="125"/>
      <c r="F232" s="125"/>
      <c r="G232" s="131"/>
      <c r="H232" s="125"/>
      <c r="I232" s="130"/>
      <c r="J232" s="130"/>
      <c r="K232" s="130"/>
      <c r="L232" s="130"/>
      <c r="M232" s="125"/>
      <c r="N232" s="125"/>
      <c r="O232" s="125"/>
      <c r="P232" s="125"/>
      <c r="Q232" s="125"/>
      <c r="R232" s="125"/>
      <c r="S232" s="125"/>
      <c r="T232" s="125"/>
      <c r="U232" s="125"/>
      <c r="V232" s="125"/>
      <c r="W232" s="10"/>
      <c r="X232" s="9"/>
      <c r="Y232" s="9"/>
      <c r="Z232" s="9"/>
      <c r="AA232" s="9"/>
      <c r="AB232" s="9"/>
      <c r="AC232" s="9"/>
      <c r="AD232" s="9"/>
      <c r="AE232" s="9"/>
      <c r="AF232" s="9"/>
      <c r="AG232" s="11"/>
    </row>
    <row r="233" spans="1:33" ht="13.5" customHeight="1">
      <c r="A233" s="9"/>
      <c r="B233" s="125"/>
      <c r="C233" s="125"/>
      <c r="D233" s="125"/>
      <c r="E233" s="125"/>
      <c r="F233" s="125"/>
      <c r="G233" s="131"/>
      <c r="H233" s="125"/>
      <c r="I233" s="130"/>
      <c r="J233" s="130"/>
      <c r="K233" s="130"/>
      <c r="L233" s="130"/>
      <c r="M233" s="125"/>
      <c r="N233" s="125"/>
      <c r="O233" s="125"/>
      <c r="P233" s="125"/>
      <c r="Q233" s="125"/>
      <c r="R233" s="125"/>
      <c r="S233" s="125"/>
      <c r="T233" s="125"/>
      <c r="U233" s="125"/>
      <c r="V233" s="125"/>
      <c r="W233" s="10"/>
      <c r="X233" s="9"/>
      <c r="Y233" s="9"/>
      <c r="Z233" s="9"/>
      <c r="AA233" s="9"/>
      <c r="AB233" s="9"/>
      <c r="AC233" s="9"/>
      <c r="AD233" s="9"/>
      <c r="AE233" s="9"/>
      <c r="AF233" s="9"/>
      <c r="AG233" s="11"/>
    </row>
    <row r="234" spans="1:33" ht="13.5" customHeight="1">
      <c r="A234" s="9"/>
      <c r="B234" s="125"/>
      <c r="C234" s="125"/>
      <c r="D234" s="125"/>
      <c r="E234" s="125"/>
      <c r="F234" s="125"/>
      <c r="G234" s="131"/>
      <c r="H234" s="125"/>
      <c r="I234" s="130"/>
      <c r="J234" s="130"/>
      <c r="K234" s="130"/>
      <c r="L234" s="130"/>
      <c r="M234" s="125"/>
      <c r="N234" s="125"/>
      <c r="O234" s="125"/>
      <c r="P234" s="125"/>
      <c r="Q234" s="125"/>
      <c r="R234" s="125"/>
      <c r="S234" s="125"/>
      <c r="T234" s="125"/>
      <c r="U234" s="125"/>
      <c r="V234" s="125"/>
      <c r="W234" s="10"/>
      <c r="X234" s="9"/>
      <c r="Y234" s="9"/>
      <c r="Z234" s="9"/>
      <c r="AA234" s="9"/>
      <c r="AB234" s="9"/>
      <c r="AC234" s="9"/>
      <c r="AD234" s="9"/>
      <c r="AE234" s="9"/>
      <c r="AF234" s="9"/>
      <c r="AG234" s="11"/>
    </row>
    <row r="235" spans="1:33" ht="13.5" customHeight="1">
      <c r="A235" s="9"/>
      <c r="B235" s="125"/>
      <c r="C235" s="125"/>
      <c r="D235" s="125"/>
      <c r="E235" s="125"/>
      <c r="F235" s="125"/>
      <c r="G235" s="131"/>
      <c r="H235" s="125"/>
      <c r="I235" s="130"/>
      <c r="J235" s="130"/>
      <c r="K235" s="130"/>
      <c r="L235" s="130"/>
      <c r="M235" s="125"/>
      <c r="N235" s="125"/>
      <c r="O235" s="125"/>
      <c r="P235" s="125"/>
      <c r="Q235" s="125"/>
      <c r="R235" s="125"/>
      <c r="S235" s="125"/>
      <c r="T235" s="125"/>
      <c r="U235" s="125"/>
      <c r="V235" s="125"/>
      <c r="W235" s="10"/>
      <c r="X235" s="9"/>
      <c r="Y235" s="9"/>
      <c r="Z235" s="9"/>
      <c r="AA235" s="9"/>
      <c r="AB235" s="9"/>
      <c r="AC235" s="9"/>
      <c r="AD235" s="9"/>
      <c r="AE235" s="9"/>
      <c r="AF235" s="9"/>
      <c r="AG235" s="11"/>
    </row>
    <row r="236" spans="1:33" ht="13.5" customHeight="1">
      <c r="A236" s="9"/>
      <c r="B236" s="125"/>
      <c r="C236" s="125"/>
      <c r="D236" s="125"/>
      <c r="E236" s="125"/>
      <c r="F236" s="125"/>
      <c r="G236" s="131"/>
      <c r="H236" s="125"/>
      <c r="I236" s="130"/>
      <c r="J236" s="130"/>
      <c r="K236" s="130"/>
      <c r="L236" s="130"/>
      <c r="M236" s="125"/>
      <c r="N236" s="125"/>
      <c r="O236" s="125"/>
      <c r="P236" s="125"/>
      <c r="Q236" s="125"/>
      <c r="R236" s="125"/>
      <c r="S236" s="125"/>
      <c r="T236" s="125"/>
      <c r="U236" s="125"/>
      <c r="V236" s="125"/>
      <c r="W236" s="10"/>
      <c r="X236" s="9"/>
      <c r="Y236" s="9"/>
      <c r="Z236" s="9"/>
      <c r="AA236" s="9"/>
      <c r="AB236" s="9"/>
      <c r="AC236" s="9"/>
      <c r="AD236" s="9"/>
      <c r="AE236" s="9"/>
      <c r="AF236" s="9"/>
      <c r="AG236" s="11"/>
    </row>
    <row r="237" spans="1:33" ht="13.5" customHeight="1">
      <c r="A237" s="9"/>
      <c r="B237" s="125"/>
      <c r="C237" s="125"/>
      <c r="D237" s="125"/>
      <c r="E237" s="125"/>
      <c r="F237" s="125"/>
      <c r="G237" s="131"/>
      <c r="H237" s="125"/>
      <c r="I237" s="130"/>
      <c r="J237" s="130"/>
      <c r="K237" s="130"/>
      <c r="L237" s="130"/>
      <c r="M237" s="125"/>
      <c r="N237" s="125"/>
      <c r="O237" s="125"/>
      <c r="P237" s="125"/>
      <c r="Q237" s="125"/>
      <c r="R237" s="125"/>
      <c r="S237" s="125"/>
      <c r="T237" s="125"/>
      <c r="U237" s="125"/>
      <c r="V237" s="125"/>
      <c r="W237" s="10"/>
      <c r="X237" s="9"/>
      <c r="Y237" s="9"/>
      <c r="Z237" s="9"/>
      <c r="AA237" s="9"/>
      <c r="AB237" s="9"/>
      <c r="AC237" s="9"/>
      <c r="AD237" s="9"/>
      <c r="AE237" s="9"/>
      <c r="AF237" s="9"/>
      <c r="AG237" s="11"/>
    </row>
    <row r="238" spans="1:33" ht="13.5" customHeight="1">
      <c r="A238" s="9"/>
      <c r="B238" s="125"/>
      <c r="C238" s="125"/>
      <c r="D238" s="125"/>
      <c r="E238" s="125"/>
      <c r="F238" s="125"/>
      <c r="G238" s="131"/>
      <c r="H238" s="125"/>
      <c r="I238" s="130"/>
      <c r="J238" s="130"/>
      <c r="K238" s="130"/>
      <c r="L238" s="130"/>
      <c r="M238" s="125"/>
      <c r="N238" s="125"/>
      <c r="O238" s="125"/>
      <c r="P238" s="125"/>
      <c r="Q238" s="125"/>
      <c r="R238" s="125"/>
      <c r="S238" s="125"/>
      <c r="T238" s="125"/>
      <c r="U238" s="125"/>
      <c r="V238" s="125"/>
      <c r="W238" s="10"/>
      <c r="X238" s="9"/>
      <c r="Y238" s="9"/>
      <c r="Z238" s="9"/>
      <c r="AA238" s="9"/>
      <c r="AB238" s="9"/>
      <c r="AC238" s="9"/>
      <c r="AD238" s="9"/>
      <c r="AE238" s="9"/>
      <c r="AF238" s="9"/>
      <c r="AG238" s="11"/>
    </row>
    <row r="239" spans="1:33" ht="13.5" customHeight="1">
      <c r="A239" s="9"/>
      <c r="B239" s="125"/>
      <c r="C239" s="125"/>
      <c r="D239" s="125"/>
      <c r="E239" s="125"/>
      <c r="F239" s="125"/>
      <c r="G239" s="131"/>
      <c r="H239" s="125"/>
      <c r="I239" s="130"/>
      <c r="J239" s="130"/>
      <c r="K239" s="130"/>
      <c r="L239" s="130"/>
      <c r="M239" s="125"/>
      <c r="N239" s="125"/>
      <c r="O239" s="125"/>
      <c r="P239" s="125"/>
      <c r="Q239" s="125"/>
      <c r="R239" s="125"/>
      <c r="S239" s="125"/>
      <c r="T239" s="125"/>
      <c r="U239" s="125"/>
      <c r="V239" s="125"/>
      <c r="W239" s="10"/>
      <c r="X239" s="9"/>
      <c r="Y239" s="9"/>
      <c r="Z239" s="9"/>
      <c r="AA239" s="9"/>
      <c r="AB239" s="9"/>
      <c r="AC239" s="9"/>
      <c r="AD239" s="9"/>
      <c r="AE239" s="9"/>
      <c r="AF239" s="9"/>
      <c r="AG239" s="11"/>
    </row>
    <row r="240" spans="1:33" ht="13.5" customHeight="1">
      <c r="A240" s="9"/>
      <c r="B240" s="125"/>
      <c r="C240" s="125"/>
      <c r="D240" s="125"/>
      <c r="E240" s="125"/>
      <c r="F240" s="125"/>
      <c r="G240" s="131"/>
      <c r="H240" s="125"/>
      <c r="I240" s="130"/>
      <c r="J240" s="130"/>
      <c r="K240" s="130"/>
      <c r="L240" s="130"/>
      <c r="M240" s="125"/>
      <c r="N240" s="125"/>
      <c r="O240" s="125"/>
      <c r="P240" s="125"/>
      <c r="Q240" s="125"/>
      <c r="R240" s="125"/>
      <c r="S240" s="125"/>
      <c r="T240" s="125"/>
      <c r="U240" s="125"/>
      <c r="V240" s="125"/>
      <c r="W240" s="10"/>
      <c r="X240" s="9"/>
      <c r="Y240" s="9"/>
      <c r="Z240" s="9"/>
      <c r="AA240" s="9"/>
      <c r="AB240" s="9"/>
      <c r="AC240" s="9"/>
      <c r="AD240" s="9"/>
      <c r="AE240" s="9"/>
      <c r="AF240" s="9"/>
      <c r="AG240" s="11"/>
    </row>
    <row r="241" spans="1:33" ht="13.5" customHeight="1">
      <c r="A241" s="9"/>
      <c r="B241" s="125"/>
      <c r="C241" s="125"/>
      <c r="D241" s="125"/>
      <c r="E241" s="125"/>
      <c r="F241" s="125"/>
      <c r="G241" s="131"/>
      <c r="H241" s="125"/>
      <c r="I241" s="130"/>
      <c r="J241" s="130"/>
      <c r="K241" s="130"/>
      <c r="L241" s="130"/>
      <c r="M241" s="125"/>
      <c r="N241" s="125"/>
      <c r="O241" s="125"/>
      <c r="P241" s="125"/>
      <c r="Q241" s="125"/>
      <c r="R241" s="125"/>
      <c r="S241" s="125"/>
      <c r="T241" s="125"/>
      <c r="U241" s="125"/>
      <c r="V241" s="125"/>
      <c r="W241" s="10"/>
      <c r="X241" s="9"/>
      <c r="Y241" s="9"/>
      <c r="Z241" s="9"/>
      <c r="AA241" s="9"/>
      <c r="AB241" s="9"/>
      <c r="AC241" s="9"/>
      <c r="AD241" s="9"/>
      <c r="AE241" s="9"/>
      <c r="AF241" s="9"/>
      <c r="AG241" s="11"/>
    </row>
    <row r="242" spans="1:33" ht="13.5" customHeight="1">
      <c r="A242" s="9"/>
      <c r="B242" s="125"/>
      <c r="C242" s="125"/>
      <c r="D242" s="125"/>
      <c r="E242" s="125"/>
      <c r="F242" s="125"/>
      <c r="G242" s="131"/>
      <c r="H242" s="125"/>
      <c r="I242" s="130"/>
      <c r="J242" s="130"/>
      <c r="K242" s="130"/>
      <c r="L242" s="130"/>
      <c r="M242" s="125"/>
      <c r="N242" s="125"/>
      <c r="O242" s="125"/>
      <c r="P242" s="125"/>
      <c r="Q242" s="125"/>
      <c r="R242" s="125"/>
      <c r="S242" s="125"/>
      <c r="T242" s="125"/>
      <c r="U242" s="125"/>
      <c r="V242" s="125"/>
      <c r="W242" s="10"/>
      <c r="X242" s="9"/>
      <c r="Y242" s="9"/>
      <c r="Z242" s="9"/>
      <c r="AA242" s="9"/>
      <c r="AB242" s="9"/>
      <c r="AC242" s="9"/>
      <c r="AD242" s="9"/>
      <c r="AE242" s="9"/>
      <c r="AF242" s="9"/>
      <c r="AG242" s="11"/>
    </row>
    <row r="243" spans="1:33" ht="13.5" customHeight="1">
      <c r="A243" s="9"/>
      <c r="B243" s="125"/>
      <c r="C243" s="125"/>
      <c r="D243" s="125"/>
      <c r="E243" s="125"/>
      <c r="F243" s="125"/>
      <c r="G243" s="131"/>
      <c r="H243" s="125"/>
      <c r="I243" s="130"/>
      <c r="J243" s="130"/>
      <c r="K243" s="130"/>
      <c r="L243" s="130"/>
      <c r="M243" s="125"/>
      <c r="N243" s="125"/>
      <c r="O243" s="125"/>
      <c r="P243" s="125"/>
      <c r="Q243" s="125"/>
      <c r="R243" s="125"/>
      <c r="S243" s="125"/>
      <c r="T243" s="125"/>
      <c r="U243" s="125"/>
      <c r="V243" s="125"/>
      <c r="W243" s="10"/>
      <c r="X243" s="9"/>
      <c r="Y243" s="9"/>
      <c r="Z243" s="9"/>
      <c r="AA243" s="9"/>
      <c r="AB243" s="9"/>
      <c r="AC243" s="9"/>
      <c r="AD243" s="9"/>
      <c r="AE243" s="9"/>
      <c r="AF243" s="9"/>
      <c r="AG243" s="11"/>
    </row>
    <row r="244" spans="1:33" ht="13.5" customHeight="1">
      <c r="A244" s="9"/>
      <c r="B244" s="125"/>
      <c r="C244" s="125"/>
      <c r="D244" s="125"/>
      <c r="E244" s="125"/>
      <c r="F244" s="125"/>
      <c r="G244" s="131"/>
      <c r="H244" s="125"/>
      <c r="I244" s="130"/>
      <c r="J244" s="130"/>
      <c r="K244" s="130"/>
      <c r="L244" s="130"/>
      <c r="M244" s="125"/>
      <c r="N244" s="125"/>
      <c r="O244" s="125"/>
      <c r="P244" s="125"/>
      <c r="Q244" s="125"/>
      <c r="R244" s="125"/>
      <c r="S244" s="125"/>
      <c r="T244" s="125"/>
      <c r="U244" s="125"/>
      <c r="V244" s="125"/>
      <c r="W244" s="10"/>
      <c r="X244" s="9"/>
      <c r="Y244" s="9"/>
      <c r="Z244" s="9"/>
      <c r="AA244" s="9"/>
      <c r="AB244" s="9"/>
      <c r="AC244" s="9"/>
      <c r="AD244" s="9"/>
      <c r="AE244" s="9"/>
      <c r="AF244" s="9"/>
      <c r="AG244" s="11"/>
    </row>
    <row r="245" spans="1:33" ht="13.5" customHeight="1">
      <c r="A245" s="9"/>
      <c r="B245" s="125"/>
      <c r="C245" s="125"/>
      <c r="D245" s="125"/>
      <c r="E245" s="125"/>
      <c r="F245" s="125"/>
      <c r="G245" s="131"/>
      <c r="H245" s="125"/>
      <c r="I245" s="130"/>
      <c r="J245" s="130"/>
      <c r="K245" s="130"/>
      <c r="L245" s="130"/>
      <c r="M245" s="125"/>
      <c r="N245" s="125"/>
      <c r="O245" s="125"/>
      <c r="P245" s="125"/>
      <c r="Q245" s="125"/>
      <c r="R245" s="125"/>
      <c r="S245" s="125"/>
      <c r="T245" s="125"/>
      <c r="U245" s="125"/>
      <c r="V245" s="125"/>
      <c r="W245" s="10"/>
      <c r="X245" s="9"/>
      <c r="Y245" s="9"/>
      <c r="Z245" s="9"/>
      <c r="AA245" s="9"/>
      <c r="AB245" s="9"/>
      <c r="AC245" s="9"/>
      <c r="AD245" s="9"/>
      <c r="AE245" s="9"/>
      <c r="AF245" s="9"/>
      <c r="AG245" s="11"/>
    </row>
    <row r="246" spans="1:33" ht="13.5" customHeight="1">
      <c r="A246" s="9"/>
      <c r="B246" s="125"/>
      <c r="C246" s="125"/>
      <c r="D246" s="125"/>
      <c r="E246" s="125"/>
      <c r="F246" s="125"/>
      <c r="G246" s="131"/>
      <c r="H246" s="125"/>
      <c r="I246" s="130"/>
      <c r="J246" s="130"/>
      <c r="K246" s="130"/>
      <c r="L246" s="130"/>
      <c r="M246" s="125"/>
      <c r="N246" s="125"/>
      <c r="O246" s="125"/>
      <c r="P246" s="125"/>
      <c r="Q246" s="125"/>
      <c r="R246" s="125"/>
      <c r="S246" s="125"/>
      <c r="T246" s="125"/>
      <c r="U246" s="125"/>
      <c r="V246" s="125"/>
      <c r="W246" s="10"/>
      <c r="X246" s="9"/>
      <c r="Y246" s="9"/>
      <c r="Z246" s="9"/>
      <c r="AA246" s="9"/>
      <c r="AB246" s="9"/>
      <c r="AC246" s="9"/>
      <c r="AD246" s="9"/>
      <c r="AE246" s="9"/>
      <c r="AF246" s="9"/>
      <c r="AG246" s="11"/>
    </row>
    <row r="247" spans="1:33" ht="13.5" customHeight="1">
      <c r="A247" s="9"/>
      <c r="B247" s="125"/>
      <c r="C247" s="125"/>
      <c r="D247" s="125"/>
      <c r="E247" s="125"/>
      <c r="F247" s="125"/>
      <c r="G247" s="131"/>
      <c r="H247" s="125"/>
      <c r="I247" s="130"/>
      <c r="J247" s="130"/>
      <c r="K247" s="130"/>
      <c r="L247" s="130"/>
      <c r="M247" s="125"/>
      <c r="N247" s="125"/>
      <c r="O247" s="125"/>
      <c r="P247" s="125"/>
      <c r="Q247" s="125"/>
      <c r="R247" s="125"/>
      <c r="S247" s="125"/>
      <c r="T247" s="125"/>
      <c r="U247" s="125"/>
      <c r="V247" s="125"/>
      <c r="W247" s="10"/>
      <c r="X247" s="9"/>
      <c r="Y247" s="9"/>
      <c r="Z247" s="9"/>
      <c r="AA247" s="9"/>
      <c r="AB247" s="9"/>
      <c r="AC247" s="9"/>
      <c r="AD247" s="9"/>
      <c r="AE247" s="9"/>
      <c r="AF247" s="9"/>
      <c r="AG247" s="11"/>
    </row>
    <row r="248" spans="1:33" ht="13.5" customHeight="1">
      <c r="A248" s="9"/>
      <c r="B248" s="125"/>
      <c r="C248" s="125"/>
      <c r="D248" s="125"/>
      <c r="E248" s="125"/>
      <c r="F248" s="125"/>
      <c r="G248" s="131"/>
      <c r="H248" s="125"/>
      <c r="I248" s="130"/>
      <c r="J248" s="130"/>
      <c r="K248" s="130"/>
      <c r="L248" s="130"/>
      <c r="M248" s="125"/>
      <c r="N248" s="125"/>
      <c r="O248" s="125"/>
      <c r="P248" s="125"/>
      <c r="Q248" s="125"/>
      <c r="R248" s="125"/>
      <c r="S248" s="125"/>
      <c r="T248" s="125"/>
      <c r="U248" s="125"/>
      <c r="V248" s="125"/>
      <c r="W248" s="10"/>
      <c r="X248" s="9"/>
      <c r="Y248" s="9"/>
      <c r="Z248" s="9"/>
      <c r="AA248" s="9"/>
      <c r="AB248" s="9"/>
      <c r="AC248" s="9"/>
      <c r="AD248" s="9"/>
      <c r="AE248" s="9"/>
      <c r="AF248" s="9"/>
      <c r="AG248" s="11"/>
    </row>
    <row r="249" spans="1:33" ht="13.5" customHeight="1">
      <c r="A249" s="9"/>
      <c r="B249" s="125"/>
      <c r="C249" s="125"/>
      <c r="D249" s="125"/>
      <c r="E249" s="125"/>
      <c r="F249" s="125"/>
      <c r="G249" s="131"/>
      <c r="H249" s="125"/>
      <c r="I249" s="130"/>
      <c r="J249" s="130"/>
      <c r="K249" s="130"/>
      <c r="L249" s="130"/>
      <c r="M249" s="125"/>
      <c r="N249" s="125"/>
      <c r="O249" s="125"/>
      <c r="P249" s="125"/>
      <c r="Q249" s="125"/>
      <c r="R249" s="125"/>
      <c r="S249" s="125"/>
      <c r="T249" s="125"/>
      <c r="U249" s="125"/>
      <c r="V249" s="125"/>
      <c r="W249" s="10"/>
      <c r="X249" s="9"/>
      <c r="Y249" s="9"/>
      <c r="Z249" s="9"/>
      <c r="AA249" s="9"/>
      <c r="AB249" s="9"/>
      <c r="AC249" s="9"/>
      <c r="AD249" s="9"/>
      <c r="AE249" s="9"/>
      <c r="AF249" s="9"/>
      <c r="AG249" s="11"/>
    </row>
    <row r="250" spans="1:33" ht="13.5" customHeight="1">
      <c r="A250" s="9"/>
      <c r="B250" s="125"/>
      <c r="C250" s="125"/>
      <c r="D250" s="125"/>
      <c r="E250" s="125"/>
      <c r="F250" s="125"/>
      <c r="G250" s="131"/>
      <c r="H250" s="125"/>
      <c r="I250" s="130"/>
      <c r="J250" s="130"/>
      <c r="K250" s="130"/>
      <c r="L250" s="130"/>
      <c r="M250" s="125"/>
      <c r="N250" s="125"/>
      <c r="O250" s="125"/>
      <c r="P250" s="125"/>
      <c r="Q250" s="125"/>
      <c r="R250" s="125"/>
      <c r="S250" s="125"/>
      <c r="T250" s="125"/>
      <c r="U250" s="125"/>
      <c r="V250" s="125"/>
      <c r="W250" s="10"/>
      <c r="X250" s="9"/>
      <c r="Y250" s="9"/>
      <c r="Z250" s="9"/>
      <c r="AA250" s="9"/>
      <c r="AB250" s="9"/>
      <c r="AC250" s="9"/>
      <c r="AD250" s="9"/>
      <c r="AE250" s="9"/>
      <c r="AF250" s="9"/>
      <c r="AG250" s="11"/>
    </row>
    <row r="251" spans="1:33" ht="13.5" customHeight="1">
      <c r="A251" s="9"/>
      <c r="B251" s="125"/>
      <c r="C251" s="125"/>
      <c r="D251" s="125"/>
      <c r="E251" s="125"/>
      <c r="F251" s="125"/>
      <c r="G251" s="131"/>
      <c r="H251" s="125"/>
      <c r="I251" s="130"/>
      <c r="J251" s="130"/>
      <c r="K251" s="130"/>
      <c r="L251" s="130"/>
      <c r="M251" s="125"/>
      <c r="N251" s="125"/>
      <c r="O251" s="125"/>
      <c r="P251" s="125"/>
      <c r="Q251" s="125"/>
      <c r="R251" s="125"/>
      <c r="S251" s="125"/>
      <c r="T251" s="125"/>
      <c r="U251" s="125"/>
      <c r="V251" s="125"/>
      <c r="W251" s="10"/>
      <c r="X251" s="9"/>
      <c r="Y251" s="9"/>
      <c r="Z251" s="9"/>
      <c r="AA251" s="9"/>
      <c r="AB251" s="9"/>
      <c r="AC251" s="9"/>
      <c r="AD251" s="9"/>
      <c r="AE251" s="9"/>
      <c r="AF251" s="9"/>
      <c r="AG251" s="11"/>
    </row>
    <row r="252" spans="1:33" ht="13.5" customHeight="1">
      <c r="A252" s="9"/>
      <c r="B252" s="125"/>
      <c r="C252" s="125"/>
      <c r="D252" s="125"/>
      <c r="E252" s="125"/>
      <c r="F252" s="125"/>
      <c r="G252" s="131"/>
      <c r="H252" s="125"/>
      <c r="I252" s="130"/>
      <c r="J252" s="130"/>
      <c r="K252" s="130"/>
      <c r="L252" s="130"/>
      <c r="M252" s="125"/>
      <c r="N252" s="125"/>
      <c r="O252" s="125"/>
      <c r="P252" s="125"/>
      <c r="Q252" s="125"/>
      <c r="R252" s="125"/>
      <c r="S252" s="125"/>
      <c r="T252" s="125"/>
      <c r="U252" s="125"/>
      <c r="V252" s="125"/>
      <c r="W252" s="10"/>
      <c r="X252" s="9"/>
      <c r="Y252" s="9"/>
      <c r="Z252" s="9"/>
      <c r="AA252" s="9"/>
      <c r="AB252" s="9"/>
      <c r="AC252" s="9"/>
      <c r="AD252" s="9"/>
      <c r="AE252" s="9"/>
      <c r="AF252" s="9"/>
      <c r="AG252" s="11"/>
    </row>
    <row r="253" spans="1:33" ht="13.5" customHeight="1">
      <c r="A253" s="9"/>
      <c r="B253" s="125"/>
      <c r="C253" s="125"/>
      <c r="D253" s="125"/>
      <c r="E253" s="125"/>
      <c r="F253" s="125"/>
      <c r="G253" s="131"/>
      <c r="H253" s="125"/>
      <c r="I253" s="130"/>
      <c r="J253" s="130"/>
      <c r="K253" s="130"/>
      <c r="L253" s="130"/>
      <c r="M253" s="125"/>
      <c r="N253" s="125"/>
      <c r="O253" s="125"/>
      <c r="P253" s="125"/>
      <c r="Q253" s="125"/>
      <c r="R253" s="125"/>
      <c r="S253" s="125"/>
      <c r="T253" s="125"/>
      <c r="U253" s="125"/>
      <c r="V253" s="125"/>
      <c r="W253" s="10"/>
      <c r="X253" s="9"/>
      <c r="Y253" s="9"/>
      <c r="Z253" s="9"/>
      <c r="AA253" s="9"/>
      <c r="AB253" s="9"/>
      <c r="AC253" s="9"/>
      <c r="AD253" s="9"/>
      <c r="AE253" s="9"/>
      <c r="AF253" s="9"/>
      <c r="AG253" s="11"/>
    </row>
    <row r="254" spans="1:33" ht="13.5" customHeight="1">
      <c r="A254" s="9"/>
      <c r="B254" s="125"/>
      <c r="C254" s="125"/>
      <c r="D254" s="125"/>
      <c r="E254" s="125"/>
      <c r="F254" s="125"/>
      <c r="G254" s="131"/>
      <c r="H254" s="125"/>
      <c r="I254" s="130"/>
      <c r="J254" s="130"/>
      <c r="K254" s="130"/>
      <c r="L254" s="130"/>
      <c r="M254" s="125"/>
      <c r="N254" s="125"/>
      <c r="O254" s="125"/>
      <c r="P254" s="125"/>
      <c r="Q254" s="125"/>
      <c r="R254" s="125"/>
      <c r="S254" s="125"/>
      <c r="T254" s="125"/>
      <c r="U254" s="125"/>
      <c r="V254" s="125"/>
      <c r="W254" s="10"/>
      <c r="X254" s="9"/>
      <c r="Y254" s="9"/>
      <c r="Z254" s="9"/>
      <c r="AA254" s="9"/>
      <c r="AB254" s="9"/>
      <c r="AC254" s="9"/>
      <c r="AD254" s="9"/>
      <c r="AE254" s="9"/>
      <c r="AF254" s="9"/>
      <c r="AG254" s="11"/>
    </row>
    <row r="255" spans="1:33" ht="13.5" customHeight="1">
      <c r="A255" s="9"/>
      <c r="B255" s="125"/>
      <c r="C255" s="125"/>
      <c r="D255" s="125"/>
      <c r="E255" s="125"/>
      <c r="F255" s="125"/>
      <c r="G255" s="131"/>
      <c r="H255" s="125"/>
      <c r="I255" s="130"/>
      <c r="J255" s="130"/>
      <c r="K255" s="130"/>
      <c r="L255" s="130"/>
      <c r="M255" s="125"/>
      <c r="N255" s="125"/>
      <c r="O255" s="125"/>
      <c r="P255" s="125"/>
      <c r="Q255" s="125"/>
      <c r="R255" s="125"/>
      <c r="S255" s="125"/>
      <c r="T255" s="125"/>
      <c r="U255" s="125"/>
      <c r="V255" s="125"/>
      <c r="W255" s="10"/>
      <c r="X255" s="9"/>
      <c r="Y255" s="9"/>
      <c r="Z255" s="9"/>
      <c r="AA255" s="9"/>
      <c r="AB255" s="9"/>
      <c r="AC255" s="9"/>
      <c r="AD255" s="9"/>
      <c r="AE255" s="9"/>
      <c r="AF255" s="9"/>
      <c r="AG255" s="11"/>
    </row>
    <row r="256" spans="1:33" ht="13.5" customHeight="1">
      <c r="A256" s="9"/>
      <c r="B256" s="125"/>
      <c r="C256" s="125"/>
      <c r="D256" s="125"/>
      <c r="E256" s="125"/>
      <c r="F256" s="125"/>
      <c r="G256" s="131"/>
      <c r="H256" s="125"/>
      <c r="I256" s="130"/>
      <c r="J256" s="130"/>
      <c r="K256" s="130"/>
      <c r="L256" s="130"/>
      <c r="M256" s="125"/>
      <c r="N256" s="125"/>
      <c r="O256" s="125"/>
      <c r="P256" s="125"/>
      <c r="Q256" s="125"/>
      <c r="R256" s="125"/>
      <c r="S256" s="125"/>
      <c r="T256" s="125"/>
      <c r="U256" s="125"/>
      <c r="V256" s="125"/>
      <c r="W256" s="10"/>
      <c r="X256" s="9"/>
      <c r="Y256" s="9"/>
      <c r="Z256" s="9"/>
      <c r="AA256" s="9"/>
      <c r="AB256" s="9"/>
      <c r="AC256" s="9"/>
      <c r="AD256" s="9"/>
      <c r="AE256" s="9"/>
      <c r="AF256" s="9"/>
      <c r="AG256" s="11"/>
    </row>
    <row r="257" spans="1:33" ht="13.5" customHeight="1">
      <c r="A257" s="9"/>
      <c r="B257" s="125"/>
      <c r="C257" s="125"/>
      <c r="D257" s="125"/>
      <c r="E257" s="125"/>
      <c r="F257" s="125"/>
      <c r="G257" s="131"/>
      <c r="H257" s="125"/>
      <c r="I257" s="130"/>
      <c r="J257" s="130"/>
      <c r="K257" s="130"/>
      <c r="L257" s="130"/>
      <c r="M257" s="125"/>
      <c r="N257" s="125"/>
      <c r="O257" s="125"/>
      <c r="P257" s="125"/>
      <c r="Q257" s="125"/>
      <c r="R257" s="125"/>
      <c r="S257" s="125"/>
      <c r="T257" s="125"/>
      <c r="U257" s="125"/>
      <c r="V257" s="125"/>
      <c r="W257" s="10"/>
      <c r="X257" s="9"/>
      <c r="Y257" s="9"/>
      <c r="Z257" s="9"/>
      <c r="AA257" s="9"/>
      <c r="AB257" s="9"/>
      <c r="AC257" s="9"/>
      <c r="AD257" s="9"/>
      <c r="AE257" s="9"/>
      <c r="AF257" s="9"/>
      <c r="AG257" s="11"/>
    </row>
    <row r="258" spans="1:33" ht="13.5" customHeight="1">
      <c r="A258" s="9"/>
      <c r="B258" s="125"/>
      <c r="C258" s="125"/>
      <c r="D258" s="125"/>
      <c r="E258" s="125"/>
      <c r="F258" s="125"/>
      <c r="G258" s="131"/>
      <c r="H258" s="125"/>
      <c r="I258" s="130"/>
      <c r="J258" s="130"/>
      <c r="K258" s="130"/>
      <c r="L258" s="130"/>
      <c r="M258" s="125"/>
      <c r="N258" s="125"/>
      <c r="O258" s="125"/>
      <c r="P258" s="125"/>
      <c r="Q258" s="125"/>
      <c r="R258" s="125"/>
      <c r="S258" s="125"/>
      <c r="T258" s="125"/>
      <c r="U258" s="125"/>
      <c r="V258" s="125"/>
      <c r="W258" s="10"/>
      <c r="X258" s="9"/>
      <c r="Y258" s="9"/>
      <c r="Z258" s="9"/>
      <c r="AA258" s="9"/>
      <c r="AB258" s="9"/>
      <c r="AC258" s="9"/>
      <c r="AD258" s="9"/>
      <c r="AE258" s="9"/>
      <c r="AF258" s="9"/>
      <c r="AG258" s="11"/>
    </row>
    <row r="259" spans="1:33" ht="13.5" customHeight="1">
      <c r="A259" s="9"/>
      <c r="B259" s="125"/>
      <c r="C259" s="125"/>
      <c r="D259" s="125"/>
      <c r="E259" s="125"/>
      <c r="F259" s="125"/>
      <c r="G259" s="131"/>
      <c r="H259" s="125"/>
      <c r="I259" s="130"/>
      <c r="J259" s="130"/>
      <c r="K259" s="130"/>
      <c r="L259" s="130"/>
      <c r="M259" s="125"/>
      <c r="N259" s="125"/>
      <c r="O259" s="125"/>
      <c r="P259" s="125"/>
      <c r="Q259" s="125"/>
      <c r="R259" s="125"/>
      <c r="S259" s="125"/>
      <c r="T259" s="125"/>
      <c r="U259" s="125"/>
      <c r="V259" s="125"/>
      <c r="W259" s="10"/>
      <c r="X259" s="9"/>
      <c r="Y259" s="9"/>
      <c r="Z259" s="9"/>
      <c r="AA259" s="9"/>
      <c r="AB259" s="9"/>
      <c r="AC259" s="9"/>
      <c r="AD259" s="9"/>
      <c r="AE259" s="9"/>
      <c r="AF259" s="9"/>
      <c r="AG259" s="11"/>
    </row>
    <row r="260" spans="1:33" ht="13.5" customHeight="1">
      <c r="A260" s="9"/>
      <c r="B260" s="125"/>
      <c r="C260" s="125"/>
      <c r="D260" s="125"/>
      <c r="E260" s="125"/>
      <c r="F260" s="125"/>
      <c r="G260" s="131"/>
      <c r="H260" s="125"/>
      <c r="I260" s="130"/>
      <c r="J260" s="130"/>
      <c r="K260" s="130"/>
      <c r="L260" s="130"/>
      <c r="M260" s="125"/>
      <c r="N260" s="125"/>
      <c r="O260" s="125"/>
      <c r="P260" s="125"/>
      <c r="Q260" s="125"/>
      <c r="R260" s="125"/>
      <c r="S260" s="125"/>
      <c r="T260" s="125"/>
      <c r="U260" s="125"/>
      <c r="V260" s="125"/>
      <c r="W260" s="10"/>
      <c r="X260" s="9"/>
      <c r="Y260" s="9"/>
      <c r="Z260" s="9"/>
      <c r="AA260" s="9"/>
      <c r="AB260" s="9"/>
      <c r="AC260" s="9"/>
      <c r="AD260" s="9"/>
      <c r="AE260" s="9"/>
      <c r="AF260" s="9"/>
      <c r="AG260" s="11"/>
    </row>
    <row r="261" spans="1:33" ht="13.5" customHeight="1">
      <c r="A261" s="9"/>
      <c r="B261" s="125"/>
      <c r="C261" s="125"/>
      <c r="D261" s="125"/>
      <c r="E261" s="125"/>
      <c r="F261" s="125"/>
      <c r="G261" s="131"/>
      <c r="H261" s="125"/>
      <c r="I261" s="130"/>
      <c r="J261" s="130"/>
      <c r="K261" s="130"/>
      <c r="L261" s="130"/>
      <c r="M261" s="125"/>
      <c r="N261" s="125"/>
      <c r="O261" s="125"/>
      <c r="P261" s="125"/>
      <c r="Q261" s="125"/>
      <c r="R261" s="125"/>
      <c r="S261" s="125"/>
      <c r="T261" s="125"/>
      <c r="U261" s="125"/>
      <c r="V261" s="125"/>
      <c r="W261" s="10"/>
      <c r="X261" s="9"/>
      <c r="Y261" s="9"/>
      <c r="Z261" s="9"/>
      <c r="AA261" s="9"/>
      <c r="AB261" s="9"/>
      <c r="AC261" s="9"/>
      <c r="AD261" s="9"/>
      <c r="AE261" s="9"/>
      <c r="AF261" s="9"/>
      <c r="AG261" s="11"/>
    </row>
    <row r="262" spans="1:33" ht="13.5" customHeight="1">
      <c r="A262" s="9"/>
      <c r="B262" s="125"/>
      <c r="C262" s="125"/>
      <c r="D262" s="125"/>
      <c r="E262" s="125"/>
      <c r="F262" s="125"/>
      <c r="G262" s="131"/>
      <c r="H262" s="125"/>
      <c r="I262" s="130"/>
      <c r="J262" s="130"/>
      <c r="K262" s="130"/>
      <c r="L262" s="130"/>
      <c r="M262" s="125"/>
      <c r="N262" s="125"/>
      <c r="O262" s="125"/>
      <c r="P262" s="125"/>
      <c r="Q262" s="125"/>
      <c r="R262" s="125"/>
      <c r="S262" s="125"/>
      <c r="T262" s="125"/>
      <c r="U262" s="125"/>
      <c r="V262" s="125"/>
      <c r="W262" s="10"/>
      <c r="X262" s="9"/>
      <c r="Y262" s="9"/>
      <c r="Z262" s="9"/>
      <c r="AA262" s="9"/>
      <c r="AB262" s="9"/>
      <c r="AC262" s="9"/>
      <c r="AD262" s="9"/>
      <c r="AE262" s="9"/>
      <c r="AF262" s="9"/>
      <c r="AG262" s="11"/>
    </row>
    <row r="263" spans="1:33" ht="13.5" customHeight="1">
      <c r="A263" s="9"/>
      <c r="B263" s="125"/>
      <c r="C263" s="125"/>
      <c r="D263" s="125"/>
      <c r="E263" s="125"/>
      <c r="F263" s="125"/>
      <c r="G263" s="131"/>
      <c r="H263" s="125"/>
      <c r="I263" s="130"/>
      <c r="J263" s="130"/>
      <c r="K263" s="130"/>
      <c r="L263" s="130"/>
      <c r="M263" s="125"/>
      <c r="N263" s="125"/>
      <c r="O263" s="125"/>
      <c r="P263" s="125"/>
      <c r="Q263" s="125"/>
      <c r="R263" s="125"/>
      <c r="S263" s="125"/>
      <c r="T263" s="125"/>
      <c r="U263" s="125"/>
      <c r="V263" s="125"/>
      <c r="W263" s="10"/>
      <c r="X263" s="9"/>
      <c r="Y263" s="9"/>
      <c r="Z263" s="9"/>
      <c r="AA263" s="9"/>
      <c r="AB263" s="9"/>
      <c r="AC263" s="9"/>
      <c r="AD263" s="9"/>
      <c r="AE263" s="9"/>
      <c r="AF263" s="9"/>
      <c r="AG263" s="11"/>
    </row>
    <row r="264" spans="1:33" ht="13.5" customHeight="1">
      <c r="A264" s="9"/>
      <c r="B264" s="125"/>
      <c r="C264" s="125"/>
      <c r="D264" s="125"/>
      <c r="E264" s="125"/>
      <c r="F264" s="125"/>
      <c r="G264" s="131"/>
      <c r="H264" s="125"/>
      <c r="I264" s="130"/>
      <c r="J264" s="130"/>
      <c r="K264" s="130"/>
      <c r="L264" s="130"/>
      <c r="M264" s="125"/>
      <c r="N264" s="125"/>
      <c r="O264" s="125"/>
      <c r="P264" s="125"/>
      <c r="Q264" s="125"/>
      <c r="R264" s="125"/>
      <c r="S264" s="125"/>
      <c r="T264" s="125"/>
      <c r="U264" s="125"/>
      <c r="V264" s="125"/>
      <c r="W264" s="10"/>
      <c r="X264" s="9"/>
      <c r="Y264" s="9"/>
      <c r="Z264" s="9"/>
      <c r="AA264" s="9"/>
      <c r="AB264" s="9"/>
      <c r="AC264" s="9"/>
      <c r="AD264" s="9"/>
      <c r="AE264" s="9"/>
      <c r="AF264" s="9"/>
      <c r="AG264" s="11"/>
    </row>
    <row r="265" spans="1:33" ht="13.5" customHeight="1">
      <c r="A265" s="9"/>
      <c r="B265" s="125"/>
      <c r="C265" s="125"/>
      <c r="D265" s="125"/>
      <c r="E265" s="125"/>
      <c r="F265" s="125"/>
      <c r="G265" s="131"/>
      <c r="H265" s="125"/>
      <c r="I265" s="130"/>
      <c r="J265" s="130"/>
      <c r="K265" s="130"/>
      <c r="L265" s="130"/>
      <c r="M265" s="125"/>
      <c r="N265" s="125"/>
      <c r="O265" s="125"/>
      <c r="P265" s="125"/>
      <c r="Q265" s="125"/>
      <c r="R265" s="125"/>
      <c r="S265" s="125"/>
      <c r="T265" s="125"/>
      <c r="U265" s="125"/>
      <c r="V265" s="125"/>
      <c r="W265" s="10"/>
      <c r="X265" s="9"/>
      <c r="Y265" s="9"/>
      <c r="Z265" s="9"/>
      <c r="AA265" s="9"/>
      <c r="AB265" s="9"/>
      <c r="AC265" s="9"/>
      <c r="AD265" s="9"/>
      <c r="AE265" s="9"/>
      <c r="AF265" s="9"/>
      <c r="AG265" s="11"/>
    </row>
    <row r="266" spans="1:33" ht="13.5" customHeight="1">
      <c r="A266" s="9"/>
      <c r="B266" s="125"/>
      <c r="C266" s="125"/>
      <c r="D266" s="125"/>
      <c r="E266" s="125"/>
      <c r="F266" s="125"/>
      <c r="G266" s="131"/>
      <c r="H266" s="125"/>
      <c r="I266" s="130"/>
      <c r="J266" s="130"/>
      <c r="K266" s="130"/>
      <c r="L266" s="130"/>
      <c r="M266" s="125"/>
      <c r="N266" s="125"/>
      <c r="O266" s="125"/>
      <c r="P266" s="125"/>
      <c r="Q266" s="125"/>
      <c r="R266" s="125"/>
      <c r="S266" s="125"/>
      <c r="T266" s="125"/>
      <c r="U266" s="125"/>
      <c r="V266" s="125"/>
      <c r="W266" s="10"/>
      <c r="X266" s="9"/>
      <c r="Y266" s="9"/>
      <c r="Z266" s="9"/>
      <c r="AA266" s="9"/>
      <c r="AB266" s="9"/>
      <c r="AC266" s="9"/>
      <c r="AD266" s="9"/>
      <c r="AE266" s="9"/>
      <c r="AF266" s="9"/>
      <c r="AG266" s="11"/>
    </row>
    <row r="267" spans="1:33" ht="13.5" customHeight="1">
      <c r="A267" s="9"/>
      <c r="B267" s="125"/>
      <c r="C267" s="125"/>
      <c r="D267" s="125"/>
      <c r="E267" s="125"/>
      <c r="F267" s="125"/>
      <c r="G267" s="131"/>
      <c r="H267" s="125"/>
      <c r="I267" s="130"/>
      <c r="J267" s="130"/>
      <c r="K267" s="130"/>
      <c r="L267" s="130"/>
      <c r="M267" s="125"/>
      <c r="N267" s="125"/>
      <c r="O267" s="125"/>
      <c r="P267" s="125"/>
      <c r="Q267" s="125"/>
      <c r="R267" s="125"/>
      <c r="S267" s="125"/>
      <c r="T267" s="125"/>
      <c r="U267" s="125"/>
      <c r="V267" s="125"/>
      <c r="W267" s="10"/>
      <c r="X267" s="9"/>
      <c r="Y267" s="9"/>
      <c r="Z267" s="9"/>
      <c r="AA267" s="9"/>
      <c r="AB267" s="9"/>
      <c r="AC267" s="9"/>
      <c r="AD267" s="9"/>
      <c r="AE267" s="9"/>
      <c r="AF267" s="9"/>
      <c r="AG267" s="11"/>
    </row>
    <row r="268" spans="1:33" ht="13.5" customHeight="1">
      <c r="A268" s="9"/>
      <c r="B268" s="125"/>
      <c r="C268" s="125"/>
      <c r="D268" s="125"/>
      <c r="E268" s="125"/>
      <c r="F268" s="125"/>
      <c r="G268" s="131"/>
      <c r="H268" s="125"/>
      <c r="I268" s="130"/>
      <c r="J268" s="130"/>
      <c r="K268" s="130"/>
      <c r="L268" s="130"/>
      <c r="M268" s="125"/>
      <c r="N268" s="125"/>
      <c r="O268" s="125"/>
      <c r="P268" s="125"/>
      <c r="Q268" s="125"/>
      <c r="R268" s="125"/>
      <c r="S268" s="125"/>
      <c r="T268" s="125"/>
      <c r="U268" s="125"/>
      <c r="V268" s="125"/>
      <c r="W268" s="10"/>
      <c r="X268" s="9"/>
      <c r="Y268" s="9"/>
      <c r="Z268" s="9"/>
      <c r="AA268" s="9"/>
      <c r="AB268" s="9"/>
      <c r="AC268" s="9"/>
      <c r="AD268" s="9"/>
      <c r="AE268" s="9"/>
      <c r="AF268" s="9"/>
      <c r="AG268" s="11"/>
    </row>
    <row r="269" spans="1:33" ht="13.5" customHeight="1">
      <c r="A269" s="9"/>
      <c r="B269" s="125"/>
      <c r="C269" s="125"/>
      <c r="D269" s="125"/>
      <c r="E269" s="125"/>
      <c r="F269" s="125"/>
      <c r="G269" s="131"/>
      <c r="H269" s="125"/>
      <c r="I269" s="130"/>
      <c r="J269" s="130"/>
      <c r="K269" s="130"/>
      <c r="L269" s="130"/>
      <c r="M269" s="125"/>
      <c r="N269" s="125"/>
      <c r="O269" s="125"/>
      <c r="P269" s="125"/>
      <c r="Q269" s="125"/>
      <c r="R269" s="125"/>
      <c r="S269" s="125"/>
      <c r="T269" s="125"/>
      <c r="U269" s="125"/>
      <c r="V269" s="125"/>
      <c r="W269" s="10"/>
      <c r="X269" s="9"/>
      <c r="Y269" s="9"/>
      <c r="Z269" s="9"/>
      <c r="AA269" s="9"/>
      <c r="AB269" s="9"/>
      <c r="AC269" s="9"/>
      <c r="AD269" s="9"/>
      <c r="AE269" s="9"/>
      <c r="AF269" s="9"/>
      <c r="AG269" s="11"/>
    </row>
    <row r="270" spans="1:33" ht="13.5" customHeight="1">
      <c r="A270" s="9"/>
      <c r="B270" s="125"/>
      <c r="C270" s="125"/>
      <c r="D270" s="125"/>
      <c r="E270" s="125"/>
      <c r="F270" s="125"/>
      <c r="G270" s="131"/>
      <c r="H270" s="125"/>
      <c r="I270" s="130"/>
      <c r="J270" s="130"/>
      <c r="K270" s="130"/>
      <c r="L270" s="130"/>
      <c r="M270" s="125"/>
      <c r="N270" s="125"/>
      <c r="O270" s="125"/>
      <c r="P270" s="125"/>
      <c r="Q270" s="125"/>
      <c r="R270" s="125"/>
      <c r="S270" s="125"/>
      <c r="T270" s="125"/>
      <c r="U270" s="125"/>
      <c r="V270" s="125"/>
      <c r="W270" s="10"/>
      <c r="X270" s="9"/>
      <c r="Y270" s="9"/>
      <c r="Z270" s="9"/>
      <c r="AA270" s="9"/>
      <c r="AB270" s="9"/>
      <c r="AC270" s="9"/>
      <c r="AD270" s="9"/>
      <c r="AE270" s="9"/>
      <c r="AF270" s="9"/>
      <c r="AG270" s="11"/>
    </row>
    <row r="271" spans="1:33" ht="13.5" customHeight="1">
      <c r="A271" s="9"/>
      <c r="B271" s="125"/>
      <c r="C271" s="125"/>
      <c r="D271" s="125"/>
      <c r="E271" s="125"/>
      <c r="F271" s="125"/>
      <c r="G271" s="131"/>
      <c r="H271" s="125"/>
      <c r="I271" s="130"/>
      <c r="J271" s="130"/>
      <c r="K271" s="130"/>
      <c r="L271" s="130"/>
      <c r="M271" s="125"/>
      <c r="N271" s="125"/>
      <c r="O271" s="125"/>
      <c r="P271" s="125"/>
      <c r="Q271" s="125"/>
      <c r="R271" s="125"/>
      <c r="S271" s="125"/>
      <c r="T271" s="125"/>
      <c r="U271" s="125"/>
      <c r="V271" s="125"/>
      <c r="W271" s="10"/>
      <c r="X271" s="9"/>
      <c r="Y271" s="9"/>
      <c r="Z271" s="9"/>
      <c r="AA271" s="9"/>
      <c r="AB271" s="9"/>
      <c r="AC271" s="9"/>
      <c r="AD271" s="9"/>
      <c r="AE271" s="9"/>
      <c r="AF271" s="9"/>
      <c r="AG271" s="11"/>
    </row>
    <row r="272" spans="1:33" ht="13.5" customHeight="1">
      <c r="A272" s="9"/>
      <c r="B272" s="125"/>
      <c r="C272" s="125"/>
      <c r="D272" s="125"/>
      <c r="E272" s="125"/>
      <c r="F272" s="125"/>
      <c r="G272" s="131"/>
      <c r="H272" s="125"/>
      <c r="I272" s="130"/>
      <c r="J272" s="130"/>
      <c r="K272" s="130"/>
      <c r="L272" s="130"/>
      <c r="M272" s="125"/>
      <c r="N272" s="125"/>
      <c r="O272" s="125"/>
      <c r="P272" s="125"/>
      <c r="Q272" s="125"/>
      <c r="R272" s="125"/>
      <c r="S272" s="125"/>
      <c r="T272" s="125"/>
      <c r="U272" s="125"/>
      <c r="V272" s="125"/>
      <c r="W272" s="10"/>
      <c r="X272" s="9"/>
      <c r="Y272" s="9"/>
      <c r="Z272" s="9"/>
      <c r="AA272" s="9"/>
      <c r="AB272" s="9"/>
      <c r="AC272" s="9"/>
      <c r="AD272" s="9"/>
      <c r="AE272" s="9"/>
      <c r="AF272" s="9"/>
      <c r="AG272" s="11"/>
    </row>
    <row r="273" spans="1:33" ht="13.5" customHeight="1">
      <c r="A273" s="9"/>
      <c r="B273" s="125"/>
      <c r="C273" s="125"/>
      <c r="D273" s="125"/>
      <c r="E273" s="125"/>
      <c r="F273" s="125"/>
      <c r="G273" s="131"/>
      <c r="H273" s="125"/>
      <c r="I273" s="130"/>
      <c r="J273" s="130"/>
      <c r="K273" s="130"/>
      <c r="L273" s="130"/>
      <c r="M273" s="125"/>
      <c r="N273" s="125"/>
      <c r="O273" s="125"/>
      <c r="P273" s="125"/>
      <c r="Q273" s="125"/>
      <c r="R273" s="125"/>
      <c r="S273" s="125"/>
      <c r="T273" s="125"/>
      <c r="U273" s="125"/>
      <c r="V273" s="125"/>
      <c r="W273" s="10"/>
      <c r="X273" s="9"/>
      <c r="Y273" s="9"/>
      <c r="Z273" s="9"/>
      <c r="AA273" s="9"/>
      <c r="AB273" s="9"/>
      <c r="AC273" s="9"/>
      <c r="AD273" s="9"/>
      <c r="AE273" s="9"/>
      <c r="AF273" s="9"/>
      <c r="AG273" s="11"/>
    </row>
    <row r="274" spans="1:33" ht="13.5" customHeight="1">
      <c r="A274" s="9"/>
      <c r="B274" s="125"/>
      <c r="C274" s="125"/>
      <c r="D274" s="125"/>
      <c r="E274" s="125"/>
      <c r="F274" s="125"/>
      <c r="G274" s="131"/>
      <c r="H274" s="125"/>
      <c r="I274" s="130"/>
      <c r="J274" s="130"/>
      <c r="K274" s="130"/>
      <c r="L274" s="130"/>
      <c r="M274" s="125"/>
      <c r="N274" s="125"/>
      <c r="O274" s="125"/>
      <c r="P274" s="125"/>
      <c r="Q274" s="125"/>
      <c r="R274" s="125"/>
      <c r="S274" s="125"/>
      <c r="T274" s="125"/>
      <c r="U274" s="125"/>
      <c r="V274" s="125"/>
      <c r="W274" s="10"/>
      <c r="X274" s="9"/>
      <c r="Y274" s="9"/>
      <c r="Z274" s="9"/>
      <c r="AA274" s="9"/>
      <c r="AB274" s="9"/>
      <c r="AC274" s="9"/>
      <c r="AD274" s="9"/>
      <c r="AE274" s="9"/>
      <c r="AF274" s="9"/>
      <c r="AG274" s="11"/>
    </row>
    <row r="275" spans="1:33" ht="13.5" customHeight="1">
      <c r="A275" s="9"/>
      <c r="B275" s="125"/>
      <c r="C275" s="125"/>
      <c r="D275" s="125"/>
      <c r="E275" s="125"/>
      <c r="F275" s="125"/>
      <c r="G275" s="131"/>
      <c r="H275" s="125"/>
      <c r="I275" s="130"/>
      <c r="J275" s="130"/>
      <c r="K275" s="130"/>
      <c r="L275" s="130"/>
      <c r="M275" s="125"/>
      <c r="N275" s="125"/>
      <c r="O275" s="125"/>
      <c r="P275" s="125"/>
      <c r="Q275" s="125"/>
      <c r="R275" s="125"/>
      <c r="S275" s="125"/>
      <c r="T275" s="125"/>
      <c r="U275" s="125"/>
      <c r="V275" s="125"/>
      <c r="W275" s="10"/>
      <c r="X275" s="9"/>
      <c r="Y275" s="9"/>
      <c r="Z275" s="9"/>
      <c r="AA275" s="9"/>
      <c r="AB275" s="9"/>
      <c r="AC275" s="9"/>
      <c r="AD275" s="9"/>
      <c r="AE275" s="9"/>
      <c r="AF275" s="9"/>
      <c r="AG275" s="11"/>
    </row>
    <row r="276" spans="1:33" ht="13.5" customHeight="1">
      <c r="A276" s="9"/>
      <c r="B276" s="125"/>
      <c r="C276" s="125"/>
      <c r="D276" s="125"/>
      <c r="E276" s="125"/>
      <c r="F276" s="125"/>
      <c r="G276" s="131"/>
      <c r="H276" s="125"/>
      <c r="I276" s="130"/>
      <c r="J276" s="130"/>
      <c r="K276" s="130"/>
      <c r="L276" s="130"/>
      <c r="M276" s="125"/>
      <c r="N276" s="125"/>
      <c r="O276" s="125"/>
      <c r="P276" s="125"/>
      <c r="Q276" s="125"/>
      <c r="R276" s="125"/>
      <c r="S276" s="125"/>
      <c r="T276" s="125"/>
      <c r="U276" s="125"/>
      <c r="V276" s="125"/>
      <c r="W276" s="10"/>
      <c r="X276" s="9"/>
      <c r="Y276" s="9"/>
      <c r="Z276" s="9"/>
      <c r="AA276" s="9"/>
      <c r="AB276" s="9"/>
      <c r="AC276" s="9"/>
      <c r="AD276" s="9"/>
      <c r="AE276" s="9"/>
      <c r="AF276" s="9"/>
      <c r="AG276" s="11"/>
    </row>
    <row r="277" spans="1:33" ht="13.5" customHeight="1">
      <c r="A277" s="9"/>
      <c r="B277" s="125"/>
      <c r="C277" s="125"/>
      <c r="D277" s="125"/>
      <c r="E277" s="125"/>
      <c r="F277" s="125"/>
      <c r="G277" s="131"/>
      <c r="H277" s="125"/>
      <c r="I277" s="130"/>
      <c r="J277" s="130"/>
      <c r="K277" s="130"/>
      <c r="L277" s="130"/>
      <c r="M277" s="125"/>
      <c r="N277" s="125"/>
      <c r="O277" s="125"/>
      <c r="P277" s="125"/>
      <c r="Q277" s="125"/>
      <c r="R277" s="125"/>
      <c r="S277" s="125"/>
      <c r="T277" s="125"/>
      <c r="U277" s="125"/>
      <c r="V277" s="125"/>
      <c r="W277" s="10"/>
      <c r="X277" s="9"/>
      <c r="Y277" s="9"/>
      <c r="Z277" s="9"/>
      <c r="AA277" s="9"/>
      <c r="AB277" s="9"/>
      <c r="AC277" s="9"/>
      <c r="AD277" s="9"/>
      <c r="AE277" s="9"/>
      <c r="AF277" s="9"/>
      <c r="AG277" s="11"/>
    </row>
    <row r="278" spans="1:33" ht="13.5" customHeight="1">
      <c r="A278" s="9"/>
      <c r="B278" s="125"/>
      <c r="C278" s="125"/>
      <c r="D278" s="125"/>
      <c r="E278" s="125"/>
      <c r="F278" s="125"/>
      <c r="G278" s="131"/>
      <c r="H278" s="125"/>
      <c r="I278" s="130"/>
      <c r="J278" s="130"/>
      <c r="K278" s="130"/>
      <c r="L278" s="130"/>
      <c r="M278" s="125"/>
      <c r="N278" s="125"/>
      <c r="O278" s="125"/>
      <c r="P278" s="125"/>
      <c r="Q278" s="125"/>
      <c r="R278" s="125"/>
      <c r="S278" s="125"/>
      <c r="T278" s="125"/>
      <c r="U278" s="125"/>
      <c r="V278" s="125"/>
      <c r="W278" s="10"/>
      <c r="X278" s="9"/>
      <c r="Y278" s="9"/>
      <c r="Z278" s="9"/>
      <c r="AA278" s="9"/>
      <c r="AB278" s="9"/>
      <c r="AC278" s="9"/>
      <c r="AD278" s="9"/>
      <c r="AE278" s="9"/>
      <c r="AF278" s="9"/>
      <c r="AG278" s="11"/>
    </row>
    <row r="279" spans="1:33" ht="13.5" customHeight="1">
      <c r="A279" s="9"/>
      <c r="B279" s="125"/>
      <c r="C279" s="125"/>
      <c r="D279" s="125"/>
      <c r="E279" s="125"/>
      <c r="F279" s="125"/>
      <c r="G279" s="131"/>
      <c r="H279" s="125"/>
      <c r="I279" s="130"/>
      <c r="J279" s="130"/>
      <c r="K279" s="130"/>
      <c r="L279" s="130"/>
      <c r="M279" s="125"/>
      <c r="N279" s="125"/>
      <c r="O279" s="125"/>
      <c r="P279" s="125"/>
      <c r="Q279" s="125"/>
      <c r="R279" s="125"/>
      <c r="S279" s="125"/>
      <c r="T279" s="125"/>
      <c r="U279" s="125"/>
      <c r="V279" s="125"/>
      <c r="W279" s="10"/>
      <c r="X279" s="9"/>
      <c r="Y279" s="9"/>
      <c r="Z279" s="9"/>
      <c r="AA279" s="9"/>
      <c r="AB279" s="9"/>
      <c r="AC279" s="9"/>
      <c r="AD279" s="9"/>
      <c r="AE279" s="9"/>
      <c r="AF279" s="9"/>
      <c r="AG279" s="11"/>
    </row>
    <row r="280" spans="1:33" ht="13.5" customHeight="1">
      <c r="A280" s="9"/>
      <c r="B280" s="125"/>
      <c r="C280" s="125"/>
      <c r="D280" s="125"/>
      <c r="E280" s="125"/>
      <c r="F280" s="125"/>
      <c r="G280" s="131"/>
      <c r="H280" s="125"/>
      <c r="I280" s="130"/>
      <c r="J280" s="130"/>
      <c r="K280" s="130"/>
      <c r="L280" s="130"/>
      <c r="M280" s="125"/>
      <c r="N280" s="125"/>
      <c r="O280" s="125"/>
      <c r="P280" s="125"/>
      <c r="Q280" s="125"/>
      <c r="R280" s="125"/>
      <c r="S280" s="125"/>
      <c r="T280" s="125"/>
      <c r="U280" s="125"/>
      <c r="V280" s="125"/>
      <c r="W280" s="10"/>
      <c r="X280" s="9"/>
      <c r="Y280" s="9"/>
      <c r="Z280" s="9"/>
      <c r="AA280" s="9"/>
      <c r="AB280" s="9"/>
      <c r="AC280" s="9"/>
      <c r="AD280" s="9"/>
      <c r="AE280" s="9"/>
      <c r="AF280" s="9"/>
      <c r="AG280" s="11"/>
    </row>
    <row r="281" spans="1:33" ht="13.5" customHeight="1">
      <c r="A281" s="9"/>
      <c r="B281" s="125"/>
      <c r="C281" s="125"/>
      <c r="D281" s="125"/>
      <c r="E281" s="125"/>
      <c r="F281" s="125"/>
      <c r="G281" s="131"/>
      <c r="H281" s="125"/>
      <c r="I281" s="130"/>
      <c r="J281" s="130"/>
      <c r="K281" s="130"/>
      <c r="L281" s="130"/>
      <c r="M281" s="125"/>
      <c r="N281" s="125"/>
      <c r="O281" s="125"/>
      <c r="P281" s="125"/>
      <c r="Q281" s="125"/>
      <c r="R281" s="125"/>
      <c r="S281" s="125"/>
      <c r="T281" s="125"/>
      <c r="U281" s="125"/>
      <c r="V281" s="125"/>
      <c r="W281" s="10"/>
      <c r="X281" s="9"/>
      <c r="Y281" s="9"/>
      <c r="Z281" s="9"/>
      <c r="AA281" s="9"/>
      <c r="AB281" s="9"/>
      <c r="AC281" s="9"/>
      <c r="AD281" s="9"/>
      <c r="AE281" s="9"/>
      <c r="AF281" s="9"/>
      <c r="AG281" s="11"/>
    </row>
    <row r="282" spans="1:33" ht="13.5" customHeight="1">
      <c r="A282" s="9"/>
      <c r="B282" s="125"/>
      <c r="C282" s="125"/>
      <c r="D282" s="125"/>
      <c r="E282" s="125"/>
      <c r="F282" s="125"/>
      <c r="G282" s="131"/>
      <c r="H282" s="125"/>
      <c r="I282" s="130"/>
      <c r="J282" s="130"/>
      <c r="K282" s="130"/>
      <c r="L282" s="130"/>
      <c r="M282" s="125"/>
      <c r="N282" s="125"/>
      <c r="O282" s="125"/>
      <c r="P282" s="125"/>
      <c r="Q282" s="125"/>
      <c r="R282" s="125"/>
      <c r="S282" s="125"/>
      <c r="T282" s="125"/>
      <c r="U282" s="125"/>
      <c r="V282" s="125"/>
      <c r="W282" s="10"/>
      <c r="X282" s="9"/>
      <c r="Y282" s="9"/>
      <c r="Z282" s="9"/>
      <c r="AA282" s="9"/>
      <c r="AB282" s="9"/>
      <c r="AC282" s="9"/>
      <c r="AD282" s="9"/>
      <c r="AE282" s="9"/>
      <c r="AF282" s="9"/>
      <c r="AG282" s="11"/>
    </row>
    <row r="283" spans="1:33" ht="13.5" customHeight="1">
      <c r="A283" s="9"/>
      <c r="B283" s="125"/>
      <c r="C283" s="125"/>
      <c r="D283" s="125"/>
      <c r="E283" s="125"/>
      <c r="F283" s="125"/>
      <c r="G283" s="131"/>
      <c r="H283" s="125"/>
      <c r="I283" s="130"/>
      <c r="J283" s="130"/>
      <c r="K283" s="130"/>
      <c r="L283" s="130"/>
      <c r="M283" s="125"/>
      <c r="N283" s="125"/>
      <c r="O283" s="125"/>
      <c r="P283" s="125"/>
      <c r="Q283" s="125"/>
      <c r="R283" s="125"/>
      <c r="S283" s="125"/>
      <c r="T283" s="125"/>
      <c r="U283" s="125"/>
      <c r="V283" s="125"/>
      <c r="W283" s="10"/>
      <c r="X283" s="9"/>
      <c r="Y283" s="9"/>
      <c r="Z283" s="9"/>
      <c r="AA283" s="9"/>
      <c r="AB283" s="9"/>
      <c r="AC283" s="9"/>
      <c r="AD283" s="9"/>
      <c r="AE283" s="9"/>
      <c r="AF283" s="9"/>
      <c r="AG283" s="11"/>
    </row>
    <row r="284" spans="1:33" ht="13.5" customHeight="1">
      <c r="A284" s="9"/>
      <c r="B284" s="125"/>
      <c r="C284" s="125"/>
      <c r="D284" s="125"/>
      <c r="E284" s="125"/>
      <c r="F284" s="125"/>
      <c r="G284" s="131"/>
      <c r="H284" s="125"/>
      <c r="I284" s="130"/>
      <c r="J284" s="130"/>
      <c r="K284" s="130"/>
      <c r="L284" s="130"/>
      <c r="M284" s="125"/>
      <c r="N284" s="125"/>
      <c r="O284" s="125"/>
      <c r="P284" s="125"/>
      <c r="Q284" s="125"/>
      <c r="R284" s="125"/>
      <c r="S284" s="125"/>
      <c r="T284" s="125"/>
      <c r="U284" s="125"/>
      <c r="V284" s="125"/>
      <c r="W284" s="10"/>
      <c r="X284" s="9"/>
      <c r="Y284" s="9"/>
      <c r="Z284" s="9"/>
      <c r="AA284" s="9"/>
      <c r="AB284" s="9"/>
      <c r="AC284" s="9"/>
      <c r="AD284" s="9"/>
      <c r="AE284" s="9"/>
      <c r="AF284" s="9"/>
      <c r="AG284" s="11"/>
    </row>
    <row r="285" spans="1:33" ht="13.5" customHeight="1">
      <c r="A285" s="9"/>
      <c r="B285" s="125"/>
      <c r="C285" s="125"/>
      <c r="D285" s="125"/>
      <c r="E285" s="125"/>
      <c r="F285" s="125"/>
      <c r="G285" s="131"/>
      <c r="H285" s="125"/>
      <c r="I285" s="130"/>
      <c r="J285" s="130"/>
      <c r="K285" s="130"/>
      <c r="L285" s="130"/>
      <c r="M285" s="125"/>
      <c r="N285" s="125"/>
      <c r="O285" s="125"/>
      <c r="P285" s="125"/>
      <c r="Q285" s="125"/>
      <c r="R285" s="125"/>
      <c r="S285" s="125"/>
      <c r="T285" s="125"/>
      <c r="U285" s="125"/>
      <c r="V285" s="125"/>
      <c r="W285" s="10"/>
      <c r="X285" s="9"/>
      <c r="Y285" s="9"/>
      <c r="Z285" s="9"/>
      <c r="AA285" s="9"/>
      <c r="AB285" s="9"/>
      <c r="AC285" s="9"/>
      <c r="AD285" s="9"/>
      <c r="AE285" s="9"/>
      <c r="AF285" s="9"/>
      <c r="AG285" s="11"/>
    </row>
    <row r="286" spans="1:33" ht="13.5" customHeight="1">
      <c r="A286" s="9"/>
      <c r="B286" s="125"/>
      <c r="C286" s="125"/>
      <c r="D286" s="125"/>
      <c r="E286" s="125"/>
      <c r="F286" s="125"/>
      <c r="G286" s="131"/>
      <c r="H286" s="125"/>
      <c r="I286" s="130"/>
      <c r="J286" s="130"/>
      <c r="K286" s="130"/>
      <c r="L286" s="130"/>
      <c r="M286" s="125"/>
      <c r="N286" s="125"/>
      <c r="O286" s="125"/>
      <c r="P286" s="125"/>
      <c r="Q286" s="125"/>
      <c r="R286" s="125"/>
      <c r="S286" s="125"/>
      <c r="T286" s="125"/>
      <c r="U286" s="125"/>
      <c r="V286" s="125"/>
      <c r="W286" s="10"/>
      <c r="X286" s="9"/>
      <c r="Y286" s="9"/>
      <c r="Z286" s="9"/>
      <c r="AA286" s="9"/>
      <c r="AB286" s="9"/>
      <c r="AC286" s="9"/>
      <c r="AD286" s="9"/>
      <c r="AE286" s="9"/>
      <c r="AF286" s="9"/>
      <c r="AG286" s="11"/>
    </row>
    <row r="287" spans="1:33" ht="13.5" customHeight="1">
      <c r="A287" s="9"/>
      <c r="B287" s="125"/>
      <c r="C287" s="125"/>
      <c r="D287" s="125"/>
      <c r="E287" s="125"/>
      <c r="F287" s="125"/>
      <c r="G287" s="131"/>
      <c r="H287" s="125"/>
      <c r="I287" s="130"/>
      <c r="J287" s="130"/>
      <c r="K287" s="130"/>
      <c r="L287" s="130"/>
      <c r="M287" s="125"/>
      <c r="N287" s="125"/>
      <c r="O287" s="125"/>
      <c r="P287" s="125"/>
      <c r="Q287" s="125"/>
      <c r="R287" s="125"/>
      <c r="S287" s="125"/>
      <c r="T287" s="125"/>
      <c r="U287" s="125"/>
      <c r="V287" s="125"/>
      <c r="W287" s="10"/>
      <c r="X287" s="9"/>
      <c r="Y287" s="9"/>
      <c r="Z287" s="9"/>
      <c r="AA287" s="9"/>
      <c r="AB287" s="9"/>
      <c r="AC287" s="9"/>
      <c r="AD287" s="9"/>
      <c r="AE287" s="9"/>
      <c r="AF287" s="9"/>
      <c r="AG287" s="11"/>
    </row>
    <row r="288" spans="1:33" ht="13.5" customHeight="1">
      <c r="A288" s="9"/>
      <c r="B288" s="125"/>
      <c r="C288" s="125"/>
      <c r="D288" s="125"/>
      <c r="E288" s="125"/>
      <c r="F288" s="125"/>
      <c r="G288" s="131"/>
      <c r="H288" s="125"/>
      <c r="I288" s="130"/>
      <c r="J288" s="130"/>
      <c r="K288" s="130"/>
      <c r="L288" s="130"/>
      <c r="M288" s="125"/>
      <c r="N288" s="125"/>
      <c r="O288" s="125"/>
      <c r="P288" s="125"/>
      <c r="Q288" s="125"/>
      <c r="R288" s="125"/>
      <c r="S288" s="125"/>
      <c r="T288" s="125"/>
      <c r="U288" s="125"/>
      <c r="V288" s="125"/>
      <c r="W288" s="10"/>
      <c r="X288" s="9"/>
      <c r="Y288" s="9"/>
      <c r="Z288" s="9"/>
      <c r="AA288" s="9"/>
      <c r="AB288" s="9"/>
      <c r="AC288" s="9"/>
      <c r="AD288" s="9"/>
      <c r="AE288" s="9"/>
      <c r="AF288" s="9"/>
      <c r="AG288" s="11"/>
    </row>
    <row r="289" spans="1:33" ht="13.5" customHeight="1">
      <c r="A289" s="9"/>
      <c r="B289" s="125"/>
      <c r="C289" s="125"/>
      <c r="D289" s="125"/>
      <c r="E289" s="125"/>
      <c r="F289" s="125"/>
      <c r="G289" s="131"/>
      <c r="H289" s="125"/>
      <c r="I289" s="130"/>
      <c r="J289" s="130"/>
      <c r="K289" s="130"/>
      <c r="L289" s="130"/>
      <c r="M289" s="125"/>
      <c r="N289" s="125"/>
      <c r="O289" s="125"/>
      <c r="P289" s="125"/>
      <c r="Q289" s="125"/>
      <c r="R289" s="125"/>
      <c r="S289" s="125"/>
      <c r="T289" s="125"/>
      <c r="U289" s="125"/>
      <c r="V289" s="125"/>
      <c r="W289" s="10"/>
      <c r="X289" s="9"/>
      <c r="Y289" s="9"/>
      <c r="Z289" s="9"/>
      <c r="AA289" s="9"/>
      <c r="AB289" s="9"/>
      <c r="AC289" s="9"/>
      <c r="AD289" s="9"/>
      <c r="AE289" s="9"/>
      <c r="AF289" s="9"/>
      <c r="AG289" s="11"/>
    </row>
    <row r="290" spans="1:33" ht="13.5" customHeight="1">
      <c r="A290" s="9"/>
      <c r="B290" s="125"/>
      <c r="C290" s="125"/>
      <c r="D290" s="125"/>
      <c r="E290" s="125"/>
      <c r="F290" s="125"/>
      <c r="G290" s="131"/>
      <c r="H290" s="125"/>
      <c r="I290" s="130"/>
      <c r="J290" s="130"/>
      <c r="K290" s="130"/>
      <c r="L290" s="130"/>
      <c r="M290" s="125"/>
      <c r="N290" s="125"/>
      <c r="O290" s="125"/>
      <c r="P290" s="125"/>
      <c r="Q290" s="125"/>
      <c r="R290" s="125"/>
      <c r="S290" s="125"/>
      <c r="T290" s="125"/>
      <c r="U290" s="125"/>
      <c r="V290" s="125"/>
      <c r="W290" s="10"/>
      <c r="X290" s="9"/>
      <c r="Y290" s="9"/>
      <c r="Z290" s="9"/>
      <c r="AA290" s="9"/>
      <c r="AB290" s="9"/>
      <c r="AC290" s="9"/>
      <c r="AD290" s="9"/>
      <c r="AE290" s="9"/>
      <c r="AF290" s="9"/>
      <c r="AG290" s="11"/>
    </row>
    <row r="291" spans="1:33" ht="13.5" customHeight="1">
      <c r="A291" s="9"/>
      <c r="B291" s="125"/>
      <c r="C291" s="125"/>
      <c r="D291" s="125"/>
      <c r="E291" s="125"/>
      <c r="F291" s="125"/>
      <c r="G291" s="131"/>
      <c r="H291" s="125"/>
      <c r="I291" s="130"/>
      <c r="J291" s="130"/>
      <c r="K291" s="130"/>
      <c r="L291" s="130"/>
      <c r="M291" s="125"/>
      <c r="N291" s="125"/>
      <c r="O291" s="125"/>
      <c r="P291" s="125"/>
      <c r="Q291" s="125"/>
      <c r="R291" s="125"/>
      <c r="S291" s="125"/>
      <c r="T291" s="125"/>
      <c r="U291" s="125"/>
      <c r="V291" s="125"/>
      <c r="W291" s="10"/>
      <c r="X291" s="9"/>
      <c r="Y291" s="9"/>
      <c r="Z291" s="9"/>
      <c r="AA291" s="9"/>
      <c r="AB291" s="9"/>
      <c r="AC291" s="9"/>
      <c r="AD291" s="9"/>
      <c r="AE291" s="9"/>
      <c r="AF291" s="9"/>
      <c r="AG291" s="11"/>
    </row>
    <row r="292" spans="1:33" ht="13.5" customHeight="1">
      <c r="A292" s="9"/>
      <c r="B292" s="125"/>
      <c r="C292" s="125"/>
      <c r="D292" s="125"/>
      <c r="E292" s="125"/>
      <c r="F292" s="125"/>
      <c r="G292" s="131"/>
      <c r="H292" s="125"/>
      <c r="I292" s="130"/>
      <c r="J292" s="130"/>
      <c r="K292" s="130"/>
      <c r="L292" s="130"/>
      <c r="M292" s="125"/>
      <c r="N292" s="125"/>
      <c r="O292" s="125"/>
      <c r="P292" s="125"/>
      <c r="Q292" s="125"/>
      <c r="R292" s="125"/>
      <c r="S292" s="125"/>
      <c r="T292" s="125"/>
      <c r="U292" s="125"/>
      <c r="V292" s="125"/>
      <c r="W292" s="10"/>
      <c r="X292" s="9"/>
      <c r="Y292" s="9"/>
      <c r="Z292" s="9"/>
      <c r="AA292" s="9"/>
      <c r="AB292" s="9"/>
      <c r="AC292" s="9"/>
      <c r="AD292" s="9"/>
      <c r="AE292" s="9"/>
      <c r="AF292" s="9"/>
      <c r="AG292" s="11"/>
    </row>
    <row r="293" spans="1:33" ht="13.5" customHeight="1">
      <c r="A293" s="9"/>
      <c r="B293" s="125"/>
      <c r="C293" s="125"/>
      <c r="D293" s="125"/>
      <c r="E293" s="125"/>
      <c r="F293" s="125"/>
      <c r="G293" s="131"/>
      <c r="H293" s="125"/>
      <c r="I293" s="130"/>
      <c r="J293" s="130"/>
      <c r="K293" s="130"/>
      <c r="L293" s="130"/>
      <c r="M293" s="125"/>
      <c r="N293" s="125"/>
      <c r="O293" s="125"/>
      <c r="P293" s="125"/>
      <c r="Q293" s="125"/>
      <c r="R293" s="125"/>
      <c r="S293" s="125"/>
      <c r="T293" s="125"/>
      <c r="U293" s="125"/>
      <c r="V293" s="125"/>
      <c r="W293" s="10"/>
      <c r="X293" s="9"/>
      <c r="Y293" s="9"/>
      <c r="Z293" s="9"/>
      <c r="AA293" s="9"/>
      <c r="AB293" s="9"/>
      <c r="AC293" s="9"/>
      <c r="AD293" s="9"/>
      <c r="AE293" s="9"/>
      <c r="AF293" s="9"/>
      <c r="AG293" s="11"/>
    </row>
    <row r="294" spans="1:33" ht="13.5" customHeight="1">
      <c r="A294" s="9"/>
      <c r="B294" s="125"/>
      <c r="C294" s="125"/>
      <c r="D294" s="125"/>
      <c r="E294" s="125"/>
      <c r="F294" s="125"/>
      <c r="G294" s="131"/>
      <c r="H294" s="125"/>
      <c r="I294" s="130"/>
      <c r="J294" s="130"/>
      <c r="K294" s="130"/>
      <c r="L294" s="130"/>
      <c r="M294" s="125"/>
      <c r="N294" s="125"/>
      <c r="O294" s="125"/>
      <c r="P294" s="125"/>
      <c r="Q294" s="125"/>
      <c r="R294" s="125"/>
      <c r="S294" s="125"/>
      <c r="T294" s="125"/>
      <c r="U294" s="125"/>
      <c r="V294" s="125"/>
      <c r="W294" s="10"/>
      <c r="X294" s="9"/>
      <c r="Y294" s="9"/>
      <c r="Z294" s="9"/>
      <c r="AA294" s="9"/>
      <c r="AB294" s="9"/>
      <c r="AC294" s="9"/>
      <c r="AD294" s="9"/>
      <c r="AE294" s="9"/>
      <c r="AF294" s="9"/>
      <c r="AG294" s="11"/>
    </row>
    <row r="295" spans="1:33" ht="13.5" customHeight="1">
      <c r="A295" s="9"/>
      <c r="B295" s="125"/>
      <c r="C295" s="125"/>
      <c r="D295" s="125"/>
      <c r="E295" s="125"/>
      <c r="F295" s="125"/>
      <c r="G295" s="131"/>
      <c r="H295" s="125"/>
      <c r="I295" s="130"/>
      <c r="J295" s="130"/>
      <c r="K295" s="130"/>
      <c r="L295" s="130"/>
      <c r="M295" s="125"/>
      <c r="N295" s="125"/>
      <c r="O295" s="125"/>
      <c r="P295" s="125"/>
      <c r="Q295" s="125"/>
      <c r="R295" s="125"/>
      <c r="S295" s="125"/>
      <c r="T295" s="125"/>
      <c r="U295" s="125"/>
      <c r="V295" s="125"/>
      <c r="W295" s="10"/>
      <c r="X295" s="9"/>
      <c r="Y295" s="9"/>
      <c r="Z295" s="9"/>
      <c r="AA295" s="9"/>
      <c r="AB295" s="9"/>
      <c r="AC295" s="9"/>
      <c r="AD295" s="9"/>
      <c r="AE295" s="9"/>
      <c r="AF295" s="9"/>
      <c r="AG295" s="11"/>
    </row>
    <row r="296" spans="1:33" ht="13.5" customHeight="1">
      <c r="A296" s="9"/>
      <c r="B296" s="125"/>
      <c r="C296" s="125"/>
      <c r="D296" s="125"/>
      <c r="E296" s="125"/>
      <c r="F296" s="125"/>
      <c r="G296" s="131"/>
      <c r="H296" s="125"/>
      <c r="I296" s="130"/>
      <c r="J296" s="130"/>
      <c r="K296" s="130"/>
      <c r="L296" s="130"/>
      <c r="M296" s="125"/>
      <c r="N296" s="125"/>
      <c r="O296" s="125"/>
      <c r="P296" s="125"/>
      <c r="Q296" s="125"/>
      <c r="R296" s="125"/>
      <c r="S296" s="125"/>
      <c r="T296" s="125"/>
      <c r="U296" s="125"/>
      <c r="V296" s="125"/>
      <c r="W296" s="10"/>
      <c r="X296" s="9"/>
      <c r="Y296" s="9"/>
      <c r="Z296" s="9"/>
      <c r="AA296" s="9"/>
      <c r="AB296" s="9"/>
      <c r="AC296" s="9"/>
      <c r="AD296" s="9"/>
      <c r="AE296" s="9"/>
      <c r="AF296" s="9"/>
      <c r="AG296" s="11"/>
    </row>
    <row r="297" spans="1:33" ht="13.5" customHeight="1">
      <c r="A297" s="9"/>
      <c r="B297" s="125"/>
      <c r="C297" s="125"/>
      <c r="D297" s="125"/>
      <c r="E297" s="125"/>
      <c r="F297" s="125"/>
      <c r="G297" s="131"/>
      <c r="H297" s="125"/>
      <c r="I297" s="130"/>
      <c r="J297" s="130"/>
      <c r="K297" s="130"/>
      <c r="L297" s="130"/>
      <c r="M297" s="125"/>
      <c r="N297" s="125"/>
      <c r="O297" s="125"/>
      <c r="P297" s="125"/>
      <c r="Q297" s="125"/>
      <c r="R297" s="125"/>
      <c r="S297" s="125"/>
      <c r="T297" s="125"/>
      <c r="U297" s="125"/>
      <c r="V297" s="125"/>
      <c r="W297" s="10"/>
      <c r="X297" s="9"/>
      <c r="Y297" s="9"/>
      <c r="Z297" s="9"/>
      <c r="AA297" s="9"/>
      <c r="AB297" s="9"/>
      <c r="AC297" s="9"/>
      <c r="AD297" s="9"/>
      <c r="AE297" s="9"/>
      <c r="AF297" s="9"/>
      <c r="AG297" s="11"/>
    </row>
    <row r="298" spans="1:33" ht="13.5" customHeight="1">
      <c r="A298" s="9"/>
      <c r="B298" s="125"/>
      <c r="C298" s="125"/>
      <c r="D298" s="125"/>
      <c r="E298" s="125"/>
      <c r="F298" s="125"/>
      <c r="G298" s="131"/>
      <c r="H298" s="125"/>
      <c r="I298" s="130"/>
      <c r="J298" s="130"/>
      <c r="K298" s="130"/>
      <c r="L298" s="130"/>
      <c r="M298" s="125"/>
      <c r="N298" s="125"/>
      <c r="O298" s="125"/>
      <c r="P298" s="125"/>
      <c r="Q298" s="125"/>
      <c r="R298" s="125"/>
      <c r="S298" s="125"/>
      <c r="T298" s="125"/>
      <c r="U298" s="125"/>
      <c r="V298" s="125"/>
      <c r="W298" s="10"/>
      <c r="X298" s="9"/>
      <c r="Y298" s="9"/>
      <c r="Z298" s="9"/>
      <c r="AA298" s="9"/>
      <c r="AB298" s="9"/>
      <c r="AC298" s="9"/>
      <c r="AD298" s="9"/>
      <c r="AE298" s="9"/>
      <c r="AF298" s="9"/>
      <c r="AG298" s="11"/>
    </row>
    <row r="299" spans="1:33" ht="13.5" customHeight="1">
      <c r="A299" s="9"/>
      <c r="B299" s="125"/>
      <c r="C299" s="125"/>
      <c r="D299" s="125"/>
      <c r="E299" s="125"/>
      <c r="F299" s="125"/>
      <c r="G299" s="131"/>
      <c r="H299" s="125"/>
      <c r="I299" s="130"/>
      <c r="J299" s="130"/>
      <c r="K299" s="130"/>
      <c r="L299" s="130"/>
      <c r="M299" s="125"/>
      <c r="N299" s="125"/>
      <c r="O299" s="125"/>
      <c r="P299" s="125"/>
      <c r="Q299" s="125"/>
      <c r="R299" s="125"/>
      <c r="S299" s="125"/>
      <c r="T299" s="125"/>
      <c r="U299" s="125"/>
      <c r="V299" s="125"/>
      <c r="W299" s="10"/>
      <c r="X299" s="9"/>
      <c r="Y299" s="9"/>
      <c r="Z299" s="9"/>
      <c r="AA299" s="9"/>
      <c r="AB299" s="9"/>
      <c r="AC299" s="9"/>
      <c r="AD299" s="9"/>
      <c r="AE299" s="9"/>
      <c r="AF299" s="9"/>
      <c r="AG299" s="11"/>
    </row>
    <row r="300" spans="1:33" ht="13.5" customHeight="1">
      <c r="A300" s="9"/>
      <c r="B300" s="125"/>
      <c r="C300" s="125"/>
      <c r="D300" s="125"/>
      <c r="E300" s="125"/>
      <c r="F300" s="125"/>
      <c r="G300" s="131"/>
      <c r="H300" s="125"/>
      <c r="I300" s="130"/>
      <c r="J300" s="130"/>
      <c r="K300" s="130"/>
      <c r="L300" s="130"/>
      <c r="M300" s="125"/>
      <c r="N300" s="125"/>
      <c r="O300" s="125"/>
      <c r="P300" s="125"/>
      <c r="Q300" s="125"/>
      <c r="R300" s="125"/>
      <c r="S300" s="125"/>
      <c r="T300" s="125"/>
      <c r="U300" s="125"/>
      <c r="V300" s="125"/>
      <c r="W300" s="10"/>
      <c r="X300" s="9"/>
      <c r="Y300" s="9"/>
      <c r="Z300" s="9"/>
      <c r="AA300" s="9"/>
      <c r="AB300" s="9"/>
      <c r="AC300" s="9"/>
      <c r="AD300" s="9"/>
      <c r="AE300" s="9"/>
      <c r="AF300" s="9"/>
      <c r="AG300" s="11"/>
    </row>
    <row r="301" spans="1:33" ht="13.5" customHeight="1">
      <c r="A301" s="9"/>
      <c r="B301" s="125"/>
      <c r="C301" s="125"/>
      <c r="D301" s="125"/>
      <c r="E301" s="125"/>
      <c r="F301" s="125"/>
      <c r="G301" s="131"/>
      <c r="H301" s="125"/>
      <c r="I301" s="130"/>
      <c r="J301" s="130"/>
      <c r="K301" s="130"/>
      <c r="L301" s="130"/>
      <c r="M301" s="125"/>
      <c r="N301" s="125"/>
      <c r="O301" s="125"/>
      <c r="P301" s="125"/>
      <c r="Q301" s="125"/>
      <c r="R301" s="125"/>
      <c r="S301" s="125"/>
      <c r="T301" s="125"/>
      <c r="U301" s="125"/>
      <c r="V301" s="125"/>
      <c r="W301" s="10"/>
      <c r="X301" s="9"/>
      <c r="Y301" s="9"/>
      <c r="Z301" s="9"/>
      <c r="AA301" s="9"/>
      <c r="AB301" s="9"/>
      <c r="AC301" s="9"/>
      <c r="AD301" s="9"/>
      <c r="AE301" s="9"/>
      <c r="AF301" s="9"/>
      <c r="AG301" s="11"/>
    </row>
    <row r="302" spans="1:33" ht="13.5" customHeight="1">
      <c r="A302" s="9"/>
      <c r="B302" s="125"/>
      <c r="C302" s="125"/>
      <c r="D302" s="125"/>
      <c r="E302" s="125"/>
      <c r="F302" s="125"/>
      <c r="G302" s="131"/>
      <c r="H302" s="125"/>
      <c r="I302" s="130"/>
      <c r="J302" s="130"/>
      <c r="K302" s="130"/>
      <c r="L302" s="130"/>
      <c r="M302" s="125"/>
      <c r="N302" s="125"/>
      <c r="O302" s="125"/>
      <c r="P302" s="125"/>
      <c r="Q302" s="125"/>
      <c r="R302" s="125"/>
      <c r="S302" s="125"/>
      <c r="T302" s="125"/>
      <c r="U302" s="125"/>
      <c r="V302" s="125"/>
      <c r="W302" s="10"/>
      <c r="X302" s="9"/>
      <c r="Y302" s="9"/>
      <c r="Z302" s="9"/>
      <c r="AA302" s="9"/>
      <c r="AB302" s="9"/>
      <c r="AC302" s="9"/>
      <c r="AD302" s="9"/>
      <c r="AE302" s="9"/>
      <c r="AF302" s="9"/>
      <c r="AG302" s="11"/>
    </row>
    <row r="303" spans="1:33" ht="13.5" customHeight="1">
      <c r="A303" s="9"/>
      <c r="B303" s="125"/>
      <c r="C303" s="125"/>
      <c r="D303" s="125"/>
      <c r="E303" s="125"/>
      <c r="F303" s="125"/>
      <c r="G303" s="131"/>
      <c r="H303" s="125"/>
      <c r="I303" s="130"/>
      <c r="J303" s="130"/>
      <c r="K303" s="130"/>
      <c r="L303" s="130"/>
      <c r="M303" s="125"/>
      <c r="N303" s="125"/>
      <c r="O303" s="125"/>
      <c r="P303" s="125"/>
      <c r="Q303" s="125"/>
      <c r="R303" s="125"/>
      <c r="S303" s="125"/>
      <c r="T303" s="125"/>
      <c r="U303" s="125"/>
      <c r="V303" s="125"/>
      <c r="W303" s="10"/>
      <c r="X303" s="9"/>
      <c r="Y303" s="9"/>
      <c r="Z303" s="9"/>
      <c r="AA303" s="9"/>
      <c r="AB303" s="9"/>
      <c r="AC303" s="9"/>
      <c r="AD303" s="9"/>
      <c r="AE303" s="9"/>
      <c r="AF303" s="9"/>
      <c r="AG303" s="11"/>
    </row>
    <row r="304" spans="1:33" ht="13.5" customHeight="1">
      <c r="A304" s="9"/>
      <c r="B304" s="125"/>
      <c r="C304" s="125"/>
      <c r="D304" s="125"/>
      <c r="E304" s="125"/>
      <c r="F304" s="125"/>
      <c r="G304" s="131"/>
      <c r="H304" s="125"/>
      <c r="I304" s="130"/>
      <c r="J304" s="130"/>
      <c r="K304" s="130"/>
      <c r="L304" s="130"/>
      <c r="M304" s="125"/>
      <c r="N304" s="125"/>
      <c r="O304" s="125"/>
      <c r="P304" s="125"/>
      <c r="Q304" s="125"/>
      <c r="R304" s="125"/>
      <c r="S304" s="125"/>
      <c r="T304" s="125"/>
      <c r="U304" s="125"/>
      <c r="V304" s="125"/>
      <c r="W304" s="10"/>
      <c r="X304" s="9"/>
      <c r="Y304" s="9"/>
      <c r="Z304" s="9"/>
      <c r="AA304" s="9"/>
      <c r="AB304" s="9"/>
      <c r="AC304" s="9"/>
      <c r="AD304" s="9"/>
      <c r="AE304" s="9"/>
      <c r="AF304" s="9"/>
      <c r="AG304" s="11"/>
    </row>
    <row r="305" spans="1:33" ht="13.5" customHeight="1">
      <c r="A305" s="9"/>
      <c r="B305" s="125"/>
      <c r="C305" s="125"/>
      <c r="D305" s="125"/>
      <c r="E305" s="125"/>
      <c r="F305" s="125"/>
      <c r="G305" s="131"/>
      <c r="H305" s="125"/>
      <c r="I305" s="130"/>
      <c r="J305" s="130"/>
      <c r="K305" s="130"/>
      <c r="L305" s="130"/>
      <c r="M305" s="125"/>
      <c r="N305" s="125"/>
      <c r="O305" s="125"/>
      <c r="P305" s="125"/>
      <c r="Q305" s="125"/>
      <c r="R305" s="125"/>
      <c r="S305" s="125"/>
      <c r="T305" s="125"/>
      <c r="U305" s="125"/>
      <c r="V305" s="125"/>
      <c r="W305" s="10"/>
      <c r="X305" s="9"/>
      <c r="Y305" s="9"/>
      <c r="Z305" s="9"/>
      <c r="AA305" s="9"/>
      <c r="AB305" s="9"/>
      <c r="AC305" s="9"/>
      <c r="AD305" s="9"/>
      <c r="AE305" s="9"/>
      <c r="AF305" s="9"/>
      <c r="AG305" s="11"/>
    </row>
    <row r="306" spans="1:33" ht="13.5" customHeight="1">
      <c r="A306" s="9"/>
      <c r="B306" s="125"/>
      <c r="C306" s="125"/>
      <c r="D306" s="125"/>
      <c r="E306" s="125"/>
      <c r="F306" s="125"/>
      <c r="G306" s="131"/>
      <c r="H306" s="125"/>
      <c r="I306" s="130"/>
      <c r="J306" s="130"/>
      <c r="K306" s="130"/>
      <c r="L306" s="130"/>
      <c r="M306" s="125"/>
      <c r="N306" s="125"/>
      <c r="O306" s="125"/>
      <c r="P306" s="125"/>
      <c r="Q306" s="125"/>
      <c r="R306" s="125"/>
      <c r="S306" s="125"/>
      <c r="T306" s="125"/>
      <c r="U306" s="125"/>
      <c r="V306" s="125"/>
      <c r="W306" s="10"/>
      <c r="X306" s="9"/>
      <c r="Y306" s="9"/>
      <c r="Z306" s="9"/>
      <c r="AA306" s="9"/>
      <c r="AB306" s="9"/>
      <c r="AC306" s="9"/>
      <c r="AD306" s="9"/>
      <c r="AE306" s="9"/>
      <c r="AF306" s="9"/>
      <c r="AG306" s="11"/>
    </row>
    <row r="307" spans="1:33" ht="13.5" customHeight="1">
      <c r="A307" s="9"/>
      <c r="B307" s="125"/>
      <c r="C307" s="125"/>
      <c r="D307" s="125"/>
      <c r="E307" s="125"/>
      <c r="F307" s="125"/>
      <c r="G307" s="131"/>
      <c r="H307" s="125"/>
      <c r="I307" s="130"/>
      <c r="J307" s="130"/>
      <c r="K307" s="130"/>
      <c r="L307" s="130"/>
      <c r="M307" s="125"/>
      <c r="N307" s="125"/>
      <c r="O307" s="125"/>
      <c r="P307" s="125"/>
      <c r="Q307" s="125"/>
      <c r="R307" s="125"/>
      <c r="S307" s="125"/>
      <c r="T307" s="125"/>
      <c r="U307" s="125"/>
      <c r="V307" s="125"/>
      <c r="W307" s="10"/>
      <c r="X307" s="9"/>
      <c r="Y307" s="9"/>
      <c r="Z307" s="9"/>
      <c r="AA307" s="9"/>
      <c r="AB307" s="9"/>
      <c r="AC307" s="9"/>
      <c r="AD307" s="9"/>
      <c r="AE307" s="9"/>
      <c r="AF307" s="9"/>
      <c r="AG307" s="11"/>
    </row>
    <row r="308" spans="1:33" ht="13.5" customHeight="1">
      <c r="A308" s="9"/>
      <c r="B308" s="125"/>
      <c r="C308" s="125"/>
      <c r="D308" s="125"/>
      <c r="E308" s="125"/>
      <c r="F308" s="125"/>
      <c r="G308" s="131"/>
      <c r="H308" s="125"/>
      <c r="I308" s="130"/>
      <c r="J308" s="130"/>
      <c r="K308" s="130"/>
      <c r="L308" s="130"/>
      <c r="M308" s="125"/>
      <c r="N308" s="125"/>
      <c r="O308" s="125"/>
      <c r="P308" s="125"/>
      <c r="Q308" s="125"/>
      <c r="R308" s="125"/>
      <c r="S308" s="125"/>
      <c r="T308" s="125"/>
      <c r="U308" s="125"/>
      <c r="V308" s="125"/>
      <c r="W308" s="10"/>
      <c r="X308" s="9"/>
      <c r="Y308" s="9"/>
      <c r="Z308" s="9"/>
      <c r="AA308" s="9"/>
      <c r="AB308" s="9"/>
      <c r="AC308" s="9"/>
      <c r="AD308" s="9"/>
      <c r="AE308" s="9"/>
      <c r="AF308" s="9"/>
      <c r="AG308" s="11"/>
    </row>
    <row r="309" spans="1:33" ht="13.5" customHeight="1">
      <c r="A309" s="9"/>
      <c r="B309" s="125"/>
      <c r="C309" s="125"/>
      <c r="D309" s="125"/>
      <c r="E309" s="125"/>
      <c r="F309" s="125"/>
      <c r="G309" s="131"/>
      <c r="H309" s="125"/>
      <c r="I309" s="130"/>
      <c r="J309" s="130"/>
      <c r="K309" s="130"/>
      <c r="L309" s="130"/>
      <c r="M309" s="125"/>
      <c r="N309" s="125"/>
      <c r="O309" s="125"/>
      <c r="P309" s="125"/>
      <c r="Q309" s="125"/>
      <c r="R309" s="125"/>
      <c r="S309" s="125"/>
      <c r="T309" s="125"/>
      <c r="U309" s="125"/>
      <c r="V309" s="125"/>
      <c r="W309" s="10"/>
      <c r="X309" s="9"/>
      <c r="Y309" s="9"/>
      <c r="Z309" s="9"/>
      <c r="AA309" s="9"/>
      <c r="AB309" s="9"/>
      <c r="AC309" s="9"/>
      <c r="AD309" s="9"/>
      <c r="AE309" s="9"/>
      <c r="AF309" s="9"/>
      <c r="AG309" s="11"/>
    </row>
    <row r="310" spans="1:33" ht="15.75" customHeight="1">
      <c r="A310" s="11"/>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3"/>
      <c r="X310" s="11"/>
      <c r="Y310" s="11"/>
      <c r="Z310" s="11"/>
      <c r="AA310" s="11"/>
      <c r="AB310" s="11"/>
      <c r="AC310" s="11"/>
      <c r="AD310" s="11"/>
      <c r="AE310" s="11"/>
      <c r="AF310" s="11"/>
      <c r="AG310" s="11"/>
    </row>
    <row r="311" spans="1:33"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spans="1:33"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spans="1:33" ht="15.75" customHeight="1"/>
    <row r="314" spans="1:33" ht="15.75" customHeight="1"/>
    <row r="315" spans="1:33" ht="15.75" customHeight="1"/>
    <row r="316" spans="1:33" ht="15.75" customHeight="1"/>
    <row r="317" spans="1:33" ht="15.75" customHeight="1"/>
    <row r="318" spans="1:33" ht="15.75" customHeight="1"/>
    <row r="319" spans="1:33" ht="15.75" customHeight="1"/>
    <row r="320" spans="1:33"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3">
    <mergeCell ref="R84:R86"/>
    <mergeCell ref="S84:S86"/>
    <mergeCell ref="U87:U89"/>
    <mergeCell ref="V87:V89"/>
    <mergeCell ref="U90:U92"/>
    <mergeCell ref="V90:V92"/>
    <mergeCell ref="U93:U95"/>
    <mergeCell ref="U76:U77"/>
    <mergeCell ref="F84:I86"/>
    <mergeCell ref="J84:J86"/>
    <mergeCell ref="K84:K86"/>
    <mergeCell ref="H90:H92"/>
    <mergeCell ref="I90:I92"/>
    <mergeCell ref="J90:J92"/>
    <mergeCell ref="K90:K92"/>
    <mergeCell ref="F93:G95"/>
    <mergeCell ref="H93:H95"/>
    <mergeCell ref="I93:I95"/>
    <mergeCell ref="J93:J95"/>
    <mergeCell ref="V93:V95"/>
    <mergeCell ref="S76:S77"/>
    <mergeCell ref="T76:T77"/>
    <mergeCell ref="U84:U86"/>
    <mergeCell ref="V84:V86"/>
    <mergeCell ref="V78:V80"/>
    <mergeCell ref="R81:R83"/>
    <mergeCell ref="S81:S83"/>
    <mergeCell ref="H56:H58"/>
    <mergeCell ref="I56:I58"/>
    <mergeCell ref="J56:J58"/>
    <mergeCell ref="K56:K58"/>
    <mergeCell ref="K59:K61"/>
    <mergeCell ref="H68:H70"/>
    <mergeCell ref="I68:I70"/>
    <mergeCell ref="J68:J70"/>
    <mergeCell ref="K68:K70"/>
    <mergeCell ref="H59:H61"/>
    <mergeCell ref="I59:I61"/>
    <mergeCell ref="J59:J61"/>
    <mergeCell ref="I62:I64"/>
    <mergeCell ref="J62:J64"/>
    <mergeCell ref="F78:I80"/>
    <mergeCell ref="J78:J80"/>
    <mergeCell ref="B71:U71"/>
    <mergeCell ref="B73:R73"/>
    <mergeCell ref="V76:V77"/>
    <mergeCell ref="V81:V83"/>
    <mergeCell ref="U78:U80"/>
    <mergeCell ref="F90:G92"/>
    <mergeCell ref="F76:I77"/>
    <mergeCell ref="J76:J77"/>
    <mergeCell ref="K76:K77"/>
    <mergeCell ref="L76:L77"/>
    <mergeCell ref="B84:E86"/>
    <mergeCell ref="B87:E95"/>
    <mergeCell ref="F87:G89"/>
    <mergeCell ref="H87:H89"/>
    <mergeCell ref="I87:I89"/>
    <mergeCell ref="J87:J89"/>
    <mergeCell ref="K87:K89"/>
    <mergeCell ref="K93:K95"/>
    <mergeCell ref="B78:E80"/>
    <mergeCell ref="K78:K80"/>
    <mergeCell ref="F81:I83"/>
    <mergeCell ref="J81:J83"/>
    <mergeCell ref="K81:K83"/>
    <mergeCell ref="B81:E83"/>
    <mergeCell ref="U81:U83"/>
    <mergeCell ref="M76:Q76"/>
    <mergeCell ref="R76:R77"/>
    <mergeCell ref="B75:R75"/>
    <mergeCell ref="S75:V75"/>
    <mergeCell ref="B76:E77"/>
    <mergeCell ref="R78:R80"/>
    <mergeCell ref="S78:S80"/>
    <mergeCell ref="B53:E61"/>
    <mergeCell ref="F53:G55"/>
    <mergeCell ref="H53:H55"/>
    <mergeCell ref="I53:I55"/>
    <mergeCell ref="J53:J55"/>
    <mergeCell ref="K53:K55"/>
    <mergeCell ref="J65:J67"/>
    <mergeCell ref="K62:K64"/>
    <mergeCell ref="I65:I67"/>
    <mergeCell ref="K65:K67"/>
    <mergeCell ref="B62:E70"/>
    <mergeCell ref="F62:G64"/>
    <mergeCell ref="H62:H64"/>
    <mergeCell ref="F65:G67"/>
    <mergeCell ref="H65:H67"/>
    <mergeCell ref="F56:G58"/>
    <mergeCell ref="F68:G70"/>
    <mergeCell ref="F59:G61"/>
    <mergeCell ref="N110:O111"/>
    <mergeCell ref="D110:F111"/>
    <mergeCell ref="D112:F112"/>
    <mergeCell ref="I112:L112"/>
    <mergeCell ref="N112:O112"/>
    <mergeCell ref="B96:E104"/>
    <mergeCell ref="F96:G98"/>
    <mergeCell ref="H96:H98"/>
    <mergeCell ref="F99:G101"/>
    <mergeCell ref="H99:H101"/>
    <mergeCell ref="K99:K101"/>
    <mergeCell ref="I110:L111"/>
    <mergeCell ref="I96:I98"/>
    <mergeCell ref="J96:J98"/>
    <mergeCell ref="K96:K98"/>
    <mergeCell ref="I99:I101"/>
    <mergeCell ref="J99:J101"/>
    <mergeCell ref="B105:U105"/>
    <mergeCell ref="F102:G104"/>
    <mergeCell ref="H102:H104"/>
    <mergeCell ref="I102:I104"/>
    <mergeCell ref="J102:J104"/>
    <mergeCell ref="K102:K104"/>
    <mergeCell ref="J13:K13"/>
    <mergeCell ref="L13:L15"/>
    <mergeCell ref="J14:J15"/>
    <mergeCell ref="K14:K15"/>
    <mergeCell ref="M14:M15"/>
    <mergeCell ref="N14:N15"/>
    <mergeCell ref="O14:O15"/>
    <mergeCell ref="P14:P15"/>
    <mergeCell ref="J50:J52"/>
    <mergeCell ref="K50:K52"/>
    <mergeCell ref="L42:L43"/>
    <mergeCell ref="M42:Q42"/>
    <mergeCell ref="J19:J21"/>
    <mergeCell ref="K19:K21"/>
    <mergeCell ref="J22:J24"/>
    <mergeCell ref="K22:K24"/>
    <mergeCell ref="F19:G21"/>
    <mergeCell ref="H19:H21"/>
    <mergeCell ref="I19:I21"/>
    <mergeCell ref="B13:E13"/>
    <mergeCell ref="C14:E14"/>
    <mergeCell ref="E16:E18"/>
    <mergeCell ref="F16:F18"/>
    <mergeCell ref="G16:G18"/>
    <mergeCell ref="H16:H18"/>
    <mergeCell ref="I16:I18"/>
    <mergeCell ref="E19:E27"/>
    <mergeCell ref="B16:B18"/>
    <mergeCell ref="B19:B27"/>
    <mergeCell ref="C19:C27"/>
    <mergeCell ref="D19:D27"/>
    <mergeCell ref="F22:G24"/>
    <mergeCell ref="H22:H24"/>
    <mergeCell ref="I22:I24"/>
    <mergeCell ref="F13:G15"/>
    <mergeCell ref="H13:H15"/>
    <mergeCell ref="I13:I15"/>
    <mergeCell ref="B14:B15"/>
    <mergeCell ref="U19:U21"/>
    <mergeCell ref="V19:V21"/>
    <mergeCell ref="V25:V27"/>
    <mergeCell ref="R22:R24"/>
    <mergeCell ref="S22:S24"/>
    <mergeCell ref="U22:U24"/>
    <mergeCell ref="V22:V24"/>
    <mergeCell ref="U25:U27"/>
    <mergeCell ref="R19:R21"/>
    <mergeCell ref="S19:S21"/>
    <mergeCell ref="R25:R27"/>
    <mergeCell ref="S25:S27"/>
    <mergeCell ref="S50:S52"/>
    <mergeCell ref="U50:U52"/>
    <mergeCell ref="V50:V52"/>
    <mergeCell ref="U53:U55"/>
    <mergeCell ref="V53:V55"/>
    <mergeCell ref="U56:U58"/>
    <mergeCell ref="V56:V58"/>
    <mergeCell ref="U59:U61"/>
    <mergeCell ref="V59:V61"/>
    <mergeCell ref="S44:S46"/>
    <mergeCell ref="U44:U46"/>
    <mergeCell ref="V44:V46"/>
    <mergeCell ref="U47:U49"/>
    <mergeCell ref="V47:V49"/>
    <mergeCell ref="R42:R43"/>
    <mergeCell ref="S42:S43"/>
    <mergeCell ref="T42:T43"/>
    <mergeCell ref="U42:U43"/>
    <mergeCell ref="V42:V43"/>
    <mergeCell ref="S47:S49"/>
    <mergeCell ref="B7:E7"/>
    <mergeCell ref="F7:M7"/>
    <mergeCell ref="B8:E8"/>
    <mergeCell ref="F8:V8"/>
    <mergeCell ref="B9:V9"/>
    <mergeCell ref="M13:Q13"/>
    <mergeCell ref="R13:R16"/>
    <mergeCell ref="U13:U15"/>
    <mergeCell ref="V13:V15"/>
    <mergeCell ref="U16:U18"/>
    <mergeCell ref="V16:V18"/>
    <mergeCell ref="B10:V10"/>
    <mergeCell ref="B12:R12"/>
    <mergeCell ref="S12:V12"/>
    <mergeCell ref="Q14:Q15"/>
    <mergeCell ref="S13:S15"/>
    <mergeCell ref="T13:T15"/>
    <mergeCell ref="B1:V1"/>
    <mergeCell ref="B2:V2"/>
    <mergeCell ref="B3:V3"/>
    <mergeCell ref="B4:E4"/>
    <mergeCell ref="F4:M4"/>
    <mergeCell ref="B5:E5"/>
    <mergeCell ref="F5:M5"/>
    <mergeCell ref="B6:E6"/>
    <mergeCell ref="F6:M6"/>
    <mergeCell ref="O4:V4"/>
    <mergeCell ref="O5:V5"/>
    <mergeCell ref="O6:V6"/>
    <mergeCell ref="I34:I36"/>
    <mergeCell ref="J34:J36"/>
    <mergeCell ref="K34:K36"/>
    <mergeCell ref="H47:H49"/>
    <mergeCell ref="H50:H52"/>
    <mergeCell ref="I50:I52"/>
    <mergeCell ref="U28:U30"/>
    <mergeCell ref="U31:U33"/>
    <mergeCell ref="V28:V30"/>
    <mergeCell ref="V31:V33"/>
    <mergeCell ref="B37:Q37"/>
    <mergeCell ref="R37:U37"/>
    <mergeCell ref="B40:V40"/>
    <mergeCell ref="B41:R41"/>
    <mergeCell ref="S41:V41"/>
    <mergeCell ref="E28:E36"/>
    <mergeCell ref="B28:B36"/>
    <mergeCell ref="U34:U36"/>
    <mergeCell ref="V34:V36"/>
    <mergeCell ref="B42:E43"/>
    <mergeCell ref="F42:G43"/>
    <mergeCell ref="H42:H43"/>
    <mergeCell ref="I42:I43"/>
    <mergeCell ref="J42:K42"/>
    <mergeCell ref="H44:H46"/>
    <mergeCell ref="I44:I46"/>
    <mergeCell ref="J44:J46"/>
    <mergeCell ref="I47:I49"/>
    <mergeCell ref="J47:J49"/>
    <mergeCell ref="K47:K49"/>
    <mergeCell ref="B44:E52"/>
    <mergeCell ref="F25:G27"/>
    <mergeCell ref="H25:H27"/>
    <mergeCell ref="I25:I27"/>
    <mergeCell ref="J25:J27"/>
    <mergeCell ref="K25:K27"/>
    <mergeCell ref="F28:G30"/>
    <mergeCell ref="H28:H30"/>
    <mergeCell ref="I28:I30"/>
    <mergeCell ref="J28:J30"/>
    <mergeCell ref="K28:K30"/>
    <mergeCell ref="F31:G33"/>
    <mergeCell ref="H31:H33"/>
    <mergeCell ref="I31:I33"/>
    <mergeCell ref="J31:J33"/>
    <mergeCell ref="K31:K33"/>
    <mergeCell ref="F34:G36"/>
    <mergeCell ref="H34:H36"/>
  </mergeCells>
  <printOptions horizontalCentered="1"/>
  <pageMargins left="0" right="0" top="0.99803149599999996" bottom="0.49803149600000002" header="0" footer="0"/>
  <pageSetup paperSize="9" scale="23" fitToHeight="0" orientation="landscape"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2EFD9"/>
    <pageSetUpPr fitToPage="1"/>
  </sheetPr>
  <dimension ref="A1:U1000"/>
  <sheetViews>
    <sheetView topLeftCell="A40" workbookViewId="0"/>
  </sheetViews>
  <sheetFormatPr defaultColWidth="14.453125" defaultRowHeight="15" customHeight="1"/>
  <cols>
    <col min="1" max="1" width="1.453125" customWidth="1"/>
    <col min="2" max="2" width="22.453125" customWidth="1"/>
    <col min="3" max="3" width="47.26953125" customWidth="1"/>
    <col min="4" max="4" width="29.26953125" customWidth="1"/>
    <col min="5" max="5" width="14.08984375" customWidth="1"/>
    <col min="6" max="6" width="30.81640625" customWidth="1"/>
    <col min="7" max="7" width="34" customWidth="1"/>
    <col min="8" max="8" width="55.453125" customWidth="1"/>
    <col min="9" max="9" width="13.81640625" customWidth="1"/>
    <col min="10" max="10" width="21.453125" customWidth="1"/>
    <col min="11" max="11" width="24.453125" customWidth="1"/>
    <col min="12" max="12" width="19" customWidth="1"/>
    <col min="13" max="13" width="30.81640625" customWidth="1"/>
    <col min="14" max="14" width="44.453125" customWidth="1"/>
    <col min="15" max="20" width="9.08984375" customWidth="1"/>
  </cols>
  <sheetData>
    <row r="1" spans="1:21" ht="0.75" customHeight="1">
      <c r="A1" s="182"/>
      <c r="B1" s="505"/>
      <c r="C1" s="416"/>
      <c r="D1" s="416"/>
      <c r="E1" s="416"/>
      <c r="F1" s="416"/>
      <c r="G1" s="416"/>
      <c r="H1" s="416"/>
      <c r="I1" s="416"/>
      <c r="J1" s="506"/>
      <c r="K1" s="183"/>
      <c r="L1" s="182"/>
      <c r="M1" s="182"/>
      <c r="N1" s="182"/>
      <c r="O1" s="182"/>
      <c r="P1" s="182"/>
      <c r="Q1" s="182"/>
      <c r="R1" s="182"/>
      <c r="S1" s="182"/>
      <c r="T1" s="182"/>
    </row>
    <row r="2" spans="1:21" ht="20.25" customHeight="1">
      <c r="A2" s="182"/>
      <c r="B2" s="184" t="s">
        <v>627</v>
      </c>
      <c r="C2" s="185"/>
      <c r="D2" s="185"/>
      <c r="E2" s="185"/>
      <c r="F2" s="185"/>
      <c r="G2" s="185"/>
      <c r="H2" s="68"/>
      <c r="I2" s="185"/>
      <c r="J2" s="185"/>
      <c r="K2" s="183"/>
      <c r="L2" s="182"/>
      <c r="M2" s="182"/>
      <c r="N2" s="182"/>
      <c r="O2" s="182"/>
      <c r="P2" s="182"/>
      <c r="Q2" s="182"/>
      <c r="R2" s="182"/>
      <c r="S2" s="182"/>
      <c r="T2" s="182"/>
      <c r="U2" s="135"/>
    </row>
    <row r="3" spans="1:21" ht="54" customHeight="1">
      <c r="A3" s="182"/>
      <c r="B3" s="1059" t="s">
        <v>628</v>
      </c>
      <c r="C3" s="454"/>
      <c r="D3" s="454"/>
      <c r="E3" s="454"/>
      <c r="F3" s="454"/>
      <c r="G3" s="454"/>
      <c r="H3" s="454"/>
      <c r="I3" s="454"/>
      <c r="J3" s="501"/>
      <c r="K3" s="183"/>
      <c r="L3" s="182"/>
      <c r="M3" s="182"/>
      <c r="N3" s="182"/>
      <c r="O3" s="182"/>
      <c r="P3" s="182"/>
      <c r="Q3" s="182"/>
      <c r="R3" s="182"/>
      <c r="S3" s="182"/>
      <c r="T3" s="182"/>
      <c r="U3" s="135"/>
    </row>
    <row r="4" spans="1:21" ht="23.25" customHeight="1">
      <c r="A4" s="182"/>
      <c r="B4" s="1056" t="s">
        <v>629</v>
      </c>
      <c r="C4" s="1050" t="s">
        <v>630</v>
      </c>
      <c r="D4" s="454"/>
      <c r="E4" s="454"/>
      <c r="F4" s="455"/>
      <c r="G4" s="1050" t="s">
        <v>631</v>
      </c>
      <c r="H4" s="455"/>
      <c r="I4" s="1060" t="s">
        <v>632</v>
      </c>
      <c r="J4" s="1049" t="s">
        <v>633</v>
      </c>
      <c r="K4" s="186"/>
      <c r="L4" s="989" t="s">
        <v>634</v>
      </c>
      <c r="M4" s="458"/>
      <c r="N4" s="458"/>
      <c r="O4" s="182"/>
      <c r="P4" s="182"/>
      <c r="Q4" s="182"/>
      <c r="R4" s="182"/>
      <c r="S4" s="182"/>
      <c r="T4" s="182"/>
      <c r="U4" s="135"/>
    </row>
    <row r="5" spans="1:21" ht="39" customHeight="1">
      <c r="A5" s="182"/>
      <c r="B5" s="544"/>
      <c r="C5" s="441"/>
      <c r="D5" s="603"/>
      <c r="E5" s="603"/>
      <c r="F5" s="442"/>
      <c r="G5" s="441"/>
      <c r="H5" s="442"/>
      <c r="I5" s="554"/>
      <c r="J5" s="493"/>
      <c r="K5" s="183"/>
      <c r="L5" s="187" t="s">
        <v>536</v>
      </c>
      <c r="M5" s="188" t="s">
        <v>537</v>
      </c>
      <c r="N5" s="188" t="s">
        <v>635</v>
      </c>
      <c r="O5" s="182"/>
      <c r="P5" s="182"/>
      <c r="Q5" s="182"/>
      <c r="R5" s="182"/>
      <c r="S5" s="182"/>
      <c r="T5" s="182"/>
      <c r="U5" s="135"/>
    </row>
    <row r="6" spans="1:21" ht="27" customHeight="1">
      <c r="A6" s="182"/>
      <c r="B6" s="1057" t="s">
        <v>636</v>
      </c>
      <c r="C6" s="1051" t="s">
        <v>637</v>
      </c>
      <c r="D6" s="411"/>
      <c r="E6" s="411"/>
      <c r="F6" s="406"/>
      <c r="G6" s="1052"/>
      <c r="H6" s="411"/>
      <c r="I6" s="189">
        <v>5</v>
      </c>
      <c r="J6" s="1053">
        <f>AVERAGE(I6:I10)</f>
        <v>5</v>
      </c>
      <c r="K6" s="183"/>
      <c r="L6" s="190">
        <v>5</v>
      </c>
      <c r="M6" s="191" t="s">
        <v>638</v>
      </c>
      <c r="N6" s="191" t="s">
        <v>639</v>
      </c>
      <c r="O6" s="182"/>
      <c r="P6" s="182"/>
      <c r="Q6" s="182"/>
      <c r="R6" s="182"/>
      <c r="S6" s="182"/>
      <c r="T6" s="182"/>
      <c r="U6" s="135"/>
    </row>
    <row r="7" spans="1:21" ht="27.75" customHeight="1">
      <c r="A7" s="182"/>
      <c r="B7" s="503"/>
      <c r="C7" s="1051" t="s">
        <v>640</v>
      </c>
      <c r="D7" s="411"/>
      <c r="E7" s="411"/>
      <c r="F7" s="406"/>
      <c r="G7" s="1052"/>
      <c r="H7" s="411"/>
      <c r="I7" s="189">
        <v>5</v>
      </c>
      <c r="J7" s="594"/>
      <c r="K7" s="183"/>
      <c r="L7" s="190">
        <v>4</v>
      </c>
      <c r="M7" s="191" t="s">
        <v>641</v>
      </c>
      <c r="N7" s="191" t="s">
        <v>642</v>
      </c>
      <c r="O7" s="182"/>
      <c r="P7" s="182"/>
      <c r="Q7" s="182"/>
      <c r="R7" s="182"/>
      <c r="S7" s="182"/>
      <c r="T7" s="182"/>
      <c r="U7" s="135"/>
    </row>
    <row r="8" spans="1:21" ht="30" customHeight="1">
      <c r="A8" s="182"/>
      <c r="B8" s="503"/>
      <c r="C8" s="1051" t="s">
        <v>643</v>
      </c>
      <c r="D8" s="411"/>
      <c r="E8" s="411"/>
      <c r="F8" s="406"/>
      <c r="G8" s="1052"/>
      <c r="H8" s="411"/>
      <c r="I8" s="189">
        <v>5</v>
      </c>
      <c r="J8" s="594"/>
      <c r="K8" s="183"/>
      <c r="L8" s="190">
        <v>3</v>
      </c>
      <c r="M8" s="191" t="s">
        <v>644</v>
      </c>
      <c r="N8" s="191" t="s">
        <v>645</v>
      </c>
      <c r="O8" s="182"/>
      <c r="P8" s="182"/>
      <c r="Q8" s="182"/>
      <c r="R8" s="182"/>
      <c r="S8" s="182"/>
      <c r="T8" s="182"/>
      <c r="U8" s="135"/>
    </row>
    <row r="9" spans="1:21" ht="24.75" customHeight="1">
      <c r="A9" s="182"/>
      <c r="B9" s="503"/>
      <c r="C9" s="1051" t="s">
        <v>646</v>
      </c>
      <c r="D9" s="411"/>
      <c r="E9" s="411"/>
      <c r="F9" s="406"/>
      <c r="G9" s="1052"/>
      <c r="H9" s="411"/>
      <c r="I9" s="189">
        <v>5</v>
      </c>
      <c r="J9" s="594"/>
      <c r="K9" s="183"/>
      <c r="L9" s="190">
        <v>2</v>
      </c>
      <c r="M9" s="191" t="s">
        <v>647</v>
      </c>
      <c r="N9" s="191" t="s">
        <v>648</v>
      </c>
      <c r="O9" s="182"/>
      <c r="P9" s="182"/>
      <c r="Q9" s="182"/>
      <c r="R9" s="182"/>
      <c r="S9" s="182"/>
      <c r="T9" s="182"/>
      <c r="U9" s="135"/>
    </row>
    <row r="10" spans="1:21" ht="31.5" customHeight="1">
      <c r="A10" s="182"/>
      <c r="B10" s="544"/>
      <c r="C10" s="1055" t="s">
        <v>649</v>
      </c>
      <c r="D10" s="411"/>
      <c r="E10" s="411"/>
      <c r="F10" s="406"/>
      <c r="G10" s="1052"/>
      <c r="H10" s="411"/>
      <c r="I10" s="189">
        <v>5</v>
      </c>
      <c r="J10" s="1054"/>
      <c r="K10" s="183"/>
      <c r="L10" s="190">
        <v>1</v>
      </c>
      <c r="M10" s="191" t="s">
        <v>650</v>
      </c>
      <c r="N10" s="191" t="s">
        <v>651</v>
      </c>
      <c r="O10" s="182"/>
      <c r="P10" s="182"/>
      <c r="Q10" s="182"/>
      <c r="R10" s="182"/>
      <c r="S10" s="182"/>
      <c r="T10" s="182"/>
      <c r="U10" s="135"/>
    </row>
    <row r="11" spans="1:21" ht="45" customHeight="1">
      <c r="A11" s="182"/>
      <c r="B11" s="1058" t="s">
        <v>652</v>
      </c>
      <c r="C11" s="1042" t="s">
        <v>653</v>
      </c>
      <c r="D11" s="411"/>
      <c r="E11" s="411"/>
      <c r="F11" s="406"/>
      <c r="G11" s="1052"/>
      <c r="H11" s="411"/>
      <c r="I11" s="189">
        <v>5</v>
      </c>
      <c r="J11" s="1053">
        <f>AVERAGE(I11:I15)</f>
        <v>5</v>
      </c>
      <c r="K11" s="183"/>
      <c r="L11" s="192"/>
      <c r="M11" s="192"/>
      <c r="N11" s="192"/>
      <c r="O11" s="182"/>
      <c r="P11" s="182"/>
      <c r="Q11" s="182"/>
      <c r="R11" s="182"/>
      <c r="S11" s="182"/>
      <c r="T11" s="182"/>
      <c r="U11" s="135"/>
    </row>
    <row r="12" spans="1:21" ht="30" customHeight="1">
      <c r="A12" s="182"/>
      <c r="B12" s="503"/>
      <c r="C12" s="1042" t="s">
        <v>654</v>
      </c>
      <c r="D12" s="411"/>
      <c r="E12" s="411"/>
      <c r="F12" s="406"/>
      <c r="G12" s="1052"/>
      <c r="H12" s="411"/>
      <c r="I12" s="189">
        <v>5</v>
      </c>
      <c r="J12" s="594"/>
      <c r="K12" s="183"/>
      <c r="L12" s="192"/>
      <c r="M12" s="192"/>
      <c r="N12" s="192"/>
      <c r="O12" s="182"/>
      <c r="P12" s="182"/>
      <c r="Q12" s="182"/>
      <c r="R12" s="182"/>
      <c r="S12" s="182"/>
      <c r="T12" s="182"/>
      <c r="U12" s="135"/>
    </row>
    <row r="13" spans="1:21" ht="30" customHeight="1">
      <c r="A13" s="182"/>
      <c r="B13" s="503"/>
      <c r="C13" s="1042" t="s">
        <v>655</v>
      </c>
      <c r="D13" s="411"/>
      <c r="E13" s="411"/>
      <c r="F13" s="406"/>
      <c r="G13" s="1052"/>
      <c r="H13" s="411"/>
      <c r="I13" s="189">
        <v>5</v>
      </c>
      <c r="J13" s="594"/>
      <c r="K13" s="183"/>
      <c r="L13" s="192"/>
      <c r="M13" s="192"/>
      <c r="N13" s="192"/>
      <c r="O13" s="182"/>
      <c r="P13" s="182"/>
      <c r="Q13" s="182"/>
      <c r="R13" s="182"/>
      <c r="S13" s="182"/>
      <c r="T13" s="182"/>
      <c r="U13" s="135"/>
    </row>
    <row r="14" spans="1:21" ht="30" customHeight="1">
      <c r="A14" s="182"/>
      <c r="B14" s="503"/>
      <c r="C14" s="1042" t="s">
        <v>656</v>
      </c>
      <c r="D14" s="411"/>
      <c r="E14" s="411"/>
      <c r="F14" s="406"/>
      <c r="G14" s="1052"/>
      <c r="H14" s="411"/>
      <c r="I14" s="189">
        <v>5</v>
      </c>
      <c r="J14" s="594"/>
      <c r="K14" s="183"/>
      <c r="L14" s="192"/>
      <c r="M14" s="192"/>
      <c r="N14" s="192"/>
      <c r="O14" s="182"/>
      <c r="P14" s="182"/>
      <c r="Q14" s="182"/>
      <c r="R14" s="182"/>
      <c r="S14" s="182"/>
      <c r="T14" s="182"/>
      <c r="U14" s="135"/>
    </row>
    <row r="15" spans="1:21" ht="33.75" customHeight="1">
      <c r="A15" s="182"/>
      <c r="B15" s="544"/>
      <c r="C15" s="1041" t="s">
        <v>657</v>
      </c>
      <c r="D15" s="411"/>
      <c r="E15" s="411"/>
      <c r="F15" s="406"/>
      <c r="G15" s="1052"/>
      <c r="H15" s="411"/>
      <c r="I15" s="189">
        <v>5</v>
      </c>
      <c r="J15" s="1054"/>
      <c r="K15" s="183"/>
      <c r="L15" s="192"/>
      <c r="M15" s="192"/>
      <c r="N15" s="192"/>
      <c r="O15" s="182"/>
      <c r="P15" s="182"/>
      <c r="Q15" s="182"/>
      <c r="R15" s="182"/>
      <c r="S15" s="182"/>
      <c r="T15" s="182"/>
      <c r="U15" s="135"/>
    </row>
    <row r="16" spans="1:21" ht="28.5" customHeight="1">
      <c r="A16" s="182"/>
      <c r="B16" s="1057" t="s">
        <v>658</v>
      </c>
      <c r="C16" s="1041" t="s">
        <v>659</v>
      </c>
      <c r="D16" s="411"/>
      <c r="E16" s="411"/>
      <c r="F16" s="406"/>
      <c r="G16" s="1052"/>
      <c r="H16" s="411"/>
      <c r="I16" s="189">
        <v>5</v>
      </c>
      <c r="J16" s="1053">
        <f>AVERAGE(I16:I20)</f>
        <v>5</v>
      </c>
      <c r="K16" s="183"/>
      <c r="L16" s="192"/>
      <c r="M16" s="192"/>
      <c r="N16" s="192"/>
      <c r="O16" s="182"/>
      <c r="P16" s="182"/>
      <c r="Q16" s="182"/>
      <c r="R16" s="182"/>
      <c r="S16" s="182"/>
      <c r="T16" s="182"/>
      <c r="U16" s="135"/>
    </row>
    <row r="17" spans="1:21" ht="37.5" customHeight="1">
      <c r="A17" s="182"/>
      <c r="B17" s="503"/>
      <c r="C17" s="1041" t="s">
        <v>660</v>
      </c>
      <c r="D17" s="411"/>
      <c r="E17" s="411"/>
      <c r="F17" s="406"/>
      <c r="G17" s="1052"/>
      <c r="H17" s="411"/>
      <c r="I17" s="189">
        <v>5</v>
      </c>
      <c r="J17" s="594"/>
      <c r="K17" s="183"/>
      <c r="L17" s="192"/>
      <c r="M17" s="192"/>
      <c r="N17" s="192"/>
      <c r="O17" s="182"/>
      <c r="P17" s="182"/>
      <c r="Q17" s="182"/>
      <c r="R17" s="182"/>
      <c r="S17" s="182"/>
      <c r="T17" s="182"/>
      <c r="U17" s="135"/>
    </row>
    <row r="18" spans="1:21" ht="26.25" customHeight="1">
      <c r="A18" s="182"/>
      <c r="B18" s="503"/>
      <c r="C18" s="1041" t="s">
        <v>661</v>
      </c>
      <c r="D18" s="411"/>
      <c r="E18" s="411"/>
      <c r="F18" s="406"/>
      <c r="G18" s="1052"/>
      <c r="H18" s="411"/>
      <c r="I18" s="189">
        <v>5</v>
      </c>
      <c r="J18" s="594"/>
      <c r="K18" s="183"/>
      <c r="L18" s="192"/>
      <c r="M18" s="192"/>
      <c r="N18" s="192"/>
      <c r="O18" s="182"/>
      <c r="P18" s="182"/>
      <c r="Q18" s="182"/>
      <c r="R18" s="182"/>
      <c r="S18" s="182"/>
      <c r="T18" s="182"/>
      <c r="U18" s="135"/>
    </row>
    <row r="19" spans="1:21" ht="33.75" customHeight="1">
      <c r="A19" s="182"/>
      <c r="B19" s="503"/>
      <c r="C19" s="1041" t="s">
        <v>662</v>
      </c>
      <c r="D19" s="411"/>
      <c r="E19" s="411"/>
      <c r="F19" s="406"/>
      <c r="G19" s="1052"/>
      <c r="H19" s="411"/>
      <c r="I19" s="189">
        <v>5</v>
      </c>
      <c r="J19" s="594"/>
      <c r="K19" s="183"/>
      <c r="L19" s="192"/>
      <c r="M19" s="192"/>
      <c r="N19" s="192"/>
      <c r="O19" s="182"/>
      <c r="P19" s="182"/>
      <c r="Q19" s="182"/>
      <c r="R19" s="182"/>
      <c r="S19" s="182"/>
      <c r="T19" s="182"/>
      <c r="U19" s="135"/>
    </row>
    <row r="20" spans="1:21" ht="28.5" customHeight="1">
      <c r="A20" s="182"/>
      <c r="B20" s="544"/>
      <c r="C20" s="1041" t="s">
        <v>663</v>
      </c>
      <c r="D20" s="411"/>
      <c r="E20" s="411"/>
      <c r="F20" s="406"/>
      <c r="G20" s="1052"/>
      <c r="H20" s="411"/>
      <c r="I20" s="189">
        <v>5</v>
      </c>
      <c r="J20" s="1054"/>
      <c r="K20" s="183"/>
      <c r="L20" s="192"/>
      <c r="M20" s="192"/>
      <c r="N20" s="192"/>
      <c r="O20" s="182"/>
      <c r="P20" s="182"/>
      <c r="Q20" s="182"/>
      <c r="R20" s="182"/>
      <c r="S20" s="182"/>
      <c r="T20" s="182"/>
      <c r="U20" s="135"/>
    </row>
    <row r="21" spans="1:21" ht="25.5" customHeight="1">
      <c r="A21" s="182"/>
      <c r="B21" s="1043" t="s">
        <v>664</v>
      </c>
      <c r="C21" s="530"/>
      <c r="D21" s="530"/>
      <c r="E21" s="530"/>
      <c r="F21" s="530"/>
      <c r="G21" s="530"/>
      <c r="H21" s="530"/>
      <c r="I21" s="531"/>
      <c r="J21" s="193">
        <f>AVERAGE(J6:J20)*0.025</f>
        <v>0.125</v>
      </c>
      <c r="K21" s="194"/>
      <c r="L21" s="192"/>
      <c r="M21" s="192"/>
      <c r="N21" s="192"/>
      <c r="O21" s="182"/>
      <c r="P21" s="182"/>
      <c r="Q21" s="182"/>
      <c r="R21" s="182"/>
      <c r="S21" s="182"/>
      <c r="T21" s="182"/>
      <c r="U21" s="135"/>
    </row>
    <row r="22" spans="1:21" ht="49.5" customHeight="1">
      <c r="A22" s="182"/>
      <c r="B22" s="1061" t="s">
        <v>665</v>
      </c>
      <c r="C22" s="433"/>
      <c r="D22" s="433"/>
      <c r="E22" s="433"/>
      <c r="F22" s="433"/>
      <c r="G22" s="433"/>
      <c r="H22" s="433"/>
      <c r="I22" s="433"/>
      <c r="J22" s="433"/>
      <c r="K22" s="183"/>
      <c r="L22" s="192"/>
      <c r="M22" s="192"/>
      <c r="N22" s="192"/>
      <c r="O22" s="182"/>
      <c r="P22" s="182"/>
      <c r="Q22" s="182"/>
      <c r="R22" s="182"/>
      <c r="S22" s="182"/>
      <c r="T22" s="182"/>
      <c r="U22" s="135"/>
    </row>
    <row r="23" spans="1:21" ht="25.5" customHeight="1">
      <c r="A23" s="182"/>
      <c r="B23" s="1056" t="s">
        <v>629</v>
      </c>
      <c r="C23" s="1050" t="s">
        <v>630</v>
      </c>
      <c r="D23" s="454"/>
      <c r="E23" s="454"/>
      <c r="F23" s="455"/>
      <c r="G23" s="1050" t="s">
        <v>631</v>
      </c>
      <c r="H23" s="455"/>
      <c r="I23" s="1060" t="s">
        <v>666</v>
      </c>
      <c r="J23" s="1049" t="s">
        <v>633</v>
      </c>
      <c r="K23" s="183"/>
      <c r="L23" s="182"/>
      <c r="M23" s="182"/>
      <c r="N23" s="182"/>
      <c r="O23" s="182"/>
      <c r="P23" s="182"/>
      <c r="Q23" s="182"/>
      <c r="R23" s="182"/>
      <c r="S23" s="182"/>
      <c r="T23" s="182"/>
      <c r="U23" s="135"/>
    </row>
    <row r="24" spans="1:21" ht="39.75" customHeight="1">
      <c r="A24" s="182"/>
      <c r="B24" s="544"/>
      <c r="C24" s="441"/>
      <c r="D24" s="603"/>
      <c r="E24" s="603"/>
      <c r="F24" s="442"/>
      <c r="G24" s="441"/>
      <c r="H24" s="442"/>
      <c r="I24" s="445"/>
      <c r="J24" s="493"/>
      <c r="K24" s="183"/>
      <c r="L24" s="182"/>
      <c r="M24" s="182"/>
      <c r="N24" s="182"/>
      <c r="O24" s="182"/>
      <c r="P24" s="182"/>
      <c r="Q24" s="182"/>
      <c r="R24" s="182"/>
      <c r="S24" s="182"/>
      <c r="T24" s="182"/>
      <c r="U24" s="135"/>
    </row>
    <row r="25" spans="1:21" ht="25.5" customHeight="1">
      <c r="A25" s="182"/>
      <c r="B25" s="1047" t="s">
        <v>667</v>
      </c>
      <c r="C25" s="1040" t="s">
        <v>668</v>
      </c>
      <c r="D25" s="411"/>
      <c r="E25" s="411"/>
      <c r="F25" s="406"/>
      <c r="G25" s="1039"/>
      <c r="H25" s="406"/>
      <c r="I25" s="189">
        <v>5</v>
      </c>
      <c r="J25" s="1038">
        <f>AVERAGE(I25:I29)</f>
        <v>5</v>
      </c>
      <c r="K25" s="183"/>
      <c r="L25" s="182"/>
      <c r="M25" s="182"/>
      <c r="N25" s="182"/>
      <c r="O25" s="182"/>
      <c r="P25" s="182"/>
      <c r="Q25" s="182"/>
      <c r="R25" s="182"/>
      <c r="S25" s="182"/>
      <c r="T25" s="182"/>
      <c r="U25" s="135"/>
    </row>
    <row r="26" spans="1:21" ht="25.5" customHeight="1">
      <c r="A26" s="182"/>
      <c r="B26" s="503"/>
      <c r="C26" s="1040" t="s">
        <v>669</v>
      </c>
      <c r="D26" s="411"/>
      <c r="E26" s="411"/>
      <c r="F26" s="406"/>
      <c r="G26" s="1039"/>
      <c r="H26" s="406"/>
      <c r="I26" s="189">
        <v>5</v>
      </c>
      <c r="J26" s="492"/>
      <c r="K26" s="183"/>
      <c r="L26" s="182"/>
      <c r="M26" s="182"/>
      <c r="N26" s="182"/>
      <c r="O26" s="182"/>
      <c r="P26" s="182"/>
      <c r="Q26" s="182"/>
      <c r="R26" s="182"/>
      <c r="S26" s="182"/>
      <c r="T26" s="182"/>
      <c r="U26" s="135"/>
    </row>
    <row r="27" spans="1:21" ht="25.5" customHeight="1">
      <c r="A27" s="182"/>
      <c r="B27" s="503"/>
      <c r="C27" s="1040" t="s">
        <v>670</v>
      </c>
      <c r="D27" s="411"/>
      <c r="E27" s="411"/>
      <c r="F27" s="406"/>
      <c r="G27" s="1039"/>
      <c r="H27" s="406"/>
      <c r="I27" s="189">
        <v>5</v>
      </c>
      <c r="J27" s="492"/>
      <c r="K27" s="183"/>
      <c r="L27" s="182"/>
      <c r="M27" s="182"/>
      <c r="N27" s="182"/>
      <c r="O27" s="182"/>
      <c r="P27" s="182"/>
      <c r="Q27" s="182"/>
      <c r="R27" s="182"/>
      <c r="S27" s="182"/>
      <c r="T27" s="182"/>
      <c r="U27" s="135"/>
    </row>
    <row r="28" spans="1:21" ht="25.5" customHeight="1">
      <c r="A28" s="182"/>
      <c r="B28" s="503"/>
      <c r="C28" s="1040" t="s">
        <v>671</v>
      </c>
      <c r="D28" s="411"/>
      <c r="E28" s="411"/>
      <c r="F28" s="406"/>
      <c r="G28" s="1039"/>
      <c r="H28" s="406"/>
      <c r="I28" s="189">
        <v>5</v>
      </c>
      <c r="J28" s="492"/>
      <c r="K28" s="183"/>
      <c r="L28" s="182"/>
      <c r="M28" s="182"/>
      <c r="N28" s="182"/>
      <c r="O28" s="182"/>
      <c r="P28" s="182"/>
      <c r="Q28" s="182"/>
      <c r="R28" s="182"/>
      <c r="S28" s="182"/>
      <c r="T28" s="182"/>
      <c r="U28" s="135"/>
    </row>
    <row r="29" spans="1:21" ht="25.5" customHeight="1">
      <c r="A29" s="182"/>
      <c r="B29" s="544"/>
      <c r="C29" s="1040" t="s">
        <v>672</v>
      </c>
      <c r="D29" s="411"/>
      <c r="E29" s="411"/>
      <c r="F29" s="406"/>
      <c r="G29" s="1039"/>
      <c r="H29" s="406"/>
      <c r="I29" s="189">
        <v>5</v>
      </c>
      <c r="J29" s="493"/>
      <c r="K29" s="183"/>
      <c r="L29" s="182"/>
      <c r="M29" s="182"/>
      <c r="N29" s="182"/>
      <c r="O29" s="182"/>
      <c r="P29" s="182"/>
      <c r="Q29" s="182"/>
      <c r="R29" s="182"/>
      <c r="S29" s="182"/>
      <c r="T29" s="182"/>
      <c r="U29" s="135"/>
    </row>
    <row r="30" spans="1:21" ht="25.5" customHeight="1">
      <c r="A30" s="182"/>
      <c r="B30" s="1048" t="s">
        <v>673</v>
      </c>
      <c r="C30" s="1040" t="s">
        <v>674</v>
      </c>
      <c r="D30" s="411"/>
      <c r="E30" s="411"/>
      <c r="F30" s="406"/>
      <c r="G30" s="1039"/>
      <c r="H30" s="406"/>
      <c r="I30" s="189">
        <v>5</v>
      </c>
      <c r="J30" s="1038">
        <f>AVERAGE(I30:I34)</f>
        <v>5</v>
      </c>
      <c r="K30" s="183"/>
      <c r="L30" s="182"/>
      <c r="M30" s="182"/>
      <c r="N30" s="182"/>
      <c r="O30" s="182"/>
      <c r="P30" s="182"/>
      <c r="Q30" s="182"/>
      <c r="R30" s="182"/>
      <c r="S30" s="182"/>
      <c r="T30" s="182"/>
      <c r="U30" s="135"/>
    </row>
    <row r="31" spans="1:21" ht="25.5" customHeight="1">
      <c r="A31" s="182"/>
      <c r="B31" s="503"/>
      <c r="C31" s="1040" t="s">
        <v>675</v>
      </c>
      <c r="D31" s="411"/>
      <c r="E31" s="411"/>
      <c r="F31" s="406"/>
      <c r="G31" s="1039"/>
      <c r="H31" s="406"/>
      <c r="I31" s="189">
        <v>5</v>
      </c>
      <c r="J31" s="492"/>
      <c r="K31" s="183"/>
      <c r="L31" s="182"/>
      <c r="M31" s="182"/>
      <c r="N31" s="182"/>
      <c r="O31" s="182"/>
      <c r="P31" s="182"/>
      <c r="Q31" s="182"/>
      <c r="R31" s="182"/>
      <c r="S31" s="182"/>
      <c r="T31" s="182"/>
      <c r="U31" s="135"/>
    </row>
    <row r="32" spans="1:21" ht="25.5" customHeight="1">
      <c r="A32" s="182"/>
      <c r="B32" s="503"/>
      <c r="C32" s="1040" t="s">
        <v>676</v>
      </c>
      <c r="D32" s="411"/>
      <c r="E32" s="411"/>
      <c r="F32" s="406"/>
      <c r="G32" s="1039"/>
      <c r="H32" s="406"/>
      <c r="I32" s="189">
        <v>5</v>
      </c>
      <c r="J32" s="492"/>
      <c r="K32" s="183"/>
      <c r="L32" s="182"/>
      <c r="M32" s="182"/>
      <c r="N32" s="182"/>
      <c r="O32" s="182"/>
      <c r="P32" s="182"/>
      <c r="Q32" s="182"/>
      <c r="R32" s="182"/>
      <c r="S32" s="182"/>
      <c r="T32" s="182"/>
      <c r="U32" s="135"/>
    </row>
    <row r="33" spans="1:21" ht="25.5" customHeight="1">
      <c r="A33" s="182"/>
      <c r="B33" s="503"/>
      <c r="C33" s="1040" t="s">
        <v>677</v>
      </c>
      <c r="D33" s="411"/>
      <c r="E33" s="411"/>
      <c r="F33" s="406"/>
      <c r="G33" s="1039"/>
      <c r="H33" s="406"/>
      <c r="I33" s="189">
        <v>5</v>
      </c>
      <c r="J33" s="492"/>
      <c r="K33" s="183"/>
      <c r="L33" s="182"/>
      <c r="M33" s="182"/>
      <c r="N33" s="182"/>
      <c r="O33" s="182"/>
      <c r="P33" s="182"/>
      <c r="Q33" s="182"/>
      <c r="R33" s="182"/>
      <c r="S33" s="182"/>
      <c r="T33" s="182"/>
      <c r="U33" s="135"/>
    </row>
    <row r="34" spans="1:21" ht="25.5" customHeight="1">
      <c r="A34" s="182"/>
      <c r="B34" s="544"/>
      <c r="C34" s="1040" t="s">
        <v>678</v>
      </c>
      <c r="D34" s="411"/>
      <c r="E34" s="411"/>
      <c r="F34" s="406"/>
      <c r="G34" s="1039"/>
      <c r="H34" s="406"/>
      <c r="I34" s="189">
        <v>5</v>
      </c>
      <c r="J34" s="493"/>
      <c r="K34" s="183"/>
      <c r="L34" s="182"/>
      <c r="M34" s="182"/>
      <c r="N34" s="182"/>
      <c r="O34" s="182"/>
      <c r="P34" s="182"/>
      <c r="Q34" s="182"/>
      <c r="R34" s="182"/>
      <c r="S34" s="182"/>
      <c r="T34" s="182"/>
      <c r="U34" s="135"/>
    </row>
    <row r="35" spans="1:21" ht="25.5" customHeight="1">
      <c r="A35" s="182"/>
      <c r="B35" s="1047" t="s">
        <v>679</v>
      </c>
      <c r="C35" s="1040" t="s">
        <v>680</v>
      </c>
      <c r="D35" s="411"/>
      <c r="E35" s="411"/>
      <c r="F35" s="406"/>
      <c r="G35" s="1039"/>
      <c r="H35" s="406"/>
      <c r="I35" s="189">
        <v>5</v>
      </c>
      <c r="J35" s="1038">
        <f>AVERAGE(I35:I39)</f>
        <v>5</v>
      </c>
      <c r="K35" s="183"/>
      <c r="L35" s="182"/>
      <c r="M35" s="182"/>
      <c r="N35" s="182"/>
      <c r="O35" s="182"/>
      <c r="P35" s="182"/>
      <c r="Q35" s="182"/>
      <c r="R35" s="182"/>
      <c r="S35" s="182"/>
      <c r="T35" s="182"/>
      <c r="U35" s="135"/>
    </row>
    <row r="36" spans="1:21" ht="25.5" customHeight="1">
      <c r="A36" s="182"/>
      <c r="B36" s="503"/>
      <c r="C36" s="1040" t="s">
        <v>681</v>
      </c>
      <c r="D36" s="411"/>
      <c r="E36" s="411"/>
      <c r="F36" s="406"/>
      <c r="G36" s="1039"/>
      <c r="H36" s="406"/>
      <c r="I36" s="189">
        <v>5</v>
      </c>
      <c r="J36" s="492"/>
      <c r="K36" s="183"/>
      <c r="L36" s="182"/>
      <c r="M36" s="182"/>
      <c r="N36" s="182"/>
      <c r="O36" s="182"/>
      <c r="P36" s="182"/>
      <c r="Q36" s="182"/>
      <c r="R36" s="182"/>
      <c r="S36" s="182"/>
      <c r="T36" s="182"/>
      <c r="U36" s="135"/>
    </row>
    <row r="37" spans="1:21" ht="34.5" customHeight="1">
      <c r="A37" s="182"/>
      <c r="B37" s="503"/>
      <c r="C37" s="1042" t="s">
        <v>682</v>
      </c>
      <c r="D37" s="411"/>
      <c r="E37" s="411"/>
      <c r="F37" s="406"/>
      <c r="G37" s="1039"/>
      <c r="H37" s="406"/>
      <c r="I37" s="189">
        <v>5</v>
      </c>
      <c r="J37" s="492"/>
      <c r="K37" s="183"/>
      <c r="L37" s="182"/>
      <c r="M37" s="182"/>
      <c r="N37" s="182"/>
      <c r="O37" s="182"/>
      <c r="P37" s="182"/>
      <c r="Q37" s="182"/>
      <c r="R37" s="182"/>
      <c r="S37" s="182"/>
      <c r="T37" s="182"/>
      <c r="U37" s="135"/>
    </row>
    <row r="38" spans="1:21" ht="25.5" customHeight="1">
      <c r="A38" s="182"/>
      <c r="B38" s="503"/>
      <c r="C38" s="1040" t="s">
        <v>683</v>
      </c>
      <c r="D38" s="411"/>
      <c r="E38" s="411"/>
      <c r="F38" s="406"/>
      <c r="G38" s="1039"/>
      <c r="H38" s="406"/>
      <c r="I38" s="189">
        <v>5</v>
      </c>
      <c r="J38" s="492"/>
      <c r="K38" s="183"/>
      <c r="L38" s="182"/>
      <c r="M38" s="182"/>
      <c r="N38" s="182"/>
      <c r="O38" s="182"/>
      <c r="P38" s="182"/>
      <c r="Q38" s="182"/>
      <c r="R38" s="182"/>
      <c r="S38" s="182"/>
      <c r="T38" s="182"/>
      <c r="U38" s="135"/>
    </row>
    <row r="39" spans="1:21" ht="42.75" customHeight="1">
      <c r="A39" s="182"/>
      <c r="B39" s="544"/>
      <c r="C39" s="1041" t="s">
        <v>684</v>
      </c>
      <c r="D39" s="411"/>
      <c r="E39" s="411"/>
      <c r="F39" s="406"/>
      <c r="G39" s="1039"/>
      <c r="H39" s="406"/>
      <c r="I39" s="189">
        <v>5</v>
      </c>
      <c r="J39" s="493"/>
      <c r="K39" s="183"/>
      <c r="L39" s="182"/>
      <c r="M39" s="182"/>
      <c r="N39" s="182"/>
      <c r="O39" s="182"/>
      <c r="P39" s="182"/>
      <c r="Q39" s="182"/>
      <c r="R39" s="182"/>
      <c r="S39" s="182"/>
      <c r="T39" s="182"/>
      <c r="U39" s="135"/>
    </row>
    <row r="40" spans="1:21" ht="25.5" customHeight="1">
      <c r="A40" s="182"/>
      <c r="B40" s="1047" t="s">
        <v>685</v>
      </c>
      <c r="C40" s="1040" t="s">
        <v>686</v>
      </c>
      <c r="D40" s="411"/>
      <c r="E40" s="411"/>
      <c r="F40" s="406"/>
      <c r="G40" s="1039"/>
      <c r="H40" s="406"/>
      <c r="I40" s="189">
        <v>5</v>
      </c>
      <c r="J40" s="1038">
        <f>AVERAGE(I40:I44)</f>
        <v>5</v>
      </c>
      <c r="K40" s="183"/>
      <c r="L40" s="182"/>
      <c r="M40" s="182"/>
      <c r="N40" s="182"/>
      <c r="O40" s="182"/>
      <c r="P40" s="182"/>
      <c r="Q40" s="182"/>
      <c r="R40" s="182"/>
      <c r="S40" s="182"/>
      <c r="T40" s="182"/>
      <c r="U40" s="135"/>
    </row>
    <row r="41" spans="1:21" ht="25.5" customHeight="1">
      <c r="A41" s="182"/>
      <c r="B41" s="503"/>
      <c r="C41" s="1040" t="s">
        <v>687</v>
      </c>
      <c r="D41" s="411"/>
      <c r="E41" s="411"/>
      <c r="F41" s="406"/>
      <c r="G41" s="1039"/>
      <c r="H41" s="406"/>
      <c r="I41" s="189">
        <v>5</v>
      </c>
      <c r="J41" s="492"/>
      <c r="K41" s="183"/>
      <c r="L41" s="182"/>
      <c r="M41" s="182"/>
      <c r="N41" s="182"/>
      <c r="O41" s="182"/>
      <c r="P41" s="182"/>
      <c r="Q41" s="182"/>
      <c r="R41" s="182"/>
      <c r="S41" s="182"/>
      <c r="T41" s="182"/>
      <c r="U41" s="135"/>
    </row>
    <row r="42" spans="1:21" ht="25.5" customHeight="1">
      <c r="A42" s="182"/>
      <c r="B42" s="503"/>
      <c r="C42" s="1040" t="s">
        <v>688</v>
      </c>
      <c r="D42" s="411"/>
      <c r="E42" s="411"/>
      <c r="F42" s="406"/>
      <c r="G42" s="1039"/>
      <c r="H42" s="406"/>
      <c r="I42" s="189">
        <v>5</v>
      </c>
      <c r="J42" s="492"/>
      <c r="K42" s="183"/>
      <c r="L42" s="182"/>
      <c r="M42" s="182"/>
      <c r="N42" s="182"/>
      <c r="O42" s="182"/>
      <c r="P42" s="182"/>
      <c r="Q42" s="182"/>
      <c r="R42" s="182"/>
      <c r="S42" s="182"/>
      <c r="T42" s="182"/>
      <c r="U42" s="135"/>
    </row>
    <row r="43" spans="1:21" ht="25.5" customHeight="1">
      <c r="A43" s="182"/>
      <c r="B43" s="503"/>
      <c r="C43" s="1040" t="s">
        <v>689</v>
      </c>
      <c r="D43" s="411"/>
      <c r="E43" s="411"/>
      <c r="F43" s="406"/>
      <c r="G43" s="1039"/>
      <c r="H43" s="406"/>
      <c r="I43" s="189">
        <v>5</v>
      </c>
      <c r="J43" s="492"/>
      <c r="K43" s="183"/>
      <c r="L43" s="182"/>
      <c r="M43" s="182"/>
      <c r="N43" s="182"/>
      <c r="O43" s="182"/>
      <c r="P43" s="182"/>
      <c r="Q43" s="182"/>
      <c r="R43" s="182"/>
      <c r="S43" s="182"/>
      <c r="T43" s="182"/>
      <c r="U43" s="135"/>
    </row>
    <row r="44" spans="1:21" ht="25.5" customHeight="1">
      <c r="A44" s="182"/>
      <c r="B44" s="544"/>
      <c r="C44" s="1041" t="s">
        <v>690</v>
      </c>
      <c r="D44" s="411"/>
      <c r="E44" s="411"/>
      <c r="F44" s="406"/>
      <c r="G44" s="1039"/>
      <c r="H44" s="406"/>
      <c r="I44" s="189">
        <v>5</v>
      </c>
      <c r="J44" s="493"/>
      <c r="K44" s="183"/>
      <c r="L44" s="182"/>
      <c r="M44" s="182"/>
      <c r="N44" s="182"/>
      <c r="O44" s="182"/>
      <c r="P44" s="182"/>
      <c r="Q44" s="182"/>
      <c r="R44" s="182"/>
      <c r="S44" s="182"/>
      <c r="T44" s="182"/>
      <c r="U44" s="135"/>
    </row>
    <row r="45" spans="1:21" ht="25.5" customHeight="1">
      <c r="A45" s="182"/>
      <c r="B45" s="1047" t="s">
        <v>691</v>
      </c>
      <c r="C45" s="1040" t="s">
        <v>692</v>
      </c>
      <c r="D45" s="411"/>
      <c r="E45" s="411"/>
      <c r="F45" s="406"/>
      <c r="G45" s="1039"/>
      <c r="H45" s="406"/>
      <c r="I45" s="189">
        <v>5</v>
      </c>
      <c r="J45" s="1038">
        <f>AVERAGE(I45:I49)</f>
        <v>5</v>
      </c>
      <c r="K45" s="183"/>
      <c r="L45" s="182"/>
      <c r="M45" s="182"/>
      <c r="N45" s="182"/>
      <c r="O45" s="182"/>
      <c r="P45" s="182"/>
      <c r="Q45" s="182"/>
      <c r="R45" s="182"/>
      <c r="S45" s="182"/>
      <c r="T45" s="182"/>
      <c r="U45" s="135"/>
    </row>
    <row r="46" spans="1:21" ht="25.5" customHeight="1">
      <c r="A46" s="182"/>
      <c r="B46" s="503"/>
      <c r="C46" s="1040" t="s">
        <v>693</v>
      </c>
      <c r="D46" s="411"/>
      <c r="E46" s="411"/>
      <c r="F46" s="406"/>
      <c r="G46" s="1039"/>
      <c r="H46" s="406"/>
      <c r="I46" s="189">
        <v>5</v>
      </c>
      <c r="J46" s="492"/>
      <c r="K46" s="183"/>
      <c r="L46" s="182"/>
      <c r="M46" s="182"/>
      <c r="N46" s="182"/>
      <c r="O46" s="182"/>
      <c r="P46" s="182"/>
      <c r="Q46" s="182"/>
      <c r="R46" s="182"/>
      <c r="S46" s="182"/>
      <c r="T46" s="182"/>
      <c r="U46" s="135"/>
    </row>
    <row r="47" spans="1:21" ht="25.5" customHeight="1">
      <c r="A47" s="182"/>
      <c r="B47" s="503"/>
      <c r="C47" s="1040" t="s">
        <v>694</v>
      </c>
      <c r="D47" s="411"/>
      <c r="E47" s="411"/>
      <c r="F47" s="406"/>
      <c r="G47" s="1039"/>
      <c r="H47" s="406"/>
      <c r="I47" s="189">
        <v>5</v>
      </c>
      <c r="J47" s="492"/>
      <c r="K47" s="183"/>
      <c r="L47" s="182"/>
      <c r="M47" s="182"/>
      <c r="N47" s="182"/>
      <c r="O47" s="182"/>
      <c r="P47" s="182"/>
      <c r="Q47" s="182"/>
      <c r="R47" s="182"/>
      <c r="S47" s="182"/>
      <c r="T47" s="182"/>
      <c r="U47" s="135"/>
    </row>
    <row r="48" spans="1:21" ht="25.5" customHeight="1">
      <c r="A48" s="182"/>
      <c r="B48" s="503"/>
      <c r="C48" s="1040" t="s">
        <v>695</v>
      </c>
      <c r="D48" s="411"/>
      <c r="E48" s="411"/>
      <c r="F48" s="406"/>
      <c r="G48" s="1039"/>
      <c r="H48" s="406"/>
      <c r="I48" s="189">
        <v>5</v>
      </c>
      <c r="J48" s="492"/>
      <c r="K48" s="183"/>
      <c r="L48" s="182"/>
      <c r="M48" s="182"/>
      <c r="N48" s="182"/>
      <c r="O48" s="182"/>
      <c r="P48" s="182"/>
      <c r="Q48" s="182"/>
      <c r="R48" s="182"/>
      <c r="S48" s="182"/>
      <c r="T48" s="182"/>
      <c r="U48" s="135"/>
    </row>
    <row r="49" spans="1:21" ht="25.5" customHeight="1">
      <c r="A49" s="182"/>
      <c r="B49" s="544"/>
      <c r="C49" s="1040" t="s">
        <v>696</v>
      </c>
      <c r="D49" s="411"/>
      <c r="E49" s="411"/>
      <c r="F49" s="406"/>
      <c r="G49" s="1039"/>
      <c r="H49" s="406"/>
      <c r="I49" s="189">
        <v>5</v>
      </c>
      <c r="J49" s="493"/>
      <c r="K49" s="183"/>
      <c r="L49" s="182"/>
      <c r="M49" s="182"/>
      <c r="N49" s="182"/>
      <c r="O49" s="182"/>
      <c r="P49" s="182"/>
      <c r="Q49" s="182"/>
      <c r="R49" s="182"/>
      <c r="S49" s="182"/>
      <c r="T49" s="182"/>
      <c r="U49" s="135"/>
    </row>
    <row r="50" spans="1:21" ht="34.5" customHeight="1">
      <c r="A50" s="182"/>
      <c r="B50" s="1047" t="s">
        <v>697</v>
      </c>
      <c r="C50" s="1041" t="s">
        <v>698</v>
      </c>
      <c r="D50" s="411"/>
      <c r="E50" s="411"/>
      <c r="F50" s="406"/>
      <c r="G50" s="1039"/>
      <c r="H50" s="406"/>
      <c r="I50" s="189">
        <v>5</v>
      </c>
      <c r="J50" s="1038">
        <f>AVERAGE(I50:I54)</f>
        <v>5</v>
      </c>
      <c r="K50" s="183"/>
      <c r="L50" s="182"/>
      <c r="M50" s="182"/>
      <c r="N50" s="182"/>
      <c r="O50" s="182"/>
      <c r="P50" s="182"/>
      <c r="Q50" s="182"/>
      <c r="R50" s="182"/>
      <c r="S50" s="182"/>
      <c r="T50" s="182"/>
      <c r="U50" s="135"/>
    </row>
    <row r="51" spans="1:21" ht="25.5" customHeight="1">
      <c r="A51" s="182"/>
      <c r="B51" s="503"/>
      <c r="C51" s="1042" t="s">
        <v>699</v>
      </c>
      <c r="D51" s="411"/>
      <c r="E51" s="411"/>
      <c r="F51" s="406"/>
      <c r="G51" s="1039"/>
      <c r="H51" s="406"/>
      <c r="I51" s="189">
        <v>5</v>
      </c>
      <c r="J51" s="492"/>
      <c r="K51" s="183"/>
      <c r="L51" s="182"/>
      <c r="M51" s="182"/>
      <c r="N51" s="182"/>
      <c r="O51" s="182"/>
      <c r="P51" s="182"/>
      <c r="Q51" s="182"/>
      <c r="R51" s="182"/>
      <c r="S51" s="182"/>
      <c r="T51" s="182"/>
      <c r="U51" s="135"/>
    </row>
    <row r="52" spans="1:21" ht="24.75" customHeight="1">
      <c r="A52" s="182"/>
      <c r="B52" s="503"/>
      <c r="C52" s="1042" t="s">
        <v>700</v>
      </c>
      <c r="D52" s="411"/>
      <c r="E52" s="411"/>
      <c r="F52" s="406"/>
      <c r="G52" s="1039"/>
      <c r="H52" s="406"/>
      <c r="I52" s="189">
        <v>5</v>
      </c>
      <c r="J52" s="492"/>
      <c r="K52" s="183"/>
      <c r="L52" s="182"/>
      <c r="M52" s="182"/>
      <c r="N52" s="182"/>
      <c r="O52" s="182"/>
      <c r="P52" s="182"/>
      <c r="Q52" s="182"/>
      <c r="R52" s="182"/>
      <c r="S52" s="182"/>
      <c r="T52" s="182"/>
      <c r="U52" s="135"/>
    </row>
    <row r="53" spans="1:21" ht="27" customHeight="1">
      <c r="A53" s="182"/>
      <c r="B53" s="503"/>
      <c r="C53" s="1042" t="s">
        <v>701</v>
      </c>
      <c r="D53" s="411"/>
      <c r="E53" s="411"/>
      <c r="F53" s="406"/>
      <c r="G53" s="1039"/>
      <c r="H53" s="406"/>
      <c r="I53" s="189">
        <v>5</v>
      </c>
      <c r="J53" s="492"/>
      <c r="K53" s="183"/>
      <c r="L53" s="182"/>
      <c r="M53" s="182"/>
      <c r="N53" s="182"/>
      <c r="O53" s="182"/>
      <c r="P53" s="182"/>
      <c r="Q53" s="182"/>
      <c r="R53" s="182"/>
      <c r="S53" s="182"/>
      <c r="T53" s="182"/>
      <c r="U53" s="135"/>
    </row>
    <row r="54" spans="1:21" ht="22.5" customHeight="1">
      <c r="A54" s="182"/>
      <c r="B54" s="544"/>
      <c r="C54" s="1042" t="s">
        <v>702</v>
      </c>
      <c r="D54" s="411"/>
      <c r="E54" s="411"/>
      <c r="F54" s="406"/>
      <c r="G54" s="1039"/>
      <c r="H54" s="406"/>
      <c r="I54" s="189">
        <v>5</v>
      </c>
      <c r="J54" s="493"/>
      <c r="K54" s="183"/>
      <c r="L54" s="182"/>
      <c r="M54" s="182"/>
      <c r="N54" s="182"/>
      <c r="O54" s="182"/>
      <c r="P54" s="182"/>
      <c r="Q54" s="182"/>
      <c r="R54" s="182"/>
      <c r="S54" s="182"/>
      <c r="T54" s="182"/>
      <c r="U54" s="135"/>
    </row>
    <row r="55" spans="1:21" ht="27" customHeight="1">
      <c r="A55" s="182"/>
      <c r="B55" s="1043" t="s">
        <v>703</v>
      </c>
      <c r="C55" s="530"/>
      <c r="D55" s="530"/>
      <c r="E55" s="530"/>
      <c r="F55" s="530"/>
      <c r="G55" s="530"/>
      <c r="H55" s="530"/>
      <c r="I55" s="531"/>
      <c r="J55" s="193">
        <f>AVERAGE(J25:J54)*0.025</f>
        <v>0.125</v>
      </c>
      <c r="K55" s="194"/>
      <c r="L55" s="182"/>
      <c r="M55" s="182"/>
      <c r="N55" s="182"/>
      <c r="O55" s="182"/>
      <c r="P55" s="182"/>
      <c r="Q55" s="182"/>
      <c r="R55" s="182"/>
      <c r="S55" s="182"/>
      <c r="T55" s="182"/>
      <c r="U55" s="135"/>
    </row>
    <row r="56" spans="1:21" ht="15" customHeight="1">
      <c r="A56" s="182"/>
      <c r="B56" s="121"/>
      <c r="C56" s="15"/>
      <c r="D56" s="123"/>
      <c r="E56" s="124"/>
      <c r="F56" s="124"/>
      <c r="G56" s="195"/>
      <c r="H56" s="195"/>
      <c r="I56" s="126"/>
      <c r="J56" s="126"/>
      <c r="K56" s="183"/>
      <c r="L56" s="182"/>
      <c r="M56" s="182"/>
      <c r="N56" s="182"/>
      <c r="O56" s="182"/>
      <c r="P56" s="182"/>
      <c r="Q56" s="182"/>
      <c r="R56" s="182"/>
      <c r="S56" s="182"/>
      <c r="T56" s="182"/>
    </row>
    <row r="57" spans="1:21" ht="15" customHeight="1">
      <c r="A57" s="182"/>
      <c r="B57" s="121"/>
      <c r="C57" s="185"/>
      <c r="D57" s="196"/>
      <c r="E57" s="124"/>
      <c r="F57" s="124"/>
      <c r="G57" s="195"/>
      <c r="H57" s="195"/>
      <c r="I57" s="126"/>
      <c r="J57" s="126"/>
      <c r="K57" s="183"/>
      <c r="L57" s="182"/>
      <c r="M57" s="182"/>
      <c r="N57" s="182"/>
      <c r="O57" s="182"/>
      <c r="P57" s="182"/>
      <c r="Q57" s="182"/>
      <c r="R57" s="182"/>
      <c r="S57" s="182"/>
      <c r="T57" s="182"/>
    </row>
    <row r="58" spans="1:21" ht="43.5" customHeight="1">
      <c r="A58" s="182"/>
      <c r="B58" s="197"/>
      <c r="C58" s="1044"/>
      <c r="D58" s="602"/>
      <c r="E58" s="438"/>
      <c r="G58" s="1045"/>
      <c r="H58" s="602"/>
      <c r="I58" s="438"/>
      <c r="J58" s="185"/>
      <c r="K58" s="183"/>
      <c r="L58" s="182"/>
      <c r="M58" s="182"/>
      <c r="N58" s="182"/>
      <c r="O58" s="182"/>
      <c r="P58" s="182"/>
      <c r="Q58" s="182"/>
      <c r="R58" s="182"/>
      <c r="S58" s="182"/>
      <c r="T58" s="182"/>
    </row>
    <row r="59" spans="1:21" ht="15" customHeight="1">
      <c r="A59" s="182"/>
      <c r="B59" s="197"/>
      <c r="C59" s="441"/>
      <c r="D59" s="603"/>
      <c r="E59" s="442"/>
      <c r="G59" s="441"/>
      <c r="H59" s="603"/>
      <c r="I59" s="442"/>
      <c r="J59" s="185"/>
      <c r="K59" s="183"/>
      <c r="L59" s="182"/>
      <c r="M59" s="182"/>
      <c r="N59" s="182"/>
      <c r="O59" s="182"/>
      <c r="P59" s="182"/>
      <c r="Q59" s="182"/>
      <c r="R59" s="182"/>
      <c r="S59" s="182"/>
      <c r="T59" s="182"/>
    </row>
    <row r="60" spans="1:21" ht="18" customHeight="1">
      <c r="A60" s="182"/>
      <c r="B60" s="197"/>
      <c r="C60" s="604" t="s">
        <v>137</v>
      </c>
      <c r="D60" s="411"/>
      <c r="E60" s="406"/>
      <c r="G60" s="1046" t="s">
        <v>138</v>
      </c>
      <c r="H60" s="411"/>
      <c r="I60" s="406"/>
      <c r="J60" s="185"/>
      <c r="K60" s="183"/>
      <c r="L60" s="182"/>
      <c r="M60" s="182"/>
      <c r="N60" s="182"/>
      <c r="O60" s="182"/>
      <c r="P60" s="182"/>
      <c r="Q60" s="182"/>
      <c r="R60" s="182"/>
      <c r="S60" s="182"/>
      <c r="T60" s="182"/>
    </row>
    <row r="61" spans="1:21" ht="16.5" customHeight="1">
      <c r="A61" s="182"/>
      <c r="B61" s="197"/>
      <c r="C61" s="196"/>
      <c r="D61" s="196"/>
      <c r="E61" s="128"/>
      <c r="F61" s="128"/>
      <c r="G61" s="972"/>
      <c r="H61" s="433"/>
      <c r="I61" s="433"/>
      <c r="J61" s="433"/>
      <c r="K61" s="183"/>
      <c r="L61" s="182"/>
      <c r="M61" s="182"/>
      <c r="N61" s="182"/>
      <c r="O61" s="182"/>
      <c r="P61" s="182"/>
      <c r="Q61" s="182"/>
      <c r="R61" s="182"/>
      <c r="S61" s="182"/>
      <c r="T61" s="182"/>
    </row>
    <row r="62" spans="1:21" ht="13.5" customHeight="1">
      <c r="A62" s="182"/>
      <c r="B62" s="197"/>
      <c r="C62" s="196"/>
      <c r="D62" s="197"/>
      <c r="E62" s="128"/>
      <c r="F62" s="128"/>
      <c r="G62" s="963"/>
      <c r="H62" s="433"/>
      <c r="I62" s="433"/>
      <c r="J62" s="433"/>
      <c r="K62" s="183"/>
      <c r="L62" s="182"/>
      <c r="M62" s="182"/>
      <c r="N62" s="182"/>
      <c r="O62" s="182"/>
      <c r="P62" s="182"/>
      <c r="Q62" s="182"/>
      <c r="R62" s="182"/>
      <c r="S62" s="182"/>
      <c r="T62" s="182"/>
    </row>
    <row r="63" spans="1:21" ht="6.75" hidden="1" customHeight="1">
      <c r="A63" s="182"/>
      <c r="B63" s="197"/>
      <c r="C63" s="198"/>
      <c r="D63" s="197"/>
      <c r="E63" s="199"/>
      <c r="F63" s="199"/>
      <c r="G63" s="197"/>
      <c r="H63" s="197"/>
      <c r="I63" s="197"/>
      <c r="J63" s="197"/>
      <c r="K63" s="183"/>
      <c r="L63" s="182"/>
      <c r="M63" s="182"/>
      <c r="N63" s="182"/>
      <c r="O63" s="182"/>
      <c r="P63" s="182"/>
      <c r="Q63" s="182"/>
      <c r="R63" s="182"/>
      <c r="S63" s="182"/>
      <c r="T63" s="182"/>
    </row>
    <row r="64" spans="1:21" ht="12.75" hidden="1" customHeight="1">
      <c r="A64" s="182"/>
      <c r="B64" s="197"/>
      <c r="C64" s="198"/>
      <c r="D64" s="197"/>
      <c r="E64" s="199"/>
      <c r="F64" s="199"/>
      <c r="G64" s="197"/>
      <c r="H64" s="197"/>
      <c r="I64" s="197"/>
      <c r="J64" s="197"/>
      <c r="K64" s="183"/>
      <c r="L64" s="182"/>
      <c r="M64" s="182"/>
      <c r="N64" s="182"/>
      <c r="O64" s="182"/>
      <c r="P64" s="182"/>
      <c r="Q64" s="182"/>
      <c r="R64" s="182"/>
      <c r="S64" s="182"/>
      <c r="T64" s="182"/>
    </row>
    <row r="65" spans="1:20" ht="33.75" customHeight="1">
      <c r="A65" s="182"/>
      <c r="B65" s="197"/>
      <c r="C65" s="198"/>
      <c r="D65" s="609"/>
      <c r="E65" s="602"/>
      <c r="F65" s="602"/>
      <c r="G65" s="438"/>
      <c r="H65" s="197"/>
      <c r="I65" s="197"/>
      <c r="J65" s="197"/>
      <c r="K65" s="183"/>
      <c r="L65" s="182"/>
      <c r="M65" s="182"/>
      <c r="N65" s="182"/>
      <c r="O65" s="182"/>
      <c r="P65" s="182"/>
      <c r="Q65" s="182"/>
      <c r="R65" s="182"/>
      <c r="S65" s="182"/>
      <c r="T65" s="182"/>
    </row>
    <row r="66" spans="1:20" ht="13.5" customHeight="1">
      <c r="A66" s="182"/>
      <c r="B66" s="197"/>
      <c r="C66" s="198"/>
      <c r="D66" s="441"/>
      <c r="E66" s="603"/>
      <c r="F66" s="603"/>
      <c r="G66" s="442"/>
      <c r="H66" s="197"/>
      <c r="I66" s="197"/>
      <c r="J66" s="197"/>
      <c r="K66" s="183"/>
      <c r="L66" s="182"/>
      <c r="M66" s="182"/>
      <c r="N66" s="182"/>
      <c r="O66" s="182"/>
      <c r="P66" s="182"/>
      <c r="Q66" s="182"/>
      <c r="R66" s="182"/>
      <c r="S66" s="182"/>
      <c r="T66" s="182"/>
    </row>
    <row r="67" spans="1:20" ht="21.75" customHeight="1">
      <c r="A67" s="182"/>
      <c r="B67" s="197"/>
      <c r="C67" s="198"/>
      <c r="D67" s="610" t="s">
        <v>139</v>
      </c>
      <c r="E67" s="411"/>
      <c r="F67" s="411"/>
      <c r="G67" s="406"/>
      <c r="H67" s="197"/>
      <c r="I67" s="197"/>
      <c r="J67" s="197"/>
      <c r="K67" s="183"/>
      <c r="L67" s="182"/>
      <c r="M67" s="182"/>
      <c r="N67" s="182"/>
      <c r="O67" s="182"/>
      <c r="P67" s="182"/>
      <c r="Q67" s="182"/>
      <c r="R67" s="182"/>
      <c r="S67" s="182"/>
      <c r="T67" s="182"/>
    </row>
    <row r="68" spans="1:20" ht="13.5" customHeight="1">
      <c r="A68" s="182"/>
      <c r="B68" s="197"/>
      <c r="C68" s="198"/>
      <c r="D68" s="197"/>
      <c r="E68" s="199"/>
      <c r="F68" s="199"/>
      <c r="G68" s="197"/>
      <c r="H68" s="197"/>
      <c r="I68" s="197"/>
      <c r="J68" s="197"/>
      <c r="K68" s="183"/>
      <c r="L68" s="182"/>
      <c r="M68" s="182"/>
      <c r="N68" s="182"/>
      <c r="O68" s="182"/>
      <c r="P68" s="182"/>
      <c r="Q68" s="182"/>
      <c r="R68" s="182"/>
      <c r="S68" s="182"/>
      <c r="T68" s="182"/>
    </row>
    <row r="69" spans="1:20" ht="13.5" customHeight="1">
      <c r="A69" s="182"/>
      <c r="B69" s="197"/>
      <c r="C69" s="198"/>
      <c r="D69" s="197"/>
      <c r="E69" s="199"/>
      <c r="F69" s="199"/>
      <c r="G69" s="197"/>
      <c r="H69" s="197"/>
      <c r="I69" s="197"/>
      <c r="J69" s="197"/>
      <c r="K69" s="183"/>
      <c r="L69" s="182"/>
      <c r="M69" s="182"/>
      <c r="N69" s="182"/>
      <c r="O69" s="182"/>
      <c r="P69" s="182"/>
      <c r="Q69" s="182"/>
      <c r="R69" s="182"/>
      <c r="S69" s="182"/>
      <c r="T69" s="182"/>
    </row>
    <row r="70" spans="1:20" ht="13.5" customHeight="1">
      <c r="A70" s="182"/>
      <c r="B70" s="197"/>
      <c r="C70" s="198"/>
      <c r="D70" s="197"/>
      <c r="E70" s="199"/>
      <c r="F70" s="199"/>
      <c r="G70" s="197"/>
      <c r="H70" s="197"/>
      <c r="I70" s="197"/>
      <c r="J70" s="197"/>
      <c r="K70" s="183"/>
      <c r="L70" s="182"/>
      <c r="M70" s="182"/>
      <c r="N70" s="182"/>
      <c r="O70" s="182"/>
      <c r="P70" s="182"/>
      <c r="Q70" s="182"/>
      <c r="R70" s="182"/>
      <c r="S70" s="182"/>
      <c r="T70" s="182"/>
    </row>
    <row r="71" spans="1:20" ht="13.5" customHeight="1">
      <c r="A71" s="182"/>
      <c r="B71" s="197"/>
      <c r="C71" s="198"/>
      <c r="D71" s="197"/>
      <c r="E71" s="199"/>
      <c r="F71" s="199"/>
      <c r="G71" s="197"/>
      <c r="H71" s="197"/>
      <c r="I71" s="197"/>
      <c r="J71" s="197"/>
      <c r="K71" s="183"/>
      <c r="L71" s="182"/>
      <c r="M71" s="182"/>
      <c r="N71" s="182"/>
      <c r="O71" s="182"/>
      <c r="P71" s="182"/>
      <c r="Q71" s="182"/>
      <c r="R71" s="182"/>
      <c r="S71" s="182"/>
      <c r="T71" s="182"/>
    </row>
    <row r="72" spans="1:20" ht="13.5" customHeight="1">
      <c r="A72" s="182"/>
      <c r="B72" s="197"/>
      <c r="C72" s="198"/>
      <c r="D72" s="197"/>
      <c r="E72" s="199"/>
      <c r="F72" s="199"/>
      <c r="G72" s="197"/>
      <c r="H72" s="197"/>
      <c r="I72" s="197"/>
      <c r="J72" s="197"/>
      <c r="K72" s="183"/>
      <c r="L72" s="182"/>
      <c r="M72" s="182"/>
      <c r="N72" s="182"/>
      <c r="O72" s="182"/>
      <c r="P72" s="182"/>
      <c r="Q72" s="182"/>
      <c r="R72" s="182"/>
      <c r="S72" s="182"/>
      <c r="T72" s="182"/>
    </row>
    <row r="73" spans="1:20" ht="13.5" customHeight="1">
      <c r="A73" s="182"/>
      <c r="B73" s="197"/>
      <c r="C73" s="198"/>
      <c r="D73" s="197"/>
      <c r="E73" s="199"/>
      <c r="F73" s="199"/>
      <c r="G73" s="197"/>
      <c r="H73" s="197"/>
      <c r="I73" s="197"/>
      <c r="J73" s="197"/>
      <c r="K73" s="183"/>
      <c r="L73" s="182"/>
      <c r="M73" s="182"/>
      <c r="N73" s="182"/>
      <c r="O73" s="182"/>
      <c r="P73" s="182"/>
      <c r="Q73" s="182"/>
      <c r="R73" s="182"/>
      <c r="S73" s="182"/>
      <c r="T73" s="182"/>
    </row>
    <row r="74" spans="1:20" ht="13.5" customHeight="1">
      <c r="A74" s="182"/>
      <c r="B74" s="197"/>
      <c r="C74" s="198"/>
      <c r="D74" s="197"/>
      <c r="E74" s="199"/>
      <c r="F74" s="199"/>
      <c r="G74" s="197"/>
      <c r="H74" s="197"/>
      <c r="I74" s="197"/>
      <c r="J74" s="197"/>
      <c r="K74" s="183"/>
      <c r="L74" s="182"/>
      <c r="M74" s="182"/>
      <c r="N74" s="182"/>
      <c r="O74" s="182"/>
      <c r="P74" s="182"/>
      <c r="Q74" s="182"/>
      <c r="R74" s="182"/>
      <c r="S74" s="182"/>
      <c r="T74" s="182"/>
    </row>
    <row r="75" spans="1:20" ht="13.5" customHeight="1">
      <c r="A75" s="182"/>
      <c r="B75" s="197"/>
      <c r="C75" s="198"/>
      <c r="D75" s="197"/>
      <c r="E75" s="199"/>
      <c r="F75" s="199"/>
      <c r="G75" s="197"/>
      <c r="H75" s="197"/>
      <c r="I75" s="197"/>
      <c r="J75" s="197"/>
      <c r="K75" s="183"/>
      <c r="L75" s="182"/>
      <c r="M75" s="182"/>
      <c r="N75" s="182"/>
      <c r="O75" s="182"/>
      <c r="P75" s="182"/>
      <c r="Q75" s="182"/>
      <c r="R75" s="182"/>
      <c r="S75" s="182"/>
      <c r="T75" s="182"/>
    </row>
    <row r="76" spans="1:20" ht="13.5" customHeight="1">
      <c r="A76" s="182"/>
      <c r="B76" s="197"/>
      <c r="C76" s="198"/>
      <c r="D76" s="197"/>
      <c r="E76" s="199"/>
      <c r="F76" s="199"/>
      <c r="G76" s="197"/>
      <c r="H76" s="197"/>
      <c r="I76" s="197"/>
      <c r="J76" s="197"/>
      <c r="K76" s="183"/>
      <c r="L76" s="182"/>
      <c r="M76" s="182"/>
      <c r="N76" s="182"/>
      <c r="O76" s="182"/>
      <c r="P76" s="182"/>
      <c r="Q76" s="182"/>
      <c r="R76" s="182"/>
      <c r="S76" s="182"/>
      <c r="T76" s="182"/>
    </row>
    <row r="77" spans="1:20" ht="13.5" customHeight="1">
      <c r="A77" s="182"/>
      <c r="B77" s="197"/>
      <c r="C77" s="198"/>
      <c r="D77" s="197"/>
      <c r="E77" s="199"/>
      <c r="F77" s="199"/>
      <c r="G77" s="197"/>
      <c r="H77" s="197"/>
      <c r="I77" s="197"/>
      <c r="J77" s="197"/>
      <c r="K77" s="183"/>
      <c r="L77" s="182"/>
      <c r="M77" s="182"/>
      <c r="N77" s="182"/>
      <c r="O77" s="182"/>
      <c r="P77" s="182"/>
      <c r="Q77" s="182"/>
      <c r="R77" s="182"/>
      <c r="S77" s="182"/>
      <c r="T77" s="182"/>
    </row>
    <row r="78" spans="1:20" ht="13.5" customHeight="1">
      <c r="A78" s="182"/>
      <c r="B78" s="197"/>
      <c r="C78" s="198"/>
      <c r="D78" s="197"/>
      <c r="E78" s="199"/>
      <c r="F78" s="199"/>
      <c r="G78" s="197"/>
      <c r="H78" s="197"/>
      <c r="I78" s="197"/>
      <c r="J78" s="197"/>
      <c r="K78" s="183"/>
      <c r="L78" s="182"/>
      <c r="M78" s="182"/>
      <c r="N78" s="182"/>
      <c r="O78" s="182"/>
      <c r="P78" s="182"/>
      <c r="Q78" s="182"/>
      <c r="R78" s="182"/>
      <c r="S78" s="182"/>
      <c r="T78" s="182"/>
    </row>
    <row r="79" spans="1:20" ht="13.5" customHeight="1">
      <c r="A79" s="182"/>
      <c r="B79" s="197"/>
      <c r="C79" s="198"/>
      <c r="D79" s="197"/>
      <c r="E79" s="199"/>
      <c r="F79" s="199"/>
      <c r="G79" s="197"/>
      <c r="H79" s="197"/>
      <c r="I79" s="197"/>
      <c r="J79" s="197"/>
      <c r="K79" s="183"/>
      <c r="L79" s="182"/>
      <c r="M79" s="182"/>
      <c r="N79" s="182"/>
      <c r="O79" s="182"/>
      <c r="P79" s="182"/>
      <c r="Q79" s="182"/>
      <c r="R79" s="182"/>
      <c r="S79" s="182"/>
      <c r="T79" s="182"/>
    </row>
    <row r="80" spans="1:20" ht="13.5" customHeight="1">
      <c r="A80" s="182"/>
      <c r="B80" s="197"/>
      <c r="C80" s="198"/>
      <c r="D80" s="197"/>
      <c r="E80" s="199"/>
      <c r="F80" s="199"/>
      <c r="G80" s="197"/>
      <c r="H80" s="197"/>
      <c r="I80" s="197"/>
      <c r="J80" s="197"/>
      <c r="K80" s="183"/>
      <c r="L80" s="182"/>
      <c r="M80" s="182"/>
      <c r="N80" s="182"/>
      <c r="O80" s="182"/>
      <c r="P80" s="182"/>
      <c r="Q80" s="182"/>
      <c r="R80" s="182"/>
      <c r="S80" s="182"/>
      <c r="T80" s="182"/>
    </row>
    <row r="81" spans="1:20" ht="13.5" customHeight="1">
      <c r="A81" s="182"/>
      <c r="B81" s="197"/>
      <c r="C81" s="198"/>
      <c r="D81" s="197"/>
      <c r="E81" s="199"/>
      <c r="F81" s="199"/>
      <c r="G81" s="197"/>
      <c r="H81" s="197"/>
      <c r="I81" s="197"/>
      <c r="J81" s="197"/>
      <c r="K81" s="183"/>
      <c r="L81" s="182"/>
      <c r="M81" s="182"/>
      <c r="N81" s="182"/>
      <c r="O81" s="182"/>
      <c r="P81" s="182"/>
      <c r="Q81" s="182"/>
      <c r="R81" s="182"/>
      <c r="S81" s="182"/>
      <c r="T81" s="182"/>
    </row>
    <row r="82" spans="1:20" ht="13.5" customHeight="1">
      <c r="A82" s="182"/>
      <c r="B82" s="197"/>
      <c r="C82" s="198"/>
      <c r="D82" s="197"/>
      <c r="E82" s="199"/>
      <c r="F82" s="199"/>
      <c r="G82" s="197"/>
      <c r="H82" s="197"/>
      <c r="I82" s="197"/>
      <c r="J82" s="197"/>
      <c r="K82" s="183"/>
      <c r="L82" s="182"/>
      <c r="M82" s="182"/>
      <c r="N82" s="182"/>
      <c r="O82" s="182"/>
      <c r="P82" s="182"/>
      <c r="Q82" s="182"/>
      <c r="R82" s="182"/>
      <c r="S82" s="182"/>
      <c r="T82" s="182"/>
    </row>
    <row r="83" spans="1:20" ht="13.5" customHeight="1">
      <c r="A83" s="182"/>
      <c r="B83" s="197"/>
      <c r="C83" s="198"/>
      <c r="D83" s="197"/>
      <c r="E83" s="199"/>
      <c r="F83" s="199"/>
      <c r="G83" s="197"/>
      <c r="H83" s="197"/>
      <c r="I83" s="197"/>
      <c r="J83" s="197"/>
      <c r="K83" s="183"/>
      <c r="L83" s="182"/>
      <c r="M83" s="182"/>
      <c r="N83" s="182"/>
      <c r="O83" s="182"/>
      <c r="P83" s="182"/>
      <c r="Q83" s="182"/>
      <c r="R83" s="182"/>
      <c r="S83" s="182"/>
      <c r="T83" s="182"/>
    </row>
    <row r="84" spans="1:20" ht="13.5" customHeight="1">
      <c r="A84" s="182"/>
      <c r="B84" s="197"/>
      <c r="C84" s="198"/>
      <c r="D84" s="197"/>
      <c r="E84" s="199"/>
      <c r="F84" s="199"/>
      <c r="G84" s="197"/>
      <c r="H84" s="197"/>
      <c r="I84" s="197"/>
      <c r="J84" s="197"/>
      <c r="K84" s="183"/>
      <c r="L84" s="182"/>
      <c r="M84" s="182"/>
      <c r="N84" s="182"/>
      <c r="O84" s="182"/>
      <c r="P84" s="182"/>
      <c r="Q84" s="182"/>
      <c r="R84" s="182"/>
      <c r="S84" s="182"/>
      <c r="T84" s="182"/>
    </row>
    <row r="85" spans="1:20" ht="13.5" customHeight="1">
      <c r="A85" s="182"/>
      <c r="B85" s="197"/>
      <c r="C85" s="198"/>
      <c r="D85" s="197"/>
      <c r="E85" s="199"/>
      <c r="F85" s="199"/>
      <c r="G85" s="197"/>
      <c r="H85" s="197"/>
      <c r="I85" s="197"/>
      <c r="J85" s="197"/>
      <c r="K85" s="183"/>
      <c r="L85" s="182"/>
      <c r="M85" s="182"/>
      <c r="N85" s="182"/>
      <c r="O85" s="182"/>
      <c r="P85" s="182"/>
      <c r="Q85" s="182"/>
      <c r="R85" s="182"/>
      <c r="S85" s="182"/>
      <c r="T85" s="182"/>
    </row>
    <row r="86" spans="1:20" ht="13.5" customHeight="1">
      <c r="A86" s="182"/>
      <c r="B86" s="197"/>
      <c r="C86" s="198"/>
      <c r="D86" s="197"/>
      <c r="E86" s="199"/>
      <c r="F86" s="199"/>
      <c r="G86" s="197"/>
      <c r="H86" s="197"/>
      <c r="I86" s="197"/>
      <c r="J86" s="197"/>
      <c r="K86" s="183"/>
      <c r="L86" s="182"/>
      <c r="M86" s="182"/>
      <c r="N86" s="182"/>
      <c r="O86" s="182"/>
      <c r="P86" s="182"/>
      <c r="Q86" s="182"/>
      <c r="R86" s="182"/>
      <c r="S86" s="182"/>
      <c r="T86" s="182"/>
    </row>
    <row r="87" spans="1:20" ht="13.5" customHeight="1">
      <c r="A87" s="182"/>
      <c r="B87" s="197"/>
      <c r="C87" s="198"/>
      <c r="D87" s="197"/>
      <c r="E87" s="199"/>
      <c r="F87" s="199"/>
      <c r="G87" s="197"/>
      <c r="H87" s="197"/>
      <c r="I87" s="197"/>
      <c r="J87" s="197"/>
      <c r="K87" s="183"/>
      <c r="L87" s="182"/>
      <c r="M87" s="182"/>
      <c r="N87" s="182"/>
      <c r="O87" s="182"/>
      <c r="P87" s="182"/>
      <c r="Q87" s="182"/>
      <c r="R87" s="182"/>
      <c r="S87" s="182"/>
      <c r="T87" s="182"/>
    </row>
    <row r="88" spans="1:20" ht="13.5" customHeight="1">
      <c r="A88" s="182"/>
      <c r="B88" s="197"/>
      <c r="C88" s="198"/>
      <c r="D88" s="197"/>
      <c r="E88" s="199"/>
      <c r="F88" s="199"/>
      <c r="G88" s="197"/>
      <c r="H88" s="197"/>
      <c r="I88" s="197"/>
      <c r="J88" s="197"/>
      <c r="K88" s="183"/>
      <c r="L88" s="182"/>
      <c r="M88" s="182"/>
      <c r="N88" s="182"/>
      <c r="O88" s="182"/>
      <c r="P88" s="182"/>
      <c r="Q88" s="182"/>
      <c r="R88" s="182"/>
      <c r="S88" s="182"/>
      <c r="T88" s="182"/>
    </row>
    <row r="89" spans="1:20" ht="13.5" customHeight="1">
      <c r="A89" s="182"/>
      <c r="B89" s="197"/>
      <c r="C89" s="198"/>
      <c r="D89" s="197"/>
      <c r="E89" s="199"/>
      <c r="F89" s="199"/>
      <c r="G89" s="197"/>
      <c r="H89" s="197"/>
      <c r="I89" s="197"/>
      <c r="J89" s="197"/>
      <c r="K89" s="183"/>
      <c r="L89" s="182"/>
      <c r="M89" s="182"/>
      <c r="N89" s="182"/>
      <c r="O89" s="182"/>
      <c r="P89" s="182"/>
      <c r="Q89" s="182"/>
      <c r="R89" s="182"/>
      <c r="S89" s="182"/>
      <c r="T89" s="182"/>
    </row>
    <row r="90" spans="1:20" ht="13.5" customHeight="1">
      <c r="A90" s="182"/>
      <c r="B90" s="197"/>
      <c r="C90" s="198"/>
      <c r="D90" s="197"/>
      <c r="E90" s="199"/>
      <c r="F90" s="199"/>
      <c r="G90" s="197"/>
      <c r="H90" s="197"/>
      <c r="I90" s="197"/>
      <c r="J90" s="197"/>
      <c r="K90" s="183"/>
      <c r="L90" s="182"/>
      <c r="M90" s="182"/>
      <c r="N90" s="182"/>
      <c r="O90" s="182"/>
      <c r="P90" s="182"/>
      <c r="Q90" s="182"/>
      <c r="R90" s="182"/>
      <c r="S90" s="182"/>
      <c r="T90" s="182"/>
    </row>
    <row r="91" spans="1:20" ht="13.5" customHeight="1">
      <c r="A91" s="182"/>
      <c r="B91" s="197"/>
      <c r="C91" s="198"/>
      <c r="D91" s="197"/>
      <c r="E91" s="199"/>
      <c r="F91" s="199"/>
      <c r="G91" s="197"/>
      <c r="H91" s="197"/>
      <c r="I91" s="197"/>
      <c r="J91" s="197"/>
      <c r="K91" s="183"/>
      <c r="L91" s="182"/>
      <c r="M91" s="182"/>
      <c r="N91" s="182"/>
      <c r="O91" s="182"/>
      <c r="P91" s="182"/>
      <c r="Q91" s="182"/>
      <c r="R91" s="182"/>
      <c r="S91" s="182"/>
      <c r="T91" s="182"/>
    </row>
    <row r="92" spans="1:20" ht="13.5" customHeight="1">
      <c r="A92" s="182"/>
      <c r="B92" s="197"/>
      <c r="C92" s="198"/>
      <c r="D92" s="197"/>
      <c r="E92" s="199"/>
      <c r="F92" s="199"/>
      <c r="G92" s="197"/>
      <c r="H92" s="197"/>
      <c r="I92" s="197"/>
      <c r="J92" s="197"/>
      <c r="K92" s="183"/>
      <c r="L92" s="182"/>
      <c r="M92" s="182"/>
      <c r="N92" s="182"/>
      <c r="O92" s="182"/>
      <c r="P92" s="182"/>
      <c r="Q92" s="182"/>
      <c r="R92" s="182"/>
      <c r="S92" s="182"/>
      <c r="T92" s="182"/>
    </row>
    <row r="93" spans="1:20" ht="13.5" customHeight="1">
      <c r="A93" s="182"/>
      <c r="B93" s="197"/>
      <c r="C93" s="198"/>
      <c r="D93" s="197"/>
      <c r="E93" s="199"/>
      <c r="F93" s="199"/>
      <c r="G93" s="197"/>
      <c r="H93" s="197"/>
      <c r="I93" s="197"/>
      <c r="J93" s="197"/>
      <c r="K93" s="183"/>
      <c r="L93" s="182"/>
      <c r="M93" s="182"/>
      <c r="N93" s="182"/>
      <c r="O93" s="182"/>
      <c r="P93" s="182"/>
      <c r="Q93" s="182"/>
      <c r="R93" s="182"/>
      <c r="S93" s="182"/>
      <c r="T93" s="182"/>
    </row>
    <row r="94" spans="1:20" ht="13.5" customHeight="1">
      <c r="A94" s="182"/>
      <c r="B94" s="197"/>
      <c r="C94" s="198"/>
      <c r="D94" s="197"/>
      <c r="E94" s="199"/>
      <c r="F94" s="199"/>
      <c r="G94" s="197"/>
      <c r="H94" s="197"/>
      <c r="I94" s="197"/>
      <c r="J94" s="197"/>
      <c r="K94" s="183"/>
      <c r="L94" s="182"/>
      <c r="M94" s="182"/>
      <c r="N94" s="182"/>
      <c r="O94" s="182"/>
      <c r="P94" s="182"/>
      <c r="Q94" s="182"/>
      <c r="R94" s="182"/>
      <c r="S94" s="182"/>
      <c r="T94" s="182"/>
    </row>
    <row r="95" spans="1:20" ht="13.5" customHeight="1">
      <c r="A95" s="182"/>
      <c r="B95" s="197"/>
      <c r="C95" s="198"/>
      <c r="D95" s="197"/>
      <c r="E95" s="199"/>
      <c r="F95" s="199"/>
      <c r="G95" s="197"/>
      <c r="H95" s="197"/>
      <c r="I95" s="197"/>
      <c r="J95" s="197"/>
      <c r="K95" s="183"/>
      <c r="L95" s="182"/>
      <c r="M95" s="182"/>
      <c r="N95" s="182"/>
      <c r="O95" s="182"/>
      <c r="P95" s="182"/>
      <c r="Q95" s="182"/>
      <c r="R95" s="182"/>
      <c r="S95" s="182"/>
      <c r="T95" s="182"/>
    </row>
    <row r="96" spans="1:20" ht="13.5" customHeight="1">
      <c r="A96" s="182"/>
      <c r="B96" s="197"/>
      <c r="C96" s="198"/>
      <c r="D96" s="197"/>
      <c r="E96" s="199"/>
      <c r="F96" s="199"/>
      <c r="G96" s="197"/>
      <c r="H96" s="197"/>
      <c r="I96" s="197"/>
      <c r="J96" s="197"/>
      <c r="K96" s="183"/>
      <c r="L96" s="182"/>
      <c r="M96" s="182"/>
      <c r="N96" s="182"/>
      <c r="O96" s="182"/>
      <c r="P96" s="182"/>
      <c r="Q96" s="182"/>
      <c r="R96" s="182"/>
      <c r="S96" s="182"/>
      <c r="T96" s="182"/>
    </row>
    <row r="97" spans="1:20" ht="13.5" customHeight="1">
      <c r="A97" s="182"/>
      <c r="B97" s="197"/>
      <c r="C97" s="198"/>
      <c r="D97" s="197"/>
      <c r="E97" s="199"/>
      <c r="F97" s="199"/>
      <c r="G97" s="197"/>
      <c r="H97" s="197"/>
      <c r="I97" s="197"/>
      <c r="J97" s="197"/>
      <c r="K97" s="183"/>
      <c r="L97" s="182"/>
      <c r="M97" s="182"/>
      <c r="N97" s="182"/>
      <c r="O97" s="182"/>
      <c r="P97" s="182"/>
      <c r="Q97" s="182"/>
      <c r="R97" s="182"/>
      <c r="S97" s="182"/>
      <c r="T97" s="182"/>
    </row>
    <row r="98" spans="1:20" ht="13.5" customHeight="1">
      <c r="A98" s="182"/>
      <c r="B98" s="197"/>
      <c r="C98" s="198"/>
      <c r="D98" s="197"/>
      <c r="E98" s="199"/>
      <c r="F98" s="199"/>
      <c r="G98" s="197"/>
      <c r="H98" s="197"/>
      <c r="I98" s="197"/>
      <c r="J98" s="197"/>
      <c r="K98" s="183"/>
      <c r="L98" s="182"/>
      <c r="M98" s="182"/>
      <c r="N98" s="182"/>
      <c r="O98" s="182"/>
      <c r="P98" s="182"/>
      <c r="Q98" s="182"/>
      <c r="R98" s="182"/>
      <c r="S98" s="182"/>
      <c r="T98" s="182"/>
    </row>
    <row r="99" spans="1:20" ht="13.5" customHeight="1">
      <c r="A99" s="182"/>
      <c r="B99" s="197"/>
      <c r="C99" s="198"/>
      <c r="D99" s="197"/>
      <c r="E99" s="199"/>
      <c r="F99" s="199"/>
      <c r="G99" s="197"/>
      <c r="H99" s="197"/>
      <c r="I99" s="197"/>
      <c r="J99" s="197"/>
      <c r="K99" s="183"/>
      <c r="L99" s="182"/>
      <c r="M99" s="182"/>
      <c r="N99" s="182"/>
      <c r="O99" s="182"/>
      <c r="P99" s="182"/>
      <c r="Q99" s="182"/>
      <c r="R99" s="182"/>
      <c r="S99" s="182"/>
      <c r="T99" s="182"/>
    </row>
    <row r="100" spans="1:20" ht="13.5" customHeight="1">
      <c r="A100" s="182"/>
      <c r="B100" s="197"/>
      <c r="C100" s="198"/>
      <c r="D100" s="197"/>
      <c r="E100" s="199"/>
      <c r="F100" s="199"/>
      <c r="G100" s="197"/>
      <c r="H100" s="197"/>
      <c r="I100" s="197"/>
      <c r="J100" s="197"/>
      <c r="K100" s="183"/>
      <c r="L100" s="182"/>
      <c r="M100" s="182"/>
      <c r="N100" s="182"/>
      <c r="O100" s="182"/>
      <c r="P100" s="182"/>
      <c r="Q100" s="182"/>
      <c r="R100" s="182"/>
      <c r="S100" s="182"/>
      <c r="T100" s="182"/>
    </row>
    <row r="101" spans="1:20" ht="13.5" customHeight="1">
      <c r="A101" s="182"/>
      <c r="B101" s="197"/>
      <c r="C101" s="198"/>
      <c r="D101" s="197"/>
      <c r="E101" s="199"/>
      <c r="F101" s="199"/>
      <c r="G101" s="197"/>
      <c r="H101" s="197"/>
      <c r="I101" s="197"/>
      <c r="J101" s="197"/>
      <c r="K101" s="183"/>
      <c r="L101" s="182"/>
      <c r="M101" s="182"/>
      <c r="N101" s="182"/>
      <c r="O101" s="182"/>
      <c r="P101" s="182"/>
      <c r="Q101" s="182"/>
      <c r="R101" s="182"/>
      <c r="S101" s="182"/>
      <c r="T101" s="182"/>
    </row>
    <row r="102" spans="1:20" ht="13.5" customHeight="1">
      <c r="A102" s="182"/>
      <c r="B102" s="197"/>
      <c r="C102" s="198"/>
      <c r="D102" s="197"/>
      <c r="E102" s="199"/>
      <c r="F102" s="199"/>
      <c r="G102" s="197"/>
      <c r="H102" s="197"/>
      <c r="I102" s="197"/>
      <c r="J102" s="197"/>
      <c r="K102" s="183"/>
      <c r="L102" s="182"/>
      <c r="M102" s="182"/>
      <c r="N102" s="182"/>
      <c r="O102" s="182"/>
      <c r="P102" s="182"/>
      <c r="Q102" s="182"/>
      <c r="R102" s="182"/>
      <c r="S102" s="182"/>
      <c r="T102" s="182"/>
    </row>
    <row r="103" spans="1:20" ht="13.5" customHeight="1">
      <c r="A103" s="182"/>
      <c r="B103" s="197"/>
      <c r="C103" s="198"/>
      <c r="D103" s="197"/>
      <c r="E103" s="199"/>
      <c r="F103" s="199"/>
      <c r="G103" s="197"/>
      <c r="H103" s="197"/>
      <c r="I103" s="197"/>
      <c r="J103" s="197"/>
      <c r="K103" s="183"/>
      <c r="L103" s="182"/>
      <c r="M103" s="182"/>
      <c r="N103" s="182"/>
      <c r="O103" s="182"/>
      <c r="P103" s="182"/>
      <c r="Q103" s="182"/>
      <c r="R103" s="182"/>
      <c r="S103" s="182"/>
      <c r="T103" s="182"/>
    </row>
    <row r="104" spans="1:20" ht="13.5" customHeight="1">
      <c r="A104" s="182"/>
      <c r="B104" s="197"/>
      <c r="C104" s="198"/>
      <c r="D104" s="197"/>
      <c r="E104" s="199"/>
      <c r="F104" s="199"/>
      <c r="G104" s="197"/>
      <c r="H104" s="197"/>
      <c r="I104" s="197"/>
      <c r="J104" s="197"/>
      <c r="K104" s="183"/>
      <c r="L104" s="182"/>
      <c r="M104" s="182"/>
      <c r="N104" s="182"/>
      <c r="O104" s="182"/>
      <c r="P104" s="182"/>
      <c r="Q104" s="182"/>
      <c r="R104" s="182"/>
      <c r="S104" s="182"/>
      <c r="T104" s="182"/>
    </row>
    <row r="105" spans="1:20" ht="13.5" customHeight="1">
      <c r="A105" s="182"/>
      <c r="B105" s="197"/>
      <c r="C105" s="198"/>
      <c r="D105" s="197"/>
      <c r="E105" s="199"/>
      <c r="F105" s="199"/>
      <c r="G105" s="197"/>
      <c r="H105" s="197"/>
      <c r="I105" s="197"/>
      <c r="J105" s="197"/>
      <c r="K105" s="183"/>
      <c r="L105" s="182"/>
      <c r="M105" s="182"/>
      <c r="N105" s="182"/>
      <c r="O105" s="182"/>
      <c r="P105" s="182"/>
      <c r="Q105" s="182"/>
      <c r="R105" s="182"/>
      <c r="S105" s="182"/>
      <c r="T105" s="182"/>
    </row>
    <row r="106" spans="1:20" ht="13.5" customHeight="1">
      <c r="A106" s="182"/>
      <c r="B106" s="197"/>
      <c r="C106" s="198"/>
      <c r="D106" s="197"/>
      <c r="E106" s="199"/>
      <c r="F106" s="199"/>
      <c r="G106" s="197"/>
      <c r="H106" s="197"/>
      <c r="I106" s="197"/>
      <c r="J106" s="197"/>
      <c r="K106" s="183"/>
      <c r="L106" s="182"/>
      <c r="M106" s="182"/>
      <c r="N106" s="182"/>
      <c r="O106" s="182"/>
      <c r="P106" s="182"/>
      <c r="Q106" s="182"/>
      <c r="R106" s="182"/>
      <c r="S106" s="182"/>
      <c r="T106" s="182"/>
    </row>
    <row r="107" spans="1:20" ht="13.5" customHeight="1">
      <c r="A107" s="182"/>
      <c r="B107" s="197"/>
      <c r="C107" s="198"/>
      <c r="D107" s="197"/>
      <c r="E107" s="199"/>
      <c r="F107" s="199"/>
      <c r="G107" s="197"/>
      <c r="H107" s="197"/>
      <c r="I107" s="197"/>
      <c r="J107" s="197"/>
      <c r="K107" s="183"/>
      <c r="L107" s="182"/>
      <c r="M107" s="182"/>
      <c r="N107" s="182"/>
      <c r="O107" s="182"/>
      <c r="P107" s="182"/>
      <c r="Q107" s="182"/>
      <c r="R107" s="182"/>
      <c r="S107" s="182"/>
      <c r="T107" s="182"/>
    </row>
    <row r="108" spans="1:20" ht="13.5" customHeight="1">
      <c r="A108" s="182"/>
      <c r="B108" s="197"/>
      <c r="C108" s="198"/>
      <c r="D108" s="197"/>
      <c r="E108" s="199"/>
      <c r="F108" s="199"/>
      <c r="G108" s="197"/>
      <c r="H108" s="197"/>
      <c r="I108" s="197"/>
      <c r="J108" s="197"/>
      <c r="K108" s="183"/>
      <c r="L108" s="182"/>
      <c r="M108" s="182"/>
      <c r="N108" s="182"/>
      <c r="O108" s="182"/>
      <c r="P108" s="182"/>
      <c r="Q108" s="182"/>
      <c r="R108" s="182"/>
      <c r="S108" s="182"/>
      <c r="T108" s="182"/>
    </row>
    <row r="109" spans="1:20" ht="13.5" customHeight="1">
      <c r="A109" s="182"/>
      <c r="B109" s="197"/>
      <c r="C109" s="198"/>
      <c r="D109" s="197"/>
      <c r="E109" s="199"/>
      <c r="F109" s="199"/>
      <c r="G109" s="197"/>
      <c r="H109" s="197"/>
      <c r="I109" s="197"/>
      <c r="J109" s="197"/>
      <c r="K109" s="183"/>
      <c r="L109" s="182"/>
      <c r="M109" s="182"/>
      <c r="N109" s="182"/>
      <c r="O109" s="182"/>
      <c r="P109" s="182"/>
      <c r="Q109" s="182"/>
      <c r="R109" s="182"/>
      <c r="S109" s="182"/>
      <c r="T109" s="182"/>
    </row>
    <row r="110" spans="1:20" ht="13.5" customHeight="1">
      <c r="A110" s="182"/>
      <c r="B110" s="197"/>
      <c r="C110" s="198"/>
      <c r="D110" s="197"/>
      <c r="E110" s="199"/>
      <c r="F110" s="199"/>
      <c r="G110" s="197"/>
      <c r="H110" s="197"/>
      <c r="I110" s="197"/>
      <c r="J110" s="197"/>
      <c r="K110" s="183"/>
      <c r="L110" s="182"/>
      <c r="M110" s="182"/>
      <c r="N110" s="182"/>
      <c r="O110" s="182"/>
      <c r="P110" s="182"/>
      <c r="Q110" s="182"/>
      <c r="R110" s="182"/>
      <c r="S110" s="182"/>
      <c r="T110" s="182"/>
    </row>
    <row r="111" spans="1:20" ht="13.5" customHeight="1">
      <c r="A111" s="182"/>
      <c r="B111" s="197"/>
      <c r="C111" s="198"/>
      <c r="D111" s="197"/>
      <c r="E111" s="199"/>
      <c r="F111" s="199"/>
      <c r="G111" s="197"/>
      <c r="H111" s="197"/>
      <c r="I111" s="197"/>
      <c r="J111" s="197"/>
      <c r="K111" s="183"/>
      <c r="L111" s="182"/>
      <c r="M111" s="182"/>
      <c r="N111" s="182"/>
      <c r="O111" s="182"/>
      <c r="P111" s="182"/>
      <c r="Q111" s="182"/>
      <c r="R111" s="182"/>
      <c r="S111" s="182"/>
      <c r="T111" s="182"/>
    </row>
    <row r="112" spans="1:20" ht="13.5" customHeight="1">
      <c r="A112" s="182"/>
      <c r="B112" s="197"/>
      <c r="C112" s="198"/>
      <c r="D112" s="197"/>
      <c r="E112" s="199"/>
      <c r="F112" s="199"/>
      <c r="G112" s="197"/>
      <c r="H112" s="197"/>
      <c r="I112" s="197"/>
      <c r="J112" s="197"/>
      <c r="K112" s="183"/>
      <c r="L112" s="182"/>
      <c r="M112" s="182"/>
      <c r="N112" s="182"/>
      <c r="O112" s="182"/>
      <c r="P112" s="182"/>
      <c r="Q112" s="182"/>
      <c r="R112" s="182"/>
      <c r="S112" s="182"/>
      <c r="T112" s="182"/>
    </row>
    <row r="113" spans="1:20" ht="13.5" customHeight="1">
      <c r="A113" s="182"/>
      <c r="B113" s="197"/>
      <c r="C113" s="198"/>
      <c r="D113" s="197"/>
      <c r="E113" s="199"/>
      <c r="F113" s="199"/>
      <c r="G113" s="197"/>
      <c r="H113" s="197"/>
      <c r="I113" s="197"/>
      <c r="J113" s="197"/>
      <c r="K113" s="183"/>
      <c r="L113" s="182"/>
      <c r="M113" s="182"/>
      <c r="N113" s="182"/>
      <c r="O113" s="182"/>
      <c r="P113" s="182"/>
      <c r="Q113" s="182"/>
      <c r="R113" s="182"/>
      <c r="S113" s="182"/>
      <c r="T113" s="182"/>
    </row>
    <row r="114" spans="1:20" ht="13.5" customHeight="1">
      <c r="A114" s="182"/>
      <c r="B114" s="197"/>
      <c r="C114" s="198"/>
      <c r="D114" s="197"/>
      <c r="E114" s="199"/>
      <c r="F114" s="199"/>
      <c r="G114" s="197"/>
      <c r="H114" s="197"/>
      <c r="I114" s="197"/>
      <c r="J114" s="197"/>
      <c r="K114" s="183"/>
      <c r="L114" s="182"/>
      <c r="M114" s="182"/>
      <c r="N114" s="182"/>
      <c r="O114" s="182"/>
      <c r="P114" s="182"/>
      <c r="Q114" s="182"/>
      <c r="R114" s="182"/>
      <c r="S114" s="182"/>
      <c r="T114" s="182"/>
    </row>
    <row r="115" spans="1:20" ht="13.5" customHeight="1">
      <c r="A115" s="182"/>
      <c r="B115" s="197"/>
      <c r="C115" s="198"/>
      <c r="D115" s="197"/>
      <c r="E115" s="199"/>
      <c r="F115" s="199"/>
      <c r="G115" s="197"/>
      <c r="H115" s="197"/>
      <c r="I115" s="197"/>
      <c r="J115" s="197"/>
      <c r="K115" s="183"/>
      <c r="L115" s="182"/>
      <c r="M115" s="182"/>
      <c r="N115" s="182"/>
      <c r="O115" s="182"/>
      <c r="P115" s="182"/>
      <c r="Q115" s="182"/>
      <c r="R115" s="182"/>
      <c r="S115" s="182"/>
      <c r="T115" s="182"/>
    </row>
    <row r="116" spans="1:20" ht="13.5" customHeight="1">
      <c r="A116" s="182"/>
      <c r="B116" s="197"/>
      <c r="C116" s="198"/>
      <c r="D116" s="197"/>
      <c r="E116" s="199"/>
      <c r="F116" s="199"/>
      <c r="G116" s="197"/>
      <c r="H116" s="197"/>
      <c r="I116" s="197"/>
      <c r="J116" s="197"/>
      <c r="K116" s="183"/>
      <c r="L116" s="182"/>
      <c r="M116" s="182"/>
      <c r="N116" s="182"/>
      <c r="O116" s="182"/>
      <c r="P116" s="182"/>
      <c r="Q116" s="182"/>
      <c r="R116" s="182"/>
      <c r="S116" s="182"/>
      <c r="T116" s="182"/>
    </row>
    <row r="117" spans="1:20" ht="13.5" customHeight="1">
      <c r="A117" s="182"/>
      <c r="B117" s="197"/>
      <c r="C117" s="198"/>
      <c r="D117" s="197"/>
      <c r="E117" s="199"/>
      <c r="F117" s="199"/>
      <c r="G117" s="197"/>
      <c r="H117" s="197"/>
      <c r="I117" s="197"/>
      <c r="J117" s="197"/>
      <c r="K117" s="183"/>
      <c r="L117" s="182"/>
      <c r="M117" s="182"/>
      <c r="N117" s="182"/>
      <c r="O117" s="182"/>
      <c r="P117" s="182"/>
      <c r="Q117" s="182"/>
      <c r="R117" s="182"/>
      <c r="S117" s="182"/>
      <c r="T117" s="182"/>
    </row>
    <row r="118" spans="1:20" ht="13.5" customHeight="1">
      <c r="A118" s="182"/>
      <c r="B118" s="197"/>
      <c r="C118" s="198"/>
      <c r="D118" s="197"/>
      <c r="E118" s="199"/>
      <c r="F118" s="199"/>
      <c r="G118" s="197"/>
      <c r="H118" s="197"/>
      <c r="I118" s="197"/>
      <c r="J118" s="197"/>
      <c r="K118" s="183"/>
      <c r="L118" s="182"/>
      <c r="M118" s="182"/>
      <c r="N118" s="182"/>
      <c r="O118" s="182"/>
      <c r="P118" s="182"/>
      <c r="Q118" s="182"/>
      <c r="R118" s="182"/>
      <c r="S118" s="182"/>
      <c r="T118" s="182"/>
    </row>
    <row r="119" spans="1:20" ht="13.5" customHeight="1">
      <c r="A119" s="182"/>
      <c r="B119" s="197"/>
      <c r="C119" s="198"/>
      <c r="D119" s="197"/>
      <c r="E119" s="199"/>
      <c r="F119" s="199"/>
      <c r="G119" s="197"/>
      <c r="H119" s="197"/>
      <c r="I119" s="197"/>
      <c r="J119" s="197"/>
      <c r="K119" s="183"/>
      <c r="L119" s="182"/>
      <c r="M119" s="182"/>
      <c r="N119" s="182"/>
      <c r="O119" s="182"/>
      <c r="P119" s="182"/>
      <c r="Q119" s="182"/>
      <c r="R119" s="182"/>
      <c r="S119" s="182"/>
      <c r="T119" s="182"/>
    </row>
    <row r="120" spans="1:20" ht="13.5" customHeight="1">
      <c r="A120" s="182"/>
      <c r="B120" s="197"/>
      <c r="C120" s="198"/>
      <c r="D120" s="197"/>
      <c r="E120" s="199"/>
      <c r="F120" s="199"/>
      <c r="G120" s="197"/>
      <c r="H120" s="197"/>
      <c r="I120" s="197"/>
      <c r="J120" s="197"/>
      <c r="K120" s="183"/>
      <c r="L120" s="182"/>
      <c r="M120" s="182"/>
      <c r="N120" s="182"/>
      <c r="O120" s="182"/>
      <c r="P120" s="182"/>
      <c r="Q120" s="182"/>
      <c r="R120" s="182"/>
      <c r="S120" s="182"/>
      <c r="T120" s="182"/>
    </row>
    <row r="121" spans="1:20" ht="13.5" customHeight="1">
      <c r="A121" s="182"/>
      <c r="B121" s="197"/>
      <c r="C121" s="198"/>
      <c r="D121" s="197"/>
      <c r="E121" s="199"/>
      <c r="F121" s="199"/>
      <c r="G121" s="197"/>
      <c r="H121" s="197"/>
      <c r="I121" s="197"/>
      <c r="J121" s="197"/>
      <c r="K121" s="183"/>
      <c r="L121" s="182"/>
      <c r="M121" s="182"/>
      <c r="N121" s="182"/>
      <c r="O121" s="182"/>
      <c r="P121" s="182"/>
      <c r="Q121" s="182"/>
      <c r="R121" s="182"/>
      <c r="S121" s="182"/>
      <c r="T121" s="182"/>
    </row>
    <row r="122" spans="1:20" ht="13.5" customHeight="1">
      <c r="A122" s="182"/>
      <c r="B122" s="197"/>
      <c r="C122" s="198"/>
      <c r="D122" s="197"/>
      <c r="E122" s="199"/>
      <c r="F122" s="199"/>
      <c r="G122" s="197"/>
      <c r="H122" s="197"/>
      <c r="I122" s="197"/>
      <c r="J122" s="197"/>
      <c r="K122" s="183"/>
      <c r="L122" s="182"/>
      <c r="M122" s="182"/>
      <c r="N122" s="182"/>
      <c r="O122" s="182"/>
      <c r="P122" s="182"/>
      <c r="Q122" s="182"/>
      <c r="R122" s="182"/>
      <c r="S122" s="182"/>
      <c r="T122" s="182"/>
    </row>
    <row r="123" spans="1:20" ht="13.5" customHeight="1">
      <c r="A123" s="182"/>
      <c r="B123" s="197"/>
      <c r="C123" s="198"/>
      <c r="D123" s="197"/>
      <c r="E123" s="199"/>
      <c r="F123" s="199"/>
      <c r="G123" s="197"/>
      <c r="H123" s="197"/>
      <c r="I123" s="197"/>
      <c r="J123" s="197"/>
      <c r="K123" s="183"/>
      <c r="L123" s="182"/>
      <c r="M123" s="182"/>
      <c r="N123" s="182"/>
      <c r="O123" s="182"/>
      <c r="P123" s="182"/>
      <c r="Q123" s="182"/>
      <c r="R123" s="182"/>
      <c r="S123" s="182"/>
      <c r="T123" s="182"/>
    </row>
    <row r="124" spans="1:20" ht="13.5" customHeight="1">
      <c r="A124" s="182"/>
      <c r="B124" s="197"/>
      <c r="C124" s="198"/>
      <c r="D124" s="197"/>
      <c r="E124" s="199"/>
      <c r="F124" s="199"/>
      <c r="G124" s="197"/>
      <c r="H124" s="197"/>
      <c r="I124" s="197"/>
      <c r="J124" s="197"/>
      <c r="K124" s="183"/>
      <c r="L124" s="182"/>
      <c r="M124" s="182"/>
      <c r="N124" s="182"/>
      <c r="O124" s="182"/>
      <c r="P124" s="182"/>
      <c r="Q124" s="182"/>
      <c r="R124" s="182"/>
      <c r="S124" s="182"/>
      <c r="T124" s="182"/>
    </row>
    <row r="125" spans="1:20" ht="13.5" customHeight="1">
      <c r="A125" s="182"/>
      <c r="B125" s="197"/>
      <c r="C125" s="198"/>
      <c r="D125" s="197"/>
      <c r="E125" s="199"/>
      <c r="F125" s="199"/>
      <c r="G125" s="197"/>
      <c r="H125" s="197"/>
      <c r="I125" s="197"/>
      <c r="J125" s="197"/>
      <c r="K125" s="183"/>
      <c r="L125" s="182"/>
      <c r="M125" s="182"/>
      <c r="N125" s="182"/>
      <c r="O125" s="182"/>
      <c r="P125" s="182"/>
      <c r="Q125" s="182"/>
      <c r="R125" s="182"/>
      <c r="S125" s="182"/>
      <c r="T125" s="182"/>
    </row>
    <row r="126" spans="1:20" ht="13.5" customHeight="1">
      <c r="A126" s="182"/>
      <c r="B126" s="197"/>
      <c r="C126" s="198"/>
      <c r="D126" s="197"/>
      <c r="E126" s="199"/>
      <c r="F126" s="199"/>
      <c r="G126" s="197"/>
      <c r="H126" s="197"/>
      <c r="I126" s="197"/>
      <c r="J126" s="197"/>
      <c r="K126" s="183"/>
      <c r="L126" s="182"/>
      <c r="M126" s="182"/>
      <c r="N126" s="182"/>
      <c r="O126" s="182"/>
      <c r="P126" s="182"/>
      <c r="Q126" s="182"/>
      <c r="R126" s="182"/>
      <c r="S126" s="182"/>
      <c r="T126" s="182"/>
    </row>
    <row r="127" spans="1:20" ht="13.5" customHeight="1">
      <c r="A127" s="182"/>
      <c r="B127" s="197"/>
      <c r="C127" s="198"/>
      <c r="D127" s="197"/>
      <c r="E127" s="199"/>
      <c r="F127" s="199"/>
      <c r="G127" s="197"/>
      <c r="H127" s="197"/>
      <c r="I127" s="197"/>
      <c r="J127" s="197"/>
      <c r="K127" s="183"/>
      <c r="L127" s="182"/>
      <c r="M127" s="182"/>
      <c r="N127" s="182"/>
      <c r="O127" s="182"/>
      <c r="P127" s="182"/>
      <c r="Q127" s="182"/>
      <c r="R127" s="182"/>
      <c r="S127" s="182"/>
      <c r="T127" s="182"/>
    </row>
    <row r="128" spans="1:20" ht="13.5" customHeight="1">
      <c r="A128" s="182"/>
      <c r="B128" s="197"/>
      <c r="C128" s="198"/>
      <c r="D128" s="197"/>
      <c r="E128" s="199"/>
      <c r="F128" s="199"/>
      <c r="G128" s="197"/>
      <c r="H128" s="197"/>
      <c r="I128" s="197"/>
      <c r="J128" s="197"/>
      <c r="K128" s="183"/>
      <c r="L128" s="182"/>
      <c r="M128" s="182"/>
      <c r="N128" s="182"/>
      <c r="O128" s="182"/>
      <c r="P128" s="182"/>
      <c r="Q128" s="182"/>
      <c r="R128" s="182"/>
      <c r="S128" s="182"/>
      <c r="T128" s="182"/>
    </row>
    <row r="129" spans="1:20" ht="13.5" customHeight="1">
      <c r="A129" s="182"/>
      <c r="B129" s="197"/>
      <c r="C129" s="198"/>
      <c r="D129" s="197"/>
      <c r="E129" s="199"/>
      <c r="F129" s="199"/>
      <c r="G129" s="197"/>
      <c r="H129" s="197"/>
      <c r="I129" s="197"/>
      <c r="J129" s="197"/>
      <c r="K129" s="183"/>
      <c r="L129" s="182"/>
      <c r="M129" s="182"/>
      <c r="N129" s="182"/>
      <c r="O129" s="182"/>
      <c r="P129" s="182"/>
      <c r="Q129" s="182"/>
      <c r="R129" s="182"/>
      <c r="S129" s="182"/>
      <c r="T129" s="182"/>
    </row>
    <row r="130" spans="1:20" ht="13.5" customHeight="1">
      <c r="A130" s="182"/>
      <c r="B130" s="197"/>
      <c r="C130" s="198"/>
      <c r="D130" s="197"/>
      <c r="E130" s="199"/>
      <c r="F130" s="199"/>
      <c r="G130" s="197"/>
      <c r="H130" s="197"/>
      <c r="I130" s="197"/>
      <c r="J130" s="197"/>
      <c r="K130" s="183"/>
      <c r="L130" s="182"/>
      <c r="M130" s="182"/>
      <c r="N130" s="182"/>
      <c r="O130" s="182"/>
      <c r="P130" s="182"/>
      <c r="Q130" s="182"/>
      <c r="R130" s="182"/>
      <c r="S130" s="182"/>
      <c r="T130" s="182"/>
    </row>
    <row r="131" spans="1:20" ht="13.5" customHeight="1">
      <c r="A131" s="182"/>
      <c r="B131" s="197"/>
      <c r="C131" s="198"/>
      <c r="D131" s="197"/>
      <c r="E131" s="199"/>
      <c r="F131" s="199"/>
      <c r="G131" s="197"/>
      <c r="H131" s="197"/>
      <c r="I131" s="197"/>
      <c r="J131" s="197"/>
      <c r="K131" s="183"/>
      <c r="L131" s="182"/>
      <c r="M131" s="182"/>
      <c r="N131" s="182"/>
      <c r="O131" s="182"/>
      <c r="P131" s="182"/>
      <c r="Q131" s="182"/>
      <c r="R131" s="182"/>
      <c r="S131" s="182"/>
      <c r="T131" s="182"/>
    </row>
    <row r="132" spans="1:20" ht="13.5" customHeight="1">
      <c r="A132" s="182"/>
      <c r="B132" s="197"/>
      <c r="C132" s="198"/>
      <c r="D132" s="197"/>
      <c r="E132" s="199"/>
      <c r="F132" s="199"/>
      <c r="G132" s="197"/>
      <c r="H132" s="197"/>
      <c r="I132" s="197"/>
      <c r="J132" s="197"/>
      <c r="K132" s="183"/>
      <c r="L132" s="182"/>
      <c r="M132" s="182"/>
      <c r="N132" s="182"/>
      <c r="O132" s="182"/>
      <c r="P132" s="182"/>
      <c r="Q132" s="182"/>
      <c r="R132" s="182"/>
      <c r="S132" s="182"/>
      <c r="T132" s="182"/>
    </row>
    <row r="133" spans="1:20" ht="13.5" customHeight="1">
      <c r="A133" s="182"/>
      <c r="B133" s="197"/>
      <c r="C133" s="198"/>
      <c r="D133" s="197"/>
      <c r="E133" s="199"/>
      <c r="F133" s="199"/>
      <c r="G133" s="197"/>
      <c r="H133" s="197"/>
      <c r="I133" s="197"/>
      <c r="J133" s="197"/>
      <c r="K133" s="183"/>
      <c r="L133" s="182"/>
      <c r="M133" s="182"/>
      <c r="N133" s="182"/>
      <c r="O133" s="182"/>
      <c r="P133" s="182"/>
      <c r="Q133" s="182"/>
      <c r="R133" s="182"/>
      <c r="S133" s="182"/>
      <c r="T133" s="182"/>
    </row>
    <row r="134" spans="1:20" ht="13.5" customHeight="1">
      <c r="A134" s="182"/>
      <c r="B134" s="197"/>
      <c r="C134" s="198"/>
      <c r="D134" s="197"/>
      <c r="E134" s="199"/>
      <c r="F134" s="199"/>
      <c r="G134" s="197"/>
      <c r="H134" s="197"/>
      <c r="I134" s="197"/>
      <c r="J134" s="197"/>
      <c r="K134" s="183"/>
      <c r="L134" s="182"/>
      <c r="M134" s="182"/>
      <c r="N134" s="182"/>
      <c r="O134" s="182"/>
      <c r="P134" s="182"/>
      <c r="Q134" s="182"/>
      <c r="R134" s="182"/>
      <c r="S134" s="182"/>
      <c r="T134" s="182"/>
    </row>
    <row r="135" spans="1:20" ht="13.5" customHeight="1">
      <c r="A135" s="182"/>
      <c r="B135" s="197"/>
      <c r="C135" s="198"/>
      <c r="D135" s="197"/>
      <c r="E135" s="199"/>
      <c r="F135" s="199"/>
      <c r="G135" s="197"/>
      <c r="H135" s="197"/>
      <c r="I135" s="197"/>
      <c r="J135" s="197"/>
      <c r="K135" s="183"/>
      <c r="L135" s="182"/>
      <c r="M135" s="182"/>
      <c r="N135" s="182"/>
      <c r="O135" s="182"/>
      <c r="P135" s="182"/>
      <c r="Q135" s="182"/>
      <c r="R135" s="182"/>
      <c r="S135" s="182"/>
      <c r="T135" s="182"/>
    </row>
    <row r="136" spans="1:20" ht="13.5" customHeight="1">
      <c r="A136" s="182"/>
      <c r="B136" s="197"/>
      <c r="C136" s="198"/>
      <c r="D136" s="197"/>
      <c r="E136" s="199"/>
      <c r="F136" s="199"/>
      <c r="G136" s="197"/>
      <c r="H136" s="197"/>
      <c r="I136" s="197"/>
      <c r="J136" s="197"/>
      <c r="K136" s="183"/>
      <c r="L136" s="182"/>
      <c r="M136" s="182"/>
      <c r="N136" s="182"/>
      <c r="O136" s="182"/>
      <c r="P136" s="182"/>
      <c r="Q136" s="182"/>
      <c r="R136" s="182"/>
      <c r="S136" s="182"/>
      <c r="T136" s="182"/>
    </row>
    <row r="137" spans="1:20" ht="13.5" customHeight="1">
      <c r="A137" s="182"/>
      <c r="B137" s="197"/>
      <c r="C137" s="198"/>
      <c r="D137" s="197"/>
      <c r="E137" s="199"/>
      <c r="F137" s="199"/>
      <c r="G137" s="197"/>
      <c r="H137" s="197"/>
      <c r="I137" s="197"/>
      <c r="J137" s="197"/>
      <c r="K137" s="183"/>
      <c r="L137" s="182"/>
      <c r="M137" s="182"/>
      <c r="N137" s="182"/>
      <c r="O137" s="182"/>
      <c r="P137" s="182"/>
      <c r="Q137" s="182"/>
      <c r="R137" s="182"/>
      <c r="S137" s="182"/>
      <c r="T137" s="182"/>
    </row>
    <row r="138" spans="1:20" ht="13.5" customHeight="1">
      <c r="A138" s="182"/>
      <c r="B138" s="197"/>
      <c r="C138" s="198"/>
      <c r="D138" s="197"/>
      <c r="E138" s="199"/>
      <c r="F138" s="199"/>
      <c r="G138" s="197"/>
      <c r="H138" s="197"/>
      <c r="I138" s="197"/>
      <c r="J138" s="197"/>
      <c r="K138" s="183"/>
      <c r="L138" s="182"/>
      <c r="M138" s="182"/>
      <c r="N138" s="182"/>
      <c r="O138" s="182"/>
      <c r="P138" s="182"/>
      <c r="Q138" s="182"/>
      <c r="R138" s="182"/>
      <c r="S138" s="182"/>
      <c r="T138" s="182"/>
    </row>
    <row r="139" spans="1:20" ht="13.5" customHeight="1">
      <c r="A139" s="182"/>
      <c r="B139" s="197"/>
      <c r="C139" s="198"/>
      <c r="D139" s="197"/>
      <c r="E139" s="199"/>
      <c r="F139" s="199"/>
      <c r="G139" s="197"/>
      <c r="H139" s="197"/>
      <c r="I139" s="197"/>
      <c r="J139" s="197"/>
      <c r="K139" s="183"/>
      <c r="L139" s="182"/>
      <c r="M139" s="182"/>
      <c r="N139" s="182"/>
      <c r="O139" s="182"/>
      <c r="P139" s="182"/>
      <c r="Q139" s="182"/>
      <c r="R139" s="182"/>
      <c r="S139" s="182"/>
      <c r="T139" s="182"/>
    </row>
    <row r="140" spans="1:20" ht="13.5" customHeight="1">
      <c r="A140" s="182"/>
      <c r="B140" s="197"/>
      <c r="C140" s="198"/>
      <c r="D140" s="197"/>
      <c r="E140" s="199"/>
      <c r="F140" s="199"/>
      <c r="G140" s="197"/>
      <c r="H140" s="197"/>
      <c r="I140" s="197"/>
      <c r="J140" s="197"/>
      <c r="K140" s="183"/>
      <c r="L140" s="182"/>
      <c r="M140" s="182"/>
      <c r="N140" s="182"/>
      <c r="O140" s="182"/>
      <c r="P140" s="182"/>
      <c r="Q140" s="182"/>
      <c r="R140" s="182"/>
      <c r="S140" s="182"/>
      <c r="T140" s="182"/>
    </row>
    <row r="141" spans="1:20" ht="13.5" customHeight="1">
      <c r="A141" s="182"/>
      <c r="B141" s="197"/>
      <c r="C141" s="198"/>
      <c r="D141" s="197"/>
      <c r="E141" s="199"/>
      <c r="F141" s="199"/>
      <c r="G141" s="197"/>
      <c r="H141" s="197"/>
      <c r="I141" s="197"/>
      <c r="J141" s="197"/>
      <c r="K141" s="183"/>
      <c r="L141" s="182"/>
      <c r="M141" s="182"/>
      <c r="N141" s="182"/>
      <c r="O141" s="182"/>
      <c r="P141" s="182"/>
      <c r="Q141" s="182"/>
      <c r="R141" s="182"/>
      <c r="S141" s="182"/>
      <c r="T141" s="182"/>
    </row>
    <row r="142" spans="1:20" ht="13.5" customHeight="1">
      <c r="A142" s="182"/>
      <c r="B142" s="197"/>
      <c r="C142" s="198"/>
      <c r="D142" s="197"/>
      <c r="E142" s="199"/>
      <c r="F142" s="199"/>
      <c r="G142" s="197"/>
      <c r="H142" s="197"/>
      <c r="I142" s="197"/>
      <c r="J142" s="197"/>
      <c r="K142" s="183"/>
      <c r="L142" s="182"/>
      <c r="M142" s="182"/>
      <c r="N142" s="182"/>
      <c r="O142" s="182"/>
      <c r="P142" s="182"/>
      <c r="Q142" s="182"/>
      <c r="R142" s="182"/>
      <c r="S142" s="182"/>
      <c r="T142" s="182"/>
    </row>
    <row r="143" spans="1:20" ht="13.5" customHeight="1">
      <c r="A143" s="182"/>
      <c r="B143" s="197"/>
      <c r="C143" s="198"/>
      <c r="D143" s="197"/>
      <c r="E143" s="199"/>
      <c r="F143" s="199"/>
      <c r="G143" s="197"/>
      <c r="H143" s="197"/>
      <c r="I143" s="197"/>
      <c r="J143" s="197"/>
      <c r="K143" s="183"/>
      <c r="L143" s="182"/>
      <c r="M143" s="182"/>
      <c r="N143" s="182"/>
      <c r="O143" s="182"/>
      <c r="P143" s="182"/>
      <c r="Q143" s="182"/>
      <c r="R143" s="182"/>
      <c r="S143" s="182"/>
      <c r="T143" s="182"/>
    </row>
    <row r="144" spans="1:20" ht="13.5" customHeight="1">
      <c r="A144" s="182"/>
      <c r="B144" s="197"/>
      <c r="C144" s="198"/>
      <c r="D144" s="197"/>
      <c r="E144" s="199"/>
      <c r="F144" s="199"/>
      <c r="G144" s="197"/>
      <c r="H144" s="197"/>
      <c r="I144" s="197"/>
      <c r="J144" s="197"/>
      <c r="K144" s="183"/>
      <c r="L144" s="182"/>
      <c r="M144" s="182"/>
      <c r="N144" s="182"/>
      <c r="O144" s="182"/>
      <c r="P144" s="182"/>
      <c r="Q144" s="182"/>
      <c r="R144" s="182"/>
      <c r="S144" s="182"/>
      <c r="T144" s="182"/>
    </row>
    <row r="145" spans="1:20" ht="13.5" customHeight="1">
      <c r="A145" s="182"/>
      <c r="B145" s="197"/>
      <c r="C145" s="198"/>
      <c r="D145" s="197"/>
      <c r="E145" s="199"/>
      <c r="F145" s="199"/>
      <c r="G145" s="197"/>
      <c r="H145" s="197"/>
      <c r="I145" s="197"/>
      <c r="J145" s="197"/>
      <c r="K145" s="183"/>
      <c r="L145" s="182"/>
      <c r="M145" s="182"/>
      <c r="N145" s="182"/>
      <c r="O145" s="182"/>
      <c r="P145" s="182"/>
      <c r="Q145" s="182"/>
      <c r="R145" s="182"/>
      <c r="S145" s="182"/>
      <c r="T145" s="182"/>
    </row>
    <row r="146" spans="1:20" ht="13.5" customHeight="1">
      <c r="A146" s="182"/>
      <c r="B146" s="197"/>
      <c r="C146" s="198"/>
      <c r="D146" s="197"/>
      <c r="E146" s="199"/>
      <c r="F146" s="199"/>
      <c r="G146" s="197"/>
      <c r="H146" s="197"/>
      <c r="I146" s="197"/>
      <c r="J146" s="197"/>
      <c r="K146" s="183"/>
      <c r="L146" s="182"/>
      <c r="M146" s="182"/>
      <c r="N146" s="182"/>
      <c r="O146" s="182"/>
      <c r="P146" s="182"/>
      <c r="Q146" s="182"/>
      <c r="R146" s="182"/>
      <c r="S146" s="182"/>
      <c r="T146" s="182"/>
    </row>
    <row r="147" spans="1:20" ht="13.5" customHeight="1">
      <c r="A147" s="182"/>
      <c r="B147" s="197"/>
      <c r="C147" s="198"/>
      <c r="D147" s="197"/>
      <c r="E147" s="199"/>
      <c r="F147" s="199"/>
      <c r="G147" s="197"/>
      <c r="H147" s="197"/>
      <c r="I147" s="197"/>
      <c r="J147" s="197"/>
      <c r="K147" s="183"/>
      <c r="L147" s="182"/>
      <c r="M147" s="182"/>
      <c r="N147" s="182"/>
      <c r="O147" s="182"/>
      <c r="P147" s="182"/>
      <c r="Q147" s="182"/>
      <c r="R147" s="182"/>
      <c r="S147" s="182"/>
      <c r="T147" s="182"/>
    </row>
    <row r="148" spans="1:20" ht="13.5" customHeight="1">
      <c r="A148" s="182"/>
      <c r="B148" s="197"/>
      <c r="C148" s="198"/>
      <c r="D148" s="197"/>
      <c r="E148" s="199"/>
      <c r="F148" s="199"/>
      <c r="G148" s="197"/>
      <c r="H148" s="197"/>
      <c r="I148" s="197"/>
      <c r="J148" s="197"/>
      <c r="K148" s="183"/>
      <c r="L148" s="182"/>
      <c r="M148" s="182"/>
      <c r="N148" s="182"/>
      <c r="O148" s="182"/>
      <c r="P148" s="182"/>
      <c r="Q148" s="182"/>
      <c r="R148" s="182"/>
      <c r="S148" s="182"/>
      <c r="T148" s="182"/>
    </row>
    <row r="149" spans="1:20" ht="13.5" customHeight="1">
      <c r="A149" s="182"/>
      <c r="B149" s="197"/>
      <c r="C149" s="198"/>
      <c r="D149" s="197"/>
      <c r="E149" s="199"/>
      <c r="F149" s="199"/>
      <c r="G149" s="197"/>
      <c r="H149" s="197"/>
      <c r="I149" s="197"/>
      <c r="J149" s="197"/>
      <c r="K149" s="183"/>
      <c r="L149" s="182"/>
      <c r="M149" s="182"/>
      <c r="N149" s="182"/>
      <c r="O149" s="182"/>
      <c r="P149" s="182"/>
      <c r="Q149" s="182"/>
      <c r="R149" s="182"/>
      <c r="S149" s="182"/>
      <c r="T149" s="182"/>
    </row>
    <row r="150" spans="1:20" ht="13.5" customHeight="1">
      <c r="A150" s="182"/>
      <c r="B150" s="197"/>
      <c r="C150" s="198"/>
      <c r="D150" s="197"/>
      <c r="E150" s="199"/>
      <c r="F150" s="199"/>
      <c r="G150" s="197"/>
      <c r="H150" s="197"/>
      <c r="I150" s="197"/>
      <c r="J150" s="197"/>
      <c r="K150" s="183"/>
      <c r="L150" s="182"/>
      <c r="M150" s="182"/>
      <c r="N150" s="182"/>
      <c r="O150" s="182"/>
      <c r="P150" s="182"/>
      <c r="Q150" s="182"/>
      <c r="R150" s="182"/>
      <c r="S150" s="182"/>
      <c r="T150" s="182"/>
    </row>
    <row r="151" spans="1:20" ht="13.5" customHeight="1">
      <c r="A151" s="182"/>
      <c r="B151" s="197"/>
      <c r="C151" s="198"/>
      <c r="D151" s="197"/>
      <c r="E151" s="199"/>
      <c r="F151" s="199"/>
      <c r="G151" s="197"/>
      <c r="H151" s="197"/>
      <c r="I151" s="197"/>
      <c r="J151" s="197"/>
      <c r="K151" s="183"/>
      <c r="L151" s="182"/>
      <c r="M151" s="182"/>
      <c r="N151" s="182"/>
      <c r="O151" s="182"/>
      <c r="P151" s="182"/>
      <c r="Q151" s="182"/>
      <c r="R151" s="182"/>
      <c r="S151" s="182"/>
      <c r="T151" s="182"/>
    </row>
    <row r="152" spans="1:20" ht="13.5" customHeight="1">
      <c r="A152" s="182"/>
      <c r="B152" s="197"/>
      <c r="C152" s="198"/>
      <c r="D152" s="197"/>
      <c r="E152" s="199"/>
      <c r="F152" s="199"/>
      <c r="G152" s="197"/>
      <c r="H152" s="197"/>
      <c r="I152" s="197"/>
      <c r="J152" s="197"/>
      <c r="K152" s="183"/>
      <c r="L152" s="182"/>
      <c r="M152" s="182"/>
      <c r="N152" s="182"/>
      <c r="O152" s="182"/>
      <c r="P152" s="182"/>
      <c r="Q152" s="182"/>
      <c r="R152" s="182"/>
      <c r="S152" s="182"/>
      <c r="T152" s="182"/>
    </row>
    <row r="153" spans="1:20" ht="13.5" customHeight="1">
      <c r="A153" s="182"/>
      <c r="B153" s="197"/>
      <c r="C153" s="198"/>
      <c r="D153" s="197"/>
      <c r="E153" s="199"/>
      <c r="F153" s="199"/>
      <c r="G153" s="197"/>
      <c r="H153" s="197"/>
      <c r="I153" s="197"/>
      <c r="J153" s="197"/>
      <c r="K153" s="183"/>
      <c r="L153" s="182"/>
      <c r="M153" s="182"/>
      <c r="N153" s="182"/>
      <c r="O153" s="182"/>
      <c r="P153" s="182"/>
      <c r="Q153" s="182"/>
      <c r="R153" s="182"/>
      <c r="S153" s="182"/>
      <c r="T153" s="182"/>
    </row>
    <row r="154" spans="1:20" ht="13.5" customHeight="1">
      <c r="A154" s="182"/>
      <c r="B154" s="197"/>
      <c r="C154" s="198"/>
      <c r="D154" s="197"/>
      <c r="E154" s="199"/>
      <c r="F154" s="199"/>
      <c r="G154" s="197"/>
      <c r="H154" s="197"/>
      <c r="I154" s="197"/>
      <c r="J154" s="197"/>
      <c r="K154" s="183"/>
      <c r="L154" s="182"/>
      <c r="M154" s="182"/>
      <c r="N154" s="182"/>
      <c r="O154" s="182"/>
      <c r="P154" s="182"/>
      <c r="Q154" s="182"/>
      <c r="R154" s="182"/>
      <c r="S154" s="182"/>
      <c r="T154" s="182"/>
    </row>
    <row r="155" spans="1:20" ht="13.5" customHeight="1">
      <c r="A155" s="182"/>
      <c r="B155" s="197"/>
      <c r="C155" s="198"/>
      <c r="D155" s="197"/>
      <c r="E155" s="199"/>
      <c r="F155" s="199"/>
      <c r="G155" s="197"/>
      <c r="H155" s="197"/>
      <c r="I155" s="197"/>
      <c r="J155" s="197"/>
      <c r="K155" s="183"/>
      <c r="L155" s="182"/>
      <c r="M155" s="182"/>
      <c r="N155" s="182"/>
      <c r="O155" s="182"/>
      <c r="P155" s="182"/>
      <c r="Q155" s="182"/>
      <c r="R155" s="182"/>
      <c r="S155" s="182"/>
      <c r="T155" s="182"/>
    </row>
    <row r="156" spans="1:20" ht="13.5" customHeight="1">
      <c r="A156" s="182"/>
      <c r="B156" s="197"/>
      <c r="C156" s="198"/>
      <c r="D156" s="197"/>
      <c r="E156" s="199"/>
      <c r="F156" s="199"/>
      <c r="G156" s="197"/>
      <c r="H156" s="197"/>
      <c r="I156" s="197"/>
      <c r="J156" s="197"/>
      <c r="K156" s="183"/>
      <c r="L156" s="182"/>
      <c r="M156" s="182"/>
      <c r="N156" s="182"/>
      <c r="O156" s="182"/>
      <c r="P156" s="182"/>
      <c r="Q156" s="182"/>
      <c r="R156" s="182"/>
      <c r="S156" s="182"/>
      <c r="T156" s="182"/>
    </row>
    <row r="157" spans="1:20" ht="13.5" customHeight="1">
      <c r="A157" s="182"/>
      <c r="B157" s="197"/>
      <c r="C157" s="198"/>
      <c r="D157" s="197"/>
      <c r="E157" s="199"/>
      <c r="F157" s="199"/>
      <c r="G157" s="197"/>
      <c r="H157" s="197"/>
      <c r="I157" s="197"/>
      <c r="J157" s="197"/>
      <c r="K157" s="183"/>
      <c r="L157" s="182"/>
      <c r="M157" s="182"/>
      <c r="N157" s="182"/>
      <c r="O157" s="182"/>
      <c r="P157" s="182"/>
      <c r="Q157" s="182"/>
      <c r="R157" s="182"/>
      <c r="S157" s="182"/>
      <c r="T157" s="182"/>
    </row>
    <row r="158" spans="1:20" ht="13.5" customHeight="1">
      <c r="A158" s="182"/>
      <c r="B158" s="197"/>
      <c r="C158" s="198"/>
      <c r="D158" s="197"/>
      <c r="E158" s="199"/>
      <c r="F158" s="199"/>
      <c r="G158" s="197"/>
      <c r="H158" s="197"/>
      <c r="I158" s="197"/>
      <c r="J158" s="197"/>
      <c r="K158" s="183"/>
      <c r="L158" s="182"/>
      <c r="M158" s="182"/>
      <c r="N158" s="182"/>
      <c r="O158" s="182"/>
      <c r="P158" s="182"/>
      <c r="Q158" s="182"/>
      <c r="R158" s="182"/>
      <c r="S158" s="182"/>
      <c r="T158" s="182"/>
    </row>
    <row r="159" spans="1:20" ht="13.5" customHeight="1">
      <c r="A159" s="182"/>
      <c r="B159" s="197"/>
      <c r="C159" s="198"/>
      <c r="D159" s="197"/>
      <c r="E159" s="199"/>
      <c r="F159" s="199"/>
      <c r="G159" s="197"/>
      <c r="H159" s="197"/>
      <c r="I159" s="197"/>
      <c r="J159" s="197"/>
      <c r="K159" s="183"/>
      <c r="L159" s="182"/>
      <c r="M159" s="182"/>
      <c r="N159" s="182"/>
      <c r="O159" s="182"/>
      <c r="P159" s="182"/>
      <c r="Q159" s="182"/>
      <c r="R159" s="182"/>
      <c r="S159" s="182"/>
      <c r="T159" s="182"/>
    </row>
    <row r="160" spans="1:20" ht="13.5" customHeight="1">
      <c r="A160" s="182"/>
      <c r="B160" s="197"/>
      <c r="C160" s="198"/>
      <c r="D160" s="197"/>
      <c r="E160" s="199"/>
      <c r="F160" s="199"/>
      <c r="G160" s="197"/>
      <c r="H160" s="197"/>
      <c r="I160" s="197"/>
      <c r="J160" s="197"/>
      <c r="K160" s="183"/>
      <c r="L160" s="182"/>
      <c r="M160" s="182"/>
      <c r="N160" s="182"/>
      <c r="O160" s="182"/>
      <c r="P160" s="182"/>
      <c r="Q160" s="182"/>
      <c r="R160" s="182"/>
      <c r="S160" s="182"/>
      <c r="T160" s="182"/>
    </row>
    <row r="161" spans="1:20" ht="13.5" customHeight="1">
      <c r="A161" s="182"/>
      <c r="B161" s="197"/>
      <c r="C161" s="198"/>
      <c r="D161" s="197"/>
      <c r="E161" s="199"/>
      <c r="F161" s="199"/>
      <c r="G161" s="197"/>
      <c r="H161" s="197"/>
      <c r="I161" s="197"/>
      <c r="J161" s="197"/>
      <c r="K161" s="183"/>
      <c r="L161" s="182"/>
      <c r="M161" s="182"/>
      <c r="N161" s="182"/>
      <c r="O161" s="182"/>
      <c r="P161" s="182"/>
      <c r="Q161" s="182"/>
      <c r="R161" s="182"/>
      <c r="S161" s="182"/>
      <c r="T161" s="182"/>
    </row>
    <row r="162" spans="1:20" ht="13.5" customHeight="1">
      <c r="A162" s="182"/>
      <c r="B162" s="197"/>
      <c r="C162" s="198"/>
      <c r="D162" s="197"/>
      <c r="E162" s="199"/>
      <c r="F162" s="199"/>
      <c r="G162" s="197"/>
      <c r="H162" s="197"/>
      <c r="I162" s="197"/>
      <c r="J162" s="197"/>
      <c r="K162" s="183"/>
      <c r="L162" s="182"/>
      <c r="M162" s="182"/>
      <c r="N162" s="182"/>
      <c r="O162" s="182"/>
      <c r="P162" s="182"/>
      <c r="Q162" s="182"/>
      <c r="R162" s="182"/>
      <c r="S162" s="182"/>
      <c r="T162" s="182"/>
    </row>
    <row r="163" spans="1:20" ht="13.5" customHeight="1">
      <c r="A163" s="182"/>
      <c r="B163" s="197"/>
      <c r="C163" s="198"/>
      <c r="D163" s="197"/>
      <c r="E163" s="199"/>
      <c r="F163" s="199"/>
      <c r="G163" s="197"/>
      <c r="H163" s="197"/>
      <c r="I163" s="197"/>
      <c r="J163" s="197"/>
      <c r="K163" s="183"/>
      <c r="L163" s="182"/>
      <c r="M163" s="182"/>
      <c r="N163" s="182"/>
      <c r="O163" s="182"/>
      <c r="P163" s="182"/>
      <c r="Q163" s="182"/>
      <c r="R163" s="182"/>
      <c r="S163" s="182"/>
      <c r="T163" s="182"/>
    </row>
    <row r="164" spans="1:20" ht="13.5" customHeight="1">
      <c r="A164" s="182"/>
      <c r="B164" s="197"/>
      <c r="C164" s="198"/>
      <c r="D164" s="197"/>
      <c r="E164" s="199"/>
      <c r="F164" s="199"/>
      <c r="G164" s="197"/>
      <c r="H164" s="197"/>
      <c r="I164" s="197"/>
      <c r="J164" s="197"/>
      <c r="K164" s="183"/>
      <c r="L164" s="182"/>
      <c r="M164" s="182"/>
      <c r="N164" s="182"/>
      <c r="O164" s="182"/>
      <c r="P164" s="182"/>
      <c r="Q164" s="182"/>
      <c r="R164" s="182"/>
      <c r="S164" s="182"/>
      <c r="T164" s="182"/>
    </row>
    <row r="165" spans="1:20" ht="13.5" customHeight="1">
      <c r="A165" s="182"/>
      <c r="B165" s="197"/>
      <c r="C165" s="198"/>
      <c r="D165" s="197"/>
      <c r="E165" s="199"/>
      <c r="F165" s="199"/>
      <c r="G165" s="197"/>
      <c r="H165" s="197"/>
      <c r="I165" s="197"/>
      <c r="J165" s="197"/>
      <c r="K165" s="183"/>
      <c r="L165" s="182"/>
      <c r="M165" s="182"/>
      <c r="N165" s="182"/>
      <c r="O165" s="182"/>
      <c r="P165" s="182"/>
      <c r="Q165" s="182"/>
      <c r="R165" s="182"/>
      <c r="S165" s="182"/>
      <c r="T165" s="182"/>
    </row>
    <row r="166" spans="1:20" ht="13.5" customHeight="1">
      <c r="A166" s="182"/>
      <c r="B166" s="197"/>
      <c r="C166" s="198"/>
      <c r="D166" s="197"/>
      <c r="E166" s="199"/>
      <c r="F166" s="199"/>
      <c r="G166" s="197"/>
      <c r="H166" s="197"/>
      <c r="I166" s="197"/>
      <c r="J166" s="197"/>
      <c r="K166" s="183"/>
      <c r="L166" s="182"/>
      <c r="M166" s="182"/>
      <c r="N166" s="182"/>
      <c r="O166" s="182"/>
      <c r="P166" s="182"/>
      <c r="Q166" s="182"/>
      <c r="R166" s="182"/>
      <c r="S166" s="182"/>
      <c r="T166" s="182"/>
    </row>
    <row r="167" spans="1:20" ht="13.5" customHeight="1">
      <c r="A167" s="182"/>
      <c r="B167" s="197"/>
      <c r="C167" s="198"/>
      <c r="D167" s="197"/>
      <c r="E167" s="199"/>
      <c r="F167" s="199"/>
      <c r="G167" s="197"/>
      <c r="H167" s="197"/>
      <c r="I167" s="197"/>
      <c r="J167" s="197"/>
      <c r="K167" s="183"/>
      <c r="L167" s="182"/>
      <c r="M167" s="182"/>
      <c r="N167" s="182"/>
      <c r="O167" s="182"/>
      <c r="P167" s="182"/>
      <c r="Q167" s="182"/>
      <c r="R167" s="182"/>
      <c r="S167" s="182"/>
      <c r="T167" s="182"/>
    </row>
    <row r="168" spans="1:20" ht="13.5" customHeight="1">
      <c r="A168" s="182"/>
      <c r="B168" s="197"/>
      <c r="C168" s="198"/>
      <c r="D168" s="197"/>
      <c r="E168" s="199"/>
      <c r="F168" s="199"/>
      <c r="G168" s="197"/>
      <c r="H168" s="197"/>
      <c r="I168" s="197"/>
      <c r="J168" s="197"/>
      <c r="K168" s="183"/>
      <c r="L168" s="182"/>
      <c r="M168" s="182"/>
      <c r="N168" s="182"/>
      <c r="O168" s="182"/>
      <c r="P168" s="182"/>
      <c r="Q168" s="182"/>
      <c r="R168" s="182"/>
      <c r="S168" s="182"/>
      <c r="T168" s="182"/>
    </row>
    <row r="169" spans="1:20" ht="13.5" customHeight="1">
      <c r="A169" s="182"/>
      <c r="B169" s="197"/>
      <c r="C169" s="198"/>
      <c r="D169" s="197"/>
      <c r="E169" s="199"/>
      <c r="F169" s="199"/>
      <c r="G169" s="197"/>
      <c r="H169" s="197"/>
      <c r="I169" s="197"/>
      <c r="J169" s="197"/>
      <c r="K169" s="183"/>
      <c r="L169" s="182"/>
      <c r="M169" s="182"/>
      <c r="N169" s="182"/>
      <c r="O169" s="182"/>
      <c r="P169" s="182"/>
      <c r="Q169" s="182"/>
      <c r="R169" s="182"/>
      <c r="S169" s="182"/>
      <c r="T169" s="182"/>
    </row>
    <row r="170" spans="1:20" ht="13.5" customHeight="1">
      <c r="A170" s="182"/>
      <c r="B170" s="197"/>
      <c r="C170" s="198"/>
      <c r="D170" s="197"/>
      <c r="E170" s="199"/>
      <c r="F170" s="199"/>
      <c r="G170" s="197"/>
      <c r="H170" s="197"/>
      <c r="I170" s="197"/>
      <c r="J170" s="197"/>
      <c r="K170" s="183"/>
      <c r="L170" s="182"/>
      <c r="M170" s="182"/>
      <c r="N170" s="182"/>
      <c r="O170" s="182"/>
      <c r="P170" s="182"/>
      <c r="Q170" s="182"/>
      <c r="R170" s="182"/>
      <c r="S170" s="182"/>
      <c r="T170" s="182"/>
    </row>
    <row r="171" spans="1:20" ht="13.5" customHeight="1">
      <c r="A171" s="182"/>
      <c r="B171" s="197"/>
      <c r="C171" s="198"/>
      <c r="D171" s="197"/>
      <c r="E171" s="199"/>
      <c r="F171" s="199"/>
      <c r="G171" s="197"/>
      <c r="H171" s="197"/>
      <c r="I171" s="197"/>
      <c r="J171" s="197"/>
      <c r="K171" s="183"/>
      <c r="L171" s="182"/>
      <c r="M171" s="182"/>
      <c r="N171" s="182"/>
      <c r="O171" s="182"/>
      <c r="P171" s="182"/>
      <c r="Q171" s="182"/>
      <c r="R171" s="182"/>
      <c r="S171" s="182"/>
      <c r="T171" s="182"/>
    </row>
    <row r="172" spans="1:20" ht="13.5" customHeight="1">
      <c r="A172" s="182"/>
      <c r="B172" s="197"/>
      <c r="C172" s="198"/>
      <c r="D172" s="197"/>
      <c r="E172" s="199"/>
      <c r="F172" s="199"/>
      <c r="G172" s="197"/>
      <c r="H172" s="197"/>
      <c r="I172" s="197"/>
      <c r="J172" s="197"/>
      <c r="K172" s="183"/>
      <c r="L172" s="182"/>
      <c r="M172" s="182"/>
      <c r="N172" s="182"/>
      <c r="O172" s="182"/>
      <c r="P172" s="182"/>
      <c r="Q172" s="182"/>
      <c r="R172" s="182"/>
      <c r="S172" s="182"/>
      <c r="T172" s="182"/>
    </row>
    <row r="173" spans="1:20" ht="13.5" customHeight="1">
      <c r="A173" s="182"/>
      <c r="B173" s="197"/>
      <c r="C173" s="198"/>
      <c r="D173" s="197"/>
      <c r="E173" s="199"/>
      <c r="F173" s="199"/>
      <c r="G173" s="197"/>
      <c r="H173" s="197"/>
      <c r="I173" s="197"/>
      <c r="J173" s="197"/>
      <c r="K173" s="183"/>
      <c r="L173" s="182"/>
      <c r="M173" s="182"/>
      <c r="N173" s="182"/>
      <c r="O173" s="182"/>
      <c r="P173" s="182"/>
      <c r="Q173" s="182"/>
      <c r="R173" s="182"/>
      <c r="S173" s="182"/>
      <c r="T173" s="182"/>
    </row>
    <row r="174" spans="1:20" ht="13.5" customHeight="1">
      <c r="A174" s="182"/>
      <c r="B174" s="197"/>
      <c r="C174" s="198"/>
      <c r="D174" s="197"/>
      <c r="E174" s="199"/>
      <c r="F174" s="199"/>
      <c r="G174" s="197"/>
      <c r="H174" s="197"/>
      <c r="I174" s="197"/>
      <c r="J174" s="197"/>
      <c r="K174" s="183"/>
      <c r="L174" s="182"/>
      <c r="M174" s="182"/>
      <c r="N174" s="182"/>
      <c r="O174" s="182"/>
      <c r="P174" s="182"/>
      <c r="Q174" s="182"/>
      <c r="R174" s="182"/>
      <c r="S174" s="182"/>
      <c r="T174" s="182"/>
    </row>
    <row r="175" spans="1:20" ht="13.5" customHeight="1">
      <c r="A175" s="182"/>
      <c r="B175" s="197"/>
      <c r="C175" s="198"/>
      <c r="D175" s="197"/>
      <c r="E175" s="199"/>
      <c r="F175" s="199"/>
      <c r="G175" s="197"/>
      <c r="H175" s="197"/>
      <c r="I175" s="197"/>
      <c r="J175" s="197"/>
      <c r="K175" s="183"/>
      <c r="L175" s="182"/>
      <c r="M175" s="182"/>
      <c r="N175" s="182"/>
      <c r="O175" s="182"/>
      <c r="P175" s="182"/>
      <c r="Q175" s="182"/>
      <c r="R175" s="182"/>
      <c r="S175" s="182"/>
      <c r="T175" s="182"/>
    </row>
    <row r="176" spans="1:20" ht="13.5" customHeight="1">
      <c r="A176" s="182"/>
      <c r="B176" s="197"/>
      <c r="C176" s="198"/>
      <c r="D176" s="197"/>
      <c r="E176" s="199"/>
      <c r="F176" s="199"/>
      <c r="G176" s="197"/>
      <c r="H176" s="197"/>
      <c r="I176" s="197"/>
      <c r="J176" s="197"/>
      <c r="K176" s="183"/>
      <c r="L176" s="182"/>
      <c r="M176" s="182"/>
      <c r="N176" s="182"/>
      <c r="O176" s="182"/>
      <c r="P176" s="182"/>
      <c r="Q176" s="182"/>
      <c r="R176" s="182"/>
      <c r="S176" s="182"/>
      <c r="T176" s="182"/>
    </row>
    <row r="177" spans="1:20" ht="13.5" customHeight="1">
      <c r="A177" s="182"/>
      <c r="B177" s="197"/>
      <c r="C177" s="198"/>
      <c r="D177" s="197"/>
      <c r="E177" s="199"/>
      <c r="F177" s="199"/>
      <c r="G177" s="197"/>
      <c r="H177" s="197"/>
      <c r="I177" s="197"/>
      <c r="J177" s="197"/>
      <c r="K177" s="183"/>
      <c r="L177" s="182"/>
      <c r="M177" s="182"/>
      <c r="N177" s="182"/>
      <c r="O177" s="182"/>
      <c r="P177" s="182"/>
      <c r="Q177" s="182"/>
      <c r="R177" s="182"/>
      <c r="S177" s="182"/>
      <c r="T177" s="182"/>
    </row>
    <row r="178" spans="1:20" ht="13.5" customHeight="1">
      <c r="A178" s="182"/>
      <c r="B178" s="197"/>
      <c r="C178" s="198"/>
      <c r="D178" s="197"/>
      <c r="E178" s="199"/>
      <c r="F178" s="199"/>
      <c r="G178" s="197"/>
      <c r="H178" s="197"/>
      <c r="I178" s="197"/>
      <c r="J178" s="197"/>
      <c r="K178" s="183"/>
      <c r="L178" s="182"/>
      <c r="M178" s="182"/>
      <c r="N178" s="182"/>
      <c r="O178" s="182"/>
      <c r="P178" s="182"/>
      <c r="Q178" s="182"/>
      <c r="R178" s="182"/>
      <c r="S178" s="182"/>
      <c r="T178" s="182"/>
    </row>
    <row r="179" spans="1:20" ht="13.5" customHeight="1">
      <c r="A179" s="182"/>
      <c r="B179" s="197"/>
      <c r="C179" s="198"/>
      <c r="D179" s="197"/>
      <c r="E179" s="199"/>
      <c r="F179" s="199"/>
      <c r="G179" s="197"/>
      <c r="H179" s="197"/>
      <c r="I179" s="197"/>
      <c r="J179" s="197"/>
      <c r="K179" s="183"/>
      <c r="L179" s="182"/>
      <c r="M179" s="182"/>
      <c r="N179" s="182"/>
      <c r="O179" s="182"/>
      <c r="P179" s="182"/>
      <c r="Q179" s="182"/>
      <c r="R179" s="182"/>
      <c r="S179" s="182"/>
      <c r="T179" s="182"/>
    </row>
    <row r="180" spans="1:20" ht="13.5" customHeight="1">
      <c r="A180" s="182"/>
      <c r="B180" s="197"/>
      <c r="C180" s="198"/>
      <c r="D180" s="197"/>
      <c r="E180" s="199"/>
      <c r="F180" s="199"/>
      <c r="G180" s="197"/>
      <c r="H180" s="197"/>
      <c r="I180" s="197"/>
      <c r="J180" s="197"/>
      <c r="K180" s="183"/>
      <c r="L180" s="182"/>
      <c r="M180" s="182"/>
      <c r="N180" s="182"/>
      <c r="O180" s="182"/>
      <c r="P180" s="182"/>
      <c r="Q180" s="182"/>
      <c r="R180" s="182"/>
      <c r="S180" s="182"/>
      <c r="T180" s="182"/>
    </row>
    <row r="181" spans="1:20" ht="13.5" customHeight="1">
      <c r="A181" s="182"/>
      <c r="B181" s="197"/>
      <c r="C181" s="198"/>
      <c r="D181" s="197"/>
      <c r="E181" s="199"/>
      <c r="F181" s="199"/>
      <c r="G181" s="197"/>
      <c r="H181" s="197"/>
      <c r="I181" s="197"/>
      <c r="J181" s="197"/>
      <c r="K181" s="183"/>
      <c r="L181" s="182"/>
      <c r="M181" s="182"/>
      <c r="N181" s="182"/>
      <c r="O181" s="182"/>
      <c r="P181" s="182"/>
      <c r="Q181" s="182"/>
      <c r="R181" s="182"/>
      <c r="S181" s="182"/>
      <c r="T181" s="182"/>
    </row>
    <row r="182" spans="1:20" ht="13.5" customHeight="1">
      <c r="A182" s="182"/>
      <c r="B182" s="197"/>
      <c r="C182" s="198"/>
      <c r="D182" s="197"/>
      <c r="E182" s="199"/>
      <c r="F182" s="199"/>
      <c r="G182" s="197"/>
      <c r="H182" s="197"/>
      <c r="I182" s="197"/>
      <c r="J182" s="197"/>
      <c r="K182" s="183"/>
      <c r="L182" s="182"/>
      <c r="M182" s="182"/>
      <c r="N182" s="182"/>
      <c r="O182" s="182"/>
      <c r="P182" s="182"/>
      <c r="Q182" s="182"/>
      <c r="R182" s="182"/>
      <c r="S182" s="182"/>
      <c r="T182" s="182"/>
    </row>
    <row r="183" spans="1:20" ht="13.5" customHeight="1">
      <c r="A183" s="182"/>
      <c r="B183" s="197"/>
      <c r="C183" s="198"/>
      <c r="D183" s="197"/>
      <c r="E183" s="199"/>
      <c r="F183" s="199"/>
      <c r="G183" s="197"/>
      <c r="H183" s="197"/>
      <c r="I183" s="197"/>
      <c r="J183" s="197"/>
      <c r="K183" s="183"/>
      <c r="L183" s="182"/>
      <c r="M183" s="182"/>
      <c r="N183" s="182"/>
      <c r="O183" s="182"/>
      <c r="P183" s="182"/>
      <c r="Q183" s="182"/>
      <c r="R183" s="182"/>
      <c r="S183" s="182"/>
      <c r="T183" s="182"/>
    </row>
    <row r="184" spans="1:20" ht="13.5" customHeight="1">
      <c r="A184" s="182"/>
      <c r="B184" s="197"/>
      <c r="C184" s="198"/>
      <c r="D184" s="197"/>
      <c r="E184" s="199"/>
      <c r="F184" s="199"/>
      <c r="G184" s="197"/>
      <c r="H184" s="197"/>
      <c r="I184" s="197"/>
      <c r="J184" s="197"/>
      <c r="K184" s="183"/>
      <c r="L184" s="182"/>
      <c r="M184" s="182"/>
      <c r="N184" s="182"/>
      <c r="O184" s="182"/>
      <c r="P184" s="182"/>
      <c r="Q184" s="182"/>
      <c r="R184" s="182"/>
      <c r="S184" s="182"/>
      <c r="T184" s="182"/>
    </row>
    <row r="185" spans="1:20" ht="13.5" customHeight="1">
      <c r="A185" s="182"/>
      <c r="B185" s="197"/>
      <c r="C185" s="198"/>
      <c r="D185" s="197"/>
      <c r="E185" s="199"/>
      <c r="F185" s="199"/>
      <c r="G185" s="197"/>
      <c r="H185" s="197"/>
      <c r="I185" s="197"/>
      <c r="J185" s="197"/>
      <c r="K185" s="183"/>
      <c r="L185" s="182"/>
      <c r="M185" s="182"/>
      <c r="N185" s="182"/>
      <c r="O185" s="182"/>
      <c r="P185" s="182"/>
      <c r="Q185" s="182"/>
      <c r="R185" s="182"/>
      <c r="S185" s="182"/>
      <c r="T185" s="182"/>
    </row>
    <row r="186" spans="1:20" ht="13.5" customHeight="1">
      <c r="A186" s="182"/>
      <c r="B186" s="197"/>
      <c r="C186" s="198"/>
      <c r="D186" s="197"/>
      <c r="E186" s="199"/>
      <c r="F186" s="199"/>
      <c r="G186" s="197"/>
      <c r="H186" s="197"/>
      <c r="I186" s="197"/>
      <c r="J186" s="197"/>
      <c r="K186" s="183"/>
      <c r="L186" s="182"/>
      <c r="M186" s="182"/>
      <c r="N186" s="182"/>
      <c r="O186" s="182"/>
      <c r="P186" s="182"/>
      <c r="Q186" s="182"/>
      <c r="R186" s="182"/>
      <c r="S186" s="182"/>
      <c r="T186" s="182"/>
    </row>
    <row r="187" spans="1:20" ht="13.5" customHeight="1">
      <c r="A187" s="182"/>
      <c r="B187" s="197"/>
      <c r="C187" s="198"/>
      <c r="D187" s="197"/>
      <c r="E187" s="199"/>
      <c r="F187" s="199"/>
      <c r="G187" s="197"/>
      <c r="H187" s="197"/>
      <c r="I187" s="197"/>
      <c r="J187" s="197"/>
      <c r="K187" s="183"/>
      <c r="L187" s="182"/>
      <c r="M187" s="182"/>
      <c r="N187" s="182"/>
      <c r="O187" s="182"/>
      <c r="P187" s="182"/>
      <c r="Q187" s="182"/>
      <c r="R187" s="182"/>
      <c r="S187" s="182"/>
      <c r="T187" s="182"/>
    </row>
    <row r="188" spans="1:20" ht="13.5" customHeight="1">
      <c r="A188" s="182"/>
      <c r="B188" s="197"/>
      <c r="C188" s="198"/>
      <c r="D188" s="197"/>
      <c r="E188" s="199"/>
      <c r="F188" s="199"/>
      <c r="G188" s="197"/>
      <c r="H188" s="197"/>
      <c r="I188" s="197"/>
      <c r="J188" s="197"/>
      <c r="K188" s="183"/>
      <c r="L188" s="182"/>
      <c r="M188" s="182"/>
      <c r="N188" s="182"/>
      <c r="O188" s="182"/>
      <c r="P188" s="182"/>
      <c r="Q188" s="182"/>
      <c r="R188" s="182"/>
      <c r="S188" s="182"/>
      <c r="T188" s="182"/>
    </row>
    <row r="189" spans="1:20" ht="13.5" customHeight="1">
      <c r="A189" s="182"/>
      <c r="B189" s="197"/>
      <c r="C189" s="198"/>
      <c r="D189" s="197"/>
      <c r="E189" s="199"/>
      <c r="F189" s="199"/>
      <c r="G189" s="197"/>
      <c r="H189" s="197"/>
      <c r="I189" s="197"/>
      <c r="J189" s="197"/>
      <c r="K189" s="183"/>
      <c r="L189" s="182"/>
      <c r="M189" s="182"/>
      <c r="N189" s="182"/>
      <c r="O189" s="182"/>
      <c r="P189" s="182"/>
      <c r="Q189" s="182"/>
      <c r="R189" s="182"/>
      <c r="S189" s="182"/>
      <c r="T189" s="182"/>
    </row>
    <row r="190" spans="1:20" ht="13.5" customHeight="1">
      <c r="A190" s="182"/>
      <c r="B190" s="197"/>
      <c r="C190" s="198"/>
      <c r="D190" s="197"/>
      <c r="E190" s="199"/>
      <c r="F190" s="199"/>
      <c r="G190" s="197"/>
      <c r="H190" s="197"/>
      <c r="I190" s="197"/>
      <c r="J190" s="197"/>
      <c r="K190" s="183"/>
      <c r="L190" s="182"/>
      <c r="M190" s="182"/>
      <c r="N190" s="182"/>
      <c r="O190" s="182"/>
      <c r="P190" s="182"/>
      <c r="Q190" s="182"/>
      <c r="R190" s="182"/>
      <c r="S190" s="182"/>
      <c r="T190" s="182"/>
    </row>
    <row r="191" spans="1:20" ht="13.5" customHeight="1">
      <c r="A191" s="182"/>
      <c r="B191" s="197"/>
      <c r="C191" s="198"/>
      <c r="D191" s="197"/>
      <c r="E191" s="199"/>
      <c r="F191" s="199"/>
      <c r="G191" s="197"/>
      <c r="H191" s="197"/>
      <c r="I191" s="197"/>
      <c r="J191" s="197"/>
      <c r="K191" s="183"/>
      <c r="L191" s="182"/>
      <c r="M191" s="182"/>
      <c r="N191" s="182"/>
      <c r="O191" s="182"/>
      <c r="P191" s="182"/>
      <c r="Q191" s="182"/>
      <c r="R191" s="182"/>
      <c r="S191" s="182"/>
      <c r="T191" s="182"/>
    </row>
    <row r="192" spans="1:20" ht="13.5" customHeight="1">
      <c r="A192" s="182"/>
      <c r="B192" s="197"/>
      <c r="C192" s="198"/>
      <c r="D192" s="197"/>
      <c r="E192" s="199"/>
      <c r="F192" s="199"/>
      <c r="G192" s="197"/>
      <c r="H192" s="197"/>
      <c r="I192" s="197"/>
      <c r="J192" s="197"/>
      <c r="K192" s="183"/>
      <c r="L192" s="182"/>
      <c r="M192" s="182"/>
      <c r="N192" s="182"/>
      <c r="O192" s="182"/>
      <c r="P192" s="182"/>
      <c r="Q192" s="182"/>
      <c r="R192" s="182"/>
      <c r="S192" s="182"/>
      <c r="T192" s="182"/>
    </row>
    <row r="193" spans="1:20" ht="13.5" customHeight="1">
      <c r="A193" s="182"/>
      <c r="B193" s="197"/>
      <c r="C193" s="198"/>
      <c r="D193" s="197"/>
      <c r="E193" s="199"/>
      <c r="F193" s="199"/>
      <c r="G193" s="197"/>
      <c r="H193" s="197"/>
      <c r="I193" s="197"/>
      <c r="J193" s="197"/>
      <c r="K193" s="183"/>
      <c r="L193" s="182"/>
      <c r="M193" s="182"/>
      <c r="N193" s="182"/>
      <c r="O193" s="182"/>
      <c r="P193" s="182"/>
      <c r="Q193" s="182"/>
      <c r="R193" s="182"/>
      <c r="S193" s="182"/>
      <c r="T193" s="182"/>
    </row>
    <row r="194" spans="1:20" ht="13.5" customHeight="1">
      <c r="A194" s="182"/>
      <c r="B194" s="197"/>
      <c r="C194" s="198"/>
      <c r="D194" s="197"/>
      <c r="E194" s="199"/>
      <c r="F194" s="199"/>
      <c r="G194" s="197"/>
      <c r="H194" s="197"/>
      <c r="I194" s="197"/>
      <c r="J194" s="197"/>
      <c r="K194" s="183"/>
      <c r="L194" s="182"/>
      <c r="M194" s="182"/>
      <c r="N194" s="182"/>
      <c r="O194" s="182"/>
      <c r="P194" s="182"/>
      <c r="Q194" s="182"/>
      <c r="R194" s="182"/>
      <c r="S194" s="182"/>
      <c r="T194" s="182"/>
    </row>
    <row r="195" spans="1:20" ht="13.5" customHeight="1">
      <c r="A195" s="182"/>
      <c r="B195" s="197"/>
      <c r="C195" s="198"/>
      <c r="D195" s="197"/>
      <c r="E195" s="199"/>
      <c r="F195" s="199"/>
      <c r="G195" s="197"/>
      <c r="H195" s="197"/>
      <c r="I195" s="197"/>
      <c r="J195" s="197"/>
      <c r="K195" s="183"/>
      <c r="L195" s="182"/>
      <c r="M195" s="182"/>
      <c r="N195" s="182"/>
      <c r="O195" s="182"/>
      <c r="P195" s="182"/>
      <c r="Q195" s="182"/>
      <c r="R195" s="182"/>
      <c r="S195" s="182"/>
      <c r="T195" s="182"/>
    </row>
    <row r="196" spans="1:20" ht="13.5" customHeight="1">
      <c r="A196" s="182"/>
      <c r="B196" s="197"/>
      <c r="C196" s="198"/>
      <c r="D196" s="197"/>
      <c r="E196" s="199"/>
      <c r="F196" s="199"/>
      <c r="G196" s="197"/>
      <c r="H196" s="197"/>
      <c r="I196" s="197"/>
      <c r="J196" s="197"/>
      <c r="K196" s="183"/>
      <c r="L196" s="182"/>
      <c r="M196" s="182"/>
      <c r="N196" s="182"/>
      <c r="O196" s="182"/>
      <c r="P196" s="182"/>
      <c r="Q196" s="182"/>
      <c r="R196" s="182"/>
      <c r="S196" s="182"/>
      <c r="T196" s="182"/>
    </row>
    <row r="197" spans="1:20" ht="13.5" customHeight="1">
      <c r="A197" s="182"/>
      <c r="B197" s="197"/>
      <c r="C197" s="198"/>
      <c r="D197" s="197"/>
      <c r="E197" s="199"/>
      <c r="F197" s="199"/>
      <c r="G197" s="197"/>
      <c r="H197" s="197"/>
      <c r="I197" s="197"/>
      <c r="J197" s="197"/>
      <c r="K197" s="183"/>
      <c r="L197" s="182"/>
      <c r="M197" s="182"/>
      <c r="N197" s="182"/>
      <c r="O197" s="182"/>
      <c r="P197" s="182"/>
      <c r="Q197" s="182"/>
      <c r="R197" s="182"/>
      <c r="S197" s="182"/>
      <c r="T197" s="182"/>
    </row>
    <row r="198" spans="1:20" ht="13.5" customHeight="1">
      <c r="A198" s="182"/>
      <c r="B198" s="197"/>
      <c r="C198" s="198"/>
      <c r="D198" s="197"/>
      <c r="E198" s="199"/>
      <c r="F198" s="199"/>
      <c r="G198" s="197"/>
      <c r="H198" s="197"/>
      <c r="I198" s="197"/>
      <c r="J198" s="197"/>
      <c r="K198" s="183"/>
      <c r="L198" s="182"/>
      <c r="M198" s="182"/>
      <c r="N198" s="182"/>
      <c r="O198" s="182"/>
      <c r="P198" s="182"/>
      <c r="Q198" s="182"/>
      <c r="R198" s="182"/>
      <c r="S198" s="182"/>
      <c r="T198" s="182"/>
    </row>
    <row r="199" spans="1:20" ht="13.5" customHeight="1">
      <c r="A199" s="182"/>
      <c r="B199" s="197"/>
      <c r="C199" s="198"/>
      <c r="D199" s="197"/>
      <c r="E199" s="199"/>
      <c r="F199" s="199"/>
      <c r="G199" s="197"/>
      <c r="H199" s="197"/>
      <c r="I199" s="197"/>
      <c r="J199" s="197"/>
      <c r="K199" s="183"/>
      <c r="L199" s="182"/>
      <c r="M199" s="182"/>
      <c r="N199" s="182"/>
      <c r="O199" s="182"/>
      <c r="P199" s="182"/>
      <c r="Q199" s="182"/>
      <c r="R199" s="182"/>
      <c r="S199" s="182"/>
      <c r="T199" s="182"/>
    </row>
    <row r="200" spans="1:20" ht="13.5" customHeight="1">
      <c r="A200" s="182"/>
      <c r="B200" s="197"/>
      <c r="C200" s="198"/>
      <c r="D200" s="197"/>
      <c r="E200" s="199"/>
      <c r="F200" s="199"/>
      <c r="G200" s="197"/>
      <c r="H200" s="197"/>
      <c r="I200" s="197"/>
      <c r="J200" s="197"/>
      <c r="K200" s="183"/>
      <c r="L200" s="182"/>
      <c r="M200" s="182"/>
      <c r="N200" s="182"/>
      <c r="O200" s="182"/>
      <c r="P200" s="182"/>
      <c r="Q200" s="182"/>
      <c r="R200" s="182"/>
      <c r="S200" s="182"/>
      <c r="T200" s="182"/>
    </row>
    <row r="201" spans="1:20" ht="13.5" customHeight="1">
      <c r="A201" s="182"/>
      <c r="B201" s="197"/>
      <c r="C201" s="198"/>
      <c r="D201" s="197"/>
      <c r="E201" s="199"/>
      <c r="F201" s="199"/>
      <c r="G201" s="197"/>
      <c r="H201" s="197"/>
      <c r="I201" s="197"/>
      <c r="J201" s="197"/>
      <c r="K201" s="183"/>
      <c r="L201" s="182"/>
      <c r="M201" s="182"/>
      <c r="N201" s="182"/>
      <c r="O201" s="182"/>
      <c r="P201" s="182"/>
      <c r="Q201" s="182"/>
      <c r="R201" s="182"/>
      <c r="S201" s="182"/>
      <c r="T201" s="182"/>
    </row>
    <row r="202" spans="1:20" ht="13.5" customHeight="1">
      <c r="A202" s="182"/>
      <c r="B202" s="197"/>
      <c r="C202" s="198"/>
      <c r="D202" s="197"/>
      <c r="E202" s="199"/>
      <c r="F202" s="199"/>
      <c r="G202" s="197"/>
      <c r="H202" s="197"/>
      <c r="I202" s="197"/>
      <c r="J202" s="197"/>
      <c r="K202" s="183"/>
      <c r="L202" s="182"/>
      <c r="M202" s="182"/>
      <c r="N202" s="182"/>
      <c r="O202" s="182"/>
      <c r="P202" s="182"/>
      <c r="Q202" s="182"/>
      <c r="R202" s="182"/>
      <c r="S202" s="182"/>
      <c r="T202" s="182"/>
    </row>
    <row r="203" spans="1:20" ht="13.5" customHeight="1">
      <c r="A203" s="182"/>
      <c r="B203" s="197"/>
      <c r="C203" s="198"/>
      <c r="D203" s="197"/>
      <c r="E203" s="199"/>
      <c r="F203" s="199"/>
      <c r="G203" s="197"/>
      <c r="H203" s="197"/>
      <c r="I203" s="197"/>
      <c r="J203" s="197"/>
      <c r="K203" s="183"/>
      <c r="L203" s="182"/>
      <c r="M203" s="182"/>
      <c r="N203" s="182"/>
      <c r="O203" s="182"/>
      <c r="P203" s="182"/>
      <c r="Q203" s="182"/>
      <c r="R203" s="182"/>
      <c r="S203" s="182"/>
      <c r="T203" s="182"/>
    </row>
    <row r="204" spans="1:20" ht="13.5" customHeight="1">
      <c r="A204" s="182"/>
      <c r="B204" s="197"/>
      <c r="C204" s="198"/>
      <c r="D204" s="197"/>
      <c r="E204" s="199"/>
      <c r="F204" s="199"/>
      <c r="G204" s="197"/>
      <c r="H204" s="197"/>
      <c r="I204" s="197"/>
      <c r="J204" s="197"/>
      <c r="K204" s="183"/>
      <c r="L204" s="182"/>
      <c r="M204" s="182"/>
      <c r="N204" s="182"/>
      <c r="O204" s="182"/>
      <c r="P204" s="182"/>
      <c r="Q204" s="182"/>
      <c r="R204" s="182"/>
      <c r="S204" s="182"/>
      <c r="T204" s="182"/>
    </row>
    <row r="205" spans="1:20" ht="13.5" customHeight="1">
      <c r="A205" s="182"/>
      <c r="B205" s="197"/>
      <c r="C205" s="198"/>
      <c r="D205" s="197"/>
      <c r="E205" s="199"/>
      <c r="F205" s="199"/>
      <c r="G205" s="197"/>
      <c r="H205" s="197"/>
      <c r="I205" s="197"/>
      <c r="J205" s="197"/>
      <c r="K205" s="183"/>
      <c r="L205" s="182"/>
      <c r="M205" s="182"/>
      <c r="N205" s="182"/>
      <c r="O205" s="182"/>
      <c r="P205" s="182"/>
      <c r="Q205" s="182"/>
      <c r="R205" s="182"/>
      <c r="S205" s="182"/>
      <c r="T205" s="182"/>
    </row>
    <row r="206" spans="1:20" ht="13.5" customHeight="1">
      <c r="A206" s="182"/>
      <c r="B206" s="197"/>
      <c r="C206" s="198"/>
      <c r="D206" s="197"/>
      <c r="E206" s="199"/>
      <c r="F206" s="199"/>
      <c r="G206" s="197"/>
      <c r="H206" s="197"/>
      <c r="I206" s="197"/>
      <c r="J206" s="197"/>
      <c r="K206" s="183"/>
      <c r="L206" s="182"/>
      <c r="M206" s="182"/>
      <c r="N206" s="182"/>
      <c r="O206" s="182"/>
      <c r="P206" s="182"/>
      <c r="Q206" s="182"/>
      <c r="R206" s="182"/>
      <c r="S206" s="182"/>
      <c r="T206" s="182"/>
    </row>
    <row r="207" spans="1:20" ht="13.5" customHeight="1">
      <c r="A207" s="182"/>
      <c r="B207" s="197"/>
      <c r="C207" s="198"/>
      <c r="D207" s="197"/>
      <c r="E207" s="199"/>
      <c r="F207" s="199"/>
      <c r="G207" s="197"/>
      <c r="H207" s="197"/>
      <c r="I207" s="197"/>
      <c r="J207" s="197"/>
      <c r="K207" s="183"/>
      <c r="L207" s="182"/>
      <c r="M207" s="182"/>
      <c r="N207" s="182"/>
      <c r="O207" s="182"/>
      <c r="P207" s="182"/>
      <c r="Q207" s="182"/>
      <c r="R207" s="182"/>
      <c r="S207" s="182"/>
      <c r="T207" s="182"/>
    </row>
    <row r="208" spans="1:20" ht="13.5" customHeight="1">
      <c r="A208" s="182"/>
      <c r="B208" s="197"/>
      <c r="C208" s="198"/>
      <c r="D208" s="197"/>
      <c r="E208" s="199"/>
      <c r="F208" s="199"/>
      <c r="G208" s="197"/>
      <c r="H208" s="197"/>
      <c r="I208" s="197"/>
      <c r="J208" s="197"/>
      <c r="K208" s="183"/>
      <c r="L208" s="182"/>
      <c r="M208" s="182"/>
      <c r="N208" s="182"/>
      <c r="O208" s="182"/>
      <c r="P208" s="182"/>
      <c r="Q208" s="182"/>
      <c r="R208" s="182"/>
      <c r="S208" s="182"/>
      <c r="T208" s="182"/>
    </row>
    <row r="209" spans="1:20" ht="13.5" customHeight="1">
      <c r="A209" s="182"/>
      <c r="B209" s="197"/>
      <c r="C209" s="198"/>
      <c r="D209" s="197"/>
      <c r="E209" s="199"/>
      <c r="F209" s="199"/>
      <c r="G209" s="197"/>
      <c r="H209" s="197"/>
      <c r="I209" s="197"/>
      <c r="J209" s="197"/>
      <c r="K209" s="183"/>
      <c r="L209" s="182"/>
      <c r="M209" s="182"/>
      <c r="N209" s="182"/>
      <c r="O209" s="182"/>
      <c r="P209" s="182"/>
      <c r="Q209" s="182"/>
      <c r="R209" s="182"/>
      <c r="S209" s="182"/>
      <c r="T209" s="182"/>
    </row>
    <row r="210" spans="1:20" ht="13.5" customHeight="1">
      <c r="A210" s="182"/>
      <c r="B210" s="197"/>
      <c r="C210" s="198"/>
      <c r="D210" s="197"/>
      <c r="E210" s="199"/>
      <c r="F210" s="199"/>
      <c r="G210" s="197"/>
      <c r="H210" s="197"/>
      <c r="I210" s="197"/>
      <c r="J210" s="197"/>
      <c r="K210" s="183"/>
      <c r="L210" s="182"/>
      <c r="M210" s="182"/>
      <c r="N210" s="182"/>
      <c r="O210" s="182"/>
      <c r="P210" s="182"/>
      <c r="Q210" s="182"/>
      <c r="R210" s="182"/>
      <c r="S210" s="182"/>
      <c r="T210" s="182"/>
    </row>
    <row r="211" spans="1:20" ht="13.5" customHeight="1">
      <c r="A211" s="182"/>
      <c r="B211" s="197"/>
      <c r="C211" s="198"/>
      <c r="D211" s="197"/>
      <c r="E211" s="199"/>
      <c r="F211" s="199"/>
      <c r="G211" s="197"/>
      <c r="H211" s="197"/>
      <c r="I211" s="197"/>
      <c r="J211" s="197"/>
      <c r="K211" s="183"/>
      <c r="L211" s="182"/>
      <c r="M211" s="182"/>
      <c r="N211" s="182"/>
      <c r="O211" s="182"/>
      <c r="P211" s="182"/>
      <c r="Q211" s="182"/>
      <c r="R211" s="182"/>
      <c r="S211" s="182"/>
      <c r="T211" s="182"/>
    </row>
    <row r="212" spans="1:20" ht="13.5" customHeight="1">
      <c r="A212" s="182"/>
      <c r="B212" s="197"/>
      <c r="C212" s="198"/>
      <c r="D212" s="197"/>
      <c r="E212" s="199"/>
      <c r="F212" s="199"/>
      <c r="G212" s="197"/>
      <c r="H212" s="197"/>
      <c r="I212" s="197"/>
      <c r="J212" s="197"/>
      <c r="K212" s="183"/>
      <c r="L212" s="182"/>
      <c r="M212" s="182"/>
      <c r="N212" s="182"/>
      <c r="O212" s="182"/>
      <c r="P212" s="182"/>
      <c r="Q212" s="182"/>
      <c r="R212" s="182"/>
      <c r="S212" s="182"/>
      <c r="T212" s="182"/>
    </row>
    <row r="213" spans="1:20" ht="13.5" customHeight="1">
      <c r="A213" s="182"/>
      <c r="B213" s="197"/>
      <c r="C213" s="198"/>
      <c r="D213" s="197"/>
      <c r="E213" s="199"/>
      <c r="F213" s="199"/>
      <c r="G213" s="197"/>
      <c r="H213" s="197"/>
      <c r="I213" s="197"/>
      <c r="J213" s="197"/>
      <c r="K213" s="183"/>
      <c r="L213" s="182"/>
      <c r="M213" s="182"/>
      <c r="N213" s="182"/>
      <c r="O213" s="182"/>
      <c r="P213" s="182"/>
      <c r="Q213" s="182"/>
      <c r="R213" s="182"/>
      <c r="S213" s="182"/>
      <c r="T213" s="182"/>
    </row>
    <row r="214" spans="1:20" ht="13.5" customHeight="1">
      <c r="A214" s="182"/>
      <c r="B214" s="197"/>
      <c r="C214" s="198"/>
      <c r="D214" s="197"/>
      <c r="E214" s="199"/>
      <c r="F214" s="199"/>
      <c r="G214" s="197"/>
      <c r="H214" s="197"/>
      <c r="I214" s="197"/>
      <c r="J214" s="197"/>
      <c r="K214" s="183"/>
      <c r="L214" s="182"/>
      <c r="M214" s="182"/>
      <c r="N214" s="182"/>
      <c r="O214" s="182"/>
      <c r="P214" s="182"/>
      <c r="Q214" s="182"/>
      <c r="R214" s="182"/>
      <c r="S214" s="182"/>
      <c r="T214" s="182"/>
    </row>
    <row r="215" spans="1:20" ht="13.5" customHeight="1">
      <c r="A215" s="182"/>
      <c r="B215" s="197"/>
      <c r="C215" s="198"/>
      <c r="D215" s="197"/>
      <c r="E215" s="199"/>
      <c r="F215" s="199"/>
      <c r="G215" s="197"/>
      <c r="H215" s="197"/>
      <c r="I215" s="197"/>
      <c r="J215" s="197"/>
      <c r="K215" s="183"/>
      <c r="L215" s="182"/>
      <c r="M215" s="182"/>
      <c r="N215" s="182"/>
      <c r="O215" s="182"/>
      <c r="P215" s="182"/>
      <c r="Q215" s="182"/>
      <c r="R215" s="182"/>
      <c r="S215" s="182"/>
      <c r="T215" s="182"/>
    </row>
    <row r="216" spans="1:20" ht="13.5" customHeight="1">
      <c r="A216" s="182"/>
      <c r="B216" s="197"/>
      <c r="C216" s="198"/>
      <c r="D216" s="197"/>
      <c r="E216" s="199"/>
      <c r="F216" s="199"/>
      <c r="G216" s="197"/>
      <c r="H216" s="197"/>
      <c r="I216" s="197"/>
      <c r="J216" s="197"/>
      <c r="K216" s="183"/>
      <c r="L216" s="182"/>
      <c r="M216" s="182"/>
      <c r="N216" s="182"/>
      <c r="O216" s="182"/>
      <c r="P216" s="182"/>
      <c r="Q216" s="182"/>
      <c r="R216" s="182"/>
      <c r="S216" s="182"/>
      <c r="T216" s="182"/>
    </row>
    <row r="217" spans="1:20" ht="13.5" customHeight="1">
      <c r="A217" s="182"/>
      <c r="B217" s="197"/>
      <c r="C217" s="198"/>
      <c r="D217" s="197"/>
      <c r="E217" s="199"/>
      <c r="F217" s="199"/>
      <c r="G217" s="197"/>
      <c r="H217" s="197"/>
      <c r="I217" s="197"/>
      <c r="J217" s="197"/>
      <c r="K217" s="183"/>
      <c r="L217" s="182"/>
      <c r="M217" s="182"/>
      <c r="N217" s="182"/>
      <c r="O217" s="182"/>
      <c r="P217" s="182"/>
      <c r="Q217" s="182"/>
      <c r="R217" s="182"/>
      <c r="S217" s="182"/>
      <c r="T217" s="182"/>
    </row>
    <row r="218" spans="1:20" ht="13.5" customHeight="1">
      <c r="A218" s="182"/>
      <c r="B218" s="197"/>
      <c r="C218" s="198"/>
      <c r="D218" s="197"/>
      <c r="E218" s="199"/>
      <c r="F218" s="199"/>
      <c r="G218" s="197"/>
      <c r="H218" s="197"/>
      <c r="I218" s="197"/>
      <c r="J218" s="197"/>
      <c r="K218" s="183"/>
      <c r="L218" s="182"/>
      <c r="M218" s="182"/>
      <c r="N218" s="182"/>
      <c r="O218" s="182"/>
      <c r="P218" s="182"/>
      <c r="Q218" s="182"/>
      <c r="R218" s="182"/>
      <c r="S218" s="182"/>
      <c r="T218" s="182"/>
    </row>
    <row r="219" spans="1:20" ht="13.5" customHeight="1">
      <c r="A219" s="182"/>
      <c r="B219" s="197"/>
      <c r="C219" s="198"/>
      <c r="D219" s="197"/>
      <c r="E219" s="199"/>
      <c r="F219" s="199"/>
      <c r="G219" s="197"/>
      <c r="H219" s="197"/>
      <c r="I219" s="197"/>
      <c r="J219" s="197"/>
      <c r="K219" s="183"/>
      <c r="L219" s="182"/>
      <c r="M219" s="182"/>
      <c r="N219" s="182"/>
      <c r="O219" s="182"/>
      <c r="P219" s="182"/>
      <c r="Q219" s="182"/>
      <c r="R219" s="182"/>
      <c r="S219" s="182"/>
      <c r="T219" s="182"/>
    </row>
    <row r="220" spans="1:20" ht="13.5" customHeight="1">
      <c r="A220" s="182"/>
      <c r="B220" s="197"/>
      <c r="C220" s="198"/>
      <c r="D220" s="197"/>
      <c r="E220" s="199"/>
      <c r="F220" s="199"/>
      <c r="G220" s="197"/>
      <c r="H220" s="197"/>
      <c r="I220" s="197"/>
      <c r="J220" s="197"/>
      <c r="K220" s="183"/>
      <c r="L220" s="182"/>
      <c r="M220" s="182"/>
      <c r="N220" s="182"/>
      <c r="O220" s="182"/>
      <c r="P220" s="182"/>
      <c r="Q220" s="182"/>
      <c r="R220" s="182"/>
      <c r="S220" s="182"/>
      <c r="T220" s="182"/>
    </row>
    <row r="221" spans="1:20" ht="13.5" customHeight="1">
      <c r="A221" s="182"/>
      <c r="B221" s="197"/>
      <c r="C221" s="198"/>
      <c r="D221" s="197"/>
      <c r="E221" s="199"/>
      <c r="F221" s="199"/>
      <c r="G221" s="197"/>
      <c r="H221" s="197"/>
      <c r="I221" s="197"/>
      <c r="J221" s="197"/>
      <c r="K221" s="183"/>
      <c r="L221" s="182"/>
      <c r="M221" s="182"/>
      <c r="N221" s="182"/>
      <c r="O221" s="182"/>
      <c r="P221" s="182"/>
      <c r="Q221" s="182"/>
      <c r="R221" s="182"/>
      <c r="S221" s="182"/>
      <c r="T221" s="182"/>
    </row>
    <row r="222" spans="1:20" ht="13.5" customHeight="1">
      <c r="A222" s="182"/>
      <c r="B222" s="197"/>
      <c r="C222" s="198"/>
      <c r="D222" s="197"/>
      <c r="E222" s="199"/>
      <c r="F222" s="199"/>
      <c r="G222" s="197"/>
      <c r="H222" s="197"/>
      <c r="I222" s="197"/>
      <c r="J222" s="197"/>
      <c r="K222" s="183"/>
      <c r="L222" s="182"/>
      <c r="M222" s="182"/>
      <c r="N222" s="182"/>
      <c r="O222" s="182"/>
      <c r="P222" s="182"/>
      <c r="Q222" s="182"/>
      <c r="R222" s="182"/>
      <c r="S222" s="182"/>
      <c r="T222" s="182"/>
    </row>
    <row r="223" spans="1:20" ht="13.5" customHeight="1">
      <c r="A223" s="182"/>
      <c r="B223" s="197"/>
      <c r="C223" s="198"/>
      <c r="D223" s="197"/>
      <c r="E223" s="199"/>
      <c r="F223" s="199"/>
      <c r="G223" s="197"/>
      <c r="H223" s="197"/>
      <c r="I223" s="197"/>
      <c r="J223" s="197"/>
      <c r="K223" s="183"/>
      <c r="L223" s="182"/>
      <c r="M223" s="182"/>
      <c r="N223" s="182"/>
      <c r="O223" s="182"/>
      <c r="P223" s="182"/>
      <c r="Q223" s="182"/>
      <c r="R223" s="182"/>
      <c r="S223" s="182"/>
      <c r="T223" s="182"/>
    </row>
    <row r="224" spans="1:20" ht="13.5" customHeight="1">
      <c r="A224" s="182"/>
      <c r="B224" s="197"/>
      <c r="C224" s="198"/>
      <c r="D224" s="197"/>
      <c r="E224" s="199"/>
      <c r="F224" s="199"/>
      <c r="G224" s="197"/>
      <c r="H224" s="197"/>
      <c r="I224" s="197"/>
      <c r="J224" s="197"/>
      <c r="K224" s="183"/>
      <c r="L224" s="182"/>
      <c r="M224" s="182"/>
      <c r="N224" s="182"/>
      <c r="O224" s="182"/>
      <c r="P224" s="182"/>
      <c r="Q224" s="182"/>
      <c r="R224" s="182"/>
      <c r="S224" s="182"/>
      <c r="T224" s="182"/>
    </row>
    <row r="225" spans="1:20" ht="13.5" customHeight="1">
      <c r="A225" s="182"/>
      <c r="B225" s="197"/>
      <c r="C225" s="198"/>
      <c r="D225" s="197"/>
      <c r="E225" s="199"/>
      <c r="F225" s="199"/>
      <c r="G225" s="197"/>
      <c r="H225" s="197"/>
      <c r="I225" s="197"/>
      <c r="J225" s="197"/>
      <c r="K225" s="183"/>
      <c r="L225" s="182"/>
      <c r="M225" s="182"/>
      <c r="N225" s="182"/>
      <c r="O225" s="182"/>
      <c r="P225" s="182"/>
      <c r="Q225" s="182"/>
      <c r="R225" s="182"/>
      <c r="S225" s="182"/>
      <c r="T225" s="182"/>
    </row>
    <row r="226" spans="1:20" ht="13.5" customHeight="1">
      <c r="A226" s="182"/>
      <c r="B226" s="197"/>
      <c r="C226" s="198"/>
      <c r="D226" s="197"/>
      <c r="E226" s="199"/>
      <c r="F226" s="199"/>
      <c r="G226" s="197"/>
      <c r="H226" s="197"/>
      <c r="I226" s="197"/>
      <c r="J226" s="197"/>
      <c r="K226" s="183"/>
      <c r="L226" s="182"/>
      <c r="M226" s="182"/>
      <c r="N226" s="182"/>
      <c r="O226" s="182"/>
      <c r="P226" s="182"/>
      <c r="Q226" s="182"/>
      <c r="R226" s="182"/>
      <c r="S226" s="182"/>
      <c r="T226" s="182"/>
    </row>
    <row r="227" spans="1:20" ht="13.5" customHeight="1">
      <c r="A227" s="182"/>
      <c r="B227" s="197"/>
      <c r="C227" s="198"/>
      <c r="D227" s="197"/>
      <c r="E227" s="199"/>
      <c r="F227" s="199"/>
      <c r="G227" s="197"/>
      <c r="H227" s="197"/>
      <c r="I227" s="197"/>
      <c r="J227" s="197"/>
      <c r="K227" s="183"/>
      <c r="L227" s="182"/>
      <c r="M227" s="182"/>
      <c r="N227" s="182"/>
      <c r="O227" s="182"/>
      <c r="P227" s="182"/>
      <c r="Q227" s="182"/>
      <c r="R227" s="182"/>
      <c r="S227" s="182"/>
      <c r="T227" s="182"/>
    </row>
    <row r="228" spans="1:20" ht="13.5" customHeight="1">
      <c r="A228" s="182"/>
      <c r="B228" s="197"/>
      <c r="C228" s="198"/>
      <c r="D228" s="197"/>
      <c r="E228" s="199"/>
      <c r="F228" s="199"/>
      <c r="G228" s="197"/>
      <c r="H228" s="197"/>
      <c r="I228" s="197"/>
      <c r="J228" s="197"/>
      <c r="K228" s="183"/>
      <c r="L228" s="182"/>
      <c r="M228" s="182"/>
      <c r="N228" s="182"/>
      <c r="O228" s="182"/>
      <c r="P228" s="182"/>
      <c r="Q228" s="182"/>
      <c r="R228" s="182"/>
      <c r="S228" s="182"/>
      <c r="T228" s="182"/>
    </row>
    <row r="229" spans="1:20" ht="13.5" customHeight="1">
      <c r="A229" s="182"/>
      <c r="B229" s="197"/>
      <c r="C229" s="198"/>
      <c r="D229" s="197"/>
      <c r="E229" s="199"/>
      <c r="F229" s="199"/>
      <c r="G229" s="197"/>
      <c r="H229" s="197"/>
      <c r="I229" s="197"/>
      <c r="J229" s="197"/>
      <c r="K229" s="183"/>
      <c r="L229" s="182"/>
      <c r="M229" s="182"/>
      <c r="N229" s="182"/>
      <c r="O229" s="182"/>
      <c r="P229" s="182"/>
      <c r="Q229" s="182"/>
      <c r="R229" s="182"/>
      <c r="S229" s="182"/>
      <c r="T229" s="182"/>
    </row>
    <row r="230" spans="1:20" ht="13.5" customHeight="1">
      <c r="A230" s="182"/>
      <c r="B230" s="197"/>
      <c r="C230" s="198"/>
      <c r="D230" s="197"/>
      <c r="E230" s="199"/>
      <c r="F230" s="199"/>
      <c r="G230" s="197"/>
      <c r="H230" s="197"/>
      <c r="I230" s="197"/>
      <c r="J230" s="197"/>
      <c r="K230" s="183"/>
      <c r="L230" s="182"/>
      <c r="M230" s="182"/>
      <c r="N230" s="182"/>
      <c r="O230" s="182"/>
      <c r="P230" s="182"/>
      <c r="Q230" s="182"/>
      <c r="R230" s="182"/>
      <c r="S230" s="182"/>
      <c r="T230" s="182"/>
    </row>
    <row r="231" spans="1:20" ht="13.5" customHeight="1">
      <c r="A231" s="182"/>
      <c r="B231" s="197"/>
      <c r="C231" s="198"/>
      <c r="D231" s="197"/>
      <c r="E231" s="199"/>
      <c r="F231" s="199"/>
      <c r="G231" s="197"/>
      <c r="H231" s="197"/>
      <c r="I231" s="197"/>
      <c r="J231" s="197"/>
      <c r="K231" s="183"/>
      <c r="L231" s="182"/>
      <c r="M231" s="182"/>
      <c r="N231" s="182"/>
      <c r="O231" s="182"/>
      <c r="P231" s="182"/>
      <c r="Q231" s="182"/>
      <c r="R231" s="182"/>
      <c r="S231" s="182"/>
      <c r="T231" s="182"/>
    </row>
    <row r="232" spans="1:20" ht="13.5" customHeight="1">
      <c r="A232" s="182"/>
      <c r="B232" s="197"/>
      <c r="C232" s="198"/>
      <c r="D232" s="197"/>
      <c r="E232" s="199"/>
      <c r="F232" s="199"/>
      <c r="G232" s="197"/>
      <c r="H232" s="197"/>
      <c r="I232" s="197"/>
      <c r="J232" s="197"/>
      <c r="K232" s="183"/>
      <c r="L232" s="182"/>
      <c r="M232" s="182"/>
      <c r="N232" s="182"/>
      <c r="O232" s="182"/>
      <c r="P232" s="182"/>
      <c r="Q232" s="182"/>
      <c r="R232" s="182"/>
      <c r="S232" s="182"/>
      <c r="T232" s="182"/>
    </row>
    <row r="233" spans="1:20" ht="13.5" customHeight="1">
      <c r="A233" s="182"/>
      <c r="B233" s="197"/>
      <c r="C233" s="198"/>
      <c r="D233" s="197"/>
      <c r="E233" s="199"/>
      <c r="F233" s="199"/>
      <c r="G233" s="197"/>
      <c r="H233" s="197"/>
      <c r="I233" s="197"/>
      <c r="J233" s="197"/>
      <c r="K233" s="183"/>
      <c r="L233" s="182"/>
      <c r="M233" s="182"/>
      <c r="N233" s="182"/>
      <c r="O233" s="182"/>
      <c r="P233" s="182"/>
      <c r="Q233" s="182"/>
      <c r="R233" s="182"/>
      <c r="S233" s="182"/>
      <c r="T233" s="182"/>
    </row>
    <row r="234" spans="1:20" ht="13.5" customHeight="1">
      <c r="A234" s="182"/>
      <c r="B234" s="197"/>
      <c r="C234" s="198"/>
      <c r="D234" s="197"/>
      <c r="E234" s="199"/>
      <c r="F234" s="199"/>
      <c r="G234" s="197"/>
      <c r="H234" s="197"/>
      <c r="I234" s="197"/>
      <c r="J234" s="197"/>
      <c r="K234" s="183"/>
      <c r="L234" s="182"/>
      <c r="M234" s="182"/>
      <c r="N234" s="182"/>
      <c r="O234" s="182"/>
      <c r="P234" s="182"/>
      <c r="Q234" s="182"/>
      <c r="R234" s="182"/>
      <c r="S234" s="182"/>
      <c r="T234" s="182"/>
    </row>
    <row r="235" spans="1:20" ht="13.5" customHeight="1">
      <c r="A235" s="182"/>
      <c r="B235" s="197"/>
      <c r="C235" s="198"/>
      <c r="D235" s="197"/>
      <c r="E235" s="199"/>
      <c r="F235" s="199"/>
      <c r="G235" s="197"/>
      <c r="H235" s="197"/>
      <c r="I235" s="197"/>
      <c r="J235" s="197"/>
      <c r="K235" s="183"/>
      <c r="L235" s="182"/>
      <c r="M235" s="182"/>
      <c r="N235" s="182"/>
      <c r="O235" s="182"/>
      <c r="P235" s="182"/>
      <c r="Q235" s="182"/>
      <c r="R235" s="182"/>
      <c r="S235" s="182"/>
      <c r="T235" s="182"/>
    </row>
    <row r="236" spans="1:20" ht="13.5" customHeight="1">
      <c r="A236" s="182"/>
      <c r="B236" s="197"/>
      <c r="C236" s="198"/>
      <c r="D236" s="197"/>
      <c r="E236" s="199"/>
      <c r="F236" s="199"/>
      <c r="G236" s="197"/>
      <c r="H236" s="197"/>
      <c r="I236" s="197"/>
      <c r="J236" s="197"/>
      <c r="K236" s="183"/>
      <c r="L236" s="182"/>
      <c r="M236" s="182"/>
      <c r="N236" s="182"/>
      <c r="O236" s="182"/>
      <c r="P236" s="182"/>
      <c r="Q236" s="182"/>
      <c r="R236" s="182"/>
      <c r="S236" s="182"/>
      <c r="T236" s="182"/>
    </row>
    <row r="237" spans="1:20" ht="13.5" customHeight="1">
      <c r="A237" s="182"/>
      <c r="B237" s="197"/>
      <c r="C237" s="198"/>
      <c r="D237" s="197"/>
      <c r="E237" s="199"/>
      <c r="F237" s="199"/>
      <c r="G237" s="197"/>
      <c r="H237" s="197"/>
      <c r="I237" s="197"/>
      <c r="J237" s="197"/>
      <c r="K237" s="183"/>
      <c r="L237" s="182"/>
      <c r="M237" s="182"/>
      <c r="N237" s="182"/>
      <c r="O237" s="182"/>
      <c r="P237" s="182"/>
      <c r="Q237" s="182"/>
      <c r="R237" s="182"/>
      <c r="S237" s="182"/>
      <c r="T237" s="182"/>
    </row>
    <row r="238" spans="1:20" ht="13.5" customHeight="1">
      <c r="A238" s="182"/>
      <c r="B238" s="197"/>
      <c r="C238" s="198"/>
      <c r="D238" s="197"/>
      <c r="E238" s="199"/>
      <c r="F238" s="199"/>
      <c r="G238" s="197"/>
      <c r="H238" s="197"/>
      <c r="I238" s="197"/>
      <c r="J238" s="197"/>
      <c r="K238" s="183"/>
      <c r="L238" s="182"/>
      <c r="M238" s="182"/>
      <c r="N238" s="182"/>
      <c r="O238" s="182"/>
      <c r="P238" s="182"/>
      <c r="Q238" s="182"/>
      <c r="R238" s="182"/>
      <c r="S238" s="182"/>
      <c r="T238" s="182"/>
    </row>
    <row r="239" spans="1:20" ht="13.5" customHeight="1">
      <c r="A239" s="182"/>
      <c r="B239" s="197"/>
      <c r="C239" s="198"/>
      <c r="D239" s="197"/>
      <c r="E239" s="199"/>
      <c r="F239" s="199"/>
      <c r="G239" s="197"/>
      <c r="H239" s="197"/>
      <c r="I239" s="197"/>
      <c r="J239" s="197"/>
      <c r="K239" s="183"/>
      <c r="L239" s="182"/>
      <c r="M239" s="182"/>
      <c r="N239" s="182"/>
      <c r="O239" s="182"/>
      <c r="P239" s="182"/>
      <c r="Q239" s="182"/>
      <c r="R239" s="182"/>
      <c r="S239" s="182"/>
      <c r="T239" s="182"/>
    </row>
    <row r="240" spans="1:20" ht="13.5" customHeight="1">
      <c r="A240" s="182"/>
      <c r="B240" s="197"/>
      <c r="C240" s="198"/>
      <c r="D240" s="197"/>
      <c r="E240" s="199"/>
      <c r="F240" s="199"/>
      <c r="G240" s="197"/>
      <c r="H240" s="197"/>
      <c r="I240" s="197"/>
      <c r="J240" s="197"/>
      <c r="K240" s="183"/>
      <c r="L240" s="182"/>
      <c r="M240" s="182"/>
      <c r="N240" s="182"/>
      <c r="O240" s="182"/>
      <c r="P240" s="182"/>
      <c r="Q240" s="182"/>
      <c r="R240" s="182"/>
      <c r="S240" s="182"/>
      <c r="T240" s="182"/>
    </row>
    <row r="241" spans="1:20" ht="13.5" customHeight="1">
      <c r="A241" s="182"/>
      <c r="B241" s="197"/>
      <c r="C241" s="198"/>
      <c r="D241" s="197"/>
      <c r="E241" s="199"/>
      <c r="F241" s="199"/>
      <c r="G241" s="197"/>
      <c r="H241" s="197"/>
      <c r="I241" s="197"/>
      <c r="J241" s="197"/>
      <c r="K241" s="183"/>
      <c r="L241" s="182"/>
      <c r="M241" s="182"/>
      <c r="N241" s="182"/>
      <c r="O241" s="182"/>
      <c r="P241" s="182"/>
      <c r="Q241" s="182"/>
      <c r="R241" s="182"/>
      <c r="S241" s="182"/>
      <c r="T241" s="182"/>
    </row>
    <row r="242" spans="1:20" ht="13.5" customHeight="1">
      <c r="A242" s="182"/>
      <c r="B242" s="197"/>
      <c r="C242" s="198"/>
      <c r="D242" s="197"/>
      <c r="E242" s="199"/>
      <c r="F242" s="199"/>
      <c r="G242" s="197"/>
      <c r="H242" s="197"/>
      <c r="I242" s="197"/>
      <c r="J242" s="197"/>
      <c r="K242" s="183"/>
      <c r="L242" s="182"/>
      <c r="M242" s="182"/>
      <c r="N242" s="182"/>
      <c r="O242" s="182"/>
      <c r="P242" s="182"/>
      <c r="Q242" s="182"/>
      <c r="R242" s="182"/>
      <c r="S242" s="182"/>
      <c r="T242" s="182"/>
    </row>
    <row r="243" spans="1:20" ht="13.5" customHeight="1">
      <c r="A243" s="182"/>
      <c r="B243" s="197"/>
      <c r="C243" s="198"/>
      <c r="D243" s="197"/>
      <c r="E243" s="199"/>
      <c r="F243" s="199"/>
      <c r="G243" s="197"/>
      <c r="H243" s="197"/>
      <c r="I243" s="197"/>
      <c r="J243" s="197"/>
      <c r="K243" s="183"/>
      <c r="L243" s="182"/>
      <c r="M243" s="182"/>
      <c r="N243" s="182"/>
      <c r="O243" s="182"/>
      <c r="P243" s="182"/>
      <c r="Q243" s="182"/>
      <c r="R243" s="182"/>
      <c r="S243" s="182"/>
      <c r="T243" s="182"/>
    </row>
    <row r="244" spans="1:20" ht="13.5" customHeight="1">
      <c r="A244" s="182"/>
      <c r="B244" s="197"/>
      <c r="C244" s="198"/>
      <c r="D244" s="197"/>
      <c r="E244" s="199"/>
      <c r="F244" s="199"/>
      <c r="G244" s="197"/>
      <c r="H244" s="197"/>
      <c r="I244" s="197"/>
      <c r="J244" s="197"/>
      <c r="K244" s="183"/>
      <c r="L244" s="182"/>
      <c r="M244" s="182"/>
      <c r="N244" s="182"/>
      <c r="O244" s="182"/>
      <c r="P244" s="182"/>
      <c r="Q244" s="182"/>
      <c r="R244" s="182"/>
      <c r="S244" s="182"/>
      <c r="T244" s="182"/>
    </row>
    <row r="245" spans="1:20" ht="13.5" customHeight="1">
      <c r="A245" s="182"/>
      <c r="B245" s="197"/>
      <c r="C245" s="198"/>
      <c r="D245" s="197"/>
      <c r="E245" s="199"/>
      <c r="F245" s="199"/>
      <c r="G245" s="197"/>
      <c r="H245" s="197"/>
      <c r="I245" s="197"/>
      <c r="J245" s="197"/>
      <c r="K245" s="183"/>
      <c r="L245" s="182"/>
      <c r="M245" s="182"/>
      <c r="N245" s="182"/>
      <c r="O245" s="182"/>
      <c r="P245" s="182"/>
      <c r="Q245" s="182"/>
      <c r="R245" s="182"/>
      <c r="S245" s="182"/>
      <c r="T245" s="182"/>
    </row>
    <row r="246" spans="1:20" ht="13.5" customHeight="1">
      <c r="A246" s="182"/>
      <c r="B246" s="197"/>
      <c r="C246" s="198"/>
      <c r="D246" s="197"/>
      <c r="E246" s="199"/>
      <c r="F246" s="199"/>
      <c r="G246" s="197"/>
      <c r="H246" s="197"/>
      <c r="I246" s="197"/>
      <c r="J246" s="197"/>
      <c r="K246" s="183"/>
      <c r="L246" s="182"/>
      <c r="M246" s="182"/>
      <c r="N246" s="182"/>
      <c r="O246" s="182"/>
      <c r="P246" s="182"/>
      <c r="Q246" s="182"/>
      <c r="R246" s="182"/>
      <c r="S246" s="182"/>
      <c r="T246" s="182"/>
    </row>
    <row r="247" spans="1:20" ht="13.5" customHeight="1">
      <c r="A247" s="182"/>
      <c r="B247" s="197"/>
      <c r="C247" s="198"/>
      <c r="D247" s="197"/>
      <c r="E247" s="199"/>
      <c r="F247" s="199"/>
      <c r="G247" s="197"/>
      <c r="H247" s="197"/>
      <c r="I247" s="197"/>
      <c r="J247" s="197"/>
      <c r="K247" s="183"/>
      <c r="L247" s="182"/>
      <c r="M247" s="182"/>
      <c r="N247" s="182"/>
      <c r="O247" s="182"/>
      <c r="P247" s="182"/>
      <c r="Q247" s="182"/>
      <c r="R247" s="182"/>
      <c r="S247" s="182"/>
      <c r="T247" s="182"/>
    </row>
    <row r="248" spans="1:20" ht="13.5" customHeight="1">
      <c r="A248" s="182"/>
      <c r="B248" s="197"/>
      <c r="C248" s="198"/>
      <c r="D248" s="197"/>
      <c r="E248" s="199"/>
      <c r="F248" s="199"/>
      <c r="G248" s="197"/>
      <c r="H248" s="197"/>
      <c r="I248" s="197"/>
      <c r="J248" s="197"/>
      <c r="K248" s="183"/>
      <c r="L248" s="182"/>
      <c r="M248" s="182"/>
      <c r="N248" s="182"/>
      <c r="O248" s="182"/>
      <c r="P248" s="182"/>
      <c r="Q248" s="182"/>
      <c r="R248" s="182"/>
      <c r="S248" s="182"/>
      <c r="T248" s="182"/>
    </row>
    <row r="249" spans="1:20" ht="13.5" customHeight="1">
      <c r="A249" s="182"/>
      <c r="B249" s="197"/>
      <c r="C249" s="198"/>
      <c r="D249" s="197"/>
      <c r="E249" s="199"/>
      <c r="F249" s="199"/>
      <c r="G249" s="197"/>
      <c r="H249" s="197"/>
      <c r="I249" s="197"/>
      <c r="J249" s="197"/>
      <c r="K249" s="183"/>
      <c r="L249" s="182"/>
      <c r="M249" s="182"/>
      <c r="N249" s="182"/>
      <c r="O249" s="182"/>
      <c r="P249" s="182"/>
      <c r="Q249" s="182"/>
      <c r="R249" s="182"/>
      <c r="S249" s="182"/>
      <c r="T249" s="182"/>
    </row>
    <row r="250" spans="1:20" ht="13.5" customHeight="1">
      <c r="A250" s="182"/>
      <c r="B250" s="197"/>
      <c r="C250" s="198"/>
      <c r="D250" s="197"/>
      <c r="E250" s="199"/>
      <c r="F250" s="199"/>
      <c r="G250" s="197"/>
      <c r="H250" s="197"/>
      <c r="I250" s="197"/>
      <c r="J250" s="197"/>
      <c r="K250" s="183"/>
      <c r="L250" s="182"/>
      <c r="M250" s="182"/>
      <c r="N250" s="182"/>
      <c r="O250" s="182"/>
      <c r="P250" s="182"/>
      <c r="Q250" s="182"/>
      <c r="R250" s="182"/>
      <c r="S250" s="182"/>
      <c r="T250" s="182"/>
    </row>
    <row r="251" spans="1:20" ht="13.5" customHeight="1">
      <c r="A251" s="182"/>
      <c r="B251" s="197"/>
      <c r="C251" s="198"/>
      <c r="D251" s="197"/>
      <c r="E251" s="199"/>
      <c r="F251" s="199"/>
      <c r="G251" s="197"/>
      <c r="H251" s="197"/>
      <c r="I251" s="197"/>
      <c r="J251" s="197"/>
      <c r="K251" s="183"/>
      <c r="L251" s="182"/>
      <c r="M251" s="182"/>
      <c r="N251" s="182"/>
      <c r="O251" s="182"/>
      <c r="P251" s="182"/>
      <c r="Q251" s="182"/>
      <c r="R251" s="182"/>
      <c r="S251" s="182"/>
      <c r="T251" s="182"/>
    </row>
    <row r="252" spans="1:20" ht="13.5" customHeight="1">
      <c r="A252" s="182"/>
      <c r="B252" s="197"/>
      <c r="C252" s="198"/>
      <c r="D252" s="197"/>
      <c r="E252" s="199"/>
      <c r="F252" s="199"/>
      <c r="G252" s="197"/>
      <c r="H252" s="197"/>
      <c r="I252" s="197"/>
      <c r="J252" s="197"/>
      <c r="K252" s="183"/>
      <c r="L252" s="182"/>
      <c r="M252" s="182"/>
      <c r="N252" s="182"/>
      <c r="O252" s="182"/>
      <c r="P252" s="182"/>
      <c r="Q252" s="182"/>
      <c r="R252" s="182"/>
      <c r="S252" s="182"/>
      <c r="T252" s="182"/>
    </row>
    <row r="253" spans="1:20" ht="13.5" customHeight="1">
      <c r="A253" s="182"/>
      <c r="B253" s="197"/>
      <c r="C253" s="198"/>
      <c r="D253" s="197"/>
      <c r="E253" s="199"/>
      <c r="F253" s="199"/>
      <c r="G253" s="197"/>
      <c r="H253" s="197"/>
      <c r="I253" s="197"/>
      <c r="J253" s="197"/>
      <c r="K253" s="183"/>
      <c r="L253" s="182"/>
      <c r="M253" s="182"/>
      <c r="N253" s="182"/>
      <c r="O253" s="182"/>
      <c r="P253" s="182"/>
      <c r="Q253" s="182"/>
      <c r="R253" s="182"/>
      <c r="S253" s="182"/>
      <c r="T253" s="182"/>
    </row>
    <row r="254" spans="1:20" ht="13.5" customHeight="1">
      <c r="A254" s="182"/>
      <c r="B254" s="197"/>
      <c r="C254" s="198"/>
      <c r="D254" s="197"/>
      <c r="E254" s="199"/>
      <c r="F254" s="199"/>
      <c r="G254" s="197"/>
      <c r="H254" s="197"/>
      <c r="I254" s="197"/>
      <c r="J254" s="197"/>
      <c r="K254" s="183"/>
      <c r="L254" s="182"/>
      <c r="M254" s="182"/>
      <c r="N254" s="182"/>
      <c r="O254" s="182"/>
      <c r="P254" s="182"/>
      <c r="Q254" s="182"/>
      <c r="R254" s="182"/>
      <c r="S254" s="182"/>
      <c r="T254" s="182"/>
    </row>
    <row r="255" spans="1:20" ht="13.5" customHeight="1">
      <c r="A255" s="182"/>
      <c r="B255" s="197"/>
      <c r="C255" s="198"/>
      <c r="D255" s="197"/>
      <c r="E255" s="199"/>
      <c r="F255" s="199"/>
      <c r="G255" s="197"/>
      <c r="H255" s="197"/>
      <c r="I255" s="197"/>
      <c r="J255" s="197"/>
      <c r="K255" s="183"/>
      <c r="L255" s="182"/>
      <c r="M255" s="182"/>
      <c r="N255" s="182"/>
      <c r="O255" s="182"/>
      <c r="P255" s="182"/>
      <c r="Q255" s="182"/>
      <c r="R255" s="182"/>
      <c r="S255" s="182"/>
      <c r="T255" s="182"/>
    </row>
    <row r="256" spans="1:20" ht="13.5" customHeight="1">
      <c r="A256" s="182"/>
      <c r="B256" s="197"/>
      <c r="C256" s="198"/>
      <c r="D256" s="197"/>
      <c r="E256" s="199"/>
      <c r="F256" s="199"/>
      <c r="G256" s="197"/>
      <c r="H256" s="197"/>
      <c r="I256" s="197"/>
      <c r="J256" s="197"/>
      <c r="K256" s="183"/>
      <c r="L256" s="182"/>
      <c r="M256" s="182"/>
      <c r="N256" s="182"/>
      <c r="O256" s="182"/>
      <c r="P256" s="182"/>
      <c r="Q256" s="182"/>
      <c r="R256" s="182"/>
      <c r="S256" s="182"/>
      <c r="T256" s="182"/>
    </row>
    <row r="257" spans="1:20" ht="13.5" customHeight="1">
      <c r="A257" s="182"/>
      <c r="B257" s="197"/>
      <c r="C257" s="198"/>
      <c r="D257" s="197"/>
      <c r="E257" s="199"/>
      <c r="F257" s="199"/>
      <c r="G257" s="197"/>
      <c r="H257" s="197"/>
      <c r="I257" s="197"/>
      <c r="J257" s="197"/>
      <c r="K257" s="183"/>
      <c r="L257" s="182"/>
      <c r="M257" s="182"/>
      <c r="N257" s="182"/>
      <c r="O257" s="182"/>
      <c r="P257" s="182"/>
      <c r="Q257" s="182"/>
      <c r="R257" s="182"/>
      <c r="S257" s="182"/>
      <c r="T257" s="182"/>
    </row>
    <row r="258" spans="1:20" ht="13.5" customHeight="1">
      <c r="A258" s="182"/>
      <c r="B258" s="197"/>
      <c r="C258" s="198"/>
      <c r="D258" s="197"/>
      <c r="E258" s="199"/>
      <c r="F258" s="199"/>
      <c r="G258" s="197"/>
      <c r="H258" s="197"/>
      <c r="I258" s="197"/>
      <c r="J258" s="197"/>
      <c r="K258" s="183"/>
      <c r="L258" s="182"/>
      <c r="M258" s="182"/>
      <c r="N258" s="182"/>
      <c r="O258" s="182"/>
      <c r="P258" s="182"/>
      <c r="Q258" s="182"/>
      <c r="R258" s="182"/>
      <c r="S258" s="182"/>
      <c r="T258" s="182"/>
    </row>
    <row r="259" spans="1:20" ht="13.5" customHeight="1">
      <c r="A259" s="182"/>
      <c r="B259" s="197"/>
      <c r="C259" s="198"/>
      <c r="D259" s="197"/>
      <c r="E259" s="199"/>
      <c r="F259" s="199"/>
      <c r="G259" s="197"/>
      <c r="H259" s="197"/>
      <c r="I259" s="197"/>
      <c r="J259" s="197"/>
      <c r="K259" s="183"/>
      <c r="L259" s="182"/>
      <c r="M259" s="182"/>
      <c r="N259" s="182"/>
      <c r="O259" s="182"/>
      <c r="P259" s="182"/>
      <c r="Q259" s="182"/>
      <c r="R259" s="182"/>
      <c r="S259" s="182"/>
      <c r="T259" s="182"/>
    </row>
    <row r="260" spans="1:20" ht="13.5" customHeight="1">
      <c r="A260" s="182"/>
      <c r="B260" s="197"/>
      <c r="C260" s="198"/>
      <c r="D260" s="197"/>
      <c r="E260" s="199"/>
      <c r="F260" s="199"/>
      <c r="G260" s="197"/>
      <c r="H260" s="197"/>
      <c r="I260" s="197"/>
      <c r="J260" s="197"/>
      <c r="K260" s="183"/>
      <c r="L260" s="182"/>
      <c r="M260" s="182"/>
      <c r="N260" s="182"/>
      <c r="O260" s="182"/>
      <c r="P260" s="182"/>
      <c r="Q260" s="182"/>
      <c r="R260" s="182"/>
      <c r="S260" s="182"/>
      <c r="T260" s="182"/>
    </row>
    <row r="261" spans="1:20" ht="15.75" customHeight="1"/>
    <row r="262" spans="1:20" ht="15.75" customHeight="1"/>
    <row r="263" spans="1:20" ht="15.75" customHeight="1"/>
    <row r="264" spans="1:20" ht="15.75" customHeight="1"/>
    <row r="265" spans="1:20" ht="15.75" customHeight="1"/>
    <row r="266" spans="1:20" ht="15.75" customHeight="1"/>
    <row r="267" spans="1:20" ht="15.75" customHeight="1"/>
    <row r="268" spans="1:20" ht="15.75" customHeight="1"/>
    <row r="269" spans="1:20" ht="15.75" customHeight="1"/>
    <row r="270" spans="1:20" ht="15.75" customHeight="1"/>
    <row r="271" spans="1:20" ht="15.75" customHeight="1"/>
    <row r="272" spans="1:20"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2">
    <mergeCell ref="C11:F11"/>
    <mergeCell ref="G11:H11"/>
    <mergeCell ref="J11:J15"/>
    <mergeCell ref="C12:F12"/>
    <mergeCell ref="G12:H12"/>
    <mergeCell ref="C19:F19"/>
    <mergeCell ref="G19:H19"/>
    <mergeCell ref="C20:F20"/>
    <mergeCell ref="G20:H20"/>
    <mergeCell ref="C15:F15"/>
    <mergeCell ref="G15:H15"/>
    <mergeCell ref="C16:F16"/>
    <mergeCell ref="G16:H16"/>
    <mergeCell ref="J16:J20"/>
    <mergeCell ref="C17:F17"/>
    <mergeCell ref="G17:H17"/>
    <mergeCell ref="B4:B5"/>
    <mergeCell ref="B6:B10"/>
    <mergeCell ref="B11:B15"/>
    <mergeCell ref="B16:B20"/>
    <mergeCell ref="B23:B24"/>
    <mergeCell ref="B25:B29"/>
    <mergeCell ref="B1:J1"/>
    <mergeCell ref="B3:J3"/>
    <mergeCell ref="C4:F5"/>
    <mergeCell ref="G4:H5"/>
    <mergeCell ref="I4:I5"/>
    <mergeCell ref="J4:J5"/>
    <mergeCell ref="C13:F13"/>
    <mergeCell ref="G13:H13"/>
    <mergeCell ref="C14:F14"/>
    <mergeCell ref="G14:H14"/>
    <mergeCell ref="C27:F27"/>
    <mergeCell ref="C28:F28"/>
    <mergeCell ref="C18:F18"/>
    <mergeCell ref="G18:H18"/>
    <mergeCell ref="B21:I21"/>
    <mergeCell ref="B22:J22"/>
    <mergeCell ref="G23:H24"/>
    <mergeCell ref="I23:I24"/>
    <mergeCell ref="L4:N4"/>
    <mergeCell ref="C9:F9"/>
    <mergeCell ref="G9:H9"/>
    <mergeCell ref="C6:F6"/>
    <mergeCell ref="G6:H6"/>
    <mergeCell ref="J6:J10"/>
    <mergeCell ref="C7:F7"/>
    <mergeCell ref="G7:H7"/>
    <mergeCell ref="C8:F8"/>
    <mergeCell ref="G8:H8"/>
    <mergeCell ref="C10:F10"/>
    <mergeCell ref="G10:H10"/>
    <mergeCell ref="J23:J24"/>
    <mergeCell ref="C23:F24"/>
    <mergeCell ref="C25:F25"/>
    <mergeCell ref="G25:H25"/>
    <mergeCell ref="J25:J29"/>
    <mergeCell ref="C26:F26"/>
    <mergeCell ref="G26:H26"/>
    <mergeCell ref="G27:H27"/>
    <mergeCell ref="C31:F31"/>
    <mergeCell ref="G31:H31"/>
    <mergeCell ref="J30:J34"/>
    <mergeCell ref="B35:B39"/>
    <mergeCell ref="C35:F35"/>
    <mergeCell ref="G35:H35"/>
    <mergeCell ref="B40:B44"/>
    <mergeCell ref="C32:F32"/>
    <mergeCell ref="G32:H32"/>
    <mergeCell ref="C33:F33"/>
    <mergeCell ref="G33:H33"/>
    <mergeCell ref="G28:H28"/>
    <mergeCell ref="C29:F29"/>
    <mergeCell ref="G29:H29"/>
    <mergeCell ref="B30:B34"/>
    <mergeCell ref="C30:F30"/>
    <mergeCell ref="G30:H30"/>
    <mergeCell ref="C34:F34"/>
    <mergeCell ref="G34:H34"/>
    <mergeCell ref="J45:J49"/>
    <mergeCell ref="G46:H46"/>
    <mergeCell ref="G52:H52"/>
    <mergeCell ref="C53:F53"/>
    <mergeCell ref="G53:H53"/>
    <mergeCell ref="C49:F49"/>
    <mergeCell ref="G49:H49"/>
    <mergeCell ref="B50:B54"/>
    <mergeCell ref="C50:F50"/>
    <mergeCell ref="G50:H50"/>
    <mergeCell ref="J50:J54"/>
    <mergeCell ref="G51:H51"/>
    <mergeCell ref="C46:F46"/>
    <mergeCell ref="C47:F47"/>
    <mergeCell ref="C51:F51"/>
    <mergeCell ref="C52:F52"/>
    <mergeCell ref="G47:H47"/>
    <mergeCell ref="C48:F48"/>
    <mergeCell ref="G48:H48"/>
    <mergeCell ref="B45:B49"/>
    <mergeCell ref="C45:F45"/>
    <mergeCell ref="G45:H45"/>
    <mergeCell ref="B55:I55"/>
    <mergeCell ref="G62:J62"/>
    <mergeCell ref="D65:G66"/>
    <mergeCell ref="D67:G67"/>
    <mergeCell ref="C54:F54"/>
    <mergeCell ref="G54:H54"/>
    <mergeCell ref="C58:E59"/>
    <mergeCell ref="G58:I59"/>
    <mergeCell ref="C60:E60"/>
    <mergeCell ref="G60:I60"/>
    <mergeCell ref="G61:J61"/>
    <mergeCell ref="J35:J39"/>
    <mergeCell ref="G36:H36"/>
    <mergeCell ref="C41:F41"/>
    <mergeCell ref="C42:F42"/>
    <mergeCell ref="G42:H42"/>
    <mergeCell ref="C43:F43"/>
    <mergeCell ref="G43:H43"/>
    <mergeCell ref="C39:F39"/>
    <mergeCell ref="G39:H39"/>
    <mergeCell ref="C40:F40"/>
    <mergeCell ref="G40:H40"/>
    <mergeCell ref="J40:J44"/>
    <mergeCell ref="G41:H41"/>
    <mergeCell ref="C36:F36"/>
    <mergeCell ref="C37:F37"/>
    <mergeCell ref="C44:F44"/>
    <mergeCell ref="G44:H44"/>
    <mergeCell ref="G37:H37"/>
    <mergeCell ref="C38:F38"/>
    <mergeCell ref="G38:H38"/>
  </mergeCells>
  <conditionalFormatting sqref="J6:J21">
    <cfRule type="cellIs" dxfId="11" priority="1" operator="greaterThanOrEqual">
      <formula>5</formula>
    </cfRule>
    <cfRule type="cellIs" dxfId="10" priority="2" operator="greaterThanOrEqual">
      <formula>4</formula>
    </cfRule>
    <cfRule type="cellIs" dxfId="9" priority="3" operator="greaterThanOrEqual">
      <formula>3</formula>
    </cfRule>
    <cfRule type="cellIs" dxfId="8" priority="4" operator="greaterThanOrEqual">
      <formula>2</formula>
    </cfRule>
    <cfRule type="cellIs" dxfId="7" priority="5" operator="greaterThanOrEqual">
      <formula>1</formula>
    </cfRule>
    <cfRule type="cellIs" dxfId="6" priority="6" operator="greaterThanOrEqual">
      <formula>0.1</formula>
    </cfRule>
  </conditionalFormatting>
  <conditionalFormatting sqref="J25:J54">
    <cfRule type="cellIs" dxfId="5" priority="11" operator="greaterThanOrEqual">
      <formula>5</formula>
    </cfRule>
  </conditionalFormatting>
  <conditionalFormatting sqref="J25:J55">
    <cfRule type="cellIs" dxfId="4" priority="7" operator="greaterThanOrEqual">
      <formula>3</formula>
    </cfRule>
    <cfRule type="cellIs" dxfId="3" priority="8" operator="greaterThanOrEqual">
      <formula>2</formula>
    </cfRule>
    <cfRule type="cellIs" dxfId="2" priority="9" operator="greaterThanOrEqual">
      <formula>1</formula>
    </cfRule>
    <cfRule type="cellIs" dxfId="1" priority="10" operator="greaterThanOrEqual">
      <formula>0.1</formula>
    </cfRule>
    <cfRule type="cellIs" dxfId="0" priority="12" operator="greaterThanOrEqual">
      <formula>4</formula>
    </cfRule>
  </conditionalFormatting>
  <printOptions horizontalCentered="1"/>
  <pageMargins left="0" right="0" top="0.99803149599999996" bottom="0.49803149600000002" header="0" footer="0"/>
  <pageSetup paperSize="9" scale="32"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2EFD9"/>
    <pageSetUpPr fitToPage="1"/>
  </sheetPr>
  <dimension ref="A1:Z1000"/>
  <sheetViews>
    <sheetView workbookViewId="0"/>
  </sheetViews>
  <sheetFormatPr defaultColWidth="14.453125" defaultRowHeight="15" customHeight="1"/>
  <cols>
    <col min="1" max="1" width="4.453125" customWidth="1"/>
    <col min="2" max="2" width="2.81640625" customWidth="1"/>
    <col min="3" max="3" width="13.453125" customWidth="1"/>
    <col min="4" max="4" width="36.81640625" customWidth="1"/>
    <col min="5" max="5" width="17.08984375" customWidth="1"/>
    <col min="6" max="6" width="20.81640625" customWidth="1"/>
    <col min="7" max="8" width="15.81640625" customWidth="1"/>
    <col min="9" max="9" width="16.08984375" customWidth="1"/>
    <col min="10" max="10" width="2.81640625" customWidth="1"/>
    <col min="11" max="11" width="4.08984375" customWidth="1"/>
    <col min="12" max="12" width="2.08984375" customWidth="1"/>
    <col min="15" max="15" width="16.453125" customWidth="1"/>
    <col min="16" max="25" width="9.08984375" customWidth="1"/>
  </cols>
  <sheetData>
    <row r="1" spans="1:26" ht="16.5" customHeight="1">
      <c r="A1" s="134"/>
      <c r="B1" s="1020" t="s">
        <v>529</v>
      </c>
      <c r="C1" s="426"/>
      <c r="D1" s="426"/>
      <c r="E1" s="426"/>
      <c r="F1" s="426"/>
      <c r="G1" s="426"/>
      <c r="H1" s="426"/>
      <c r="I1" s="426"/>
      <c r="J1" s="427"/>
      <c r="K1" s="134"/>
      <c r="L1" s="134"/>
      <c r="M1" s="134"/>
      <c r="N1" s="134"/>
      <c r="O1" s="134"/>
      <c r="P1" s="134"/>
      <c r="Q1" s="134"/>
      <c r="R1" s="134"/>
      <c r="S1" s="134"/>
      <c r="T1" s="134"/>
      <c r="U1" s="134"/>
      <c r="V1" s="134"/>
      <c r="W1" s="134"/>
      <c r="X1" s="134"/>
      <c r="Y1" s="134"/>
      <c r="Z1" s="135"/>
    </row>
    <row r="2" spans="1:26" ht="24.75" customHeight="1">
      <c r="A2" s="134"/>
      <c r="B2" s="136"/>
      <c r="C2" s="1021" t="s">
        <v>530</v>
      </c>
      <c r="D2" s="411"/>
      <c r="E2" s="411"/>
      <c r="F2" s="411"/>
      <c r="G2" s="411"/>
      <c r="H2" s="411"/>
      <c r="I2" s="406"/>
      <c r="J2" s="137"/>
      <c r="K2" s="134"/>
      <c r="L2" s="134"/>
      <c r="M2" s="134"/>
      <c r="N2" s="134"/>
      <c r="O2" s="134"/>
      <c r="P2" s="134"/>
      <c r="Q2" s="134"/>
      <c r="R2" s="134"/>
      <c r="S2" s="134"/>
      <c r="T2" s="134"/>
      <c r="U2" s="134"/>
      <c r="V2" s="134"/>
      <c r="W2" s="134"/>
      <c r="X2" s="134"/>
      <c r="Y2" s="134"/>
      <c r="Z2" s="135"/>
    </row>
    <row r="3" spans="1:26" ht="6" customHeight="1">
      <c r="A3" s="134"/>
      <c r="B3" s="415"/>
      <c r="C3" s="416"/>
      <c r="D3" s="416"/>
      <c r="E3" s="416"/>
      <c r="F3" s="416"/>
      <c r="G3" s="416"/>
      <c r="H3" s="416"/>
      <c r="I3" s="416"/>
      <c r="J3" s="417"/>
      <c r="K3" s="134"/>
      <c r="L3" s="134"/>
      <c r="M3" s="134"/>
      <c r="N3" s="134"/>
      <c r="O3" s="134"/>
      <c r="P3" s="134"/>
      <c r="Q3" s="134"/>
      <c r="R3" s="134"/>
      <c r="S3" s="134"/>
      <c r="T3" s="134"/>
      <c r="U3" s="134"/>
      <c r="V3" s="134"/>
      <c r="W3" s="134"/>
      <c r="X3" s="134"/>
      <c r="Y3" s="134"/>
      <c r="Z3" s="135"/>
    </row>
    <row r="4" spans="1:26" ht="7.5" customHeight="1">
      <c r="A4" s="134"/>
      <c r="B4" s="1022"/>
      <c r="C4" s="416"/>
      <c r="D4" s="416"/>
      <c r="E4" s="416"/>
      <c r="F4" s="416"/>
      <c r="G4" s="416"/>
      <c r="H4" s="416"/>
      <c r="I4" s="416"/>
      <c r="J4" s="417"/>
      <c r="K4" s="134"/>
      <c r="L4" s="134"/>
      <c r="M4" s="134"/>
      <c r="N4" s="134"/>
      <c r="O4" s="134"/>
      <c r="P4" s="134"/>
      <c r="Q4" s="134"/>
      <c r="R4" s="134"/>
      <c r="S4" s="134"/>
      <c r="T4" s="134"/>
      <c r="U4" s="134"/>
      <c r="V4" s="134"/>
      <c r="W4" s="134"/>
      <c r="X4" s="134"/>
      <c r="Y4" s="134"/>
      <c r="Z4" s="135"/>
    </row>
    <row r="5" spans="1:26" ht="18.75" customHeight="1">
      <c r="A5" s="134"/>
      <c r="B5" s="138"/>
      <c r="C5" s="1023" t="s">
        <v>531</v>
      </c>
      <c r="D5" s="438"/>
      <c r="E5" s="1024" t="s">
        <v>9</v>
      </c>
      <c r="F5" s="1024" t="s">
        <v>532</v>
      </c>
      <c r="G5" s="1025" t="s">
        <v>533</v>
      </c>
      <c r="H5" s="1027" t="s">
        <v>534</v>
      </c>
      <c r="I5" s="406"/>
      <c r="J5" s="139"/>
      <c r="K5" s="134"/>
      <c r="L5" s="134"/>
      <c r="M5" s="1028" t="s">
        <v>535</v>
      </c>
      <c r="N5" s="426"/>
      <c r="O5" s="427"/>
      <c r="P5" s="134"/>
      <c r="Q5" s="134"/>
      <c r="R5" s="134"/>
      <c r="S5" s="134"/>
      <c r="T5" s="134"/>
      <c r="U5" s="134"/>
      <c r="V5" s="134"/>
      <c r="W5" s="134"/>
      <c r="X5" s="134"/>
      <c r="Y5" s="134"/>
      <c r="Z5" s="135"/>
    </row>
    <row r="6" spans="1:26" ht="35.25" customHeight="1">
      <c r="A6" s="134"/>
      <c r="B6" s="136"/>
      <c r="C6" s="441"/>
      <c r="D6" s="442"/>
      <c r="E6" s="445"/>
      <c r="F6" s="445"/>
      <c r="G6" s="1026"/>
      <c r="H6" s="140" t="s">
        <v>536</v>
      </c>
      <c r="I6" s="140" t="s">
        <v>537</v>
      </c>
      <c r="J6" s="137"/>
      <c r="K6" s="134"/>
      <c r="L6" s="134"/>
      <c r="M6" s="141" t="s">
        <v>538</v>
      </c>
      <c r="N6" s="141" t="s">
        <v>536</v>
      </c>
      <c r="O6" s="142" t="s">
        <v>537</v>
      </c>
      <c r="P6" s="134"/>
      <c r="Q6" s="134"/>
      <c r="R6" s="134"/>
      <c r="S6" s="134"/>
      <c r="T6" s="134"/>
      <c r="U6" s="134"/>
      <c r="V6" s="134"/>
      <c r="W6" s="134"/>
      <c r="X6" s="134"/>
      <c r="Y6" s="134"/>
      <c r="Z6" s="135"/>
    </row>
    <row r="7" spans="1:26" ht="27.75" customHeight="1">
      <c r="A7" s="134"/>
      <c r="B7" s="136"/>
      <c r="C7" s="1009" t="s">
        <v>539</v>
      </c>
      <c r="D7" s="143" t="s">
        <v>540</v>
      </c>
      <c r="E7" s="144">
        <v>0.6</v>
      </c>
      <c r="F7" s="145" t="e">
        <f>'PART I (CY 2025&amp;SY2025-2026)'!U37</f>
        <v>#DIV/0!</v>
      </c>
      <c r="G7" s="1063" t="e">
        <f>SUM(F$7:F$11)</f>
        <v>#DIV/0!</v>
      </c>
      <c r="H7" s="1065"/>
      <c r="I7" s="1065"/>
      <c r="J7" s="137"/>
      <c r="K7" s="134"/>
      <c r="L7" s="134"/>
      <c r="M7" s="146" t="s">
        <v>541</v>
      </c>
      <c r="N7" s="146">
        <v>5</v>
      </c>
      <c r="O7" s="147" t="s">
        <v>542</v>
      </c>
      <c r="P7" s="134"/>
      <c r="Q7" s="134"/>
      <c r="R7" s="134"/>
      <c r="S7" s="134"/>
      <c r="T7" s="134"/>
      <c r="U7" s="134"/>
      <c r="V7" s="134"/>
      <c r="W7" s="134"/>
      <c r="X7" s="134"/>
      <c r="Y7" s="134"/>
      <c r="Z7" s="135"/>
    </row>
    <row r="8" spans="1:26" ht="33.75" customHeight="1">
      <c r="A8" s="134"/>
      <c r="B8" s="136"/>
      <c r="C8" s="444"/>
      <c r="D8" s="148" t="s">
        <v>543</v>
      </c>
      <c r="E8" s="149">
        <v>0.2</v>
      </c>
      <c r="F8" s="150" t="e">
        <f t="shared" ref="F8:F9" si="0">#REF!</f>
        <v>#REF!</v>
      </c>
      <c r="G8" s="1064"/>
      <c r="H8" s="444"/>
      <c r="I8" s="444"/>
      <c r="J8" s="137"/>
      <c r="K8" s="134"/>
      <c r="L8" s="134"/>
      <c r="M8" s="146" t="s">
        <v>544</v>
      </c>
      <c r="N8" s="146">
        <v>4</v>
      </c>
      <c r="O8" s="147" t="s">
        <v>545</v>
      </c>
      <c r="P8" s="134"/>
      <c r="Q8" s="134"/>
      <c r="R8" s="134"/>
      <c r="S8" s="134"/>
      <c r="T8" s="134"/>
      <c r="U8" s="134"/>
      <c r="V8" s="134"/>
      <c r="W8" s="134"/>
      <c r="X8" s="134"/>
      <c r="Y8" s="134"/>
      <c r="Z8" s="135"/>
    </row>
    <row r="9" spans="1:26" ht="21" customHeight="1">
      <c r="A9" s="134"/>
      <c r="B9" s="136"/>
      <c r="C9" s="445"/>
      <c r="D9" s="148" t="s">
        <v>546</v>
      </c>
      <c r="E9" s="151">
        <v>0.15</v>
      </c>
      <c r="F9" s="152" t="e">
        <f t="shared" si="0"/>
        <v>#REF!</v>
      </c>
      <c r="G9" s="1064"/>
      <c r="H9" s="444"/>
      <c r="I9" s="444"/>
      <c r="J9" s="137"/>
      <c r="K9" s="134"/>
      <c r="L9" s="134"/>
      <c r="M9" s="146" t="s">
        <v>547</v>
      </c>
      <c r="N9" s="146">
        <v>3</v>
      </c>
      <c r="O9" s="147" t="s">
        <v>548</v>
      </c>
      <c r="P9" s="134"/>
      <c r="Q9" s="134"/>
      <c r="R9" s="134"/>
      <c r="S9" s="134"/>
      <c r="T9" s="134"/>
      <c r="U9" s="134"/>
      <c r="V9" s="134"/>
      <c r="W9" s="134"/>
      <c r="X9" s="134"/>
      <c r="Y9" s="134"/>
      <c r="Z9" s="135"/>
    </row>
    <row r="10" spans="1:26" ht="21.75" customHeight="1">
      <c r="A10" s="134"/>
      <c r="B10" s="136"/>
      <c r="C10" s="1009" t="s">
        <v>549</v>
      </c>
      <c r="D10" s="148" t="s">
        <v>550</v>
      </c>
      <c r="E10" s="153" t="s">
        <v>551</v>
      </c>
      <c r="F10" s="152" t="e">
        <f>'PART II'!J21</f>
        <v>#DIV/0!</v>
      </c>
      <c r="G10" s="1064"/>
      <c r="H10" s="444"/>
      <c r="I10" s="444"/>
      <c r="J10" s="137"/>
      <c r="K10" s="134"/>
      <c r="L10" s="134"/>
      <c r="M10" s="146" t="s">
        <v>552</v>
      </c>
      <c r="N10" s="146">
        <v>2</v>
      </c>
      <c r="O10" s="147" t="s">
        <v>553</v>
      </c>
      <c r="P10" s="134"/>
      <c r="Q10" s="134"/>
      <c r="R10" s="134"/>
      <c r="S10" s="134"/>
      <c r="T10" s="134"/>
      <c r="U10" s="134"/>
      <c r="V10" s="134"/>
      <c r="W10" s="134"/>
      <c r="X10" s="134"/>
      <c r="Y10" s="134"/>
      <c r="Z10" s="135"/>
    </row>
    <row r="11" spans="1:26" ht="19.5" customHeight="1">
      <c r="A11" s="134"/>
      <c r="B11" s="136"/>
      <c r="C11" s="445"/>
      <c r="D11" s="148" t="s">
        <v>554</v>
      </c>
      <c r="E11" s="153" t="s">
        <v>551</v>
      </c>
      <c r="F11" s="152" t="e">
        <f>'PART II'!J55</f>
        <v>#DIV/0!</v>
      </c>
      <c r="G11" s="1026"/>
      <c r="H11" s="445"/>
      <c r="I11" s="445"/>
      <c r="J11" s="137"/>
      <c r="K11" s="134"/>
      <c r="L11" s="134"/>
      <c r="M11" s="146" t="s">
        <v>555</v>
      </c>
      <c r="N11" s="146">
        <v>1</v>
      </c>
      <c r="O11" s="147" t="s">
        <v>556</v>
      </c>
      <c r="P11" s="134"/>
      <c r="Q11" s="134"/>
      <c r="R11" s="134"/>
      <c r="S11" s="134"/>
      <c r="T11" s="134"/>
      <c r="U11" s="134"/>
      <c r="V11" s="134"/>
      <c r="W11" s="134"/>
      <c r="X11" s="134"/>
      <c r="Y11" s="134"/>
      <c r="Z11" s="135"/>
    </row>
    <row r="12" spans="1:26" ht="6" customHeight="1">
      <c r="A12" s="134"/>
      <c r="B12" s="1014"/>
      <c r="C12" s="416"/>
      <c r="D12" s="416"/>
      <c r="E12" s="416"/>
      <c r="F12" s="416"/>
      <c r="G12" s="416"/>
      <c r="H12" s="416"/>
      <c r="I12" s="416"/>
      <c r="J12" s="417"/>
      <c r="K12" s="134"/>
      <c r="L12" s="134"/>
      <c r="M12" s="134"/>
      <c r="N12" s="134"/>
      <c r="O12" s="134"/>
      <c r="P12" s="134"/>
      <c r="Q12" s="134"/>
      <c r="R12" s="134"/>
      <c r="S12" s="134"/>
      <c r="T12" s="134"/>
      <c r="U12" s="134"/>
      <c r="V12" s="134"/>
      <c r="W12" s="134"/>
      <c r="X12" s="134"/>
      <c r="Y12" s="134"/>
      <c r="Z12" s="135"/>
    </row>
    <row r="13" spans="1:26" ht="15.75" customHeight="1">
      <c r="A13" s="134"/>
      <c r="B13" s="154"/>
      <c r="C13" s="155" t="s">
        <v>557</v>
      </c>
      <c r="D13" s="156"/>
      <c r="E13" s="156"/>
      <c r="F13" s="156"/>
      <c r="G13" s="156"/>
      <c r="H13" s="156"/>
      <c r="I13" s="156"/>
      <c r="J13" s="157"/>
      <c r="K13" s="134"/>
      <c r="L13" s="134"/>
      <c r="M13" s="134"/>
      <c r="N13" s="134"/>
      <c r="O13" s="134"/>
      <c r="P13" s="134"/>
      <c r="Q13" s="134"/>
      <c r="R13" s="134"/>
      <c r="S13" s="134"/>
      <c r="T13" s="134"/>
      <c r="U13" s="134"/>
      <c r="V13" s="134"/>
      <c r="W13" s="134"/>
      <c r="X13" s="134"/>
      <c r="Y13" s="134"/>
      <c r="Z13" s="135"/>
    </row>
    <row r="14" spans="1:26" ht="4.5" customHeight="1">
      <c r="A14" s="134"/>
      <c r="B14" s="158"/>
      <c r="C14" s="159"/>
      <c r="D14" s="159"/>
      <c r="E14" s="159"/>
      <c r="F14" s="159"/>
      <c r="G14" s="159"/>
      <c r="H14" s="159"/>
      <c r="I14" s="159"/>
      <c r="J14" s="160"/>
      <c r="K14" s="134"/>
      <c r="L14" s="134"/>
      <c r="M14" s="134"/>
      <c r="N14" s="134"/>
      <c r="O14" s="134"/>
      <c r="P14" s="134"/>
      <c r="Q14" s="134"/>
      <c r="R14" s="134"/>
      <c r="S14" s="134"/>
      <c r="T14" s="134"/>
      <c r="U14" s="134"/>
      <c r="V14" s="134"/>
      <c r="W14" s="134"/>
      <c r="X14" s="134"/>
      <c r="Y14" s="134"/>
      <c r="Z14" s="135"/>
    </row>
    <row r="15" spans="1:26" ht="45" customHeight="1">
      <c r="A15" s="134"/>
      <c r="B15" s="136"/>
      <c r="C15" s="1015" t="s">
        <v>558</v>
      </c>
      <c r="D15" s="416"/>
      <c r="E15" s="416"/>
      <c r="F15" s="416"/>
      <c r="G15" s="416"/>
      <c r="H15" s="416"/>
      <c r="I15" s="506"/>
      <c r="J15" s="160"/>
      <c r="K15" s="134"/>
      <c r="L15" s="134"/>
      <c r="M15" s="134"/>
      <c r="N15" s="134"/>
      <c r="O15" s="134"/>
      <c r="P15" s="134"/>
      <c r="Q15" s="134"/>
      <c r="R15" s="134"/>
      <c r="S15" s="134"/>
      <c r="T15" s="134"/>
      <c r="U15" s="134"/>
      <c r="V15" s="134"/>
      <c r="W15" s="134"/>
      <c r="X15" s="134"/>
      <c r="Y15" s="134"/>
      <c r="Z15" s="135"/>
    </row>
    <row r="16" spans="1:26" ht="14.25" customHeight="1">
      <c r="A16" s="134"/>
      <c r="B16" s="1016"/>
      <c r="C16" s="416"/>
      <c r="D16" s="416"/>
      <c r="E16" s="416"/>
      <c r="F16" s="416"/>
      <c r="G16" s="416"/>
      <c r="H16" s="416"/>
      <c r="I16" s="416"/>
      <c r="J16" s="417"/>
      <c r="K16" s="134"/>
      <c r="L16" s="134"/>
      <c r="M16" s="134"/>
      <c r="N16" s="134"/>
      <c r="O16" s="134"/>
      <c r="P16" s="134"/>
      <c r="Q16" s="134"/>
      <c r="R16" s="134"/>
      <c r="S16" s="134"/>
      <c r="T16" s="134"/>
      <c r="U16" s="134"/>
      <c r="V16" s="134"/>
      <c r="W16" s="134"/>
      <c r="X16" s="134"/>
      <c r="Y16" s="134"/>
      <c r="Z16" s="135"/>
    </row>
    <row r="17" spans="1:26" ht="14.25" customHeight="1">
      <c r="A17" s="134"/>
      <c r="B17" s="136"/>
      <c r="C17" s="1062" t="s">
        <v>18</v>
      </c>
      <c r="D17" s="438"/>
      <c r="E17" s="161"/>
      <c r="F17" s="1062" t="s">
        <v>559</v>
      </c>
      <c r="G17" s="602"/>
      <c r="H17" s="602"/>
      <c r="I17" s="438"/>
      <c r="J17" s="137"/>
      <c r="K17" s="134"/>
      <c r="L17" s="134"/>
      <c r="M17" s="134"/>
      <c r="N17" s="134"/>
      <c r="O17" s="134"/>
      <c r="P17" s="134"/>
      <c r="Q17" s="134"/>
      <c r="R17" s="134"/>
      <c r="S17" s="134"/>
      <c r="T17" s="134"/>
      <c r="U17" s="134"/>
      <c r="V17" s="134"/>
      <c r="W17" s="134"/>
      <c r="X17" s="134"/>
      <c r="Y17" s="134"/>
      <c r="Z17" s="135"/>
    </row>
    <row r="18" spans="1:26" ht="14.25" customHeight="1">
      <c r="A18" s="134"/>
      <c r="B18" s="136"/>
      <c r="C18" s="441"/>
      <c r="D18" s="442"/>
      <c r="E18" s="162"/>
      <c r="F18" s="441"/>
      <c r="G18" s="603"/>
      <c r="H18" s="603"/>
      <c r="I18" s="442"/>
      <c r="J18" s="137"/>
      <c r="K18" s="134"/>
      <c r="L18" s="134"/>
      <c r="M18" s="134"/>
      <c r="N18" s="134"/>
      <c r="O18" s="134"/>
      <c r="P18" s="134"/>
      <c r="Q18" s="134"/>
      <c r="R18" s="134"/>
      <c r="S18" s="134"/>
      <c r="T18" s="134"/>
      <c r="U18" s="134"/>
      <c r="V18" s="134"/>
      <c r="W18" s="134"/>
      <c r="X18" s="134"/>
      <c r="Y18" s="134"/>
      <c r="Z18" s="135"/>
    </row>
    <row r="19" spans="1:26" ht="15.75" customHeight="1">
      <c r="A19" s="134"/>
      <c r="B19" s="136"/>
      <c r="C19" s="1062" t="s">
        <v>560</v>
      </c>
      <c r="D19" s="438"/>
      <c r="E19" s="163"/>
      <c r="F19" s="1062" t="s">
        <v>561</v>
      </c>
      <c r="G19" s="602"/>
      <c r="H19" s="602"/>
      <c r="I19" s="438"/>
      <c r="J19" s="137"/>
      <c r="K19" s="134"/>
      <c r="L19" s="134"/>
      <c r="M19" s="134"/>
      <c r="N19" s="134"/>
      <c r="O19" s="134"/>
      <c r="P19" s="134"/>
      <c r="Q19" s="134"/>
      <c r="R19" s="134"/>
      <c r="S19" s="134"/>
      <c r="T19" s="134"/>
      <c r="U19" s="134"/>
      <c r="V19" s="134"/>
      <c r="W19" s="134"/>
      <c r="X19" s="134"/>
      <c r="Y19" s="134"/>
      <c r="Z19" s="135"/>
    </row>
    <row r="20" spans="1:26" ht="15.75" customHeight="1">
      <c r="A20" s="134"/>
      <c r="B20" s="136"/>
      <c r="C20" s="441"/>
      <c r="D20" s="442"/>
      <c r="E20" s="163"/>
      <c r="F20" s="441"/>
      <c r="G20" s="603"/>
      <c r="H20" s="603"/>
      <c r="I20" s="442"/>
      <c r="J20" s="137"/>
      <c r="K20" s="134"/>
      <c r="L20" s="134"/>
      <c r="M20" s="134"/>
      <c r="N20" s="134"/>
      <c r="O20" s="134"/>
      <c r="P20" s="134"/>
      <c r="Q20" s="134"/>
      <c r="R20" s="134"/>
      <c r="S20" s="134"/>
      <c r="T20" s="134"/>
      <c r="U20" s="134"/>
      <c r="V20" s="134"/>
      <c r="W20" s="134"/>
      <c r="X20" s="134"/>
      <c r="Y20" s="134"/>
      <c r="Z20" s="135"/>
    </row>
    <row r="21" spans="1:26" ht="14.25" customHeight="1">
      <c r="A21" s="134"/>
      <c r="B21" s="136"/>
      <c r="C21" s="1010" t="s">
        <v>562</v>
      </c>
      <c r="D21" s="438"/>
      <c r="E21" s="161"/>
      <c r="F21" s="1062" t="s">
        <v>563</v>
      </c>
      <c r="G21" s="602"/>
      <c r="H21" s="602"/>
      <c r="I21" s="438"/>
      <c r="J21" s="137"/>
      <c r="K21" s="134"/>
      <c r="L21" s="134"/>
      <c r="M21" s="134"/>
      <c r="N21" s="134"/>
      <c r="O21" s="134"/>
      <c r="P21" s="134"/>
      <c r="Q21" s="134"/>
      <c r="R21" s="134"/>
      <c r="S21" s="134"/>
      <c r="T21" s="134"/>
      <c r="U21" s="134"/>
      <c r="V21" s="134"/>
      <c r="W21" s="134"/>
      <c r="X21" s="134"/>
      <c r="Y21" s="134"/>
      <c r="Z21" s="135"/>
    </row>
    <row r="22" spans="1:26" ht="14.25" customHeight="1">
      <c r="A22" s="134"/>
      <c r="B22" s="136"/>
      <c r="C22" s="441"/>
      <c r="D22" s="442"/>
      <c r="E22" s="164"/>
      <c r="F22" s="441"/>
      <c r="G22" s="603"/>
      <c r="H22" s="603"/>
      <c r="I22" s="442"/>
      <c r="J22" s="137"/>
      <c r="K22" s="134"/>
      <c r="L22" s="134"/>
      <c r="M22" s="134"/>
      <c r="N22" s="134"/>
      <c r="O22" s="134"/>
      <c r="P22" s="134"/>
      <c r="Q22" s="134"/>
      <c r="R22" s="134"/>
      <c r="S22" s="134"/>
      <c r="T22" s="134"/>
      <c r="U22" s="134"/>
      <c r="V22" s="134"/>
      <c r="W22" s="134"/>
      <c r="X22" s="134"/>
      <c r="Y22" s="134"/>
      <c r="Z22" s="135"/>
    </row>
    <row r="23" spans="1:26" ht="14.25" customHeight="1">
      <c r="A23" s="134"/>
      <c r="B23" s="158"/>
      <c r="C23" s="159"/>
      <c r="D23" s="159"/>
      <c r="E23" s="159"/>
      <c r="F23" s="159"/>
      <c r="G23" s="159"/>
      <c r="H23" s="159"/>
      <c r="I23" s="159"/>
      <c r="J23" s="160"/>
      <c r="K23" s="134"/>
      <c r="L23" s="134"/>
      <c r="M23" s="134"/>
      <c r="N23" s="134"/>
      <c r="O23" s="134"/>
      <c r="P23" s="134"/>
      <c r="Q23" s="134"/>
      <c r="R23" s="134"/>
      <c r="S23" s="134"/>
      <c r="T23" s="134"/>
      <c r="U23" s="134"/>
      <c r="V23" s="134"/>
      <c r="W23" s="134"/>
      <c r="X23" s="134"/>
      <c r="Y23" s="134"/>
      <c r="Z23" s="135"/>
    </row>
    <row r="24" spans="1:26" ht="14.25" customHeight="1">
      <c r="A24" s="134"/>
      <c r="B24" s="165"/>
      <c r="C24" s="166"/>
      <c r="D24" s="166"/>
      <c r="E24" s="166"/>
      <c r="F24" s="166"/>
      <c r="G24" s="166"/>
      <c r="H24" s="166"/>
      <c r="I24" s="166"/>
      <c r="J24" s="167"/>
      <c r="K24" s="134"/>
      <c r="L24" s="134"/>
      <c r="M24" s="134"/>
      <c r="N24" s="134"/>
      <c r="O24" s="134"/>
      <c r="P24" s="134"/>
      <c r="Q24" s="134"/>
      <c r="R24" s="134"/>
      <c r="S24" s="134"/>
      <c r="T24" s="134"/>
      <c r="U24" s="134"/>
      <c r="V24" s="134"/>
      <c r="W24" s="134"/>
      <c r="X24" s="134"/>
      <c r="Y24" s="134"/>
      <c r="Z24" s="135"/>
    </row>
    <row r="25" spans="1:26"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5"/>
    </row>
    <row r="26" spans="1: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5"/>
    </row>
    <row r="27" spans="1:26"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5"/>
    </row>
    <row r="28" spans="1:26"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5"/>
    </row>
    <row r="29" spans="1:26"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5"/>
    </row>
    <row r="30" spans="1:26"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5"/>
    </row>
    <row r="31" spans="1:26"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5"/>
    </row>
    <row r="32" spans="1:26"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5"/>
    </row>
    <row r="33" spans="1:26"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5"/>
    </row>
    <row r="34" spans="1:26"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5"/>
    </row>
    <row r="35" spans="1:26"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5"/>
    </row>
    <row r="36" spans="1:2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5"/>
    </row>
    <row r="37" spans="1:26"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5"/>
    </row>
    <row r="38" spans="1:26"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5"/>
    </row>
    <row r="39" spans="1:26"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5"/>
    </row>
    <row r="40" spans="1:26"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5"/>
    </row>
    <row r="41" spans="1:26"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5"/>
    </row>
    <row r="42" spans="1:26"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5"/>
    </row>
    <row r="43" spans="1:26"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5"/>
    </row>
    <row r="44" spans="1:26"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5"/>
    </row>
    <row r="45" spans="1:26"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5"/>
    </row>
    <row r="46" spans="1:2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5"/>
    </row>
    <row r="47" spans="1:26"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5"/>
    </row>
    <row r="48" spans="1:26"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5"/>
    </row>
    <row r="49" spans="1:26"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5"/>
    </row>
    <row r="50" spans="1:26"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5"/>
    </row>
    <row r="51" spans="1:26"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5"/>
    </row>
    <row r="52" spans="1:26"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5"/>
    </row>
    <row r="53" spans="1:26"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5"/>
    </row>
    <row r="54" spans="1:26"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5"/>
    </row>
    <row r="55" spans="1:26"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5"/>
    </row>
    <row r="56" spans="1:2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5"/>
    </row>
    <row r="57" spans="1:26"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5"/>
    </row>
    <row r="58" spans="1:26"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5"/>
    </row>
    <row r="59" spans="1:26"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5"/>
    </row>
    <row r="60" spans="1:26"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5"/>
    </row>
    <row r="61" spans="1:26"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5"/>
    </row>
    <row r="62" spans="1:26"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5"/>
    </row>
    <row r="63" spans="1:26"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5"/>
    </row>
    <row r="64" spans="1:26"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5"/>
    </row>
    <row r="65" spans="1:26"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5"/>
    </row>
    <row r="66" spans="1:2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5"/>
    </row>
    <row r="67" spans="1:26"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5"/>
    </row>
    <row r="68" spans="1:26"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5"/>
    </row>
    <row r="69" spans="1:26"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5"/>
    </row>
    <row r="70" spans="1:26"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5"/>
    </row>
    <row r="71" spans="1:26"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5"/>
    </row>
    <row r="72" spans="1:26"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5"/>
    </row>
    <row r="73" spans="1:26"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5"/>
    </row>
    <row r="74" spans="1:26"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5"/>
    </row>
    <row r="75" spans="1:26"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5"/>
    </row>
    <row r="76" spans="1:2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5"/>
    </row>
    <row r="77" spans="1:26"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5"/>
    </row>
    <row r="78" spans="1:26"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5"/>
    </row>
    <row r="79" spans="1:26"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5"/>
    </row>
    <row r="80" spans="1:26"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5"/>
    </row>
    <row r="81" spans="1:26"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5"/>
    </row>
    <row r="82" spans="1:26"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5"/>
    </row>
    <row r="83" spans="1:26"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5"/>
    </row>
    <row r="84" spans="1:26"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5"/>
    </row>
    <row r="85" spans="1:26"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5"/>
    </row>
    <row r="86" spans="1:2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5"/>
    </row>
    <row r="87" spans="1:26"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5"/>
    </row>
    <row r="88" spans="1:26"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5"/>
    </row>
    <row r="89" spans="1:26"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5"/>
    </row>
    <row r="90" spans="1:26"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5"/>
    </row>
    <row r="91" spans="1:26"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5"/>
    </row>
    <row r="92" spans="1:26"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5"/>
    </row>
    <row r="93" spans="1:26"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5"/>
    </row>
    <row r="94" spans="1:26"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5"/>
    </row>
    <row r="95" spans="1:26"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5"/>
    </row>
    <row r="96" spans="1:2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5"/>
    </row>
    <row r="97" spans="1:26"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5"/>
    </row>
    <row r="98" spans="1:26"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5"/>
    </row>
    <row r="99" spans="1:26"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5"/>
    </row>
    <row r="100" spans="1:26"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5"/>
    </row>
    <row r="101" spans="1:26"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5"/>
    </row>
    <row r="102" spans="1:26"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5"/>
    </row>
    <row r="103" spans="1:26"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5"/>
    </row>
    <row r="104" spans="1:26"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5"/>
    </row>
    <row r="105" spans="1:26"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5"/>
    </row>
    <row r="106" spans="1:2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5"/>
    </row>
    <row r="107" spans="1:26"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5"/>
    </row>
    <row r="108" spans="1:26"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5"/>
    </row>
    <row r="109" spans="1:26"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5"/>
    </row>
    <row r="110" spans="1:26"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5"/>
    </row>
    <row r="111" spans="1:26"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5"/>
    </row>
    <row r="112" spans="1:26"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5"/>
    </row>
    <row r="113" spans="1:26"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5"/>
    </row>
    <row r="114" spans="1:26"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5"/>
    </row>
    <row r="115" spans="1:26"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5"/>
    </row>
    <row r="116" spans="1:2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5"/>
    </row>
    <row r="117" spans="1:26"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5"/>
    </row>
    <row r="118" spans="1:26"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5"/>
    </row>
    <row r="119" spans="1:26"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5"/>
    </row>
    <row r="120" spans="1:26"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5"/>
    </row>
    <row r="121" spans="1:26"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5"/>
    </row>
    <row r="122" spans="1:26"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5"/>
    </row>
    <row r="123" spans="1:26"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5"/>
    </row>
    <row r="124" spans="1:26"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5"/>
    </row>
    <row r="125" spans="1:26"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5"/>
    </row>
    <row r="126" spans="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5"/>
    </row>
    <row r="127" spans="1:26"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5"/>
    </row>
    <row r="128" spans="1:26"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5"/>
    </row>
    <row r="129" spans="1:26"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5"/>
    </row>
    <row r="130" spans="1:26"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5"/>
    </row>
    <row r="131" spans="1:26"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5"/>
    </row>
    <row r="132" spans="1:26"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5"/>
    </row>
    <row r="133" spans="1:26"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5"/>
    </row>
    <row r="134" spans="1:26"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5"/>
    </row>
    <row r="135" spans="1:26"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5"/>
    </row>
    <row r="136" spans="1:2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5"/>
    </row>
    <row r="137" spans="1:26"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5"/>
    </row>
    <row r="138" spans="1:26"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5"/>
    </row>
    <row r="139" spans="1:26"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5"/>
    </row>
    <row r="140" spans="1:26"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5"/>
    </row>
    <row r="141" spans="1:26"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5"/>
    </row>
    <row r="142" spans="1:26"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5"/>
    </row>
    <row r="143" spans="1:26"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5"/>
    </row>
    <row r="144" spans="1:26"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5"/>
    </row>
    <row r="145" spans="1:26"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5"/>
    </row>
    <row r="146" spans="1:2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5"/>
    </row>
    <row r="147" spans="1:26"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5"/>
    </row>
    <row r="148" spans="1:26"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5"/>
    </row>
    <row r="149" spans="1:26"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5"/>
    </row>
    <row r="150" spans="1:26"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5"/>
    </row>
    <row r="151" spans="1:26"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5"/>
    </row>
    <row r="152" spans="1:26"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5"/>
    </row>
    <row r="153" spans="1:26"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5"/>
    </row>
    <row r="154" spans="1:26"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5"/>
    </row>
    <row r="155" spans="1:26"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5"/>
    </row>
    <row r="156" spans="1:2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5"/>
    </row>
    <row r="157" spans="1:26"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5"/>
    </row>
    <row r="158" spans="1:26"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5"/>
    </row>
    <row r="159" spans="1:26"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5"/>
    </row>
    <row r="160" spans="1:26"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5"/>
    </row>
    <row r="161" spans="1:26"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5"/>
    </row>
    <row r="162" spans="1:26"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5"/>
    </row>
    <row r="163" spans="1:26"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5"/>
    </row>
    <row r="164" spans="1:26"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5"/>
    </row>
    <row r="165" spans="1:26"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5"/>
    </row>
    <row r="166" spans="1:2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5"/>
    </row>
    <row r="167" spans="1:26"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5"/>
    </row>
    <row r="168" spans="1:26"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5"/>
    </row>
    <row r="169" spans="1:26"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5"/>
    </row>
    <row r="170" spans="1:26"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5"/>
    </row>
    <row r="171" spans="1:26"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5"/>
    </row>
    <row r="172" spans="1:26"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5"/>
    </row>
    <row r="173" spans="1:26"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5"/>
    </row>
    <row r="174" spans="1:26"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5"/>
    </row>
    <row r="175" spans="1:26"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5"/>
    </row>
    <row r="176" spans="1:2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5"/>
    </row>
    <row r="177" spans="1:26"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5"/>
    </row>
    <row r="178" spans="1:26"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5"/>
    </row>
    <row r="179" spans="1:26"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5"/>
    </row>
    <row r="180" spans="1:26"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5"/>
    </row>
    <row r="181" spans="1:26"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5"/>
    </row>
    <row r="182" spans="1:26"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5"/>
    </row>
    <row r="183" spans="1:26"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5"/>
    </row>
    <row r="184" spans="1:26"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5"/>
    </row>
    <row r="185" spans="1:26"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5"/>
    </row>
    <row r="186" spans="1:2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5"/>
    </row>
    <row r="187" spans="1:26"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5"/>
    </row>
    <row r="188" spans="1:26"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5"/>
    </row>
    <row r="189" spans="1:26"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5"/>
    </row>
    <row r="190" spans="1:26"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5"/>
    </row>
    <row r="191" spans="1:26"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5"/>
    </row>
    <row r="192" spans="1:26"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5"/>
    </row>
    <row r="193" spans="1:26"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5"/>
    </row>
    <row r="194" spans="1:26"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5"/>
    </row>
    <row r="195" spans="1:26"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5"/>
    </row>
    <row r="196" spans="1:2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5"/>
    </row>
    <row r="197" spans="1:26"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5"/>
    </row>
    <row r="198" spans="1:26"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5"/>
    </row>
    <row r="199" spans="1:26"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5"/>
    </row>
    <row r="200" spans="1:26"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5"/>
    </row>
    <row r="201" spans="1:26"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5"/>
    </row>
    <row r="202" spans="1:26"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5"/>
    </row>
    <row r="203" spans="1:26"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5"/>
    </row>
    <row r="204" spans="1:26"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5"/>
    </row>
    <row r="205" spans="1:26"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5"/>
    </row>
    <row r="206" spans="1:2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5"/>
    </row>
    <row r="207" spans="1:26"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5"/>
    </row>
    <row r="208" spans="1:26"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5"/>
    </row>
    <row r="209" spans="1:26"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5"/>
    </row>
    <row r="210" spans="1:26"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5"/>
    </row>
    <row r="211" spans="1:26"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5"/>
    </row>
    <row r="212" spans="1:26"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5"/>
    </row>
    <row r="213" spans="1:26"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5"/>
    </row>
    <row r="214" spans="1:26"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5"/>
    </row>
    <row r="215" spans="1:26"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5"/>
    </row>
    <row r="216" spans="1:2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5"/>
    </row>
    <row r="217" spans="1:26"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5"/>
    </row>
    <row r="218" spans="1:26"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5"/>
    </row>
    <row r="219" spans="1:26"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5"/>
    </row>
    <row r="220" spans="1:26"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5"/>
    </row>
    <row r="221" spans="1:26"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5"/>
    </row>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M5:O5"/>
    <mergeCell ref="F5:F6"/>
    <mergeCell ref="G7:G11"/>
    <mergeCell ref="H7:H11"/>
    <mergeCell ref="I7:I11"/>
    <mergeCell ref="B1:J1"/>
    <mergeCell ref="C2:I2"/>
    <mergeCell ref="B3:J3"/>
    <mergeCell ref="B4:J4"/>
    <mergeCell ref="C5:D6"/>
    <mergeCell ref="E5:E6"/>
    <mergeCell ref="G5:G6"/>
    <mergeCell ref="H5:I5"/>
    <mergeCell ref="C7:C9"/>
    <mergeCell ref="C19:D20"/>
    <mergeCell ref="C21:D22"/>
    <mergeCell ref="C10:C11"/>
    <mergeCell ref="B12:J12"/>
    <mergeCell ref="C15:I15"/>
    <mergeCell ref="B16:J16"/>
    <mergeCell ref="C17:D18"/>
    <mergeCell ref="F17:I18"/>
    <mergeCell ref="F19:I20"/>
    <mergeCell ref="F21:I22"/>
  </mergeCells>
  <pageMargins left="0.70866141732283472" right="0.70866141732283472" top="0.74803149606299213" bottom="0.74803149606299213" header="0" footer="0"/>
  <pageSetup paperSize="9"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385623"/>
  </sheetPr>
  <dimension ref="A1:AB997"/>
  <sheetViews>
    <sheetView zoomScale="70" zoomScaleNormal="70" workbookViewId="0">
      <selection activeCell="C23" sqref="C23:D23"/>
    </sheetView>
  </sheetViews>
  <sheetFormatPr defaultColWidth="14.453125" defaultRowHeight="15" customHeight="1"/>
  <cols>
    <col min="1" max="1" width="3.453125" customWidth="1"/>
    <col min="2" max="2" width="5.1796875" customWidth="1"/>
    <col min="3" max="3" width="59.08984375" customWidth="1"/>
    <col min="4" max="4" width="57.36328125" customWidth="1"/>
    <col min="5" max="5" width="1.81640625" customWidth="1"/>
    <col min="6" max="6" width="57" customWidth="1"/>
    <col min="7" max="7" width="52.7265625" customWidth="1"/>
    <col min="8" max="8" width="1" customWidth="1"/>
    <col min="9" max="9" width="55" customWidth="1"/>
    <col min="10" max="10" width="43.81640625" customWidth="1"/>
    <col min="11" max="11" width="9.1796875" customWidth="1"/>
    <col min="12" max="28" width="9.08984375" customWidth="1"/>
  </cols>
  <sheetData>
    <row r="1" spans="1:28" ht="7.5" customHeight="1">
      <c r="A1" s="134"/>
      <c r="B1" s="425"/>
      <c r="C1" s="426"/>
      <c r="D1" s="426"/>
      <c r="E1" s="426"/>
      <c r="F1" s="426"/>
      <c r="G1" s="426"/>
      <c r="H1" s="426"/>
      <c r="I1" s="426"/>
      <c r="J1" s="426"/>
      <c r="K1" s="427"/>
      <c r="L1" s="134"/>
      <c r="M1" s="134"/>
      <c r="N1" s="134"/>
      <c r="O1" s="134"/>
      <c r="P1" s="134"/>
      <c r="Q1" s="134"/>
      <c r="R1" s="134"/>
      <c r="S1" s="134"/>
      <c r="T1" s="134"/>
      <c r="U1" s="134"/>
      <c r="V1" s="134"/>
      <c r="W1" s="134"/>
      <c r="X1" s="134"/>
      <c r="Y1" s="134"/>
      <c r="Z1" s="134"/>
      <c r="AA1" s="134"/>
      <c r="AB1" s="134"/>
    </row>
    <row r="2" spans="1:28" ht="12" customHeight="1">
      <c r="A2" s="134"/>
      <c r="B2" s="158"/>
      <c r="C2" s="184" t="s">
        <v>706</v>
      </c>
      <c r="D2" s="159"/>
      <c r="E2" s="159"/>
      <c r="F2" s="159"/>
      <c r="G2" s="159"/>
      <c r="H2" s="159"/>
      <c r="I2" s="159"/>
      <c r="J2" s="159"/>
      <c r="K2" s="160"/>
      <c r="L2" s="134"/>
      <c r="M2" s="134"/>
      <c r="N2" s="134"/>
      <c r="O2" s="134"/>
      <c r="P2" s="134"/>
      <c r="Q2" s="134"/>
      <c r="R2" s="134"/>
      <c r="S2" s="134"/>
      <c r="T2" s="134"/>
      <c r="U2" s="134"/>
      <c r="V2" s="134"/>
      <c r="W2" s="134"/>
      <c r="X2" s="134"/>
      <c r="Y2" s="134"/>
      <c r="Z2" s="134"/>
      <c r="AA2" s="134"/>
      <c r="AB2" s="134"/>
    </row>
    <row r="3" spans="1:28" ht="1.5" customHeight="1">
      <c r="A3" s="134"/>
      <c r="B3" s="158"/>
      <c r="C3" s="159"/>
      <c r="D3" s="159"/>
      <c r="E3" s="159"/>
      <c r="F3" s="159"/>
      <c r="G3" s="159"/>
      <c r="H3" s="159"/>
      <c r="I3" s="159"/>
      <c r="J3" s="159"/>
      <c r="K3" s="160"/>
      <c r="L3" s="134"/>
      <c r="M3" s="134"/>
      <c r="N3" s="134"/>
      <c r="O3" s="134"/>
      <c r="P3" s="134"/>
      <c r="Q3" s="134"/>
      <c r="R3" s="134"/>
      <c r="S3" s="134"/>
      <c r="T3" s="134"/>
      <c r="U3" s="134"/>
      <c r="V3" s="134"/>
      <c r="W3" s="134"/>
      <c r="X3" s="134"/>
      <c r="Y3" s="134"/>
      <c r="Z3" s="134"/>
      <c r="AA3" s="134"/>
      <c r="AB3" s="134"/>
    </row>
    <row r="4" spans="1:28" ht="19.5" customHeight="1">
      <c r="A4" s="134"/>
      <c r="B4" s="136"/>
      <c r="C4" s="428" t="s">
        <v>707</v>
      </c>
      <c r="D4" s="429"/>
      <c r="E4" s="429"/>
      <c r="F4" s="429"/>
      <c r="G4" s="429"/>
      <c r="H4" s="429"/>
      <c r="I4" s="429"/>
      <c r="J4" s="430"/>
      <c r="K4" s="137"/>
      <c r="L4" s="134"/>
      <c r="M4" s="134"/>
      <c r="N4" s="134"/>
      <c r="O4" s="134"/>
      <c r="P4" s="134"/>
      <c r="Q4" s="134"/>
      <c r="R4" s="134"/>
      <c r="S4" s="134"/>
      <c r="T4" s="134"/>
      <c r="U4" s="134"/>
      <c r="V4" s="134"/>
      <c r="W4" s="134"/>
      <c r="X4" s="134"/>
      <c r="Y4" s="134"/>
      <c r="Z4" s="134"/>
      <c r="AA4" s="134"/>
      <c r="AB4" s="134"/>
    </row>
    <row r="5" spans="1:28" ht="19.5" customHeight="1">
      <c r="A5" s="134"/>
      <c r="B5" s="136"/>
      <c r="C5" s="391"/>
      <c r="D5" s="391"/>
      <c r="E5" s="391"/>
      <c r="F5" s="391"/>
      <c r="G5" s="391"/>
      <c r="H5" s="391"/>
      <c r="I5" s="391"/>
      <c r="J5" s="391"/>
      <c r="K5" s="137"/>
      <c r="L5" s="134"/>
      <c r="M5" s="134"/>
      <c r="N5" s="134"/>
      <c r="O5" s="134"/>
      <c r="P5" s="134"/>
      <c r="Q5" s="134"/>
      <c r="R5" s="134"/>
      <c r="S5" s="134"/>
      <c r="T5" s="134"/>
      <c r="U5" s="134"/>
      <c r="V5" s="134"/>
      <c r="W5" s="134"/>
      <c r="X5" s="134"/>
      <c r="Y5" s="134"/>
      <c r="Z5" s="134"/>
      <c r="AA5" s="134"/>
      <c r="AB5" s="134"/>
    </row>
    <row r="6" spans="1:28" ht="18" customHeight="1">
      <c r="A6" s="134"/>
      <c r="B6" s="200"/>
      <c r="C6" s="391" t="s">
        <v>708</v>
      </c>
      <c r="D6" s="391"/>
      <c r="E6" s="391"/>
      <c r="F6" s="391"/>
      <c r="G6" s="391"/>
      <c r="H6" s="391"/>
      <c r="I6" s="391"/>
      <c r="J6" s="391"/>
      <c r="K6" s="139"/>
      <c r="L6" s="134"/>
      <c r="M6" s="134"/>
      <c r="N6" s="134"/>
      <c r="O6" s="134"/>
      <c r="P6" s="134"/>
      <c r="Q6" s="134"/>
      <c r="R6" s="134"/>
      <c r="S6" s="134"/>
      <c r="T6" s="134"/>
      <c r="U6" s="134"/>
      <c r="V6" s="134"/>
      <c r="W6" s="134"/>
      <c r="X6" s="134"/>
      <c r="Y6" s="134"/>
      <c r="Z6" s="134"/>
      <c r="AA6" s="134"/>
      <c r="AB6" s="134"/>
    </row>
    <row r="7" spans="1:28" ht="14.25" customHeight="1">
      <c r="A7" s="134"/>
      <c r="B7" s="136"/>
      <c r="C7" s="392"/>
      <c r="D7" s="392"/>
      <c r="E7" s="412" t="s">
        <v>709</v>
      </c>
      <c r="F7" s="413"/>
      <c r="G7" s="413"/>
      <c r="H7" s="414"/>
      <c r="I7" s="392"/>
      <c r="J7" s="392"/>
      <c r="K7" s="202"/>
      <c r="L7" s="134"/>
      <c r="M7" s="134"/>
      <c r="N7" s="134"/>
      <c r="O7" s="134"/>
      <c r="P7" s="134"/>
      <c r="Q7" s="134"/>
      <c r="R7" s="134"/>
      <c r="S7" s="134"/>
      <c r="T7" s="134"/>
      <c r="U7" s="134"/>
      <c r="V7" s="134"/>
      <c r="W7" s="134"/>
      <c r="X7" s="134"/>
      <c r="Y7" s="134"/>
      <c r="Z7" s="134"/>
      <c r="AA7" s="134"/>
      <c r="AB7" s="134"/>
    </row>
    <row r="8" spans="1:28" ht="28">
      <c r="A8" s="134"/>
      <c r="B8" s="136"/>
      <c r="C8" s="393" t="s">
        <v>710</v>
      </c>
      <c r="D8" s="393" t="s">
        <v>711</v>
      </c>
      <c r="E8" s="412" t="s">
        <v>712</v>
      </c>
      <c r="F8" s="414"/>
      <c r="G8" s="412" t="s">
        <v>713</v>
      </c>
      <c r="H8" s="414"/>
      <c r="I8" s="393" t="s">
        <v>8</v>
      </c>
      <c r="J8" s="393" t="s">
        <v>714</v>
      </c>
      <c r="K8" s="137"/>
      <c r="L8" s="134"/>
      <c r="M8" s="134"/>
      <c r="N8" s="134"/>
      <c r="O8" s="134"/>
      <c r="P8" s="134"/>
      <c r="Q8" s="134"/>
      <c r="R8" s="134"/>
      <c r="S8" s="134"/>
      <c r="T8" s="134"/>
      <c r="U8" s="134"/>
      <c r="V8" s="134"/>
      <c r="W8" s="134"/>
      <c r="X8" s="134"/>
      <c r="Y8" s="134"/>
      <c r="Z8" s="134"/>
      <c r="AA8" s="134"/>
      <c r="AB8" s="134"/>
    </row>
    <row r="9" spans="1:28" ht="220.5" customHeight="1">
      <c r="A9" s="134"/>
      <c r="B9" s="136"/>
      <c r="C9" s="389"/>
      <c r="D9" s="390"/>
      <c r="E9" s="422"/>
      <c r="F9" s="423"/>
      <c r="G9" s="422"/>
      <c r="H9" s="423"/>
      <c r="I9" s="396"/>
      <c r="J9" s="397"/>
      <c r="K9" s="137"/>
      <c r="L9" s="134"/>
      <c r="M9" s="134"/>
      <c r="N9" s="134"/>
      <c r="O9" s="134"/>
      <c r="P9" s="134"/>
      <c r="Q9" s="134"/>
      <c r="R9" s="134"/>
      <c r="S9" s="134"/>
      <c r="T9" s="134"/>
      <c r="U9" s="134"/>
      <c r="V9" s="134"/>
      <c r="W9" s="134"/>
      <c r="X9" s="134"/>
      <c r="Y9" s="134"/>
      <c r="Z9" s="134"/>
      <c r="AA9" s="134"/>
      <c r="AB9" s="134"/>
    </row>
    <row r="10" spans="1:28" ht="289.5" customHeight="1">
      <c r="A10" s="134"/>
      <c r="B10" s="136"/>
      <c r="C10" s="389"/>
      <c r="D10" s="390"/>
      <c r="E10" s="422"/>
      <c r="F10" s="423"/>
      <c r="G10" s="422"/>
      <c r="H10" s="424"/>
      <c r="I10" s="398"/>
      <c r="J10" s="399"/>
      <c r="K10" s="137"/>
      <c r="L10" s="134"/>
      <c r="M10" s="134"/>
      <c r="N10" s="134"/>
      <c r="O10" s="134"/>
      <c r="P10" s="134"/>
      <c r="Q10" s="134"/>
      <c r="R10" s="134"/>
      <c r="S10" s="134"/>
      <c r="T10" s="134"/>
      <c r="U10" s="134"/>
      <c r="V10" s="134"/>
      <c r="W10" s="134"/>
      <c r="X10" s="134"/>
      <c r="Y10" s="134"/>
      <c r="Z10" s="134"/>
      <c r="AA10" s="134"/>
      <c r="AB10" s="134"/>
    </row>
    <row r="11" spans="1:28" ht="14.25" customHeight="1">
      <c r="A11" s="134"/>
      <c r="B11" s="200"/>
      <c r="C11" s="203"/>
      <c r="D11" s="203"/>
      <c r="E11" s="203"/>
      <c r="F11" s="203"/>
      <c r="G11" s="203"/>
      <c r="H11" s="203"/>
      <c r="I11" s="203"/>
      <c r="J11" s="203"/>
      <c r="K11" s="204"/>
      <c r="L11" s="134"/>
      <c r="M11" s="134"/>
      <c r="N11" s="134"/>
      <c r="O11" s="134"/>
      <c r="P11" s="134"/>
      <c r="Q11" s="134"/>
      <c r="R11" s="134"/>
      <c r="S11" s="134"/>
      <c r="T11" s="134"/>
      <c r="U11" s="134"/>
      <c r="V11" s="134"/>
      <c r="W11" s="134"/>
      <c r="X11" s="134"/>
      <c r="Y11" s="134"/>
      <c r="Z11" s="134"/>
      <c r="AA11" s="134"/>
      <c r="AB11" s="134"/>
    </row>
    <row r="12" spans="1:28" ht="102.75" customHeight="1">
      <c r="A12" s="134"/>
      <c r="B12" s="200"/>
      <c r="C12" s="410" t="s">
        <v>715</v>
      </c>
      <c r="D12" s="411"/>
      <c r="E12" s="411"/>
      <c r="F12" s="411"/>
      <c r="G12" s="411"/>
      <c r="H12" s="411"/>
      <c r="I12" s="411"/>
      <c r="J12" s="406"/>
      <c r="K12" s="204"/>
      <c r="L12" s="134"/>
      <c r="M12" s="134"/>
      <c r="N12" s="134"/>
      <c r="O12" s="134"/>
      <c r="P12" s="134"/>
      <c r="Q12" s="134"/>
      <c r="R12" s="134"/>
      <c r="S12" s="134"/>
      <c r="T12" s="134"/>
      <c r="U12" s="134"/>
      <c r="V12" s="134"/>
      <c r="W12" s="134"/>
      <c r="X12" s="134"/>
      <c r="Y12" s="134"/>
      <c r="Z12" s="134"/>
      <c r="AA12" s="134"/>
      <c r="AB12" s="134"/>
    </row>
    <row r="13" spans="1:28" ht="21.75" customHeight="1">
      <c r="A13" s="134"/>
      <c r="B13" s="200"/>
      <c r="C13" s="203"/>
      <c r="D13" s="203"/>
      <c r="E13" s="203"/>
      <c r="F13" s="203"/>
      <c r="G13" s="203"/>
      <c r="H13" s="203"/>
      <c r="I13" s="203"/>
      <c r="J13" s="203"/>
      <c r="K13" s="204"/>
      <c r="L13" s="134"/>
      <c r="M13" s="134"/>
      <c r="N13" s="134"/>
      <c r="O13" s="134"/>
      <c r="P13" s="134"/>
      <c r="Q13" s="134"/>
      <c r="R13" s="134"/>
      <c r="S13" s="134"/>
      <c r="T13" s="134"/>
      <c r="U13" s="134"/>
      <c r="V13" s="134"/>
      <c r="W13" s="134"/>
      <c r="X13" s="134"/>
      <c r="Y13" s="134"/>
      <c r="Z13" s="134"/>
      <c r="AA13" s="134"/>
      <c r="AB13" s="134"/>
    </row>
    <row r="14" spans="1:28" ht="18.75" customHeight="1">
      <c r="A14" s="134"/>
      <c r="B14" s="200"/>
      <c r="C14" s="394" t="s">
        <v>716</v>
      </c>
      <c r="D14" s="395"/>
      <c r="E14" s="395"/>
      <c r="F14" s="395"/>
      <c r="G14" s="395"/>
      <c r="H14" s="395"/>
      <c r="I14" s="395"/>
      <c r="J14" s="203"/>
      <c r="K14" s="139"/>
      <c r="L14" s="134"/>
      <c r="M14" s="134"/>
      <c r="N14" s="134"/>
      <c r="O14" s="134"/>
      <c r="P14" s="134"/>
      <c r="Q14" s="134"/>
      <c r="R14" s="134"/>
      <c r="S14" s="134"/>
      <c r="T14" s="134"/>
      <c r="U14" s="134"/>
      <c r="V14" s="134"/>
      <c r="W14" s="134"/>
      <c r="X14" s="134"/>
      <c r="Y14" s="134"/>
      <c r="Z14" s="134"/>
      <c r="AA14" s="134"/>
      <c r="AB14" s="134"/>
    </row>
    <row r="15" spans="1:28" ht="14.25" customHeight="1">
      <c r="A15" s="134"/>
      <c r="B15" s="136"/>
      <c r="C15" s="392"/>
      <c r="D15" s="392"/>
      <c r="E15" s="412" t="s">
        <v>709</v>
      </c>
      <c r="F15" s="413"/>
      <c r="G15" s="413"/>
      <c r="H15" s="414"/>
      <c r="I15" s="392"/>
      <c r="J15" s="201"/>
      <c r="K15" s="202"/>
      <c r="L15" s="134"/>
      <c r="M15" s="134"/>
      <c r="N15" s="134"/>
      <c r="O15" s="134"/>
      <c r="P15" s="134"/>
      <c r="Q15" s="134"/>
      <c r="R15" s="134"/>
      <c r="S15" s="134"/>
      <c r="T15" s="134"/>
      <c r="U15" s="134"/>
      <c r="V15" s="134"/>
      <c r="W15" s="134"/>
      <c r="X15" s="134"/>
      <c r="Y15" s="134"/>
      <c r="Z15" s="134"/>
      <c r="AA15" s="134"/>
      <c r="AB15" s="134"/>
    </row>
    <row r="16" spans="1:28" ht="47.25" customHeight="1">
      <c r="A16" s="134"/>
      <c r="B16" s="136"/>
      <c r="C16" s="392" t="s">
        <v>717</v>
      </c>
      <c r="D16" s="392" t="s">
        <v>718</v>
      </c>
      <c r="E16" s="412" t="s">
        <v>719</v>
      </c>
      <c r="F16" s="414"/>
      <c r="G16" s="412" t="s">
        <v>720</v>
      </c>
      <c r="H16" s="414"/>
      <c r="I16" s="392" t="s">
        <v>8</v>
      </c>
      <c r="J16" s="392" t="s">
        <v>714</v>
      </c>
      <c r="K16" s="137"/>
      <c r="L16" s="134"/>
      <c r="M16" s="134"/>
      <c r="N16" s="134"/>
      <c r="O16" s="134"/>
      <c r="P16" s="134"/>
      <c r="Q16" s="134"/>
      <c r="R16" s="134"/>
      <c r="S16" s="134"/>
      <c r="T16" s="134"/>
      <c r="U16" s="134"/>
      <c r="V16" s="134"/>
      <c r="W16" s="134"/>
      <c r="X16" s="134"/>
      <c r="Y16" s="134"/>
      <c r="Z16" s="134"/>
      <c r="AA16" s="134"/>
      <c r="AB16" s="134"/>
    </row>
    <row r="17" spans="1:28" ht="108" customHeight="1">
      <c r="A17" s="134"/>
      <c r="B17" s="136"/>
      <c r="C17" s="400"/>
      <c r="D17" s="401"/>
      <c r="E17" s="418"/>
      <c r="F17" s="419"/>
      <c r="G17" s="420"/>
      <c r="H17" s="421"/>
      <c r="I17" s="396" t="s">
        <v>776</v>
      </c>
      <c r="J17" s="396" t="s">
        <v>777</v>
      </c>
      <c r="K17" s="137"/>
      <c r="L17" s="134"/>
      <c r="M17" s="134"/>
      <c r="N17" s="134"/>
      <c r="O17" s="134"/>
      <c r="P17" s="134"/>
      <c r="Q17" s="134"/>
      <c r="R17" s="134"/>
      <c r="S17" s="134"/>
      <c r="T17" s="134"/>
      <c r="U17" s="134"/>
      <c r="V17" s="134"/>
      <c r="W17" s="134"/>
      <c r="X17" s="134"/>
      <c r="Y17" s="134"/>
      <c r="Z17" s="134"/>
      <c r="AA17" s="134"/>
      <c r="AB17" s="134"/>
    </row>
    <row r="18" spans="1:28" ht="14.25" customHeight="1">
      <c r="A18" s="134"/>
      <c r="B18" s="200"/>
      <c r="C18" s="203"/>
      <c r="D18" s="203"/>
      <c r="E18" s="203"/>
      <c r="F18" s="203"/>
      <c r="G18" s="203"/>
      <c r="H18" s="203"/>
      <c r="I18" s="203"/>
      <c r="J18" s="203"/>
      <c r="K18" s="204"/>
      <c r="L18" s="134"/>
      <c r="M18" s="134"/>
      <c r="N18" s="134"/>
      <c r="O18" s="134"/>
      <c r="P18" s="134"/>
      <c r="Q18" s="134"/>
      <c r="R18" s="134"/>
      <c r="S18" s="134"/>
      <c r="T18" s="134"/>
      <c r="U18" s="134"/>
      <c r="V18" s="134"/>
      <c r="W18" s="134"/>
      <c r="X18" s="134"/>
      <c r="Y18" s="134"/>
      <c r="Z18" s="134"/>
      <c r="AA18" s="134"/>
      <c r="AB18" s="134"/>
    </row>
    <row r="19" spans="1:28" ht="14.25" customHeight="1">
      <c r="A19" s="134"/>
      <c r="B19" s="200"/>
      <c r="C19" s="203"/>
      <c r="D19" s="203"/>
      <c r="E19" s="203"/>
      <c r="F19" s="203"/>
      <c r="G19" s="203"/>
      <c r="H19" s="203"/>
      <c r="I19" s="203"/>
      <c r="J19" s="203"/>
      <c r="K19" s="204"/>
      <c r="L19" s="134"/>
      <c r="M19" s="134"/>
      <c r="N19" s="134"/>
      <c r="O19" s="134"/>
      <c r="P19" s="134"/>
      <c r="Q19" s="134"/>
      <c r="R19" s="134"/>
      <c r="S19" s="134"/>
      <c r="T19" s="134"/>
      <c r="U19" s="134"/>
      <c r="V19" s="134"/>
      <c r="W19" s="134"/>
      <c r="X19" s="134"/>
      <c r="Y19" s="134"/>
      <c r="Z19" s="134"/>
      <c r="AA19" s="134"/>
      <c r="AB19" s="134"/>
    </row>
    <row r="20" spans="1:28" ht="59" customHeight="1">
      <c r="A20" s="134"/>
      <c r="B20" s="200"/>
      <c r="C20" s="410" t="s">
        <v>715</v>
      </c>
      <c r="D20" s="411"/>
      <c r="E20" s="411"/>
      <c r="F20" s="411"/>
      <c r="G20" s="411"/>
      <c r="H20" s="411"/>
      <c r="I20" s="411"/>
      <c r="J20" s="406"/>
      <c r="K20" s="205"/>
      <c r="L20" s="134"/>
      <c r="M20" s="134"/>
      <c r="N20" s="134"/>
      <c r="O20" s="134"/>
      <c r="P20" s="134"/>
      <c r="Q20" s="134"/>
      <c r="R20" s="134"/>
      <c r="S20" s="134"/>
      <c r="T20" s="134"/>
      <c r="U20" s="134"/>
      <c r="V20" s="134"/>
      <c r="W20" s="134"/>
      <c r="X20" s="134"/>
      <c r="Y20" s="134"/>
      <c r="Z20" s="134"/>
      <c r="AA20" s="134"/>
      <c r="AB20" s="134"/>
    </row>
    <row r="21" spans="1:28" ht="52" customHeight="1">
      <c r="A21" s="134"/>
      <c r="B21" s="415"/>
      <c r="C21" s="416"/>
      <c r="D21" s="416"/>
      <c r="E21" s="416"/>
      <c r="F21" s="416"/>
      <c r="G21" s="416"/>
      <c r="H21" s="416"/>
      <c r="I21" s="416"/>
      <c r="J21" s="416"/>
      <c r="K21" s="417"/>
      <c r="L21" s="134"/>
      <c r="M21" s="134"/>
      <c r="N21" s="134"/>
      <c r="O21" s="134"/>
      <c r="P21" s="134"/>
      <c r="Q21" s="134"/>
      <c r="R21" s="134"/>
      <c r="S21" s="134"/>
      <c r="T21" s="134"/>
      <c r="U21" s="134"/>
      <c r="V21" s="134"/>
      <c r="W21" s="134"/>
      <c r="X21" s="134"/>
      <c r="Y21" s="134"/>
      <c r="Z21" s="134"/>
      <c r="AA21" s="134"/>
      <c r="AB21" s="134"/>
    </row>
    <row r="22" spans="1:28" ht="30" customHeight="1">
      <c r="A22" s="134"/>
      <c r="B22" s="206"/>
      <c r="C22" s="405" t="s">
        <v>861</v>
      </c>
      <c r="D22" s="406"/>
      <c r="E22" s="129"/>
      <c r="F22" s="405" t="s">
        <v>142</v>
      </c>
      <c r="G22" s="407"/>
      <c r="H22" s="129"/>
      <c r="I22" s="408" t="s">
        <v>144</v>
      </c>
      <c r="J22" s="406"/>
      <c r="K22" s="207"/>
      <c r="L22" s="134"/>
      <c r="M22" s="134"/>
      <c r="N22" s="134"/>
      <c r="O22" s="134"/>
      <c r="P22" s="134"/>
      <c r="Q22" s="134"/>
      <c r="R22" s="134"/>
      <c r="S22" s="134"/>
      <c r="T22" s="134"/>
      <c r="U22" s="134"/>
      <c r="V22" s="134"/>
      <c r="W22" s="134"/>
      <c r="X22" s="134"/>
      <c r="Y22" s="134"/>
      <c r="Z22" s="134"/>
      <c r="AA22" s="134"/>
      <c r="AB22" s="134"/>
    </row>
    <row r="23" spans="1:28" ht="14.25" customHeight="1">
      <c r="A23" s="134"/>
      <c r="B23" s="200"/>
      <c r="C23" s="409" t="s">
        <v>137</v>
      </c>
      <c r="D23" s="406"/>
      <c r="E23" s="129"/>
      <c r="F23" s="409" t="s">
        <v>138</v>
      </c>
      <c r="G23" s="406"/>
      <c r="H23" s="129"/>
      <c r="I23" s="409" t="s">
        <v>139</v>
      </c>
      <c r="J23" s="406"/>
      <c r="K23" s="205"/>
      <c r="L23" s="134"/>
      <c r="M23" s="134"/>
      <c r="N23" s="134"/>
      <c r="O23" s="134"/>
      <c r="P23" s="134"/>
      <c r="Q23" s="134"/>
      <c r="R23" s="134"/>
      <c r="S23" s="134"/>
      <c r="T23" s="134"/>
      <c r="U23" s="134"/>
      <c r="V23" s="134"/>
      <c r="W23" s="134"/>
      <c r="X23" s="134"/>
      <c r="Y23" s="134"/>
      <c r="Z23" s="134"/>
      <c r="AA23" s="134"/>
      <c r="AB23" s="134"/>
    </row>
    <row r="24" spans="1:28" ht="14.25" customHeight="1">
      <c r="A24" s="134"/>
      <c r="B24" s="208"/>
      <c r="C24" s="209"/>
      <c r="D24" s="209"/>
      <c r="E24" s="209"/>
      <c r="F24" s="209"/>
      <c r="G24" s="209"/>
      <c r="H24" s="209"/>
      <c r="I24" s="209"/>
      <c r="J24" s="209"/>
      <c r="K24" s="210"/>
      <c r="L24" s="134"/>
      <c r="M24" s="134"/>
      <c r="N24" s="134"/>
      <c r="O24" s="134"/>
      <c r="P24" s="134"/>
      <c r="Q24" s="134"/>
      <c r="R24" s="134"/>
      <c r="S24" s="134"/>
      <c r="T24" s="134"/>
      <c r="U24" s="134"/>
      <c r="V24" s="134"/>
      <c r="W24" s="134"/>
      <c r="X24" s="134"/>
      <c r="Y24" s="134"/>
      <c r="Z24" s="134"/>
      <c r="AA24" s="134"/>
      <c r="AB24" s="134"/>
    </row>
    <row r="25" spans="1:28"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c r="AA25" s="134"/>
      <c r="AB25" s="134"/>
    </row>
    <row r="26" spans="1:28"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c r="AA26" s="134"/>
      <c r="AB26" s="134"/>
    </row>
    <row r="27" spans="1:28" ht="14.25" customHeight="1">
      <c r="A27" s="134"/>
      <c r="B27" s="134"/>
      <c r="C27" s="134"/>
      <c r="D27" s="134"/>
      <c r="E27" s="134"/>
      <c r="F27" s="134"/>
      <c r="I27" s="134"/>
      <c r="J27" s="134"/>
      <c r="K27" s="134"/>
      <c r="L27" s="134"/>
      <c r="M27" s="134"/>
      <c r="N27" s="134"/>
      <c r="O27" s="134"/>
      <c r="P27" s="134"/>
      <c r="Q27" s="134"/>
      <c r="R27" s="134"/>
      <c r="S27" s="134"/>
      <c r="T27" s="134"/>
      <c r="U27" s="134"/>
      <c r="V27" s="134"/>
      <c r="W27" s="134"/>
      <c r="X27" s="134"/>
      <c r="Y27" s="134"/>
      <c r="Z27" s="134"/>
      <c r="AA27" s="134"/>
      <c r="AB27" s="134"/>
    </row>
    <row r="28" spans="1:28"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row>
    <row r="29" spans="1:28"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c r="AA29" s="134"/>
      <c r="AB29" s="134"/>
    </row>
    <row r="30" spans="1:28"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c r="AA30" s="134"/>
      <c r="AB30" s="134"/>
    </row>
    <row r="31" spans="1:28"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c r="AA31" s="134"/>
      <c r="AB31" s="134"/>
    </row>
    <row r="32" spans="1:28"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row>
    <row r="33" spans="1:28"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c r="AA33" s="134"/>
      <c r="AB33" s="134"/>
    </row>
    <row r="34" spans="1:28"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c r="AA34" s="134"/>
      <c r="AB34" s="134"/>
    </row>
    <row r="35" spans="1:28"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c r="AA35" s="134"/>
      <c r="AB35" s="134"/>
    </row>
    <row r="36" spans="1:28"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c r="AA36" s="134"/>
      <c r="AB36" s="134"/>
    </row>
    <row r="37" spans="1:28"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c r="AA37" s="134"/>
      <c r="AB37" s="134"/>
    </row>
    <row r="38" spans="1:28"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c r="AA38" s="134"/>
      <c r="AB38" s="134"/>
    </row>
    <row r="39" spans="1:28"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c r="AA39" s="134"/>
      <c r="AB39" s="134"/>
    </row>
    <row r="40" spans="1:28"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c r="AA40" s="134"/>
      <c r="AB40" s="134"/>
    </row>
    <row r="41" spans="1:28"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c r="AA41" s="134"/>
      <c r="AB41" s="134"/>
    </row>
    <row r="42" spans="1:28"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row>
    <row r="43" spans="1:28"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c r="AA43" s="134"/>
      <c r="AB43" s="134"/>
    </row>
    <row r="44" spans="1:28"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row>
    <row r="45" spans="1:28"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c r="AA45" s="134"/>
      <c r="AB45" s="134"/>
    </row>
    <row r="46" spans="1:28"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c r="AA46" s="134"/>
      <c r="AB46" s="134"/>
    </row>
    <row r="47" spans="1:28"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4"/>
    </row>
    <row r="48" spans="1:28"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c r="AA48" s="134"/>
      <c r="AB48" s="134"/>
    </row>
    <row r="49" spans="1:28"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c r="AA49" s="134"/>
      <c r="AB49" s="134"/>
    </row>
    <row r="50" spans="1:28"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c r="AA50" s="134"/>
      <c r="AB50" s="134"/>
    </row>
    <row r="51" spans="1:28"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row>
    <row r="52" spans="1:28"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c r="AA52" s="134"/>
      <c r="AB52" s="134"/>
    </row>
    <row r="53" spans="1:28"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row>
    <row r="54" spans="1:28"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row>
    <row r="55" spans="1:28"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c r="AA55" s="134"/>
      <c r="AB55" s="134"/>
    </row>
    <row r="56" spans="1:28"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row>
    <row r="57" spans="1:28"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c r="AA57" s="134"/>
      <c r="AB57" s="134"/>
    </row>
    <row r="58" spans="1:28"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c r="AA58" s="134"/>
      <c r="AB58" s="134"/>
    </row>
    <row r="59" spans="1:28"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c r="AA59" s="134"/>
      <c r="AB59" s="134"/>
    </row>
    <row r="60" spans="1:28"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row>
    <row r="61" spans="1:28"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c r="AA61" s="134"/>
      <c r="AB61" s="134"/>
    </row>
    <row r="62" spans="1:28"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row>
    <row r="63" spans="1:28"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c r="AA63" s="134"/>
      <c r="AB63" s="134"/>
    </row>
    <row r="64" spans="1:28"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row>
    <row r="65" spans="1:28"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c r="AA65" s="134"/>
      <c r="AB65" s="134"/>
    </row>
    <row r="66" spans="1:28"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row>
    <row r="67" spans="1:28"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c r="AA67" s="134"/>
      <c r="AB67" s="134"/>
    </row>
    <row r="68" spans="1:28"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row>
    <row r="69" spans="1:28"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row>
    <row r="70" spans="1:28"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c r="AA70" s="134"/>
      <c r="AB70" s="134"/>
    </row>
    <row r="71" spans="1:28"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c r="AA71" s="134"/>
      <c r="AB71" s="134"/>
    </row>
    <row r="72" spans="1:28"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c r="AA72" s="134"/>
      <c r="AB72" s="134"/>
    </row>
    <row r="73" spans="1:28"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c r="AA73" s="134"/>
      <c r="AB73" s="134"/>
    </row>
    <row r="74" spans="1:28"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c r="AA74" s="134"/>
      <c r="AB74" s="134"/>
    </row>
    <row r="75" spans="1:28"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c r="AA75" s="134"/>
      <c r="AB75" s="134"/>
    </row>
    <row r="76" spans="1:28"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c r="AA76" s="134"/>
      <c r="AB76" s="134"/>
    </row>
    <row r="77" spans="1:28"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c r="AA77" s="134"/>
      <c r="AB77" s="134"/>
    </row>
    <row r="78" spans="1:28"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c r="AA78" s="134"/>
      <c r="AB78" s="134"/>
    </row>
    <row r="79" spans="1:28"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c r="AA79" s="134"/>
      <c r="AB79" s="134"/>
    </row>
    <row r="80" spans="1:28"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c r="AA80" s="134"/>
      <c r="AB80" s="134"/>
    </row>
    <row r="81" spans="1:28"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c r="AA81" s="134"/>
      <c r="AB81" s="134"/>
    </row>
    <row r="82" spans="1:28"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c r="AA82" s="134"/>
      <c r="AB82" s="134"/>
    </row>
    <row r="83" spans="1:28"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c r="AA83" s="134"/>
      <c r="AB83" s="134"/>
    </row>
    <row r="84" spans="1:28"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c r="AA84" s="134"/>
      <c r="AB84" s="134"/>
    </row>
    <row r="85" spans="1:28"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c r="AA85" s="134"/>
      <c r="AB85" s="134"/>
    </row>
    <row r="86" spans="1:28"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c r="AA86" s="134"/>
      <c r="AB86" s="134"/>
    </row>
    <row r="87" spans="1:28"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c r="AA87" s="134"/>
      <c r="AB87" s="134"/>
    </row>
    <row r="88" spans="1:28"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c r="AA88" s="134"/>
      <c r="AB88" s="134"/>
    </row>
    <row r="89" spans="1:28"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c r="AA89" s="134"/>
      <c r="AB89" s="134"/>
    </row>
    <row r="90" spans="1:28"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c r="AA90" s="134"/>
      <c r="AB90" s="134"/>
    </row>
    <row r="91" spans="1:28"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c r="AA91" s="134"/>
      <c r="AB91" s="134"/>
    </row>
    <row r="92" spans="1:28"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c r="AA92" s="134"/>
      <c r="AB92" s="134"/>
    </row>
    <row r="93" spans="1:28"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c r="AA93" s="134"/>
      <c r="AB93" s="134"/>
    </row>
    <row r="94" spans="1:28"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c r="AA94" s="134"/>
      <c r="AB94" s="134"/>
    </row>
    <row r="95" spans="1:28"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c r="AA95" s="134"/>
      <c r="AB95" s="134"/>
    </row>
    <row r="96" spans="1:28"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c r="AA96" s="134"/>
      <c r="AB96" s="134"/>
    </row>
    <row r="97" spans="1:28"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c r="AA97" s="134"/>
      <c r="AB97" s="134"/>
    </row>
    <row r="98" spans="1:28"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c r="AA98" s="134"/>
      <c r="AB98" s="134"/>
    </row>
    <row r="99" spans="1:28"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c r="AA99" s="134"/>
      <c r="AB99" s="134"/>
    </row>
    <row r="100" spans="1:28"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c r="AA100" s="134"/>
      <c r="AB100" s="134"/>
    </row>
    <row r="101" spans="1:28"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c r="AA101" s="134"/>
      <c r="AB101" s="134"/>
    </row>
    <row r="102" spans="1:28"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c r="AA102" s="134"/>
      <c r="AB102" s="134"/>
    </row>
    <row r="103" spans="1:28"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c r="AA103" s="134"/>
      <c r="AB103" s="134"/>
    </row>
    <row r="104" spans="1:28"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c r="AA104" s="134"/>
      <c r="AB104" s="134"/>
    </row>
    <row r="105" spans="1:28"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c r="AA105" s="134"/>
      <c r="AB105" s="134"/>
    </row>
    <row r="106" spans="1:28"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c r="AA106" s="134"/>
      <c r="AB106" s="134"/>
    </row>
    <row r="107" spans="1:28"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c r="AA107" s="134"/>
      <c r="AB107" s="134"/>
    </row>
    <row r="108" spans="1:28"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c r="AA108" s="134"/>
      <c r="AB108" s="134"/>
    </row>
    <row r="109" spans="1:28"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c r="AA109" s="134"/>
      <c r="AB109" s="134"/>
    </row>
    <row r="110" spans="1:28"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c r="AA110" s="134"/>
      <c r="AB110" s="134"/>
    </row>
    <row r="111" spans="1:28"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c r="AA111" s="134"/>
      <c r="AB111" s="134"/>
    </row>
    <row r="112" spans="1:28"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row>
    <row r="113" spans="1:28"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row>
    <row r="114" spans="1:28"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c r="AA114" s="134"/>
      <c r="AB114" s="134"/>
    </row>
    <row r="115" spans="1:28"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c r="AA115" s="134"/>
      <c r="AB115" s="134"/>
    </row>
    <row r="116" spans="1:28"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c r="AA116" s="134"/>
      <c r="AB116" s="134"/>
    </row>
    <row r="117" spans="1:28"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c r="AA117" s="134"/>
      <c r="AB117" s="134"/>
    </row>
    <row r="118" spans="1:28"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c r="AA118" s="134"/>
      <c r="AB118" s="134"/>
    </row>
    <row r="119" spans="1:28"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c r="AA119" s="134"/>
      <c r="AB119" s="134"/>
    </row>
    <row r="120" spans="1:28"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c r="AA120" s="134"/>
      <c r="AB120" s="134"/>
    </row>
    <row r="121" spans="1:28"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c r="AA121" s="134"/>
      <c r="AB121" s="134"/>
    </row>
    <row r="122" spans="1:28"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c r="AA122" s="134"/>
      <c r="AB122" s="134"/>
    </row>
    <row r="123" spans="1:28"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c r="AA123" s="134"/>
      <c r="AB123" s="134"/>
    </row>
    <row r="124" spans="1:28"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c r="AA124" s="134"/>
      <c r="AB124" s="134"/>
    </row>
    <row r="125" spans="1:28"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c r="AA125" s="134"/>
      <c r="AB125" s="134"/>
    </row>
    <row r="126" spans="1:28"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c r="AA126" s="134"/>
      <c r="AB126" s="134"/>
    </row>
    <row r="127" spans="1:28"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c r="AA127" s="134"/>
      <c r="AB127" s="134"/>
    </row>
    <row r="128" spans="1:28"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c r="AA128" s="134"/>
      <c r="AB128" s="134"/>
    </row>
    <row r="129" spans="1:28"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c r="AA129" s="134"/>
      <c r="AB129" s="134"/>
    </row>
    <row r="130" spans="1:28"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c r="AA130" s="134"/>
      <c r="AB130" s="134"/>
    </row>
    <row r="131" spans="1:28"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c r="AA131" s="134"/>
      <c r="AB131" s="134"/>
    </row>
    <row r="132" spans="1:28"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c r="AA132" s="134"/>
      <c r="AB132" s="134"/>
    </row>
    <row r="133" spans="1:28"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c r="AA133" s="134"/>
      <c r="AB133" s="134"/>
    </row>
    <row r="134" spans="1:28"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c r="AA134" s="134"/>
      <c r="AB134" s="134"/>
    </row>
    <row r="135" spans="1:28"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c r="AA135" s="134"/>
      <c r="AB135" s="134"/>
    </row>
    <row r="136" spans="1:28"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c r="AA136" s="134"/>
      <c r="AB136" s="134"/>
    </row>
    <row r="137" spans="1:28"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c r="AA137" s="134"/>
      <c r="AB137" s="134"/>
    </row>
    <row r="138" spans="1:28"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c r="AA138" s="134"/>
      <c r="AB138" s="134"/>
    </row>
    <row r="139" spans="1:28"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c r="AA139" s="134"/>
      <c r="AB139" s="134"/>
    </row>
    <row r="140" spans="1:28"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c r="AA140" s="134"/>
      <c r="AB140" s="134"/>
    </row>
    <row r="141" spans="1:28"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c r="AA141" s="134"/>
      <c r="AB141" s="134"/>
    </row>
    <row r="142" spans="1:28"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c r="AA142" s="134"/>
      <c r="AB142" s="134"/>
    </row>
    <row r="143" spans="1:28"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c r="AA143" s="134"/>
      <c r="AB143" s="134"/>
    </row>
    <row r="144" spans="1:28"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c r="AA144" s="134"/>
      <c r="AB144" s="134"/>
    </row>
    <row r="145" spans="1:28"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c r="AA145" s="134"/>
      <c r="AB145" s="134"/>
    </row>
    <row r="146" spans="1:28"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c r="AA146" s="134"/>
      <c r="AB146" s="134"/>
    </row>
    <row r="147" spans="1:28"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c r="AA147" s="134"/>
      <c r="AB147" s="134"/>
    </row>
    <row r="148" spans="1:28"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c r="AA148" s="134"/>
      <c r="AB148" s="134"/>
    </row>
    <row r="149" spans="1:28"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c r="AA149" s="134"/>
      <c r="AB149" s="134"/>
    </row>
    <row r="150" spans="1:28"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c r="AA150" s="134"/>
      <c r="AB150" s="134"/>
    </row>
    <row r="151" spans="1:28"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c r="AA151" s="134"/>
      <c r="AB151" s="134"/>
    </row>
    <row r="152" spans="1:28"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c r="AA152" s="134"/>
      <c r="AB152" s="134"/>
    </row>
    <row r="153" spans="1:28"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c r="AA153" s="134"/>
      <c r="AB153" s="134"/>
    </row>
    <row r="154" spans="1:28"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c r="AA154" s="134"/>
      <c r="AB154" s="134"/>
    </row>
    <row r="155" spans="1:28"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c r="AA155" s="134"/>
      <c r="AB155" s="134"/>
    </row>
    <row r="156" spans="1:28"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c r="AA156" s="134"/>
      <c r="AB156" s="134"/>
    </row>
    <row r="157" spans="1:28"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c r="AA157" s="134"/>
      <c r="AB157" s="134"/>
    </row>
    <row r="158" spans="1:28"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c r="AA158" s="134"/>
      <c r="AB158" s="134"/>
    </row>
    <row r="159" spans="1:28"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c r="AA159" s="134"/>
      <c r="AB159" s="134"/>
    </row>
    <row r="160" spans="1:28"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c r="AA160" s="134"/>
      <c r="AB160" s="134"/>
    </row>
    <row r="161" spans="1:28"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c r="AA161" s="134"/>
      <c r="AB161" s="134"/>
    </row>
    <row r="162" spans="1:28"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c r="AA162" s="134"/>
      <c r="AB162" s="134"/>
    </row>
    <row r="163" spans="1:28"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c r="AA163" s="134"/>
      <c r="AB163" s="134"/>
    </row>
    <row r="164" spans="1:28"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c r="AA164" s="134"/>
      <c r="AB164" s="134"/>
    </row>
    <row r="165" spans="1:28"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c r="AA165" s="134"/>
      <c r="AB165" s="134"/>
    </row>
    <row r="166" spans="1:28"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c r="AA166" s="134"/>
      <c r="AB166" s="134"/>
    </row>
    <row r="167" spans="1:28"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c r="AA167" s="134"/>
      <c r="AB167" s="134"/>
    </row>
    <row r="168" spans="1:28"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c r="AA168" s="134"/>
      <c r="AB168" s="134"/>
    </row>
    <row r="169" spans="1:28"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c r="AA169" s="134"/>
      <c r="AB169" s="134"/>
    </row>
    <row r="170" spans="1:28"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c r="AA170" s="134"/>
      <c r="AB170" s="134"/>
    </row>
    <row r="171" spans="1:28"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c r="AA171" s="134"/>
      <c r="AB171" s="134"/>
    </row>
    <row r="172" spans="1:28"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c r="AA172" s="134"/>
      <c r="AB172" s="134"/>
    </row>
    <row r="173" spans="1:28"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c r="AA173" s="134"/>
      <c r="AB173" s="134"/>
    </row>
    <row r="174" spans="1:28"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c r="AA174" s="134"/>
      <c r="AB174" s="134"/>
    </row>
    <row r="175" spans="1:28"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c r="AA175" s="134"/>
      <c r="AB175" s="134"/>
    </row>
    <row r="176" spans="1:28"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c r="AA176" s="134"/>
      <c r="AB176" s="134"/>
    </row>
    <row r="177" spans="1:28"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c r="AA177" s="134"/>
      <c r="AB177" s="134"/>
    </row>
    <row r="178" spans="1:28"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c r="AA178" s="134"/>
      <c r="AB178" s="134"/>
    </row>
    <row r="179" spans="1:28"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c r="AA179" s="134"/>
      <c r="AB179" s="134"/>
    </row>
    <row r="180" spans="1:28"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c r="AA180" s="134"/>
      <c r="AB180" s="134"/>
    </row>
    <row r="181" spans="1:28"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c r="AA181" s="134"/>
      <c r="AB181" s="134"/>
    </row>
    <row r="182" spans="1:28"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c r="AA182" s="134"/>
      <c r="AB182" s="134"/>
    </row>
    <row r="183" spans="1:28"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c r="AA183" s="134"/>
      <c r="AB183" s="134"/>
    </row>
    <row r="184" spans="1:28"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c r="AA184" s="134"/>
      <c r="AB184" s="134"/>
    </row>
    <row r="185" spans="1:28"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c r="AA185" s="134"/>
      <c r="AB185" s="134"/>
    </row>
    <row r="186" spans="1:28"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c r="AA186" s="134"/>
      <c r="AB186" s="134"/>
    </row>
    <row r="187" spans="1:28"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c r="AA187" s="134"/>
      <c r="AB187" s="134"/>
    </row>
    <row r="188" spans="1:28"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c r="AA188" s="134"/>
      <c r="AB188" s="134"/>
    </row>
    <row r="189" spans="1:28"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c r="AA189" s="134"/>
      <c r="AB189" s="134"/>
    </row>
    <row r="190" spans="1:28"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c r="AA190" s="134"/>
      <c r="AB190" s="134"/>
    </row>
    <row r="191" spans="1:28"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c r="AA191" s="134"/>
      <c r="AB191" s="134"/>
    </row>
    <row r="192" spans="1:28"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c r="AA192" s="134"/>
      <c r="AB192" s="134"/>
    </row>
    <row r="193" spans="1:28"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c r="AA193" s="134"/>
      <c r="AB193" s="134"/>
    </row>
    <row r="194" spans="1:28"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c r="AA194" s="134"/>
      <c r="AB194" s="134"/>
    </row>
    <row r="195" spans="1:28"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c r="AA195" s="134"/>
      <c r="AB195" s="134"/>
    </row>
    <row r="196" spans="1:28"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c r="AA196" s="134"/>
      <c r="AB196" s="134"/>
    </row>
    <row r="197" spans="1:28"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c r="AA197" s="134"/>
      <c r="AB197" s="134"/>
    </row>
    <row r="198" spans="1:28"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c r="AA198" s="134"/>
      <c r="AB198" s="134"/>
    </row>
    <row r="199" spans="1:28"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c r="AA199" s="134"/>
      <c r="AB199" s="134"/>
    </row>
    <row r="200" spans="1:28"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c r="AA200" s="134"/>
      <c r="AB200" s="134"/>
    </row>
    <row r="201" spans="1:28"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c r="AA201" s="134"/>
      <c r="AB201" s="134"/>
    </row>
    <row r="202" spans="1:28"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c r="AA202" s="134"/>
      <c r="AB202" s="134"/>
    </row>
    <row r="203" spans="1:28"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c r="AA203" s="134"/>
      <c r="AB203" s="134"/>
    </row>
    <row r="204" spans="1:28"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c r="AA204" s="134"/>
      <c r="AB204" s="134"/>
    </row>
    <row r="205" spans="1:28"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c r="AA205" s="134"/>
      <c r="AB205" s="134"/>
    </row>
    <row r="206" spans="1:28"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c r="AA206" s="134"/>
      <c r="AB206" s="134"/>
    </row>
    <row r="207" spans="1:28"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c r="AA207" s="134"/>
      <c r="AB207" s="134"/>
    </row>
    <row r="208" spans="1:28"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c r="AA208" s="134"/>
      <c r="AB208" s="134"/>
    </row>
    <row r="209" spans="1:28"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c r="AA209" s="134"/>
      <c r="AB209" s="134"/>
    </row>
    <row r="210" spans="1:28" ht="15.75" customHeight="1">
      <c r="A210" s="135"/>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5.75" customHeight="1">
      <c r="A211" s="135"/>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5.75" customHeight="1">
      <c r="A212" s="135"/>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5.75" customHeight="1">
      <c r="A213" s="135"/>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5.75" customHeight="1">
      <c r="A214" s="135"/>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5.75" customHeight="1">
      <c r="A215" s="135"/>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5.75" customHeight="1">
      <c r="A216" s="135"/>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5.75" customHeight="1">
      <c r="A217" s="135"/>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5.75" customHeight="1">
      <c r="A218" s="135"/>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5.75" customHeight="1">
      <c r="A219" s="135"/>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5.75" customHeight="1">
      <c r="A220" s="135"/>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5.75" customHeight="1">
      <c r="A221" s="135"/>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5.75" customHeight="1">
      <c r="A222" s="135"/>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5.75" customHeight="1">
      <c r="A223" s="135"/>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3">
    <mergeCell ref="E9:F9"/>
    <mergeCell ref="G9:H9"/>
    <mergeCell ref="E10:F10"/>
    <mergeCell ref="G10:H10"/>
    <mergeCell ref="B1:K1"/>
    <mergeCell ref="C4:J4"/>
    <mergeCell ref="E7:H7"/>
    <mergeCell ref="E8:F8"/>
    <mergeCell ref="G8:H8"/>
    <mergeCell ref="C12:J12"/>
    <mergeCell ref="E15:H15"/>
    <mergeCell ref="G16:H16"/>
    <mergeCell ref="C20:J20"/>
    <mergeCell ref="B21:K21"/>
    <mergeCell ref="E16:F16"/>
    <mergeCell ref="E17:F17"/>
    <mergeCell ref="G17:H17"/>
    <mergeCell ref="C22:D22"/>
    <mergeCell ref="F22:G22"/>
    <mergeCell ref="I22:J22"/>
    <mergeCell ref="C23:D23"/>
    <mergeCell ref="F23:G23"/>
    <mergeCell ref="I23:J23"/>
  </mergeCells>
  <printOptions gridLines="1"/>
  <pageMargins left="0.42" right="0.28999999999999998" top="0.64" bottom="0.33" header="0" footer="0"/>
  <pageSetup paperSize="14" scale="4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Props1.xml><?xml version="1.0" encoding="utf-8"?>
<ds:datastoreItem xmlns:ds="http://schemas.openxmlformats.org/officeDocument/2006/customXml" ds:itemID="{A581BF9A-AC88-42E6-89AC-8978135A3E76}"/>
</file>

<file path=customXml/itemProps2.xml><?xml version="1.0" encoding="utf-8"?>
<ds:datastoreItem xmlns:ds="http://schemas.openxmlformats.org/officeDocument/2006/customXml" ds:itemID="{19E67B52-CE00-43DD-BCA1-D5FEED5BC1A8}"/>
</file>

<file path=customXml/itemProps3.xml><?xml version="1.0" encoding="utf-8"?>
<ds:datastoreItem xmlns:ds="http://schemas.openxmlformats.org/officeDocument/2006/customXml" ds:itemID="{CFEBE510-4DB0-4907-ACBD-B671AEB6AA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Group 1</vt:lpstr>
      <vt:lpstr>PART I (CY 2024&amp;SY2024-2025)</vt:lpstr>
      <vt:lpstr>PART I (CY 2025&amp;SY2025-2026)</vt:lpstr>
      <vt:lpstr>PART II</vt:lpstr>
      <vt:lpstr>PART III</vt:lpstr>
      <vt:lpstr>Sheet3</vt:lpstr>
      <vt:lpstr>Sheet4</vt:lpstr>
      <vt:lpstr>Sheet5</vt:lpstr>
      <vt:lpstr>Sheet6</vt:lpstr>
      <vt:lpstr>PART I_SampleComp</vt:lpstr>
      <vt:lpstr>PART II_SampleCom</vt:lpstr>
      <vt:lpstr>PART III_SampleComp</vt:lpstr>
      <vt:lpstr>PART IV</vt:lpstr>
      <vt:lpstr>'PART I (CY 2025&amp;SY2025-2026)'!Print_Area</vt:lpstr>
      <vt:lpstr>'PART II'!Print_Area</vt:lpstr>
      <vt:lpstr>'PART IV'!Print_Area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Mae Dacayo</dc:creator>
  <cp:lastModifiedBy>MC WELSON SOLOMON</cp:lastModifiedBy>
  <cp:lastPrinted>2026-08-24T02:38:31Z</cp:lastPrinted>
  <dcterms:created xsi:type="dcterms:W3CDTF">2025-08-20T03:19:34Z</dcterms:created>
  <dcterms:modified xsi:type="dcterms:W3CDTF">2026-09-22T08:58:32Z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0x010100E389F3844E834B438EAF4C3974A5E888</vt:lpwstr>
  </property>
</Properties>
</file>