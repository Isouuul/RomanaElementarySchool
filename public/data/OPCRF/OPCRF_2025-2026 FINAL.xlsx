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https://depedph.sharepoint.com/sites/ROMANAELEMENTARYSCHOOL117443/Shared Documents/SY 2025-2026/OPCRF 2025-2026 MOVs/"/>
    </mc:Choice>
  </mc:AlternateContent>
  <xr:revisionPtr revIDLastSave="2" documentId="11_FB36767D266230D2788E5D9418AA34B0D0F72B3E" xr6:coauthVersionLast="47" xr6:coauthVersionMax="47" xr10:uidLastSave="{4C83A189-3549-4A57-A6AD-A13C0E6C93D1}"/>
  <bookViews>
    <workbookView xWindow="-110" yWindow="-110" windowWidth="19420" windowHeight="10300" firstSheet="1" activeTab="1" xr2:uid="{00000000-000D-0000-FFFF-FFFF00000000}"/>
  </bookViews>
  <sheets>
    <sheet name="PART I (CY 2024&amp;SY2024-2025)" sheetId="2" state="hidden" r:id="rId1"/>
    <sheet name="PART I (CY 2025&amp;SY2025-2026)" sheetId="3" r:id="rId2"/>
    <sheet name="PART II" sheetId="4" r:id="rId3"/>
    <sheet name="Sheet2" sheetId="5" state="hidden" r:id="rId4"/>
    <sheet name="PART III" sheetId="6" r:id="rId5"/>
    <sheet name="Sheet3" sheetId="7" state="hidden" r:id="rId6"/>
    <sheet name="Sheet4" sheetId="8" state="hidden" r:id="rId7"/>
    <sheet name="Sheet5" sheetId="9" state="hidden" r:id="rId8"/>
    <sheet name="Sheet6" sheetId="10" state="hidden" r:id="rId9"/>
    <sheet name="PART I_SampleComp" sheetId="11" state="hidden" r:id="rId10"/>
    <sheet name="PART II_SampleCom" sheetId="12" state="hidden" r:id="rId11"/>
    <sheet name="PART III_SampleComp" sheetId="13" state="hidden" r:id="rId12"/>
    <sheet name="PART IV" sheetId="14" r:id="rId1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yXMd09oNb04m6Sbjy8I20VXQOoG5polnX3sHFlhvk3M="/>
    </ext>
  </extLst>
</workbook>
</file>

<file path=xl/calcChain.xml><?xml version="1.0" encoding="utf-8"?>
<calcChain xmlns="http://schemas.openxmlformats.org/spreadsheetml/2006/main">
  <c r="C22" i="14" l="1"/>
  <c r="J25" i="4"/>
  <c r="J30" i="4"/>
  <c r="J35" i="4"/>
  <c r="J40" i="4"/>
  <c r="J50" i="4"/>
  <c r="J45" i="4"/>
  <c r="J55" i="4"/>
  <c r="F11" i="13"/>
  <c r="J6" i="4"/>
  <c r="J11" i="4"/>
  <c r="J16" i="4"/>
  <c r="J21" i="4"/>
  <c r="F10" i="13"/>
  <c r="F9" i="13"/>
  <c r="F8" i="13"/>
  <c r="T40" i="3"/>
  <c r="U40" i="3"/>
  <c r="F7" i="13"/>
  <c r="G7" i="13"/>
  <c r="J25" i="12"/>
  <c r="J30" i="12"/>
  <c r="J35" i="12"/>
  <c r="J40" i="12"/>
  <c r="J50" i="12"/>
  <c r="J45" i="12"/>
  <c r="J55" i="12"/>
  <c r="J6" i="12"/>
  <c r="J11" i="12"/>
  <c r="J16" i="12"/>
  <c r="J21" i="12"/>
  <c r="U78" i="11"/>
  <c r="V78" i="11"/>
  <c r="V105" i="11"/>
  <c r="U84" i="11"/>
  <c r="V84" i="11"/>
  <c r="U81" i="11"/>
  <c r="V81" i="11"/>
  <c r="U44" i="11"/>
  <c r="V44" i="11"/>
  <c r="U47" i="11"/>
  <c r="V47" i="11"/>
  <c r="U50" i="11"/>
  <c r="V50" i="11"/>
  <c r="V71" i="11"/>
  <c r="U19" i="11"/>
  <c r="V19" i="11"/>
  <c r="U22" i="11"/>
  <c r="V22" i="11"/>
  <c r="U25" i="11"/>
  <c r="V25" i="11"/>
  <c r="V37" i="11"/>
  <c r="U16" i="11"/>
  <c r="D17" i="6"/>
  <c r="F11" i="6"/>
  <c r="F10" i="6"/>
  <c r="T116" i="3"/>
  <c r="U116" i="3"/>
  <c r="T119" i="3"/>
  <c r="U119" i="3"/>
  <c r="T122" i="3"/>
  <c r="U122" i="3"/>
  <c r="U125" i="3"/>
  <c r="F9" i="6"/>
  <c r="T91" i="3"/>
  <c r="U91" i="3"/>
  <c r="T94" i="3"/>
  <c r="U94" i="3"/>
  <c r="T98" i="3"/>
  <c r="U98" i="3"/>
  <c r="T101" i="3"/>
  <c r="U101" i="3"/>
  <c r="T107" i="3"/>
  <c r="U107" i="3"/>
  <c r="T104" i="3"/>
  <c r="U104" i="3"/>
  <c r="U110" i="3"/>
  <c r="F8" i="6"/>
  <c r="T16" i="3"/>
  <c r="U16" i="3"/>
  <c r="T22" i="3"/>
  <c r="U22" i="3"/>
  <c r="T25" i="3"/>
  <c r="U25" i="3"/>
  <c r="T28" i="3"/>
  <c r="U28" i="3"/>
  <c r="T82" i="3"/>
  <c r="U82" i="3"/>
  <c r="T76" i="3"/>
  <c r="U76" i="3"/>
  <c r="T73" i="3"/>
  <c r="U73" i="3"/>
  <c r="T70" i="3"/>
  <c r="U70" i="3"/>
  <c r="T67" i="3"/>
  <c r="U67" i="3"/>
  <c r="T64" i="3"/>
  <c r="U64" i="3"/>
  <c r="T61" i="3"/>
  <c r="U61" i="3"/>
  <c r="T58" i="3"/>
  <c r="U58" i="3"/>
  <c r="T55" i="3"/>
  <c r="U55" i="3"/>
  <c r="T52" i="3"/>
  <c r="U52" i="3"/>
  <c r="T49" i="3"/>
  <c r="U49" i="3"/>
  <c r="T46" i="3"/>
  <c r="U46" i="3"/>
  <c r="T43" i="3"/>
  <c r="U43" i="3"/>
  <c r="T37" i="3"/>
  <c r="U37" i="3"/>
  <c r="T34" i="3"/>
  <c r="U34" i="3"/>
  <c r="T31" i="3"/>
  <c r="U31" i="3"/>
  <c r="U85" i="3"/>
  <c r="F7" i="6"/>
  <c r="G7" i="6"/>
  <c r="I7" i="6"/>
  <c r="H7" i="6"/>
  <c r="D25" i="5"/>
  <c r="C58" i="4"/>
  <c r="U78" i="2"/>
  <c r="V78" i="2"/>
  <c r="V105" i="2"/>
  <c r="U84" i="2"/>
  <c r="V84" i="2"/>
  <c r="U81" i="2"/>
  <c r="V81" i="2"/>
  <c r="U44" i="2"/>
  <c r="V44" i="2"/>
  <c r="V71" i="2"/>
  <c r="U50" i="2"/>
  <c r="V50" i="2"/>
  <c r="U47" i="2"/>
  <c r="V47" i="2"/>
  <c r="U19" i="2"/>
  <c r="V19" i="2"/>
  <c r="V37" i="2"/>
  <c r="U25" i="2"/>
  <c r="V25" i="2"/>
  <c r="U22" i="2"/>
  <c r="V22" i="2"/>
  <c r="U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100-000002000000}">
      <text>
        <r>
          <rPr>
            <sz val="11"/>
            <color theme="1"/>
            <rFont val="Calibri"/>
            <scheme val="minor"/>
          </rPr>
          <t>======
ID#AAACHbuOmts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100-000001000000}">
      <text>
        <r>
          <rPr>
            <sz val="11"/>
            <color theme="1"/>
            <rFont val="Calibri"/>
            <scheme val="minor"/>
          </rPr>
          <t>======
ID#AAACHbuOmto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extLst>
    <ext xmlns:r="http://schemas.openxmlformats.org/officeDocument/2006/relationships" uri="GoogleSheetsCustomDataVersion2">
      <go:sheetsCustomData xmlns:go="http://customooxmlschemas.google.com/" r:id="rId1" roundtripDataSignature="AMtx7mhq/HbcB4xR43HeJMe+TFSNtQGcU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A00-000002000000}">
      <text>
        <r>
          <rPr>
            <sz val="11"/>
            <color theme="1"/>
            <rFont val="Calibri"/>
            <scheme val="minor"/>
          </rPr>
          <t>======
ID#AAACHbuOmt0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A00-000001000000}">
      <text>
        <r>
          <rPr>
            <sz val="11"/>
            <color theme="1"/>
            <rFont val="Calibri"/>
            <scheme val="minor"/>
          </rPr>
          <t>======
ID#AAACHbuOmtw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extLst>
    <ext xmlns:r="http://schemas.openxmlformats.org/officeDocument/2006/relationships" uri="GoogleSheetsCustomDataVersion2">
      <go:sheetsCustomData xmlns:go="http://customooxmlschemas.google.com/" r:id="rId1" roundtripDataSignature="AMtx7miVyGwQrZ4v0GhKgTrgtn1fP3UaZg=="/>
    </ext>
  </extLst>
</comments>
</file>

<file path=xl/sharedStrings.xml><?xml version="1.0" encoding="utf-8"?>
<sst xmlns="http://schemas.openxmlformats.org/spreadsheetml/2006/main" count="1530" uniqueCount="903">
  <si>
    <r>
      <rPr>
        <b/>
        <sz val="18"/>
        <color rgb="FF000000"/>
        <rFont val="Arial Narrow"/>
      </rPr>
      <t xml:space="preserve">OFFICE PERFORMANCE COMMITMENT AND REVIEW FORM (OPCRF) 
</t>
    </r>
    <r>
      <rPr>
        <b/>
        <i/>
        <sz val="18"/>
        <color rgb="FF000000"/>
        <rFont val="Arial Narrow"/>
      </rPr>
      <t>ver.Feb2025</t>
    </r>
  </si>
  <si>
    <t>Name of Employee:</t>
  </si>
  <si>
    <t xml:space="preserve">Name of Rater: </t>
  </si>
  <si>
    <t xml:space="preserve">Position/Designation: </t>
  </si>
  <si>
    <t xml:space="preserve">Position: </t>
  </si>
  <si>
    <t xml:space="preserve">Review Period:  </t>
  </si>
  <si>
    <t>Approving Authority:</t>
  </si>
  <si>
    <t xml:space="preserve">Strand/Bureau/Center/Service/Region/Division: </t>
  </si>
  <si>
    <t>Date of Review:</t>
  </si>
  <si>
    <t xml:space="preserve">Strand/Bureau/Center/Service/Region/Division Statement of Purpose: </t>
  </si>
  <si>
    <r>
      <rPr>
        <b/>
        <u/>
        <sz val="12"/>
        <color rgb="FF000000"/>
        <rFont val="Arial Narrow"/>
      </rPr>
      <t xml:space="preserve">PART I-A: COMMITMENT TO ORGANIZATIONAL OUTCOMES (60%)
</t>
    </r>
    <r>
      <rPr>
        <b/>
        <i/>
        <sz val="12"/>
        <color rgb="FF000000"/>
        <rFont val="Arial Narrow"/>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MATATAG Agenda priority deliverables, and other national level commitments that are aligned with and relevant to the office KRAs. Clear attribution shall be made to ensure such alignment.</t>
    </r>
  </si>
  <si>
    <t>TO BE ACCOMPLISHED DURING PLANNING</t>
  </si>
  <si>
    <t>TO BE FILLED DURING EVALUATION</t>
  </si>
  <si>
    <t>Organizational Outcomes Alignment</t>
  </si>
  <si>
    <r>
      <rPr>
        <b/>
        <sz val="12"/>
        <color theme="1"/>
        <rFont val="Arial Narrow"/>
      </rPr>
      <t xml:space="preserve">Objectives
</t>
    </r>
    <r>
      <rPr>
        <i/>
        <sz val="12"/>
        <color theme="1"/>
        <rFont val="Arial Narrow"/>
      </rPr>
      <t>(based on Office Functions)</t>
    </r>
  </si>
  <si>
    <t>Timeline</t>
  </si>
  <si>
    <t>Weight Allocation</t>
  </si>
  <si>
    <r>
      <rPr>
        <b/>
        <sz val="12"/>
        <color theme="1"/>
        <rFont val="Arial Narrow"/>
      </rPr>
      <t xml:space="preserve">Performance Targets
</t>
    </r>
    <r>
      <rPr>
        <i/>
        <sz val="12"/>
        <color theme="1"/>
        <rFont val="Arial Narrow"/>
      </rPr>
      <t>(Target Outcome/Ouput of the Bureau/Center/Service/Division aligned with the Outcome/Output Indicators in the Organizational Outcomes)</t>
    </r>
  </si>
  <si>
    <r>
      <rPr>
        <b/>
        <sz val="12"/>
        <color theme="1"/>
        <rFont val="Arial Narrow"/>
      </rPr>
      <t xml:space="preserve">Performance Measure
</t>
    </r>
    <r>
      <rPr>
        <i/>
        <sz val="12"/>
        <color theme="1"/>
        <rFont val="Arial Narrow"/>
      </rPr>
      <t>(Quality, Efficiency, Timeliness)</t>
    </r>
  </si>
  <si>
    <t>Rating Scale</t>
  </si>
  <si>
    <t>Means of Verification (MOVs)</t>
  </si>
  <si>
    <t>Actual Accomplishments</t>
  </si>
  <si>
    <t>RATING
(Q,E,T)</t>
  </si>
  <si>
    <t>AVERAGE
(QET)</t>
  </si>
  <si>
    <t>WEIGHTED AVERAGE</t>
  </si>
  <si>
    <r>
      <rPr>
        <b/>
        <sz val="12"/>
        <color theme="1"/>
        <rFont val="Arial Narrow"/>
      </rPr>
      <t xml:space="preserve">Key Result Areas (KRA)
</t>
    </r>
    <r>
      <rPr>
        <i/>
        <sz val="12"/>
        <color theme="1"/>
        <rFont val="Arial Narrow"/>
      </rPr>
      <t>(Based on Office Mandate and Functions)</t>
    </r>
  </si>
  <si>
    <r>
      <rPr>
        <b/>
        <sz val="12"/>
        <color theme="1"/>
        <rFont val="Arial Narrow"/>
      </rPr>
      <t xml:space="preserve">Organizational Outcome Attribution
</t>
    </r>
    <r>
      <rPr>
        <i/>
        <sz val="12"/>
        <color theme="1"/>
        <rFont val="Arial Narrow"/>
      </rPr>
      <t>(Refer to the GAA Programs/Subprogram and BEDP Pillars)</t>
    </r>
  </si>
  <si>
    <r>
      <rPr>
        <b/>
        <sz val="12"/>
        <color theme="1"/>
        <rFont val="Arial Narrow"/>
      </rPr>
      <t xml:space="preserve">Value
</t>
    </r>
    <r>
      <rPr>
        <i/>
        <sz val="12"/>
        <color theme="1"/>
        <rFont val="Arial Narrow"/>
      </rPr>
      <t>(numerical, statistical, trend)</t>
    </r>
  </si>
  <si>
    <r>
      <rPr>
        <b/>
        <sz val="12"/>
        <color theme="1"/>
        <rFont val="Arial Narrow"/>
      </rPr>
      <t xml:space="preserve">Description
</t>
    </r>
    <r>
      <rPr>
        <i/>
        <sz val="12"/>
        <color theme="1"/>
        <rFont val="Arial Narrow"/>
      </rPr>
      <t>(expected outcome/ output/service)</t>
    </r>
  </si>
  <si>
    <t>5
(Outstanding)</t>
  </si>
  <si>
    <t>4
(Very Satisfactory)</t>
  </si>
  <si>
    <t>3
(Satisfactory)</t>
  </si>
  <si>
    <t>2
(Unsatisfactory)</t>
  </si>
  <si>
    <t>1
(Poor)</t>
  </si>
  <si>
    <t>GAA Programs/ Subprograms</t>
  </si>
  <si>
    <t>BEDP Pillars</t>
  </si>
  <si>
    <t>MATATAG Pillars</t>
  </si>
  <si>
    <t>Education Human Resource Development Program</t>
  </si>
  <si>
    <t>X number of policies formulated, reviewed, and issued</t>
  </si>
  <si>
    <t>Human Resource Development</t>
  </si>
  <si>
    <t xml:space="preserve">Objective 1: Ensured preparation of HR policies, guidelines, and standards that are Bureau-initiated, or may be assigned by the EXECOM for issuance; compliant with PRIME-HRM standards and national guidelines geared towards competency-based HR system within the set scheduled deadline.
</t>
  </si>
  <si>
    <t>January to December 2024</t>
  </si>
  <si>
    <t>Quality</t>
  </si>
  <si>
    <r>
      <rPr>
        <b/>
        <sz val="12"/>
        <color rgb="FF0070C0"/>
        <rFont val="Arial Narrow"/>
      </rPr>
      <t xml:space="preserve">Met all 5 indicators </t>
    </r>
    <r>
      <rPr>
        <sz val="12"/>
        <color rgb="FF0070C0"/>
        <rFont val="Arial Narrow"/>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</si>
  <si>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2"/>
        <color rgb="FF0070C0"/>
        <rFont val="Calibri"/>
      </rPr>
      <t xml:space="preserve"> Met 4 out of 5 indicators </t>
    </r>
    <r>
      <rPr>
        <sz val="12"/>
        <color rgb="FF0070C0"/>
        <rFont val="Calibri"/>
      </rPr>
      <t>based on</t>
    </r>
    <r>
      <rPr>
        <b/>
        <sz val="12"/>
        <color rgb="FF0070C0"/>
        <rFont val="Calibri"/>
      </rPr>
      <t xml:space="preserve"> </t>
    </r>
    <r>
      <rPr>
        <sz val="12"/>
        <color rgb="FF0070C0"/>
        <rFont val="Calibri"/>
      </rPr>
      <t>the established standards in policy formulation</t>
    </r>
  </si>
  <si>
    <r>
      <rPr>
        <b/>
        <sz val="12"/>
        <color rgb="FF0070C0"/>
        <rFont val="Calibri"/>
      </rPr>
      <t xml:space="preserve"> Met 3 out of 5 indicators</t>
    </r>
    <r>
      <rPr>
        <sz val="12"/>
        <color rgb="FF0070C0"/>
        <rFont val="Calibri"/>
      </rPr>
      <t xml:space="preserve"> based on the established standards in policy formulation</t>
    </r>
  </si>
  <si>
    <r>
      <rPr>
        <b/>
        <sz val="12"/>
        <color rgb="FF0070C0"/>
        <rFont val="Calibri"/>
      </rPr>
      <t>Met 2 out of 5 indicators</t>
    </r>
    <r>
      <rPr>
        <sz val="12"/>
        <color rgb="FF0070C0"/>
        <rFont val="Calibri"/>
      </rPr>
      <t xml:space="preserve"> based on the established standards in policy formulation</t>
    </r>
  </si>
  <si>
    <r>
      <rPr>
        <b/>
        <sz val="12"/>
        <color rgb="FF0070C0"/>
        <rFont val="Calibri"/>
      </rPr>
      <t>Only 1 out of 5 indicators</t>
    </r>
    <r>
      <rPr>
        <sz val="12"/>
        <color rgb="FF0070C0"/>
        <rFont val="Calibri"/>
      </rPr>
      <t xml:space="preserve"> is met based on the established standards in policy formulation</t>
    </r>
  </si>
  <si>
    <t>Policy deliverables submitted followed the set standards in policy formulation and met all 5 indicators</t>
  </si>
  <si>
    <t>Efficiency</t>
  </si>
  <si>
    <r>
      <rPr>
        <b/>
        <sz val="12"/>
        <color rgb="FF0070C0"/>
        <rFont val="Arial Narrow"/>
      </rPr>
      <t>100%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
</t>
    </r>
  </si>
  <si>
    <r>
      <rPr>
        <b/>
        <sz val="12"/>
        <color rgb="FF0070C0"/>
        <rFont val="Arial Narrow"/>
      </rPr>
      <t>76-99%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</si>
  <si>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51-75%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</si>
  <si>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 xml:space="preserve">26-50% of total number of policy deliverables </t>
    </r>
    <r>
      <rPr>
        <sz val="12"/>
        <color rgb="FF0070C0"/>
        <rFont val="Arial Narrow"/>
      </rPr>
      <t>submitted and/or presented to the Director for approval; commented upon by such and provided responses to said comments; and/or integrated into the proposed policy action document.</t>
    </r>
  </si>
  <si>
    <r>
      <rPr>
        <b/>
        <sz val="12"/>
        <color rgb="FF0070C0"/>
        <rFont val="Arial Narrow"/>
      </rPr>
      <t>25 %and below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</si>
  <si>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t>13 out of 15 (87%) policy deliverables were submitted and/or presented to the Director and/or EXECOM for approval</t>
  </si>
  <si>
    <t>Timeliness</t>
  </si>
  <si>
    <t xml:space="preserve">Endorsed to the Office of the Director before the deadline set </t>
  </si>
  <si>
    <t xml:space="preserve">Endorsed to the Office of the Director on the deadline set </t>
  </si>
  <si>
    <t xml:space="preserve">Endorsed to the Office of the Director two weeks after the deadline 
</t>
  </si>
  <si>
    <t xml:space="preserve">Endorsed to the Office of the Director one month after the deadline </t>
  </si>
  <si>
    <t>Endorsed to the Office of the Director more than one month</t>
  </si>
  <si>
    <t>13 policy deliberables endorsed to the Office of the Director before the deadline set</t>
  </si>
  <si>
    <t>Refer to Accountability Matrix (PREXC Indicators)</t>
  </si>
  <si>
    <t>Refer to BMEF and BEDP  2030</t>
  </si>
  <si>
    <t>Part I-A Total Score</t>
  </si>
  <si>
    <r>
      <rPr>
        <b/>
        <u/>
        <sz val="12"/>
        <color rgb="FF000000"/>
        <rFont val="Arial Narrow"/>
      </rPr>
      <t xml:space="preserve">PART I-B: INNOVATING AND INTERVENING ACCOMPLISHMENTS </t>
    </r>
    <r>
      <rPr>
        <b/>
        <u/>
        <sz val="18"/>
        <color rgb="FF000000"/>
        <rFont val="Arial Narrow"/>
      </rPr>
      <t>(20%)</t>
    </r>
    <r>
      <rPr>
        <b/>
        <u/>
        <sz val="12"/>
        <color rgb="FF000000"/>
        <rFont val="Arial Narrow"/>
      </rPr>
      <t xml:space="preserve">
</t>
    </r>
    <r>
      <rPr>
        <b/>
        <i/>
        <sz val="12"/>
        <color rgb="FF000000"/>
        <rFont val="Arial Narrow"/>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</si>
  <si>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t>TO BE FILLED IN DURING PLANNING</t>
  </si>
  <si>
    <t>Key Result Areas (KRA)</t>
  </si>
  <si>
    <t>Objectives</t>
  </si>
  <si>
    <r>
      <rPr>
        <b/>
        <sz val="12"/>
        <color theme="1"/>
        <rFont val="Arial Narrow"/>
      </rPr>
      <t xml:space="preserve">Performance Targets
</t>
    </r>
    <r>
      <rPr>
        <i/>
        <sz val="11"/>
        <color theme="1"/>
        <rFont val="Arial Narrow"/>
      </rPr>
      <t>(Target Outcome/Ouput of the Bureau/Center/Service/Division that are enabling, supportive, and/or contributory to the achievement of the organizational outcomes and KRAs (Part I-A))</t>
    </r>
  </si>
  <si>
    <t>RATING SCALE</t>
  </si>
  <si>
    <t>Actual Results/ Accomplishments</t>
  </si>
  <si>
    <r>
      <rPr>
        <b/>
        <sz val="12"/>
        <color theme="1"/>
        <rFont val="Arial Narrow"/>
      </rPr>
      <t xml:space="preserve">Value
</t>
    </r>
    <r>
      <rPr>
        <i/>
        <sz val="12"/>
        <color theme="1"/>
        <rFont val="Arial"/>
      </rPr>
      <t>(numerical, statistical, trend)</t>
    </r>
  </si>
  <si>
    <t>Part I-B Total Score</t>
  </si>
  <si>
    <r>
      <rPr>
        <b/>
        <u/>
        <sz val="12"/>
        <color rgb="FF000000"/>
        <rFont val="Arial Narrow"/>
      </rPr>
      <t xml:space="preserve">PART I-C:  ORGANIZATIONAL EFFECTIVENESS </t>
    </r>
    <r>
      <rPr>
        <b/>
        <u/>
        <sz val="18"/>
        <color rgb="FF000000"/>
        <rFont val="Arial Narrow"/>
      </rPr>
      <t>(15%)</t>
    </r>
    <r>
      <rPr>
        <b/>
        <u/>
        <sz val="12"/>
        <color rgb="FF000000"/>
        <rFont val="Arial Narrow"/>
      </rPr>
      <t xml:space="preserve">
</t>
    </r>
    <r>
      <rPr>
        <b/>
        <i/>
        <sz val="12"/>
        <color rgb="FF000000"/>
        <rFont val="Arial Narrow"/>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</si>
  <si>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Organizational Effectiveness Area</t>
  </si>
  <si>
    <t>Financial Stewardship</t>
  </si>
  <si>
    <t>Utilized 98% of the budget allocation in accordance with the quarterly disbursement program with no overdraft/deficit/disallowance from oversight agency/ies</t>
  </si>
  <si>
    <t>Within the rating period</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</si>
  <si>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</si>
  <si>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</si>
  <si>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</si>
  <si>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</si>
  <si>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</si>
  <si>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</si>
  <si>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</si>
  <si>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</si>
  <si>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</si>
  <si>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</si>
  <si>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</si>
  <si>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</si>
  <si>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</si>
  <si>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</si>
  <si>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</si>
  <si>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</si>
  <si>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</si>
  <si>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</si>
  <si>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</si>
  <si>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</si>
  <si>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</si>
  <si>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</si>
  <si>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Streamlined and/or digitized all office core processes identified in the QMS planning documents</t>
  </si>
  <si>
    <r>
      <rPr>
        <sz val="11"/>
        <color theme="1"/>
        <rFont val="Arial Narrow"/>
      </rPr>
      <t xml:space="preserve">Streamlined and/or digitized </t>
    </r>
    <r>
      <rPr>
        <b/>
        <sz val="11"/>
        <color theme="1"/>
        <rFont val="Arial Narrow"/>
      </rPr>
      <t>76-99%</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</si>
  <si>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51-75%</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</si>
  <si>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 xml:space="preserve">26-50% </t>
    </r>
    <r>
      <rPr>
        <sz val="11"/>
        <color theme="1"/>
        <rFont val="Arial Narrow"/>
      </rPr>
      <t>of the office core processes identified in the QMS planning documents</t>
    </r>
  </si>
  <si>
    <r>
      <rPr>
        <sz val="11"/>
        <color theme="1"/>
        <rFont val="Arial Narrow"/>
      </rPr>
      <t>Streamlined and/or digitized</t>
    </r>
    <r>
      <rPr>
        <b/>
        <sz val="11"/>
        <color theme="1"/>
        <rFont val="Arial Narrow"/>
      </rPr>
      <t xml:space="preserve"> 0-25% </t>
    </r>
    <r>
      <rPr>
        <sz val="11"/>
        <color theme="1"/>
        <rFont val="Arial Narrow"/>
      </rPr>
      <t>of the office core processes identified in the QMS planning documents</t>
    </r>
  </si>
  <si>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</si>
  <si>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</si>
  <si>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</si>
  <si>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</si>
  <si>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</si>
  <si>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</si>
  <si>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</si>
  <si>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</si>
  <si>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</si>
  <si>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</si>
  <si>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</si>
  <si>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</si>
  <si>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</si>
  <si>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</si>
  <si>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</si>
  <si>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</si>
  <si>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</si>
  <si>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</si>
  <si>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</si>
  <si>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 xml:space="preserve"> </t>
  </si>
  <si>
    <r>
      <rPr>
        <b/>
        <sz val="18"/>
        <color rgb="FF000000"/>
        <rFont val="Bookman Old Style"/>
      </rPr>
      <t xml:space="preserve">OFFICE PERFORMANCE COMMITMENT AND REVIEW FORM (OPCRF) 
</t>
    </r>
    <r>
      <rPr>
        <b/>
        <i/>
        <sz val="18"/>
        <color rgb="FF000000"/>
        <rFont val="Bookman Old Style"/>
      </rPr>
      <t>ver.Feb2025</t>
    </r>
  </si>
  <si>
    <t xml:space="preserve">Name of Employee:  </t>
  </si>
  <si>
    <t>MC WELSON C. SOLOMON</t>
  </si>
  <si>
    <t>ROGER Z. ROCHAR, PhD</t>
  </si>
  <si>
    <t>HEAD TEACHER III</t>
  </si>
  <si>
    <t>OIC-ASDS</t>
  </si>
  <si>
    <t>June 2025-July 2026</t>
  </si>
  <si>
    <t>PORTIA MISSION MALLORCA, PhD CESO V</t>
  </si>
  <si>
    <t xml:space="preserve">Division: </t>
  </si>
  <si>
    <t>City Schools Division of Victorias</t>
  </si>
  <si>
    <t>Date of Rating:</t>
  </si>
  <si>
    <t>Division Statement of Purpose:</t>
  </si>
  <si>
    <t xml:space="preserve"> To improve the learning outcomes of the schools in SDO Victorias City</t>
  </si>
  <si>
    <r>
      <rPr>
        <b/>
        <u/>
        <sz val="20"/>
        <color rgb="FF000000"/>
        <rFont val="Bookman Old Style"/>
      </rPr>
      <t xml:space="preserve">PART I-A: COMMITMENT TO ORGANIZATIONAL OUTCOMES (60%)
</t>
    </r>
    <r>
      <rPr>
        <b/>
        <i/>
        <sz val="20"/>
        <color rgb="FF000000"/>
        <rFont val="Bookman Old Style"/>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</si>
  <si>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r>
      <rPr>
        <b/>
        <sz val="20"/>
        <color theme="1"/>
        <rFont val="Bookman Old Style"/>
      </rPr>
      <t xml:space="preserve">Objectives
</t>
    </r>
    <r>
      <rPr>
        <i/>
        <sz val="20"/>
        <color theme="1"/>
        <rFont val="Bookman Old Style"/>
      </rPr>
      <t>(based on Office Functions)</t>
    </r>
  </si>
  <si>
    <r>
      <rPr>
        <b/>
        <sz val="20"/>
        <color theme="1"/>
        <rFont val="Bookman Old Style"/>
      </rPr>
      <t xml:space="preserve">Performance Targets
</t>
    </r>
    <r>
      <rPr>
        <i/>
        <sz val="20"/>
        <color theme="1"/>
        <rFont val="Bookman Old Style"/>
      </rPr>
      <t>(Target Outcome/ Ouput of the Bureau/ Center/Service/ Division aligned with the Outcome/Output Indicators in the Organizational Outcomes)</t>
    </r>
  </si>
  <si>
    <r>
      <rPr>
        <b/>
        <sz val="20"/>
        <color theme="1"/>
        <rFont val="Bookman Old Style"/>
      </rPr>
      <t xml:space="preserve">Performance Measure
</t>
    </r>
    <r>
      <rPr>
        <i/>
        <sz val="20"/>
        <color theme="1"/>
        <rFont val="Bookman Old Style"/>
      </rPr>
      <t>(Quality, Efficiency, Timeliness)</t>
    </r>
  </si>
  <si>
    <r>
      <rPr>
        <b/>
        <sz val="20"/>
        <color theme="1"/>
        <rFont val="Bookman Old Style"/>
      </rPr>
      <t xml:space="preserve">Key Result Areas (KRA)
</t>
    </r>
    <r>
      <rPr>
        <i/>
        <sz val="20"/>
        <color theme="1"/>
        <rFont val="Bookman Old Style"/>
      </rPr>
      <t>(Based on Office Mandate and Functions)</t>
    </r>
  </si>
  <si>
    <r>
      <rPr>
        <b/>
        <sz val="20"/>
        <color theme="1"/>
        <rFont val="Bookman Old Style"/>
      </rPr>
      <t xml:space="preserve">Organizational Outcome Attribution
</t>
    </r>
    <r>
      <rPr>
        <i/>
        <sz val="20"/>
        <color theme="1"/>
        <rFont val="Bookman Old Style"/>
      </rPr>
      <t>(Refer to the GAA Programs/Subprogram and BEDP Pillars)</t>
    </r>
  </si>
  <si>
    <r>
      <rPr>
        <b/>
        <sz val="20"/>
        <color theme="1"/>
        <rFont val="Bookman Old Style"/>
      </rPr>
      <t xml:space="preserve">Value
</t>
    </r>
    <r>
      <rPr>
        <i/>
        <sz val="20"/>
        <color theme="1"/>
        <rFont val="Bookman Old Style"/>
      </rPr>
      <t>(numerical, statistical, trend)</t>
    </r>
  </si>
  <si>
    <r>
      <rPr>
        <b/>
        <sz val="20"/>
        <color theme="1"/>
        <rFont val="Bookman Old Style"/>
      </rPr>
      <t xml:space="preserve">Description
</t>
    </r>
    <r>
      <rPr>
        <i/>
        <sz val="20"/>
        <color theme="1"/>
        <rFont val="Bookman Old Style"/>
      </rPr>
      <t>(expected outcome/ output/service)</t>
    </r>
  </si>
  <si>
    <t>Current Administration Agenda</t>
  </si>
  <si>
    <t>KRA 1: Curriculum and Teaching</t>
  </si>
  <si>
    <t>*Education Policy Development Program</t>
  </si>
  <si>
    <t>High Quality of Education</t>
  </si>
  <si>
    <t xml:space="preserve">1. Accounted for learning outcomes of school vis-a-vis goals and targets (Reduced Frustration Level Learners, Reduce Non-Numerates)            -----------------------                                                                                                                                                                                                                                                                                                       1.1. Achieved the targeted percentage of learners who are Grade Level Ready measured by CRLA                            </t>
  </si>
  <si>
    <t>June 2025-March 2026</t>
  </si>
  <si>
    <t>*based on CRLA EOSY 2024-2025      Baseline Data: 56.92</t>
  </si>
  <si>
    <t xml:space="preserve">100% of the targeted percentage (%) increase of Grade Level Ready learners  measured by CRLA  achieved </t>
  </si>
  <si>
    <r>
      <rPr>
        <b/>
        <sz val="18"/>
        <color theme="1"/>
        <rFont val="Bookman Old Style"/>
      </rPr>
      <t>Exceeded 100% of the target</t>
    </r>
    <r>
      <rPr>
        <sz val="18"/>
        <color theme="1"/>
        <rFont val="Bookman Old Style"/>
      </rPr>
      <t xml:space="preserve"> in the percentage increase of Grade Level Ready learners based on CRLA, with only </t>
    </r>
    <r>
      <rPr>
        <b/>
        <sz val="18"/>
        <color theme="1"/>
        <rFont val="Bookman Old Style"/>
      </rPr>
      <t>1–2 lapses</t>
    </r>
    <r>
      <rPr>
        <sz val="18"/>
        <color theme="1"/>
        <rFont val="Bookman Old Style"/>
      </rPr>
      <t>.</t>
    </r>
  </si>
  <si>
    <r>
      <rPr>
        <b/>
        <sz val="18"/>
        <color theme="1"/>
        <rFont val="Bookman Old Style"/>
      </rPr>
      <t>Achieved 100% of the target</t>
    </r>
    <r>
      <rPr>
        <sz val="18"/>
        <color theme="1"/>
        <rFont val="Bookman Old Style"/>
      </rPr>
      <t xml:space="preserve"> in the percentage increase of Grade Level Ready learners based on CRLA, with only </t>
    </r>
    <r>
      <rPr>
        <b/>
        <sz val="18"/>
        <color theme="1"/>
        <rFont val="Bookman Old Style"/>
      </rPr>
      <t>3–4 lapses</t>
    </r>
    <r>
      <rPr>
        <sz val="18"/>
        <color theme="1"/>
        <rFont val="Bookman Old Style"/>
      </rPr>
      <t>.</t>
    </r>
  </si>
  <si>
    <r>
      <rPr>
        <b/>
        <sz val="18"/>
        <color theme="1"/>
        <rFont val="Bookman Old Style"/>
      </rPr>
      <t>Achieved 80%–99.9% of the target</t>
    </r>
    <r>
      <rPr>
        <sz val="18"/>
        <color theme="1"/>
        <rFont val="Bookman Old Style"/>
      </rPr>
      <t xml:space="preserve"> in the percentage increase of Grade Level Ready learners based on CRLA, with </t>
    </r>
    <r>
      <rPr>
        <b/>
        <sz val="18"/>
        <color theme="1"/>
        <rFont val="Bookman Old Style"/>
      </rPr>
      <t>5–6 lapses</t>
    </r>
    <r>
      <rPr>
        <sz val="18"/>
        <color theme="1"/>
        <rFont val="Bookman Old Style"/>
      </rPr>
      <t>.</t>
    </r>
  </si>
  <si>
    <r>
      <rPr>
        <b/>
        <sz val="18"/>
        <color theme="1"/>
        <rFont val="Bookman Old Style"/>
      </rPr>
      <t>Achieved 60%–79.9% of the target</t>
    </r>
    <r>
      <rPr>
        <sz val="18"/>
        <color theme="1"/>
        <rFont val="Bookman Old Style"/>
      </rPr>
      <t xml:space="preserve"> in the percentage increase of Grade Level Ready learners based on CRLA, with </t>
    </r>
    <r>
      <rPr>
        <b/>
        <sz val="18"/>
        <color theme="1"/>
        <rFont val="Bookman Old Style"/>
      </rPr>
      <t>7–8 lapses</t>
    </r>
    <r>
      <rPr>
        <sz val="18"/>
        <color theme="1"/>
        <rFont val="Bookman Old Style"/>
      </rPr>
      <t>.</t>
    </r>
  </si>
  <si>
    <r>
      <rPr>
        <b/>
        <sz val="18"/>
        <color theme="1"/>
        <rFont val="Bookman Old Style"/>
      </rPr>
      <t>Achieved below 60% of the target</t>
    </r>
    <r>
      <rPr>
        <sz val="18"/>
        <color theme="1"/>
        <rFont val="Bookman Old Style"/>
      </rPr>
      <t xml:space="preserve"> in the percentage increase of Grade Level Ready learners based on CRLA, with </t>
    </r>
    <r>
      <rPr>
        <b/>
        <sz val="18"/>
        <color theme="1"/>
        <rFont val="Bookman Old Style"/>
      </rPr>
      <t>9 or more lapses</t>
    </r>
    <r>
      <rPr>
        <sz val="18"/>
        <color theme="1"/>
        <rFont val="Bookman Old Style"/>
      </rPr>
      <t>.</t>
    </r>
  </si>
  <si>
    <t xml:space="preserve">1. CRLA Result (BOSY,EOSY)sheet per grade level
2. Consolidated CRLA school report
3. Comparative Analysis vs. target
</t>
  </si>
  <si>
    <r>
      <rPr>
        <sz val="18"/>
        <color theme="1"/>
        <rFont val="Bookman Old Style"/>
      </rPr>
      <t xml:space="preserve">Submitted the CRLA results </t>
    </r>
    <r>
      <rPr>
        <b/>
        <sz val="18"/>
        <color theme="1"/>
        <rFont val="Bookman Old Style"/>
      </rPr>
      <t>complete, accurate, and fully supported by all required MOVs</t>
    </r>
    <r>
      <rPr>
        <sz val="18"/>
        <color theme="1"/>
        <rFont val="Bookman Old Style"/>
      </rPr>
      <t>, with no deficiencies requiring resubmission.</t>
    </r>
  </si>
  <si>
    <r>
      <rPr>
        <sz val="18"/>
        <color theme="1"/>
        <rFont val="Bookman Old Style"/>
      </rPr>
      <t xml:space="preserve">Submitted the CRLA results </t>
    </r>
    <r>
      <rPr>
        <b/>
        <sz val="18"/>
        <color theme="1"/>
        <rFont val="Bookman Old Style"/>
      </rPr>
      <t>complete and supported by at least 4 required MOVs</t>
    </r>
    <r>
      <rPr>
        <sz val="18"/>
        <color theme="1"/>
        <rFont val="Bookman Old Style"/>
      </rPr>
      <t>, with minimal deficiencies.</t>
    </r>
  </si>
  <si>
    <r>
      <rPr>
        <sz val="18"/>
        <color theme="1"/>
        <rFont val="Bookman Old Style"/>
      </rPr>
      <t xml:space="preserve">Submitted the CRLA results </t>
    </r>
    <r>
      <rPr>
        <b/>
        <sz val="18"/>
        <color theme="1"/>
        <rFont val="Bookman Old Style"/>
      </rPr>
      <t>supported by at least 3 required MOVs</t>
    </r>
    <r>
      <rPr>
        <sz val="18"/>
        <color theme="1"/>
        <rFont val="Bookman Old Style"/>
      </rPr>
      <t>, with manageable deficiencies.</t>
    </r>
  </si>
  <si>
    <r>
      <rPr>
        <sz val="18"/>
        <color theme="1"/>
        <rFont val="Bookman Old Style"/>
      </rPr>
      <t xml:space="preserve">Submitted the CRLA results </t>
    </r>
    <r>
      <rPr>
        <b/>
        <sz val="18"/>
        <color theme="1"/>
        <rFont val="Bookman Old Style"/>
      </rPr>
      <t>supported by at least 2 required MOVs</t>
    </r>
    <r>
      <rPr>
        <sz val="18"/>
        <color theme="1"/>
        <rFont val="Bookman Old Style"/>
      </rPr>
      <t>, with significant deficiencies.</t>
    </r>
  </si>
  <si>
    <r>
      <rPr>
        <sz val="18"/>
        <color theme="1"/>
        <rFont val="Bookman Old Style"/>
      </rPr>
      <t xml:space="preserve">Submitted the CRLA results </t>
    </r>
    <r>
      <rPr>
        <b/>
        <sz val="18"/>
        <color theme="1"/>
        <rFont val="Bookman Old Style"/>
      </rPr>
      <t>supported by only 1 or none of the required MOVs</t>
    </r>
    <r>
      <rPr>
        <sz val="18"/>
        <color theme="1"/>
        <rFont val="Bookman Old Style"/>
      </rPr>
      <t>, with substantial deficiencies.</t>
    </r>
  </si>
  <si>
    <r>
      <rPr>
        <sz val="18"/>
        <color theme="1"/>
        <rFont val="Bookman Old Style"/>
      </rPr>
      <t xml:space="preserve">Submitted </t>
    </r>
    <r>
      <rPr>
        <b/>
        <sz val="18"/>
        <color theme="1"/>
        <rFont val="Bookman Old Style"/>
      </rPr>
      <t>on or before the prescribed due date</t>
    </r>
    <r>
      <rPr>
        <sz val="18"/>
        <color theme="1"/>
        <rFont val="Bookman Old Style"/>
      </rPr>
      <t>, with complete requirements ready for validation.</t>
    </r>
  </si>
  <si>
    <r>
      <rPr>
        <sz val="18"/>
        <color theme="1"/>
        <rFont val="Bookman Old Style"/>
      </rPr>
      <t xml:space="preserve">Submitted </t>
    </r>
    <r>
      <rPr>
        <b/>
        <sz val="18"/>
        <color theme="1"/>
        <rFont val="Bookman Old Style"/>
      </rPr>
      <t>1–2 working days after</t>
    </r>
    <r>
      <rPr>
        <sz val="18"/>
        <color theme="1"/>
        <rFont val="Bookman Old Style"/>
      </rPr>
      <t xml:space="preserve"> the prescribed due date.</t>
    </r>
  </si>
  <si>
    <r>
      <rPr>
        <sz val="18"/>
        <color theme="1"/>
        <rFont val="Bookman Old Style"/>
      </rPr>
      <t xml:space="preserve">Submitted </t>
    </r>
    <r>
      <rPr>
        <b/>
        <sz val="18"/>
        <color theme="1"/>
        <rFont val="Bookman Old Style"/>
      </rPr>
      <t>3–4 working days after</t>
    </r>
    <r>
      <rPr>
        <sz val="18"/>
        <color theme="1"/>
        <rFont val="Bookman Old Style"/>
      </rPr>
      <t xml:space="preserve"> the prescribed due date.</t>
    </r>
  </si>
  <si>
    <r>
      <rPr>
        <sz val="18"/>
        <color theme="1"/>
        <rFont val="Bookman Old Style"/>
      </rPr>
      <t xml:space="preserve">Submitted </t>
    </r>
    <r>
      <rPr>
        <b/>
        <sz val="18"/>
        <color theme="1"/>
        <rFont val="Bookman Old Style"/>
      </rPr>
      <t>5–6 working days after</t>
    </r>
    <r>
      <rPr>
        <sz val="18"/>
        <color theme="1"/>
        <rFont val="Bookman Old Style"/>
      </rPr>
      <t xml:space="preserve"> the prescribed due date.</t>
    </r>
  </si>
  <si>
    <r>
      <rPr>
        <sz val="18"/>
        <color theme="1"/>
        <rFont val="Bookman Old Style"/>
      </rPr>
      <t xml:space="preserve">Submitted </t>
    </r>
    <r>
      <rPr>
        <b/>
        <sz val="18"/>
        <color theme="1"/>
        <rFont val="Bookman Old Style"/>
      </rPr>
      <t>7 or more working days after</t>
    </r>
    <r>
      <rPr>
        <sz val="18"/>
        <color theme="1"/>
        <rFont val="Bookman Old Style"/>
      </rPr>
      <t xml:space="preserve"> the prescribed due date.</t>
    </r>
  </si>
  <si>
    <t>1.2. Achieved 50% of learners at Independent Level in Phil-IRI Filipino Results</t>
  </si>
  <si>
    <t>Achieved 50% and above of learners at Independent Level in Phil-IRI Filipino Results.</t>
  </si>
  <si>
    <t>Achieved 40-50% of learners at Independent Level in Phil-IRI Filipino Results.</t>
  </si>
  <si>
    <t>Achieved 30-40% of learners at Independent Level in Phil-IRI Filipino Results.</t>
  </si>
  <si>
    <t>Achieved 20-30% of learners at Independent Level in Phil-IRI Filipino Results.</t>
  </si>
  <si>
    <t>Achieved 20% and below of learners at Independent Level in Phil-IRI Filipino Results.</t>
  </si>
  <si>
    <t xml:space="preserve">1. Phil-IRI  Filipino Consolidated BOSY Results                                                                                             2.Phil-IRI  Filipino Consolidated EOSY Results                                                                                           3. Phil-IRI  Filipino Grade Level BOSY Results                            
4. Phil-IRI  Filipino Grade Level EOSY Results                              
</t>
  </si>
  <si>
    <t>Submitted Phil-IRI Filipino results and supported by all of the MOVs</t>
  </si>
  <si>
    <t>Submitted Phil-IRI Filipino results and supported by any 4 of the MOVs</t>
  </si>
  <si>
    <t>Submitted Phil-IRI Filipino results and supported by any 3 of the MOV</t>
  </si>
  <si>
    <t>Submitted Phil-IRI Filipino results and supported by any 2 of the MOV</t>
  </si>
  <si>
    <t>Submitted Phil-IRI Filipino results and supported by any 1 of the MOVs</t>
  </si>
  <si>
    <t>Submitted on or before due date</t>
  </si>
  <si>
    <t>Submitted 1–2 days working days after due date</t>
  </si>
  <si>
    <t>Submitted 3–4 days working days after due date</t>
  </si>
  <si>
    <t>Submitted 5–6 days working days after due date</t>
  </si>
  <si>
    <t>Submitted 7–8 days working days after due date</t>
  </si>
  <si>
    <t>1.3. Achieved 50% of learners at Independent Level in Phil-IRI English Results</t>
  </si>
  <si>
    <t>Achieved 50% and above of learners at Independent Level in Phil-IRI English Results.</t>
  </si>
  <si>
    <t>Achieved 40-50% of learners at Independent Level in Phil-IRI English Results.</t>
  </si>
  <si>
    <t>Achieved 30-40% of learners at Independent Level in Phil-IRI English Results.</t>
  </si>
  <si>
    <t>Achieved 20-30% of learners at Independent Level in Phil-IRI English Results.</t>
  </si>
  <si>
    <t>Achieved 20% and below of learners at Independent Level in Phil-IRI English Results.</t>
  </si>
  <si>
    <t xml:space="preserve">1. Phil-IRI  English Consolidated BOSY Results                                                                                    2. Phil-IRI  English Consolidated EOSY Results                                                                                3. Phil-IRI  English Grade Level BOSY Results                           
4. Phil-IRI  English Grade Level EOSY Results                                
 </t>
  </si>
  <si>
    <t>Submitted Phil-IRI English results and supported by all of the MOVs</t>
  </si>
  <si>
    <t>Submitted Phil-IRI English results and supported by any 4 of the MOVs</t>
  </si>
  <si>
    <t>Submitted Phil-IRI English results and supported by any 3 of the MOV</t>
  </si>
  <si>
    <t>Submitted Phil-IRI English results and supported by any 2 of the MOV</t>
  </si>
  <si>
    <t>Submitted Phil-IRI English results and supported by any 1 of the MOVs</t>
  </si>
  <si>
    <t>1.4. Achieved 50% of learners at Proficient and Highly Proficient Level in RMA Results</t>
  </si>
  <si>
    <t>Achieved 50% and above of learners at Proficient and Highly Proficient Level in RMA Results</t>
  </si>
  <si>
    <t>Achieved 40-50% of learners at Proficient and Highly Proficient Level in RMA Results</t>
  </si>
  <si>
    <t>Achieved 30-40% of learners at Proficient and Highly Proficient Level in RMA Results</t>
  </si>
  <si>
    <t>Achieved 20-30% and of learners at Proficient and Highly Proficient Level in RMA Results</t>
  </si>
  <si>
    <t>Achieved 20% and below of learners at Proficient and Highly Proficient Level in RMA Results</t>
  </si>
  <si>
    <t xml:space="preserve">1. RMA Consolidated BOSY Results                                                                2. RMA Consolidated EOSY Results                                                           3. RMA Grade Level BOSY Results                             
4. RMA Grade Level EOSY Results                                 
</t>
  </si>
  <si>
    <t>Submitted RMA results and supported by all of the MOVs</t>
  </si>
  <si>
    <t>Submitted RMA results and supported by any 4 of the MOVs</t>
  </si>
  <si>
    <t>Submitted RMA results and supported by any 3 of the MOV</t>
  </si>
  <si>
    <t>Submitted RMA results and supported by any 2 of the MOV</t>
  </si>
  <si>
    <t>Submitted RMA results and supported by any 1 of the MOVs</t>
  </si>
  <si>
    <t>Education Policy Development Program</t>
  </si>
  <si>
    <t>Prepared teachers and class program aligned with teachers area of specialization/expertise.</t>
  </si>
  <si>
    <t>Last  Week of June 2025</t>
  </si>
  <si>
    <t>Prepared teachers and class program aligned with teachers   of specialization/expertise.</t>
  </si>
  <si>
    <t>Prepared teachers and class program with 90-100% of the teachers aligned with their area of specialization/ expertise</t>
  </si>
  <si>
    <t>Prepared teachers and class program with 70-89% of the teachers aligned with their area of specialization/ expertise</t>
  </si>
  <si>
    <t>Prepared teachers and class program with 50-69% of the teachers aligned with their area of specialization/ expertise</t>
  </si>
  <si>
    <t>Prepared teachers and class program with 20-49% of the teachers aligned with their area of specialization/ expertise</t>
  </si>
  <si>
    <t>Prepared teachers and class program with 0-19% of the teachers aligned with their area of specialization/ expertise</t>
  </si>
  <si>
    <t>1. Certificate of Related Trainings                                                                 2. SF7                                                          
3. Approved Class and Teachers Program</t>
  </si>
  <si>
    <t>Teachers and class program submitted and approved 2 weeks before the start of classes</t>
  </si>
  <si>
    <t>Teachers and class program submitted with 3-5 corrections/ revisions.</t>
  </si>
  <si>
    <t>Teachers and class program submitted with 6-8 corrections/ revisions.</t>
  </si>
  <si>
    <t>Teachers and class program submitted with 9-11 corrections/ revisions.</t>
  </si>
  <si>
    <t>Teachers and class program submitted with 12 and more corrections/ revisions.</t>
  </si>
  <si>
    <t>Teachers and class program submitted and approved 2  weeks before the start of classes</t>
  </si>
  <si>
    <t>Teachers and class program submitted and approved 1 week before the start of classes</t>
  </si>
  <si>
    <t>Teachers and class program submitted and approved on the start of classes</t>
  </si>
  <si>
    <t>Teachers and class program submitted and approved 1 week after the start of classes</t>
  </si>
  <si>
    <t>Teachers and class program submitted and approved 2 weeks after the start of classes</t>
  </si>
  <si>
    <t>*Education Policy Development Program               *Education Human Resource Development Program</t>
  </si>
  <si>
    <t>*High Quality of Education   *High Performing Teacher</t>
  </si>
  <si>
    <t>2. Performed Instructional Supervision</t>
  </si>
  <si>
    <t>Teachers Observation</t>
  </si>
  <si>
    <t>100% of planned instructional supervision reflected in the ISEAP is performed.</t>
  </si>
  <si>
    <t>91-99% of planned instructional supervision reflected in the ISEAP is performed.</t>
  </si>
  <si>
    <t>81-90% of planned instructional supervision reflected in the ISEAP is performed.</t>
  </si>
  <si>
    <t>71-80% of planned instructional supervision reflected in the ISEAP is performed.</t>
  </si>
  <si>
    <t>70% and below of planned instructional supervision reflected in the ISEAP is performed.</t>
  </si>
  <si>
    <t>1. ISEAP                                 2. ISEAR                                 3. COT                                                  4. Observation Notes/ STAR Notes</t>
  </si>
  <si>
    <t>Submitted ISEAP Report and supported by all of the MOVs</t>
  </si>
  <si>
    <t>Submitted ISEAP Report and supported by any 4 of the MOVs</t>
  </si>
  <si>
    <t>Submitted ISEAP Report and supported by any 3 of the MOVs</t>
  </si>
  <si>
    <t>Submitted ISEAP Report and supported by any 2 of the MOVs</t>
  </si>
  <si>
    <t>Submitted ISEAP Report and supported by any 1 of the MOVs</t>
  </si>
  <si>
    <t>Submitted a week before due date</t>
  </si>
  <si>
    <t>*Education Policy Development Program   *Inclusive Education Program</t>
  </si>
  <si>
    <t>*Efficient and Supportive Governance Structure</t>
  </si>
  <si>
    <t>3. Achieved target learner enrolled in Kindergarten</t>
  </si>
  <si>
    <t>June-July 2025</t>
  </si>
  <si>
    <t>Learners enrolled in Kindergarten</t>
  </si>
  <si>
    <t>9% and above increase in enrollment</t>
  </si>
  <si>
    <t>7-8% increase in enrollment</t>
  </si>
  <si>
    <t>5-6% increase in enrollment</t>
  </si>
  <si>
    <t>3-4% increase in enrollment</t>
  </si>
  <si>
    <t>1-2% increase in enrollment</t>
  </si>
  <si>
    <t xml:space="preserve">                                                                                                                                                                                                                                                                                                                                                                          1. SF1                                                        2. SF4                                                      </t>
  </si>
  <si>
    <t>Increased 9 and above learners enrolled over the previous year</t>
  </si>
  <si>
    <t>Increased 7-8 learners enrolled over the previous year</t>
  </si>
  <si>
    <t>Increased 5-6 learners enrolled over the previous year</t>
  </si>
  <si>
    <t>Increased 3-4 learners enrolled over the previous year</t>
  </si>
  <si>
    <t>Increased 1-2 learners enrolled over the previous year</t>
  </si>
  <si>
    <t>Enrolled on-time</t>
  </si>
  <si>
    <t>Enrolled 1 day after the scheduled date</t>
  </si>
  <si>
    <t>Enrolled 2 days after the scheduled date</t>
  </si>
  <si>
    <t>Enrolled 3 days after the scheduled date</t>
  </si>
  <si>
    <t>Enrolled 4 days and beyond after the scheduled date</t>
  </si>
  <si>
    <t>KRA 2: Learning Environment</t>
  </si>
  <si>
    <t>*Basic Education Input Program</t>
  </si>
  <si>
    <t>Enabling Mechanism/Access</t>
  </si>
  <si>
    <t>Learners physical and Mental well-being protected</t>
  </si>
  <si>
    <t>Implemented and promoted Safe and Child friendly learning and school environment for learners.</t>
  </si>
  <si>
    <t>January – December 2026</t>
  </si>
  <si>
    <t>PAPS on Learning Environment in WFP were accomplished</t>
  </si>
  <si>
    <t>91% and above of the PAPS on Learning Environment in WFP were accomplished</t>
  </si>
  <si>
    <t>81-90% of the PAPS on Learning Environment in WFP were accomplished</t>
  </si>
  <si>
    <t>71-80% of the PAPS on Learning Environment in WFP were accomplished</t>
  </si>
  <si>
    <t>61-70% of the PAPS on Learning Environment in WFP were accomplished</t>
  </si>
  <si>
    <t>60% and below of the PAPS on Learning Environment in WFP were accomplished</t>
  </si>
  <si>
    <t>Approved Program of Works
WFP
Pictures (before and after repair)</t>
  </si>
  <si>
    <t>91% and above compliance with the approved Program of Works</t>
  </si>
  <si>
    <t>81-90% compliance with the approved Program of Works</t>
  </si>
  <si>
    <t>71-80% compliance with the approved Program of Works</t>
  </si>
  <si>
    <t>61-70% compliance with the approved Program of Works</t>
  </si>
  <si>
    <t>60% and below compliance with the approved Program of Works</t>
  </si>
  <si>
    <t>Accomplished on time based on the target date</t>
  </si>
  <si>
    <t>Accomplished 15 days after the target date</t>
  </si>
  <si>
    <t>Accomplished 30 days after the target date</t>
  </si>
  <si>
    <t>Accomplished 45 days after the target date</t>
  </si>
  <si>
    <t>Accomplished 60 days after the target date</t>
  </si>
  <si>
    <t>Provided safe and child-friendly learning and school environment through the implementation of the Child Protection Policy</t>
  </si>
  <si>
    <t>Implemented the Child Protection Policy of the school</t>
  </si>
  <si>
    <t>91-100% resolution of cases in the CPC/Zero CPC case</t>
  </si>
  <si>
    <t>86-90% resolution of cases in the CPC</t>
  </si>
  <si>
    <t>81-85% resolution of cases in the CPC;</t>
  </si>
  <si>
    <t>76-80% resolution of cases in the CPC</t>
  </si>
  <si>
    <t>71-75% resolution of cases in the CPC</t>
  </si>
  <si>
    <t>List of CPC Members
Minutes of the Meeting
CPC Intake Sheet
Accomplishment Report</t>
  </si>
  <si>
    <t>All MOVs are present</t>
  </si>
  <si>
    <t>3 MOVs are present</t>
  </si>
  <si>
    <t>2 MOVs are present</t>
  </si>
  <si>
    <t>1 MOV is present</t>
  </si>
  <si>
    <t>No MOV</t>
  </si>
  <si>
    <t>The was implemented as scheduled</t>
  </si>
  <si>
    <t>The program was implemented 1 month after the scheduled date</t>
  </si>
  <si>
    <t>The program was implemented 2 months after the scheduled date</t>
  </si>
  <si>
    <t>The program was implemented 3 months after the scheduled date</t>
  </si>
  <si>
    <t>The program was implemented 4 months after the scheduled date</t>
  </si>
  <si>
    <t>Increased the participation of learners in school activities( Intramural, Galaw Pilipinas, Nestle Wellness, Boy Scout, Girl Scout, SELG, SSG)</t>
  </si>
  <si>
    <t>Participated in school activities</t>
  </si>
  <si>
    <t>90%-100% learners’ participation in school activities</t>
  </si>
  <si>
    <t>80%-89% learners’ participation in school activities</t>
  </si>
  <si>
    <t>70%-79% learners’ participation in school activities</t>
  </si>
  <si>
    <t>60%-69% learners’ participation in school activities</t>
  </si>
  <si>
    <t>50%-59% learners’ participation in school activities</t>
  </si>
  <si>
    <t>School Calendar of Activities
Pictures (Documentation)
Attendance Sheet</t>
  </si>
  <si>
    <t>90%-100% learners participated actively in school activities</t>
  </si>
  <si>
    <t>80%-89% learners participated actively in school activities</t>
  </si>
  <si>
    <t>70%-79% learners participated actively in school activities</t>
  </si>
  <si>
    <t>60%-69% learners participated actively in school activities</t>
  </si>
  <si>
    <t>50%-59% learners participated actively in school activities</t>
  </si>
  <si>
    <t>All school activities done without delay and on scheduled date</t>
  </si>
  <si>
    <t>2-3 days delay after the scheduled date</t>
  </si>
  <si>
    <t>4-5 days delay after the scheduled date</t>
  </si>
  <si>
    <t>6-7 days delay after the scheduled date</t>
  </si>
  <si>
    <t>8-10 days delay after the scheduled date</t>
  </si>
  <si>
    <t>KRA 3: Leadership</t>
  </si>
  <si>
    <t>Enabling Mechanisms: Governance and Management</t>
  </si>
  <si>
    <t>*Efficient and Supportive Governance Structures</t>
  </si>
  <si>
    <t>Ensured implementation of  SIP and WFP</t>
  </si>
  <si>
    <t>Whole year-round</t>
  </si>
  <si>
    <t>Number of DepEd policies and issuances implemented</t>
  </si>
  <si>
    <t>90-100% of the items of SIP and WFP were implemented</t>
  </si>
  <si>
    <t>80-89% of the policies and issuances implemented/disseminated to 90% of teachers after a week after its release.</t>
  </si>
  <si>
    <t>70-79 % of the policies and issuances implemented/disseminated to 80% of teachers after two weeks after its release.</t>
  </si>
  <si>
    <t>60-69% of the policies and issuances implemented/disseminated to 70% of teachers three weeks after its release.</t>
  </si>
  <si>
    <t>50% and below of the policies and issuances implemented/disseminated to 60% and below of teachers four weeks after its release.</t>
  </si>
  <si>
    <t xml:space="preserve">1.	Division Issuances and Policies
2.	Minutes of the Meeting
3.	Attendance of the Participants
4.	Supervisory Plan
</t>
  </si>
  <si>
    <t>Policies and issuances implemented to 100% of teachers with 0-1 misinterpretation</t>
  </si>
  <si>
    <t>Policies and issuances implemented 90% of teachers with 2-3 misinterpretation</t>
  </si>
  <si>
    <t>Policies and issuances implemented 80% of teachers with 4-5 misinterpretation</t>
  </si>
  <si>
    <t>Policies and issuances implemented 70% of teachers with 6-7 misinterpretation</t>
  </si>
  <si>
    <t>Policies and issuances implemented 50% and below of teachers with 8 and above misinterpretation</t>
  </si>
  <si>
    <t>Implemented within the targeted time</t>
  </si>
  <si>
    <t>Implemented 1-2 days after the targeted time</t>
  </si>
  <si>
    <t>Implemented 3-4 days after the targeted time</t>
  </si>
  <si>
    <t>Implemented 5-6 days after the targeted time</t>
  </si>
  <si>
    <t>Implemented 7 and more days after the targeted time</t>
  </si>
  <si>
    <t>Empowered and employable Filipinos</t>
  </si>
  <si>
    <t>Organized functional school clubs and organization</t>
  </si>
  <si>
    <t>Number of functional school clubs and organization organized</t>
  </si>
  <si>
    <t>5 clubs and organizations organized and functional.</t>
  </si>
  <si>
    <t>4 clubs and organizations organized and functional.</t>
  </si>
  <si>
    <t>3 clubs and organizations organized and functional.</t>
  </si>
  <si>
    <t>2 clubs and organizations organized and functional.</t>
  </si>
  <si>
    <t>1 clubs and organizations organized and functional.</t>
  </si>
  <si>
    <t xml:space="preserve">1.	List of Officers of Clubs and organizations
2.	Constitution and By Laws
3.	Annual Plan
4.	Minutes of the Meeting
5.	Accomplishment Report
</t>
  </si>
  <si>
    <t>Submitted all required MOVs of organized and functional clubs and organizations</t>
  </si>
  <si>
    <t>Submitted 4 required MOVs of organized and functional clubs and organizations</t>
  </si>
  <si>
    <t>Submitted 3 required MOVs of organized and functional clubs and organizations</t>
  </si>
  <si>
    <t>Submitted 2 required MOVs of organized and functional clubs and organizations</t>
  </si>
  <si>
    <t>Submitted 1 required MOVs of organized and functional clubs and organizations</t>
  </si>
  <si>
    <t>Organized and functional within the targeted time</t>
  </si>
  <si>
    <t>Organized and functional 1-2 days after the targeted time</t>
  </si>
  <si>
    <t>Organized and functional 3-4 days after the targeted time</t>
  </si>
  <si>
    <t>Organized and functional 5-6 days after the targeted time</t>
  </si>
  <si>
    <t>Organized and functional 7 and more days after the targeted time</t>
  </si>
  <si>
    <t>Submitted required reports and documents</t>
  </si>
  <si>
    <t>Percentage of submitted required reports</t>
  </si>
  <si>
    <t>100% of required reports and documents submitted</t>
  </si>
  <si>
    <t>90-99% of required reports and documents submitted</t>
  </si>
  <si>
    <t>80-89% of required reports and documents submitted</t>
  </si>
  <si>
    <t>70-79% of required reports and documents submitted</t>
  </si>
  <si>
    <t>69 and below of required reports and documents submitted</t>
  </si>
  <si>
    <t xml:space="preserve">1.	School Forms
2.	NSBI Report
3.	SBFP
4.	EBEIS
5.	DRRM
6.	Adopt a School
7.	Brigada Eskwela Reports
8.	MPS/Learning Outcomes
9.	Others (as required)
</t>
  </si>
  <si>
    <t>All MOVs submitted with 0-2 revisions.</t>
  </si>
  <si>
    <t>All MOVs submitted with 3-4 revisions.</t>
  </si>
  <si>
    <t>All MOVs submitted with 5-6 revisions.</t>
  </si>
  <si>
    <t>All MOVs submitted with 7-8 revisions.</t>
  </si>
  <si>
    <t>All MOVs submitted with 9 and above revisions.</t>
  </si>
  <si>
    <t>Submitted within the due date</t>
  </si>
  <si>
    <t>Submitted 1-2 days after due date</t>
  </si>
  <si>
    <t>Submitted 3-4 days after due date</t>
  </si>
  <si>
    <t>Submitted 5-6 days after due date</t>
  </si>
  <si>
    <t>Submitted 7 and more days after due date</t>
  </si>
  <si>
    <t>KRA 4: Governance and Accountability</t>
  </si>
  <si>
    <t>Support to school and learner program</t>
  </si>
  <si>
    <t>Enabling mechanism: Governance and Management</t>
  </si>
  <si>
    <t>Efficient learning delivery in all its forms</t>
  </si>
  <si>
    <t>Crafted WFP, APP, PPMP and Annual Budget Allocation</t>
  </si>
  <si>
    <t>WFP, APP, PPMP and Annual Budget Allocation crafted</t>
  </si>
  <si>
    <t>Crafted all plans with the following 4 qualities: correct format, aligned with DepEd order no.8, s. of 2019, addresses school priority needs based on SIP, and participated by the school planning team.</t>
  </si>
  <si>
    <t>Crafted all plans with any 3 of the stated qualities</t>
  </si>
  <si>
    <t>Crafted all plans with any 2 of the stated qualities</t>
  </si>
  <si>
    <t>Crafted all plans with any 1 of the stated qualities</t>
  </si>
  <si>
    <t>Crafted all plans with 0 of the stated qualities</t>
  </si>
  <si>
    <t>1. Approved WFP                                                         
2. Approved APP                                                           
3. Approved PPMP                                            
4. Approved Annual Budget Allocation</t>
  </si>
  <si>
    <t>Crafted all plans with 0-2 corrections/ revisions</t>
  </si>
  <si>
    <t>Crafted plans with 3-4 corrections/ revisions</t>
  </si>
  <si>
    <t>Crafted all plans with 5-6 corrections/revisions</t>
  </si>
  <si>
    <t>Crafted all plans with 7-8 corrections/ revisions</t>
  </si>
  <si>
    <t>Crafted all plans with 9 and above corrections/ revisions</t>
  </si>
  <si>
    <t>Crafted all plans and submitted on time</t>
  </si>
  <si>
    <t>Crafted all plans and submitted 1-3 days after</t>
  </si>
  <si>
    <t>Crafted all plans and submitted 4-6 days after</t>
  </si>
  <si>
    <t>Crafted all plans and submitted 7-8 days after</t>
  </si>
  <si>
    <t>Crafted all plans and submitted 9-10 days after</t>
  </si>
  <si>
    <t>Basic Education Inputs Program</t>
  </si>
  <si>
    <t>Conducted Inventory of School Facilities</t>
  </si>
  <si>
    <t>February-May 2026</t>
  </si>
  <si>
    <t>School Facilities accounted for</t>
  </si>
  <si>
    <t xml:space="preserve">90-100% school facilities accounted </t>
  </si>
  <si>
    <t xml:space="preserve">80%-89% school facilities accounted </t>
  </si>
  <si>
    <t xml:space="preserve">70%-79% school facilities accounted </t>
  </si>
  <si>
    <t xml:space="preserve">60%-69% school facilities accounted </t>
  </si>
  <si>
    <t xml:space="preserve">50%-59% school facilities accounted </t>
  </si>
  <si>
    <t>1. NSBI Data gathering form                                                                                                    2. Signed NSBI Report                                                             3. NSBI LIS-based Validation                                                                                                 4. Photos on the conduct of the inventory</t>
  </si>
  <si>
    <t>Conducted inventory with 0 correction upon validation</t>
  </si>
  <si>
    <t>Conducted inventory with 1-2 corrections upon validation</t>
  </si>
  <si>
    <t>Conducted inventory with 3-4 corrections upon validation</t>
  </si>
  <si>
    <t>Conducted inventory with 5-6 corrections upon validation</t>
  </si>
  <si>
    <t>Conducted inventory with 7 and above corrections upon validation</t>
  </si>
  <si>
    <t>Submitted inventory report within the scheduled period</t>
  </si>
  <si>
    <t>Submitted inventory report 1week after the scheduled date.</t>
  </si>
  <si>
    <t>Submitted inventory report 2 weeks after the scheduled date</t>
  </si>
  <si>
    <t>Submitted inventory report 3 weeks after the scheduled date.</t>
  </si>
  <si>
    <t>Submitted inventory report 4 weeks after the scheduled date.</t>
  </si>
  <si>
    <t>KRA 5: Human Resource &amp; Team Development</t>
  </si>
  <si>
    <t>*High Performing Teachers    *High Quality of Education</t>
  </si>
  <si>
    <t>Provided opportunities for professional development and teachers through capacity building trainings and LAC sessions.</t>
  </si>
  <si>
    <t>June 2025 - March 2026</t>
  </si>
  <si>
    <t>Teachers’ capacity building trainings and LAC sessions provided</t>
  </si>
  <si>
    <t>100% of teachers attended trainings and LAC Sessions</t>
  </si>
  <si>
    <t>90–99% attendance; moderate application of training content</t>
  </si>
  <si>
    <t>80–89% attendance; some evidence of application</t>
  </si>
  <si>
    <t>60–79% attendance; little to no visible improvement</t>
  </si>
  <si>
    <t>Below 60% attendance; no change in teaching practices</t>
  </si>
  <si>
    <t xml:space="preserve">1. Approved LAC PLAN/Training Matrix
2.Attendance Sheet
3.Minutes and Documentation
4.LAC Portfolio/Outputs/Reflection Journal
5. Certificate of Training/Completion
</t>
  </si>
  <si>
    <t>Conducted Approved LAC Plan with all MOVs present</t>
  </si>
  <si>
    <t>Conducted Approved LAC Plan 4 MOVs present</t>
  </si>
  <si>
    <t>Conducted Approved LAC Plan 3 MOVs present</t>
  </si>
  <si>
    <t>Conducted Approved LAC Plan 2 MOVs present</t>
  </si>
  <si>
    <t>Conducted Approved LAC Plan 1 MOV present</t>
  </si>
  <si>
    <t>Submitted Approved LAC Plan on time</t>
  </si>
  <si>
    <t>Submitted Approved LAC Plan 1-2 days after due date</t>
  </si>
  <si>
    <t>Submitted Approved LAC Plan 3-4 days after due date</t>
  </si>
  <si>
    <t>Submitted Approved LAC Plan 5-6 reports after due date</t>
  </si>
  <si>
    <t>Submitted Approved LAC Plan 7 days and beyond after due date</t>
  </si>
  <si>
    <t>Implemented school PRAISE Plan and reward system to recognize and motivate teachers exemplary performance and/or continued support.</t>
  </si>
  <si>
    <t>School PRAISE Plan and recognition implemented</t>
  </si>
  <si>
    <t>The PRAISE plan recognizes a wide range of personnel and stakeholders; awards are aligned with DepEd guidelines; criteria are clear and strictly followed; recognition is meaningful and contributes to motivation and morale.</t>
  </si>
  <si>
    <t>The PRAISE plan recognizes most deserving individuals; criteria are followed with minor lapses; recognition activities are conducted formally and positively impact school climate.</t>
  </si>
  <si>
    <t>The PRAISE plan is implemented but lacks clarity in criteria or consistency in selection</t>
  </si>
  <si>
    <t>The PRAISE plan is poorly implemented; recognition is limited to a few individuals without clear justification; little to no impact on staff motivation.</t>
  </si>
  <si>
    <t>No meaningful implementation of PRAISE plan; recognition activities are absent or irrelevant</t>
  </si>
  <si>
    <t xml:space="preserve">1.School PRAISE Plan
2.Certificate of Recognition
3.Certificate of Participation
4.List of Awards given and the recipient
5.School Memorandum re School PRAISE Committee
</t>
  </si>
  <si>
    <t>Implemented the school PRAISE plan with 5 MOVs evident</t>
  </si>
  <si>
    <t>Implemented the school PRAISE plan with 4 MOVs evident</t>
  </si>
  <si>
    <t>Implemented the school PRAISE plan with 3 MOVs evident</t>
  </si>
  <si>
    <t>Implemented the school PRAISE plan with 2 MOVs evident</t>
  </si>
  <si>
    <t>Implemented the school PRAISE plan with 1 MOV evident</t>
  </si>
  <si>
    <t xml:space="preserve">Awards given as scheduled </t>
  </si>
  <si>
    <t>Awards given 2-3 days after the scheduled date</t>
  </si>
  <si>
    <t>Awards given 4-5 days after the scheduled date</t>
  </si>
  <si>
    <t>Awards given 6-7 days after the scheduled date</t>
  </si>
  <si>
    <t>Awards given 8 days and beyond the scheduled date</t>
  </si>
  <si>
    <t>*Education Human Resource Development Program *Education Policy Development Program</t>
  </si>
  <si>
    <t>*High Performing Teachers *Efficient and Supportive Governance Structure</t>
  </si>
  <si>
    <t>Implemented the following programs and activities for teachers’ welfare. 
a.GAD
b.Wellness Program
c.Magna Carta for Public School Teachers
d.School Grievance Committee                                      
e.Spirituality in the Workplace</t>
  </si>
  <si>
    <t>KR</t>
  </si>
  <si>
    <t>All 5 programs/activities implemented with evidence of high engagement and clear alignment with teacher welfare objectives</t>
  </si>
  <si>
    <t>4 programs implemented and aligned with teacher welfare needs</t>
  </si>
  <si>
    <t>3 programs implemented; documentation present, but limited in scope or reach</t>
  </si>
  <si>
    <t>Only 2 programs implemented with minimal impact or participation</t>
  </si>
  <si>
    <t>Only 1 program partially implemented or not fully aligned with teacher welfare goals</t>
  </si>
  <si>
    <t xml:space="preserve">Activity proposals and accomplishment reports (per welfare program)
Attendance sheets for TIP, wellness, and GAD sessions
Documentation (photos/videos) of program implementation
Grievance Committee Reports and orientation records
Teacher feedback/evaluation results
Copy of Magna Carta-related programs (orientation/training documents)
Minutes of GAD or wellness meetings and trainings
Certificates of participation issued to teachers
Monitoring and Evaluation Reports with ratings or reflections
</t>
  </si>
  <si>
    <t>All programs conducted with optimal use of resources, achieved targets without delays or complaints</t>
  </si>
  <si>
    <t>Programs implemented with minor resource issues, but targets still met</t>
  </si>
  <si>
    <t>Moderate inefficiencies affecting 1–2 programs</t>
  </si>
  <si>
    <t>Major inefficiencies in multiple programs; low participation or disrupted activities</t>
  </si>
  <si>
    <t>Programs implemented haphazardly with minimal attendance or high cost</t>
  </si>
  <si>
    <t>All  programs implemented within the planned schedule (August 2024 – April 2025)</t>
  </si>
  <si>
    <t>1 program was delayed not more than 1 week</t>
  </si>
  <si>
    <t>2 programs delayed within 2 weeks of the original schedule</t>
  </si>
  <si>
    <t>More than 2 programs experienced delays beyond 2 weeks</t>
  </si>
  <si>
    <t>Most or all programs not completed within the school year</t>
  </si>
  <si>
    <t>KRA: 6 Finance and Resource Manage and Mobilzation</t>
  </si>
  <si>
    <t>Support to Schools and Learners Program</t>
  </si>
  <si>
    <t>Resilience and Well-Being</t>
  </si>
  <si>
    <t>Learners Physical and Mental well-being Potected</t>
  </si>
  <si>
    <t>Increase stakeholder’s participation to support the implementation of school-based feeding program.</t>
  </si>
  <si>
    <t>June 2025 – March 2026</t>
  </si>
  <si>
    <t>Increase of stakeholders’ participation</t>
  </si>
  <si>
    <t>5 Percent  or more increased in stakeholders participation</t>
  </si>
  <si>
    <t>4 Percent increased in stakeholders participation</t>
  </si>
  <si>
    <t>3 Percent increased in stakeholders participation</t>
  </si>
  <si>
    <t>2 Percent increased in stakeholders participation</t>
  </si>
  <si>
    <t>1 Percent increased in stakeholders participation</t>
  </si>
  <si>
    <t>DPDS
Acknowledgement letter/Deed of Donation
Photo Documentation of Innovation Implementation</t>
  </si>
  <si>
    <t>1. Adopt a School Program successfully generated over Php10,000.00 worth of materials
2. Improve learners participation
3. Improved learners comprehension</t>
  </si>
  <si>
    <t xml:space="preserve">Stakeholders participation is supported by Accomplishment Report
Attendance Sheet
Deed of Donation
Memorandum of Agreement
Baseline and Endline Nutritional Status Report of Learners
</t>
  </si>
  <si>
    <t>Stakeholders participation is supported by Accomplishment Report, attendance sheets, deed of donations, and MOA,</t>
  </si>
  <si>
    <t>Stakeholders participation is supported by Accomplishment Report, attendance sheets, and deed of donations,</t>
  </si>
  <si>
    <t>Stakeholders participation is supported by Accomplishment Reportand attendance sheets</t>
  </si>
  <si>
    <t>Stakeholders participation is supported by Accomplishment Report</t>
  </si>
  <si>
    <t>Materials donated are fully used by learners all across the quarter on time</t>
  </si>
  <si>
    <t>Efficient and Supportive Governace Structure</t>
  </si>
  <si>
    <t>Ensured the efficient, transparent and timely utilization and mobilization of program funds and donations.</t>
  </si>
  <si>
    <t>Disbursed, utilized, liquidated, and reported financial utilization</t>
  </si>
  <si>
    <t>100 percent delivered, properly liquidated and submitted planned financial resource.</t>
  </si>
  <si>
    <t>80 percent delivered, properly liquidated and submitted planned financial resource.</t>
  </si>
  <si>
    <t>60 percent delivered, properly liquidated and submitted planned financial resource</t>
  </si>
  <si>
    <t>40 percent delivered, properly liquidated and submitted planned financial resource</t>
  </si>
  <si>
    <t>20 percent delivered, properly liquidated and submitted planned financial resource</t>
  </si>
  <si>
    <t>Disbursed, utilized, liquidated, and reported financial utilization on time</t>
  </si>
  <si>
    <t>Disbursed, utilized, liquidated, and reported financial utilization 1 day after the deadline</t>
  </si>
  <si>
    <t>Disbursed, utilized, liquidated, and reported financial utilization 7 days after the deadline</t>
  </si>
  <si>
    <t>Disbursed, utilized, liquidated, and reported financial utilization 15 days after the deadline</t>
  </si>
  <si>
    <t>Disbursed, utilized, liquidated, and reported financial utilization 30 days after the deadline</t>
  </si>
  <si>
    <t>Learners Physical and Mental Well-being Protected</t>
  </si>
  <si>
    <t>Improved the nutritional status and overall well-being of learners</t>
  </si>
  <si>
    <t>Beneficiaries improved nutritional status from school-based feeding program</t>
  </si>
  <si>
    <t>79/79 100% of the benefiaries improved their nutritional status and overall well-being of learners</t>
  </si>
  <si>
    <t>75-78 (95-99%) learners improved their nutritional status and overall well-being.</t>
  </si>
  <si>
    <t>67-74 ((85-94%) learners improved their nutritional status and overall well-being</t>
  </si>
  <si>
    <t>56-66 (70-74%) learners improved their nutritional status and overall well-being</t>
  </si>
  <si>
    <t>Fewer than 56 learners (&lt;70%) learners improved their nutritional status and overall well-being.</t>
  </si>
  <si>
    <t>1. DPDS
2. Acknowledgement Letter/Deed of Donation
3.Photo Documentation of Innovation Implementation</t>
  </si>
  <si>
    <t>Nutrituous Food packs  were 100% fully utilized , given and distributed to all recipients</t>
  </si>
  <si>
    <t>Nutrituous Food packs  were 90%-99% utilized , given and distributed to all recipients</t>
  </si>
  <si>
    <t>Nutrituous Food packs  were 80%-89% utilized , given and distributed to all recipients</t>
  </si>
  <si>
    <t>Nutrituous Food packs  were 50%-79% utilized , given and distributed to all recipients</t>
  </si>
  <si>
    <t>Nutrituous Food packs  were 0%-49% utilized , given and distributed to all recipients</t>
  </si>
  <si>
    <t>All feeding activities were implemented ahead of schedule with full compliance of report</t>
  </si>
  <si>
    <t>All feeding activities were implemented with minor delays without compromising learners needs base on program implementation plan</t>
  </si>
  <si>
    <t>All feeding activities were done with minor delays without compromising learners needs</t>
  </si>
  <si>
    <t>All feeding activities were delayed beyond acceptable timeline impacting services given to the learners</t>
  </si>
  <si>
    <t>All feeding activities were not conducted or extremely delayed resulting in non implementation of the program</t>
  </si>
  <si>
    <r>
      <rPr>
        <b/>
        <u/>
        <sz val="20"/>
        <color rgb="FF000000"/>
        <rFont val="Bookman Old Style"/>
      </rPr>
      <t xml:space="preserve">PART I-B: INNOVATING AND INTERVENING ACCOMPLISHMENTS (20%)
</t>
    </r>
    <r>
      <rPr>
        <b/>
        <i/>
        <sz val="20"/>
        <color rgb="FF000000"/>
        <rFont val="Bookman Old Style"/>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</si>
  <si>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rPr>
        <b/>
        <sz val="20"/>
        <color theme="1"/>
        <rFont val="Bookman Old Style"/>
      </rPr>
      <t xml:space="preserve">Performance Targets
</t>
    </r>
    <r>
      <rPr>
        <i/>
        <sz val="20"/>
        <color theme="1"/>
        <rFont val="Bookman Old Style"/>
      </rPr>
      <t>(Target Outcome/Ouput of the Bureau/Center/Service/Division that are enabling, supportive, and/or contributory to the achievement of the organizational outcomes and KRAs (Part I-A))</t>
    </r>
  </si>
  <si>
    <t>op</t>
  </si>
  <si>
    <t xml:space="preserve">Implemented/conducted and maintained innovations and intervention of National/Division/School-led curricular programs in the school following guidelines and mechanics:                                                           ARAL                Project SUPER+ Project 5K STAANG
Project SANYOG
Project DOREMI
Project Rewinds
Project Bridge 2.0 Cha-Ching
</t>
  </si>
  <si>
    <t>Curricular programs adopted and maintained</t>
  </si>
  <si>
    <t>7 curricular innovations from the CID adopted and maintained</t>
  </si>
  <si>
    <t>6 curricular innovations from the CID adopted and maintained</t>
  </si>
  <si>
    <t>5 curricular innovations from the CID adopted and maintained</t>
  </si>
  <si>
    <t>3-4 curricular innovations from the CID adopted and maintained</t>
  </si>
  <si>
    <t>1-2 curricular innovations from the CID adopted and maintained</t>
  </si>
  <si>
    <t xml:space="preserve">1. School Memorandum on Adoption of all CID-led Innovations
2.End-of-the-year Report on Adoption of all CID-led Innovations
3. Monitoring and evaluation Report on Adoption of all CID-led Innovations
4. Success Stories of Innovation Adoption
5.Photo Documentation of Innovation Implementation
</t>
  </si>
  <si>
    <t>curricular innovations adopted and maintained as supported by 5 MOVs</t>
  </si>
  <si>
    <t>curricular innovations adopted and maintained as supported by 4 MOVs</t>
  </si>
  <si>
    <t>curricular innovations adopted and maintained as supported by 3 MOVs</t>
  </si>
  <si>
    <t>curricular innovations adopted and maintained as supported by 2 MOVs</t>
  </si>
  <si>
    <t>curricular innovations adopted and maintained as supported by 1 MOV</t>
  </si>
  <si>
    <t>Submitted adoption and implementation report a week before due date</t>
  </si>
  <si>
    <t>Submitted adoption and implementation report 1–2 days working days after due date</t>
  </si>
  <si>
    <t>Submitted adoption and implementation report 3–4 days working days after due date</t>
  </si>
  <si>
    <t>Submitted adoption and implementation report 5–6 days working days after due date</t>
  </si>
  <si>
    <t>*Promoted a safe, clean and healthy learning environment by implementing the following Clean And Green program component
1. Waste Segregation
2. Project SANYOG
3. Edible Landscaping
4. Gulayan sa Paaralan      
*Provided safe and child-friendly learning and school environment through the implementation of the Child Protection Policy</t>
  </si>
  <si>
    <t>Clean and Green program implemented</t>
  </si>
  <si>
    <t xml:space="preserve">5-     95% -100% implemented and sustained  Clean and Green program 
</t>
  </si>
  <si>
    <t>4-     90% - 94% implemented and sustained  Clean and Green program</t>
  </si>
  <si>
    <t xml:space="preserve">3-     85% - 89% implemented and sustained  Clean and Green program </t>
  </si>
  <si>
    <t xml:space="preserve">2-     80% - 84%  implemented and sustained  Clean and Green program </t>
  </si>
  <si>
    <t>1-     75% - 79%  implemented and sustained  Clean and Green program</t>
  </si>
  <si>
    <t xml:space="preserve">1.School Memo
2.Minutes of the Meeting
3.M&amp;E tool
4.Attendance Sheet
5.Quarterly Accomplishment Reports
6.Pictures
</t>
  </si>
  <si>
    <t xml:space="preserve">5-    All MOVs are submitted
</t>
  </si>
  <si>
    <t>4-     4-5 MOVs are submitted</t>
  </si>
  <si>
    <t>3-     3 MOVs are submitted</t>
  </si>
  <si>
    <t>2-     2 MOVs are submitted</t>
  </si>
  <si>
    <t>1-     1 MOV are submitted</t>
  </si>
  <si>
    <t>(Clean and Green components will be implemented throughout the year)</t>
  </si>
  <si>
    <t>Adopted a school-coded scheme for 
school priority improvement areas using the SUG Analysis
Red - High Priority
Yellow - Medium Priority
Green - Low Priority</t>
  </si>
  <si>
    <t>School priority improvement areas coded</t>
  </si>
  <si>
    <t>95-100% of school priority improvement areas are accurately coded.</t>
  </si>
  <si>
    <t>90-94% of school priority improvement areas are accurately coded.</t>
  </si>
  <si>
    <t>85-89% of school priority improvement areas are accurately coded.</t>
  </si>
  <si>
    <t>80-84% of school priority improvement areas are accurately coded.</t>
  </si>
  <si>
    <t>Below 80% of school priority improvement areas are accurately coded.</t>
  </si>
  <si>
    <t>1. List of Prioritized Improvement Atreas
2. Color-coded School Priority Improvement Areas
3. School Improvement Plan</t>
  </si>
  <si>
    <t>3 MOVs are present and evident</t>
  </si>
  <si>
    <t>2 MOVs are present and evident</t>
  </si>
  <si>
    <t>1 MOV is present and evident</t>
  </si>
  <si>
    <t>Created and Implemented Digitized School Dashboard for Personnel and Physical Resources</t>
  </si>
  <si>
    <t>2nd week of July, 2025</t>
  </si>
  <si>
    <t>Digitized Dashboard with 5 tabs</t>
  </si>
  <si>
    <t>1 dashboard with 5 tabs created and implemented:                                                                                  1. Personnel Profile                                                                                   2. Teaching Load                                                                                                                                                                                                                                                                   3. Building Inventory                                                                                                                                                                                                                                                               4. Classroom Resources                                                                                                                                                                                                                                                          5. Learning Resources</t>
  </si>
  <si>
    <t>1 dashboard created and implemented with 4 tabs</t>
  </si>
  <si>
    <t>1 dashboard created and implemented with 3 tabs</t>
  </si>
  <si>
    <t>1 dashboard created and implemented with 2 tabs</t>
  </si>
  <si>
    <t>1 dashboard created and implemented with 1 tab</t>
  </si>
  <si>
    <t xml:space="preserve">1. Screenshot of Dashboards with number of tabs.                                       </t>
  </si>
  <si>
    <t>Updated 1 dashboard with 5 tabs</t>
  </si>
  <si>
    <t>Updated 1 dashboard with 4 tabs</t>
  </si>
  <si>
    <t>Updated 1 dashboard with 3 tabs</t>
  </si>
  <si>
    <t>Updated 1 dashboard with 2 tabs</t>
  </si>
  <si>
    <t>Updated 1 dashboard with 1 tab</t>
  </si>
  <si>
    <t>Creates, implemented and maintained 2 weeks before the beginning of classes or as needed</t>
  </si>
  <si>
    <t>Creates, implemented and maintained 1 week before the beginning of classes or as needed</t>
  </si>
  <si>
    <t>Creates, implemented and maintained within the beginning of classes or as needed</t>
  </si>
  <si>
    <t>Creates, implemented and maintained 1 week after the beginning of classes or as needed</t>
  </si>
  <si>
    <t>Creates, implemented and maintained 2 weeks after the beginning of classes or as needed</t>
  </si>
  <si>
    <t>KRA 5: Human Resource and Team Development</t>
  </si>
  <si>
    <t xml:space="preserve">Encouraged school personnel to conduct 1 action research, basic research and/or innovation focusing on the impact of any of the following division-led projects: 
A.	Project STA-ANG
B.	Project SUPER AND SUPER+
C.	Project BRIDGE 2.0
D.	Project 5K
E.	Project SANYOG
F.	Project Do-Re-Mi
</t>
  </si>
  <si>
    <t>Action/basic research and/or innovation conducted that focus on any of the following categories (Curriculum and Instruction Delivery , Policy, Planning, Research, &amp; Governance, Learning Environment Improvement, Human Resource Development , ALS, SPED, &amp; IPEd Programs)</t>
  </si>
  <si>
    <t xml:space="preserve">One (1) approved action research, basic research, or innovation was successfully conducted and presented during a Learning Action Cell (LAC) session, meeting the following key indicators:
a. Credibility – Demonstrated rigor, transparency, and consistency throughout the process.
b. Contribution – Addressed relevant issues, introduced original ideas, and produced findings with potential for broader application.
c. Communicability – Results were presented in a manner that is accessible, understandable, and usable by intended stakeholders.
d. Conformity – Fully aligned with existing policies, adhered to ethical standards, and promoted sustainability.
</t>
  </si>
  <si>
    <t>One (1) approved action research, basic research, or innovation was successfully conducted and met at least three (3) of the following indicators</t>
  </si>
  <si>
    <t>One (1) approved action research, basic research, or innovation was successfully conducted and met at least two (2) of the following indicators</t>
  </si>
  <si>
    <t>One (1) approved action research, basic research, or innovation was successfully conducted and demonstrated alignment with at least one (1) of the following indicator.</t>
  </si>
  <si>
    <t>One (1) approved action research, basic research, or innovation was conducted and maintained; however, it did not meet any of the established indicators.</t>
  </si>
  <si>
    <t xml:space="preserve">a.	Completed Action Research / Innovation Paper
b.	Approval Letter / Certification
c.	Photo Documentation
d.	Accomplishment Report
e.	Presentation Materials with LAC Session Minutes
</t>
  </si>
  <si>
    <t xml:space="preserve">One (1) approved action research, basic or innovation was conducted, maintained, and supported by the following Means of Verification (MOVs):
a.	Completed Action Research / Innovation Paper
b.	Approval Letter / Certification
c.	Photo Documentation
d.	Accomplishment Report
e.	Presentation Materials with LAC Session Minutes
</t>
  </si>
  <si>
    <t xml:space="preserve">One (1) approved action research, basic research, or innovation was successfully conducted and maintained. Its implementation was duly supported by four (4) Means of Verification (MOVs), namely:
a.	Completed Action Research / Innovation Paper
b.	Approval Letter / Certification
c.	Photo Documentation
d.	d. Accomplishment Report
</t>
  </si>
  <si>
    <t xml:space="preserve">One (1) approved action research, basic research, or innovation was successfully conducted and maintained. Its implementation was duly supported by three (3) Means of Verification (MOVs), namely:
a.	Completed Action Research / Innovation Paper
b.	Approval Letter / Certification
c.	Photo Documentation
</t>
  </si>
  <si>
    <t xml:space="preserve">One (1) approved action research, basic research, or innovation was successfully conducted and maintained. Its implementation was duly supported by four (2) Means of Verification (MOVs), namely:
a.	Completed Action Research / Innovation Paper
b.	Approval Letter / Certification
</t>
  </si>
  <si>
    <t>No approved action research, basic research, or innovation was developed or implemented.</t>
  </si>
  <si>
    <t>An action research, basic research, or innovation was conducted as scheduled within the prescribed timeline, with the completed paper submitted 2–3 days ahead of the deadline.</t>
  </si>
  <si>
    <t>An action research, basic research, or innovation was conducted one week after the scheduled date, with the completed paper submitted on the deadline.</t>
  </si>
  <si>
    <t>An action research, basic research, or innovation was conducted one week after the scheduled date, with the completed paper submitted 2–3 days after the deadline.</t>
  </si>
  <si>
    <t>An action research, basic research, or innovation was conducted one week after the scheduled date, with the completed paper submitted 4–5 days after the deadline.</t>
  </si>
  <si>
    <t>The action research, basic research, or innovation was neither completed nor submitted.</t>
  </si>
  <si>
    <t xml:space="preserve">KRA 6: Finance and Resource Manage Mobilization
</t>
  </si>
  <si>
    <t>To Implement Adopt a School Program, a whole year round stakeholders -driven learning support.</t>
  </si>
  <si>
    <t>Adopt a School Program will generate  Php10,000.00 or more worth of resources</t>
  </si>
  <si>
    <t xml:space="preserve"> 100% of materials mobilized through donations are relevant to support learning.</t>
  </si>
  <si>
    <t>80–99% of materials mobilized through donations are relevant to support learning.</t>
  </si>
  <si>
    <t xml:space="preserve"> 60–79% of materials mobilized through donations are relevant to support learning.</t>
  </si>
  <si>
    <t xml:space="preserve">40–59% of materials mobilized through donations are relevant to support learning.
</t>
  </si>
  <si>
    <t xml:space="preserve">Less than 40% of materials mobilized through donations are relevant to support learning.
</t>
  </si>
  <si>
    <t xml:space="preserve">DPDS
Acknowledgement letter/Deed of Donation
Photo Documentation of Innovation Implementation
</t>
  </si>
  <si>
    <t>Materials donated are fully used by learners all across the quarter mostly on time</t>
  </si>
  <si>
    <t>Materials donated are fully used by learners all across the quarter partly on time</t>
  </si>
  <si>
    <t>Materials donated are fully used by learners all across the quarter were somewhat delayed</t>
  </si>
  <si>
    <t>Materials donated are used by learners all across the quarter delayed in implementation</t>
  </si>
  <si>
    <r>
      <rPr>
        <b/>
        <u/>
        <sz val="20"/>
        <color rgb="FF000000"/>
        <rFont val="Bookman Old Style"/>
      </rPr>
      <t xml:space="preserve">PART I-C:  ORGANIZATIONAL EFFECTIVENESS (15%)
</t>
    </r>
    <r>
      <rPr>
        <b/>
        <i/>
        <sz val="20"/>
        <color rgb="FF000000"/>
        <rFont val="Bookman Old Style"/>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</si>
  <si>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Utilized 98% of the school MOOE in accordance with the quarterly disbursement program with no overdraft/ deficit/ disallowance from oversight agency/ies</t>
  </si>
  <si>
    <t>Budget allocation/School MOOE  disbursed within the reglementary period with no overdraft/deficit/disallowance from oversight agency/ies</t>
  </si>
  <si>
    <t>Budget allocation/School MOOE disbursed within the reglementary period with 1-2 overdraft/deficit/disallowance from oversight agency/ies</t>
  </si>
  <si>
    <t>Budget allocation/School MOOE disbursed within the reglementary period with 3-4 overdraft/deficit/disallowance from oversight agency/ies</t>
  </si>
  <si>
    <t>Budget allocation/Schol MOOE disbursed within the reglementary period with 5-6 overdraft/deficit/disallowance from oversight agency/ies</t>
  </si>
  <si>
    <t>Budget allocation/School MOOE disbursed within the reglementary period with 7 or more overdraft/deficit/disallowance from oversight agency/ies</t>
  </si>
  <si>
    <t>Adhere to SDO's streamlined core processes and management of service provisioning of frontline and other office deliverables to ensure ease of transactions and/or digitalization/digitization</t>
  </si>
  <si>
    <t>Improvements/reduction on 1 service standards
1. no. of documentary requirements
2. total processing time
3. transaction cost
4. client steps/ agency action steps
5. no. of signatories</t>
  </si>
  <si>
    <t>Adhered to streamlined and/or digitized office core processes identified in the QMS planning documents</t>
  </si>
  <si>
    <r>
      <rPr>
        <sz val="20"/>
        <color theme="1"/>
        <rFont val="Bookman Old Style"/>
      </rPr>
      <t xml:space="preserve">Adhered to streamlined and/or digitized </t>
    </r>
    <r>
      <rPr>
        <b/>
        <sz val="20"/>
        <color theme="1"/>
        <rFont val="Bookman Old Style"/>
      </rPr>
      <t>76-99%</t>
    </r>
    <r>
      <rPr>
        <sz val="20"/>
        <color theme="1"/>
        <rFont val="Bookman Old Style"/>
      </rPr>
      <t xml:space="preserve"> office core processes identified in the QMS planning documents</t>
    </r>
  </si>
  <si>
    <r>
      <rPr>
        <sz val="20"/>
        <color theme="1"/>
        <rFont val="Bookman Old Style"/>
      </rPr>
      <t xml:space="preserve">Adhered to streamlined and/or digitized </t>
    </r>
    <r>
      <rPr>
        <b/>
        <sz val="20"/>
        <color theme="1"/>
        <rFont val="Bookman Old Style"/>
      </rPr>
      <t>51-75%</t>
    </r>
    <r>
      <rPr>
        <sz val="20"/>
        <color theme="1"/>
        <rFont val="Bookman Old Style"/>
      </rPr>
      <t xml:space="preserve"> office core processes identified in the QMS planning documents</t>
    </r>
  </si>
  <si>
    <r>
      <rPr>
        <sz val="20"/>
        <color theme="1"/>
        <rFont val="Bookman Old Style"/>
      </rPr>
      <t xml:space="preserve">Adhered to streamlined and/or digitized </t>
    </r>
    <r>
      <rPr>
        <b/>
        <sz val="20"/>
        <color theme="1"/>
        <rFont val="Bookman Old Style"/>
      </rPr>
      <t xml:space="preserve">26-50% </t>
    </r>
    <r>
      <rPr>
        <sz val="20"/>
        <color theme="1"/>
        <rFont val="Bookman Old Style"/>
      </rPr>
      <t>office core processes identified in the QMS planning documents</t>
    </r>
  </si>
  <si>
    <r>
      <rPr>
        <sz val="20"/>
        <color theme="1"/>
        <rFont val="Bookman Old Style"/>
      </rPr>
      <t>Adhered to streamlined and/or digitized</t>
    </r>
    <r>
      <rPr>
        <b/>
        <sz val="20"/>
        <color theme="1"/>
        <rFont val="Bookman Old Style"/>
      </rPr>
      <t xml:space="preserve"> 0-25% </t>
    </r>
    <r>
      <rPr>
        <sz val="20"/>
        <color theme="1"/>
        <rFont val="Bookman Old Style"/>
      </rPr>
      <t>office core processes identified in the QMS planning documents</t>
    </r>
  </si>
  <si>
    <t>Achieved 100% resolution and compliance rate to complaints within the prescribed processing time (simple - 3 days; complex - 7 days; highly technical - 20 days) with at least Satisfactory overall average result on the Client Satisfaction Measurement</t>
  </si>
  <si>
    <t>100% resolution and compliance rate to all complaints</t>
  </si>
  <si>
    <t>At least 80% resolution and compliance rate to complaints</t>
  </si>
  <si>
    <t>At least 50% resolution and compliance rate to complaints</t>
  </si>
  <si>
    <t>At least 1% resolution and compliance rate to complaints</t>
  </si>
  <si>
    <t>0% resolution and compliance rate to complaints</t>
  </si>
  <si>
    <t>https://sites.google.com/d/1_1eBFZEbY7KEjZv2ky2awGZobqs4cVrR/p/1z3uHqg8VN3L7dAZ2S0aHfB10Az0DeJd4/edit</t>
  </si>
  <si>
    <t>DepEd OPCRF (ver.Feb2025), page 2 of 4</t>
  </si>
  <si>
    <r>
      <rPr>
        <b/>
        <u/>
        <sz val="12"/>
        <color rgb="FF000000"/>
        <rFont val="Bookman Old Style"/>
      </rPr>
      <t xml:space="preserve">PART II-A:  LEADERSHIP COMPETENCIES (2.5%)
</t>
    </r>
    <r>
      <rPr>
        <b/>
        <i/>
        <sz val="12"/>
        <color rgb="FF000000"/>
        <rFont val="Bookman Old Style"/>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</si>
  <si>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</si>
  <si>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</si>
  <si>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</si>
  <si>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</si>
  <si>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 xml:space="preserve">AVERAGE </t>
  </si>
  <si>
    <t>DepEd Competencies Scale</t>
  </si>
  <si>
    <t>Numerical Rating</t>
  </si>
  <si>
    <t>Adjectival Rating</t>
  </si>
  <si>
    <t>Definition</t>
  </si>
  <si>
    <t>Leading People</t>
  </si>
  <si>
    <t>1.   Uses basic persuasion techniques in a discussion or presentation e.g., staff mobilization, appeals to reason and/or emotions, uses data and examples, visual aids</t>
  </si>
  <si>
    <t>Role Model</t>
  </si>
  <si>
    <t xml:space="preserve">Behavioral indicator is consistently exhibited and is worthy of emulation. </t>
  </si>
  <si>
    <t>2.   Persuades, convinces or influences others, in order to have a specific impact or effect.</t>
  </si>
  <si>
    <t>Consistently Demonstrated</t>
  </si>
  <si>
    <t>Behavioral indicator is constantly shown.</t>
  </si>
  <si>
    <t>3.   “Sets a good example”, is a credible and respected leader; and demonstrates desired behavior.</t>
  </si>
  <si>
    <t>Most of the Time Demonstrated</t>
  </si>
  <si>
    <t>Behavioral indicator is often shown.</t>
  </si>
  <si>
    <t>4.   Forwards personal, professional and work unit needs and interests in an issue.</t>
  </si>
  <si>
    <t>Sometimes Demonstrated</t>
  </si>
  <si>
    <t>Behavioral indicator is irregularly shown.</t>
  </si>
  <si>
    <t>5.   Assumes a pivotal role in promoting the development of an inspiring, relevant vision for the organization and influences others to share ownership of DepEd goals, in order to create an effective work environment.</t>
  </si>
  <si>
    <t>Rarely Demonstrated</t>
  </si>
  <si>
    <t>Behavioral indicator is seldom shown.</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</si>
  <si>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</si>
  <si>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</si>
  <si>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</si>
  <si>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</si>
  <si>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</si>
  <si>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</si>
  <si>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</si>
  <si>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</si>
  <si>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</si>
  <si>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</si>
  <si>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</si>
  <si>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</si>
  <si>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Total Score: Weighted Average (Average x 0.025)  </t>
  </si>
  <si>
    <r>
      <rPr>
        <b/>
        <u/>
        <sz val="12"/>
        <color rgb="FF000000"/>
        <rFont val="Bookman Old Style"/>
      </rPr>
      <t xml:space="preserve">PART II-B:  CORE BEHAVIOURAL COMPETENCIES (2.5%)
</t>
    </r>
    <r>
      <rPr>
        <b/>
        <i/>
        <sz val="12"/>
        <color rgb="FF000000"/>
        <rFont val="Bookman Old Style"/>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</si>
  <si>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</si>
  <si>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</si>
  <si>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</si>
  <si>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</si>
  <si>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</si>
  <si>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</si>
  <si>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</si>
  <si>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</si>
  <si>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</si>
  <si>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</si>
  <si>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</si>
  <si>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</si>
  <si>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</si>
  <si>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</si>
  <si>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</si>
  <si>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</si>
  <si>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</si>
  <si>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</si>
  <si>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</si>
  <si>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</si>
  <si>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</si>
  <si>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</si>
  <si>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</si>
  <si>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</si>
  <si>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</si>
  <si>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</si>
  <si>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</si>
  <si>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</si>
  <si>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</si>
  <si>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</si>
  <si>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</si>
  <si>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</si>
  <si>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</si>
  <si>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</si>
  <si>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</si>
  <si>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</si>
  <si>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</si>
  <si>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Total Score: Weighted Average (Average x 0.025)</t>
  </si>
  <si>
    <t>RA</t>
  </si>
  <si>
    <t>OBJECTIVE</t>
  </si>
  <si>
    <t>TARGET</t>
  </si>
  <si>
    <t>WEIGHT %</t>
  </si>
  <si>
    <t>MOVs</t>
  </si>
  <si>
    <t>KRA 1: CURRICULUM &amp; TEACHING (25%)</t>
  </si>
  <si>
    <t>1. Accounted for learning outcomes (Reduced Frustration, Non-Numerates)</t>
  </si>
  <si>
    <t>TITLE ONLY -</t>
  </si>
  <si>
    <t>1.1 Achieved Grade Level Ready by CRLA</t>
  </si>
  <si>
    <t>85% GRL</t>
  </si>
  <si>
    <t>CRLA EoSY Report</t>
  </si>
  <si>
    <t>1.2 Achieved Independent Level in Phil-IRI Filipino</t>
  </si>
  <si>
    <t>50% Independent</t>
  </si>
  <si>
    <t>Phil-IRI Filipino Summary</t>
  </si>
  <si>
    <t>1.3 Achieved Independent Level in Phil-IRI English</t>
  </si>
  <si>
    <t>Phil-IRI English Summary</t>
  </si>
  <si>
    <t>1.4 Achieved Proficient &amp; Highly Proficient in RMA</t>
  </si>
  <si>
    <t>50% Proficient</t>
  </si>
  <si>
    <t>RMA School Summary</t>
  </si>
  <si>
    <t>1. Performed Instructional Supervision</t>
  </si>
  <si>
    <t>100% teachers observed</t>
  </si>
  <si>
    <t>Observation Tool, TA Plan</t>
  </si>
  <si>
    <t>1. Achieved target learner enrolled in Kindergarten</t>
  </si>
  <si>
    <t>100% of target</t>
  </si>
  <si>
    <t>SF1 Kinder, LIS Report</t>
  </si>
  <si>
    <t>1. Prepared class program aligned with specialization</t>
  </si>
  <si>
    <t>100% aligned</t>
  </si>
  <si>
    <t>Approved Class Program</t>
  </si>
  <si>
    <t>KRA 2: LEARNING ENVIRONMENT (12%)</t>
  </si>
  <si>
    <t>Implemented Safe &amp; Child-Friendly environment</t>
  </si>
  <si>
    <t>100% implemented</t>
  </si>
  <si>
    <t>Photos, Checklist</t>
  </si>
  <si>
    <t>Implemented Child Protection Policy</t>
  </si>
  <si>
    <t>100% cases acted</t>
  </si>
  <si>
    <t>CPC Minutes, Reports</t>
  </si>
  <si>
    <t>Increased participation in school activities</t>
  </si>
  <si>
    <t>90% participation</t>
  </si>
  <si>
    <t>Attendance, Photos</t>
  </si>
  <si>
    <t>Organized functional school clubs</t>
  </si>
  <si>
    <t>100% functional</t>
  </si>
  <si>
    <t>List of Clubs, Accomplishment</t>
  </si>
  <si>
    <t>Improved nutritional status of learners</t>
  </si>
  <si>
    <t>100% improved</t>
  </si>
  <si>
    <t>SBFP &amp; NS Report</t>
  </si>
  <si>
    <t>KRA 3: LEADERSHIP (3%)</t>
  </si>
  <si>
    <t>Increased stakeholder participation for SBFP</t>
  </si>
  <si>
    <t>100% participation</t>
  </si>
  <si>
    <t>MOA, Donation Records</t>
  </si>
  <si>
    <t>KRA 4: GOVERNANCE &amp; ACCOUNTABILITY (8%)</t>
  </si>
  <si>
    <t>Ensured implementation of SIP and WFP</t>
  </si>
  <si>
    <t>SIP, AIP, WFP, SMEA</t>
  </si>
  <si>
    <t>100% on time</t>
  </si>
  <si>
    <t>Transmittals</t>
  </si>
  <si>
    <t>Crafted WFP, APP, PPMP and Budget</t>
  </si>
  <si>
    <t>100% crafted</t>
  </si>
  <si>
    <t>Approved WFP, APP, PPMP</t>
  </si>
  <si>
    <t>KRA 5: HUMAN RESOURCE (7%)</t>
  </si>
  <si>
    <t>Provided professional development through LAC</t>
  </si>
  <si>
    <t>100% attended</t>
  </si>
  <si>
    <t>LAC Plan, Attendance</t>
  </si>
  <si>
    <t>Implemented PRAISE reward system</t>
  </si>
  <si>
    <t>2 cycles</t>
  </si>
  <si>
    <t>Awards, Minutes</t>
  </si>
  <si>
    <t>Implemented teachers' welfare programs</t>
  </si>
  <si>
    <t>GAD/Wellness Reports</t>
  </si>
  <si>
    <t>AAAA</t>
  </si>
  <si>
    <t>Conducted Inventory of Facilities</t>
  </si>
  <si>
    <t>100% inventory</t>
  </si>
  <si>
    <t>Inventory Report</t>
  </si>
  <si>
    <t>Ensured efficient utilization of funds</t>
  </si>
  <si>
    <t>100% liquidated</t>
  </si>
  <si>
    <t>Liquidation Reports</t>
  </si>
  <si>
    <t>TOTAL</t>
  </si>
  <si>
    <t>DepEd OPCRF (ver.Feb2025), page 3 of 4</t>
  </si>
  <si>
    <t>PART III: SUMMARY OF RATINGS</t>
  </si>
  <si>
    <t>Final Performance Components</t>
  </si>
  <si>
    <t>Obtained Score</t>
  </si>
  <si>
    <t>Overall Score</t>
  </si>
  <si>
    <t>RPMS Rating</t>
  </si>
  <si>
    <t>RPMS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</si>
  <si>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</si>
  <si>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</si>
  <si>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</si>
  <si>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</si>
  <si>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</si>
  <si>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</si>
  <si>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</si>
  <si>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</si>
  <si>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</si>
  <si>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</si>
  <si>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</si>
  <si>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</si>
  <si>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</si>
  <si>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2.5% (0.125)</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</si>
  <si>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</si>
  <si>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</si>
  <si>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</si>
  <si>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</si>
  <si>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</si>
  <si>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</si>
  <si>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</si>
  <si>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 xml:space="preserve">Name of Employee: </t>
  </si>
  <si>
    <r>
      <rPr>
        <sz val="12"/>
        <color rgb="FF000000"/>
        <rFont val="Arial Narrow"/>
      </rPr>
      <t xml:space="preserve">Name of Superior: </t>
    </r>
    <r>
      <rPr>
        <b/>
        <sz val="12"/>
        <color rgb="FF000000"/>
        <rFont val="Arial Narrow"/>
      </rPr>
      <t>ROGER Z. ROCHAR, PhD</t>
    </r>
  </si>
  <si>
    <t xml:space="preserve">Signature:  </t>
  </si>
  <si>
    <t>Signature:</t>
  </si>
  <si>
    <t xml:space="preserve">Date: </t>
  </si>
  <si>
    <t>Date:</t>
  </si>
  <si>
    <r>
      <rPr>
        <b/>
        <sz val="18"/>
        <color rgb="FF000000"/>
        <rFont val="Arial Narrow"/>
      </rPr>
      <t xml:space="preserve">OFFICE PERFORMANCE COMMITMENT AND REVIEW FORM (OPCRF) 
</t>
    </r>
    <r>
      <rPr>
        <b/>
        <i/>
        <sz val="18"/>
        <color rgb="FF000000"/>
        <rFont val="Arial Narrow"/>
      </rPr>
      <t>ver. Feb2025</t>
    </r>
  </si>
  <si>
    <t>Name of Employee: REGINA N. BONDA</t>
  </si>
  <si>
    <t>ROGER Z. ROCHAR PhD.</t>
  </si>
  <si>
    <t>Position/Designation: OIC PRINCIPAL</t>
  </si>
  <si>
    <t>OIC ASDS</t>
  </si>
  <si>
    <t>Review Period:  July 2024; July 2025</t>
  </si>
  <si>
    <t>PORTIA MISSION MALLORCA PhD. CESOV</t>
  </si>
  <si>
    <t>Strand/Bureau/Center/Service/Region/Division: SDO VICTORIAS</t>
  </si>
  <si>
    <t>Date of Rating</t>
  </si>
  <si>
    <t>To improve the learning outcomes of the schools in  SDO VIctorias City.</t>
  </si>
  <si>
    <r>
      <rPr>
        <b/>
        <u/>
        <sz val="12"/>
        <color rgb="FF000000"/>
        <rFont val="Arial Narrow"/>
      </rPr>
      <t xml:space="preserve">PART I-A: COMMITMENT TO ORGANIZATIONAL OUTCOMES (60%)
</t>
    </r>
    <r>
      <rPr>
        <b/>
        <i/>
        <sz val="12"/>
        <color rgb="FF000000"/>
        <rFont val="Arial Narrow"/>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</si>
  <si>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t>Refer to 5-Point Agenda of the DepEd Secretary</t>
  </si>
  <si>
    <t>2. LEARNING ENVIRONMENT</t>
  </si>
  <si>
    <t>: Promoted a safe, clean and healthy learning environment by implementing the following Clean and Green program.</t>
  </si>
  <si>
    <t>July 2024-April 2025</t>
  </si>
  <si>
    <t>95% -100% implemented and sustained Clean and Green program</t>
  </si>
  <si>
    <t>90% - 94% implemented and sustained Clean and Green program</t>
  </si>
  <si>
    <t>85% - 89% implemented and sustained Clean and Green program</t>
  </si>
  <si>
    <t>80% - 84% implemented and sustained Clean and Green program</t>
  </si>
  <si>
    <t>75% - 79% implemented and sustained Clean and Green program</t>
  </si>
  <si>
    <t>1. School Memo</t>
  </si>
  <si>
    <t>All MOVs are submitted</t>
  </si>
  <si>
    <t>4-5 MOVs are submitted</t>
  </si>
  <si>
    <t>3 MOVs are submitted</t>
  </si>
  <si>
    <t>2 MOVs are submitted</t>
  </si>
  <si>
    <t>1 MOV are submitted</t>
  </si>
  <si>
    <t>1. Waste Segregation</t>
  </si>
  <si>
    <t>( Clean and Green components will be implemented throughout the year)</t>
  </si>
  <si>
    <t>2. Minutes of the Meeting</t>
  </si>
  <si>
    <t>2. Project SANYOG</t>
  </si>
  <si>
    <t>3. M&amp;E tool</t>
  </si>
  <si>
    <t>3. Edible Landscaping</t>
  </si>
  <si>
    <t>4. Attendance Sheet</t>
  </si>
  <si>
    <t>4. Gulayan sa Paaralan</t>
  </si>
  <si>
    <t>5. Accomplishment Reports</t>
  </si>
  <si>
    <t>6. Pictures</t>
  </si>
  <si>
    <r>
      <rPr>
        <b/>
        <u/>
        <sz val="12"/>
        <color rgb="FF000000"/>
        <rFont val="Arial Narrow"/>
      </rPr>
      <t xml:space="preserve">PART II-A:  LEADERSHIP COMPETENCIES (2.5%)
</t>
    </r>
    <r>
      <rPr>
        <b/>
        <i/>
        <sz val="12"/>
        <color rgb="FF000000"/>
        <rFont val="Arial Narrow"/>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</si>
  <si>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 xml:space="preserve">1.   Uses basic persuasion techniques in a discussion or presentation e.g., staff mobilization, appeals to reason and/or emotions, uses data and examples, visual aids
</t>
  </si>
  <si>
    <t xml:space="preserve">Part II-A : Weighted Average (Average x 0.025)  </t>
  </si>
  <si>
    <r>
      <rPr>
        <b/>
        <u/>
        <sz val="12"/>
        <color rgb="FF000000"/>
        <rFont val="Arial Narrow"/>
      </rPr>
      <t xml:space="preserve">PART II-B:  CORE BEHAVIOURAL COMPETENCIES (2.5%)
</t>
    </r>
    <r>
      <rPr>
        <b/>
        <i/>
        <sz val="12"/>
        <color rgb="FF000000"/>
        <rFont val="Arial Narrow"/>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</si>
  <si>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Part II-B Weighted Average (Average x 0.025)</t>
  </si>
  <si>
    <t>Name of Superior:</t>
  </si>
  <si>
    <t>DepEd OPCRF (ver.Feb2025),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</si>
  <si>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</si>
  <si>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</si>
  <si>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</si>
  <si>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</si>
  <si>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</si>
  <si>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</si>
  <si>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</si>
  <si>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</si>
  <si>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</si>
  <si>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</si>
  <si>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</si>
  <si>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</si>
  <si>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</si>
  <si>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</si>
  <si>
    <t xml:space="preserve">Whole Year </t>
  </si>
  <si>
    <t>Human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</si>
</sst>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m\ d\,\ yyyy"/>
    <numFmt numFmtId="165" formatCode="0.000"/>
    <numFmt numFmtId="166" formatCode="0.0000"/>
    <numFmt numFmtId="167" formatCode="mmmm\ yyyy"/>
    <numFmt numFmtId="168" formatCode="0.0%"/>
    <numFmt numFmtId="169" formatCode="mmmm\ d\,yyyy"/>
  </numFmts>
  <fonts count="87">
    <font>
      <sz val="11"/>
      <color theme="1"/>
      <name val="Calibri"/>
      <scheme val="minor"/>
    </font>
    <font>
      <sz val="11"/>
      <color rgb="FF000000"/>
      <name val="Arial Narrow"/>
    </font>
    <font>
      <sz val="12"/>
      <color rgb="FF000000"/>
      <name val="Arial Narrow"/>
    </font>
    <font>
      <sz val="11"/>
      <name val="Calibri"/>
    </font>
    <font>
      <b/>
      <sz val="12"/>
      <color theme="1"/>
      <name val="Arial Narrow"/>
    </font>
    <font>
      <sz val="11"/>
      <color theme="1"/>
      <name val="Arial Narrow"/>
    </font>
    <font>
      <sz val="12"/>
      <color theme="1"/>
      <name val="Arial Narrow"/>
    </font>
    <font>
      <b/>
      <sz val="12"/>
      <color theme="1"/>
      <name val="Bookman Old Style"/>
    </font>
    <font>
      <b/>
      <i/>
      <sz val="11"/>
      <color theme="1"/>
      <name val="Bookman Old Style"/>
    </font>
    <font>
      <sz val="12"/>
      <color rgb="FF000000"/>
      <name val="Calibri"/>
    </font>
    <font>
      <sz val="11"/>
      <color theme="1"/>
      <name val="Bookman Old Style"/>
    </font>
    <font>
      <sz val="12"/>
      <color rgb="FF000000"/>
      <name val="Bookman Old Style"/>
    </font>
    <font>
      <b/>
      <sz val="18"/>
      <color rgb="FF000000"/>
      <name val="Arial Narrow"/>
    </font>
    <font>
      <b/>
      <sz val="18"/>
      <color rgb="FF000000"/>
      <name val="Bookman Old Style"/>
    </font>
    <font>
      <b/>
      <i/>
      <sz val="12"/>
      <color rgb="FF000000"/>
      <name val="Arial Narrow"/>
    </font>
    <font>
      <b/>
      <sz val="12"/>
      <color rgb="FF000000"/>
      <name val="Bookman Old Style"/>
    </font>
    <font>
      <b/>
      <i/>
      <sz val="12"/>
      <color rgb="FF000000"/>
      <name val="Bookman Old Style"/>
    </font>
    <font>
      <sz val="24"/>
      <color rgb="FF000000"/>
      <name val="Bookman Old Style"/>
    </font>
    <font>
      <b/>
      <sz val="24"/>
      <color theme="1"/>
      <name val="Bookman Old Style"/>
    </font>
    <font>
      <b/>
      <sz val="11"/>
      <color theme="1"/>
      <name val="Bookman Old Style"/>
    </font>
    <font>
      <b/>
      <sz val="11"/>
      <color theme="1"/>
      <name val="Arial Narrow"/>
    </font>
    <font>
      <b/>
      <sz val="16"/>
      <color rgb="FF000000"/>
      <name val="Arial Narrow"/>
    </font>
    <font>
      <sz val="24"/>
      <color theme="1"/>
      <name val="Bookman Old Style"/>
    </font>
    <font>
      <b/>
      <sz val="11"/>
      <color rgb="FF000000"/>
      <name val="Arial Narrow"/>
    </font>
    <font>
      <sz val="12"/>
      <color theme="1"/>
      <name val="Bookman Old Style"/>
    </font>
    <font>
      <sz val="14"/>
      <color rgb="FF000000"/>
      <name val="Bookman Old Style"/>
    </font>
    <font>
      <sz val="20"/>
      <color rgb="FFFFFFFF"/>
      <name val="Bookman Old Style"/>
    </font>
    <font>
      <sz val="11"/>
      <color theme="1"/>
      <name val="Calibri"/>
    </font>
    <font>
      <b/>
      <sz val="12"/>
      <color rgb="FF000000"/>
      <name val="Arial Narrow"/>
    </font>
    <font>
      <b/>
      <i/>
      <sz val="12"/>
      <color rgb="FF000000"/>
      <name val="Arial"/>
    </font>
    <font>
      <b/>
      <sz val="20"/>
      <color rgb="FF000000"/>
      <name val="Bookman Old Style"/>
    </font>
    <font>
      <sz val="16"/>
      <color rgb="FF000000"/>
      <name val="Arial Narrow"/>
    </font>
    <font>
      <b/>
      <sz val="12"/>
      <color rgb="FF000000"/>
      <name val="Arial"/>
    </font>
    <font>
      <b/>
      <i/>
      <sz val="20"/>
      <color rgb="FF000000"/>
      <name val="Bookman Old Style"/>
    </font>
    <font>
      <b/>
      <sz val="20"/>
      <color theme="1"/>
      <name val="Bookman Old Style"/>
    </font>
    <font>
      <b/>
      <sz val="18"/>
      <color theme="1"/>
      <name val="Bookman Old Style"/>
    </font>
    <font>
      <sz val="12"/>
      <color rgb="FF0070C0"/>
      <name val="Calibri"/>
    </font>
    <font>
      <sz val="12"/>
      <color rgb="FF0070C0"/>
      <name val="Arial Narrow"/>
    </font>
    <font>
      <sz val="11"/>
      <color rgb="FF000000"/>
      <name val="Bookman Old Style"/>
    </font>
    <font>
      <sz val="12"/>
      <color theme="8"/>
      <name val="Calibri"/>
    </font>
    <font>
      <sz val="20"/>
      <color theme="1"/>
      <name val="Bookman Old Style"/>
    </font>
    <font>
      <b/>
      <sz val="12"/>
      <color theme="1"/>
      <name val="Arial"/>
    </font>
    <font>
      <sz val="12"/>
      <color theme="1"/>
      <name val="Calibri"/>
    </font>
    <font>
      <sz val="12"/>
      <color theme="8"/>
      <name val="Arial Narrow"/>
    </font>
    <font>
      <b/>
      <i/>
      <sz val="12"/>
      <color rgb="FF7F7F7F"/>
      <name val="Arial Narrow"/>
    </font>
    <font>
      <sz val="16"/>
      <color theme="1"/>
      <name val="Bookman Old Style"/>
    </font>
    <font>
      <sz val="18"/>
      <color theme="1"/>
      <name val="Bookman Old Style"/>
    </font>
    <font>
      <i/>
      <sz val="12"/>
      <color theme="1"/>
      <name val="Arial Narrow"/>
    </font>
    <font>
      <b/>
      <sz val="8"/>
      <color rgb="FF000000"/>
      <name val="Inherit"/>
    </font>
    <font>
      <sz val="20"/>
      <color rgb="FF000000"/>
      <name val="Bookman Old Style"/>
    </font>
    <font>
      <sz val="9"/>
      <color rgb="FF000000"/>
      <name val="Arial"/>
    </font>
    <font>
      <sz val="6"/>
      <color rgb="FF000000"/>
      <name val="Inherit"/>
    </font>
    <font>
      <i/>
      <sz val="20"/>
      <color theme="1"/>
      <name val="Bookman Old Style"/>
    </font>
    <font>
      <sz val="10"/>
      <color rgb="FF000000"/>
      <name val="Arial Narrow"/>
    </font>
    <font>
      <sz val="10"/>
      <color theme="1"/>
      <name val="Arial Narrow"/>
    </font>
    <font>
      <i/>
      <sz val="10"/>
      <color theme="1"/>
      <name val="Arial Narrow"/>
    </font>
    <font>
      <b/>
      <sz val="10"/>
      <color theme="1"/>
      <name val="Arial Narrow"/>
    </font>
    <font>
      <i/>
      <sz val="10"/>
      <color rgb="FF000000"/>
      <name val="Arial Narrow"/>
    </font>
    <font>
      <b/>
      <i/>
      <sz val="11"/>
      <color rgb="FF000000"/>
      <name val="Arial Narrow"/>
    </font>
    <font>
      <b/>
      <u/>
      <sz val="12"/>
      <color rgb="FF000000"/>
      <name val="Arial Narrow"/>
    </font>
    <font>
      <sz val="16"/>
      <color theme="1"/>
      <name val="Arial Narrow"/>
    </font>
    <font>
      <i/>
      <sz val="12"/>
      <color rgb="FF000000"/>
      <name val="Arial Narrow"/>
    </font>
    <font>
      <sz val="11"/>
      <color rgb="FFFF0000"/>
      <name val="Arial Narrow"/>
    </font>
    <font>
      <b/>
      <i/>
      <sz val="12"/>
      <color theme="1"/>
      <name val="Arial Narrow"/>
    </font>
    <font>
      <b/>
      <i/>
      <sz val="20"/>
      <color theme="1"/>
      <name val="Bookman Old Style"/>
    </font>
    <font>
      <b/>
      <sz val="25"/>
      <color theme="1"/>
      <name val="Bookman Old Style"/>
    </font>
    <font>
      <b/>
      <i/>
      <sz val="11"/>
      <color theme="1"/>
      <name val="Arial Narrow"/>
    </font>
    <font>
      <sz val="14"/>
      <color rgb="FF000000"/>
      <name val="Arial Narrow"/>
    </font>
    <font>
      <sz val="20"/>
      <color rgb="FFFFFFFF"/>
      <name val="Arial Narrow"/>
    </font>
    <font>
      <b/>
      <sz val="18"/>
      <color theme="1"/>
      <name val="Arial Narrow"/>
    </font>
    <font>
      <sz val="24"/>
      <color theme="1"/>
      <name val="Arial Narrow"/>
    </font>
    <font>
      <sz val="20"/>
      <color theme="1"/>
      <name val="Arial Narrow"/>
    </font>
    <font>
      <b/>
      <sz val="11"/>
      <color theme="1"/>
      <name val="Aptos"/>
    </font>
    <font>
      <sz val="11"/>
      <color theme="1"/>
      <name val="Aptos"/>
    </font>
    <font>
      <b/>
      <sz val="8"/>
      <color theme="1"/>
      <name val="Bookman Old Style"/>
    </font>
    <font>
      <b/>
      <sz val="16"/>
      <color rgb="FF000000"/>
      <name val="Bookman Old Style"/>
    </font>
    <font>
      <b/>
      <sz val="11"/>
      <color rgb="FF000000"/>
      <name val="Bookman Old Style"/>
    </font>
    <font>
      <b/>
      <i/>
      <sz val="18"/>
      <color rgb="FF000000"/>
      <name val="Arial Narrow"/>
    </font>
    <font>
      <b/>
      <i/>
      <sz val="18"/>
      <color rgb="FF000000"/>
      <name val="Bookman Old Style"/>
    </font>
    <font>
      <b/>
      <u/>
      <sz val="12"/>
      <color rgb="FF000000"/>
      <name val="Bookman Old Style"/>
    </font>
    <font>
      <b/>
      <u/>
      <sz val="20"/>
      <color rgb="FF000000"/>
      <name val="Bookman Old Style"/>
    </font>
    <font>
      <b/>
      <sz val="12"/>
      <color rgb="FF0070C0"/>
      <name val="Arial Narrow"/>
    </font>
    <font>
      <b/>
      <sz val="12"/>
      <color rgb="FF0070C0"/>
      <name val="Calibri"/>
    </font>
    <font>
      <b/>
      <u/>
      <sz val="18"/>
      <color rgb="FF000000"/>
      <name val="Arial Narrow"/>
    </font>
    <font>
      <i/>
      <sz val="11"/>
      <color theme="1"/>
      <name val="Arial Narrow"/>
    </font>
    <font>
      <i/>
      <sz val="12"/>
      <color theme="1"/>
      <name val="Arial"/>
    </font>
    <font>
      <u/>
      <sz val="11"/>
      <color theme="10"/>
      <name val="Calibri"/>
      <scheme val="minor"/>
    </font>
  </fonts>
  <fills count="1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D9D9D9"/>
        <bgColor rgb="FFD9D9D9"/>
      </patternFill>
    </fill>
    <fill>
      <patternFill patternType="solid">
        <fgColor rgb="FFF6F8FA"/>
        <bgColor rgb="FFF6F8FA"/>
      </patternFill>
    </fill>
    <fill>
      <patternFill patternType="solid">
        <fgColor rgb="FFF0F2F5"/>
        <bgColor rgb="FFF0F2F5"/>
      </patternFill>
    </fill>
    <fill>
      <patternFill patternType="solid">
        <fgColor rgb="FFFFF2CB"/>
        <bgColor rgb="FFFFF2CB"/>
      </patternFill>
    </fill>
    <fill>
      <patternFill patternType="solid">
        <fgColor rgb="FFF2F2F2"/>
        <bgColor rgb="FFF2F2F2"/>
      </patternFill>
    </fill>
    <fill>
      <patternFill patternType="solid">
        <fgColor rgb="FFFBE4D5"/>
        <bgColor rgb="FFFBE4D5"/>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top style="medium">
        <color rgb="FF000000"/>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bottom/>
      <diagonal/>
    </border>
    <border>
      <left/>
      <right/>
      <top style="medium">
        <color rgb="FF000000"/>
      </top>
      <bottom/>
      <diagonal/>
    </border>
    <border>
      <left/>
      <right/>
      <top/>
      <bottom/>
      <diagonal/>
    </border>
    <border>
      <left/>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86" fillId="0" borderId="0" applyNumberFormat="0" applyFill="0" applyBorder="0" applyAlignment="0" applyProtection="0"/>
  </cellStyleXfs>
  <cellXfs count="748">
    <xf numFmtId="0" fontId="0" fillId="0" borderId="0" xfId="0"/>
    <xf numFmtId="0" fontId="8" fillId="0" borderId="0" xfId="0" applyFont="1" applyAlignment="1">
      <alignment vertical="center"/>
    </xf>
    <xf numFmtId="0" fontId="9" fillId="0" borderId="0" xfId="0" applyFont="1"/>
    <xf numFmtId="0" fontId="10" fillId="0" borderId="0" xfId="0" applyFont="1"/>
    <xf numFmtId="0" fontId="11" fillId="0" borderId="0" xfId="0" applyFont="1"/>
    <xf numFmtId="0" fontId="17" fillId="0" borderId="7" xfId="0" applyFont="1" applyBorder="1" applyAlignment="1">
      <alignment vertical="center"/>
    </xf>
    <xf numFmtId="0" fontId="2" fillId="0" borderId="7" xfId="0" applyFont="1" applyBorder="1" applyAlignment="1">
      <alignment vertical="top"/>
    </xf>
    <xf numFmtId="0" fontId="2" fillId="0" borderId="0" xfId="0" applyFont="1"/>
    <xf numFmtId="0" fontId="17" fillId="0" borderId="0" xfId="0" applyFont="1" applyAlignment="1">
      <alignment vertical="center"/>
    </xf>
    <xf numFmtId="0" fontId="22" fillId="0" borderId="0" xfId="0" applyFont="1" applyAlignment="1">
      <alignment vertical="center"/>
    </xf>
    <xf numFmtId="0" fontId="2" fillId="0" borderId="1" xfId="0" applyFont="1" applyBorder="1" applyAlignment="1">
      <alignment horizontal="left" vertical="top"/>
    </xf>
    <xf numFmtId="0" fontId="23" fillId="6" borderId="16" xfId="0" applyFont="1" applyFill="1" applyBorder="1" applyAlignment="1">
      <alignment horizontal="center" vertical="center" wrapText="1"/>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25" fillId="2" borderId="1" xfId="0" applyFont="1" applyFill="1" applyBorder="1" applyAlignment="1">
      <alignment horizontal="center" vertical="center"/>
    </xf>
    <xf numFmtId="0" fontId="1" fillId="0" borderId="22" xfId="0" applyFont="1" applyBorder="1" applyAlignment="1">
      <alignment horizontal="center" vertical="center" wrapText="1"/>
    </xf>
    <xf numFmtId="0" fontId="27"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center"/>
    </xf>
    <xf numFmtId="0" fontId="11" fillId="0" borderId="0" xfId="0" applyFont="1" applyAlignment="1">
      <alignment vertical="center"/>
    </xf>
    <xf numFmtId="0" fontId="11" fillId="0" borderId="0" xfId="0" applyFont="1" applyAlignment="1">
      <alignment wrapText="1"/>
    </xf>
    <xf numFmtId="0" fontId="11" fillId="0" borderId="0" xfId="0" applyFont="1" applyAlignment="1">
      <alignment horizontal="left" vertical="top"/>
    </xf>
    <xf numFmtId="4" fontId="11" fillId="0" borderId="0" xfId="0" applyNumberFormat="1" applyFont="1" applyAlignment="1">
      <alignment horizontal="center" vertical="center"/>
    </xf>
    <xf numFmtId="4" fontId="11" fillId="0" borderId="0" xfId="0" applyNumberFormat="1" applyFont="1"/>
    <xf numFmtId="165" fontId="22" fillId="0" borderId="35" xfId="0" applyNumberFormat="1" applyFont="1" applyBorder="1" applyAlignment="1">
      <alignment horizontal="center" vertical="center"/>
    </xf>
    <xf numFmtId="9" fontId="37" fillId="4" borderId="36" xfId="0" applyNumberFormat="1" applyFont="1" applyFill="1" applyBorder="1" applyAlignment="1">
      <alignment horizontal="center" vertical="top" wrapText="1"/>
    </xf>
    <xf numFmtId="0" fontId="37" fillId="4" borderId="36" xfId="0" applyFont="1" applyFill="1" applyBorder="1" applyAlignment="1">
      <alignment vertical="top" wrapText="1"/>
    </xf>
    <xf numFmtId="0" fontId="36" fillId="4" borderId="36" xfId="0" applyFont="1" applyFill="1" applyBorder="1" applyAlignment="1">
      <alignment vertical="top" wrapText="1"/>
    </xf>
    <xf numFmtId="2" fontId="4" fillId="4" borderId="36" xfId="0" applyNumberFormat="1" applyFont="1" applyFill="1" applyBorder="1" applyAlignment="1">
      <alignment horizontal="center" vertical="top" wrapText="1"/>
    </xf>
    <xf numFmtId="0" fontId="9" fillId="0" borderId="0" xfId="0" applyFont="1" applyAlignment="1">
      <alignment vertical="top"/>
    </xf>
    <xf numFmtId="0" fontId="40" fillId="0" borderId="8" xfId="0" applyFont="1" applyBorder="1" applyAlignment="1">
      <alignment vertical="top" wrapText="1"/>
    </xf>
    <xf numFmtId="0" fontId="37" fillId="4" borderId="39" xfId="0" applyFont="1" applyFill="1" applyBorder="1" applyAlignment="1">
      <alignment horizontal="center" vertical="top" wrapText="1"/>
    </xf>
    <xf numFmtId="0" fontId="37" fillId="4" borderId="1" xfId="0" applyFont="1" applyFill="1" applyBorder="1" applyAlignment="1">
      <alignment horizontal="center" vertical="top" wrapText="1"/>
    </xf>
    <xf numFmtId="0" fontId="37" fillId="4" borderId="1" xfId="0" applyFont="1" applyFill="1" applyBorder="1" applyAlignment="1">
      <alignment vertical="top" wrapText="1"/>
    </xf>
    <xf numFmtId="0" fontId="37" fillId="4" borderId="40" xfId="0" applyFont="1" applyFill="1" applyBorder="1" applyAlignment="1">
      <alignment vertical="top" wrapText="1"/>
    </xf>
    <xf numFmtId="0" fontId="43" fillId="4" borderId="41" xfId="0" applyFont="1" applyFill="1" applyBorder="1" applyAlignment="1">
      <alignment horizontal="left" vertical="top" wrapText="1"/>
    </xf>
    <xf numFmtId="2" fontId="4" fillId="4" borderId="1" xfId="0" applyNumberFormat="1" applyFont="1" applyFill="1" applyBorder="1" applyAlignment="1">
      <alignment horizontal="center" vertical="top" wrapText="1"/>
    </xf>
    <xf numFmtId="0" fontId="37" fillId="4" borderId="39" xfId="0" applyFont="1" applyFill="1" applyBorder="1" applyAlignment="1">
      <alignment vertical="top" wrapText="1"/>
    </xf>
    <xf numFmtId="0" fontId="37" fillId="4" borderId="43" xfId="0" applyFont="1" applyFill="1" applyBorder="1" applyAlignment="1">
      <alignment vertical="top" wrapText="1"/>
    </xf>
    <xf numFmtId="2" fontId="4" fillId="4" borderId="39" xfId="0" applyNumberFormat="1" applyFont="1" applyFill="1" applyBorder="1" applyAlignment="1">
      <alignment horizontal="center" vertical="top" wrapText="1"/>
    </xf>
    <xf numFmtId="0" fontId="10" fillId="0" borderId="0" xfId="0" applyFont="1" applyAlignment="1">
      <alignment vertical="center"/>
    </xf>
    <xf numFmtId="9" fontId="6" fillId="0" borderId="7" xfId="0" applyNumberFormat="1" applyFont="1" applyBorder="1" applyAlignment="1">
      <alignment horizontal="center" vertical="center" wrapText="1"/>
    </xf>
    <xf numFmtId="0" fontId="2" fillId="0" borderId="7" xfId="0" applyFont="1" applyBorder="1" applyAlignment="1">
      <alignment horizontal="left" vertical="top" wrapText="1"/>
    </xf>
    <xf numFmtId="0" fontId="6" fillId="0" borderId="7" xfId="0" applyFont="1" applyBorder="1" applyAlignment="1">
      <alignment horizontal="left" vertical="center" wrapText="1"/>
    </xf>
    <xf numFmtId="165" fontId="6" fillId="3" borderId="1" xfId="0" applyNumberFormat="1" applyFont="1" applyFill="1" applyBorder="1" applyAlignment="1">
      <alignment horizontal="center" vertical="top" wrapText="1"/>
    </xf>
    <xf numFmtId="0" fontId="45" fillId="0" borderId="0" xfId="0" applyFont="1" applyAlignment="1">
      <alignment vertical="center"/>
    </xf>
    <xf numFmtId="0" fontId="40" fillId="0" borderId="1" xfId="0" applyFont="1" applyBorder="1" applyAlignment="1">
      <alignment vertical="center" wrapText="1"/>
    </xf>
    <xf numFmtId="0" fontId="4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4" fontId="40"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6" fillId="0" borderId="1" xfId="0" applyFont="1" applyBorder="1" applyAlignment="1">
      <alignment horizontal="left" vertical="center" wrapText="1"/>
    </xf>
    <xf numFmtId="0" fontId="40" fillId="0" borderId="1" xfId="0" applyFont="1" applyBorder="1" applyAlignment="1">
      <alignment vertical="top"/>
    </xf>
    <xf numFmtId="9" fontId="40" fillId="0" borderId="1" xfId="0" applyNumberFormat="1" applyFont="1" applyBorder="1" applyAlignment="1">
      <alignment vertical="center" wrapText="1"/>
    </xf>
    <xf numFmtId="0" fontId="49" fillId="0" borderId="1" xfId="0" applyFont="1" applyBorder="1" applyAlignment="1">
      <alignment vertical="top" wrapText="1"/>
    </xf>
    <xf numFmtId="0" fontId="50" fillId="8" borderId="1" xfId="0" applyFont="1" applyFill="1" applyBorder="1" applyAlignment="1">
      <alignment vertical="center" wrapText="1"/>
    </xf>
    <xf numFmtId="0" fontId="50" fillId="8" borderId="1" xfId="0" applyFont="1" applyFill="1" applyBorder="1" applyAlignment="1">
      <alignment horizontal="left" vertical="center" wrapText="1"/>
    </xf>
    <xf numFmtId="9" fontId="6" fillId="0" borderId="1" xfId="0" applyNumberFormat="1" applyFont="1" applyBorder="1" applyAlignment="1">
      <alignment horizontal="center" vertical="center" wrapText="1"/>
    </xf>
    <xf numFmtId="9" fontId="50" fillId="8" borderId="1" xfId="0" applyNumberFormat="1" applyFont="1" applyFill="1" applyBorder="1" applyAlignment="1">
      <alignment horizontal="center" vertical="center" wrapText="1"/>
    </xf>
    <xf numFmtId="0" fontId="6" fillId="0" borderId="48" xfId="0" applyFont="1" applyBorder="1" applyAlignment="1">
      <alignment horizontal="center" vertical="center" wrapText="1"/>
    </xf>
    <xf numFmtId="0" fontId="2" fillId="0" borderId="48" xfId="0" applyFont="1" applyBorder="1" applyAlignment="1">
      <alignment horizontal="left" vertical="center" wrapText="1"/>
    </xf>
    <xf numFmtId="0" fontId="2" fillId="0" borderId="49" xfId="0" applyFont="1" applyBorder="1" applyAlignment="1">
      <alignment horizontal="left" vertical="top" wrapText="1"/>
    </xf>
    <xf numFmtId="0" fontId="6" fillId="3" borderId="50" xfId="0" applyFont="1" applyFill="1" applyBorder="1" applyAlignment="1">
      <alignment horizontal="left" vertical="top" wrapText="1"/>
    </xf>
    <xf numFmtId="166" fontId="6" fillId="3" borderId="36" xfId="0" applyNumberFormat="1" applyFont="1" applyFill="1" applyBorder="1" applyAlignment="1">
      <alignment horizontal="center" vertical="top" wrapText="1"/>
    </xf>
    <xf numFmtId="0" fontId="2" fillId="0" borderId="40" xfId="0" applyFont="1" applyBorder="1" applyAlignment="1">
      <alignment horizontal="left" vertical="top" wrapText="1"/>
    </xf>
    <xf numFmtId="10" fontId="50" fillId="8" borderId="1" xfId="0" applyNumberFormat="1" applyFont="1" applyFill="1" applyBorder="1" applyAlignment="1">
      <alignment horizontal="center" vertical="center" wrapText="1"/>
    </xf>
    <xf numFmtId="0" fontId="6" fillId="3" borderId="41" xfId="0" applyFont="1" applyFill="1" applyBorder="1" applyAlignment="1">
      <alignment horizontal="left" vertical="top" wrapText="1"/>
    </xf>
    <xf numFmtId="2" fontId="6" fillId="3" borderId="1" xfId="0" applyNumberFormat="1" applyFont="1" applyFill="1" applyBorder="1" applyAlignment="1">
      <alignment horizontal="center" vertical="top" wrapText="1"/>
    </xf>
    <xf numFmtId="166" fontId="6" fillId="3" borderId="1" xfId="0" applyNumberFormat="1" applyFont="1" applyFill="1" applyBorder="1" applyAlignment="1">
      <alignment horizontal="center" vertical="top" wrapText="1"/>
    </xf>
    <xf numFmtId="9" fontId="27" fillId="0" borderId="0" xfId="0" applyNumberFormat="1" applyFont="1" applyAlignment="1">
      <alignment horizontal="center"/>
    </xf>
    <xf numFmtId="0" fontId="27" fillId="0" borderId="0" xfId="0" applyFont="1" applyAlignment="1">
      <alignment horizontal="center"/>
    </xf>
    <xf numFmtId="0" fontId="40" fillId="0" borderId="1" xfId="0" applyFont="1" applyBorder="1" applyAlignment="1">
      <alignment vertical="top" wrapText="1"/>
    </xf>
    <xf numFmtId="2" fontId="6" fillId="3" borderId="39" xfId="0" applyNumberFormat="1" applyFont="1" applyFill="1" applyBorder="1" applyAlignment="1">
      <alignment horizontal="center" vertical="top" wrapText="1"/>
    </xf>
    <xf numFmtId="0" fontId="40" fillId="0" borderId="38" xfId="0" applyFont="1" applyBorder="1" applyAlignment="1">
      <alignment vertical="top" wrapText="1"/>
    </xf>
    <xf numFmtId="165" fontId="14" fillId="0" borderId="27" xfId="0" applyNumberFormat="1" applyFont="1" applyBorder="1" applyAlignment="1">
      <alignment horizontal="center" vertical="center" wrapText="1"/>
    </xf>
    <xf numFmtId="0" fontId="5" fillId="0" borderId="0" xfId="0" applyFont="1"/>
    <xf numFmtId="9" fontId="40" fillId="0" borderId="1" xfId="0" applyNumberFormat="1" applyFont="1" applyBorder="1" applyAlignment="1">
      <alignment vertical="top" wrapText="1"/>
    </xf>
    <xf numFmtId="0" fontId="40" fillId="9" borderId="1" xfId="0" applyFont="1" applyFill="1" applyBorder="1" applyAlignment="1">
      <alignment vertical="top" wrapText="1"/>
    </xf>
    <xf numFmtId="0" fontId="2" fillId="0" borderId="0" xfId="0" applyFont="1" applyAlignment="1">
      <alignment vertical="center"/>
    </xf>
    <xf numFmtId="4" fontId="40" fillId="0" borderId="1" xfId="0" applyNumberFormat="1" applyFont="1" applyBorder="1" applyAlignment="1">
      <alignment horizontal="center" vertical="top"/>
    </xf>
    <xf numFmtId="0" fontId="27" fillId="0" borderId="0" xfId="0" applyFont="1"/>
    <xf numFmtId="0" fontId="4" fillId="4" borderId="54" xfId="0" applyFont="1" applyFill="1" applyBorder="1" applyAlignment="1">
      <alignment horizontal="center" vertical="center" wrapText="1"/>
    </xf>
    <xf numFmtId="0" fontId="45" fillId="0" borderId="0" xfId="0" applyFont="1" applyAlignment="1">
      <alignment vertical="top"/>
    </xf>
    <xf numFmtId="0" fontId="54" fillId="0" borderId="62" xfId="0" applyFont="1" applyBorder="1" applyAlignment="1">
      <alignment horizontal="center" vertical="center"/>
    </xf>
    <xf numFmtId="0" fontId="56" fillId="0" borderId="62" xfId="0" applyFont="1" applyBorder="1" applyAlignment="1">
      <alignment horizontal="center" vertical="center" wrapText="1"/>
    </xf>
    <xf numFmtId="0" fontId="53" fillId="0" borderId="0" xfId="0" applyFont="1"/>
    <xf numFmtId="0" fontId="54" fillId="0" borderId="1" xfId="0" applyFont="1" applyBorder="1" applyAlignment="1">
      <alignment horizontal="center" vertical="center"/>
    </xf>
    <xf numFmtId="0" fontId="56" fillId="0" borderId="1" xfId="0" applyFont="1" applyBorder="1" applyAlignment="1">
      <alignment horizontal="center" vertical="center" wrapText="1"/>
    </xf>
    <xf numFmtId="165" fontId="6" fillId="0" borderId="1" xfId="0" applyNumberFormat="1" applyFont="1" applyBorder="1" applyAlignment="1">
      <alignment horizontal="center" vertical="center" wrapText="1"/>
    </xf>
    <xf numFmtId="0" fontId="40" fillId="0" borderId="7" xfId="0" applyFont="1" applyBorder="1" applyAlignment="1">
      <alignment vertical="center" wrapText="1"/>
    </xf>
    <xf numFmtId="9" fontId="40" fillId="0" borderId="7" xfId="0" applyNumberFormat="1" applyFont="1" applyBorder="1" applyAlignment="1">
      <alignment vertical="center" wrapText="1"/>
    </xf>
    <xf numFmtId="0" fontId="40" fillId="0" borderId="7" xfId="0" applyFont="1" applyBorder="1" applyAlignment="1">
      <alignment vertical="top" wrapText="1"/>
    </xf>
    <xf numFmtId="4" fontId="40" fillId="0" borderId="7" xfId="0" applyNumberFormat="1" applyFont="1" applyBorder="1" applyAlignment="1">
      <alignment horizontal="center" vertical="center"/>
    </xf>
    <xf numFmtId="0" fontId="40" fillId="0" borderId="1" xfId="0" applyFont="1" applyBorder="1" applyAlignment="1">
      <alignment vertical="center"/>
    </xf>
    <xf numFmtId="0" fontId="54" fillId="0" borderId="48" xfId="0" applyFont="1" applyBorder="1" applyAlignment="1">
      <alignment horizontal="center" vertical="center"/>
    </xf>
    <xf numFmtId="0" fontId="56" fillId="0" borderId="48"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left" vertical="top" wrapText="1"/>
    </xf>
    <xf numFmtId="0" fontId="4" fillId="0" borderId="7" xfId="0" applyFont="1" applyBorder="1" applyAlignment="1">
      <alignment horizontal="center" vertical="center" wrapText="1"/>
    </xf>
    <xf numFmtId="0" fontId="6" fillId="0" borderId="7" xfId="0" applyFont="1" applyBorder="1"/>
    <xf numFmtId="0" fontId="6"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1" xfId="0" applyFont="1" applyBorder="1"/>
    <xf numFmtId="0" fontId="1" fillId="0" borderId="0" xfId="0" applyFont="1"/>
    <xf numFmtId="0" fontId="4" fillId="0" borderId="49" xfId="0" applyFont="1" applyBorder="1"/>
    <xf numFmtId="0" fontId="4" fillId="0" borderId="40" xfId="0" applyFont="1" applyBorder="1"/>
    <xf numFmtId="0" fontId="28" fillId="2" borderId="1" xfId="0" applyFont="1" applyFill="1" applyBorder="1" applyAlignment="1">
      <alignment horizontal="center" vertical="center" wrapText="1"/>
    </xf>
    <xf numFmtId="0" fontId="23" fillId="2" borderId="1" xfId="0" applyFont="1" applyFill="1" applyBorder="1" applyAlignment="1">
      <alignment horizontal="center" vertical="center"/>
    </xf>
    <xf numFmtId="0" fontId="23" fillId="2" borderId="41" xfId="0" applyFont="1" applyFill="1" applyBorder="1" applyAlignment="1">
      <alignment horizontal="center" vertical="center"/>
    </xf>
    <xf numFmtId="0" fontId="2" fillId="2" borderId="65" xfId="0" applyFont="1" applyFill="1" applyBorder="1" applyAlignment="1">
      <alignment horizontal="left" vertical="center" wrapText="1"/>
    </xf>
    <xf numFmtId="9" fontId="2" fillId="2" borderId="36"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41" xfId="0" applyFont="1" applyFill="1" applyBorder="1" applyAlignment="1">
      <alignment horizontal="center" vertical="center"/>
    </xf>
    <xf numFmtId="0" fontId="2" fillId="2" borderId="67" xfId="0" applyFont="1" applyFill="1" applyBorder="1" applyAlignment="1">
      <alignment horizontal="left" vertical="center" wrapText="1"/>
    </xf>
    <xf numFmtId="9" fontId="2" fillId="2" borderId="1" xfId="0" applyNumberFormat="1" applyFont="1" applyFill="1" applyBorder="1" applyAlignment="1">
      <alignment horizontal="center" vertical="center" wrapText="1"/>
    </xf>
    <xf numFmtId="165" fontId="6" fillId="2" borderId="41" xfId="0" applyNumberFormat="1" applyFont="1" applyFill="1" applyBorder="1" applyAlignment="1">
      <alignment horizontal="center" vertical="center" wrapText="1"/>
    </xf>
    <xf numFmtId="165" fontId="4" fillId="3" borderId="68" xfId="0" applyNumberFormat="1" applyFont="1" applyFill="1" applyBorder="1" applyAlignment="1">
      <alignment horizontal="center" vertical="center" wrapText="1"/>
    </xf>
    <xf numFmtId="0" fontId="6" fillId="0" borderId="0" xfId="0" applyFont="1"/>
    <xf numFmtId="9" fontId="2" fillId="10" borderId="1" xfId="0" applyNumberFormat="1" applyFont="1" applyFill="1" applyBorder="1" applyAlignment="1">
      <alignment horizontal="center" vertical="center" wrapText="1"/>
    </xf>
    <xf numFmtId="168" fontId="2" fillId="10" borderId="1" xfId="0" applyNumberFormat="1" applyFont="1" applyFill="1" applyBorder="1" applyAlignment="1">
      <alignment horizontal="center" vertical="center" wrapText="1"/>
    </xf>
    <xf numFmtId="0" fontId="40" fillId="0" borderId="33" xfId="0" applyFont="1" applyBorder="1" applyAlignment="1">
      <alignment vertical="top" wrapText="1"/>
    </xf>
    <xf numFmtId="0" fontId="1" fillId="0" borderId="7" xfId="0" applyFont="1" applyBorder="1" applyAlignment="1">
      <alignment horizontal="left" vertical="center" wrapText="1"/>
    </xf>
    <xf numFmtId="0" fontId="5" fillId="0" borderId="7" xfId="0" applyFont="1" applyBorder="1" applyAlignment="1">
      <alignment horizontal="left" vertical="center" wrapText="1"/>
    </xf>
    <xf numFmtId="165" fontId="6" fillId="0" borderId="7" xfId="0" applyNumberFormat="1" applyFont="1" applyBorder="1" applyAlignment="1">
      <alignment horizontal="center" vertical="center" wrapText="1"/>
    </xf>
    <xf numFmtId="0" fontId="6" fillId="0" borderId="48" xfId="0" applyFont="1" applyBorder="1" applyAlignment="1">
      <alignment horizontal="center" vertical="center"/>
    </xf>
    <xf numFmtId="0" fontId="1" fillId="0" borderId="33" xfId="0" applyFont="1" applyBorder="1" applyAlignment="1">
      <alignment horizontal="left" vertical="center" wrapText="1"/>
    </xf>
    <xf numFmtId="0" fontId="1" fillId="2" borderId="65" xfId="0" applyFont="1" applyFill="1" applyBorder="1" applyAlignment="1">
      <alignment vertical="center" wrapText="1"/>
    </xf>
    <xf numFmtId="165" fontId="6" fillId="0" borderId="48" xfId="0" applyNumberFormat="1" applyFont="1" applyBorder="1" applyAlignment="1">
      <alignment horizontal="center" vertical="center" wrapText="1"/>
    </xf>
    <xf numFmtId="0" fontId="1" fillId="2" borderId="72" xfId="0" applyFont="1" applyFill="1" applyBorder="1" applyAlignment="1">
      <alignment vertical="center" wrapText="1"/>
    </xf>
    <xf numFmtId="0" fontId="5" fillId="0" borderId="7" xfId="0" applyFont="1" applyBorder="1" applyAlignment="1">
      <alignment vertical="top" wrapText="1"/>
    </xf>
    <xf numFmtId="0" fontId="5" fillId="0" borderId="1" xfId="0" applyFont="1" applyBorder="1" applyAlignment="1">
      <alignment horizontal="left" vertical="center" wrapText="1"/>
    </xf>
    <xf numFmtId="0" fontId="62" fillId="10" borderId="48" xfId="0" applyFont="1" applyFill="1" applyBorder="1" applyAlignment="1">
      <alignment horizontal="left" vertical="center" wrapText="1"/>
    </xf>
    <xf numFmtId="0" fontId="4" fillId="0" borderId="48" xfId="0" applyFont="1" applyBorder="1" applyAlignment="1">
      <alignment horizontal="center" vertical="center" wrapText="1"/>
    </xf>
    <xf numFmtId="0" fontId="5" fillId="0" borderId="48" xfId="0" applyFont="1" applyBorder="1" applyAlignment="1">
      <alignment horizontal="left" vertical="center" wrapText="1"/>
    </xf>
    <xf numFmtId="0" fontId="5" fillId="10" borderId="48" xfId="0" applyFont="1" applyFill="1" applyBorder="1" applyAlignment="1">
      <alignment horizontal="left" vertical="center" wrapText="1"/>
    </xf>
    <xf numFmtId="0" fontId="40" fillId="0" borderId="38" xfId="0" applyFont="1" applyBorder="1" applyAlignment="1">
      <alignment horizontal="center" vertical="top" wrapText="1"/>
    </xf>
    <xf numFmtId="0" fontId="40" fillId="0" borderId="1" xfId="0" applyFont="1" applyBorder="1" applyAlignment="1">
      <alignment horizontal="center" vertical="top"/>
    </xf>
    <xf numFmtId="0" fontId="40" fillId="0" borderId="1" xfId="0" applyFont="1" applyBorder="1" applyAlignment="1">
      <alignment horizontal="left" vertical="top"/>
    </xf>
    <xf numFmtId="0" fontId="40" fillId="0" borderId="40" xfId="0" applyFont="1" applyBorder="1" applyAlignment="1">
      <alignment vertical="center"/>
    </xf>
    <xf numFmtId="0" fontId="6" fillId="0" borderId="49" xfId="0" applyFont="1" applyBorder="1"/>
    <xf numFmtId="0" fontId="6" fillId="0" borderId="40" xfId="0" applyFont="1" applyBorder="1"/>
    <xf numFmtId="0" fontId="6" fillId="0" borderId="35" xfId="0" applyFont="1" applyBorder="1"/>
    <xf numFmtId="0" fontId="40" fillId="0" borderId="48" xfId="0" applyFont="1" applyBorder="1" applyAlignment="1">
      <alignment vertical="center" wrapText="1"/>
    </xf>
    <xf numFmtId="0" fontId="40" fillId="0" borderId="48" xfId="0" applyFont="1" applyBorder="1" applyAlignment="1">
      <alignment vertical="top" wrapText="1"/>
    </xf>
    <xf numFmtId="4" fontId="40" fillId="0" borderId="48" xfId="0" applyNumberFormat="1" applyFont="1" applyBorder="1" applyAlignment="1">
      <alignment horizontal="center" vertical="center"/>
    </xf>
    <xf numFmtId="0" fontId="10" fillId="0" borderId="0" xfId="0" applyFont="1" applyAlignment="1">
      <alignment vertical="top"/>
    </xf>
    <xf numFmtId="0" fontId="7" fillId="0" borderId="0" xfId="0" applyFont="1" applyAlignment="1">
      <alignment wrapText="1"/>
    </xf>
    <xf numFmtId="0" fontId="7" fillId="0" borderId="0" xfId="0" applyFont="1" applyAlignment="1">
      <alignment horizontal="center" vertical="center" wrapText="1"/>
    </xf>
    <xf numFmtId="0" fontId="7" fillId="0" borderId="0" xfId="0" applyFont="1" applyAlignment="1">
      <alignment horizontal="center" wrapText="1"/>
    </xf>
    <xf numFmtId="0" fontId="7" fillId="0" borderId="0" xfId="0" applyFont="1" applyAlignment="1">
      <alignment horizontal="left" vertical="top" wrapText="1"/>
    </xf>
    <xf numFmtId="4" fontId="7" fillId="0" borderId="0" xfId="0" applyNumberFormat="1" applyFont="1" applyAlignment="1">
      <alignment horizontal="center" vertical="center" wrapText="1"/>
    </xf>
    <xf numFmtId="4" fontId="7" fillId="0" borderId="0" xfId="0" applyNumberFormat="1" applyFont="1" applyAlignment="1">
      <alignment wrapText="1"/>
    </xf>
    <xf numFmtId="0" fontId="66" fillId="0" borderId="0" xfId="0" applyFont="1" applyAlignment="1">
      <alignment vertical="center"/>
    </xf>
    <xf numFmtId="0" fontId="40" fillId="0" borderId="7" xfId="0" applyFont="1" applyBorder="1" applyAlignment="1">
      <alignment horizontal="center" vertical="center" wrapText="1"/>
    </xf>
    <xf numFmtId="0" fontId="40" fillId="0" borderId="7" xfId="0" applyFont="1" applyBorder="1" applyAlignment="1">
      <alignment horizontal="left" vertical="top" wrapText="1"/>
    </xf>
    <xf numFmtId="4" fontId="40" fillId="0" borderId="7" xfId="0" applyNumberFormat="1" applyFont="1" applyBorder="1" applyAlignment="1">
      <alignment horizontal="center" vertical="center" wrapText="1"/>
    </xf>
    <xf numFmtId="0" fontId="45" fillId="0" borderId="0" xfId="0" applyFont="1" applyAlignment="1">
      <alignment horizontal="left" vertical="center"/>
    </xf>
    <xf numFmtId="0" fontId="40" fillId="0" borderId="1" xfId="0" applyFont="1" applyBorder="1" applyAlignment="1">
      <alignment horizontal="center" vertical="center" wrapText="1"/>
    </xf>
    <xf numFmtId="0" fontId="40" fillId="0" borderId="1" xfId="0" applyFont="1" applyBorder="1" applyAlignment="1">
      <alignment horizontal="left" vertical="top" wrapText="1"/>
    </xf>
    <xf numFmtId="4" fontId="40" fillId="0" borderId="1" xfId="0" applyNumberFormat="1" applyFont="1" applyBorder="1" applyAlignment="1">
      <alignment horizontal="center" vertical="center" wrapText="1"/>
    </xf>
    <xf numFmtId="0" fontId="67" fillId="2" borderId="1" xfId="0" applyFont="1" applyFill="1" applyBorder="1" applyAlignment="1">
      <alignment horizontal="center" vertical="center"/>
    </xf>
    <xf numFmtId="165" fontId="70" fillId="0" borderId="35" xfId="0" applyNumberFormat="1" applyFont="1" applyBorder="1" applyAlignment="1">
      <alignment horizontal="center" vertical="center"/>
    </xf>
    <xf numFmtId="0" fontId="72" fillId="0" borderId="0" xfId="0" applyFont="1"/>
    <xf numFmtId="0" fontId="27" fillId="0" borderId="59" xfId="0" applyFont="1" applyBorder="1"/>
    <xf numFmtId="0" fontId="73" fillId="0" borderId="0" xfId="0" applyFont="1"/>
    <xf numFmtId="0" fontId="73" fillId="0" borderId="1" xfId="0" applyFont="1" applyBorder="1" applyAlignment="1">
      <alignment vertical="top"/>
    </xf>
    <xf numFmtId="0" fontId="74" fillId="0" borderId="0" xfId="0" applyFont="1"/>
    <xf numFmtId="0" fontId="54" fillId="0" borderId="38" xfId="0" applyFont="1" applyBorder="1" applyAlignment="1">
      <alignment horizontal="center" vertical="top" wrapText="1"/>
    </xf>
    <xf numFmtId="0" fontId="55" fillId="0" borderId="46" xfId="0" applyFont="1" applyBorder="1" applyAlignment="1">
      <alignment horizontal="center" vertical="center" wrapText="1"/>
    </xf>
    <xf numFmtId="0" fontId="40" fillId="2" borderId="1" xfId="0" applyFont="1" applyFill="1" applyBorder="1" applyAlignment="1">
      <alignment horizontal="center" vertical="center" wrapText="1"/>
    </xf>
    <xf numFmtId="4" fontId="40" fillId="2" borderId="1" xfId="0" applyNumberFormat="1" applyFont="1" applyFill="1" applyBorder="1" applyAlignment="1">
      <alignment horizontal="center" vertical="center" wrapText="1"/>
    </xf>
    <xf numFmtId="0" fontId="40" fillId="2" borderId="48" xfId="0" applyFont="1" applyFill="1" applyBorder="1" applyAlignment="1">
      <alignment horizontal="center" vertical="center" wrapText="1"/>
    </xf>
    <xf numFmtId="0" fontId="40" fillId="0" borderId="48" xfId="0" applyFont="1" applyBorder="1" applyAlignment="1">
      <alignment horizontal="left" vertical="top" wrapText="1"/>
    </xf>
    <xf numFmtId="4" fontId="40" fillId="2" borderId="48" xfId="0" applyNumberFormat="1" applyFont="1" applyFill="1" applyBorder="1" applyAlignment="1">
      <alignment horizontal="center" vertical="center" wrapText="1"/>
    </xf>
    <xf numFmtId="0" fontId="42" fillId="0" borderId="0" xfId="0" applyFont="1"/>
    <xf numFmtId="4" fontId="34" fillId="2" borderId="76" xfId="0" applyNumberFormat="1" applyFont="1" applyFill="1" applyBorder="1" applyAlignment="1">
      <alignment horizontal="center" vertical="center" wrapText="1"/>
    </xf>
    <xf numFmtId="0" fontId="34" fillId="4" borderId="54" xfId="0" applyFont="1" applyFill="1" applyBorder="1" applyAlignment="1">
      <alignment horizontal="center" wrapText="1"/>
    </xf>
    <xf numFmtId="9" fontId="40" fillId="0" borderId="7" xfId="0" applyNumberFormat="1" applyFont="1" applyBorder="1" applyAlignment="1">
      <alignment horizontal="center" vertical="top"/>
    </xf>
    <xf numFmtId="0" fontId="40" fillId="0" borderId="8" xfId="0" applyFont="1" applyBorder="1" applyAlignment="1">
      <alignment vertical="top"/>
    </xf>
    <xf numFmtId="4" fontId="40" fillId="0" borderId="7" xfId="0" applyNumberFormat="1" applyFont="1" applyBorder="1" applyAlignment="1">
      <alignment horizontal="center" vertical="top"/>
    </xf>
    <xf numFmtId="9" fontId="40" fillId="0" borderId="1" xfId="0" applyNumberFormat="1" applyFont="1" applyBorder="1" applyAlignment="1">
      <alignment horizontal="center" vertical="top"/>
    </xf>
    <xf numFmtId="0" fontId="40" fillId="0" borderId="38" xfId="0" applyFont="1" applyBorder="1" applyAlignment="1">
      <alignment vertical="top"/>
    </xf>
    <xf numFmtId="9" fontId="40" fillId="0" borderId="48" xfId="0" applyNumberFormat="1" applyFont="1" applyBorder="1" applyAlignment="1">
      <alignment horizontal="center" vertical="top"/>
    </xf>
    <xf numFmtId="0" fontId="40" fillId="0" borderId="33" xfId="0" applyFont="1" applyBorder="1" applyAlignment="1">
      <alignment horizontal="left" vertical="top" wrapText="1"/>
    </xf>
    <xf numFmtId="0" fontId="40" fillId="0" borderId="33" xfId="0" applyFont="1" applyBorder="1" applyAlignment="1">
      <alignment vertical="top"/>
    </xf>
    <xf numFmtId="4" fontId="40" fillId="0" borderId="48" xfId="0" applyNumberFormat="1" applyFont="1" applyBorder="1" applyAlignment="1">
      <alignment horizontal="center" vertical="top"/>
    </xf>
    <xf numFmtId="9" fontId="40" fillId="0" borderId="7" xfId="0" applyNumberFormat="1" applyFont="1" applyBorder="1" applyAlignment="1">
      <alignment horizontal="center" vertical="center"/>
    </xf>
    <xf numFmtId="9" fontId="40" fillId="0" borderId="1" xfId="0" applyNumberFormat="1" applyFont="1" applyBorder="1" applyAlignment="1">
      <alignment horizontal="center" vertical="center"/>
    </xf>
    <xf numFmtId="9" fontId="40" fillId="0" borderId="48" xfId="0" applyNumberFormat="1" applyFont="1" applyBorder="1" applyAlignment="1">
      <alignment horizontal="center" vertical="center" wrapText="1"/>
    </xf>
    <xf numFmtId="0" fontId="40" fillId="10" borderId="48" xfId="0" applyFont="1" applyFill="1" applyBorder="1" applyAlignment="1">
      <alignment vertical="top"/>
    </xf>
    <xf numFmtId="0" fontId="6" fillId="0" borderId="7" xfId="0" applyFont="1" applyBorder="1" applyAlignment="1">
      <alignment horizontal="center" vertical="center" wrapText="1"/>
    </xf>
    <xf numFmtId="9" fontId="40" fillId="0" borderId="48" xfId="0" applyNumberFormat="1" applyFont="1" applyBorder="1" applyAlignment="1">
      <alignment horizontal="center" vertical="center"/>
    </xf>
    <xf numFmtId="0" fontId="24" fillId="0" borderId="0" xfId="0" applyFont="1" applyAlignment="1">
      <alignment vertical="top"/>
    </xf>
    <xf numFmtId="9" fontId="10" fillId="0" borderId="0" xfId="0" applyNumberFormat="1" applyFont="1"/>
    <xf numFmtId="0" fontId="10" fillId="0" borderId="0" xfId="0" applyFont="1" applyAlignment="1">
      <alignment horizontal="left" vertical="top"/>
    </xf>
    <xf numFmtId="4" fontId="10" fillId="0" borderId="0" xfId="0" applyNumberFormat="1" applyFont="1" applyAlignment="1">
      <alignment horizontal="center" vertical="center"/>
    </xf>
    <xf numFmtId="0" fontId="40" fillId="0" borderId="0" xfId="0" applyFont="1" applyAlignment="1">
      <alignment horizontal="center" vertical="center"/>
    </xf>
    <xf numFmtId="4" fontId="40" fillId="0" borderId="0" xfId="0" applyNumberFormat="1" applyFont="1" applyAlignment="1">
      <alignment horizontal="center" vertical="center"/>
    </xf>
    <xf numFmtId="0" fontId="24" fillId="0" borderId="0" xfId="0" applyFont="1"/>
    <xf numFmtId="0" fontId="10" fillId="0" borderId="0" xfId="0" applyFont="1" applyAlignment="1">
      <alignment horizontal="center" vertical="center"/>
    </xf>
    <xf numFmtId="0" fontId="10" fillId="0" borderId="0" xfId="0" applyFont="1" applyAlignment="1">
      <alignment horizontal="center"/>
    </xf>
    <xf numFmtId="0" fontId="10" fillId="0" borderId="0" xfId="0" applyFont="1" applyAlignment="1">
      <alignment wrapText="1"/>
    </xf>
    <xf numFmtId="4" fontId="10" fillId="0" borderId="0" xfId="0" applyNumberFormat="1" applyFont="1"/>
    <xf numFmtId="0" fontId="76" fillId="2" borderId="1" xfId="0" applyFont="1" applyFill="1" applyBorder="1" applyAlignment="1">
      <alignment horizontal="center" vertical="center" wrapText="1"/>
    </xf>
    <xf numFmtId="0" fontId="76" fillId="2" borderId="36" xfId="0" applyFont="1" applyFill="1" applyBorder="1" applyAlignment="1">
      <alignment horizontal="center" vertical="center" wrapText="1"/>
    </xf>
    <xf numFmtId="0" fontId="24" fillId="11" borderId="1" xfId="0" applyFont="1" applyFill="1" applyBorder="1" applyAlignment="1">
      <alignment vertical="center" wrapText="1"/>
    </xf>
    <xf numFmtId="0" fontId="24" fillId="2" borderId="1" xfId="0" applyFont="1" applyFill="1" applyBorder="1" applyAlignment="1">
      <alignment vertical="center" wrapText="1"/>
    </xf>
    <xf numFmtId="0" fontId="10" fillId="2" borderId="1" xfId="0" applyFont="1" applyFill="1" applyBorder="1" applyAlignment="1">
      <alignment horizontal="center" vertical="center" wrapText="1"/>
    </xf>
    <xf numFmtId="0" fontId="10" fillId="2" borderId="39" xfId="0" applyFont="1" applyFill="1" applyBorder="1" applyAlignment="1">
      <alignment horizontal="center" vertical="center" wrapText="1"/>
    </xf>
    <xf numFmtId="17" fontId="10" fillId="2" borderId="67"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23" fillId="2" borderId="1" xfId="0" applyFont="1" applyFill="1" applyBorder="1" applyAlignment="1">
      <alignment horizontal="center" vertical="center" wrapText="1"/>
    </xf>
    <xf numFmtId="0" fontId="10" fillId="11" borderId="1" xfId="0" applyFont="1" applyFill="1" applyBorder="1" applyAlignment="1">
      <alignment vertical="center" wrapText="1"/>
    </xf>
    <xf numFmtId="0" fontId="10" fillId="2" borderId="1" xfId="0" applyFont="1" applyFill="1" applyBorder="1" applyAlignment="1">
      <alignment vertical="center" wrapText="1"/>
    </xf>
    <xf numFmtId="0" fontId="1" fillId="2" borderId="65" xfId="0" applyFont="1" applyFill="1" applyBorder="1"/>
    <xf numFmtId="0" fontId="1" fillId="2" borderId="72" xfId="0" applyFont="1" applyFill="1" applyBorder="1"/>
    <xf numFmtId="4" fontId="40" fillId="0" borderId="8" xfId="0" applyNumberFormat="1" applyFont="1" applyBorder="1" applyAlignment="1">
      <alignment vertical="center" wrapText="1"/>
    </xf>
    <xf numFmtId="4" fontId="40" fillId="0" borderId="9" xfId="0" applyNumberFormat="1" applyFont="1" applyBorder="1" applyAlignment="1">
      <alignment vertical="center" wrapText="1"/>
    </xf>
    <xf numFmtId="0" fontId="40" fillId="0" borderId="8" xfId="0" applyFont="1" applyBorder="1" applyAlignment="1">
      <alignment horizontal="left" vertical="top" wrapText="1"/>
    </xf>
    <xf numFmtId="0" fontId="40" fillId="0" borderId="8" xfId="0" applyFont="1" applyBorder="1" applyAlignment="1">
      <alignment vertical="center"/>
    </xf>
    <xf numFmtId="0" fontId="40" fillId="0" borderId="8" xfId="0" applyFont="1" applyBorder="1" applyAlignment="1">
      <alignment horizontal="center" vertical="top" wrapText="1"/>
    </xf>
    <xf numFmtId="0" fontId="17" fillId="0" borderId="12" xfId="0" applyFont="1" applyBorder="1" applyAlignment="1">
      <alignment vertical="center"/>
    </xf>
    <xf numFmtId="0" fontId="17" fillId="0" borderId="18" xfId="0" applyFont="1" applyBorder="1" applyAlignment="1">
      <alignment vertical="center" wrapText="1"/>
    </xf>
    <xf numFmtId="0" fontId="18" fillId="0" borderId="23" xfId="0" applyFont="1" applyBorder="1" applyAlignment="1">
      <alignment horizontal="left" vertical="center" wrapText="1"/>
    </xf>
    <xf numFmtId="0" fontId="34" fillId="0" borderId="26" xfId="0" applyFont="1" applyBorder="1" applyAlignment="1">
      <alignment horizontal="center" vertical="center" wrapText="1"/>
    </xf>
    <xf numFmtId="0" fontId="40" fillId="0" borderId="8" xfId="0" applyFont="1" applyBorder="1" applyAlignment="1">
      <alignment horizontal="center" vertical="center"/>
    </xf>
    <xf numFmtId="4" fontId="40" fillId="0" borderId="8" xfId="0" applyNumberFormat="1" applyFont="1" applyBorder="1" applyAlignment="1">
      <alignment horizontal="center" vertical="center"/>
    </xf>
    <xf numFmtId="4" fontId="40" fillId="0" borderId="8" xfId="0" applyNumberFormat="1" applyFont="1" applyBorder="1" applyAlignment="1">
      <alignment horizontal="center" vertical="center" wrapText="1"/>
    </xf>
    <xf numFmtId="4" fontId="40" fillId="0" borderId="9" xfId="0" applyNumberFormat="1" applyFont="1" applyBorder="1" applyAlignment="1">
      <alignment horizontal="center" vertical="center" wrapText="1"/>
    </xf>
    <xf numFmtId="0" fontId="18" fillId="3" borderId="6" xfId="0" applyFont="1" applyFill="1" applyBorder="1" applyAlignment="1">
      <alignment horizontal="left" vertical="center" wrapText="1"/>
    </xf>
    <xf numFmtId="0" fontId="17" fillId="0" borderId="3" xfId="0" applyFont="1" applyBorder="1" applyAlignment="1">
      <alignment vertical="center"/>
    </xf>
    <xf numFmtId="0" fontId="30" fillId="0" borderId="0" xfId="0" applyFont="1" applyAlignment="1">
      <alignment horizontal="left" vertical="center" wrapText="1"/>
    </xf>
    <xf numFmtId="0" fontId="33" fillId="0" borderId="26" xfId="0" applyFont="1" applyBorder="1" applyAlignment="1">
      <alignment horizontal="center" vertical="center"/>
    </xf>
    <xf numFmtId="0" fontId="40" fillId="0" borderId="4" xfId="0" applyFont="1" applyBorder="1" applyAlignment="1">
      <alignment horizontal="left" vertical="top" wrapText="1"/>
    </xf>
    <xf numFmtId="9" fontId="40" fillId="0" borderId="8" xfId="0" applyNumberFormat="1" applyFont="1" applyBorder="1" applyAlignment="1">
      <alignment horizontal="center" vertical="center"/>
    </xf>
    <xf numFmtId="9" fontId="40" fillId="0" borderId="8" xfId="0" applyNumberFormat="1" applyFont="1" applyBorder="1" applyAlignment="1">
      <alignment horizontal="center" vertical="top" wrapText="1"/>
    </xf>
    <xf numFmtId="9" fontId="40" fillId="0" borderId="8" xfId="0" applyNumberFormat="1" applyFont="1" applyBorder="1" applyAlignment="1">
      <alignment horizontal="center" vertical="center" wrapText="1"/>
    </xf>
    <xf numFmtId="0" fontId="35" fillId="0" borderId="4" xfId="0" applyFont="1" applyBorder="1" applyAlignment="1">
      <alignment horizontal="left" vertical="center" wrapText="1"/>
    </xf>
    <xf numFmtId="9" fontId="40" fillId="0" borderId="8" xfId="0" applyNumberFormat="1" applyFont="1" applyBorder="1" applyAlignment="1">
      <alignment horizontal="left" vertical="top" wrapText="1"/>
    </xf>
    <xf numFmtId="9" fontId="40" fillId="0" borderId="8" xfId="0" applyNumberFormat="1" applyFont="1" applyBorder="1" applyAlignment="1">
      <alignment horizontal="center" vertical="top"/>
    </xf>
    <xf numFmtId="4" fontId="40" fillId="0" borderId="9" xfId="0" applyNumberFormat="1" applyFont="1" applyBorder="1" applyAlignment="1">
      <alignment horizontal="center" vertical="center"/>
    </xf>
    <xf numFmtId="0" fontId="34" fillId="0" borderId="2" xfId="0" applyFont="1" applyBorder="1" applyAlignment="1">
      <alignment horizontal="left" vertical="top" wrapText="1"/>
    </xf>
    <xf numFmtId="0" fontId="34" fillId="0" borderId="17" xfId="0" applyFont="1" applyBorder="1" applyAlignment="1">
      <alignment horizontal="center" vertical="center" wrapText="1"/>
    </xf>
    <xf numFmtId="0" fontId="65" fillId="0" borderId="74" xfId="0" applyFont="1" applyBorder="1" applyAlignment="1">
      <alignment horizontal="center" vertical="center" wrapText="1"/>
    </xf>
    <xf numFmtId="0" fontId="40" fillId="0" borderId="8" xfId="0" applyFont="1" applyBorder="1" applyAlignment="1">
      <alignment horizontal="left" vertical="top"/>
    </xf>
    <xf numFmtId="9" fontId="34" fillId="4" borderId="28" xfId="0" applyNumberFormat="1" applyFont="1" applyFill="1" applyBorder="1" applyAlignment="1">
      <alignment horizontal="center" wrapText="1"/>
    </xf>
    <xf numFmtId="0" fontId="40" fillId="0" borderId="4" xfId="0" applyFont="1" applyBorder="1" applyAlignment="1">
      <alignment vertical="top" wrapText="1"/>
    </xf>
    <xf numFmtId="4" fontId="34" fillId="4" borderId="30" xfId="0" applyNumberFormat="1" applyFont="1" applyFill="1" applyBorder="1" applyAlignment="1">
      <alignment horizontal="center" vertical="center" wrapText="1"/>
    </xf>
    <xf numFmtId="4" fontId="40" fillId="3" borderId="8" xfId="0" applyNumberFormat="1" applyFont="1" applyFill="1" applyBorder="1" applyAlignment="1">
      <alignment horizontal="center" vertical="top" wrapText="1"/>
    </xf>
    <xf numFmtId="4" fontId="40" fillId="0" borderId="9" xfId="0" applyNumberFormat="1" applyFont="1" applyBorder="1" applyAlignment="1">
      <alignment horizontal="center" vertical="top"/>
    </xf>
    <xf numFmtId="4" fontId="34" fillId="4" borderId="28" xfId="0" applyNumberFormat="1" applyFont="1" applyFill="1" applyBorder="1" applyAlignment="1">
      <alignment horizontal="center" wrapText="1"/>
    </xf>
    <xf numFmtId="0" fontId="65" fillId="2" borderId="74" xfId="0" applyFont="1" applyFill="1" applyBorder="1" applyAlignment="1">
      <alignment horizontal="center" vertical="center" wrapText="1"/>
    </xf>
    <xf numFmtId="0" fontId="34" fillId="0" borderId="12" xfId="0" applyFont="1" applyBorder="1" applyAlignment="1">
      <alignment vertical="top" wrapText="1"/>
    </xf>
    <xf numFmtId="0" fontId="64" fillId="0" borderId="26" xfId="0" applyFont="1" applyBorder="1" applyAlignment="1">
      <alignment horizontal="center"/>
    </xf>
    <xf numFmtId="0" fontId="64" fillId="0" borderId="37" xfId="0" applyFont="1" applyBorder="1" applyAlignment="1">
      <alignment horizontal="center"/>
    </xf>
    <xf numFmtId="0" fontId="34" fillId="0" borderId="8" xfId="0" applyFont="1" applyBorder="1" applyAlignment="1">
      <alignment horizontal="center" vertical="center" wrapText="1"/>
    </xf>
    <xf numFmtId="4" fontId="34" fillId="0" borderId="8" xfId="0" applyNumberFormat="1" applyFont="1" applyBorder="1" applyAlignment="1">
      <alignment horizontal="center" vertical="center" wrapText="1"/>
    </xf>
    <xf numFmtId="0" fontId="40" fillId="0" borderId="8" xfId="0" applyFont="1" applyBorder="1" applyAlignment="1">
      <alignment horizontal="center" vertical="center" wrapText="1"/>
    </xf>
    <xf numFmtId="0" fontId="34" fillId="0" borderId="8" xfId="0" applyFont="1" applyBorder="1" applyAlignment="1">
      <alignment horizontal="left" vertical="top" wrapText="1"/>
    </xf>
    <xf numFmtId="0" fontId="34" fillId="0" borderId="37" xfId="0" applyFont="1" applyBorder="1" applyAlignment="1">
      <alignment horizontal="right" vertical="center" wrapText="1"/>
    </xf>
    <xf numFmtId="9" fontId="34" fillId="0" borderId="8" xfId="0" applyNumberFormat="1" applyFont="1" applyBorder="1" applyAlignment="1">
      <alignment horizontal="center" vertical="center" wrapText="1"/>
    </xf>
    <xf numFmtId="4" fontId="34" fillId="0" borderId="9" xfId="0" applyNumberFormat="1" applyFont="1" applyBorder="1" applyAlignment="1">
      <alignment horizontal="center" vertical="center" wrapText="1"/>
    </xf>
    <xf numFmtId="0" fontId="40" fillId="0" borderId="0" xfId="0" applyFont="1" applyAlignment="1">
      <alignment vertical="top"/>
    </xf>
    <xf numFmtId="0" fontId="34" fillId="0" borderId="4" xfId="0" applyFont="1" applyBorder="1" applyAlignment="1">
      <alignment horizontal="center" vertical="center" wrapText="1"/>
    </xf>
    <xf numFmtId="0" fontId="34" fillId="0" borderId="6" xfId="0" applyFont="1" applyBorder="1" applyAlignment="1">
      <alignment horizontal="center" vertical="center" wrapText="1"/>
    </xf>
    <xf numFmtId="0" fontId="40" fillId="0" borderId="8" xfId="0" applyFont="1" applyBorder="1" applyAlignment="1">
      <alignment vertical="center" wrapText="1"/>
    </xf>
    <xf numFmtId="0" fontId="40" fillId="0" borderId="8" xfId="0" applyFont="1" applyBorder="1" applyAlignment="1">
      <alignment vertical="top" wrapText="1"/>
    </xf>
    <xf numFmtId="9" fontId="40" fillId="0" borderId="8" xfId="0" applyNumberFormat="1" applyFont="1" applyBorder="1" applyAlignment="1">
      <alignment vertical="top" wrapText="1"/>
    </xf>
    <xf numFmtId="167" fontId="40" fillId="0" borderId="8" xfId="0" applyNumberFormat="1" applyFont="1" applyBorder="1" applyAlignment="1">
      <alignment vertical="top" wrapText="1"/>
    </xf>
    <xf numFmtId="0" fontId="40" fillId="0" borderId="2" xfId="0" applyFont="1" applyBorder="1" applyAlignment="1">
      <alignment horizontal="center" vertical="top" wrapText="1"/>
    </xf>
    <xf numFmtId="0" fontId="40" fillId="0" borderId="8" xfId="0" applyFont="1" applyBorder="1" applyAlignment="1">
      <alignment horizontal="center" vertical="top"/>
    </xf>
    <xf numFmtId="0" fontId="40" fillId="0" borderId="2" xfId="0" applyFont="1" applyBorder="1" applyAlignment="1">
      <alignment vertical="top" wrapText="1"/>
    </xf>
    <xf numFmtId="0" fontId="47" fillId="0" borderId="4" xfId="0" applyFont="1" applyBorder="1" applyAlignment="1">
      <alignment horizontal="center" vertical="center" wrapText="1"/>
    </xf>
    <xf numFmtId="0" fontId="6" fillId="3" borderId="8" xfId="0" applyFont="1" applyFill="1" applyBorder="1" applyAlignment="1">
      <alignment horizontal="center" vertical="top" wrapText="1"/>
    </xf>
    <xf numFmtId="9" fontId="6" fillId="0" borderId="8" xfId="0" applyNumberFormat="1" applyFont="1" applyBorder="1" applyAlignment="1">
      <alignment horizontal="center" vertical="top"/>
    </xf>
    <xf numFmtId="0" fontId="6" fillId="0" borderId="8" xfId="0" applyFont="1" applyBorder="1" applyAlignment="1">
      <alignment horizontal="center" vertical="top"/>
    </xf>
    <xf numFmtId="0" fontId="6" fillId="0" borderId="8" xfId="0" applyFont="1" applyBorder="1" applyAlignment="1">
      <alignment horizontal="center" vertical="top" wrapText="1"/>
    </xf>
    <xf numFmtId="0" fontId="54" fillId="0" borderId="57" xfId="0" applyFont="1" applyBorder="1" applyAlignment="1">
      <alignment horizontal="center" vertical="center" wrapText="1"/>
    </xf>
    <xf numFmtId="0" fontId="55" fillId="0" borderId="60" xfId="0" applyFont="1" applyBorder="1" applyAlignment="1">
      <alignment horizontal="center" vertical="center" wrapText="1"/>
    </xf>
    <xf numFmtId="0" fontId="54" fillId="3" borderId="61" xfId="0" applyFont="1" applyFill="1" applyBorder="1" applyAlignment="1">
      <alignment horizontal="center" vertical="top" wrapText="1"/>
    </xf>
    <xf numFmtId="9" fontId="54" fillId="0" borderId="61" xfId="0" applyNumberFormat="1" applyFont="1" applyBorder="1" applyAlignment="1">
      <alignment horizontal="center" vertical="top"/>
    </xf>
    <xf numFmtId="0" fontId="54" fillId="0" borderId="61" xfId="0" applyFont="1" applyBorder="1" applyAlignment="1">
      <alignment horizontal="center" vertical="top"/>
    </xf>
    <xf numFmtId="0" fontId="54" fillId="0" borderId="61" xfId="0" applyFont="1" applyBorder="1" applyAlignment="1">
      <alignment horizontal="center" vertical="top" wrapText="1"/>
    </xf>
    <xf numFmtId="9" fontId="2" fillId="0" borderId="8" xfId="0" applyNumberFormat="1" applyFont="1" applyBorder="1" applyAlignment="1">
      <alignment horizontal="center" vertical="top"/>
    </xf>
    <xf numFmtId="0" fontId="2" fillId="0" borderId="8" xfId="0" applyFont="1" applyBorder="1" applyAlignment="1">
      <alignment horizontal="center" vertical="top" wrapText="1"/>
    </xf>
    <xf numFmtId="0" fontId="44" fillId="0" borderId="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vertical="center" wrapText="1"/>
    </xf>
    <xf numFmtId="0" fontId="6" fillId="0" borderId="8" xfId="0" applyFont="1" applyBorder="1" applyAlignment="1">
      <alignment horizontal="left" vertical="center" wrapText="1"/>
    </xf>
    <xf numFmtId="9" fontId="6" fillId="3" borderId="8" xfId="0" applyNumberFormat="1" applyFont="1" applyFill="1" applyBorder="1" applyAlignment="1">
      <alignment horizontal="center" vertical="center" wrapText="1"/>
    </xf>
    <xf numFmtId="0" fontId="47" fillId="0" borderId="8" xfId="0" applyFont="1" applyBorder="1" applyAlignment="1">
      <alignment horizontal="center" vertical="center" wrapText="1"/>
    </xf>
    <xf numFmtId="2" fontId="6" fillId="3" borderId="8" xfId="0" applyNumberFormat="1" applyFont="1" applyFill="1" applyBorder="1" applyAlignment="1">
      <alignment horizontal="center" vertical="center" wrapText="1"/>
    </xf>
    <xf numFmtId="2" fontId="4" fillId="3" borderId="9" xfId="0" applyNumberFormat="1" applyFont="1" applyFill="1" applyBorder="1" applyAlignment="1">
      <alignment horizontal="center" vertical="center" wrapText="1"/>
    </xf>
    <xf numFmtId="0" fontId="47" fillId="0" borderId="0" xfId="0" applyFont="1" applyAlignment="1">
      <alignment horizontal="left" vertical="top" wrapText="1"/>
    </xf>
    <xf numFmtId="0" fontId="4" fillId="3" borderId="26" xfId="0" applyFont="1" applyFill="1" applyBorder="1" applyAlignment="1">
      <alignment horizontal="right" vertical="center" wrapText="1"/>
    </xf>
    <xf numFmtId="0" fontId="28" fillId="0" borderId="0" xfId="0" applyFont="1" applyAlignment="1">
      <alignment horizontal="left" vertical="center" wrapText="1"/>
    </xf>
    <xf numFmtId="0" fontId="6" fillId="0" borderId="2" xfId="0" applyFont="1" applyBorder="1" applyAlignment="1">
      <alignment horizontal="center" vertical="center" wrapText="1"/>
    </xf>
    <xf numFmtId="0" fontId="2" fillId="0" borderId="3" xfId="0" applyFont="1" applyBorder="1" applyAlignment="1">
      <alignment vertical="top"/>
    </xf>
    <xf numFmtId="0" fontId="6" fillId="3" borderId="6" xfId="0" applyFont="1" applyFill="1" applyBorder="1" applyAlignment="1">
      <alignment horizontal="left" vertical="top" wrapText="1"/>
    </xf>
    <xf numFmtId="0" fontId="2" fillId="0" borderId="12" xfId="0" applyFont="1" applyBorder="1" applyAlignment="1">
      <alignment vertical="top"/>
    </xf>
    <xf numFmtId="0" fontId="4" fillId="4" borderId="26" xfId="0" applyFont="1" applyFill="1" applyBorder="1" applyAlignment="1">
      <alignment horizontal="center" vertical="center" wrapText="1"/>
    </xf>
    <xf numFmtId="0" fontId="32" fillId="4" borderId="26" xfId="0" applyFont="1" applyFill="1" applyBorder="1" applyAlignment="1">
      <alignment horizontal="center" vertical="center"/>
    </xf>
    <xf numFmtId="0" fontId="2" fillId="0" borderId="18" xfId="0" applyFont="1" applyBorder="1" applyAlignment="1">
      <alignment vertical="top" wrapText="1"/>
    </xf>
    <xf numFmtId="0" fontId="6" fillId="0" borderId="23" xfId="0" applyFont="1" applyBorder="1" applyAlignment="1">
      <alignment horizontal="left" vertical="top" wrapText="1"/>
    </xf>
    <xf numFmtId="0" fontId="2" fillId="0" borderId="9" xfId="0" applyFont="1" applyBorder="1" applyAlignment="1">
      <alignment horizontal="center" vertical="top" wrapText="1"/>
    </xf>
    <xf numFmtId="0" fontId="6" fillId="3" borderId="2" xfId="0" applyFont="1" applyFill="1" applyBorder="1" applyAlignment="1">
      <alignment horizontal="center" vertical="top" wrapText="1"/>
    </xf>
    <xf numFmtId="165" fontId="6" fillId="0" borderId="8" xfId="0" applyNumberFormat="1" applyFont="1" applyBorder="1" applyAlignment="1">
      <alignment horizontal="center" vertical="center" wrapText="1"/>
    </xf>
    <xf numFmtId="165" fontId="6" fillId="3" borderId="45" xfId="0" applyNumberFormat="1" applyFont="1" applyFill="1" applyBorder="1" applyAlignment="1">
      <alignment horizontal="center" vertical="center" wrapText="1"/>
    </xf>
    <xf numFmtId="165" fontId="4" fillId="3" borderId="9" xfId="0" applyNumberFormat="1" applyFont="1" applyFill="1" applyBorder="1" applyAlignment="1">
      <alignment horizontal="center" vertical="center" wrapText="1"/>
    </xf>
    <xf numFmtId="0" fontId="4" fillId="4" borderId="28" xfId="0" applyFont="1" applyFill="1" applyBorder="1" applyAlignment="1">
      <alignment horizontal="center" vertical="center" wrapText="1"/>
    </xf>
    <xf numFmtId="0" fontId="6" fillId="3" borderId="17" xfId="0" applyFont="1" applyFill="1" applyBorder="1" applyAlignment="1">
      <alignment horizontal="center" vertical="top" wrapText="1"/>
    </xf>
    <xf numFmtId="0" fontId="56" fillId="0" borderId="61" xfId="0" applyFont="1" applyBorder="1" applyAlignment="1">
      <alignment horizontal="center" vertical="center" wrapText="1"/>
    </xf>
    <xf numFmtId="0" fontId="54" fillId="0" borderId="61" xfId="0" applyFont="1" applyBorder="1" applyAlignment="1">
      <alignment horizontal="center"/>
    </xf>
    <xf numFmtId="0" fontId="4" fillId="5" borderId="28"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36" fillId="0" borderId="8" xfId="0" applyFont="1" applyBorder="1" applyAlignment="1">
      <alignment horizontal="center" vertical="top" wrapText="1"/>
    </xf>
    <xf numFmtId="0" fontId="4" fillId="4" borderId="17" xfId="0" applyFont="1" applyFill="1" applyBorder="1" applyAlignment="1">
      <alignment horizontal="center" vertical="center" wrapText="1"/>
    </xf>
    <xf numFmtId="0" fontId="29" fillId="0" borderId="26" xfId="0" applyFont="1" applyBorder="1" applyAlignment="1">
      <alignment horizontal="center" vertical="center"/>
    </xf>
    <xf numFmtId="0" fontId="6" fillId="0" borderId="4" xfId="0" applyFont="1" applyBorder="1" applyAlignment="1">
      <alignment horizontal="left" vertical="top" wrapText="1"/>
    </xf>
    <xf numFmtId="9" fontId="6" fillId="0" borderId="38" xfId="0" applyNumberFormat="1" applyFont="1" applyBorder="1" applyAlignment="1">
      <alignment horizontal="center" vertical="top"/>
    </xf>
    <xf numFmtId="9" fontId="2" fillId="0" borderId="38" xfId="0" applyNumberFormat="1" applyFont="1" applyBorder="1" applyAlignment="1">
      <alignment horizontal="center" vertical="top"/>
    </xf>
    <xf numFmtId="0" fontId="2" fillId="0" borderId="38" xfId="0" applyFont="1" applyBorder="1" applyAlignment="1">
      <alignment horizontal="center" vertical="top" wrapText="1"/>
    </xf>
    <xf numFmtId="0" fontId="4" fillId="0" borderId="8" xfId="0" applyFont="1" applyBorder="1" applyAlignment="1">
      <alignment horizontal="center" vertical="center" wrapText="1"/>
    </xf>
    <xf numFmtId="0" fontId="6" fillId="0" borderId="8" xfId="0" applyFont="1" applyBorder="1" applyAlignment="1">
      <alignment horizontal="center"/>
    </xf>
    <xf numFmtId="165" fontId="4" fillId="0" borderId="9" xfId="0" applyNumberFormat="1" applyFont="1" applyBorder="1" applyAlignment="1">
      <alignment horizontal="center" vertical="center"/>
    </xf>
    <xf numFmtId="0" fontId="4" fillId="0" borderId="38" xfId="0" applyFont="1" applyBorder="1" applyAlignment="1">
      <alignment horizontal="center" vertical="center" wrapText="1"/>
    </xf>
    <xf numFmtId="0" fontId="35" fillId="0" borderId="18" xfId="0" applyFont="1" applyBorder="1" applyAlignment="1">
      <alignment horizontal="right" vertical="center"/>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19" fillId="5" borderId="9" xfId="0" applyFont="1" applyFill="1" applyBorder="1" applyAlignment="1">
      <alignment horizontal="center" vertical="center" wrapText="1"/>
    </xf>
    <xf numFmtId="0" fontId="7" fillId="5" borderId="4" xfId="0" applyFont="1" applyFill="1" applyBorder="1" applyAlignment="1">
      <alignment horizontal="center" vertical="center"/>
    </xf>
    <xf numFmtId="165" fontId="26" fillId="0" borderId="19" xfId="0" applyNumberFormat="1" applyFont="1" applyBorder="1" applyAlignment="1">
      <alignment horizontal="center" vertical="center"/>
    </xf>
    <xf numFmtId="0" fontId="7" fillId="4"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7" xfId="0" applyFont="1" applyBorder="1" applyAlignment="1">
      <alignment horizontal="center" vertical="center" wrapText="1"/>
    </xf>
    <xf numFmtId="0" fontId="19" fillId="5" borderId="8" xfId="0" applyFont="1" applyFill="1" applyBorder="1" applyAlignment="1">
      <alignment horizontal="center" vertical="center" wrapText="1"/>
    </xf>
    <xf numFmtId="0" fontId="2" fillId="2" borderId="46" xfId="0" applyFont="1" applyFill="1" applyBorder="1" applyAlignment="1">
      <alignment horizontal="left" vertical="center" wrapText="1"/>
    </xf>
    <xf numFmtId="0" fontId="28" fillId="2" borderId="64" xfId="0" applyFont="1" applyFill="1" applyBorder="1" applyAlignment="1">
      <alignment horizontal="center" vertical="center" wrapText="1"/>
    </xf>
    <xf numFmtId="0" fontId="69" fillId="0" borderId="18" xfId="0" applyFont="1" applyBorder="1" applyAlignment="1">
      <alignment horizontal="right" vertical="center"/>
    </xf>
    <xf numFmtId="0" fontId="20" fillId="0" borderId="17" xfId="0" applyFont="1" applyBorder="1" applyAlignment="1">
      <alignment horizontal="center" vertical="center"/>
    </xf>
    <xf numFmtId="0" fontId="20" fillId="0" borderId="17" xfId="0" applyFont="1" applyBorder="1" applyAlignment="1">
      <alignment horizontal="center" vertical="center" wrapText="1"/>
    </xf>
    <xf numFmtId="0" fontId="20" fillId="5" borderId="9" xfId="0" applyFont="1" applyFill="1" applyBorder="1" applyAlignment="1">
      <alignment horizontal="center" vertical="center" wrapText="1"/>
    </xf>
    <xf numFmtId="0" fontId="4" fillId="5" borderId="4" xfId="0" applyFont="1" applyFill="1" applyBorder="1" applyAlignment="1">
      <alignment horizontal="center" vertical="center"/>
    </xf>
    <xf numFmtId="165" fontId="68" fillId="0" borderId="19" xfId="0" applyNumberFormat="1" applyFont="1" applyBorder="1" applyAlignment="1">
      <alignment horizontal="center" vertical="center"/>
    </xf>
    <xf numFmtId="0" fontId="4" fillId="4" borderId="2" xfId="0" applyFont="1" applyFill="1" applyBorder="1" applyAlignment="1">
      <alignment horizontal="center" vertical="center"/>
    </xf>
    <xf numFmtId="0" fontId="5" fillId="0" borderId="17" xfId="0" applyFont="1" applyBorder="1" applyAlignment="1">
      <alignment horizontal="center" vertical="top"/>
    </xf>
    <xf numFmtId="0" fontId="5" fillId="0" borderId="17" xfId="0" applyFont="1" applyBorder="1" applyAlignment="1">
      <alignment horizontal="center" vertical="top" wrapText="1"/>
    </xf>
    <xf numFmtId="0" fontId="20" fillId="5" borderId="8" xfId="0" applyFont="1" applyFill="1" applyBorder="1" applyAlignment="1">
      <alignment horizontal="center" vertical="center" wrapText="1"/>
    </xf>
    <xf numFmtId="0" fontId="2" fillId="2" borderId="71" xfId="0" applyFont="1" applyFill="1" applyBorder="1" applyAlignment="1">
      <alignment vertical="top"/>
    </xf>
    <xf numFmtId="0" fontId="4" fillId="3" borderId="71" xfId="0" applyFont="1" applyFill="1" applyBorder="1" applyAlignment="1">
      <alignment horizontal="center" vertical="center"/>
    </xf>
    <xf numFmtId="0" fontId="3" fillId="0" borderId="71" xfId="0" applyFont="1" applyBorder="1" applyAlignment="1"/>
    <xf numFmtId="0" fontId="6" fillId="2" borderId="71" xfId="0" applyFont="1" applyFill="1" applyBorder="1" applyAlignment="1">
      <alignment vertical="top"/>
    </xf>
    <xf numFmtId="0" fontId="12" fillId="3" borderId="71"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3" fillId="0" borderId="31" xfId="0" applyFont="1" applyBorder="1" applyAlignment="1"/>
    <xf numFmtId="0" fontId="3" fillId="0" borderId="5" xfId="0" applyFont="1" applyBorder="1" applyAlignment="1"/>
    <xf numFmtId="0" fontId="3" fillId="0" borderId="50" xfId="0" applyFont="1" applyBorder="1" applyAlignment="1"/>
    <xf numFmtId="0" fontId="3" fillId="0" borderId="10" xfId="0" applyFont="1" applyBorder="1" applyAlignment="1"/>
    <xf numFmtId="0" fontId="3" fillId="0" borderId="13" xfId="0" applyFont="1" applyBorder="1" applyAlignment="1"/>
    <xf numFmtId="0" fontId="3" fillId="0" borderId="41" xfId="0" applyFont="1" applyBorder="1" applyAlignment="1"/>
    <xf numFmtId="0" fontId="6" fillId="3" borderId="67" xfId="0" applyFont="1" applyFill="1" applyBorder="1" applyAlignment="1">
      <alignment horizontal="left" vertical="top" wrapText="1"/>
    </xf>
    <xf numFmtId="0" fontId="3" fillId="0" borderId="14" xfId="0" applyFont="1" applyBorder="1" applyAlignment="1"/>
    <xf numFmtId="0" fontId="6" fillId="3" borderId="64" xfId="0" applyFont="1" applyFill="1" applyBorder="1" applyAlignment="1">
      <alignment horizontal="left" vertical="top" wrapText="1"/>
    </xf>
    <xf numFmtId="0" fontId="3" fillId="0" borderId="51" xfId="0" applyFont="1" applyBorder="1" applyAlignment="1"/>
    <xf numFmtId="0" fontId="3" fillId="0" borderId="46" xfId="0" applyFont="1" applyBorder="1" applyAlignment="1"/>
    <xf numFmtId="0" fontId="6" fillId="3" borderId="71" xfId="0" applyFont="1" applyFill="1" applyBorder="1" applyAlignment="1">
      <alignment horizontal="left" vertical="top" wrapText="1"/>
    </xf>
    <xf numFmtId="0" fontId="6" fillId="3" borderId="55" xfId="0" applyFont="1" applyFill="1" applyBorder="1" applyAlignment="1">
      <alignment horizontal="left" vertical="top" wrapText="1"/>
    </xf>
    <xf numFmtId="0" fontId="3" fillId="0" borderId="20" xfId="0" applyFont="1" applyBorder="1" applyAlignment="1"/>
    <xf numFmtId="0" fontId="3" fillId="0" borderId="21" xfId="0" applyFont="1" applyBorder="1" applyAlignment="1"/>
    <xf numFmtId="0" fontId="3" fillId="0" borderId="24" xfId="0" applyFont="1" applyBorder="1" applyAlignment="1"/>
    <xf numFmtId="0" fontId="4" fillId="3" borderId="70" xfId="0" applyFont="1" applyFill="1" applyBorder="1" applyAlignment="1">
      <alignment horizontal="center" vertical="center" wrapText="1"/>
    </xf>
    <xf numFmtId="0" fontId="3" fillId="0" borderId="70" xfId="0" applyFont="1" applyBorder="1" applyAlignment="1"/>
    <xf numFmtId="0" fontId="0" fillId="0" borderId="0" xfId="0" applyAlignment="1"/>
    <xf numFmtId="0" fontId="3" fillId="0" borderId="29" xfId="0" applyFont="1" applyBorder="1" applyAlignment="1"/>
    <xf numFmtId="0" fontId="3" fillId="0" borderId="27" xfId="0" applyFont="1" applyBorder="1" applyAlignment="1"/>
    <xf numFmtId="0" fontId="29" fillId="0" borderId="29" xfId="0" applyFont="1" applyBorder="1" applyAlignment="1">
      <alignment horizontal="center" vertical="center"/>
    </xf>
    <xf numFmtId="0" fontId="4" fillId="4" borderId="37" xfId="0" applyFont="1" applyFill="1" applyBorder="1" applyAlignment="1">
      <alignment horizontal="center" vertical="center" wrapText="1"/>
    </xf>
    <xf numFmtId="0" fontId="3" fillId="0" borderId="34" xfId="0" applyFont="1" applyBorder="1" applyAlignment="1"/>
    <xf numFmtId="0" fontId="4" fillId="4" borderId="71" xfId="0" applyFont="1" applyFill="1" applyBorder="1" applyAlignment="1">
      <alignment horizontal="center" vertical="center" wrapText="1"/>
    </xf>
    <xf numFmtId="0" fontId="3" fillId="0" borderId="55" xfId="0" applyFont="1" applyBorder="1" applyAlignment="1"/>
    <xf numFmtId="0" fontId="4" fillId="4" borderId="53" xfId="0" applyFont="1" applyFill="1" applyBorder="1" applyAlignment="1">
      <alignment horizontal="center" vertical="center" wrapText="1"/>
    </xf>
    <xf numFmtId="0" fontId="4" fillId="4" borderId="54" xfId="0" applyFont="1" applyFill="1" applyBorder="1" applyAlignment="1">
      <alignment horizontal="center" vertical="center" wrapText="1"/>
    </xf>
    <xf numFmtId="0" fontId="32" fillId="4" borderId="30" xfId="0" applyFont="1" applyFill="1" applyBorder="1" applyAlignment="1">
      <alignment horizontal="center" vertical="center"/>
    </xf>
    <xf numFmtId="0" fontId="3" fillId="0" borderId="28" xfId="0" applyFont="1" applyBorder="1" applyAlignment="1"/>
    <xf numFmtId="0" fontId="4" fillId="4" borderId="55" xfId="0" applyFont="1" applyFill="1" applyBorder="1" applyAlignment="1">
      <alignment horizontal="center" vertical="center" wrapText="1"/>
    </xf>
    <xf numFmtId="0" fontId="4" fillId="4" borderId="74" xfId="0" applyFont="1" applyFill="1" applyBorder="1" applyAlignment="1">
      <alignment horizontal="center" vertical="center" wrapText="1"/>
    </xf>
    <xf numFmtId="0" fontId="3" fillId="0" borderId="53" xfId="0" applyFont="1" applyBorder="1" applyAlignment="1"/>
    <xf numFmtId="0" fontId="4" fillId="4" borderId="70"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4" fillId="4" borderId="43" xfId="0" applyFont="1" applyFill="1" applyBorder="1" applyAlignment="1">
      <alignment horizontal="center" vertical="center" wrapText="1"/>
    </xf>
    <xf numFmtId="0" fontId="3" fillId="0" borderId="56" xfId="0" applyFont="1" applyBorder="1" applyAlignment="1"/>
    <xf numFmtId="0" fontId="2" fillId="2" borderId="71" xfId="0" applyFont="1" applyFill="1" applyBorder="1" applyAlignment="1">
      <alignment vertical="center"/>
    </xf>
    <xf numFmtId="0" fontId="3" fillId="0" borderId="22" xfId="0" applyFont="1" applyBorder="1" applyAlignment="1"/>
    <xf numFmtId="0" fontId="4" fillId="4" borderId="34" xfId="0" applyFont="1" applyFill="1" applyBorder="1" applyAlignment="1">
      <alignment horizontal="center" vertical="center" wrapText="1"/>
    </xf>
    <xf numFmtId="0" fontId="3" fillId="0" borderId="37" xfId="0" applyFont="1" applyBorder="1" applyAlignment="1"/>
    <xf numFmtId="0" fontId="3" fillId="0" borderId="32" xfId="0" applyFont="1" applyBorder="1" applyAlignment="1"/>
    <xf numFmtId="0" fontId="3" fillId="0" borderId="33" xfId="0" applyFont="1" applyBorder="1" applyAlignment="1"/>
    <xf numFmtId="0" fontId="3" fillId="0" borderId="76" xfId="0" applyFont="1" applyBorder="1" applyAlignment="1"/>
    <xf numFmtId="0" fontId="6" fillId="2" borderId="71" xfId="0" applyFont="1" applyFill="1" applyBorder="1" applyAlignment="1">
      <alignment vertical="center"/>
    </xf>
    <xf numFmtId="0" fontId="36" fillId="4" borderId="42" xfId="0" applyFont="1" applyFill="1" applyBorder="1" applyAlignment="1">
      <alignment horizontal="left" vertical="top" wrapText="1"/>
    </xf>
    <xf numFmtId="0" fontId="36" fillId="4" borderId="63" xfId="0" applyFont="1" applyFill="1" applyBorder="1" applyAlignment="1">
      <alignment horizontal="left" vertical="top" wrapText="1"/>
    </xf>
    <xf numFmtId="0" fontId="36" fillId="4" borderId="38" xfId="0" applyFont="1" applyFill="1" applyBorder="1" applyAlignment="1">
      <alignment horizontal="center" vertical="top" wrapText="1"/>
    </xf>
    <xf numFmtId="0" fontId="36" fillId="4" borderId="38" xfId="0" applyFont="1" applyFill="1" applyBorder="1" applyAlignment="1">
      <alignment horizontal="left" vertical="top" wrapText="1"/>
    </xf>
    <xf numFmtId="0" fontId="37" fillId="4" borderId="38" xfId="0" applyFont="1" applyFill="1" applyBorder="1" applyAlignment="1">
      <alignment horizontal="center" vertical="top" wrapText="1"/>
    </xf>
    <xf numFmtId="9" fontId="37" fillId="4" borderId="38" xfId="0" applyNumberFormat="1" applyFont="1" applyFill="1" applyBorder="1" applyAlignment="1">
      <alignment horizontal="center" vertical="top" wrapText="1"/>
    </xf>
    <xf numFmtId="9" fontId="37" fillId="4" borderId="38" xfId="0" applyNumberFormat="1" applyFont="1" applyFill="1" applyBorder="1" applyAlignment="1">
      <alignment horizontal="center" vertical="top" wrapText="1"/>
    </xf>
    <xf numFmtId="0" fontId="39" fillId="4" borderId="52" xfId="0" applyFont="1" applyFill="1" applyBorder="1" applyAlignment="1">
      <alignment vertical="top" wrapText="1"/>
    </xf>
    <xf numFmtId="2" fontId="4" fillId="4" borderId="38" xfId="0" applyNumberFormat="1" applyFont="1" applyFill="1" applyBorder="1" applyAlignment="1">
      <alignment horizontal="center" vertical="center" wrapText="1"/>
    </xf>
    <xf numFmtId="0" fontId="41" fillId="4" borderId="44" xfId="0" applyFont="1" applyFill="1" applyBorder="1" applyAlignment="1">
      <alignment horizontal="center" vertical="center"/>
    </xf>
    <xf numFmtId="0" fontId="3" fillId="0" borderId="42" xfId="0" applyFont="1" applyBorder="1" applyAlignment="1"/>
    <xf numFmtId="0" fontId="42" fillId="0" borderId="63" xfId="0" applyFont="1" applyBorder="1"/>
    <xf numFmtId="0" fontId="3" fillId="0" borderId="38" xfId="0" applyFont="1" applyBorder="1" applyAlignment="1"/>
    <xf numFmtId="0" fontId="3" fillId="0" borderId="44" xfId="0" applyFont="1" applyBorder="1" applyAlignment="1"/>
    <xf numFmtId="0" fontId="43" fillId="4" borderId="46" xfId="0" applyFont="1" applyFill="1" applyBorder="1" applyAlignment="1">
      <alignment horizontal="left" vertical="top" wrapText="1"/>
    </xf>
    <xf numFmtId="0" fontId="3" fillId="0" borderId="45" xfId="0" applyFont="1" applyBorder="1" applyAlignment="1"/>
    <xf numFmtId="0" fontId="3" fillId="0" borderId="69" xfId="0" applyFont="1" applyBorder="1" applyAlignment="1"/>
    <xf numFmtId="0" fontId="3" fillId="0" borderId="63" xfId="0" applyFont="1" applyBorder="1" applyAlignment="1"/>
    <xf numFmtId="0" fontId="3" fillId="0" borderId="65" xfId="0" applyFont="1" applyBorder="1" applyAlignment="1"/>
    <xf numFmtId="0" fontId="3" fillId="0" borderId="52" xfId="0" applyFont="1" applyBorder="1" applyAlignment="1"/>
    <xf numFmtId="0" fontId="3" fillId="0" borderId="36" xfId="0" applyFont="1" applyBorder="1" applyAlignment="1"/>
    <xf numFmtId="0" fontId="3" fillId="0" borderId="15" xfId="0" applyFont="1" applyBorder="1" applyAlignment="1"/>
    <xf numFmtId="0" fontId="3" fillId="0" borderId="11" xfId="0" applyFont="1" applyBorder="1" applyAlignment="1"/>
    <xf numFmtId="0" fontId="6" fillId="0" borderId="64" xfId="0" applyFont="1" applyBorder="1" applyAlignment="1">
      <alignment vertical="center" wrapText="1"/>
    </xf>
    <xf numFmtId="0" fontId="6" fillId="0" borderId="39" xfId="0" applyFont="1" applyBorder="1" applyAlignment="1">
      <alignment horizontal="left" vertical="center" wrapText="1"/>
    </xf>
    <xf numFmtId="9" fontId="6" fillId="3" borderId="39" xfId="0" applyNumberFormat="1" applyFont="1" applyFill="1" applyBorder="1" applyAlignment="1">
      <alignment horizontal="center" vertical="center" wrapText="1"/>
    </xf>
    <xf numFmtId="0" fontId="47" fillId="0" borderId="39" xfId="0" applyFont="1" applyBorder="1" applyAlignment="1">
      <alignment horizontal="center" vertical="center" wrapText="1"/>
    </xf>
    <xf numFmtId="0" fontId="2" fillId="0" borderId="43" xfId="0" applyFont="1" applyBorder="1" applyAlignment="1">
      <alignment horizontal="center" vertical="top" wrapText="1"/>
    </xf>
    <xf numFmtId="0" fontId="3" fillId="0" borderId="47" xfId="0" applyFont="1" applyBorder="1" applyAlignment="1"/>
    <xf numFmtId="0" fontId="3" fillId="0" borderId="75" xfId="0" applyFont="1" applyBorder="1" applyAlignment="1"/>
    <xf numFmtId="0" fontId="6" fillId="0" borderId="45" xfId="0" applyFont="1" applyBorder="1" applyAlignment="1">
      <alignment horizontal="center" vertical="center" wrapText="1"/>
    </xf>
    <xf numFmtId="0" fontId="6" fillId="0" borderId="63" xfId="0" applyFont="1" applyBorder="1" applyAlignment="1">
      <alignment horizontal="center" vertical="center" wrapText="1"/>
    </xf>
    <xf numFmtId="2" fontId="6" fillId="3" borderId="39" xfId="0" applyNumberFormat="1" applyFont="1" applyFill="1" applyBorder="1" applyAlignment="1">
      <alignment horizontal="center" vertical="center" wrapText="1"/>
    </xf>
    <xf numFmtId="2" fontId="4" fillId="3" borderId="43" xfId="0" applyNumberFormat="1" applyFont="1" applyFill="1" applyBorder="1" applyAlignment="1">
      <alignment horizontal="center" vertical="center" wrapText="1"/>
    </xf>
    <xf numFmtId="0" fontId="6" fillId="0" borderId="75" xfId="0" applyFont="1" applyBorder="1" applyAlignment="1">
      <alignment horizontal="center" vertical="center" wrapText="1"/>
    </xf>
    <xf numFmtId="0" fontId="2" fillId="0" borderId="43" xfId="0" applyFont="1" applyBorder="1" applyAlignment="1">
      <alignment horizontal="left" vertical="top" wrapText="1"/>
    </xf>
    <xf numFmtId="0" fontId="6" fillId="3" borderId="46" xfId="0" applyFont="1" applyFill="1" applyBorder="1" applyAlignment="1">
      <alignment horizontal="left" vertical="top" wrapText="1"/>
    </xf>
    <xf numFmtId="0" fontId="4" fillId="3" borderId="71" xfId="0" applyFont="1" applyFill="1" applyBorder="1" applyAlignment="1">
      <alignment vertical="center" wrapText="1"/>
    </xf>
    <xf numFmtId="2" fontId="6" fillId="3" borderId="71" xfId="0" applyNumberFormat="1" applyFont="1" applyFill="1" applyBorder="1" applyAlignment="1">
      <alignment horizontal="center" vertical="center" wrapText="1"/>
    </xf>
    <xf numFmtId="0" fontId="4" fillId="3" borderId="71" xfId="0" applyFont="1" applyFill="1" applyBorder="1" applyAlignment="1">
      <alignment horizontal="right" vertical="center" wrapText="1"/>
    </xf>
    <xf numFmtId="0" fontId="29" fillId="0" borderId="30" xfId="0" applyFont="1" applyBorder="1" applyAlignment="1">
      <alignment horizontal="center" vertical="center"/>
    </xf>
    <xf numFmtId="0" fontId="4" fillId="5" borderId="30" xfId="0" applyFont="1" applyFill="1" applyBorder="1" applyAlignment="1">
      <alignment horizontal="center" vertical="center" wrapText="1"/>
    </xf>
    <xf numFmtId="0" fontId="4" fillId="5" borderId="54" xfId="0" applyFont="1" applyFill="1" applyBorder="1" applyAlignment="1">
      <alignment horizontal="center" vertical="center" wrapText="1"/>
    </xf>
    <xf numFmtId="0" fontId="53" fillId="2" borderId="71" xfId="0" applyFont="1" applyFill="1" applyBorder="1" applyAlignment="1">
      <alignment vertical="top"/>
    </xf>
    <xf numFmtId="0" fontId="3" fillId="0" borderId="58" xfId="0" applyFont="1" applyBorder="1" applyAlignment="1"/>
    <xf numFmtId="0" fontId="3" fillId="0" borderId="59" xfId="0" applyFont="1" applyBorder="1" applyAlignment="1"/>
    <xf numFmtId="165" fontId="6" fillId="0" borderId="36" xfId="0" applyNumberFormat="1" applyFont="1" applyBorder="1" applyAlignment="1">
      <alignment horizontal="center" vertical="center" wrapText="1"/>
    </xf>
    <xf numFmtId="165" fontId="4" fillId="0" borderId="44" xfId="0" applyNumberFormat="1" applyFont="1" applyBorder="1" applyAlignment="1">
      <alignment horizontal="center" vertical="center"/>
    </xf>
    <xf numFmtId="0" fontId="54" fillId="2" borderId="71" xfId="0" applyFont="1" applyFill="1" applyBorder="1" applyAlignment="1">
      <alignment vertical="top"/>
    </xf>
    <xf numFmtId="0" fontId="57" fillId="4" borderId="71" xfId="0" applyFont="1" applyFill="1" applyBorder="1" applyAlignment="1">
      <alignment horizontal="center"/>
    </xf>
    <xf numFmtId="0" fontId="55" fillId="0" borderId="64" xfId="0" applyFont="1" applyBorder="1" applyAlignment="1">
      <alignment horizontal="center" vertical="center" wrapText="1"/>
    </xf>
    <xf numFmtId="0" fontId="54" fillId="3" borderId="39" xfId="0" applyFont="1" applyFill="1" applyBorder="1" applyAlignment="1">
      <alignment horizontal="center" vertical="top" wrapText="1"/>
    </xf>
    <xf numFmtId="9" fontId="54" fillId="0" borderId="39" xfId="0" applyNumberFormat="1" applyFont="1" applyBorder="1" applyAlignment="1">
      <alignment horizontal="center" vertical="top"/>
    </xf>
    <xf numFmtId="0" fontId="54" fillId="0" borderId="39" xfId="0" applyFont="1" applyBorder="1" applyAlignment="1">
      <alignment horizontal="center" vertical="top"/>
    </xf>
    <xf numFmtId="0" fontId="54" fillId="0" borderId="39" xfId="0" applyFont="1" applyBorder="1" applyAlignment="1">
      <alignment horizontal="center" vertical="top" wrapText="1"/>
    </xf>
    <xf numFmtId="0" fontId="56" fillId="0" borderId="39" xfId="0" applyFont="1" applyBorder="1" applyAlignment="1">
      <alignment horizontal="center" vertical="center" wrapText="1"/>
    </xf>
    <xf numFmtId="0" fontId="54" fillId="0" borderId="39" xfId="0" applyFont="1" applyBorder="1" applyAlignment="1">
      <alignment horizontal="center"/>
    </xf>
    <xf numFmtId="165" fontId="6" fillId="0" borderId="39" xfId="0" applyNumberFormat="1" applyFont="1" applyBorder="1" applyAlignment="1">
      <alignment horizontal="center" vertical="center" wrapText="1"/>
    </xf>
    <xf numFmtId="165" fontId="4" fillId="0" borderId="43" xfId="0" applyNumberFormat="1" applyFont="1" applyBorder="1" applyAlignment="1">
      <alignment horizontal="center" vertical="center"/>
    </xf>
    <xf numFmtId="0" fontId="6" fillId="0" borderId="30"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4" xfId="0" applyFont="1" applyBorder="1" applyAlignment="1">
      <alignment horizontal="center"/>
    </xf>
    <xf numFmtId="0" fontId="47" fillId="0" borderId="64" xfId="0" applyFont="1" applyBorder="1" applyAlignment="1">
      <alignment horizontal="center" vertical="center" wrapText="1"/>
    </xf>
    <xf numFmtId="0" fontId="6" fillId="3" borderId="39" xfId="0" applyFont="1" applyFill="1" applyBorder="1" applyAlignment="1">
      <alignment horizontal="center" vertical="top" wrapText="1"/>
    </xf>
    <xf numFmtId="9" fontId="6" fillId="0" borderId="39" xfId="0" applyNumberFormat="1" applyFont="1" applyBorder="1" applyAlignment="1">
      <alignment horizontal="center" vertical="top"/>
    </xf>
    <xf numFmtId="0" fontId="6" fillId="0" borderId="39" xfId="0" applyFont="1" applyBorder="1" applyAlignment="1">
      <alignment horizontal="center" vertical="top"/>
    </xf>
    <xf numFmtId="0" fontId="6" fillId="0" borderId="39" xfId="0" applyFont="1" applyBorder="1" applyAlignment="1">
      <alignment horizontal="center" vertical="top" wrapText="1"/>
    </xf>
    <xf numFmtId="0" fontId="4" fillId="0" borderId="43" xfId="0" applyFont="1" applyBorder="1" applyAlignment="1">
      <alignment horizontal="center"/>
    </xf>
    <xf numFmtId="0" fontId="6" fillId="0" borderId="39" xfId="0" applyFont="1" applyBorder="1" applyAlignment="1">
      <alignment horizontal="center" vertical="center"/>
    </xf>
    <xf numFmtId="0" fontId="4" fillId="0" borderId="39" xfId="0" applyFont="1" applyBorder="1" applyAlignment="1">
      <alignment horizontal="center" vertical="center" wrapText="1"/>
    </xf>
    <xf numFmtId="0" fontId="6" fillId="0" borderId="39" xfId="0" applyFont="1" applyBorder="1"/>
    <xf numFmtId="0" fontId="6" fillId="0" borderId="30" xfId="0" applyFont="1" applyBorder="1" applyAlignment="1">
      <alignment horizontal="center" vertical="center"/>
    </xf>
    <xf numFmtId="0" fontId="4" fillId="0" borderId="43" xfId="0" applyFont="1" applyBorder="1"/>
    <xf numFmtId="0" fontId="3" fillId="0" borderId="66" xfId="0" applyFont="1" applyBorder="1" applyAlignment="1"/>
    <xf numFmtId="0" fontId="4" fillId="5" borderId="55" xfId="0" applyFont="1" applyFill="1" applyBorder="1" applyAlignment="1">
      <alignment horizontal="center" vertical="center" wrapText="1"/>
    </xf>
    <xf numFmtId="0" fontId="32" fillId="4" borderId="37" xfId="0" applyFont="1" applyFill="1" applyBorder="1" applyAlignment="1">
      <alignment horizontal="center" vertical="center"/>
    </xf>
    <xf numFmtId="0" fontId="4" fillId="4" borderId="54" xfId="0" applyFont="1" applyFill="1" applyBorder="1" applyAlignment="1">
      <alignment vertical="center" wrapText="1"/>
    </xf>
    <xf numFmtId="0" fontId="60" fillId="0" borderId="30" xfId="0" applyFont="1" applyBorder="1" applyAlignment="1">
      <alignment horizontal="center" vertical="center" wrapText="1"/>
    </xf>
    <xf numFmtId="0" fontId="1" fillId="0" borderId="36" xfId="0" applyFont="1" applyBorder="1" applyAlignment="1">
      <alignment horizontal="left" vertical="center" wrapText="1"/>
    </xf>
    <xf numFmtId="0" fontId="5" fillId="0" borderId="36" xfId="0" applyFont="1" applyBorder="1" applyAlignment="1">
      <alignment horizontal="left" vertical="center" wrapText="1"/>
    </xf>
    <xf numFmtId="0" fontId="61" fillId="4" borderId="71" xfId="0" applyFont="1" applyFill="1" applyBorder="1" applyAlignment="1">
      <alignment horizontal="center"/>
    </xf>
    <xf numFmtId="0" fontId="60" fillId="0" borderId="30" xfId="0" applyFont="1" applyBorder="1" applyAlignment="1">
      <alignment horizontal="center" vertical="center"/>
    </xf>
    <xf numFmtId="0" fontId="6" fillId="0" borderId="56" xfId="0" applyFont="1" applyBorder="1" applyAlignment="1">
      <alignment horizontal="center" vertical="center" wrapText="1"/>
    </xf>
    <xf numFmtId="0" fontId="47" fillId="0" borderId="69" xfId="0" applyFont="1" applyBorder="1" applyAlignment="1">
      <alignment horizontal="center" vertical="center" wrapText="1"/>
    </xf>
    <xf numFmtId="0" fontId="6" fillId="3" borderId="38" xfId="0" applyFont="1" applyFill="1" applyBorder="1" applyAlignment="1">
      <alignment horizontal="center" vertical="top" wrapText="1"/>
    </xf>
    <xf numFmtId="0" fontId="6" fillId="0" borderId="36" xfId="0" applyFont="1" applyBorder="1" applyAlignment="1">
      <alignment horizontal="center" vertical="center"/>
    </xf>
    <xf numFmtId="0" fontId="6" fillId="0" borderId="36" xfId="0" applyFont="1" applyBorder="1" applyAlignment="1">
      <alignment horizontal="left" vertical="top" wrapText="1"/>
    </xf>
    <xf numFmtId="0" fontId="6" fillId="0" borderId="36" xfId="0" applyFont="1" applyBorder="1"/>
    <xf numFmtId="0" fontId="6" fillId="0" borderId="44" xfId="0" applyFont="1" applyBorder="1" applyAlignment="1">
      <alignment horizontal="center"/>
    </xf>
    <xf numFmtId="0" fontId="6" fillId="0" borderId="43" xfId="0" applyFont="1" applyBorder="1" applyAlignment="1">
      <alignment horizontal="center"/>
    </xf>
    <xf numFmtId="0" fontId="3" fillId="0" borderId="73" xfId="0" applyFont="1" applyBorder="1" applyAlignment="1"/>
    <xf numFmtId="0" fontId="3" fillId="0" borderId="72" xfId="0" applyFont="1" applyBorder="1" applyAlignment="1"/>
    <xf numFmtId="165" fontId="63" fillId="3" borderId="34" xfId="0" applyNumberFormat="1" applyFont="1" applyFill="1" applyBorder="1" applyAlignment="1">
      <alignment horizontal="center" vertical="center" wrapText="1"/>
    </xf>
    <xf numFmtId="0" fontId="6" fillId="3" borderId="71" xfId="0" applyFont="1" applyFill="1" applyBorder="1" applyAlignment="1">
      <alignment vertical="top" wrapText="1"/>
    </xf>
    <xf numFmtId="9" fontId="6" fillId="3" borderId="71" xfId="0" applyNumberFormat="1" applyFont="1" applyFill="1" applyBorder="1" applyAlignment="1">
      <alignment vertical="top" wrapText="1"/>
    </xf>
    <xf numFmtId="0" fontId="6" fillId="3" borderId="71" xfId="0" applyFont="1" applyFill="1" applyBorder="1" applyAlignment="1">
      <alignment horizontal="center" vertical="top" wrapText="1"/>
    </xf>
    <xf numFmtId="9" fontId="6" fillId="3" borderId="71" xfId="0" applyNumberFormat="1" applyFont="1" applyFill="1" applyBorder="1" applyAlignment="1">
      <alignment horizontal="center" vertical="top" wrapText="1"/>
    </xf>
    <xf numFmtId="0" fontId="6" fillId="3" borderId="71" xfId="0" applyFont="1" applyFill="1" applyBorder="1" applyAlignment="1">
      <alignment vertical="top"/>
    </xf>
    <xf numFmtId="2" fontId="6" fillId="3" borderId="71" xfId="0" applyNumberFormat="1" applyFont="1" applyFill="1" applyBorder="1" applyAlignment="1">
      <alignment horizontal="center" vertical="top" wrapText="1"/>
    </xf>
    <xf numFmtId="0" fontId="6" fillId="3" borderId="71" xfId="0" applyFont="1" applyFill="1" applyBorder="1" applyAlignment="1">
      <alignment horizontal="center" vertical="center" wrapText="1"/>
    </xf>
    <xf numFmtId="9" fontId="4" fillId="3" borderId="71" xfId="0" applyNumberFormat="1" applyFont="1" applyFill="1" applyBorder="1" applyAlignment="1">
      <alignment vertical="top" wrapText="1"/>
    </xf>
    <xf numFmtId="9" fontId="4" fillId="3" borderId="64" xfId="0" applyNumberFormat="1" applyFont="1" applyFill="1" applyBorder="1" applyAlignment="1">
      <alignment horizontal="center" vertical="top" wrapText="1"/>
    </xf>
    <xf numFmtId="0" fontId="6" fillId="3" borderId="64" xfId="0" applyFont="1" applyFill="1" applyBorder="1" applyAlignment="1">
      <alignment horizontal="center" wrapText="1"/>
    </xf>
    <xf numFmtId="0" fontId="6" fillId="3" borderId="67" xfId="0" applyFont="1" applyFill="1" applyBorder="1" applyAlignment="1">
      <alignment horizontal="center" vertical="top"/>
    </xf>
    <xf numFmtId="0" fontId="6" fillId="3" borderId="67" xfId="0" applyFont="1" applyFill="1" applyBorder="1" applyAlignment="1">
      <alignment horizontal="center" vertical="top" wrapText="1"/>
    </xf>
    <xf numFmtId="9" fontId="6" fillId="3" borderId="71" xfId="0" applyNumberFormat="1" applyFont="1" applyFill="1" applyBorder="1" applyAlignment="1">
      <alignment vertical="top"/>
    </xf>
    <xf numFmtId="0" fontId="6" fillId="3" borderId="71" xfId="0" applyFont="1" applyFill="1" applyBorder="1" applyAlignment="1">
      <alignment horizontal="left" vertical="top"/>
    </xf>
    <xf numFmtId="0" fontId="42" fillId="3" borderId="71" xfId="0" applyFont="1" applyFill="1" applyBorder="1"/>
    <xf numFmtId="0" fontId="7" fillId="3" borderId="71" xfId="0" applyFont="1" applyFill="1" applyBorder="1" applyAlignment="1">
      <alignment horizontal="center" vertical="center"/>
    </xf>
    <xf numFmtId="0" fontId="11" fillId="2" borderId="71" xfId="0" applyFont="1" applyFill="1" applyBorder="1" applyAlignment="1">
      <alignment vertical="top"/>
    </xf>
    <xf numFmtId="0" fontId="13" fillId="3" borderId="71"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7" fillId="2" borderId="71" xfId="0" applyFont="1" applyFill="1" applyBorder="1" applyAlignment="1">
      <alignment vertical="center"/>
    </xf>
    <xf numFmtId="0" fontId="18" fillId="3" borderId="67" xfId="0" applyFont="1" applyFill="1" applyBorder="1" applyAlignment="1">
      <alignment horizontal="left" vertical="center" wrapText="1"/>
    </xf>
    <xf numFmtId="0" fontId="18" fillId="3" borderId="64" xfId="0" applyFont="1" applyFill="1" applyBorder="1" applyAlignment="1">
      <alignment horizontal="left" vertical="center" wrapText="1"/>
    </xf>
    <xf numFmtId="164" fontId="18" fillId="3" borderId="71" xfId="0" applyNumberFormat="1" applyFont="1" applyFill="1" applyBorder="1" applyAlignment="1">
      <alignment horizontal="left" vertical="center" wrapText="1"/>
    </xf>
    <xf numFmtId="0" fontId="18" fillId="3" borderId="71" xfId="0" applyFont="1" applyFill="1" applyBorder="1" applyAlignment="1">
      <alignment horizontal="left" vertical="center" wrapText="1"/>
    </xf>
    <xf numFmtId="0" fontId="18" fillId="3" borderId="71" xfId="0" applyFont="1" applyFill="1" applyBorder="1" applyAlignment="1">
      <alignment horizontal="left" vertical="top" wrapText="1"/>
    </xf>
    <xf numFmtId="4" fontId="18" fillId="3" borderId="71" xfId="0" applyNumberFormat="1" applyFont="1" applyFill="1" applyBorder="1" applyAlignment="1">
      <alignment horizontal="center" vertical="center" wrapText="1"/>
    </xf>
    <xf numFmtId="4" fontId="18" fillId="3" borderId="71" xfId="0" applyNumberFormat="1" applyFont="1" applyFill="1" applyBorder="1" applyAlignment="1">
      <alignment horizontal="left" vertical="center" wrapText="1"/>
    </xf>
    <xf numFmtId="4" fontId="18" fillId="3" borderId="55" xfId="0" applyNumberFormat="1" applyFont="1" applyFill="1" applyBorder="1" applyAlignment="1">
      <alignment horizontal="left" vertical="center" wrapText="1"/>
    </xf>
    <xf numFmtId="0" fontId="7" fillId="3" borderId="70" xfId="0" applyFont="1" applyFill="1" applyBorder="1" applyAlignment="1">
      <alignment horizontal="center" vertical="center" wrapText="1"/>
    </xf>
    <xf numFmtId="0" fontId="33" fillId="0" borderId="70" xfId="0" applyFont="1" applyBorder="1" applyAlignment="1">
      <alignment horizontal="center" vertical="center"/>
    </xf>
    <xf numFmtId="0" fontId="34" fillId="0" borderId="70" xfId="0" applyFont="1" applyBorder="1" applyAlignment="1">
      <alignment horizontal="center" vertical="center" wrapText="1"/>
    </xf>
    <xf numFmtId="0" fontId="34" fillId="0" borderId="54" xfId="0" applyFont="1" applyBorder="1" applyAlignment="1">
      <alignment horizontal="center" vertical="center" wrapText="1"/>
    </xf>
    <xf numFmtId="0" fontId="30" fillId="0" borderId="30" xfId="0" applyFont="1" applyBorder="1" applyAlignment="1">
      <alignment horizontal="center" vertical="center" wrapText="1"/>
    </xf>
    <xf numFmtId="0" fontId="34" fillId="0" borderId="28" xfId="0" applyFont="1" applyBorder="1" applyAlignment="1">
      <alignment horizontal="center" vertical="center" wrapText="1"/>
    </xf>
    <xf numFmtId="4" fontId="34" fillId="0" borderId="30" xfId="0" applyNumberFormat="1" applyFont="1" applyBorder="1" applyAlignment="1">
      <alignment horizontal="center" vertical="center" wrapText="1"/>
    </xf>
    <xf numFmtId="4" fontId="34" fillId="0" borderId="54" xfId="0" applyNumberFormat="1" applyFont="1" applyBorder="1" applyAlignment="1">
      <alignment horizontal="center" vertical="center" wrapText="1"/>
    </xf>
    <xf numFmtId="4" fontId="34" fillId="0" borderId="28" xfId="0" applyNumberFormat="1" applyFont="1" applyBorder="1" applyAlignment="1">
      <alignment horizontal="center" vertical="center" wrapText="1"/>
    </xf>
    <xf numFmtId="0" fontId="34" fillId="0" borderId="29"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3" xfId="0" applyFont="1" applyBorder="1" applyAlignment="1">
      <alignment horizontal="center" vertical="center" wrapText="1"/>
    </xf>
    <xf numFmtId="0" fontId="34" fillId="0" borderId="55" xfId="0" applyFont="1" applyBorder="1" applyAlignment="1">
      <alignment horizontal="center" vertical="center" wrapText="1"/>
    </xf>
    <xf numFmtId="0" fontId="11" fillId="2" borderId="71" xfId="0" applyFont="1" applyFill="1" applyBorder="1" applyAlignment="1">
      <alignment vertical="center"/>
    </xf>
    <xf numFmtId="0" fontId="35" fillId="0" borderId="70" xfId="0" applyFont="1" applyBorder="1" applyAlignment="1">
      <alignment horizontal="left" vertical="center" wrapText="1"/>
    </xf>
    <xf numFmtId="0" fontId="35" fillId="0" borderId="45" xfId="0" applyFont="1" applyBorder="1" applyAlignment="1">
      <alignment horizontal="left" vertical="center" wrapText="1"/>
    </xf>
    <xf numFmtId="0" fontId="10" fillId="2" borderId="71" xfId="0" applyFont="1" applyFill="1" applyBorder="1" applyAlignment="1">
      <alignment vertical="center"/>
    </xf>
    <xf numFmtId="0" fontId="45" fillId="2" borderId="71" xfId="0" applyFont="1" applyFill="1" applyBorder="1" applyAlignment="1">
      <alignment vertical="center"/>
    </xf>
    <xf numFmtId="0" fontId="40" fillId="0" borderId="64" xfId="0" applyFont="1" applyBorder="1" applyAlignment="1">
      <alignment vertical="center" wrapText="1"/>
    </xf>
    <xf numFmtId="9" fontId="40" fillId="0" borderId="39" xfId="0" applyNumberFormat="1" applyFont="1" applyBorder="1" applyAlignment="1">
      <alignment horizontal="center" vertical="center"/>
    </xf>
    <xf numFmtId="0" fontId="40" fillId="0" borderId="39" xfId="0" applyFont="1" applyBorder="1" applyAlignment="1">
      <alignment horizontal="left" vertical="top" wrapText="1"/>
    </xf>
    <xf numFmtId="0" fontId="40" fillId="0" borderId="39" xfId="0" applyFont="1" applyBorder="1" applyAlignment="1">
      <alignment vertical="center"/>
    </xf>
    <xf numFmtId="4" fontId="40" fillId="0" borderId="39" xfId="0" applyNumberFormat="1" applyFont="1" applyBorder="1" applyAlignment="1">
      <alignment vertical="center" wrapText="1"/>
    </xf>
    <xf numFmtId="4" fontId="40" fillId="0" borderId="43" xfId="0" applyNumberFormat="1" applyFont="1" applyBorder="1" applyAlignment="1">
      <alignment vertical="center" wrapText="1"/>
    </xf>
    <xf numFmtId="0" fontId="49" fillId="0" borderId="64" xfId="0" applyFont="1" applyBorder="1" applyAlignment="1">
      <alignment vertical="center" wrapText="1"/>
    </xf>
    <xf numFmtId="0" fontId="40" fillId="0" borderId="64" xfId="0" applyFont="1" applyBorder="1" applyAlignment="1">
      <alignment vertical="top" wrapText="1"/>
    </xf>
    <xf numFmtId="0" fontId="40" fillId="0" borderId="39" xfId="0" applyFont="1" applyBorder="1" applyAlignment="1">
      <alignment vertical="top" wrapText="1"/>
    </xf>
    <xf numFmtId="9" fontId="40" fillId="0" borderId="39" xfId="0" applyNumberFormat="1" applyFont="1" applyBorder="1" applyAlignment="1">
      <alignment horizontal="center" vertical="top"/>
    </xf>
    <xf numFmtId="9" fontId="52" fillId="0" borderId="39" xfId="0" applyNumberFormat="1" applyFont="1" applyBorder="1" applyAlignment="1">
      <alignment horizontal="center" vertical="top" wrapText="1"/>
    </xf>
    <xf numFmtId="0" fontId="40" fillId="0" borderId="39" xfId="0" applyFont="1" applyBorder="1" applyAlignment="1">
      <alignment horizontal="center" vertical="top"/>
    </xf>
    <xf numFmtId="0" fontId="40" fillId="0" borderId="39" xfId="0" applyFont="1" applyBorder="1" applyAlignment="1">
      <alignment horizontal="center" vertical="top" wrapText="1"/>
    </xf>
    <xf numFmtId="0" fontId="40" fillId="0" borderId="39" xfId="0" applyFont="1" applyBorder="1" applyAlignment="1">
      <alignment vertical="top"/>
    </xf>
    <xf numFmtId="4" fontId="40" fillId="0" borderId="39" xfId="0" applyNumberFormat="1" applyFont="1" applyBorder="1" applyAlignment="1">
      <alignment vertical="top" wrapText="1"/>
    </xf>
    <xf numFmtId="4" fontId="40" fillId="0" borderId="43" xfId="0" applyNumberFormat="1" applyFont="1" applyBorder="1" applyAlignment="1">
      <alignment vertical="top" wrapText="1"/>
    </xf>
    <xf numFmtId="0" fontId="45" fillId="2" borderId="71" xfId="0" applyFont="1" applyFill="1" applyBorder="1" applyAlignment="1">
      <alignment vertical="top"/>
    </xf>
    <xf numFmtId="0" fontId="40" fillId="0" borderId="39" xfId="0" applyFont="1" applyBorder="1" applyAlignment="1">
      <alignment vertical="center" wrapText="1"/>
    </xf>
    <xf numFmtId="0" fontId="40" fillId="0" borderId="39" xfId="0" applyFont="1" applyBorder="1" applyAlignment="1">
      <alignment vertical="top" wrapText="1"/>
    </xf>
    <xf numFmtId="4" fontId="40" fillId="0" borderId="39" xfId="0" applyNumberFormat="1" applyFont="1" applyBorder="1" applyAlignment="1">
      <alignment horizontal="center" vertical="center"/>
    </xf>
    <xf numFmtId="0" fontId="40" fillId="0" borderId="64" xfId="0" applyFont="1" applyBorder="1" applyAlignment="1">
      <alignment horizontal="left" vertical="top" wrapText="1"/>
    </xf>
    <xf numFmtId="0" fontId="40" fillId="3" borderId="64" xfId="0" applyFont="1" applyFill="1" applyBorder="1" applyAlignment="1">
      <alignment vertical="top" wrapText="1"/>
    </xf>
    <xf numFmtId="9" fontId="40" fillId="0" borderId="39" xfId="0" applyNumberFormat="1" applyFont="1" applyBorder="1" applyAlignment="1">
      <alignment vertical="top" wrapText="1"/>
    </xf>
    <xf numFmtId="0" fontId="52" fillId="0" borderId="39" xfId="0" applyFont="1" applyBorder="1" applyAlignment="1">
      <alignment horizontal="center" vertical="top" wrapText="1"/>
    </xf>
    <xf numFmtId="168" fontId="40" fillId="0" borderId="39" xfId="0" applyNumberFormat="1" applyFont="1" applyBorder="1" applyAlignment="1">
      <alignment horizontal="center" vertical="top"/>
    </xf>
    <xf numFmtId="9" fontId="40" fillId="0" borderId="39" xfId="0" applyNumberFormat="1" applyFont="1" applyBorder="1" applyAlignment="1">
      <alignment horizontal="center" vertical="top" wrapText="1"/>
    </xf>
    <xf numFmtId="0" fontId="40" fillId="0" borderId="39" xfId="0" applyFont="1" applyBorder="1" applyAlignment="1">
      <alignment vertical="center" wrapText="1"/>
    </xf>
    <xf numFmtId="0" fontId="40" fillId="0" borderId="36" xfId="0" applyFont="1" applyBorder="1" applyAlignment="1">
      <alignment vertical="center" wrapText="1"/>
    </xf>
    <xf numFmtId="4" fontId="64" fillId="0" borderId="34" xfId="0" applyNumberFormat="1" applyFont="1" applyBorder="1" applyAlignment="1">
      <alignment horizontal="center" vertical="center" wrapText="1"/>
    </xf>
    <xf numFmtId="0" fontId="64" fillId="0" borderId="30" xfId="0" applyFont="1" applyBorder="1" applyAlignment="1">
      <alignment horizontal="center" vertical="center" wrapText="1"/>
    </xf>
    <xf numFmtId="0" fontId="34" fillId="0" borderId="39" xfId="0" applyFont="1" applyBorder="1" applyAlignment="1">
      <alignment horizontal="center" vertical="center" wrapText="1"/>
    </xf>
    <xf numFmtId="0" fontId="65" fillId="0" borderId="30" xfId="0" applyFont="1" applyBorder="1" applyAlignment="1">
      <alignment horizontal="center" vertical="center" wrapText="1"/>
    </xf>
    <xf numFmtId="0" fontId="40" fillId="0" borderId="39" xfId="0" applyFont="1" applyBorder="1" applyAlignment="1">
      <alignment horizontal="center" vertical="center" wrapText="1"/>
    </xf>
    <xf numFmtId="4" fontId="40" fillId="0" borderId="39" xfId="0" applyNumberFormat="1" applyFont="1" applyBorder="1" applyAlignment="1">
      <alignment horizontal="center" vertical="center" wrapText="1"/>
    </xf>
    <xf numFmtId="4" fontId="40" fillId="0" borderId="43" xfId="0" applyNumberFormat="1" applyFont="1" applyBorder="1" applyAlignment="1">
      <alignment horizontal="center" vertical="center" wrapText="1"/>
    </xf>
    <xf numFmtId="0" fontId="40" fillId="0" borderId="39" xfId="0" applyFont="1" applyBorder="1" applyAlignment="1">
      <alignment horizontal="left" vertical="center" wrapText="1"/>
    </xf>
    <xf numFmtId="9" fontId="40" fillId="2" borderId="39" xfId="0" applyNumberFormat="1" applyFont="1" applyFill="1" applyBorder="1" applyAlignment="1">
      <alignment horizontal="center" vertical="top" wrapText="1"/>
    </xf>
    <xf numFmtId="0" fontId="40" fillId="2" borderId="39" xfId="0" applyFont="1" applyFill="1" applyBorder="1" applyAlignment="1">
      <alignment horizontal="center" vertical="top" wrapText="1"/>
    </xf>
    <xf numFmtId="0" fontId="49" fillId="0" borderId="39" xfId="0" applyFont="1" applyBorder="1" applyAlignment="1">
      <alignment horizontal="left" vertical="top" wrapText="1"/>
    </xf>
    <xf numFmtId="4" fontId="40" fillId="2" borderId="43" xfId="0" applyNumberFormat="1" applyFont="1" applyFill="1" applyBorder="1" applyAlignment="1">
      <alignment horizontal="center" vertical="center" wrapText="1"/>
    </xf>
    <xf numFmtId="0" fontId="45" fillId="2" borderId="71" xfId="0" applyFont="1" applyFill="1" applyBorder="1" applyAlignment="1">
      <alignment horizontal="left" vertical="center"/>
    </xf>
    <xf numFmtId="0" fontId="34" fillId="2" borderId="37" xfId="0" applyFont="1" applyFill="1" applyBorder="1" applyAlignment="1">
      <alignment horizontal="right" vertical="center" wrapText="1"/>
    </xf>
    <xf numFmtId="0" fontId="10" fillId="2" borderId="71" xfId="0" applyFont="1" applyFill="1" applyBorder="1" applyAlignment="1">
      <alignment vertical="top"/>
    </xf>
    <xf numFmtId="0" fontId="24" fillId="0" borderId="56" xfId="0" applyFont="1" applyBorder="1" applyAlignment="1">
      <alignment vertical="top"/>
    </xf>
    <xf numFmtId="0" fontId="24" fillId="3" borderId="71" xfId="0" applyFont="1" applyFill="1" applyBorder="1" applyAlignment="1">
      <alignment vertical="top"/>
    </xf>
    <xf numFmtId="0" fontId="24" fillId="3" borderId="71" xfId="0" applyFont="1" applyFill="1" applyBorder="1" applyAlignment="1">
      <alignment horizontal="left" vertical="top"/>
    </xf>
    <xf numFmtId="9" fontId="24" fillId="3" borderId="71" xfId="0" applyNumberFormat="1" applyFont="1" applyFill="1" applyBorder="1" applyAlignment="1">
      <alignment horizontal="center" vertical="center"/>
    </xf>
    <xf numFmtId="9" fontId="24" fillId="3" borderId="71" xfId="0" applyNumberFormat="1" applyFont="1" applyFill="1" applyBorder="1" applyAlignment="1">
      <alignment horizontal="center" vertical="top"/>
    </xf>
    <xf numFmtId="9" fontId="24" fillId="3" borderId="71" xfId="0" applyNumberFormat="1" applyFont="1" applyFill="1" applyBorder="1" applyAlignment="1">
      <alignment vertical="center"/>
    </xf>
    <xf numFmtId="9" fontId="24" fillId="3" borderId="71" xfId="0" applyNumberFormat="1" applyFont="1" applyFill="1" applyBorder="1" applyAlignment="1">
      <alignment vertical="top"/>
    </xf>
    <xf numFmtId="0" fontId="24" fillId="3" borderId="71" xfId="0" applyFont="1" applyFill="1" applyBorder="1" applyAlignment="1">
      <alignment vertical="top" wrapText="1"/>
    </xf>
    <xf numFmtId="4" fontId="24" fillId="3" borderId="71" xfId="0" applyNumberFormat="1" applyFont="1" applyFill="1" applyBorder="1" applyAlignment="1">
      <alignment horizontal="center" vertical="center"/>
    </xf>
    <xf numFmtId="4" fontId="24" fillId="3" borderId="71" xfId="0" applyNumberFormat="1" applyFont="1" applyFill="1" applyBorder="1" applyAlignment="1">
      <alignment vertical="top"/>
    </xf>
    <xf numFmtId="4" fontId="24" fillId="3" borderId="55" xfId="0" applyNumberFormat="1" applyFont="1" applyFill="1" applyBorder="1" applyAlignment="1">
      <alignment vertical="top"/>
    </xf>
    <xf numFmtId="0" fontId="34" fillId="0" borderId="67" xfId="0" applyFont="1" applyBorder="1" applyAlignment="1">
      <alignment horizontal="left" vertical="top" wrapText="1"/>
    </xf>
    <xf numFmtId="0" fontId="34" fillId="5" borderId="30" xfId="0" applyFont="1" applyFill="1" applyBorder="1" applyAlignment="1">
      <alignment horizontal="center" wrapText="1"/>
    </xf>
    <xf numFmtId="9" fontId="34" fillId="5" borderId="55" xfId="0" applyNumberFormat="1" applyFont="1" applyFill="1" applyBorder="1" applyAlignment="1">
      <alignment horizontal="center" wrapText="1"/>
    </xf>
    <xf numFmtId="9" fontId="34" fillId="4" borderId="53" xfId="0" applyNumberFormat="1" applyFont="1" applyFill="1" applyBorder="1" applyAlignment="1">
      <alignment horizontal="center" wrapText="1"/>
    </xf>
    <xf numFmtId="0" fontId="34" fillId="4" borderId="37" xfId="0" applyFont="1" applyFill="1" applyBorder="1" applyAlignment="1">
      <alignment horizontal="center"/>
    </xf>
    <xf numFmtId="0" fontId="34" fillId="5" borderId="55" xfId="0" applyFont="1" applyFill="1" applyBorder="1" applyAlignment="1">
      <alignment horizontal="left" vertical="top" wrapText="1"/>
    </xf>
    <xf numFmtId="0" fontId="34" fillId="4" borderId="54" xfId="0" applyFont="1" applyFill="1" applyBorder="1" applyAlignment="1">
      <alignment wrapText="1"/>
    </xf>
    <xf numFmtId="4" fontId="34" fillId="4" borderId="54" xfId="0" applyNumberFormat="1" applyFont="1" applyFill="1" applyBorder="1" applyAlignment="1">
      <alignment horizontal="center" wrapText="1"/>
    </xf>
    <xf numFmtId="0" fontId="10" fillId="2" borderId="71" xfId="0" applyFont="1" applyFill="1" applyBorder="1"/>
    <xf numFmtId="0" fontId="40" fillId="0" borderId="30" xfId="0" applyFont="1" applyBorder="1" applyAlignment="1">
      <alignment horizontal="center" vertical="top" wrapText="1"/>
    </xf>
    <xf numFmtId="0" fontId="40" fillId="0" borderId="36" xfId="0" applyFont="1" applyBorder="1" applyAlignment="1">
      <alignment vertical="top" wrapText="1"/>
    </xf>
    <xf numFmtId="0" fontId="40" fillId="0" borderId="30" xfId="0" applyFont="1" applyBorder="1" applyAlignment="1">
      <alignment horizontal="center" vertical="top"/>
    </xf>
    <xf numFmtId="0" fontId="40" fillId="0" borderId="8" xfId="0" applyFont="1" applyBorder="1" applyAlignment="1"/>
    <xf numFmtId="4" fontId="64" fillId="2" borderId="34" xfId="0" applyNumberFormat="1" applyFont="1" applyFill="1" applyBorder="1" applyAlignment="1">
      <alignment horizontal="center" vertical="center" wrapText="1"/>
    </xf>
    <xf numFmtId="9" fontId="10" fillId="2" borderId="71" xfId="0" applyNumberFormat="1" applyFont="1" applyFill="1" applyBorder="1" applyAlignment="1">
      <alignment horizontal="center" vertical="center"/>
    </xf>
    <xf numFmtId="9" fontId="10" fillId="2" borderId="71" xfId="0" applyNumberFormat="1" applyFont="1" applyFill="1" applyBorder="1" applyAlignment="1">
      <alignment horizontal="center" vertical="top"/>
    </xf>
    <xf numFmtId="9" fontId="10" fillId="2" borderId="71" xfId="0" applyNumberFormat="1" applyFont="1" applyFill="1" applyBorder="1" applyAlignment="1">
      <alignment vertical="top"/>
    </xf>
    <xf numFmtId="4" fontId="10" fillId="2" borderId="71" xfId="0" applyNumberFormat="1" applyFont="1" applyFill="1" applyBorder="1" applyAlignment="1">
      <alignment vertical="top"/>
    </xf>
    <xf numFmtId="4" fontId="10" fillId="2" borderId="71" xfId="0" applyNumberFormat="1" applyFont="1" applyFill="1" applyBorder="1" applyAlignment="1">
      <alignment horizontal="center" vertical="center"/>
    </xf>
    <xf numFmtId="0" fontId="34" fillId="2" borderId="64" xfId="0" applyFont="1" applyFill="1" applyBorder="1" applyAlignment="1">
      <alignment horizontal="center" vertical="center"/>
    </xf>
    <xf numFmtId="0" fontId="40" fillId="2" borderId="71" xfId="0" applyFont="1" applyFill="1" applyBorder="1" applyAlignment="1">
      <alignment horizontal="center" vertical="center"/>
    </xf>
    <xf numFmtId="9" fontId="34" fillId="2" borderId="64" xfId="0" applyNumberFormat="1" applyFont="1" applyFill="1" applyBorder="1" applyAlignment="1">
      <alignment horizontal="center" vertical="center"/>
    </xf>
    <xf numFmtId="4" fontId="40" fillId="2" borderId="71" xfId="0" applyNumberFormat="1" applyFont="1" applyFill="1" applyBorder="1" applyAlignment="1">
      <alignment horizontal="center" vertical="center"/>
    </xf>
    <xf numFmtId="0" fontId="40" fillId="2" borderId="67" xfId="0" applyFont="1" applyFill="1" applyBorder="1" applyAlignment="1">
      <alignment horizontal="center" vertical="center"/>
    </xf>
    <xf numFmtId="0" fontId="40" fillId="2" borderId="71" xfId="0" applyFont="1" applyFill="1" applyBorder="1" applyAlignment="1">
      <alignment vertical="top"/>
    </xf>
    <xf numFmtId="9" fontId="40" fillId="2" borderId="67" xfId="0" applyNumberFormat="1" applyFont="1" applyFill="1" applyBorder="1" applyAlignment="1">
      <alignment horizontal="center" vertical="center" wrapText="1"/>
    </xf>
    <xf numFmtId="0" fontId="40" fillId="2" borderId="67" xfId="0" applyFont="1" applyFill="1" applyBorder="1" applyAlignment="1">
      <alignment horizontal="center" vertical="center" wrapText="1"/>
    </xf>
    <xf numFmtId="0" fontId="10" fillId="2" borderId="71" xfId="0" applyFont="1" applyFill="1" applyBorder="1" applyAlignment="1">
      <alignment horizontal="left" vertical="top"/>
    </xf>
    <xf numFmtId="0" fontId="24" fillId="3" borderId="71" xfId="0" applyFont="1" applyFill="1" applyBorder="1"/>
    <xf numFmtId="0" fontId="24" fillId="3" borderId="71" xfId="0" applyFont="1" applyFill="1" applyBorder="1" applyAlignment="1">
      <alignment horizontal="center" vertical="center"/>
    </xf>
    <xf numFmtId="0" fontId="24" fillId="3" borderId="71" xfId="0" applyFont="1" applyFill="1" applyBorder="1" applyAlignment="1">
      <alignment horizontal="center"/>
    </xf>
    <xf numFmtId="0" fontId="24" fillId="3" borderId="71" xfId="0" applyFont="1" applyFill="1" applyBorder="1" applyAlignment="1">
      <alignment vertical="center"/>
    </xf>
    <xf numFmtId="0" fontId="24" fillId="3" borderId="71" xfId="0" applyFont="1" applyFill="1" applyBorder="1" applyAlignment="1">
      <alignment wrapText="1"/>
    </xf>
    <xf numFmtId="4" fontId="24" fillId="3" borderId="71" xfId="0" applyNumberFormat="1" applyFont="1" applyFill="1" applyBorder="1"/>
    <xf numFmtId="0" fontId="86" fillId="2" borderId="71" xfId="1" applyFill="1" applyBorder="1" applyAlignment="1">
      <alignment vertical="top"/>
    </xf>
    <xf numFmtId="0" fontId="5" fillId="2" borderId="71" xfId="0" applyFont="1" applyFill="1" applyBorder="1" applyAlignment="1">
      <alignment vertical="top"/>
    </xf>
    <xf numFmtId="0" fontId="1" fillId="2" borderId="71" xfId="0" applyFont="1" applyFill="1" applyBorder="1" applyAlignment="1">
      <alignment vertical="top"/>
    </xf>
    <xf numFmtId="0" fontId="7" fillId="3" borderId="71" xfId="0" applyFont="1" applyFill="1" applyBorder="1" applyAlignment="1">
      <alignment horizontal="right" vertical="center" wrapText="1"/>
    </xf>
    <xf numFmtId="0" fontId="15" fillId="0" borderId="30" xfId="0" applyFont="1" applyBorder="1" applyAlignment="1">
      <alignment horizontal="left" vertical="center" wrapText="1"/>
    </xf>
    <xf numFmtId="0" fontId="20" fillId="2" borderId="71" xfId="0" applyFont="1" applyFill="1" applyBorder="1" applyAlignment="1">
      <alignment vertical="top"/>
    </xf>
    <xf numFmtId="0" fontId="21" fillId="0" borderId="31" xfId="0" applyFont="1" applyBorder="1" applyAlignment="1">
      <alignment horizontal="center" vertical="center"/>
    </xf>
    <xf numFmtId="0" fontId="23" fillId="6" borderId="27" xfId="0" applyFont="1" applyFill="1" applyBorder="1" applyAlignment="1">
      <alignment horizontal="center" vertical="center" wrapText="1"/>
    </xf>
    <xf numFmtId="0" fontId="1" fillId="2" borderId="71" xfId="0" applyFont="1" applyFill="1" applyBorder="1" applyAlignment="1">
      <alignment vertical="center"/>
    </xf>
    <xf numFmtId="0" fontId="24" fillId="0" borderId="67" xfId="0" applyFont="1" applyBorder="1" applyAlignment="1">
      <alignment vertical="center" wrapText="1"/>
    </xf>
    <xf numFmtId="0" fontId="24" fillId="0" borderId="67" xfId="0" applyFont="1" applyBorder="1" applyAlignment="1">
      <alignment horizontal="center" vertical="center" wrapText="1"/>
    </xf>
    <xf numFmtId="0" fontId="5" fillId="2" borderId="71" xfId="0" applyFont="1" applyFill="1" applyBorder="1" applyAlignment="1">
      <alignment vertical="center"/>
    </xf>
    <xf numFmtId="0" fontId="1" fillId="0" borderId="34" xfId="0" applyFont="1" applyBorder="1" applyAlignment="1">
      <alignment vertical="center" wrapText="1"/>
    </xf>
    <xf numFmtId="0" fontId="11" fillId="0" borderId="67" xfId="0" applyFont="1" applyBorder="1" applyAlignment="1">
      <alignment vertical="center" wrapText="1"/>
    </xf>
    <xf numFmtId="0" fontId="3" fillId="0" borderId="25" xfId="0" applyFont="1" applyBorder="1" applyAlignment="1"/>
    <xf numFmtId="0" fontId="11" fillId="0" borderId="67" xfId="0" applyFont="1" applyBorder="1" applyAlignment="1">
      <alignment horizontal="left" vertical="center" wrapText="1"/>
    </xf>
    <xf numFmtId="0" fontId="31" fillId="2" borderId="71" xfId="0" applyFont="1" applyFill="1" applyBorder="1" applyAlignment="1">
      <alignment horizontal="left" vertical="center" wrapText="1"/>
    </xf>
    <xf numFmtId="0" fontId="24" fillId="0" borderId="67" xfId="0" applyFont="1" applyBorder="1" applyAlignment="1">
      <alignment horizontal="left" vertical="center" wrapText="1"/>
    </xf>
    <xf numFmtId="10" fontId="5" fillId="2" borderId="71" xfId="0" applyNumberFormat="1" applyFont="1" applyFill="1" applyBorder="1" applyAlignment="1">
      <alignment vertical="top"/>
    </xf>
    <xf numFmtId="0" fontId="31" fillId="2" borderId="71" xfId="0" applyFont="1" applyFill="1" applyBorder="1" applyAlignment="1">
      <alignment horizontal="left" vertical="top" wrapText="1"/>
    </xf>
    <xf numFmtId="0" fontId="15" fillId="0" borderId="56" xfId="0" applyFont="1" applyBorder="1" applyAlignment="1">
      <alignment horizontal="left" vertical="center" wrapText="1"/>
    </xf>
    <xf numFmtId="0" fontId="11" fillId="0" borderId="67" xfId="0" applyFont="1" applyBorder="1" applyAlignment="1">
      <alignment horizontal="left" vertical="center"/>
    </xf>
    <xf numFmtId="0" fontId="38" fillId="0" borderId="67" xfId="0" applyFont="1" applyBorder="1" applyAlignment="1">
      <alignment horizontal="center" vertical="center"/>
    </xf>
    <xf numFmtId="165" fontId="40" fillId="0" borderId="43" xfId="0" applyNumberFormat="1" applyFont="1" applyBorder="1" applyAlignment="1">
      <alignment horizontal="center" vertical="center"/>
    </xf>
    <xf numFmtId="0" fontId="38" fillId="0" borderId="67" xfId="0" applyFont="1" applyBorder="1" applyAlignment="1">
      <alignment vertical="center"/>
    </xf>
    <xf numFmtId="0" fontId="10" fillId="0" borderId="41" xfId="0" applyFont="1" applyBorder="1" applyAlignment="1">
      <alignment vertical="center"/>
    </xf>
    <xf numFmtId="0" fontId="5" fillId="3" borderId="71" xfId="0" applyFont="1" applyFill="1" applyBorder="1" applyAlignment="1">
      <alignment vertical="top" wrapText="1"/>
    </xf>
    <xf numFmtId="0" fontId="5" fillId="3" borderId="71" xfId="0" applyFont="1" applyFill="1" applyBorder="1" applyAlignment="1">
      <alignment horizontal="left" vertical="top" wrapText="1"/>
    </xf>
    <xf numFmtId="0" fontId="5" fillId="3" borderId="71" xfId="0" applyFont="1" applyFill="1" applyBorder="1" applyAlignment="1">
      <alignment vertical="top"/>
    </xf>
    <xf numFmtId="9" fontId="34" fillId="2" borderId="71" xfId="0" applyNumberFormat="1" applyFont="1" applyFill="1" applyBorder="1" applyAlignment="1">
      <alignment vertical="center"/>
    </xf>
    <xf numFmtId="0" fontId="5" fillId="3" borderId="65" xfId="0" applyFont="1" applyFill="1" applyBorder="1" applyAlignment="1">
      <alignment horizontal="center" vertical="top" wrapText="1"/>
    </xf>
    <xf numFmtId="0" fontId="5" fillId="0" borderId="0" xfId="0" applyFont="1" applyAlignment="1"/>
    <xf numFmtId="0" fontId="27" fillId="0" borderId="0" xfId="0" applyFont="1" applyAlignment="1"/>
    <xf numFmtId="0" fontId="5" fillId="3" borderId="71" xfId="0" applyFont="1" applyFill="1" applyBorder="1" applyAlignment="1">
      <alignment horizontal="left" vertical="top"/>
    </xf>
    <xf numFmtId="9" fontId="5" fillId="3" borderId="71" xfId="0" applyNumberFormat="1" applyFont="1" applyFill="1" applyBorder="1" applyAlignment="1">
      <alignment vertical="top"/>
    </xf>
    <xf numFmtId="0" fontId="34" fillId="3" borderId="64" xfId="0" applyFont="1" applyFill="1" applyBorder="1" applyAlignment="1">
      <alignment horizontal="center" wrapText="1"/>
    </xf>
    <xf numFmtId="0" fontId="48" fillId="7" borderId="71" xfId="0" applyFont="1" applyFill="1" applyBorder="1" applyAlignment="1">
      <alignment horizontal="center" vertical="center" wrapText="1"/>
    </xf>
    <xf numFmtId="0" fontId="50" fillId="8" borderId="39" xfId="0" applyFont="1" applyFill="1" applyBorder="1" applyAlignment="1">
      <alignment horizontal="center" vertical="center" wrapText="1"/>
    </xf>
    <xf numFmtId="0" fontId="51" fillId="8" borderId="71" xfId="0" applyFont="1" applyFill="1" applyBorder="1" applyAlignment="1">
      <alignment vertical="center" wrapText="1"/>
    </xf>
    <xf numFmtId="9" fontId="51" fillId="8" borderId="71" xfId="0" applyNumberFormat="1" applyFont="1" applyFill="1" applyBorder="1" applyAlignment="1">
      <alignment horizontal="center" vertical="center" wrapText="1"/>
    </xf>
    <xf numFmtId="0" fontId="1" fillId="2" borderId="71" xfId="0" applyFont="1" applyFill="1" applyBorder="1"/>
    <xf numFmtId="0" fontId="58" fillId="2" borderId="64" xfId="0" applyFont="1" applyFill="1" applyBorder="1" applyAlignment="1">
      <alignment vertical="center" wrapText="1"/>
    </xf>
    <xf numFmtId="0" fontId="1" fillId="2" borderId="69" xfId="0" applyFont="1" applyFill="1" applyBorder="1"/>
    <xf numFmtId="0" fontId="21" fillId="2" borderId="67" xfId="0" applyFont="1" applyFill="1" applyBorder="1" applyAlignment="1">
      <alignment horizontal="center" vertical="center" wrapText="1"/>
    </xf>
    <xf numFmtId="0" fontId="1" fillId="2" borderId="63" xfId="0" applyFont="1" applyFill="1" applyBorder="1"/>
    <xf numFmtId="0" fontId="1" fillId="2" borderId="69" xfId="0" applyFont="1" applyFill="1" applyBorder="1" applyAlignment="1">
      <alignment vertical="center" wrapText="1"/>
    </xf>
    <xf numFmtId="0" fontId="14" fillId="2" borderId="69" xfId="0" applyFont="1" applyFill="1" applyBorder="1" applyAlignment="1">
      <alignment vertical="center" wrapText="1"/>
    </xf>
    <xf numFmtId="0" fontId="14" fillId="2" borderId="69" xfId="0" applyFont="1" applyFill="1" applyBorder="1" applyAlignment="1">
      <alignment vertical="center" wrapText="1"/>
    </xf>
    <xf numFmtId="0" fontId="28" fillId="2" borderId="39" xfId="0" applyFont="1" applyFill="1" applyBorder="1" applyAlignment="1">
      <alignment horizontal="center" vertical="center" wrapText="1"/>
    </xf>
    <xf numFmtId="0" fontId="28" fillId="2" borderId="67" xfId="0" applyFont="1" applyFill="1" applyBorder="1" applyAlignment="1">
      <alignment horizontal="center" vertical="center" wrapText="1"/>
    </xf>
    <xf numFmtId="0" fontId="27" fillId="0" borderId="63" xfId="0" applyFont="1" applyBorder="1"/>
    <xf numFmtId="0" fontId="23" fillId="2" borderId="64" xfId="0" applyFont="1" applyFill="1" applyBorder="1" applyAlignment="1">
      <alignment horizontal="center" vertical="center"/>
    </xf>
    <xf numFmtId="0" fontId="2" fillId="2" borderId="39" xfId="0" applyFont="1" applyFill="1" applyBorder="1" applyAlignment="1">
      <alignment horizontal="center" vertical="center" wrapText="1"/>
    </xf>
    <xf numFmtId="165" fontId="6" fillId="2" borderId="52" xfId="0" applyNumberFormat="1" applyFont="1" applyFill="1" applyBorder="1" applyAlignment="1">
      <alignment horizontal="center" vertical="center" wrapText="1"/>
    </xf>
    <xf numFmtId="2" fontId="6" fillId="2" borderId="69" xfId="0" applyNumberFormat="1" applyFont="1" applyFill="1" applyBorder="1" applyAlignment="1">
      <alignment horizontal="center" vertical="center" wrapText="1"/>
    </xf>
    <xf numFmtId="2" fontId="6" fillId="2" borderId="39" xfId="0" applyNumberFormat="1" applyFont="1" applyFill="1" applyBorder="1" applyAlignment="1">
      <alignment horizontal="center" vertical="center" wrapText="1"/>
    </xf>
    <xf numFmtId="2" fontId="4" fillId="2" borderId="39" xfId="0" applyNumberFormat="1" applyFont="1" applyFill="1" applyBorder="1" applyAlignment="1">
      <alignment horizontal="center" vertical="center" wrapText="1"/>
    </xf>
    <xf numFmtId="165" fontId="6" fillId="0" borderId="41" xfId="0" applyNumberFormat="1" applyFont="1" applyBorder="1" applyAlignment="1">
      <alignment horizontal="center" vertical="center"/>
    </xf>
    <xf numFmtId="0" fontId="28" fillId="2" borderId="69" xfId="0" applyFont="1" applyFill="1" applyBorder="1" applyAlignment="1">
      <alignment vertical="center" wrapText="1"/>
    </xf>
    <xf numFmtId="0" fontId="59" fillId="2" borderId="69" xfId="0" applyFont="1" applyFill="1" applyBorder="1" applyAlignment="1">
      <alignment vertical="center" wrapText="1"/>
    </xf>
    <xf numFmtId="0" fontId="59" fillId="2" borderId="71" xfId="0" applyFont="1" applyFill="1" applyBorder="1" applyAlignment="1">
      <alignment vertical="center"/>
    </xf>
    <xf numFmtId="0" fontId="59" fillId="2" borderId="71" xfId="0" applyFont="1" applyFill="1" applyBorder="1" applyAlignment="1">
      <alignment vertical="center" wrapText="1"/>
    </xf>
    <xf numFmtId="0" fontId="59" fillId="2" borderId="63" xfId="0" applyFont="1" applyFill="1" applyBorder="1" applyAlignment="1">
      <alignment vertical="center" wrapText="1"/>
    </xf>
    <xf numFmtId="0" fontId="2" fillId="2" borderId="69" xfId="0" applyFont="1" applyFill="1" applyBorder="1" applyAlignment="1">
      <alignment vertical="center" wrapText="1"/>
    </xf>
    <xf numFmtId="0" fontId="2" fillId="2" borderId="71" xfId="0" applyFont="1" applyFill="1" applyBorder="1" applyAlignment="1">
      <alignment vertical="center" wrapText="1"/>
    </xf>
    <xf numFmtId="0" fontId="2" fillId="2" borderId="63" xfId="0" applyFont="1" applyFill="1" applyBorder="1" applyAlignment="1">
      <alignment vertical="center" wrapText="1"/>
    </xf>
    <xf numFmtId="0" fontId="2" fillId="2" borderId="71" xfId="0" applyFont="1" applyFill="1" applyBorder="1" applyAlignment="1">
      <alignment horizontal="center" vertical="center" wrapText="1"/>
    </xf>
    <xf numFmtId="0" fontId="2" fillId="2" borderId="69" xfId="0" applyFont="1" applyFill="1" applyBorder="1" applyAlignment="1">
      <alignment vertical="center" wrapText="1"/>
    </xf>
    <xf numFmtId="0" fontId="2" fillId="2" borderId="64" xfId="0" applyFont="1" applyFill="1" applyBorder="1" applyAlignment="1">
      <alignment horizontal="left" vertical="center" wrapText="1"/>
    </xf>
    <xf numFmtId="0" fontId="2" fillId="2" borderId="71" xfId="0" applyFont="1" applyFill="1" applyBorder="1" applyAlignment="1">
      <alignment horizontal="left" vertical="center" wrapText="1"/>
    </xf>
    <xf numFmtId="0" fontId="28" fillId="2" borderId="71" xfId="0" applyFont="1" applyFill="1" applyBorder="1" applyAlignment="1">
      <alignment horizontal="left" vertical="center" wrapText="1"/>
    </xf>
    <xf numFmtId="15" fontId="2" fillId="2" borderId="71" xfId="0" applyNumberFormat="1" applyFont="1" applyFill="1" applyBorder="1" applyAlignment="1">
      <alignment horizontal="left" vertical="center" wrapText="1"/>
    </xf>
    <xf numFmtId="0" fontId="1" fillId="2" borderId="52" xfId="0" applyFont="1" applyFill="1" applyBorder="1" applyAlignment="1">
      <alignment vertical="center" wrapText="1"/>
    </xf>
    <xf numFmtId="169" fontId="6" fillId="3" borderId="71" xfId="0" applyNumberFormat="1" applyFont="1" applyFill="1" applyBorder="1" applyAlignment="1">
      <alignment horizontal="left" vertical="top" wrapText="1"/>
    </xf>
    <xf numFmtId="0" fontId="27" fillId="0" borderId="52" xfId="0" applyFont="1" applyBorder="1"/>
    <xf numFmtId="0" fontId="54" fillId="0" borderId="36" xfId="0" applyFont="1" applyBorder="1" applyAlignment="1">
      <alignment horizontal="center" vertical="top" wrapText="1"/>
    </xf>
    <xf numFmtId="0" fontId="55" fillId="0" borderId="63" xfId="0" applyFont="1" applyBorder="1" applyAlignment="1">
      <alignment horizontal="center" vertical="center" wrapText="1"/>
    </xf>
    <xf numFmtId="0" fontId="55" fillId="0" borderId="52" xfId="0" applyFont="1" applyBorder="1" applyAlignment="1">
      <alignment horizontal="center" vertical="center" wrapText="1"/>
    </xf>
    <xf numFmtId="0" fontId="55" fillId="0" borderId="75" xfId="0" applyFont="1" applyBorder="1" applyAlignment="1">
      <alignment horizontal="center" vertical="center" wrapText="1"/>
    </xf>
    <xf numFmtId="0" fontId="28" fillId="0" borderId="30" xfId="0" applyFont="1" applyBorder="1" applyAlignment="1">
      <alignment horizontal="left" vertical="center" wrapText="1"/>
    </xf>
    <xf numFmtId="0" fontId="5" fillId="0" borderId="67" xfId="0" applyFont="1" applyBorder="1" applyAlignment="1">
      <alignment vertical="top" wrapText="1"/>
    </xf>
    <xf numFmtId="0" fontId="54" fillId="0" borderId="67" xfId="0" applyFont="1" applyBorder="1" applyAlignment="1">
      <alignment horizontal="center" vertical="center" wrapText="1"/>
    </xf>
    <xf numFmtId="0" fontId="1" fillId="0" borderId="67" xfId="0" applyFont="1" applyBorder="1" applyAlignment="1">
      <alignment vertical="top" wrapText="1"/>
    </xf>
    <xf numFmtId="0" fontId="1" fillId="0" borderId="67" xfId="0" applyFont="1" applyBorder="1" applyAlignment="1">
      <alignment horizontal="left" vertical="top" wrapText="1"/>
    </xf>
    <xf numFmtId="0" fontId="5" fillId="0" borderId="67" xfId="0" applyFont="1" applyBorder="1" applyAlignment="1">
      <alignment horizontal="left" vertical="top" wrapText="1"/>
    </xf>
    <xf numFmtId="0" fontId="28" fillId="0" borderId="56" xfId="0" applyFont="1" applyBorder="1" applyAlignment="1">
      <alignment horizontal="left" vertical="center" wrapText="1"/>
    </xf>
    <xf numFmtId="0" fontId="1" fillId="0" borderId="67" xfId="0" applyFont="1" applyBorder="1" applyAlignment="1">
      <alignment horizontal="left" vertical="top"/>
    </xf>
    <xf numFmtId="0" fontId="1" fillId="0" borderId="67" xfId="0" applyFont="1" applyBorder="1" applyAlignment="1">
      <alignment horizontal="center"/>
    </xf>
    <xf numFmtId="165" fontId="71" fillId="0" borderId="43" xfId="0" applyNumberFormat="1" applyFont="1" applyBorder="1" applyAlignment="1">
      <alignment horizontal="center" vertical="center"/>
    </xf>
    <xf numFmtId="9" fontId="4" fillId="3" borderId="64" xfId="0" applyNumberFormat="1" applyFont="1" applyFill="1" applyBorder="1" applyAlignment="1">
      <alignment horizontal="center" vertical="center" wrapText="1"/>
    </xf>
    <xf numFmtId="0" fontId="4" fillId="3" borderId="64" xfId="0" applyFont="1" applyFill="1" applyBorder="1" applyAlignment="1">
      <alignment horizontal="center" vertical="center" wrapText="1"/>
    </xf>
    <xf numFmtId="0" fontId="5" fillId="3" borderId="67" xfId="0" applyFont="1" applyFill="1" applyBorder="1" applyAlignment="1">
      <alignment horizontal="center" vertical="top" wrapText="1"/>
    </xf>
    <xf numFmtId="2" fontId="43" fillId="2" borderId="39" xfId="0" applyNumberFormat="1" applyFont="1" applyFill="1" applyBorder="1" applyAlignment="1">
      <alignment horizontal="center" vertical="center" wrapText="1"/>
    </xf>
    <xf numFmtId="165" fontId="6" fillId="0" borderId="41" xfId="0" applyNumberFormat="1" applyFont="1" applyBorder="1" applyAlignment="1">
      <alignment horizontal="center"/>
    </xf>
    <xf numFmtId="0" fontId="2" fillId="2" borderId="64" xfId="0" applyFont="1" applyFill="1" applyBorder="1" applyAlignment="1">
      <alignment horizontal="left" vertical="top" wrapText="1"/>
    </xf>
    <xf numFmtId="0" fontId="2" fillId="2" borderId="71" xfId="0" applyFont="1" applyFill="1" applyBorder="1" applyAlignment="1">
      <alignment horizontal="left" vertical="top" wrapText="1"/>
    </xf>
    <xf numFmtId="15" fontId="2" fillId="2" borderId="71" xfId="0" applyNumberFormat="1" applyFont="1" applyFill="1" applyBorder="1" applyAlignment="1">
      <alignment horizontal="right" vertical="center" wrapText="1"/>
    </xf>
    <xf numFmtId="0" fontId="1" fillId="2" borderId="64" xfId="0" applyFont="1" applyFill="1" applyBorder="1" applyAlignment="1">
      <alignment vertical="center" wrapText="1"/>
    </xf>
    <xf numFmtId="0" fontId="75" fillId="2" borderId="71" xfId="0" applyFont="1" applyFill="1" applyBorder="1" applyAlignment="1">
      <alignment horizontal="center" vertical="center" wrapText="1"/>
    </xf>
    <xf numFmtId="0" fontId="75" fillId="2" borderId="71" xfId="0" applyFont="1" applyFill="1" applyBorder="1" applyAlignment="1">
      <alignment horizontal="center" vertical="center" wrapText="1"/>
    </xf>
    <xf numFmtId="0" fontId="1" fillId="2" borderId="69" xfId="0" applyFont="1" applyFill="1" applyBorder="1" applyAlignment="1">
      <alignment vertical="center" wrapText="1"/>
    </xf>
    <xf numFmtId="0" fontId="76" fillId="2" borderId="67" xfId="0" applyFont="1" applyFill="1" applyBorder="1" applyAlignment="1">
      <alignment horizontal="center" vertical="center" wrapText="1"/>
    </xf>
    <xf numFmtId="0" fontId="23" fillId="2" borderId="63" xfId="0" applyFont="1" applyFill="1" applyBorder="1" applyAlignment="1">
      <alignment horizontal="center" vertical="center" wrapText="1"/>
    </xf>
    <xf numFmtId="0" fontId="24" fillId="2" borderId="67" xfId="0" applyFont="1" applyFill="1" applyBorder="1" applyAlignment="1">
      <alignment horizontal="left" vertical="center" wrapText="1"/>
    </xf>
    <xf numFmtId="0" fontId="1" fillId="2" borderId="71" xfId="0" applyFont="1" applyFill="1" applyBorder="1" applyAlignment="1">
      <alignment vertical="top" wrapText="1"/>
    </xf>
    <xf numFmtId="0" fontId="1" fillId="2" borderId="63" xfId="0" applyFont="1" applyFill="1" applyBorder="1" applyAlignment="1">
      <alignment vertical="top" wrapText="1"/>
    </xf>
    <xf numFmtId="0" fontId="1" fillId="2" borderId="67" xfId="0" applyFont="1" applyFill="1" applyBorder="1" applyAlignment="1">
      <alignment horizontal="left" vertical="top" wrapText="1"/>
    </xf>
    <xf numFmtId="0" fontId="75" fillId="2" borderId="71" xfId="0" applyFont="1" applyFill="1" applyBorder="1" applyAlignment="1">
      <alignment vertical="top" wrapText="1"/>
    </xf>
    <xf numFmtId="0" fontId="38" fillId="2" borderId="71" xfId="0" applyFont="1" applyFill="1" applyBorder="1" applyAlignment="1">
      <alignment vertical="top" wrapText="1"/>
    </xf>
    <xf numFmtId="0" fontId="10" fillId="2" borderId="67" xfId="0" applyFont="1" applyFill="1" applyBorder="1" applyAlignment="1">
      <alignment horizontal="left" vertical="center" wrapText="1"/>
    </xf>
    <xf numFmtId="0" fontId="10" fillId="2" borderId="67" xfId="0" applyFont="1" applyFill="1" applyBorder="1" applyAlignment="1">
      <alignment horizontal="left" vertical="top" wrapText="1"/>
    </xf>
    <xf numFmtId="0" fontId="1" fillId="2" borderId="63" xfId="0" applyFont="1" applyFill="1" applyBorder="1" applyAlignment="1">
      <alignment vertical="center" wrapText="1"/>
    </xf>
    <xf numFmtId="0" fontId="28" fillId="2" borderId="69" xfId="0" applyFont="1" applyFill="1" applyBorder="1" applyAlignment="1">
      <alignment vertical="center" wrapText="1"/>
    </xf>
    <xf numFmtId="0" fontId="28" fillId="2" borderId="67" xfId="0" applyFont="1" applyFill="1" applyBorder="1" applyAlignment="1">
      <alignment horizontal="center" wrapText="1"/>
    </xf>
    <xf numFmtId="0" fontId="28" fillId="2" borderId="63" xfId="0" applyFont="1" applyFill="1" applyBorder="1" applyAlignment="1">
      <alignment vertical="center" wrapText="1"/>
    </xf>
    <xf numFmtId="0" fontId="1" fillId="2" borderId="67" xfId="0" applyFont="1" applyFill="1" applyBorder="1" applyAlignment="1">
      <alignment horizontal="center" vertical="center" wrapText="1"/>
    </xf>
    <xf numFmtId="0" fontId="1" fillId="2" borderId="52" xfId="0" applyFont="1" applyFill="1" applyBorder="1"/>
  </cellXfs>
  <cellStyles count="2">
    <cellStyle name="Hyperlink" xfId="1" builtinId="8"/>
    <cellStyle name="Normal" xfId="0" builtinId="0"/>
  </cellStyles>
  <dxfs count="24">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ustomXml" Target="../customXml/item3.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438150</xdr:colOff>
      <xdr:row>0</xdr:row>
      <xdr:rowOff>676275</xdr:rowOff>
    </xdr:from>
    <xdr:ext cx="1724025" cy="6953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488750" y="3437100"/>
          <a:ext cx="1714500"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485775</xdr:rowOff>
    </xdr:from>
    <xdr:ext cx="11229975" cy="22098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438150</xdr:colOff>
      <xdr:row>0</xdr:row>
      <xdr:rowOff>676275</xdr:rowOff>
    </xdr:from>
    <xdr:ext cx="1724025" cy="695325"/>
    <xdr:sp macro="" textlink="">
      <xdr:nvSpPr>
        <xdr:cNvPr id="4" name="Shape 4">
          <a:extLst>
            <a:ext uri="{FF2B5EF4-FFF2-40B4-BE49-F238E27FC236}">
              <a16:creationId xmlns:a16="http://schemas.microsoft.com/office/drawing/2014/main" id="{00000000-0008-0000-0200-000004000000}"/>
            </a:ext>
          </a:extLst>
        </xdr:cNvPr>
        <xdr:cNvSpPr txBox="1"/>
      </xdr:nvSpPr>
      <xdr:spPr>
        <a:xfrm>
          <a:off x="4488750" y="3437100"/>
          <a:ext cx="1714500"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9</xdr:col>
      <xdr:colOff>381000</xdr:colOff>
      <xdr:row>0</xdr:row>
      <xdr:rowOff>0</xdr:rowOff>
    </xdr:from>
    <xdr:ext cx="11229975" cy="27908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438150</xdr:colOff>
      <xdr:row>0</xdr:row>
      <xdr:rowOff>676275</xdr:rowOff>
    </xdr:from>
    <xdr:ext cx="1724025" cy="695325"/>
    <xdr:sp macro="" textlink="">
      <xdr:nvSpPr>
        <xdr:cNvPr id="5" name="Shape 5">
          <a:extLst>
            <a:ext uri="{FF2B5EF4-FFF2-40B4-BE49-F238E27FC236}">
              <a16:creationId xmlns:a16="http://schemas.microsoft.com/office/drawing/2014/main" id="{00000000-0008-0000-0A00-000005000000}"/>
            </a:ext>
          </a:extLst>
        </xdr:cNvPr>
        <xdr:cNvSpPr txBox="1"/>
      </xdr:nvSpPr>
      <xdr:spPr>
        <a:xfrm>
          <a:off x="4488750" y="3437100"/>
          <a:ext cx="1714500"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485775</xdr:rowOff>
    </xdr:from>
    <xdr:ext cx="11229975" cy="2209800"/>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ites.google.com/d/1_1eBFZEbY7KEjZv2ky2awGZobqs4cVrR/p/1z3uHqg8VN3L7dAZ2S0aHfB10Az0DeJd4/edit"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pageSetUpPr fitToPage="1"/>
  </sheetPr>
  <dimension ref="A1:AG1000"/>
  <sheetViews>
    <sheetView workbookViewId="0"/>
  </sheetViews>
  <sheetFormatPr defaultColWidth="14.42578125" defaultRowHeight="15" customHeight="1"/>
  <cols>
    <col min="1" max="1" width="1.42578125" customWidth="1"/>
    <col min="2" max="2" width="22" customWidth="1"/>
    <col min="3" max="3" width="21.85546875" customWidth="1"/>
    <col min="4" max="4" width="19.85546875" customWidth="1"/>
    <col min="5" max="5" width="25.140625" customWidth="1"/>
    <col min="6" max="6" width="24.85546875" customWidth="1"/>
    <col min="7" max="7" width="11" customWidth="1"/>
    <col min="8" max="8" width="14.85546875" customWidth="1"/>
    <col min="9" max="9" width="15.42578125" customWidth="1"/>
    <col min="10" max="11" width="16.42578125" customWidth="1"/>
    <col min="12" max="12" width="18.85546875" customWidth="1"/>
    <col min="13" max="13" width="34.140625" customWidth="1"/>
    <col min="14" max="14" width="37.7109375" customWidth="1"/>
    <col min="15" max="15" width="39.140625" customWidth="1"/>
    <col min="16" max="16" width="35.85546875" customWidth="1"/>
    <col min="17" max="17" width="36.42578125" customWidth="1"/>
    <col min="18" max="18" width="24.42578125" customWidth="1"/>
    <col min="19" max="19" width="22.140625" customWidth="1"/>
    <col min="20" max="20" width="15.140625" customWidth="1"/>
    <col min="21" max="21" width="15.28515625" customWidth="1"/>
    <col min="22" max="22" width="20.42578125" customWidth="1"/>
    <col min="23" max="23" width="62.42578125" customWidth="1"/>
    <col min="24" max="32" width="9.140625" customWidth="1"/>
  </cols>
  <sheetData>
    <row r="1" spans="1:33" ht="229.5" customHeight="1">
      <c r="A1" s="351"/>
      <c r="B1" s="352"/>
      <c r="C1" s="353"/>
      <c r="D1" s="353"/>
      <c r="E1" s="353"/>
      <c r="F1" s="353"/>
      <c r="G1" s="353"/>
      <c r="H1" s="353"/>
      <c r="I1" s="353"/>
      <c r="J1" s="353"/>
      <c r="K1" s="353"/>
      <c r="L1" s="353"/>
      <c r="M1" s="353"/>
      <c r="N1" s="353"/>
      <c r="O1" s="353"/>
      <c r="P1" s="353"/>
      <c r="Q1" s="353"/>
      <c r="R1" s="353"/>
      <c r="S1" s="353"/>
      <c r="T1" s="353"/>
      <c r="U1" s="353"/>
      <c r="V1" s="353"/>
      <c r="W1" s="354"/>
      <c r="X1" s="351"/>
      <c r="Y1" s="351"/>
      <c r="Z1" s="351"/>
      <c r="AA1" s="351"/>
      <c r="AB1" s="351"/>
      <c r="AC1" s="351"/>
      <c r="AD1" s="351"/>
      <c r="AE1" s="351"/>
      <c r="AF1" s="351"/>
      <c r="AG1" s="2"/>
    </row>
    <row r="2" spans="1:33" ht="42.75" customHeight="1">
      <c r="A2" s="351"/>
      <c r="B2" s="355" t="s">
        <v>0</v>
      </c>
      <c r="C2" s="353"/>
      <c r="D2" s="353"/>
      <c r="E2" s="353"/>
      <c r="F2" s="353"/>
      <c r="G2" s="353"/>
      <c r="H2" s="353"/>
      <c r="I2" s="353"/>
      <c r="J2" s="353"/>
      <c r="K2" s="353"/>
      <c r="L2" s="353"/>
      <c r="M2" s="353"/>
      <c r="N2" s="353"/>
      <c r="O2" s="353"/>
      <c r="P2" s="353"/>
      <c r="Q2" s="353"/>
      <c r="R2" s="353"/>
      <c r="S2" s="353"/>
      <c r="T2" s="353"/>
      <c r="U2" s="353"/>
      <c r="V2" s="353"/>
      <c r="W2" s="354"/>
      <c r="X2" s="351"/>
      <c r="Y2" s="351"/>
      <c r="Z2" s="351"/>
      <c r="AA2" s="351"/>
      <c r="AB2" s="351"/>
      <c r="AC2" s="351"/>
      <c r="AD2" s="351"/>
      <c r="AE2" s="351"/>
      <c r="AF2" s="351"/>
      <c r="AG2" s="2"/>
    </row>
    <row r="3" spans="1:33" ht="33.75" customHeight="1">
      <c r="A3" s="351"/>
      <c r="B3" s="356"/>
      <c r="C3" s="357"/>
      <c r="D3" s="357"/>
      <c r="E3" s="357"/>
      <c r="F3" s="357"/>
      <c r="G3" s="357"/>
      <c r="H3" s="357"/>
      <c r="I3" s="357"/>
      <c r="J3" s="357"/>
      <c r="K3" s="357"/>
      <c r="L3" s="357"/>
      <c r="M3" s="357"/>
      <c r="N3" s="357"/>
      <c r="O3" s="357"/>
      <c r="P3" s="357"/>
      <c r="Q3" s="357"/>
      <c r="R3" s="357"/>
      <c r="S3" s="357"/>
      <c r="T3" s="357"/>
      <c r="U3" s="357"/>
      <c r="V3" s="357"/>
      <c r="W3" s="354"/>
      <c r="X3" s="351"/>
      <c r="Y3" s="351"/>
      <c r="Z3" s="351"/>
      <c r="AA3" s="351"/>
      <c r="AB3" s="351"/>
      <c r="AC3" s="351"/>
      <c r="AD3" s="351"/>
      <c r="AE3" s="351"/>
      <c r="AF3" s="351"/>
      <c r="AG3" s="2"/>
    </row>
    <row r="4" spans="1:33" ht="15.75" customHeight="1">
      <c r="A4" s="351"/>
      <c r="B4" s="299" t="s">
        <v>1</v>
      </c>
      <c r="C4" s="358"/>
      <c r="D4" s="358"/>
      <c r="E4" s="359"/>
      <c r="F4" s="300"/>
      <c r="G4" s="358"/>
      <c r="H4" s="358"/>
      <c r="I4" s="358"/>
      <c r="J4" s="358"/>
      <c r="K4" s="358"/>
      <c r="L4" s="358"/>
      <c r="M4" s="359"/>
      <c r="N4" s="6" t="s">
        <v>2</v>
      </c>
      <c r="O4" s="300"/>
      <c r="P4" s="358"/>
      <c r="Q4" s="358"/>
      <c r="R4" s="358"/>
      <c r="S4" s="358"/>
      <c r="T4" s="358"/>
      <c r="U4" s="358"/>
      <c r="V4" s="360"/>
      <c r="W4" s="354"/>
      <c r="X4" s="351"/>
      <c r="Y4" s="351"/>
      <c r="Z4" s="351"/>
      <c r="AA4" s="351"/>
      <c r="AB4" s="351"/>
      <c r="AC4" s="351"/>
      <c r="AD4" s="351"/>
      <c r="AE4" s="351"/>
      <c r="AF4" s="351"/>
      <c r="AG4" s="7"/>
    </row>
    <row r="5" spans="1:33" ht="16.5" customHeight="1">
      <c r="A5" s="351"/>
      <c r="B5" s="301" t="s">
        <v>3</v>
      </c>
      <c r="C5" s="361"/>
      <c r="D5" s="361"/>
      <c r="E5" s="362"/>
      <c r="F5" s="363"/>
      <c r="G5" s="361"/>
      <c r="H5" s="361"/>
      <c r="I5" s="361"/>
      <c r="J5" s="361"/>
      <c r="K5" s="361"/>
      <c r="L5" s="361"/>
      <c r="M5" s="362"/>
      <c r="N5" s="10" t="s">
        <v>4</v>
      </c>
      <c r="O5" s="363"/>
      <c r="P5" s="361"/>
      <c r="Q5" s="361"/>
      <c r="R5" s="361"/>
      <c r="S5" s="361"/>
      <c r="T5" s="361"/>
      <c r="U5" s="361"/>
      <c r="V5" s="364"/>
      <c r="W5" s="354"/>
      <c r="X5" s="351"/>
      <c r="Y5" s="351"/>
      <c r="Z5" s="351"/>
      <c r="AA5" s="351"/>
      <c r="AB5" s="351"/>
      <c r="AC5" s="351"/>
      <c r="AD5" s="351"/>
      <c r="AE5" s="351"/>
      <c r="AF5" s="351"/>
      <c r="AG5" s="7"/>
    </row>
    <row r="6" spans="1:33" ht="15.75" customHeight="1">
      <c r="A6" s="351"/>
      <c r="B6" s="301" t="s">
        <v>5</v>
      </c>
      <c r="C6" s="361"/>
      <c r="D6" s="361"/>
      <c r="E6" s="362"/>
      <c r="F6" s="363"/>
      <c r="G6" s="361"/>
      <c r="H6" s="361"/>
      <c r="I6" s="361"/>
      <c r="J6" s="361"/>
      <c r="K6" s="361"/>
      <c r="L6" s="361"/>
      <c r="M6" s="362"/>
      <c r="N6" s="10" t="s">
        <v>6</v>
      </c>
      <c r="O6" s="363"/>
      <c r="P6" s="361"/>
      <c r="Q6" s="361"/>
      <c r="R6" s="361"/>
      <c r="S6" s="361"/>
      <c r="T6" s="361"/>
      <c r="U6" s="361"/>
      <c r="V6" s="364"/>
      <c r="W6" s="354"/>
      <c r="X6" s="351"/>
      <c r="Y6" s="351"/>
      <c r="Z6" s="351"/>
      <c r="AA6" s="351"/>
      <c r="AB6" s="351"/>
      <c r="AC6" s="351"/>
      <c r="AD6" s="351"/>
      <c r="AE6" s="351"/>
      <c r="AF6" s="351"/>
      <c r="AG6" s="7"/>
    </row>
    <row r="7" spans="1:33" ht="16.5" customHeight="1">
      <c r="A7" s="351"/>
      <c r="B7" s="301" t="s">
        <v>7</v>
      </c>
      <c r="C7" s="361"/>
      <c r="D7" s="361"/>
      <c r="E7" s="362"/>
      <c r="F7" s="365"/>
      <c r="G7" s="366"/>
      <c r="H7" s="366"/>
      <c r="I7" s="366"/>
      <c r="J7" s="366"/>
      <c r="K7" s="366"/>
      <c r="L7" s="366"/>
      <c r="M7" s="367"/>
      <c r="N7" s="10" t="s">
        <v>8</v>
      </c>
      <c r="O7" s="368"/>
      <c r="P7" s="368"/>
      <c r="Q7" s="368"/>
      <c r="R7" s="368"/>
      <c r="S7" s="368"/>
      <c r="T7" s="368"/>
      <c r="U7" s="368"/>
      <c r="V7" s="369"/>
      <c r="W7" s="354"/>
      <c r="X7" s="351"/>
      <c r="Y7" s="351"/>
      <c r="Z7" s="351"/>
      <c r="AA7" s="351"/>
      <c r="AB7" s="351"/>
      <c r="AC7" s="351"/>
      <c r="AD7" s="351"/>
      <c r="AE7" s="351"/>
      <c r="AF7" s="351"/>
      <c r="AG7" s="7"/>
    </row>
    <row r="8" spans="1:33" ht="45.75" customHeight="1">
      <c r="A8" s="351"/>
      <c r="B8" s="304" t="s">
        <v>9</v>
      </c>
      <c r="C8" s="370"/>
      <c r="D8" s="370"/>
      <c r="E8" s="371"/>
      <c r="F8" s="305"/>
      <c r="G8" s="370"/>
      <c r="H8" s="370"/>
      <c r="I8" s="370"/>
      <c r="J8" s="370"/>
      <c r="K8" s="370"/>
      <c r="L8" s="370"/>
      <c r="M8" s="370"/>
      <c r="N8" s="370"/>
      <c r="O8" s="370"/>
      <c r="P8" s="370"/>
      <c r="Q8" s="370"/>
      <c r="R8" s="370"/>
      <c r="S8" s="370"/>
      <c r="T8" s="370"/>
      <c r="U8" s="370"/>
      <c r="V8" s="372"/>
      <c r="W8" s="354"/>
      <c r="X8" s="351"/>
      <c r="Y8" s="351"/>
      <c r="Z8" s="351"/>
      <c r="AA8" s="351"/>
      <c r="AB8" s="351"/>
      <c r="AC8" s="351"/>
      <c r="AD8" s="351"/>
      <c r="AE8" s="351"/>
      <c r="AF8" s="351"/>
      <c r="AG8" s="7"/>
    </row>
    <row r="9" spans="1:33" ht="19.5" customHeight="1">
      <c r="A9" s="351"/>
      <c r="B9" s="373"/>
      <c r="C9" s="374"/>
      <c r="D9" s="374"/>
      <c r="E9" s="374"/>
      <c r="F9" s="374"/>
      <c r="G9" s="374"/>
      <c r="H9" s="374"/>
      <c r="I9" s="374"/>
      <c r="J9" s="374"/>
      <c r="K9" s="374"/>
      <c r="L9" s="374"/>
      <c r="M9" s="374"/>
      <c r="N9" s="374"/>
      <c r="O9" s="374"/>
      <c r="P9" s="374"/>
      <c r="Q9" s="374"/>
      <c r="R9" s="374"/>
      <c r="S9" s="374"/>
      <c r="T9" s="374"/>
      <c r="U9" s="374"/>
      <c r="V9" s="374"/>
      <c r="W9" s="354"/>
      <c r="X9" s="351"/>
      <c r="Y9" s="351"/>
      <c r="Z9" s="351"/>
      <c r="AA9" s="351"/>
      <c r="AB9" s="351"/>
      <c r="AC9" s="351"/>
      <c r="AD9" s="351"/>
      <c r="AE9" s="351"/>
      <c r="AF9" s="351"/>
      <c r="AG9" s="2"/>
    </row>
    <row r="10" spans="1:33" ht="72" customHeight="1">
      <c r="A10" s="351"/>
      <c r="B10" s="297" t="s">
        <v>10</v>
      </c>
      <c r="C10" s="375"/>
      <c r="D10" s="375"/>
      <c r="E10" s="375"/>
      <c r="F10" s="375"/>
      <c r="G10" s="375"/>
      <c r="H10" s="375"/>
      <c r="I10" s="375"/>
      <c r="J10" s="375"/>
      <c r="K10" s="375"/>
      <c r="L10" s="375"/>
      <c r="M10" s="375"/>
      <c r="N10" s="375"/>
      <c r="O10" s="375"/>
      <c r="P10" s="375"/>
      <c r="Q10" s="375"/>
      <c r="R10" s="375"/>
      <c r="S10" s="375"/>
      <c r="T10" s="375"/>
      <c r="U10" s="375"/>
      <c r="V10" s="375"/>
      <c r="W10" s="354"/>
      <c r="X10" s="351"/>
      <c r="Y10" s="351"/>
      <c r="Z10" s="351"/>
      <c r="AA10" s="351"/>
      <c r="AB10" s="351"/>
      <c r="AC10" s="351"/>
      <c r="AD10" s="351"/>
      <c r="AE10" s="351"/>
      <c r="AF10" s="351"/>
      <c r="AG10" s="2"/>
    </row>
    <row r="11" spans="1:33" ht="4.5" hidden="1"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ht="21.75" customHeight="1">
      <c r="A12" s="2"/>
      <c r="B12" s="320" t="s">
        <v>11</v>
      </c>
      <c r="C12" s="376"/>
      <c r="D12" s="376"/>
      <c r="E12" s="376"/>
      <c r="F12" s="376"/>
      <c r="G12" s="376"/>
      <c r="H12" s="376"/>
      <c r="I12" s="376"/>
      <c r="J12" s="376"/>
      <c r="K12" s="376"/>
      <c r="L12" s="376"/>
      <c r="M12" s="376"/>
      <c r="N12" s="376"/>
      <c r="O12" s="376"/>
      <c r="P12" s="376"/>
      <c r="Q12" s="376"/>
      <c r="R12" s="377"/>
      <c r="S12" s="378" t="s">
        <v>12</v>
      </c>
      <c r="T12" s="376"/>
      <c r="U12" s="376"/>
      <c r="V12" s="377"/>
      <c r="W12" s="2"/>
      <c r="X12" s="2"/>
      <c r="Y12" s="2"/>
      <c r="Z12" s="2"/>
      <c r="AA12" s="2"/>
      <c r="AB12" s="2"/>
      <c r="AC12" s="2"/>
      <c r="AD12" s="2"/>
      <c r="AE12" s="2"/>
      <c r="AF12" s="2"/>
      <c r="AG12" s="2"/>
    </row>
    <row r="13" spans="1:33" ht="117" customHeight="1">
      <c r="A13" s="2"/>
      <c r="B13" s="379" t="s">
        <v>13</v>
      </c>
      <c r="C13" s="357"/>
      <c r="D13" s="357"/>
      <c r="E13" s="380"/>
      <c r="F13" s="381" t="s">
        <v>14</v>
      </c>
      <c r="G13" s="382"/>
      <c r="H13" s="383" t="s">
        <v>15</v>
      </c>
      <c r="I13" s="383" t="s">
        <v>16</v>
      </c>
      <c r="J13" s="379" t="s">
        <v>17</v>
      </c>
      <c r="K13" s="357"/>
      <c r="L13" s="384" t="s">
        <v>18</v>
      </c>
      <c r="M13" s="385" t="s">
        <v>19</v>
      </c>
      <c r="N13" s="374"/>
      <c r="O13" s="374"/>
      <c r="P13" s="374"/>
      <c r="Q13" s="386"/>
      <c r="R13" s="387" t="s">
        <v>20</v>
      </c>
      <c r="S13" s="311" t="s">
        <v>21</v>
      </c>
      <c r="T13" s="388" t="s">
        <v>22</v>
      </c>
      <c r="U13" s="384" t="s">
        <v>23</v>
      </c>
      <c r="V13" s="311" t="s">
        <v>24</v>
      </c>
      <c r="W13" s="2"/>
      <c r="X13" s="2"/>
      <c r="Y13" s="2"/>
      <c r="Z13" s="2"/>
      <c r="AA13" s="2"/>
      <c r="AB13" s="2"/>
      <c r="AC13" s="2"/>
      <c r="AD13" s="2"/>
      <c r="AE13" s="2"/>
      <c r="AF13" s="2"/>
      <c r="AG13" s="2"/>
    </row>
    <row r="14" spans="1:33" ht="45" customHeight="1">
      <c r="A14" s="2"/>
      <c r="B14" s="384" t="s">
        <v>25</v>
      </c>
      <c r="C14" s="317" t="s">
        <v>26</v>
      </c>
      <c r="D14" s="376"/>
      <c r="E14" s="377"/>
      <c r="F14" s="353"/>
      <c r="G14" s="382"/>
      <c r="H14" s="389"/>
      <c r="I14" s="389"/>
      <c r="J14" s="316" t="s">
        <v>27</v>
      </c>
      <c r="K14" s="390" t="s">
        <v>28</v>
      </c>
      <c r="L14" s="389"/>
      <c r="M14" s="319" t="s">
        <v>29</v>
      </c>
      <c r="N14" s="391" t="s">
        <v>30</v>
      </c>
      <c r="O14" s="391" t="s">
        <v>31</v>
      </c>
      <c r="P14" s="391" t="s">
        <v>32</v>
      </c>
      <c r="Q14" s="392" t="s">
        <v>33</v>
      </c>
      <c r="R14" s="382"/>
      <c r="S14" s="382"/>
      <c r="T14" s="393"/>
      <c r="U14" s="389"/>
      <c r="V14" s="382"/>
      <c r="W14" s="2"/>
      <c r="X14" s="2"/>
      <c r="Y14" s="2"/>
      <c r="Z14" s="2"/>
      <c r="AA14" s="2"/>
      <c r="AB14" s="2"/>
      <c r="AC14" s="2"/>
      <c r="AD14" s="2"/>
      <c r="AE14" s="2"/>
      <c r="AF14" s="2"/>
      <c r="AG14" s="2"/>
    </row>
    <row r="15" spans="1:33" ht="70.5" customHeight="1">
      <c r="A15" s="394"/>
      <c r="B15" s="395"/>
      <c r="C15" s="396" t="s">
        <v>34</v>
      </c>
      <c r="D15" s="396" t="s">
        <v>35</v>
      </c>
      <c r="E15" s="396" t="s">
        <v>36</v>
      </c>
      <c r="F15" s="357"/>
      <c r="G15" s="380"/>
      <c r="H15" s="395"/>
      <c r="I15" s="395"/>
      <c r="J15" s="397"/>
      <c r="K15" s="357"/>
      <c r="L15" s="395"/>
      <c r="M15" s="398"/>
      <c r="N15" s="399"/>
      <c r="O15" s="399"/>
      <c r="P15" s="399"/>
      <c r="Q15" s="400"/>
      <c r="R15" s="382"/>
      <c r="S15" s="380"/>
      <c r="T15" s="397"/>
      <c r="U15" s="395"/>
      <c r="V15" s="380"/>
      <c r="W15" s="401"/>
      <c r="X15" s="394"/>
      <c r="Y15" s="394"/>
      <c r="Z15" s="394"/>
      <c r="AA15" s="394"/>
      <c r="AB15" s="394"/>
      <c r="AC15" s="394"/>
      <c r="AD15" s="394"/>
      <c r="AE15" s="394"/>
      <c r="AF15" s="394"/>
      <c r="AG15" s="2"/>
    </row>
    <row r="16" spans="1:33" ht="90" hidden="1" customHeight="1">
      <c r="A16" s="351"/>
      <c r="B16" s="402" t="s">
        <v>37</v>
      </c>
      <c r="C16" s="403"/>
      <c r="D16" s="403"/>
      <c r="E16" s="318" t="s">
        <v>38</v>
      </c>
      <c r="F16" s="404" t="s">
        <v>39</v>
      </c>
      <c r="G16" s="405" t="s">
        <v>40</v>
      </c>
      <c r="H16" s="406" t="s">
        <v>41</v>
      </c>
      <c r="I16" s="407">
        <v>0.35</v>
      </c>
      <c r="J16" s="408"/>
      <c r="K16" s="408"/>
      <c r="L16" s="25" t="s">
        <v>42</v>
      </c>
      <c r="M16" s="26" t="s">
        <v>43</v>
      </c>
      <c r="N16" s="27" t="s">
        <v>44</v>
      </c>
      <c r="O16" s="27" t="s">
        <v>45</v>
      </c>
      <c r="P16" s="27" t="s">
        <v>46</v>
      </c>
      <c r="Q16" s="27" t="s">
        <v>47</v>
      </c>
      <c r="R16" s="380"/>
      <c r="S16" s="409" t="s">
        <v>48</v>
      </c>
      <c r="T16" s="28">
        <v>5</v>
      </c>
      <c r="U16" s="410">
        <f>AVERAGE(T16:T18)</f>
        <v>4.666666666666667</v>
      </c>
      <c r="V16" s="411"/>
      <c r="W16" s="354"/>
      <c r="X16" s="351"/>
      <c r="Y16" s="351"/>
      <c r="Z16" s="351"/>
      <c r="AA16" s="351"/>
      <c r="AB16" s="351"/>
      <c r="AC16" s="351"/>
      <c r="AD16" s="351"/>
      <c r="AE16" s="351"/>
      <c r="AF16" s="351"/>
      <c r="AG16" s="29"/>
    </row>
    <row r="17" spans="1:33" ht="102.75" hidden="1" customHeight="1">
      <c r="A17" s="351"/>
      <c r="B17" s="412"/>
      <c r="C17" s="413"/>
      <c r="D17" s="413"/>
      <c r="E17" s="414"/>
      <c r="F17" s="414"/>
      <c r="G17" s="414"/>
      <c r="H17" s="414"/>
      <c r="I17" s="414"/>
      <c r="J17" s="31"/>
      <c r="K17" s="31"/>
      <c r="L17" s="32" t="s">
        <v>49</v>
      </c>
      <c r="M17" s="33" t="s">
        <v>50</v>
      </c>
      <c r="N17" s="33" t="s">
        <v>51</v>
      </c>
      <c r="O17" s="33" t="s">
        <v>52</v>
      </c>
      <c r="P17" s="33" t="s">
        <v>53</v>
      </c>
      <c r="Q17" s="33" t="s">
        <v>54</v>
      </c>
      <c r="R17" s="34"/>
      <c r="S17" s="35" t="s">
        <v>55</v>
      </c>
      <c r="T17" s="36">
        <v>4</v>
      </c>
      <c r="U17" s="414"/>
      <c r="V17" s="415"/>
      <c r="W17" s="354"/>
      <c r="X17" s="351"/>
      <c r="Y17" s="351"/>
      <c r="Z17" s="351"/>
      <c r="AA17" s="351"/>
      <c r="AB17" s="351"/>
      <c r="AC17" s="351"/>
      <c r="AD17" s="351"/>
      <c r="AE17" s="351"/>
      <c r="AF17" s="351"/>
      <c r="AG17" s="7"/>
    </row>
    <row r="18" spans="1:33" ht="18" hidden="1" customHeight="1">
      <c r="A18" s="351"/>
      <c r="B18" s="412"/>
      <c r="C18" s="413"/>
      <c r="D18" s="413"/>
      <c r="E18" s="399"/>
      <c r="F18" s="414"/>
      <c r="G18" s="414"/>
      <c r="H18" s="414"/>
      <c r="I18" s="414"/>
      <c r="J18" s="31"/>
      <c r="K18" s="31"/>
      <c r="L18" s="31" t="s">
        <v>56</v>
      </c>
      <c r="M18" s="37" t="s">
        <v>57</v>
      </c>
      <c r="N18" s="37" t="s">
        <v>58</v>
      </c>
      <c r="O18" s="37" t="s">
        <v>59</v>
      </c>
      <c r="P18" s="37" t="s">
        <v>60</v>
      </c>
      <c r="Q18" s="37" t="s">
        <v>61</v>
      </c>
      <c r="R18" s="38"/>
      <c r="S18" s="416" t="s">
        <v>62</v>
      </c>
      <c r="T18" s="39">
        <v>5</v>
      </c>
      <c r="U18" s="414"/>
      <c r="V18" s="415"/>
      <c r="W18" s="354"/>
      <c r="X18" s="351"/>
      <c r="Y18" s="351"/>
      <c r="Z18" s="351"/>
      <c r="AA18" s="351"/>
      <c r="AB18" s="351"/>
      <c r="AC18" s="351"/>
      <c r="AD18" s="351"/>
      <c r="AE18" s="351"/>
      <c r="AF18" s="351"/>
      <c r="AG18" s="7"/>
    </row>
    <row r="19" spans="1:33" ht="24.75" customHeight="1">
      <c r="A19" s="351"/>
      <c r="B19" s="298"/>
      <c r="C19" s="287" t="s">
        <v>63</v>
      </c>
      <c r="D19" s="287" t="s">
        <v>64</v>
      </c>
      <c r="E19" s="287"/>
      <c r="F19" s="289"/>
      <c r="G19" s="417"/>
      <c r="H19" s="290"/>
      <c r="I19" s="291"/>
      <c r="J19" s="288"/>
      <c r="K19" s="290"/>
      <c r="L19" s="41" t="s">
        <v>42</v>
      </c>
      <c r="M19" s="42"/>
      <c r="N19" s="43"/>
      <c r="O19" s="43"/>
      <c r="P19" s="43"/>
      <c r="Q19" s="43"/>
      <c r="R19" s="306"/>
      <c r="S19" s="307"/>
      <c r="T19" s="44"/>
      <c r="U19" s="309" t="e">
        <f>AVERAGE(T19:T21)</f>
        <v>#DIV/0!</v>
      </c>
      <c r="V19" s="310" t="e">
        <f>U19*I19</f>
        <v>#DIV/0!</v>
      </c>
      <c r="W19" s="354"/>
      <c r="X19" s="351"/>
      <c r="Y19" s="351"/>
      <c r="Z19" s="351"/>
      <c r="AA19" s="351"/>
      <c r="AB19" s="351"/>
      <c r="AC19" s="351"/>
      <c r="AD19" s="351"/>
      <c r="AE19" s="351"/>
      <c r="AF19" s="351"/>
      <c r="AG19" s="7"/>
    </row>
    <row r="20" spans="1:33" ht="24.75" customHeight="1">
      <c r="A20" s="351"/>
      <c r="B20" s="412"/>
      <c r="C20" s="414"/>
      <c r="D20" s="414"/>
      <c r="E20" s="414"/>
      <c r="F20" s="418"/>
      <c r="G20" s="419"/>
      <c r="H20" s="414"/>
      <c r="I20" s="414"/>
      <c r="J20" s="414"/>
      <c r="K20" s="414"/>
      <c r="L20" s="48" t="s">
        <v>49</v>
      </c>
      <c r="M20" s="49"/>
      <c r="N20" s="49"/>
      <c r="O20" s="49"/>
      <c r="P20" s="49"/>
      <c r="Q20" s="49"/>
      <c r="R20" s="415"/>
      <c r="S20" s="412"/>
      <c r="T20" s="44"/>
      <c r="U20" s="419"/>
      <c r="V20" s="415"/>
      <c r="W20" s="354"/>
      <c r="X20" s="351"/>
      <c r="Y20" s="351"/>
      <c r="Z20" s="351"/>
      <c r="AA20" s="351"/>
      <c r="AB20" s="351"/>
      <c r="AC20" s="351"/>
      <c r="AD20" s="351"/>
      <c r="AE20" s="351"/>
      <c r="AF20" s="351"/>
      <c r="AG20" s="7"/>
    </row>
    <row r="21" spans="1:33" ht="24.75" customHeight="1">
      <c r="A21" s="351"/>
      <c r="B21" s="412"/>
      <c r="C21" s="414"/>
      <c r="D21" s="414"/>
      <c r="E21" s="414"/>
      <c r="F21" s="420"/>
      <c r="G21" s="421"/>
      <c r="H21" s="422"/>
      <c r="I21" s="422"/>
      <c r="J21" s="422"/>
      <c r="K21" s="422"/>
      <c r="L21" s="48" t="s">
        <v>56</v>
      </c>
      <c r="M21" s="51"/>
      <c r="N21" s="51"/>
      <c r="O21" s="51"/>
      <c r="P21" s="51"/>
      <c r="Q21" s="51"/>
      <c r="R21" s="423"/>
      <c r="S21" s="424"/>
      <c r="T21" s="44"/>
      <c r="U21" s="421"/>
      <c r="V21" s="423"/>
      <c r="W21" s="354"/>
      <c r="X21" s="351"/>
      <c r="Y21" s="351"/>
      <c r="Z21" s="351"/>
      <c r="AA21" s="351"/>
      <c r="AB21" s="351"/>
      <c r="AC21" s="351"/>
      <c r="AD21" s="351"/>
      <c r="AE21" s="351"/>
      <c r="AF21" s="351"/>
      <c r="AG21" s="7"/>
    </row>
    <row r="22" spans="1:33" ht="24.75" customHeight="1">
      <c r="A22" s="351"/>
      <c r="B22" s="412"/>
      <c r="C22" s="414"/>
      <c r="D22" s="414"/>
      <c r="E22" s="414"/>
      <c r="F22" s="425"/>
      <c r="G22" s="367"/>
      <c r="H22" s="426"/>
      <c r="I22" s="427"/>
      <c r="J22" s="428"/>
      <c r="K22" s="426"/>
      <c r="L22" s="41" t="s">
        <v>42</v>
      </c>
      <c r="M22" s="52"/>
      <c r="N22" s="53"/>
      <c r="O22" s="53"/>
      <c r="P22" s="53"/>
      <c r="Q22" s="53"/>
      <c r="R22" s="429"/>
      <c r="S22" s="312"/>
      <c r="T22" s="44"/>
      <c r="U22" s="309" t="e">
        <f>AVERAGE(T22:T24)</f>
        <v>#DIV/0!</v>
      </c>
      <c r="V22" s="310" t="e">
        <f>U22*I22</f>
        <v>#DIV/0!</v>
      </c>
      <c r="W22" s="354"/>
      <c r="X22" s="351"/>
      <c r="Y22" s="351"/>
      <c r="Z22" s="351"/>
      <c r="AA22" s="351"/>
      <c r="AB22" s="351"/>
      <c r="AC22" s="351"/>
      <c r="AD22" s="351"/>
      <c r="AE22" s="351"/>
      <c r="AF22" s="351"/>
      <c r="AG22" s="7"/>
    </row>
    <row r="23" spans="1:33" ht="24.75" customHeight="1">
      <c r="A23" s="351"/>
      <c r="B23" s="412"/>
      <c r="C23" s="414"/>
      <c r="D23" s="414"/>
      <c r="E23" s="414"/>
      <c r="F23" s="418"/>
      <c r="G23" s="419"/>
      <c r="H23" s="414"/>
      <c r="I23" s="414"/>
      <c r="J23" s="414"/>
      <c r="K23" s="414"/>
      <c r="L23" s="48" t="s">
        <v>49</v>
      </c>
      <c r="M23" s="49"/>
      <c r="N23" s="49"/>
      <c r="O23" s="49"/>
      <c r="P23" s="49"/>
      <c r="Q23" s="49"/>
      <c r="R23" s="415"/>
      <c r="S23" s="412"/>
      <c r="T23" s="44"/>
      <c r="U23" s="419"/>
      <c r="V23" s="415"/>
      <c r="W23" s="354"/>
      <c r="X23" s="351"/>
      <c r="Y23" s="351"/>
      <c r="Z23" s="351"/>
      <c r="AA23" s="351"/>
      <c r="AB23" s="351"/>
      <c r="AC23" s="351"/>
      <c r="AD23" s="351"/>
      <c r="AE23" s="351"/>
      <c r="AF23" s="351"/>
      <c r="AG23" s="7"/>
    </row>
    <row r="24" spans="1:33" ht="24.75" customHeight="1">
      <c r="A24" s="351"/>
      <c r="B24" s="412"/>
      <c r="C24" s="414"/>
      <c r="D24" s="414"/>
      <c r="E24" s="414"/>
      <c r="F24" s="420"/>
      <c r="G24" s="421"/>
      <c r="H24" s="422"/>
      <c r="I24" s="422"/>
      <c r="J24" s="422"/>
      <c r="K24" s="422"/>
      <c r="L24" s="48" t="s">
        <v>56</v>
      </c>
      <c r="M24" s="51"/>
      <c r="N24" s="51"/>
      <c r="O24" s="51"/>
      <c r="P24" s="51"/>
      <c r="Q24" s="51"/>
      <c r="R24" s="423"/>
      <c r="S24" s="424"/>
      <c r="T24" s="44"/>
      <c r="U24" s="421"/>
      <c r="V24" s="423"/>
      <c r="W24" s="354"/>
      <c r="X24" s="351"/>
      <c r="Y24" s="351"/>
      <c r="Z24" s="351"/>
      <c r="AA24" s="351"/>
      <c r="AB24" s="351"/>
      <c r="AC24" s="351"/>
      <c r="AD24" s="351"/>
      <c r="AE24" s="351"/>
      <c r="AF24" s="351"/>
      <c r="AG24" s="7"/>
    </row>
    <row r="25" spans="1:33" ht="24.75" customHeight="1">
      <c r="A25" s="351"/>
      <c r="B25" s="412"/>
      <c r="C25" s="414"/>
      <c r="D25" s="414"/>
      <c r="E25" s="414"/>
      <c r="F25" s="425"/>
      <c r="G25" s="367"/>
      <c r="H25" s="426"/>
      <c r="I25" s="427"/>
      <c r="J25" s="428"/>
      <c r="K25" s="426"/>
      <c r="L25" s="59" t="s">
        <v>42</v>
      </c>
      <c r="M25" s="52"/>
      <c r="N25" s="53"/>
      <c r="O25" s="53"/>
      <c r="P25" s="53"/>
      <c r="Q25" s="53"/>
      <c r="R25" s="429"/>
      <c r="S25" s="312"/>
      <c r="T25" s="44"/>
      <c r="U25" s="309" t="e">
        <f>AVERAGE(T25:T27)</f>
        <v>#DIV/0!</v>
      </c>
      <c r="V25" s="310" t="e">
        <f>U25*I25</f>
        <v>#DIV/0!</v>
      </c>
      <c r="W25" s="354"/>
      <c r="X25" s="351"/>
      <c r="Y25" s="351"/>
      <c r="Z25" s="351"/>
      <c r="AA25" s="351"/>
      <c r="AB25" s="351"/>
      <c r="AC25" s="351"/>
      <c r="AD25" s="351"/>
      <c r="AE25" s="351"/>
      <c r="AF25" s="351"/>
      <c r="AG25" s="7"/>
    </row>
    <row r="26" spans="1:33" ht="24.75" customHeight="1">
      <c r="A26" s="351"/>
      <c r="B26" s="412"/>
      <c r="C26" s="414"/>
      <c r="D26" s="414"/>
      <c r="E26" s="414"/>
      <c r="F26" s="418"/>
      <c r="G26" s="419"/>
      <c r="H26" s="414"/>
      <c r="I26" s="414"/>
      <c r="J26" s="414"/>
      <c r="K26" s="414"/>
      <c r="L26" s="48" t="s">
        <v>49</v>
      </c>
      <c r="M26" s="49"/>
      <c r="N26" s="49"/>
      <c r="O26" s="49"/>
      <c r="P26" s="49"/>
      <c r="Q26" s="49"/>
      <c r="R26" s="415"/>
      <c r="S26" s="412"/>
      <c r="T26" s="44"/>
      <c r="U26" s="419"/>
      <c r="V26" s="415"/>
      <c r="W26" s="354"/>
      <c r="X26" s="351"/>
      <c r="Y26" s="351"/>
      <c r="Z26" s="351"/>
      <c r="AA26" s="351"/>
      <c r="AB26" s="351"/>
      <c r="AC26" s="351"/>
      <c r="AD26" s="351"/>
      <c r="AE26" s="351"/>
      <c r="AF26" s="351"/>
      <c r="AG26" s="7"/>
    </row>
    <row r="27" spans="1:33" ht="24.75" customHeight="1">
      <c r="A27" s="351"/>
      <c r="B27" s="398"/>
      <c r="C27" s="399"/>
      <c r="D27" s="399"/>
      <c r="E27" s="399"/>
      <c r="F27" s="430"/>
      <c r="G27" s="431"/>
      <c r="H27" s="399"/>
      <c r="I27" s="399"/>
      <c r="J27" s="399"/>
      <c r="K27" s="399"/>
      <c r="L27" s="61" t="s">
        <v>56</v>
      </c>
      <c r="M27" s="62"/>
      <c r="N27" s="62"/>
      <c r="O27" s="62"/>
      <c r="P27" s="62"/>
      <c r="Q27" s="62"/>
      <c r="R27" s="400"/>
      <c r="S27" s="398"/>
      <c r="T27" s="44"/>
      <c r="U27" s="421"/>
      <c r="V27" s="423"/>
      <c r="W27" s="354"/>
      <c r="X27" s="351"/>
      <c r="Y27" s="351"/>
      <c r="Z27" s="351"/>
      <c r="AA27" s="351"/>
      <c r="AB27" s="351"/>
      <c r="AC27" s="351"/>
      <c r="AD27" s="351"/>
      <c r="AE27" s="351"/>
      <c r="AF27" s="351"/>
      <c r="AG27" s="7"/>
    </row>
    <row r="28" spans="1:33" ht="24.75" hidden="1" customHeight="1">
      <c r="A28" s="351"/>
      <c r="B28" s="298"/>
      <c r="C28" s="432"/>
      <c r="D28" s="432"/>
      <c r="E28" s="288"/>
      <c r="F28" s="289"/>
      <c r="G28" s="417"/>
      <c r="H28" s="290"/>
      <c r="I28" s="291"/>
      <c r="J28" s="292"/>
      <c r="K28" s="290"/>
      <c r="L28" s="41"/>
      <c r="M28" s="42"/>
      <c r="N28" s="43"/>
      <c r="O28" s="43"/>
      <c r="P28" s="43"/>
      <c r="Q28" s="43"/>
      <c r="R28" s="63"/>
      <c r="S28" s="64"/>
      <c r="T28" s="65"/>
      <c r="U28" s="293"/>
      <c r="V28" s="294"/>
      <c r="W28" s="354"/>
      <c r="X28" s="351"/>
      <c r="Y28" s="351"/>
      <c r="Z28" s="351"/>
      <c r="AA28" s="351"/>
      <c r="AB28" s="351"/>
      <c r="AC28" s="351"/>
      <c r="AD28" s="351"/>
      <c r="AE28" s="351"/>
      <c r="AF28" s="351"/>
      <c r="AG28" s="7"/>
    </row>
    <row r="29" spans="1:33" ht="24.75" hidden="1" customHeight="1">
      <c r="A29" s="351"/>
      <c r="B29" s="412"/>
      <c r="C29" s="433"/>
      <c r="D29" s="433"/>
      <c r="E29" s="414"/>
      <c r="F29" s="418"/>
      <c r="G29" s="419"/>
      <c r="H29" s="414"/>
      <c r="I29" s="414"/>
      <c r="J29" s="414"/>
      <c r="K29" s="414"/>
      <c r="L29" s="48"/>
      <c r="M29" s="49"/>
      <c r="N29" s="49"/>
      <c r="O29" s="49"/>
      <c r="P29" s="49"/>
      <c r="Q29" s="49"/>
      <c r="R29" s="66"/>
      <c r="S29" s="68"/>
      <c r="T29" s="69"/>
      <c r="U29" s="414"/>
      <c r="V29" s="415"/>
      <c r="W29" s="354"/>
      <c r="X29" s="351"/>
      <c r="Y29" s="351"/>
      <c r="Z29" s="351"/>
      <c r="AA29" s="351"/>
      <c r="AB29" s="351"/>
      <c r="AC29" s="351"/>
      <c r="AD29" s="351"/>
      <c r="AE29" s="351"/>
      <c r="AF29" s="351"/>
      <c r="AG29" s="7"/>
    </row>
    <row r="30" spans="1:33" ht="24.75" hidden="1" customHeight="1">
      <c r="A30" s="351"/>
      <c r="B30" s="412"/>
      <c r="C30" s="433"/>
      <c r="D30" s="433"/>
      <c r="E30" s="414"/>
      <c r="F30" s="420"/>
      <c r="G30" s="421"/>
      <c r="H30" s="422"/>
      <c r="I30" s="422"/>
      <c r="J30" s="422"/>
      <c r="K30" s="422"/>
      <c r="L30" s="48"/>
      <c r="M30" s="51"/>
      <c r="N30" s="51"/>
      <c r="O30" s="51"/>
      <c r="P30" s="51"/>
      <c r="Q30" s="51"/>
      <c r="R30" s="66"/>
      <c r="S30" s="68"/>
      <c r="T30" s="69"/>
      <c r="U30" s="422"/>
      <c r="V30" s="423"/>
      <c r="W30" s="354"/>
      <c r="X30" s="351"/>
      <c r="Y30" s="351"/>
      <c r="Z30" s="351"/>
      <c r="AA30" s="351"/>
      <c r="AB30" s="351"/>
      <c r="AC30" s="351"/>
      <c r="AD30" s="351"/>
      <c r="AE30" s="351"/>
      <c r="AF30" s="351"/>
      <c r="AG30" s="7"/>
    </row>
    <row r="31" spans="1:33" ht="24.75" hidden="1" customHeight="1">
      <c r="A31" s="351"/>
      <c r="B31" s="412"/>
      <c r="C31" s="433"/>
      <c r="D31" s="433"/>
      <c r="E31" s="414"/>
      <c r="F31" s="425"/>
      <c r="G31" s="367"/>
      <c r="H31" s="426"/>
      <c r="I31" s="427"/>
      <c r="J31" s="428"/>
      <c r="K31" s="426"/>
      <c r="L31" s="59"/>
      <c r="M31" s="52"/>
      <c r="N31" s="53"/>
      <c r="O31" s="53"/>
      <c r="P31" s="53"/>
      <c r="Q31" s="53"/>
      <c r="R31" s="66"/>
      <c r="S31" s="68"/>
      <c r="T31" s="70"/>
      <c r="U31" s="434"/>
      <c r="V31" s="435"/>
      <c r="W31" s="354"/>
      <c r="X31" s="351"/>
      <c r="Y31" s="351"/>
      <c r="Z31" s="351"/>
      <c r="AA31" s="351"/>
      <c r="AB31" s="351"/>
      <c r="AC31" s="351"/>
      <c r="AD31" s="351"/>
      <c r="AE31" s="351"/>
      <c r="AF31" s="351"/>
      <c r="AG31" s="7"/>
    </row>
    <row r="32" spans="1:33" ht="24.75" hidden="1" customHeight="1">
      <c r="A32" s="351"/>
      <c r="B32" s="412"/>
      <c r="C32" s="433"/>
      <c r="D32" s="433"/>
      <c r="E32" s="414"/>
      <c r="F32" s="418"/>
      <c r="G32" s="419"/>
      <c r="H32" s="414"/>
      <c r="I32" s="414"/>
      <c r="J32" s="414"/>
      <c r="K32" s="414"/>
      <c r="L32" s="48"/>
      <c r="M32" s="49"/>
      <c r="N32" s="49"/>
      <c r="O32" s="49"/>
      <c r="P32" s="49"/>
      <c r="Q32" s="49"/>
      <c r="R32" s="66"/>
      <c r="S32" s="68"/>
      <c r="T32" s="69"/>
      <c r="U32" s="414"/>
      <c r="V32" s="415"/>
      <c r="W32" s="354"/>
      <c r="X32" s="351"/>
      <c r="Y32" s="351"/>
      <c r="Z32" s="351"/>
      <c r="AA32" s="351"/>
      <c r="AB32" s="351"/>
      <c r="AC32" s="351"/>
      <c r="AD32" s="351"/>
      <c r="AE32" s="351"/>
      <c r="AF32" s="351"/>
      <c r="AG32" s="7"/>
    </row>
    <row r="33" spans="1:33" ht="24.75" hidden="1" customHeight="1">
      <c r="A33" s="351"/>
      <c r="B33" s="412"/>
      <c r="C33" s="433"/>
      <c r="D33" s="433"/>
      <c r="E33" s="414"/>
      <c r="F33" s="420"/>
      <c r="G33" s="421"/>
      <c r="H33" s="422"/>
      <c r="I33" s="422"/>
      <c r="J33" s="422"/>
      <c r="K33" s="422"/>
      <c r="L33" s="48"/>
      <c r="M33" s="51"/>
      <c r="N33" s="51"/>
      <c r="O33" s="51"/>
      <c r="P33" s="51"/>
      <c r="Q33" s="51"/>
      <c r="R33" s="66"/>
      <c r="S33" s="68"/>
      <c r="T33" s="69"/>
      <c r="U33" s="422"/>
      <c r="V33" s="423"/>
      <c r="W33" s="354"/>
      <c r="X33" s="351"/>
      <c r="Y33" s="351"/>
      <c r="Z33" s="351"/>
      <c r="AA33" s="351"/>
      <c r="AB33" s="351"/>
      <c r="AC33" s="351"/>
      <c r="AD33" s="351"/>
      <c r="AE33" s="351"/>
      <c r="AF33" s="351"/>
      <c r="AG33" s="7"/>
    </row>
    <row r="34" spans="1:33" ht="24.75" hidden="1" customHeight="1">
      <c r="A34" s="351"/>
      <c r="B34" s="412"/>
      <c r="C34" s="433"/>
      <c r="D34" s="433"/>
      <c r="E34" s="414"/>
      <c r="F34" s="425"/>
      <c r="G34" s="367"/>
      <c r="H34" s="426"/>
      <c r="I34" s="427"/>
      <c r="J34" s="428"/>
      <c r="K34" s="426"/>
      <c r="L34" s="59"/>
      <c r="M34" s="52"/>
      <c r="N34" s="53"/>
      <c r="O34" s="53"/>
      <c r="P34" s="53"/>
      <c r="Q34" s="53"/>
      <c r="R34" s="66"/>
      <c r="S34" s="68"/>
      <c r="T34" s="70"/>
      <c r="U34" s="434"/>
      <c r="V34" s="435"/>
      <c r="W34" s="354"/>
      <c r="X34" s="351"/>
      <c r="Y34" s="351"/>
      <c r="Z34" s="351"/>
      <c r="AA34" s="351"/>
      <c r="AB34" s="351"/>
      <c r="AC34" s="351"/>
      <c r="AD34" s="351"/>
      <c r="AE34" s="351"/>
      <c r="AF34" s="351"/>
      <c r="AG34" s="7"/>
    </row>
    <row r="35" spans="1:33" ht="24.75" hidden="1" customHeight="1">
      <c r="A35" s="351"/>
      <c r="B35" s="412"/>
      <c r="C35" s="433"/>
      <c r="D35" s="433"/>
      <c r="E35" s="414"/>
      <c r="F35" s="418"/>
      <c r="G35" s="419"/>
      <c r="H35" s="414"/>
      <c r="I35" s="414"/>
      <c r="J35" s="414"/>
      <c r="K35" s="414"/>
      <c r="L35" s="48"/>
      <c r="M35" s="49"/>
      <c r="N35" s="49"/>
      <c r="O35" s="49"/>
      <c r="P35" s="49"/>
      <c r="Q35" s="49"/>
      <c r="R35" s="66"/>
      <c r="S35" s="68"/>
      <c r="T35" s="69"/>
      <c r="U35" s="414"/>
      <c r="V35" s="415"/>
      <c r="W35" s="354"/>
      <c r="X35" s="351"/>
      <c r="Y35" s="351"/>
      <c r="Z35" s="351"/>
      <c r="AA35" s="351"/>
      <c r="AB35" s="351"/>
      <c r="AC35" s="351"/>
      <c r="AD35" s="351"/>
      <c r="AE35" s="351"/>
      <c r="AF35" s="351"/>
      <c r="AG35" s="7"/>
    </row>
    <row r="36" spans="1:33" ht="24.75" hidden="1" customHeight="1">
      <c r="A36" s="351"/>
      <c r="B36" s="398"/>
      <c r="C36" s="436"/>
      <c r="D36" s="436"/>
      <c r="E36" s="399"/>
      <c r="F36" s="430"/>
      <c r="G36" s="431"/>
      <c r="H36" s="399"/>
      <c r="I36" s="399"/>
      <c r="J36" s="399"/>
      <c r="K36" s="399"/>
      <c r="L36" s="61"/>
      <c r="M36" s="62"/>
      <c r="N36" s="62"/>
      <c r="O36" s="62"/>
      <c r="P36" s="62"/>
      <c r="Q36" s="62"/>
      <c r="R36" s="437"/>
      <c r="S36" s="438"/>
      <c r="T36" s="74"/>
      <c r="U36" s="422"/>
      <c r="V36" s="423"/>
      <c r="W36" s="354"/>
      <c r="X36" s="351"/>
      <c r="Y36" s="351"/>
      <c r="Z36" s="351"/>
      <c r="AA36" s="351"/>
      <c r="AB36" s="351"/>
      <c r="AC36" s="351"/>
      <c r="AD36" s="351"/>
      <c r="AE36" s="351"/>
      <c r="AF36" s="351"/>
      <c r="AG36" s="7"/>
    </row>
    <row r="37" spans="1:33" ht="36" customHeight="1">
      <c r="A37" s="351"/>
      <c r="B37" s="295"/>
      <c r="C37" s="375"/>
      <c r="D37" s="375"/>
      <c r="E37" s="375"/>
      <c r="F37" s="375"/>
      <c r="G37" s="375"/>
      <c r="H37" s="375"/>
      <c r="I37" s="375"/>
      <c r="J37" s="375"/>
      <c r="K37" s="375"/>
      <c r="L37" s="375"/>
      <c r="M37" s="375"/>
      <c r="N37" s="375"/>
      <c r="O37" s="375"/>
      <c r="P37" s="375"/>
      <c r="Q37" s="375"/>
      <c r="R37" s="296" t="s">
        <v>65</v>
      </c>
      <c r="S37" s="376"/>
      <c r="T37" s="376"/>
      <c r="U37" s="377"/>
      <c r="V37" s="76" t="e">
        <f>SUM(V19:V27)</f>
        <v>#DIV/0!</v>
      </c>
      <c r="W37" s="354"/>
      <c r="X37" s="351"/>
      <c r="Y37" s="351"/>
      <c r="Z37" s="351"/>
      <c r="AA37" s="351"/>
      <c r="AB37" s="351"/>
      <c r="AC37" s="351"/>
      <c r="AD37" s="351"/>
      <c r="AE37" s="351"/>
      <c r="AF37" s="351"/>
      <c r="AG37" s="7"/>
    </row>
    <row r="38" spans="1:33" ht="20.25" customHeight="1">
      <c r="A38" s="351"/>
      <c r="B38" s="2"/>
      <c r="C38" s="2"/>
      <c r="D38" s="2"/>
      <c r="E38" s="439"/>
      <c r="F38" s="439"/>
      <c r="G38" s="439"/>
      <c r="H38" s="439"/>
      <c r="I38" s="439"/>
      <c r="J38" s="439"/>
      <c r="K38" s="439"/>
      <c r="L38" s="439"/>
      <c r="M38" s="439"/>
      <c r="N38" s="439"/>
      <c r="O38" s="439"/>
      <c r="P38" s="439"/>
      <c r="Q38" s="439"/>
      <c r="R38" s="439"/>
      <c r="S38" s="2"/>
      <c r="T38" s="2"/>
      <c r="U38" s="440"/>
      <c r="V38" s="440"/>
      <c r="W38" s="354"/>
      <c r="X38" s="351"/>
      <c r="Y38" s="351"/>
      <c r="Z38" s="351"/>
      <c r="AA38" s="351"/>
      <c r="AB38" s="351"/>
      <c r="AC38" s="351"/>
      <c r="AD38" s="351"/>
      <c r="AE38" s="351"/>
      <c r="AF38" s="351"/>
      <c r="AG38" s="7"/>
    </row>
    <row r="39" spans="1:33" ht="20.25" customHeight="1">
      <c r="A39" s="351"/>
      <c r="B39" s="441"/>
      <c r="C39" s="441"/>
      <c r="D39" s="441"/>
      <c r="E39" s="2"/>
      <c r="F39" s="2"/>
      <c r="G39" s="441"/>
      <c r="H39" s="441"/>
      <c r="I39" s="441"/>
      <c r="J39" s="441"/>
      <c r="K39" s="441"/>
      <c r="L39" s="441"/>
      <c r="M39" s="441"/>
      <c r="N39" s="441"/>
      <c r="O39" s="441"/>
      <c r="P39" s="441"/>
      <c r="Q39" s="441"/>
      <c r="R39" s="441"/>
      <c r="S39" s="441"/>
      <c r="T39" s="441"/>
      <c r="U39" s="440"/>
      <c r="V39" s="440"/>
      <c r="W39" s="354"/>
      <c r="X39" s="351"/>
      <c r="Y39" s="351"/>
      <c r="Z39" s="351"/>
      <c r="AA39" s="351"/>
      <c r="AB39" s="351"/>
      <c r="AC39" s="351"/>
      <c r="AD39" s="351"/>
      <c r="AE39" s="351"/>
      <c r="AF39" s="351"/>
      <c r="AG39" s="7"/>
    </row>
    <row r="40" spans="1:33" ht="48" customHeight="1">
      <c r="A40" s="351"/>
      <c r="B40" s="297" t="s">
        <v>66</v>
      </c>
      <c r="C40" s="375"/>
      <c r="D40" s="375"/>
      <c r="E40" s="375"/>
      <c r="F40" s="375"/>
      <c r="G40" s="375"/>
      <c r="H40" s="375"/>
      <c r="I40" s="375"/>
      <c r="J40" s="375"/>
      <c r="K40" s="375"/>
      <c r="L40" s="375"/>
      <c r="M40" s="375"/>
      <c r="N40" s="375"/>
      <c r="O40" s="375"/>
      <c r="P40" s="375"/>
      <c r="Q40" s="375"/>
      <c r="R40" s="375"/>
      <c r="S40" s="375"/>
      <c r="T40" s="375"/>
      <c r="U40" s="375"/>
      <c r="V40" s="375"/>
      <c r="W40" s="354"/>
      <c r="X40" s="351"/>
      <c r="Y40" s="351"/>
      <c r="Z40" s="351"/>
      <c r="AA40" s="351"/>
      <c r="AB40" s="351"/>
      <c r="AC40" s="351"/>
      <c r="AD40" s="351"/>
      <c r="AE40" s="351"/>
      <c r="AF40" s="351"/>
      <c r="AG40" s="7"/>
    </row>
    <row r="41" spans="1:33" ht="21.75" customHeight="1">
      <c r="A41" s="351"/>
      <c r="B41" s="442" t="s">
        <v>67</v>
      </c>
      <c r="C41" s="374"/>
      <c r="D41" s="374"/>
      <c r="E41" s="374"/>
      <c r="F41" s="374"/>
      <c r="G41" s="374"/>
      <c r="H41" s="374"/>
      <c r="I41" s="374"/>
      <c r="J41" s="374"/>
      <c r="K41" s="374"/>
      <c r="L41" s="374"/>
      <c r="M41" s="374"/>
      <c r="N41" s="374"/>
      <c r="O41" s="374"/>
      <c r="P41" s="374"/>
      <c r="Q41" s="374"/>
      <c r="R41" s="386"/>
      <c r="S41" s="442" t="s">
        <v>12</v>
      </c>
      <c r="T41" s="374"/>
      <c r="U41" s="374"/>
      <c r="V41" s="386"/>
      <c r="W41" s="354"/>
      <c r="X41" s="351"/>
      <c r="Y41" s="351"/>
      <c r="Z41" s="351"/>
      <c r="AA41" s="351"/>
      <c r="AB41" s="351"/>
      <c r="AC41" s="351"/>
      <c r="AD41" s="351"/>
      <c r="AE41" s="351"/>
      <c r="AF41" s="351"/>
      <c r="AG41" s="7"/>
    </row>
    <row r="42" spans="1:33" ht="102" customHeight="1">
      <c r="A42" s="394"/>
      <c r="B42" s="443" t="s">
        <v>68</v>
      </c>
      <c r="C42" s="374"/>
      <c r="D42" s="374"/>
      <c r="E42" s="386"/>
      <c r="F42" s="443" t="s">
        <v>69</v>
      </c>
      <c r="G42" s="386"/>
      <c r="H42" s="444" t="s">
        <v>15</v>
      </c>
      <c r="I42" s="444" t="s">
        <v>16</v>
      </c>
      <c r="J42" s="302" t="s">
        <v>70</v>
      </c>
      <c r="K42" s="377"/>
      <c r="L42" s="384" t="s">
        <v>18</v>
      </c>
      <c r="M42" s="303" t="s">
        <v>71</v>
      </c>
      <c r="N42" s="376"/>
      <c r="O42" s="376"/>
      <c r="P42" s="376"/>
      <c r="Q42" s="377"/>
      <c r="R42" s="315" t="s">
        <v>20</v>
      </c>
      <c r="S42" s="316" t="s">
        <v>72</v>
      </c>
      <c r="T42" s="316" t="s">
        <v>22</v>
      </c>
      <c r="U42" s="384" t="s">
        <v>23</v>
      </c>
      <c r="V42" s="384" t="s">
        <v>24</v>
      </c>
      <c r="W42" s="401"/>
      <c r="X42" s="394"/>
      <c r="Y42" s="394"/>
      <c r="Z42" s="394"/>
      <c r="AA42" s="394"/>
      <c r="AB42" s="394"/>
      <c r="AC42" s="394"/>
      <c r="AD42" s="394"/>
      <c r="AE42" s="394"/>
      <c r="AF42" s="394"/>
      <c r="AG42" s="80"/>
    </row>
    <row r="43" spans="1:33" ht="33" customHeight="1">
      <c r="A43" s="351"/>
      <c r="B43" s="393"/>
      <c r="C43" s="353"/>
      <c r="D43" s="353"/>
      <c r="E43" s="382"/>
      <c r="F43" s="393"/>
      <c r="G43" s="382"/>
      <c r="H43" s="389"/>
      <c r="I43" s="389"/>
      <c r="J43" s="83" t="s">
        <v>73</v>
      </c>
      <c r="K43" s="83" t="s">
        <v>28</v>
      </c>
      <c r="L43" s="389"/>
      <c r="M43" s="83" t="s">
        <v>29</v>
      </c>
      <c r="N43" s="83" t="s">
        <v>30</v>
      </c>
      <c r="O43" s="83" t="s">
        <v>31</v>
      </c>
      <c r="P43" s="83" t="s">
        <v>32</v>
      </c>
      <c r="Q43" s="83" t="s">
        <v>33</v>
      </c>
      <c r="R43" s="382"/>
      <c r="S43" s="393"/>
      <c r="T43" s="397"/>
      <c r="U43" s="395"/>
      <c r="V43" s="395"/>
      <c r="W43" s="354"/>
      <c r="X43" s="351"/>
      <c r="Y43" s="351"/>
      <c r="Z43" s="351"/>
      <c r="AA43" s="351"/>
      <c r="AB43" s="351"/>
      <c r="AC43" s="351"/>
      <c r="AD43" s="351"/>
      <c r="AE43" s="351"/>
      <c r="AF43" s="351"/>
      <c r="AG43" s="7"/>
    </row>
    <row r="44" spans="1:33" ht="16.5" customHeight="1">
      <c r="A44" s="445"/>
      <c r="B44" s="279"/>
      <c r="C44" s="446"/>
      <c r="D44" s="446"/>
      <c r="E44" s="447"/>
      <c r="F44" s="280"/>
      <c r="G44" s="447"/>
      <c r="H44" s="281"/>
      <c r="I44" s="282"/>
      <c r="J44" s="283"/>
      <c r="K44" s="284"/>
      <c r="L44" s="85" t="s">
        <v>42</v>
      </c>
      <c r="M44" s="86"/>
      <c r="N44" s="86"/>
      <c r="O44" s="86"/>
      <c r="P44" s="86"/>
      <c r="Q44" s="86"/>
      <c r="R44" s="313"/>
      <c r="S44" s="314"/>
      <c r="T44" s="448"/>
      <c r="U44" s="308" t="e">
        <f>AVERAGE(T44:T46)</f>
        <v>#DIV/0!</v>
      </c>
      <c r="V44" s="449" t="e">
        <f>U44*I44</f>
        <v>#DIV/0!</v>
      </c>
      <c r="W44" s="450"/>
      <c r="X44" s="445"/>
      <c r="Y44" s="445"/>
      <c r="Z44" s="445"/>
      <c r="AA44" s="445"/>
      <c r="AB44" s="445"/>
      <c r="AC44" s="445"/>
      <c r="AD44" s="445"/>
      <c r="AE44" s="445"/>
      <c r="AF44" s="445"/>
      <c r="AG44" s="87"/>
    </row>
    <row r="45" spans="1:33" ht="16.5" customHeight="1">
      <c r="A45" s="445"/>
      <c r="B45" s="393"/>
      <c r="C45" s="375"/>
      <c r="D45" s="375"/>
      <c r="E45" s="419"/>
      <c r="F45" s="418"/>
      <c r="G45" s="419"/>
      <c r="H45" s="414"/>
      <c r="I45" s="414"/>
      <c r="J45" s="414"/>
      <c r="K45" s="414"/>
      <c r="L45" s="88" t="s">
        <v>49</v>
      </c>
      <c r="M45" s="89"/>
      <c r="N45" s="89"/>
      <c r="O45" s="89"/>
      <c r="P45" s="89"/>
      <c r="Q45" s="89"/>
      <c r="R45" s="414"/>
      <c r="S45" s="414"/>
      <c r="T45" s="90"/>
      <c r="U45" s="414"/>
      <c r="V45" s="415"/>
      <c r="W45" s="450"/>
      <c r="X45" s="445"/>
      <c r="Y45" s="445"/>
      <c r="Z45" s="445"/>
      <c r="AA45" s="445"/>
      <c r="AB45" s="445"/>
      <c r="AC45" s="445"/>
      <c r="AD45" s="445"/>
      <c r="AE45" s="445"/>
      <c r="AF45" s="445"/>
      <c r="AG45" s="87"/>
    </row>
    <row r="46" spans="1:33" ht="15" customHeight="1">
      <c r="A46" s="445"/>
      <c r="B46" s="393"/>
      <c r="C46" s="375"/>
      <c r="D46" s="375"/>
      <c r="E46" s="419"/>
      <c r="F46" s="420"/>
      <c r="G46" s="421"/>
      <c r="H46" s="422"/>
      <c r="I46" s="422"/>
      <c r="J46" s="422"/>
      <c r="K46" s="422"/>
      <c r="L46" s="88" t="s">
        <v>56</v>
      </c>
      <c r="M46" s="89"/>
      <c r="N46" s="89"/>
      <c r="O46" s="89"/>
      <c r="P46" s="89"/>
      <c r="Q46" s="89"/>
      <c r="R46" s="422"/>
      <c r="S46" s="422"/>
      <c r="T46" s="90"/>
      <c r="U46" s="422"/>
      <c r="V46" s="423"/>
      <c r="W46" s="450"/>
      <c r="X46" s="445"/>
      <c r="Y46" s="445"/>
      <c r="Z46" s="445"/>
      <c r="AA46" s="445"/>
      <c r="AB46" s="445"/>
      <c r="AC46" s="445"/>
      <c r="AD46" s="445"/>
      <c r="AE46" s="445"/>
      <c r="AF46" s="445"/>
      <c r="AG46" s="87"/>
    </row>
    <row r="47" spans="1:33" ht="15" customHeight="1">
      <c r="A47" s="451"/>
      <c r="B47" s="393"/>
      <c r="C47" s="375"/>
      <c r="D47" s="375"/>
      <c r="E47" s="419"/>
      <c r="F47" s="452"/>
      <c r="G47" s="367"/>
      <c r="H47" s="453"/>
      <c r="I47" s="454"/>
      <c r="J47" s="455"/>
      <c r="K47" s="456"/>
      <c r="L47" s="88" t="s">
        <v>42</v>
      </c>
      <c r="M47" s="89"/>
      <c r="N47" s="89"/>
      <c r="O47" s="89"/>
      <c r="P47" s="89"/>
      <c r="Q47" s="89"/>
      <c r="R47" s="457"/>
      <c r="S47" s="458"/>
      <c r="T47" s="90"/>
      <c r="U47" s="459" t="e">
        <f>AVERAGE(T47:T49)</f>
        <v>#DIV/0!</v>
      </c>
      <c r="V47" s="460" t="e">
        <f>U47*I47</f>
        <v>#DIV/0!</v>
      </c>
      <c r="W47" s="450"/>
      <c r="X47" s="445"/>
      <c r="Y47" s="445"/>
      <c r="Z47" s="445"/>
      <c r="AA47" s="445"/>
      <c r="AB47" s="445"/>
      <c r="AC47" s="445"/>
      <c r="AD47" s="445"/>
      <c r="AE47" s="445"/>
      <c r="AF47" s="445"/>
      <c r="AG47" s="87"/>
    </row>
    <row r="48" spans="1:33" ht="12.75" customHeight="1">
      <c r="A48" s="445"/>
      <c r="B48" s="393"/>
      <c r="C48" s="375"/>
      <c r="D48" s="375"/>
      <c r="E48" s="419"/>
      <c r="F48" s="418"/>
      <c r="G48" s="419"/>
      <c r="H48" s="414"/>
      <c r="I48" s="414"/>
      <c r="J48" s="414"/>
      <c r="K48" s="414"/>
      <c r="L48" s="88" t="s">
        <v>49</v>
      </c>
      <c r="M48" s="89"/>
      <c r="N48" s="89"/>
      <c r="O48" s="89"/>
      <c r="P48" s="89"/>
      <c r="Q48" s="89"/>
      <c r="R48" s="414"/>
      <c r="S48" s="414"/>
      <c r="T48" s="90"/>
      <c r="U48" s="414"/>
      <c r="V48" s="415"/>
      <c r="W48" s="450"/>
      <c r="X48" s="445"/>
      <c r="Y48" s="445"/>
      <c r="Z48" s="445"/>
      <c r="AA48" s="445"/>
      <c r="AB48" s="445"/>
      <c r="AC48" s="445"/>
      <c r="AD48" s="445"/>
      <c r="AE48" s="445"/>
      <c r="AF48" s="445"/>
      <c r="AG48" s="87"/>
    </row>
    <row r="49" spans="1:33" ht="12.75" customHeight="1">
      <c r="A49" s="445"/>
      <c r="B49" s="393"/>
      <c r="C49" s="375"/>
      <c r="D49" s="375"/>
      <c r="E49" s="419"/>
      <c r="F49" s="420"/>
      <c r="G49" s="421"/>
      <c r="H49" s="422"/>
      <c r="I49" s="422"/>
      <c r="J49" s="422"/>
      <c r="K49" s="422"/>
      <c r="L49" s="88" t="s">
        <v>56</v>
      </c>
      <c r="M49" s="89"/>
      <c r="N49" s="89"/>
      <c r="O49" s="89"/>
      <c r="P49" s="89"/>
      <c r="Q49" s="89"/>
      <c r="R49" s="422"/>
      <c r="S49" s="422"/>
      <c r="T49" s="90"/>
      <c r="U49" s="422"/>
      <c r="V49" s="423"/>
      <c r="W49" s="450"/>
      <c r="X49" s="445"/>
      <c r="Y49" s="445"/>
      <c r="Z49" s="445"/>
      <c r="AA49" s="445"/>
      <c r="AB49" s="445"/>
      <c r="AC49" s="445"/>
      <c r="AD49" s="445"/>
      <c r="AE49" s="445"/>
      <c r="AF49" s="445"/>
      <c r="AG49" s="87"/>
    </row>
    <row r="50" spans="1:33" ht="15" customHeight="1">
      <c r="A50" s="445"/>
      <c r="B50" s="393"/>
      <c r="C50" s="375"/>
      <c r="D50" s="375"/>
      <c r="E50" s="419"/>
      <c r="F50" s="452"/>
      <c r="G50" s="367"/>
      <c r="H50" s="453"/>
      <c r="I50" s="454"/>
      <c r="J50" s="455"/>
      <c r="K50" s="456"/>
      <c r="L50" s="88" t="s">
        <v>42</v>
      </c>
      <c r="M50" s="89"/>
      <c r="N50" s="89"/>
      <c r="O50" s="89"/>
      <c r="P50" s="89"/>
      <c r="Q50" s="89"/>
      <c r="R50" s="457"/>
      <c r="S50" s="458"/>
      <c r="T50" s="90"/>
      <c r="U50" s="459" t="e">
        <f>AVERAGE(T50:T52)</f>
        <v>#DIV/0!</v>
      </c>
      <c r="V50" s="460" t="e">
        <f>U50*I50</f>
        <v>#DIV/0!</v>
      </c>
      <c r="W50" s="450"/>
      <c r="X50" s="445"/>
      <c r="Y50" s="445"/>
      <c r="Z50" s="445"/>
      <c r="AA50" s="445"/>
      <c r="AB50" s="445"/>
      <c r="AC50" s="445"/>
      <c r="AD50" s="445"/>
      <c r="AE50" s="445"/>
      <c r="AF50" s="445"/>
      <c r="AG50" s="87"/>
    </row>
    <row r="51" spans="1:33" ht="12.75" customHeight="1">
      <c r="A51" s="445"/>
      <c r="B51" s="393"/>
      <c r="C51" s="375"/>
      <c r="D51" s="375"/>
      <c r="E51" s="419"/>
      <c r="F51" s="418"/>
      <c r="G51" s="419"/>
      <c r="H51" s="414"/>
      <c r="I51" s="414"/>
      <c r="J51" s="414"/>
      <c r="K51" s="414"/>
      <c r="L51" s="88" t="s">
        <v>49</v>
      </c>
      <c r="M51" s="89"/>
      <c r="N51" s="89"/>
      <c r="O51" s="89"/>
      <c r="P51" s="89"/>
      <c r="Q51" s="89"/>
      <c r="R51" s="414"/>
      <c r="S51" s="414"/>
      <c r="T51" s="90"/>
      <c r="U51" s="414"/>
      <c r="V51" s="415"/>
      <c r="W51" s="450"/>
      <c r="X51" s="445"/>
      <c r="Y51" s="445"/>
      <c r="Z51" s="445"/>
      <c r="AA51" s="445"/>
      <c r="AB51" s="445"/>
      <c r="AC51" s="445"/>
      <c r="AD51" s="445"/>
      <c r="AE51" s="445"/>
      <c r="AF51" s="445"/>
      <c r="AG51" s="87"/>
    </row>
    <row r="52" spans="1:33" ht="16.5" customHeight="1">
      <c r="A52" s="445"/>
      <c r="B52" s="397"/>
      <c r="C52" s="357"/>
      <c r="D52" s="357"/>
      <c r="E52" s="431"/>
      <c r="F52" s="430"/>
      <c r="G52" s="431"/>
      <c r="H52" s="399"/>
      <c r="I52" s="399"/>
      <c r="J52" s="399"/>
      <c r="K52" s="399"/>
      <c r="L52" s="96" t="s">
        <v>56</v>
      </c>
      <c r="M52" s="97"/>
      <c r="N52" s="97"/>
      <c r="O52" s="97"/>
      <c r="P52" s="97"/>
      <c r="Q52" s="97"/>
      <c r="R52" s="399"/>
      <c r="S52" s="399"/>
      <c r="T52" s="90"/>
      <c r="U52" s="422"/>
      <c r="V52" s="423"/>
      <c r="W52" s="450"/>
      <c r="X52" s="445"/>
      <c r="Y52" s="445"/>
      <c r="Z52" s="445"/>
      <c r="AA52" s="445"/>
      <c r="AB52" s="445"/>
      <c r="AC52" s="445"/>
      <c r="AD52" s="445"/>
      <c r="AE52" s="445"/>
      <c r="AF52" s="445"/>
      <c r="AG52" s="87"/>
    </row>
    <row r="53" spans="1:33" ht="24.75" hidden="1" customHeight="1">
      <c r="A53" s="351"/>
      <c r="B53" s="461"/>
      <c r="C53" s="374"/>
      <c r="D53" s="374"/>
      <c r="E53" s="417"/>
      <c r="F53" s="274"/>
      <c r="G53" s="417"/>
      <c r="H53" s="275"/>
      <c r="I53" s="276"/>
      <c r="J53" s="285"/>
      <c r="K53" s="286"/>
      <c r="L53" s="98"/>
      <c r="M53" s="99"/>
      <c r="N53" s="99"/>
      <c r="O53" s="99"/>
      <c r="P53" s="99"/>
      <c r="Q53" s="99"/>
      <c r="R53" s="100"/>
      <c r="S53" s="101"/>
      <c r="T53" s="462"/>
      <c r="U53" s="463"/>
      <c r="V53" s="464"/>
      <c r="W53" s="354"/>
      <c r="X53" s="351"/>
      <c r="Y53" s="351"/>
      <c r="Z53" s="351"/>
      <c r="AA53" s="351"/>
      <c r="AB53" s="351"/>
      <c r="AC53" s="351"/>
      <c r="AD53" s="351"/>
      <c r="AE53" s="351"/>
      <c r="AF53" s="351"/>
      <c r="AG53" s="7"/>
    </row>
    <row r="54" spans="1:33" ht="24.75" hidden="1" customHeight="1">
      <c r="A54" s="351"/>
      <c r="B54" s="393"/>
      <c r="C54" s="375"/>
      <c r="D54" s="375"/>
      <c r="E54" s="419"/>
      <c r="F54" s="418"/>
      <c r="G54" s="419"/>
      <c r="H54" s="414"/>
      <c r="I54" s="414"/>
      <c r="J54" s="414"/>
      <c r="K54" s="414"/>
      <c r="L54" s="102"/>
      <c r="M54" s="49"/>
      <c r="N54" s="49"/>
      <c r="O54" s="49"/>
      <c r="P54" s="49"/>
      <c r="Q54" s="49"/>
      <c r="R54" s="103"/>
      <c r="S54" s="104"/>
      <c r="T54" s="103"/>
      <c r="U54" s="414"/>
      <c r="V54" s="415"/>
      <c r="W54" s="354"/>
      <c r="X54" s="351"/>
      <c r="Y54" s="351"/>
      <c r="Z54" s="351"/>
      <c r="AA54" s="351"/>
      <c r="AB54" s="351"/>
      <c r="AC54" s="351"/>
      <c r="AD54" s="351"/>
      <c r="AE54" s="351"/>
      <c r="AF54" s="351"/>
      <c r="AG54" s="7"/>
    </row>
    <row r="55" spans="1:33" ht="24.75" hidden="1" customHeight="1">
      <c r="A55" s="351"/>
      <c r="B55" s="393"/>
      <c r="C55" s="375"/>
      <c r="D55" s="375"/>
      <c r="E55" s="419"/>
      <c r="F55" s="420"/>
      <c r="G55" s="421"/>
      <c r="H55" s="422"/>
      <c r="I55" s="422"/>
      <c r="J55" s="422"/>
      <c r="K55" s="422"/>
      <c r="L55" s="102"/>
      <c r="M55" s="49"/>
      <c r="N55" s="49"/>
      <c r="O55" s="49"/>
      <c r="P55" s="49"/>
      <c r="Q55" s="49"/>
      <c r="R55" s="103"/>
      <c r="S55" s="104"/>
      <c r="T55" s="103"/>
      <c r="U55" s="422"/>
      <c r="V55" s="423"/>
      <c r="W55" s="354"/>
      <c r="X55" s="351"/>
      <c r="Y55" s="351"/>
      <c r="Z55" s="351"/>
      <c r="AA55" s="351"/>
      <c r="AB55" s="351"/>
      <c r="AC55" s="351"/>
      <c r="AD55" s="351"/>
      <c r="AE55" s="351"/>
      <c r="AF55" s="351"/>
      <c r="AG55" s="7"/>
    </row>
    <row r="56" spans="1:33" ht="24.75" hidden="1" customHeight="1">
      <c r="A56" s="351"/>
      <c r="B56" s="393"/>
      <c r="C56" s="375"/>
      <c r="D56" s="375"/>
      <c r="E56" s="419"/>
      <c r="F56" s="465"/>
      <c r="G56" s="367"/>
      <c r="H56" s="466"/>
      <c r="I56" s="467"/>
      <c r="J56" s="468"/>
      <c r="K56" s="469"/>
      <c r="L56" s="102"/>
      <c r="M56" s="103"/>
      <c r="N56" s="103"/>
      <c r="O56" s="103"/>
      <c r="P56" s="103"/>
      <c r="Q56" s="103"/>
      <c r="R56" s="103"/>
      <c r="S56" s="104"/>
      <c r="T56" s="103"/>
      <c r="U56" s="463"/>
      <c r="V56" s="470"/>
      <c r="W56" s="354"/>
      <c r="X56" s="351"/>
      <c r="Y56" s="351"/>
      <c r="Z56" s="351"/>
      <c r="AA56" s="351"/>
      <c r="AB56" s="351"/>
      <c r="AC56" s="351"/>
      <c r="AD56" s="351"/>
      <c r="AE56" s="351"/>
      <c r="AF56" s="351"/>
      <c r="AG56" s="7"/>
    </row>
    <row r="57" spans="1:33" ht="24.75" hidden="1" customHeight="1">
      <c r="A57" s="351"/>
      <c r="B57" s="393"/>
      <c r="C57" s="375"/>
      <c r="D57" s="375"/>
      <c r="E57" s="419"/>
      <c r="F57" s="418"/>
      <c r="G57" s="419"/>
      <c r="H57" s="414"/>
      <c r="I57" s="414"/>
      <c r="J57" s="414"/>
      <c r="K57" s="414"/>
      <c r="L57" s="102"/>
      <c r="M57" s="103"/>
      <c r="N57" s="103"/>
      <c r="O57" s="103"/>
      <c r="P57" s="103"/>
      <c r="Q57" s="103"/>
      <c r="R57" s="103"/>
      <c r="S57" s="104"/>
      <c r="T57" s="103"/>
      <c r="U57" s="414"/>
      <c r="V57" s="415"/>
      <c r="W57" s="354"/>
      <c r="X57" s="351"/>
      <c r="Y57" s="351"/>
      <c r="Z57" s="351"/>
      <c r="AA57" s="351"/>
      <c r="AB57" s="351"/>
      <c r="AC57" s="351"/>
      <c r="AD57" s="351"/>
      <c r="AE57" s="351"/>
      <c r="AF57" s="351"/>
      <c r="AG57" s="7"/>
    </row>
    <row r="58" spans="1:33" ht="24.75" hidden="1" customHeight="1">
      <c r="A58" s="351"/>
      <c r="B58" s="393"/>
      <c r="C58" s="375"/>
      <c r="D58" s="375"/>
      <c r="E58" s="419"/>
      <c r="F58" s="420"/>
      <c r="G58" s="421"/>
      <c r="H58" s="422"/>
      <c r="I58" s="422"/>
      <c r="J58" s="422"/>
      <c r="K58" s="422"/>
      <c r="L58" s="102"/>
      <c r="M58" s="103"/>
      <c r="N58" s="103"/>
      <c r="O58" s="103"/>
      <c r="P58" s="103"/>
      <c r="Q58" s="103"/>
      <c r="R58" s="103"/>
      <c r="S58" s="104"/>
      <c r="T58" s="103"/>
      <c r="U58" s="422"/>
      <c r="V58" s="423"/>
      <c r="W58" s="354"/>
      <c r="X58" s="351"/>
      <c r="Y58" s="351"/>
      <c r="Z58" s="351"/>
      <c r="AA58" s="351"/>
      <c r="AB58" s="351"/>
      <c r="AC58" s="351"/>
      <c r="AD58" s="351"/>
      <c r="AE58" s="351"/>
      <c r="AF58" s="351"/>
      <c r="AG58" s="7"/>
    </row>
    <row r="59" spans="1:33" ht="24.75" hidden="1" customHeight="1">
      <c r="A59" s="351"/>
      <c r="B59" s="393"/>
      <c r="C59" s="375"/>
      <c r="D59" s="375"/>
      <c r="E59" s="419"/>
      <c r="F59" s="465"/>
      <c r="G59" s="367"/>
      <c r="H59" s="466"/>
      <c r="I59" s="467"/>
      <c r="J59" s="468"/>
      <c r="K59" s="469"/>
      <c r="L59" s="102"/>
      <c r="M59" s="103"/>
      <c r="N59" s="103"/>
      <c r="O59" s="103"/>
      <c r="P59" s="103"/>
      <c r="Q59" s="103"/>
      <c r="R59" s="103"/>
      <c r="S59" s="104"/>
      <c r="T59" s="103"/>
      <c r="U59" s="463"/>
      <c r="V59" s="470"/>
      <c r="W59" s="354"/>
      <c r="X59" s="351"/>
      <c r="Y59" s="351"/>
      <c r="Z59" s="351"/>
      <c r="AA59" s="351"/>
      <c r="AB59" s="351"/>
      <c r="AC59" s="351"/>
      <c r="AD59" s="351"/>
      <c r="AE59" s="351"/>
      <c r="AF59" s="351"/>
      <c r="AG59" s="7"/>
    </row>
    <row r="60" spans="1:33" ht="24.75" hidden="1" customHeight="1">
      <c r="A60" s="351"/>
      <c r="B60" s="393"/>
      <c r="C60" s="375"/>
      <c r="D60" s="375"/>
      <c r="E60" s="419"/>
      <c r="F60" s="418"/>
      <c r="G60" s="419"/>
      <c r="H60" s="414"/>
      <c r="I60" s="414"/>
      <c r="J60" s="414"/>
      <c r="K60" s="414"/>
      <c r="L60" s="102"/>
      <c r="M60" s="103"/>
      <c r="N60" s="103"/>
      <c r="O60" s="103"/>
      <c r="P60" s="103"/>
      <c r="Q60" s="103"/>
      <c r="R60" s="103"/>
      <c r="S60" s="104"/>
      <c r="T60" s="103"/>
      <c r="U60" s="414"/>
      <c r="V60" s="415"/>
      <c r="W60" s="354"/>
      <c r="X60" s="351"/>
      <c r="Y60" s="351"/>
      <c r="Z60" s="351"/>
      <c r="AA60" s="351"/>
      <c r="AB60" s="351"/>
      <c r="AC60" s="351"/>
      <c r="AD60" s="351"/>
      <c r="AE60" s="351"/>
      <c r="AF60" s="351"/>
      <c r="AG60" s="7"/>
    </row>
    <row r="61" spans="1:33" ht="24.75" hidden="1" customHeight="1">
      <c r="A61" s="351"/>
      <c r="B61" s="397"/>
      <c r="C61" s="357"/>
      <c r="D61" s="357"/>
      <c r="E61" s="431"/>
      <c r="F61" s="430"/>
      <c r="G61" s="431"/>
      <c r="H61" s="399"/>
      <c r="I61" s="399"/>
      <c r="J61" s="399"/>
      <c r="K61" s="399"/>
      <c r="L61" s="471"/>
      <c r="M61" s="472"/>
      <c r="N61" s="472"/>
      <c r="O61" s="472"/>
      <c r="P61" s="472"/>
      <c r="Q61" s="472"/>
      <c r="R61" s="472"/>
      <c r="S61" s="473"/>
      <c r="T61" s="472"/>
      <c r="U61" s="399"/>
      <c r="V61" s="415"/>
      <c r="W61" s="354"/>
      <c r="X61" s="351"/>
      <c r="Y61" s="351"/>
      <c r="Z61" s="351"/>
      <c r="AA61" s="351"/>
      <c r="AB61" s="351"/>
      <c r="AC61" s="351"/>
      <c r="AD61" s="351"/>
      <c r="AE61" s="351"/>
      <c r="AF61" s="351"/>
      <c r="AG61" s="7"/>
    </row>
    <row r="62" spans="1:33" ht="24.75" hidden="1" customHeight="1">
      <c r="A62" s="351"/>
      <c r="B62" s="474"/>
      <c r="C62" s="374"/>
      <c r="D62" s="374"/>
      <c r="E62" s="417"/>
      <c r="F62" s="274"/>
      <c r="G62" s="417"/>
      <c r="H62" s="277"/>
      <c r="I62" s="276"/>
      <c r="J62" s="277"/>
      <c r="K62" s="278"/>
      <c r="L62" s="98"/>
      <c r="M62" s="100"/>
      <c r="N62" s="100"/>
      <c r="O62" s="100"/>
      <c r="P62" s="100"/>
      <c r="Q62" s="100"/>
      <c r="R62" s="100"/>
      <c r="S62" s="101"/>
      <c r="T62" s="100"/>
      <c r="U62" s="101"/>
      <c r="V62" s="106"/>
      <c r="W62" s="354"/>
      <c r="X62" s="351"/>
      <c r="Y62" s="351"/>
      <c r="Z62" s="351"/>
      <c r="AA62" s="351"/>
      <c r="AB62" s="351"/>
      <c r="AC62" s="351"/>
      <c r="AD62" s="351"/>
      <c r="AE62" s="351"/>
      <c r="AF62" s="351"/>
      <c r="AG62" s="7"/>
    </row>
    <row r="63" spans="1:33" ht="24.75" hidden="1" customHeight="1">
      <c r="A63" s="351"/>
      <c r="B63" s="393"/>
      <c r="C63" s="375"/>
      <c r="D63" s="375"/>
      <c r="E63" s="419"/>
      <c r="F63" s="418"/>
      <c r="G63" s="419"/>
      <c r="H63" s="414"/>
      <c r="I63" s="414"/>
      <c r="J63" s="414"/>
      <c r="K63" s="414"/>
      <c r="L63" s="102"/>
      <c r="M63" s="103"/>
      <c r="N63" s="103"/>
      <c r="O63" s="103"/>
      <c r="P63" s="103"/>
      <c r="Q63" s="103"/>
      <c r="R63" s="103"/>
      <c r="S63" s="104"/>
      <c r="T63" s="103"/>
      <c r="U63" s="104"/>
      <c r="V63" s="107"/>
      <c r="W63" s="354"/>
      <c r="X63" s="351"/>
      <c r="Y63" s="351"/>
      <c r="Z63" s="351"/>
      <c r="AA63" s="351"/>
      <c r="AB63" s="351"/>
      <c r="AC63" s="351"/>
      <c r="AD63" s="351"/>
      <c r="AE63" s="351"/>
      <c r="AF63" s="351"/>
      <c r="AG63" s="7"/>
    </row>
    <row r="64" spans="1:33" ht="24.75" hidden="1" customHeight="1">
      <c r="A64" s="351"/>
      <c r="B64" s="393"/>
      <c r="C64" s="375"/>
      <c r="D64" s="375"/>
      <c r="E64" s="419"/>
      <c r="F64" s="420"/>
      <c r="G64" s="421"/>
      <c r="H64" s="422"/>
      <c r="I64" s="422"/>
      <c r="J64" s="422"/>
      <c r="K64" s="422"/>
      <c r="L64" s="102"/>
      <c r="M64" s="103"/>
      <c r="N64" s="103"/>
      <c r="O64" s="103"/>
      <c r="P64" s="103"/>
      <c r="Q64" s="103"/>
      <c r="R64" s="103"/>
      <c r="S64" s="104"/>
      <c r="T64" s="103"/>
      <c r="U64" s="104"/>
      <c r="V64" s="107"/>
      <c r="W64" s="354"/>
      <c r="X64" s="351"/>
      <c r="Y64" s="351"/>
      <c r="Z64" s="351"/>
      <c r="AA64" s="351"/>
      <c r="AB64" s="351"/>
      <c r="AC64" s="351"/>
      <c r="AD64" s="351"/>
      <c r="AE64" s="351"/>
      <c r="AF64" s="351"/>
      <c r="AG64" s="7"/>
    </row>
    <row r="65" spans="1:33" ht="24.75" hidden="1" customHeight="1">
      <c r="A65" s="351"/>
      <c r="B65" s="393"/>
      <c r="C65" s="375"/>
      <c r="D65" s="375"/>
      <c r="E65" s="419"/>
      <c r="F65" s="465"/>
      <c r="G65" s="367"/>
      <c r="H65" s="468"/>
      <c r="I65" s="467"/>
      <c r="J65" s="468"/>
      <c r="K65" s="469"/>
      <c r="L65" s="102"/>
      <c r="M65" s="103"/>
      <c r="N65" s="103"/>
      <c r="O65" s="103"/>
      <c r="P65" s="103"/>
      <c r="Q65" s="103"/>
      <c r="R65" s="103"/>
      <c r="S65" s="104"/>
      <c r="T65" s="103"/>
      <c r="U65" s="104"/>
      <c r="V65" s="107"/>
      <c r="W65" s="354"/>
      <c r="X65" s="351"/>
      <c r="Y65" s="351"/>
      <c r="Z65" s="351"/>
      <c r="AA65" s="351"/>
      <c r="AB65" s="351"/>
      <c r="AC65" s="351"/>
      <c r="AD65" s="351"/>
      <c r="AE65" s="351"/>
      <c r="AF65" s="351"/>
      <c r="AG65" s="7"/>
    </row>
    <row r="66" spans="1:33" ht="24.75" hidden="1" customHeight="1">
      <c r="A66" s="351"/>
      <c r="B66" s="393"/>
      <c r="C66" s="375"/>
      <c r="D66" s="375"/>
      <c r="E66" s="419"/>
      <c r="F66" s="418"/>
      <c r="G66" s="419"/>
      <c r="H66" s="414"/>
      <c r="I66" s="414"/>
      <c r="J66" s="414"/>
      <c r="K66" s="414"/>
      <c r="L66" s="102"/>
      <c r="M66" s="103"/>
      <c r="N66" s="103"/>
      <c r="O66" s="103"/>
      <c r="P66" s="103"/>
      <c r="Q66" s="103"/>
      <c r="R66" s="103"/>
      <c r="S66" s="104"/>
      <c r="T66" s="103"/>
      <c r="U66" s="104"/>
      <c r="V66" s="107"/>
      <c r="W66" s="354"/>
      <c r="X66" s="351"/>
      <c r="Y66" s="351"/>
      <c r="Z66" s="351"/>
      <c r="AA66" s="351"/>
      <c r="AB66" s="351"/>
      <c r="AC66" s="351"/>
      <c r="AD66" s="351"/>
      <c r="AE66" s="351"/>
      <c r="AF66" s="351"/>
      <c r="AG66" s="7"/>
    </row>
    <row r="67" spans="1:33" ht="24.75" hidden="1" customHeight="1">
      <c r="A67" s="351"/>
      <c r="B67" s="393"/>
      <c r="C67" s="375"/>
      <c r="D67" s="375"/>
      <c r="E67" s="419"/>
      <c r="F67" s="420"/>
      <c r="G67" s="421"/>
      <c r="H67" s="422"/>
      <c r="I67" s="422"/>
      <c r="J67" s="422"/>
      <c r="K67" s="422"/>
      <c r="L67" s="102"/>
      <c r="M67" s="103"/>
      <c r="N67" s="103"/>
      <c r="O67" s="103"/>
      <c r="P67" s="103"/>
      <c r="Q67" s="103"/>
      <c r="R67" s="103"/>
      <c r="S67" s="104"/>
      <c r="T67" s="103"/>
      <c r="U67" s="104"/>
      <c r="V67" s="107"/>
      <c r="W67" s="354"/>
      <c r="X67" s="351"/>
      <c r="Y67" s="351"/>
      <c r="Z67" s="351"/>
      <c r="AA67" s="351"/>
      <c r="AB67" s="351"/>
      <c r="AC67" s="351"/>
      <c r="AD67" s="351"/>
      <c r="AE67" s="351"/>
      <c r="AF67" s="351"/>
      <c r="AG67" s="7"/>
    </row>
    <row r="68" spans="1:33" ht="24.75" hidden="1" customHeight="1">
      <c r="A68" s="351"/>
      <c r="B68" s="393"/>
      <c r="C68" s="375"/>
      <c r="D68" s="375"/>
      <c r="E68" s="419"/>
      <c r="F68" s="465"/>
      <c r="G68" s="367"/>
      <c r="H68" s="468"/>
      <c r="I68" s="467"/>
      <c r="J68" s="468"/>
      <c r="K68" s="469"/>
      <c r="L68" s="102"/>
      <c r="M68" s="103"/>
      <c r="N68" s="103"/>
      <c r="O68" s="103"/>
      <c r="P68" s="103"/>
      <c r="Q68" s="103"/>
      <c r="R68" s="103"/>
      <c r="S68" s="104"/>
      <c r="T68" s="103"/>
      <c r="U68" s="104"/>
      <c r="V68" s="107"/>
      <c r="W68" s="354"/>
      <c r="X68" s="351"/>
      <c r="Y68" s="351"/>
      <c r="Z68" s="351"/>
      <c r="AA68" s="351"/>
      <c r="AB68" s="351"/>
      <c r="AC68" s="351"/>
      <c r="AD68" s="351"/>
      <c r="AE68" s="351"/>
      <c r="AF68" s="351"/>
      <c r="AG68" s="7"/>
    </row>
    <row r="69" spans="1:33" ht="24.75" hidden="1" customHeight="1">
      <c r="A69" s="351"/>
      <c r="B69" s="393"/>
      <c r="C69" s="375"/>
      <c r="D69" s="375"/>
      <c r="E69" s="419"/>
      <c r="F69" s="418"/>
      <c r="G69" s="419"/>
      <c r="H69" s="414"/>
      <c r="I69" s="414"/>
      <c r="J69" s="414"/>
      <c r="K69" s="414"/>
      <c r="L69" s="102"/>
      <c r="M69" s="103"/>
      <c r="N69" s="103"/>
      <c r="O69" s="103"/>
      <c r="P69" s="103"/>
      <c r="Q69" s="103"/>
      <c r="R69" s="103"/>
      <c r="S69" s="104"/>
      <c r="T69" s="103"/>
      <c r="U69" s="104"/>
      <c r="V69" s="107"/>
      <c r="W69" s="354"/>
      <c r="X69" s="351"/>
      <c r="Y69" s="351"/>
      <c r="Z69" s="351"/>
      <c r="AA69" s="351"/>
      <c r="AB69" s="351"/>
      <c r="AC69" s="351"/>
      <c r="AD69" s="351"/>
      <c r="AE69" s="351"/>
      <c r="AF69" s="351"/>
      <c r="AG69" s="7"/>
    </row>
    <row r="70" spans="1:33" ht="24.75" hidden="1" customHeight="1">
      <c r="A70" s="351"/>
      <c r="B70" s="397"/>
      <c r="C70" s="357"/>
      <c r="D70" s="357"/>
      <c r="E70" s="431"/>
      <c r="F70" s="430"/>
      <c r="G70" s="431"/>
      <c r="H70" s="399"/>
      <c r="I70" s="399"/>
      <c r="J70" s="399"/>
      <c r="K70" s="399"/>
      <c r="L70" s="471"/>
      <c r="M70" s="472"/>
      <c r="N70" s="472"/>
      <c r="O70" s="472"/>
      <c r="P70" s="472"/>
      <c r="Q70" s="472"/>
      <c r="R70" s="472"/>
      <c r="S70" s="473"/>
      <c r="T70" s="472"/>
      <c r="U70" s="473"/>
      <c r="V70" s="475"/>
      <c r="W70" s="354"/>
      <c r="X70" s="351"/>
      <c r="Y70" s="351"/>
      <c r="Z70" s="351"/>
      <c r="AA70" s="351"/>
      <c r="AB70" s="351"/>
      <c r="AC70" s="351"/>
      <c r="AD70" s="351"/>
      <c r="AE70" s="351"/>
      <c r="AF70" s="351"/>
      <c r="AG70" s="7"/>
    </row>
    <row r="71" spans="1:33" ht="27" customHeight="1">
      <c r="A71" s="351"/>
      <c r="B71" s="296" t="s">
        <v>74</v>
      </c>
      <c r="C71" s="376"/>
      <c r="D71" s="376"/>
      <c r="E71" s="376"/>
      <c r="F71" s="376"/>
      <c r="G71" s="376"/>
      <c r="H71" s="376"/>
      <c r="I71" s="376"/>
      <c r="J71" s="376"/>
      <c r="K71" s="376"/>
      <c r="L71" s="376"/>
      <c r="M71" s="376"/>
      <c r="N71" s="376"/>
      <c r="O71" s="376"/>
      <c r="P71" s="376"/>
      <c r="Q71" s="376"/>
      <c r="R71" s="376"/>
      <c r="S71" s="376"/>
      <c r="T71" s="376"/>
      <c r="U71" s="476"/>
      <c r="V71" s="118" t="e">
        <f>SUM(V44:V52)</f>
        <v>#DIV/0!</v>
      </c>
      <c r="W71" s="354"/>
      <c r="X71" s="351"/>
      <c r="Y71" s="351"/>
      <c r="Z71" s="351"/>
      <c r="AA71" s="351"/>
      <c r="AB71" s="351"/>
      <c r="AC71" s="351"/>
      <c r="AD71" s="351"/>
      <c r="AE71" s="351"/>
      <c r="AF71" s="351"/>
      <c r="AG71" s="7"/>
    </row>
    <row r="72" spans="1:33" ht="27" customHeight="1">
      <c r="A72" s="351"/>
      <c r="B72" s="441"/>
      <c r="C72" s="441"/>
      <c r="D72" s="441"/>
      <c r="E72" s="119"/>
      <c r="F72" s="119"/>
      <c r="G72" s="119"/>
      <c r="H72" s="119"/>
      <c r="I72" s="119"/>
      <c r="J72" s="119"/>
      <c r="K72" s="119"/>
      <c r="L72" s="119"/>
      <c r="M72" s="119"/>
      <c r="N72" s="119"/>
      <c r="O72" s="119"/>
      <c r="P72" s="119"/>
      <c r="Q72" s="119"/>
      <c r="R72" s="119"/>
      <c r="S72" s="119"/>
      <c r="T72" s="119"/>
      <c r="U72" s="119"/>
      <c r="V72" s="440"/>
      <c r="W72" s="354"/>
      <c r="X72" s="351"/>
      <c r="Y72" s="351"/>
      <c r="Z72" s="351"/>
      <c r="AA72" s="351"/>
      <c r="AB72" s="351"/>
      <c r="AC72" s="351"/>
      <c r="AD72" s="351"/>
      <c r="AE72" s="351"/>
      <c r="AF72" s="351"/>
      <c r="AG72" s="7"/>
    </row>
    <row r="73" spans="1:33" ht="39.75" customHeight="1">
      <c r="A73" s="351"/>
      <c r="B73" s="297" t="s">
        <v>75</v>
      </c>
      <c r="C73" s="375"/>
      <c r="D73" s="375"/>
      <c r="E73" s="375"/>
      <c r="F73" s="375"/>
      <c r="G73" s="375"/>
      <c r="H73" s="375"/>
      <c r="I73" s="375"/>
      <c r="J73" s="375"/>
      <c r="K73" s="375"/>
      <c r="L73" s="375"/>
      <c r="M73" s="375"/>
      <c r="N73" s="375"/>
      <c r="O73" s="375"/>
      <c r="P73" s="375"/>
      <c r="Q73" s="375"/>
      <c r="R73" s="375"/>
      <c r="S73" s="354"/>
      <c r="T73" s="351"/>
      <c r="U73" s="351"/>
      <c r="V73" s="351"/>
      <c r="W73" s="351"/>
      <c r="X73" s="351"/>
      <c r="Y73" s="351"/>
      <c r="Z73" s="351"/>
      <c r="AA73" s="351"/>
      <c r="AB73" s="351"/>
      <c r="AC73" s="2"/>
      <c r="AD73" s="2"/>
      <c r="AE73" s="2"/>
      <c r="AF73" s="2"/>
      <c r="AG73" s="2"/>
    </row>
    <row r="74" spans="1:33" ht="13.5" customHeight="1">
      <c r="A74" s="351"/>
      <c r="B74" s="441"/>
      <c r="C74" s="441"/>
      <c r="D74" s="441"/>
      <c r="E74" s="2"/>
      <c r="F74" s="2"/>
      <c r="G74" s="441"/>
      <c r="H74" s="441"/>
      <c r="I74" s="441"/>
      <c r="J74" s="441"/>
      <c r="K74" s="441"/>
      <c r="L74" s="441"/>
      <c r="M74" s="441"/>
      <c r="N74" s="441"/>
      <c r="O74" s="441"/>
      <c r="P74" s="441"/>
      <c r="Q74" s="441"/>
      <c r="R74" s="441"/>
      <c r="S74" s="441"/>
      <c r="T74" s="441"/>
      <c r="U74" s="440"/>
      <c r="V74" s="440"/>
      <c r="W74" s="354"/>
      <c r="X74" s="351"/>
      <c r="Y74" s="351"/>
      <c r="Z74" s="351"/>
      <c r="AA74" s="351"/>
      <c r="AB74" s="351"/>
      <c r="AC74" s="351"/>
      <c r="AD74" s="351"/>
      <c r="AE74" s="351"/>
      <c r="AF74" s="351"/>
      <c r="AG74" s="7"/>
    </row>
    <row r="75" spans="1:33" ht="21.75" customHeight="1">
      <c r="A75" s="351"/>
      <c r="B75" s="320" t="s">
        <v>67</v>
      </c>
      <c r="C75" s="376"/>
      <c r="D75" s="376"/>
      <c r="E75" s="376"/>
      <c r="F75" s="376"/>
      <c r="G75" s="376"/>
      <c r="H75" s="376"/>
      <c r="I75" s="376"/>
      <c r="J75" s="376"/>
      <c r="K75" s="376"/>
      <c r="L75" s="376"/>
      <c r="M75" s="376"/>
      <c r="N75" s="376"/>
      <c r="O75" s="376"/>
      <c r="P75" s="376"/>
      <c r="Q75" s="376"/>
      <c r="R75" s="377"/>
      <c r="S75" s="320" t="s">
        <v>12</v>
      </c>
      <c r="T75" s="376"/>
      <c r="U75" s="376"/>
      <c r="V75" s="377"/>
      <c r="W75" s="354"/>
      <c r="X75" s="351"/>
      <c r="Y75" s="351"/>
      <c r="Z75" s="351"/>
      <c r="AA75" s="351"/>
      <c r="AB75" s="351"/>
      <c r="AC75" s="351"/>
      <c r="AD75" s="351"/>
      <c r="AE75" s="351"/>
      <c r="AF75" s="351"/>
      <c r="AG75" s="7"/>
    </row>
    <row r="76" spans="1:33" ht="62.25" customHeight="1">
      <c r="A76" s="394"/>
      <c r="B76" s="443" t="s">
        <v>76</v>
      </c>
      <c r="C76" s="374"/>
      <c r="D76" s="374"/>
      <c r="E76" s="374"/>
      <c r="F76" s="443" t="s">
        <v>69</v>
      </c>
      <c r="G76" s="374"/>
      <c r="H76" s="374"/>
      <c r="I76" s="386"/>
      <c r="J76" s="477" t="s">
        <v>15</v>
      </c>
      <c r="K76" s="311" t="s">
        <v>16</v>
      </c>
      <c r="L76" s="383" t="s">
        <v>18</v>
      </c>
      <c r="M76" s="478" t="s">
        <v>71</v>
      </c>
      <c r="N76" s="357"/>
      <c r="O76" s="357"/>
      <c r="P76" s="357"/>
      <c r="Q76" s="380"/>
      <c r="R76" s="477" t="s">
        <v>20</v>
      </c>
      <c r="S76" s="479" t="s">
        <v>72</v>
      </c>
      <c r="T76" s="316" t="s">
        <v>22</v>
      </c>
      <c r="U76" s="384" t="s">
        <v>23</v>
      </c>
      <c r="V76" s="311" t="s">
        <v>24</v>
      </c>
      <c r="W76" s="401"/>
      <c r="X76" s="394"/>
      <c r="Y76" s="394"/>
      <c r="Z76" s="394"/>
      <c r="AA76" s="394"/>
      <c r="AB76" s="394"/>
      <c r="AC76" s="394"/>
      <c r="AD76" s="394"/>
      <c r="AE76" s="394"/>
      <c r="AF76" s="394"/>
      <c r="AG76" s="80"/>
    </row>
    <row r="77" spans="1:33" ht="51" customHeight="1">
      <c r="A77" s="351"/>
      <c r="B77" s="393"/>
      <c r="C77" s="353"/>
      <c r="D77" s="353"/>
      <c r="E77" s="353"/>
      <c r="F77" s="393"/>
      <c r="G77" s="353"/>
      <c r="H77" s="353"/>
      <c r="I77" s="382"/>
      <c r="J77" s="382"/>
      <c r="K77" s="382"/>
      <c r="L77" s="389"/>
      <c r="M77" s="83" t="s">
        <v>29</v>
      </c>
      <c r="N77" s="83" t="s">
        <v>30</v>
      </c>
      <c r="O77" s="83" t="s">
        <v>31</v>
      </c>
      <c r="P77" s="83" t="s">
        <v>32</v>
      </c>
      <c r="Q77" s="83" t="s">
        <v>33</v>
      </c>
      <c r="R77" s="382"/>
      <c r="S77" s="389"/>
      <c r="T77" s="393"/>
      <c r="U77" s="389"/>
      <c r="V77" s="382"/>
      <c r="W77" s="354"/>
      <c r="X77" s="351"/>
      <c r="Y77" s="351"/>
      <c r="Z77" s="351"/>
      <c r="AA77" s="351"/>
      <c r="AB77" s="351"/>
      <c r="AC77" s="351"/>
      <c r="AD77" s="351"/>
      <c r="AE77" s="351"/>
      <c r="AF77" s="351"/>
      <c r="AG77" s="7"/>
    </row>
    <row r="78" spans="1:33" ht="121.5" customHeight="1">
      <c r="A78" s="351"/>
      <c r="B78" s="480" t="s">
        <v>77</v>
      </c>
      <c r="C78" s="374"/>
      <c r="D78" s="374"/>
      <c r="E78" s="417"/>
      <c r="F78" s="321" t="s">
        <v>78</v>
      </c>
      <c r="G78" s="374"/>
      <c r="H78" s="374"/>
      <c r="I78" s="417"/>
      <c r="J78" s="278" t="s">
        <v>79</v>
      </c>
      <c r="K78" s="276">
        <v>0.05</v>
      </c>
      <c r="L78" s="98" t="s">
        <v>42</v>
      </c>
      <c r="M78" s="123" t="s">
        <v>80</v>
      </c>
      <c r="N78" s="124" t="s">
        <v>81</v>
      </c>
      <c r="O78" s="124" t="s">
        <v>82</v>
      </c>
      <c r="P78" s="124" t="s">
        <v>83</v>
      </c>
      <c r="Q78" s="124" t="s">
        <v>84</v>
      </c>
      <c r="R78" s="325"/>
      <c r="S78" s="326"/>
      <c r="T78" s="125"/>
      <c r="U78" s="308" t="e">
        <f>AVERAGE(T78:T80)</f>
        <v>#DIV/0!</v>
      </c>
      <c r="V78" s="327" t="e">
        <f>U78*K78</f>
        <v>#DIV/0!</v>
      </c>
      <c r="W78" s="354"/>
      <c r="X78" s="351"/>
      <c r="Y78" s="351"/>
      <c r="Z78" s="351"/>
      <c r="AA78" s="351"/>
      <c r="AB78" s="351"/>
      <c r="AC78" s="351"/>
      <c r="AD78" s="351"/>
      <c r="AE78" s="351"/>
      <c r="AF78" s="351"/>
      <c r="AG78" s="7"/>
    </row>
    <row r="79" spans="1:33" ht="118.5" customHeight="1">
      <c r="A79" s="351"/>
      <c r="B79" s="393"/>
      <c r="C79" s="375"/>
      <c r="D79" s="375"/>
      <c r="E79" s="419"/>
      <c r="F79" s="418"/>
      <c r="G79" s="375"/>
      <c r="H79" s="375"/>
      <c r="I79" s="419"/>
      <c r="J79" s="414"/>
      <c r="K79" s="414"/>
      <c r="L79" s="102" t="s">
        <v>49</v>
      </c>
      <c r="M79" s="481" t="s">
        <v>85</v>
      </c>
      <c r="N79" s="482" t="s">
        <v>86</v>
      </c>
      <c r="O79" s="482" t="s">
        <v>87</v>
      </c>
      <c r="P79" s="482" t="s">
        <v>88</v>
      </c>
      <c r="Q79" s="482" t="s">
        <v>89</v>
      </c>
      <c r="R79" s="414"/>
      <c r="S79" s="414"/>
      <c r="T79" s="90"/>
      <c r="U79" s="414"/>
      <c r="V79" s="415"/>
      <c r="W79" s="354"/>
      <c r="X79" s="351"/>
      <c r="Y79" s="351"/>
      <c r="Z79" s="351"/>
      <c r="AA79" s="351"/>
      <c r="AB79" s="351"/>
      <c r="AC79" s="351"/>
      <c r="AD79" s="351"/>
      <c r="AE79" s="351"/>
      <c r="AF79" s="351"/>
      <c r="AG79" s="7"/>
    </row>
    <row r="80" spans="1:33" ht="143.25" customHeight="1">
      <c r="A80" s="351"/>
      <c r="B80" s="397"/>
      <c r="C80" s="357"/>
      <c r="D80" s="357"/>
      <c r="E80" s="431"/>
      <c r="F80" s="430"/>
      <c r="G80" s="357"/>
      <c r="H80" s="357"/>
      <c r="I80" s="431"/>
      <c r="J80" s="399"/>
      <c r="K80" s="399"/>
      <c r="L80" s="126" t="s">
        <v>56</v>
      </c>
      <c r="M80" s="127" t="s">
        <v>90</v>
      </c>
      <c r="N80" s="127" t="s">
        <v>91</v>
      </c>
      <c r="O80" s="127" t="s">
        <v>92</v>
      </c>
      <c r="P80" s="127" t="s">
        <v>93</v>
      </c>
      <c r="Q80" s="127" t="s">
        <v>94</v>
      </c>
      <c r="R80" s="399"/>
      <c r="S80" s="399"/>
      <c r="T80" s="129"/>
      <c r="U80" s="399"/>
      <c r="V80" s="400"/>
      <c r="W80" s="354"/>
      <c r="X80" s="351"/>
      <c r="Y80" s="351"/>
      <c r="Z80" s="351"/>
      <c r="AA80" s="351"/>
      <c r="AB80" s="351"/>
      <c r="AC80" s="351"/>
      <c r="AD80" s="351"/>
      <c r="AE80" s="351"/>
      <c r="AF80" s="351"/>
      <c r="AG80" s="7"/>
    </row>
    <row r="81" spans="1:33" ht="132" customHeight="1">
      <c r="A81" s="483"/>
      <c r="B81" s="484" t="s">
        <v>95</v>
      </c>
      <c r="C81" s="374"/>
      <c r="D81" s="374"/>
      <c r="E81" s="417"/>
      <c r="F81" s="321" t="s">
        <v>96</v>
      </c>
      <c r="G81" s="374"/>
      <c r="H81" s="374"/>
      <c r="I81" s="417"/>
      <c r="J81" s="278" t="s">
        <v>79</v>
      </c>
      <c r="K81" s="276">
        <v>0.05</v>
      </c>
      <c r="L81" s="98" t="s">
        <v>42</v>
      </c>
      <c r="M81" s="124" t="s">
        <v>97</v>
      </c>
      <c r="N81" s="131" t="s">
        <v>98</v>
      </c>
      <c r="O81" s="124" t="s">
        <v>99</v>
      </c>
      <c r="P81" s="124" t="s">
        <v>100</v>
      </c>
      <c r="Q81" s="124" t="s">
        <v>101</v>
      </c>
      <c r="R81" s="325"/>
      <c r="S81" s="326"/>
      <c r="T81" s="100"/>
      <c r="U81" s="308" t="e">
        <f>AVERAGE(T81:T83)</f>
        <v>#DIV/0!</v>
      </c>
      <c r="V81" s="327" t="e">
        <f>U81*K81</f>
        <v>#DIV/0!</v>
      </c>
      <c r="W81" s="354"/>
      <c r="X81" s="351"/>
      <c r="Y81" s="351"/>
      <c r="Z81" s="351"/>
      <c r="AA81" s="351"/>
      <c r="AB81" s="351"/>
      <c r="AC81" s="351"/>
      <c r="AD81" s="351"/>
      <c r="AE81" s="351"/>
      <c r="AF81" s="351"/>
      <c r="AG81" s="7"/>
    </row>
    <row r="82" spans="1:33" ht="72.75" customHeight="1">
      <c r="A82" s="351"/>
      <c r="B82" s="393"/>
      <c r="C82" s="375"/>
      <c r="D82" s="375"/>
      <c r="E82" s="419"/>
      <c r="F82" s="418"/>
      <c r="G82" s="375"/>
      <c r="H82" s="375"/>
      <c r="I82" s="419"/>
      <c r="J82" s="414"/>
      <c r="K82" s="414"/>
      <c r="L82" s="102" t="s">
        <v>49</v>
      </c>
      <c r="M82" s="132" t="s">
        <v>102</v>
      </c>
      <c r="N82" s="132" t="s">
        <v>103</v>
      </c>
      <c r="O82" s="132" t="s">
        <v>104</v>
      </c>
      <c r="P82" s="132" t="s">
        <v>105</v>
      </c>
      <c r="Q82" s="132" t="s">
        <v>106</v>
      </c>
      <c r="R82" s="414"/>
      <c r="S82" s="414"/>
      <c r="T82" s="103"/>
      <c r="U82" s="414"/>
      <c r="V82" s="415"/>
      <c r="W82" s="354"/>
      <c r="X82" s="351"/>
      <c r="Y82" s="351"/>
      <c r="Z82" s="351"/>
      <c r="AA82" s="351"/>
      <c r="AB82" s="351"/>
      <c r="AC82" s="351"/>
      <c r="AD82" s="351"/>
      <c r="AE82" s="351"/>
      <c r="AF82" s="351"/>
      <c r="AG82" s="7"/>
    </row>
    <row r="83" spans="1:33" ht="31.5" customHeight="1">
      <c r="A83" s="351"/>
      <c r="B83" s="397"/>
      <c r="C83" s="357"/>
      <c r="D83" s="357"/>
      <c r="E83" s="431"/>
      <c r="F83" s="430"/>
      <c r="G83" s="357"/>
      <c r="H83" s="357"/>
      <c r="I83" s="431"/>
      <c r="J83" s="399"/>
      <c r="K83" s="399"/>
      <c r="L83" s="126" t="s">
        <v>56</v>
      </c>
      <c r="M83" s="133"/>
      <c r="N83" s="133"/>
      <c r="O83" s="133"/>
      <c r="P83" s="133"/>
      <c r="Q83" s="133"/>
      <c r="R83" s="399"/>
      <c r="S83" s="399"/>
      <c r="T83" s="134"/>
      <c r="U83" s="399"/>
      <c r="V83" s="400"/>
      <c r="W83" s="354"/>
      <c r="X83" s="351"/>
      <c r="Y83" s="351"/>
      <c r="Z83" s="351"/>
      <c r="AA83" s="351"/>
      <c r="AB83" s="351"/>
      <c r="AC83" s="351"/>
      <c r="AD83" s="351"/>
      <c r="AE83" s="351"/>
      <c r="AF83" s="351"/>
      <c r="AG83" s="7"/>
    </row>
    <row r="84" spans="1:33" ht="64.5" customHeight="1">
      <c r="A84" s="351"/>
      <c r="B84" s="484" t="s">
        <v>107</v>
      </c>
      <c r="C84" s="374"/>
      <c r="D84" s="374"/>
      <c r="E84" s="417"/>
      <c r="F84" s="321" t="s">
        <v>108</v>
      </c>
      <c r="G84" s="374"/>
      <c r="H84" s="374"/>
      <c r="I84" s="417"/>
      <c r="J84" s="278" t="s">
        <v>79</v>
      </c>
      <c r="K84" s="276">
        <v>0.05</v>
      </c>
      <c r="L84" s="98" t="s">
        <v>42</v>
      </c>
      <c r="M84" s="124" t="s">
        <v>109</v>
      </c>
      <c r="N84" s="124" t="s">
        <v>110</v>
      </c>
      <c r="O84" s="124" t="s">
        <v>111</v>
      </c>
      <c r="P84" s="124" t="s">
        <v>112</v>
      </c>
      <c r="Q84" s="124" t="s">
        <v>113</v>
      </c>
      <c r="R84" s="325"/>
      <c r="S84" s="326"/>
      <c r="T84" s="100"/>
      <c r="U84" s="308" t="e">
        <f>AVERAGE(T84:T86)</f>
        <v>#DIV/0!</v>
      </c>
      <c r="V84" s="327" t="e">
        <f>U84*K84</f>
        <v>#DIV/0!</v>
      </c>
      <c r="W84" s="354"/>
      <c r="X84" s="351"/>
      <c r="Y84" s="351"/>
      <c r="Z84" s="351"/>
      <c r="AA84" s="351"/>
      <c r="AB84" s="351"/>
      <c r="AC84" s="351"/>
      <c r="AD84" s="351"/>
      <c r="AE84" s="351"/>
      <c r="AF84" s="351"/>
      <c r="AG84" s="7"/>
    </row>
    <row r="85" spans="1:33" ht="48" customHeight="1">
      <c r="A85" s="351"/>
      <c r="B85" s="393"/>
      <c r="C85" s="375"/>
      <c r="D85" s="375"/>
      <c r="E85" s="419"/>
      <c r="F85" s="418"/>
      <c r="G85" s="375"/>
      <c r="H85" s="375"/>
      <c r="I85" s="419"/>
      <c r="J85" s="414"/>
      <c r="K85" s="414"/>
      <c r="L85" s="102" t="s">
        <v>49</v>
      </c>
      <c r="M85" s="132" t="s">
        <v>114</v>
      </c>
      <c r="N85" s="132" t="s">
        <v>115</v>
      </c>
      <c r="O85" s="132" t="s">
        <v>116</v>
      </c>
      <c r="P85" s="132" t="s">
        <v>117</v>
      </c>
      <c r="Q85" s="132" t="s">
        <v>118</v>
      </c>
      <c r="R85" s="414"/>
      <c r="S85" s="414"/>
      <c r="T85" s="103"/>
      <c r="U85" s="414"/>
      <c r="V85" s="415"/>
      <c r="W85" s="354"/>
      <c r="X85" s="351"/>
      <c r="Y85" s="351"/>
      <c r="Z85" s="351"/>
      <c r="AA85" s="351"/>
      <c r="AB85" s="351"/>
      <c r="AC85" s="351"/>
      <c r="AD85" s="351"/>
      <c r="AE85" s="351"/>
      <c r="AF85" s="351"/>
      <c r="AG85" s="7"/>
    </row>
    <row r="86" spans="1:33" ht="108" customHeight="1">
      <c r="A86" s="351"/>
      <c r="B86" s="397"/>
      <c r="C86" s="357"/>
      <c r="D86" s="357"/>
      <c r="E86" s="431"/>
      <c r="F86" s="430"/>
      <c r="G86" s="357"/>
      <c r="H86" s="357"/>
      <c r="I86" s="431"/>
      <c r="J86" s="399"/>
      <c r="K86" s="399"/>
      <c r="L86" s="126" t="s">
        <v>56</v>
      </c>
      <c r="M86" s="135" t="s">
        <v>119</v>
      </c>
      <c r="N86" s="136"/>
      <c r="O86" s="135" t="s">
        <v>120</v>
      </c>
      <c r="P86" s="136"/>
      <c r="Q86" s="135" t="s">
        <v>121</v>
      </c>
      <c r="R86" s="399"/>
      <c r="S86" s="399"/>
      <c r="T86" s="134"/>
      <c r="U86" s="399"/>
      <c r="V86" s="400"/>
      <c r="W86" s="354"/>
      <c r="X86" s="351"/>
      <c r="Y86" s="351"/>
      <c r="Z86" s="351"/>
      <c r="AA86" s="351"/>
      <c r="AB86" s="351"/>
      <c r="AC86" s="351"/>
      <c r="AD86" s="351"/>
      <c r="AE86" s="351"/>
      <c r="AF86" s="351"/>
      <c r="AG86" s="7"/>
    </row>
    <row r="87" spans="1:33" ht="24.75" hidden="1" customHeight="1">
      <c r="A87" s="351"/>
      <c r="B87" s="485"/>
      <c r="C87" s="375"/>
      <c r="D87" s="375"/>
      <c r="E87" s="419"/>
      <c r="F87" s="486"/>
      <c r="G87" s="419"/>
      <c r="H87" s="487"/>
      <c r="I87" s="322"/>
      <c r="J87" s="323"/>
      <c r="K87" s="324"/>
      <c r="L87" s="488"/>
      <c r="M87" s="489"/>
      <c r="N87" s="489"/>
      <c r="O87" s="489"/>
      <c r="P87" s="489"/>
      <c r="Q87" s="489"/>
      <c r="R87" s="462"/>
      <c r="S87" s="490"/>
      <c r="T87" s="462"/>
      <c r="U87" s="328"/>
      <c r="V87" s="491"/>
      <c r="W87" s="354"/>
      <c r="X87" s="351"/>
      <c r="Y87" s="351"/>
      <c r="Z87" s="351"/>
      <c r="AA87" s="351"/>
      <c r="AB87" s="351"/>
      <c r="AC87" s="351"/>
      <c r="AD87" s="351"/>
      <c r="AE87" s="351"/>
      <c r="AF87" s="351"/>
      <c r="AG87" s="7"/>
    </row>
    <row r="88" spans="1:33" ht="24.75" hidden="1" customHeight="1">
      <c r="A88" s="351"/>
      <c r="B88" s="393"/>
      <c r="C88" s="375"/>
      <c r="D88" s="375"/>
      <c r="E88" s="419"/>
      <c r="F88" s="418"/>
      <c r="G88" s="419"/>
      <c r="H88" s="414"/>
      <c r="I88" s="414"/>
      <c r="J88" s="414"/>
      <c r="K88" s="414"/>
      <c r="L88" s="102"/>
      <c r="M88" s="49"/>
      <c r="N88" s="49"/>
      <c r="O88" s="49"/>
      <c r="P88" s="49"/>
      <c r="Q88" s="49"/>
      <c r="R88" s="103"/>
      <c r="S88" s="104"/>
      <c r="T88" s="103"/>
      <c r="U88" s="414"/>
      <c r="V88" s="415"/>
      <c r="W88" s="354"/>
      <c r="X88" s="351"/>
      <c r="Y88" s="351"/>
      <c r="Z88" s="351"/>
      <c r="AA88" s="351"/>
      <c r="AB88" s="351"/>
      <c r="AC88" s="351"/>
      <c r="AD88" s="351"/>
      <c r="AE88" s="351"/>
      <c r="AF88" s="351"/>
      <c r="AG88" s="7"/>
    </row>
    <row r="89" spans="1:33" ht="24.75" hidden="1" customHeight="1">
      <c r="A89" s="351"/>
      <c r="B89" s="393"/>
      <c r="C89" s="375"/>
      <c r="D89" s="375"/>
      <c r="E89" s="419"/>
      <c r="F89" s="420"/>
      <c r="G89" s="421"/>
      <c r="H89" s="422"/>
      <c r="I89" s="422"/>
      <c r="J89" s="422"/>
      <c r="K89" s="422"/>
      <c r="L89" s="102"/>
      <c r="M89" s="49"/>
      <c r="N89" s="49"/>
      <c r="O89" s="49"/>
      <c r="P89" s="49"/>
      <c r="Q89" s="49"/>
      <c r="R89" s="103"/>
      <c r="S89" s="104"/>
      <c r="T89" s="103"/>
      <c r="U89" s="422"/>
      <c r="V89" s="423"/>
      <c r="W89" s="354"/>
      <c r="X89" s="351"/>
      <c r="Y89" s="351"/>
      <c r="Z89" s="351"/>
      <c r="AA89" s="351"/>
      <c r="AB89" s="351"/>
      <c r="AC89" s="351"/>
      <c r="AD89" s="351"/>
      <c r="AE89" s="351"/>
      <c r="AF89" s="351"/>
      <c r="AG89" s="7"/>
    </row>
    <row r="90" spans="1:33" ht="24.75" hidden="1" customHeight="1">
      <c r="A90" s="351"/>
      <c r="B90" s="393"/>
      <c r="C90" s="375"/>
      <c r="D90" s="375"/>
      <c r="E90" s="419"/>
      <c r="F90" s="465"/>
      <c r="G90" s="367"/>
      <c r="H90" s="466"/>
      <c r="I90" s="467"/>
      <c r="J90" s="468"/>
      <c r="K90" s="469"/>
      <c r="L90" s="102"/>
      <c r="M90" s="103"/>
      <c r="N90" s="103"/>
      <c r="O90" s="103"/>
      <c r="P90" s="103"/>
      <c r="Q90" s="103"/>
      <c r="R90" s="103"/>
      <c r="S90" s="104"/>
      <c r="T90" s="103"/>
      <c r="U90" s="463"/>
      <c r="V90" s="492"/>
      <c r="W90" s="354"/>
      <c r="X90" s="351"/>
      <c r="Y90" s="351"/>
      <c r="Z90" s="351"/>
      <c r="AA90" s="351"/>
      <c r="AB90" s="351"/>
      <c r="AC90" s="351"/>
      <c r="AD90" s="351"/>
      <c r="AE90" s="351"/>
      <c r="AF90" s="351"/>
      <c r="AG90" s="7"/>
    </row>
    <row r="91" spans="1:33" ht="24.75" hidden="1" customHeight="1">
      <c r="A91" s="351"/>
      <c r="B91" s="393"/>
      <c r="C91" s="375"/>
      <c r="D91" s="375"/>
      <c r="E91" s="419"/>
      <c r="F91" s="418"/>
      <c r="G91" s="419"/>
      <c r="H91" s="414"/>
      <c r="I91" s="414"/>
      <c r="J91" s="414"/>
      <c r="K91" s="414"/>
      <c r="L91" s="102"/>
      <c r="M91" s="103"/>
      <c r="N91" s="103"/>
      <c r="O91" s="103"/>
      <c r="P91" s="103"/>
      <c r="Q91" s="103"/>
      <c r="R91" s="103"/>
      <c r="S91" s="104"/>
      <c r="T91" s="103"/>
      <c r="U91" s="414"/>
      <c r="V91" s="415"/>
      <c r="W91" s="354"/>
      <c r="X91" s="351"/>
      <c r="Y91" s="351"/>
      <c r="Z91" s="351"/>
      <c r="AA91" s="351"/>
      <c r="AB91" s="351"/>
      <c r="AC91" s="351"/>
      <c r="AD91" s="351"/>
      <c r="AE91" s="351"/>
      <c r="AF91" s="351"/>
      <c r="AG91" s="7"/>
    </row>
    <row r="92" spans="1:33" ht="24.75" hidden="1" customHeight="1">
      <c r="A92" s="351"/>
      <c r="B92" s="393"/>
      <c r="C92" s="375"/>
      <c r="D92" s="375"/>
      <c r="E92" s="419"/>
      <c r="F92" s="420"/>
      <c r="G92" s="421"/>
      <c r="H92" s="422"/>
      <c r="I92" s="422"/>
      <c r="J92" s="422"/>
      <c r="K92" s="422"/>
      <c r="L92" s="102"/>
      <c r="M92" s="103"/>
      <c r="N92" s="103"/>
      <c r="O92" s="103"/>
      <c r="P92" s="103"/>
      <c r="Q92" s="103"/>
      <c r="R92" s="103"/>
      <c r="S92" s="104"/>
      <c r="T92" s="103"/>
      <c r="U92" s="422"/>
      <c r="V92" s="423"/>
      <c r="W92" s="354"/>
      <c r="X92" s="351"/>
      <c r="Y92" s="351"/>
      <c r="Z92" s="351"/>
      <c r="AA92" s="351"/>
      <c r="AB92" s="351"/>
      <c r="AC92" s="351"/>
      <c r="AD92" s="351"/>
      <c r="AE92" s="351"/>
      <c r="AF92" s="351"/>
      <c r="AG92" s="7"/>
    </row>
    <row r="93" spans="1:33" ht="24.75" hidden="1" customHeight="1">
      <c r="A93" s="351"/>
      <c r="B93" s="393"/>
      <c r="C93" s="375"/>
      <c r="D93" s="375"/>
      <c r="E93" s="419"/>
      <c r="F93" s="465"/>
      <c r="G93" s="367"/>
      <c r="H93" s="466"/>
      <c r="I93" s="467"/>
      <c r="J93" s="468"/>
      <c r="K93" s="469"/>
      <c r="L93" s="102"/>
      <c r="M93" s="103"/>
      <c r="N93" s="103"/>
      <c r="O93" s="103"/>
      <c r="P93" s="103"/>
      <c r="Q93" s="103"/>
      <c r="R93" s="103"/>
      <c r="S93" s="104"/>
      <c r="T93" s="103"/>
      <c r="U93" s="463"/>
      <c r="V93" s="492"/>
      <c r="W93" s="354"/>
      <c r="X93" s="351"/>
      <c r="Y93" s="351"/>
      <c r="Z93" s="351"/>
      <c r="AA93" s="351"/>
      <c r="AB93" s="351"/>
      <c r="AC93" s="351"/>
      <c r="AD93" s="351"/>
      <c r="AE93" s="351"/>
      <c r="AF93" s="351"/>
      <c r="AG93" s="7"/>
    </row>
    <row r="94" spans="1:33" ht="24.75" hidden="1" customHeight="1">
      <c r="A94" s="351"/>
      <c r="B94" s="393"/>
      <c r="C94" s="375"/>
      <c r="D94" s="375"/>
      <c r="E94" s="419"/>
      <c r="F94" s="418"/>
      <c r="G94" s="419"/>
      <c r="H94" s="414"/>
      <c r="I94" s="414"/>
      <c r="J94" s="414"/>
      <c r="K94" s="414"/>
      <c r="L94" s="102"/>
      <c r="M94" s="103"/>
      <c r="N94" s="103"/>
      <c r="O94" s="103"/>
      <c r="P94" s="103"/>
      <c r="Q94" s="103"/>
      <c r="R94" s="103"/>
      <c r="S94" s="104"/>
      <c r="T94" s="103"/>
      <c r="U94" s="414"/>
      <c r="V94" s="415"/>
      <c r="W94" s="354"/>
      <c r="X94" s="351"/>
      <c r="Y94" s="351"/>
      <c r="Z94" s="351"/>
      <c r="AA94" s="351"/>
      <c r="AB94" s="351"/>
      <c r="AC94" s="351"/>
      <c r="AD94" s="351"/>
      <c r="AE94" s="351"/>
      <c r="AF94" s="351"/>
      <c r="AG94" s="7"/>
    </row>
    <row r="95" spans="1:33" ht="24.75" hidden="1" customHeight="1">
      <c r="A95" s="351"/>
      <c r="B95" s="393"/>
      <c r="C95" s="375"/>
      <c r="D95" s="375"/>
      <c r="E95" s="419"/>
      <c r="F95" s="420"/>
      <c r="G95" s="421"/>
      <c r="H95" s="422"/>
      <c r="I95" s="422"/>
      <c r="J95" s="422"/>
      <c r="K95" s="422"/>
      <c r="L95" s="471"/>
      <c r="M95" s="472"/>
      <c r="N95" s="472"/>
      <c r="O95" s="472"/>
      <c r="P95" s="472"/>
      <c r="Q95" s="472"/>
      <c r="R95" s="472"/>
      <c r="S95" s="473"/>
      <c r="T95" s="472"/>
      <c r="U95" s="414"/>
      <c r="V95" s="415"/>
      <c r="W95" s="354"/>
      <c r="X95" s="351"/>
      <c r="Y95" s="351"/>
      <c r="Z95" s="351"/>
      <c r="AA95" s="351"/>
      <c r="AB95" s="351"/>
      <c r="AC95" s="351"/>
      <c r="AD95" s="351"/>
      <c r="AE95" s="351"/>
      <c r="AF95" s="351"/>
      <c r="AG95" s="7"/>
    </row>
    <row r="96" spans="1:33" ht="24.75" hidden="1" customHeight="1">
      <c r="A96" s="351"/>
      <c r="B96" s="474"/>
      <c r="C96" s="374"/>
      <c r="D96" s="374"/>
      <c r="E96" s="417"/>
      <c r="F96" s="274"/>
      <c r="G96" s="417"/>
      <c r="H96" s="277"/>
      <c r="I96" s="276"/>
      <c r="J96" s="277"/>
      <c r="K96" s="278"/>
      <c r="L96" s="98"/>
      <c r="M96" s="100"/>
      <c r="N96" s="100"/>
      <c r="O96" s="100"/>
      <c r="P96" s="100"/>
      <c r="Q96" s="100"/>
      <c r="R96" s="100"/>
      <c r="S96" s="101"/>
      <c r="T96" s="100"/>
      <c r="U96" s="101"/>
      <c r="V96" s="141"/>
      <c r="W96" s="354"/>
      <c r="X96" s="351"/>
      <c r="Y96" s="351"/>
      <c r="Z96" s="351"/>
      <c r="AA96" s="351"/>
      <c r="AB96" s="351"/>
      <c r="AC96" s="351"/>
      <c r="AD96" s="351"/>
      <c r="AE96" s="351"/>
      <c r="AF96" s="351"/>
      <c r="AG96" s="7"/>
    </row>
    <row r="97" spans="1:33" ht="24.75" hidden="1" customHeight="1">
      <c r="A97" s="351"/>
      <c r="B97" s="393"/>
      <c r="C97" s="375"/>
      <c r="D97" s="375"/>
      <c r="E97" s="419"/>
      <c r="F97" s="418"/>
      <c r="G97" s="419"/>
      <c r="H97" s="414"/>
      <c r="I97" s="414"/>
      <c r="J97" s="414"/>
      <c r="K97" s="414"/>
      <c r="L97" s="102"/>
      <c r="M97" s="103"/>
      <c r="N97" s="103"/>
      <c r="O97" s="103"/>
      <c r="P97" s="103"/>
      <c r="Q97" s="103"/>
      <c r="R97" s="103"/>
      <c r="S97" s="104"/>
      <c r="T97" s="103"/>
      <c r="U97" s="104"/>
      <c r="V97" s="142"/>
      <c r="W97" s="354"/>
      <c r="X97" s="351"/>
      <c r="Y97" s="351"/>
      <c r="Z97" s="351"/>
      <c r="AA97" s="351"/>
      <c r="AB97" s="351"/>
      <c r="AC97" s="351"/>
      <c r="AD97" s="351"/>
      <c r="AE97" s="351"/>
      <c r="AF97" s="351"/>
      <c r="AG97" s="7"/>
    </row>
    <row r="98" spans="1:33" ht="24.75" hidden="1" customHeight="1">
      <c r="A98" s="351"/>
      <c r="B98" s="393"/>
      <c r="C98" s="375"/>
      <c r="D98" s="375"/>
      <c r="E98" s="419"/>
      <c r="F98" s="420"/>
      <c r="G98" s="421"/>
      <c r="H98" s="422"/>
      <c r="I98" s="422"/>
      <c r="J98" s="422"/>
      <c r="K98" s="422"/>
      <c r="L98" s="102"/>
      <c r="M98" s="103"/>
      <c r="N98" s="103"/>
      <c r="O98" s="103"/>
      <c r="P98" s="103"/>
      <c r="Q98" s="103"/>
      <c r="R98" s="103"/>
      <c r="S98" s="104"/>
      <c r="T98" s="103"/>
      <c r="U98" s="104"/>
      <c r="V98" s="142"/>
      <c r="W98" s="354"/>
      <c r="X98" s="351"/>
      <c r="Y98" s="351"/>
      <c r="Z98" s="351"/>
      <c r="AA98" s="351"/>
      <c r="AB98" s="351"/>
      <c r="AC98" s="351"/>
      <c r="AD98" s="351"/>
      <c r="AE98" s="351"/>
      <c r="AF98" s="351"/>
      <c r="AG98" s="7"/>
    </row>
    <row r="99" spans="1:33" ht="24.75" hidden="1" customHeight="1">
      <c r="A99" s="351"/>
      <c r="B99" s="393"/>
      <c r="C99" s="375"/>
      <c r="D99" s="375"/>
      <c r="E99" s="419"/>
      <c r="F99" s="465"/>
      <c r="G99" s="367"/>
      <c r="H99" s="468"/>
      <c r="I99" s="467"/>
      <c r="J99" s="468"/>
      <c r="K99" s="469"/>
      <c r="L99" s="102"/>
      <c r="M99" s="103"/>
      <c r="N99" s="103"/>
      <c r="O99" s="103"/>
      <c r="P99" s="103"/>
      <c r="Q99" s="103"/>
      <c r="R99" s="103"/>
      <c r="S99" s="104"/>
      <c r="T99" s="103"/>
      <c r="U99" s="104"/>
      <c r="V99" s="142"/>
      <c r="W99" s="354"/>
      <c r="X99" s="351"/>
      <c r="Y99" s="351"/>
      <c r="Z99" s="351"/>
      <c r="AA99" s="351"/>
      <c r="AB99" s="351"/>
      <c r="AC99" s="351"/>
      <c r="AD99" s="351"/>
      <c r="AE99" s="351"/>
      <c r="AF99" s="351"/>
      <c r="AG99" s="7"/>
    </row>
    <row r="100" spans="1:33" ht="24.75" hidden="1" customHeight="1">
      <c r="A100" s="351"/>
      <c r="B100" s="393"/>
      <c r="C100" s="375"/>
      <c r="D100" s="375"/>
      <c r="E100" s="419"/>
      <c r="F100" s="418"/>
      <c r="G100" s="419"/>
      <c r="H100" s="414"/>
      <c r="I100" s="414"/>
      <c r="J100" s="414"/>
      <c r="K100" s="414"/>
      <c r="L100" s="102"/>
      <c r="M100" s="103"/>
      <c r="N100" s="103"/>
      <c r="O100" s="103"/>
      <c r="P100" s="103"/>
      <c r="Q100" s="103"/>
      <c r="R100" s="103"/>
      <c r="S100" s="104"/>
      <c r="T100" s="103"/>
      <c r="U100" s="104"/>
      <c r="V100" s="142"/>
      <c r="W100" s="354"/>
      <c r="X100" s="351"/>
      <c r="Y100" s="351"/>
      <c r="Z100" s="351"/>
      <c r="AA100" s="351"/>
      <c r="AB100" s="351"/>
      <c r="AC100" s="351"/>
      <c r="AD100" s="351"/>
      <c r="AE100" s="351"/>
      <c r="AF100" s="351"/>
      <c r="AG100" s="7"/>
    </row>
    <row r="101" spans="1:33" ht="24.75" hidden="1" customHeight="1">
      <c r="A101" s="351"/>
      <c r="B101" s="393"/>
      <c r="C101" s="375"/>
      <c r="D101" s="375"/>
      <c r="E101" s="419"/>
      <c r="F101" s="420"/>
      <c r="G101" s="421"/>
      <c r="H101" s="422"/>
      <c r="I101" s="422"/>
      <c r="J101" s="422"/>
      <c r="K101" s="422"/>
      <c r="L101" s="102"/>
      <c r="M101" s="103"/>
      <c r="N101" s="103"/>
      <c r="O101" s="103"/>
      <c r="P101" s="103"/>
      <c r="Q101" s="103"/>
      <c r="R101" s="103"/>
      <c r="S101" s="104"/>
      <c r="T101" s="103"/>
      <c r="U101" s="104"/>
      <c r="V101" s="142"/>
      <c r="W101" s="354"/>
      <c r="X101" s="351"/>
      <c r="Y101" s="351"/>
      <c r="Z101" s="351"/>
      <c r="AA101" s="351"/>
      <c r="AB101" s="351"/>
      <c r="AC101" s="351"/>
      <c r="AD101" s="351"/>
      <c r="AE101" s="351"/>
      <c r="AF101" s="351"/>
      <c r="AG101" s="7"/>
    </row>
    <row r="102" spans="1:33" ht="24.75" hidden="1" customHeight="1">
      <c r="A102" s="351"/>
      <c r="B102" s="393"/>
      <c r="C102" s="375"/>
      <c r="D102" s="375"/>
      <c r="E102" s="419"/>
      <c r="F102" s="465"/>
      <c r="G102" s="367"/>
      <c r="H102" s="468"/>
      <c r="I102" s="467"/>
      <c r="J102" s="468"/>
      <c r="K102" s="469"/>
      <c r="L102" s="102"/>
      <c r="M102" s="103"/>
      <c r="N102" s="103"/>
      <c r="O102" s="103"/>
      <c r="P102" s="103"/>
      <c r="Q102" s="103"/>
      <c r="R102" s="103"/>
      <c r="S102" s="104"/>
      <c r="T102" s="103"/>
      <c r="U102" s="104"/>
      <c r="V102" s="142"/>
      <c r="W102" s="354"/>
      <c r="X102" s="351"/>
      <c r="Y102" s="351"/>
      <c r="Z102" s="351"/>
      <c r="AA102" s="351"/>
      <c r="AB102" s="351"/>
      <c r="AC102" s="351"/>
      <c r="AD102" s="351"/>
      <c r="AE102" s="351"/>
      <c r="AF102" s="351"/>
      <c r="AG102" s="7"/>
    </row>
    <row r="103" spans="1:33" ht="24.75" hidden="1" customHeight="1">
      <c r="A103" s="351"/>
      <c r="B103" s="393"/>
      <c r="C103" s="375"/>
      <c r="D103" s="375"/>
      <c r="E103" s="419"/>
      <c r="F103" s="418"/>
      <c r="G103" s="419"/>
      <c r="H103" s="414"/>
      <c r="I103" s="414"/>
      <c r="J103" s="414"/>
      <c r="K103" s="414"/>
      <c r="L103" s="102"/>
      <c r="M103" s="103"/>
      <c r="N103" s="103"/>
      <c r="O103" s="103"/>
      <c r="P103" s="103"/>
      <c r="Q103" s="103"/>
      <c r="R103" s="103"/>
      <c r="S103" s="104"/>
      <c r="T103" s="103"/>
      <c r="U103" s="104"/>
      <c r="V103" s="142"/>
      <c r="W103" s="354"/>
      <c r="X103" s="351"/>
      <c r="Y103" s="351"/>
      <c r="Z103" s="351"/>
      <c r="AA103" s="351"/>
      <c r="AB103" s="351"/>
      <c r="AC103" s="351"/>
      <c r="AD103" s="351"/>
      <c r="AE103" s="351"/>
      <c r="AF103" s="351"/>
      <c r="AG103" s="7"/>
    </row>
    <row r="104" spans="1:33" ht="24.75" hidden="1" customHeight="1">
      <c r="A104" s="351"/>
      <c r="B104" s="493"/>
      <c r="C104" s="494"/>
      <c r="D104" s="494"/>
      <c r="E104" s="421"/>
      <c r="F104" s="420"/>
      <c r="G104" s="421"/>
      <c r="H104" s="422"/>
      <c r="I104" s="422"/>
      <c r="J104" s="422"/>
      <c r="K104" s="422"/>
      <c r="L104" s="471"/>
      <c r="M104" s="472"/>
      <c r="N104" s="472"/>
      <c r="O104" s="472"/>
      <c r="P104" s="472"/>
      <c r="Q104" s="472"/>
      <c r="R104" s="472"/>
      <c r="S104" s="473"/>
      <c r="T104" s="472"/>
      <c r="U104" s="473"/>
      <c r="V104" s="143"/>
      <c r="W104" s="354"/>
      <c r="X104" s="351"/>
      <c r="Y104" s="351"/>
      <c r="Z104" s="351"/>
      <c r="AA104" s="351"/>
      <c r="AB104" s="351"/>
      <c r="AC104" s="351"/>
      <c r="AD104" s="351"/>
      <c r="AE104" s="351"/>
      <c r="AF104" s="351"/>
      <c r="AG104" s="7"/>
    </row>
    <row r="105" spans="1:33" ht="27" customHeight="1">
      <c r="A105" s="351"/>
      <c r="B105" s="296" t="s">
        <v>122</v>
      </c>
      <c r="C105" s="376"/>
      <c r="D105" s="376"/>
      <c r="E105" s="376"/>
      <c r="F105" s="376"/>
      <c r="G105" s="376"/>
      <c r="H105" s="376"/>
      <c r="I105" s="376"/>
      <c r="J105" s="376"/>
      <c r="K105" s="376"/>
      <c r="L105" s="376"/>
      <c r="M105" s="376"/>
      <c r="N105" s="376"/>
      <c r="O105" s="376"/>
      <c r="P105" s="376"/>
      <c r="Q105" s="376"/>
      <c r="R105" s="376"/>
      <c r="S105" s="376"/>
      <c r="T105" s="376"/>
      <c r="U105" s="377"/>
      <c r="V105" s="495" t="e">
        <f>SUM(V78:V86)</f>
        <v>#DIV/0!</v>
      </c>
      <c r="W105" s="354"/>
      <c r="X105" s="351"/>
      <c r="Y105" s="351"/>
      <c r="Z105" s="351"/>
      <c r="AA105" s="351"/>
      <c r="AB105" s="351"/>
      <c r="AC105" s="351"/>
      <c r="AD105" s="351"/>
      <c r="AE105" s="351"/>
      <c r="AF105" s="351"/>
      <c r="AG105" s="7"/>
    </row>
    <row r="106" spans="1:33" ht="15" customHeight="1">
      <c r="A106" s="351"/>
      <c r="B106" s="496"/>
      <c r="C106" s="496"/>
      <c r="D106" s="496"/>
      <c r="E106" s="497"/>
      <c r="F106" s="497"/>
      <c r="G106" s="368"/>
      <c r="H106" s="498"/>
      <c r="I106" s="499"/>
      <c r="J106" s="499"/>
      <c r="K106" s="499"/>
      <c r="L106" s="499"/>
      <c r="M106" s="500"/>
      <c r="N106" s="500"/>
      <c r="O106" s="496"/>
      <c r="P106" s="496"/>
      <c r="Q106" s="496"/>
      <c r="R106" s="496"/>
      <c r="S106" s="496"/>
      <c r="T106" s="501"/>
      <c r="U106" s="501"/>
      <c r="V106" s="501"/>
      <c r="W106" s="354"/>
      <c r="X106" s="351"/>
      <c r="Y106" s="351"/>
      <c r="Z106" s="351"/>
      <c r="AA106" s="351"/>
      <c r="AB106" s="351"/>
      <c r="AC106" s="351"/>
      <c r="AD106" s="351"/>
      <c r="AE106" s="351"/>
      <c r="AF106" s="351"/>
      <c r="AG106" s="2"/>
    </row>
    <row r="107" spans="1:33" ht="18" customHeight="1">
      <c r="A107" s="351"/>
      <c r="B107" s="500"/>
      <c r="C107" s="500"/>
      <c r="D107" s="500"/>
      <c r="E107" s="502"/>
      <c r="F107" s="502"/>
      <c r="G107" s="368"/>
      <c r="H107" s="368"/>
      <c r="I107" s="503"/>
      <c r="J107" s="503"/>
      <c r="K107" s="503"/>
      <c r="L107" s="503"/>
      <c r="M107" s="500"/>
      <c r="N107" s="500"/>
      <c r="O107" s="500"/>
      <c r="P107" s="500"/>
      <c r="Q107" s="500"/>
      <c r="R107" s="500"/>
      <c r="S107" s="500"/>
      <c r="T107" s="2"/>
      <c r="U107" s="354"/>
      <c r="V107" s="354"/>
      <c r="W107" s="354"/>
      <c r="X107" s="351"/>
      <c r="Y107" s="351"/>
      <c r="Z107" s="351"/>
      <c r="AA107" s="351"/>
      <c r="AB107" s="351"/>
      <c r="AC107" s="351"/>
      <c r="AD107" s="351"/>
      <c r="AE107" s="351"/>
      <c r="AF107" s="351"/>
      <c r="AG107" s="2"/>
    </row>
    <row r="108" spans="1:33" ht="16.5" customHeight="1">
      <c r="A108" s="351"/>
      <c r="B108" s="500"/>
      <c r="C108" s="500"/>
      <c r="D108" s="500"/>
      <c r="E108" s="502"/>
      <c r="F108" s="502"/>
      <c r="G108" s="368"/>
      <c r="H108" s="368"/>
      <c r="I108" s="503"/>
      <c r="J108" s="503"/>
      <c r="K108" s="503"/>
      <c r="U108" s="354"/>
      <c r="V108" s="354"/>
      <c r="W108" s="354"/>
      <c r="X108" s="351"/>
      <c r="Y108" s="351"/>
      <c r="Z108" s="351"/>
      <c r="AA108" s="351"/>
      <c r="AB108" s="351"/>
      <c r="AC108" s="351"/>
      <c r="AD108" s="351"/>
      <c r="AE108" s="351"/>
      <c r="AF108" s="351"/>
      <c r="AG108" s="2"/>
    </row>
    <row r="109" spans="1:33" ht="15.75" customHeight="1">
      <c r="A109" s="351"/>
      <c r="B109" s="500"/>
      <c r="C109" s="500"/>
      <c r="D109" s="500"/>
      <c r="E109" s="502"/>
      <c r="F109" s="502"/>
      <c r="G109" s="368"/>
      <c r="H109" s="500"/>
      <c r="I109" s="503"/>
      <c r="J109" s="503"/>
      <c r="K109" s="503"/>
      <c r="U109" s="354"/>
      <c r="V109" s="354"/>
      <c r="W109" s="354"/>
      <c r="X109" s="351"/>
      <c r="Y109" s="351"/>
      <c r="Z109" s="351"/>
      <c r="AA109" s="351"/>
      <c r="AB109" s="351"/>
      <c r="AC109" s="351"/>
      <c r="AD109" s="351"/>
      <c r="AE109" s="351"/>
      <c r="AF109" s="351"/>
      <c r="AG109" s="2"/>
    </row>
    <row r="110" spans="1:33" ht="13.5" customHeight="1">
      <c r="A110" s="351"/>
      <c r="B110" s="500"/>
      <c r="C110" s="500"/>
      <c r="D110" s="504"/>
      <c r="E110" s="366"/>
      <c r="F110" s="367"/>
      <c r="G110" s="500"/>
      <c r="H110" s="500"/>
      <c r="I110" s="505"/>
      <c r="J110" s="366"/>
      <c r="K110" s="366"/>
      <c r="L110" s="367"/>
      <c r="N110" s="505"/>
      <c r="O110" s="367"/>
      <c r="P110" s="82"/>
      <c r="U110" s="354"/>
      <c r="V110" s="354"/>
      <c r="W110" s="354"/>
      <c r="X110" s="351"/>
      <c r="Y110" s="351"/>
      <c r="Z110" s="351"/>
      <c r="AA110" s="351"/>
      <c r="AB110" s="351"/>
      <c r="AC110" s="351"/>
      <c r="AD110" s="351"/>
      <c r="AE110" s="351"/>
      <c r="AF110" s="351"/>
      <c r="AG110" s="2"/>
    </row>
    <row r="111" spans="1:33" ht="13.5" customHeight="1">
      <c r="A111" s="351"/>
      <c r="B111" s="500"/>
      <c r="C111" s="500"/>
      <c r="D111" s="420"/>
      <c r="E111" s="494"/>
      <c r="F111" s="421"/>
      <c r="G111" s="500"/>
      <c r="H111" s="500"/>
      <c r="I111" s="420"/>
      <c r="J111" s="494"/>
      <c r="K111" s="494"/>
      <c r="L111" s="421"/>
      <c r="N111" s="420"/>
      <c r="O111" s="421"/>
      <c r="P111" s="82"/>
      <c r="U111" s="354"/>
      <c r="V111" s="354"/>
      <c r="W111" s="354"/>
      <c r="X111" s="351"/>
      <c r="Y111" s="351"/>
      <c r="Z111" s="351"/>
      <c r="AA111" s="351"/>
      <c r="AB111" s="351"/>
      <c r="AC111" s="351"/>
      <c r="AD111" s="351"/>
      <c r="AE111" s="351"/>
      <c r="AF111" s="351"/>
      <c r="AG111" s="2"/>
    </row>
    <row r="112" spans="1:33" ht="13.5" customHeight="1">
      <c r="A112" s="351"/>
      <c r="B112" s="500"/>
      <c r="C112" s="500"/>
      <c r="D112" s="506" t="s">
        <v>123</v>
      </c>
      <c r="E112" s="361"/>
      <c r="F112" s="362"/>
      <c r="G112" s="500"/>
      <c r="H112" s="500"/>
      <c r="I112" s="507" t="s">
        <v>124</v>
      </c>
      <c r="J112" s="361"/>
      <c r="K112" s="361"/>
      <c r="L112" s="362"/>
      <c r="M112" s="500"/>
      <c r="N112" s="507" t="s">
        <v>125</v>
      </c>
      <c r="O112" s="362"/>
      <c r="P112" s="82"/>
      <c r="R112" s="500"/>
      <c r="S112" s="500"/>
      <c r="T112" s="500"/>
      <c r="U112" s="354"/>
      <c r="V112" s="354"/>
      <c r="W112" s="354"/>
      <c r="X112" s="351"/>
      <c r="Y112" s="351"/>
      <c r="Z112" s="351"/>
      <c r="AA112" s="351"/>
      <c r="AB112" s="351"/>
      <c r="AC112" s="351"/>
      <c r="AD112" s="351"/>
      <c r="AE112" s="351"/>
      <c r="AF112" s="351"/>
      <c r="AG112" s="2"/>
    </row>
    <row r="113" spans="1:33" ht="13.5" customHeight="1">
      <c r="A113" s="351"/>
      <c r="B113" s="500"/>
      <c r="C113" s="500"/>
      <c r="D113" s="508"/>
      <c r="E113" s="500"/>
      <c r="F113" s="500"/>
      <c r="G113" s="500"/>
      <c r="H113" s="500"/>
      <c r="I113" s="500"/>
      <c r="J113" s="500"/>
      <c r="K113" s="500"/>
      <c r="L113" s="500"/>
      <c r="M113" s="500"/>
      <c r="N113" s="500"/>
      <c r="R113" s="500"/>
      <c r="S113" s="500"/>
      <c r="T113" s="500"/>
      <c r="U113" s="500"/>
      <c r="V113" s="500"/>
      <c r="W113" s="354"/>
      <c r="X113" s="351"/>
      <c r="Y113" s="351"/>
      <c r="Z113" s="351"/>
      <c r="AA113" s="351"/>
      <c r="AB113" s="351"/>
      <c r="AC113" s="351"/>
      <c r="AD113" s="351"/>
      <c r="AE113" s="351"/>
      <c r="AF113" s="351"/>
      <c r="AG113" s="2"/>
    </row>
    <row r="114" spans="1:33" ht="13.5" customHeight="1">
      <c r="A114" s="351"/>
      <c r="B114" s="500"/>
      <c r="C114" s="500"/>
      <c r="D114" s="500"/>
      <c r="E114" s="500"/>
      <c r="F114" s="500"/>
      <c r="G114" s="509"/>
      <c r="H114" s="500"/>
      <c r="I114" s="508"/>
      <c r="J114" s="508"/>
      <c r="K114" s="508"/>
      <c r="L114" s="508"/>
      <c r="M114" s="500"/>
      <c r="N114" s="500"/>
      <c r="O114" s="500"/>
      <c r="P114" s="500"/>
      <c r="Q114" s="500"/>
      <c r="R114" s="500"/>
      <c r="S114" s="500"/>
      <c r="T114" s="500"/>
      <c r="U114" s="500"/>
      <c r="V114" s="500"/>
      <c r="W114" s="354"/>
      <c r="X114" s="351"/>
      <c r="Y114" s="351"/>
      <c r="Z114" s="351"/>
      <c r="AA114" s="351"/>
      <c r="AB114" s="351"/>
      <c r="AC114" s="351"/>
      <c r="AD114" s="351"/>
      <c r="AE114" s="351"/>
      <c r="AF114" s="351"/>
      <c r="AG114" s="2"/>
    </row>
    <row r="115" spans="1:33" ht="13.5" customHeight="1">
      <c r="A115" s="351"/>
      <c r="B115" s="500"/>
      <c r="C115" s="500"/>
      <c r="D115" s="500"/>
      <c r="E115" s="500"/>
      <c r="F115" s="500"/>
      <c r="G115" s="509"/>
      <c r="H115" s="500"/>
      <c r="I115" s="508"/>
      <c r="J115" s="508"/>
      <c r="K115" s="508"/>
      <c r="L115" s="508"/>
      <c r="M115" s="500"/>
      <c r="N115" s="500"/>
      <c r="O115" s="500"/>
      <c r="P115" s="500"/>
      <c r="Q115" s="500"/>
      <c r="R115" s="500"/>
      <c r="S115" s="500"/>
      <c r="T115" s="500"/>
      <c r="U115" s="500"/>
      <c r="V115" s="500"/>
      <c r="W115" s="354"/>
      <c r="X115" s="351"/>
      <c r="Y115" s="351"/>
      <c r="Z115" s="351"/>
      <c r="AA115" s="351"/>
      <c r="AB115" s="351"/>
      <c r="AC115" s="351"/>
      <c r="AD115" s="351"/>
      <c r="AE115" s="351"/>
      <c r="AF115" s="351"/>
      <c r="AG115" s="2"/>
    </row>
    <row r="116" spans="1:33" ht="13.5" customHeight="1">
      <c r="A116" s="351"/>
      <c r="B116" s="500"/>
      <c r="C116" s="500"/>
      <c r="D116" s="500"/>
      <c r="E116" s="500"/>
      <c r="F116" s="500"/>
      <c r="G116" s="509"/>
      <c r="H116" s="500"/>
      <c r="I116" s="508"/>
      <c r="J116" s="508"/>
      <c r="K116" s="508"/>
      <c r="L116" s="508"/>
      <c r="M116" s="500"/>
      <c r="N116" s="500"/>
      <c r="O116" s="500"/>
      <c r="P116" s="500"/>
      <c r="Q116" s="500"/>
      <c r="R116" s="500"/>
      <c r="S116" s="500"/>
      <c r="T116" s="500"/>
      <c r="U116" s="500"/>
      <c r="V116" s="500"/>
      <c r="W116" s="354"/>
      <c r="X116" s="351"/>
      <c r="Y116" s="351"/>
      <c r="Z116" s="351"/>
      <c r="AA116" s="351"/>
      <c r="AB116" s="351"/>
      <c r="AC116" s="351"/>
      <c r="AD116" s="351"/>
      <c r="AE116" s="351"/>
      <c r="AF116" s="351"/>
      <c r="AG116" s="2"/>
    </row>
    <row r="117" spans="1:33" ht="13.5" customHeight="1">
      <c r="A117" s="351"/>
      <c r="B117" s="500"/>
      <c r="C117" s="500"/>
      <c r="D117" s="500"/>
      <c r="E117" s="500"/>
      <c r="F117" s="500"/>
      <c r="G117" s="509"/>
      <c r="H117" s="500"/>
      <c r="I117" s="508"/>
      <c r="J117" s="508"/>
      <c r="K117" s="508"/>
      <c r="L117" s="508"/>
      <c r="M117" s="500"/>
      <c r="N117" s="500"/>
      <c r="O117" s="500"/>
      <c r="P117" s="500"/>
      <c r="Q117" s="500"/>
      <c r="R117" s="500"/>
      <c r="S117" s="500"/>
      <c r="T117" s="500"/>
      <c r="U117" s="500"/>
      <c r="V117" s="500"/>
      <c r="W117" s="354"/>
      <c r="X117" s="351"/>
      <c r="Y117" s="351"/>
      <c r="Z117" s="351"/>
      <c r="AA117" s="351"/>
      <c r="AB117" s="351"/>
      <c r="AC117" s="351"/>
      <c r="AD117" s="351"/>
      <c r="AE117" s="351"/>
      <c r="AF117" s="351"/>
      <c r="AG117" s="2"/>
    </row>
    <row r="118" spans="1:33" ht="13.5" customHeight="1">
      <c r="A118" s="351"/>
      <c r="B118" s="500"/>
      <c r="C118" s="500"/>
      <c r="D118" s="500"/>
      <c r="E118" s="500"/>
      <c r="F118" s="500"/>
      <c r="G118" s="509"/>
      <c r="H118" s="500"/>
      <c r="I118" s="508"/>
      <c r="J118" s="508"/>
      <c r="K118" s="508"/>
      <c r="L118" s="508"/>
      <c r="M118" s="500"/>
      <c r="N118" s="500"/>
      <c r="O118" s="500"/>
      <c r="P118" s="500"/>
      <c r="Q118" s="500"/>
      <c r="R118" s="500"/>
      <c r="S118" s="500"/>
      <c r="T118" s="500"/>
      <c r="U118" s="500"/>
      <c r="V118" s="500"/>
      <c r="W118" s="354"/>
      <c r="X118" s="351"/>
      <c r="Y118" s="351"/>
      <c r="Z118" s="351"/>
      <c r="AA118" s="351"/>
      <c r="AB118" s="351"/>
      <c r="AC118" s="351"/>
      <c r="AD118" s="351"/>
      <c r="AE118" s="351"/>
      <c r="AF118" s="351"/>
      <c r="AG118" s="2"/>
    </row>
    <row r="119" spans="1:33" ht="13.5" customHeight="1">
      <c r="A119" s="351"/>
      <c r="B119" s="500"/>
      <c r="C119" s="500"/>
      <c r="D119" s="500"/>
      <c r="E119" s="500"/>
      <c r="F119" s="500"/>
      <c r="G119" s="509"/>
      <c r="H119" s="500"/>
      <c r="I119" s="508"/>
      <c r="J119" s="508"/>
      <c r="K119" s="508"/>
      <c r="L119" s="508"/>
      <c r="M119" s="500"/>
      <c r="N119" s="500"/>
      <c r="O119" s="500"/>
      <c r="P119" s="500"/>
      <c r="Q119" s="500"/>
      <c r="R119" s="500"/>
      <c r="S119" s="500"/>
      <c r="T119" s="500"/>
      <c r="U119" s="500"/>
      <c r="V119" s="500"/>
      <c r="W119" s="354"/>
      <c r="X119" s="351"/>
      <c r="Y119" s="351"/>
      <c r="Z119" s="351"/>
      <c r="AA119" s="351"/>
      <c r="AB119" s="351"/>
      <c r="AC119" s="351"/>
      <c r="AD119" s="351"/>
      <c r="AE119" s="351"/>
      <c r="AF119" s="351"/>
      <c r="AG119" s="2"/>
    </row>
    <row r="120" spans="1:33" ht="13.5" customHeight="1">
      <c r="A120" s="351"/>
      <c r="B120" s="500"/>
      <c r="C120" s="500"/>
      <c r="D120" s="500"/>
      <c r="E120" s="500"/>
      <c r="F120" s="500"/>
      <c r="G120" s="509"/>
      <c r="H120" s="500"/>
      <c r="I120" s="508"/>
      <c r="J120" s="508"/>
      <c r="K120" s="508"/>
      <c r="L120" s="508"/>
      <c r="M120" s="500"/>
      <c r="N120" s="500"/>
      <c r="O120" s="500"/>
      <c r="P120" s="500"/>
      <c r="Q120" s="500"/>
      <c r="R120" s="500"/>
      <c r="S120" s="500"/>
      <c r="T120" s="500"/>
      <c r="U120" s="500"/>
      <c r="V120" s="500"/>
      <c r="W120" s="354"/>
      <c r="X120" s="351"/>
      <c r="Y120" s="351"/>
      <c r="Z120" s="351"/>
      <c r="AA120" s="351"/>
      <c r="AB120" s="351"/>
      <c r="AC120" s="351"/>
      <c r="AD120" s="351"/>
      <c r="AE120" s="351"/>
      <c r="AF120" s="351"/>
      <c r="AG120" s="2"/>
    </row>
    <row r="121" spans="1:33" ht="13.5" customHeight="1">
      <c r="A121" s="351"/>
      <c r="B121" s="500"/>
      <c r="C121" s="500"/>
      <c r="D121" s="500"/>
      <c r="E121" s="500"/>
      <c r="F121" s="500"/>
      <c r="G121" s="509"/>
      <c r="H121" s="500"/>
      <c r="I121" s="508"/>
      <c r="J121" s="508"/>
      <c r="K121" s="508"/>
      <c r="L121" s="508"/>
      <c r="M121" s="500"/>
      <c r="N121" s="500"/>
      <c r="O121" s="500"/>
      <c r="P121" s="500"/>
      <c r="Q121" s="500"/>
      <c r="R121" s="500"/>
      <c r="S121" s="500"/>
      <c r="T121" s="500"/>
      <c r="U121" s="500"/>
      <c r="V121" s="500"/>
      <c r="W121" s="354"/>
      <c r="X121" s="351"/>
      <c r="Y121" s="351"/>
      <c r="Z121" s="351"/>
      <c r="AA121" s="351"/>
      <c r="AB121" s="351"/>
      <c r="AC121" s="351"/>
      <c r="AD121" s="351"/>
      <c r="AE121" s="351"/>
      <c r="AF121" s="351"/>
      <c r="AG121" s="2"/>
    </row>
    <row r="122" spans="1:33" ht="13.5" customHeight="1">
      <c r="A122" s="351"/>
      <c r="B122" s="500"/>
      <c r="C122" s="500"/>
      <c r="D122" s="500"/>
      <c r="E122" s="500"/>
      <c r="F122" s="500"/>
      <c r="G122" s="509"/>
      <c r="H122" s="500"/>
      <c r="I122" s="508"/>
      <c r="J122" s="508"/>
      <c r="K122" s="508"/>
      <c r="L122" s="508"/>
      <c r="M122" s="500"/>
      <c r="N122" s="500"/>
      <c r="O122" s="500"/>
      <c r="P122" s="500"/>
      <c r="Q122" s="500"/>
      <c r="R122" s="500"/>
      <c r="S122" s="500"/>
      <c r="T122" s="500"/>
      <c r="U122" s="500"/>
      <c r="V122" s="500"/>
      <c r="W122" s="354"/>
      <c r="X122" s="351"/>
      <c r="Y122" s="351"/>
      <c r="Z122" s="351"/>
      <c r="AA122" s="351"/>
      <c r="AB122" s="351"/>
      <c r="AC122" s="351"/>
      <c r="AD122" s="351"/>
      <c r="AE122" s="351"/>
      <c r="AF122" s="351"/>
      <c r="AG122" s="2"/>
    </row>
    <row r="123" spans="1:33" ht="13.5" customHeight="1">
      <c r="A123" s="351"/>
      <c r="B123" s="500"/>
      <c r="C123" s="500"/>
      <c r="D123" s="500"/>
      <c r="E123" s="500"/>
      <c r="F123" s="500"/>
      <c r="G123" s="509"/>
      <c r="H123" s="500"/>
      <c r="I123" s="508"/>
      <c r="J123" s="508"/>
      <c r="K123" s="508"/>
      <c r="L123" s="508"/>
      <c r="M123" s="500"/>
      <c r="N123" s="500"/>
      <c r="O123" s="500"/>
      <c r="P123" s="500"/>
      <c r="Q123" s="500"/>
      <c r="R123" s="500"/>
      <c r="S123" s="500"/>
      <c r="T123" s="500"/>
      <c r="U123" s="500"/>
      <c r="V123" s="500"/>
      <c r="W123" s="354"/>
      <c r="X123" s="351"/>
      <c r="Y123" s="351"/>
      <c r="Z123" s="351"/>
      <c r="AA123" s="351"/>
      <c r="AB123" s="351"/>
      <c r="AC123" s="351"/>
      <c r="AD123" s="351"/>
      <c r="AE123" s="351"/>
      <c r="AF123" s="351"/>
      <c r="AG123" s="2"/>
    </row>
    <row r="124" spans="1:33" ht="13.5" customHeight="1">
      <c r="A124" s="351"/>
      <c r="B124" s="500"/>
      <c r="C124" s="500"/>
      <c r="D124" s="500"/>
      <c r="E124" s="500"/>
      <c r="F124" s="500"/>
      <c r="G124" s="509"/>
      <c r="H124" s="500"/>
      <c r="I124" s="508"/>
      <c r="J124" s="508"/>
      <c r="K124" s="508"/>
      <c r="L124" s="508"/>
      <c r="M124" s="500"/>
      <c r="N124" s="500"/>
      <c r="O124" s="500"/>
      <c r="P124" s="500"/>
      <c r="Q124" s="500"/>
      <c r="R124" s="500"/>
      <c r="S124" s="500"/>
      <c r="T124" s="500"/>
      <c r="U124" s="500"/>
      <c r="V124" s="500"/>
      <c r="W124" s="354"/>
      <c r="X124" s="351"/>
      <c r="Y124" s="351"/>
      <c r="Z124" s="351"/>
      <c r="AA124" s="351"/>
      <c r="AB124" s="351"/>
      <c r="AC124" s="351"/>
      <c r="AD124" s="351"/>
      <c r="AE124" s="351"/>
      <c r="AF124" s="351"/>
      <c r="AG124" s="2"/>
    </row>
    <row r="125" spans="1:33" ht="13.5" customHeight="1">
      <c r="A125" s="351"/>
      <c r="B125" s="500"/>
      <c r="C125" s="500"/>
      <c r="D125" s="500"/>
      <c r="E125" s="500"/>
      <c r="F125" s="500"/>
      <c r="G125" s="509"/>
      <c r="H125" s="500"/>
      <c r="I125" s="508"/>
      <c r="J125" s="508"/>
      <c r="K125" s="508"/>
      <c r="L125" s="508"/>
      <c r="M125" s="500"/>
      <c r="N125" s="500"/>
      <c r="O125" s="500"/>
      <c r="P125" s="500"/>
      <c r="Q125" s="500"/>
      <c r="R125" s="500"/>
      <c r="S125" s="500"/>
      <c r="T125" s="500"/>
      <c r="U125" s="500"/>
      <c r="V125" s="500"/>
      <c r="W125" s="354"/>
      <c r="X125" s="351"/>
      <c r="Y125" s="351"/>
      <c r="Z125" s="351"/>
      <c r="AA125" s="351"/>
      <c r="AB125" s="351"/>
      <c r="AC125" s="351"/>
      <c r="AD125" s="351"/>
      <c r="AE125" s="351"/>
      <c r="AF125" s="351"/>
      <c r="AG125" s="2"/>
    </row>
    <row r="126" spans="1:33" ht="13.5" customHeight="1">
      <c r="A126" s="351"/>
      <c r="B126" s="500"/>
      <c r="C126" s="500"/>
      <c r="D126" s="500"/>
      <c r="E126" s="500"/>
      <c r="F126" s="500"/>
      <c r="G126" s="509"/>
      <c r="H126" s="500"/>
      <c r="I126" s="508"/>
      <c r="J126" s="508"/>
      <c r="K126" s="508"/>
      <c r="L126" s="508"/>
      <c r="M126" s="500"/>
      <c r="N126" s="500"/>
      <c r="O126" s="500"/>
      <c r="P126" s="500"/>
      <c r="Q126" s="500"/>
      <c r="R126" s="500"/>
      <c r="S126" s="500"/>
      <c r="T126" s="500"/>
      <c r="U126" s="500"/>
      <c r="V126" s="500"/>
      <c r="W126" s="354"/>
      <c r="X126" s="351"/>
      <c r="Y126" s="351"/>
      <c r="Z126" s="351"/>
      <c r="AA126" s="351"/>
      <c r="AB126" s="351"/>
      <c r="AC126" s="351"/>
      <c r="AD126" s="351"/>
      <c r="AE126" s="351"/>
      <c r="AF126" s="351"/>
      <c r="AG126" s="2"/>
    </row>
    <row r="127" spans="1:33" ht="13.5" customHeight="1">
      <c r="A127" s="351"/>
      <c r="B127" s="500"/>
      <c r="C127" s="500"/>
      <c r="D127" s="500"/>
      <c r="E127" s="500"/>
      <c r="F127" s="500"/>
      <c r="G127" s="509"/>
      <c r="H127" s="500"/>
      <c r="I127" s="508"/>
      <c r="J127" s="508"/>
      <c r="K127" s="508"/>
      <c r="L127" s="508"/>
      <c r="M127" s="500"/>
      <c r="N127" s="500"/>
      <c r="O127" s="500"/>
      <c r="P127" s="500"/>
      <c r="Q127" s="500"/>
      <c r="R127" s="500"/>
      <c r="S127" s="500"/>
      <c r="T127" s="500"/>
      <c r="U127" s="500"/>
      <c r="V127" s="500"/>
      <c r="W127" s="354"/>
      <c r="X127" s="351"/>
      <c r="Y127" s="351"/>
      <c r="Z127" s="351"/>
      <c r="AA127" s="351"/>
      <c r="AB127" s="351"/>
      <c r="AC127" s="351"/>
      <c r="AD127" s="351"/>
      <c r="AE127" s="351"/>
      <c r="AF127" s="351"/>
      <c r="AG127" s="2"/>
    </row>
    <row r="128" spans="1:33" ht="13.5" customHeight="1">
      <c r="A128" s="351"/>
      <c r="B128" s="500"/>
      <c r="C128" s="500"/>
      <c r="D128" s="500"/>
      <c r="E128" s="500"/>
      <c r="F128" s="500"/>
      <c r="G128" s="509"/>
      <c r="H128" s="500"/>
      <c r="I128" s="508"/>
      <c r="J128" s="508"/>
      <c r="K128" s="508"/>
      <c r="L128" s="508"/>
      <c r="M128" s="500"/>
      <c r="N128" s="500"/>
      <c r="O128" s="500"/>
      <c r="P128" s="500"/>
      <c r="Q128" s="500"/>
      <c r="R128" s="500"/>
      <c r="S128" s="500"/>
      <c r="T128" s="500"/>
      <c r="U128" s="500"/>
      <c r="V128" s="500"/>
      <c r="W128" s="354"/>
      <c r="X128" s="351"/>
      <c r="Y128" s="351"/>
      <c r="Z128" s="351"/>
      <c r="AA128" s="351"/>
      <c r="AB128" s="351"/>
      <c r="AC128" s="351"/>
      <c r="AD128" s="351"/>
      <c r="AE128" s="351"/>
      <c r="AF128" s="351"/>
      <c r="AG128" s="2"/>
    </row>
    <row r="129" spans="1:33" ht="13.5" customHeight="1">
      <c r="A129" s="351"/>
      <c r="B129" s="500"/>
      <c r="C129" s="500"/>
      <c r="D129" s="500"/>
      <c r="E129" s="500"/>
      <c r="F129" s="500"/>
      <c r="G129" s="509"/>
      <c r="H129" s="500"/>
      <c r="I129" s="508"/>
      <c r="J129" s="508"/>
      <c r="K129" s="508"/>
      <c r="L129" s="508"/>
      <c r="M129" s="500"/>
      <c r="N129" s="500"/>
      <c r="O129" s="500"/>
      <c r="P129" s="500"/>
      <c r="Q129" s="500"/>
      <c r="R129" s="500"/>
      <c r="S129" s="500"/>
      <c r="T129" s="500"/>
      <c r="U129" s="500"/>
      <c r="V129" s="500"/>
      <c r="W129" s="354"/>
      <c r="X129" s="351"/>
      <c r="Y129" s="351"/>
      <c r="Z129" s="351"/>
      <c r="AA129" s="351"/>
      <c r="AB129" s="351"/>
      <c r="AC129" s="351"/>
      <c r="AD129" s="351"/>
      <c r="AE129" s="351"/>
      <c r="AF129" s="351"/>
      <c r="AG129" s="2"/>
    </row>
    <row r="130" spans="1:33" ht="13.5" customHeight="1">
      <c r="A130" s="351"/>
      <c r="B130" s="500"/>
      <c r="C130" s="500"/>
      <c r="D130" s="500"/>
      <c r="E130" s="500"/>
      <c r="F130" s="500"/>
      <c r="G130" s="509"/>
      <c r="H130" s="500"/>
      <c r="I130" s="508"/>
      <c r="J130" s="508"/>
      <c r="K130" s="508"/>
      <c r="L130" s="508"/>
      <c r="M130" s="500"/>
      <c r="N130" s="500"/>
      <c r="O130" s="500"/>
      <c r="P130" s="500"/>
      <c r="Q130" s="500"/>
      <c r="R130" s="500"/>
      <c r="S130" s="500"/>
      <c r="T130" s="500"/>
      <c r="U130" s="500"/>
      <c r="V130" s="500"/>
      <c r="W130" s="354"/>
      <c r="X130" s="351"/>
      <c r="Y130" s="351"/>
      <c r="Z130" s="351"/>
      <c r="AA130" s="351"/>
      <c r="AB130" s="351"/>
      <c r="AC130" s="351"/>
      <c r="AD130" s="351"/>
      <c r="AE130" s="351"/>
      <c r="AF130" s="351"/>
      <c r="AG130" s="2"/>
    </row>
    <row r="131" spans="1:33" ht="13.5" customHeight="1">
      <c r="A131" s="351"/>
      <c r="B131" s="500"/>
      <c r="C131" s="500"/>
      <c r="D131" s="500"/>
      <c r="E131" s="500"/>
      <c r="F131" s="500"/>
      <c r="G131" s="509"/>
      <c r="H131" s="500"/>
      <c r="I131" s="508"/>
      <c r="J131" s="508"/>
      <c r="K131" s="508"/>
      <c r="L131" s="508"/>
      <c r="M131" s="500"/>
      <c r="N131" s="500"/>
      <c r="O131" s="500"/>
      <c r="P131" s="500"/>
      <c r="Q131" s="500"/>
      <c r="R131" s="500"/>
      <c r="S131" s="500"/>
      <c r="T131" s="500"/>
      <c r="U131" s="500"/>
      <c r="V131" s="500"/>
      <c r="W131" s="354"/>
      <c r="X131" s="351"/>
      <c r="Y131" s="351"/>
      <c r="Z131" s="351"/>
      <c r="AA131" s="351"/>
      <c r="AB131" s="351"/>
      <c r="AC131" s="351"/>
      <c r="AD131" s="351"/>
      <c r="AE131" s="351"/>
      <c r="AF131" s="351"/>
      <c r="AG131" s="2"/>
    </row>
    <row r="132" spans="1:33" ht="13.5" customHeight="1">
      <c r="A132" s="351"/>
      <c r="B132" s="500"/>
      <c r="C132" s="500"/>
      <c r="D132" s="500"/>
      <c r="E132" s="500"/>
      <c r="F132" s="500"/>
      <c r="G132" s="509"/>
      <c r="H132" s="500"/>
      <c r="I132" s="508"/>
      <c r="J132" s="508"/>
      <c r="K132" s="508"/>
      <c r="L132" s="508"/>
      <c r="M132" s="500"/>
      <c r="N132" s="500"/>
      <c r="O132" s="500"/>
      <c r="P132" s="500"/>
      <c r="Q132" s="500"/>
      <c r="R132" s="500"/>
      <c r="S132" s="500"/>
      <c r="T132" s="500"/>
      <c r="U132" s="500"/>
      <c r="V132" s="500"/>
      <c r="W132" s="354"/>
      <c r="X132" s="351"/>
      <c r="Y132" s="351"/>
      <c r="Z132" s="351"/>
      <c r="AA132" s="351"/>
      <c r="AB132" s="351"/>
      <c r="AC132" s="351"/>
      <c r="AD132" s="351"/>
      <c r="AE132" s="351"/>
      <c r="AF132" s="351"/>
      <c r="AG132" s="2"/>
    </row>
    <row r="133" spans="1:33" ht="13.5" customHeight="1">
      <c r="A133" s="351"/>
      <c r="B133" s="500"/>
      <c r="C133" s="500"/>
      <c r="D133" s="500"/>
      <c r="E133" s="500"/>
      <c r="F133" s="500"/>
      <c r="G133" s="509"/>
      <c r="H133" s="500"/>
      <c r="I133" s="508"/>
      <c r="J133" s="508"/>
      <c r="K133" s="508"/>
      <c r="L133" s="508"/>
      <c r="M133" s="500"/>
      <c r="N133" s="500"/>
      <c r="O133" s="500"/>
      <c r="P133" s="500"/>
      <c r="Q133" s="500"/>
      <c r="R133" s="500"/>
      <c r="S133" s="500"/>
      <c r="T133" s="500"/>
      <c r="U133" s="500"/>
      <c r="V133" s="500"/>
      <c r="W133" s="354"/>
      <c r="X133" s="351"/>
      <c r="Y133" s="351"/>
      <c r="Z133" s="351"/>
      <c r="AA133" s="351"/>
      <c r="AB133" s="351"/>
      <c r="AC133" s="351"/>
      <c r="AD133" s="351"/>
      <c r="AE133" s="351"/>
      <c r="AF133" s="351"/>
      <c r="AG133" s="2"/>
    </row>
    <row r="134" spans="1:33" ht="13.5" customHeight="1">
      <c r="A134" s="351"/>
      <c r="B134" s="500"/>
      <c r="C134" s="500"/>
      <c r="D134" s="500"/>
      <c r="E134" s="500"/>
      <c r="F134" s="500"/>
      <c r="G134" s="509"/>
      <c r="H134" s="500"/>
      <c r="I134" s="508"/>
      <c r="J134" s="508"/>
      <c r="K134" s="508"/>
      <c r="L134" s="508"/>
      <c r="M134" s="500"/>
      <c r="N134" s="500"/>
      <c r="O134" s="500"/>
      <c r="P134" s="500"/>
      <c r="Q134" s="500"/>
      <c r="R134" s="500"/>
      <c r="S134" s="500"/>
      <c r="T134" s="500"/>
      <c r="U134" s="500"/>
      <c r="V134" s="500"/>
      <c r="W134" s="354"/>
      <c r="X134" s="351"/>
      <c r="Y134" s="351"/>
      <c r="Z134" s="351"/>
      <c r="AA134" s="351"/>
      <c r="AB134" s="351"/>
      <c r="AC134" s="351"/>
      <c r="AD134" s="351"/>
      <c r="AE134" s="351"/>
      <c r="AF134" s="351"/>
      <c r="AG134" s="2"/>
    </row>
    <row r="135" spans="1:33" ht="13.5" customHeight="1">
      <c r="A135" s="351"/>
      <c r="B135" s="500"/>
      <c r="C135" s="500"/>
      <c r="D135" s="500"/>
      <c r="E135" s="500"/>
      <c r="F135" s="500"/>
      <c r="G135" s="509"/>
      <c r="H135" s="500"/>
      <c r="I135" s="508"/>
      <c r="J135" s="508"/>
      <c r="K135" s="508"/>
      <c r="L135" s="508"/>
      <c r="M135" s="500"/>
      <c r="N135" s="500"/>
      <c r="O135" s="500"/>
      <c r="P135" s="500"/>
      <c r="Q135" s="500"/>
      <c r="R135" s="500"/>
      <c r="S135" s="500"/>
      <c r="T135" s="500"/>
      <c r="U135" s="500"/>
      <c r="V135" s="500"/>
      <c r="W135" s="354"/>
      <c r="X135" s="351"/>
      <c r="Y135" s="351"/>
      <c r="Z135" s="351"/>
      <c r="AA135" s="351"/>
      <c r="AB135" s="351"/>
      <c r="AC135" s="351"/>
      <c r="AD135" s="351"/>
      <c r="AE135" s="351"/>
      <c r="AF135" s="351"/>
      <c r="AG135" s="2"/>
    </row>
    <row r="136" spans="1:33" ht="13.5" customHeight="1">
      <c r="A136" s="351"/>
      <c r="B136" s="500"/>
      <c r="C136" s="500"/>
      <c r="D136" s="500"/>
      <c r="E136" s="500"/>
      <c r="F136" s="500"/>
      <c r="G136" s="509"/>
      <c r="H136" s="500"/>
      <c r="I136" s="508"/>
      <c r="J136" s="508"/>
      <c r="K136" s="508"/>
      <c r="L136" s="508"/>
      <c r="M136" s="500"/>
      <c r="N136" s="500"/>
      <c r="O136" s="500"/>
      <c r="P136" s="500"/>
      <c r="Q136" s="500"/>
      <c r="R136" s="500"/>
      <c r="S136" s="500"/>
      <c r="T136" s="500"/>
      <c r="U136" s="500"/>
      <c r="V136" s="500"/>
      <c r="W136" s="354"/>
      <c r="X136" s="351"/>
      <c r="Y136" s="351"/>
      <c r="Z136" s="351"/>
      <c r="AA136" s="351"/>
      <c r="AB136" s="351"/>
      <c r="AC136" s="351"/>
      <c r="AD136" s="351"/>
      <c r="AE136" s="351"/>
      <c r="AF136" s="351"/>
      <c r="AG136" s="2"/>
    </row>
    <row r="137" spans="1:33" ht="13.5" customHeight="1">
      <c r="A137" s="351"/>
      <c r="B137" s="500"/>
      <c r="C137" s="500"/>
      <c r="D137" s="500"/>
      <c r="E137" s="500"/>
      <c r="F137" s="500"/>
      <c r="G137" s="509"/>
      <c r="H137" s="500"/>
      <c r="I137" s="508"/>
      <c r="J137" s="508"/>
      <c r="K137" s="508"/>
      <c r="L137" s="508"/>
      <c r="M137" s="500"/>
      <c r="N137" s="500"/>
      <c r="O137" s="500"/>
      <c r="P137" s="500"/>
      <c r="Q137" s="500"/>
      <c r="R137" s="500"/>
      <c r="S137" s="500"/>
      <c r="T137" s="500"/>
      <c r="U137" s="500"/>
      <c r="V137" s="500"/>
      <c r="W137" s="354"/>
      <c r="X137" s="351"/>
      <c r="Y137" s="351"/>
      <c r="Z137" s="351"/>
      <c r="AA137" s="351"/>
      <c r="AB137" s="351"/>
      <c r="AC137" s="351"/>
      <c r="AD137" s="351"/>
      <c r="AE137" s="351"/>
      <c r="AF137" s="351"/>
      <c r="AG137" s="2"/>
    </row>
    <row r="138" spans="1:33" ht="13.5" customHeight="1">
      <c r="A138" s="351"/>
      <c r="B138" s="500"/>
      <c r="C138" s="500"/>
      <c r="D138" s="500"/>
      <c r="E138" s="500"/>
      <c r="F138" s="500"/>
      <c r="G138" s="509"/>
      <c r="H138" s="500"/>
      <c r="I138" s="508"/>
      <c r="J138" s="508"/>
      <c r="K138" s="508"/>
      <c r="L138" s="508"/>
      <c r="M138" s="500"/>
      <c r="N138" s="500"/>
      <c r="O138" s="500"/>
      <c r="P138" s="500"/>
      <c r="Q138" s="500"/>
      <c r="R138" s="500"/>
      <c r="S138" s="500"/>
      <c r="T138" s="500"/>
      <c r="U138" s="500"/>
      <c r="V138" s="500"/>
      <c r="W138" s="354"/>
      <c r="X138" s="351"/>
      <c r="Y138" s="351"/>
      <c r="Z138" s="351"/>
      <c r="AA138" s="351"/>
      <c r="AB138" s="351"/>
      <c r="AC138" s="351"/>
      <c r="AD138" s="351"/>
      <c r="AE138" s="351"/>
      <c r="AF138" s="351"/>
      <c r="AG138" s="2"/>
    </row>
    <row r="139" spans="1:33" ht="13.5" customHeight="1">
      <c r="A139" s="351"/>
      <c r="B139" s="500"/>
      <c r="C139" s="500"/>
      <c r="D139" s="500"/>
      <c r="E139" s="500"/>
      <c r="F139" s="500"/>
      <c r="G139" s="509"/>
      <c r="H139" s="500"/>
      <c r="I139" s="508"/>
      <c r="J139" s="508"/>
      <c r="K139" s="508"/>
      <c r="L139" s="508"/>
      <c r="M139" s="500"/>
      <c r="N139" s="500"/>
      <c r="O139" s="500"/>
      <c r="P139" s="500"/>
      <c r="Q139" s="500"/>
      <c r="R139" s="500"/>
      <c r="S139" s="500"/>
      <c r="T139" s="500"/>
      <c r="U139" s="500"/>
      <c r="V139" s="500"/>
      <c r="W139" s="354"/>
      <c r="X139" s="351"/>
      <c r="Y139" s="351"/>
      <c r="Z139" s="351"/>
      <c r="AA139" s="351"/>
      <c r="AB139" s="351"/>
      <c r="AC139" s="351"/>
      <c r="AD139" s="351"/>
      <c r="AE139" s="351"/>
      <c r="AF139" s="351"/>
      <c r="AG139" s="2"/>
    </row>
    <row r="140" spans="1:33" ht="13.5" customHeight="1">
      <c r="A140" s="351"/>
      <c r="B140" s="500"/>
      <c r="C140" s="500"/>
      <c r="D140" s="500"/>
      <c r="E140" s="500"/>
      <c r="F140" s="500"/>
      <c r="G140" s="509"/>
      <c r="H140" s="500"/>
      <c r="I140" s="508"/>
      <c r="J140" s="508"/>
      <c r="K140" s="508"/>
      <c r="L140" s="508"/>
      <c r="M140" s="500"/>
      <c r="N140" s="500"/>
      <c r="O140" s="500"/>
      <c r="P140" s="500"/>
      <c r="Q140" s="500"/>
      <c r="R140" s="500"/>
      <c r="S140" s="500"/>
      <c r="T140" s="500"/>
      <c r="U140" s="500"/>
      <c r="V140" s="500"/>
      <c r="W140" s="354"/>
      <c r="X140" s="351"/>
      <c r="Y140" s="351"/>
      <c r="Z140" s="351"/>
      <c r="AA140" s="351"/>
      <c r="AB140" s="351"/>
      <c r="AC140" s="351"/>
      <c r="AD140" s="351"/>
      <c r="AE140" s="351"/>
      <c r="AF140" s="351"/>
      <c r="AG140" s="2"/>
    </row>
    <row r="141" spans="1:33" ht="13.5" customHeight="1">
      <c r="A141" s="351"/>
      <c r="B141" s="500"/>
      <c r="C141" s="500"/>
      <c r="D141" s="500"/>
      <c r="E141" s="500"/>
      <c r="F141" s="500"/>
      <c r="G141" s="509"/>
      <c r="H141" s="500"/>
      <c r="I141" s="508"/>
      <c r="J141" s="508"/>
      <c r="K141" s="508"/>
      <c r="L141" s="508"/>
      <c r="M141" s="500"/>
      <c r="N141" s="500"/>
      <c r="O141" s="500"/>
      <c r="P141" s="500"/>
      <c r="Q141" s="500"/>
      <c r="R141" s="500"/>
      <c r="S141" s="500"/>
      <c r="T141" s="500"/>
      <c r="U141" s="500"/>
      <c r="V141" s="500"/>
      <c r="W141" s="354"/>
      <c r="X141" s="351"/>
      <c r="Y141" s="351"/>
      <c r="Z141" s="351"/>
      <c r="AA141" s="351"/>
      <c r="AB141" s="351"/>
      <c r="AC141" s="351"/>
      <c r="AD141" s="351"/>
      <c r="AE141" s="351"/>
      <c r="AF141" s="351"/>
      <c r="AG141" s="2"/>
    </row>
    <row r="142" spans="1:33" ht="13.5" customHeight="1">
      <c r="A142" s="351"/>
      <c r="B142" s="500"/>
      <c r="C142" s="500"/>
      <c r="D142" s="500"/>
      <c r="E142" s="500"/>
      <c r="F142" s="500"/>
      <c r="G142" s="509"/>
      <c r="H142" s="500"/>
      <c r="I142" s="508"/>
      <c r="J142" s="508"/>
      <c r="K142" s="508"/>
      <c r="L142" s="508"/>
      <c r="M142" s="500"/>
      <c r="N142" s="500"/>
      <c r="O142" s="500"/>
      <c r="P142" s="500"/>
      <c r="Q142" s="500"/>
      <c r="R142" s="500"/>
      <c r="S142" s="500"/>
      <c r="T142" s="500"/>
      <c r="U142" s="500"/>
      <c r="V142" s="500"/>
      <c r="W142" s="354"/>
      <c r="X142" s="351"/>
      <c r="Y142" s="351"/>
      <c r="Z142" s="351"/>
      <c r="AA142" s="351"/>
      <c r="AB142" s="351"/>
      <c r="AC142" s="351"/>
      <c r="AD142" s="351"/>
      <c r="AE142" s="351"/>
      <c r="AF142" s="351"/>
      <c r="AG142" s="2"/>
    </row>
    <row r="143" spans="1:33" ht="13.5" customHeight="1">
      <c r="A143" s="351"/>
      <c r="B143" s="500"/>
      <c r="C143" s="500"/>
      <c r="D143" s="500"/>
      <c r="E143" s="500"/>
      <c r="F143" s="500"/>
      <c r="G143" s="509"/>
      <c r="H143" s="500"/>
      <c r="I143" s="508"/>
      <c r="J143" s="508"/>
      <c r="K143" s="508"/>
      <c r="L143" s="508"/>
      <c r="M143" s="500"/>
      <c r="N143" s="500"/>
      <c r="O143" s="500"/>
      <c r="P143" s="500"/>
      <c r="Q143" s="500"/>
      <c r="R143" s="500"/>
      <c r="S143" s="500"/>
      <c r="T143" s="500"/>
      <c r="U143" s="500"/>
      <c r="V143" s="500"/>
      <c r="W143" s="354"/>
      <c r="X143" s="351"/>
      <c r="Y143" s="351"/>
      <c r="Z143" s="351"/>
      <c r="AA143" s="351"/>
      <c r="AB143" s="351"/>
      <c r="AC143" s="351"/>
      <c r="AD143" s="351"/>
      <c r="AE143" s="351"/>
      <c r="AF143" s="351"/>
      <c r="AG143" s="2"/>
    </row>
    <row r="144" spans="1:33" ht="13.5" customHeight="1">
      <c r="A144" s="351"/>
      <c r="B144" s="500"/>
      <c r="C144" s="500"/>
      <c r="D144" s="500"/>
      <c r="E144" s="500"/>
      <c r="F144" s="500"/>
      <c r="G144" s="509"/>
      <c r="H144" s="500"/>
      <c r="I144" s="508"/>
      <c r="J144" s="508"/>
      <c r="K144" s="508"/>
      <c r="L144" s="508"/>
      <c r="M144" s="500"/>
      <c r="N144" s="500"/>
      <c r="O144" s="500"/>
      <c r="P144" s="500"/>
      <c r="Q144" s="500"/>
      <c r="R144" s="500"/>
      <c r="S144" s="500"/>
      <c r="T144" s="500"/>
      <c r="U144" s="500"/>
      <c r="V144" s="500"/>
      <c r="W144" s="354"/>
      <c r="X144" s="351"/>
      <c r="Y144" s="351"/>
      <c r="Z144" s="351"/>
      <c r="AA144" s="351"/>
      <c r="AB144" s="351"/>
      <c r="AC144" s="351"/>
      <c r="AD144" s="351"/>
      <c r="AE144" s="351"/>
      <c r="AF144" s="351"/>
      <c r="AG144" s="2"/>
    </row>
    <row r="145" spans="1:33" ht="13.5" customHeight="1">
      <c r="A145" s="351"/>
      <c r="B145" s="500"/>
      <c r="C145" s="500"/>
      <c r="D145" s="500"/>
      <c r="E145" s="500"/>
      <c r="F145" s="500"/>
      <c r="G145" s="509"/>
      <c r="H145" s="500"/>
      <c r="I145" s="508"/>
      <c r="J145" s="508"/>
      <c r="K145" s="508"/>
      <c r="L145" s="508"/>
      <c r="M145" s="500"/>
      <c r="N145" s="500"/>
      <c r="O145" s="500"/>
      <c r="P145" s="500"/>
      <c r="Q145" s="500"/>
      <c r="R145" s="500"/>
      <c r="S145" s="500"/>
      <c r="T145" s="500"/>
      <c r="U145" s="500"/>
      <c r="V145" s="500"/>
      <c r="W145" s="354"/>
      <c r="X145" s="351"/>
      <c r="Y145" s="351"/>
      <c r="Z145" s="351"/>
      <c r="AA145" s="351"/>
      <c r="AB145" s="351"/>
      <c r="AC145" s="351"/>
      <c r="AD145" s="351"/>
      <c r="AE145" s="351"/>
      <c r="AF145" s="351"/>
      <c r="AG145" s="2"/>
    </row>
    <row r="146" spans="1:33" ht="13.5" customHeight="1">
      <c r="A146" s="351"/>
      <c r="B146" s="500"/>
      <c r="C146" s="500"/>
      <c r="D146" s="500"/>
      <c r="E146" s="500"/>
      <c r="F146" s="500"/>
      <c r="G146" s="509"/>
      <c r="H146" s="500"/>
      <c r="I146" s="508"/>
      <c r="J146" s="508"/>
      <c r="K146" s="508"/>
      <c r="L146" s="508"/>
      <c r="M146" s="500"/>
      <c r="N146" s="500"/>
      <c r="O146" s="500"/>
      <c r="P146" s="500"/>
      <c r="Q146" s="500"/>
      <c r="R146" s="500"/>
      <c r="S146" s="500"/>
      <c r="T146" s="500"/>
      <c r="U146" s="500"/>
      <c r="V146" s="500"/>
      <c r="W146" s="354"/>
      <c r="X146" s="351"/>
      <c r="Y146" s="351"/>
      <c r="Z146" s="351"/>
      <c r="AA146" s="351"/>
      <c r="AB146" s="351"/>
      <c r="AC146" s="351"/>
      <c r="AD146" s="351"/>
      <c r="AE146" s="351"/>
      <c r="AF146" s="351"/>
      <c r="AG146" s="2"/>
    </row>
    <row r="147" spans="1:33" ht="13.5" customHeight="1">
      <c r="A147" s="351"/>
      <c r="B147" s="500"/>
      <c r="C147" s="500"/>
      <c r="D147" s="500"/>
      <c r="E147" s="500"/>
      <c r="F147" s="500"/>
      <c r="G147" s="509"/>
      <c r="H147" s="500"/>
      <c r="I147" s="508"/>
      <c r="J147" s="508"/>
      <c r="K147" s="508"/>
      <c r="L147" s="508"/>
      <c r="M147" s="500"/>
      <c r="N147" s="500"/>
      <c r="O147" s="500"/>
      <c r="P147" s="500"/>
      <c r="Q147" s="500"/>
      <c r="R147" s="500"/>
      <c r="S147" s="500"/>
      <c r="T147" s="500"/>
      <c r="U147" s="500"/>
      <c r="V147" s="500"/>
      <c r="W147" s="354"/>
      <c r="X147" s="351"/>
      <c r="Y147" s="351"/>
      <c r="Z147" s="351"/>
      <c r="AA147" s="351"/>
      <c r="AB147" s="351"/>
      <c r="AC147" s="351"/>
      <c r="AD147" s="351"/>
      <c r="AE147" s="351"/>
      <c r="AF147" s="351"/>
      <c r="AG147" s="2"/>
    </row>
    <row r="148" spans="1:33" ht="13.5" customHeight="1">
      <c r="A148" s="351"/>
      <c r="B148" s="500"/>
      <c r="C148" s="500"/>
      <c r="D148" s="500"/>
      <c r="E148" s="500"/>
      <c r="F148" s="500"/>
      <c r="G148" s="509"/>
      <c r="H148" s="500"/>
      <c r="I148" s="508"/>
      <c r="J148" s="508"/>
      <c r="K148" s="508"/>
      <c r="L148" s="508"/>
      <c r="M148" s="500"/>
      <c r="N148" s="500"/>
      <c r="O148" s="500"/>
      <c r="P148" s="500"/>
      <c r="Q148" s="500"/>
      <c r="R148" s="500"/>
      <c r="S148" s="500"/>
      <c r="T148" s="500"/>
      <c r="U148" s="500"/>
      <c r="V148" s="500"/>
      <c r="W148" s="354"/>
      <c r="X148" s="351"/>
      <c r="Y148" s="351"/>
      <c r="Z148" s="351"/>
      <c r="AA148" s="351"/>
      <c r="AB148" s="351"/>
      <c r="AC148" s="351"/>
      <c r="AD148" s="351"/>
      <c r="AE148" s="351"/>
      <c r="AF148" s="351"/>
      <c r="AG148" s="2"/>
    </row>
    <row r="149" spans="1:33" ht="13.5" customHeight="1">
      <c r="A149" s="351"/>
      <c r="B149" s="500"/>
      <c r="C149" s="500"/>
      <c r="D149" s="500"/>
      <c r="E149" s="500"/>
      <c r="F149" s="500"/>
      <c r="G149" s="509"/>
      <c r="H149" s="500"/>
      <c r="I149" s="508"/>
      <c r="J149" s="508"/>
      <c r="K149" s="508"/>
      <c r="L149" s="508"/>
      <c r="M149" s="500"/>
      <c r="N149" s="500"/>
      <c r="O149" s="500"/>
      <c r="P149" s="500"/>
      <c r="Q149" s="500"/>
      <c r="R149" s="500"/>
      <c r="S149" s="500"/>
      <c r="T149" s="500"/>
      <c r="U149" s="500"/>
      <c r="V149" s="500"/>
      <c r="W149" s="354"/>
      <c r="X149" s="351"/>
      <c r="Y149" s="351"/>
      <c r="Z149" s="351"/>
      <c r="AA149" s="351"/>
      <c r="AB149" s="351"/>
      <c r="AC149" s="351"/>
      <c r="AD149" s="351"/>
      <c r="AE149" s="351"/>
      <c r="AF149" s="351"/>
      <c r="AG149" s="2"/>
    </row>
    <row r="150" spans="1:33" ht="13.5" customHeight="1">
      <c r="A150" s="351"/>
      <c r="B150" s="500"/>
      <c r="C150" s="500"/>
      <c r="D150" s="500"/>
      <c r="E150" s="500"/>
      <c r="F150" s="500"/>
      <c r="G150" s="509"/>
      <c r="H150" s="500"/>
      <c r="I150" s="508"/>
      <c r="J150" s="508"/>
      <c r="K150" s="508"/>
      <c r="L150" s="508"/>
      <c r="M150" s="500"/>
      <c r="N150" s="500"/>
      <c r="O150" s="500"/>
      <c r="P150" s="500"/>
      <c r="Q150" s="500"/>
      <c r="R150" s="500"/>
      <c r="S150" s="500"/>
      <c r="T150" s="500"/>
      <c r="U150" s="500"/>
      <c r="V150" s="500"/>
      <c r="W150" s="354"/>
      <c r="X150" s="351"/>
      <c r="Y150" s="351"/>
      <c r="Z150" s="351"/>
      <c r="AA150" s="351"/>
      <c r="AB150" s="351"/>
      <c r="AC150" s="351"/>
      <c r="AD150" s="351"/>
      <c r="AE150" s="351"/>
      <c r="AF150" s="351"/>
      <c r="AG150" s="2"/>
    </row>
    <row r="151" spans="1:33" ht="13.5" customHeight="1">
      <c r="A151" s="351"/>
      <c r="B151" s="500"/>
      <c r="C151" s="500"/>
      <c r="D151" s="500"/>
      <c r="E151" s="500"/>
      <c r="F151" s="500"/>
      <c r="G151" s="509"/>
      <c r="H151" s="500"/>
      <c r="I151" s="508"/>
      <c r="J151" s="508"/>
      <c r="K151" s="508"/>
      <c r="L151" s="508"/>
      <c r="M151" s="500"/>
      <c r="N151" s="500"/>
      <c r="O151" s="500"/>
      <c r="P151" s="500"/>
      <c r="Q151" s="500"/>
      <c r="R151" s="500"/>
      <c r="S151" s="500"/>
      <c r="T151" s="500"/>
      <c r="U151" s="500"/>
      <c r="V151" s="500"/>
      <c r="W151" s="354"/>
      <c r="X151" s="351"/>
      <c r="Y151" s="351"/>
      <c r="Z151" s="351"/>
      <c r="AA151" s="351"/>
      <c r="AB151" s="351"/>
      <c r="AC151" s="351"/>
      <c r="AD151" s="351"/>
      <c r="AE151" s="351"/>
      <c r="AF151" s="351"/>
      <c r="AG151" s="2"/>
    </row>
    <row r="152" spans="1:33" ht="13.5" customHeight="1">
      <c r="A152" s="351"/>
      <c r="B152" s="500"/>
      <c r="C152" s="500"/>
      <c r="D152" s="500"/>
      <c r="E152" s="500"/>
      <c r="F152" s="500"/>
      <c r="G152" s="509"/>
      <c r="H152" s="500"/>
      <c r="I152" s="508"/>
      <c r="J152" s="508"/>
      <c r="K152" s="508"/>
      <c r="L152" s="508"/>
      <c r="M152" s="500"/>
      <c r="N152" s="500"/>
      <c r="O152" s="500"/>
      <c r="P152" s="500"/>
      <c r="Q152" s="500"/>
      <c r="R152" s="500"/>
      <c r="S152" s="500"/>
      <c r="T152" s="500"/>
      <c r="U152" s="500"/>
      <c r="V152" s="500"/>
      <c r="W152" s="354"/>
      <c r="X152" s="351"/>
      <c r="Y152" s="351"/>
      <c r="Z152" s="351"/>
      <c r="AA152" s="351"/>
      <c r="AB152" s="351"/>
      <c r="AC152" s="351"/>
      <c r="AD152" s="351"/>
      <c r="AE152" s="351"/>
      <c r="AF152" s="351"/>
      <c r="AG152" s="2"/>
    </row>
    <row r="153" spans="1:33" ht="13.5" customHeight="1">
      <c r="A153" s="351"/>
      <c r="B153" s="500"/>
      <c r="C153" s="500"/>
      <c r="D153" s="500"/>
      <c r="E153" s="500"/>
      <c r="F153" s="500"/>
      <c r="G153" s="509"/>
      <c r="H153" s="500"/>
      <c r="I153" s="508"/>
      <c r="J153" s="508"/>
      <c r="K153" s="508"/>
      <c r="L153" s="508"/>
      <c r="M153" s="500"/>
      <c r="N153" s="500"/>
      <c r="O153" s="500"/>
      <c r="P153" s="500"/>
      <c r="Q153" s="500"/>
      <c r="R153" s="500"/>
      <c r="S153" s="500"/>
      <c r="T153" s="500"/>
      <c r="U153" s="500"/>
      <c r="V153" s="500"/>
      <c r="W153" s="354"/>
      <c r="X153" s="351"/>
      <c r="Y153" s="351"/>
      <c r="Z153" s="351"/>
      <c r="AA153" s="351"/>
      <c r="AB153" s="351"/>
      <c r="AC153" s="351"/>
      <c r="AD153" s="351"/>
      <c r="AE153" s="351"/>
      <c r="AF153" s="351"/>
      <c r="AG153" s="2"/>
    </row>
    <row r="154" spans="1:33" ht="13.5" customHeight="1">
      <c r="A154" s="351"/>
      <c r="B154" s="500"/>
      <c r="C154" s="500"/>
      <c r="D154" s="500"/>
      <c r="E154" s="500"/>
      <c r="F154" s="500"/>
      <c r="G154" s="509"/>
      <c r="H154" s="500"/>
      <c r="I154" s="508"/>
      <c r="J154" s="508"/>
      <c r="K154" s="508"/>
      <c r="L154" s="508"/>
      <c r="M154" s="500"/>
      <c r="N154" s="500"/>
      <c r="O154" s="500"/>
      <c r="P154" s="500"/>
      <c r="Q154" s="500"/>
      <c r="R154" s="500"/>
      <c r="S154" s="500"/>
      <c r="T154" s="500"/>
      <c r="U154" s="500"/>
      <c r="V154" s="500"/>
      <c r="W154" s="354"/>
      <c r="X154" s="351"/>
      <c r="Y154" s="351"/>
      <c r="Z154" s="351"/>
      <c r="AA154" s="351"/>
      <c r="AB154" s="351"/>
      <c r="AC154" s="351"/>
      <c r="AD154" s="351"/>
      <c r="AE154" s="351"/>
      <c r="AF154" s="351"/>
      <c r="AG154" s="2"/>
    </row>
    <row r="155" spans="1:33" ht="13.5" customHeight="1">
      <c r="A155" s="351"/>
      <c r="B155" s="500"/>
      <c r="C155" s="500"/>
      <c r="D155" s="500"/>
      <c r="E155" s="500"/>
      <c r="F155" s="500"/>
      <c r="G155" s="509"/>
      <c r="H155" s="500"/>
      <c r="I155" s="508"/>
      <c r="J155" s="508"/>
      <c r="K155" s="508"/>
      <c r="L155" s="508"/>
      <c r="M155" s="500"/>
      <c r="N155" s="500"/>
      <c r="O155" s="500"/>
      <c r="P155" s="500"/>
      <c r="Q155" s="500"/>
      <c r="R155" s="500"/>
      <c r="S155" s="500"/>
      <c r="T155" s="500"/>
      <c r="U155" s="500"/>
      <c r="V155" s="500"/>
      <c r="W155" s="354"/>
      <c r="X155" s="351"/>
      <c r="Y155" s="351"/>
      <c r="Z155" s="351"/>
      <c r="AA155" s="351"/>
      <c r="AB155" s="351"/>
      <c r="AC155" s="351"/>
      <c r="AD155" s="351"/>
      <c r="AE155" s="351"/>
      <c r="AF155" s="351"/>
      <c r="AG155" s="2"/>
    </row>
    <row r="156" spans="1:33" ht="13.5" customHeight="1">
      <c r="A156" s="351"/>
      <c r="B156" s="500"/>
      <c r="C156" s="500"/>
      <c r="D156" s="500"/>
      <c r="E156" s="500"/>
      <c r="F156" s="500"/>
      <c r="G156" s="509"/>
      <c r="H156" s="500"/>
      <c r="I156" s="508"/>
      <c r="J156" s="508"/>
      <c r="K156" s="508"/>
      <c r="L156" s="508"/>
      <c r="M156" s="500"/>
      <c r="N156" s="500"/>
      <c r="O156" s="500"/>
      <c r="P156" s="500"/>
      <c r="Q156" s="500"/>
      <c r="R156" s="500"/>
      <c r="S156" s="500"/>
      <c r="T156" s="500"/>
      <c r="U156" s="500"/>
      <c r="V156" s="500"/>
      <c r="W156" s="354"/>
      <c r="X156" s="351"/>
      <c r="Y156" s="351"/>
      <c r="Z156" s="351"/>
      <c r="AA156" s="351"/>
      <c r="AB156" s="351"/>
      <c r="AC156" s="351"/>
      <c r="AD156" s="351"/>
      <c r="AE156" s="351"/>
      <c r="AF156" s="351"/>
      <c r="AG156" s="2"/>
    </row>
    <row r="157" spans="1:33" ht="13.5" customHeight="1">
      <c r="A157" s="351"/>
      <c r="B157" s="500"/>
      <c r="C157" s="500"/>
      <c r="D157" s="500"/>
      <c r="E157" s="500"/>
      <c r="F157" s="500"/>
      <c r="G157" s="509"/>
      <c r="H157" s="500"/>
      <c r="I157" s="508"/>
      <c r="J157" s="508"/>
      <c r="K157" s="508"/>
      <c r="L157" s="508"/>
      <c r="M157" s="500"/>
      <c r="N157" s="500"/>
      <c r="O157" s="500"/>
      <c r="P157" s="500"/>
      <c r="Q157" s="500"/>
      <c r="R157" s="500"/>
      <c r="S157" s="500"/>
      <c r="T157" s="500"/>
      <c r="U157" s="500"/>
      <c r="V157" s="500"/>
      <c r="W157" s="354"/>
      <c r="X157" s="351"/>
      <c r="Y157" s="351"/>
      <c r="Z157" s="351"/>
      <c r="AA157" s="351"/>
      <c r="AB157" s="351"/>
      <c r="AC157" s="351"/>
      <c r="AD157" s="351"/>
      <c r="AE157" s="351"/>
      <c r="AF157" s="351"/>
      <c r="AG157" s="2"/>
    </row>
    <row r="158" spans="1:33" ht="13.5" customHeight="1">
      <c r="A158" s="351"/>
      <c r="B158" s="500"/>
      <c r="C158" s="500"/>
      <c r="D158" s="500"/>
      <c r="E158" s="500"/>
      <c r="F158" s="500"/>
      <c r="G158" s="509"/>
      <c r="H158" s="500"/>
      <c r="I158" s="508"/>
      <c r="J158" s="508"/>
      <c r="K158" s="508"/>
      <c r="L158" s="508"/>
      <c r="M158" s="500"/>
      <c r="N158" s="500"/>
      <c r="O158" s="500"/>
      <c r="P158" s="500"/>
      <c r="Q158" s="500"/>
      <c r="R158" s="500"/>
      <c r="S158" s="500"/>
      <c r="T158" s="500"/>
      <c r="U158" s="500"/>
      <c r="V158" s="500"/>
      <c r="W158" s="354"/>
      <c r="X158" s="351"/>
      <c r="Y158" s="351"/>
      <c r="Z158" s="351"/>
      <c r="AA158" s="351"/>
      <c r="AB158" s="351"/>
      <c r="AC158" s="351"/>
      <c r="AD158" s="351"/>
      <c r="AE158" s="351"/>
      <c r="AF158" s="351"/>
      <c r="AG158" s="2"/>
    </row>
    <row r="159" spans="1:33" ht="13.5" customHeight="1">
      <c r="A159" s="351"/>
      <c r="B159" s="500"/>
      <c r="C159" s="500"/>
      <c r="D159" s="500"/>
      <c r="E159" s="500"/>
      <c r="F159" s="500"/>
      <c r="G159" s="509"/>
      <c r="H159" s="500"/>
      <c r="I159" s="508"/>
      <c r="J159" s="508"/>
      <c r="K159" s="508"/>
      <c r="L159" s="508"/>
      <c r="M159" s="500"/>
      <c r="N159" s="500"/>
      <c r="O159" s="500"/>
      <c r="P159" s="500"/>
      <c r="Q159" s="500"/>
      <c r="R159" s="500"/>
      <c r="S159" s="500"/>
      <c r="T159" s="500"/>
      <c r="U159" s="500"/>
      <c r="V159" s="500"/>
      <c r="W159" s="354"/>
      <c r="X159" s="351"/>
      <c r="Y159" s="351"/>
      <c r="Z159" s="351"/>
      <c r="AA159" s="351"/>
      <c r="AB159" s="351"/>
      <c r="AC159" s="351"/>
      <c r="AD159" s="351"/>
      <c r="AE159" s="351"/>
      <c r="AF159" s="351"/>
      <c r="AG159" s="2"/>
    </row>
    <row r="160" spans="1:33" ht="13.5" customHeight="1">
      <c r="A160" s="351"/>
      <c r="B160" s="500"/>
      <c r="C160" s="500"/>
      <c r="D160" s="500"/>
      <c r="E160" s="500"/>
      <c r="F160" s="500"/>
      <c r="G160" s="509"/>
      <c r="H160" s="500"/>
      <c r="I160" s="508"/>
      <c r="J160" s="508"/>
      <c r="K160" s="508"/>
      <c r="L160" s="508"/>
      <c r="M160" s="500"/>
      <c r="N160" s="500"/>
      <c r="O160" s="500"/>
      <c r="P160" s="500"/>
      <c r="Q160" s="500"/>
      <c r="R160" s="500"/>
      <c r="S160" s="500"/>
      <c r="T160" s="500"/>
      <c r="U160" s="500"/>
      <c r="V160" s="500"/>
      <c r="W160" s="354"/>
      <c r="X160" s="351"/>
      <c r="Y160" s="351"/>
      <c r="Z160" s="351"/>
      <c r="AA160" s="351"/>
      <c r="AB160" s="351"/>
      <c r="AC160" s="351"/>
      <c r="AD160" s="351"/>
      <c r="AE160" s="351"/>
      <c r="AF160" s="351"/>
      <c r="AG160" s="2"/>
    </row>
    <row r="161" spans="1:33" ht="13.5" customHeight="1">
      <c r="A161" s="351"/>
      <c r="B161" s="500"/>
      <c r="C161" s="500"/>
      <c r="D161" s="500"/>
      <c r="E161" s="500"/>
      <c r="F161" s="500"/>
      <c r="G161" s="509"/>
      <c r="H161" s="500"/>
      <c r="I161" s="508"/>
      <c r="J161" s="508"/>
      <c r="K161" s="508"/>
      <c r="L161" s="508"/>
      <c r="M161" s="500"/>
      <c r="N161" s="500"/>
      <c r="O161" s="500"/>
      <c r="P161" s="500"/>
      <c r="Q161" s="500"/>
      <c r="R161" s="500"/>
      <c r="S161" s="500"/>
      <c r="T161" s="500"/>
      <c r="U161" s="500"/>
      <c r="V161" s="500"/>
      <c r="W161" s="354"/>
      <c r="X161" s="351"/>
      <c r="Y161" s="351"/>
      <c r="Z161" s="351"/>
      <c r="AA161" s="351"/>
      <c r="AB161" s="351"/>
      <c r="AC161" s="351"/>
      <c r="AD161" s="351"/>
      <c r="AE161" s="351"/>
      <c r="AF161" s="351"/>
      <c r="AG161" s="2"/>
    </row>
    <row r="162" spans="1:33" ht="13.5" customHeight="1">
      <c r="A162" s="351"/>
      <c r="B162" s="500"/>
      <c r="C162" s="500"/>
      <c r="D162" s="500"/>
      <c r="E162" s="500"/>
      <c r="F162" s="500"/>
      <c r="G162" s="509"/>
      <c r="H162" s="500"/>
      <c r="I162" s="508"/>
      <c r="J162" s="508"/>
      <c r="K162" s="508"/>
      <c r="L162" s="508"/>
      <c r="M162" s="500"/>
      <c r="N162" s="500"/>
      <c r="O162" s="500"/>
      <c r="P162" s="500"/>
      <c r="Q162" s="500"/>
      <c r="R162" s="500"/>
      <c r="S162" s="500"/>
      <c r="T162" s="500"/>
      <c r="U162" s="500"/>
      <c r="V162" s="500"/>
      <c r="W162" s="354"/>
      <c r="X162" s="351"/>
      <c r="Y162" s="351"/>
      <c r="Z162" s="351"/>
      <c r="AA162" s="351"/>
      <c r="AB162" s="351"/>
      <c r="AC162" s="351"/>
      <c r="AD162" s="351"/>
      <c r="AE162" s="351"/>
      <c r="AF162" s="351"/>
      <c r="AG162" s="2"/>
    </row>
    <row r="163" spans="1:33" ht="13.5" customHeight="1">
      <c r="A163" s="351"/>
      <c r="B163" s="500"/>
      <c r="C163" s="500"/>
      <c r="D163" s="500"/>
      <c r="E163" s="500"/>
      <c r="F163" s="500"/>
      <c r="G163" s="509"/>
      <c r="H163" s="500"/>
      <c r="I163" s="508"/>
      <c r="J163" s="508"/>
      <c r="K163" s="508"/>
      <c r="L163" s="508"/>
      <c r="M163" s="500"/>
      <c r="N163" s="500"/>
      <c r="O163" s="500"/>
      <c r="P163" s="500"/>
      <c r="Q163" s="500"/>
      <c r="R163" s="500"/>
      <c r="S163" s="500"/>
      <c r="T163" s="500"/>
      <c r="U163" s="500"/>
      <c r="V163" s="500"/>
      <c r="W163" s="354"/>
      <c r="X163" s="351"/>
      <c r="Y163" s="351"/>
      <c r="Z163" s="351"/>
      <c r="AA163" s="351"/>
      <c r="AB163" s="351"/>
      <c r="AC163" s="351"/>
      <c r="AD163" s="351"/>
      <c r="AE163" s="351"/>
      <c r="AF163" s="351"/>
      <c r="AG163" s="2"/>
    </row>
    <row r="164" spans="1:33" ht="13.5" customHeight="1">
      <c r="A164" s="351"/>
      <c r="B164" s="500"/>
      <c r="C164" s="500"/>
      <c r="D164" s="500"/>
      <c r="E164" s="500"/>
      <c r="F164" s="500"/>
      <c r="G164" s="509"/>
      <c r="H164" s="500"/>
      <c r="I164" s="508"/>
      <c r="J164" s="508"/>
      <c r="K164" s="508"/>
      <c r="L164" s="508"/>
      <c r="M164" s="500"/>
      <c r="N164" s="500"/>
      <c r="O164" s="500"/>
      <c r="P164" s="500"/>
      <c r="Q164" s="500"/>
      <c r="R164" s="500"/>
      <c r="S164" s="500"/>
      <c r="T164" s="500"/>
      <c r="U164" s="500"/>
      <c r="V164" s="500"/>
      <c r="W164" s="354"/>
      <c r="X164" s="351"/>
      <c r="Y164" s="351"/>
      <c r="Z164" s="351"/>
      <c r="AA164" s="351"/>
      <c r="AB164" s="351"/>
      <c r="AC164" s="351"/>
      <c r="AD164" s="351"/>
      <c r="AE164" s="351"/>
      <c r="AF164" s="351"/>
      <c r="AG164" s="2"/>
    </row>
    <row r="165" spans="1:33" ht="13.5" customHeight="1">
      <c r="A165" s="351"/>
      <c r="B165" s="500"/>
      <c r="C165" s="500"/>
      <c r="D165" s="500"/>
      <c r="E165" s="500"/>
      <c r="F165" s="500"/>
      <c r="G165" s="509"/>
      <c r="H165" s="500"/>
      <c r="I165" s="508"/>
      <c r="J165" s="508"/>
      <c r="K165" s="508"/>
      <c r="L165" s="508"/>
      <c r="M165" s="500"/>
      <c r="N165" s="500"/>
      <c r="O165" s="500"/>
      <c r="P165" s="500"/>
      <c r="Q165" s="500"/>
      <c r="R165" s="500"/>
      <c r="S165" s="500"/>
      <c r="T165" s="500"/>
      <c r="U165" s="500"/>
      <c r="V165" s="500"/>
      <c r="W165" s="354"/>
      <c r="X165" s="351"/>
      <c r="Y165" s="351"/>
      <c r="Z165" s="351"/>
      <c r="AA165" s="351"/>
      <c r="AB165" s="351"/>
      <c r="AC165" s="351"/>
      <c r="AD165" s="351"/>
      <c r="AE165" s="351"/>
      <c r="AF165" s="351"/>
      <c r="AG165" s="2"/>
    </row>
    <row r="166" spans="1:33" ht="13.5" customHeight="1">
      <c r="A166" s="351"/>
      <c r="B166" s="500"/>
      <c r="C166" s="500"/>
      <c r="D166" s="500"/>
      <c r="E166" s="500"/>
      <c r="F166" s="500"/>
      <c r="G166" s="509"/>
      <c r="H166" s="500"/>
      <c r="I166" s="508"/>
      <c r="J166" s="508"/>
      <c r="K166" s="508"/>
      <c r="L166" s="508"/>
      <c r="M166" s="500"/>
      <c r="N166" s="500"/>
      <c r="O166" s="500"/>
      <c r="P166" s="500"/>
      <c r="Q166" s="500"/>
      <c r="R166" s="500"/>
      <c r="S166" s="500"/>
      <c r="T166" s="500"/>
      <c r="U166" s="500"/>
      <c r="V166" s="500"/>
      <c r="W166" s="354"/>
      <c r="X166" s="351"/>
      <c r="Y166" s="351"/>
      <c r="Z166" s="351"/>
      <c r="AA166" s="351"/>
      <c r="AB166" s="351"/>
      <c r="AC166" s="351"/>
      <c r="AD166" s="351"/>
      <c r="AE166" s="351"/>
      <c r="AF166" s="351"/>
      <c r="AG166" s="2"/>
    </row>
    <row r="167" spans="1:33" ht="13.5" customHeight="1">
      <c r="A167" s="351"/>
      <c r="B167" s="500"/>
      <c r="C167" s="500"/>
      <c r="D167" s="500"/>
      <c r="E167" s="500"/>
      <c r="F167" s="500"/>
      <c r="G167" s="509"/>
      <c r="H167" s="500"/>
      <c r="I167" s="508"/>
      <c r="J167" s="508"/>
      <c r="K167" s="508"/>
      <c r="L167" s="508"/>
      <c r="M167" s="500"/>
      <c r="N167" s="500"/>
      <c r="O167" s="500"/>
      <c r="P167" s="500"/>
      <c r="Q167" s="500"/>
      <c r="R167" s="500"/>
      <c r="S167" s="500"/>
      <c r="T167" s="500"/>
      <c r="U167" s="500"/>
      <c r="V167" s="500"/>
      <c r="W167" s="354"/>
      <c r="X167" s="351"/>
      <c r="Y167" s="351"/>
      <c r="Z167" s="351"/>
      <c r="AA167" s="351"/>
      <c r="AB167" s="351"/>
      <c r="AC167" s="351"/>
      <c r="AD167" s="351"/>
      <c r="AE167" s="351"/>
      <c r="AF167" s="351"/>
      <c r="AG167" s="2"/>
    </row>
    <row r="168" spans="1:33" ht="13.5" customHeight="1">
      <c r="A168" s="351"/>
      <c r="B168" s="500"/>
      <c r="C168" s="500"/>
      <c r="D168" s="500"/>
      <c r="E168" s="500"/>
      <c r="F168" s="500"/>
      <c r="G168" s="509"/>
      <c r="H168" s="500"/>
      <c r="I168" s="508"/>
      <c r="J168" s="508"/>
      <c r="K168" s="508"/>
      <c r="L168" s="508"/>
      <c r="M168" s="500"/>
      <c r="N168" s="500"/>
      <c r="O168" s="500"/>
      <c r="P168" s="500"/>
      <c r="Q168" s="500"/>
      <c r="R168" s="500"/>
      <c r="S168" s="500"/>
      <c r="T168" s="500"/>
      <c r="U168" s="500"/>
      <c r="V168" s="500"/>
      <c r="W168" s="354"/>
      <c r="X168" s="351"/>
      <c r="Y168" s="351"/>
      <c r="Z168" s="351"/>
      <c r="AA168" s="351"/>
      <c r="AB168" s="351"/>
      <c r="AC168" s="351"/>
      <c r="AD168" s="351"/>
      <c r="AE168" s="351"/>
      <c r="AF168" s="351"/>
      <c r="AG168" s="2"/>
    </row>
    <row r="169" spans="1:33" ht="13.5" customHeight="1">
      <c r="A169" s="351"/>
      <c r="B169" s="500"/>
      <c r="C169" s="500"/>
      <c r="D169" s="500"/>
      <c r="E169" s="500"/>
      <c r="F169" s="500"/>
      <c r="G169" s="509"/>
      <c r="H169" s="500"/>
      <c r="I169" s="508"/>
      <c r="J169" s="508"/>
      <c r="K169" s="508"/>
      <c r="L169" s="508"/>
      <c r="M169" s="500"/>
      <c r="N169" s="500"/>
      <c r="O169" s="500"/>
      <c r="P169" s="500"/>
      <c r="Q169" s="500"/>
      <c r="R169" s="500"/>
      <c r="S169" s="500"/>
      <c r="T169" s="500"/>
      <c r="U169" s="500"/>
      <c r="V169" s="500"/>
      <c r="W169" s="354"/>
      <c r="X169" s="351"/>
      <c r="Y169" s="351"/>
      <c r="Z169" s="351"/>
      <c r="AA169" s="351"/>
      <c r="AB169" s="351"/>
      <c r="AC169" s="351"/>
      <c r="AD169" s="351"/>
      <c r="AE169" s="351"/>
      <c r="AF169" s="351"/>
      <c r="AG169" s="2"/>
    </row>
    <row r="170" spans="1:33" ht="13.5" customHeight="1">
      <c r="A170" s="351"/>
      <c r="B170" s="500"/>
      <c r="C170" s="500"/>
      <c r="D170" s="500"/>
      <c r="E170" s="500"/>
      <c r="F170" s="500"/>
      <c r="G170" s="509"/>
      <c r="H170" s="500"/>
      <c r="I170" s="508"/>
      <c r="J170" s="508"/>
      <c r="K170" s="508"/>
      <c r="L170" s="508"/>
      <c r="M170" s="500"/>
      <c r="N170" s="500"/>
      <c r="O170" s="500"/>
      <c r="P170" s="500"/>
      <c r="Q170" s="500"/>
      <c r="R170" s="500"/>
      <c r="S170" s="500"/>
      <c r="T170" s="500"/>
      <c r="U170" s="500"/>
      <c r="V170" s="500"/>
      <c r="W170" s="354"/>
      <c r="X170" s="351"/>
      <c r="Y170" s="351"/>
      <c r="Z170" s="351"/>
      <c r="AA170" s="351"/>
      <c r="AB170" s="351"/>
      <c r="AC170" s="351"/>
      <c r="AD170" s="351"/>
      <c r="AE170" s="351"/>
      <c r="AF170" s="351"/>
      <c r="AG170" s="2"/>
    </row>
    <row r="171" spans="1:33" ht="13.5" customHeight="1">
      <c r="A171" s="351"/>
      <c r="B171" s="500"/>
      <c r="C171" s="500"/>
      <c r="D171" s="500"/>
      <c r="E171" s="500"/>
      <c r="F171" s="500"/>
      <c r="G171" s="509"/>
      <c r="H171" s="500"/>
      <c r="I171" s="508"/>
      <c r="J171" s="508"/>
      <c r="K171" s="508"/>
      <c r="L171" s="508"/>
      <c r="M171" s="500"/>
      <c r="N171" s="500"/>
      <c r="O171" s="500"/>
      <c r="P171" s="500"/>
      <c r="Q171" s="500"/>
      <c r="R171" s="500"/>
      <c r="S171" s="500"/>
      <c r="T171" s="500"/>
      <c r="U171" s="500"/>
      <c r="V171" s="500"/>
      <c r="W171" s="354"/>
      <c r="X171" s="351"/>
      <c r="Y171" s="351"/>
      <c r="Z171" s="351"/>
      <c r="AA171" s="351"/>
      <c r="AB171" s="351"/>
      <c r="AC171" s="351"/>
      <c r="AD171" s="351"/>
      <c r="AE171" s="351"/>
      <c r="AF171" s="351"/>
      <c r="AG171" s="2"/>
    </row>
    <row r="172" spans="1:33" ht="13.5" customHeight="1">
      <c r="A172" s="351"/>
      <c r="B172" s="500"/>
      <c r="C172" s="500"/>
      <c r="D172" s="500"/>
      <c r="E172" s="500"/>
      <c r="F172" s="500"/>
      <c r="G172" s="509"/>
      <c r="H172" s="500"/>
      <c r="I172" s="508"/>
      <c r="J172" s="508"/>
      <c r="K172" s="508"/>
      <c r="L172" s="508"/>
      <c r="M172" s="500"/>
      <c r="N172" s="500"/>
      <c r="O172" s="500"/>
      <c r="P172" s="500"/>
      <c r="Q172" s="500"/>
      <c r="R172" s="500"/>
      <c r="S172" s="500"/>
      <c r="T172" s="500"/>
      <c r="U172" s="500"/>
      <c r="V172" s="500"/>
      <c r="W172" s="354"/>
      <c r="X172" s="351"/>
      <c r="Y172" s="351"/>
      <c r="Z172" s="351"/>
      <c r="AA172" s="351"/>
      <c r="AB172" s="351"/>
      <c r="AC172" s="351"/>
      <c r="AD172" s="351"/>
      <c r="AE172" s="351"/>
      <c r="AF172" s="351"/>
      <c r="AG172" s="2"/>
    </row>
    <row r="173" spans="1:33" ht="13.5" customHeight="1">
      <c r="A173" s="351"/>
      <c r="B173" s="500"/>
      <c r="C173" s="500"/>
      <c r="D173" s="500"/>
      <c r="E173" s="500"/>
      <c r="F173" s="500"/>
      <c r="G173" s="509"/>
      <c r="H173" s="500"/>
      <c r="I173" s="508"/>
      <c r="J173" s="508"/>
      <c r="K173" s="508"/>
      <c r="L173" s="508"/>
      <c r="M173" s="500"/>
      <c r="N173" s="500"/>
      <c r="O173" s="500"/>
      <c r="P173" s="500"/>
      <c r="Q173" s="500"/>
      <c r="R173" s="500"/>
      <c r="S173" s="500"/>
      <c r="T173" s="500"/>
      <c r="U173" s="500"/>
      <c r="V173" s="500"/>
      <c r="W173" s="354"/>
      <c r="X173" s="351"/>
      <c r="Y173" s="351"/>
      <c r="Z173" s="351"/>
      <c r="AA173" s="351"/>
      <c r="AB173" s="351"/>
      <c r="AC173" s="351"/>
      <c r="AD173" s="351"/>
      <c r="AE173" s="351"/>
      <c r="AF173" s="351"/>
      <c r="AG173" s="2"/>
    </row>
    <row r="174" spans="1:33" ht="13.5" customHeight="1">
      <c r="A174" s="351"/>
      <c r="B174" s="500"/>
      <c r="C174" s="500"/>
      <c r="D174" s="500"/>
      <c r="E174" s="500"/>
      <c r="F174" s="500"/>
      <c r="G174" s="509"/>
      <c r="H174" s="500"/>
      <c r="I174" s="508"/>
      <c r="J174" s="508"/>
      <c r="K174" s="508"/>
      <c r="L174" s="508"/>
      <c r="M174" s="500"/>
      <c r="N174" s="500"/>
      <c r="O174" s="500"/>
      <c r="P174" s="500"/>
      <c r="Q174" s="500"/>
      <c r="R174" s="500"/>
      <c r="S174" s="500"/>
      <c r="T174" s="500"/>
      <c r="U174" s="500"/>
      <c r="V174" s="500"/>
      <c r="W174" s="354"/>
      <c r="X174" s="351"/>
      <c r="Y174" s="351"/>
      <c r="Z174" s="351"/>
      <c r="AA174" s="351"/>
      <c r="AB174" s="351"/>
      <c r="AC174" s="351"/>
      <c r="AD174" s="351"/>
      <c r="AE174" s="351"/>
      <c r="AF174" s="351"/>
      <c r="AG174" s="2"/>
    </row>
    <row r="175" spans="1:33" ht="13.5" customHeight="1">
      <c r="A175" s="351"/>
      <c r="B175" s="500"/>
      <c r="C175" s="500"/>
      <c r="D175" s="500"/>
      <c r="E175" s="500"/>
      <c r="F175" s="500"/>
      <c r="G175" s="509"/>
      <c r="H175" s="500"/>
      <c r="I175" s="508"/>
      <c r="J175" s="508"/>
      <c r="K175" s="508"/>
      <c r="L175" s="508"/>
      <c r="M175" s="500"/>
      <c r="N175" s="500"/>
      <c r="O175" s="500"/>
      <c r="P175" s="500"/>
      <c r="Q175" s="500"/>
      <c r="R175" s="500"/>
      <c r="S175" s="500"/>
      <c r="T175" s="500"/>
      <c r="U175" s="500"/>
      <c r="V175" s="500"/>
      <c r="W175" s="354"/>
      <c r="X175" s="351"/>
      <c r="Y175" s="351"/>
      <c r="Z175" s="351"/>
      <c r="AA175" s="351"/>
      <c r="AB175" s="351"/>
      <c r="AC175" s="351"/>
      <c r="AD175" s="351"/>
      <c r="AE175" s="351"/>
      <c r="AF175" s="351"/>
      <c r="AG175" s="2"/>
    </row>
    <row r="176" spans="1:33" ht="13.5" customHeight="1">
      <c r="A176" s="351"/>
      <c r="B176" s="500"/>
      <c r="C176" s="500"/>
      <c r="D176" s="500"/>
      <c r="E176" s="500"/>
      <c r="F176" s="500"/>
      <c r="G176" s="509"/>
      <c r="H176" s="500"/>
      <c r="I176" s="508"/>
      <c r="J176" s="508"/>
      <c r="K176" s="508"/>
      <c r="L176" s="508"/>
      <c r="M176" s="500"/>
      <c r="N176" s="500"/>
      <c r="O176" s="500"/>
      <c r="P176" s="500"/>
      <c r="Q176" s="500"/>
      <c r="R176" s="500"/>
      <c r="S176" s="500"/>
      <c r="T176" s="500"/>
      <c r="U176" s="500"/>
      <c r="V176" s="500"/>
      <c r="W176" s="354"/>
      <c r="X176" s="351"/>
      <c r="Y176" s="351"/>
      <c r="Z176" s="351"/>
      <c r="AA176" s="351"/>
      <c r="AB176" s="351"/>
      <c r="AC176" s="351"/>
      <c r="AD176" s="351"/>
      <c r="AE176" s="351"/>
      <c r="AF176" s="351"/>
      <c r="AG176" s="2"/>
    </row>
    <row r="177" spans="1:33" ht="13.5" customHeight="1">
      <c r="A177" s="351"/>
      <c r="B177" s="500"/>
      <c r="C177" s="500"/>
      <c r="D177" s="500"/>
      <c r="E177" s="500"/>
      <c r="F177" s="500"/>
      <c r="G177" s="509"/>
      <c r="H177" s="500"/>
      <c r="I177" s="508"/>
      <c r="J177" s="508"/>
      <c r="K177" s="508"/>
      <c r="L177" s="508"/>
      <c r="M177" s="500"/>
      <c r="N177" s="500"/>
      <c r="O177" s="500"/>
      <c r="P177" s="500"/>
      <c r="Q177" s="500"/>
      <c r="R177" s="500"/>
      <c r="S177" s="500"/>
      <c r="T177" s="500"/>
      <c r="U177" s="500"/>
      <c r="V177" s="500"/>
      <c r="W177" s="354"/>
      <c r="X177" s="351"/>
      <c r="Y177" s="351"/>
      <c r="Z177" s="351"/>
      <c r="AA177" s="351"/>
      <c r="AB177" s="351"/>
      <c r="AC177" s="351"/>
      <c r="AD177" s="351"/>
      <c r="AE177" s="351"/>
      <c r="AF177" s="351"/>
      <c r="AG177" s="2"/>
    </row>
    <row r="178" spans="1:33" ht="13.5" customHeight="1">
      <c r="A178" s="351"/>
      <c r="B178" s="500"/>
      <c r="C178" s="500"/>
      <c r="D178" s="500"/>
      <c r="E178" s="500"/>
      <c r="F178" s="500"/>
      <c r="G178" s="509"/>
      <c r="H178" s="500"/>
      <c r="I178" s="508"/>
      <c r="J178" s="508"/>
      <c r="K178" s="508"/>
      <c r="L178" s="508"/>
      <c r="M178" s="500"/>
      <c r="N178" s="500"/>
      <c r="O178" s="500"/>
      <c r="P178" s="500"/>
      <c r="Q178" s="500"/>
      <c r="R178" s="500"/>
      <c r="S178" s="500"/>
      <c r="T178" s="500"/>
      <c r="U178" s="500"/>
      <c r="V178" s="500"/>
      <c r="W178" s="354"/>
      <c r="X178" s="351"/>
      <c r="Y178" s="351"/>
      <c r="Z178" s="351"/>
      <c r="AA178" s="351"/>
      <c r="AB178" s="351"/>
      <c r="AC178" s="351"/>
      <c r="AD178" s="351"/>
      <c r="AE178" s="351"/>
      <c r="AF178" s="351"/>
      <c r="AG178" s="2"/>
    </row>
    <row r="179" spans="1:33" ht="13.5" customHeight="1">
      <c r="A179" s="351"/>
      <c r="B179" s="500"/>
      <c r="C179" s="500"/>
      <c r="D179" s="500"/>
      <c r="E179" s="500"/>
      <c r="F179" s="500"/>
      <c r="G179" s="509"/>
      <c r="H179" s="500"/>
      <c r="I179" s="508"/>
      <c r="J179" s="508"/>
      <c r="K179" s="508"/>
      <c r="L179" s="508"/>
      <c r="M179" s="500"/>
      <c r="N179" s="500"/>
      <c r="O179" s="500"/>
      <c r="P179" s="500"/>
      <c r="Q179" s="500"/>
      <c r="R179" s="500"/>
      <c r="S179" s="500"/>
      <c r="T179" s="500"/>
      <c r="U179" s="500"/>
      <c r="V179" s="500"/>
      <c r="W179" s="354"/>
      <c r="X179" s="351"/>
      <c r="Y179" s="351"/>
      <c r="Z179" s="351"/>
      <c r="AA179" s="351"/>
      <c r="AB179" s="351"/>
      <c r="AC179" s="351"/>
      <c r="AD179" s="351"/>
      <c r="AE179" s="351"/>
      <c r="AF179" s="351"/>
      <c r="AG179" s="2"/>
    </row>
    <row r="180" spans="1:33" ht="13.5" customHeight="1">
      <c r="A180" s="351"/>
      <c r="B180" s="500"/>
      <c r="C180" s="500"/>
      <c r="D180" s="500"/>
      <c r="E180" s="500"/>
      <c r="F180" s="500"/>
      <c r="G180" s="509"/>
      <c r="H180" s="500"/>
      <c r="I180" s="508"/>
      <c r="J180" s="508"/>
      <c r="K180" s="508"/>
      <c r="L180" s="508"/>
      <c r="M180" s="500"/>
      <c r="N180" s="500"/>
      <c r="O180" s="500"/>
      <c r="P180" s="500"/>
      <c r="Q180" s="500"/>
      <c r="R180" s="500"/>
      <c r="S180" s="500"/>
      <c r="T180" s="500"/>
      <c r="U180" s="500"/>
      <c r="V180" s="500"/>
      <c r="W180" s="354"/>
      <c r="X180" s="351"/>
      <c r="Y180" s="351"/>
      <c r="Z180" s="351"/>
      <c r="AA180" s="351"/>
      <c r="AB180" s="351"/>
      <c r="AC180" s="351"/>
      <c r="AD180" s="351"/>
      <c r="AE180" s="351"/>
      <c r="AF180" s="351"/>
      <c r="AG180" s="2"/>
    </row>
    <row r="181" spans="1:33" ht="13.5" customHeight="1">
      <c r="A181" s="351"/>
      <c r="B181" s="500"/>
      <c r="C181" s="500"/>
      <c r="D181" s="500"/>
      <c r="E181" s="500"/>
      <c r="F181" s="500"/>
      <c r="G181" s="509"/>
      <c r="H181" s="500"/>
      <c r="I181" s="508"/>
      <c r="J181" s="508"/>
      <c r="K181" s="508"/>
      <c r="L181" s="508"/>
      <c r="M181" s="500"/>
      <c r="N181" s="500"/>
      <c r="O181" s="500"/>
      <c r="P181" s="500"/>
      <c r="Q181" s="500"/>
      <c r="R181" s="500"/>
      <c r="S181" s="500"/>
      <c r="T181" s="500"/>
      <c r="U181" s="500"/>
      <c r="V181" s="500"/>
      <c r="W181" s="354"/>
      <c r="X181" s="351"/>
      <c r="Y181" s="351"/>
      <c r="Z181" s="351"/>
      <c r="AA181" s="351"/>
      <c r="AB181" s="351"/>
      <c r="AC181" s="351"/>
      <c r="AD181" s="351"/>
      <c r="AE181" s="351"/>
      <c r="AF181" s="351"/>
      <c r="AG181" s="2"/>
    </row>
    <row r="182" spans="1:33" ht="13.5" customHeight="1">
      <c r="A182" s="351"/>
      <c r="B182" s="500"/>
      <c r="C182" s="500"/>
      <c r="D182" s="500"/>
      <c r="E182" s="500"/>
      <c r="F182" s="500"/>
      <c r="G182" s="509"/>
      <c r="H182" s="500"/>
      <c r="I182" s="508"/>
      <c r="J182" s="508"/>
      <c r="K182" s="508"/>
      <c r="L182" s="508"/>
      <c r="M182" s="500"/>
      <c r="N182" s="500"/>
      <c r="O182" s="500"/>
      <c r="P182" s="500"/>
      <c r="Q182" s="500"/>
      <c r="R182" s="500"/>
      <c r="S182" s="500"/>
      <c r="T182" s="500"/>
      <c r="U182" s="500"/>
      <c r="V182" s="500"/>
      <c r="W182" s="354"/>
      <c r="X182" s="351"/>
      <c r="Y182" s="351"/>
      <c r="Z182" s="351"/>
      <c r="AA182" s="351"/>
      <c r="AB182" s="351"/>
      <c r="AC182" s="351"/>
      <c r="AD182" s="351"/>
      <c r="AE182" s="351"/>
      <c r="AF182" s="351"/>
      <c r="AG182" s="2"/>
    </row>
    <row r="183" spans="1:33" ht="13.5" customHeight="1">
      <c r="A183" s="351"/>
      <c r="B183" s="500"/>
      <c r="C183" s="500"/>
      <c r="D183" s="500"/>
      <c r="E183" s="500"/>
      <c r="F183" s="500"/>
      <c r="G183" s="509"/>
      <c r="H183" s="500"/>
      <c r="I183" s="508"/>
      <c r="J183" s="508"/>
      <c r="K183" s="508"/>
      <c r="L183" s="508"/>
      <c r="M183" s="500"/>
      <c r="N183" s="500"/>
      <c r="O183" s="500"/>
      <c r="P183" s="500"/>
      <c r="Q183" s="500"/>
      <c r="R183" s="500"/>
      <c r="S183" s="500"/>
      <c r="T183" s="500"/>
      <c r="U183" s="500"/>
      <c r="V183" s="500"/>
      <c r="W183" s="354"/>
      <c r="X183" s="351"/>
      <c r="Y183" s="351"/>
      <c r="Z183" s="351"/>
      <c r="AA183" s="351"/>
      <c r="AB183" s="351"/>
      <c r="AC183" s="351"/>
      <c r="AD183" s="351"/>
      <c r="AE183" s="351"/>
      <c r="AF183" s="351"/>
      <c r="AG183" s="2"/>
    </row>
    <row r="184" spans="1:33" ht="13.5" customHeight="1">
      <c r="A184" s="351"/>
      <c r="B184" s="500"/>
      <c r="C184" s="500"/>
      <c r="D184" s="500"/>
      <c r="E184" s="500"/>
      <c r="F184" s="500"/>
      <c r="G184" s="509"/>
      <c r="H184" s="500"/>
      <c r="I184" s="508"/>
      <c r="J184" s="508"/>
      <c r="K184" s="508"/>
      <c r="L184" s="508"/>
      <c r="M184" s="500"/>
      <c r="N184" s="500"/>
      <c r="O184" s="500"/>
      <c r="P184" s="500"/>
      <c r="Q184" s="500"/>
      <c r="R184" s="500"/>
      <c r="S184" s="500"/>
      <c r="T184" s="500"/>
      <c r="U184" s="500"/>
      <c r="V184" s="500"/>
      <c r="W184" s="354"/>
      <c r="X184" s="351"/>
      <c r="Y184" s="351"/>
      <c r="Z184" s="351"/>
      <c r="AA184" s="351"/>
      <c r="AB184" s="351"/>
      <c r="AC184" s="351"/>
      <c r="AD184" s="351"/>
      <c r="AE184" s="351"/>
      <c r="AF184" s="351"/>
      <c r="AG184" s="2"/>
    </row>
    <row r="185" spans="1:33" ht="13.5" customHeight="1">
      <c r="A185" s="351"/>
      <c r="B185" s="500"/>
      <c r="C185" s="500"/>
      <c r="D185" s="500"/>
      <c r="E185" s="500"/>
      <c r="F185" s="500"/>
      <c r="G185" s="509"/>
      <c r="H185" s="500"/>
      <c r="I185" s="508"/>
      <c r="J185" s="508"/>
      <c r="K185" s="508"/>
      <c r="L185" s="508"/>
      <c r="M185" s="500"/>
      <c r="N185" s="500"/>
      <c r="O185" s="500"/>
      <c r="P185" s="500"/>
      <c r="Q185" s="500"/>
      <c r="R185" s="500"/>
      <c r="S185" s="500"/>
      <c r="T185" s="500"/>
      <c r="U185" s="500"/>
      <c r="V185" s="500"/>
      <c r="W185" s="354"/>
      <c r="X185" s="351"/>
      <c r="Y185" s="351"/>
      <c r="Z185" s="351"/>
      <c r="AA185" s="351"/>
      <c r="AB185" s="351"/>
      <c r="AC185" s="351"/>
      <c r="AD185" s="351"/>
      <c r="AE185" s="351"/>
      <c r="AF185" s="351"/>
      <c r="AG185" s="2"/>
    </row>
    <row r="186" spans="1:33" ht="13.5" customHeight="1">
      <c r="A186" s="351"/>
      <c r="B186" s="500"/>
      <c r="C186" s="500"/>
      <c r="D186" s="500"/>
      <c r="E186" s="500"/>
      <c r="F186" s="500"/>
      <c r="G186" s="509"/>
      <c r="H186" s="500"/>
      <c r="I186" s="508"/>
      <c r="J186" s="508"/>
      <c r="K186" s="508"/>
      <c r="L186" s="508"/>
      <c r="M186" s="500"/>
      <c r="N186" s="500"/>
      <c r="O186" s="500"/>
      <c r="P186" s="500"/>
      <c r="Q186" s="500"/>
      <c r="R186" s="500"/>
      <c r="S186" s="500"/>
      <c r="T186" s="500"/>
      <c r="U186" s="500"/>
      <c r="V186" s="500"/>
      <c r="W186" s="354"/>
      <c r="X186" s="351"/>
      <c r="Y186" s="351"/>
      <c r="Z186" s="351"/>
      <c r="AA186" s="351"/>
      <c r="AB186" s="351"/>
      <c r="AC186" s="351"/>
      <c r="AD186" s="351"/>
      <c r="AE186" s="351"/>
      <c r="AF186" s="351"/>
      <c r="AG186" s="2"/>
    </row>
    <row r="187" spans="1:33" ht="13.5" customHeight="1">
      <c r="A187" s="351"/>
      <c r="B187" s="500"/>
      <c r="C187" s="500"/>
      <c r="D187" s="500"/>
      <c r="E187" s="500"/>
      <c r="F187" s="500"/>
      <c r="G187" s="509"/>
      <c r="H187" s="500"/>
      <c r="I187" s="508"/>
      <c r="J187" s="508"/>
      <c r="K187" s="508"/>
      <c r="L187" s="508"/>
      <c r="M187" s="500"/>
      <c r="N187" s="500"/>
      <c r="O187" s="500"/>
      <c r="P187" s="500"/>
      <c r="Q187" s="500"/>
      <c r="R187" s="500"/>
      <c r="S187" s="500"/>
      <c r="T187" s="500"/>
      <c r="U187" s="500"/>
      <c r="V187" s="500"/>
      <c r="W187" s="354"/>
      <c r="X187" s="351"/>
      <c r="Y187" s="351"/>
      <c r="Z187" s="351"/>
      <c r="AA187" s="351"/>
      <c r="AB187" s="351"/>
      <c r="AC187" s="351"/>
      <c r="AD187" s="351"/>
      <c r="AE187" s="351"/>
      <c r="AF187" s="351"/>
      <c r="AG187" s="2"/>
    </row>
    <row r="188" spans="1:33" ht="13.5" customHeight="1">
      <c r="A188" s="351"/>
      <c r="B188" s="500"/>
      <c r="C188" s="500"/>
      <c r="D188" s="500"/>
      <c r="E188" s="500"/>
      <c r="F188" s="500"/>
      <c r="G188" s="509"/>
      <c r="H188" s="500"/>
      <c r="I188" s="508"/>
      <c r="J188" s="508"/>
      <c r="K188" s="508"/>
      <c r="L188" s="508"/>
      <c r="M188" s="500"/>
      <c r="N188" s="500"/>
      <c r="O188" s="500"/>
      <c r="P188" s="500"/>
      <c r="Q188" s="500"/>
      <c r="R188" s="500"/>
      <c r="S188" s="500"/>
      <c r="T188" s="500"/>
      <c r="U188" s="500"/>
      <c r="V188" s="500"/>
      <c r="W188" s="354"/>
      <c r="X188" s="351"/>
      <c r="Y188" s="351"/>
      <c r="Z188" s="351"/>
      <c r="AA188" s="351"/>
      <c r="AB188" s="351"/>
      <c r="AC188" s="351"/>
      <c r="AD188" s="351"/>
      <c r="AE188" s="351"/>
      <c r="AF188" s="351"/>
      <c r="AG188" s="2"/>
    </row>
    <row r="189" spans="1:33" ht="13.5" customHeight="1">
      <c r="A189" s="351"/>
      <c r="B189" s="500"/>
      <c r="C189" s="500"/>
      <c r="D189" s="500"/>
      <c r="E189" s="500"/>
      <c r="F189" s="500"/>
      <c r="G189" s="509"/>
      <c r="H189" s="500"/>
      <c r="I189" s="508"/>
      <c r="J189" s="508"/>
      <c r="K189" s="508"/>
      <c r="L189" s="508"/>
      <c r="M189" s="500"/>
      <c r="N189" s="500"/>
      <c r="O189" s="500"/>
      <c r="P189" s="500"/>
      <c r="Q189" s="500"/>
      <c r="R189" s="500"/>
      <c r="S189" s="500"/>
      <c r="T189" s="500"/>
      <c r="U189" s="500"/>
      <c r="V189" s="500"/>
      <c r="W189" s="354"/>
      <c r="X189" s="351"/>
      <c r="Y189" s="351"/>
      <c r="Z189" s="351"/>
      <c r="AA189" s="351"/>
      <c r="AB189" s="351"/>
      <c r="AC189" s="351"/>
      <c r="AD189" s="351"/>
      <c r="AE189" s="351"/>
      <c r="AF189" s="351"/>
      <c r="AG189" s="2"/>
    </row>
    <row r="190" spans="1:33" ht="13.5" customHeight="1">
      <c r="A190" s="351"/>
      <c r="B190" s="500"/>
      <c r="C190" s="500"/>
      <c r="D190" s="500"/>
      <c r="E190" s="500"/>
      <c r="F190" s="500"/>
      <c r="G190" s="509"/>
      <c r="H190" s="500"/>
      <c r="I190" s="508"/>
      <c r="J190" s="508"/>
      <c r="K190" s="508"/>
      <c r="L190" s="508"/>
      <c r="M190" s="500"/>
      <c r="N190" s="500"/>
      <c r="O190" s="500"/>
      <c r="P190" s="500"/>
      <c r="Q190" s="500"/>
      <c r="R190" s="500"/>
      <c r="S190" s="500"/>
      <c r="T190" s="500"/>
      <c r="U190" s="500"/>
      <c r="V190" s="500"/>
      <c r="W190" s="354"/>
      <c r="X190" s="351"/>
      <c r="Y190" s="351"/>
      <c r="Z190" s="351"/>
      <c r="AA190" s="351"/>
      <c r="AB190" s="351"/>
      <c r="AC190" s="351"/>
      <c r="AD190" s="351"/>
      <c r="AE190" s="351"/>
      <c r="AF190" s="351"/>
      <c r="AG190" s="2"/>
    </row>
    <row r="191" spans="1:33" ht="13.5" customHeight="1">
      <c r="A191" s="351"/>
      <c r="B191" s="500"/>
      <c r="C191" s="500"/>
      <c r="D191" s="500"/>
      <c r="E191" s="500"/>
      <c r="F191" s="500"/>
      <c r="G191" s="509"/>
      <c r="H191" s="500"/>
      <c r="I191" s="508"/>
      <c r="J191" s="508"/>
      <c r="K191" s="508"/>
      <c r="L191" s="508"/>
      <c r="M191" s="500"/>
      <c r="N191" s="500"/>
      <c r="O191" s="500"/>
      <c r="P191" s="500"/>
      <c r="Q191" s="500"/>
      <c r="R191" s="500"/>
      <c r="S191" s="500"/>
      <c r="T191" s="500"/>
      <c r="U191" s="500"/>
      <c r="V191" s="500"/>
      <c r="W191" s="354"/>
      <c r="X191" s="351"/>
      <c r="Y191" s="351"/>
      <c r="Z191" s="351"/>
      <c r="AA191" s="351"/>
      <c r="AB191" s="351"/>
      <c r="AC191" s="351"/>
      <c r="AD191" s="351"/>
      <c r="AE191" s="351"/>
      <c r="AF191" s="351"/>
      <c r="AG191" s="2"/>
    </row>
    <row r="192" spans="1:33" ht="13.5" customHeight="1">
      <c r="A192" s="351"/>
      <c r="B192" s="500"/>
      <c r="C192" s="500"/>
      <c r="D192" s="500"/>
      <c r="E192" s="500"/>
      <c r="F192" s="500"/>
      <c r="G192" s="509"/>
      <c r="H192" s="500"/>
      <c r="I192" s="508"/>
      <c r="J192" s="508"/>
      <c r="K192" s="508"/>
      <c r="L192" s="508"/>
      <c r="M192" s="500"/>
      <c r="N192" s="500"/>
      <c r="O192" s="500"/>
      <c r="P192" s="500"/>
      <c r="Q192" s="500"/>
      <c r="R192" s="500"/>
      <c r="S192" s="500"/>
      <c r="T192" s="500"/>
      <c r="U192" s="500"/>
      <c r="V192" s="500"/>
      <c r="W192" s="354"/>
      <c r="X192" s="351"/>
      <c r="Y192" s="351"/>
      <c r="Z192" s="351"/>
      <c r="AA192" s="351"/>
      <c r="AB192" s="351"/>
      <c r="AC192" s="351"/>
      <c r="AD192" s="351"/>
      <c r="AE192" s="351"/>
      <c r="AF192" s="351"/>
      <c r="AG192" s="2"/>
    </row>
    <row r="193" spans="1:33" ht="13.5" customHeight="1">
      <c r="A193" s="351"/>
      <c r="B193" s="500"/>
      <c r="C193" s="500"/>
      <c r="D193" s="500"/>
      <c r="E193" s="500"/>
      <c r="F193" s="500"/>
      <c r="G193" s="509"/>
      <c r="H193" s="500"/>
      <c r="I193" s="508"/>
      <c r="J193" s="508"/>
      <c r="K193" s="508"/>
      <c r="L193" s="508"/>
      <c r="M193" s="500"/>
      <c r="N193" s="500"/>
      <c r="O193" s="500"/>
      <c r="P193" s="500"/>
      <c r="Q193" s="500"/>
      <c r="R193" s="500"/>
      <c r="S193" s="500"/>
      <c r="T193" s="500"/>
      <c r="U193" s="500"/>
      <c r="V193" s="500"/>
      <c r="W193" s="354"/>
      <c r="X193" s="351"/>
      <c r="Y193" s="351"/>
      <c r="Z193" s="351"/>
      <c r="AA193" s="351"/>
      <c r="AB193" s="351"/>
      <c r="AC193" s="351"/>
      <c r="AD193" s="351"/>
      <c r="AE193" s="351"/>
      <c r="AF193" s="351"/>
      <c r="AG193" s="2"/>
    </row>
    <row r="194" spans="1:33" ht="13.5" customHeight="1">
      <c r="A194" s="351"/>
      <c r="B194" s="500"/>
      <c r="C194" s="500"/>
      <c r="D194" s="500"/>
      <c r="E194" s="500"/>
      <c r="F194" s="500"/>
      <c r="G194" s="509"/>
      <c r="H194" s="500"/>
      <c r="I194" s="508"/>
      <c r="J194" s="508"/>
      <c r="K194" s="508"/>
      <c r="L194" s="508"/>
      <c r="M194" s="500"/>
      <c r="N194" s="500"/>
      <c r="O194" s="500"/>
      <c r="P194" s="500"/>
      <c r="Q194" s="500"/>
      <c r="R194" s="500"/>
      <c r="S194" s="500"/>
      <c r="T194" s="500"/>
      <c r="U194" s="500"/>
      <c r="V194" s="500"/>
      <c r="W194" s="354"/>
      <c r="X194" s="351"/>
      <c r="Y194" s="351"/>
      <c r="Z194" s="351"/>
      <c r="AA194" s="351"/>
      <c r="AB194" s="351"/>
      <c r="AC194" s="351"/>
      <c r="AD194" s="351"/>
      <c r="AE194" s="351"/>
      <c r="AF194" s="351"/>
      <c r="AG194" s="2"/>
    </row>
    <row r="195" spans="1:33" ht="13.5" customHeight="1">
      <c r="A195" s="351"/>
      <c r="B195" s="500"/>
      <c r="C195" s="500"/>
      <c r="D195" s="500"/>
      <c r="E195" s="500"/>
      <c r="F195" s="500"/>
      <c r="G195" s="509"/>
      <c r="H195" s="500"/>
      <c r="I195" s="508"/>
      <c r="J195" s="508"/>
      <c r="K195" s="508"/>
      <c r="L195" s="508"/>
      <c r="M195" s="500"/>
      <c r="N195" s="500"/>
      <c r="O195" s="500"/>
      <c r="P195" s="500"/>
      <c r="Q195" s="500"/>
      <c r="R195" s="500"/>
      <c r="S195" s="500"/>
      <c r="T195" s="500"/>
      <c r="U195" s="500"/>
      <c r="V195" s="500"/>
      <c r="W195" s="354"/>
      <c r="X195" s="351"/>
      <c r="Y195" s="351"/>
      <c r="Z195" s="351"/>
      <c r="AA195" s="351"/>
      <c r="AB195" s="351"/>
      <c r="AC195" s="351"/>
      <c r="AD195" s="351"/>
      <c r="AE195" s="351"/>
      <c r="AF195" s="351"/>
      <c r="AG195" s="2"/>
    </row>
    <row r="196" spans="1:33" ht="13.5" customHeight="1">
      <c r="A196" s="351"/>
      <c r="B196" s="500"/>
      <c r="C196" s="500"/>
      <c r="D196" s="500"/>
      <c r="E196" s="500"/>
      <c r="F196" s="500"/>
      <c r="G196" s="509"/>
      <c r="H196" s="500"/>
      <c r="I196" s="508"/>
      <c r="J196" s="508"/>
      <c r="K196" s="508"/>
      <c r="L196" s="508"/>
      <c r="M196" s="500"/>
      <c r="N196" s="500"/>
      <c r="O196" s="500"/>
      <c r="P196" s="500"/>
      <c r="Q196" s="500"/>
      <c r="R196" s="500"/>
      <c r="S196" s="500"/>
      <c r="T196" s="500"/>
      <c r="U196" s="500"/>
      <c r="V196" s="500"/>
      <c r="W196" s="354"/>
      <c r="X196" s="351"/>
      <c r="Y196" s="351"/>
      <c r="Z196" s="351"/>
      <c r="AA196" s="351"/>
      <c r="AB196" s="351"/>
      <c r="AC196" s="351"/>
      <c r="AD196" s="351"/>
      <c r="AE196" s="351"/>
      <c r="AF196" s="351"/>
      <c r="AG196" s="2"/>
    </row>
    <row r="197" spans="1:33" ht="13.5" customHeight="1">
      <c r="A197" s="351"/>
      <c r="B197" s="500"/>
      <c r="C197" s="500"/>
      <c r="D197" s="500"/>
      <c r="E197" s="500"/>
      <c r="F197" s="500"/>
      <c r="G197" s="509"/>
      <c r="H197" s="500"/>
      <c r="I197" s="508"/>
      <c r="J197" s="508"/>
      <c r="K197" s="508"/>
      <c r="L197" s="508"/>
      <c r="M197" s="500"/>
      <c r="N197" s="500"/>
      <c r="O197" s="500"/>
      <c r="P197" s="500"/>
      <c r="Q197" s="500"/>
      <c r="R197" s="500"/>
      <c r="S197" s="500"/>
      <c r="T197" s="500"/>
      <c r="U197" s="500"/>
      <c r="V197" s="500"/>
      <c r="W197" s="354"/>
      <c r="X197" s="351"/>
      <c r="Y197" s="351"/>
      <c r="Z197" s="351"/>
      <c r="AA197" s="351"/>
      <c r="AB197" s="351"/>
      <c r="AC197" s="351"/>
      <c r="AD197" s="351"/>
      <c r="AE197" s="351"/>
      <c r="AF197" s="351"/>
      <c r="AG197" s="2"/>
    </row>
    <row r="198" spans="1:33" ht="13.5" customHeight="1">
      <c r="A198" s="351"/>
      <c r="B198" s="500"/>
      <c r="C198" s="500"/>
      <c r="D198" s="500"/>
      <c r="E198" s="500"/>
      <c r="F198" s="500"/>
      <c r="G198" s="509"/>
      <c r="H198" s="500"/>
      <c r="I198" s="508"/>
      <c r="J198" s="508"/>
      <c r="K198" s="508"/>
      <c r="L198" s="508"/>
      <c r="M198" s="500"/>
      <c r="N198" s="500"/>
      <c r="O198" s="500"/>
      <c r="P198" s="500"/>
      <c r="Q198" s="500"/>
      <c r="R198" s="500"/>
      <c r="S198" s="500"/>
      <c r="T198" s="500"/>
      <c r="U198" s="500"/>
      <c r="V198" s="500"/>
      <c r="W198" s="354"/>
      <c r="X198" s="351"/>
      <c r="Y198" s="351"/>
      <c r="Z198" s="351"/>
      <c r="AA198" s="351"/>
      <c r="AB198" s="351"/>
      <c r="AC198" s="351"/>
      <c r="AD198" s="351"/>
      <c r="AE198" s="351"/>
      <c r="AF198" s="351"/>
      <c r="AG198" s="2"/>
    </row>
    <row r="199" spans="1:33" ht="13.5" customHeight="1">
      <c r="A199" s="351"/>
      <c r="B199" s="500"/>
      <c r="C199" s="500"/>
      <c r="D199" s="500"/>
      <c r="E199" s="500"/>
      <c r="F199" s="500"/>
      <c r="G199" s="509"/>
      <c r="H199" s="500"/>
      <c r="I199" s="508"/>
      <c r="J199" s="508"/>
      <c r="K199" s="508"/>
      <c r="L199" s="508"/>
      <c r="M199" s="500"/>
      <c r="N199" s="500"/>
      <c r="O199" s="500"/>
      <c r="P199" s="500"/>
      <c r="Q199" s="500"/>
      <c r="R199" s="500"/>
      <c r="S199" s="500"/>
      <c r="T199" s="500"/>
      <c r="U199" s="500"/>
      <c r="V199" s="500"/>
      <c r="W199" s="354"/>
      <c r="X199" s="351"/>
      <c r="Y199" s="351"/>
      <c r="Z199" s="351"/>
      <c r="AA199" s="351"/>
      <c r="AB199" s="351"/>
      <c r="AC199" s="351"/>
      <c r="AD199" s="351"/>
      <c r="AE199" s="351"/>
      <c r="AF199" s="351"/>
      <c r="AG199" s="2"/>
    </row>
    <row r="200" spans="1:33" ht="13.5" customHeight="1">
      <c r="A200" s="351"/>
      <c r="B200" s="500"/>
      <c r="C200" s="500"/>
      <c r="D200" s="500"/>
      <c r="E200" s="500"/>
      <c r="F200" s="500"/>
      <c r="G200" s="509"/>
      <c r="H200" s="500"/>
      <c r="I200" s="508"/>
      <c r="J200" s="508"/>
      <c r="K200" s="508"/>
      <c r="L200" s="508"/>
      <c r="M200" s="500"/>
      <c r="N200" s="500"/>
      <c r="O200" s="500"/>
      <c r="P200" s="500"/>
      <c r="Q200" s="500"/>
      <c r="R200" s="500"/>
      <c r="S200" s="500"/>
      <c r="T200" s="500"/>
      <c r="U200" s="500"/>
      <c r="V200" s="500"/>
      <c r="W200" s="354"/>
      <c r="X200" s="351"/>
      <c r="Y200" s="351"/>
      <c r="Z200" s="351"/>
      <c r="AA200" s="351"/>
      <c r="AB200" s="351"/>
      <c r="AC200" s="351"/>
      <c r="AD200" s="351"/>
      <c r="AE200" s="351"/>
      <c r="AF200" s="351"/>
      <c r="AG200" s="2"/>
    </row>
    <row r="201" spans="1:33" ht="13.5" customHeight="1">
      <c r="A201" s="351"/>
      <c r="B201" s="500"/>
      <c r="C201" s="500"/>
      <c r="D201" s="500"/>
      <c r="E201" s="500"/>
      <c r="F201" s="500"/>
      <c r="G201" s="509"/>
      <c r="H201" s="500"/>
      <c r="I201" s="508"/>
      <c r="J201" s="508"/>
      <c r="K201" s="508"/>
      <c r="L201" s="508"/>
      <c r="M201" s="500"/>
      <c r="N201" s="500"/>
      <c r="O201" s="500"/>
      <c r="P201" s="500"/>
      <c r="Q201" s="500"/>
      <c r="R201" s="500"/>
      <c r="S201" s="500"/>
      <c r="T201" s="500"/>
      <c r="U201" s="500"/>
      <c r="V201" s="500"/>
      <c r="W201" s="354"/>
      <c r="X201" s="351"/>
      <c r="Y201" s="351"/>
      <c r="Z201" s="351"/>
      <c r="AA201" s="351"/>
      <c r="AB201" s="351"/>
      <c r="AC201" s="351"/>
      <c r="AD201" s="351"/>
      <c r="AE201" s="351"/>
      <c r="AF201" s="351"/>
      <c r="AG201" s="2"/>
    </row>
    <row r="202" spans="1:33" ht="13.5" customHeight="1">
      <c r="A202" s="351"/>
      <c r="B202" s="500"/>
      <c r="C202" s="500"/>
      <c r="D202" s="500"/>
      <c r="E202" s="500"/>
      <c r="F202" s="500"/>
      <c r="G202" s="509"/>
      <c r="H202" s="500"/>
      <c r="I202" s="508"/>
      <c r="J202" s="508"/>
      <c r="K202" s="508"/>
      <c r="L202" s="508"/>
      <c r="M202" s="500"/>
      <c r="N202" s="500"/>
      <c r="O202" s="500"/>
      <c r="P202" s="500"/>
      <c r="Q202" s="500"/>
      <c r="R202" s="500"/>
      <c r="S202" s="500"/>
      <c r="T202" s="500"/>
      <c r="U202" s="500"/>
      <c r="V202" s="500"/>
      <c r="W202" s="354"/>
      <c r="X202" s="351"/>
      <c r="Y202" s="351"/>
      <c r="Z202" s="351"/>
      <c r="AA202" s="351"/>
      <c r="AB202" s="351"/>
      <c r="AC202" s="351"/>
      <c r="AD202" s="351"/>
      <c r="AE202" s="351"/>
      <c r="AF202" s="351"/>
      <c r="AG202" s="2"/>
    </row>
    <row r="203" spans="1:33" ht="13.5" customHeight="1">
      <c r="A203" s="351"/>
      <c r="B203" s="500"/>
      <c r="C203" s="500"/>
      <c r="D203" s="500"/>
      <c r="E203" s="500"/>
      <c r="F203" s="500"/>
      <c r="G203" s="509"/>
      <c r="H203" s="500"/>
      <c r="I203" s="508"/>
      <c r="J203" s="508"/>
      <c r="K203" s="508"/>
      <c r="L203" s="508"/>
      <c r="M203" s="500"/>
      <c r="N203" s="500"/>
      <c r="O203" s="500"/>
      <c r="P203" s="500"/>
      <c r="Q203" s="500"/>
      <c r="R203" s="500"/>
      <c r="S203" s="500"/>
      <c r="T203" s="500"/>
      <c r="U203" s="500"/>
      <c r="V203" s="500"/>
      <c r="W203" s="354"/>
      <c r="X203" s="351"/>
      <c r="Y203" s="351"/>
      <c r="Z203" s="351"/>
      <c r="AA203" s="351"/>
      <c r="AB203" s="351"/>
      <c r="AC203" s="351"/>
      <c r="AD203" s="351"/>
      <c r="AE203" s="351"/>
      <c r="AF203" s="351"/>
      <c r="AG203" s="2"/>
    </row>
    <row r="204" spans="1:33" ht="13.5" customHeight="1">
      <c r="A204" s="351"/>
      <c r="B204" s="500"/>
      <c r="C204" s="500"/>
      <c r="D204" s="500"/>
      <c r="E204" s="500"/>
      <c r="F204" s="500"/>
      <c r="G204" s="509"/>
      <c r="H204" s="500"/>
      <c r="I204" s="508"/>
      <c r="J204" s="508"/>
      <c r="K204" s="508"/>
      <c r="L204" s="508"/>
      <c r="M204" s="500"/>
      <c r="N204" s="500"/>
      <c r="O204" s="500"/>
      <c r="P204" s="500"/>
      <c r="Q204" s="500"/>
      <c r="R204" s="500"/>
      <c r="S204" s="500"/>
      <c r="T204" s="500"/>
      <c r="U204" s="500"/>
      <c r="V204" s="500"/>
      <c r="W204" s="354"/>
      <c r="X204" s="351"/>
      <c r="Y204" s="351"/>
      <c r="Z204" s="351"/>
      <c r="AA204" s="351"/>
      <c r="AB204" s="351"/>
      <c r="AC204" s="351"/>
      <c r="AD204" s="351"/>
      <c r="AE204" s="351"/>
      <c r="AF204" s="351"/>
      <c r="AG204" s="2"/>
    </row>
    <row r="205" spans="1:33" ht="13.5" customHeight="1">
      <c r="A205" s="351"/>
      <c r="B205" s="500"/>
      <c r="C205" s="500"/>
      <c r="D205" s="500"/>
      <c r="E205" s="500"/>
      <c r="F205" s="500"/>
      <c r="G205" s="509"/>
      <c r="H205" s="500"/>
      <c r="I205" s="508"/>
      <c r="J205" s="508"/>
      <c r="K205" s="508"/>
      <c r="L205" s="508"/>
      <c r="M205" s="500"/>
      <c r="N205" s="500"/>
      <c r="O205" s="500"/>
      <c r="P205" s="500"/>
      <c r="Q205" s="500"/>
      <c r="R205" s="500"/>
      <c r="S205" s="500"/>
      <c r="T205" s="500"/>
      <c r="U205" s="500"/>
      <c r="V205" s="500"/>
      <c r="W205" s="354"/>
      <c r="X205" s="351"/>
      <c r="Y205" s="351"/>
      <c r="Z205" s="351"/>
      <c r="AA205" s="351"/>
      <c r="AB205" s="351"/>
      <c r="AC205" s="351"/>
      <c r="AD205" s="351"/>
      <c r="AE205" s="351"/>
      <c r="AF205" s="351"/>
      <c r="AG205" s="2"/>
    </row>
    <row r="206" spans="1:33" ht="13.5" customHeight="1">
      <c r="A206" s="351"/>
      <c r="B206" s="500"/>
      <c r="C206" s="500"/>
      <c r="D206" s="500"/>
      <c r="E206" s="500"/>
      <c r="F206" s="500"/>
      <c r="G206" s="509"/>
      <c r="H206" s="500"/>
      <c r="I206" s="508"/>
      <c r="J206" s="508"/>
      <c r="K206" s="508"/>
      <c r="L206" s="508"/>
      <c r="M206" s="500"/>
      <c r="N206" s="500"/>
      <c r="O206" s="500"/>
      <c r="P206" s="500"/>
      <c r="Q206" s="500"/>
      <c r="R206" s="500"/>
      <c r="S206" s="500"/>
      <c r="T206" s="500"/>
      <c r="U206" s="500"/>
      <c r="V206" s="500"/>
      <c r="W206" s="354"/>
      <c r="X206" s="351"/>
      <c r="Y206" s="351"/>
      <c r="Z206" s="351"/>
      <c r="AA206" s="351"/>
      <c r="AB206" s="351"/>
      <c r="AC206" s="351"/>
      <c r="AD206" s="351"/>
      <c r="AE206" s="351"/>
      <c r="AF206" s="351"/>
      <c r="AG206" s="2"/>
    </row>
    <row r="207" spans="1:33" ht="13.5" customHeight="1">
      <c r="A207" s="351"/>
      <c r="B207" s="500"/>
      <c r="C207" s="500"/>
      <c r="D207" s="500"/>
      <c r="E207" s="500"/>
      <c r="F207" s="500"/>
      <c r="G207" s="509"/>
      <c r="H207" s="500"/>
      <c r="I207" s="508"/>
      <c r="J207" s="508"/>
      <c r="K207" s="508"/>
      <c r="L207" s="508"/>
      <c r="M207" s="500"/>
      <c r="N207" s="500"/>
      <c r="O207" s="500"/>
      <c r="P207" s="500"/>
      <c r="Q207" s="500"/>
      <c r="R207" s="500"/>
      <c r="S207" s="500"/>
      <c r="T207" s="500"/>
      <c r="U207" s="500"/>
      <c r="V207" s="500"/>
      <c r="W207" s="354"/>
      <c r="X207" s="351"/>
      <c r="Y207" s="351"/>
      <c r="Z207" s="351"/>
      <c r="AA207" s="351"/>
      <c r="AB207" s="351"/>
      <c r="AC207" s="351"/>
      <c r="AD207" s="351"/>
      <c r="AE207" s="351"/>
      <c r="AF207" s="351"/>
      <c r="AG207" s="2"/>
    </row>
    <row r="208" spans="1:33" ht="13.5" customHeight="1">
      <c r="A208" s="351"/>
      <c r="B208" s="500"/>
      <c r="C208" s="500"/>
      <c r="D208" s="500"/>
      <c r="E208" s="500"/>
      <c r="F208" s="500"/>
      <c r="G208" s="509"/>
      <c r="H208" s="500"/>
      <c r="I208" s="508"/>
      <c r="J208" s="508"/>
      <c r="K208" s="508"/>
      <c r="L208" s="508"/>
      <c r="M208" s="500"/>
      <c r="N208" s="500"/>
      <c r="O208" s="500"/>
      <c r="P208" s="500"/>
      <c r="Q208" s="500"/>
      <c r="R208" s="500"/>
      <c r="S208" s="500"/>
      <c r="T208" s="500"/>
      <c r="U208" s="500"/>
      <c r="V208" s="500"/>
      <c r="W208" s="354"/>
      <c r="X208" s="351"/>
      <c r="Y208" s="351"/>
      <c r="Z208" s="351"/>
      <c r="AA208" s="351"/>
      <c r="AB208" s="351"/>
      <c r="AC208" s="351"/>
      <c r="AD208" s="351"/>
      <c r="AE208" s="351"/>
      <c r="AF208" s="351"/>
      <c r="AG208" s="2"/>
    </row>
    <row r="209" spans="1:33" ht="13.5" customHeight="1">
      <c r="A209" s="351"/>
      <c r="B209" s="500"/>
      <c r="C209" s="500"/>
      <c r="D209" s="500"/>
      <c r="E209" s="500"/>
      <c r="F209" s="500"/>
      <c r="G209" s="509"/>
      <c r="H209" s="500"/>
      <c r="I209" s="508"/>
      <c r="J209" s="508"/>
      <c r="K209" s="508"/>
      <c r="L209" s="508"/>
      <c r="M209" s="500"/>
      <c r="N209" s="500"/>
      <c r="O209" s="500"/>
      <c r="P209" s="500"/>
      <c r="Q209" s="500"/>
      <c r="R209" s="500"/>
      <c r="S209" s="500"/>
      <c r="T209" s="500"/>
      <c r="U209" s="500"/>
      <c r="V209" s="500"/>
      <c r="W209" s="354"/>
      <c r="X209" s="351"/>
      <c r="Y209" s="351"/>
      <c r="Z209" s="351"/>
      <c r="AA209" s="351"/>
      <c r="AB209" s="351"/>
      <c r="AC209" s="351"/>
      <c r="AD209" s="351"/>
      <c r="AE209" s="351"/>
      <c r="AF209" s="351"/>
      <c r="AG209" s="2"/>
    </row>
    <row r="210" spans="1:33" ht="13.5" customHeight="1">
      <c r="A210" s="351"/>
      <c r="B210" s="500"/>
      <c r="C210" s="500"/>
      <c r="D210" s="500"/>
      <c r="E210" s="500"/>
      <c r="F210" s="500"/>
      <c r="G210" s="509"/>
      <c r="H210" s="500"/>
      <c r="I210" s="508"/>
      <c r="J210" s="508"/>
      <c r="K210" s="508"/>
      <c r="L210" s="508"/>
      <c r="M210" s="500"/>
      <c r="N210" s="500"/>
      <c r="O210" s="500"/>
      <c r="P210" s="500"/>
      <c r="Q210" s="500"/>
      <c r="R210" s="500"/>
      <c r="S210" s="500"/>
      <c r="T210" s="500"/>
      <c r="U210" s="500"/>
      <c r="V210" s="500"/>
      <c r="W210" s="354"/>
      <c r="X210" s="351"/>
      <c r="Y210" s="351"/>
      <c r="Z210" s="351"/>
      <c r="AA210" s="351"/>
      <c r="AB210" s="351"/>
      <c r="AC210" s="351"/>
      <c r="AD210" s="351"/>
      <c r="AE210" s="351"/>
      <c r="AF210" s="351"/>
      <c r="AG210" s="2"/>
    </row>
    <row r="211" spans="1:33" ht="13.5" customHeight="1">
      <c r="A211" s="351"/>
      <c r="B211" s="500"/>
      <c r="C211" s="500"/>
      <c r="D211" s="500"/>
      <c r="E211" s="500"/>
      <c r="F211" s="500"/>
      <c r="G211" s="509"/>
      <c r="H211" s="500"/>
      <c r="I211" s="508"/>
      <c r="J211" s="508"/>
      <c r="K211" s="508"/>
      <c r="L211" s="508"/>
      <c r="M211" s="500"/>
      <c r="N211" s="500"/>
      <c r="O211" s="500"/>
      <c r="P211" s="500"/>
      <c r="Q211" s="500"/>
      <c r="R211" s="500"/>
      <c r="S211" s="500"/>
      <c r="T211" s="500"/>
      <c r="U211" s="500"/>
      <c r="V211" s="500"/>
      <c r="W211" s="354"/>
      <c r="X211" s="351"/>
      <c r="Y211" s="351"/>
      <c r="Z211" s="351"/>
      <c r="AA211" s="351"/>
      <c r="AB211" s="351"/>
      <c r="AC211" s="351"/>
      <c r="AD211" s="351"/>
      <c r="AE211" s="351"/>
      <c r="AF211" s="351"/>
      <c r="AG211" s="2"/>
    </row>
    <row r="212" spans="1:33" ht="13.5" customHeight="1">
      <c r="A212" s="351"/>
      <c r="B212" s="500"/>
      <c r="C212" s="500"/>
      <c r="D212" s="500"/>
      <c r="E212" s="500"/>
      <c r="F212" s="500"/>
      <c r="G212" s="509"/>
      <c r="H212" s="500"/>
      <c r="I212" s="508"/>
      <c r="J212" s="508"/>
      <c r="K212" s="508"/>
      <c r="L212" s="508"/>
      <c r="M212" s="500"/>
      <c r="N212" s="500"/>
      <c r="O212" s="500"/>
      <c r="P212" s="500"/>
      <c r="Q212" s="500"/>
      <c r="R212" s="500"/>
      <c r="S212" s="500"/>
      <c r="T212" s="500"/>
      <c r="U212" s="500"/>
      <c r="V212" s="500"/>
      <c r="W212" s="354"/>
      <c r="X212" s="351"/>
      <c r="Y212" s="351"/>
      <c r="Z212" s="351"/>
      <c r="AA212" s="351"/>
      <c r="AB212" s="351"/>
      <c r="AC212" s="351"/>
      <c r="AD212" s="351"/>
      <c r="AE212" s="351"/>
      <c r="AF212" s="351"/>
      <c r="AG212" s="2"/>
    </row>
    <row r="213" spans="1:33" ht="13.5" customHeight="1">
      <c r="A213" s="351"/>
      <c r="B213" s="500"/>
      <c r="C213" s="500"/>
      <c r="D213" s="500"/>
      <c r="E213" s="500"/>
      <c r="F213" s="500"/>
      <c r="G213" s="509"/>
      <c r="H213" s="500"/>
      <c r="I213" s="508"/>
      <c r="J213" s="508"/>
      <c r="K213" s="508"/>
      <c r="L213" s="508"/>
      <c r="M213" s="500"/>
      <c r="N213" s="500"/>
      <c r="O213" s="500"/>
      <c r="P213" s="500"/>
      <c r="Q213" s="500"/>
      <c r="R213" s="500"/>
      <c r="S213" s="500"/>
      <c r="T213" s="500"/>
      <c r="U213" s="500"/>
      <c r="V213" s="500"/>
      <c r="W213" s="354"/>
      <c r="X213" s="351"/>
      <c r="Y213" s="351"/>
      <c r="Z213" s="351"/>
      <c r="AA213" s="351"/>
      <c r="AB213" s="351"/>
      <c r="AC213" s="351"/>
      <c r="AD213" s="351"/>
      <c r="AE213" s="351"/>
      <c r="AF213" s="351"/>
      <c r="AG213" s="2"/>
    </row>
    <row r="214" spans="1:33" ht="13.5" customHeight="1">
      <c r="A214" s="351"/>
      <c r="B214" s="500"/>
      <c r="C214" s="500"/>
      <c r="D214" s="500"/>
      <c r="E214" s="500"/>
      <c r="F214" s="500"/>
      <c r="G214" s="509"/>
      <c r="H214" s="500"/>
      <c r="I214" s="508"/>
      <c r="J214" s="508"/>
      <c r="K214" s="508"/>
      <c r="L214" s="508"/>
      <c r="M214" s="500"/>
      <c r="N214" s="500"/>
      <c r="O214" s="500"/>
      <c r="P214" s="500"/>
      <c r="Q214" s="500"/>
      <c r="R214" s="500"/>
      <c r="S214" s="500"/>
      <c r="T214" s="500"/>
      <c r="U214" s="500"/>
      <c r="V214" s="500"/>
      <c r="W214" s="354"/>
      <c r="X214" s="351"/>
      <c r="Y214" s="351"/>
      <c r="Z214" s="351"/>
      <c r="AA214" s="351"/>
      <c r="AB214" s="351"/>
      <c r="AC214" s="351"/>
      <c r="AD214" s="351"/>
      <c r="AE214" s="351"/>
      <c r="AF214" s="351"/>
      <c r="AG214" s="2"/>
    </row>
    <row r="215" spans="1:33" ht="13.5" customHeight="1">
      <c r="A215" s="351"/>
      <c r="B215" s="500"/>
      <c r="C215" s="500"/>
      <c r="D215" s="500"/>
      <c r="E215" s="500"/>
      <c r="F215" s="500"/>
      <c r="G215" s="509"/>
      <c r="H215" s="500"/>
      <c r="I215" s="508"/>
      <c r="J215" s="508"/>
      <c r="K215" s="508"/>
      <c r="L215" s="508"/>
      <c r="M215" s="500"/>
      <c r="N215" s="500"/>
      <c r="O215" s="500"/>
      <c r="P215" s="500"/>
      <c r="Q215" s="500"/>
      <c r="R215" s="500"/>
      <c r="S215" s="500"/>
      <c r="T215" s="500"/>
      <c r="U215" s="500"/>
      <c r="V215" s="500"/>
      <c r="W215" s="354"/>
      <c r="X215" s="351"/>
      <c r="Y215" s="351"/>
      <c r="Z215" s="351"/>
      <c r="AA215" s="351"/>
      <c r="AB215" s="351"/>
      <c r="AC215" s="351"/>
      <c r="AD215" s="351"/>
      <c r="AE215" s="351"/>
      <c r="AF215" s="351"/>
      <c r="AG215" s="2"/>
    </row>
    <row r="216" spans="1:33" ht="13.5" customHeight="1">
      <c r="A216" s="351"/>
      <c r="B216" s="500"/>
      <c r="C216" s="500"/>
      <c r="D216" s="500"/>
      <c r="E216" s="500"/>
      <c r="F216" s="500"/>
      <c r="G216" s="509"/>
      <c r="H216" s="500"/>
      <c r="I216" s="508"/>
      <c r="J216" s="508"/>
      <c r="K216" s="508"/>
      <c r="L216" s="508"/>
      <c r="M216" s="500"/>
      <c r="N216" s="500"/>
      <c r="O216" s="500"/>
      <c r="P216" s="500"/>
      <c r="Q216" s="500"/>
      <c r="R216" s="500"/>
      <c r="S216" s="500"/>
      <c r="T216" s="500"/>
      <c r="U216" s="500"/>
      <c r="V216" s="500"/>
      <c r="W216" s="354"/>
      <c r="X216" s="351"/>
      <c r="Y216" s="351"/>
      <c r="Z216" s="351"/>
      <c r="AA216" s="351"/>
      <c r="AB216" s="351"/>
      <c r="AC216" s="351"/>
      <c r="AD216" s="351"/>
      <c r="AE216" s="351"/>
      <c r="AF216" s="351"/>
      <c r="AG216" s="2"/>
    </row>
    <row r="217" spans="1:33" ht="13.5" customHeight="1">
      <c r="A217" s="351"/>
      <c r="B217" s="500"/>
      <c r="C217" s="500"/>
      <c r="D217" s="500"/>
      <c r="E217" s="500"/>
      <c r="F217" s="500"/>
      <c r="G217" s="509"/>
      <c r="H217" s="500"/>
      <c r="I217" s="508"/>
      <c r="J217" s="508"/>
      <c r="K217" s="508"/>
      <c r="L217" s="508"/>
      <c r="M217" s="500"/>
      <c r="N217" s="500"/>
      <c r="O217" s="500"/>
      <c r="P217" s="500"/>
      <c r="Q217" s="500"/>
      <c r="R217" s="500"/>
      <c r="S217" s="500"/>
      <c r="T217" s="500"/>
      <c r="U217" s="500"/>
      <c r="V217" s="500"/>
      <c r="W217" s="354"/>
      <c r="X217" s="351"/>
      <c r="Y217" s="351"/>
      <c r="Z217" s="351"/>
      <c r="AA217" s="351"/>
      <c r="AB217" s="351"/>
      <c r="AC217" s="351"/>
      <c r="AD217" s="351"/>
      <c r="AE217" s="351"/>
      <c r="AF217" s="351"/>
      <c r="AG217" s="2"/>
    </row>
    <row r="218" spans="1:33" ht="13.5" customHeight="1">
      <c r="A218" s="351"/>
      <c r="B218" s="500"/>
      <c r="C218" s="500"/>
      <c r="D218" s="500"/>
      <c r="E218" s="500"/>
      <c r="F218" s="500"/>
      <c r="G218" s="509"/>
      <c r="H218" s="500"/>
      <c r="I218" s="508"/>
      <c r="J218" s="508"/>
      <c r="K218" s="508"/>
      <c r="L218" s="508"/>
      <c r="M218" s="500"/>
      <c r="N218" s="500"/>
      <c r="O218" s="500"/>
      <c r="P218" s="500"/>
      <c r="Q218" s="500"/>
      <c r="R218" s="500"/>
      <c r="S218" s="500"/>
      <c r="T218" s="500"/>
      <c r="U218" s="500"/>
      <c r="V218" s="500"/>
      <c r="W218" s="354"/>
      <c r="X218" s="351"/>
      <c r="Y218" s="351"/>
      <c r="Z218" s="351"/>
      <c r="AA218" s="351"/>
      <c r="AB218" s="351"/>
      <c r="AC218" s="351"/>
      <c r="AD218" s="351"/>
      <c r="AE218" s="351"/>
      <c r="AF218" s="351"/>
      <c r="AG218" s="2"/>
    </row>
    <row r="219" spans="1:33" ht="13.5" customHeight="1">
      <c r="A219" s="351"/>
      <c r="B219" s="500"/>
      <c r="C219" s="500"/>
      <c r="D219" s="500"/>
      <c r="E219" s="500"/>
      <c r="F219" s="500"/>
      <c r="G219" s="509"/>
      <c r="H219" s="500"/>
      <c r="I219" s="508"/>
      <c r="J219" s="508"/>
      <c r="K219" s="508"/>
      <c r="L219" s="508"/>
      <c r="M219" s="500"/>
      <c r="N219" s="500"/>
      <c r="O219" s="500"/>
      <c r="P219" s="500"/>
      <c r="Q219" s="500"/>
      <c r="R219" s="500"/>
      <c r="S219" s="500"/>
      <c r="T219" s="500"/>
      <c r="U219" s="500"/>
      <c r="V219" s="500"/>
      <c r="W219" s="354"/>
      <c r="X219" s="351"/>
      <c r="Y219" s="351"/>
      <c r="Z219" s="351"/>
      <c r="AA219" s="351"/>
      <c r="AB219" s="351"/>
      <c r="AC219" s="351"/>
      <c r="AD219" s="351"/>
      <c r="AE219" s="351"/>
      <c r="AF219" s="351"/>
      <c r="AG219" s="2"/>
    </row>
    <row r="220" spans="1:33" ht="13.5" customHeight="1">
      <c r="A220" s="351"/>
      <c r="B220" s="500"/>
      <c r="C220" s="500"/>
      <c r="D220" s="500"/>
      <c r="E220" s="500"/>
      <c r="F220" s="500"/>
      <c r="G220" s="509"/>
      <c r="H220" s="500"/>
      <c r="I220" s="508"/>
      <c r="J220" s="508"/>
      <c r="K220" s="508"/>
      <c r="L220" s="508"/>
      <c r="M220" s="500"/>
      <c r="N220" s="500"/>
      <c r="O220" s="500"/>
      <c r="P220" s="500"/>
      <c r="Q220" s="500"/>
      <c r="R220" s="500"/>
      <c r="S220" s="500"/>
      <c r="T220" s="500"/>
      <c r="U220" s="500"/>
      <c r="V220" s="500"/>
      <c r="W220" s="354"/>
      <c r="X220" s="351"/>
      <c r="Y220" s="351"/>
      <c r="Z220" s="351"/>
      <c r="AA220" s="351"/>
      <c r="AB220" s="351"/>
      <c r="AC220" s="351"/>
      <c r="AD220" s="351"/>
      <c r="AE220" s="351"/>
      <c r="AF220" s="351"/>
      <c r="AG220" s="2"/>
    </row>
    <row r="221" spans="1:33" ht="13.5" customHeight="1">
      <c r="A221" s="351"/>
      <c r="B221" s="500"/>
      <c r="C221" s="500"/>
      <c r="D221" s="500"/>
      <c r="E221" s="500"/>
      <c r="F221" s="500"/>
      <c r="G221" s="509"/>
      <c r="H221" s="500"/>
      <c r="I221" s="508"/>
      <c r="J221" s="508"/>
      <c r="K221" s="508"/>
      <c r="L221" s="508"/>
      <c r="M221" s="500"/>
      <c r="N221" s="500"/>
      <c r="O221" s="500"/>
      <c r="P221" s="500"/>
      <c r="Q221" s="500"/>
      <c r="R221" s="500"/>
      <c r="S221" s="500"/>
      <c r="T221" s="500"/>
      <c r="U221" s="500"/>
      <c r="V221" s="500"/>
      <c r="W221" s="354"/>
      <c r="X221" s="351"/>
      <c r="Y221" s="351"/>
      <c r="Z221" s="351"/>
      <c r="AA221" s="351"/>
      <c r="AB221" s="351"/>
      <c r="AC221" s="351"/>
      <c r="AD221" s="351"/>
      <c r="AE221" s="351"/>
      <c r="AF221" s="351"/>
      <c r="AG221" s="2"/>
    </row>
    <row r="222" spans="1:33" ht="13.5" customHeight="1">
      <c r="A222" s="351"/>
      <c r="B222" s="500"/>
      <c r="C222" s="500"/>
      <c r="D222" s="500"/>
      <c r="E222" s="500"/>
      <c r="F222" s="500"/>
      <c r="G222" s="509"/>
      <c r="H222" s="500"/>
      <c r="I222" s="508"/>
      <c r="J222" s="508"/>
      <c r="K222" s="508"/>
      <c r="L222" s="508"/>
      <c r="M222" s="500"/>
      <c r="N222" s="500"/>
      <c r="O222" s="500"/>
      <c r="P222" s="500"/>
      <c r="Q222" s="500"/>
      <c r="R222" s="500"/>
      <c r="S222" s="500"/>
      <c r="T222" s="500"/>
      <c r="U222" s="500"/>
      <c r="V222" s="500"/>
      <c r="W222" s="354"/>
      <c r="X222" s="351"/>
      <c r="Y222" s="351"/>
      <c r="Z222" s="351"/>
      <c r="AA222" s="351"/>
      <c r="AB222" s="351"/>
      <c r="AC222" s="351"/>
      <c r="AD222" s="351"/>
      <c r="AE222" s="351"/>
      <c r="AF222" s="351"/>
      <c r="AG222" s="2"/>
    </row>
    <row r="223" spans="1:33" ht="13.5" customHeight="1">
      <c r="A223" s="351"/>
      <c r="B223" s="500"/>
      <c r="C223" s="500"/>
      <c r="D223" s="500"/>
      <c r="E223" s="500"/>
      <c r="F223" s="500"/>
      <c r="G223" s="509"/>
      <c r="H223" s="500"/>
      <c r="I223" s="508"/>
      <c r="J223" s="508"/>
      <c r="K223" s="508"/>
      <c r="L223" s="508"/>
      <c r="M223" s="500"/>
      <c r="N223" s="500"/>
      <c r="O223" s="500"/>
      <c r="P223" s="500"/>
      <c r="Q223" s="500"/>
      <c r="R223" s="500"/>
      <c r="S223" s="500"/>
      <c r="T223" s="500"/>
      <c r="U223" s="500"/>
      <c r="V223" s="500"/>
      <c r="W223" s="354"/>
      <c r="X223" s="351"/>
      <c r="Y223" s="351"/>
      <c r="Z223" s="351"/>
      <c r="AA223" s="351"/>
      <c r="AB223" s="351"/>
      <c r="AC223" s="351"/>
      <c r="AD223" s="351"/>
      <c r="AE223" s="351"/>
      <c r="AF223" s="351"/>
      <c r="AG223" s="2"/>
    </row>
    <row r="224" spans="1:33" ht="13.5" customHeight="1">
      <c r="A224" s="351"/>
      <c r="B224" s="500"/>
      <c r="C224" s="500"/>
      <c r="D224" s="500"/>
      <c r="E224" s="500"/>
      <c r="F224" s="500"/>
      <c r="G224" s="509"/>
      <c r="H224" s="500"/>
      <c r="I224" s="508"/>
      <c r="J224" s="508"/>
      <c r="K224" s="508"/>
      <c r="L224" s="508"/>
      <c r="M224" s="500"/>
      <c r="N224" s="500"/>
      <c r="O224" s="500"/>
      <c r="P224" s="500"/>
      <c r="Q224" s="500"/>
      <c r="R224" s="500"/>
      <c r="S224" s="500"/>
      <c r="T224" s="500"/>
      <c r="U224" s="500"/>
      <c r="V224" s="500"/>
      <c r="W224" s="354"/>
      <c r="X224" s="351"/>
      <c r="Y224" s="351"/>
      <c r="Z224" s="351"/>
      <c r="AA224" s="351"/>
      <c r="AB224" s="351"/>
      <c r="AC224" s="351"/>
      <c r="AD224" s="351"/>
      <c r="AE224" s="351"/>
      <c r="AF224" s="351"/>
      <c r="AG224" s="2"/>
    </row>
    <row r="225" spans="1:33" ht="13.5" customHeight="1">
      <c r="A225" s="351"/>
      <c r="B225" s="500"/>
      <c r="C225" s="500"/>
      <c r="D225" s="500"/>
      <c r="E225" s="500"/>
      <c r="F225" s="500"/>
      <c r="G225" s="509"/>
      <c r="H225" s="500"/>
      <c r="I225" s="508"/>
      <c r="J225" s="508"/>
      <c r="K225" s="508"/>
      <c r="L225" s="508"/>
      <c r="M225" s="500"/>
      <c r="N225" s="500"/>
      <c r="O225" s="500"/>
      <c r="P225" s="500"/>
      <c r="Q225" s="500"/>
      <c r="R225" s="500"/>
      <c r="S225" s="500"/>
      <c r="T225" s="500"/>
      <c r="U225" s="500"/>
      <c r="V225" s="500"/>
      <c r="W225" s="354"/>
      <c r="X225" s="351"/>
      <c r="Y225" s="351"/>
      <c r="Z225" s="351"/>
      <c r="AA225" s="351"/>
      <c r="AB225" s="351"/>
      <c r="AC225" s="351"/>
      <c r="AD225" s="351"/>
      <c r="AE225" s="351"/>
      <c r="AF225" s="351"/>
      <c r="AG225" s="2"/>
    </row>
    <row r="226" spans="1:33" ht="13.5" customHeight="1">
      <c r="A226" s="351"/>
      <c r="B226" s="500"/>
      <c r="C226" s="500"/>
      <c r="D226" s="500"/>
      <c r="E226" s="500"/>
      <c r="F226" s="500"/>
      <c r="G226" s="509"/>
      <c r="H226" s="500"/>
      <c r="I226" s="508"/>
      <c r="J226" s="508"/>
      <c r="K226" s="508"/>
      <c r="L226" s="508"/>
      <c r="M226" s="500"/>
      <c r="N226" s="500"/>
      <c r="O226" s="500"/>
      <c r="P226" s="500"/>
      <c r="Q226" s="500"/>
      <c r="R226" s="500"/>
      <c r="S226" s="500"/>
      <c r="T226" s="500"/>
      <c r="U226" s="500"/>
      <c r="V226" s="500"/>
      <c r="W226" s="354"/>
      <c r="X226" s="351"/>
      <c r="Y226" s="351"/>
      <c r="Z226" s="351"/>
      <c r="AA226" s="351"/>
      <c r="AB226" s="351"/>
      <c r="AC226" s="351"/>
      <c r="AD226" s="351"/>
      <c r="AE226" s="351"/>
      <c r="AF226" s="351"/>
      <c r="AG226" s="2"/>
    </row>
    <row r="227" spans="1:33" ht="13.5" customHeight="1">
      <c r="A227" s="351"/>
      <c r="B227" s="500"/>
      <c r="C227" s="500"/>
      <c r="D227" s="500"/>
      <c r="E227" s="500"/>
      <c r="F227" s="500"/>
      <c r="G227" s="509"/>
      <c r="H227" s="500"/>
      <c r="I227" s="508"/>
      <c r="J227" s="508"/>
      <c r="K227" s="508"/>
      <c r="L227" s="508"/>
      <c r="M227" s="500"/>
      <c r="N227" s="500"/>
      <c r="O227" s="500"/>
      <c r="P227" s="500"/>
      <c r="Q227" s="500"/>
      <c r="R227" s="500"/>
      <c r="S227" s="500"/>
      <c r="T227" s="500"/>
      <c r="U227" s="500"/>
      <c r="V227" s="500"/>
      <c r="W227" s="354"/>
      <c r="X227" s="351"/>
      <c r="Y227" s="351"/>
      <c r="Z227" s="351"/>
      <c r="AA227" s="351"/>
      <c r="AB227" s="351"/>
      <c r="AC227" s="351"/>
      <c r="AD227" s="351"/>
      <c r="AE227" s="351"/>
      <c r="AF227" s="351"/>
      <c r="AG227" s="2"/>
    </row>
    <row r="228" spans="1:33" ht="13.5" customHeight="1">
      <c r="A228" s="351"/>
      <c r="B228" s="500"/>
      <c r="C228" s="500"/>
      <c r="D228" s="500"/>
      <c r="E228" s="500"/>
      <c r="F228" s="500"/>
      <c r="G228" s="509"/>
      <c r="H228" s="500"/>
      <c r="I228" s="508"/>
      <c r="J228" s="508"/>
      <c r="K228" s="508"/>
      <c r="L228" s="508"/>
      <c r="M228" s="500"/>
      <c r="N228" s="500"/>
      <c r="O228" s="500"/>
      <c r="P228" s="500"/>
      <c r="Q228" s="500"/>
      <c r="R228" s="500"/>
      <c r="S228" s="500"/>
      <c r="T228" s="500"/>
      <c r="U228" s="500"/>
      <c r="V228" s="500"/>
      <c r="W228" s="354"/>
      <c r="X228" s="351"/>
      <c r="Y228" s="351"/>
      <c r="Z228" s="351"/>
      <c r="AA228" s="351"/>
      <c r="AB228" s="351"/>
      <c r="AC228" s="351"/>
      <c r="AD228" s="351"/>
      <c r="AE228" s="351"/>
      <c r="AF228" s="351"/>
      <c r="AG228" s="2"/>
    </row>
    <row r="229" spans="1:33" ht="13.5" customHeight="1">
      <c r="A229" s="351"/>
      <c r="B229" s="500"/>
      <c r="C229" s="500"/>
      <c r="D229" s="500"/>
      <c r="E229" s="500"/>
      <c r="F229" s="500"/>
      <c r="G229" s="509"/>
      <c r="H229" s="500"/>
      <c r="I229" s="508"/>
      <c r="J229" s="508"/>
      <c r="K229" s="508"/>
      <c r="L229" s="508"/>
      <c r="M229" s="500"/>
      <c r="N229" s="500"/>
      <c r="O229" s="500"/>
      <c r="P229" s="500"/>
      <c r="Q229" s="500"/>
      <c r="R229" s="500"/>
      <c r="S229" s="500"/>
      <c r="T229" s="500"/>
      <c r="U229" s="500"/>
      <c r="V229" s="500"/>
      <c r="W229" s="354"/>
      <c r="X229" s="351"/>
      <c r="Y229" s="351"/>
      <c r="Z229" s="351"/>
      <c r="AA229" s="351"/>
      <c r="AB229" s="351"/>
      <c r="AC229" s="351"/>
      <c r="AD229" s="351"/>
      <c r="AE229" s="351"/>
      <c r="AF229" s="351"/>
      <c r="AG229" s="2"/>
    </row>
    <row r="230" spans="1:33" ht="13.5" customHeight="1">
      <c r="A230" s="351"/>
      <c r="B230" s="500"/>
      <c r="C230" s="500"/>
      <c r="D230" s="500"/>
      <c r="E230" s="500"/>
      <c r="F230" s="500"/>
      <c r="G230" s="509"/>
      <c r="H230" s="500"/>
      <c r="I230" s="508"/>
      <c r="J230" s="508"/>
      <c r="K230" s="508"/>
      <c r="L230" s="508"/>
      <c r="M230" s="500"/>
      <c r="N230" s="500"/>
      <c r="O230" s="500"/>
      <c r="P230" s="500"/>
      <c r="Q230" s="500"/>
      <c r="R230" s="500"/>
      <c r="S230" s="500"/>
      <c r="T230" s="500"/>
      <c r="U230" s="500"/>
      <c r="V230" s="500"/>
      <c r="W230" s="354"/>
      <c r="X230" s="351"/>
      <c r="Y230" s="351"/>
      <c r="Z230" s="351"/>
      <c r="AA230" s="351"/>
      <c r="AB230" s="351"/>
      <c r="AC230" s="351"/>
      <c r="AD230" s="351"/>
      <c r="AE230" s="351"/>
      <c r="AF230" s="351"/>
      <c r="AG230" s="2"/>
    </row>
    <row r="231" spans="1:33" ht="13.5" customHeight="1">
      <c r="A231" s="351"/>
      <c r="B231" s="500"/>
      <c r="C231" s="500"/>
      <c r="D231" s="500"/>
      <c r="E231" s="500"/>
      <c r="F231" s="500"/>
      <c r="G231" s="509"/>
      <c r="H231" s="500"/>
      <c r="I231" s="508"/>
      <c r="J231" s="508"/>
      <c r="K231" s="508"/>
      <c r="L231" s="508"/>
      <c r="M231" s="500"/>
      <c r="N231" s="500"/>
      <c r="O231" s="500"/>
      <c r="P231" s="500"/>
      <c r="Q231" s="500"/>
      <c r="R231" s="500"/>
      <c r="S231" s="500"/>
      <c r="T231" s="500"/>
      <c r="U231" s="500"/>
      <c r="V231" s="500"/>
      <c r="W231" s="354"/>
      <c r="X231" s="351"/>
      <c r="Y231" s="351"/>
      <c r="Z231" s="351"/>
      <c r="AA231" s="351"/>
      <c r="AB231" s="351"/>
      <c r="AC231" s="351"/>
      <c r="AD231" s="351"/>
      <c r="AE231" s="351"/>
      <c r="AF231" s="351"/>
      <c r="AG231" s="2"/>
    </row>
    <row r="232" spans="1:33" ht="13.5" customHeight="1">
      <c r="A232" s="351"/>
      <c r="B232" s="500"/>
      <c r="C232" s="500"/>
      <c r="D232" s="500"/>
      <c r="E232" s="500"/>
      <c r="F232" s="500"/>
      <c r="G232" s="509"/>
      <c r="H232" s="500"/>
      <c r="I232" s="508"/>
      <c r="J232" s="508"/>
      <c r="K232" s="508"/>
      <c r="L232" s="508"/>
      <c r="M232" s="500"/>
      <c r="N232" s="500"/>
      <c r="O232" s="500"/>
      <c r="P232" s="500"/>
      <c r="Q232" s="500"/>
      <c r="R232" s="500"/>
      <c r="S232" s="500"/>
      <c r="T232" s="500"/>
      <c r="U232" s="500"/>
      <c r="V232" s="500"/>
      <c r="W232" s="354"/>
      <c r="X232" s="351"/>
      <c r="Y232" s="351"/>
      <c r="Z232" s="351"/>
      <c r="AA232" s="351"/>
      <c r="AB232" s="351"/>
      <c r="AC232" s="351"/>
      <c r="AD232" s="351"/>
      <c r="AE232" s="351"/>
      <c r="AF232" s="351"/>
      <c r="AG232" s="2"/>
    </row>
    <row r="233" spans="1:33" ht="13.5" customHeight="1">
      <c r="A233" s="351"/>
      <c r="B233" s="500"/>
      <c r="C233" s="500"/>
      <c r="D233" s="500"/>
      <c r="E233" s="500"/>
      <c r="F233" s="500"/>
      <c r="G233" s="509"/>
      <c r="H233" s="500"/>
      <c r="I233" s="508"/>
      <c r="J233" s="508"/>
      <c r="K233" s="508"/>
      <c r="L233" s="508"/>
      <c r="M233" s="500"/>
      <c r="N233" s="500"/>
      <c r="O233" s="500"/>
      <c r="P233" s="500"/>
      <c r="Q233" s="500"/>
      <c r="R233" s="500"/>
      <c r="S233" s="500"/>
      <c r="T233" s="500"/>
      <c r="U233" s="500"/>
      <c r="V233" s="500"/>
      <c r="W233" s="354"/>
      <c r="X233" s="351"/>
      <c r="Y233" s="351"/>
      <c r="Z233" s="351"/>
      <c r="AA233" s="351"/>
      <c r="AB233" s="351"/>
      <c r="AC233" s="351"/>
      <c r="AD233" s="351"/>
      <c r="AE233" s="351"/>
      <c r="AF233" s="351"/>
      <c r="AG233" s="2"/>
    </row>
    <row r="234" spans="1:33" ht="13.5" customHeight="1">
      <c r="A234" s="351"/>
      <c r="B234" s="500"/>
      <c r="C234" s="500"/>
      <c r="D234" s="500"/>
      <c r="E234" s="500"/>
      <c r="F234" s="500"/>
      <c r="G234" s="509"/>
      <c r="H234" s="500"/>
      <c r="I234" s="508"/>
      <c r="J234" s="508"/>
      <c r="K234" s="508"/>
      <c r="L234" s="508"/>
      <c r="M234" s="500"/>
      <c r="N234" s="500"/>
      <c r="O234" s="500"/>
      <c r="P234" s="500"/>
      <c r="Q234" s="500"/>
      <c r="R234" s="500"/>
      <c r="S234" s="500"/>
      <c r="T234" s="500"/>
      <c r="U234" s="500"/>
      <c r="V234" s="500"/>
      <c r="W234" s="354"/>
      <c r="X234" s="351"/>
      <c r="Y234" s="351"/>
      <c r="Z234" s="351"/>
      <c r="AA234" s="351"/>
      <c r="AB234" s="351"/>
      <c r="AC234" s="351"/>
      <c r="AD234" s="351"/>
      <c r="AE234" s="351"/>
      <c r="AF234" s="351"/>
      <c r="AG234" s="2"/>
    </row>
    <row r="235" spans="1:33" ht="13.5" customHeight="1">
      <c r="A235" s="351"/>
      <c r="B235" s="500"/>
      <c r="C235" s="500"/>
      <c r="D235" s="500"/>
      <c r="E235" s="500"/>
      <c r="F235" s="500"/>
      <c r="G235" s="509"/>
      <c r="H235" s="500"/>
      <c r="I235" s="508"/>
      <c r="J235" s="508"/>
      <c r="K235" s="508"/>
      <c r="L235" s="508"/>
      <c r="M235" s="500"/>
      <c r="N235" s="500"/>
      <c r="O235" s="500"/>
      <c r="P235" s="500"/>
      <c r="Q235" s="500"/>
      <c r="R235" s="500"/>
      <c r="S235" s="500"/>
      <c r="T235" s="500"/>
      <c r="U235" s="500"/>
      <c r="V235" s="500"/>
      <c r="W235" s="354"/>
      <c r="X235" s="351"/>
      <c r="Y235" s="351"/>
      <c r="Z235" s="351"/>
      <c r="AA235" s="351"/>
      <c r="AB235" s="351"/>
      <c r="AC235" s="351"/>
      <c r="AD235" s="351"/>
      <c r="AE235" s="351"/>
      <c r="AF235" s="351"/>
      <c r="AG235" s="2"/>
    </row>
    <row r="236" spans="1:33" ht="13.5" customHeight="1">
      <c r="A236" s="351"/>
      <c r="B236" s="500"/>
      <c r="C236" s="500"/>
      <c r="D236" s="500"/>
      <c r="E236" s="500"/>
      <c r="F236" s="500"/>
      <c r="G236" s="509"/>
      <c r="H236" s="500"/>
      <c r="I236" s="508"/>
      <c r="J236" s="508"/>
      <c r="K236" s="508"/>
      <c r="L236" s="508"/>
      <c r="M236" s="500"/>
      <c r="N236" s="500"/>
      <c r="O236" s="500"/>
      <c r="P236" s="500"/>
      <c r="Q236" s="500"/>
      <c r="R236" s="500"/>
      <c r="S236" s="500"/>
      <c r="T236" s="500"/>
      <c r="U236" s="500"/>
      <c r="V236" s="500"/>
      <c r="W236" s="354"/>
      <c r="X236" s="351"/>
      <c r="Y236" s="351"/>
      <c r="Z236" s="351"/>
      <c r="AA236" s="351"/>
      <c r="AB236" s="351"/>
      <c r="AC236" s="351"/>
      <c r="AD236" s="351"/>
      <c r="AE236" s="351"/>
      <c r="AF236" s="351"/>
      <c r="AG236" s="2"/>
    </row>
    <row r="237" spans="1:33" ht="13.5" customHeight="1">
      <c r="A237" s="351"/>
      <c r="B237" s="500"/>
      <c r="C237" s="500"/>
      <c r="D237" s="500"/>
      <c r="E237" s="500"/>
      <c r="F237" s="500"/>
      <c r="G237" s="509"/>
      <c r="H237" s="500"/>
      <c r="I237" s="508"/>
      <c r="J237" s="508"/>
      <c r="K237" s="508"/>
      <c r="L237" s="508"/>
      <c r="M237" s="500"/>
      <c r="N237" s="500"/>
      <c r="O237" s="500"/>
      <c r="P237" s="500"/>
      <c r="Q237" s="500"/>
      <c r="R237" s="500"/>
      <c r="S237" s="500"/>
      <c r="T237" s="500"/>
      <c r="U237" s="500"/>
      <c r="V237" s="500"/>
      <c r="W237" s="354"/>
      <c r="X237" s="351"/>
      <c r="Y237" s="351"/>
      <c r="Z237" s="351"/>
      <c r="AA237" s="351"/>
      <c r="AB237" s="351"/>
      <c r="AC237" s="351"/>
      <c r="AD237" s="351"/>
      <c r="AE237" s="351"/>
      <c r="AF237" s="351"/>
      <c r="AG237" s="2"/>
    </row>
    <row r="238" spans="1:33" ht="13.5" customHeight="1">
      <c r="A238" s="351"/>
      <c r="B238" s="500"/>
      <c r="C238" s="500"/>
      <c r="D238" s="500"/>
      <c r="E238" s="500"/>
      <c r="F238" s="500"/>
      <c r="G238" s="509"/>
      <c r="H238" s="500"/>
      <c r="I238" s="508"/>
      <c r="J238" s="508"/>
      <c r="K238" s="508"/>
      <c r="L238" s="508"/>
      <c r="M238" s="500"/>
      <c r="N238" s="500"/>
      <c r="O238" s="500"/>
      <c r="P238" s="500"/>
      <c r="Q238" s="500"/>
      <c r="R238" s="500"/>
      <c r="S238" s="500"/>
      <c r="T238" s="500"/>
      <c r="U238" s="500"/>
      <c r="V238" s="500"/>
      <c r="W238" s="354"/>
      <c r="X238" s="351"/>
      <c r="Y238" s="351"/>
      <c r="Z238" s="351"/>
      <c r="AA238" s="351"/>
      <c r="AB238" s="351"/>
      <c r="AC238" s="351"/>
      <c r="AD238" s="351"/>
      <c r="AE238" s="351"/>
      <c r="AF238" s="351"/>
      <c r="AG238" s="2"/>
    </row>
    <row r="239" spans="1:33" ht="13.5" customHeight="1">
      <c r="A239" s="351"/>
      <c r="B239" s="500"/>
      <c r="C239" s="500"/>
      <c r="D239" s="500"/>
      <c r="E239" s="500"/>
      <c r="F239" s="500"/>
      <c r="G239" s="509"/>
      <c r="H239" s="500"/>
      <c r="I239" s="508"/>
      <c r="J239" s="508"/>
      <c r="K239" s="508"/>
      <c r="L239" s="508"/>
      <c r="M239" s="500"/>
      <c r="N239" s="500"/>
      <c r="O239" s="500"/>
      <c r="P239" s="500"/>
      <c r="Q239" s="500"/>
      <c r="R239" s="500"/>
      <c r="S239" s="500"/>
      <c r="T239" s="500"/>
      <c r="U239" s="500"/>
      <c r="V239" s="500"/>
      <c r="W239" s="354"/>
      <c r="X239" s="351"/>
      <c r="Y239" s="351"/>
      <c r="Z239" s="351"/>
      <c r="AA239" s="351"/>
      <c r="AB239" s="351"/>
      <c r="AC239" s="351"/>
      <c r="AD239" s="351"/>
      <c r="AE239" s="351"/>
      <c r="AF239" s="351"/>
      <c r="AG239" s="2"/>
    </row>
    <row r="240" spans="1:33" ht="13.5" customHeight="1">
      <c r="A240" s="351"/>
      <c r="B240" s="500"/>
      <c r="C240" s="500"/>
      <c r="D240" s="500"/>
      <c r="E240" s="500"/>
      <c r="F240" s="500"/>
      <c r="G240" s="509"/>
      <c r="H240" s="500"/>
      <c r="I240" s="508"/>
      <c r="J240" s="508"/>
      <c r="K240" s="508"/>
      <c r="L240" s="508"/>
      <c r="M240" s="500"/>
      <c r="N240" s="500"/>
      <c r="O240" s="500"/>
      <c r="P240" s="500"/>
      <c r="Q240" s="500"/>
      <c r="R240" s="500"/>
      <c r="S240" s="500"/>
      <c r="T240" s="500"/>
      <c r="U240" s="500"/>
      <c r="V240" s="500"/>
      <c r="W240" s="354"/>
      <c r="X240" s="351"/>
      <c r="Y240" s="351"/>
      <c r="Z240" s="351"/>
      <c r="AA240" s="351"/>
      <c r="AB240" s="351"/>
      <c r="AC240" s="351"/>
      <c r="AD240" s="351"/>
      <c r="AE240" s="351"/>
      <c r="AF240" s="351"/>
      <c r="AG240" s="2"/>
    </row>
    <row r="241" spans="1:33" ht="13.5" customHeight="1">
      <c r="A241" s="351"/>
      <c r="B241" s="500"/>
      <c r="C241" s="500"/>
      <c r="D241" s="500"/>
      <c r="E241" s="500"/>
      <c r="F241" s="500"/>
      <c r="G241" s="509"/>
      <c r="H241" s="500"/>
      <c r="I241" s="508"/>
      <c r="J241" s="508"/>
      <c r="K241" s="508"/>
      <c r="L241" s="508"/>
      <c r="M241" s="500"/>
      <c r="N241" s="500"/>
      <c r="O241" s="500"/>
      <c r="P241" s="500"/>
      <c r="Q241" s="500"/>
      <c r="R241" s="500"/>
      <c r="S241" s="500"/>
      <c r="T241" s="500"/>
      <c r="U241" s="500"/>
      <c r="V241" s="500"/>
      <c r="W241" s="354"/>
      <c r="X241" s="351"/>
      <c r="Y241" s="351"/>
      <c r="Z241" s="351"/>
      <c r="AA241" s="351"/>
      <c r="AB241" s="351"/>
      <c r="AC241" s="351"/>
      <c r="AD241" s="351"/>
      <c r="AE241" s="351"/>
      <c r="AF241" s="351"/>
      <c r="AG241" s="2"/>
    </row>
    <row r="242" spans="1:33" ht="13.5" customHeight="1">
      <c r="A242" s="351"/>
      <c r="B242" s="500"/>
      <c r="C242" s="500"/>
      <c r="D242" s="500"/>
      <c r="E242" s="500"/>
      <c r="F242" s="500"/>
      <c r="G242" s="509"/>
      <c r="H242" s="500"/>
      <c r="I242" s="508"/>
      <c r="J242" s="508"/>
      <c r="K242" s="508"/>
      <c r="L242" s="508"/>
      <c r="M242" s="500"/>
      <c r="N242" s="500"/>
      <c r="O242" s="500"/>
      <c r="P242" s="500"/>
      <c r="Q242" s="500"/>
      <c r="R242" s="500"/>
      <c r="S242" s="500"/>
      <c r="T242" s="500"/>
      <c r="U242" s="500"/>
      <c r="V242" s="500"/>
      <c r="W242" s="354"/>
      <c r="X242" s="351"/>
      <c r="Y242" s="351"/>
      <c r="Z242" s="351"/>
      <c r="AA242" s="351"/>
      <c r="AB242" s="351"/>
      <c r="AC242" s="351"/>
      <c r="AD242" s="351"/>
      <c r="AE242" s="351"/>
      <c r="AF242" s="351"/>
      <c r="AG242" s="2"/>
    </row>
    <row r="243" spans="1:33" ht="13.5" customHeight="1">
      <c r="A243" s="351"/>
      <c r="B243" s="500"/>
      <c r="C243" s="500"/>
      <c r="D243" s="500"/>
      <c r="E243" s="500"/>
      <c r="F243" s="500"/>
      <c r="G243" s="509"/>
      <c r="H243" s="500"/>
      <c r="I243" s="508"/>
      <c r="J243" s="508"/>
      <c r="K243" s="508"/>
      <c r="L243" s="508"/>
      <c r="M243" s="500"/>
      <c r="N243" s="500"/>
      <c r="O243" s="500"/>
      <c r="P243" s="500"/>
      <c r="Q243" s="500"/>
      <c r="R243" s="500"/>
      <c r="S243" s="500"/>
      <c r="T243" s="500"/>
      <c r="U243" s="500"/>
      <c r="V243" s="500"/>
      <c r="W243" s="354"/>
      <c r="X243" s="351"/>
      <c r="Y243" s="351"/>
      <c r="Z243" s="351"/>
      <c r="AA243" s="351"/>
      <c r="AB243" s="351"/>
      <c r="AC243" s="351"/>
      <c r="AD243" s="351"/>
      <c r="AE243" s="351"/>
      <c r="AF243" s="351"/>
      <c r="AG243" s="2"/>
    </row>
    <row r="244" spans="1:33" ht="13.5" customHeight="1">
      <c r="A244" s="351"/>
      <c r="B244" s="500"/>
      <c r="C244" s="500"/>
      <c r="D244" s="500"/>
      <c r="E244" s="500"/>
      <c r="F244" s="500"/>
      <c r="G244" s="509"/>
      <c r="H244" s="500"/>
      <c r="I244" s="508"/>
      <c r="J244" s="508"/>
      <c r="K244" s="508"/>
      <c r="L244" s="508"/>
      <c r="M244" s="500"/>
      <c r="N244" s="500"/>
      <c r="O244" s="500"/>
      <c r="P244" s="500"/>
      <c r="Q244" s="500"/>
      <c r="R244" s="500"/>
      <c r="S244" s="500"/>
      <c r="T244" s="500"/>
      <c r="U244" s="500"/>
      <c r="V244" s="500"/>
      <c r="W244" s="354"/>
      <c r="X244" s="351"/>
      <c r="Y244" s="351"/>
      <c r="Z244" s="351"/>
      <c r="AA244" s="351"/>
      <c r="AB244" s="351"/>
      <c r="AC244" s="351"/>
      <c r="AD244" s="351"/>
      <c r="AE244" s="351"/>
      <c r="AF244" s="351"/>
      <c r="AG244" s="2"/>
    </row>
    <row r="245" spans="1:33" ht="13.5" customHeight="1">
      <c r="A245" s="351"/>
      <c r="B245" s="500"/>
      <c r="C245" s="500"/>
      <c r="D245" s="500"/>
      <c r="E245" s="500"/>
      <c r="F245" s="500"/>
      <c r="G245" s="509"/>
      <c r="H245" s="500"/>
      <c r="I245" s="508"/>
      <c r="J245" s="508"/>
      <c r="K245" s="508"/>
      <c r="L245" s="508"/>
      <c r="M245" s="500"/>
      <c r="N245" s="500"/>
      <c r="O245" s="500"/>
      <c r="P245" s="500"/>
      <c r="Q245" s="500"/>
      <c r="R245" s="500"/>
      <c r="S245" s="500"/>
      <c r="T245" s="500"/>
      <c r="U245" s="500"/>
      <c r="V245" s="500"/>
      <c r="W245" s="354"/>
      <c r="X245" s="351"/>
      <c r="Y245" s="351"/>
      <c r="Z245" s="351"/>
      <c r="AA245" s="351"/>
      <c r="AB245" s="351"/>
      <c r="AC245" s="351"/>
      <c r="AD245" s="351"/>
      <c r="AE245" s="351"/>
      <c r="AF245" s="351"/>
      <c r="AG245" s="2"/>
    </row>
    <row r="246" spans="1:33" ht="13.5" customHeight="1">
      <c r="A246" s="351"/>
      <c r="B246" s="500"/>
      <c r="C246" s="500"/>
      <c r="D246" s="500"/>
      <c r="E246" s="500"/>
      <c r="F246" s="500"/>
      <c r="G246" s="509"/>
      <c r="H246" s="500"/>
      <c r="I246" s="508"/>
      <c r="J246" s="508"/>
      <c r="K246" s="508"/>
      <c r="L246" s="508"/>
      <c r="M246" s="500"/>
      <c r="N246" s="500"/>
      <c r="O246" s="500"/>
      <c r="P246" s="500"/>
      <c r="Q246" s="500"/>
      <c r="R246" s="500"/>
      <c r="S246" s="500"/>
      <c r="T246" s="500"/>
      <c r="U246" s="500"/>
      <c r="V246" s="500"/>
      <c r="W246" s="354"/>
      <c r="X246" s="351"/>
      <c r="Y246" s="351"/>
      <c r="Z246" s="351"/>
      <c r="AA246" s="351"/>
      <c r="AB246" s="351"/>
      <c r="AC246" s="351"/>
      <c r="AD246" s="351"/>
      <c r="AE246" s="351"/>
      <c r="AF246" s="351"/>
      <c r="AG246" s="2"/>
    </row>
    <row r="247" spans="1:33" ht="13.5" customHeight="1">
      <c r="A247" s="351"/>
      <c r="B247" s="500"/>
      <c r="C247" s="500"/>
      <c r="D247" s="500"/>
      <c r="E247" s="500"/>
      <c r="F247" s="500"/>
      <c r="G247" s="509"/>
      <c r="H247" s="500"/>
      <c r="I247" s="508"/>
      <c r="J247" s="508"/>
      <c r="K247" s="508"/>
      <c r="L247" s="508"/>
      <c r="M247" s="500"/>
      <c r="N247" s="500"/>
      <c r="O247" s="500"/>
      <c r="P247" s="500"/>
      <c r="Q247" s="500"/>
      <c r="R247" s="500"/>
      <c r="S247" s="500"/>
      <c r="T247" s="500"/>
      <c r="U247" s="500"/>
      <c r="V247" s="500"/>
      <c r="W247" s="354"/>
      <c r="X247" s="351"/>
      <c r="Y247" s="351"/>
      <c r="Z247" s="351"/>
      <c r="AA247" s="351"/>
      <c r="AB247" s="351"/>
      <c r="AC247" s="351"/>
      <c r="AD247" s="351"/>
      <c r="AE247" s="351"/>
      <c r="AF247" s="351"/>
      <c r="AG247" s="2"/>
    </row>
    <row r="248" spans="1:33" ht="13.5" customHeight="1">
      <c r="A248" s="351"/>
      <c r="B248" s="500"/>
      <c r="C248" s="500"/>
      <c r="D248" s="500"/>
      <c r="E248" s="500"/>
      <c r="F248" s="500"/>
      <c r="G248" s="509"/>
      <c r="H248" s="500"/>
      <c r="I248" s="508"/>
      <c r="J248" s="508"/>
      <c r="K248" s="508"/>
      <c r="L248" s="508"/>
      <c r="M248" s="500"/>
      <c r="N248" s="500"/>
      <c r="O248" s="500"/>
      <c r="P248" s="500"/>
      <c r="Q248" s="500"/>
      <c r="R248" s="500"/>
      <c r="S248" s="500"/>
      <c r="T248" s="500"/>
      <c r="U248" s="500"/>
      <c r="V248" s="500"/>
      <c r="W248" s="354"/>
      <c r="X248" s="351"/>
      <c r="Y248" s="351"/>
      <c r="Z248" s="351"/>
      <c r="AA248" s="351"/>
      <c r="AB248" s="351"/>
      <c r="AC248" s="351"/>
      <c r="AD248" s="351"/>
      <c r="AE248" s="351"/>
      <c r="AF248" s="351"/>
      <c r="AG248" s="2"/>
    </row>
    <row r="249" spans="1:33" ht="13.5" customHeight="1">
      <c r="A249" s="351"/>
      <c r="B249" s="500"/>
      <c r="C249" s="500"/>
      <c r="D249" s="500"/>
      <c r="E249" s="500"/>
      <c r="F249" s="500"/>
      <c r="G249" s="509"/>
      <c r="H249" s="500"/>
      <c r="I249" s="508"/>
      <c r="J249" s="508"/>
      <c r="K249" s="508"/>
      <c r="L249" s="508"/>
      <c r="M249" s="500"/>
      <c r="N249" s="500"/>
      <c r="O249" s="500"/>
      <c r="P249" s="500"/>
      <c r="Q249" s="500"/>
      <c r="R249" s="500"/>
      <c r="S249" s="500"/>
      <c r="T249" s="500"/>
      <c r="U249" s="500"/>
      <c r="V249" s="500"/>
      <c r="W249" s="354"/>
      <c r="X249" s="351"/>
      <c r="Y249" s="351"/>
      <c r="Z249" s="351"/>
      <c r="AA249" s="351"/>
      <c r="AB249" s="351"/>
      <c r="AC249" s="351"/>
      <c r="AD249" s="351"/>
      <c r="AE249" s="351"/>
      <c r="AF249" s="351"/>
      <c r="AG249" s="2"/>
    </row>
    <row r="250" spans="1:33" ht="13.5" customHeight="1">
      <c r="A250" s="351"/>
      <c r="B250" s="500"/>
      <c r="C250" s="500"/>
      <c r="D250" s="500"/>
      <c r="E250" s="500"/>
      <c r="F250" s="500"/>
      <c r="G250" s="509"/>
      <c r="H250" s="500"/>
      <c r="I250" s="508"/>
      <c r="J250" s="508"/>
      <c r="K250" s="508"/>
      <c r="L250" s="508"/>
      <c r="M250" s="500"/>
      <c r="N250" s="500"/>
      <c r="O250" s="500"/>
      <c r="P250" s="500"/>
      <c r="Q250" s="500"/>
      <c r="R250" s="500"/>
      <c r="S250" s="500"/>
      <c r="T250" s="500"/>
      <c r="U250" s="500"/>
      <c r="V250" s="500"/>
      <c r="W250" s="354"/>
      <c r="X250" s="351"/>
      <c r="Y250" s="351"/>
      <c r="Z250" s="351"/>
      <c r="AA250" s="351"/>
      <c r="AB250" s="351"/>
      <c r="AC250" s="351"/>
      <c r="AD250" s="351"/>
      <c r="AE250" s="351"/>
      <c r="AF250" s="351"/>
      <c r="AG250" s="2"/>
    </row>
    <row r="251" spans="1:33" ht="13.5" customHeight="1">
      <c r="A251" s="351"/>
      <c r="B251" s="500"/>
      <c r="C251" s="500"/>
      <c r="D251" s="500"/>
      <c r="E251" s="500"/>
      <c r="F251" s="500"/>
      <c r="G251" s="509"/>
      <c r="H251" s="500"/>
      <c r="I251" s="508"/>
      <c r="J251" s="508"/>
      <c r="K251" s="508"/>
      <c r="L251" s="508"/>
      <c r="M251" s="500"/>
      <c r="N251" s="500"/>
      <c r="O251" s="500"/>
      <c r="P251" s="500"/>
      <c r="Q251" s="500"/>
      <c r="R251" s="500"/>
      <c r="S251" s="500"/>
      <c r="T251" s="500"/>
      <c r="U251" s="500"/>
      <c r="V251" s="500"/>
      <c r="W251" s="354"/>
      <c r="X251" s="351"/>
      <c r="Y251" s="351"/>
      <c r="Z251" s="351"/>
      <c r="AA251" s="351"/>
      <c r="AB251" s="351"/>
      <c r="AC251" s="351"/>
      <c r="AD251" s="351"/>
      <c r="AE251" s="351"/>
      <c r="AF251" s="351"/>
      <c r="AG251" s="2"/>
    </row>
    <row r="252" spans="1:33" ht="13.5" customHeight="1">
      <c r="A252" s="351"/>
      <c r="B252" s="500"/>
      <c r="C252" s="500"/>
      <c r="D252" s="500"/>
      <c r="E252" s="500"/>
      <c r="F252" s="500"/>
      <c r="G252" s="509"/>
      <c r="H252" s="500"/>
      <c r="I252" s="508"/>
      <c r="J252" s="508"/>
      <c r="K252" s="508"/>
      <c r="L252" s="508"/>
      <c r="M252" s="500"/>
      <c r="N252" s="500"/>
      <c r="O252" s="500"/>
      <c r="P252" s="500"/>
      <c r="Q252" s="500"/>
      <c r="R252" s="500"/>
      <c r="S252" s="500"/>
      <c r="T252" s="500"/>
      <c r="U252" s="500"/>
      <c r="V252" s="500"/>
      <c r="W252" s="354"/>
      <c r="X252" s="351"/>
      <c r="Y252" s="351"/>
      <c r="Z252" s="351"/>
      <c r="AA252" s="351"/>
      <c r="AB252" s="351"/>
      <c r="AC252" s="351"/>
      <c r="AD252" s="351"/>
      <c r="AE252" s="351"/>
      <c r="AF252" s="351"/>
      <c r="AG252" s="2"/>
    </row>
    <row r="253" spans="1:33" ht="13.5" customHeight="1">
      <c r="A253" s="351"/>
      <c r="B253" s="500"/>
      <c r="C253" s="500"/>
      <c r="D253" s="500"/>
      <c r="E253" s="500"/>
      <c r="F253" s="500"/>
      <c r="G253" s="509"/>
      <c r="H253" s="500"/>
      <c r="I253" s="508"/>
      <c r="J253" s="508"/>
      <c r="K253" s="508"/>
      <c r="L253" s="508"/>
      <c r="M253" s="500"/>
      <c r="N253" s="500"/>
      <c r="O253" s="500"/>
      <c r="P253" s="500"/>
      <c r="Q253" s="500"/>
      <c r="R253" s="500"/>
      <c r="S253" s="500"/>
      <c r="T253" s="500"/>
      <c r="U253" s="500"/>
      <c r="V253" s="500"/>
      <c r="W253" s="354"/>
      <c r="X253" s="351"/>
      <c r="Y253" s="351"/>
      <c r="Z253" s="351"/>
      <c r="AA253" s="351"/>
      <c r="AB253" s="351"/>
      <c r="AC253" s="351"/>
      <c r="AD253" s="351"/>
      <c r="AE253" s="351"/>
      <c r="AF253" s="351"/>
      <c r="AG253" s="2"/>
    </row>
    <row r="254" spans="1:33" ht="13.5" customHeight="1">
      <c r="A254" s="351"/>
      <c r="B254" s="500"/>
      <c r="C254" s="500"/>
      <c r="D254" s="500"/>
      <c r="E254" s="500"/>
      <c r="F254" s="500"/>
      <c r="G254" s="509"/>
      <c r="H254" s="500"/>
      <c r="I254" s="508"/>
      <c r="J254" s="508"/>
      <c r="K254" s="508"/>
      <c r="L254" s="508"/>
      <c r="M254" s="500"/>
      <c r="N254" s="500"/>
      <c r="O254" s="500"/>
      <c r="P254" s="500"/>
      <c r="Q254" s="500"/>
      <c r="R254" s="500"/>
      <c r="S254" s="500"/>
      <c r="T254" s="500"/>
      <c r="U254" s="500"/>
      <c r="V254" s="500"/>
      <c r="W254" s="354"/>
      <c r="X254" s="351"/>
      <c r="Y254" s="351"/>
      <c r="Z254" s="351"/>
      <c r="AA254" s="351"/>
      <c r="AB254" s="351"/>
      <c r="AC254" s="351"/>
      <c r="AD254" s="351"/>
      <c r="AE254" s="351"/>
      <c r="AF254" s="351"/>
      <c r="AG254" s="2"/>
    </row>
    <row r="255" spans="1:33" ht="13.5" customHeight="1">
      <c r="A255" s="351"/>
      <c r="B255" s="500"/>
      <c r="C255" s="500"/>
      <c r="D255" s="500"/>
      <c r="E255" s="500"/>
      <c r="F255" s="500"/>
      <c r="G255" s="509"/>
      <c r="H255" s="500"/>
      <c r="I255" s="508"/>
      <c r="J255" s="508"/>
      <c r="K255" s="508"/>
      <c r="L255" s="508"/>
      <c r="M255" s="500"/>
      <c r="N255" s="500"/>
      <c r="O255" s="500"/>
      <c r="P255" s="500"/>
      <c r="Q255" s="500"/>
      <c r="R255" s="500"/>
      <c r="S255" s="500"/>
      <c r="T255" s="500"/>
      <c r="U255" s="500"/>
      <c r="V255" s="500"/>
      <c r="W255" s="354"/>
      <c r="X255" s="351"/>
      <c r="Y255" s="351"/>
      <c r="Z255" s="351"/>
      <c r="AA255" s="351"/>
      <c r="AB255" s="351"/>
      <c r="AC255" s="351"/>
      <c r="AD255" s="351"/>
      <c r="AE255" s="351"/>
      <c r="AF255" s="351"/>
      <c r="AG255" s="2"/>
    </row>
    <row r="256" spans="1:33" ht="13.5" customHeight="1">
      <c r="A256" s="351"/>
      <c r="B256" s="500"/>
      <c r="C256" s="500"/>
      <c r="D256" s="500"/>
      <c r="E256" s="500"/>
      <c r="F256" s="500"/>
      <c r="G256" s="509"/>
      <c r="H256" s="500"/>
      <c r="I256" s="508"/>
      <c r="J256" s="508"/>
      <c r="K256" s="508"/>
      <c r="L256" s="508"/>
      <c r="M256" s="500"/>
      <c r="N256" s="500"/>
      <c r="O256" s="500"/>
      <c r="P256" s="500"/>
      <c r="Q256" s="500"/>
      <c r="R256" s="500"/>
      <c r="S256" s="500"/>
      <c r="T256" s="500"/>
      <c r="U256" s="500"/>
      <c r="V256" s="500"/>
      <c r="W256" s="354"/>
      <c r="X256" s="351"/>
      <c r="Y256" s="351"/>
      <c r="Z256" s="351"/>
      <c r="AA256" s="351"/>
      <c r="AB256" s="351"/>
      <c r="AC256" s="351"/>
      <c r="AD256" s="351"/>
      <c r="AE256" s="351"/>
      <c r="AF256" s="351"/>
      <c r="AG256" s="2"/>
    </row>
    <row r="257" spans="1:33" ht="13.5" customHeight="1">
      <c r="A257" s="351"/>
      <c r="B257" s="500"/>
      <c r="C257" s="500"/>
      <c r="D257" s="500"/>
      <c r="E257" s="500"/>
      <c r="F257" s="500"/>
      <c r="G257" s="509"/>
      <c r="H257" s="500"/>
      <c r="I257" s="508"/>
      <c r="J257" s="508"/>
      <c r="K257" s="508"/>
      <c r="L257" s="508"/>
      <c r="M257" s="500"/>
      <c r="N257" s="500"/>
      <c r="O257" s="500"/>
      <c r="P257" s="500"/>
      <c r="Q257" s="500"/>
      <c r="R257" s="500"/>
      <c r="S257" s="500"/>
      <c r="T257" s="500"/>
      <c r="U257" s="500"/>
      <c r="V257" s="500"/>
      <c r="W257" s="354"/>
      <c r="X257" s="351"/>
      <c r="Y257" s="351"/>
      <c r="Z257" s="351"/>
      <c r="AA257" s="351"/>
      <c r="AB257" s="351"/>
      <c r="AC257" s="351"/>
      <c r="AD257" s="351"/>
      <c r="AE257" s="351"/>
      <c r="AF257" s="351"/>
      <c r="AG257" s="2"/>
    </row>
    <row r="258" spans="1:33" ht="13.5" customHeight="1">
      <c r="A258" s="351"/>
      <c r="B258" s="500"/>
      <c r="C258" s="500"/>
      <c r="D258" s="500"/>
      <c r="E258" s="500"/>
      <c r="F258" s="500"/>
      <c r="G258" s="509"/>
      <c r="H258" s="500"/>
      <c r="I258" s="508"/>
      <c r="J258" s="508"/>
      <c r="K258" s="508"/>
      <c r="L258" s="508"/>
      <c r="M258" s="500"/>
      <c r="N258" s="500"/>
      <c r="O258" s="500"/>
      <c r="P258" s="500"/>
      <c r="Q258" s="500"/>
      <c r="R258" s="500"/>
      <c r="S258" s="500"/>
      <c r="T258" s="500"/>
      <c r="U258" s="500"/>
      <c r="V258" s="500"/>
      <c r="W258" s="354"/>
      <c r="X258" s="351"/>
      <c r="Y258" s="351"/>
      <c r="Z258" s="351"/>
      <c r="AA258" s="351"/>
      <c r="AB258" s="351"/>
      <c r="AC258" s="351"/>
      <c r="AD258" s="351"/>
      <c r="AE258" s="351"/>
      <c r="AF258" s="351"/>
      <c r="AG258" s="2"/>
    </row>
    <row r="259" spans="1:33" ht="13.5" customHeight="1">
      <c r="A259" s="351"/>
      <c r="B259" s="500"/>
      <c r="C259" s="500"/>
      <c r="D259" s="500"/>
      <c r="E259" s="500"/>
      <c r="F259" s="500"/>
      <c r="G259" s="509"/>
      <c r="H259" s="500"/>
      <c r="I259" s="508"/>
      <c r="J259" s="508"/>
      <c r="K259" s="508"/>
      <c r="L259" s="508"/>
      <c r="M259" s="500"/>
      <c r="N259" s="500"/>
      <c r="O259" s="500"/>
      <c r="P259" s="500"/>
      <c r="Q259" s="500"/>
      <c r="R259" s="500"/>
      <c r="S259" s="500"/>
      <c r="T259" s="500"/>
      <c r="U259" s="500"/>
      <c r="V259" s="500"/>
      <c r="W259" s="354"/>
      <c r="X259" s="351"/>
      <c r="Y259" s="351"/>
      <c r="Z259" s="351"/>
      <c r="AA259" s="351"/>
      <c r="AB259" s="351"/>
      <c r="AC259" s="351"/>
      <c r="AD259" s="351"/>
      <c r="AE259" s="351"/>
      <c r="AF259" s="351"/>
      <c r="AG259" s="2"/>
    </row>
    <row r="260" spans="1:33" ht="13.5" customHeight="1">
      <c r="A260" s="351"/>
      <c r="B260" s="500"/>
      <c r="C260" s="500"/>
      <c r="D260" s="500"/>
      <c r="E260" s="500"/>
      <c r="F260" s="500"/>
      <c r="G260" s="509"/>
      <c r="H260" s="500"/>
      <c r="I260" s="508"/>
      <c r="J260" s="508"/>
      <c r="K260" s="508"/>
      <c r="L260" s="508"/>
      <c r="M260" s="500"/>
      <c r="N260" s="500"/>
      <c r="O260" s="500"/>
      <c r="P260" s="500"/>
      <c r="Q260" s="500"/>
      <c r="R260" s="500"/>
      <c r="S260" s="500"/>
      <c r="T260" s="500"/>
      <c r="U260" s="500"/>
      <c r="V260" s="500"/>
      <c r="W260" s="354"/>
      <c r="X260" s="351"/>
      <c r="Y260" s="351"/>
      <c r="Z260" s="351"/>
      <c r="AA260" s="351"/>
      <c r="AB260" s="351"/>
      <c r="AC260" s="351"/>
      <c r="AD260" s="351"/>
      <c r="AE260" s="351"/>
      <c r="AF260" s="351"/>
      <c r="AG260" s="2"/>
    </row>
    <row r="261" spans="1:33" ht="13.5" customHeight="1">
      <c r="A261" s="351"/>
      <c r="B261" s="500"/>
      <c r="C261" s="500"/>
      <c r="D261" s="500"/>
      <c r="E261" s="500"/>
      <c r="F261" s="500"/>
      <c r="G261" s="509"/>
      <c r="H261" s="500"/>
      <c r="I261" s="508"/>
      <c r="J261" s="508"/>
      <c r="K261" s="508"/>
      <c r="L261" s="508"/>
      <c r="M261" s="500"/>
      <c r="N261" s="500"/>
      <c r="O261" s="500"/>
      <c r="P261" s="500"/>
      <c r="Q261" s="500"/>
      <c r="R261" s="500"/>
      <c r="S261" s="500"/>
      <c r="T261" s="500"/>
      <c r="U261" s="500"/>
      <c r="V261" s="500"/>
      <c r="W261" s="354"/>
      <c r="X261" s="351"/>
      <c r="Y261" s="351"/>
      <c r="Z261" s="351"/>
      <c r="AA261" s="351"/>
      <c r="AB261" s="351"/>
      <c r="AC261" s="351"/>
      <c r="AD261" s="351"/>
      <c r="AE261" s="351"/>
      <c r="AF261" s="351"/>
      <c r="AG261" s="2"/>
    </row>
    <row r="262" spans="1:33" ht="13.5" customHeight="1">
      <c r="A262" s="351"/>
      <c r="B262" s="500"/>
      <c r="C262" s="500"/>
      <c r="D262" s="500"/>
      <c r="E262" s="500"/>
      <c r="F262" s="500"/>
      <c r="G262" s="509"/>
      <c r="H262" s="500"/>
      <c r="I262" s="508"/>
      <c r="J262" s="508"/>
      <c r="K262" s="508"/>
      <c r="L262" s="508"/>
      <c r="M262" s="500"/>
      <c r="N262" s="500"/>
      <c r="O262" s="500"/>
      <c r="P262" s="500"/>
      <c r="Q262" s="500"/>
      <c r="R262" s="500"/>
      <c r="S262" s="500"/>
      <c r="T262" s="500"/>
      <c r="U262" s="500"/>
      <c r="V262" s="500"/>
      <c r="W262" s="354"/>
      <c r="X262" s="351"/>
      <c r="Y262" s="351"/>
      <c r="Z262" s="351"/>
      <c r="AA262" s="351"/>
      <c r="AB262" s="351"/>
      <c r="AC262" s="351"/>
      <c r="AD262" s="351"/>
      <c r="AE262" s="351"/>
      <c r="AF262" s="351"/>
      <c r="AG262" s="2"/>
    </row>
    <row r="263" spans="1:33" ht="13.5" customHeight="1">
      <c r="A263" s="351"/>
      <c r="B263" s="500"/>
      <c r="C263" s="500"/>
      <c r="D263" s="500"/>
      <c r="E263" s="500"/>
      <c r="F263" s="500"/>
      <c r="G263" s="509"/>
      <c r="H263" s="500"/>
      <c r="I263" s="508"/>
      <c r="J263" s="508"/>
      <c r="K263" s="508"/>
      <c r="L263" s="508"/>
      <c r="M263" s="500"/>
      <c r="N263" s="500"/>
      <c r="O263" s="500"/>
      <c r="P263" s="500"/>
      <c r="Q263" s="500"/>
      <c r="R263" s="500"/>
      <c r="S263" s="500"/>
      <c r="T263" s="500"/>
      <c r="U263" s="500"/>
      <c r="V263" s="500"/>
      <c r="W263" s="354"/>
      <c r="X263" s="351"/>
      <c r="Y263" s="351"/>
      <c r="Z263" s="351"/>
      <c r="AA263" s="351"/>
      <c r="AB263" s="351"/>
      <c r="AC263" s="351"/>
      <c r="AD263" s="351"/>
      <c r="AE263" s="351"/>
      <c r="AF263" s="351"/>
      <c r="AG263" s="2"/>
    </row>
    <row r="264" spans="1:33" ht="13.5" customHeight="1">
      <c r="A264" s="351"/>
      <c r="B264" s="500"/>
      <c r="C264" s="500"/>
      <c r="D264" s="500"/>
      <c r="E264" s="500"/>
      <c r="F264" s="500"/>
      <c r="G264" s="509"/>
      <c r="H264" s="500"/>
      <c r="I264" s="508"/>
      <c r="J264" s="508"/>
      <c r="K264" s="508"/>
      <c r="L264" s="508"/>
      <c r="M264" s="500"/>
      <c r="N264" s="500"/>
      <c r="O264" s="500"/>
      <c r="P264" s="500"/>
      <c r="Q264" s="500"/>
      <c r="R264" s="500"/>
      <c r="S264" s="500"/>
      <c r="T264" s="500"/>
      <c r="U264" s="500"/>
      <c r="V264" s="500"/>
      <c r="W264" s="354"/>
      <c r="X264" s="351"/>
      <c r="Y264" s="351"/>
      <c r="Z264" s="351"/>
      <c r="AA264" s="351"/>
      <c r="AB264" s="351"/>
      <c r="AC264" s="351"/>
      <c r="AD264" s="351"/>
      <c r="AE264" s="351"/>
      <c r="AF264" s="351"/>
      <c r="AG264" s="2"/>
    </row>
    <row r="265" spans="1:33" ht="13.5" customHeight="1">
      <c r="A265" s="351"/>
      <c r="B265" s="500"/>
      <c r="C265" s="500"/>
      <c r="D265" s="500"/>
      <c r="E265" s="500"/>
      <c r="F265" s="500"/>
      <c r="G265" s="509"/>
      <c r="H265" s="500"/>
      <c r="I265" s="508"/>
      <c r="J265" s="508"/>
      <c r="K265" s="508"/>
      <c r="L265" s="508"/>
      <c r="M265" s="500"/>
      <c r="N265" s="500"/>
      <c r="O265" s="500"/>
      <c r="P265" s="500"/>
      <c r="Q265" s="500"/>
      <c r="R265" s="500"/>
      <c r="S265" s="500"/>
      <c r="T265" s="500"/>
      <c r="U265" s="500"/>
      <c r="V265" s="500"/>
      <c r="W265" s="354"/>
      <c r="X265" s="351"/>
      <c r="Y265" s="351"/>
      <c r="Z265" s="351"/>
      <c r="AA265" s="351"/>
      <c r="AB265" s="351"/>
      <c r="AC265" s="351"/>
      <c r="AD265" s="351"/>
      <c r="AE265" s="351"/>
      <c r="AF265" s="351"/>
      <c r="AG265" s="2"/>
    </row>
    <row r="266" spans="1:33" ht="13.5" customHeight="1">
      <c r="A266" s="351"/>
      <c r="B266" s="500"/>
      <c r="C266" s="500"/>
      <c r="D266" s="500"/>
      <c r="E266" s="500"/>
      <c r="F266" s="500"/>
      <c r="G266" s="509"/>
      <c r="H266" s="500"/>
      <c r="I266" s="508"/>
      <c r="J266" s="508"/>
      <c r="K266" s="508"/>
      <c r="L266" s="508"/>
      <c r="M266" s="500"/>
      <c r="N266" s="500"/>
      <c r="O266" s="500"/>
      <c r="P266" s="500"/>
      <c r="Q266" s="500"/>
      <c r="R266" s="500"/>
      <c r="S266" s="500"/>
      <c r="T266" s="500"/>
      <c r="U266" s="500"/>
      <c r="V266" s="500"/>
      <c r="W266" s="354"/>
      <c r="X266" s="351"/>
      <c r="Y266" s="351"/>
      <c r="Z266" s="351"/>
      <c r="AA266" s="351"/>
      <c r="AB266" s="351"/>
      <c r="AC266" s="351"/>
      <c r="AD266" s="351"/>
      <c r="AE266" s="351"/>
      <c r="AF266" s="351"/>
      <c r="AG266" s="2"/>
    </row>
    <row r="267" spans="1:33" ht="13.5" customHeight="1">
      <c r="A267" s="351"/>
      <c r="B267" s="500"/>
      <c r="C267" s="500"/>
      <c r="D267" s="500"/>
      <c r="E267" s="500"/>
      <c r="F267" s="500"/>
      <c r="G267" s="509"/>
      <c r="H267" s="500"/>
      <c r="I267" s="508"/>
      <c r="J267" s="508"/>
      <c r="K267" s="508"/>
      <c r="L267" s="508"/>
      <c r="M267" s="500"/>
      <c r="N267" s="500"/>
      <c r="O267" s="500"/>
      <c r="P267" s="500"/>
      <c r="Q267" s="500"/>
      <c r="R267" s="500"/>
      <c r="S267" s="500"/>
      <c r="T267" s="500"/>
      <c r="U267" s="500"/>
      <c r="V267" s="500"/>
      <c r="W267" s="354"/>
      <c r="X267" s="351"/>
      <c r="Y267" s="351"/>
      <c r="Z267" s="351"/>
      <c r="AA267" s="351"/>
      <c r="AB267" s="351"/>
      <c r="AC267" s="351"/>
      <c r="AD267" s="351"/>
      <c r="AE267" s="351"/>
      <c r="AF267" s="351"/>
      <c r="AG267" s="2"/>
    </row>
    <row r="268" spans="1:33" ht="13.5" customHeight="1">
      <c r="A268" s="351"/>
      <c r="B268" s="500"/>
      <c r="C268" s="500"/>
      <c r="D268" s="500"/>
      <c r="E268" s="500"/>
      <c r="F268" s="500"/>
      <c r="G268" s="509"/>
      <c r="H268" s="500"/>
      <c r="I268" s="508"/>
      <c r="J268" s="508"/>
      <c r="K268" s="508"/>
      <c r="L268" s="508"/>
      <c r="M268" s="500"/>
      <c r="N268" s="500"/>
      <c r="O268" s="500"/>
      <c r="P268" s="500"/>
      <c r="Q268" s="500"/>
      <c r="R268" s="500"/>
      <c r="S268" s="500"/>
      <c r="T268" s="500"/>
      <c r="U268" s="500"/>
      <c r="V268" s="500"/>
      <c r="W268" s="354"/>
      <c r="X268" s="351"/>
      <c r="Y268" s="351"/>
      <c r="Z268" s="351"/>
      <c r="AA268" s="351"/>
      <c r="AB268" s="351"/>
      <c r="AC268" s="351"/>
      <c r="AD268" s="351"/>
      <c r="AE268" s="351"/>
      <c r="AF268" s="351"/>
      <c r="AG268" s="2"/>
    </row>
    <row r="269" spans="1:33" ht="13.5" customHeight="1">
      <c r="A269" s="351"/>
      <c r="B269" s="500"/>
      <c r="C269" s="500"/>
      <c r="D269" s="500"/>
      <c r="E269" s="500"/>
      <c r="F269" s="500"/>
      <c r="G269" s="509"/>
      <c r="H269" s="500"/>
      <c r="I269" s="508"/>
      <c r="J269" s="508"/>
      <c r="K269" s="508"/>
      <c r="L269" s="508"/>
      <c r="M269" s="500"/>
      <c r="N269" s="500"/>
      <c r="O269" s="500"/>
      <c r="P269" s="500"/>
      <c r="Q269" s="500"/>
      <c r="R269" s="500"/>
      <c r="S269" s="500"/>
      <c r="T269" s="500"/>
      <c r="U269" s="500"/>
      <c r="V269" s="500"/>
      <c r="W269" s="354"/>
      <c r="X269" s="351"/>
      <c r="Y269" s="351"/>
      <c r="Z269" s="351"/>
      <c r="AA269" s="351"/>
      <c r="AB269" s="351"/>
      <c r="AC269" s="351"/>
      <c r="AD269" s="351"/>
      <c r="AE269" s="351"/>
      <c r="AF269" s="351"/>
      <c r="AG269" s="2"/>
    </row>
    <row r="270" spans="1:33" ht="13.5" customHeight="1">
      <c r="A270" s="351"/>
      <c r="B270" s="500"/>
      <c r="C270" s="500"/>
      <c r="D270" s="500"/>
      <c r="E270" s="500"/>
      <c r="F270" s="500"/>
      <c r="G270" s="509"/>
      <c r="H270" s="500"/>
      <c r="I270" s="508"/>
      <c r="J270" s="508"/>
      <c r="K270" s="508"/>
      <c r="L270" s="508"/>
      <c r="M270" s="500"/>
      <c r="N270" s="500"/>
      <c r="O270" s="500"/>
      <c r="P270" s="500"/>
      <c r="Q270" s="500"/>
      <c r="R270" s="500"/>
      <c r="S270" s="500"/>
      <c r="T270" s="500"/>
      <c r="U270" s="500"/>
      <c r="V270" s="500"/>
      <c r="W270" s="354"/>
      <c r="X270" s="351"/>
      <c r="Y270" s="351"/>
      <c r="Z270" s="351"/>
      <c r="AA270" s="351"/>
      <c r="AB270" s="351"/>
      <c r="AC270" s="351"/>
      <c r="AD270" s="351"/>
      <c r="AE270" s="351"/>
      <c r="AF270" s="351"/>
      <c r="AG270" s="2"/>
    </row>
    <row r="271" spans="1:33" ht="13.5" customHeight="1">
      <c r="A271" s="351"/>
      <c r="B271" s="500"/>
      <c r="C271" s="500"/>
      <c r="D271" s="500"/>
      <c r="E271" s="500"/>
      <c r="F271" s="500"/>
      <c r="G271" s="509"/>
      <c r="H271" s="500"/>
      <c r="I271" s="508"/>
      <c r="J271" s="508"/>
      <c r="K271" s="508"/>
      <c r="L271" s="508"/>
      <c r="M271" s="500"/>
      <c r="N271" s="500"/>
      <c r="O271" s="500"/>
      <c r="P271" s="500"/>
      <c r="Q271" s="500"/>
      <c r="R271" s="500"/>
      <c r="S271" s="500"/>
      <c r="T271" s="500"/>
      <c r="U271" s="500"/>
      <c r="V271" s="500"/>
      <c r="W271" s="354"/>
      <c r="X271" s="351"/>
      <c r="Y271" s="351"/>
      <c r="Z271" s="351"/>
      <c r="AA271" s="351"/>
      <c r="AB271" s="351"/>
      <c r="AC271" s="351"/>
      <c r="AD271" s="351"/>
      <c r="AE271" s="351"/>
      <c r="AF271" s="351"/>
      <c r="AG271" s="2"/>
    </row>
    <row r="272" spans="1:33" ht="13.5" customHeight="1">
      <c r="A272" s="351"/>
      <c r="B272" s="500"/>
      <c r="C272" s="500"/>
      <c r="D272" s="500"/>
      <c r="E272" s="500"/>
      <c r="F272" s="500"/>
      <c r="G272" s="509"/>
      <c r="H272" s="500"/>
      <c r="I272" s="508"/>
      <c r="J272" s="508"/>
      <c r="K272" s="508"/>
      <c r="L272" s="508"/>
      <c r="M272" s="500"/>
      <c r="N272" s="500"/>
      <c r="O272" s="500"/>
      <c r="P272" s="500"/>
      <c r="Q272" s="500"/>
      <c r="R272" s="500"/>
      <c r="S272" s="500"/>
      <c r="T272" s="500"/>
      <c r="U272" s="500"/>
      <c r="V272" s="500"/>
      <c r="W272" s="354"/>
      <c r="X272" s="351"/>
      <c r="Y272" s="351"/>
      <c r="Z272" s="351"/>
      <c r="AA272" s="351"/>
      <c r="AB272" s="351"/>
      <c r="AC272" s="351"/>
      <c r="AD272" s="351"/>
      <c r="AE272" s="351"/>
      <c r="AF272" s="351"/>
      <c r="AG272" s="2"/>
    </row>
    <row r="273" spans="1:33" ht="13.5" customHeight="1">
      <c r="A273" s="351"/>
      <c r="B273" s="500"/>
      <c r="C273" s="500"/>
      <c r="D273" s="500"/>
      <c r="E273" s="500"/>
      <c r="F273" s="500"/>
      <c r="G273" s="509"/>
      <c r="H273" s="500"/>
      <c r="I273" s="508"/>
      <c r="J273" s="508"/>
      <c r="K273" s="508"/>
      <c r="L273" s="508"/>
      <c r="M273" s="500"/>
      <c r="N273" s="500"/>
      <c r="O273" s="500"/>
      <c r="P273" s="500"/>
      <c r="Q273" s="500"/>
      <c r="R273" s="500"/>
      <c r="S273" s="500"/>
      <c r="T273" s="500"/>
      <c r="U273" s="500"/>
      <c r="V273" s="500"/>
      <c r="W273" s="354"/>
      <c r="X273" s="351"/>
      <c r="Y273" s="351"/>
      <c r="Z273" s="351"/>
      <c r="AA273" s="351"/>
      <c r="AB273" s="351"/>
      <c r="AC273" s="351"/>
      <c r="AD273" s="351"/>
      <c r="AE273" s="351"/>
      <c r="AF273" s="351"/>
      <c r="AG273" s="2"/>
    </row>
    <row r="274" spans="1:33" ht="13.5" customHeight="1">
      <c r="A274" s="351"/>
      <c r="B274" s="500"/>
      <c r="C274" s="500"/>
      <c r="D274" s="500"/>
      <c r="E274" s="500"/>
      <c r="F274" s="500"/>
      <c r="G274" s="509"/>
      <c r="H274" s="500"/>
      <c r="I274" s="508"/>
      <c r="J274" s="508"/>
      <c r="K274" s="508"/>
      <c r="L274" s="508"/>
      <c r="M274" s="500"/>
      <c r="N274" s="500"/>
      <c r="O274" s="500"/>
      <c r="P274" s="500"/>
      <c r="Q274" s="500"/>
      <c r="R274" s="500"/>
      <c r="S274" s="500"/>
      <c r="T274" s="500"/>
      <c r="U274" s="500"/>
      <c r="V274" s="500"/>
      <c r="W274" s="354"/>
      <c r="X274" s="351"/>
      <c r="Y274" s="351"/>
      <c r="Z274" s="351"/>
      <c r="AA274" s="351"/>
      <c r="AB274" s="351"/>
      <c r="AC274" s="351"/>
      <c r="AD274" s="351"/>
      <c r="AE274" s="351"/>
      <c r="AF274" s="351"/>
      <c r="AG274" s="2"/>
    </row>
    <row r="275" spans="1:33" ht="13.5" customHeight="1">
      <c r="A275" s="351"/>
      <c r="B275" s="500"/>
      <c r="C275" s="500"/>
      <c r="D275" s="500"/>
      <c r="E275" s="500"/>
      <c r="F275" s="500"/>
      <c r="G275" s="509"/>
      <c r="H275" s="500"/>
      <c r="I275" s="508"/>
      <c r="J275" s="508"/>
      <c r="K275" s="508"/>
      <c r="L275" s="508"/>
      <c r="M275" s="500"/>
      <c r="N275" s="500"/>
      <c r="O275" s="500"/>
      <c r="P275" s="500"/>
      <c r="Q275" s="500"/>
      <c r="R275" s="500"/>
      <c r="S275" s="500"/>
      <c r="T275" s="500"/>
      <c r="U275" s="500"/>
      <c r="V275" s="500"/>
      <c r="W275" s="354"/>
      <c r="X275" s="351"/>
      <c r="Y275" s="351"/>
      <c r="Z275" s="351"/>
      <c r="AA275" s="351"/>
      <c r="AB275" s="351"/>
      <c r="AC275" s="351"/>
      <c r="AD275" s="351"/>
      <c r="AE275" s="351"/>
      <c r="AF275" s="351"/>
      <c r="AG275" s="2"/>
    </row>
    <row r="276" spans="1:33" ht="13.5" customHeight="1">
      <c r="A276" s="351"/>
      <c r="B276" s="500"/>
      <c r="C276" s="500"/>
      <c r="D276" s="500"/>
      <c r="E276" s="500"/>
      <c r="F276" s="500"/>
      <c r="G276" s="509"/>
      <c r="H276" s="500"/>
      <c r="I276" s="508"/>
      <c r="J276" s="508"/>
      <c r="K276" s="508"/>
      <c r="L276" s="508"/>
      <c r="M276" s="500"/>
      <c r="N276" s="500"/>
      <c r="O276" s="500"/>
      <c r="P276" s="500"/>
      <c r="Q276" s="500"/>
      <c r="R276" s="500"/>
      <c r="S276" s="500"/>
      <c r="T276" s="500"/>
      <c r="U276" s="500"/>
      <c r="V276" s="500"/>
      <c r="W276" s="354"/>
      <c r="X276" s="351"/>
      <c r="Y276" s="351"/>
      <c r="Z276" s="351"/>
      <c r="AA276" s="351"/>
      <c r="AB276" s="351"/>
      <c r="AC276" s="351"/>
      <c r="AD276" s="351"/>
      <c r="AE276" s="351"/>
      <c r="AF276" s="351"/>
      <c r="AG276" s="2"/>
    </row>
    <row r="277" spans="1:33" ht="13.5" customHeight="1">
      <c r="A277" s="351"/>
      <c r="B277" s="500"/>
      <c r="C277" s="500"/>
      <c r="D277" s="500"/>
      <c r="E277" s="500"/>
      <c r="F277" s="500"/>
      <c r="G277" s="509"/>
      <c r="H277" s="500"/>
      <c r="I277" s="508"/>
      <c r="J277" s="508"/>
      <c r="K277" s="508"/>
      <c r="L277" s="508"/>
      <c r="M277" s="500"/>
      <c r="N277" s="500"/>
      <c r="O277" s="500"/>
      <c r="P277" s="500"/>
      <c r="Q277" s="500"/>
      <c r="R277" s="500"/>
      <c r="S277" s="500"/>
      <c r="T277" s="500"/>
      <c r="U277" s="500"/>
      <c r="V277" s="500"/>
      <c r="W277" s="354"/>
      <c r="X277" s="351"/>
      <c r="Y277" s="351"/>
      <c r="Z277" s="351"/>
      <c r="AA277" s="351"/>
      <c r="AB277" s="351"/>
      <c r="AC277" s="351"/>
      <c r="AD277" s="351"/>
      <c r="AE277" s="351"/>
      <c r="AF277" s="351"/>
      <c r="AG277" s="2"/>
    </row>
    <row r="278" spans="1:33" ht="13.5" customHeight="1">
      <c r="A278" s="351"/>
      <c r="B278" s="500"/>
      <c r="C278" s="500"/>
      <c r="D278" s="500"/>
      <c r="E278" s="500"/>
      <c r="F278" s="500"/>
      <c r="G278" s="509"/>
      <c r="H278" s="500"/>
      <c r="I278" s="508"/>
      <c r="J278" s="508"/>
      <c r="K278" s="508"/>
      <c r="L278" s="508"/>
      <c r="M278" s="500"/>
      <c r="N278" s="500"/>
      <c r="O278" s="500"/>
      <c r="P278" s="500"/>
      <c r="Q278" s="500"/>
      <c r="R278" s="500"/>
      <c r="S278" s="500"/>
      <c r="T278" s="500"/>
      <c r="U278" s="500"/>
      <c r="V278" s="500"/>
      <c r="W278" s="354"/>
      <c r="X278" s="351"/>
      <c r="Y278" s="351"/>
      <c r="Z278" s="351"/>
      <c r="AA278" s="351"/>
      <c r="AB278" s="351"/>
      <c r="AC278" s="351"/>
      <c r="AD278" s="351"/>
      <c r="AE278" s="351"/>
      <c r="AF278" s="351"/>
      <c r="AG278" s="2"/>
    </row>
    <row r="279" spans="1:33" ht="13.5" customHeight="1">
      <c r="A279" s="351"/>
      <c r="B279" s="500"/>
      <c r="C279" s="500"/>
      <c r="D279" s="500"/>
      <c r="E279" s="500"/>
      <c r="F279" s="500"/>
      <c r="G279" s="509"/>
      <c r="H279" s="500"/>
      <c r="I279" s="508"/>
      <c r="J279" s="508"/>
      <c r="K279" s="508"/>
      <c r="L279" s="508"/>
      <c r="M279" s="500"/>
      <c r="N279" s="500"/>
      <c r="O279" s="500"/>
      <c r="P279" s="500"/>
      <c r="Q279" s="500"/>
      <c r="R279" s="500"/>
      <c r="S279" s="500"/>
      <c r="T279" s="500"/>
      <c r="U279" s="500"/>
      <c r="V279" s="500"/>
      <c r="W279" s="354"/>
      <c r="X279" s="351"/>
      <c r="Y279" s="351"/>
      <c r="Z279" s="351"/>
      <c r="AA279" s="351"/>
      <c r="AB279" s="351"/>
      <c r="AC279" s="351"/>
      <c r="AD279" s="351"/>
      <c r="AE279" s="351"/>
      <c r="AF279" s="351"/>
      <c r="AG279" s="2"/>
    </row>
    <row r="280" spans="1:33" ht="13.5" customHeight="1">
      <c r="A280" s="351"/>
      <c r="B280" s="500"/>
      <c r="C280" s="500"/>
      <c r="D280" s="500"/>
      <c r="E280" s="500"/>
      <c r="F280" s="500"/>
      <c r="G280" s="509"/>
      <c r="H280" s="500"/>
      <c r="I280" s="508"/>
      <c r="J280" s="508"/>
      <c r="K280" s="508"/>
      <c r="L280" s="508"/>
      <c r="M280" s="500"/>
      <c r="N280" s="500"/>
      <c r="O280" s="500"/>
      <c r="P280" s="500"/>
      <c r="Q280" s="500"/>
      <c r="R280" s="500"/>
      <c r="S280" s="500"/>
      <c r="T280" s="500"/>
      <c r="U280" s="500"/>
      <c r="V280" s="500"/>
      <c r="W280" s="354"/>
      <c r="X280" s="351"/>
      <c r="Y280" s="351"/>
      <c r="Z280" s="351"/>
      <c r="AA280" s="351"/>
      <c r="AB280" s="351"/>
      <c r="AC280" s="351"/>
      <c r="AD280" s="351"/>
      <c r="AE280" s="351"/>
      <c r="AF280" s="351"/>
      <c r="AG280" s="2"/>
    </row>
    <row r="281" spans="1:33" ht="13.5" customHeight="1">
      <c r="A281" s="351"/>
      <c r="B281" s="500"/>
      <c r="C281" s="500"/>
      <c r="D281" s="500"/>
      <c r="E281" s="500"/>
      <c r="F281" s="500"/>
      <c r="G281" s="509"/>
      <c r="H281" s="500"/>
      <c r="I281" s="508"/>
      <c r="J281" s="508"/>
      <c r="K281" s="508"/>
      <c r="L281" s="508"/>
      <c r="M281" s="500"/>
      <c r="N281" s="500"/>
      <c r="O281" s="500"/>
      <c r="P281" s="500"/>
      <c r="Q281" s="500"/>
      <c r="R281" s="500"/>
      <c r="S281" s="500"/>
      <c r="T281" s="500"/>
      <c r="U281" s="500"/>
      <c r="V281" s="500"/>
      <c r="W281" s="354"/>
      <c r="X281" s="351"/>
      <c r="Y281" s="351"/>
      <c r="Z281" s="351"/>
      <c r="AA281" s="351"/>
      <c r="AB281" s="351"/>
      <c r="AC281" s="351"/>
      <c r="AD281" s="351"/>
      <c r="AE281" s="351"/>
      <c r="AF281" s="351"/>
      <c r="AG281" s="2"/>
    </row>
    <row r="282" spans="1:33" ht="13.5" customHeight="1">
      <c r="A282" s="351"/>
      <c r="B282" s="500"/>
      <c r="C282" s="500"/>
      <c r="D282" s="500"/>
      <c r="E282" s="500"/>
      <c r="F282" s="500"/>
      <c r="G282" s="509"/>
      <c r="H282" s="500"/>
      <c r="I282" s="508"/>
      <c r="J282" s="508"/>
      <c r="K282" s="508"/>
      <c r="L282" s="508"/>
      <c r="M282" s="500"/>
      <c r="N282" s="500"/>
      <c r="O282" s="500"/>
      <c r="P282" s="500"/>
      <c r="Q282" s="500"/>
      <c r="R282" s="500"/>
      <c r="S282" s="500"/>
      <c r="T282" s="500"/>
      <c r="U282" s="500"/>
      <c r="V282" s="500"/>
      <c r="W282" s="354"/>
      <c r="X282" s="351"/>
      <c r="Y282" s="351"/>
      <c r="Z282" s="351"/>
      <c r="AA282" s="351"/>
      <c r="AB282" s="351"/>
      <c r="AC282" s="351"/>
      <c r="AD282" s="351"/>
      <c r="AE282" s="351"/>
      <c r="AF282" s="351"/>
      <c r="AG282" s="2"/>
    </row>
    <row r="283" spans="1:33" ht="13.5" customHeight="1">
      <c r="A283" s="351"/>
      <c r="B283" s="500"/>
      <c r="C283" s="500"/>
      <c r="D283" s="500"/>
      <c r="E283" s="500"/>
      <c r="F283" s="500"/>
      <c r="G283" s="509"/>
      <c r="H283" s="500"/>
      <c r="I283" s="508"/>
      <c r="J283" s="508"/>
      <c r="K283" s="508"/>
      <c r="L283" s="508"/>
      <c r="M283" s="500"/>
      <c r="N283" s="500"/>
      <c r="O283" s="500"/>
      <c r="P283" s="500"/>
      <c r="Q283" s="500"/>
      <c r="R283" s="500"/>
      <c r="S283" s="500"/>
      <c r="T283" s="500"/>
      <c r="U283" s="500"/>
      <c r="V283" s="500"/>
      <c r="W283" s="354"/>
      <c r="X283" s="351"/>
      <c r="Y283" s="351"/>
      <c r="Z283" s="351"/>
      <c r="AA283" s="351"/>
      <c r="AB283" s="351"/>
      <c r="AC283" s="351"/>
      <c r="AD283" s="351"/>
      <c r="AE283" s="351"/>
      <c r="AF283" s="351"/>
      <c r="AG283" s="2"/>
    </row>
    <row r="284" spans="1:33" ht="13.5" customHeight="1">
      <c r="A284" s="351"/>
      <c r="B284" s="500"/>
      <c r="C284" s="500"/>
      <c r="D284" s="500"/>
      <c r="E284" s="500"/>
      <c r="F284" s="500"/>
      <c r="G284" s="509"/>
      <c r="H284" s="500"/>
      <c r="I284" s="508"/>
      <c r="J284" s="508"/>
      <c r="K284" s="508"/>
      <c r="L284" s="508"/>
      <c r="M284" s="500"/>
      <c r="N284" s="500"/>
      <c r="O284" s="500"/>
      <c r="P284" s="500"/>
      <c r="Q284" s="500"/>
      <c r="R284" s="500"/>
      <c r="S284" s="500"/>
      <c r="T284" s="500"/>
      <c r="U284" s="500"/>
      <c r="V284" s="500"/>
      <c r="W284" s="354"/>
      <c r="X284" s="351"/>
      <c r="Y284" s="351"/>
      <c r="Z284" s="351"/>
      <c r="AA284" s="351"/>
      <c r="AB284" s="351"/>
      <c r="AC284" s="351"/>
      <c r="AD284" s="351"/>
      <c r="AE284" s="351"/>
      <c r="AF284" s="351"/>
      <c r="AG284" s="2"/>
    </row>
    <row r="285" spans="1:33" ht="13.5" customHeight="1">
      <c r="A285" s="351"/>
      <c r="B285" s="500"/>
      <c r="C285" s="500"/>
      <c r="D285" s="500"/>
      <c r="E285" s="500"/>
      <c r="F285" s="500"/>
      <c r="G285" s="509"/>
      <c r="H285" s="500"/>
      <c r="I285" s="508"/>
      <c r="J285" s="508"/>
      <c r="K285" s="508"/>
      <c r="L285" s="508"/>
      <c r="M285" s="500"/>
      <c r="N285" s="500"/>
      <c r="O285" s="500"/>
      <c r="P285" s="500"/>
      <c r="Q285" s="500"/>
      <c r="R285" s="500"/>
      <c r="S285" s="500"/>
      <c r="T285" s="500"/>
      <c r="U285" s="500"/>
      <c r="V285" s="500"/>
      <c r="W285" s="354"/>
      <c r="X285" s="351"/>
      <c r="Y285" s="351"/>
      <c r="Z285" s="351"/>
      <c r="AA285" s="351"/>
      <c r="AB285" s="351"/>
      <c r="AC285" s="351"/>
      <c r="AD285" s="351"/>
      <c r="AE285" s="351"/>
      <c r="AF285" s="351"/>
      <c r="AG285" s="2"/>
    </row>
    <row r="286" spans="1:33" ht="13.5" customHeight="1">
      <c r="A286" s="351"/>
      <c r="B286" s="500"/>
      <c r="C286" s="500"/>
      <c r="D286" s="500"/>
      <c r="E286" s="500"/>
      <c r="F286" s="500"/>
      <c r="G286" s="509"/>
      <c r="H286" s="500"/>
      <c r="I286" s="508"/>
      <c r="J286" s="508"/>
      <c r="K286" s="508"/>
      <c r="L286" s="508"/>
      <c r="M286" s="500"/>
      <c r="N286" s="500"/>
      <c r="O286" s="500"/>
      <c r="P286" s="500"/>
      <c r="Q286" s="500"/>
      <c r="R286" s="500"/>
      <c r="S286" s="500"/>
      <c r="T286" s="500"/>
      <c r="U286" s="500"/>
      <c r="V286" s="500"/>
      <c r="W286" s="354"/>
      <c r="X286" s="351"/>
      <c r="Y286" s="351"/>
      <c r="Z286" s="351"/>
      <c r="AA286" s="351"/>
      <c r="AB286" s="351"/>
      <c r="AC286" s="351"/>
      <c r="AD286" s="351"/>
      <c r="AE286" s="351"/>
      <c r="AF286" s="351"/>
      <c r="AG286" s="2"/>
    </row>
    <row r="287" spans="1:33" ht="13.5" customHeight="1">
      <c r="A287" s="351"/>
      <c r="B287" s="500"/>
      <c r="C287" s="500"/>
      <c r="D287" s="500"/>
      <c r="E287" s="500"/>
      <c r="F287" s="500"/>
      <c r="G287" s="509"/>
      <c r="H287" s="500"/>
      <c r="I287" s="508"/>
      <c r="J287" s="508"/>
      <c r="K287" s="508"/>
      <c r="L287" s="508"/>
      <c r="M287" s="500"/>
      <c r="N287" s="500"/>
      <c r="O287" s="500"/>
      <c r="P287" s="500"/>
      <c r="Q287" s="500"/>
      <c r="R287" s="500"/>
      <c r="S287" s="500"/>
      <c r="T287" s="500"/>
      <c r="U287" s="500"/>
      <c r="V287" s="500"/>
      <c r="W287" s="354"/>
      <c r="X287" s="351"/>
      <c r="Y287" s="351"/>
      <c r="Z287" s="351"/>
      <c r="AA287" s="351"/>
      <c r="AB287" s="351"/>
      <c r="AC287" s="351"/>
      <c r="AD287" s="351"/>
      <c r="AE287" s="351"/>
      <c r="AF287" s="351"/>
      <c r="AG287" s="2"/>
    </row>
    <row r="288" spans="1:33" ht="13.5" customHeight="1">
      <c r="A288" s="351"/>
      <c r="B288" s="500"/>
      <c r="C288" s="500"/>
      <c r="D288" s="500"/>
      <c r="E288" s="500"/>
      <c r="F288" s="500"/>
      <c r="G288" s="509"/>
      <c r="H288" s="500"/>
      <c r="I288" s="508"/>
      <c r="J288" s="508"/>
      <c r="K288" s="508"/>
      <c r="L288" s="508"/>
      <c r="M288" s="500"/>
      <c r="N288" s="500"/>
      <c r="O288" s="500"/>
      <c r="P288" s="500"/>
      <c r="Q288" s="500"/>
      <c r="R288" s="500"/>
      <c r="S288" s="500"/>
      <c r="T288" s="500"/>
      <c r="U288" s="500"/>
      <c r="V288" s="500"/>
      <c r="W288" s="354"/>
      <c r="X288" s="351"/>
      <c r="Y288" s="351"/>
      <c r="Z288" s="351"/>
      <c r="AA288" s="351"/>
      <c r="AB288" s="351"/>
      <c r="AC288" s="351"/>
      <c r="AD288" s="351"/>
      <c r="AE288" s="351"/>
      <c r="AF288" s="351"/>
      <c r="AG288" s="2"/>
    </row>
    <row r="289" spans="1:33" ht="13.5" customHeight="1">
      <c r="A289" s="351"/>
      <c r="B289" s="500"/>
      <c r="C289" s="500"/>
      <c r="D289" s="500"/>
      <c r="E289" s="500"/>
      <c r="F289" s="500"/>
      <c r="G289" s="509"/>
      <c r="H289" s="500"/>
      <c r="I289" s="508"/>
      <c r="J289" s="508"/>
      <c r="K289" s="508"/>
      <c r="L289" s="508"/>
      <c r="M289" s="500"/>
      <c r="N289" s="500"/>
      <c r="O289" s="500"/>
      <c r="P289" s="500"/>
      <c r="Q289" s="500"/>
      <c r="R289" s="500"/>
      <c r="S289" s="500"/>
      <c r="T289" s="500"/>
      <c r="U289" s="500"/>
      <c r="V289" s="500"/>
      <c r="W289" s="354"/>
      <c r="X289" s="351"/>
      <c r="Y289" s="351"/>
      <c r="Z289" s="351"/>
      <c r="AA289" s="351"/>
      <c r="AB289" s="351"/>
      <c r="AC289" s="351"/>
      <c r="AD289" s="351"/>
      <c r="AE289" s="351"/>
      <c r="AF289" s="351"/>
      <c r="AG289" s="2"/>
    </row>
    <row r="290" spans="1:33" ht="13.5" customHeight="1">
      <c r="A290" s="351"/>
      <c r="B290" s="500"/>
      <c r="C290" s="500"/>
      <c r="D290" s="500"/>
      <c r="E290" s="500"/>
      <c r="F290" s="500"/>
      <c r="G290" s="509"/>
      <c r="H290" s="500"/>
      <c r="I290" s="508"/>
      <c r="J290" s="508"/>
      <c r="K290" s="508"/>
      <c r="L290" s="508"/>
      <c r="M290" s="500"/>
      <c r="N290" s="500"/>
      <c r="O290" s="500"/>
      <c r="P290" s="500"/>
      <c r="Q290" s="500"/>
      <c r="R290" s="500"/>
      <c r="S290" s="500"/>
      <c r="T290" s="500"/>
      <c r="U290" s="500"/>
      <c r="V290" s="500"/>
      <c r="W290" s="354"/>
      <c r="X290" s="351"/>
      <c r="Y290" s="351"/>
      <c r="Z290" s="351"/>
      <c r="AA290" s="351"/>
      <c r="AB290" s="351"/>
      <c r="AC290" s="351"/>
      <c r="AD290" s="351"/>
      <c r="AE290" s="351"/>
      <c r="AF290" s="351"/>
      <c r="AG290" s="2"/>
    </row>
    <row r="291" spans="1:33" ht="13.5" customHeight="1">
      <c r="A291" s="351"/>
      <c r="B291" s="500"/>
      <c r="C291" s="500"/>
      <c r="D291" s="500"/>
      <c r="E291" s="500"/>
      <c r="F291" s="500"/>
      <c r="G291" s="509"/>
      <c r="H291" s="500"/>
      <c r="I291" s="508"/>
      <c r="J291" s="508"/>
      <c r="K291" s="508"/>
      <c r="L291" s="508"/>
      <c r="M291" s="500"/>
      <c r="N291" s="500"/>
      <c r="O291" s="500"/>
      <c r="P291" s="500"/>
      <c r="Q291" s="500"/>
      <c r="R291" s="500"/>
      <c r="S291" s="500"/>
      <c r="T291" s="500"/>
      <c r="U291" s="500"/>
      <c r="V291" s="500"/>
      <c r="W291" s="354"/>
      <c r="X291" s="351"/>
      <c r="Y291" s="351"/>
      <c r="Z291" s="351"/>
      <c r="AA291" s="351"/>
      <c r="AB291" s="351"/>
      <c r="AC291" s="351"/>
      <c r="AD291" s="351"/>
      <c r="AE291" s="351"/>
      <c r="AF291" s="351"/>
      <c r="AG291" s="2"/>
    </row>
    <row r="292" spans="1:33" ht="13.5" customHeight="1">
      <c r="A292" s="351"/>
      <c r="B292" s="500"/>
      <c r="C292" s="500"/>
      <c r="D292" s="500"/>
      <c r="E292" s="500"/>
      <c r="F292" s="500"/>
      <c r="G292" s="509"/>
      <c r="H292" s="500"/>
      <c r="I292" s="508"/>
      <c r="J292" s="508"/>
      <c r="K292" s="508"/>
      <c r="L292" s="508"/>
      <c r="M292" s="500"/>
      <c r="N292" s="500"/>
      <c r="O292" s="500"/>
      <c r="P292" s="500"/>
      <c r="Q292" s="500"/>
      <c r="R292" s="500"/>
      <c r="S292" s="500"/>
      <c r="T292" s="500"/>
      <c r="U292" s="500"/>
      <c r="V292" s="500"/>
      <c r="W292" s="354"/>
      <c r="X292" s="351"/>
      <c r="Y292" s="351"/>
      <c r="Z292" s="351"/>
      <c r="AA292" s="351"/>
      <c r="AB292" s="351"/>
      <c r="AC292" s="351"/>
      <c r="AD292" s="351"/>
      <c r="AE292" s="351"/>
      <c r="AF292" s="351"/>
      <c r="AG292" s="2"/>
    </row>
    <row r="293" spans="1:33" ht="13.5" customHeight="1">
      <c r="A293" s="351"/>
      <c r="B293" s="500"/>
      <c r="C293" s="500"/>
      <c r="D293" s="500"/>
      <c r="E293" s="500"/>
      <c r="F293" s="500"/>
      <c r="G293" s="509"/>
      <c r="H293" s="500"/>
      <c r="I293" s="508"/>
      <c r="J293" s="508"/>
      <c r="K293" s="508"/>
      <c r="L293" s="508"/>
      <c r="M293" s="500"/>
      <c r="N293" s="500"/>
      <c r="O293" s="500"/>
      <c r="P293" s="500"/>
      <c r="Q293" s="500"/>
      <c r="R293" s="500"/>
      <c r="S293" s="500"/>
      <c r="T293" s="500"/>
      <c r="U293" s="500"/>
      <c r="V293" s="500"/>
      <c r="W293" s="354"/>
      <c r="X293" s="351"/>
      <c r="Y293" s="351"/>
      <c r="Z293" s="351"/>
      <c r="AA293" s="351"/>
      <c r="AB293" s="351"/>
      <c r="AC293" s="351"/>
      <c r="AD293" s="351"/>
      <c r="AE293" s="351"/>
      <c r="AF293" s="351"/>
      <c r="AG293" s="2"/>
    </row>
    <row r="294" spans="1:33" ht="13.5" customHeight="1">
      <c r="A294" s="351"/>
      <c r="B294" s="500"/>
      <c r="C294" s="500"/>
      <c r="D294" s="500"/>
      <c r="E294" s="500"/>
      <c r="F294" s="500"/>
      <c r="G294" s="509"/>
      <c r="H294" s="500"/>
      <c r="I294" s="508"/>
      <c r="J294" s="508"/>
      <c r="K294" s="508"/>
      <c r="L294" s="508"/>
      <c r="M294" s="500"/>
      <c r="N294" s="500"/>
      <c r="O294" s="500"/>
      <c r="P294" s="500"/>
      <c r="Q294" s="500"/>
      <c r="R294" s="500"/>
      <c r="S294" s="500"/>
      <c r="T294" s="500"/>
      <c r="U294" s="500"/>
      <c r="V294" s="500"/>
      <c r="W294" s="354"/>
      <c r="X294" s="351"/>
      <c r="Y294" s="351"/>
      <c r="Z294" s="351"/>
      <c r="AA294" s="351"/>
      <c r="AB294" s="351"/>
      <c r="AC294" s="351"/>
      <c r="AD294" s="351"/>
      <c r="AE294" s="351"/>
      <c r="AF294" s="351"/>
      <c r="AG294" s="2"/>
    </row>
    <row r="295" spans="1:33" ht="13.5" customHeight="1">
      <c r="A295" s="351"/>
      <c r="B295" s="500"/>
      <c r="C295" s="500"/>
      <c r="D295" s="500"/>
      <c r="E295" s="500"/>
      <c r="F295" s="500"/>
      <c r="G295" s="509"/>
      <c r="H295" s="500"/>
      <c r="I295" s="508"/>
      <c r="J295" s="508"/>
      <c r="K295" s="508"/>
      <c r="L295" s="508"/>
      <c r="M295" s="500"/>
      <c r="N295" s="500"/>
      <c r="O295" s="500"/>
      <c r="P295" s="500"/>
      <c r="Q295" s="500"/>
      <c r="R295" s="500"/>
      <c r="S295" s="500"/>
      <c r="T295" s="500"/>
      <c r="U295" s="500"/>
      <c r="V295" s="500"/>
      <c r="W295" s="354"/>
      <c r="X295" s="351"/>
      <c r="Y295" s="351"/>
      <c r="Z295" s="351"/>
      <c r="AA295" s="351"/>
      <c r="AB295" s="351"/>
      <c r="AC295" s="351"/>
      <c r="AD295" s="351"/>
      <c r="AE295" s="351"/>
      <c r="AF295" s="351"/>
      <c r="AG295" s="2"/>
    </row>
    <row r="296" spans="1:33" ht="13.5" customHeight="1">
      <c r="A296" s="351"/>
      <c r="B296" s="500"/>
      <c r="C296" s="500"/>
      <c r="D296" s="500"/>
      <c r="E296" s="500"/>
      <c r="F296" s="500"/>
      <c r="G296" s="509"/>
      <c r="H296" s="500"/>
      <c r="I296" s="508"/>
      <c r="J296" s="508"/>
      <c r="K296" s="508"/>
      <c r="L296" s="508"/>
      <c r="M296" s="500"/>
      <c r="N296" s="500"/>
      <c r="O296" s="500"/>
      <c r="P296" s="500"/>
      <c r="Q296" s="500"/>
      <c r="R296" s="500"/>
      <c r="S296" s="500"/>
      <c r="T296" s="500"/>
      <c r="U296" s="500"/>
      <c r="V296" s="500"/>
      <c r="W296" s="354"/>
      <c r="X296" s="351"/>
      <c r="Y296" s="351"/>
      <c r="Z296" s="351"/>
      <c r="AA296" s="351"/>
      <c r="AB296" s="351"/>
      <c r="AC296" s="351"/>
      <c r="AD296" s="351"/>
      <c r="AE296" s="351"/>
      <c r="AF296" s="351"/>
      <c r="AG296" s="2"/>
    </row>
    <row r="297" spans="1:33" ht="13.5" customHeight="1">
      <c r="A297" s="351"/>
      <c r="B297" s="500"/>
      <c r="C297" s="500"/>
      <c r="D297" s="500"/>
      <c r="E297" s="500"/>
      <c r="F297" s="500"/>
      <c r="G297" s="509"/>
      <c r="H297" s="500"/>
      <c r="I297" s="508"/>
      <c r="J297" s="508"/>
      <c r="K297" s="508"/>
      <c r="L297" s="508"/>
      <c r="M297" s="500"/>
      <c r="N297" s="500"/>
      <c r="O297" s="500"/>
      <c r="P297" s="500"/>
      <c r="Q297" s="500"/>
      <c r="R297" s="500"/>
      <c r="S297" s="500"/>
      <c r="T297" s="500"/>
      <c r="U297" s="500"/>
      <c r="V297" s="500"/>
      <c r="W297" s="354"/>
      <c r="X297" s="351"/>
      <c r="Y297" s="351"/>
      <c r="Z297" s="351"/>
      <c r="AA297" s="351"/>
      <c r="AB297" s="351"/>
      <c r="AC297" s="351"/>
      <c r="AD297" s="351"/>
      <c r="AE297" s="351"/>
      <c r="AF297" s="351"/>
      <c r="AG297" s="2"/>
    </row>
    <row r="298" spans="1:33" ht="13.5" customHeight="1">
      <c r="A298" s="351"/>
      <c r="B298" s="500"/>
      <c r="C298" s="500"/>
      <c r="D298" s="500"/>
      <c r="E298" s="500"/>
      <c r="F298" s="500"/>
      <c r="G298" s="509"/>
      <c r="H298" s="500"/>
      <c r="I298" s="508"/>
      <c r="J298" s="508"/>
      <c r="K298" s="508"/>
      <c r="L298" s="508"/>
      <c r="M298" s="500"/>
      <c r="N298" s="500"/>
      <c r="O298" s="500"/>
      <c r="P298" s="500"/>
      <c r="Q298" s="500"/>
      <c r="R298" s="500"/>
      <c r="S298" s="500"/>
      <c r="T298" s="500"/>
      <c r="U298" s="500"/>
      <c r="V298" s="500"/>
      <c r="W298" s="354"/>
      <c r="X298" s="351"/>
      <c r="Y298" s="351"/>
      <c r="Z298" s="351"/>
      <c r="AA298" s="351"/>
      <c r="AB298" s="351"/>
      <c r="AC298" s="351"/>
      <c r="AD298" s="351"/>
      <c r="AE298" s="351"/>
      <c r="AF298" s="351"/>
      <c r="AG298" s="2"/>
    </row>
    <row r="299" spans="1:33" ht="13.5" customHeight="1">
      <c r="A299" s="351"/>
      <c r="B299" s="500"/>
      <c r="C299" s="500"/>
      <c r="D299" s="500"/>
      <c r="E299" s="500"/>
      <c r="F299" s="500"/>
      <c r="G299" s="509"/>
      <c r="H299" s="500"/>
      <c r="I299" s="508"/>
      <c r="J299" s="508"/>
      <c r="K299" s="508"/>
      <c r="L299" s="508"/>
      <c r="M299" s="500"/>
      <c r="N299" s="500"/>
      <c r="O299" s="500"/>
      <c r="P299" s="500"/>
      <c r="Q299" s="500"/>
      <c r="R299" s="500"/>
      <c r="S299" s="500"/>
      <c r="T299" s="500"/>
      <c r="U299" s="500"/>
      <c r="V299" s="500"/>
      <c r="W299" s="354"/>
      <c r="X299" s="351"/>
      <c r="Y299" s="351"/>
      <c r="Z299" s="351"/>
      <c r="AA299" s="351"/>
      <c r="AB299" s="351"/>
      <c r="AC299" s="351"/>
      <c r="AD299" s="351"/>
      <c r="AE299" s="351"/>
      <c r="AF299" s="351"/>
      <c r="AG299" s="2"/>
    </row>
    <row r="300" spans="1:33" ht="13.5" customHeight="1">
      <c r="A300" s="351"/>
      <c r="B300" s="500"/>
      <c r="C300" s="500"/>
      <c r="D300" s="500"/>
      <c r="E300" s="500"/>
      <c r="F300" s="500"/>
      <c r="G300" s="509"/>
      <c r="H300" s="500"/>
      <c r="I300" s="508"/>
      <c r="J300" s="508"/>
      <c r="K300" s="508"/>
      <c r="L300" s="508"/>
      <c r="M300" s="500"/>
      <c r="N300" s="500"/>
      <c r="O300" s="500"/>
      <c r="P300" s="500"/>
      <c r="Q300" s="500"/>
      <c r="R300" s="500"/>
      <c r="S300" s="500"/>
      <c r="T300" s="500"/>
      <c r="U300" s="500"/>
      <c r="V300" s="500"/>
      <c r="W300" s="354"/>
      <c r="X300" s="351"/>
      <c r="Y300" s="351"/>
      <c r="Z300" s="351"/>
      <c r="AA300" s="351"/>
      <c r="AB300" s="351"/>
      <c r="AC300" s="351"/>
      <c r="AD300" s="351"/>
      <c r="AE300" s="351"/>
      <c r="AF300" s="351"/>
      <c r="AG300" s="2"/>
    </row>
    <row r="301" spans="1:33" ht="13.5" customHeight="1">
      <c r="A301" s="351"/>
      <c r="B301" s="500"/>
      <c r="C301" s="500"/>
      <c r="D301" s="500"/>
      <c r="E301" s="500"/>
      <c r="F301" s="500"/>
      <c r="G301" s="509"/>
      <c r="H301" s="500"/>
      <c r="I301" s="508"/>
      <c r="J301" s="508"/>
      <c r="K301" s="508"/>
      <c r="L301" s="508"/>
      <c r="M301" s="500"/>
      <c r="N301" s="500"/>
      <c r="O301" s="500"/>
      <c r="P301" s="500"/>
      <c r="Q301" s="500"/>
      <c r="R301" s="500"/>
      <c r="S301" s="500"/>
      <c r="T301" s="500"/>
      <c r="U301" s="500"/>
      <c r="V301" s="500"/>
      <c r="W301" s="354"/>
      <c r="X301" s="351"/>
      <c r="Y301" s="351"/>
      <c r="Z301" s="351"/>
      <c r="AA301" s="351"/>
      <c r="AB301" s="351"/>
      <c r="AC301" s="351"/>
      <c r="AD301" s="351"/>
      <c r="AE301" s="351"/>
      <c r="AF301" s="351"/>
      <c r="AG301" s="2"/>
    </row>
    <row r="302" spans="1:33" ht="13.5" customHeight="1">
      <c r="A302" s="351"/>
      <c r="B302" s="500"/>
      <c r="C302" s="500"/>
      <c r="D302" s="500"/>
      <c r="E302" s="500"/>
      <c r="F302" s="500"/>
      <c r="G302" s="509"/>
      <c r="H302" s="500"/>
      <c r="I302" s="508"/>
      <c r="J302" s="508"/>
      <c r="K302" s="508"/>
      <c r="L302" s="508"/>
      <c r="M302" s="500"/>
      <c r="N302" s="500"/>
      <c r="O302" s="500"/>
      <c r="P302" s="500"/>
      <c r="Q302" s="500"/>
      <c r="R302" s="500"/>
      <c r="S302" s="500"/>
      <c r="T302" s="500"/>
      <c r="U302" s="500"/>
      <c r="V302" s="500"/>
      <c r="W302" s="354"/>
      <c r="X302" s="351"/>
      <c r="Y302" s="351"/>
      <c r="Z302" s="351"/>
      <c r="AA302" s="351"/>
      <c r="AB302" s="351"/>
      <c r="AC302" s="351"/>
      <c r="AD302" s="351"/>
      <c r="AE302" s="351"/>
      <c r="AF302" s="351"/>
      <c r="AG302" s="2"/>
    </row>
    <row r="303" spans="1:33" ht="13.5" customHeight="1">
      <c r="A303" s="351"/>
      <c r="B303" s="500"/>
      <c r="C303" s="500"/>
      <c r="D303" s="500"/>
      <c r="E303" s="500"/>
      <c r="F303" s="500"/>
      <c r="G303" s="509"/>
      <c r="H303" s="500"/>
      <c r="I303" s="508"/>
      <c r="J303" s="508"/>
      <c r="K303" s="508"/>
      <c r="L303" s="508"/>
      <c r="M303" s="500"/>
      <c r="N303" s="500"/>
      <c r="O303" s="500"/>
      <c r="P303" s="500"/>
      <c r="Q303" s="500"/>
      <c r="R303" s="500"/>
      <c r="S303" s="500"/>
      <c r="T303" s="500"/>
      <c r="U303" s="500"/>
      <c r="V303" s="500"/>
      <c r="W303" s="354"/>
      <c r="X303" s="351"/>
      <c r="Y303" s="351"/>
      <c r="Z303" s="351"/>
      <c r="AA303" s="351"/>
      <c r="AB303" s="351"/>
      <c r="AC303" s="351"/>
      <c r="AD303" s="351"/>
      <c r="AE303" s="351"/>
      <c r="AF303" s="351"/>
      <c r="AG303" s="2"/>
    </row>
    <row r="304" spans="1:33" ht="13.5" customHeight="1">
      <c r="A304" s="351"/>
      <c r="B304" s="500"/>
      <c r="C304" s="500"/>
      <c r="D304" s="500"/>
      <c r="E304" s="500"/>
      <c r="F304" s="500"/>
      <c r="G304" s="509"/>
      <c r="H304" s="500"/>
      <c r="I304" s="508"/>
      <c r="J304" s="508"/>
      <c r="K304" s="508"/>
      <c r="L304" s="508"/>
      <c r="M304" s="500"/>
      <c r="N304" s="500"/>
      <c r="O304" s="500"/>
      <c r="P304" s="500"/>
      <c r="Q304" s="500"/>
      <c r="R304" s="500"/>
      <c r="S304" s="500"/>
      <c r="T304" s="500"/>
      <c r="U304" s="500"/>
      <c r="V304" s="500"/>
      <c r="W304" s="354"/>
      <c r="X304" s="351"/>
      <c r="Y304" s="351"/>
      <c r="Z304" s="351"/>
      <c r="AA304" s="351"/>
      <c r="AB304" s="351"/>
      <c r="AC304" s="351"/>
      <c r="AD304" s="351"/>
      <c r="AE304" s="351"/>
      <c r="AF304" s="351"/>
      <c r="AG304" s="2"/>
    </row>
    <row r="305" spans="1:33" ht="13.5" customHeight="1">
      <c r="A305" s="351"/>
      <c r="B305" s="500"/>
      <c r="C305" s="500"/>
      <c r="D305" s="500"/>
      <c r="E305" s="500"/>
      <c r="F305" s="500"/>
      <c r="G305" s="509"/>
      <c r="H305" s="500"/>
      <c r="I305" s="508"/>
      <c r="J305" s="508"/>
      <c r="K305" s="508"/>
      <c r="L305" s="508"/>
      <c r="M305" s="500"/>
      <c r="N305" s="500"/>
      <c r="O305" s="500"/>
      <c r="P305" s="500"/>
      <c r="Q305" s="500"/>
      <c r="R305" s="500"/>
      <c r="S305" s="500"/>
      <c r="T305" s="500"/>
      <c r="U305" s="500"/>
      <c r="V305" s="500"/>
      <c r="W305" s="354"/>
      <c r="X305" s="351"/>
      <c r="Y305" s="351"/>
      <c r="Z305" s="351"/>
      <c r="AA305" s="351"/>
      <c r="AB305" s="351"/>
      <c r="AC305" s="351"/>
      <c r="AD305" s="351"/>
      <c r="AE305" s="351"/>
      <c r="AF305" s="351"/>
      <c r="AG305" s="2"/>
    </row>
    <row r="306" spans="1:33" ht="13.5" customHeight="1">
      <c r="A306" s="351"/>
      <c r="B306" s="500"/>
      <c r="C306" s="500"/>
      <c r="D306" s="500"/>
      <c r="E306" s="500"/>
      <c r="F306" s="500"/>
      <c r="G306" s="509"/>
      <c r="H306" s="500"/>
      <c r="I306" s="508"/>
      <c r="J306" s="508"/>
      <c r="K306" s="508"/>
      <c r="L306" s="508"/>
      <c r="M306" s="500"/>
      <c r="N306" s="500"/>
      <c r="O306" s="500"/>
      <c r="P306" s="500"/>
      <c r="Q306" s="500"/>
      <c r="R306" s="500"/>
      <c r="S306" s="500"/>
      <c r="T306" s="500"/>
      <c r="U306" s="500"/>
      <c r="V306" s="500"/>
      <c r="W306" s="354"/>
      <c r="X306" s="351"/>
      <c r="Y306" s="351"/>
      <c r="Z306" s="351"/>
      <c r="AA306" s="351"/>
      <c r="AB306" s="351"/>
      <c r="AC306" s="351"/>
      <c r="AD306" s="351"/>
      <c r="AE306" s="351"/>
      <c r="AF306" s="351"/>
      <c r="AG306" s="2"/>
    </row>
    <row r="307" spans="1:33" ht="13.5" customHeight="1">
      <c r="A307" s="351"/>
      <c r="B307" s="500"/>
      <c r="C307" s="500"/>
      <c r="D307" s="500"/>
      <c r="E307" s="500"/>
      <c r="F307" s="500"/>
      <c r="G307" s="509"/>
      <c r="H307" s="500"/>
      <c r="I307" s="508"/>
      <c r="J307" s="508"/>
      <c r="K307" s="508"/>
      <c r="L307" s="508"/>
      <c r="M307" s="500"/>
      <c r="N307" s="500"/>
      <c r="O307" s="500"/>
      <c r="P307" s="500"/>
      <c r="Q307" s="500"/>
      <c r="R307" s="500"/>
      <c r="S307" s="500"/>
      <c r="T307" s="500"/>
      <c r="U307" s="500"/>
      <c r="V307" s="500"/>
      <c r="W307" s="354"/>
      <c r="X307" s="351"/>
      <c r="Y307" s="351"/>
      <c r="Z307" s="351"/>
      <c r="AA307" s="351"/>
      <c r="AB307" s="351"/>
      <c r="AC307" s="351"/>
      <c r="AD307" s="351"/>
      <c r="AE307" s="351"/>
      <c r="AF307" s="351"/>
      <c r="AG307" s="2"/>
    </row>
    <row r="308" spans="1:33" ht="13.5" customHeight="1">
      <c r="A308" s="351"/>
      <c r="B308" s="500"/>
      <c r="C308" s="500"/>
      <c r="D308" s="500"/>
      <c r="E308" s="500"/>
      <c r="F308" s="500"/>
      <c r="G308" s="509"/>
      <c r="H308" s="500"/>
      <c r="I308" s="508"/>
      <c r="J308" s="508"/>
      <c r="K308" s="508"/>
      <c r="L308" s="508"/>
      <c r="M308" s="500"/>
      <c r="N308" s="500"/>
      <c r="O308" s="500"/>
      <c r="P308" s="500"/>
      <c r="Q308" s="500"/>
      <c r="R308" s="500"/>
      <c r="S308" s="500"/>
      <c r="T308" s="500"/>
      <c r="U308" s="500"/>
      <c r="V308" s="500"/>
      <c r="W308" s="354"/>
      <c r="X308" s="351"/>
      <c r="Y308" s="351"/>
      <c r="Z308" s="351"/>
      <c r="AA308" s="351"/>
      <c r="AB308" s="351"/>
      <c r="AC308" s="351"/>
      <c r="AD308" s="351"/>
      <c r="AE308" s="351"/>
      <c r="AF308" s="351"/>
      <c r="AG308" s="2"/>
    </row>
    <row r="309" spans="1:33" ht="13.5" customHeight="1">
      <c r="A309" s="351"/>
      <c r="B309" s="500"/>
      <c r="C309" s="500"/>
      <c r="D309" s="500"/>
      <c r="E309" s="500"/>
      <c r="F309" s="500"/>
      <c r="G309" s="509"/>
      <c r="H309" s="500"/>
      <c r="I309" s="508"/>
      <c r="J309" s="508"/>
      <c r="K309" s="508"/>
      <c r="L309" s="508"/>
      <c r="M309" s="500"/>
      <c r="N309" s="500"/>
      <c r="O309" s="500"/>
      <c r="P309" s="500"/>
      <c r="Q309" s="500"/>
      <c r="R309" s="500"/>
      <c r="S309" s="500"/>
      <c r="T309" s="500"/>
      <c r="U309" s="500"/>
      <c r="V309" s="500"/>
      <c r="W309" s="354"/>
      <c r="X309" s="351"/>
      <c r="Y309" s="351"/>
      <c r="Z309" s="351"/>
      <c r="AA309" s="351"/>
      <c r="AB309" s="351"/>
      <c r="AC309" s="351"/>
      <c r="AD309" s="351"/>
      <c r="AE309" s="351"/>
      <c r="AF309" s="351"/>
      <c r="AG309" s="2"/>
    </row>
    <row r="310" spans="1:33" ht="15.75" customHeight="1">
      <c r="A310" s="2"/>
      <c r="B310" s="510"/>
      <c r="C310" s="510"/>
      <c r="D310" s="510"/>
      <c r="E310" s="510"/>
      <c r="F310" s="510"/>
      <c r="G310" s="510"/>
      <c r="H310" s="510"/>
      <c r="I310" s="510"/>
      <c r="J310" s="510"/>
      <c r="K310" s="510"/>
      <c r="L310" s="510"/>
      <c r="M310" s="510"/>
      <c r="N310" s="510"/>
      <c r="O310" s="510"/>
      <c r="P310" s="510"/>
      <c r="Q310" s="510"/>
      <c r="R310" s="510"/>
      <c r="S310" s="510"/>
      <c r="T310" s="510"/>
      <c r="U310" s="510"/>
      <c r="V310" s="510"/>
      <c r="W310" s="176"/>
      <c r="X310" s="2"/>
      <c r="Y310" s="2"/>
      <c r="Z310" s="2"/>
      <c r="AA310" s="2"/>
      <c r="AB310" s="2"/>
      <c r="AC310" s="2"/>
      <c r="AD310" s="2"/>
      <c r="AE310" s="2"/>
      <c r="AF310" s="2"/>
      <c r="AG310" s="2"/>
    </row>
    <row r="311" spans="1:33"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5.75" customHeight="1"/>
    <row r="314" spans="1:33" ht="15.75" customHeight="1"/>
    <row r="315" spans="1:33" ht="15.75" customHeight="1"/>
    <row r="316" spans="1:33" ht="15.75" customHeight="1"/>
    <row r="317" spans="1:33" ht="15.75" customHeight="1"/>
    <row r="318" spans="1:33" ht="15.75" customHeight="1"/>
    <row r="319" spans="1:33" ht="15.75" customHeight="1"/>
    <row r="320" spans="1:3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0">
    <mergeCell ref="U78:U80"/>
    <mergeCell ref="U81:U83"/>
    <mergeCell ref="U90:U92"/>
    <mergeCell ref="V90:V92"/>
    <mergeCell ref="U93:U95"/>
    <mergeCell ref="V93:V95"/>
    <mergeCell ref="S76:S77"/>
    <mergeCell ref="T76:T77"/>
    <mergeCell ref="R78:R80"/>
    <mergeCell ref="S78:S80"/>
    <mergeCell ref="V78:V80"/>
    <mergeCell ref="S81:S83"/>
    <mergeCell ref="V81:V83"/>
    <mergeCell ref="V76:V77"/>
    <mergeCell ref="R81:R83"/>
    <mergeCell ref="R84:R86"/>
    <mergeCell ref="S84:S86"/>
    <mergeCell ref="U84:U86"/>
    <mergeCell ref="V84:V86"/>
    <mergeCell ref="U87:U89"/>
    <mergeCell ref="V87:V89"/>
    <mergeCell ref="F68:G70"/>
    <mergeCell ref="H68:H70"/>
    <mergeCell ref="I68:I70"/>
    <mergeCell ref="J68:J70"/>
    <mergeCell ref="K68:K70"/>
    <mergeCell ref="B71:U71"/>
    <mergeCell ref="B73:R73"/>
    <mergeCell ref="M76:Q76"/>
    <mergeCell ref="R76:R77"/>
    <mergeCell ref="U76:U77"/>
    <mergeCell ref="B75:R75"/>
    <mergeCell ref="S75:V75"/>
    <mergeCell ref="B76:E77"/>
    <mergeCell ref="F76:I77"/>
    <mergeCell ref="J76:J77"/>
    <mergeCell ref="K76:K77"/>
    <mergeCell ref="L76:L77"/>
    <mergeCell ref="J96:J98"/>
    <mergeCell ref="K96:K98"/>
    <mergeCell ref="J99:J101"/>
    <mergeCell ref="K99:K101"/>
    <mergeCell ref="J102:J104"/>
    <mergeCell ref="H87:H89"/>
    <mergeCell ref="I87:I89"/>
    <mergeCell ref="J87:J89"/>
    <mergeCell ref="K87:K89"/>
    <mergeCell ref="H93:H95"/>
    <mergeCell ref="I93:I95"/>
    <mergeCell ref="H96:H98"/>
    <mergeCell ref="I96:I98"/>
    <mergeCell ref="H99:H101"/>
    <mergeCell ref="I99:I101"/>
    <mergeCell ref="B78:E80"/>
    <mergeCell ref="F78:I80"/>
    <mergeCell ref="J78:J80"/>
    <mergeCell ref="K78:K80"/>
    <mergeCell ref="F81:I83"/>
    <mergeCell ref="J81:J83"/>
    <mergeCell ref="K81:K83"/>
    <mergeCell ref="F90:G92"/>
    <mergeCell ref="H90:H92"/>
    <mergeCell ref="I90:I92"/>
    <mergeCell ref="J90:J92"/>
    <mergeCell ref="F87:G89"/>
    <mergeCell ref="F93:G95"/>
    <mergeCell ref="D110:F111"/>
    <mergeCell ref="D112:F112"/>
    <mergeCell ref="B96:E104"/>
    <mergeCell ref="F96:G98"/>
    <mergeCell ref="F99:G101"/>
    <mergeCell ref="F102:G104"/>
    <mergeCell ref="B105:U105"/>
    <mergeCell ref="B81:E83"/>
    <mergeCell ref="B84:E86"/>
    <mergeCell ref="F84:I86"/>
    <mergeCell ref="J84:J86"/>
    <mergeCell ref="K84:K86"/>
    <mergeCell ref="B87:E95"/>
    <mergeCell ref="K90:K92"/>
    <mergeCell ref="K102:K104"/>
    <mergeCell ref="I110:L111"/>
    <mergeCell ref="N110:O111"/>
    <mergeCell ref="I112:L112"/>
    <mergeCell ref="N112:O112"/>
    <mergeCell ref="H102:H104"/>
    <mergeCell ref="I102:I104"/>
    <mergeCell ref="J93:J95"/>
    <mergeCell ref="K93:K95"/>
    <mergeCell ref="J13:K13"/>
    <mergeCell ref="L13:L15"/>
    <mergeCell ref="J14:J15"/>
    <mergeCell ref="K14:K15"/>
    <mergeCell ref="M14:M15"/>
    <mergeCell ref="N14:N15"/>
    <mergeCell ref="O14:O15"/>
    <mergeCell ref="P14:P15"/>
    <mergeCell ref="B10:V10"/>
    <mergeCell ref="B12:R12"/>
    <mergeCell ref="S12:V12"/>
    <mergeCell ref="F13:G15"/>
    <mergeCell ref="H13:H15"/>
    <mergeCell ref="I13:I15"/>
    <mergeCell ref="B14:B15"/>
    <mergeCell ref="Q14:Q15"/>
    <mergeCell ref="U13:U15"/>
    <mergeCell ref="V13:V15"/>
    <mergeCell ref="F19:G21"/>
    <mergeCell ref="H19:H21"/>
    <mergeCell ref="I19:I21"/>
    <mergeCell ref="B13:E13"/>
    <mergeCell ref="C14:E14"/>
    <mergeCell ref="E16:E18"/>
    <mergeCell ref="F16:F18"/>
    <mergeCell ref="G16:G18"/>
    <mergeCell ref="H16:H18"/>
    <mergeCell ref="I16:I18"/>
    <mergeCell ref="B16:B18"/>
    <mergeCell ref="B19:B27"/>
    <mergeCell ref="C19:C27"/>
    <mergeCell ref="D19:D27"/>
    <mergeCell ref="U16:U18"/>
    <mergeCell ref="V16:V18"/>
    <mergeCell ref="U19:U21"/>
    <mergeCell ref="V19:V21"/>
    <mergeCell ref="V25:V27"/>
    <mergeCell ref="R47:R49"/>
    <mergeCell ref="R50:R52"/>
    <mergeCell ref="S50:S52"/>
    <mergeCell ref="S13:S15"/>
    <mergeCell ref="T13:T15"/>
    <mergeCell ref="R25:R27"/>
    <mergeCell ref="S25:S27"/>
    <mergeCell ref="R44:R46"/>
    <mergeCell ref="S44:S46"/>
    <mergeCell ref="S47:S49"/>
    <mergeCell ref="U50:U52"/>
    <mergeCell ref="R42:R43"/>
    <mergeCell ref="S42:S43"/>
    <mergeCell ref="T42:T43"/>
    <mergeCell ref="R22:R24"/>
    <mergeCell ref="S22:S24"/>
    <mergeCell ref="U22:U24"/>
    <mergeCell ref="V22:V24"/>
    <mergeCell ref="U25:U27"/>
    <mergeCell ref="U53:U55"/>
    <mergeCell ref="U56:U58"/>
    <mergeCell ref="U59:U61"/>
    <mergeCell ref="V53:V55"/>
    <mergeCell ref="V56:V58"/>
    <mergeCell ref="V59:V61"/>
    <mergeCell ref="U34:U36"/>
    <mergeCell ref="V34:V36"/>
    <mergeCell ref="U44:U46"/>
    <mergeCell ref="V44:V46"/>
    <mergeCell ref="U47:U49"/>
    <mergeCell ref="V47:V49"/>
    <mergeCell ref="V50:V52"/>
    <mergeCell ref="U42:U43"/>
    <mergeCell ref="V42:V43"/>
    <mergeCell ref="B42:E43"/>
    <mergeCell ref="F42:G43"/>
    <mergeCell ref="H42:H43"/>
    <mergeCell ref="I42:I43"/>
    <mergeCell ref="J42:K42"/>
    <mergeCell ref="L42:L43"/>
    <mergeCell ref="M42:Q42"/>
    <mergeCell ref="O4:V4"/>
    <mergeCell ref="O5:V5"/>
    <mergeCell ref="O6:V6"/>
    <mergeCell ref="B7:E7"/>
    <mergeCell ref="F7:M7"/>
    <mergeCell ref="B8:E8"/>
    <mergeCell ref="F8:V8"/>
    <mergeCell ref="B9:V9"/>
    <mergeCell ref="M13:Q13"/>
    <mergeCell ref="R13:R16"/>
    <mergeCell ref="J19:J21"/>
    <mergeCell ref="K19:K21"/>
    <mergeCell ref="R19:R21"/>
    <mergeCell ref="S19:S21"/>
    <mergeCell ref="I22:I24"/>
    <mergeCell ref="J22:J24"/>
    <mergeCell ref="K22:K24"/>
    <mergeCell ref="B1:V1"/>
    <mergeCell ref="B2:V2"/>
    <mergeCell ref="B3:V3"/>
    <mergeCell ref="B4:E4"/>
    <mergeCell ref="F4:M4"/>
    <mergeCell ref="B5:E5"/>
    <mergeCell ref="F5:M5"/>
    <mergeCell ref="B6:E6"/>
    <mergeCell ref="F6:M6"/>
    <mergeCell ref="U28:U30"/>
    <mergeCell ref="U31:U33"/>
    <mergeCell ref="V28:V30"/>
    <mergeCell ref="V31:V33"/>
    <mergeCell ref="B37:Q37"/>
    <mergeCell ref="R37:U37"/>
    <mergeCell ref="B40:V40"/>
    <mergeCell ref="B41:R41"/>
    <mergeCell ref="S41:V41"/>
    <mergeCell ref="B28:B36"/>
    <mergeCell ref="F25:G27"/>
    <mergeCell ref="H25:H27"/>
    <mergeCell ref="I25:I27"/>
    <mergeCell ref="J25:J27"/>
    <mergeCell ref="K25:K27"/>
    <mergeCell ref="E19:E27"/>
    <mergeCell ref="E28:E36"/>
    <mergeCell ref="F28:G30"/>
    <mergeCell ref="H28:H30"/>
    <mergeCell ref="I28:I30"/>
    <mergeCell ref="J28:J30"/>
    <mergeCell ref="K28:K30"/>
    <mergeCell ref="F31:G33"/>
    <mergeCell ref="H31:H33"/>
    <mergeCell ref="I31:I33"/>
    <mergeCell ref="J31:J33"/>
    <mergeCell ref="K31:K33"/>
    <mergeCell ref="F34:G36"/>
    <mergeCell ref="H34:H36"/>
    <mergeCell ref="I34:I36"/>
    <mergeCell ref="J34:J36"/>
    <mergeCell ref="K34:K36"/>
    <mergeCell ref="F22:G24"/>
    <mergeCell ref="H22:H24"/>
    <mergeCell ref="J56:J58"/>
    <mergeCell ref="K56:K58"/>
    <mergeCell ref="B44:E52"/>
    <mergeCell ref="F44:G46"/>
    <mergeCell ref="H44:H46"/>
    <mergeCell ref="I44:I46"/>
    <mergeCell ref="J44:J46"/>
    <mergeCell ref="K44:K46"/>
    <mergeCell ref="F47:G49"/>
    <mergeCell ref="K50:K52"/>
    <mergeCell ref="H47:H49"/>
    <mergeCell ref="I47:I49"/>
    <mergeCell ref="J47:J49"/>
    <mergeCell ref="K47:K49"/>
    <mergeCell ref="I50:I52"/>
    <mergeCell ref="J50:J52"/>
    <mergeCell ref="I53:I55"/>
    <mergeCell ref="J53:J55"/>
    <mergeCell ref="K53:K55"/>
    <mergeCell ref="F65:G67"/>
    <mergeCell ref="H65:H67"/>
    <mergeCell ref="I65:I67"/>
    <mergeCell ref="J65:J67"/>
    <mergeCell ref="K65:K67"/>
    <mergeCell ref="F50:G52"/>
    <mergeCell ref="H50:H52"/>
    <mergeCell ref="B53:E61"/>
    <mergeCell ref="F53:G55"/>
    <mergeCell ref="H53:H55"/>
    <mergeCell ref="H56:H58"/>
    <mergeCell ref="B62:E70"/>
    <mergeCell ref="F59:G61"/>
    <mergeCell ref="H59:H61"/>
    <mergeCell ref="I59:I61"/>
    <mergeCell ref="J59:J61"/>
    <mergeCell ref="K59:K61"/>
    <mergeCell ref="F56:G58"/>
    <mergeCell ref="F62:G64"/>
    <mergeCell ref="I62:I64"/>
    <mergeCell ref="J62:J64"/>
    <mergeCell ref="K62:K64"/>
    <mergeCell ref="H62:H64"/>
    <mergeCell ref="I56:I58"/>
  </mergeCells>
  <printOptions horizontalCentered="1"/>
  <pageMargins left="0" right="0" top="0.99803149599999996" bottom="0.49803149600000002" header="0" footer="0"/>
  <pageSetup paperSize="9"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pageSetUpPr fitToPage="1"/>
  </sheetPr>
  <dimension ref="A1:AY1000"/>
  <sheetViews>
    <sheetView tabSelected="1" topLeftCell="A105" zoomScale="25" zoomScaleNormal="25" workbookViewId="0">
      <selection activeCell="A10" sqref="A10:U10"/>
    </sheetView>
  </sheetViews>
  <sheetFormatPr defaultColWidth="14.42578125" defaultRowHeight="15" customHeight="1"/>
  <cols>
    <col min="1" max="1" width="22" customWidth="1"/>
    <col min="2" max="2" width="35.140625" customWidth="1"/>
    <col min="3" max="3" width="20.42578125" customWidth="1"/>
    <col min="4" max="4" width="25.140625" customWidth="1"/>
    <col min="5" max="5" width="24.85546875" customWidth="1"/>
    <col min="6" max="6" width="11" customWidth="1"/>
    <col min="7" max="7" width="32.42578125" customWidth="1"/>
    <col min="8" max="8" width="15.42578125" customWidth="1"/>
    <col min="9" max="9" width="16.42578125" customWidth="1"/>
    <col min="10" max="10" width="22.28515625" customWidth="1"/>
    <col min="11" max="11" width="18.85546875" customWidth="1"/>
    <col min="12" max="12" width="39.42578125" customWidth="1"/>
    <col min="13" max="13" width="47.42578125" customWidth="1"/>
    <col min="14" max="14" width="46.140625" customWidth="1"/>
    <col min="15" max="16" width="44.28515625" customWidth="1"/>
    <col min="17" max="17" width="53.42578125" customWidth="1"/>
    <col min="18" max="18" width="24.140625" customWidth="1"/>
    <col min="19" max="19" width="15.140625" customWidth="1"/>
    <col min="20" max="20" width="18.85546875" customWidth="1"/>
    <col min="21" max="21" width="20.42578125" customWidth="1"/>
    <col min="22" max="30" width="9.140625" customWidth="1"/>
    <col min="31" max="51" width="14.42578125" customWidth="1"/>
  </cols>
  <sheetData>
    <row r="1" spans="1:51" ht="229.5" customHeight="1">
      <c r="A1" s="511" t="s">
        <v>126</v>
      </c>
      <c r="B1" s="353"/>
      <c r="C1" s="353"/>
      <c r="D1" s="353"/>
      <c r="E1" s="353"/>
      <c r="F1" s="353"/>
      <c r="G1" s="353"/>
      <c r="H1" s="353"/>
      <c r="I1" s="353"/>
      <c r="J1" s="353"/>
      <c r="K1" s="353"/>
      <c r="L1" s="353"/>
      <c r="M1" s="353"/>
      <c r="N1" s="353"/>
      <c r="O1" s="353"/>
      <c r="P1" s="353"/>
      <c r="Q1" s="353"/>
      <c r="R1" s="353"/>
      <c r="S1" s="353"/>
      <c r="T1" s="353"/>
      <c r="U1" s="353"/>
      <c r="V1" s="512"/>
      <c r="W1" s="512"/>
      <c r="X1" s="512"/>
      <c r="Y1" s="512"/>
      <c r="Z1" s="512"/>
      <c r="AA1" s="512"/>
      <c r="AB1" s="512"/>
      <c r="AC1" s="512"/>
      <c r="AD1" s="512"/>
      <c r="AE1" s="4"/>
      <c r="AF1" s="3"/>
      <c r="AG1" s="3"/>
      <c r="AH1" s="3"/>
      <c r="AI1" s="3"/>
      <c r="AJ1" s="3"/>
      <c r="AK1" s="3"/>
      <c r="AL1" s="3"/>
      <c r="AM1" s="3"/>
      <c r="AN1" s="3"/>
      <c r="AO1" s="3"/>
      <c r="AP1" s="3"/>
      <c r="AQ1" s="3"/>
      <c r="AR1" s="3"/>
      <c r="AS1" s="3"/>
      <c r="AT1" s="3"/>
      <c r="AU1" s="3"/>
      <c r="AV1" s="3"/>
      <c r="AW1" s="3"/>
      <c r="AX1" s="3"/>
      <c r="AY1" s="3"/>
    </row>
    <row r="2" spans="1:51" ht="42.75" customHeight="1">
      <c r="A2" s="513" t="s">
        <v>127</v>
      </c>
      <c r="B2" s="353"/>
      <c r="C2" s="353"/>
      <c r="D2" s="353"/>
      <c r="E2" s="353"/>
      <c r="F2" s="353"/>
      <c r="G2" s="353"/>
      <c r="H2" s="353"/>
      <c r="I2" s="353"/>
      <c r="J2" s="353"/>
      <c r="K2" s="353"/>
      <c r="L2" s="353"/>
      <c r="M2" s="353"/>
      <c r="N2" s="353"/>
      <c r="O2" s="353"/>
      <c r="P2" s="353"/>
      <c r="Q2" s="353"/>
      <c r="R2" s="353"/>
      <c r="S2" s="353"/>
      <c r="T2" s="353"/>
      <c r="U2" s="353"/>
      <c r="V2" s="512"/>
      <c r="W2" s="512"/>
      <c r="X2" s="512"/>
      <c r="Y2" s="512"/>
      <c r="Z2" s="512"/>
      <c r="AA2" s="512"/>
      <c r="AB2" s="512"/>
      <c r="AC2" s="512"/>
      <c r="AD2" s="512"/>
      <c r="AE2" s="4"/>
      <c r="AF2" s="3"/>
      <c r="AG2" s="3"/>
      <c r="AH2" s="3"/>
      <c r="AI2" s="3"/>
      <c r="AJ2" s="3"/>
      <c r="AK2" s="3"/>
      <c r="AL2" s="3"/>
      <c r="AM2" s="3"/>
      <c r="AN2" s="3"/>
      <c r="AO2" s="3"/>
      <c r="AP2" s="3"/>
      <c r="AQ2" s="3"/>
      <c r="AR2" s="3"/>
      <c r="AS2" s="3"/>
      <c r="AT2" s="3"/>
      <c r="AU2" s="3"/>
      <c r="AV2" s="3"/>
      <c r="AW2" s="3"/>
      <c r="AX2" s="3"/>
      <c r="AY2" s="3"/>
    </row>
    <row r="3" spans="1:51" ht="33.75" customHeight="1">
      <c r="A3" s="514"/>
      <c r="B3" s="357"/>
      <c r="C3" s="357"/>
      <c r="D3" s="357"/>
      <c r="E3" s="357"/>
      <c r="F3" s="357"/>
      <c r="G3" s="357"/>
      <c r="H3" s="357"/>
      <c r="I3" s="357"/>
      <c r="J3" s="357"/>
      <c r="K3" s="357"/>
      <c r="L3" s="357"/>
      <c r="M3" s="357"/>
      <c r="N3" s="357"/>
      <c r="O3" s="357"/>
      <c r="P3" s="357"/>
      <c r="Q3" s="357"/>
      <c r="R3" s="357"/>
      <c r="S3" s="357"/>
      <c r="T3" s="357"/>
      <c r="U3" s="357"/>
      <c r="V3" s="512"/>
      <c r="W3" s="512"/>
      <c r="X3" s="512"/>
      <c r="Y3" s="512"/>
      <c r="Z3" s="512"/>
      <c r="AA3" s="512"/>
      <c r="AB3" s="512"/>
      <c r="AC3" s="512"/>
      <c r="AD3" s="512"/>
      <c r="AE3" s="4"/>
      <c r="AF3" s="3"/>
      <c r="AG3" s="3"/>
      <c r="AH3" s="3"/>
      <c r="AI3" s="3"/>
      <c r="AJ3" s="3"/>
      <c r="AK3" s="3"/>
      <c r="AL3" s="3"/>
      <c r="AM3" s="3"/>
      <c r="AN3" s="3"/>
      <c r="AO3" s="3"/>
      <c r="AP3" s="3"/>
      <c r="AQ3" s="3"/>
      <c r="AR3" s="3"/>
      <c r="AS3" s="3"/>
      <c r="AT3" s="3"/>
      <c r="AU3" s="3"/>
      <c r="AV3" s="3"/>
      <c r="AW3" s="3"/>
      <c r="AX3" s="3"/>
      <c r="AY3" s="3"/>
    </row>
    <row r="4" spans="1:51" ht="67.5" customHeight="1">
      <c r="A4" s="232" t="s">
        <v>128</v>
      </c>
      <c r="B4" s="358"/>
      <c r="C4" s="358"/>
      <c r="D4" s="359"/>
      <c r="E4" s="231" t="s">
        <v>129</v>
      </c>
      <c r="F4" s="358"/>
      <c r="G4" s="358"/>
      <c r="H4" s="358"/>
      <c r="I4" s="358"/>
      <c r="J4" s="358"/>
      <c r="K4" s="358"/>
      <c r="L4" s="359"/>
      <c r="M4" s="5" t="s">
        <v>2</v>
      </c>
      <c r="N4" s="231" t="s">
        <v>130</v>
      </c>
      <c r="O4" s="358"/>
      <c r="P4" s="358"/>
      <c r="Q4" s="358"/>
      <c r="R4" s="358"/>
      <c r="S4" s="358"/>
      <c r="T4" s="358"/>
      <c r="U4" s="360"/>
      <c r="V4" s="515"/>
      <c r="W4" s="515"/>
      <c r="X4" s="515"/>
      <c r="Y4" s="515"/>
      <c r="Z4" s="515"/>
      <c r="AA4" s="515"/>
      <c r="AB4" s="515"/>
      <c r="AC4" s="515"/>
      <c r="AD4" s="515"/>
      <c r="AE4" s="8"/>
      <c r="AF4" s="9"/>
      <c r="AG4" s="9"/>
      <c r="AH4" s="9"/>
      <c r="AI4" s="9"/>
      <c r="AJ4" s="9"/>
      <c r="AK4" s="9"/>
      <c r="AL4" s="9"/>
      <c r="AM4" s="9"/>
      <c r="AN4" s="9"/>
      <c r="AO4" s="9"/>
      <c r="AP4" s="9"/>
      <c r="AQ4" s="9"/>
      <c r="AR4" s="9"/>
      <c r="AS4" s="9"/>
      <c r="AT4" s="9"/>
      <c r="AU4" s="9"/>
      <c r="AV4" s="9"/>
      <c r="AW4" s="9"/>
      <c r="AX4" s="9"/>
      <c r="AY4" s="9"/>
    </row>
    <row r="5" spans="1:51" ht="67.5" customHeight="1">
      <c r="A5" s="223" t="s">
        <v>3</v>
      </c>
      <c r="B5" s="361"/>
      <c r="C5" s="361"/>
      <c r="D5" s="362"/>
      <c r="E5" s="516" t="s">
        <v>131</v>
      </c>
      <c r="F5" s="361"/>
      <c r="G5" s="361"/>
      <c r="H5" s="361"/>
      <c r="I5" s="361"/>
      <c r="J5" s="361"/>
      <c r="K5" s="361"/>
      <c r="L5" s="362"/>
      <c r="M5" s="12" t="s">
        <v>4</v>
      </c>
      <c r="N5" s="516" t="s">
        <v>132</v>
      </c>
      <c r="O5" s="361"/>
      <c r="P5" s="361"/>
      <c r="Q5" s="361"/>
      <c r="R5" s="361"/>
      <c r="S5" s="361"/>
      <c r="T5" s="361"/>
      <c r="U5" s="364"/>
      <c r="V5" s="515"/>
      <c r="W5" s="515"/>
      <c r="X5" s="515"/>
      <c r="Y5" s="515"/>
      <c r="Z5" s="515"/>
      <c r="AA5" s="515"/>
      <c r="AB5" s="515"/>
      <c r="AC5" s="515"/>
      <c r="AD5" s="515"/>
      <c r="AE5" s="8"/>
      <c r="AF5" s="9"/>
      <c r="AG5" s="9"/>
      <c r="AH5" s="9"/>
      <c r="AI5" s="9"/>
      <c r="AJ5" s="9"/>
      <c r="AK5" s="9"/>
      <c r="AL5" s="9"/>
      <c r="AM5" s="9"/>
      <c r="AN5" s="9"/>
      <c r="AO5" s="9"/>
      <c r="AP5" s="9"/>
      <c r="AQ5" s="9"/>
      <c r="AR5" s="9"/>
      <c r="AS5" s="9"/>
      <c r="AT5" s="9"/>
      <c r="AU5" s="9"/>
      <c r="AV5" s="9"/>
      <c r="AW5" s="9"/>
      <c r="AX5" s="9"/>
      <c r="AY5" s="9"/>
    </row>
    <row r="6" spans="1:51" ht="67.5" customHeight="1">
      <c r="A6" s="223" t="s">
        <v>5</v>
      </c>
      <c r="B6" s="361"/>
      <c r="C6" s="361"/>
      <c r="D6" s="362"/>
      <c r="E6" s="516" t="s">
        <v>133</v>
      </c>
      <c r="F6" s="361"/>
      <c r="G6" s="361"/>
      <c r="H6" s="361"/>
      <c r="I6" s="361"/>
      <c r="J6" s="361"/>
      <c r="K6" s="361"/>
      <c r="L6" s="362"/>
      <c r="M6" s="13" t="s">
        <v>6</v>
      </c>
      <c r="N6" s="516" t="s">
        <v>134</v>
      </c>
      <c r="O6" s="361"/>
      <c r="P6" s="361"/>
      <c r="Q6" s="361"/>
      <c r="R6" s="361"/>
      <c r="S6" s="361"/>
      <c r="T6" s="361"/>
      <c r="U6" s="364"/>
      <c r="V6" s="515"/>
      <c r="W6" s="515"/>
      <c r="X6" s="515"/>
      <c r="Y6" s="515"/>
      <c r="Z6" s="515"/>
      <c r="AA6" s="515"/>
      <c r="AB6" s="515"/>
      <c r="AC6" s="515"/>
      <c r="AD6" s="515"/>
      <c r="AE6" s="8"/>
      <c r="AF6" s="9"/>
      <c r="AG6" s="9"/>
      <c r="AH6" s="9"/>
      <c r="AI6" s="9"/>
      <c r="AJ6" s="9"/>
      <c r="AK6" s="9"/>
      <c r="AL6" s="9"/>
      <c r="AM6" s="9"/>
      <c r="AN6" s="9"/>
      <c r="AO6" s="9"/>
      <c r="AP6" s="9"/>
      <c r="AQ6" s="9"/>
      <c r="AR6" s="9"/>
      <c r="AS6" s="9"/>
      <c r="AT6" s="9"/>
      <c r="AU6" s="9"/>
      <c r="AV6" s="9"/>
      <c r="AW6" s="9"/>
      <c r="AX6" s="9"/>
      <c r="AY6" s="9"/>
    </row>
    <row r="7" spans="1:51" ht="67.5" customHeight="1">
      <c r="A7" s="223" t="s">
        <v>135</v>
      </c>
      <c r="B7" s="361"/>
      <c r="C7" s="361"/>
      <c r="D7" s="362"/>
      <c r="E7" s="517" t="s">
        <v>136</v>
      </c>
      <c r="F7" s="366"/>
      <c r="G7" s="366"/>
      <c r="H7" s="366"/>
      <c r="I7" s="366"/>
      <c r="J7" s="366"/>
      <c r="K7" s="366"/>
      <c r="L7" s="367"/>
      <c r="M7" s="12" t="s">
        <v>137</v>
      </c>
      <c r="N7" s="518"/>
      <c r="O7" s="519"/>
      <c r="P7" s="519"/>
      <c r="Q7" s="520"/>
      <c r="R7" s="519"/>
      <c r="S7" s="521"/>
      <c r="T7" s="522"/>
      <c r="U7" s="523"/>
      <c r="V7" s="515"/>
      <c r="W7" s="515"/>
      <c r="X7" s="515"/>
      <c r="Y7" s="515"/>
      <c r="Z7" s="515"/>
      <c r="AA7" s="515"/>
      <c r="AB7" s="515"/>
      <c r="AC7" s="515"/>
      <c r="AD7" s="515"/>
      <c r="AE7" s="8"/>
      <c r="AF7" s="9"/>
      <c r="AG7" s="9"/>
      <c r="AH7" s="9"/>
      <c r="AI7" s="9"/>
      <c r="AJ7" s="9"/>
      <c r="AK7" s="9"/>
      <c r="AL7" s="9"/>
      <c r="AM7" s="9"/>
      <c r="AN7" s="9"/>
      <c r="AO7" s="9"/>
      <c r="AP7" s="9"/>
      <c r="AQ7" s="9"/>
      <c r="AR7" s="9"/>
      <c r="AS7" s="9"/>
      <c r="AT7" s="9"/>
      <c r="AU7" s="9"/>
      <c r="AV7" s="9"/>
      <c r="AW7" s="9"/>
      <c r="AX7" s="9"/>
      <c r="AY7" s="9"/>
    </row>
    <row r="8" spans="1:51" ht="67.5" customHeight="1">
      <c r="A8" s="224" t="s">
        <v>138</v>
      </c>
      <c r="B8" s="370"/>
      <c r="C8" s="370"/>
      <c r="D8" s="371"/>
      <c r="E8" s="225" t="s">
        <v>139</v>
      </c>
      <c r="F8" s="370"/>
      <c r="G8" s="370"/>
      <c r="H8" s="370"/>
      <c r="I8" s="370"/>
      <c r="J8" s="370"/>
      <c r="K8" s="370"/>
      <c r="L8" s="370"/>
      <c r="M8" s="370"/>
      <c r="N8" s="370"/>
      <c r="O8" s="370"/>
      <c r="P8" s="370"/>
      <c r="Q8" s="370"/>
      <c r="R8" s="370"/>
      <c r="S8" s="370"/>
      <c r="T8" s="370"/>
      <c r="U8" s="372"/>
      <c r="V8" s="515"/>
      <c r="W8" s="515"/>
      <c r="X8" s="515"/>
      <c r="Y8" s="515"/>
      <c r="Z8" s="515"/>
      <c r="AA8" s="515"/>
      <c r="AB8" s="515"/>
      <c r="AC8" s="515"/>
      <c r="AD8" s="515"/>
      <c r="AE8" s="8"/>
      <c r="AF8" s="9"/>
      <c r="AG8" s="9"/>
      <c r="AH8" s="9"/>
      <c r="AI8" s="9"/>
      <c r="AJ8" s="9"/>
      <c r="AK8" s="9"/>
      <c r="AL8" s="9"/>
      <c r="AM8" s="9"/>
      <c r="AN8" s="9"/>
      <c r="AO8" s="9"/>
      <c r="AP8" s="9"/>
      <c r="AQ8" s="9"/>
      <c r="AR8" s="9"/>
      <c r="AS8" s="9"/>
      <c r="AT8" s="9"/>
      <c r="AU8" s="9"/>
      <c r="AV8" s="9"/>
      <c r="AW8" s="9"/>
      <c r="AX8" s="9"/>
      <c r="AY8" s="9"/>
    </row>
    <row r="9" spans="1:51" ht="19.5" customHeight="1">
      <c r="A9" s="524"/>
      <c r="B9" s="374"/>
      <c r="C9" s="374"/>
      <c r="D9" s="374"/>
      <c r="E9" s="374"/>
      <c r="F9" s="374"/>
      <c r="G9" s="374"/>
      <c r="H9" s="374"/>
      <c r="I9" s="374"/>
      <c r="J9" s="374"/>
      <c r="K9" s="374"/>
      <c r="L9" s="374"/>
      <c r="M9" s="374"/>
      <c r="N9" s="374"/>
      <c r="O9" s="374"/>
      <c r="P9" s="374"/>
      <c r="Q9" s="374"/>
      <c r="R9" s="374"/>
      <c r="S9" s="374"/>
      <c r="T9" s="374"/>
      <c r="U9" s="374"/>
      <c r="V9" s="512"/>
      <c r="W9" s="512"/>
      <c r="X9" s="512"/>
      <c r="Y9" s="512"/>
      <c r="Z9" s="512"/>
      <c r="AA9" s="512"/>
      <c r="AB9" s="512"/>
      <c r="AC9" s="512"/>
      <c r="AD9" s="512"/>
      <c r="AE9" s="4"/>
      <c r="AF9" s="3"/>
      <c r="AG9" s="3"/>
      <c r="AH9" s="3"/>
      <c r="AI9" s="3"/>
      <c r="AJ9" s="3"/>
      <c r="AK9" s="3"/>
      <c r="AL9" s="3"/>
      <c r="AM9" s="3"/>
      <c r="AN9" s="3"/>
      <c r="AO9" s="3"/>
      <c r="AP9" s="3"/>
      <c r="AQ9" s="3"/>
      <c r="AR9" s="3"/>
      <c r="AS9" s="3"/>
      <c r="AT9" s="3"/>
      <c r="AU9" s="3"/>
      <c r="AV9" s="3"/>
      <c r="AW9" s="3"/>
      <c r="AX9" s="3"/>
      <c r="AY9" s="3"/>
    </row>
    <row r="10" spans="1:51" ht="99" customHeight="1">
      <c r="A10" s="233" t="s">
        <v>140</v>
      </c>
      <c r="B10" s="375"/>
      <c r="C10" s="375"/>
      <c r="D10" s="375"/>
      <c r="E10" s="375"/>
      <c r="F10" s="375"/>
      <c r="G10" s="375"/>
      <c r="H10" s="375"/>
      <c r="I10" s="375"/>
      <c r="J10" s="375"/>
      <c r="K10" s="375"/>
      <c r="L10" s="375"/>
      <c r="M10" s="375"/>
      <c r="N10" s="375"/>
      <c r="O10" s="375"/>
      <c r="P10" s="375"/>
      <c r="Q10" s="375"/>
      <c r="R10" s="375"/>
      <c r="S10" s="375"/>
      <c r="T10" s="375"/>
      <c r="U10" s="375"/>
      <c r="V10" s="512"/>
      <c r="W10" s="512"/>
      <c r="X10" s="512"/>
      <c r="Y10" s="512"/>
      <c r="Z10" s="512"/>
      <c r="AA10" s="512"/>
      <c r="AB10" s="512"/>
      <c r="AC10" s="512"/>
      <c r="AD10" s="512"/>
      <c r="AE10" s="4"/>
      <c r="AF10" s="3"/>
      <c r="AG10" s="3"/>
      <c r="AH10" s="3"/>
      <c r="AI10" s="3"/>
      <c r="AJ10" s="3"/>
      <c r="AK10" s="3"/>
      <c r="AL10" s="3"/>
      <c r="AM10" s="3"/>
      <c r="AN10" s="3"/>
      <c r="AO10" s="3"/>
      <c r="AP10" s="3"/>
      <c r="AQ10" s="3"/>
      <c r="AR10" s="3"/>
      <c r="AS10" s="3"/>
      <c r="AT10" s="3"/>
      <c r="AU10" s="3"/>
      <c r="AV10" s="3"/>
      <c r="AW10" s="3"/>
      <c r="AX10" s="3"/>
      <c r="AY10" s="3"/>
    </row>
    <row r="11" spans="1:51" ht="4.5" hidden="1" customHeight="1">
      <c r="A11" s="4"/>
      <c r="B11" s="4"/>
      <c r="C11" s="4"/>
      <c r="D11" s="4"/>
      <c r="E11" s="4"/>
      <c r="F11" s="4"/>
      <c r="G11" s="4"/>
      <c r="H11" s="17"/>
      <c r="I11" s="18"/>
      <c r="J11" s="19"/>
      <c r="K11" s="4"/>
      <c r="L11" s="20"/>
      <c r="M11" s="4"/>
      <c r="N11" s="4"/>
      <c r="O11" s="4"/>
      <c r="P11" s="4"/>
      <c r="Q11" s="21"/>
      <c r="R11" s="4"/>
      <c r="S11" s="22"/>
      <c r="T11" s="23"/>
      <c r="U11" s="23"/>
      <c r="V11" s="4"/>
      <c r="W11" s="4"/>
      <c r="X11" s="4"/>
      <c r="Y11" s="4"/>
      <c r="Z11" s="4"/>
      <c r="AA11" s="4"/>
      <c r="AB11" s="4"/>
      <c r="AC11" s="4"/>
      <c r="AD11" s="4"/>
      <c r="AE11" s="4"/>
      <c r="AF11" s="3"/>
      <c r="AG11" s="3"/>
      <c r="AH11" s="3"/>
      <c r="AI11" s="3"/>
      <c r="AJ11" s="3"/>
      <c r="AK11" s="3"/>
      <c r="AL11" s="3"/>
      <c r="AM11" s="3"/>
      <c r="AN11" s="3"/>
      <c r="AO11" s="3"/>
      <c r="AP11" s="3"/>
      <c r="AQ11" s="3"/>
      <c r="AR11" s="3"/>
      <c r="AS11" s="3"/>
      <c r="AT11" s="3"/>
      <c r="AU11" s="3"/>
      <c r="AV11" s="3"/>
      <c r="AW11" s="3"/>
      <c r="AX11" s="3"/>
      <c r="AY11" s="3"/>
    </row>
    <row r="12" spans="1:51" ht="21.75" customHeight="1">
      <c r="A12" s="234" t="s">
        <v>11</v>
      </c>
      <c r="B12" s="376"/>
      <c r="C12" s="376"/>
      <c r="D12" s="376"/>
      <c r="E12" s="376"/>
      <c r="F12" s="376"/>
      <c r="G12" s="376"/>
      <c r="H12" s="376"/>
      <c r="I12" s="376"/>
      <c r="J12" s="376"/>
      <c r="K12" s="376"/>
      <c r="L12" s="376"/>
      <c r="M12" s="376"/>
      <c r="N12" s="376"/>
      <c r="O12" s="376"/>
      <c r="P12" s="376"/>
      <c r="Q12" s="377"/>
      <c r="R12" s="525" t="s">
        <v>12</v>
      </c>
      <c r="S12" s="374"/>
      <c r="T12" s="374"/>
      <c r="U12" s="386"/>
      <c r="V12" s="4"/>
      <c r="W12" s="4"/>
      <c r="X12" s="4"/>
      <c r="Y12" s="4"/>
      <c r="Z12" s="4"/>
      <c r="AA12" s="4"/>
      <c r="AB12" s="4"/>
      <c r="AC12" s="4"/>
      <c r="AD12" s="4"/>
      <c r="AE12" s="4"/>
      <c r="AF12" s="3"/>
      <c r="AG12" s="3"/>
      <c r="AH12" s="3"/>
      <c r="AI12" s="3"/>
      <c r="AJ12" s="3"/>
      <c r="AK12" s="3"/>
      <c r="AL12" s="3"/>
      <c r="AM12" s="3"/>
      <c r="AN12" s="3"/>
      <c r="AO12" s="3"/>
      <c r="AP12" s="3"/>
      <c r="AQ12" s="3"/>
      <c r="AR12" s="3"/>
      <c r="AS12" s="3"/>
      <c r="AT12" s="3"/>
      <c r="AU12" s="3"/>
      <c r="AV12" s="3"/>
      <c r="AW12" s="3"/>
      <c r="AX12" s="3"/>
      <c r="AY12" s="3"/>
    </row>
    <row r="13" spans="1:51" ht="288.75" customHeight="1">
      <c r="A13" s="226" t="s">
        <v>13</v>
      </c>
      <c r="B13" s="376"/>
      <c r="C13" s="376"/>
      <c r="D13" s="377"/>
      <c r="E13" s="526" t="s">
        <v>141</v>
      </c>
      <c r="F13" s="386"/>
      <c r="G13" s="527" t="s">
        <v>15</v>
      </c>
      <c r="H13" s="527" t="s">
        <v>16</v>
      </c>
      <c r="I13" s="226" t="s">
        <v>142</v>
      </c>
      <c r="J13" s="376"/>
      <c r="K13" s="527" t="s">
        <v>143</v>
      </c>
      <c r="L13" s="528" t="s">
        <v>19</v>
      </c>
      <c r="M13" s="374"/>
      <c r="N13" s="374"/>
      <c r="O13" s="374"/>
      <c r="P13" s="386"/>
      <c r="Q13" s="243" t="s">
        <v>20</v>
      </c>
      <c r="R13" s="529" t="s">
        <v>21</v>
      </c>
      <c r="S13" s="530" t="s">
        <v>22</v>
      </c>
      <c r="T13" s="531" t="s">
        <v>23</v>
      </c>
      <c r="U13" s="532" t="s">
        <v>24</v>
      </c>
      <c r="V13" s="4"/>
      <c r="W13" s="4"/>
      <c r="X13" s="4"/>
      <c r="Y13" s="4"/>
      <c r="Z13" s="4"/>
      <c r="AA13" s="4"/>
      <c r="AB13" s="4"/>
      <c r="AC13" s="4"/>
      <c r="AD13" s="4"/>
      <c r="AE13" s="4"/>
      <c r="AF13" s="3"/>
      <c r="AG13" s="3"/>
      <c r="AH13" s="3"/>
      <c r="AI13" s="3"/>
      <c r="AJ13" s="3"/>
      <c r="AK13" s="3"/>
      <c r="AL13" s="3"/>
      <c r="AM13" s="3"/>
      <c r="AN13" s="3"/>
      <c r="AO13" s="3"/>
      <c r="AP13" s="3"/>
      <c r="AQ13" s="3"/>
      <c r="AR13" s="3"/>
      <c r="AS13" s="3"/>
      <c r="AT13" s="3"/>
      <c r="AU13" s="3"/>
      <c r="AV13" s="3"/>
      <c r="AW13" s="3"/>
      <c r="AX13" s="3"/>
      <c r="AY13" s="3"/>
    </row>
    <row r="14" spans="1:51" ht="90" customHeight="1">
      <c r="A14" s="527" t="s">
        <v>144</v>
      </c>
      <c r="B14" s="533" t="s">
        <v>145</v>
      </c>
      <c r="C14" s="376"/>
      <c r="D14" s="377"/>
      <c r="E14" s="375"/>
      <c r="F14" s="382"/>
      <c r="G14" s="389"/>
      <c r="H14" s="389"/>
      <c r="I14" s="534" t="s">
        <v>146</v>
      </c>
      <c r="J14" s="526" t="s">
        <v>147</v>
      </c>
      <c r="K14" s="389"/>
      <c r="L14" s="244" t="s">
        <v>29</v>
      </c>
      <c r="M14" s="535" t="s">
        <v>30</v>
      </c>
      <c r="N14" s="535" t="s">
        <v>31</v>
      </c>
      <c r="O14" s="535" t="s">
        <v>32</v>
      </c>
      <c r="P14" s="536" t="s">
        <v>33</v>
      </c>
      <c r="Q14" s="412"/>
      <c r="R14" s="382"/>
      <c r="S14" s="393"/>
      <c r="T14" s="389"/>
      <c r="U14" s="382"/>
      <c r="V14" s="4"/>
      <c r="W14" s="4"/>
      <c r="X14" s="4"/>
      <c r="Y14" s="4"/>
      <c r="Z14" s="4"/>
      <c r="AA14" s="4"/>
      <c r="AB14" s="4"/>
      <c r="AC14" s="4"/>
      <c r="AD14" s="4"/>
      <c r="AE14" s="4"/>
      <c r="AF14" s="3"/>
      <c r="AG14" s="3"/>
      <c r="AH14" s="3"/>
      <c r="AI14" s="3"/>
      <c r="AJ14" s="3"/>
      <c r="AK14" s="3"/>
      <c r="AL14" s="3"/>
      <c r="AM14" s="3"/>
      <c r="AN14" s="3"/>
      <c r="AO14" s="3"/>
      <c r="AP14" s="3"/>
      <c r="AQ14" s="3"/>
      <c r="AR14" s="3"/>
      <c r="AS14" s="3"/>
      <c r="AT14" s="3"/>
      <c r="AU14" s="3"/>
      <c r="AV14" s="3"/>
      <c r="AW14" s="3"/>
      <c r="AX14" s="3"/>
      <c r="AY14" s="3"/>
    </row>
    <row r="15" spans="1:51" ht="155.25" customHeight="1">
      <c r="A15" s="389"/>
      <c r="B15" s="537" t="s">
        <v>34</v>
      </c>
      <c r="C15" s="537" t="s">
        <v>35</v>
      </c>
      <c r="D15" s="537" t="s">
        <v>148</v>
      </c>
      <c r="E15" s="375"/>
      <c r="F15" s="382"/>
      <c r="G15" s="389"/>
      <c r="H15" s="389"/>
      <c r="I15" s="393"/>
      <c r="J15" s="375"/>
      <c r="K15" s="389"/>
      <c r="L15" s="398"/>
      <c r="M15" s="399"/>
      <c r="N15" s="399"/>
      <c r="O15" s="399"/>
      <c r="P15" s="400"/>
      <c r="Q15" s="398"/>
      <c r="R15" s="380"/>
      <c r="S15" s="397"/>
      <c r="T15" s="395"/>
      <c r="U15" s="380"/>
      <c r="V15" s="538"/>
      <c r="W15" s="538"/>
      <c r="X15" s="538"/>
      <c r="Y15" s="538"/>
      <c r="Z15" s="538"/>
      <c r="AA15" s="538"/>
      <c r="AB15" s="538"/>
      <c r="AC15" s="538"/>
      <c r="AD15" s="538"/>
      <c r="AE15" s="4"/>
      <c r="AF15" s="3"/>
      <c r="AG15" s="3"/>
      <c r="AH15" s="3"/>
      <c r="AI15" s="3"/>
      <c r="AJ15" s="3"/>
      <c r="AK15" s="3"/>
      <c r="AL15" s="3"/>
      <c r="AM15" s="3"/>
      <c r="AN15" s="3"/>
      <c r="AO15" s="3"/>
      <c r="AP15" s="3"/>
      <c r="AQ15" s="3"/>
      <c r="AR15" s="3"/>
      <c r="AS15" s="3"/>
      <c r="AT15" s="3"/>
      <c r="AU15" s="3"/>
      <c r="AV15" s="3"/>
      <c r="AW15" s="3"/>
      <c r="AX15" s="3"/>
      <c r="AY15" s="3"/>
    </row>
    <row r="16" spans="1:51" ht="73.5" customHeight="1">
      <c r="A16" s="271" t="s">
        <v>149</v>
      </c>
      <c r="B16" s="220" t="s">
        <v>150</v>
      </c>
      <c r="C16" s="272" t="s">
        <v>42</v>
      </c>
      <c r="D16" s="222" t="s">
        <v>151</v>
      </c>
      <c r="E16" s="235" t="s">
        <v>152</v>
      </c>
      <c r="F16" s="417"/>
      <c r="G16" s="268" t="s">
        <v>153</v>
      </c>
      <c r="H16" s="236">
        <v>0.04</v>
      </c>
      <c r="I16" s="237" t="s">
        <v>154</v>
      </c>
      <c r="J16" s="222" t="s">
        <v>155</v>
      </c>
      <c r="K16" s="238" t="s">
        <v>42</v>
      </c>
      <c r="L16" s="239" t="s">
        <v>156</v>
      </c>
      <c r="M16" s="539" t="s">
        <v>157</v>
      </c>
      <c r="N16" s="539" t="s">
        <v>158</v>
      </c>
      <c r="O16" s="539" t="s">
        <v>159</v>
      </c>
      <c r="P16" s="540" t="s">
        <v>160</v>
      </c>
      <c r="Q16" s="220" t="s">
        <v>161</v>
      </c>
      <c r="R16" s="227"/>
      <c r="S16" s="228">
        <v>5</v>
      </c>
      <c r="T16" s="229">
        <f>AVERAGE(S16:S21)</f>
        <v>5</v>
      </c>
      <c r="U16" s="230">
        <f>T16*SUM(H16:H21)</f>
        <v>0.2</v>
      </c>
      <c r="V16" s="541"/>
      <c r="W16" s="541"/>
      <c r="X16" s="541"/>
      <c r="Y16" s="541"/>
      <c r="Z16" s="541"/>
      <c r="AA16" s="541"/>
      <c r="AB16" s="541"/>
      <c r="AC16" s="541"/>
      <c r="AD16" s="541"/>
      <c r="AE16" s="40"/>
      <c r="AF16" s="3"/>
      <c r="AG16" s="3"/>
      <c r="AH16" s="3"/>
      <c r="AI16" s="3"/>
      <c r="AJ16" s="3"/>
      <c r="AK16" s="3"/>
      <c r="AL16" s="3"/>
      <c r="AM16" s="3"/>
      <c r="AN16" s="3"/>
      <c r="AO16" s="3"/>
      <c r="AP16" s="3"/>
      <c r="AQ16" s="3"/>
      <c r="AR16" s="3"/>
      <c r="AS16" s="3"/>
      <c r="AT16" s="3"/>
      <c r="AU16" s="3"/>
      <c r="AV16" s="3"/>
      <c r="AW16" s="3"/>
      <c r="AX16" s="3"/>
      <c r="AY16" s="3"/>
    </row>
    <row r="17" spans="1:51" ht="10.5" hidden="1" customHeight="1">
      <c r="A17" s="412"/>
      <c r="B17" s="414"/>
      <c r="C17" s="414"/>
      <c r="D17" s="414"/>
      <c r="E17" s="418"/>
      <c r="F17" s="419"/>
      <c r="G17" s="414"/>
      <c r="H17" s="414"/>
      <c r="I17" s="414"/>
      <c r="J17" s="414"/>
      <c r="K17" s="414"/>
      <c r="L17" s="418"/>
      <c r="M17" s="375"/>
      <c r="N17" s="375"/>
      <c r="O17" s="375"/>
      <c r="P17" s="419"/>
      <c r="Q17" s="414"/>
      <c r="R17" s="414"/>
      <c r="S17" s="414"/>
      <c r="T17" s="414"/>
      <c r="U17" s="415"/>
      <c r="V17" s="541"/>
      <c r="W17" s="541"/>
      <c r="X17" s="541"/>
      <c r="Y17" s="541"/>
      <c r="Z17" s="541"/>
      <c r="AA17" s="541"/>
      <c r="AB17" s="541"/>
      <c r="AC17" s="541"/>
      <c r="AD17" s="541"/>
      <c r="AE17" s="40"/>
      <c r="AF17" s="3"/>
      <c r="AG17" s="3"/>
      <c r="AH17" s="3"/>
      <c r="AI17" s="3"/>
      <c r="AJ17" s="3"/>
      <c r="AK17" s="3"/>
      <c r="AL17" s="3"/>
      <c r="AM17" s="3"/>
      <c r="AN17" s="3"/>
      <c r="AO17" s="3"/>
      <c r="AP17" s="3"/>
      <c r="AQ17" s="3"/>
      <c r="AR17" s="3"/>
      <c r="AS17" s="3"/>
      <c r="AT17" s="3"/>
      <c r="AU17" s="3"/>
      <c r="AV17" s="3"/>
      <c r="AW17" s="3"/>
      <c r="AX17" s="3"/>
      <c r="AY17" s="3"/>
    </row>
    <row r="18" spans="1:51" ht="33" customHeight="1">
      <c r="A18" s="412"/>
      <c r="B18" s="414"/>
      <c r="C18" s="414"/>
      <c r="D18" s="414"/>
      <c r="E18" s="418"/>
      <c r="F18" s="419"/>
      <c r="G18" s="414"/>
      <c r="H18" s="414"/>
      <c r="I18" s="414"/>
      <c r="J18" s="414"/>
      <c r="K18" s="414"/>
      <c r="L18" s="418"/>
      <c r="M18" s="375"/>
      <c r="N18" s="375"/>
      <c r="O18" s="375"/>
      <c r="P18" s="419"/>
      <c r="Q18" s="414"/>
      <c r="R18" s="414"/>
      <c r="S18" s="414"/>
      <c r="T18" s="414"/>
      <c r="U18" s="415"/>
      <c r="V18" s="541"/>
      <c r="W18" s="541"/>
      <c r="X18" s="541"/>
      <c r="Y18" s="541"/>
      <c r="Z18" s="541"/>
      <c r="AA18" s="541"/>
      <c r="AB18" s="541"/>
      <c r="AC18" s="541"/>
      <c r="AD18" s="541"/>
      <c r="AE18" s="40"/>
      <c r="AF18" s="3"/>
      <c r="AG18" s="3"/>
      <c r="AH18" s="3"/>
      <c r="AI18" s="3"/>
      <c r="AJ18" s="3"/>
      <c r="AK18" s="3"/>
      <c r="AL18" s="3"/>
      <c r="AM18" s="3"/>
      <c r="AN18" s="3"/>
      <c r="AO18" s="3"/>
      <c r="AP18" s="3"/>
      <c r="AQ18" s="3"/>
      <c r="AR18" s="3"/>
      <c r="AS18" s="3"/>
      <c r="AT18" s="3"/>
      <c r="AU18" s="3"/>
      <c r="AV18" s="3"/>
      <c r="AW18" s="3"/>
      <c r="AX18" s="3"/>
      <c r="AY18" s="3"/>
    </row>
    <row r="19" spans="1:51" ht="147.75" customHeight="1">
      <c r="A19" s="412"/>
      <c r="B19" s="414"/>
      <c r="C19" s="414"/>
      <c r="D19" s="414"/>
      <c r="E19" s="418"/>
      <c r="F19" s="419"/>
      <c r="G19" s="414"/>
      <c r="H19" s="414"/>
      <c r="I19" s="414"/>
      <c r="J19" s="414"/>
      <c r="K19" s="422"/>
      <c r="L19" s="418"/>
      <c r="M19" s="375"/>
      <c r="N19" s="375"/>
      <c r="O19" s="375"/>
      <c r="P19" s="419"/>
      <c r="Q19" s="414"/>
      <c r="R19" s="414"/>
      <c r="S19" s="422"/>
      <c r="T19" s="414"/>
      <c r="U19" s="415"/>
      <c r="V19" s="542"/>
      <c r="W19" s="542"/>
      <c r="X19" s="542"/>
      <c r="Y19" s="542"/>
      <c r="Z19" s="542"/>
      <c r="AA19" s="542"/>
      <c r="AB19" s="542"/>
      <c r="AC19" s="542"/>
      <c r="AD19" s="542"/>
      <c r="AE19" s="45"/>
      <c r="AF19" s="45"/>
      <c r="AG19" s="45"/>
      <c r="AH19" s="45"/>
      <c r="AI19" s="45"/>
      <c r="AJ19" s="45"/>
      <c r="AK19" s="45"/>
      <c r="AL19" s="45"/>
      <c r="AM19" s="45"/>
      <c r="AN19" s="45"/>
      <c r="AO19" s="45"/>
      <c r="AP19" s="45"/>
      <c r="AQ19" s="45"/>
      <c r="AR19" s="45"/>
      <c r="AS19" s="45"/>
      <c r="AT19" s="45"/>
      <c r="AU19" s="45"/>
      <c r="AV19" s="45"/>
      <c r="AW19" s="45"/>
      <c r="AX19" s="45"/>
      <c r="AY19" s="45"/>
    </row>
    <row r="20" spans="1:51" ht="248.25" customHeight="1">
      <c r="A20" s="412"/>
      <c r="B20" s="414"/>
      <c r="C20" s="414"/>
      <c r="D20" s="414"/>
      <c r="E20" s="418"/>
      <c r="F20" s="419"/>
      <c r="G20" s="414"/>
      <c r="H20" s="414"/>
      <c r="I20" s="414"/>
      <c r="J20" s="414"/>
      <c r="K20" s="46" t="s">
        <v>49</v>
      </c>
      <c r="L20" s="47" t="s">
        <v>162</v>
      </c>
      <c r="M20" s="47" t="s">
        <v>163</v>
      </c>
      <c r="N20" s="47" t="s">
        <v>164</v>
      </c>
      <c r="O20" s="47" t="s">
        <v>165</v>
      </c>
      <c r="P20" s="47" t="s">
        <v>166</v>
      </c>
      <c r="Q20" s="414"/>
      <c r="R20" s="414"/>
      <c r="S20" s="50">
        <v>5</v>
      </c>
      <c r="T20" s="414"/>
      <c r="U20" s="415"/>
      <c r="V20" s="542"/>
      <c r="W20" s="542"/>
      <c r="X20" s="542"/>
      <c r="Y20" s="542"/>
      <c r="Z20" s="542"/>
      <c r="AA20" s="542"/>
      <c r="AB20" s="542"/>
      <c r="AC20" s="542"/>
      <c r="AD20" s="542"/>
      <c r="AE20" s="45"/>
      <c r="AF20" s="45"/>
      <c r="AG20" s="45"/>
      <c r="AH20" s="45"/>
      <c r="AI20" s="45"/>
      <c r="AJ20" s="45"/>
      <c r="AK20" s="45"/>
      <c r="AL20" s="45"/>
      <c r="AM20" s="45"/>
      <c r="AN20" s="45"/>
      <c r="AO20" s="45"/>
      <c r="AP20" s="45"/>
      <c r="AQ20" s="45"/>
      <c r="AR20" s="45"/>
      <c r="AS20" s="45"/>
      <c r="AT20" s="45"/>
      <c r="AU20" s="45"/>
      <c r="AV20" s="45"/>
      <c r="AW20" s="45"/>
      <c r="AX20" s="45"/>
      <c r="AY20" s="45"/>
    </row>
    <row r="21" spans="1:51" ht="141" customHeight="1">
      <c r="A21" s="412"/>
      <c r="B21" s="414"/>
      <c r="C21" s="414"/>
      <c r="D21" s="414"/>
      <c r="E21" s="420"/>
      <c r="F21" s="421"/>
      <c r="G21" s="414"/>
      <c r="H21" s="422"/>
      <c r="I21" s="422"/>
      <c r="J21" s="422"/>
      <c r="K21" s="46" t="s">
        <v>56</v>
      </c>
      <c r="L21" s="47" t="s">
        <v>167</v>
      </c>
      <c r="M21" s="47" t="s">
        <v>168</v>
      </c>
      <c r="N21" s="47" t="s">
        <v>169</v>
      </c>
      <c r="O21" s="47" t="s">
        <v>170</v>
      </c>
      <c r="P21" s="47" t="s">
        <v>171</v>
      </c>
      <c r="Q21" s="422"/>
      <c r="R21" s="422"/>
      <c r="S21" s="50">
        <v>5</v>
      </c>
      <c r="T21" s="422"/>
      <c r="U21" s="423"/>
      <c r="V21" s="542"/>
      <c r="W21" s="542"/>
      <c r="X21" s="542"/>
      <c r="Y21" s="542"/>
      <c r="Z21" s="542"/>
      <c r="AA21" s="542"/>
      <c r="AB21" s="542"/>
      <c r="AC21" s="542"/>
      <c r="AD21" s="542"/>
      <c r="AE21" s="45"/>
      <c r="AF21" s="45"/>
      <c r="AG21" s="45"/>
      <c r="AH21" s="45"/>
      <c r="AI21" s="45"/>
      <c r="AJ21" s="45"/>
      <c r="AK21" s="45"/>
      <c r="AL21" s="45"/>
      <c r="AM21" s="45"/>
      <c r="AN21" s="45"/>
      <c r="AO21" s="45"/>
      <c r="AP21" s="45"/>
      <c r="AQ21" s="45"/>
      <c r="AR21" s="45"/>
      <c r="AS21" s="45"/>
      <c r="AT21" s="45"/>
      <c r="AU21" s="45"/>
      <c r="AV21" s="45"/>
      <c r="AW21" s="45"/>
      <c r="AX21" s="45"/>
      <c r="AY21" s="45"/>
    </row>
    <row r="22" spans="1:51" ht="128.25" customHeight="1">
      <c r="A22" s="412"/>
      <c r="B22" s="414"/>
      <c r="C22" s="414"/>
      <c r="D22" s="414"/>
      <c r="E22" s="543" t="s">
        <v>172</v>
      </c>
      <c r="F22" s="367"/>
      <c r="G22" s="414"/>
      <c r="H22" s="544">
        <v>0.03</v>
      </c>
      <c r="I22" s="54"/>
      <c r="J22" s="54"/>
      <c r="K22" s="55" t="s">
        <v>42</v>
      </c>
      <c r="L22" s="56" t="s">
        <v>173</v>
      </c>
      <c r="M22" s="56" t="s">
        <v>174</v>
      </c>
      <c r="N22" s="56" t="s">
        <v>175</v>
      </c>
      <c r="O22" s="56" t="s">
        <v>176</v>
      </c>
      <c r="P22" s="56" t="s">
        <v>177</v>
      </c>
      <c r="Q22" s="545" t="s">
        <v>178</v>
      </c>
      <c r="R22" s="546"/>
      <c r="S22" s="50">
        <v>3</v>
      </c>
      <c r="T22" s="547">
        <f>AVERAGE(S22:S24)</f>
        <v>4.333333333333333</v>
      </c>
      <c r="U22" s="548">
        <f>T22*SUM(H22:H24)</f>
        <v>0.12999999999999998</v>
      </c>
      <c r="V22" s="542"/>
      <c r="W22" s="542"/>
      <c r="X22" s="542"/>
      <c r="Y22" s="542"/>
      <c r="Z22" s="542"/>
      <c r="AA22" s="542"/>
      <c r="AB22" s="542"/>
      <c r="AC22" s="542"/>
      <c r="AD22" s="542"/>
      <c r="AE22" s="45"/>
      <c r="AF22" s="45"/>
      <c r="AG22" s="45"/>
      <c r="AH22" s="45"/>
      <c r="AI22" s="45"/>
      <c r="AJ22" s="45"/>
      <c r="AK22" s="45"/>
      <c r="AL22" s="45"/>
      <c r="AM22" s="45"/>
      <c r="AN22" s="45"/>
      <c r="AO22" s="45"/>
      <c r="AP22" s="45"/>
      <c r="AQ22" s="45"/>
      <c r="AR22" s="45"/>
      <c r="AS22" s="45"/>
      <c r="AT22" s="45"/>
      <c r="AU22" s="45"/>
      <c r="AV22" s="45"/>
      <c r="AW22" s="45"/>
      <c r="AX22" s="45"/>
      <c r="AY22" s="45"/>
    </row>
    <row r="23" spans="1:51" ht="127.5" customHeight="1">
      <c r="A23" s="412"/>
      <c r="B23" s="414"/>
      <c r="C23" s="414"/>
      <c r="D23" s="414"/>
      <c r="E23" s="418"/>
      <c r="F23" s="419"/>
      <c r="G23" s="414"/>
      <c r="H23" s="414"/>
      <c r="I23" s="54"/>
      <c r="J23" s="54"/>
      <c r="K23" s="46" t="s">
        <v>49</v>
      </c>
      <c r="L23" s="56" t="s">
        <v>179</v>
      </c>
      <c r="M23" s="56" t="s">
        <v>180</v>
      </c>
      <c r="N23" s="56" t="s">
        <v>181</v>
      </c>
      <c r="O23" s="56" t="s">
        <v>182</v>
      </c>
      <c r="P23" s="56" t="s">
        <v>183</v>
      </c>
      <c r="Q23" s="414"/>
      <c r="R23" s="414"/>
      <c r="S23" s="50">
        <v>5</v>
      </c>
      <c r="T23" s="414"/>
      <c r="U23" s="415"/>
      <c r="V23" s="542"/>
      <c r="W23" s="542"/>
      <c r="X23" s="542"/>
      <c r="Y23" s="542"/>
      <c r="Z23" s="542"/>
      <c r="AA23" s="542"/>
      <c r="AB23" s="542"/>
      <c r="AC23" s="542"/>
      <c r="AD23" s="542"/>
      <c r="AE23" s="45"/>
      <c r="AF23" s="45"/>
      <c r="AG23" s="45"/>
      <c r="AH23" s="45"/>
      <c r="AI23" s="45"/>
      <c r="AJ23" s="45"/>
      <c r="AK23" s="45"/>
      <c r="AL23" s="45"/>
      <c r="AM23" s="45"/>
      <c r="AN23" s="45"/>
      <c r="AO23" s="45"/>
      <c r="AP23" s="45"/>
      <c r="AQ23" s="45"/>
      <c r="AR23" s="45"/>
      <c r="AS23" s="45"/>
      <c r="AT23" s="45"/>
      <c r="AU23" s="45"/>
      <c r="AV23" s="45"/>
      <c r="AW23" s="45"/>
      <c r="AX23" s="45"/>
      <c r="AY23" s="45"/>
    </row>
    <row r="24" spans="1:51" ht="87.75" customHeight="1">
      <c r="A24" s="412"/>
      <c r="B24" s="414"/>
      <c r="C24" s="414"/>
      <c r="D24" s="414"/>
      <c r="E24" s="420"/>
      <c r="F24" s="421"/>
      <c r="G24" s="414"/>
      <c r="H24" s="422"/>
      <c r="I24" s="54"/>
      <c r="J24" s="54"/>
      <c r="K24" s="46" t="s">
        <v>56</v>
      </c>
      <c r="L24" s="56" t="s">
        <v>184</v>
      </c>
      <c r="M24" s="56" t="s">
        <v>185</v>
      </c>
      <c r="N24" s="56" t="s">
        <v>186</v>
      </c>
      <c r="O24" s="56" t="s">
        <v>187</v>
      </c>
      <c r="P24" s="56" t="s">
        <v>188</v>
      </c>
      <c r="Q24" s="422"/>
      <c r="R24" s="422"/>
      <c r="S24" s="50">
        <v>5</v>
      </c>
      <c r="T24" s="422"/>
      <c r="U24" s="423"/>
      <c r="V24" s="542"/>
      <c r="W24" s="542"/>
      <c r="X24" s="542"/>
      <c r="Y24" s="542"/>
      <c r="Z24" s="542"/>
      <c r="AA24" s="542"/>
      <c r="AB24" s="542"/>
      <c r="AC24" s="542"/>
      <c r="AD24" s="542"/>
      <c r="AE24" s="45"/>
      <c r="AF24" s="45"/>
      <c r="AG24" s="45"/>
      <c r="AH24" s="45"/>
      <c r="AI24" s="45"/>
      <c r="AJ24" s="45"/>
      <c r="AK24" s="45"/>
      <c r="AL24" s="45"/>
      <c r="AM24" s="45"/>
      <c r="AN24" s="45"/>
      <c r="AO24" s="45"/>
      <c r="AP24" s="45"/>
      <c r="AQ24" s="45"/>
      <c r="AR24" s="45"/>
      <c r="AS24" s="45"/>
      <c r="AT24" s="45"/>
      <c r="AU24" s="45"/>
      <c r="AV24" s="45"/>
      <c r="AW24" s="45"/>
      <c r="AX24" s="45"/>
      <c r="AY24" s="45"/>
    </row>
    <row r="25" spans="1:51" ht="141" customHeight="1">
      <c r="A25" s="412"/>
      <c r="B25" s="414"/>
      <c r="C25" s="414"/>
      <c r="D25" s="414"/>
      <c r="E25" s="543" t="s">
        <v>189</v>
      </c>
      <c r="F25" s="367"/>
      <c r="G25" s="414"/>
      <c r="H25" s="544">
        <v>0.03</v>
      </c>
      <c r="I25" s="54"/>
      <c r="J25" s="54"/>
      <c r="K25" s="55" t="s">
        <v>42</v>
      </c>
      <c r="L25" s="56" t="s">
        <v>190</v>
      </c>
      <c r="M25" s="56" t="s">
        <v>191</v>
      </c>
      <c r="N25" s="56" t="s">
        <v>192</v>
      </c>
      <c r="O25" s="56" t="s">
        <v>193</v>
      </c>
      <c r="P25" s="56" t="s">
        <v>194</v>
      </c>
      <c r="Q25" s="545" t="s">
        <v>195</v>
      </c>
      <c r="R25" s="546"/>
      <c r="S25" s="50">
        <v>3</v>
      </c>
      <c r="T25" s="547">
        <f>AVERAGE(S25:S27)</f>
        <v>4.333333333333333</v>
      </c>
      <c r="U25" s="548">
        <f>T25*SUM(H25:H27)</f>
        <v>0.12999999999999998</v>
      </c>
      <c r="V25" s="542"/>
      <c r="W25" s="542"/>
      <c r="X25" s="542"/>
      <c r="Y25" s="542"/>
      <c r="Z25" s="542"/>
      <c r="AA25" s="542"/>
      <c r="AB25" s="542"/>
      <c r="AC25" s="542"/>
      <c r="AD25" s="542"/>
      <c r="AE25" s="45"/>
      <c r="AF25" s="45"/>
      <c r="AG25" s="45"/>
      <c r="AH25" s="45"/>
      <c r="AI25" s="45"/>
      <c r="AJ25" s="45"/>
      <c r="AK25" s="45"/>
      <c r="AL25" s="45"/>
      <c r="AM25" s="45"/>
      <c r="AN25" s="45"/>
      <c r="AO25" s="45"/>
      <c r="AP25" s="45"/>
      <c r="AQ25" s="45"/>
      <c r="AR25" s="45"/>
      <c r="AS25" s="45"/>
      <c r="AT25" s="45"/>
      <c r="AU25" s="45"/>
      <c r="AV25" s="45"/>
      <c r="AW25" s="45"/>
      <c r="AX25" s="45"/>
      <c r="AY25" s="45"/>
    </row>
    <row r="26" spans="1:51" ht="127.5" customHeight="1">
      <c r="A26" s="412"/>
      <c r="B26" s="414"/>
      <c r="C26" s="414"/>
      <c r="D26" s="414"/>
      <c r="E26" s="418"/>
      <c r="F26" s="419"/>
      <c r="G26" s="414"/>
      <c r="H26" s="414"/>
      <c r="I26" s="54"/>
      <c r="J26" s="54"/>
      <c r="K26" s="46" t="s">
        <v>49</v>
      </c>
      <c r="L26" s="56" t="s">
        <v>196</v>
      </c>
      <c r="M26" s="56" t="s">
        <v>197</v>
      </c>
      <c r="N26" s="56" t="s">
        <v>198</v>
      </c>
      <c r="O26" s="56" t="s">
        <v>199</v>
      </c>
      <c r="P26" s="56" t="s">
        <v>200</v>
      </c>
      <c r="Q26" s="414"/>
      <c r="R26" s="414"/>
      <c r="S26" s="50">
        <v>5</v>
      </c>
      <c r="T26" s="414"/>
      <c r="U26" s="415"/>
      <c r="V26" s="542"/>
      <c r="W26" s="542"/>
      <c r="X26" s="542"/>
      <c r="Y26" s="542"/>
      <c r="Z26" s="542"/>
      <c r="AA26" s="542"/>
      <c r="AB26" s="542"/>
      <c r="AC26" s="542"/>
      <c r="AD26" s="542"/>
      <c r="AE26" s="45"/>
      <c r="AF26" s="45"/>
      <c r="AG26" s="45"/>
      <c r="AH26" s="45"/>
      <c r="AI26" s="45"/>
      <c r="AJ26" s="45"/>
      <c r="AK26" s="45"/>
      <c r="AL26" s="45"/>
      <c r="AM26" s="45"/>
      <c r="AN26" s="45"/>
      <c r="AO26" s="45"/>
      <c r="AP26" s="45"/>
      <c r="AQ26" s="45"/>
      <c r="AR26" s="45"/>
      <c r="AS26" s="45"/>
      <c r="AT26" s="45"/>
      <c r="AU26" s="45"/>
      <c r="AV26" s="45"/>
      <c r="AW26" s="45"/>
      <c r="AX26" s="45"/>
      <c r="AY26" s="45"/>
    </row>
    <row r="27" spans="1:51" ht="87.75" customHeight="1">
      <c r="A27" s="412"/>
      <c r="B27" s="414"/>
      <c r="C27" s="414"/>
      <c r="D27" s="414"/>
      <c r="E27" s="420"/>
      <c r="F27" s="421"/>
      <c r="G27" s="414"/>
      <c r="H27" s="422"/>
      <c r="I27" s="54"/>
      <c r="J27" s="54"/>
      <c r="K27" s="46" t="s">
        <v>56</v>
      </c>
      <c r="L27" s="56" t="s">
        <v>184</v>
      </c>
      <c r="M27" s="56" t="s">
        <v>185</v>
      </c>
      <c r="N27" s="56" t="s">
        <v>186</v>
      </c>
      <c r="O27" s="56" t="s">
        <v>187</v>
      </c>
      <c r="P27" s="56" t="s">
        <v>188</v>
      </c>
      <c r="Q27" s="422"/>
      <c r="R27" s="422"/>
      <c r="S27" s="50">
        <v>5</v>
      </c>
      <c r="T27" s="422"/>
      <c r="U27" s="423"/>
      <c r="V27" s="542"/>
      <c r="W27" s="542"/>
      <c r="X27" s="542"/>
      <c r="Y27" s="542"/>
      <c r="Z27" s="542"/>
      <c r="AA27" s="542"/>
      <c r="AB27" s="542"/>
      <c r="AC27" s="542"/>
      <c r="AD27" s="542"/>
      <c r="AE27" s="45"/>
      <c r="AF27" s="45"/>
      <c r="AG27" s="45"/>
      <c r="AH27" s="45"/>
      <c r="AI27" s="45"/>
      <c r="AJ27" s="45"/>
      <c r="AK27" s="45"/>
      <c r="AL27" s="45"/>
      <c r="AM27" s="45"/>
      <c r="AN27" s="45"/>
      <c r="AO27" s="45"/>
      <c r="AP27" s="45"/>
      <c r="AQ27" s="45"/>
      <c r="AR27" s="45"/>
      <c r="AS27" s="45"/>
      <c r="AT27" s="45"/>
      <c r="AU27" s="45"/>
      <c r="AV27" s="45"/>
      <c r="AW27" s="45"/>
      <c r="AX27" s="45"/>
      <c r="AY27" s="45"/>
    </row>
    <row r="28" spans="1:51" ht="151.5" customHeight="1">
      <c r="A28" s="412"/>
      <c r="B28" s="414"/>
      <c r="C28" s="414"/>
      <c r="D28" s="414"/>
      <c r="E28" s="549" t="s">
        <v>201</v>
      </c>
      <c r="F28" s="367"/>
      <c r="G28" s="414"/>
      <c r="H28" s="544">
        <v>0.02</v>
      </c>
      <c r="I28" s="54"/>
      <c r="J28" s="54"/>
      <c r="K28" s="55" t="s">
        <v>42</v>
      </c>
      <c r="L28" s="56" t="s">
        <v>202</v>
      </c>
      <c r="M28" s="56" t="s">
        <v>203</v>
      </c>
      <c r="N28" s="56" t="s">
        <v>204</v>
      </c>
      <c r="O28" s="56" t="s">
        <v>205</v>
      </c>
      <c r="P28" s="56" t="s">
        <v>206</v>
      </c>
      <c r="Q28" s="545" t="s">
        <v>207</v>
      </c>
      <c r="R28" s="546"/>
      <c r="S28" s="50">
        <v>3</v>
      </c>
      <c r="T28" s="547">
        <f>AVERAGE(S28:S30)</f>
        <v>4.333333333333333</v>
      </c>
      <c r="U28" s="548">
        <f>T28*SUM(H28:H30)</f>
        <v>8.6666666666666656E-2</v>
      </c>
      <c r="V28" s="542"/>
      <c r="W28" s="542"/>
      <c r="X28" s="542"/>
      <c r="Y28" s="542"/>
      <c r="Z28" s="542"/>
      <c r="AA28" s="542"/>
      <c r="AB28" s="542"/>
      <c r="AC28" s="542"/>
      <c r="AD28" s="542"/>
      <c r="AE28" s="45"/>
      <c r="AF28" s="45"/>
      <c r="AG28" s="45"/>
      <c r="AH28" s="45"/>
      <c r="AI28" s="45"/>
      <c r="AJ28" s="45"/>
      <c r="AK28" s="45"/>
      <c r="AL28" s="45"/>
      <c r="AM28" s="45"/>
      <c r="AN28" s="45"/>
      <c r="AO28" s="45"/>
      <c r="AP28" s="45"/>
      <c r="AQ28" s="45"/>
      <c r="AR28" s="45"/>
      <c r="AS28" s="45"/>
      <c r="AT28" s="45"/>
      <c r="AU28" s="45"/>
      <c r="AV28" s="45"/>
      <c r="AW28" s="45"/>
      <c r="AX28" s="45"/>
      <c r="AY28" s="45"/>
    </row>
    <row r="29" spans="1:51" ht="111" customHeight="1">
      <c r="A29" s="412"/>
      <c r="B29" s="414"/>
      <c r="C29" s="414"/>
      <c r="D29" s="414"/>
      <c r="E29" s="418"/>
      <c r="F29" s="419"/>
      <c r="G29" s="414"/>
      <c r="H29" s="414"/>
      <c r="I29" s="54"/>
      <c r="J29" s="54"/>
      <c r="K29" s="46" t="s">
        <v>49</v>
      </c>
      <c r="L29" s="56" t="s">
        <v>208</v>
      </c>
      <c r="M29" s="56" t="s">
        <v>209</v>
      </c>
      <c r="N29" s="56" t="s">
        <v>210</v>
      </c>
      <c r="O29" s="56" t="s">
        <v>211</v>
      </c>
      <c r="P29" s="56" t="s">
        <v>212</v>
      </c>
      <c r="Q29" s="414"/>
      <c r="R29" s="414"/>
      <c r="S29" s="50">
        <v>5</v>
      </c>
      <c r="T29" s="414"/>
      <c r="U29" s="415"/>
      <c r="V29" s="542"/>
      <c r="W29" s="542"/>
      <c r="X29" s="542"/>
      <c r="Y29" s="542"/>
      <c r="Z29" s="542"/>
      <c r="AA29" s="542"/>
      <c r="AB29" s="542"/>
      <c r="AC29" s="542"/>
      <c r="AD29" s="542"/>
      <c r="AE29" s="45"/>
      <c r="AF29" s="45"/>
      <c r="AG29" s="45"/>
      <c r="AH29" s="45"/>
      <c r="AI29" s="45"/>
      <c r="AJ29" s="45"/>
      <c r="AK29" s="45"/>
      <c r="AL29" s="45"/>
      <c r="AM29" s="45"/>
      <c r="AN29" s="45"/>
      <c r="AO29" s="45"/>
      <c r="AP29" s="45"/>
      <c r="AQ29" s="45"/>
      <c r="AR29" s="45"/>
      <c r="AS29" s="45"/>
      <c r="AT29" s="45"/>
      <c r="AU29" s="45"/>
      <c r="AV29" s="45"/>
      <c r="AW29" s="45"/>
      <c r="AX29" s="45"/>
      <c r="AY29" s="45"/>
    </row>
    <row r="30" spans="1:51" ht="87.75" customHeight="1">
      <c r="A30" s="412"/>
      <c r="B30" s="414"/>
      <c r="C30" s="422"/>
      <c r="D30" s="422"/>
      <c r="E30" s="420"/>
      <c r="F30" s="421"/>
      <c r="G30" s="422"/>
      <c r="H30" s="422"/>
      <c r="I30" s="54"/>
      <c r="J30" s="54"/>
      <c r="K30" s="46" t="s">
        <v>56</v>
      </c>
      <c r="L30" s="56" t="s">
        <v>184</v>
      </c>
      <c r="M30" s="56" t="s">
        <v>185</v>
      </c>
      <c r="N30" s="56" t="s">
        <v>186</v>
      </c>
      <c r="O30" s="56" t="s">
        <v>187</v>
      </c>
      <c r="P30" s="56" t="s">
        <v>188</v>
      </c>
      <c r="Q30" s="422"/>
      <c r="R30" s="422"/>
      <c r="S30" s="50">
        <v>5</v>
      </c>
      <c r="T30" s="422"/>
      <c r="U30" s="423"/>
      <c r="V30" s="542"/>
      <c r="W30" s="542"/>
      <c r="X30" s="542"/>
      <c r="Y30" s="542"/>
      <c r="Z30" s="542"/>
      <c r="AA30" s="542"/>
      <c r="AB30" s="542"/>
      <c r="AC30" s="542"/>
      <c r="AD30" s="542"/>
      <c r="AE30" s="45"/>
      <c r="AF30" s="45"/>
      <c r="AG30" s="45"/>
      <c r="AH30" s="45"/>
      <c r="AI30" s="45"/>
      <c r="AJ30" s="45"/>
      <c r="AK30" s="45"/>
      <c r="AL30" s="45"/>
      <c r="AM30" s="45"/>
      <c r="AN30" s="45"/>
      <c r="AO30" s="45"/>
      <c r="AP30" s="45"/>
      <c r="AQ30" s="45"/>
      <c r="AR30" s="45"/>
      <c r="AS30" s="45"/>
      <c r="AT30" s="45"/>
      <c r="AU30" s="45"/>
      <c r="AV30" s="45"/>
      <c r="AW30" s="45"/>
      <c r="AX30" s="45"/>
      <c r="AY30" s="45"/>
    </row>
    <row r="31" spans="1:51" ht="183" customHeight="1">
      <c r="A31" s="412"/>
      <c r="B31" s="545" t="s">
        <v>213</v>
      </c>
      <c r="C31" s="73"/>
      <c r="D31" s="75"/>
      <c r="E31" s="550" t="s">
        <v>214</v>
      </c>
      <c r="F31" s="367"/>
      <c r="G31" s="551" t="s">
        <v>215</v>
      </c>
      <c r="H31" s="552">
        <v>0.03</v>
      </c>
      <c r="I31" s="553">
        <v>1</v>
      </c>
      <c r="J31" s="551" t="s">
        <v>216</v>
      </c>
      <c r="K31" s="55" t="s">
        <v>42</v>
      </c>
      <c r="L31" s="73" t="s">
        <v>217</v>
      </c>
      <c r="M31" s="73" t="s">
        <v>218</v>
      </c>
      <c r="N31" s="73" t="s">
        <v>219</v>
      </c>
      <c r="O31" s="73" t="s">
        <v>220</v>
      </c>
      <c r="P31" s="73" t="s">
        <v>221</v>
      </c>
      <c r="Q31" s="545" t="s">
        <v>222</v>
      </c>
      <c r="R31" s="546"/>
      <c r="S31" s="50">
        <v>5</v>
      </c>
      <c r="T31" s="547">
        <f>AVERAGE(S31:S33)</f>
        <v>5</v>
      </c>
      <c r="U31" s="548">
        <f>T31*H31</f>
        <v>0.15</v>
      </c>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row>
    <row r="32" spans="1:51" ht="151.5" customHeight="1">
      <c r="A32" s="412"/>
      <c r="B32" s="414"/>
      <c r="C32" s="73"/>
      <c r="D32" s="75"/>
      <c r="E32" s="418"/>
      <c r="F32" s="419"/>
      <c r="G32" s="414"/>
      <c r="H32" s="414"/>
      <c r="I32" s="414"/>
      <c r="J32" s="414"/>
      <c r="K32" s="46" t="s">
        <v>49</v>
      </c>
      <c r="L32" s="73" t="s">
        <v>223</v>
      </c>
      <c r="M32" s="73" t="s">
        <v>224</v>
      </c>
      <c r="N32" s="73" t="s">
        <v>225</v>
      </c>
      <c r="O32" s="73" t="s">
        <v>226</v>
      </c>
      <c r="P32" s="73" t="s">
        <v>227</v>
      </c>
      <c r="Q32" s="414"/>
      <c r="R32" s="414"/>
      <c r="S32" s="50">
        <v>5</v>
      </c>
      <c r="T32" s="414"/>
      <c r="U32" s="41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row>
    <row r="33" spans="1:51" ht="153" customHeight="1">
      <c r="A33" s="412"/>
      <c r="B33" s="422"/>
      <c r="C33" s="73"/>
      <c r="D33" s="75"/>
      <c r="E33" s="420"/>
      <c r="F33" s="421"/>
      <c r="G33" s="422"/>
      <c r="H33" s="422"/>
      <c r="I33" s="422"/>
      <c r="J33" s="422"/>
      <c r="K33" s="46" t="s">
        <v>56</v>
      </c>
      <c r="L33" s="73" t="s">
        <v>228</v>
      </c>
      <c r="M33" s="73" t="s">
        <v>229</v>
      </c>
      <c r="N33" s="73" t="s">
        <v>230</v>
      </c>
      <c r="O33" s="73" t="s">
        <v>231</v>
      </c>
      <c r="P33" s="73" t="s">
        <v>232</v>
      </c>
      <c r="Q33" s="422"/>
      <c r="R33" s="422"/>
      <c r="S33" s="50">
        <v>5</v>
      </c>
      <c r="T33" s="422"/>
      <c r="U33" s="423"/>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row>
    <row r="34" spans="1:51" ht="157.5" customHeight="1">
      <c r="A34" s="412"/>
      <c r="B34" s="545" t="s">
        <v>233</v>
      </c>
      <c r="C34" s="554" t="s">
        <v>42</v>
      </c>
      <c r="D34" s="545" t="s">
        <v>234</v>
      </c>
      <c r="E34" s="550" t="s">
        <v>235</v>
      </c>
      <c r="F34" s="367"/>
      <c r="G34" s="551" t="s">
        <v>153</v>
      </c>
      <c r="H34" s="552">
        <v>0.04</v>
      </c>
      <c r="I34" s="552">
        <v>1</v>
      </c>
      <c r="J34" s="555" t="s">
        <v>236</v>
      </c>
      <c r="K34" s="78" t="s">
        <v>42</v>
      </c>
      <c r="L34" s="79" t="s">
        <v>237</v>
      </c>
      <c r="M34" s="79" t="s">
        <v>238</v>
      </c>
      <c r="N34" s="79" t="s">
        <v>239</v>
      </c>
      <c r="O34" s="79" t="s">
        <v>240</v>
      </c>
      <c r="P34" s="79" t="s">
        <v>241</v>
      </c>
      <c r="Q34" s="545" t="s">
        <v>242</v>
      </c>
      <c r="R34" s="556"/>
      <c r="S34" s="81">
        <v>3</v>
      </c>
      <c r="T34" s="557">
        <f>AVERAGE(S34:S36)</f>
        <v>3</v>
      </c>
      <c r="U34" s="558">
        <f>T34*H34</f>
        <v>0.12</v>
      </c>
      <c r="V34" s="559"/>
      <c r="W34" s="559"/>
      <c r="X34" s="559"/>
      <c r="Y34" s="559"/>
      <c r="Z34" s="559"/>
      <c r="AA34" s="559"/>
      <c r="AB34" s="559"/>
      <c r="AC34" s="559"/>
      <c r="AD34" s="559"/>
      <c r="AE34" s="84"/>
      <c r="AF34" s="84"/>
      <c r="AG34" s="84"/>
      <c r="AH34" s="84"/>
      <c r="AI34" s="84"/>
      <c r="AJ34" s="84"/>
      <c r="AK34" s="84"/>
      <c r="AL34" s="84"/>
      <c r="AM34" s="84"/>
      <c r="AN34" s="84"/>
      <c r="AO34" s="84"/>
      <c r="AP34" s="84"/>
      <c r="AQ34" s="84"/>
      <c r="AR34" s="84"/>
      <c r="AS34" s="84"/>
      <c r="AT34" s="84"/>
      <c r="AU34" s="84"/>
      <c r="AV34" s="84"/>
      <c r="AW34" s="84"/>
      <c r="AX34" s="84"/>
      <c r="AY34" s="84"/>
    </row>
    <row r="35" spans="1:51" ht="112.5" customHeight="1">
      <c r="A35" s="412"/>
      <c r="B35" s="414"/>
      <c r="C35" s="414"/>
      <c r="D35" s="414"/>
      <c r="E35" s="418"/>
      <c r="F35" s="419"/>
      <c r="G35" s="414"/>
      <c r="H35" s="414"/>
      <c r="I35" s="414"/>
      <c r="J35" s="414"/>
      <c r="K35" s="73" t="s">
        <v>49</v>
      </c>
      <c r="L35" s="73" t="s">
        <v>243</v>
      </c>
      <c r="M35" s="73" t="s">
        <v>244</v>
      </c>
      <c r="N35" s="73" t="s">
        <v>245</v>
      </c>
      <c r="O35" s="73" t="s">
        <v>246</v>
      </c>
      <c r="P35" s="73" t="s">
        <v>247</v>
      </c>
      <c r="Q35" s="414"/>
      <c r="R35" s="414"/>
      <c r="S35" s="81">
        <v>3</v>
      </c>
      <c r="T35" s="414"/>
      <c r="U35" s="415"/>
      <c r="V35" s="559"/>
      <c r="W35" s="559"/>
      <c r="X35" s="559"/>
      <c r="Y35" s="559"/>
      <c r="Z35" s="559"/>
      <c r="AA35" s="559"/>
      <c r="AB35" s="559"/>
      <c r="AC35" s="559"/>
      <c r="AD35" s="559"/>
      <c r="AE35" s="84"/>
      <c r="AF35" s="84"/>
      <c r="AG35" s="84"/>
      <c r="AH35" s="84"/>
      <c r="AI35" s="84"/>
      <c r="AJ35" s="84"/>
      <c r="AK35" s="84"/>
      <c r="AL35" s="84"/>
      <c r="AM35" s="84"/>
      <c r="AN35" s="84"/>
      <c r="AO35" s="84"/>
      <c r="AP35" s="84"/>
      <c r="AQ35" s="84"/>
      <c r="AR35" s="84"/>
      <c r="AS35" s="84"/>
      <c r="AT35" s="84"/>
      <c r="AU35" s="84"/>
      <c r="AV35" s="84"/>
      <c r="AW35" s="84"/>
      <c r="AX35" s="84"/>
      <c r="AY35" s="84"/>
    </row>
    <row r="36" spans="1:51" ht="91.5" customHeight="1">
      <c r="A36" s="412"/>
      <c r="B36" s="422"/>
      <c r="C36" s="414"/>
      <c r="D36" s="422"/>
      <c r="E36" s="420"/>
      <c r="F36" s="421"/>
      <c r="G36" s="422"/>
      <c r="H36" s="422"/>
      <c r="I36" s="422"/>
      <c r="J36" s="422"/>
      <c r="K36" s="73" t="s">
        <v>56</v>
      </c>
      <c r="L36" s="73" t="s">
        <v>248</v>
      </c>
      <c r="M36" s="73" t="s">
        <v>185</v>
      </c>
      <c r="N36" s="73" t="s">
        <v>186</v>
      </c>
      <c r="O36" s="73" t="s">
        <v>187</v>
      </c>
      <c r="P36" s="73" t="s">
        <v>188</v>
      </c>
      <c r="Q36" s="422"/>
      <c r="R36" s="422"/>
      <c r="S36" s="81">
        <v>3</v>
      </c>
      <c r="T36" s="422"/>
      <c r="U36" s="423"/>
      <c r="V36" s="559"/>
      <c r="W36" s="559"/>
      <c r="X36" s="559"/>
      <c r="Y36" s="559"/>
      <c r="Z36" s="559"/>
      <c r="AA36" s="559"/>
      <c r="AB36" s="559"/>
      <c r="AC36" s="559"/>
      <c r="AD36" s="559"/>
      <c r="AE36" s="84"/>
      <c r="AF36" s="84"/>
      <c r="AG36" s="84"/>
      <c r="AH36" s="84"/>
      <c r="AI36" s="84"/>
      <c r="AJ36" s="84"/>
      <c r="AK36" s="84"/>
      <c r="AL36" s="84"/>
      <c r="AM36" s="84"/>
      <c r="AN36" s="84"/>
      <c r="AO36" s="84"/>
      <c r="AP36" s="84"/>
      <c r="AQ36" s="84"/>
      <c r="AR36" s="84"/>
      <c r="AS36" s="84"/>
      <c r="AT36" s="84"/>
      <c r="AU36" s="84"/>
      <c r="AV36" s="84"/>
      <c r="AW36" s="84"/>
      <c r="AX36" s="84"/>
      <c r="AY36" s="84"/>
    </row>
    <row r="37" spans="1:51" ht="87.75" customHeight="1">
      <c r="A37" s="412"/>
      <c r="B37" s="545" t="s">
        <v>249</v>
      </c>
      <c r="C37" s="414"/>
      <c r="D37" s="545" t="s">
        <v>250</v>
      </c>
      <c r="E37" s="550" t="s">
        <v>251</v>
      </c>
      <c r="F37" s="367"/>
      <c r="G37" s="556" t="s">
        <v>252</v>
      </c>
      <c r="H37" s="552">
        <v>0.04</v>
      </c>
      <c r="I37" s="552">
        <v>0.18</v>
      </c>
      <c r="J37" s="555" t="s">
        <v>253</v>
      </c>
      <c r="K37" s="55" t="s">
        <v>42</v>
      </c>
      <c r="L37" s="73" t="s">
        <v>254</v>
      </c>
      <c r="M37" s="73" t="s">
        <v>255</v>
      </c>
      <c r="N37" s="73" t="s">
        <v>256</v>
      </c>
      <c r="O37" s="73" t="s">
        <v>257</v>
      </c>
      <c r="P37" s="73" t="s">
        <v>258</v>
      </c>
      <c r="Q37" s="545" t="s">
        <v>259</v>
      </c>
      <c r="R37" s="546"/>
      <c r="S37" s="50">
        <v>3</v>
      </c>
      <c r="T37" s="547">
        <f>AVERAGE(S37:S39)</f>
        <v>3</v>
      </c>
      <c r="U37" s="548">
        <f>T37*H37</f>
        <v>0.12</v>
      </c>
      <c r="V37" s="542"/>
      <c r="W37" s="542"/>
      <c r="X37" s="542"/>
      <c r="Y37" s="542"/>
      <c r="Z37" s="542"/>
      <c r="AA37" s="542"/>
      <c r="AB37" s="542"/>
      <c r="AC37" s="542"/>
      <c r="AD37" s="542"/>
      <c r="AE37" s="45"/>
      <c r="AF37" s="45"/>
      <c r="AG37" s="45"/>
      <c r="AH37" s="45"/>
      <c r="AI37" s="45"/>
      <c r="AJ37" s="45"/>
      <c r="AK37" s="45"/>
      <c r="AL37" s="45"/>
      <c r="AM37" s="45"/>
      <c r="AN37" s="45"/>
      <c r="AO37" s="45"/>
      <c r="AP37" s="45"/>
      <c r="AQ37" s="45"/>
      <c r="AR37" s="45"/>
      <c r="AS37" s="45"/>
      <c r="AT37" s="45"/>
      <c r="AU37" s="45"/>
      <c r="AV37" s="45"/>
      <c r="AW37" s="45"/>
      <c r="AX37" s="45"/>
      <c r="AY37" s="45"/>
    </row>
    <row r="38" spans="1:51" ht="126" customHeight="1">
      <c r="A38" s="412"/>
      <c r="B38" s="414"/>
      <c r="C38" s="414"/>
      <c r="D38" s="414"/>
      <c r="E38" s="418"/>
      <c r="F38" s="419"/>
      <c r="G38" s="414"/>
      <c r="H38" s="414"/>
      <c r="I38" s="414"/>
      <c r="J38" s="414"/>
      <c r="K38" s="46" t="s">
        <v>49</v>
      </c>
      <c r="L38" s="73" t="s">
        <v>260</v>
      </c>
      <c r="M38" s="73" t="s">
        <v>261</v>
      </c>
      <c r="N38" s="73" t="s">
        <v>262</v>
      </c>
      <c r="O38" s="73" t="s">
        <v>263</v>
      </c>
      <c r="P38" s="73" t="s">
        <v>264</v>
      </c>
      <c r="Q38" s="414"/>
      <c r="R38" s="414"/>
      <c r="S38" s="50">
        <v>3</v>
      </c>
      <c r="T38" s="414"/>
      <c r="U38" s="415"/>
      <c r="V38" s="542"/>
      <c r="W38" s="542"/>
      <c r="X38" s="542"/>
      <c r="Y38" s="542"/>
      <c r="Z38" s="542"/>
      <c r="AA38" s="542"/>
      <c r="AB38" s="542"/>
      <c r="AC38" s="542"/>
      <c r="AD38" s="542"/>
      <c r="AE38" s="45"/>
      <c r="AF38" s="45"/>
      <c r="AG38" s="45"/>
      <c r="AH38" s="45"/>
      <c r="AI38" s="45"/>
      <c r="AJ38" s="45"/>
      <c r="AK38" s="45"/>
      <c r="AL38" s="45"/>
      <c r="AM38" s="45"/>
      <c r="AN38" s="45"/>
      <c r="AO38" s="45"/>
      <c r="AP38" s="45"/>
      <c r="AQ38" s="45"/>
      <c r="AR38" s="45"/>
      <c r="AS38" s="45"/>
      <c r="AT38" s="45"/>
      <c r="AU38" s="45"/>
      <c r="AV38" s="45"/>
      <c r="AW38" s="45"/>
      <c r="AX38" s="45"/>
      <c r="AY38" s="45"/>
    </row>
    <row r="39" spans="1:51" ht="87.75" customHeight="1">
      <c r="A39" s="424"/>
      <c r="B39" s="399"/>
      <c r="C39" s="422"/>
      <c r="D39" s="399"/>
      <c r="E39" s="430"/>
      <c r="F39" s="431"/>
      <c r="G39" s="422"/>
      <c r="H39" s="422"/>
      <c r="I39" s="422"/>
      <c r="J39" s="422"/>
      <c r="K39" s="560" t="s">
        <v>56</v>
      </c>
      <c r="L39" s="561" t="s">
        <v>265</v>
      </c>
      <c r="M39" s="561" t="s">
        <v>266</v>
      </c>
      <c r="N39" s="561" t="s">
        <v>267</v>
      </c>
      <c r="O39" s="561" t="s">
        <v>268</v>
      </c>
      <c r="P39" s="561" t="s">
        <v>269</v>
      </c>
      <c r="Q39" s="422"/>
      <c r="R39" s="422"/>
      <c r="S39" s="562">
        <v>3</v>
      </c>
      <c r="T39" s="422"/>
      <c r="U39" s="423"/>
      <c r="V39" s="542"/>
      <c r="W39" s="542"/>
      <c r="X39" s="542"/>
      <c r="Y39" s="542"/>
      <c r="Z39" s="542"/>
      <c r="AA39" s="542"/>
      <c r="AB39" s="542"/>
      <c r="AC39" s="542"/>
      <c r="AD39" s="542"/>
      <c r="AE39" s="45"/>
      <c r="AF39" s="45"/>
      <c r="AG39" s="45"/>
      <c r="AH39" s="45"/>
      <c r="AI39" s="45"/>
      <c r="AJ39" s="45"/>
      <c r="AK39" s="45"/>
      <c r="AL39" s="45"/>
      <c r="AM39" s="45"/>
      <c r="AN39" s="45"/>
      <c r="AO39" s="45"/>
      <c r="AP39" s="45"/>
      <c r="AQ39" s="45"/>
      <c r="AR39" s="45"/>
      <c r="AS39" s="45"/>
      <c r="AT39" s="45"/>
      <c r="AU39" s="45"/>
      <c r="AV39" s="45"/>
      <c r="AW39" s="45"/>
      <c r="AX39" s="45"/>
      <c r="AY39" s="45"/>
    </row>
    <row r="40" spans="1:51" ht="183" customHeight="1">
      <c r="A40" s="273" t="s">
        <v>270</v>
      </c>
      <c r="B40" s="222" t="s">
        <v>271</v>
      </c>
      <c r="C40" s="222" t="s">
        <v>272</v>
      </c>
      <c r="D40" s="222" t="s">
        <v>273</v>
      </c>
      <c r="E40" s="248" t="s">
        <v>274</v>
      </c>
      <c r="F40" s="417"/>
      <c r="G40" s="268" t="s">
        <v>275</v>
      </c>
      <c r="H40" s="241">
        <v>0.04</v>
      </c>
      <c r="I40" s="237">
        <v>1</v>
      </c>
      <c r="J40" s="91" t="s">
        <v>276</v>
      </c>
      <c r="K40" s="92" t="s">
        <v>42</v>
      </c>
      <c r="L40" s="93" t="s">
        <v>277</v>
      </c>
      <c r="M40" s="93" t="s">
        <v>278</v>
      </c>
      <c r="N40" s="93" t="s">
        <v>279</v>
      </c>
      <c r="O40" s="93" t="s">
        <v>280</v>
      </c>
      <c r="P40" s="93" t="s">
        <v>281</v>
      </c>
      <c r="Q40" s="220" t="s">
        <v>282</v>
      </c>
      <c r="R40" s="221"/>
      <c r="S40" s="94">
        <v>5</v>
      </c>
      <c r="T40" s="218">
        <f>AVERAGE(S40:S42)</f>
        <v>5</v>
      </c>
      <c r="U40" s="219">
        <f>T40*H40</f>
        <v>0.2</v>
      </c>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row>
    <row r="41" spans="1:51" ht="121.5" customHeight="1">
      <c r="A41" s="412"/>
      <c r="B41" s="414"/>
      <c r="C41" s="414"/>
      <c r="D41" s="414"/>
      <c r="E41" s="418"/>
      <c r="F41" s="419"/>
      <c r="G41" s="414"/>
      <c r="H41" s="414"/>
      <c r="I41" s="414"/>
      <c r="J41" s="95"/>
      <c r="K41" s="46" t="s">
        <v>49</v>
      </c>
      <c r="L41" s="73" t="s">
        <v>283</v>
      </c>
      <c r="M41" s="73" t="s">
        <v>284</v>
      </c>
      <c r="N41" s="73" t="s">
        <v>285</v>
      </c>
      <c r="O41" s="73" t="s">
        <v>286</v>
      </c>
      <c r="P41" s="73" t="s">
        <v>287</v>
      </c>
      <c r="Q41" s="414"/>
      <c r="R41" s="414"/>
      <c r="S41" s="50">
        <v>5</v>
      </c>
      <c r="T41" s="414"/>
      <c r="U41" s="41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row>
    <row r="42" spans="1:51" ht="119.25" customHeight="1">
      <c r="A42" s="412"/>
      <c r="B42" s="414"/>
      <c r="C42" s="414"/>
      <c r="D42" s="414"/>
      <c r="E42" s="420"/>
      <c r="F42" s="421"/>
      <c r="G42" s="422"/>
      <c r="H42" s="422"/>
      <c r="I42" s="422"/>
      <c r="J42" s="95"/>
      <c r="K42" s="46" t="s">
        <v>56</v>
      </c>
      <c r="L42" s="73" t="s">
        <v>288</v>
      </c>
      <c r="M42" s="73" t="s">
        <v>289</v>
      </c>
      <c r="N42" s="73" t="s">
        <v>290</v>
      </c>
      <c r="O42" s="73" t="s">
        <v>291</v>
      </c>
      <c r="P42" s="73" t="s">
        <v>292</v>
      </c>
      <c r="Q42" s="422"/>
      <c r="R42" s="422"/>
      <c r="S42" s="50">
        <v>5</v>
      </c>
      <c r="T42" s="422"/>
      <c r="U42" s="423"/>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row>
    <row r="43" spans="1:51" ht="87.75" customHeight="1">
      <c r="A43" s="412"/>
      <c r="B43" s="414"/>
      <c r="C43" s="414"/>
      <c r="D43" s="414"/>
      <c r="E43" s="550" t="s">
        <v>293</v>
      </c>
      <c r="F43" s="367"/>
      <c r="G43" s="551" t="s">
        <v>153</v>
      </c>
      <c r="H43" s="552">
        <v>0.03</v>
      </c>
      <c r="I43" s="552">
        <v>1</v>
      </c>
      <c r="J43" s="551" t="s">
        <v>294</v>
      </c>
      <c r="K43" s="55" t="s">
        <v>42</v>
      </c>
      <c r="L43" s="73" t="s">
        <v>295</v>
      </c>
      <c r="M43" s="54" t="s">
        <v>296</v>
      </c>
      <c r="N43" s="54" t="s">
        <v>297</v>
      </c>
      <c r="O43" s="54" t="s">
        <v>298</v>
      </c>
      <c r="P43" s="73" t="s">
        <v>299</v>
      </c>
      <c r="Q43" s="545" t="s">
        <v>300</v>
      </c>
      <c r="R43" s="546"/>
      <c r="S43" s="50">
        <v>5</v>
      </c>
      <c r="T43" s="547">
        <f>AVERAGE(S43:S45)</f>
        <v>5</v>
      </c>
      <c r="U43" s="548">
        <f>T43*H43</f>
        <v>0.15</v>
      </c>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row>
    <row r="44" spans="1:51" ht="67.5" customHeight="1">
      <c r="A44" s="412"/>
      <c r="B44" s="414"/>
      <c r="C44" s="414"/>
      <c r="D44" s="414"/>
      <c r="E44" s="418"/>
      <c r="F44" s="419"/>
      <c r="G44" s="414"/>
      <c r="H44" s="414"/>
      <c r="I44" s="414"/>
      <c r="J44" s="414"/>
      <c r="K44" s="46" t="s">
        <v>49</v>
      </c>
      <c r="L44" s="73" t="s">
        <v>301</v>
      </c>
      <c r="M44" s="54" t="s">
        <v>302</v>
      </c>
      <c r="N44" s="54" t="s">
        <v>303</v>
      </c>
      <c r="O44" s="54" t="s">
        <v>304</v>
      </c>
      <c r="P44" s="54" t="s">
        <v>305</v>
      </c>
      <c r="Q44" s="414"/>
      <c r="R44" s="414"/>
      <c r="S44" s="50">
        <v>5</v>
      </c>
      <c r="T44" s="414"/>
      <c r="U44" s="41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row>
    <row r="45" spans="1:51" ht="112.5" customHeight="1">
      <c r="A45" s="412"/>
      <c r="B45" s="422"/>
      <c r="C45" s="414"/>
      <c r="D45" s="414"/>
      <c r="E45" s="420"/>
      <c r="F45" s="421"/>
      <c r="G45" s="422"/>
      <c r="H45" s="422"/>
      <c r="I45" s="422"/>
      <c r="J45" s="422"/>
      <c r="K45" s="46" t="s">
        <v>56</v>
      </c>
      <c r="L45" s="73" t="s">
        <v>306</v>
      </c>
      <c r="M45" s="73" t="s">
        <v>307</v>
      </c>
      <c r="N45" s="73" t="s">
        <v>308</v>
      </c>
      <c r="O45" s="73" t="s">
        <v>309</v>
      </c>
      <c r="P45" s="73" t="s">
        <v>310</v>
      </c>
      <c r="Q45" s="422"/>
      <c r="R45" s="422"/>
      <c r="S45" s="50">
        <v>5</v>
      </c>
      <c r="T45" s="422"/>
      <c r="U45" s="423"/>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row>
    <row r="46" spans="1:51" ht="97.5" customHeight="1">
      <c r="A46" s="412"/>
      <c r="B46" s="545" t="s">
        <v>213</v>
      </c>
      <c r="C46" s="414"/>
      <c r="D46" s="414"/>
      <c r="E46" s="550" t="s">
        <v>311</v>
      </c>
      <c r="F46" s="367"/>
      <c r="G46" s="551" t="s">
        <v>153</v>
      </c>
      <c r="H46" s="552">
        <v>0.03</v>
      </c>
      <c r="I46" s="552">
        <v>1</v>
      </c>
      <c r="J46" s="551" t="s">
        <v>312</v>
      </c>
      <c r="K46" s="55" t="s">
        <v>42</v>
      </c>
      <c r="L46" s="73" t="s">
        <v>313</v>
      </c>
      <c r="M46" s="73" t="s">
        <v>314</v>
      </c>
      <c r="N46" s="73" t="s">
        <v>315</v>
      </c>
      <c r="O46" s="73" t="s">
        <v>316</v>
      </c>
      <c r="P46" s="73" t="s">
        <v>317</v>
      </c>
      <c r="Q46" s="545" t="s">
        <v>318</v>
      </c>
      <c r="R46" s="546"/>
      <c r="S46" s="50">
        <v>5</v>
      </c>
      <c r="T46" s="547">
        <f>AVERAGE(S46:S48)</f>
        <v>3.6666666666666665</v>
      </c>
      <c r="U46" s="548">
        <f>T46*H46</f>
        <v>0.10999999999999999</v>
      </c>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row>
    <row r="47" spans="1:51" ht="109.5" customHeight="1">
      <c r="A47" s="412"/>
      <c r="B47" s="414"/>
      <c r="C47" s="414"/>
      <c r="D47" s="414"/>
      <c r="E47" s="418"/>
      <c r="F47" s="419"/>
      <c r="G47" s="414"/>
      <c r="H47" s="414"/>
      <c r="I47" s="414"/>
      <c r="J47" s="414"/>
      <c r="K47" s="46" t="s">
        <v>49</v>
      </c>
      <c r="L47" s="73" t="s">
        <v>319</v>
      </c>
      <c r="M47" s="73" t="s">
        <v>320</v>
      </c>
      <c r="N47" s="73" t="s">
        <v>321</v>
      </c>
      <c r="O47" s="73" t="s">
        <v>322</v>
      </c>
      <c r="P47" s="73" t="s">
        <v>323</v>
      </c>
      <c r="Q47" s="414"/>
      <c r="R47" s="414"/>
      <c r="S47" s="50">
        <v>3</v>
      </c>
      <c r="T47" s="414"/>
      <c r="U47" s="41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row>
    <row r="48" spans="1:51" ht="119.25" customHeight="1">
      <c r="A48" s="424"/>
      <c r="B48" s="399"/>
      <c r="C48" s="399"/>
      <c r="D48" s="399"/>
      <c r="E48" s="430"/>
      <c r="F48" s="431"/>
      <c r="G48" s="422"/>
      <c r="H48" s="422"/>
      <c r="I48" s="422"/>
      <c r="J48" s="422"/>
      <c r="K48" s="560" t="s">
        <v>56</v>
      </c>
      <c r="L48" s="561" t="s">
        <v>324</v>
      </c>
      <c r="M48" s="561" t="s">
        <v>325</v>
      </c>
      <c r="N48" s="561" t="s">
        <v>326</v>
      </c>
      <c r="O48" s="561" t="s">
        <v>327</v>
      </c>
      <c r="P48" s="561" t="s">
        <v>328</v>
      </c>
      <c r="Q48" s="422"/>
      <c r="R48" s="422"/>
      <c r="S48" s="562">
        <v>3</v>
      </c>
      <c r="T48" s="422"/>
      <c r="U48" s="423"/>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row>
    <row r="49" spans="1:51" ht="209.25" customHeight="1">
      <c r="A49" s="273" t="s">
        <v>329</v>
      </c>
      <c r="B49" s="222" t="s">
        <v>213</v>
      </c>
      <c r="C49" s="220" t="s">
        <v>330</v>
      </c>
      <c r="D49" s="222" t="s">
        <v>331</v>
      </c>
      <c r="E49" s="248" t="s">
        <v>332</v>
      </c>
      <c r="F49" s="417"/>
      <c r="G49" s="268" t="s">
        <v>333</v>
      </c>
      <c r="H49" s="241">
        <v>0.03</v>
      </c>
      <c r="I49" s="222">
        <v>100</v>
      </c>
      <c r="J49" s="268" t="s">
        <v>334</v>
      </c>
      <c r="K49" s="92" t="s">
        <v>42</v>
      </c>
      <c r="L49" s="93" t="s">
        <v>335</v>
      </c>
      <c r="M49" s="93" t="s">
        <v>336</v>
      </c>
      <c r="N49" s="93" t="s">
        <v>337</v>
      </c>
      <c r="O49" s="93" t="s">
        <v>338</v>
      </c>
      <c r="P49" s="93" t="s">
        <v>339</v>
      </c>
      <c r="Q49" s="220" t="s">
        <v>340</v>
      </c>
      <c r="R49" s="221"/>
      <c r="S49" s="94">
        <v>5</v>
      </c>
      <c r="T49" s="218">
        <f>AVERAGE(S49:S51)</f>
        <v>5</v>
      </c>
      <c r="U49" s="219">
        <f>T49*H49</f>
        <v>0.15</v>
      </c>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row>
    <row r="50" spans="1:51" ht="183" customHeight="1">
      <c r="A50" s="412"/>
      <c r="B50" s="414"/>
      <c r="C50" s="414"/>
      <c r="D50" s="414"/>
      <c r="E50" s="418"/>
      <c r="F50" s="419"/>
      <c r="G50" s="414"/>
      <c r="H50" s="414"/>
      <c r="I50" s="414"/>
      <c r="J50" s="414"/>
      <c r="K50" s="46" t="s">
        <v>49</v>
      </c>
      <c r="L50" s="73" t="s">
        <v>341</v>
      </c>
      <c r="M50" s="73" t="s">
        <v>342</v>
      </c>
      <c r="N50" s="73" t="s">
        <v>343</v>
      </c>
      <c r="O50" s="73" t="s">
        <v>344</v>
      </c>
      <c r="P50" s="73" t="s">
        <v>345</v>
      </c>
      <c r="Q50" s="414"/>
      <c r="R50" s="414"/>
      <c r="S50" s="50">
        <v>5</v>
      </c>
      <c r="T50" s="414"/>
      <c r="U50" s="41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row>
    <row r="51" spans="1:51" ht="99" customHeight="1">
      <c r="A51" s="412"/>
      <c r="B51" s="414"/>
      <c r="C51" s="414"/>
      <c r="D51" s="422"/>
      <c r="E51" s="420"/>
      <c r="F51" s="421"/>
      <c r="G51" s="422"/>
      <c r="H51" s="422"/>
      <c r="I51" s="422"/>
      <c r="J51" s="422"/>
      <c r="K51" s="46" t="s">
        <v>56</v>
      </c>
      <c r="L51" s="73" t="s">
        <v>346</v>
      </c>
      <c r="M51" s="73" t="s">
        <v>347</v>
      </c>
      <c r="N51" s="73" t="s">
        <v>348</v>
      </c>
      <c r="O51" s="73" t="s">
        <v>349</v>
      </c>
      <c r="P51" s="73" t="s">
        <v>350</v>
      </c>
      <c r="Q51" s="422"/>
      <c r="R51" s="422"/>
      <c r="S51" s="50">
        <v>5</v>
      </c>
      <c r="T51" s="422"/>
      <c r="U51" s="423"/>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row>
    <row r="52" spans="1:51" ht="117.75" customHeight="1">
      <c r="A52" s="412"/>
      <c r="B52" s="414"/>
      <c r="C52" s="414"/>
      <c r="D52" s="545" t="s">
        <v>351</v>
      </c>
      <c r="E52" s="550" t="s">
        <v>352</v>
      </c>
      <c r="F52" s="367"/>
      <c r="G52" s="551" t="s">
        <v>333</v>
      </c>
      <c r="H52" s="552">
        <v>0.03</v>
      </c>
      <c r="I52" s="553">
        <v>0.05</v>
      </c>
      <c r="J52" s="551" t="s">
        <v>353</v>
      </c>
      <c r="K52" s="55" t="s">
        <v>42</v>
      </c>
      <c r="L52" s="73" t="s">
        <v>354</v>
      </c>
      <c r="M52" s="73" t="s">
        <v>355</v>
      </c>
      <c r="N52" s="73" t="s">
        <v>356</v>
      </c>
      <c r="O52" s="73" t="s">
        <v>357</v>
      </c>
      <c r="P52" s="73" t="s">
        <v>358</v>
      </c>
      <c r="Q52" s="545" t="s">
        <v>359</v>
      </c>
      <c r="R52" s="546"/>
      <c r="S52" s="50">
        <v>3</v>
      </c>
      <c r="T52" s="547">
        <f>AVERAGE(S52:S54)</f>
        <v>3.6666666666666665</v>
      </c>
      <c r="U52" s="548">
        <f>T52*H52</f>
        <v>0.10999999999999999</v>
      </c>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row>
    <row r="53" spans="1:51" ht="132.75" customHeight="1">
      <c r="A53" s="412"/>
      <c r="B53" s="414"/>
      <c r="C53" s="414"/>
      <c r="D53" s="414"/>
      <c r="E53" s="418"/>
      <c r="F53" s="419"/>
      <c r="G53" s="414"/>
      <c r="H53" s="414"/>
      <c r="I53" s="414"/>
      <c r="J53" s="414"/>
      <c r="K53" s="46" t="s">
        <v>49</v>
      </c>
      <c r="L53" s="73" t="s">
        <v>360</v>
      </c>
      <c r="M53" s="73" t="s">
        <v>361</v>
      </c>
      <c r="N53" s="73" t="s">
        <v>362</v>
      </c>
      <c r="O53" s="73" t="s">
        <v>363</v>
      </c>
      <c r="P53" s="73" t="s">
        <v>364</v>
      </c>
      <c r="Q53" s="414"/>
      <c r="R53" s="414"/>
      <c r="S53" s="50">
        <v>3</v>
      </c>
      <c r="T53" s="414"/>
      <c r="U53" s="41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row>
    <row r="54" spans="1:51" ht="108" customHeight="1">
      <c r="A54" s="412"/>
      <c r="B54" s="414"/>
      <c r="C54" s="414"/>
      <c r="D54" s="422"/>
      <c r="E54" s="420"/>
      <c r="F54" s="421"/>
      <c r="G54" s="422"/>
      <c r="H54" s="422"/>
      <c r="I54" s="422"/>
      <c r="J54" s="422"/>
      <c r="K54" s="46" t="s">
        <v>56</v>
      </c>
      <c r="L54" s="73" t="s">
        <v>365</v>
      </c>
      <c r="M54" s="73" t="s">
        <v>366</v>
      </c>
      <c r="N54" s="73" t="s">
        <v>367</v>
      </c>
      <c r="O54" s="73" t="s">
        <v>368</v>
      </c>
      <c r="P54" s="73" t="s">
        <v>369</v>
      </c>
      <c r="Q54" s="422"/>
      <c r="R54" s="422"/>
      <c r="S54" s="50">
        <v>5</v>
      </c>
      <c r="T54" s="422"/>
      <c r="U54" s="423"/>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row>
    <row r="55" spans="1:51" ht="117.75" customHeight="1">
      <c r="A55" s="412"/>
      <c r="B55" s="414"/>
      <c r="C55" s="414"/>
      <c r="D55" s="545" t="s">
        <v>331</v>
      </c>
      <c r="E55" s="563" t="s">
        <v>370</v>
      </c>
      <c r="F55" s="367"/>
      <c r="G55" s="551" t="s">
        <v>333</v>
      </c>
      <c r="H55" s="552">
        <v>0.04</v>
      </c>
      <c r="I55" s="553">
        <v>1</v>
      </c>
      <c r="J55" s="551" t="s">
        <v>371</v>
      </c>
      <c r="K55" s="55" t="s">
        <v>42</v>
      </c>
      <c r="L55" s="73" t="s">
        <v>372</v>
      </c>
      <c r="M55" s="73" t="s">
        <v>373</v>
      </c>
      <c r="N55" s="73" t="s">
        <v>374</v>
      </c>
      <c r="O55" s="73" t="s">
        <v>375</v>
      </c>
      <c r="P55" s="73" t="s">
        <v>376</v>
      </c>
      <c r="Q55" s="545" t="s">
        <v>377</v>
      </c>
      <c r="R55" s="546"/>
      <c r="S55" s="50">
        <v>4</v>
      </c>
      <c r="T55" s="547">
        <f>AVERAGE(S55:S57)</f>
        <v>4</v>
      </c>
      <c r="U55" s="548">
        <f>T55*H55</f>
        <v>0.16</v>
      </c>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row>
    <row r="56" spans="1:51" ht="86.25" customHeight="1">
      <c r="A56" s="412"/>
      <c r="B56" s="414"/>
      <c r="C56" s="414"/>
      <c r="D56" s="414"/>
      <c r="E56" s="418"/>
      <c r="F56" s="419"/>
      <c r="G56" s="414"/>
      <c r="H56" s="414"/>
      <c r="I56" s="414"/>
      <c r="J56" s="414"/>
      <c r="K56" s="46" t="s">
        <v>49</v>
      </c>
      <c r="L56" s="73" t="s">
        <v>378</v>
      </c>
      <c r="M56" s="73" t="s">
        <v>379</v>
      </c>
      <c r="N56" s="73" t="s">
        <v>380</v>
      </c>
      <c r="O56" s="73" t="s">
        <v>381</v>
      </c>
      <c r="P56" s="73" t="s">
        <v>382</v>
      </c>
      <c r="Q56" s="414"/>
      <c r="R56" s="414"/>
      <c r="S56" s="50">
        <v>4</v>
      </c>
      <c r="T56" s="414"/>
      <c r="U56" s="41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row>
    <row r="57" spans="1:51" ht="81" customHeight="1">
      <c r="A57" s="424"/>
      <c r="B57" s="399"/>
      <c r="C57" s="399"/>
      <c r="D57" s="399"/>
      <c r="E57" s="430"/>
      <c r="F57" s="431"/>
      <c r="G57" s="422"/>
      <c r="H57" s="422"/>
      <c r="I57" s="422"/>
      <c r="J57" s="422"/>
      <c r="K57" s="560" t="s">
        <v>56</v>
      </c>
      <c r="L57" s="561" t="s">
        <v>383</v>
      </c>
      <c r="M57" s="561" t="s">
        <v>384</v>
      </c>
      <c r="N57" s="561" t="s">
        <v>385</v>
      </c>
      <c r="O57" s="561" t="s">
        <v>386</v>
      </c>
      <c r="P57" s="561" t="s">
        <v>387</v>
      </c>
      <c r="Q57" s="422"/>
      <c r="R57" s="422"/>
      <c r="S57" s="50">
        <v>4</v>
      </c>
      <c r="T57" s="422"/>
      <c r="U57" s="423"/>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row>
    <row r="58" spans="1:51" ht="183" customHeight="1">
      <c r="A58" s="273" t="s">
        <v>388</v>
      </c>
      <c r="B58" s="220" t="s">
        <v>389</v>
      </c>
      <c r="C58" s="93" t="s">
        <v>390</v>
      </c>
      <c r="D58" s="30" t="s">
        <v>391</v>
      </c>
      <c r="E58" s="248" t="s">
        <v>392</v>
      </c>
      <c r="F58" s="417"/>
      <c r="G58" s="270">
        <v>45962</v>
      </c>
      <c r="H58" s="241">
        <v>0.04</v>
      </c>
      <c r="I58" s="222">
        <v>4</v>
      </c>
      <c r="J58" s="268" t="s">
        <v>393</v>
      </c>
      <c r="K58" s="92" t="s">
        <v>42</v>
      </c>
      <c r="L58" s="93" t="s">
        <v>394</v>
      </c>
      <c r="M58" s="93" t="s">
        <v>395</v>
      </c>
      <c r="N58" s="93" t="s">
        <v>396</v>
      </c>
      <c r="O58" s="93" t="s">
        <v>397</v>
      </c>
      <c r="P58" s="93" t="s">
        <v>398</v>
      </c>
      <c r="Q58" s="220" t="s">
        <v>399</v>
      </c>
      <c r="R58" s="221"/>
      <c r="S58" s="94">
        <v>5</v>
      </c>
      <c r="T58" s="218">
        <f>AVERAGE(S58:S60)</f>
        <v>5</v>
      </c>
      <c r="U58" s="219">
        <f>T58*H58</f>
        <v>0.2</v>
      </c>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row>
    <row r="59" spans="1:51" ht="114" customHeight="1">
      <c r="A59" s="412"/>
      <c r="B59" s="414"/>
      <c r="C59" s="73"/>
      <c r="D59" s="75"/>
      <c r="E59" s="418"/>
      <c r="F59" s="419"/>
      <c r="G59" s="414"/>
      <c r="H59" s="414"/>
      <c r="I59" s="414"/>
      <c r="J59" s="414"/>
      <c r="K59" s="46" t="s">
        <v>49</v>
      </c>
      <c r="L59" s="73" t="s">
        <v>400</v>
      </c>
      <c r="M59" s="73" t="s">
        <v>401</v>
      </c>
      <c r="N59" s="73" t="s">
        <v>402</v>
      </c>
      <c r="O59" s="73" t="s">
        <v>403</v>
      </c>
      <c r="P59" s="73" t="s">
        <v>404</v>
      </c>
      <c r="Q59" s="414"/>
      <c r="R59" s="414"/>
      <c r="S59" s="50">
        <v>5</v>
      </c>
      <c r="T59" s="414"/>
      <c r="U59" s="41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row>
    <row r="60" spans="1:51" ht="93" customHeight="1">
      <c r="A60" s="412"/>
      <c r="B60" s="422"/>
      <c r="C60" s="73"/>
      <c r="D60" s="75"/>
      <c r="E60" s="420"/>
      <c r="F60" s="421"/>
      <c r="G60" s="422"/>
      <c r="H60" s="422"/>
      <c r="I60" s="422"/>
      <c r="J60" s="422"/>
      <c r="K60" s="46" t="s">
        <v>56</v>
      </c>
      <c r="L60" s="73" t="s">
        <v>405</v>
      </c>
      <c r="M60" s="73" t="s">
        <v>406</v>
      </c>
      <c r="N60" s="73" t="s">
        <v>407</v>
      </c>
      <c r="O60" s="73" t="s">
        <v>408</v>
      </c>
      <c r="P60" s="73" t="s">
        <v>409</v>
      </c>
      <c r="Q60" s="422"/>
      <c r="R60" s="422"/>
      <c r="S60" s="50">
        <v>5</v>
      </c>
      <c r="T60" s="422"/>
      <c r="U60" s="423"/>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row>
    <row r="61" spans="1:51" ht="87.75" customHeight="1">
      <c r="A61" s="412"/>
      <c r="B61" s="555" t="s">
        <v>410</v>
      </c>
      <c r="C61" s="73"/>
      <c r="D61" s="75"/>
      <c r="E61" s="564" t="s">
        <v>411</v>
      </c>
      <c r="F61" s="367"/>
      <c r="G61" s="551" t="s">
        <v>412</v>
      </c>
      <c r="H61" s="552">
        <v>0.03</v>
      </c>
      <c r="I61" s="553">
        <v>1</v>
      </c>
      <c r="J61" s="565" t="s">
        <v>413</v>
      </c>
      <c r="K61" s="55" t="s">
        <v>42</v>
      </c>
      <c r="L61" s="73" t="s">
        <v>414</v>
      </c>
      <c r="M61" s="73" t="s">
        <v>415</v>
      </c>
      <c r="N61" s="73" t="s">
        <v>416</v>
      </c>
      <c r="O61" s="73" t="s">
        <v>417</v>
      </c>
      <c r="P61" s="73" t="s">
        <v>418</v>
      </c>
      <c r="Q61" s="545" t="s">
        <v>419</v>
      </c>
      <c r="R61" s="546"/>
      <c r="S61" s="50">
        <v>4</v>
      </c>
      <c r="T61" s="547">
        <f>AVERAGE(S61:S63)</f>
        <v>4.333333333333333</v>
      </c>
      <c r="U61" s="548">
        <f>T61*H61</f>
        <v>0.12999999999999998</v>
      </c>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row>
    <row r="62" spans="1:51" ht="106.5" customHeight="1">
      <c r="A62" s="412"/>
      <c r="B62" s="414"/>
      <c r="C62" s="73"/>
      <c r="D62" s="75"/>
      <c r="E62" s="418"/>
      <c r="F62" s="419"/>
      <c r="G62" s="414"/>
      <c r="H62" s="414"/>
      <c r="I62" s="414"/>
      <c r="J62" s="414"/>
      <c r="K62" s="46" t="s">
        <v>49</v>
      </c>
      <c r="L62" s="73" t="s">
        <v>420</v>
      </c>
      <c r="M62" s="73" t="s">
        <v>421</v>
      </c>
      <c r="N62" s="73" t="s">
        <v>422</v>
      </c>
      <c r="O62" s="73" t="s">
        <v>423</v>
      </c>
      <c r="P62" s="73" t="s">
        <v>424</v>
      </c>
      <c r="Q62" s="414"/>
      <c r="R62" s="414"/>
      <c r="S62" s="50">
        <v>4</v>
      </c>
      <c r="T62" s="414"/>
      <c r="U62" s="41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row>
    <row r="63" spans="1:51" ht="101.25" customHeight="1">
      <c r="A63" s="424"/>
      <c r="B63" s="399"/>
      <c r="C63" s="561"/>
      <c r="D63" s="122"/>
      <c r="E63" s="430"/>
      <c r="F63" s="431"/>
      <c r="G63" s="422"/>
      <c r="H63" s="422"/>
      <c r="I63" s="422"/>
      <c r="J63" s="422"/>
      <c r="K63" s="560" t="s">
        <v>56</v>
      </c>
      <c r="L63" s="561" t="s">
        <v>425</v>
      </c>
      <c r="M63" s="561" t="s">
        <v>426</v>
      </c>
      <c r="N63" s="561" t="s">
        <v>427</v>
      </c>
      <c r="O63" s="561" t="s">
        <v>428</v>
      </c>
      <c r="P63" s="561" t="s">
        <v>429</v>
      </c>
      <c r="Q63" s="422"/>
      <c r="R63" s="422"/>
      <c r="S63" s="562">
        <v>5</v>
      </c>
      <c r="T63" s="422"/>
      <c r="U63" s="423"/>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row>
    <row r="64" spans="1:51" ht="126" customHeight="1">
      <c r="A64" s="273" t="s">
        <v>430</v>
      </c>
      <c r="B64" s="220" t="s">
        <v>37</v>
      </c>
      <c r="C64" s="268" t="s">
        <v>42</v>
      </c>
      <c r="D64" s="220" t="s">
        <v>431</v>
      </c>
      <c r="E64" s="248" t="s">
        <v>432</v>
      </c>
      <c r="F64" s="417"/>
      <c r="G64" s="268" t="s">
        <v>433</v>
      </c>
      <c r="H64" s="241">
        <v>0.02</v>
      </c>
      <c r="I64" s="237">
        <v>1</v>
      </c>
      <c r="J64" s="269" t="s">
        <v>434</v>
      </c>
      <c r="K64" s="92" t="s">
        <v>42</v>
      </c>
      <c r="L64" s="93" t="s">
        <v>435</v>
      </c>
      <c r="M64" s="93" t="s">
        <v>436</v>
      </c>
      <c r="N64" s="93" t="s">
        <v>437</v>
      </c>
      <c r="O64" s="93" t="s">
        <v>438</v>
      </c>
      <c r="P64" s="93" t="s">
        <v>439</v>
      </c>
      <c r="Q64" s="220" t="s">
        <v>440</v>
      </c>
      <c r="R64" s="221"/>
      <c r="S64" s="94">
        <v>2</v>
      </c>
      <c r="T64" s="218">
        <f>AVERAGE(S64:S66)</f>
        <v>2</v>
      </c>
      <c r="U64" s="219">
        <f>T64*H64</f>
        <v>0.04</v>
      </c>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row>
    <row r="65" spans="1:51" ht="99" customHeight="1">
      <c r="A65" s="412"/>
      <c r="B65" s="414"/>
      <c r="C65" s="414"/>
      <c r="D65" s="414"/>
      <c r="E65" s="418"/>
      <c r="F65" s="419"/>
      <c r="G65" s="414"/>
      <c r="H65" s="414"/>
      <c r="I65" s="414"/>
      <c r="J65" s="414"/>
      <c r="K65" s="46" t="s">
        <v>49</v>
      </c>
      <c r="L65" s="73" t="s">
        <v>441</v>
      </c>
      <c r="M65" s="73" t="s">
        <v>442</v>
      </c>
      <c r="N65" s="73" t="s">
        <v>443</v>
      </c>
      <c r="O65" s="73" t="s">
        <v>444</v>
      </c>
      <c r="P65" s="73" t="s">
        <v>445</v>
      </c>
      <c r="Q65" s="414"/>
      <c r="R65" s="414"/>
      <c r="S65" s="50">
        <v>2</v>
      </c>
      <c r="T65" s="414"/>
      <c r="U65" s="41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row>
    <row r="66" spans="1:51" ht="108" customHeight="1">
      <c r="A66" s="412"/>
      <c r="B66" s="414"/>
      <c r="C66" s="414"/>
      <c r="D66" s="414"/>
      <c r="E66" s="420"/>
      <c r="F66" s="421"/>
      <c r="G66" s="422"/>
      <c r="H66" s="422"/>
      <c r="I66" s="422"/>
      <c r="J66" s="422"/>
      <c r="K66" s="46" t="s">
        <v>56</v>
      </c>
      <c r="L66" s="73" t="s">
        <v>446</v>
      </c>
      <c r="M66" s="73" t="s">
        <v>447</v>
      </c>
      <c r="N66" s="73" t="s">
        <v>448</v>
      </c>
      <c r="O66" s="73" t="s">
        <v>449</v>
      </c>
      <c r="P66" s="73" t="s">
        <v>450</v>
      </c>
      <c r="Q66" s="422"/>
      <c r="R66" s="422"/>
      <c r="S66" s="50">
        <v>2</v>
      </c>
      <c r="T66" s="422"/>
      <c r="U66" s="423"/>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row>
    <row r="67" spans="1:51" ht="183" customHeight="1">
      <c r="A67" s="412"/>
      <c r="B67" s="414"/>
      <c r="C67" s="414"/>
      <c r="D67" s="414"/>
      <c r="E67" s="550" t="s">
        <v>451</v>
      </c>
      <c r="F67" s="367"/>
      <c r="G67" s="551" t="s">
        <v>433</v>
      </c>
      <c r="H67" s="552">
        <v>0.01</v>
      </c>
      <c r="I67" s="566">
        <v>1</v>
      </c>
      <c r="J67" s="565" t="s">
        <v>452</v>
      </c>
      <c r="K67" s="55" t="s">
        <v>42</v>
      </c>
      <c r="L67" s="73" t="s">
        <v>453</v>
      </c>
      <c r="M67" s="73" t="s">
        <v>454</v>
      </c>
      <c r="N67" s="73" t="s">
        <v>455</v>
      </c>
      <c r="O67" s="73" t="s">
        <v>456</v>
      </c>
      <c r="P67" s="73" t="s">
        <v>457</v>
      </c>
      <c r="Q67" s="545" t="s">
        <v>458</v>
      </c>
      <c r="R67" s="546"/>
      <c r="S67" s="50">
        <v>2</v>
      </c>
      <c r="T67" s="547">
        <f>AVERAGE(S67:S69)</f>
        <v>2</v>
      </c>
      <c r="U67" s="548">
        <f>T67*H67</f>
        <v>0.02</v>
      </c>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row>
    <row r="68" spans="1:51" ht="108" customHeight="1">
      <c r="A68" s="412"/>
      <c r="B68" s="414"/>
      <c r="C68" s="414"/>
      <c r="D68" s="414"/>
      <c r="E68" s="418"/>
      <c r="F68" s="419"/>
      <c r="G68" s="414"/>
      <c r="H68" s="414"/>
      <c r="I68" s="414"/>
      <c r="J68" s="414"/>
      <c r="K68" s="46" t="s">
        <v>49</v>
      </c>
      <c r="L68" s="73" t="s">
        <v>459</v>
      </c>
      <c r="M68" s="73" t="s">
        <v>460</v>
      </c>
      <c r="N68" s="73" t="s">
        <v>461</v>
      </c>
      <c r="O68" s="73" t="s">
        <v>462</v>
      </c>
      <c r="P68" s="73" t="s">
        <v>463</v>
      </c>
      <c r="Q68" s="414"/>
      <c r="R68" s="414"/>
      <c r="S68" s="50">
        <v>2</v>
      </c>
      <c r="T68" s="414"/>
      <c r="U68" s="41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row>
    <row r="69" spans="1:51" ht="101.25" customHeight="1">
      <c r="A69" s="412"/>
      <c r="B69" s="414"/>
      <c r="C69" s="414"/>
      <c r="D69" s="422"/>
      <c r="E69" s="420"/>
      <c r="F69" s="421"/>
      <c r="G69" s="422"/>
      <c r="H69" s="422"/>
      <c r="I69" s="422"/>
      <c r="J69" s="422"/>
      <c r="K69" s="46" t="s">
        <v>56</v>
      </c>
      <c r="L69" s="73" t="s">
        <v>464</v>
      </c>
      <c r="M69" s="73" t="s">
        <v>465</v>
      </c>
      <c r="N69" s="73" t="s">
        <v>466</v>
      </c>
      <c r="O69" s="73" t="s">
        <v>467</v>
      </c>
      <c r="P69" s="73" t="s">
        <v>468</v>
      </c>
      <c r="Q69" s="422"/>
      <c r="R69" s="422"/>
      <c r="S69" s="50">
        <v>2</v>
      </c>
      <c r="T69" s="422"/>
      <c r="U69" s="423"/>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row>
    <row r="70" spans="1:51" ht="183" customHeight="1">
      <c r="A70" s="412"/>
      <c r="B70" s="545" t="s">
        <v>469</v>
      </c>
      <c r="C70" s="414"/>
      <c r="D70" s="545" t="s">
        <v>470</v>
      </c>
      <c r="E70" s="550" t="s">
        <v>471</v>
      </c>
      <c r="F70" s="367"/>
      <c r="G70" s="551" t="s">
        <v>433</v>
      </c>
      <c r="H70" s="552">
        <v>0.02</v>
      </c>
      <c r="I70" s="566">
        <v>5</v>
      </c>
      <c r="J70" s="565" t="s">
        <v>472</v>
      </c>
      <c r="K70" s="55" t="s">
        <v>42</v>
      </c>
      <c r="L70" s="73" t="s">
        <v>473</v>
      </c>
      <c r="M70" s="73" t="s">
        <v>474</v>
      </c>
      <c r="N70" s="73" t="s">
        <v>475</v>
      </c>
      <c r="O70" s="73" t="s">
        <v>476</v>
      </c>
      <c r="P70" s="73" t="s">
        <v>477</v>
      </c>
      <c r="Q70" s="545" t="s">
        <v>478</v>
      </c>
      <c r="R70" s="546"/>
      <c r="S70" s="50">
        <v>3</v>
      </c>
      <c r="T70" s="547">
        <f>AVERAGE(S70:S72)</f>
        <v>3</v>
      </c>
      <c r="U70" s="548">
        <f>T70*H70</f>
        <v>0.06</v>
      </c>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row>
    <row r="71" spans="1:51" ht="183" customHeight="1">
      <c r="A71" s="412"/>
      <c r="B71" s="414"/>
      <c r="C71" s="414"/>
      <c r="D71" s="414"/>
      <c r="E71" s="418"/>
      <c r="F71" s="419"/>
      <c r="G71" s="414"/>
      <c r="H71" s="414"/>
      <c r="I71" s="414"/>
      <c r="J71" s="414"/>
      <c r="K71" s="46" t="s">
        <v>49</v>
      </c>
      <c r="L71" s="73" t="s">
        <v>479</v>
      </c>
      <c r="M71" s="73" t="s">
        <v>480</v>
      </c>
      <c r="N71" s="73" t="s">
        <v>481</v>
      </c>
      <c r="O71" s="73" t="s">
        <v>482</v>
      </c>
      <c r="P71" s="73" t="s">
        <v>483</v>
      </c>
      <c r="Q71" s="414"/>
      <c r="R71" s="414"/>
      <c r="S71" s="50">
        <v>3</v>
      </c>
      <c r="T71" s="414"/>
      <c r="U71" s="41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row>
    <row r="72" spans="1:51" ht="192" customHeight="1">
      <c r="A72" s="424"/>
      <c r="B72" s="399"/>
      <c r="C72" s="422"/>
      <c r="D72" s="399"/>
      <c r="E72" s="430"/>
      <c r="F72" s="431"/>
      <c r="G72" s="422"/>
      <c r="H72" s="422"/>
      <c r="I72" s="422"/>
      <c r="J72" s="422"/>
      <c r="K72" s="560" t="s">
        <v>56</v>
      </c>
      <c r="L72" s="561" t="s">
        <v>484</v>
      </c>
      <c r="M72" s="561" t="s">
        <v>485</v>
      </c>
      <c r="N72" s="561" t="s">
        <v>486</v>
      </c>
      <c r="O72" s="561" t="s">
        <v>487</v>
      </c>
      <c r="P72" s="561" t="s">
        <v>488</v>
      </c>
      <c r="Q72" s="422"/>
      <c r="R72" s="422"/>
      <c r="S72" s="562">
        <v>3</v>
      </c>
      <c r="T72" s="422"/>
      <c r="U72" s="423"/>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row>
    <row r="73" spans="1:51" ht="177.75" customHeight="1">
      <c r="A73" s="273" t="s">
        <v>489</v>
      </c>
      <c r="B73" s="268" t="s">
        <v>490</v>
      </c>
      <c r="C73" s="268" t="s">
        <v>491</v>
      </c>
      <c r="D73" s="220" t="s">
        <v>492</v>
      </c>
      <c r="E73" s="248" t="s">
        <v>493</v>
      </c>
      <c r="F73" s="417"/>
      <c r="G73" s="268" t="s">
        <v>494</v>
      </c>
      <c r="H73" s="241">
        <v>0.02</v>
      </c>
      <c r="I73" s="237">
        <v>0.05</v>
      </c>
      <c r="J73" s="268" t="s">
        <v>495</v>
      </c>
      <c r="K73" s="92" t="s">
        <v>42</v>
      </c>
      <c r="L73" s="93" t="s">
        <v>496</v>
      </c>
      <c r="M73" s="93" t="s">
        <v>497</v>
      </c>
      <c r="N73" s="93" t="s">
        <v>498</v>
      </c>
      <c r="O73" s="93" t="s">
        <v>499</v>
      </c>
      <c r="P73" s="93" t="s">
        <v>500</v>
      </c>
      <c r="Q73" s="220" t="s">
        <v>501</v>
      </c>
      <c r="R73" s="267" t="s">
        <v>502</v>
      </c>
      <c r="S73" s="94">
        <v>4</v>
      </c>
      <c r="T73" s="218">
        <f>AVERAGE(S73:S75)</f>
        <v>4</v>
      </c>
      <c r="U73" s="219">
        <f>T73*H73</f>
        <v>0.08</v>
      </c>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row>
    <row r="74" spans="1:51" ht="177.75" customHeight="1">
      <c r="A74" s="412"/>
      <c r="B74" s="414"/>
      <c r="C74" s="414"/>
      <c r="D74" s="414"/>
      <c r="E74" s="418"/>
      <c r="F74" s="419"/>
      <c r="G74" s="414"/>
      <c r="H74" s="414"/>
      <c r="I74" s="414"/>
      <c r="J74" s="414"/>
      <c r="K74" s="46" t="s">
        <v>49</v>
      </c>
      <c r="L74" s="73" t="s">
        <v>503</v>
      </c>
      <c r="M74" s="73" t="s">
        <v>504</v>
      </c>
      <c r="N74" s="73" t="s">
        <v>505</v>
      </c>
      <c r="O74" s="73" t="s">
        <v>506</v>
      </c>
      <c r="P74" s="73" t="s">
        <v>507</v>
      </c>
      <c r="Q74" s="414"/>
      <c r="R74" s="414"/>
      <c r="S74" s="50">
        <v>4</v>
      </c>
      <c r="T74" s="414"/>
      <c r="U74" s="41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row>
    <row r="75" spans="1:51" ht="177.75" customHeight="1">
      <c r="A75" s="412"/>
      <c r="B75" s="414"/>
      <c r="C75" s="414"/>
      <c r="D75" s="422"/>
      <c r="E75" s="420"/>
      <c r="F75" s="421"/>
      <c r="G75" s="422"/>
      <c r="H75" s="422"/>
      <c r="I75" s="422"/>
      <c r="J75" s="422"/>
      <c r="K75" s="46" t="s">
        <v>56</v>
      </c>
      <c r="L75" s="73" t="s">
        <v>508</v>
      </c>
      <c r="M75" s="54"/>
      <c r="N75" s="54"/>
      <c r="O75" s="54"/>
      <c r="P75" s="54"/>
      <c r="Q75" s="422"/>
      <c r="R75" s="422"/>
      <c r="S75" s="50">
        <v>4</v>
      </c>
      <c r="T75" s="422"/>
      <c r="U75" s="423"/>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row>
    <row r="76" spans="1:51" ht="177.75" customHeight="1">
      <c r="A76" s="412"/>
      <c r="B76" s="414"/>
      <c r="C76" s="414"/>
      <c r="D76" s="555" t="s">
        <v>509</v>
      </c>
      <c r="E76" s="550" t="s">
        <v>510</v>
      </c>
      <c r="F76" s="367"/>
      <c r="G76" s="551" t="s">
        <v>494</v>
      </c>
      <c r="H76" s="567">
        <v>1.4999999999999999E-2</v>
      </c>
      <c r="I76" s="568">
        <v>1</v>
      </c>
      <c r="J76" s="551" t="s">
        <v>511</v>
      </c>
      <c r="K76" s="55" t="s">
        <v>42</v>
      </c>
      <c r="L76" s="73" t="s">
        <v>512</v>
      </c>
      <c r="M76" s="73" t="s">
        <v>513</v>
      </c>
      <c r="N76" s="73" t="s">
        <v>514</v>
      </c>
      <c r="O76" s="73" t="s">
        <v>515</v>
      </c>
      <c r="P76" s="73" t="s">
        <v>516</v>
      </c>
      <c r="Q76" s="545" t="s">
        <v>501</v>
      </c>
      <c r="R76" s="569" t="s">
        <v>502</v>
      </c>
      <c r="S76" s="50">
        <v>4</v>
      </c>
      <c r="T76" s="547">
        <f>AVERAGE(S76:S78)</f>
        <v>4</v>
      </c>
      <c r="U76" s="548">
        <f>T76*H76</f>
        <v>0.06</v>
      </c>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row>
    <row r="77" spans="1:51" ht="177.75" customHeight="1">
      <c r="A77" s="412"/>
      <c r="B77" s="414"/>
      <c r="C77" s="414"/>
      <c r="D77" s="414"/>
      <c r="E77" s="418"/>
      <c r="F77" s="419"/>
      <c r="G77" s="414"/>
      <c r="H77" s="414"/>
      <c r="I77" s="414"/>
      <c r="J77" s="414"/>
      <c r="K77" s="46" t="s">
        <v>49</v>
      </c>
      <c r="L77" s="73" t="s">
        <v>517</v>
      </c>
      <c r="M77" s="73" t="s">
        <v>518</v>
      </c>
      <c r="N77" s="73" t="s">
        <v>519</v>
      </c>
      <c r="O77" s="73" t="s">
        <v>520</v>
      </c>
      <c r="P77" s="73" t="s">
        <v>521</v>
      </c>
      <c r="Q77" s="414"/>
      <c r="R77" s="414"/>
      <c r="S77" s="50">
        <v>4</v>
      </c>
      <c r="T77" s="414"/>
      <c r="U77" s="41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row>
    <row r="78" spans="1:51" ht="64.5" customHeight="1">
      <c r="A78" s="412"/>
      <c r="B78" s="414"/>
      <c r="C78" s="414"/>
      <c r="D78" s="422"/>
      <c r="E78" s="420"/>
      <c r="F78" s="421"/>
      <c r="G78" s="422"/>
      <c r="H78" s="422"/>
      <c r="I78" s="422"/>
      <c r="J78" s="422"/>
      <c r="K78" s="46" t="s">
        <v>56</v>
      </c>
      <c r="L78" s="54"/>
      <c r="M78" s="54"/>
      <c r="N78" s="54"/>
      <c r="O78" s="54"/>
      <c r="P78" s="54"/>
      <c r="Q78" s="422"/>
      <c r="R78" s="422"/>
      <c r="S78" s="50"/>
      <c r="T78" s="422"/>
      <c r="U78" s="423"/>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row>
    <row r="79" spans="1:51" ht="64.5" hidden="1" customHeight="1">
      <c r="A79" s="412"/>
      <c r="B79" s="414"/>
      <c r="C79" s="414"/>
      <c r="D79" s="137"/>
      <c r="E79" s="54"/>
      <c r="F79" s="54"/>
      <c r="G79" s="54"/>
      <c r="H79" s="138"/>
      <c r="I79" s="138"/>
      <c r="J79" s="54"/>
      <c r="K79" s="46"/>
      <c r="L79" s="54"/>
      <c r="M79" s="54"/>
      <c r="N79" s="54"/>
      <c r="O79" s="54"/>
      <c r="P79" s="54"/>
      <c r="Q79" s="139"/>
      <c r="R79" s="570"/>
      <c r="S79" s="50"/>
      <c r="T79" s="95"/>
      <c r="U79" s="140"/>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row>
    <row r="80" spans="1:51" ht="64.5" hidden="1" customHeight="1">
      <c r="A80" s="412"/>
      <c r="B80" s="414"/>
      <c r="C80" s="414"/>
      <c r="D80" s="137"/>
      <c r="E80" s="54"/>
      <c r="F80" s="54"/>
      <c r="G80" s="54"/>
      <c r="H80" s="138"/>
      <c r="I80" s="138"/>
      <c r="J80" s="54"/>
      <c r="K80" s="46"/>
      <c r="L80" s="54"/>
      <c r="M80" s="54"/>
      <c r="N80" s="54"/>
      <c r="O80" s="54"/>
      <c r="P80" s="54"/>
      <c r="Q80" s="139"/>
      <c r="R80" s="570"/>
      <c r="S80" s="50"/>
      <c r="T80" s="95"/>
      <c r="U80" s="140"/>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row>
    <row r="81" spans="1:51" ht="64.5" hidden="1" customHeight="1">
      <c r="A81" s="412"/>
      <c r="B81" s="414"/>
      <c r="C81" s="414"/>
      <c r="D81" s="137"/>
      <c r="E81" s="54"/>
      <c r="F81" s="54"/>
      <c r="G81" s="54"/>
      <c r="H81" s="138"/>
      <c r="I81" s="138"/>
      <c r="J81" s="54"/>
      <c r="K81" s="46"/>
      <c r="L81" s="54"/>
      <c r="M81" s="54"/>
      <c r="N81" s="54"/>
      <c r="O81" s="54"/>
      <c r="P81" s="54"/>
      <c r="Q81" s="139"/>
      <c r="R81" s="570"/>
      <c r="S81" s="50"/>
      <c r="T81" s="95"/>
      <c r="U81" s="140"/>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row>
    <row r="82" spans="1:51" ht="151.5" customHeight="1">
      <c r="A82" s="412"/>
      <c r="B82" s="414"/>
      <c r="C82" s="414"/>
      <c r="D82" s="545" t="s">
        <v>522</v>
      </c>
      <c r="E82" s="550" t="s">
        <v>523</v>
      </c>
      <c r="F82" s="367"/>
      <c r="G82" s="551" t="s">
        <v>494</v>
      </c>
      <c r="H82" s="567">
        <v>1.4999999999999999E-2</v>
      </c>
      <c r="I82" s="552">
        <v>1</v>
      </c>
      <c r="J82" s="551" t="s">
        <v>524</v>
      </c>
      <c r="K82" s="55" t="s">
        <v>42</v>
      </c>
      <c r="L82" s="73" t="s">
        <v>525</v>
      </c>
      <c r="M82" s="73" t="s">
        <v>526</v>
      </c>
      <c r="N82" s="73" t="s">
        <v>527</v>
      </c>
      <c r="O82" s="73" t="s">
        <v>528</v>
      </c>
      <c r="P82" s="73" t="s">
        <v>529</v>
      </c>
      <c r="Q82" s="545" t="s">
        <v>530</v>
      </c>
      <c r="R82" s="551" t="s">
        <v>502</v>
      </c>
      <c r="S82" s="50">
        <v>5</v>
      </c>
      <c r="T82" s="547">
        <f>AVERAGE(S82:S84)</f>
        <v>5</v>
      </c>
      <c r="U82" s="548">
        <f>T82*H82</f>
        <v>7.4999999999999997E-2</v>
      </c>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row>
    <row r="83" spans="1:51" ht="156" customHeight="1">
      <c r="A83" s="412"/>
      <c r="B83" s="414"/>
      <c r="C83" s="414"/>
      <c r="D83" s="414"/>
      <c r="E83" s="418"/>
      <c r="F83" s="419"/>
      <c r="G83" s="414"/>
      <c r="H83" s="414"/>
      <c r="I83" s="414"/>
      <c r="J83" s="414"/>
      <c r="K83" s="46" t="s">
        <v>49</v>
      </c>
      <c r="L83" s="73" t="s">
        <v>531</v>
      </c>
      <c r="M83" s="73" t="s">
        <v>532</v>
      </c>
      <c r="N83" s="73" t="s">
        <v>533</v>
      </c>
      <c r="O83" s="73" t="s">
        <v>534</v>
      </c>
      <c r="P83" s="73" t="s">
        <v>535</v>
      </c>
      <c r="Q83" s="414"/>
      <c r="R83" s="414"/>
      <c r="S83" s="50">
        <v>5</v>
      </c>
      <c r="T83" s="414"/>
      <c r="U83" s="41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row>
    <row r="84" spans="1:51" ht="183" customHeight="1">
      <c r="A84" s="398"/>
      <c r="B84" s="399"/>
      <c r="C84" s="399"/>
      <c r="D84" s="399"/>
      <c r="E84" s="430"/>
      <c r="F84" s="431"/>
      <c r="G84" s="399"/>
      <c r="H84" s="399"/>
      <c r="I84" s="399"/>
      <c r="J84" s="399"/>
      <c r="K84" s="144" t="s">
        <v>56</v>
      </c>
      <c r="L84" s="145" t="s">
        <v>536</v>
      </c>
      <c r="M84" s="145" t="s">
        <v>537</v>
      </c>
      <c r="N84" s="145" t="s">
        <v>538</v>
      </c>
      <c r="O84" s="145" t="s">
        <v>539</v>
      </c>
      <c r="P84" s="145" t="s">
        <v>540</v>
      </c>
      <c r="Q84" s="399"/>
      <c r="R84" s="399"/>
      <c r="S84" s="146">
        <v>5</v>
      </c>
      <c r="T84" s="399"/>
      <c r="U84" s="400"/>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row>
    <row r="85" spans="1:51" ht="42.75" customHeight="1">
      <c r="A85" s="264"/>
      <c r="B85" s="375"/>
      <c r="C85" s="375"/>
      <c r="D85" s="375"/>
      <c r="E85" s="375"/>
      <c r="F85" s="375"/>
      <c r="G85" s="375"/>
      <c r="H85" s="375"/>
      <c r="I85" s="375"/>
      <c r="J85" s="375"/>
      <c r="K85" s="375"/>
      <c r="L85" s="375"/>
      <c r="M85" s="375"/>
      <c r="N85" s="375"/>
      <c r="O85" s="375"/>
      <c r="P85" s="375"/>
      <c r="Q85" s="261" t="s">
        <v>65</v>
      </c>
      <c r="R85" s="357"/>
      <c r="S85" s="357"/>
      <c r="T85" s="380"/>
      <c r="U85" s="571">
        <f>SUM(U16:U84)</f>
        <v>2.4816666666666665</v>
      </c>
      <c r="V85" s="147"/>
      <c r="W85" s="147"/>
      <c r="X85" s="147"/>
      <c r="Y85" s="147"/>
      <c r="Z85" s="147"/>
      <c r="AA85" s="147"/>
      <c r="AB85" s="147"/>
      <c r="AC85" s="147"/>
      <c r="AD85" s="147"/>
      <c r="AE85" s="3"/>
      <c r="AF85" s="3"/>
      <c r="AG85" s="3"/>
      <c r="AH85" s="3"/>
      <c r="AI85" s="3"/>
      <c r="AJ85" s="3"/>
      <c r="AK85" s="3"/>
      <c r="AL85" s="3"/>
      <c r="AM85" s="3"/>
      <c r="AN85" s="3"/>
      <c r="AO85" s="3"/>
      <c r="AP85" s="3"/>
      <c r="AQ85" s="3"/>
      <c r="AR85" s="3"/>
      <c r="AS85" s="3"/>
      <c r="AT85" s="3"/>
      <c r="AU85" s="3"/>
      <c r="AV85" s="3"/>
      <c r="AW85" s="3"/>
      <c r="AX85" s="3"/>
      <c r="AY85" s="3"/>
    </row>
    <row r="86" spans="1:51" ht="24.75" customHeight="1">
      <c r="A86" s="148"/>
      <c r="B86" s="148"/>
      <c r="C86" s="148"/>
      <c r="D86" s="148"/>
      <c r="E86" s="148"/>
      <c r="F86" s="148"/>
      <c r="G86" s="148"/>
      <c r="H86" s="149"/>
      <c r="I86" s="150"/>
      <c r="J86" s="148"/>
      <c r="K86" s="148"/>
      <c r="L86" s="148"/>
      <c r="M86" s="148"/>
      <c r="N86" s="148"/>
      <c r="O86" s="148"/>
      <c r="P86" s="148"/>
      <c r="Q86" s="151"/>
      <c r="R86" s="148"/>
      <c r="S86" s="152"/>
      <c r="T86" s="153"/>
      <c r="U86" s="153"/>
      <c r="V86" s="147"/>
      <c r="W86" s="147"/>
      <c r="X86" s="147"/>
      <c r="Y86" s="147"/>
      <c r="Z86" s="147"/>
      <c r="AA86" s="147"/>
      <c r="AB86" s="147"/>
      <c r="AC86" s="147"/>
      <c r="AD86" s="147"/>
      <c r="AE86" s="3"/>
      <c r="AF86" s="3"/>
      <c r="AG86" s="3"/>
      <c r="AH86" s="3"/>
      <c r="AI86" s="3"/>
      <c r="AJ86" s="3"/>
      <c r="AK86" s="3"/>
      <c r="AL86" s="3"/>
      <c r="AM86" s="3"/>
      <c r="AN86" s="3"/>
      <c r="AO86" s="3"/>
      <c r="AP86" s="3"/>
      <c r="AQ86" s="3"/>
      <c r="AR86" s="3"/>
      <c r="AS86" s="3"/>
      <c r="AT86" s="3"/>
      <c r="AU86" s="3"/>
      <c r="AV86" s="3"/>
      <c r="AW86" s="3"/>
      <c r="AX86" s="3"/>
      <c r="AY86" s="3"/>
    </row>
    <row r="87" spans="1:51" ht="125.25" customHeight="1">
      <c r="A87" s="233" t="s">
        <v>541</v>
      </c>
      <c r="B87" s="375"/>
      <c r="C87" s="375"/>
      <c r="D87" s="375"/>
      <c r="E87" s="375"/>
      <c r="F87" s="375"/>
      <c r="G87" s="375"/>
      <c r="H87" s="375"/>
      <c r="I87" s="375"/>
      <c r="J87" s="375"/>
      <c r="K87" s="375"/>
      <c r="L87" s="375"/>
      <c r="M87" s="375"/>
      <c r="N87" s="375"/>
      <c r="O87" s="375"/>
      <c r="P87" s="375"/>
      <c r="Q87" s="375"/>
      <c r="R87" s="375"/>
      <c r="S87" s="375"/>
      <c r="T87" s="375"/>
      <c r="U87" s="375"/>
      <c r="V87" s="147"/>
      <c r="W87" s="147"/>
      <c r="X87" s="147"/>
      <c r="Y87" s="147"/>
      <c r="Z87" s="147"/>
      <c r="AA87" s="147"/>
      <c r="AB87" s="147"/>
      <c r="AC87" s="147"/>
      <c r="AD87" s="147"/>
      <c r="AE87" s="3"/>
      <c r="AF87" s="3"/>
      <c r="AG87" s="3"/>
      <c r="AH87" s="3"/>
      <c r="AI87" s="3"/>
      <c r="AJ87" s="3"/>
      <c r="AK87" s="3"/>
      <c r="AL87" s="3"/>
      <c r="AM87" s="3"/>
      <c r="AN87" s="3"/>
      <c r="AO87" s="3"/>
      <c r="AP87" s="3"/>
      <c r="AQ87" s="3"/>
      <c r="AR87" s="3"/>
      <c r="AS87" s="3"/>
      <c r="AT87" s="3"/>
      <c r="AU87" s="3"/>
      <c r="AV87" s="3"/>
      <c r="AW87" s="3"/>
      <c r="AX87" s="3"/>
      <c r="AY87" s="3"/>
    </row>
    <row r="88" spans="1:51" ht="24.75" customHeight="1">
      <c r="A88" s="572" t="s">
        <v>67</v>
      </c>
      <c r="B88" s="374"/>
      <c r="C88" s="374"/>
      <c r="D88" s="374"/>
      <c r="E88" s="374"/>
      <c r="F88" s="374"/>
      <c r="G88" s="374"/>
      <c r="H88" s="374"/>
      <c r="I88" s="374"/>
      <c r="J88" s="374"/>
      <c r="K88" s="374"/>
      <c r="L88" s="374"/>
      <c r="M88" s="374"/>
      <c r="N88" s="374"/>
      <c r="O88" s="374"/>
      <c r="P88" s="374"/>
      <c r="Q88" s="386"/>
      <c r="R88" s="572" t="s">
        <v>12</v>
      </c>
      <c r="S88" s="374"/>
      <c r="T88" s="374"/>
      <c r="U88" s="386"/>
      <c r="V88" s="147"/>
      <c r="W88" s="147"/>
      <c r="X88" s="147"/>
      <c r="Y88" s="147"/>
      <c r="Z88" s="147"/>
      <c r="AA88" s="147"/>
      <c r="AB88" s="147"/>
      <c r="AC88" s="147"/>
      <c r="AD88" s="147"/>
      <c r="AE88" s="3"/>
      <c r="AF88" s="3"/>
      <c r="AG88" s="3"/>
      <c r="AH88" s="3"/>
      <c r="AI88" s="3"/>
      <c r="AJ88" s="3"/>
      <c r="AK88" s="3"/>
      <c r="AL88" s="3"/>
      <c r="AM88" s="3"/>
      <c r="AN88" s="3"/>
      <c r="AO88" s="3"/>
      <c r="AP88" s="3"/>
      <c r="AQ88" s="3"/>
      <c r="AR88" s="3"/>
      <c r="AS88" s="3"/>
      <c r="AT88" s="3"/>
      <c r="AU88" s="3"/>
      <c r="AV88" s="3"/>
      <c r="AW88" s="3"/>
      <c r="AX88" s="3"/>
      <c r="AY88" s="3"/>
    </row>
    <row r="89" spans="1:51" ht="83.25" customHeight="1">
      <c r="A89" s="534" t="s">
        <v>68</v>
      </c>
      <c r="B89" s="374"/>
      <c r="C89" s="374"/>
      <c r="D89" s="417"/>
      <c r="E89" s="265" t="s">
        <v>69</v>
      </c>
      <c r="F89" s="417"/>
      <c r="G89" s="257" t="s">
        <v>15</v>
      </c>
      <c r="H89" s="262" t="s">
        <v>16</v>
      </c>
      <c r="I89" s="266" t="s">
        <v>542</v>
      </c>
      <c r="J89" s="359"/>
      <c r="K89" s="257" t="s">
        <v>143</v>
      </c>
      <c r="L89" s="266" t="s">
        <v>71</v>
      </c>
      <c r="M89" s="358"/>
      <c r="N89" s="358"/>
      <c r="O89" s="358"/>
      <c r="P89" s="359"/>
      <c r="Q89" s="260" t="s">
        <v>20</v>
      </c>
      <c r="R89" s="257" t="s">
        <v>72</v>
      </c>
      <c r="S89" s="258" t="s">
        <v>22</v>
      </c>
      <c r="T89" s="258" t="s">
        <v>23</v>
      </c>
      <c r="U89" s="263" t="s">
        <v>24</v>
      </c>
      <c r="V89" s="3"/>
      <c r="W89" s="3"/>
      <c r="X89" s="3"/>
      <c r="Y89" s="3"/>
      <c r="Z89" s="3"/>
      <c r="AA89" s="3"/>
      <c r="AB89" s="3"/>
      <c r="AC89" s="3"/>
      <c r="AD89" s="3"/>
      <c r="AE89" s="3" t="s">
        <v>543</v>
      </c>
      <c r="AF89" s="3"/>
      <c r="AG89" s="3"/>
      <c r="AH89" s="3"/>
      <c r="AI89" s="3"/>
      <c r="AJ89" s="3"/>
      <c r="AK89" s="3"/>
      <c r="AL89" s="3"/>
      <c r="AM89" s="3"/>
      <c r="AN89" s="3"/>
      <c r="AO89" s="3"/>
      <c r="AP89" s="3"/>
      <c r="AQ89" s="3"/>
      <c r="AR89" s="3"/>
      <c r="AS89" s="3"/>
      <c r="AT89" s="3"/>
      <c r="AU89" s="3"/>
      <c r="AV89" s="3"/>
      <c r="AW89" s="3"/>
      <c r="AX89" s="3"/>
      <c r="AY89" s="3"/>
    </row>
    <row r="90" spans="1:51" ht="72" customHeight="1">
      <c r="A90" s="493"/>
      <c r="B90" s="494"/>
      <c r="C90" s="494"/>
      <c r="D90" s="421"/>
      <c r="E90" s="420"/>
      <c r="F90" s="421"/>
      <c r="G90" s="422"/>
      <c r="H90" s="422"/>
      <c r="I90" s="573" t="s">
        <v>146</v>
      </c>
      <c r="J90" s="573" t="s">
        <v>147</v>
      </c>
      <c r="K90" s="422"/>
      <c r="L90" s="573" t="s">
        <v>29</v>
      </c>
      <c r="M90" s="573" t="s">
        <v>30</v>
      </c>
      <c r="N90" s="573" t="s">
        <v>31</v>
      </c>
      <c r="O90" s="573" t="s">
        <v>32</v>
      </c>
      <c r="P90" s="573" t="s">
        <v>33</v>
      </c>
      <c r="Q90" s="422"/>
      <c r="R90" s="422"/>
      <c r="S90" s="422"/>
      <c r="T90" s="422"/>
      <c r="U90" s="423"/>
      <c r="V90" s="147"/>
      <c r="W90" s="147"/>
      <c r="X90" s="147"/>
      <c r="Y90" s="147"/>
      <c r="Z90" s="147"/>
      <c r="AA90" s="147"/>
      <c r="AB90" s="147"/>
      <c r="AC90" s="147"/>
      <c r="AD90" s="147"/>
      <c r="AE90" s="3"/>
      <c r="AF90" s="3"/>
      <c r="AG90" s="3"/>
      <c r="AH90" s="3"/>
      <c r="AI90" s="3"/>
      <c r="AJ90" s="3"/>
      <c r="AK90" s="3"/>
      <c r="AL90" s="3"/>
      <c r="AM90" s="3"/>
      <c r="AN90" s="3"/>
      <c r="AO90" s="3"/>
      <c r="AP90" s="3"/>
      <c r="AQ90" s="3"/>
      <c r="AR90" s="3"/>
      <c r="AS90" s="3"/>
      <c r="AT90" s="3"/>
      <c r="AU90" s="3"/>
      <c r="AV90" s="3"/>
      <c r="AW90" s="3"/>
      <c r="AX90" s="3"/>
      <c r="AY90" s="3"/>
    </row>
    <row r="91" spans="1:51" ht="103.5" customHeight="1">
      <c r="A91" s="574" t="s">
        <v>149</v>
      </c>
      <c r="B91" s="374"/>
      <c r="C91" s="374"/>
      <c r="D91" s="417"/>
      <c r="E91" s="235" t="s">
        <v>544</v>
      </c>
      <c r="F91" s="417"/>
      <c r="G91" s="222" t="s">
        <v>494</v>
      </c>
      <c r="H91" s="237">
        <v>0.05</v>
      </c>
      <c r="I91" s="222">
        <v>6</v>
      </c>
      <c r="J91" s="220" t="s">
        <v>545</v>
      </c>
      <c r="K91" s="155" t="s">
        <v>42</v>
      </c>
      <c r="L91" s="156" t="s">
        <v>546</v>
      </c>
      <c r="M91" s="156" t="s">
        <v>547</v>
      </c>
      <c r="N91" s="156" t="s">
        <v>548</v>
      </c>
      <c r="O91" s="156" t="s">
        <v>549</v>
      </c>
      <c r="P91" s="156" t="s">
        <v>550</v>
      </c>
      <c r="Q91" s="220" t="s">
        <v>551</v>
      </c>
      <c r="R91" s="259"/>
      <c r="S91" s="157">
        <v>5</v>
      </c>
      <c r="T91" s="229">
        <f>AVERAGE(S91:S93)</f>
        <v>5</v>
      </c>
      <c r="U91" s="230">
        <f>T91*H91</f>
        <v>0.25</v>
      </c>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row>
    <row r="92" spans="1:51" ht="155.25" customHeight="1">
      <c r="A92" s="393"/>
      <c r="B92" s="375"/>
      <c r="C92" s="375"/>
      <c r="D92" s="419"/>
      <c r="E92" s="418"/>
      <c r="F92" s="419"/>
      <c r="G92" s="414"/>
      <c r="H92" s="414"/>
      <c r="I92" s="414"/>
      <c r="J92" s="414"/>
      <c r="K92" s="159" t="s">
        <v>49</v>
      </c>
      <c r="L92" s="160" t="s">
        <v>552</v>
      </c>
      <c r="M92" s="160" t="s">
        <v>553</v>
      </c>
      <c r="N92" s="160" t="s">
        <v>554</v>
      </c>
      <c r="O92" s="160" t="s">
        <v>555</v>
      </c>
      <c r="P92" s="160" t="s">
        <v>556</v>
      </c>
      <c r="Q92" s="414"/>
      <c r="R92" s="414"/>
      <c r="S92" s="161">
        <v>5</v>
      </c>
      <c r="T92" s="414"/>
      <c r="U92" s="415"/>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row>
    <row r="93" spans="1:51" ht="276.75" customHeight="1">
      <c r="A93" s="493"/>
      <c r="B93" s="494"/>
      <c r="C93" s="494"/>
      <c r="D93" s="421"/>
      <c r="E93" s="420"/>
      <c r="F93" s="421"/>
      <c r="G93" s="422"/>
      <c r="H93" s="422"/>
      <c r="I93" s="422"/>
      <c r="J93" s="422"/>
      <c r="K93" s="159" t="s">
        <v>56</v>
      </c>
      <c r="L93" s="160" t="s">
        <v>557</v>
      </c>
      <c r="M93" s="160" t="s">
        <v>558</v>
      </c>
      <c r="N93" s="160" t="s">
        <v>559</v>
      </c>
      <c r="O93" s="160" t="s">
        <v>560</v>
      </c>
      <c r="P93" s="160" t="s">
        <v>188</v>
      </c>
      <c r="Q93" s="422"/>
      <c r="R93" s="422"/>
      <c r="S93" s="161">
        <v>5</v>
      </c>
      <c r="T93" s="422"/>
      <c r="U93" s="423"/>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row>
    <row r="94" spans="1:51" ht="153" customHeight="1">
      <c r="A94" s="245" t="s">
        <v>270</v>
      </c>
      <c r="B94" s="366"/>
      <c r="C94" s="366"/>
      <c r="D94" s="367"/>
      <c r="E94" s="563" t="s">
        <v>561</v>
      </c>
      <c r="F94" s="367"/>
      <c r="G94" s="555" t="s">
        <v>494</v>
      </c>
      <c r="H94" s="568">
        <v>0.03</v>
      </c>
      <c r="I94" s="555">
        <v>1</v>
      </c>
      <c r="J94" s="555" t="s">
        <v>562</v>
      </c>
      <c r="K94" s="159" t="s">
        <v>42</v>
      </c>
      <c r="L94" s="160" t="s">
        <v>563</v>
      </c>
      <c r="M94" s="160" t="s">
        <v>564</v>
      </c>
      <c r="N94" s="160" t="s">
        <v>565</v>
      </c>
      <c r="O94" s="160" t="s">
        <v>566</v>
      </c>
      <c r="P94" s="160" t="s">
        <v>567</v>
      </c>
      <c r="Q94" s="545" t="s">
        <v>568</v>
      </c>
      <c r="R94" s="575"/>
      <c r="S94" s="161">
        <v>5</v>
      </c>
      <c r="T94" s="576">
        <f>AVERAGE(S94:S97)</f>
        <v>5</v>
      </c>
      <c r="U94" s="577">
        <f>T94*H94</f>
        <v>0.15</v>
      </c>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row>
    <row r="95" spans="1:51" ht="153" customHeight="1">
      <c r="A95" s="393"/>
      <c r="B95" s="375"/>
      <c r="C95" s="375"/>
      <c r="D95" s="419"/>
      <c r="E95" s="418"/>
      <c r="F95" s="419"/>
      <c r="G95" s="414"/>
      <c r="H95" s="414"/>
      <c r="I95" s="414"/>
      <c r="J95" s="414"/>
      <c r="K95" s="159" t="s">
        <v>49</v>
      </c>
      <c r="L95" s="160" t="s">
        <v>569</v>
      </c>
      <c r="M95" s="160" t="s">
        <v>570</v>
      </c>
      <c r="N95" s="160" t="s">
        <v>571</v>
      </c>
      <c r="O95" s="160" t="s">
        <v>572</v>
      </c>
      <c r="P95" s="160" t="s">
        <v>573</v>
      </c>
      <c r="Q95" s="414"/>
      <c r="R95" s="414"/>
      <c r="S95" s="161">
        <v>5</v>
      </c>
      <c r="T95" s="414"/>
      <c r="U95" s="415"/>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row>
    <row r="96" spans="1:51" ht="153" customHeight="1">
      <c r="A96" s="393"/>
      <c r="B96" s="375"/>
      <c r="C96" s="375"/>
      <c r="D96" s="419"/>
      <c r="E96" s="418"/>
      <c r="F96" s="419"/>
      <c r="G96" s="414"/>
      <c r="H96" s="414"/>
      <c r="I96" s="414"/>
      <c r="J96" s="414"/>
      <c r="K96" s="575" t="s">
        <v>56</v>
      </c>
      <c r="L96" s="555" t="s">
        <v>574</v>
      </c>
      <c r="M96" s="555"/>
      <c r="N96" s="555"/>
      <c r="O96" s="555"/>
      <c r="P96" s="555"/>
      <c r="Q96" s="414"/>
      <c r="R96" s="414"/>
      <c r="S96" s="161">
        <v>5</v>
      </c>
      <c r="T96" s="414"/>
      <c r="U96" s="415"/>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row>
    <row r="97" spans="1:51" ht="240" customHeight="1">
      <c r="A97" s="493"/>
      <c r="B97" s="494"/>
      <c r="C97" s="494"/>
      <c r="D97" s="421"/>
      <c r="E97" s="420"/>
      <c r="F97" s="421"/>
      <c r="G97" s="422"/>
      <c r="H97" s="422"/>
      <c r="I97" s="422"/>
      <c r="J97" s="422"/>
      <c r="K97" s="422"/>
      <c r="L97" s="422"/>
      <c r="M97" s="422"/>
      <c r="N97" s="422"/>
      <c r="O97" s="422"/>
      <c r="P97" s="422"/>
      <c r="Q97" s="422"/>
      <c r="R97" s="422"/>
      <c r="S97" s="161">
        <v>5</v>
      </c>
      <c r="T97" s="422"/>
      <c r="U97" s="423"/>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row>
    <row r="98" spans="1:51" ht="126.75" customHeight="1">
      <c r="A98" s="245" t="s">
        <v>329</v>
      </c>
      <c r="B98" s="366"/>
      <c r="C98" s="366"/>
      <c r="D98" s="367"/>
      <c r="E98" s="563" t="s">
        <v>575</v>
      </c>
      <c r="F98" s="367"/>
      <c r="G98" s="555" t="s">
        <v>494</v>
      </c>
      <c r="H98" s="568">
        <v>0.03</v>
      </c>
      <c r="I98" s="568">
        <v>1</v>
      </c>
      <c r="J98" s="555" t="s">
        <v>576</v>
      </c>
      <c r="K98" s="159" t="s">
        <v>42</v>
      </c>
      <c r="L98" s="160" t="s">
        <v>577</v>
      </c>
      <c r="M98" s="160" t="s">
        <v>578</v>
      </c>
      <c r="N98" s="160" t="s">
        <v>579</v>
      </c>
      <c r="O98" s="160" t="s">
        <v>580</v>
      </c>
      <c r="P98" s="160" t="s">
        <v>581</v>
      </c>
      <c r="Q98" s="545" t="s">
        <v>582</v>
      </c>
      <c r="R98" s="575"/>
      <c r="S98" s="161">
        <v>5</v>
      </c>
      <c r="T98" s="576">
        <f>AVERAGE(S98:S100)</f>
        <v>5</v>
      </c>
      <c r="U98" s="577">
        <f>T98*H98</f>
        <v>0.15</v>
      </c>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row>
    <row r="99" spans="1:51" ht="72" customHeight="1">
      <c r="A99" s="393"/>
      <c r="B99" s="375"/>
      <c r="C99" s="375"/>
      <c r="D99" s="419"/>
      <c r="E99" s="418"/>
      <c r="F99" s="419"/>
      <c r="G99" s="414"/>
      <c r="H99" s="414"/>
      <c r="I99" s="414"/>
      <c r="J99" s="414"/>
      <c r="K99" s="159" t="s">
        <v>49</v>
      </c>
      <c r="L99" s="160" t="s">
        <v>583</v>
      </c>
      <c r="M99" s="160"/>
      <c r="N99" s="160" t="s">
        <v>584</v>
      </c>
      <c r="O99" s="160"/>
      <c r="P99" s="160" t="s">
        <v>585</v>
      </c>
      <c r="Q99" s="414"/>
      <c r="R99" s="414"/>
      <c r="S99" s="161">
        <v>5</v>
      </c>
      <c r="T99" s="414"/>
      <c r="U99" s="415"/>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row>
    <row r="100" spans="1:51" ht="85.5" customHeight="1">
      <c r="A100" s="493"/>
      <c r="B100" s="494"/>
      <c r="C100" s="494"/>
      <c r="D100" s="421"/>
      <c r="E100" s="420"/>
      <c r="F100" s="421"/>
      <c r="G100" s="422"/>
      <c r="H100" s="422"/>
      <c r="I100" s="422"/>
      <c r="J100" s="422"/>
      <c r="K100" s="159" t="s">
        <v>56</v>
      </c>
      <c r="L100" s="160"/>
      <c r="M100" s="160"/>
      <c r="N100" s="160"/>
      <c r="O100" s="160"/>
      <c r="P100" s="160"/>
      <c r="Q100" s="422"/>
      <c r="R100" s="422"/>
      <c r="S100" s="161">
        <v>5</v>
      </c>
      <c r="T100" s="422"/>
      <c r="U100" s="423"/>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row>
    <row r="101" spans="1:51" ht="205.5" customHeight="1">
      <c r="A101" s="245" t="s">
        <v>388</v>
      </c>
      <c r="B101" s="366"/>
      <c r="C101" s="366"/>
      <c r="D101" s="367"/>
      <c r="E101" s="563" t="s">
        <v>586</v>
      </c>
      <c r="F101" s="367"/>
      <c r="G101" s="555" t="s">
        <v>587</v>
      </c>
      <c r="H101" s="568">
        <v>0.03</v>
      </c>
      <c r="I101" s="555">
        <v>1</v>
      </c>
      <c r="J101" s="555" t="s">
        <v>588</v>
      </c>
      <c r="K101" s="159" t="s">
        <v>42</v>
      </c>
      <c r="L101" s="160" t="s">
        <v>589</v>
      </c>
      <c r="M101" s="160" t="s">
        <v>590</v>
      </c>
      <c r="N101" s="160" t="s">
        <v>591</v>
      </c>
      <c r="O101" s="160" t="s">
        <v>592</v>
      </c>
      <c r="P101" s="160" t="s">
        <v>593</v>
      </c>
      <c r="Q101" s="545" t="s">
        <v>594</v>
      </c>
      <c r="R101" s="575"/>
      <c r="S101" s="161">
        <v>5</v>
      </c>
      <c r="T101" s="576">
        <f>AVERAGE(S101:S103)</f>
        <v>5</v>
      </c>
      <c r="U101" s="577">
        <f>T101*H101</f>
        <v>0.15</v>
      </c>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row>
    <row r="102" spans="1:51" ht="99" customHeight="1">
      <c r="A102" s="393"/>
      <c r="B102" s="375"/>
      <c r="C102" s="375"/>
      <c r="D102" s="419"/>
      <c r="E102" s="418"/>
      <c r="F102" s="419"/>
      <c r="G102" s="414"/>
      <c r="H102" s="414"/>
      <c r="I102" s="414"/>
      <c r="J102" s="414"/>
      <c r="K102" s="159" t="s">
        <v>49</v>
      </c>
      <c r="L102" s="160" t="s">
        <v>595</v>
      </c>
      <c r="M102" s="160" t="s">
        <v>596</v>
      </c>
      <c r="N102" s="160" t="s">
        <v>597</v>
      </c>
      <c r="O102" s="160" t="s">
        <v>598</v>
      </c>
      <c r="P102" s="160" t="s">
        <v>599</v>
      </c>
      <c r="Q102" s="414"/>
      <c r="R102" s="414"/>
      <c r="S102" s="161">
        <v>5</v>
      </c>
      <c r="T102" s="414"/>
      <c r="U102" s="415"/>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row>
    <row r="103" spans="1:51" ht="190.5" customHeight="1">
      <c r="A103" s="493"/>
      <c r="B103" s="494"/>
      <c r="C103" s="494"/>
      <c r="D103" s="421"/>
      <c r="E103" s="420"/>
      <c r="F103" s="421"/>
      <c r="G103" s="422"/>
      <c r="H103" s="422"/>
      <c r="I103" s="422"/>
      <c r="J103" s="422"/>
      <c r="K103" s="159" t="s">
        <v>56</v>
      </c>
      <c r="L103" s="160" t="s">
        <v>600</v>
      </c>
      <c r="M103" s="160" t="s">
        <v>601</v>
      </c>
      <c r="N103" s="160" t="s">
        <v>602</v>
      </c>
      <c r="O103" s="160" t="s">
        <v>603</v>
      </c>
      <c r="P103" s="160" t="s">
        <v>604</v>
      </c>
      <c r="Q103" s="422"/>
      <c r="R103" s="422"/>
      <c r="S103" s="161">
        <v>5</v>
      </c>
      <c r="T103" s="422"/>
      <c r="U103" s="423"/>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row>
    <row r="104" spans="1:51" ht="205.5" customHeight="1">
      <c r="A104" s="245" t="s">
        <v>605</v>
      </c>
      <c r="B104" s="366"/>
      <c r="C104" s="366"/>
      <c r="D104" s="367"/>
      <c r="E104" s="563" t="s">
        <v>606</v>
      </c>
      <c r="F104" s="367"/>
      <c r="G104" s="555" t="s">
        <v>494</v>
      </c>
      <c r="H104" s="568">
        <v>0.03</v>
      </c>
      <c r="I104" s="555">
        <v>1</v>
      </c>
      <c r="J104" s="578" t="s">
        <v>607</v>
      </c>
      <c r="K104" s="159" t="s">
        <v>42</v>
      </c>
      <c r="L104" s="160" t="s">
        <v>608</v>
      </c>
      <c r="M104" s="160" t="s">
        <v>609</v>
      </c>
      <c r="N104" s="160" t="s">
        <v>610</v>
      </c>
      <c r="O104" s="160" t="s">
        <v>611</v>
      </c>
      <c r="P104" s="160" t="s">
        <v>612</v>
      </c>
      <c r="Q104" s="545" t="s">
        <v>613</v>
      </c>
      <c r="R104" s="575"/>
      <c r="S104" s="161">
        <v>5</v>
      </c>
      <c r="T104" s="576">
        <f>AVERAGE(S104)</f>
        <v>5</v>
      </c>
      <c r="U104" s="577">
        <f>T104*H104</f>
        <v>0.15</v>
      </c>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row>
    <row r="105" spans="1:51" ht="205.5" customHeight="1">
      <c r="A105" s="393"/>
      <c r="B105" s="375"/>
      <c r="C105" s="375"/>
      <c r="D105" s="419"/>
      <c r="E105" s="418"/>
      <c r="F105" s="419"/>
      <c r="G105" s="414"/>
      <c r="H105" s="414"/>
      <c r="I105" s="414"/>
      <c r="J105" s="414"/>
      <c r="K105" s="159" t="s">
        <v>49</v>
      </c>
      <c r="L105" s="160" t="s">
        <v>614</v>
      </c>
      <c r="M105" s="160" t="s">
        <v>615</v>
      </c>
      <c r="N105" s="160" t="s">
        <v>616</v>
      </c>
      <c r="O105" s="160" t="s">
        <v>617</v>
      </c>
      <c r="P105" s="160" t="s">
        <v>618</v>
      </c>
      <c r="Q105" s="414"/>
      <c r="R105" s="414"/>
      <c r="S105" s="161">
        <v>5</v>
      </c>
      <c r="T105" s="414"/>
      <c r="U105" s="415"/>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row>
    <row r="106" spans="1:51" ht="205.5" customHeight="1">
      <c r="A106" s="493"/>
      <c r="B106" s="494"/>
      <c r="C106" s="494"/>
      <c r="D106" s="421"/>
      <c r="E106" s="420"/>
      <c r="F106" s="421"/>
      <c r="G106" s="422"/>
      <c r="H106" s="422"/>
      <c r="I106" s="422"/>
      <c r="J106" s="422"/>
      <c r="K106" s="159" t="s">
        <v>56</v>
      </c>
      <c r="L106" s="160" t="s">
        <v>619</v>
      </c>
      <c r="M106" s="160" t="s">
        <v>620</v>
      </c>
      <c r="N106" s="160" t="s">
        <v>621</v>
      </c>
      <c r="O106" s="160" t="s">
        <v>622</v>
      </c>
      <c r="P106" s="160" t="s">
        <v>623</v>
      </c>
      <c r="Q106" s="422"/>
      <c r="R106" s="422"/>
      <c r="S106" s="161">
        <v>5</v>
      </c>
      <c r="T106" s="422"/>
      <c r="U106" s="423"/>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row>
    <row r="107" spans="1:51" ht="205.5" customHeight="1">
      <c r="A107" s="253" t="s">
        <v>624</v>
      </c>
      <c r="B107" s="366"/>
      <c r="C107" s="366"/>
      <c r="D107" s="367"/>
      <c r="E107" s="563" t="s">
        <v>625</v>
      </c>
      <c r="F107" s="367"/>
      <c r="G107" s="555" t="s">
        <v>494</v>
      </c>
      <c r="H107" s="579">
        <v>0.03</v>
      </c>
      <c r="I107" s="580">
        <v>10</v>
      </c>
      <c r="J107" s="555" t="s">
        <v>626</v>
      </c>
      <c r="K107" s="159" t="s">
        <v>42</v>
      </c>
      <c r="L107" s="160" t="s">
        <v>627</v>
      </c>
      <c r="M107" s="160" t="s">
        <v>628</v>
      </c>
      <c r="N107" s="160" t="s">
        <v>629</v>
      </c>
      <c r="O107" s="160" t="s">
        <v>630</v>
      </c>
      <c r="P107" s="160" t="s">
        <v>631</v>
      </c>
      <c r="Q107" s="545" t="s">
        <v>632</v>
      </c>
      <c r="R107" s="581" t="s">
        <v>502</v>
      </c>
      <c r="S107" s="161">
        <v>5</v>
      </c>
      <c r="T107" s="576">
        <f>AVERAGE(S107:S109)</f>
        <v>5</v>
      </c>
      <c r="U107" s="582">
        <f>T107*H107</f>
        <v>0.15</v>
      </c>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row>
    <row r="108" spans="1:51" ht="205.5" customHeight="1">
      <c r="A108" s="393"/>
      <c r="B108" s="375"/>
      <c r="C108" s="375"/>
      <c r="D108" s="419"/>
      <c r="E108" s="418"/>
      <c r="F108" s="419"/>
      <c r="G108" s="414"/>
      <c r="H108" s="414"/>
      <c r="I108" s="414"/>
      <c r="J108" s="414"/>
      <c r="K108" s="171" t="s">
        <v>49</v>
      </c>
      <c r="L108" s="160" t="s">
        <v>627</v>
      </c>
      <c r="M108" s="160" t="s">
        <v>628</v>
      </c>
      <c r="N108" s="160" t="s">
        <v>629</v>
      </c>
      <c r="O108" s="160" t="s">
        <v>630</v>
      </c>
      <c r="P108" s="160" t="s">
        <v>631</v>
      </c>
      <c r="Q108" s="414"/>
      <c r="R108" s="414"/>
      <c r="S108" s="172">
        <v>5</v>
      </c>
      <c r="T108" s="414"/>
      <c r="U108" s="415"/>
      <c r="V108" s="583"/>
      <c r="W108" s="583"/>
      <c r="X108" s="583"/>
      <c r="Y108" s="583"/>
      <c r="Z108" s="583"/>
      <c r="AA108" s="583"/>
      <c r="AB108" s="583"/>
      <c r="AC108" s="583"/>
      <c r="AD108" s="583"/>
      <c r="AE108" s="583"/>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row>
    <row r="109" spans="1:51" ht="130.5" customHeight="1">
      <c r="A109" s="397"/>
      <c r="B109" s="357"/>
      <c r="C109" s="357"/>
      <c r="D109" s="431"/>
      <c r="E109" s="430"/>
      <c r="F109" s="431"/>
      <c r="G109" s="399"/>
      <c r="H109" s="399"/>
      <c r="I109" s="399"/>
      <c r="J109" s="399"/>
      <c r="K109" s="173" t="s">
        <v>56</v>
      </c>
      <c r="L109" s="174" t="s">
        <v>508</v>
      </c>
      <c r="M109" s="174" t="s">
        <v>633</v>
      </c>
      <c r="N109" s="174" t="s">
        <v>634</v>
      </c>
      <c r="O109" s="174" t="s">
        <v>635</v>
      </c>
      <c r="P109" s="174" t="s">
        <v>636</v>
      </c>
      <c r="Q109" s="399"/>
      <c r="R109" s="399"/>
      <c r="S109" s="175">
        <v>5</v>
      </c>
      <c r="T109" s="399"/>
      <c r="U109" s="400"/>
      <c r="V109" s="583"/>
      <c r="W109" s="583"/>
      <c r="X109" s="583"/>
      <c r="Y109" s="583"/>
      <c r="Z109" s="583"/>
      <c r="AA109" s="583"/>
      <c r="AB109" s="583"/>
      <c r="AC109" s="583"/>
      <c r="AD109" s="583"/>
      <c r="AE109" s="583"/>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row>
    <row r="110" spans="1:51" ht="46.5" customHeight="1">
      <c r="A110" s="584" t="s">
        <v>74</v>
      </c>
      <c r="B110" s="357"/>
      <c r="C110" s="357"/>
      <c r="D110" s="357"/>
      <c r="E110" s="357"/>
      <c r="F110" s="357"/>
      <c r="G110" s="357"/>
      <c r="H110" s="357"/>
      <c r="I110" s="357"/>
      <c r="J110" s="357"/>
      <c r="K110" s="357"/>
      <c r="L110" s="357"/>
      <c r="M110" s="357"/>
      <c r="N110" s="357"/>
      <c r="O110" s="357"/>
      <c r="P110" s="357"/>
      <c r="Q110" s="357"/>
      <c r="R110" s="357"/>
      <c r="S110" s="357"/>
      <c r="T110" s="431"/>
      <c r="U110" s="177">
        <f>SUM(U91:U109)</f>
        <v>1</v>
      </c>
      <c r="V110" s="585"/>
      <c r="W110" s="585"/>
      <c r="X110" s="585"/>
      <c r="Y110" s="585"/>
      <c r="Z110" s="585"/>
      <c r="AA110" s="585"/>
      <c r="AB110" s="585"/>
      <c r="AC110" s="585"/>
      <c r="AD110" s="585"/>
      <c r="AE110" s="3"/>
      <c r="AF110" s="3"/>
      <c r="AG110" s="3"/>
      <c r="AH110" s="3"/>
      <c r="AI110" s="3"/>
      <c r="AJ110" s="3"/>
      <c r="AK110" s="3"/>
      <c r="AL110" s="3"/>
      <c r="AM110" s="3"/>
      <c r="AN110" s="3"/>
      <c r="AO110" s="3"/>
      <c r="AP110" s="3"/>
      <c r="AQ110" s="3"/>
      <c r="AR110" s="3"/>
      <c r="AS110" s="3"/>
      <c r="AT110" s="3"/>
      <c r="AU110" s="3"/>
      <c r="AV110" s="3"/>
      <c r="AW110" s="3"/>
      <c r="AX110" s="3"/>
      <c r="AY110" s="3"/>
    </row>
    <row r="111" spans="1:51" ht="75" customHeight="1">
      <c r="A111" s="586"/>
      <c r="B111" s="587"/>
      <c r="C111" s="587"/>
      <c r="D111" s="587"/>
      <c r="E111" s="587"/>
      <c r="F111" s="588"/>
      <c r="G111" s="587"/>
      <c r="H111" s="589"/>
      <c r="I111" s="590"/>
      <c r="J111" s="591"/>
      <c r="K111" s="592"/>
      <c r="L111" s="593"/>
      <c r="M111" s="587"/>
      <c r="N111" s="587"/>
      <c r="O111" s="587"/>
      <c r="P111" s="587"/>
      <c r="Q111" s="588"/>
      <c r="R111" s="587"/>
      <c r="S111" s="594"/>
      <c r="T111" s="595"/>
      <c r="U111" s="596"/>
      <c r="V111" s="512"/>
      <c r="W111" s="512"/>
      <c r="X111" s="512"/>
      <c r="Y111" s="512"/>
      <c r="Z111" s="512"/>
      <c r="AA111" s="512"/>
      <c r="AB111" s="512"/>
      <c r="AC111" s="512"/>
      <c r="AD111" s="512"/>
      <c r="AE111" s="4"/>
      <c r="AF111" s="3"/>
      <c r="AG111" s="3"/>
      <c r="AH111" s="3"/>
      <c r="AI111" s="3"/>
      <c r="AJ111" s="3"/>
      <c r="AK111" s="3"/>
      <c r="AL111" s="3"/>
      <c r="AM111" s="3"/>
      <c r="AN111" s="3"/>
      <c r="AO111" s="3"/>
      <c r="AP111" s="3"/>
      <c r="AQ111" s="3"/>
      <c r="AR111" s="3"/>
      <c r="AS111" s="3"/>
      <c r="AT111" s="3"/>
      <c r="AU111" s="3"/>
      <c r="AV111" s="3"/>
      <c r="AW111" s="3"/>
      <c r="AX111" s="3"/>
      <c r="AY111" s="3"/>
    </row>
    <row r="112" spans="1:51" ht="328.5" customHeight="1">
      <c r="A112" s="254" t="s">
        <v>637</v>
      </c>
      <c r="B112" s="361"/>
      <c r="C112" s="361"/>
      <c r="D112" s="361"/>
      <c r="E112" s="361"/>
      <c r="F112" s="361"/>
      <c r="G112" s="361"/>
      <c r="H112" s="361"/>
      <c r="I112" s="361"/>
      <c r="J112" s="361"/>
      <c r="K112" s="361"/>
      <c r="L112" s="361"/>
      <c r="M112" s="361"/>
      <c r="N112" s="361"/>
      <c r="O112" s="361"/>
      <c r="P112" s="361"/>
      <c r="Q112" s="361"/>
      <c r="R112" s="597" t="s">
        <v>637</v>
      </c>
      <c r="S112" s="361"/>
      <c r="T112" s="361"/>
      <c r="U112" s="364"/>
      <c r="V112" s="148"/>
      <c r="W112" s="148"/>
      <c r="X112" s="148"/>
      <c r="Y112" s="148"/>
      <c r="Z112" s="148"/>
      <c r="AA112" s="148"/>
      <c r="AB112" s="148"/>
      <c r="AC112" s="148"/>
      <c r="AD112" s="148"/>
      <c r="AE112" s="148"/>
      <c r="AF112" s="3"/>
      <c r="AG112" s="3"/>
      <c r="AH112" s="3"/>
      <c r="AI112" s="3"/>
      <c r="AJ112" s="3"/>
      <c r="AK112" s="3"/>
      <c r="AL112" s="3"/>
      <c r="AM112" s="3"/>
      <c r="AN112" s="3"/>
      <c r="AO112" s="3"/>
      <c r="AP112" s="3"/>
      <c r="AQ112" s="3"/>
      <c r="AR112" s="3"/>
      <c r="AS112" s="3"/>
      <c r="AT112" s="3"/>
      <c r="AU112" s="3"/>
      <c r="AV112" s="3"/>
      <c r="AW112" s="3"/>
      <c r="AX112" s="3"/>
      <c r="AY112" s="3"/>
    </row>
    <row r="113" spans="1:51" ht="38.25" customHeight="1">
      <c r="A113" s="255" t="s">
        <v>67</v>
      </c>
      <c r="B113" s="376"/>
      <c r="C113" s="376"/>
      <c r="D113" s="376"/>
      <c r="E113" s="376"/>
      <c r="F113" s="376"/>
      <c r="G113" s="376"/>
      <c r="H113" s="376"/>
      <c r="I113" s="376"/>
      <c r="J113" s="376"/>
      <c r="K113" s="376"/>
      <c r="L113" s="376"/>
      <c r="M113" s="376"/>
      <c r="N113" s="376"/>
      <c r="O113" s="376"/>
      <c r="P113" s="376"/>
      <c r="Q113" s="377"/>
      <c r="R113" s="256" t="s">
        <v>12</v>
      </c>
      <c r="S113" s="357"/>
      <c r="T113" s="357"/>
      <c r="U113" s="380"/>
      <c r="V113" s="585"/>
      <c r="W113" s="585"/>
      <c r="X113" s="585"/>
      <c r="Y113" s="585"/>
      <c r="Z113" s="585"/>
      <c r="AA113" s="585"/>
      <c r="AB113" s="585"/>
      <c r="AC113" s="585"/>
      <c r="AD113" s="585"/>
      <c r="AE113" s="3"/>
      <c r="AF113" s="3"/>
      <c r="AG113" s="3"/>
      <c r="AH113" s="3"/>
      <c r="AI113" s="3"/>
      <c r="AJ113" s="3"/>
      <c r="AK113" s="3"/>
      <c r="AL113" s="3"/>
      <c r="AM113" s="3"/>
      <c r="AN113" s="3"/>
      <c r="AO113" s="3"/>
      <c r="AP113" s="3"/>
      <c r="AQ113" s="3"/>
      <c r="AR113" s="3"/>
      <c r="AS113" s="3"/>
      <c r="AT113" s="3"/>
      <c r="AU113" s="3"/>
      <c r="AV113" s="3"/>
      <c r="AW113" s="3"/>
      <c r="AX113" s="3"/>
      <c r="AY113" s="3"/>
    </row>
    <row r="114" spans="1:51" ht="13.5" customHeight="1">
      <c r="A114" s="598" t="s">
        <v>76</v>
      </c>
      <c r="B114" s="374"/>
      <c r="C114" s="374"/>
      <c r="D114" s="374"/>
      <c r="E114" s="598" t="s">
        <v>69</v>
      </c>
      <c r="F114" s="374"/>
      <c r="G114" s="374"/>
      <c r="H114" s="386"/>
      <c r="I114" s="599" t="s">
        <v>15</v>
      </c>
      <c r="J114" s="247" t="s">
        <v>16</v>
      </c>
      <c r="K114" s="600" t="s">
        <v>143</v>
      </c>
      <c r="L114" s="601" t="s">
        <v>71</v>
      </c>
      <c r="M114" s="357"/>
      <c r="N114" s="357"/>
      <c r="O114" s="357"/>
      <c r="P114" s="380"/>
      <c r="Q114" s="602" t="s">
        <v>20</v>
      </c>
      <c r="R114" s="603" t="s">
        <v>72</v>
      </c>
      <c r="S114" s="249" t="s">
        <v>22</v>
      </c>
      <c r="T114" s="604" t="s">
        <v>23</v>
      </c>
      <c r="U114" s="252" t="s">
        <v>24</v>
      </c>
      <c r="V114" s="605"/>
      <c r="W114" s="605"/>
      <c r="X114" s="605"/>
      <c r="Y114" s="605"/>
      <c r="Z114" s="605"/>
      <c r="AA114" s="605"/>
      <c r="AB114" s="605"/>
      <c r="AC114" s="605"/>
      <c r="AD114" s="605"/>
      <c r="AE114" s="3"/>
      <c r="AF114" s="3"/>
      <c r="AG114" s="3"/>
      <c r="AH114" s="3"/>
      <c r="AI114" s="3"/>
      <c r="AJ114" s="3"/>
      <c r="AK114" s="3"/>
      <c r="AL114" s="3"/>
      <c r="AM114" s="3"/>
      <c r="AN114" s="3"/>
      <c r="AO114" s="3"/>
      <c r="AP114" s="3"/>
      <c r="AQ114" s="3"/>
      <c r="AR114" s="3"/>
      <c r="AS114" s="3"/>
      <c r="AT114" s="3"/>
      <c r="AU114" s="3"/>
      <c r="AV114" s="3"/>
      <c r="AW114" s="3"/>
      <c r="AX114" s="3"/>
      <c r="AY114" s="3"/>
    </row>
    <row r="115" spans="1:51" ht="13.5" customHeight="1">
      <c r="A115" s="393"/>
      <c r="B115" s="353"/>
      <c r="C115" s="353"/>
      <c r="D115" s="353"/>
      <c r="E115" s="393"/>
      <c r="F115" s="353"/>
      <c r="G115" s="353"/>
      <c r="H115" s="382"/>
      <c r="I115" s="382"/>
      <c r="J115" s="382"/>
      <c r="K115" s="389"/>
      <c r="L115" s="178" t="s">
        <v>29</v>
      </c>
      <c r="M115" s="178" t="s">
        <v>30</v>
      </c>
      <c r="N115" s="178" t="s">
        <v>31</v>
      </c>
      <c r="O115" s="178" t="s">
        <v>32</v>
      </c>
      <c r="P115" s="178" t="s">
        <v>33</v>
      </c>
      <c r="Q115" s="382"/>
      <c r="R115" s="389"/>
      <c r="S115" s="393"/>
      <c r="T115" s="389"/>
      <c r="U115" s="382"/>
      <c r="V115" s="585"/>
      <c r="W115" s="585"/>
      <c r="X115" s="585"/>
      <c r="Y115" s="585"/>
      <c r="Z115" s="585"/>
      <c r="AA115" s="585"/>
      <c r="AB115" s="585"/>
      <c r="AC115" s="585"/>
      <c r="AD115" s="585"/>
      <c r="AE115" s="3"/>
      <c r="AF115" s="3"/>
      <c r="AG115" s="3"/>
      <c r="AH115" s="3"/>
      <c r="AI115" s="3"/>
      <c r="AJ115" s="3"/>
      <c r="AK115" s="3"/>
      <c r="AL115" s="3"/>
      <c r="AM115" s="3"/>
      <c r="AN115" s="3"/>
      <c r="AO115" s="3"/>
      <c r="AP115" s="3"/>
      <c r="AQ115" s="3"/>
      <c r="AR115" s="3"/>
      <c r="AS115" s="3"/>
      <c r="AT115" s="3"/>
      <c r="AU115" s="3"/>
      <c r="AV115" s="3"/>
      <c r="AW115" s="3"/>
      <c r="AX115" s="3"/>
      <c r="AY115" s="3"/>
    </row>
    <row r="116" spans="1:51" ht="267" customHeight="1">
      <c r="A116" s="606" t="s">
        <v>77</v>
      </c>
      <c r="B116" s="374"/>
      <c r="C116" s="374"/>
      <c r="D116" s="417"/>
      <c r="E116" s="235" t="s">
        <v>638</v>
      </c>
      <c r="F116" s="374"/>
      <c r="G116" s="374"/>
      <c r="H116" s="417"/>
      <c r="I116" s="240" t="s">
        <v>79</v>
      </c>
      <c r="J116" s="241">
        <v>0.05</v>
      </c>
      <c r="K116" s="179" t="s">
        <v>42</v>
      </c>
      <c r="L116" s="93" t="s">
        <v>639</v>
      </c>
      <c r="M116" s="93" t="s">
        <v>640</v>
      </c>
      <c r="N116" s="93" t="s">
        <v>641</v>
      </c>
      <c r="O116" s="93" t="s">
        <v>642</v>
      </c>
      <c r="P116" s="93" t="s">
        <v>643</v>
      </c>
      <c r="Q116" s="246"/>
      <c r="R116" s="180"/>
      <c r="S116" s="181">
        <v>5</v>
      </c>
      <c r="T116" s="250">
        <f>AVERAGE(S116:S118)</f>
        <v>5</v>
      </c>
      <c r="U116" s="251">
        <f>T116*J116</f>
        <v>0.25</v>
      </c>
      <c r="V116" s="585"/>
      <c r="W116" s="585"/>
      <c r="X116" s="585"/>
      <c r="Y116" s="585"/>
      <c r="Z116" s="585"/>
      <c r="AA116" s="585"/>
      <c r="AB116" s="585"/>
      <c r="AC116" s="585"/>
      <c r="AD116" s="585"/>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row>
    <row r="117" spans="1:51" ht="306" customHeight="1">
      <c r="A117" s="393"/>
      <c r="B117" s="375"/>
      <c r="C117" s="375"/>
      <c r="D117" s="419"/>
      <c r="E117" s="418"/>
      <c r="F117" s="375"/>
      <c r="G117" s="375"/>
      <c r="H117" s="419"/>
      <c r="I117" s="414"/>
      <c r="J117" s="414"/>
      <c r="K117" s="182" t="s">
        <v>49</v>
      </c>
      <c r="L117" s="607" t="s">
        <v>85</v>
      </c>
      <c r="M117" s="607" t="s">
        <v>86</v>
      </c>
      <c r="N117" s="607" t="s">
        <v>87</v>
      </c>
      <c r="O117" s="607" t="s">
        <v>88</v>
      </c>
      <c r="P117" s="607" t="s">
        <v>89</v>
      </c>
      <c r="Q117" s="414"/>
      <c r="R117" s="183"/>
      <c r="S117" s="81">
        <v>5</v>
      </c>
      <c r="T117" s="414"/>
      <c r="U117" s="415"/>
      <c r="V117" s="585"/>
      <c r="W117" s="585"/>
      <c r="X117" s="585"/>
      <c r="Y117" s="585"/>
      <c r="Z117" s="585"/>
      <c r="AA117" s="585"/>
      <c r="AB117" s="585"/>
      <c r="AC117" s="585"/>
      <c r="AD117" s="585"/>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row>
    <row r="118" spans="1:51" ht="310.5" customHeight="1">
      <c r="A118" s="397"/>
      <c r="B118" s="357"/>
      <c r="C118" s="357"/>
      <c r="D118" s="431"/>
      <c r="E118" s="430"/>
      <c r="F118" s="357"/>
      <c r="G118" s="357"/>
      <c r="H118" s="431"/>
      <c r="I118" s="399"/>
      <c r="J118" s="399"/>
      <c r="K118" s="184" t="s">
        <v>56</v>
      </c>
      <c r="L118" s="185" t="s">
        <v>90</v>
      </c>
      <c r="M118" s="185" t="s">
        <v>91</v>
      </c>
      <c r="N118" s="185" t="s">
        <v>92</v>
      </c>
      <c r="O118" s="122" t="s">
        <v>93</v>
      </c>
      <c r="P118" s="122" t="s">
        <v>94</v>
      </c>
      <c r="Q118" s="399"/>
      <c r="R118" s="186"/>
      <c r="S118" s="187">
        <v>5</v>
      </c>
      <c r="T118" s="414"/>
      <c r="U118" s="400"/>
      <c r="V118" s="585"/>
      <c r="W118" s="585"/>
      <c r="X118" s="585"/>
      <c r="Y118" s="585"/>
      <c r="Z118" s="585"/>
      <c r="AA118" s="585"/>
      <c r="AB118" s="585"/>
      <c r="AC118" s="585"/>
      <c r="AD118" s="585"/>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47"/>
    </row>
    <row r="119" spans="1:51" ht="371.25" customHeight="1">
      <c r="A119" s="608" t="s">
        <v>95</v>
      </c>
      <c r="B119" s="374"/>
      <c r="C119" s="374"/>
      <c r="D119" s="417"/>
      <c r="E119" s="248" t="s">
        <v>644</v>
      </c>
      <c r="F119" s="374"/>
      <c r="G119" s="374"/>
      <c r="H119" s="417"/>
      <c r="I119" s="237" t="s">
        <v>79</v>
      </c>
      <c r="J119" s="241">
        <v>0.05</v>
      </c>
      <c r="K119" s="188" t="s">
        <v>42</v>
      </c>
      <c r="L119" s="93" t="s">
        <v>97</v>
      </c>
      <c r="M119" s="93" t="s">
        <v>98</v>
      </c>
      <c r="N119" s="93" t="s">
        <v>99</v>
      </c>
      <c r="O119" s="93" t="s">
        <v>645</v>
      </c>
      <c r="P119" s="93" t="s">
        <v>101</v>
      </c>
      <c r="Q119" s="246"/>
      <c r="R119" s="609"/>
      <c r="S119" s="94">
        <v>5</v>
      </c>
      <c r="T119" s="229">
        <f>AVERAGE(S119:S121)</f>
        <v>5</v>
      </c>
      <c r="U119" s="242">
        <f>T119*J119</f>
        <v>0.25</v>
      </c>
      <c r="V119" s="585"/>
      <c r="W119" s="585"/>
      <c r="X119" s="585"/>
      <c r="Y119" s="585"/>
      <c r="Z119" s="585"/>
      <c r="AA119" s="585"/>
      <c r="AB119" s="585"/>
      <c r="AC119" s="585"/>
      <c r="AD119" s="585"/>
      <c r="AE119" s="3"/>
      <c r="AF119" s="3"/>
      <c r="AG119" s="3"/>
      <c r="AH119" s="3"/>
      <c r="AI119" s="3"/>
      <c r="AJ119" s="3"/>
      <c r="AK119" s="3"/>
      <c r="AL119" s="3"/>
      <c r="AM119" s="3"/>
      <c r="AN119" s="3"/>
      <c r="AO119" s="3"/>
      <c r="AP119" s="3"/>
      <c r="AQ119" s="3"/>
      <c r="AR119" s="3"/>
      <c r="AS119" s="3"/>
      <c r="AT119" s="3"/>
      <c r="AU119" s="3"/>
      <c r="AV119" s="3"/>
      <c r="AW119" s="3"/>
      <c r="AX119" s="3"/>
      <c r="AY119" s="3"/>
    </row>
    <row r="120" spans="1:51" ht="213" customHeight="1">
      <c r="A120" s="393"/>
      <c r="B120" s="375"/>
      <c r="C120" s="375"/>
      <c r="D120" s="419"/>
      <c r="E120" s="418"/>
      <c r="F120" s="375"/>
      <c r="G120" s="375"/>
      <c r="H120" s="419"/>
      <c r="I120" s="414"/>
      <c r="J120" s="414"/>
      <c r="K120" s="189" t="s">
        <v>49</v>
      </c>
      <c r="L120" s="73" t="s">
        <v>646</v>
      </c>
      <c r="M120" s="73" t="s">
        <v>647</v>
      </c>
      <c r="N120" s="73" t="s">
        <v>648</v>
      </c>
      <c r="O120" s="73" t="s">
        <v>649</v>
      </c>
      <c r="P120" s="73" t="s">
        <v>650</v>
      </c>
      <c r="Q120" s="414"/>
      <c r="R120" s="414"/>
      <c r="S120" s="50">
        <v>5</v>
      </c>
      <c r="T120" s="414"/>
      <c r="U120" s="415"/>
      <c r="V120" s="585"/>
      <c r="W120" s="585"/>
      <c r="X120" s="585"/>
      <c r="Y120" s="585"/>
      <c r="Z120" s="585"/>
      <c r="AA120" s="585"/>
      <c r="AB120" s="585"/>
      <c r="AC120" s="585"/>
      <c r="AD120" s="585"/>
      <c r="AE120" s="3"/>
      <c r="AF120" s="3"/>
      <c r="AG120" s="3"/>
      <c r="AH120" s="3"/>
      <c r="AI120" s="3"/>
      <c r="AJ120" s="3"/>
      <c r="AK120" s="3"/>
      <c r="AL120" s="3"/>
      <c r="AM120" s="3"/>
      <c r="AN120" s="3"/>
      <c r="AO120" s="3"/>
      <c r="AP120" s="3"/>
      <c r="AQ120" s="3"/>
      <c r="AR120" s="3"/>
      <c r="AS120" s="3"/>
      <c r="AT120" s="3"/>
      <c r="AU120" s="3"/>
      <c r="AV120" s="3"/>
      <c r="AW120" s="3"/>
      <c r="AX120" s="3"/>
      <c r="AY120" s="3"/>
    </row>
    <row r="121" spans="1:51" ht="85.5" customHeight="1">
      <c r="A121" s="397"/>
      <c r="B121" s="357"/>
      <c r="C121" s="357"/>
      <c r="D121" s="431"/>
      <c r="E121" s="430"/>
      <c r="F121" s="357"/>
      <c r="G121" s="357"/>
      <c r="H121" s="431"/>
      <c r="I121" s="399"/>
      <c r="J121" s="399"/>
      <c r="K121" s="190" t="s">
        <v>56</v>
      </c>
      <c r="L121" s="191"/>
      <c r="M121" s="191"/>
      <c r="N121" s="191"/>
      <c r="O121" s="191"/>
      <c r="P121" s="191"/>
      <c r="Q121" s="399"/>
      <c r="R121" s="399"/>
      <c r="S121" s="146">
        <v>5</v>
      </c>
      <c r="T121" s="414"/>
      <c r="U121" s="400"/>
      <c r="V121" s="585"/>
      <c r="W121" s="585"/>
      <c r="X121" s="585"/>
      <c r="Y121" s="585"/>
      <c r="Z121" s="585"/>
      <c r="AA121" s="585"/>
      <c r="AB121" s="585"/>
      <c r="AC121" s="585"/>
      <c r="AD121" s="585"/>
      <c r="AE121" s="3"/>
      <c r="AF121" s="3"/>
      <c r="AG121" s="3"/>
      <c r="AH121" s="3"/>
      <c r="AI121" s="3"/>
      <c r="AJ121" s="3"/>
      <c r="AK121" s="3"/>
      <c r="AL121" s="3"/>
      <c r="AM121" s="3"/>
      <c r="AN121" s="3"/>
      <c r="AO121" s="3"/>
      <c r="AP121" s="3"/>
      <c r="AQ121" s="3"/>
      <c r="AR121" s="3"/>
      <c r="AS121" s="3"/>
      <c r="AT121" s="3"/>
      <c r="AU121" s="3"/>
      <c r="AV121" s="3"/>
      <c r="AW121" s="3"/>
      <c r="AX121" s="3"/>
      <c r="AY121" s="3"/>
    </row>
    <row r="122" spans="1:51" ht="47.25" customHeight="1">
      <c r="A122" s="608" t="s">
        <v>107</v>
      </c>
      <c r="B122" s="374"/>
      <c r="C122" s="374"/>
      <c r="D122" s="417"/>
      <c r="E122" s="248" t="s">
        <v>651</v>
      </c>
      <c r="F122" s="374"/>
      <c r="G122" s="374"/>
      <c r="H122" s="417"/>
      <c r="I122" s="237" t="s">
        <v>79</v>
      </c>
      <c r="J122" s="241">
        <v>0.05</v>
      </c>
      <c r="K122" s="188" t="s">
        <v>42</v>
      </c>
      <c r="L122" s="93" t="s">
        <v>109</v>
      </c>
      <c r="M122" s="93" t="s">
        <v>110</v>
      </c>
      <c r="N122" s="93" t="s">
        <v>111</v>
      </c>
      <c r="O122" s="93" t="s">
        <v>112</v>
      </c>
      <c r="P122" s="93" t="s">
        <v>113</v>
      </c>
      <c r="Q122" s="246"/>
      <c r="R122" s="609"/>
      <c r="S122" s="94">
        <v>5</v>
      </c>
      <c r="T122" s="229">
        <f>AVERAGE(S122:S124)</f>
        <v>5</v>
      </c>
      <c r="U122" s="242">
        <f>T122*J122</f>
        <v>0.25</v>
      </c>
      <c r="V122" s="585"/>
      <c r="W122" s="585"/>
      <c r="X122" s="585"/>
      <c r="Y122" s="585"/>
      <c r="Z122" s="585"/>
      <c r="AA122" s="585"/>
      <c r="AB122" s="585"/>
      <c r="AC122" s="585"/>
      <c r="AD122" s="585"/>
      <c r="AE122" s="3"/>
      <c r="AF122" s="3"/>
      <c r="AG122" s="3"/>
      <c r="AH122" s="3"/>
      <c r="AI122" s="3"/>
      <c r="AJ122" s="3"/>
      <c r="AK122" s="3"/>
      <c r="AL122" s="3"/>
      <c r="AM122" s="3"/>
      <c r="AN122" s="3"/>
      <c r="AO122" s="3"/>
      <c r="AP122" s="3"/>
      <c r="AQ122" s="3"/>
      <c r="AR122" s="3"/>
      <c r="AS122" s="3"/>
      <c r="AT122" s="3"/>
      <c r="AU122" s="3"/>
      <c r="AV122" s="3"/>
      <c r="AW122" s="3"/>
      <c r="AX122" s="3"/>
      <c r="AY122" s="3"/>
    </row>
    <row r="123" spans="1:51" ht="50.25" customHeight="1">
      <c r="A123" s="393"/>
      <c r="B123" s="375"/>
      <c r="C123" s="375"/>
      <c r="D123" s="419"/>
      <c r="E123" s="418"/>
      <c r="F123" s="375"/>
      <c r="G123" s="375"/>
      <c r="H123" s="419"/>
      <c r="I123" s="414"/>
      <c r="J123" s="414"/>
      <c r="K123" s="189" t="s">
        <v>49</v>
      </c>
      <c r="L123" s="73" t="s">
        <v>652</v>
      </c>
      <c r="M123" s="73" t="s">
        <v>653</v>
      </c>
      <c r="N123" s="73" t="s">
        <v>654</v>
      </c>
      <c r="O123" s="73" t="s">
        <v>655</v>
      </c>
      <c r="P123" s="73" t="s">
        <v>656</v>
      </c>
      <c r="Q123" s="414"/>
      <c r="R123" s="414"/>
      <c r="S123" s="50">
        <v>5</v>
      </c>
      <c r="T123" s="414"/>
      <c r="U123" s="415"/>
      <c r="V123" s="585"/>
      <c r="W123" s="585"/>
      <c r="X123" s="585"/>
      <c r="Y123" s="585"/>
      <c r="Z123" s="585"/>
      <c r="AA123" s="585"/>
      <c r="AB123" s="585"/>
      <c r="AC123" s="585"/>
      <c r="AD123" s="585"/>
      <c r="AE123" s="3"/>
      <c r="AF123" s="3"/>
      <c r="AG123" s="3"/>
      <c r="AH123" s="3"/>
      <c r="AI123" s="3"/>
      <c r="AJ123" s="3"/>
      <c r="AK123" s="3"/>
      <c r="AL123" s="3"/>
      <c r="AM123" s="3"/>
      <c r="AN123" s="3"/>
      <c r="AO123" s="3"/>
      <c r="AP123" s="3"/>
      <c r="AQ123" s="3"/>
      <c r="AR123" s="3"/>
      <c r="AS123" s="3"/>
      <c r="AT123" s="3"/>
      <c r="AU123" s="3"/>
      <c r="AV123" s="3"/>
      <c r="AW123" s="3"/>
      <c r="AX123" s="3"/>
      <c r="AY123" s="3"/>
    </row>
    <row r="124" spans="1:51" ht="133.5" customHeight="1">
      <c r="A124" s="397"/>
      <c r="B124" s="357"/>
      <c r="C124" s="357"/>
      <c r="D124" s="431"/>
      <c r="E124" s="430"/>
      <c r="F124" s="357"/>
      <c r="G124" s="357"/>
      <c r="H124" s="431"/>
      <c r="I124" s="399"/>
      <c r="J124" s="399"/>
      <c r="K124" s="193" t="s">
        <v>56</v>
      </c>
      <c r="L124" s="145" t="s">
        <v>119</v>
      </c>
      <c r="M124" s="191"/>
      <c r="N124" s="145" t="s">
        <v>120</v>
      </c>
      <c r="O124" s="191"/>
      <c r="P124" s="145" t="s">
        <v>121</v>
      </c>
      <c r="Q124" s="399"/>
      <c r="R124" s="399"/>
      <c r="S124" s="146">
        <v>5</v>
      </c>
      <c r="T124" s="399"/>
      <c r="U124" s="400"/>
      <c r="V124" s="585"/>
      <c r="W124" s="585"/>
      <c r="X124" s="585"/>
      <c r="Y124" s="585"/>
      <c r="Z124" s="585"/>
      <c r="AA124" s="585"/>
      <c r="AB124" s="585"/>
      <c r="AC124" s="585"/>
      <c r="AD124" s="585"/>
      <c r="AE124" s="3"/>
      <c r="AF124" s="3"/>
      <c r="AG124" s="3"/>
      <c r="AH124" s="3"/>
      <c r="AI124" s="3"/>
      <c r="AJ124" s="3"/>
      <c r="AK124" s="3"/>
      <c r="AL124" s="3"/>
      <c r="AM124" s="3"/>
      <c r="AN124" s="3"/>
      <c r="AO124" s="3"/>
      <c r="AP124" s="3"/>
      <c r="AQ124" s="3"/>
      <c r="AR124" s="3"/>
      <c r="AS124" s="3"/>
      <c r="AT124" s="3"/>
      <c r="AU124" s="3"/>
      <c r="AV124" s="3"/>
      <c r="AW124" s="3"/>
      <c r="AX124" s="3"/>
      <c r="AY124" s="3"/>
    </row>
    <row r="125" spans="1:51" ht="63" customHeight="1">
      <c r="A125" s="584" t="s">
        <v>122</v>
      </c>
      <c r="B125" s="357"/>
      <c r="C125" s="357"/>
      <c r="D125" s="357"/>
      <c r="E125" s="357"/>
      <c r="F125" s="357"/>
      <c r="G125" s="357"/>
      <c r="H125" s="357"/>
      <c r="I125" s="357"/>
      <c r="J125" s="357"/>
      <c r="K125" s="357"/>
      <c r="L125" s="357"/>
      <c r="M125" s="357"/>
      <c r="N125" s="357"/>
      <c r="O125" s="357"/>
      <c r="P125" s="357"/>
      <c r="Q125" s="357"/>
      <c r="R125" s="357"/>
      <c r="S125" s="357"/>
      <c r="T125" s="380"/>
      <c r="U125" s="610">
        <f>SUM(U116:U124)</f>
        <v>0.75</v>
      </c>
      <c r="V125" s="585"/>
      <c r="W125" s="585"/>
      <c r="X125" s="585"/>
      <c r="Y125" s="585"/>
      <c r="Z125" s="585"/>
      <c r="AA125" s="585"/>
      <c r="AB125" s="585"/>
      <c r="AC125" s="585"/>
      <c r="AD125" s="585"/>
      <c r="AE125" s="3"/>
      <c r="AF125" s="3"/>
      <c r="AG125" s="3"/>
      <c r="AH125" s="3"/>
      <c r="AI125" s="3"/>
      <c r="AJ125" s="3"/>
      <c r="AK125" s="3"/>
      <c r="AL125" s="3"/>
      <c r="AM125" s="3"/>
      <c r="AN125" s="3"/>
      <c r="AO125" s="3"/>
      <c r="AP125" s="3"/>
      <c r="AQ125" s="3"/>
      <c r="AR125" s="3"/>
      <c r="AS125" s="3"/>
      <c r="AT125" s="3"/>
      <c r="AU125" s="3"/>
      <c r="AV125" s="3"/>
      <c r="AW125" s="3"/>
      <c r="AX125" s="3"/>
      <c r="AY125" s="3"/>
    </row>
    <row r="126" spans="1:51" ht="13.5" customHeight="1">
      <c r="A126" s="194"/>
      <c r="B126" s="587"/>
      <c r="C126" s="587"/>
      <c r="D126" s="587"/>
      <c r="E126" s="587"/>
      <c r="F126" s="588"/>
      <c r="G126" s="587"/>
      <c r="H126" s="589"/>
      <c r="I126" s="590"/>
      <c r="J126" s="591"/>
      <c r="K126" s="592"/>
      <c r="L126" s="593"/>
      <c r="M126" s="587"/>
      <c r="N126" s="587"/>
      <c r="O126" s="587"/>
      <c r="P126" s="587"/>
      <c r="Q126" s="588"/>
      <c r="R126" s="587"/>
      <c r="S126" s="594"/>
      <c r="T126" s="595"/>
      <c r="U126" s="594"/>
      <c r="V126" s="512"/>
      <c r="W126" s="512"/>
      <c r="X126" s="512"/>
      <c r="Y126" s="512"/>
      <c r="Z126" s="512"/>
      <c r="AA126" s="512"/>
      <c r="AB126" s="512"/>
      <c r="AC126" s="512"/>
      <c r="AD126" s="512"/>
      <c r="AE126" s="4"/>
      <c r="AF126" s="3"/>
      <c r="AG126" s="3"/>
      <c r="AH126" s="3"/>
      <c r="AI126" s="3"/>
      <c r="AJ126" s="3"/>
      <c r="AK126" s="3"/>
      <c r="AL126" s="3"/>
      <c r="AM126" s="3"/>
      <c r="AN126" s="3"/>
      <c r="AO126" s="3"/>
      <c r="AP126" s="3"/>
      <c r="AQ126" s="3"/>
      <c r="AR126" s="3"/>
      <c r="AS126" s="3"/>
      <c r="AT126" s="3"/>
      <c r="AU126" s="3"/>
      <c r="AV126" s="3"/>
      <c r="AW126" s="3"/>
      <c r="AX126" s="3"/>
      <c r="AY126" s="3"/>
    </row>
    <row r="127" spans="1:51" ht="13.5" customHeight="1">
      <c r="A127" s="194"/>
      <c r="B127" s="587"/>
      <c r="C127" s="587"/>
      <c r="D127" s="587"/>
      <c r="E127" s="587"/>
      <c r="F127" s="588"/>
      <c r="G127" s="587"/>
      <c r="H127" s="589"/>
      <c r="I127" s="590"/>
      <c r="J127" s="591"/>
      <c r="K127" s="592"/>
      <c r="L127" s="593"/>
      <c r="M127" s="587"/>
      <c r="N127" s="587"/>
      <c r="O127" s="587"/>
      <c r="P127" s="587"/>
      <c r="Q127" s="588"/>
      <c r="R127" s="587"/>
      <c r="S127" s="594"/>
      <c r="T127" s="595"/>
      <c r="U127" s="594"/>
      <c r="V127" s="512"/>
      <c r="W127" s="512"/>
      <c r="X127" s="512"/>
      <c r="Y127" s="512"/>
      <c r="Z127" s="512"/>
      <c r="AA127" s="512"/>
      <c r="AB127" s="512"/>
      <c r="AC127" s="512"/>
      <c r="AD127" s="512"/>
      <c r="AE127" s="4"/>
      <c r="AF127" s="3"/>
      <c r="AG127" s="3"/>
      <c r="AH127" s="3"/>
      <c r="AI127" s="3"/>
      <c r="AJ127" s="3"/>
      <c r="AK127" s="3"/>
      <c r="AL127" s="3"/>
      <c r="AM127" s="3"/>
      <c r="AN127" s="3"/>
      <c r="AO127" s="3"/>
      <c r="AP127" s="3"/>
      <c r="AQ127" s="3"/>
      <c r="AR127" s="3"/>
      <c r="AS127" s="3"/>
      <c r="AT127" s="3"/>
      <c r="AU127" s="3"/>
      <c r="AV127" s="3"/>
      <c r="AW127" s="3"/>
      <c r="AX127" s="3"/>
      <c r="AY127" s="3"/>
    </row>
    <row r="128" spans="1:51" ht="13.5" customHeight="1">
      <c r="A128" s="194"/>
      <c r="B128" s="587"/>
      <c r="C128" s="587"/>
      <c r="D128" s="587"/>
      <c r="E128" s="587"/>
      <c r="F128" s="588"/>
      <c r="G128" s="587"/>
      <c r="H128" s="589"/>
      <c r="I128" s="590"/>
      <c r="J128" s="591"/>
      <c r="K128" s="592"/>
      <c r="L128" s="593"/>
      <c r="M128" s="587"/>
      <c r="N128" s="587"/>
      <c r="O128" s="587"/>
      <c r="P128" s="587"/>
      <c r="Q128" s="588"/>
      <c r="R128" s="587"/>
      <c r="S128" s="594"/>
      <c r="T128" s="595"/>
      <c r="U128" s="594"/>
      <c r="V128" s="512"/>
      <c r="W128" s="512"/>
      <c r="X128" s="512"/>
      <c r="Y128" s="512"/>
      <c r="Z128" s="512"/>
      <c r="AA128" s="512"/>
      <c r="AB128" s="512"/>
      <c r="AC128" s="512"/>
      <c r="AD128" s="512"/>
      <c r="AE128" s="4"/>
      <c r="AF128" s="3"/>
      <c r="AG128" s="3"/>
      <c r="AH128" s="3"/>
      <c r="AI128" s="3"/>
      <c r="AJ128" s="3"/>
      <c r="AK128" s="3"/>
      <c r="AL128" s="3"/>
      <c r="AM128" s="3"/>
      <c r="AN128" s="3"/>
      <c r="AO128" s="3"/>
      <c r="AP128" s="3"/>
      <c r="AQ128" s="3"/>
      <c r="AR128" s="3"/>
      <c r="AS128" s="3"/>
      <c r="AT128" s="3"/>
      <c r="AU128" s="3"/>
      <c r="AV128" s="3"/>
      <c r="AW128" s="3"/>
      <c r="AX128" s="3"/>
      <c r="AY128" s="3"/>
    </row>
    <row r="129" spans="1:51" ht="13.5" customHeight="1">
      <c r="A129" s="147"/>
      <c r="B129" s="585"/>
      <c r="C129" s="585"/>
      <c r="D129" s="605"/>
      <c r="E129" s="605"/>
      <c r="F129" s="585"/>
      <c r="G129" s="585"/>
      <c r="H129" s="611"/>
      <c r="I129" s="612"/>
      <c r="J129" s="613"/>
      <c r="K129" s="195"/>
      <c r="L129" s="3"/>
      <c r="M129" s="3"/>
      <c r="N129" s="3"/>
      <c r="O129" s="3"/>
      <c r="P129" s="3"/>
      <c r="Q129" s="196"/>
      <c r="R129" s="3"/>
      <c r="S129" s="197"/>
      <c r="T129" s="614"/>
      <c r="U129" s="615"/>
      <c r="V129" s="585"/>
      <c r="W129" s="585"/>
      <c r="X129" s="585"/>
      <c r="Y129" s="585"/>
      <c r="Z129" s="585"/>
      <c r="AA129" s="585"/>
      <c r="AB129" s="585"/>
      <c r="AC129" s="585"/>
      <c r="AD129" s="585"/>
      <c r="AE129" s="3"/>
      <c r="AF129" s="3"/>
      <c r="AG129" s="3"/>
      <c r="AH129" s="3"/>
      <c r="AI129" s="3"/>
      <c r="AJ129" s="3"/>
      <c r="AK129" s="3"/>
      <c r="AL129" s="3"/>
      <c r="AM129" s="3"/>
      <c r="AN129" s="3"/>
      <c r="AO129" s="3"/>
      <c r="AP129" s="3"/>
      <c r="AQ129" s="3"/>
      <c r="AR129" s="3"/>
      <c r="AS129" s="3"/>
      <c r="AT129" s="3"/>
      <c r="AU129" s="3"/>
      <c r="AV129" s="3"/>
      <c r="AW129" s="3"/>
      <c r="AX129" s="3"/>
      <c r="AY129" s="3"/>
    </row>
    <row r="130" spans="1:51" ht="13.5" customHeight="1">
      <c r="A130" s="147"/>
      <c r="B130" s="585"/>
      <c r="C130" s="585"/>
      <c r="D130" s="605"/>
      <c r="E130" s="605"/>
      <c r="F130" s="585"/>
      <c r="G130" s="585"/>
      <c r="H130" s="611"/>
      <c r="I130" s="612"/>
      <c r="J130" s="613"/>
      <c r="K130" s="195"/>
      <c r="L130" s="3"/>
      <c r="M130" s="3"/>
      <c r="N130" s="3"/>
      <c r="O130" s="3"/>
      <c r="P130" s="3"/>
      <c r="Q130" s="196"/>
      <c r="R130" s="3"/>
      <c r="S130" s="197"/>
      <c r="T130" s="614"/>
      <c r="U130" s="615"/>
      <c r="V130" s="585"/>
      <c r="W130" s="585"/>
      <c r="X130" s="585"/>
      <c r="Y130" s="585"/>
      <c r="Z130" s="585"/>
      <c r="AA130" s="585"/>
      <c r="AB130" s="585"/>
      <c r="AC130" s="585"/>
      <c r="AD130" s="585"/>
      <c r="AE130" s="3"/>
      <c r="AF130" s="3"/>
      <c r="AG130" s="3"/>
      <c r="AH130" s="3"/>
      <c r="AI130" s="3"/>
      <c r="AJ130" s="3"/>
      <c r="AK130" s="3"/>
      <c r="AL130" s="3"/>
      <c r="AM130" s="3"/>
      <c r="AN130" s="3"/>
      <c r="AO130" s="3"/>
      <c r="AP130" s="3"/>
      <c r="AQ130" s="3"/>
      <c r="AR130" s="3"/>
      <c r="AS130" s="3"/>
      <c r="AT130" s="3"/>
      <c r="AU130" s="3"/>
      <c r="AV130" s="3"/>
      <c r="AW130" s="3"/>
      <c r="AX130" s="3"/>
      <c r="AY130" s="3"/>
    </row>
    <row r="131" spans="1:51" ht="13.5" customHeight="1">
      <c r="A131" s="198"/>
      <c r="B131" s="616" t="s">
        <v>129</v>
      </c>
      <c r="C131" s="366"/>
      <c r="D131" s="366"/>
      <c r="E131" s="367"/>
      <c r="F131" s="617"/>
      <c r="G131" s="617"/>
      <c r="H131" s="618" t="s">
        <v>130</v>
      </c>
      <c r="I131" s="366"/>
      <c r="J131" s="366"/>
      <c r="K131" s="366"/>
      <c r="L131" s="367"/>
      <c r="M131" s="198"/>
      <c r="N131" s="616" t="s">
        <v>134</v>
      </c>
      <c r="O131" s="366"/>
      <c r="P131" s="367"/>
      <c r="Q131" s="198"/>
      <c r="R131" s="198"/>
      <c r="S131" s="199"/>
      <c r="T131" s="619"/>
      <c r="U131" s="619"/>
      <c r="V131" s="617"/>
      <c r="W131" s="617"/>
      <c r="X131" s="617"/>
      <c r="Y131" s="617"/>
      <c r="Z131" s="617"/>
      <c r="AA131" s="617"/>
      <c r="AB131" s="617"/>
      <c r="AC131" s="617"/>
      <c r="AD131" s="617"/>
      <c r="AE131" s="198"/>
      <c r="AF131" s="198"/>
      <c r="AG131" s="198"/>
      <c r="AH131" s="198"/>
      <c r="AI131" s="198"/>
      <c r="AJ131" s="198"/>
      <c r="AK131" s="198"/>
      <c r="AL131" s="198"/>
      <c r="AM131" s="198"/>
      <c r="AN131" s="198"/>
      <c r="AO131" s="198"/>
      <c r="AP131" s="198"/>
      <c r="AQ131" s="198"/>
      <c r="AR131" s="198"/>
      <c r="AS131" s="198"/>
      <c r="AT131" s="198"/>
      <c r="AU131" s="198"/>
      <c r="AV131" s="198"/>
      <c r="AW131" s="198"/>
      <c r="AX131" s="198"/>
      <c r="AY131" s="198"/>
    </row>
    <row r="132" spans="1:51" ht="34.5" customHeight="1">
      <c r="A132" s="198"/>
      <c r="B132" s="420"/>
      <c r="C132" s="494"/>
      <c r="D132" s="494"/>
      <c r="E132" s="421"/>
      <c r="F132" s="617"/>
      <c r="G132" s="617"/>
      <c r="H132" s="420"/>
      <c r="I132" s="494"/>
      <c r="J132" s="494"/>
      <c r="K132" s="494"/>
      <c r="L132" s="421"/>
      <c r="M132" s="198"/>
      <c r="N132" s="420"/>
      <c r="O132" s="494"/>
      <c r="P132" s="421"/>
      <c r="Q132" s="198"/>
      <c r="R132" s="198"/>
      <c r="S132" s="199"/>
      <c r="T132" s="619"/>
      <c r="U132" s="619"/>
      <c r="V132" s="617"/>
      <c r="W132" s="617"/>
      <c r="X132" s="617"/>
      <c r="Y132" s="617"/>
      <c r="Z132" s="617"/>
      <c r="AA132" s="617"/>
      <c r="AB132" s="617"/>
      <c r="AC132" s="617"/>
      <c r="AD132" s="617"/>
      <c r="AE132" s="198"/>
      <c r="AF132" s="198"/>
      <c r="AG132" s="198"/>
      <c r="AH132" s="198"/>
      <c r="AI132" s="198"/>
      <c r="AJ132" s="198"/>
      <c r="AK132" s="198"/>
      <c r="AL132" s="198"/>
      <c r="AM132" s="198"/>
      <c r="AN132" s="198"/>
      <c r="AO132" s="198"/>
      <c r="AP132" s="198"/>
      <c r="AQ132" s="198"/>
      <c r="AR132" s="198"/>
      <c r="AS132" s="198"/>
      <c r="AT132" s="198"/>
      <c r="AU132" s="198"/>
      <c r="AV132" s="198"/>
      <c r="AW132" s="198"/>
      <c r="AX132" s="198"/>
      <c r="AY132" s="198"/>
    </row>
    <row r="133" spans="1:51" ht="46.5" customHeight="1">
      <c r="A133" s="147"/>
      <c r="B133" s="620" t="s">
        <v>123</v>
      </c>
      <c r="C133" s="361"/>
      <c r="D133" s="361"/>
      <c r="E133" s="362"/>
      <c r="F133" s="621"/>
      <c r="G133" s="621"/>
      <c r="H133" s="622" t="s">
        <v>124</v>
      </c>
      <c r="I133" s="361"/>
      <c r="J133" s="361"/>
      <c r="K133" s="361"/>
      <c r="L133" s="362"/>
      <c r="M133" s="3"/>
      <c r="N133" s="623" t="s">
        <v>125</v>
      </c>
      <c r="O133" s="361"/>
      <c r="P133" s="362"/>
      <c r="Q133" s="624"/>
      <c r="R133" s="585"/>
      <c r="S133" s="615"/>
      <c r="T133" s="614"/>
      <c r="U133" s="614"/>
      <c r="V133" s="585"/>
      <c r="W133" s="585"/>
      <c r="X133" s="585"/>
      <c r="Y133" s="585"/>
      <c r="Z133" s="585"/>
      <c r="AA133" s="585"/>
      <c r="AB133" s="585"/>
      <c r="AC133" s="585"/>
      <c r="AD133" s="585"/>
      <c r="AE133" s="3"/>
      <c r="AF133" s="3"/>
      <c r="AG133" s="3"/>
      <c r="AH133" s="3"/>
      <c r="AI133" s="3"/>
      <c r="AJ133" s="3"/>
      <c r="AK133" s="3"/>
      <c r="AL133" s="3"/>
      <c r="AM133" s="3"/>
      <c r="AN133" s="3"/>
      <c r="AO133" s="3"/>
      <c r="AP133" s="3"/>
      <c r="AQ133" s="3"/>
      <c r="AR133" s="3"/>
      <c r="AS133" s="3"/>
      <c r="AT133" s="3"/>
      <c r="AU133" s="3"/>
      <c r="AV133" s="3"/>
      <c r="AW133" s="3"/>
      <c r="AX133" s="3"/>
      <c r="AY133" s="3"/>
    </row>
    <row r="134" spans="1:51" ht="13.5" customHeight="1">
      <c r="A134" s="147"/>
      <c r="B134" s="585"/>
      <c r="C134" s="613"/>
      <c r="D134" s="585"/>
      <c r="E134" s="585"/>
      <c r="F134" s="585"/>
      <c r="G134" s="585"/>
      <c r="H134" s="611"/>
      <c r="I134" s="612"/>
      <c r="J134" s="613"/>
      <c r="K134" s="613"/>
      <c r="L134" s="585"/>
      <c r="M134" s="585"/>
      <c r="N134" s="3"/>
      <c r="O134" s="3"/>
      <c r="P134" s="3"/>
      <c r="Q134" s="624"/>
      <c r="R134" s="585"/>
      <c r="S134" s="615"/>
      <c r="T134" s="614"/>
      <c r="U134" s="614"/>
      <c r="V134" s="585"/>
      <c r="W134" s="585"/>
      <c r="X134" s="585"/>
      <c r="Y134" s="585"/>
      <c r="Z134" s="585"/>
      <c r="AA134" s="585"/>
      <c r="AB134" s="585"/>
      <c r="AC134" s="585"/>
      <c r="AD134" s="585"/>
      <c r="AE134" s="3"/>
      <c r="AF134" s="3"/>
      <c r="AG134" s="3"/>
      <c r="AH134" s="3"/>
      <c r="AI134" s="3"/>
      <c r="AJ134" s="3"/>
      <c r="AK134" s="3"/>
      <c r="AL134" s="3"/>
      <c r="AM134" s="3"/>
      <c r="AN134" s="3"/>
      <c r="AO134" s="3"/>
      <c r="AP134" s="3"/>
      <c r="AQ134" s="3"/>
      <c r="AR134" s="3"/>
      <c r="AS134" s="3"/>
      <c r="AT134" s="3"/>
      <c r="AU134" s="3"/>
      <c r="AV134" s="3"/>
      <c r="AW134" s="3"/>
      <c r="AX134" s="3"/>
      <c r="AY134" s="3"/>
    </row>
    <row r="135" spans="1:51" ht="13.5" customHeight="1">
      <c r="A135" s="147"/>
      <c r="B135" s="585"/>
      <c r="C135" s="585"/>
      <c r="D135" s="585"/>
      <c r="E135" s="585"/>
      <c r="F135" s="585"/>
      <c r="G135" s="585"/>
      <c r="H135" s="611"/>
      <c r="I135" s="612"/>
      <c r="J135" s="613"/>
      <c r="K135" s="613"/>
      <c r="L135" s="585"/>
      <c r="M135" s="585"/>
      <c r="N135" s="585"/>
      <c r="O135" s="585"/>
      <c r="P135" s="585"/>
      <c r="Q135" s="624"/>
      <c r="R135" s="585"/>
      <c r="S135" s="615"/>
      <c r="T135" s="614"/>
      <c r="U135" s="614"/>
      <c r="V135" s="585"/>
      <c r="W135" s="585"/>
      <c r="X135" s="585"/>
      <c r="Y135" s="585"/>
      <c r="Z135" s="585"/>
      <c r="AA135" s="585"/>
      <c r="AB135" s="585"/>
      <c r="AC135" s="585"/>
      <c r="AD135" s="585"/>
      <c r="AE135" s="3"/>
      <c r="AF135" s="3"/>
      <c r="AG135" s="3"/>
      <c r="AH135" s="3"/>
      <c r="AI135" s="3"/>
      <c r="AJ135" s="3"/>
      <c r="AK135" s="3"/>
      <c r="AL135" s="3"/>
      <c r="AM135" s="3"/>
      <c r="AN135" s="3"/>
      <c r="AO135" s="3"/>
      <c r="AP135" s="3"/>
      <c r="AQ135" s="3"/>
      <c r="AR135" s="3"/>
      <c r="AS135" s="3"/>
      <c r="AT135" s="3"/>
      <c r="AU135" s="3"/>
      <c r="AV135" s="3"/>
      <c r="AW135" s="3"/>
      <c r="AX135" s="3"/>
      <c r="AY135" s="3"/>
    </row>
    <row r="136" spans="1:51" ht="13.5" customHeight="1">
      <c r="A136" s="194"/>
      <c r="B136" s="587"/>
      <c r="C136" s="587"/>
      <c r="D136" s="587"/>
      <c r="E136" s="587"/>
      <c r="F136" s="588"/>
      <c r="G136" s="587"/>
      <c r="H136" s="589"/>
      <c r="I136" s="590"/>
      <c r="J136" s="591"/>
      <c r="K136" s="592"/>
      <c r="L136" s="593"/>
      <c r="M136" s="587"/>
      <c r="N136" s="587"/>
      <c r="O136" s="587"/>
      <c r="P136" s="587"/>
      <c r="Q136" s="588"/>
      <c r="R136" s="587"/>
      <c r="S136" s="594"/>
      <c r="T136" s="595"/>
      <c r="U136" s="595"/>
      <c r="V136" s="512"/>
      <c r="W136" s="512"/>
      <c r="X136" s="512"/>
      <c r="Y136" s="512"/>
      <c r="Z136" s="512"/>
      <c r="AA136" s="512"/>
      <c r="AB136" s="512"/>
      <c r="AC136" s="512"/>
      <c r="AD136" s="512"/>
      <c r="AE136" s="4"/>
      <c r="AF136" s="3"/>
      <c r="AG136" s="3"/>
      <c r="AH136" s="3"/>
      <c r="AI136" s="3"/>
      <c r="AJ136" s="3"/>
      <c r="AK136" s="3"/>
      <c r="AL136" s="3"/>
      <c r="AM136" s="3"/>
      <c r="AN136" s="3"/>
      <c r="AO136" s="3"/>
      <c r="AP136" s="3"/>
      <c r="AQ136" s="3"/>
      <c r="AR136" s="3"/>
      <c r="AS136" s="3"/>
      <c r="AT136" s="3"/>
      <c r="AU136" s="3"/>
      <c r="AV136" s="3"/>
      <c r="AW136" s="3"/>
      <c r="AX136" s="3"/>
      <c r="AY136" s="3"/>
    </row>
    <row r="137" spans="1:51" ht="13.5" customHeight="1">
      <c r="A137" s="194"/>
      <c r="B137" s="587"/>
      <c r="C137" s="587"/>
      <c r="D137" s="587"/>
      <c r="E137" s="587"/>
      <c r="F137" s="588"/>
      <c r="G137" s="587"/>
      <c r="H137" s="589"/>
      <c r="I137" s="590"/>
      <c r="J137" s="591"/>
      <c r="K137" s="592"/>
      <c r="L137" s="593"/>
      <c r="M137" s="587"/>
      <c r="N137" s="587"/>
      <c r="O137" s="587"/>
      <c r="P137" s="587"/>
      <c r="Q137" s="588"/>
      <c r="R137" s="587"/>
      <c r="S137" s="594"/>
      <c r="T137" s="595"/>
      <c r="U137" s="595"/>
      <c r="V137" s="512"/>
      <c r="W137" s="512"/>
      <c r="X137" s="512"/>
      <c r="Y137" s="512"/>
      <c r="Z137" s="512"/>
      <c r="AA137" s="512"/>
      <c r="AB137" s="512"/>
      <c r="AC137" s="512"/>
      <c r="AD137" s="512"/>
      <c r="AE137" s="4"/>
      <c r="AF137" s="3"/>
      <c r="AG137" s="3"/>
      <c r="AH137" s="3"/>
      <c r="AI137" s="3"/>
      <c r="AJ137" s="3"/>
      <c r="AK137" s="3"/>
      <c r="AL137" s="3"/>
      <c r="AM137" s="3"/>
      <c r="AN137" s="3"/>
      <c r="AO137" s="3"/>
      <c r="AP137" s="3"/>
      <c r="AQ137" s="3"/>
      <c r="AR137" s="3"/>
      <c r="AS137" s="3"/>
      <c r="AT137" s="3"/>
      <c r="AU137" s="3"/>
      <c r="AV137" s="3"/>
      <c r="AW137" s="3"/>
      <c r="AX137" s="3"/>
      <c r="AY137" s="3"/>
    </row>
    <row r="138" spans="1:51" ht="13.5" customHeight="1">
      <c r="A138" s="194"/>
      <c r="B138" s="587"/>
      <c r="C138" s="587"/>
      <c r="D138" s="587"/>
      <c r="E138" s="587"/>
      <c r="F138" s="588"/>
      <c r="G138" s="587"/>
      <c r="H138" s="589"/>
      <c r="I138" s="590"/>
      <c r="J138" s="591"/>
      <c r="K138" s="592"/>
      <c r="L138" s="593"/>
      <c r="M138" s="587"/>
      <c r="N138" s="587"/>
      <c r="O138" s="587"/>
      <c r="P138" s="587"/>
      <c r="Q138" s="588"/>
      <c r="R138" s="587"/>
      <c r="S138" s="594"/>
      <c r="T138" s="595"/>
      <c r="U138" s="595"/>
      <c r="V138" s="512"/>
      <c r="W138" s="512"/>
      <c r="X138" s="512"/>
      <c r="Y138" s="512"/>
      <c r="Z138" s="512"/>
      <c r="AA138" s="512"/>
      <c r="AB138" s="512"/>
      <c r="AC138" s="512"/>
      <c r="AD138" s="512"/>
      <c r="AE138" s="4"/>
      <c r="AF138" s="3"/>
      <c r="AG138" s="3"/>
      <c r="AH138" s="3"/>
      <c r="AI138" s="3"/>
      <c r="AJ138" s="3"/>
      <c r="AK138" s="3"/>
      <c r="AL138" s="3"/>
      <c r="AM138" s="3"/>
      <c r="AN138" s="3"/>
      <c r="AO138" s="3"/>
      <c r="AP138" s="3"/>
      <c r="AQ138" s="3"/>
      <c r="AR138" s="3"/>
      <c r="AS138" s="3"/>
      <c r="AT138" s="3"/>
      <c r="AU138" s="3"/>
      <c r="AV138" s="3"/>
      <c r="AW138" s="3"/>
      <c r="AX138" s="3"/>
      <c r="AY138" s="3"/>
    </row>
    <row r="139" spans="1:51" ht="13.5" customHeight="1">
      <c r="A139" s="194"/>
      <c r="B139" s="587"/>
      <c r="C139" s="587"/>
      <c r="D139" s="587"/>
      <c r="E139" s="587"/>
      <c r="F139" s="588"/>
      <c r="G139" s="587"/>
      <c r="H139" s="589"/>
      <c r="I139" s="590"/>
      <c r="J139" s="591"/>
      <c r="K139" s="592"/>
      <c r="L139" s="593"/>
      <c r="M139" s="587"/>
      <c r="N139" s="587"/>
      <c r="O139" s="587"/>
      <c r="P139" s="587"/>
      <c r="Q139" s="588"/>
      <c r="R139" s="587"/>
      <c r="S139" s="594"/>
      <c r="T139" s="595"/>
      <c r="U139" s="595"/>
      <c r="V139" s="512"/>
      <c r="W139" s="512"/>
      <c r="X139" s="512"/>
      <c r="Y139" s="512"/>
      <c r="Z139" s="512"/>
      <c r="AA139" s="512"/>
      <c r="AB139" s="512"/>
      <c r="AC139" s="512"/>
      <c r="AD139" s="512"/>
      <c r="AE139" s="4"/>
      <c r="AF139" s="3"/>
      <c r="AG139" s="3"/>
      <c r="AH139" s="3"/>
      <c r="AI139" s="3"/>
      <c r="AJ139" s="3"/>
      <c r="AK139" s="3"/>
      <c r="AL139" s="3"/>
      <c r="AM139" s="3"/>
      <c r="AN139" s="3"/>
      <c r="AO139" s="3"/>
      <c r="AP139" s="3"/>
      <c r="AQ139" s="3"/>
      <c r="AR139" s="3"/>
      <c r="AS139" s="3"/>
      <c r="AT139" s="3"/>
      <c r="AU139" s="3"/>
      <c r="AV139" s="3"/>
      <c r="AW139" s="3"/>
      <c r="AX139" s="3"/>
      <c r="AY139" s="3"/>
    </row>
    <row r="140" spans="1:51" ht="13.5" customHeight="1">
      <c r="A140" s="194"/>
      <c r="B140" s="587"/>
      <c r="C140" s="587"/>
      <c r="D140" s="587"/>
      <c r="E140" s="587"/>
      <c r="F140" s="588"/>
      <c r="G140" s="587"/>
      <c r="H140" s="589"/>
      <c r="I140" s="590"/>
      <c r="J140" s="591"/>
      <c r="K140" s="592"/>
      <c r="L140" s="593"/>
      <c r="M140" s="587"/>
      <c r="N140" s="587"/>
      <c r="O140" s="587"/>
      <c r="P140" s="587"/>
      <c r="Q140" s="588"/>
      <c r="R140" s="587"/>
      <c r="S140" s="594"/>
      <c r="T140" s="595"/>
      <c r="U140" s="595"/>
      <c r="V140" s="512"/>
      <c r="W140" s="512"/>
      <c r="X140" s="512"/>
      <c r="Y140" s="512"/>
      <c r="Z140" s="512"/>
      <c r="AA140" s="512"/>
      <c r="AB140" s="512"/>
      <c r="AC140" s="512"/>
      <c r="AD140" s="512"/>
      <c r="AE140" s="4"/>
      <c r="AF140" s="3"/>
      <c r="AG140" s="3"/>
      <c r="AH140" s="3"/>
      <c r="AI140" s="3"/>
      <c r="AJ140" s="3"/>
      <c r="AK140" s="3"/>
      <c r="AL140" s="3"/>
      <c r="AM140" s="3"/>
      <c r="AN140" s="3"/>
      <c r="AO140" s="3"/>
      <c r="AP140" s="3"/>
      <c r="AQ140" s="3"/>
      <c r="AR140" s="3"/>
      <c r="AS140" s="3"/>
      <c r="AT140" s="3"/>
      <c r="AU140" s="3"/>
      <c r="AV140" s="3"/>
      <c r="AW140" s="3"/>
      <c r="AX140" s="3"/>
      <c r="AY140" s="3"/>
    </row>
    <row r="141" spans="1:51" ht="13.5" customHeight="1">
      <c r="A141" s="194"/>
      <c r="B141" s="587"/>
      <c r="C141" s="587"/>
      <c r="D141" s="587"/>
      <c r="E141" s="587"/>
      <c r="F141" s="588"/>
      <c r="G141" s="587"/>
      <c r="H141" s="589"/>
      <c r="I141" s="590"/>
      <c r="J141" s="591"/>
      <c r="K141" s="592"/>
      <c r="L141" s="593"/>
      <c r="M141" s="587"/>
      <c r="N141" s="587"/>
      <c r="O141" s="587"/>
      <c r="P141" s="587"/>
      <c r="Q141" s="588"/>
      <c r="R141" s="587"/>
      <c r="S141" s="594"/>
      <c r="T141" s="595"/>
      <c r="U141" s="595"/>
      <c r="V141" s="512"/>
      <c r="W141" s="512"/>
      <c r="X141" s="512"/>
      <c r="Y141" s="512"/>
      <c r="Z141" s="512"/>
      <c r="AA141" s="512"/>
      <c r="AB141" s="512"/>
      <c r="AC141" s="512"/>
      <c r="AD141" s="512"/>
      <c r="AE141" s="4"/>
      <c r="AF141" s="3"/>
      <c r="AG141" s="3"/>
      <c r="AH141" s="3"/>
      <c r="AI141" s="3"/>
      <c r="AJ141" s="3"/>
      <c r="AK141" s="3"/>
      <c r="AL141" s="3"/>
      <c r="AM141" s="3"/>
      <c r="AN141" s="3"/>
      <c r="AO141" s="3"/>
      <c r="AP141" s="3"/>
      <c r="AQ141" s="3"/>
      <c r="AR141" s="3"/>
      <c r="AS141" s="3"/>
      <c r="AT141" s="3"/>
      <c r="AU141" s="3"/>
      <c r="AV141" s="3"/>
      <c r="AW141" s="3"/>
      <c r="AX141" s="3"/>
      <c r="AY141" s="3"/>
    </row>
    <row r="142" spans="1:51" ht="13.5" customHeight="1">
      <c r="A142" s="194"/>
      <c r="B142" s="587"/>
      <c r="C142" s="587"/>
      <c r="D142" s="587"/>
      <c r="E142" s="587"/>
      <c r="F142" s="588"/>
      <c r="G142" s="587"/>
      <c r="H142" s="589"/>
      <c r="I142" s="590"/>
      <c r="J142" s="591"/>
      <c r="K142" s="592"/>
      <c r="L142" s="593"/>
      <c r="M142" s="587"/>
      <c r="N142" s="587"/>
      <c r="O142" s="587"/>
      <c r="P142" s="587"/>
      <c r="Q142" s="588"/>
      <c r="R142" s="587"/>
      <c r="S142" s="594"/>
      <c r="T142" s="595"/>
      <c r="U142" s="595"/>
      <c r="V142" s="512"/>
      <c r="W142" s="512"/>
      <c r="X142" s="512"/>
      <c r="Y142" s="512"/>
      <c r="Z142" s="512"/>
      <c r="AA142" s="512"/>
      <c r="AB142" s="512"/>
      <c r="AC142" s="512"/>
      <c r="AD142" s="512"/>
      <c r="AE142" s="4"/>
      <c r="AF142" s="3"/>
      <c r="AG142" s="3"/>
      <c r="AH142" s="3"/>
      <c r="AI142" s="3"/>
      <c r="AJ142" s="3"/>
      <c r="AK142" s="3"/>
      <c r="AL142" s="3"/>
      <c r="AM142" s="3"/>
      <c r="AN142" s="3"/>
      <c r="AO142" s="3"/>
      <c r="AP142" s="3"/>
      <c r="AQ142" s="3"/>
      <c r="AR142" s="3"/>
      <c r="AS142" s="3"/>
      <c r="AT142" s="3"/>
      <c r="AU142" s="3"/>
      <c r="AV142" s="3"/>
      <c r="AW142" s="3"/>
      <c r="AX142" s="3"/>
      <c r="AY142" s="3"/>
    </row>
    <row r="143" spans="1:51" ht="13.5" customHeight="1">
      <c r="A143" s="194"/>
      <c r="B143" s="587"/>
      <c r="C143" s="587"/>
      <c r="D143" s="587"/>
      <c r="E143" s="587"/>
      <c r="F143" s="588"/>
      <c r="G143" s="587"/>
      <c r="H143" s="589"/>
      <c r="I143" s="590"/>
      <c r="J143" s="591"/>
      <c r="K143" s="592"/>
      <c r="L143" s="593"/>
      <c r="M143" s="587"/>
      <c r="N143" s="587"/>
      <c r="O143" s="587"/>
      <c r="P143" s="587"/>
      <c r="Q143" s="588"/>
      <c r="R143" s="587"/>
      <c r="S143" s="594"/>
      <c r="T143" s="595"/>
      <c r="U143" s="595"/>
      <c r="V143" s="512"/>
      <c r="W143" s="512"/>
      <c r="X143" s="512"/>
      <c r="Y143" s="512"/>
      <c r="Z143" s="512"/>
      <c r="AA143" s="512"/>
      <c r="AB143" s="512"/>
      <c r="AC143" s="512"/>
      <c r="AD143" s="512"/>
      <c r="AE143" s="4"/>
      <c r="AF143" s="3"/>
      <c r="AG143" s="3"/>
      <c r="AH143" s="3"/>
      <c r="AI143" s="3"/>
      <c r="AJ143" s="3"/>
      <c r="AK143" s="3"/>
      <c r="AL143" s="3"/>
      <c r="AM143" s="3"/>
      <c r="AN143" s="3"/>
      <c r="AO143" s="3"/>
      <c r="AP143" s="3"/>
      <c r="AQ143" s="3"/>
      <c r="AR143" s="3"/>
      <c r="AS143" s="3"/>
      <c r="AT143" s="3"/>
      <c r="AU143" s="3"/>
      <c r="AV143" s="3"/>
      <c r="AW143" s="3"/>
      <c r="AX143" s="3"/>
      <c r="AY143" s="3"/>
    </row>
    <row r="144" spans="1:51" ht="13.5" customHeight="1">
      <c r="A144" s="194"/>
      <c r="B144" s="587"/>
      <c r="C144" s="587"/>
      <c r="D144" s="587"/>
      <c r="E144" s="587"/>
      <c r="F144" s="588"/>
      <c r="G144" s="587"/>
      <c r="H144" s="589"/>
      <c r="I144" s="590"/>
      <c r="J144" s="591"/>
      <c r="K144" s="592"/>
      <c r="L144" s="593"/>
      <c r="M144" s="587"/>
      <c r="N144" s="587"/>
      <c r="O144" s="587"/>
      <c r="P144" s="587"/>
      <c r="Q144" s="588"/>
      <c r="R144" s="587"/>
      <c r="S144" s="594"/>
      <c r="T144" s="595"/>
      <c r="U144" s="595"/>
      <c r="V144" s="512"/>
      <c r="W144" s="512"/>
      <c r="X144" s="512"/>
      <c r="Y144" s="512"/>
      <c r="Z144" s="512"/>
      <c r="AA144" s="512"/>
      <c r="AB144" s="512"/>
      <c r="AC144" s="512"/>
      <c r="AD144" s="512"/>
      <c r="AE144" s="4"/>
      <c r="AF144" s="3"/>
      <c r="AG144" s="3"/>
      <c r="AH144" s="3"/>
      <c r="AI144" s="3"/>
      <c r="AJ144" s="3"/>
      <c r="AK144" s="3"/>
      <c r="AL144" s="3"/>
      <c r="AM144" s="3"/>
      <c r="AN144" s="3"/>
      <c r="AO144" s="3"/>
      <c r="AP144" s="3"/>
      <c r="AQ144" s="3"/>
      <c r="AR144" s="3"/>
      <c r="AS144" s="3"/>
      <c r="AT144" s="3"/>
      <c r="AU144" s="3"/>
      <c r="AV144" s="3"/>
      <c r="AW144" s="3"/>
      <c r="AX144" s="3"/>
      <c r="AY144" s="3"/>
    </row>
    <row r="145" spans="1:51" ht="13.5" customHeight="1">
      <c r="A145" s="194"/>
      <c r="B145" s="587"/>
      <c r="C145" s="587"/>
      <c r="D145" s="587"/>
      <c r="E145" s="587"/>
      <c r="F145" s="588"/>
      <c r="G145" s="587"/>
      <c r="H145" s="589"/>
      <c r="I145" s="590"/>
      <c r="J145" s="591"/>
      <c r="K145" s="592"/>
      <c r="L145" s="593"/>
      <c r="M145" s="587"/>
      <c r="N145" s="587"/>
      <c r="O145" s="587"/>
      <c r="P145" s="587"/>
      <c r="Q145" s="588"/>
      <c r="R145" s="587"/>
      <c r="S145" s="594"/>
      <c r="T145" s="595"/>
      <c r="U145" s="595"/>
      <c r="V145" s="512"/>
      <c r="W145" s="512"/>
      <c r="X145" s="512"/>
      <c r="Y145" s="512"/>
      <c r="Z145" s="512"/>
      <c r="AA145" s="512"/>
      <c r="AB145" s="512"/>
      <c r="AC145" s="512"/>
      <c r="AD145" s="512"/>
      <c r="AE145" s="4"/>
      <c r="AF145" s="3"/>
      <c r="AG145" s="3"/>
      <c r="AH145" s="3"/>
      <c r="AI145" s="3"/>
      <c r="AJ145" s="3"/>
      <c r="AK145" s="3"/>
      <c r="AL145" s="3"/>
      <c r="AM145" s="3"/>
      <c r="AN145" s="3"/>
      <c r="AO145" s="3"/>
      <c r="AP145" s="3"/>
      <c r="AQ145" s="3"/>
      <c r="AR145" s="3"/>
      <c r="AS145" s="3"/>
      <c r="AT145" s="3"/>
      <c r="AU145" s="3"/>
      <c r="AV145" s="3"/>
      <c r="AW145" s="3"/>
      <c r="AX145" s="3"/>
      <c r="AY145" s="3"/>
    </row>
    <row r="146" spans="1:51" ht="13.5" customHeight="1">
      <c r="A146" s="194"/>
      <c r="B146" s="587"/>
      <c r="C146" s="587"/>
      <c r="D146" s="587"/>
      <c r="E146" s="587"/>
      <c r="F146" s="588"/>
      <c r="G146" s="587"/>
      <c r="H146" s="589"/>
      <c r="I146" s="590"/>
      <c r="J146" s="591"/>
      <c r="K146" s="592"/>
      <c r="L146" s="593"/>
      <c r="M146" s="587"/>
      <c r="N146" s="587"/>
      <c r="O146" s="587"/>
      <c r="P146" s="587"/>
      <c r="Q146" s="588"/>
      <c r="R146" s="587"/>
      <c r="S146" s="594"/>
      <c r="T146" s="595"/>
      <c r="U146" s="595"/>
      <c r="V146" s="512"/>
      <c r="W146" s="512"/>
      <c r="X146" s="512"/>
      <c r="Y146" s="512"/>
      <c r="Z146" s="512"/>
      <c r="AA146" s="512"/>
      <c r="AB146" s="512"/>
      <c r="AC146" s="512"/>
      <c r="AD146" s="512"/>
      <c r="AE146" s="4"/>
      <c r="AF146" s="3"/>
      <c r="AG146" s="3"/>
      <c r="AH146" s="3"/>
      <c r="AI146" s="3"/>
      <c r="AJ146" s="3"/>
      <c r="AK146" s="3"/>
      <c r="AL146" s="3"/>
      <c r="AM146" s="3"/>
      <c r="AN146" s="3"/>
      <c r="AO146" s="3"/>
      <c r="AP146" s="3"/>
      <c r="AQ146" s="3"/>
      <c r="AR146" s="3"/>
      <c r="AS146" s="3"/>
      <c r="AT146" s="3"/>
      <c r="AU146" s="3"/>
      <c r="AV146" s="3"/>
      <c r="AW146" s="3"/>
      <c r="AX146" s="3"/>
      <c r="AY146" s="3"/>
    </row>
    <row r="147" spans="1:51" ht="13.5" customHeight="1">
      <c r="A147" s="194"/>
      <c r="B147" s="587"/>
      <c r="C147" s="587"/>
      <c r="D147" s="587"/>
      <c r="E147" s="587"/>
      <c r="F147" s="588"/>
      <c r="G147" s="587"/>
      <c r="H147" s="589"/>
      <c r="I147" s="590"/>
      <c r="J147" s="591"/>
      <c r="K147" s="592"/>
      <c r="L147" s="593"/>
      <c r="M147" s="587"/>
      <c r="N147" s="587"/>
      <c r="O147" s="587"/>
      <c r="P147" s="587"/>
      <c r="Q147" s="588"/>
      <c r="R147" s="587"/>
      <c r="S147" s="594"/>
      <c r="T147" s="595"/>
      <c r="U147" s="595"/>
      <c r="V147" s="512"/>
      <c r="W147" s="512"/>
      <c r="X147" s="512"/>
      <c r="Y147" s="512"/>
      <c r="Z147" s="512"/>
      <c r="AA147" s="512"/>
      <c r="AB147" s="512"/>
      <c r="AC147" s="512"/>
      <c r="AD147" s="512"/>
      <c r="AE147" s="4"/>
      <c r="AF147" s="3"/>
      <c r="AG147" s="3"/>
      <c r="AH147" s="3"/>
      <c r="AI147" s="3"/>
      <c r="AJ147" s="3"/>
      <c r="AK147" s="3"/>
      <c r="AL147" s="3"/>
      <c r="AM147" s="3"/>
      <c r="AN147" s="3"/>
      <c r="AO147" s="3"/>
      <c r="AP147" s="3"/>
      <c r="AQ147" s="3"/>
      <c r="AR147" s="3"/>
      <c r="AS147" s="3"/>
      <c r="AT147" s="3"/>
      <c r="AU147" s="3"/>
      <c r="AV147" s="3"/>
      <c r="AW147" s="3"/>
      <c r="AX147" s="3"/>
      <c r="AY147" s="3"/>
    </row>
    <row r="148" spans="1:51" ht="13.5" customHeight="1">
      <c r="A148" s="194"/>
      <c r="B148" s="587"/>
      <c r="C148" s="587"/>
      <c r="D148" s="587"/>
      <c r="E148" s="587"/>
      <c r="F148" s="588"/>
      <c r="G148" s="587"/>
      <c r="H148" s="589"/>
      <c r="I148" s="590"/>
      <c r="J148" s="591"/>
      <c r="K148" s="592"/>
      <c r="L148" s="593"/>
      <c r="M148" s="587"/>
      <c r="N148" s="587"/>
      <c r="O148" s="587"/>
      <c r="P148" s="587"/>
      <c r="Q148" s="588"/>
      <c r="R148" s="587"/>
      <c r="S148" s="594"/>
      <c r="T148" s="595"/>
      <c r="U148" s="595"/>
      <c r="V148" s="512"/>
      <c r="W148" s="512"/>
      <c r="X148" s="512"/>
      <c r="Y148" s="512"/>
      <c r="Z148" s="512"/>
      <c r="AA148" s="512"/>
      <c r="AB148" s="512"/>
      <c r="AC148" s="512"/>
      <c r="AD148" s="512"/>
      <c r="AE148" s="4"/>
      <c r="AF148" s="3"/>
      <c r="AG148" s="3"/>
      <c r="AH148" s="3"/>
      <c r="AI148" s="3"/>
      <c r="AJ148" s="3"/>
      <c r="AK148" s="3"/>
      <c r="AL148" s="3"/>
      <c r="AM148" s="3"/>
      <c r="AN148" s="3"/>
      <c r="AO148" s="3"/>
      <c r="AP148" s="3"/>
      <c r="AQ148" s="3"/>
      <c r="AR148" s="3"/>
      <c r="AS148" s="3"/>
      <c r="AT148" s="3"/>
      <c r="AU148" s="3"/>
      <c r="AV148" s="3"/>
      <c r="AW148" s="3"/>
      <c r="AX148" s="3"/>
      <c r="AY148" s="3"/>
    </row>
    <row r="149" spans="1:51" ht="13.5" customHeight="1">
      <c r="A149" s="194"/>
      <c r="B149" s="587"/>
      <c r="C149" s="587"/>
      <c r="D149" s="587"/>
      <c r="E149" s="587"/>
      <c r="F149" s="588"/>
      <c r="G149" s="587"/>
      <c r="H149" s="589"/>
      <c r="I149" s="590"/>
      <c r="J149" s="591"/>
      <c r="K149" s="592"/>
      <c r="L149" s="593"/>
      <c r="M149" s="587"/>
      <c r="N149" s="587"/>
      <c r="O149" s="587"/>
      <c r="P149" s="587"/>
      <c r="Q149" s="588"/>
      <c r="R149" s="587"/>
      <c r="S149" s="594"/>
      <c r="T149" s="595"/>
      <c r="U149" s="595"/>
      <c r="V149" s="512"/>
      <c r="W149" s="512"/>
      <c r="X149" s="512"/>
      <c r="Y149" s="512"/>
      <c r="Z149" s="512"/>
      <c r="AA149" s="512"/>
      <c r="AB149" s="512"/>
      <c r="AC149" s="512"/>
      <c r="AD149" s="512"/>
      <c r="AE149" s="4"/>
      <c r="AF149" s="3"/>
      <c r="AG149" s="3"/>
      <c r="AH149" s="3"/>
      <c r="AI149" s="3"/>
      <c r="AJ149" s="3"/>
      <c r="AK149" s="3"/>
      <c r="AL149" s="3"/>
      <c r="AM149" s="3"/>
      <c r="AN149" s="3"/>
      <c r="AO149" s="3"/>
      <c r="AP149" s="3"/>
      <c r="AQ149" s="3"/>
      <c r="AR149" s="3"/>
      <c r="AS149" s="3"/>
      <c r="AT149" s="3"/>
      <c r="AU149" s="3"/>
      <c r="AV149" s="3"/>
      <c r="AW149" s="3"/>
      <c r="AX149" s="3"/>
      <c r="AY149" s="3"/>
    </row>
    <row r="150" spans="1:51" ht="13.5" customHeight="1">
      <c r="A150" s="194"/>
      <c r="B150" s="587"/>
      <c r="C150" s="587"/>
      <c r="D150" s="587"/>
      <c r="E150" s="587"/>
      <c r="F150" s="588"/>
      <c r="G150" s="587"/>
      <c r="H150" s="589"/>
      <c r="I150" s="590"/>
      <c r="J150" s="591"/>
      <c r="K150" s="592"/>
      <c r="L150" s="593"/>
      <c r="M150" s="587"/>
      <c r="N150" s="587"/>
      <c r="O150" s="587"/>
      <c r="P150" s="587"/>
      <c r="Q150" s="588"/>
      <c r="R150" s="587"/>
      <c r="S150" s="594"/>
      <c r="T150" s="595"/>
      <c r="U150" s="595"/>
      <c r="V150" s="512"/>
      <c r="W150" s="512"/>
      <c r="X150" s="512"/>
      <c r="Y150" s="512"/>
      <c r="Z150" s="512"/>
      <c r="AA150" s="512"/>
      <c r="AB150" s="512"/>
      <c r="AC150" s="512"/>
      <c r="AD150" s="512"/>
      <c r="AE150" s="4"/>
      <c r="AF150" s="3"/>
      <c r="AG150" s="3"/>
      <c r="AH150" s="3"/>
      <c r="AI150" s="3"/>
      <c r="AJ150" s="3"/>
      <c r="AK150" s="3"/>
      <c r="AL150" s="3"/>
      <c r="AM150" s="3"/>
      <c r="AN150" s="3"/>
      <c r="AO150" s="3"/>
      <c r="AP150" s="3"/>
      <c r="AQ150" s="3"/>
      <c r="AR150" s="3"/>
      <c r="AS150" s="3"/>
      <c r="AT150" s="3"/>
      <c r="AU150" s="3"/>
      <c r="AV150" s="3"/>
      <c r="AW150" s="3"/>
      <c r="AX150" s="3"/>
      <c r="AY150" s="3"/>
    </row>
    <row r="151" spans="1:51" ht="13.5" customHeight="1">
      <c r="A151" s="194"/>
      <c r="B151" s="587"/>
      <c r="C151" s="587"/>
      <c r="D151" s="587"/>
      <c r="E151" s="587"/>
      <c r="F151" s="588"/>
      <c r="G151" s="587"/>
      <c r="H151" s="589"/>
      <c r="I151" s="590"/>
      <c r="J151" s="591"/>
      <c r="K151" s="592"/>
      <c r="L151" s="593"/>
      <c r="M151" s="587"/>
      <c r="N151" s="587"/>
      <c r="O151" s="587"/>
      <c r="P151" s="587"/>
      <c r="Q151" s="588"/>
      <c r="R151" s="587"/>
      <c r="S151" s="594"/>
      <c r="T151" s="595"/>
      <c r="U151" s="595"/>
      <c r="V151" s="512"/>
      <c r="W151" s="512"/>
      <c r="X151" s="512"/>
      <c r="Y151" s="512"/>
      <c r="Z151" s="512"/>
      <c r="AA151" s="512"/>
      <c r="AB151" s="512"/>
      <c r="AC151" s="512"/>
      <c r="AD151" s="512"/>
      <c r="AE151" s="4"/>
      <c r="AF151" s="3"/>
      <c r="AG151" s="3"/>
      <c r="AH151" s="3"/>
      <c r="AI151" s="3"/>
      <c r="AJ151" s="3"/>
      <c r="AK151" s="3"/>
      <c r="AL151" s="3"/>
      <c r="AM151" s="3"/>
      <c r="AN151" s="3"/>
      <c r="AO151" s="3"/>
      <c r="AP151" s="3"/>
      <c r="AQ151" s="3"/>
      <c r="AR151" s="3"/>
      <c r="AS151" s="3"/>
      <c r="AT151" s="3"/>
      <c r="AU151" s="3"/>
      <c r="AV151" s="3"/>
      <c r="AW151" s="3"/>
      <c r="AX151" s="3"/>
      <c r="AY151" s="3"/>
    </row>
    <row r="152" spans="1:51" ht="13.5" customHeight="1">
      <c r="A152" s="194"/>
      <c r="B152" s="587"/>
      <c r="C152" s="587"/>
      <c r="D152" s="587"/>
      <c r="E152" s="587"/>
      <c r="F152" s="588"/>
      <c r="G152" s="587"/>
      <c r="H152" s="589"/>
      <c r="I152" s="590"/>
      <c r="J152" s="591"/>
      <c r="K152" s="592"/>
      <c r="L152" s="593"/>
      <c r="M152" s="587"/>
      <c r="N152" s="587"/>
      <c r="O152" s="587"/>
      <c r="P152" s="587"/>
      <c r="Q152" s="588"/>
      <c r="R152" s="587"/>
      <c r="S152" s="594"/>
      <c r="T152" s="595"/>
      <c r="U152" s="595"/>
      <c r="V152" s="512"/>
      <c r="W152" s="512"/>
      <c r="X152" s="512"/>
      <c r="Y152" s="512"/>
      <c r="Z152" s="512"/>
      <c r="AA152" s="512"/>
      <c r="AB152" s="512"/>
      <c r="AC152" s="512"/>
      <c r="AD152" s="512"/>
      <c r="AE152" s="4"/>
      <c r="AF152" s="3"/>
      <c r="AG152" s="3"/>
      <c r="AH152" s="3"/>
      <c r="AI152" s="3"/>
      <c r="AJ152" s="3"/>
      <c r="AK152" s="3"/>
      <c r="AL152" s="3"/>
      <c r="AM152" s="3"/>
      <c r="AN152" s="3"/>
      <c r="AO152" s="3"/>
      <c r="AP152" s="3"/>
      <c r="AQ152" s="3"/>
      <c r="AR152" s="3"/>
      <c r="AS152" s="3"/>
      <c r="AT152" s="3"/>
      <c r="AU152" s="3"/>
      <c r="AV152" s="3"/>
      <c r="AW152" s="3"/>
      <c r="AX152" s="3"/>
      <c r="AY152" s="3"/>
    </row>
    <row r="153" spans="1:51" ht="13.5" customHeight="1">
      <c r="A153" s="194"/>
      <c r="B153" s="587"/>
      <c r="C153" s="587"/>
      <c r="D153" s="587"/>
      <c r="E153" s="587"/>
      <c r="F153" s="588"/>
      <c r="G153" s="587"/>
      <c r="H153" s="589"/>
      <c r="I153" s="590"/>
      <c r="J153" s="591"/>
      <c r="K153" s="592"/>
      <c r="L153" s="593"/>
      <c r="M153" s="587"/>
      <c r="N153" s="587"/>
      <c r="O153" s="587"/>
      <c r="P153" s="587"/>
      <c r="Q153" s="588"/>
      <c r="R153" s="587"/>
      <c r="S153" s="594"/>
      <c r="T153" s="595"/>
      <c r="U153" s="595"/>
      <c r="V153" s="512"/>
      <c r="W153" s="512"/>
      <c r="X153" s="512"/>
      <c r="Y153" s="512"/>
      <c r="Z153" s="512"/>
      <c r="AA153" s="512"/>
      <c r="AB153" s="512"/>
      <c r="AC153" s="512"/>
      <c r="AD153" s="512"/>
      <c r="AE153" s="4"/>
      <c r="AF153" s="3"/>
      <c r="AG153" s="3"/>
      <c r="AH153" s="3"/>
      <c r="AI153" s="3"/>
      <c r="AJ153" s="3"/>
      <c r="AK153" s="3"/>
      <c r="AL153" s="3"/>
      <c r="AM153" s="3"/>
      <c r="AN153" s="3"/>
      <c r="AO153" s="3"/>
      <c r="AP153" s="3"/>
      <c r="AQ153" s="3"/>
      <c r="AR153" s="3"/>
      <c r="AS153" s="3"/>
      <c r="AT153" s="3"/>
      <c r="AU153" s="3"/>
      <c r="AV153" s="3"/>
      <c r="AW153" s="3"/>
      <c r="AX153" s="3"/>
      <c r="AY153" s="3"/>
    </row>
    <row r="154" spans="1:51" ht="13.5" customHeight="1">
      <c r="A154" s="194"/>
      <c r="B154" s="587"/>
      <c r="C154" s="587"/>
      <c r="D154" s="587"/>
      <c r="E154" s="587"/>
      <c r="F154" s="588"/>
      <c r="G154" s="587"/>
      <c r="H154" s="589"/>
      <c r="I154" s="590"/>
      <c r="J154" s="591"/>
      <c r="K154" s="592"/>
      <c r="L154" s="593"/>
      <c r="M154" s="587"/>
      <c r="N154" s="587"/>
      <c r="O154" s="587"/>
      <c r="P154" s="587"/>
      <c r="Q154" s="588"/>
      <c r="R154" s="587"/>
      <c r="S154" s="594"/>
      <c r="T154" s="595"/>
      <c r="U154" s="595"/>
      <c r="V154" s="512"/>
      <c r="W154" s="512"/>
      <c r="X154" s="512"/>
      <c r="Y154" s="512"/>
      <c r="Z154" s="512"/>
      <c r="AA154" s="512"/>
      <c r="AB154" s="512"/>
      <c r="AC154" s="512"/>
      <c r="AD154" s="512"/>
      <c r="AE154" s="4"/>
      <c r="AF154" s="3"/>
      <c r="AG154" s="3"/>
      <c r="AH154" s="3"/>
      <c r="AI154" s="3"/>
      <c r="AJ154" s="3"/>
      <c r="AK154" s="3"/>
      <c r="AL154" s="3"/>
      <c r="AM154" s="3"/>
      <c r="AN154" s="3"/>
      <c r="AO154" s="3"/>
      <c r="AP154" s="3"/>
      <c r="AQ154" s="3"/>
      <c r="AR154" s="3"/>
      <c r="AS154" s="3"/>
      <c r="AT154" s="3"/>
      <c r="AU154" s="3"/>
      <c r="AV154" s="3"/>
      <c r="AW154" s="3"/>
      <c r="AX154" s="3"/>
      <c r="AY154" s="3"/>
    </row>
    <row r="155" spans="1:51" ht="13.5" customHeight="1">
      <c r="A155" s="194"/>
      <c r="B155" s="587"/>
      <c r="C155" s="587"/>
      <c r="D155" s="587"/>
      <c r="E155" s="587"/>
      <c r="F155" s="588"/>
      <c r="G155" s="587"/>
      <c r="H155" s="589"/>
      <c r="I155" s="590"/>
      <c r="J155" s="591"/>
      <c r="K155" s="592"/>
      <c r="L155" s="593"/>
      <c r="M155" s="587"/>
      <c r="N155" s="587"/>
      <c r="O155" s="587"/>
      <c r="P155" s="587"/>
      <c r="Q155" s="588"/>
      <c r="R155" s="587"/>
      <c r="S155" s="594"/>
      <c r="T155" s="595"/>
      <c r="U155" s="595"/>
      <c r="V155" s="512"/>
      <c r="W155" s="512"/>
      <c r="X155" s="512"/>
      <c r="Y155" s="512"/>
      <c r="Z155" s="512"/>
      <c r="AA155" s="512"/>
      <c r="AB155" s="512"/>
      <c r="AC155" s="512"/>
      <c r="AD155" s="512"/>
      <c r="AE155" s="4"/>
      <c r="AF155" s="3"/>
      <c r="AG155" s="3"/>
      <c r="AH155" s="3"/>
      <c r="AI155" s="3"/>
      <c r="AJ155" s="3"/>
      <c r="AK155" s="3"/>
      <c r="AL155" s="3"/>
      <c r="AM155" s="3"/>
      <c r="AN155" s="3"/>
      <c r="AO155" s="3"/>
      <c r="AP155" s="3"/>
      <c r="AQ155" s="3"/>
      <c r="AR155" s="3"/>
      <c r="AS155" s="3"/>
      <c r="AT155" s="3"/>
      <c r="AU155" s="3"/>
      <c r="AV155" s="3"/>
      <c r="AW155" s="3"/>
      <c r="AX155" s="3"/>
      <c r="AY155" s="3"/>
    </row>
    <row r="156" spans="1:51" ht="13.5" customHeight="1">
      <c r="A156" s="194"/>
      <c r="B156" s="587"/>
      <c r="C156" s="587"/>
      <c r="D156" s="587"/>
      <c r="E156" s="587"/>
      <c r="F156" s="588"/>
      <c r="G156" s="587"/>
      <c r="H156" s="589"/>
      <c r="I156" s="590"/>
      <c r="J156" s="591"/>
      <c r="K156" s="592"/>
      <c r="L156" s="593"/>
      <c r="M156" s="587"/>
      <c r="N156" s="587"/>
      <c r="O156" s="587"/>
      <c r="P156" s="587"/>
      <c r="Q156" s="588"/>
      <c r="R156" s="587"/>
      <c r="S156" s="594"/>
      <c r="T156" s="595"/>
      <c r="U156" s="595"/>
      <c r="V156" s="512"/>
      <c r="W156" s="512"/>
      <c r="X156" s="512"/>
      <c r="Y156" s="512"/>
      <c r="Z156" s="512"/>
      <c r="AA156" s="512"/>
      <c r="AB156" s="512"/>
      <c r="AC156" s="512"/>
      <c r="AD156" s="512"/>
      <c r="AE156" s="4"/>
      <c r="AF156" s="3"/>
      <c r="AG156" s="3"/>
      <c r="AH156" s="3"/>
      <c r="AI156" s="3"/>
      <c r="AJ156" s="3"/>
      <c r="AK156" s="3"/>
      <c r="AL156" s="3"/>
      <c r="AM156" s="3"/>
      <c r="AN156" s="3"/>
      <c r="AO156" s="3"/>
      <c r="AP156" s="3"/>
      <c r="AQ156" s="3"/>
      <c r="AR156" s="3"/>
      <c r="AS156" s="3"/>
      <c r="AT156" s="3"/>
      <c r="AU156" s="3"/>
      <c r="AV156" s="3"/>
      <c r="AW156" s="3"/>
      <c r="AX156" s="3"/>
      <c r="AY156" s="3"/>
    </row>
    <row r="157" spans="1:51" ht="13.5" customHeight="1">
      <c r="A157" s="194"/>
      <c r="B157" s="587"/>
      <c r="C157" s="587"/>
      <c r="D157" s="587"/>
      <c r="E157" s="587"/>
      <c r="F157" s="588"/>
      <c r="G157" s="587"/>
      <c r="H157" s="589"/>
      <c r="I157" s="590"/>
      <c r="J157" s="591"/>
      <c r="K157" s="592"/>
      <c r="L157" s="593"/>
      <c r="M157" s="587"/>
      <c r="N157" s="587"/>
      <c r="O157" s="587"/>
      <c r="P157" s="587"/>
      <c r="Q157" s="588"/>
      <c r="R157" s="587"/>
      <c r="S157" s="594"/>
      <c r="T157" s="595"/>
      <c r="U157" s="595"/>
      <c r="V157" s="512"/>
      <c r="W157" s="512"/>
      <c r="X157" s="512"/>
      <c r="Y157" s="512"/>
      <c r="Z157" s="512"/>
      <c r="AA157" s="512"/>
      <c r="AB157" s="512"/>
      <c r="AC157" s="512"/>
      <c r="AD157" s="512"/>
      <c r="AE157" s="4"/>
      <c r="AF157" s="3"/>
      <c r="AG157" s="3"/>
      <c r="AH157" s="3"/>
      <c r="AI157" s="3"/>
      <c r="AJ157" s="3"/>
      <c r="AK157" s="3"/>
      <c r="AL157" s="3"/>
      <c r="AM157" s="3"/>
      <c r="AN157" s="3"/>
      <c r="AO157" s="3"/>
      <c r="AP157" s="3"/>
      <c r="AQ157" s="3"/>
      <c r="AR157" s="3"/>
      <c r="AS157" s="3"/>
      <c r="AT157" s="3"/>
      <c r="AU157" s="3"/>
      <c r="AV157" s="3"/>
      <c r="AW157" s="3"/>
      <c r="AX157" s="3"/>
      <c r="AY157" s="3"/>
    </row>
    <row r="158" spans="1:51" ht="13.5" customHeight="1">
      <c r="A158" s="194"/>
      <c r="B158" s="587"/>
      <c r="C158" s="587"/>
      <c r="D158" s="587"/>
      <c r="E158" s="587"/>
      <c r="F158" s="588"/>
      <c r="G158" s="587"/>
      <c r="H158" s="589"/>
      <c r="I158" s="590"/>
      <c r="J158" s="591"/>
      <c r="K158" s="592"/>
      <c r="L158" s="593"/>
      <c r="M158" s="587"/>
      <c r="N158" s="587"/>
      <c r="O158" s="587"/>
      <c r="P158" s="587"/>
      <c r="Q158" s="588"/>
      <c r="R158" s="587"/>
      <c r="S158" s="594"/>
      <c r="T158" s="595"/>
      <c r="U158" s="595"/>
      <c r="V158" s="512"/>
      <c r="W158" s="512"/>
      <c r="X158" s="512"/>
      <c r="Y158" s="512"/>
      <c r="Z158" s="512"/>
      <c r="AA158" s="512"/>
      <c r="AB158" s="512"/>
      <c r="AC158" s="512"/>
      <c r="AD158" s="512"/>
      <c r="AE158" s="4"/>
      <c r="AF158" s="3"/>
      <c r="AG158" s="3"/>
      <c r="AH158" s="3"/>
      <c r="AI158" s="3"/>
      <c r="AJ158" s="3"/>
      <c r="AK158" s="3"/>
      <c r="AL158" s="3"/>
      <c r="AM158" s="3"/>
      <c r="AN158" s="3"/>
      <c r="AO158" s="3"/>
      <c r="AP158" s="3"/>
      <c r="AQ158" s="3"/>
      <c r="AR158" s="3"/>
      <c r="AS158" s="3"/>
      <c r="AT158" s="3"/>
      <c r="AU158" s="3"/>
      <c r="AV158" s="3"/>
      <c r="AW158" s="3"/>
      <c r="AX158" s="3"/>
      <c r="AY158" s="3"/>
    </row>
    <row r="159" spans="1:51" ht="13.5" customHeight="1">
      <c r="A159" s="194"/>
      <c r="B159" s="587"/>
      <c r="C159" s="587"/>
      <c r="D159" s="587"/>
      <c r="E159" s="587"/>
      <c r="F159" s="588"/>
      <c r="G159" s="587"/>
      <c r="H159" s="589"/>
      <c r="I159" s="590"/>
      <c r="J159" s="591"/>
      <c r="K159" s="592"/>
      <c r="L159" s="593"/>
      <c r="M159" s="587"/>
      <c r="N159" s="587"/>
      <c r="O159" s="587"/>
      <c r="P159" s="587"/>
      <c r="Q159" s="588"/>
      <c r="R159" s="587"/>
      <c r="S159" s="594"/>
      <c r="T159" s="595"/>
      <c r="U159" s="595"/>
      <c r="V159" s="512"/>
      <c r="W159" s="512"/>
      <c r="X159" s="512"/>
      <c r="Y159" s="512"/>
      <c r="Z159" s="512"/>
      <c r="AA159" s="512"/>
      <c r="AB159" s="512"/>
      <c r="AC159" s="512"/>
      <c r="AD159" s="512"/>
      <c r="AE159" s="4"/>
      <c r="AF159" s="3"/>
      <c r="AG159" s="3"/>
      <c r="AH159" s="3"/>
      <c r="AI159" s="3"/>
      <c r="AJ159" s="3"/>
      <c r="AK159" s="3"/>
      <c r="AL159" s="3"/>
      <c r="AM159" s="3"/>
      <c r="AN159" s="3"/>
      <c r="AO159" s="3"/>
      <c r="AP159" s="3"/>
      <c r="AQ159" s="3"/>
      <c r="AR159" s="3"/>
      <c r="AS159" s="3"/>
      <c r="AT159" s="3"/>
      <c r="AU159" s="3"/>
      <c r="AV159" s="3"/>
      <c r="AW159" s="3"/>
      <c r="AX159" s="3"/>
      <c r="AY159" s="3"/>
    </row>
    <row r="160" spans="1:51" ht="13.5" customHeight="1">
      <c r="A160" s="194"/>
      <c r="B160" s="587"/>
      <c r="C160" s="587"/>
      <c r="D160" s="587"/>
      <c r="E160" s="587"/>
      <c r="F160" s="588"/>
      <c r="G160" s="587"/>
      <c r="H160" s="589"/>
      <c r="I160" s="590"/>
      <c r="J160" s="591"/>
      <c r="K160" s="592"/>
      <c r="L160" s="593"/>
      <c r="M160" s="587"/>
      <c r="N160" s="587"/>
      <c r="O160" s="587"/>
      <c r="P160" s="587"/>
      <c r="Q160" s="588"/>
      <c r="R160" s="587"/>
      <c r="S160" s="594"/>
      <c r="T160" s="595"/>
      <c r="U160" s="595"/>
      <c r="V160" s="512"/>
      <c r="W160" s="512"/>
      <c r="X160" s="512"/>
      <c r="Y160" s="512"/>
      <c r="Z160" s="512"/>
      <c r="AA160" s="512"/>
      <c r="AB160" s="512"/>
      <c r="AC160" s="512"/>
      <c r="AD160" s="512"/>
      <c r="AE160" s="4"/>
      <c r="AF160" s="3"/>
      <c r="AG160" s="3"/>
      <c r="AH160" s="3"/>
      <c r="AI160" s="3"/>
      <c r="AJ160" s="3"/>
      <c r="AK160" s="3"/>
      <c r="AL160" s="3"/>
      <c r="AM160" s="3"/>
      <c r="AN160" s="3"/>
      <c r="AO160" s="3"/>
      <c r="AP160" s="3"/>
      <c r="AQ160" s="3"/>
      <c r="AR160" s="3"/>
      <c r="AS160" s="3"/>
      <c r="AT160" s="3"/>
      <c r="AU160" s="3"/>
      <c r="AV160" s="3"/>
      <c r="AW160" s="3"/>
      <c r="AX160" s="3"/>
      <c r="AY160" s="3"/>
    </row>
    <row r="161" spans="1:51" ht="13.5" customHeight="1">
      <c r="A161" s="194"/>
      <c r="B161" s="587"/>
      <c r="C161" s="587"/>
      <c r="D161" s="587"/>
      <c r="E161" s="587"/>
      <c r="F161" s="588"/>
      <c r="G161" s="587"/>
      <c r="H161" s="589"/>
      <c r="I161" s="590"/>
      <c r="J161" s="591"/>
      <c r="K161" s="592"/>
      <c r="L161" s="593"/>
      <c r="M161" s="587"/>
      <c r="N161" s="587"/>
      <c r="O161" s="587"/>
      <c r="P161" s="587"/>
      <c r="Q161" s="588"/>
      <c r="R161" s="587"/>
      <c r="S161" s="594"/>
      <c r="T161" s="595"/>
      <c r="U161" s="595"/>
      <c r="V161" s="512"/>
      <c r="W161" s="512"/>
      <c r="X161" s="512"/>
      <c r="Y161" s="512"/>
      <c r="Z161" s="512"/>
      <c r="AA161" s="512"/>
      <c r="AB161" s="512"/>
      <c r="AC161" s="512"/>
      <c r="AD161" s="512"/>
      <c r="AE161" s="4"/>
      <c r="AF161" s="3"/>
      <c r="AG161" s="3"/>
      <c r="AH161" s="3"/>
      <c r="AI161" s="3"/>
      <c r="AJ161" s="3"/>
      <c r="AK161" s="3"/>
      <c r="AL161" s="3"/>
      <c r="AM161" s="3"/>
      <c r="AN161" s="3"/>
      <c r="AO161" s="3"/>
      <c r="AP161" s="3"/>
      <c r="AQ161" s="3"/>
      <c r="AR161" s="3"/>
      <c r="AS161" s="3"/>
      <c r="AT161" s="3"/>
      <c r="AU161" s="3"/>
      <c r="AV161" s="3"/>
      <c r="AW161" s="3"/>
      <c r="AX161" s="3"/>
      <c r="AY161" s="3"/>
    </row>
    <row r="162" spans="1:51" ht="13.5" customHeight="1">
      <c r="A162" s="194"/>
      <c r="B162" s="587"/>
      <c r="C162" s="587"/>
      <c r="D162" s="587"/>
      <c r="E162" s="587"/>
      <c r="F162" s="588"/>
      <c r="G162" s="587"/>
      <c r="H162" s="589"/>
      <c r="I162" s="590"/>
      <c r="J162" s="591"/>
      <c r="K162" s="592"/>
      <c r="L162" s="593"/>
      <c r="M162" s="587"/>
      <c r="N162" s="587"/>
      <c r="O162" s="587"/>
      <c r="P162" s="587"/>
      <c r="Q162" s="588"/>
      <c r="R162" s="587"/>
      <c r="S162" s="594"/>
      <c r="T162" s="595"/>
      <c r="U162" s="595"/>
      <c r="V162" s="512"/>
      <c r="W162" s="512"/>
      <c r="X162" s="512"/>
      <c r="Y162" s="512"/>
      <c r="Z162" s="512"/>
      <c r="AA162" s="512"/>
      <c r="AB162" s="512"/>
      <c r="AC162" s="512"/>
      <c r="AD162" s="512"/>
      <c r="AE162" s="4"/>
      <c r="AF162" s="3"/>
      <c r="AG162" s="3"/>
      <c r="AH162" s="3"/>
      <c r="AI162" s="3"/>
      <c r="AJ162" s="3"/>
      <c r="AK162" s="3"/>
      <c r="AL162" s="3"/>
      <c r="AM162" s="3"/>
      <c r="AN162" s="3"/>
      <c r="AO162" s="3"/>
      <c r="AP162" s="3"/>
      <c r="AQ162" s="3"/>
      <c r="AR162" s="3"/>
      <c r="AS162" s="3"/>
      <c r="AT162" s="3"/>
      <c r="AU162" s="3"/>
      <c r="AV162" s="3"/>
      <c r="AW162" s="3"/>
      <c r="AX162" s="3"/>
      <c r="AY162" s="3"/>
    </row>
    <row r="163" spans="1:51" ht="13.5" customHeight="1">
      <c r="A163" s="194"/>
      <c r="B163" s="587"/>
      <c r="C163" s="587"/>
      <c r="D163" s="587"/>
      <c r="E163" s="587"/>
      <c r="F163" s="588"/>
      <c r="G163" s="587"/>
      <c r="H163" s="589"/>
      <c r="I163" s="590"/>
      <c r="J163" s="591"/>
      <c r="K163" s="592"/>
      <c r="L163" s="593"/>
      <c r="M163" s="587"/>
      <c r="N163" s="587"/>
      <c r="O163" s="587"/>
      <c r="P163" s="587"/>
      <c r="Q163" s="588"/>
      <c r="R163" s="587"/>
      <c r="S163" s="594"/>
      <c r="T163" s="595"/>
      <c r="U163" s="595"/>
      <c r="V163" s="512"/>
      <c r="W163" s="512"/>
      <c r="X163" s="512"/>
      <c r="Y163" s="512"/>
      <c r="Z163" s="512"/>
      <c r="AA163" s="512"/>
      <c r="AB163" s="512"/>
      <c r="AC163" s="512"/>
      <c r="AD163" s="512"/>
      <c r="AE163" s="4"/>
      <c r="AF163" s="3"/>
      <c r="AG163" s="3"/>
      <c r="AH163" s="3"/>
      <c r="AI163" s="3"/>
      <c r="AJ163" s="3"/>
      <c r="AK163" s="3"/>
      <c r="AL163" s="3"/>
      <c r="AM163" s="3"/>
      <c r="AN163" s="3"/>
      <c r="AO163" s="3"/>
      <c r="AP163" s="3"/>
      <c r="AQ163" s="3"/>
      <c r="AR163" s="3"/>
      <c r="AS163" s="3"/>
      <c r="AT163" s="3"/>
      <c r="AU163" s="3"/>
      <c r="AV163" s="3"/>
      <c r="AW163" s="3"/>
      <c r="AX163" s="3"/>
      <c r="AY163" s="3"/>
    </row>
    <row r="164" spans="1:51" ht="13.5" customHeight="1">
      <c r="A164" s="194"/>
      <c r="B164" s="587"/>
      <c r="C164" s="587"/>
      <c r="D164" s="587"/>
      <c r="E164" s="587"/>
      <c r="F164" s="588"/>
      <c r="G164" s="587"/>
      <c r="H164" s="589"/>
      <c r="I164" s="590"/>
      <c r="J164" s="591"/>
      <c r="K164" s="592"/>
      <c r="L164" s="593"/>
      <c r="M164" s="587"/>
      <c r="N164" s="587"/>
      <c r="O164" s="587"/>
      <c r="P164" s="587"/>
      <c r="Q164" s="588"/>
      <c r="R164" s="587"/>
      <c r="S164" s="594"/>
      <c r="T164" s="595"/>
      <c r="U164" s="595"/>
      <c r="V164" s="512"/>
      <c r="W164" s="512"/>
      <c r="X164" s="512"/>
      <c r="Y164" s="512"/>
      <c r="Z164" s="512"/>
      <c r="AA164" s="512"/>
      <c r="AB164" s="512"/>
      <c r="AC164" s="512"/>
      <c r="AD164" s="512"/>
      <c r="AE164" s="4"/>
      <c r="AF164" s="3"/>
      <c r="AG164" s="3"/>
      <c r="AH164" s="3"/>
      <c r="AI164" s="3"/>
      <c r="AJ164" s="3"/>
      <c r="AK164" s="3"/>
      <c r="AL164" s="3"/>
      <c r="AM164" s="3"/>
      <c r="AN164" s="3"/>
      <c r="AO164" s="3"/>
      <c r="AP164" s="3"/>
      <c r="AQ164" s="3"/>
      <c r="AR164" s="3"/>
      <c r="AS164" s="3"/>
      <c r="AT164" s="3"/>
      <c r="AU164" s="3"/>
      <c r="AV164" s="3"/>
      <c r="AW164" s="3"/>
      <c r="AX164" s="3"/>
      <c r="AY164" s="3"/>
    </row>
    <row r="165" spans="1:51" ht="13.5" customHeight="1">
      <c r="A165" s="194"/>
      <c r="B165" s="587"/>
      <c r="C165" s="587"/>
      <c r="D165" s="587"/>
      <c r="E165" s="587"/>
      <c r="F165" s="588"/>
      <c r="G165" s="587"/>
      <c r="H165" s="589"/>
      <c r="I165" s="590"/>
      <c r="J165" s="591"/>
      <c r="K165" s="592"/>
      <c r="L165" s="593"/>
      <c r="M165" s="587"/>
      <c r="N165" s="587"/>
      <c r="O165" s="587"/>
      <c r="P165" s="587"/>
      <c r="Q165" s="588"/>
      <c r="R165" s="587"/>
      <c r="S165" s="594"/>
      <c r="T165" s="595"/>
      <c r="U165" s="595"/>
      <c r="V165" s="512"/>
      <c r="W165" s="512"/>
      <c r="X165" s="512"/>
      <c r="Y165" s="512"/>
      <c r="Z165" s="512"/>
      <c r="AA165" s="512"/>
      <c r="AB165" s="512"/>
      <c r="AC165" s="512"/>
      <c r="AD165" s="512"/>
      <c r="AE165" s="4"/>
      <c r="AF165" s="3"/>
      <c r="AG165" s="3"/>
      <c r="AH165" s="3"/>
      <c r="AI165" s="3"/>
      <c r="AJ165" s="3"/>
      <c r="AK165" s="3"/>
      <c r="AL165" s="3"/>
      <c r="AM165" s="3"/>
      <c r="AN165" s="3"/>
      <c r="AO165" s="3"/>
      <c r="AP165" s="3"/>
      <c r="AQ165" s="3"/>
      <c r="AR165" s="3"/>
      <c r="AS165" s="3"/>
      <c r="AT165" s="3"/>
      <c r="AU165" s="3"/>
      <c r="AV165" s="3"/>
      <c r="AW165" s="3"/>
      <c r="AX165" s="3"/>
      <c r="AY165" s="3"/>
    </row>
    <row r="166" spans="1:51" ht="13.5" customHeight="1">
      <c r="A166" s="194"/>
      <c r="B166" s="587"/>
      <c r="C166" s="587"/>
      <c r="D166" s="587"/>
      <c r="E166" s="587"/>
      <c r="F166" s="588"/>
      <c r="G166" s="587"/>
      <c r="H166" s="589"/>
      <c r="I166" s="590"/>
      <c r="J166" s="591"/>
      <c r="K166" s="592"/>
      <c r="L166" s="593"/>
      <c r="M166" s="587"/>
      <c r="N166" s="587"/>
      <c r="O166" s="587"/>
      <c r="P166" s="587"/>
      <c r="Q166" s="588"/>
      <c r="R166" s="587"/>
      <c r="S166" s="594"/>
      <c r="T166" s="595"/>
      <c r="U166" s="595"/>
      <c r="V166" s="512"/>
      <c r="W166" s="512"/>
      <c r="X166" s="512"/>
      <c r="Y166" s="512"/>
      <c r="Z166" s="512"/>
      <c r="AA166" s="512"/>
      <c r="AB166" s="512"/>
      <c r="AC166" s="512"/>
      <c r="AD166" s="512"/>
      <c r="AE166" s="4"/>
      <c r="AF166" s="3"/>
      <c r="AG166" s="3"/>
      <c r="AH166" s="3"/>
      <c r="AI166" s="3"/>
      <c r="AJ166" s="3"/>
      <c r="AK166" s="3"/>
      <c r="AL166" s="3"/>
      <c r="AM166" s="3"/>
      <c r="AN166" s="3"/>
      <c r="AO166" s="3"/>
      <c r="AP166" s="3"/>
      <c r="AQ166" s="3"/>
      <c r="AR166" s="3"/>
      <c r="AS166" s="3"/>
      <c r="AT166" s="3"/>
      <c r="AU166" s="3"/>
      <c r="AV166" s="3"/>
      <c r="AW166" s="3"/>
      <c r="AX166" s="3"/>
      <c r="AY166" s="3"/>
    </row>
    <row r="167" spans="1:51" ht="13.5" customHeight="1">
      <c r="A167" s="194"/>
      <c r="B167" s="587"/>
      <c r="C167" s="587"/>
      <c r="D167" s="587"/>
      <c r="E167" s="587"/>
      <c r="F167" s="588"/>
      <c r="G167" s="587"/>
      <c r="H167" s="589"/>
      <c r="I167" s="590"/>
      <c r="J167" s="591"/>
      <c r="K167" s="592"/>
      <c r="L167" s="593"/>
      <c r="M167" s="587"/>
      <c r="N167" s="587"/>
      <c r="O167" s="587"/>
      <c r="P167" s="587"/>
      <c r="Q167" s="588"/>
      <c r="R167" s="587"/>
      <c r="S167" s="594"/>
      <c r="T167" s="595"/>
      <c r="U167" s="595"/>
      <c r="V167" s="512"/>
      <c r="W167" s="512"/>
      <c r="X167" s="512"/>
      <c r="Y167" s="512"/>
      <c r="Z167" s="512"/>
      <c r="AA167" s="512"/>
      <c r="AB167" s="512"/>
      <c r="AC167" s="512"/>
      <c r="AD167" s="512"/>
      <c r="AE167" s="4"/>
      <c r="AF167" s="3"/>
      <c r="AG167" s="3"/>
      <c r="AH167" s="3"/>
      <c r="AI167" s="3"/>
      <c r="AJ167" s="3"/>
      <c r="AK167" s="3"/>
      <c r="AL167" s="3"/>
      <c r="AM167" s="3"/>
      <c r="AN167" s="3"/>
      <c r="AO167" s="3"/>
      <c r="AP167" s="3"/>
      <c r="AQ167" s="3"/>
      <c r="AR167" s="3"/>
      <c r="AS167" s="3"/>
      <c r="AT167" s="3"/>
      <c r="AU167" s="3"/>
      <c r="AV167" s="3"/>
      <c r="AW167" s="3"/>
      <c r="AX167" s="3"/>
      <c r="AY167" s="3"/>
    </row>
    <row r="168" spans="1:51" ht="13.5" customHeight="1">
      <c r="A168" s="194"/>
      <c r="B168" s="587"/>
      <c r="C168" s="587"/>
      <c r="D168" s="587"/>
      <c r="E168" s="587"/>
      <c r="F168" s="588"/>
      <c r="G168" s="587"/>
      <c r="H168" s="589"/>
      <c r="I168" s="590"/>
      <c r="J168" s="591"/>
      <c r="K168" s="592"/>
      <c r="L168" s="593"/>
      <c r="M168" s="587"/>
      <c r="N168" s="587"/>
      <c r="O168" s="587"/>
      <c r="P168" s="587"/>
      <c r="Q168" s="588"/>
      <c r="R168" s="587"/>
      <c r="S168" s="594"/>
      <c r="T168" s="595"/>
      <c r="U168" s="595"/>
      <c r="V168" s="512"/>
      <c r="W168" s="512"/>
      <c r="X168" s="512"/>
      <c r="Y168" s="512"/>
      <c r="Z168" s="512"/>
      <c r="AA168" s="512"/>
      <c r="AB168" s="512"/>
      <c r="AC168" s="512"/>
      <c r="AD168" s="512"/>
      <c r="AE168" s="4"/>
      <c r="AF168" s="3"/>
      <c r="AG168" s="3"/>
      <c r="AH168" s="3"/>
      <c r="AI168" s="3"/>
      <c r="AJ168" s="3"/>
      <c r="AK168" s="3"/>
      <c r="AL168" s="3"/>
      <c r="AM168" s="3"/>
      <c r="AN168" s="3"/>
      <c r="AO168" s="3"/>
      <c r="AP168" s="3"/>
      <c r="AQ168" s="3"/>
      <c r="AR168" s="3"/>
      <c r="AS168" s="3"/>
      <c r="AT168" s="3"/>
      <c r="AU168" s="3"/>
      <c r="AV168" s="3"/>
      <c r="AW168" s="3"/>
      <c r="AX168" s="3"/>
      <c r="AY168" s="3"/>
    </row>
    <row r="169" spans="1:51" ht="13.5" customHeight="1">
      <c r="A169" s="194"/>
      <c r="B169" s="587"/>
      <c r="C169" s="587"/>
      <c r="D169" s="587"/>
      <c r="E169" s="587"/>
      <c r="F169" s="588"/>
      <c r="G169" s="587"/>
      <c r="H169" s="589"/>
      <c r="I169" s="590"/>
      <c r="J169" s="591"/>
      <c r="K169" s="592"/>
      <c r="L169" s="593"/>
      <c r="M169" s="587"/>
      <c r="N169" s="587"/>
      <c r="O169" s="587"/>
      <c r="P169" s="587"/>
      <c r="Q169" s="588"/>
      <c r="R169" s="587"/>
      <c r="S169" s="594"/>
      <c r="T169" s="595"/>
      <c r="U169" s="595"/>
      <c r="V169" s="512"/>
      <c r="W169" s="512"/>
      <c r="X169" s="512"/>
      <c r="Y169" s="512"/>
      <c r="Z169" s="512"/>
      <c r="AA169" s="512"/>
      <c r="AB169" s="512"/>
      <c r="AC169" s="512"/>
      <c r="AD169" s="512"/>
      <c r="AE169" s="4"/>
      <c r="AF169" s="3"/>
      <c r="AG169" s="3"/>
      <c r="AH169" s="3"/>
      <c r="AI169" s="3"/>
      <c r="AJ169" s="3"/>
      <c r="AK169" s="3"/>
      <c r="AL169" s="3"/>
      <c r="AM169" s="3"/>
      <c r="AN169" s="3"/>
      <c r="AO169" s="3"/>
      <c r="AP169" s="3"/>
      <c r="AQ169" s="3"/>
      <c r="AR169" s="3"/>
      <c r="AS169" s="3"/>
      <c r="AT169" s="3"/>
      <c r="AU169" s="3"/>
      <c r="AV169" s="3"/>
      <c r="AW169" s="3"/>
      <c r="AX169" s="3"/>
      <c r="AY169" s="3"/>
    </row>
    <row r="170" spans="1:51" ht="13.5" customHeight="1">
      <c r="A170" s="194"/>
      <c r="B170" s="587"/>
      <c r="C170" s="587"/>
      <c r="D170" s="587"/>
      <c r="E170" s="587"/>
      <c r="F170" s="588"/>
      <c r="G170" s="587"/>
      <c r="H170" s="589"/>
      <c r="I170" s="590"/>
      <c r="J170" s="591"/>
      <c r="K170" s="592"/>
      <c r="L170" s="593"/>
      <c r="M170" s="587"/>
      <c r="N170" s="587"/>
      <c r="O170" s="587"/>
      <c r="P170" s="587"/>
      <c r="Q170" s="588"/>
      <c r="R170" s="587"/>
      <c r="S170" s="594"/>
      <c r="T170" s="595"/>
      <c r="U170" s="595"/>
      <c r="V170" s="512"/>
      <c r="W170" s="512"/>
      <c r="X170" s="512"/>
      <c r="Y170" s="512"/>
      <c r="Z170" s="512"/>
      <c r="AA170" s="512"/>
      <c r="AB170" s="512"/>
      <c r="AC170" s="512"/>
      <c r="AD170" s="512"/>
      <c r="AE170" s="4"/>
      <c r="AF170" s="3"/>
      <c r="AG170" s="3"/>
      <c r="AH170" s="3"/>
      <c r="AI170" s="3"/>
      <c r="AJ170" s="3"/>
      <c r="AK170" s="3"/>
      <c r="AL170" s="3"/>
      <c r="AM170" s="3"/>
      <c r="AN170" s="3"/>
      <c r="AO170" s="3"/>
      <c r="AP170" s="3"/>
      <c r="AQ170" s="3"/>
      <c r="AR170" s="3"/>
      <c r="AS170" s="3"/>
      <c r="AT170" s="3"/>
      <c r="AU170" s="3"/>
      <c r="AV170" s="3"/>
      <c r="AW170" s="3"/>
      <c r="AX170" s="3"/>
      <c r="AY170" s="3"/>
    </row>
    <row r="171" spans="1:51" ht="13.5" customHeight="1">
      <c r="A171" s="194"/>
      <c r="B171" s="587"/>
      <c r="C171" s="587"/>
      <c r="D171" s="587"/>
      <c r="E171" s="587"/>
      <c r="F171" s="588"/>
      <c r="G171" s="587"/>
      <c r="H171" s="589"/>
      <c r="I171" s="590"/>
      <c r="J171" s="591"/>
      <c r="K171" s="592"/>
      <c r="L171" s="593"/>
      <c r="M171" s="587"/>
      <c r="N171" s="587"/>
      <c r="O171" s="587"/>
      <c r="P171" s="587"/>
      <c r="Q171" s="588"/>
      <c r="R171" s="587"/>
      <c r="S171" s="594"/>
      <c r="T171" s="595"/>
      <c r="U171" s="595"/>
      <c r="V171" s="512"/>
      <c r="W171" s="512"/>
      <c r="X171" s="512"/>
      <c r="Y171" s="512"/>
      <c r="Z171" s="512"/>
      <c r="AA171" s="512"/>
      <c r="AB171" s="512"/>
      <c r="AC171" s="512"/>
      <c r="AD171" s="512"/>
      <c r="AE171" s="4"/>
      <c r="AF171" s="3"/>
      <c r="AG171" s="3"/>
      <c r="AH171" s="3"/>
      <c r="AI171" s="3"/>
      <c r="AJ171" s="3"/>
      <c r="AK171" s="3"/>
      <c r="AL171" s="3"/>
      <c r="AM171" s="3"/>
      <c r="AN171" s="3"/>
      <c r="AO171" s="3"/>
      <c r="AP171" s="3"/>
      <c r="AQ171" s="3"/>
      <c r="AR171" s="3"/>
      <c r="AS171" s="3"/>
      <c r="AT171" s="3"/>
      <c r="AU171" s="3"/>
      <c r="AV171" s="3"/>
      <c r="AW171" s="3"/>
      <c r="AX171" s="3"/>
      <c r="AY171" s="3"/>
    </row>
    <row r="172" spans="1:51" ht="13.5" customHeight="1">
      <c r="A172" s="194"/>
      <c r="B172" s="587"/>
      <c r="C172" s="587"/>
      <c r="D172" s="587"/>
      <c r="E172" s="587"/>
      <c r="F172" s="588"/>
      <c r="G172" s="587"/>
      <c r="H172" s="589"/>
      <c r="I172" s="590"/>
      <c r="J172" s="591"/>
      <c r="K172" s="592"/>
      <c r="L172" s="593"/>
      <c r="M172" s="587"/>
      <c r="N172" s="587"/>
      <c r="O172" s="587"/>
      <c r="P172" s="587"/>
      <c r="Q172" s="588"/>
      <c r="R172" s="587"/>
      <c r="S172" s="594"/>
      <c r="T172" s="595"/>
      <c r="U172" s="595"/>
      <c r="V172" s="512"/>
      <c r="W172" s="512"/>
      <c r="X172" s="512"/>
      <c r="Y172" s="512"/>
      <c r="Z172" s="512"/>
      <c r="AA172" s="512"/>
      <c r="AB172" s="512"/>
      <c r="AC172" s="512"/>
      <c r="AD172" s="512"/>
      <c r="AE172" s="4"/>
      <c r="AF172" s="3"/>
      <c r="AG172" s="3"/>
      <c r="AH172" s="3"/>
      <c r="AI172" s="3"/>
      <c r="AJ172" s="3"/>
      <c r="AK172" s="3"/>
      <c r="AL172" s="3"/>
      <c r="AM172" s="3"/>
      <c r="AN172" s="3"/>
      <c r="AO172" s="3"/>
      <c r="AP172" s="3"/>
      <c r="AQ172" s="3"/>
      <c r="AR172" s="3"/>
      <c r="AS172" s="3"/>
      <c r="AT172" s="3"/>
      <c r="AU172" s="3"/>
      <c r="AV172" s="3"/>
      <c r="AW172" s="3"/>
      <c r="AX172" s="3"/>
      <c r="AY172" s="3"/>
    </row>
    <row r="173" spans="1:51" ht="13.5" customHeight="1">
      <c r="A173" s="194"/>
      <c r="B173" s="587"/>
      <c r="C173" s="587"/>
      <c r="D173" s="587"/>
      <c r="E173" s="587"/>
      <c r="F173" s="588"/>
      <c r="G173" s="587"/>
      <c r="H173" s="589"/>
      <c r="I173" s="590"/>
      <c r="J173" s="591"/>
      <c r="K173" s="592"/>
      <c r="L173" s="593"/>
      <c r="M173" s="587"/>
      <c r="N173" s="587"/>
      <c r="O173" s="587"/>
      <c r="P173" s="587"/>
      <c r="Q173" s="588"/>
      <c r="R173" s="587"/>
      <c r="S173" s="594"/>
      <c r="T173" s="595"/>
      <c r="U173" s="595"/>
      <c r="V173" s="512"/>
      <c r="W173" s="512"/>
      <c r="X173" s="512"/>
      <c r="Y173" s="512"/>
      <c r="Z173" s="512"/>
      <c r="AA173" s="512"/>
      <c r="AB173" s="512"/>
      <c r="AC173" s="512"/>
      <c r="AD173" s="512"/>
      <c r="AE173" s="4"/>
      <c r="AF173" s="3"/>
      <c r="AG173" s="3"/>
      <c r="AH173" s="3"/>
      <c r="AI173" s="3"/>
      <c r="AJ173" s="3"/>
      <c r="AK173" s="3"/>
      <c r="AL173" s="3"/>
      <c r="AM173" s="3"/>
      <c r="AN173" s="3"/>
      <c r="AO173" s="3"/>
      <c r="AP173" s="3"/>
      <c r="AQ173" s="3"/>
      <c r="AR173" s="3"/>
      <c r="AS173" s="3"/>
      <c r="AT173" s="3"/>
      <c r="AU173" s="3"/>
      <c r="AV173" s="3"/>
      <c r="AW173" s="3"/>
      <c r="AX173" s="3"/>
      <c r="AY173" s="3"/>
    </row>
    <row r="174" spans="1:51" ht="13.5" customHeight="1">
      <c r="A174" s="194"/>
      <c r="B174" s="587"/>
      <c r="C174" s="587"/>
      <c r="D174" s="587"/>
      <c r="E174" s="587"/>
      <c r="F174" s="588"/>
      <c r="G174" s="587"/>
      <c r="H174" s="589"/>
      <c r="I174" s="590"/>
      <c r="J174" s="591"/>
      <c r="K174" s="592"/>
      <c r="L174" s="593"/>
      <c r="M174" s="587"/>
      <c r="N174" s="587"/>
      <c r="O174" s="587"/>
      <c r="P174" s="587"/>
      <c r="Q174" s="588"/>
      <c r="R174" s="587"/>
      <c r="S174" s="594"/>
      <c r="T174" s="595"/>
      <c r="U174" s="595"/>
      <c r="V174" s="512"/>
      <c r="W174" s="512"/>
      <c r="X174" s="512"/>
      <c r="Y174" s="512"/>
      <c r="Z174" s="512"/>
      <c r="AA174" s="512"/>
      <c r="AB174" s="512"/>
      <c r="AC174" s="512"/>
      <c r="AD174" s="512"/>
      <c r="AE174" s="4"/>
      <c r="AF174" s="3"/>
      <c r="AG174" s="3"/>
      <c r="AH174" s="3"/>
      <c r="AI174" s="3"/>
      <c r="AJ174" s="3"/>
      <c r="AK174" s="3"/>
      <c r="AL174" s="3"/>
      <c r="AM174" s="3"/>
      <c r="AN174" s="3"/>
      <c r="AO174" s="3"/>
      <c r="AP174" s="3"/>
      <c r="AQ174" s="3"/>
      <c r="AR174" s="3"/>
      <c r="AS174" s="3"/>
      <c r="AT174" s="3"/>
      <c r="AU174" s="3"/>
      <c r="AV174" s="3"/>
      <c r="AW174" s="3"/>
      <c r="AX174" s="3"/>
      <c r="AY174" s="3"/>
    </row>
    <row r="175" spans="1:51" ht="13.5" customHeight="1">
      <c r="A175" s="194"/>
      <c r="B175" s="587"/>
      <c r="C175" s="587"/>
      <c r="D175" s="587"/>
      <c r="E175" s="587"/>
      <c r="F175" s="588"/>
      <c r="G175" s="587"/>
      <c r="H175" s="589"/>
      <c r="I175" s="590"/>
      <c r="J175" s="591"/>
      <c r="K175" s="592"/>
      <c r="L175" s="593"/>
      <c r="M175" s="587"/>
      <c r="N175" s="587"/>
      <c r="O175" s="587"/>
      <c r="P175" s="587"/>
      <c r="Q175" s="588"/>
      <c r="R175" s="587"/>
      <c r="S175" s="594"/>
      <c r="T175" s="595"/>
      <c r="U175" s="595"/>
      <c r="V175" s="512"/>
      <c r="W175" s="512"/>
      <c r="X175" s="512"/>
      <c r="Y175" s="512"/>
      <c r="Z175" s="512"/>
      <c r="AA175" s="512"/>
      <c r="AB175" s="512"/>
      <c r="AC175" s="512"/>
      <c r="AD175" s="512"/>
      <c r="AE175" s="4"/>
      <c r="AF175" s="3"/>
      <c r="AG175" s="3"/>
      <c r="AH175" s="3"/>
      <c r="AI175" s="3"/>
      <c r="AJ175" s="3"/>
      <c r="AK175" s="3"/>
      <c r="AL175" s="3"/>
      <c r="AM175" s="3"/>
      <c r="AN175" s="3"/>
      <c r="AO175" s="3"/>
      <c r="AP175" s="3"/>
      <c r="AQ175" s="3"/>
      <c r="AR175" s="3"/>
      <c r="AS175" s="3"/>
      <c r="AT175" s="3"/>
      <c r="AU175" s="3"/>
      <c r="AV175" s="3"/>
      <c r="AW175" s="3"/>
      <c r="AX175" s="3"/>
      <c r="AY175" s="3"/>
    </row>
    <row r="176" spans="1:51" ht="13.5" customHeight="1">
      <c r="A176" s="194"/>
      <c r="B176" s="587"/>
      <c r="C176" s="587"/>
      <c r="D176" s="587"/>
      <c r="E176" s="587"/>
      <c r="F176" s="588"/>
      <c r="G176" s="587"/>
      <c r="H176" s="589"/>
      <c r="I176" s="590"/>
      <c r="J176" s="591"/>
      <c r="K176" s="592"/>
      <c r="L176" s="593"/>
      <c r="M176" s="587"/>
      <c r="N176" s="587"/>
      <c r="O176" s="587"/>
      <c r="P176" s="587"/>
      <c r="Q176" s="588"/>
      <c r="R176" s="587"/>
      <c r="S176" s="594"/>
      <c r="T176" s="595"/>
      <c r="U176" s="595"/>
      <c r="V176" s="512"/>
      <c r="W176" s="512"/>
      <c r="X176" s="512"/>
      <c r="Y176" s="512"/>
      <c r="Z176" s="512"/>
      <c r="AA176" s="512"/>
      <c r="AB176" s="512"/>
      <c r="AC176" s="512"/>
      <c r="AD176" s="512"/>
      <c r="AE176" s="4"/>
      <c r="AF176" s="3"/>
      <c r="AG176" s="3"/>
      <c r="AH176" s="3"/>
      <c r="AI176" s="3"/>
      <c r="AJ176" s="3"/>
      <c r="AK176" s="3"/>
      <c r="AL176" s="3"/>
      <c r="AM176" s="3"/>
      <c r="AN176" s="3"/>
      <c r="AO176" s="3"/>
      <c r="AP176" s="3"/>
      <c r="AQ176" s="3"/>
      <c r="AR176" s="3"/>
      <c r="AS176" s="3"/>
      <c r="AT176" s="3"/>
      <c r="AU176" s="3"/>
      <c r="AV176" s="3"/>
      <c r="AW176" s="3"/>
      <c r="AX176" s="3"/>
      <c r="AY176" s="3"/>
    </row>
    <row r="177" spans="1:51" ht="13.5" customHeight="1">
      <c r="A177" s="194"/>
      <c r="B177" s="587"/>
      <c r="C177" s="587"/>
      <c r="D177" s="587"/>
      <c r="E177" s="587"/>
      <c r="F177" s="588"/>
      <c r="G177" s="587"/>
      <c r="H177" s="589"/>
      <c r="I177" s="590"/>
      <c r="J177" s="591"/>
      <c r="K177" s="592"/>
      <c r="L177" s="593"/>
      <c r="M177" s="587"/>
      <c r="N177" s="587"/>
      <c r="O177" s="587"/>
      <c r="P177" s="587"/>
      <c r="Q177" s="588"/>
      <c r="R177" s="587"/>
      <c r="S177" s="594"/>
      <c r="T177" s="595"/>
      <c r="U177" s="595"/>
      <c r="V177" s="512"/>
      <c r="W177" s="512"/>
      <c r="X177" s="512"/>
      <c r="Y177" s="512"/>
      <c r="Z177" s="512"/>
      <c r="AA177" s="512"/>
      <c r="AB177" s="512"/>
      <c r="AC177" s="512"/>
      <c r="AD177" s="512"/>
      <c r="AE177" s="4"/>
      <c r="AF177" s="3"/>
      <c r="AG177" s="3"/>
      <c r="AH177" s="3"/>
      <c r="AI177" s="3"/>
      <c r="AJ177" s="3"/>
      <c r="AK177" s="3"/>
      <c r="AL177" s="3"/>
      <c r="AM177" s="3"/>
      <c r="AN177" s="3"/>
      <c r="AO177" s="3"/>
      <c r="AP177" s="3"/>
      <c r="AQ177" s="3"/>
      <c r="AR177" s="3"/>
      <c r="AS177" s="3"/>
      <c r="AT177" s="3"/>
      <c r="AU177" s="3"/>
      <c r="AV177" s="3"/>
      <c r="AW177" s="3"/>
      <c r="AX177" s="3"/>
      <c r="AY177" s="3"/>
    </row>
    <row r="178" spans="1:51" ht="13.5" customHeight="1">
      <c r="A178" s="194"/>
      <c r="B178" s="587"/>
      <c r="C178" s="587"/>
      <c r="D178" s="587"/>
      <c r="E178" s="587"/>
      <c r="F178" s="588"/>
      <c r="G178" s="587"/>
      <c r="H178" s="589"/>
      <c r="I178" s="590"/>
      <c r="J178" s="591"/>
      <c r="K178" s="592"/>
      <c r="L178" s="593"/>
      <c r="M178" s="587"/>
      <c r="N178" s="587"/>
      <c r="O178" s="587"/>
      <c r="P178" s="587"/>
      <c r="Q178" s="588"/>
      <c r="R178" s="587"/>
      <c r="S178" s="594"/>
      <c r="T178" s="595"/>
      <c r="U178" s="595"/>
      <c r="V178" s="512"/>
      <c r="W178" s="512"/>
      <c r="X178" s="512"/>
      <c r="Y178" s="512"/>
      <c r="Z178" s="512"/>
      <c r="AA178" s="512"/>
      <c r="AB178" s="512"/>
      <c r="AC178" s="512"/>
      <c r="AD178" s="512"/>
      <c r="AE178" s="4"/>
      <c r="AF178" s="3"/>
      <c r="AG178" s="3"/>
      <c r="AH178" s="3"/>
      <c r="AI178" s="3"/>
      <c r="AJ178" s="3"/>
      <c r="AK178" s="3"/>
      <c r="AL178" s="3"/>
      <c r="AM178" s="3"/>
      <c r="AN178" s="3"/>
      <c r="AO178" s="3"/>
      <c r="AP178" s="3"/>
      <c r="AQ178" s="3"/>
      <c r="AR178" s="3"/>
      <c r="AS178" s="3"/>
      <c r="AT178" s="3"/>
      <c r="AU178" s="3"/>
      <c r="AV178" s="3"/>
      <c r="AW178" s="3"/>
      <c r="AX178" s="3"/>
      <c r="AY178" s="3"/>
    </row>
    <row r="179" spans="1:51" ht="13.5" customHeight="1">
      <c r="A179" s="194"/>
      <c r="B179" s="587"/>
      <c r="C179" s="587"/>
      <c r="D179" s="587"/>
      <c r="E179" s="587"/>
      <c r="F179" s="588"/>
      <c r="G179" s="587"/>
      <c r="H179" s="589"/>
      <c r="I179" s="590"/>
      <c r="J179" s="591"/>
      <c r="K179" s="592"/>
      <c r="L179" s="593"/>
      <c r="M179" s="587"/>
      <c r="N179" s="587"/>
      <c r="O179" s="587"/>
      <c r="P179" s="587"/>
      <c r="Q179" s="588"/>
      <c r="R179" s="587"/>
      <c r="S179" s="594"/>
      <c r="T179" s="595"/>
      <c r="U179" s="595"/>
      <c r="V179" s="512"/>
      <c r="W179" s="512"/>
      <c r="X179" s="512"/>
      <c r="Y179" s="512"/>
      <c r="Z179" s="512"/>
      <c r="AA179" s="512"/>
      <c r="AB179" s="512"/>
      <c r="AC179" s="512"/>
      <c r="AD179" s="512"/>
      <c r="AE179" s="4"/>
      <c r="AF179" s="3"/>
      <c r="AG179" s="3"/>
      <c r="AH179" s="3"/>
      <c r="AI179" s="3"/>
      <c r="AJ179" s="3"/>
      <c r="AK179" s="3"/>
      <c r="AL179" s="3"/>
      <c r="AM179" s="3"/>
      <c r="AN179" s="3"/>
      <c r="AO179" s="3"/>
      <c r="AP179" s="3"/>
      <c r="AQ179" s="3"/>
      <c r="AR179" s="3"/>
      <c r="AS179" s="3"/>
      <c r="AT179" s="3"/>
      <c r="AU179" s="3"/>
      <c r="AV179" s="3"/>
      <c r="AW179" s="3"/>
      <c r="AX179" s="3"/>
      <c r="AY179" s="3"/>
    </row>
    <row r="180" spans="1:51" ht="13.5" customHeight="1">
      <c r="A180" s="194"/>
      <c r="B180" s="587"/>
      <c r="C180" s="587"/>
      <c r="D180" s="587"/>
      <c r="E180" s="587"/>
      <c r="F180" s="588"/>
      <c r="G180" s="587"/>
      <c r="H180" s="589"/>
      <c r="I180" s="590"/>
      <c r="J180" s="591"/>
      <c r="K180" s="592"/>
      <c r="L180" s="593"/>
      <c r="M180" s="587"/>
      <c r="N180" s="587"/>
      <c r="O180" s="587"/>
      <c r="P180" s="587"/>
      <c r="Q180" s="588"/>
      <c r="R180" s="587"/>
      <c r="S180" s="594"/>
      <c r="T180" s="595"/>
      <c r="U180" s="595"/>
      <c r="V180" s="512"/>
      <c r="W180" s="512"/>
      <c r="X180" s="512"/>
      <c r="Y180" s="512"/>
      <c r="Z180" s="512"/>
      <c r="AA180" s="512"/>
      <c r="AB180" s="512"/>
      <c r="AC180" s="512"/>
      <c r="AD180" s="512"/>
      <c r="AE180" s="4"/>
      <c r="AF180" s="3"/>
      <c r="AG180" s="3"/>
      <c r="AH180" s="3"/>
      <c r="AI180" s="3"/>
      <c r="AJ180" s="3"/>
      <c r="AK180" s="3"/>
      <c r="AL180" s="3"/>
      <c r="AM180" s="3"/>
      <c r="AN180" s="3"/>
      <c r="AO180" s="3"/>
      <c r="AP180" s="3"/>
      <c r="AQ180" s="3"/>
      <c r="AR180" s="3"/>
      <c r="AS180" s="3"/>
      <c r="AT180" s="3"/>
      <c r="AU180" s="3"/>
      <c r="AV180" s="3"/>
      <c r="AW180" s="3"/>
      <c r="AX180" s="3"/>
      <c r="AY180" s="3"/>
    </row>
    <row r="181" spans="1:51" ht="13.5" customHeight="1">
      <c r="A181" s="194"/>
      <c r="B181" s="587"/>
      <c r="C181" s="587"/>
      <c r="D181" s="587"/>
      <c r="E181" s="587"/>
      <c r="F181" s="588"/>
      <c r="G181" s="587"/>
      <c r="H181" s="589"/>
      <c r="I181" s="590"/>
      <c r="J181" s="591"/>
      <c r="K181" s="592"/>
      <c r="L181" s="593"/>
      <c r="M181" s="587"/>
      <c r="N181" s="587"/>
      <c r="O181" s="587"/>
      <c r="P181" s="587"/>
      <c r="Q181" s="588"/>
      <c r="R181" s="587"/>
      <c r="S181" s="594"/>
      <c r="T181" s="595"/>
      <c r="U181" s="595"/>
      <c r="V181" s="512"/>
      <c r="W181" s="512"/>
      <c r="X181" s="512"/>
      <c r="Y181" s="512"/>
      <c r="Z181" s="512"/>
      <c r="AA181" s="512"/>
      <c r="AB181" s="512"/>
      <c r="AC181" s="512"/>
      <c r="AD181" s="512"/>
      <c r="AE181" s="4"/>
      <c r="AF181" s="3"/>
      <c r="AG181" s="3"/>
      <c r="AH181" s="3"/>
      <c r="AI181" s="3"/>
      <c r="AJ181" s="3"/>
      <c r="AK181" s="3"/>
      <c r="AL181" s="3"/>
      <c r="AM181" s="3"/>
      <c r="AN181" s="3"/>
      <c r="AO181" s="3"/>
      <c r="AP181" s="3"/>
      <c r="AQ181" s="3"/>
      <c r="AR181" s="3"/>
      <c r="AS181" s="3"/>
      <c r="AT181" s="3"/>
      <c r="AU181" s="3"/>
      <c r="AV181" s="3"/>
      <c r="AW181" s="3"/>
      <c r="AX181" s="3"/>
      <c r="AY181" s="3"/>
    </row>
    <row r="182" spans="1:51" ht="13.5" customHeight="1">
      <c r="A182" s="194"/>
      <c r="B182" s="587"/>
      <c r="C182" s="587"/>
      <c r="D182" s="587"/>
      <c r="E182" s="587"/>
      <c r="F182" s="588"/>
      <c r="G182" s="587"/>
      <c r="H182" s="589"/>
      <c r="I182" s="590"/>
      <c r="J182" s="591"/>
      <c r="K182" s="592"/>
      <c r="L182" s="593"/>
      <c r="M182" s="587"/>
      <c r="N182" s="587"/>
      <c r="O182" s="587"/>
      <c r="P182" s="587"/>
      <c r="Q182" s="588"/>
      <c r="R182" s="587"/>
      <c r="S182" s="594"/>
      <c r="T182" s="595"/>
      <c r="U182" s="595"/>
      <c r="V182" s="512"/>
      <c r="W182" s="512"/>
      <c r="X182" s="512"/>
      <c r="Y182" s="512"/>
      <c r="Z182" s="512"/>
      <c r="AA182" s="512"/>
      <c r="AB182" s="512"/>
      <c r="AC182" s="512"/>
      <c r="AD182" s="512"/>
      <c r="AE182" s="4"/>
      <c r="AF182" s="3"/>
      <c r="AG182" s="3"/>
      <c r="AH182" s="3"/>
      <c r="AI182" s="3"/>
      <c r="AJ182" s="3"/>
      <c r="AK182" s="3"/>
      <c r="AL182" s="3"/>
      <c r="AM182" s="3"/>
      <c r="AN182" s="3"/>
      <c r="AO182" s="3"/>
      <c r="AP182" s="3"/>
      <c r="AQ182" s="3"/>
      <c r="AR182" s="3"/>
      <c r="AS182" s="3"/>
      <c r="AT182" s="3"/>
      <c r="AU182" s="3"/>
      <c r="AV182" s="3"/>
      <c r="AW182" s="3"/>
      <c r="AX182" s="3"/>
      <c r="AY182" s="3"/>
    </row>
    <row r="183" spans="1:51" ht="13.5" customHeight="1">
      <c r="A183" s="194"/>
      <c r="B183" s="587"/>
      <c r="C183" s="587"/>
      <c r="D183" s="587"/>
      <c r="E183" s="587"/>
      <c r="F183" s="588"/>
      <c r="G183" s="587"/>
      <c r="H183" s="589"/>
      <c r="I183" s="590"/>
      <c r="J183" s="591"/>
      <c r="K183" s="592"/>
      <c r="L183" s="593"/>
      <c r="M183" s="587"/>
      <c r="N183" s="587"/>
      <c r="O183" s="587"/>
      <c r="P183" s="587"/>
      <c r="Q183" s="588"/>
      <c r="R183" s="587"/>
      <c r="S183" s="594"/>
      <c r="T183" s="595"/>
      <c r="U183" s="595"/>
      <c r="V183" s="512"/>
      <c r="W183" s="512"/>
      <c r="X183" s="512"/>
      <c r="Y183" s="512"/>
      <c r="Z183" s="512"/>
      <c r="AA183" s="512"/>
      <c r="AB183" s="512"/>
      <c r="AC183" s="512"/>
      <c r="AD183" s="512"/>
      <c r="AE183" s="4"/>
      <c r="AF183" s="3"/>
      <c r="AG183" s="3"/>
      <c r="AH183" s="3"/>
      <c r="AI183" s="3"/>
      <c r="AJ183" s="3"/>
      <c r="AK183" s="3"/>
      <c r="AL183" s="3"/>
      <c r="AM183" s="3"/>
      <c r="AN183" s="3"/>
      <c r="AO183" s="3"/>
      <c r="AP183" s="3"/>
      <c r="AQ183" s="3"/>
      <c r="AR183" s="3"/>
      <c r="AS183" s="3"/>
      <c r="AT183" s="3"/>
      <c r="AU183" s="3"/>
      <c r="AV183" s="3"/>
      <c r="AW183" s="3"/>
      <c r="AX183" s="3"/>
      <c r="AY183" s="3"/>
    </row>
    <row r="184" spans="1:51" ht="13.5" customHeight="1">
      <c r="A184" s="194"/>
      <c r="B184" s="587"/>
      <c r="C184" s="587"/>
      <c r="D184" s="587"/>
      <c r="E184" s="587"/>
      <c r="F184" s="588"/>
      <c r="G184" s="587"/>
      <c r="H184" s="589"/>
      <c r="I184" s="590"/>
      <c r="J184" s="591"/>
      <c r="K184" s="592"/>
      <c r="L184" s="593"/>
      <c r="M184" s="587"/>
      <c r="N184" s="587"/>
      <c r="O184" s="587"/>
      <c r="P184" s="587"/>
      <c r="Q184" s="588"/>
      <c r="R184" s="587"/>
      <c r="S184" s="594"/>
      <c r="T184" s="595"/>
      <c r="U184" s="595"/>
      <c r="V184" s="512"/>
      <c r="W184" s="512"/>
      <c r="X184" s="512"/>
      <c r="Y184" s="512"/>
      <c r="Z184" s="512"/>
      <c r="AA184" s="512"/>
      <c r="AB184" s="512"/>
      <c r="AC184" s="512"/>
      <c r="AD184" s="512"/>
      <c r="AE184" s="4"/>
      <c r="AF184" s="3"/>
      <c r="AG184" s="3"/>
      <c r="AH184" s="3"/>
      <c r="AI184" s="3"/>
      <c r="AJ184" s="3"/>
      <c r="AK184" s="3"/>
      <c r="AL184" s="3"/>
      <c r="AM184" s="3"/>
      <c r="AN184" s="3"/>
      <c r="AO184" s="3"/>
      <c r="AP184" s="3"/>
      <c r="AQ184" s="3"/>
      <c r="AR184" s="3"/>
      <c r="AS184" s="3"/>
      <c r="AT184" s="3"/>
      <c r="AU184" s="3"/>
      <c r="AV184" s="3"/>
      <c r="AW184" s="3"/>
      <c r="AX184" s="3"/>
      <c r="AY184" s="3"/>
    </row>
    <row r="185" spans="1:51" ht="13.5" customHeight="1">
      <c r="A185" s="194"/>
      <c r="B185" s="587"/>
      <c r="C185" s="587"/>
      <c r="D185" s="587"/>
      <c r="E185" s="587"/>
      <c r="F185" s="588"/>
      <c r="G185" s="587"/>
      <c r="H185" s="589"/>
      <c r="I185" s="590"/>
      <c r="J185" s="591"/>
      <c r="K185" s="592"/>
      <c r="L185" s="593"/>
      <c r="M185" s="587"/>
      <c r="N185" s="587"/>
      <c r="O185" s="587"/>
      <c r="P185" s="587"/>
      <c r="Q185" s="588"/>
      <c r="R185" s="587"/>
      <c r="S185" s="594"/>
      <c r="T185" s="595"/>
      <c r="U185" s="595"/>
      <c r="V185" s="512"/>
      <c r="W185" s="512"/>
      <c r="X185" s="512"/>
      <c r="Y185" s="512"/>
      <c r="Z185" s="512"/>
      <c r="AA185" s="512"/>
      <c r="AB185" s="512"/>
      <c r="AC185" s="512"/>
      <c r="AD185" s="512"/>
      <c r="AE185" s="4"/>
      <c r="AF185" s="3"/>
      <c r="AG185" s="3"/>
      <c r="AH185" s="3"/>
      <c r="AI185" s="3"/>
      <c r="AJ185" s="3"/>
      <c r="AK185" s="3"/>
      <c r="AL185" s="3"/>
      <c r="AM185" s="3"/>
      <c r="AN185" s="3"/>
      <c r="AO185" s="3"/>
      <c r="AP185" s="3"/>
      <c r="AQ185" s="3"/>
      <c r="AR185" s="3"/>
      <c r="AS185" s="3"/>
      <c r="AT185" s="3"/>
      <c r="AU185" s="3"/>
      <c r="AV185" s="3"/>
      <c r="AW185" s="3"/>
      <c r="AX185" s="3"/>
      <c r="AY185" s="3"/>
    </row>
    <row r="186" spans="1:51" ht="13.5" customHeight="1">
      <c r="A186" s="194"/>
      <c r="B186" s="587"/>
      <c r="C186" s="587"/>
      <c r="D186" s="587"/>
      <c r="E186" s="587"/>
      <c r="F186" s="588"/>
      <c r="G186" s="587"/>
      <c r="H186" s="589"/>
      <c r="I186" s="590"/>
      <c r="J186" s="591"/>
      <c r="K186" s="592"/>
      <c r="L186" s="593"/>
      <c r="M186" s="587"/>
      <c r="N186" s="587"/>
      <c r="O186" s="587"/>
      <c r="P186" s="587"/>
      <c r="Q186" s="588"/>
      <c r="R186" s="587"/>
      <c r="S186" s="594"/>
      <c r="T186" s="595"/>
      <c r="U186" s="595"/>
      <c r="V186" s="512"/>
      <c r="W186" s="512"/>
      <c r="X186" s="512"/>
      <c r="Y186" s="512"/>
      <c r="Z186" s="512"/>
      <c r="AA186" s="512"/>
      <c r="AB186" s="512"/>
      <c r="AC186" s="512"/>
      <c r="AD186" s="512"/>
      <c r="AE186" s="4"/>
      <c r="AF186" s="3"/>
      <c r="AG186" s="3"/>
      <c r="AH186" s="3"/>
      <c r="AI186" s="3"/>
      <c r="AJ186" s="3"/>
      <c r="AK186" s="3"/>
      <c r="AL186" s="3"/>
      <c r="AM186" s="3"/>
      <c r="AN186" s="3"/>
      <c r="AO186" s="3"/>
      <c r="AP186" s="3"/>
      <c r="AQ186" s="3"/>
      <c r="AR186" s="3"/>
      <c r="AS186" s="3"/>
      <c r="AT186" s="3"/>
      <c r="AU186" s="3"/>
      <c r="AV186" s="3"/>
      <c r="AW186" s="3"/>
      <c r="AX186" s="3"/>
      <c r="AY186" s="3"/>
    </row>
    <row r="187" spans="1:51" ht="13.5" customHeight="1">
      <c r="A187" s="194"/>
      <c r="B187" s="587"/>
      <c r="C187" s="587"/>
      <c r="D187" s="587"/>
      <c r="E187" s="587"/>
      <c r="F187" s="588"/>
      <c r="G187" s="587"/>
      <c r="H187" s="589"/>
      <c r="I187" s="590"/>
      <c r="J187" s="591"/>
      <c r="K187" s="592"/>
      <c r="L187" s="593"/>
      <c r="M187" s="587"/>
      <c r="N187" s="587"/>
      <c r="O187" s="587"/>
      <c r="P187" s="587"/>
      <c r="Q187" s="588"/>
      <c r="R187" s="587"/>
      <c r="S187" s="594"/>
      <c r="T187" s="595"/>
      <c r="U187" s="595"/>
      <c r="V187" s="512"/>
      <c r="W187" s="512"/>
      <c r="X187" s="512"/>
      <c r="Y187" s="512"/>
      <c r="Z187" s="512"/>
      <c r="AA187" s="512"/>
      <c r="AB187" s="512"/>
      <c r="AC187" s="512"/>
      <c r="AD187" s="512"/>
      <c r="AE187" s="4"/>
      <c r="AF187" s="3"/>
      <c r="AG187" s="3"/>
      <c r="AH187" s="3"/>
      <c r="AI187" s="3"/>
      <c r="AJ187" s="3"/>
      <c r="AK187" s="3"/>
      <c r="AL187" s="3"/>
      <c r="AM187" s="3"/>
      <c r="AN187" s="3"/>
      <c r="AO187" s="3"/>
      <c r="AP187" s="3"/>
      <c r="AQ187" s="3"/>
      <c r="AR187" s="3"/>
      <c r="AS187" s="3"/>
      <c r="AT187" s="3"/>
      <c r="AU187" s="3"/>
      <c r="AV187" s="3"/>
      <c r="AW187" s="3"/>
      <c r="AX187" s="3"/>
      <c r="AY187" s="3"/>
    </row>
    <row r="188" spans="1:51" ht="13.5" customHeight="1">
      <c r="A188" s="194"/>
      <c r="B188" s="587"/>
      <c r="C188" s="587"/>
      <c r="D188" s="587"/>
      <c r="E188" s="587"/>
      <c r="F188" s="588"/>
      <c r="G188" s="587"/>
      <c r="H188" s="589"/>
      <c r="I188" s="590"/>
      <c r="J188" s="591"/>
      <c r="K188" s="592"/>
      <c r="L188" s="593"/>
      <c r="M188" s="587"/>
      <c r="N188" s="587"/>
      <c r="O188" s="587"/>
      <c r="P188" s="587"/>
      <c r="Q188" s="588"/>
      <c r="R188" s="587"/>
      <c r="S188" s="594"/>
      <c r="T188" s="595"/>
      <c r="U188" s="595"/>
      <c r="V188" s="512"/>
      <c r="W188" s="512"/>
      <c r="X188" s="512"/>
      <c r="Y188" s="512"/>
      <c r="Z188" s="512"/>
      <c r="AA188" s="512"/>
      <c r="AB188" s="512"/>
      <c r="AC188" s="512"/>
      <c r="AD188" s="512"/>
      <c r="AE188" s="4"/>
      <c r="AF188" s="3"/>
      <c r="AG188" s="3"/>
      <c r="AH188" s="3"/>
      <c r="AI188" s="3"/>
      <c r="AJ188" s="3"/>
      <c r="AK188" s="3"/>
      <c r="AL188" s="3"/>
      <c r="AM188" s="3"/>
      <c r="AN188" s="3"/>
      <c r="AO188" s="3"/>
      <c r="AP188" s="3"/>
      <c r="AQ188" s="3"/>
      <c r="AR188" s="3"/>
      <c r="AS188" s="3"/>
      <c r="AT188" s="3"/>
      <c r="AU188" s="3"/>
      <c r="AV188" s="3"/>
      <c r="AW188" s="3"/>
      <c r="AX188" s="3"/>
      <c r="AY188" s="3"/>
    </row>
    <row r="189" spans="1:51" ht="13.5" customHeight="1">
      <c r="A189" s="194"/>
      <c r="B189" s="587"/>
      <c r="C189" s="587"/>
      <c r="D189" s="587"/>
      <c r="E189" s="587"/>
      <c r="F189" s="588"/>
      <c r="G189" s="587"/>
      <c r="H189" s="589"/>
      <c r="I189" s="590"/>
      <c r="J189" s="591"/>
      <c r="K189" s="592"/>
      <c r="L189" s="593"/>
      <c r="M189" s="587"/>
      <c r="N189" s="587"/>
      <c r="O189" s="587"/>
      <c r="P189" s="587"/>
      <c r="Q189" s="588"/>
      <c r="R189" s="587"/>
      <c r="S189" s="594"/>
      <c r="T189" s="595"/>
      <c r="U189" s="595"/>
      <c r="V189" s="512"/>
      <c r="W189" s="512"/>
      <c r="X189" s="512"/>
      <c r="Y189" s="512"/>
      <c r="Z189" s="512"/>
      <c r="AA189" s="512"/>
      <c r="AB189" s="512"/>
      <c r="AC189" s="512"/>
      <c r="AD189" s="512"/>
      <c r="AE189" s="4"/>
      <c r="AF189" s="3"/>
      <c r="AG189" s="3"/>
      <c r="AH189" s="3"/>
      <c r="AI189" s="3"/>
      <c r="AJ189" s="3"/>
      <c r="AK189" s="3"/>
      <c r="AL189" s="3"/>
      <c r="AM189" s="3"/>
      <c r="AN189" s="3"/>
      <c r="AO189" s="3"/>
      <c r="AP189" s="3"/>
      <c r="AQ189" s="3"/>
      <c r="AR189" s="3"/>
      <c r="AS189" s="3"/>
      <c r="AT189" s="3"/>
      <c r="AU189" s="3"/>
      <c r="AV189" s="3"/>
      <c r="AW189" s="3"/>
      <c r="AX189" s="3"/>
      <c r="AY189" s="3"/>
    </row>
    <row r="190" spans="1:51" ht="13.5" customHeight="1">
      <c r="A190" s="194"/>
      <c r="B190" s="587"/>
      <c r="C190" s="587"/>
      <c r="D190" s="587"/>
      <c r="E190" s="587"/>
      <c r="F190" s="588"/>
      <c r="G190" s="587"/>
      <c r="H190" s="589"/>
      <c r="I190" s="590"/>
      <c r="J190" s="591"/>
      <c r="K190" s="592"/>
      <c r="L190" s="593"/>
      <c r="M190" s="587"/>
      <c r="N190" s="587"/>
      <c r="O190" s="587"/>
      <c r="P190" s="587"/>
      <c r="Q190" s="588"/>
      <c r="R190" s="587"/>
      <c r="S190" s="594"/>
      <c r="T190" s="595"/>
      <c r="U190" s="595"/>
      <c r="V190" s="512"/>
      <c r="W190" s="512"/>
      <c r="X190" s="512"/>
      <c r="Y190" s="512"/>
      <c r="Z190" s="512"/>
      <c r="AA190" s="512"/>
      <c r="AB190" s="512"/>
      <c r="AC190" s="512"/>
      <c r="AD190" s="512"/>
      <c r="AE190" s="4"/>
      <c r="AF190" s="3"/>
      <c r="AG190" s="3"/>
      <c r="AH190" s="3"/>
      <c r="AI190" s="3"/>
      <c r="AJ190" s="3"/>
      <c r="AK190" s="3"/>
      <c r="AL190" s="3"/>
      <c r="AM190" s="3"/>
      <c r="AN190" s="3"/>
      <c r="AO190" s="3"/>
      <c r="AP190" s="3"/>
      <c r="AQ190" s="3"/>
      <c r="AR190" s="3"/>
      <c r="AS190" s="3"/>
      <c r="AT190" s="3"/>
      <c r="AU190" s="3"/>
      <c r="AV190" s="3"/>
      <c r="AW190" s="3"/>
      <c r="AX190" s="3"/>
      <c r="AY190" s="3"/>
    </row>
    <row r="191" spans="1:51" ht="13.5" customHeight="1">
      <c r="A191" s="194"/>
      <c r="B191" s="587"/>
      <c r="C191" s="587"/>
      <c r="D191" s="587"/>
      <c r="E191" s="587"/>
      <c r="F191" s="588"/>
      <c r="G191" s="587"/>
      <c r="H191" s="589"/>
      <c r="I191" s="590"/>
      <c r="J191" s="591"/>
      <c r="K191" s="592"/>
      <c r="L191" s="593"/>
      <c r="M191" s="587"/>
      <c r="N191" s="587"/>
      <c r="O191" s="587"/>
      <c r="P191" s="587"/>
      <c r="Q191" s="588"/>
      <c r="R191" s="587"/>
      <c r="S191" s="594"/>
      <c r="T191" s="595"/>
      <c r="U191" s="595"/>
      <c r="V191" s="512"/>
      <c r="W191" s="512"/>
      <c r="X191" s="512"/>
      <c r="Y191" s="512"/>
      <c r="Z191" s="512"/>
      <c r="AA191" s="512"/>
      <c r="AB191" s="512"/>
      <c r="AC191" s="512"/>
      <c r="AD191" s="512"/>
      <c r="AE191" s="4"/>
      <c r="AF191" s="3"/>
      <c r="AG191" s="3"/>
      <c r="AH191" s="3"/>
      <c r="AI191" s="3"/>
      <c r="AJ191" s="3"/>
      <c r="AK191" s="3"/>
      <c r="AL191" s="3"/>
      <c r="AM191" s="3"/>
      <c r="AN191" s="3"/>
      <c r="AO191" s="3"/>
      <c r="AP191" s="3"/>
      <c r="AQ191" s="3"/>
      <c r="AR191" s="3"/>
      <c r="AS191" s="3"/>
      <c r="AT191" s="3"/>
      <c r="AU191" s="3"/>
      <c r="AV191" s="3"/>
      <c r="AW191" s="3"/>
      <c r="AX191" s="3"/>
      <c r="AY191" s="3"/>
    </row>
    <row r="192" spans="1:51" ht="13.5" customHeight="1">
      <c r="A192" s="194"/>
      <c r="B192" s="587"/>
      <c r="C192" s="587"/>
      <c r="D192" s="587"/>
      <c r="E192" s="587"/>
      <c r="F192" s="588"/>
      <c r="G192" s="587"/>
      <c r="H192" s="589"/>
      <c r="I192" s="590"/>
      <c r="J192" s="591"/>
      <c r="K192" s="592"/>
      <c r="L192" s="593"/>
      <c r="M192" s="587"/>
      <c r="N192" s="587"/>
      <c r="O192" s="587"/>
      <c r="P192" s="587"/>
      <c r="Q192" s="588"/>
      <c r="R192" s="587"/>
      <c r="S192" s="594"/>
      <c r="T192" s="595"/>
      <c r="U192" s="595"/>
      <c r="V192" s="512"/>
      <c r="W192" s="512"/>
      <c r="X192" s="512"/>
      <c r="Y192" s="512"/>
      <c r="Z192" s="512"/>
      <c r="AA192" s="512"/>
      <c r="AB192" s="512"/>
      <c r="AC192" s="512"/>
      <c r="AD192" s="512"/>
      <c r="AE192" s="4"/>
      <c r="AF192" s="3"/>
      <c r="AG192" s="3"/>
      <c r="AH192" s="3"/>
      <c r="AI192" s="3"/>
      <c r="AJ192" s="3"/>
      <c r="AK192" s="3"/>
      <c r="AL192" s="3"/>
      <c r="AM192" s="3"/>
      <c r="AN192" s="3"/>
      <c r="AO192" s="3"/>
      <c r="AP192" s="3"/>
      <c r="AQ192" s="3"/>
      <c r="AR192" s="3"/>
      <c r="AS192" s="3"/>
      <c r="AT192" s="3"/>
      <c r="AU192" s="3"/>
      <c r="AV192" s="3"/>
      <c r="AW192" s="3"/>
      <c r="AX192" s="3"/>
      <c r="AY192" s="3"/>
    </row>
    <row r="193" spans="1:51" ht="13.5" customHeight="1">
      <c r="A193" s="194"/>
      <c r="B193" s="587"/>
      <c r="C193" s="587"/>
      <c r="D193" s="587"/>
      <c r="E193" s="587"/>
      <c r="F193" s="588"/>
      <c r="G193" s="587"/>
      <c r="H193" s="589"/>
      <c r="I193" s="590"/>
      <c r="J193" s="591"/>
      <c r="K193" s="592"/>
      <c r="L193" s="593"/>
      <c r="M193" s="587"/>
      <c r="N193" s="587"/>
      <c r="O193" s="587"/>
      <c r="P193" s="587"/>
      <c r="Q193" s="588"/>
      <c r="R193" s="587"/>
      <c r="S193" s="594"/>
      <c r="T193" s="595"/>
      <c r="U193" s="595"/>
      <c r="V193" s="512"/>
      <c r="W193" s="512"/>
      <c r="X193" s="512"/>
      <c r="Y193" s="512"/>
      <c r="Z193" s="512"/>
      <c r="AA193" s="512"/>
      <c r="AB193" s="512"/>
      <c r="AC193" s="512"/>
      <c r="AD193" s="512"/>
      <c r="AE193" s="4"/>
      <c r="AF193" s="3"/>
      <c r="AG193" s="3"/>
      <c r="AH193" s="3"/>
      <c r="AI193" s="3"/>
      <c r="AJ193" s="3"/>
      <c r="AK193" s="3"/>
      <c r="AL193" s="3"/>
      <c r="AM193" s="3"/>
      <c r="AN193" s="3"/>
      <c r="AO193" s="3"/>
      <c r="AP193" s="3"/>
      <c r="AQ193" s="3"/>
      <c r="AR193" s="3"/>
      <c r="AS193" s="3"/>
      <c r="AT193" s="3"/>
      <c r="AU193" s="3"/>
      <c r="AV193" s="3"/>
      <c r="AW193" s="3"/>
      <c r="AX193" s="3"/>
      <c r="AY193" s="3"/>
    </row>
    <row r="194" spans="1:51" ht="13.5" customHeight="1">
      <c r="A194" s="194"/>
      <c r="B194" s="587"/>
      <c r="C194" s="587"/>
      <c r="D194" s="587"/>
      <c r="E194" s="587"/>
      <c r="F194" s="588"/>
      <c r="G194" s="587"/>
      <c r="H194" s="589"/>
      <c r="I194" s="590"/>
      <c r="J194" s="591"/>
      <c r="K194" s="592"/>
      <c r="L194" s="593"/>
      <c r="M194" s="587"/>
      <c r="N194" s="587"/>
      <c r="O194" s="587"/>
      <c r="P194" s="587"/>
      <c r="Q194" s="588"/>
      <c r="R194" s="587"/>
      <c r="S194" s="594"/>
      <c r="T194" s="595"/>
      <c r="U194" s="595"/>
      <c r="V194" s="512"/>
      <c r="W194" s="512"/>
      <c r="X194" s="512"/>
      <c r="Y194" s="512"/>
      <c r="Z194" s="512"/>
      <c r="AA194" s="512"/>
      <c r="AB194" s="512"/>
      <c r="AC194" s="512"/>
      <c r="AD194" s="512"/>
      <c r="AE194" s="4"/>
      <c r="AF194" s="3"/>
      <c r="AG194" s="3"/>
      <c r="AH194" s="3"/>
      <c r="AI194" s="3"/>
      <c r="AJ194" s="3"/>
      <c r="AK194" s="3"/>
      <c r="AL194" s="3"/>
      <c r="AM194" s="3"/>
      <c r="AN194" s="3"/>
      <c r="AO194" s="3"/>
      <c r="AP194" s="3"/>
      <c r="AQ194" s="3"/>
      <c r="AR194" s="3"/>
      <c r="AS194" s="3"/>
      <c r="AT194" s="3"/>
      <c r="AU194" s="3"/>
      <c r="AV194" s="3"/>
      <c r="AW194" s="3"/>
      <c r="AX194" s="3"/>
      <c r="AY194" s="3"/>
    </row>
    <row r="195" spans="1:51" ht="13.5" customHeight="1">
      <c r="A195" s="194"/>
      <c r="B195" s="587"/>
      <c r="C195" s="587"/>
      <c r="D195" s="587"/>
      <c r="E195" s="587"/>
      <c r="F195" s="588"/>
      <c r="G195" s="587"/>
      <c r="H195" s="589"/>
      <c r="I195" s="590"/>
      <c r="J195" s="591"/>
      <c r="K195" s="592"/>
      <c r="L195" s="593"/>
      <c r="M195" s="587"/>
      <c r="N195" s="587"/>
      <c r="O195" s="587"/>
      <c r="P195" s="587"/>
      <c r="Q195" s="588"/>
      <c r="R195" s="587"/>
      <c r="S195" s="594"/>
      <c r="T195" s="595"/>
      <c r="U195" s="595"/>
      <c r="V195" s="512"/>
      <c r="W195" s="512"/>
      <c r="X195" s="512"/>
      <c r="Y195" s="512"/>
      <c r="Z195" s="512"/>
      <c r="AA195" s="512"/>
      <c r="AB195" s="512"/>
      <c r="AC195" s="512"/>
      <c r="AD195" s="512"/>
      <c r="AE195" s="4"/>
      <c r="AF195" s="3"/>
      <c r="AG195" s="3"/>
      <c r="AH195" s="3"/>
      <c r="AI195" s="3"/>
      <c r="AJ195" s="3"/>
      <c r="AK195" s="3"/>
      <c r="AL195" s="3"/>
      <c r="AM195" s="3"/>
      <c r="AN195" s="3"/>
      <c r="AO195" s="3"/>
      <c r="AP195" s="3"/>
      <c r="AQ195" s="3"/>
      <c r="AR195" s="3"/>
      <c r="AS195" s="3"/>
      <c r="AT195" s="3"/>
      <c r="AU195" s="3"/>
      <c r="AV195" s="3"/>
      <c r="AW195" s="3"/>
      <c r="AX195" s="3"/>
      <c r="AY195" s="3"/>
    </row>
    <row r="196" spans="1:51" ht="13.5" customHeight="1">
      <c r="A196" s="194"/>
      <c r="B196" s="587"/>
      <c r="C196" s="587"/>
      <c r="D196" s="587"/>
      <c r="E196" s="587"/>
      <c r="F196" s="588"/>
      <c r="G196" s="587"/>
      <c r="H196" s="589"/>
      <c r="I196" s="590"/>
      <c r="J196" s="591"/>
      <c r="K196" s="592"/>
      <c r="L196" s="593"/>
      <c r="M196" s="587"/>
      <c r="N196" s="587"/>
      <c r="O196" s="587"/>
      <c r="P196" s="587"/>
      <c r="Q196" s="588"/>
      <c r="R196" s="587"/>
      <c r="S196" s="594"/>
      <c r="T196" s="595"/>
      <c r="U196" s="595"/>
      <c r="V196" s="512"/>
      <c r="W196" s="512"/>
      <c r="X196" s="512"/>
      <c r="Y196" s="512"/>
      <c r="Z196" s="512"/>
      <c r="AA196" s="512"/>
      <c r="AB196" s="512"/>
      <c r="AC196" s="512"/>
      <c r="AD196" s="512"/>
      <c r="AE196" s="4"/>
      <c r="AF196" s="3"/>
      <c r="AG196" s="3"/>
      <c r="AH196" s="3"/>
      <c r="AI196" s="3"/>
      <c r="AJ196" s="3"/>
      <c r="AK196" s="3"/>
      <c r="AL196" s="3"/>
      <c r="AM196" s="3"/>
      <c r="AN196" s="3"/>
      <c r="AO196" s="3"/>
      <c r="AP196" s="3"/>
      <c r="AQ196" s="3"/>
      <c r="AR196" s="3"/>
      <c r="AS196" s="3"/>
      <c r="AT196" s="3"/>
      <c r="AU196" s="3"/>
      <c r="AV196" s="3"/>
      <c r="AW196" s="3"/>
      <c r="AX196" s="3"/>
      <c r="AY196" s="3"/>
    </row>
    <row r="197" spans="1:51" ht="13.5" customHeight="1">
      <c r="A197" s="194"/>
      <c r="B197" s="587"/>
      <c r="C197" s="587"/>
      <c r="D197" s="587"/>
      <c r="E197" s="587"/>
      <c r="F197" s="588"/>
      <c r="G197" s="587"/>
      <c r="H197" s="589"/>
      <c r="I197" s="590"/>
      <c r="J197" s="591"/>
      <c r="K197" s="592"/>
      <c r="L197" s="593"/>
      <c r="M197" s="587"/>
      <c r="N197" s="587"/>
      <c r="O197" s="587"/>
      <c r="P197" s="587"/>
      <c r="Q197" s="588"/>
      <c r="R197" s="587"/>
      <c r="S197" s="594"/>
      <c r="T197" s="595"/>
      <c r="U197" s="595"/>
      <c r="V197" s="512"/>
      <c r="W197" s="512"/>
      <c r="X197" s="512"/>
      <c r="Y197" s="512"/>
      <c r="Z197" s="512"/>
      <c r="AA197" s="512"/>
      <c r="AB197" s="512"/>
      <c r="AC197" s="512"/>
      <c r="AD197" s="512"/>
      <c r="AE197" s="4"/>
      <c r="AF197" s="3"/>
      <c r="AG197" s="3"/>
      <c r="AH197" s="3"/>
      <c r="AI197" s="3"/>
      <c r="AJ197" s="3"/>
      <c r="AK197" s="3"/>
      <c r="AL197" s="3"/>
      <c r="AM197" s="3"/>
      <c r="AN197" s="3"/>
      <c r="AO197" s="3"/>
      <c r="AP197" s="3"/>
      <c r="AQ197" s="3"/>
      <c r="AR197" s="3"/>
      <c r="AS197" s="3"/>
      <c r="AT197" s="3"/>
      <c r="AU197" s="3"/>
      <c r="AV197" s="3"/>
      <c r="AW197" s="3"/>
      <c r="AX197" s="3"/>
      <c r="AY197" s="3"/>
    </row>
    <row r="198" spans="1:51" ht="13.5" customHeight="1">
      <c r="A198" s="194"/>
      <c r="B198" s="587"/>
      <c r="C198" s="587"/>
      <c r="D198" s="587"/>
      <c r="E198" s="587"/>
      <c r="F198" s="588"/>
      <c r="G198" s="587"/>
      <c r="H198" s="589"/>
      <c r="I198" s="590"/>
      <c r="J198" s="591"/>
      <c r="K198" s="592"/>
      <c r="L198" s="593"/>
      <c r="M198" s="587"/>
      <c r="N198" s="587"/>
      <c r="O198" s="587"/>
      <c r="P198" s="587"/>
      <c r="Q198" s="588"/>
      <c r="R198" s="587"/>
      <c r="S198" s="594"/>
      <c r="T198" s="595"/>
      <c r="U198" s="595"/>
      <c r="V198" s="512"/>
      <c r="W198" s="512"/>
      <c r="X198" s="512"/>
      <c r="Y198" s="512"/>
      <c r="Z198" s="512"/>
      <c r="AA198" s="512"/>
      <c r="AB198" s="512"/>
      <c r="AC198" s="512"/>
      <c r="AD198" s="512"/>
      <c r="AE198" s="4"/>
      <c r="AF198" s="3"/>
      <c r="AG198" s="3"/>
      <c r="AH198" s="3"/>
      <c r="AI198" s="3"/>
      <c r="AJ198" s="3"/>
      <c r="AK198" s="3"/>
      <c r="AL198" s="3"/>
      <c r="AM198" s="3"/>
      <c r="AN198" s="3"/>
      <c r="AO198" s="3"/>
      <c r="AP198" s="3"/>
      <c r="AQ198" s="3"/>
      <c r="AR198" s="3"/>
      <c r="AS198" s="3"/>
      <c r="AT198" s="3"/>
      <c r="AU198" s="3"/>
      <c r="AV198" s="3"/>
      <c r="AW198" s="3"/>
      <c r="AX198" s="3"/>
      <c r="AY198" s="3"/>
    </row>
    <row r="199" spans="1:51" ht="13.5" customHeight="1">
      <c r="A199" s="194"/>
      <c r="B199" s="587"/>
      <c r="C199" s="587"/>
      <c r="D199" s="587"/>
      <c r="E199" s="587"/>
      <c r="F199" s="588"/>
      <c r="G199" s="587"/>
      <c r="H199" s="589"/>
      <c r="I199" s="590"/>
      <c r="J199" s="591"/>
      <c r="K199" s="592"/>
      <c r="L199" s="593"/>
      <c r="M199" s="587"/>
      <c r="N199" s="587"/>
      <c r="O199" s="587"/>
      <c r="P199" s="587"/>
      <c r="Q199" s="588"/>
      <c r="R199" s="587"/>
      <c r="S199" s="594"/>
      <c r="T199" s="595"/>
      <c r="U199" s="595"/>
      <c r="V199" s="512"/>
      <c r="W199" s="512"/>
      <c r="X199" s="512"/>
      <c r="Y199" s="512"/>
      <c r="Z199" s="512"/>
      <c r="AA199" s="512"/>
      <c r="AB199" s="512"/>
      <c r="AC199" s="512"/>
      <c r="AD199" s="512"/>
      <c r="AE199" s="4"/>
      <c r="AF199" s="3"/>
      <c r="AG199" s="3"/>
      <c r="AH199" s="3"/>
      <c r="AI199" s="3"/>
      <c r="AJ199" s="3"/>
      <c r="AK199" s="3"/>
      <c r="AL199" s="3"/>
      <c r="AM199" s="3"/>
      <c r="AN199" s="3"/>
      <c r="AO199" s="3"/>
      <c r="AP199" s="3"/>
      <c r="AQ199" s="3"/>
      <c r="AR199" s="3"/>
      <c r="AS199" s="3"/>
      <c r="AT199" s="3"/>
      <c r="AU199" s="3"/>
      <c r="AV199" s="3"/>
      <c r="AW199" s="3"/>
      <c r="AX199" s="3"/>
      <c r="AY199" s="3"/>
    </row>
    <row r="200" spans="1:51" ht="13.5" customHeight="1">
      <c r="A200" s="194"/>
      <c r="B200" s="587"/>
      <c r="C200" s="587"/>
      <c r="D200" s="587"/>
      <c r="E200" s="587"/>
      <c r="F200" s="588"/>
      <c r="G200" s="587"/>
      <c r="H200" s="589"/>
      <c r="I200" s="590"/>
      <c r="J200" s="591"/>
      <c r="K200" s="592"/>
      <c r="L200" s="593"/>
      <c r="M200" s="587"/>
      <c r="N200" s="587"/>
      <c r="O200" s="587"/>
      <c r="P200" s="587"/>
      <c r="Q200" s="588"/>
      <c r="R200" s="587"/>
      <c r="S200" s="594"/>
      <c r="T200" s="595"/>
      <c r="U200" s="595"/>
      <c r="V200" s="512"/>
      <c r="W200" s="512"/>
      <c r="X200" s="512"/>
      <c r="Y200" s="512"/>
      <c r="Z200" s="512"/>
      <c r="AA200" s="512"/>
      <c r="AB200" s="512"/>
      <c r="AC200" s="512"/>
      <c r="AD200" s="512"/>
      <c r="AE200" s="4"/>
      <c r="AF200" s="3"/>
      <c r="AG200" s="3"/>
      <c r="AH200" s="3"/>
      <c r="AI200" s="3"/>
      <c r="AJ200" s="3"/>
      <c r="AK200" s="3"/>
      <c r="AL200" s="3"/>
      <c r="AM200" s="3"/>
      <c r="AN200" s="3"/>
      <c r="AO200" s="3"/>
      <c r="AP200" s="3"/>
      <c r="AQ200" s="3"/>
      <c r="AR200" s="3"/>
      <c r="AS200" s="3"/>
      <c r="AT200" s="3"/>
      <c r="AU200" s="3"/>
      <c r="AV200" s="3"/>
      <c r="AW200" s="3"/>
      <c r="AX200" s="3"/>
      <c r="AY200" s="3"/>
    </row>
    <row r="201" spans="1:51" ht="13.5" customHeight="1">
      <c r="A201" s="194"/>
      <c r="B201" s="587"/>
      <c r="C201" s="587"/>
      <c r="D201" s="587"/>
      <c r="E201" s="587"/>
      <c r="F201" s="588"/>
      <c r="G201" s="587"/>
      <c r="H201" s="589"/>
      <c r="I201" s="590"/>
      <c r="J201" s="591"/>
      <c r="K201" s="592"/>
      <c r="L201" s="593"/>
      <c r="M201" s="587"/>
      <c r="N201" s="587"/>
      <c r="O201" s="587"/>
      <c r="P201" s="587"/>
      <c r="Q201" s="588"/>
      <c r="R201" s="587"/>
      <c r="S201" s="594"/>
      <c r="T201" s="595"/>
      <c r="U201" s="595"/>
      <c r="V201" s="512"/>
      <c r="W201" s="512"/>
      <c r="X201" s="512"/>
      <c r="Y201" s="512"/>
      <c r="Z201" s="512"/>
      <c r="AA201" s="512"/>
      <c r="AB201" s="512"/>
      <c r="AC201" s="512"/>
      <c r="AD201" s="512"/>
      <c r="AE201" s="4"/>
      <c r="AF201" s="3"/>
      <c r="AG201" s="3"/>
      <c r="AH201" s="3"/>
      <c r="AI201" s="3"/>
      <c r="AJ201" s="3"/>
      <c r="AK201" s="3"/>
      <c r="AL201" s="3"/>
      <c r="AM201" s="3"/>
      <c r="AN201" s="3"/>
      <c r="AO201" s="3"/>
      <c r="AP201" s="3"/>
      <c r="AQ201" s="3"/>
      <c r="AR201" s="3"/>
      <c r="AS201" s="3"/>
      <c r="AT201" s="3"/>
      <c r="AU201" s="3"/>
      <c r="AV201" s="3"/>
      <c r="AW201" s="3"/>
      <c r="AX201" s="3"/>
      <c r="AY201" s="3"/>
    </row>
    <row r="202" spans="1:51" ht="13.5" customHeight="1">
      <c r="A202" s="194"/>
      <c r="B202" s="587"/>
      <c r="C202" s="587"/>
      <c r="D202" s="587"/>
      <c r="E202" s="587"/>
      <c r="F202" s="588"/>
      <c r="G202" s="587"/>
      <c r="H202" s="589"/>
      <c r="I202" s="590"/>
      <c r="J202" s="591"/>
      <c r="K202" s="592"/>
      <c r="L202" s="593"/>
      <c r="M202" s="587"/>
      <c r="N202" s="587"/>
      <c r="O202" s="587"/>
      <c r="P202" s="587"/>
      <c r="Q202" s="588"/>
      <c r="R202" s="587"/>
      <c r="S202" s="594"/>
      <c r="T202" s="595"/>
      <c r="U202" s="595"/>
      <c r="V202" s="512"/>
      <c r="W202" s="512"/>
      <c r="X202" s="512"/>
      <c r="Y202" s="512"/>
      <c r="Z202" s="512"/>
      <c r="AA202" s="512"/>
      <c r="AB202" s="512"/>
      <c r="AC202" s="512"/>
      <c r="AD202" s="512"/>
      <c r="AE202" s="4"/>
      <c r="AF202" s="3"/>
      <c r="AG202" s="3"/>
      <c r="AH202" s="3"/>
      <c r="AI202" s="3"/>
      <c r="AJ202" s="3"/>
      <c r="AK202" s="3"/>
      <c r="AL202" s="3"/>
      <c r="AM202" s="3"/>
      <c r="AN202" s="3"/>
      <c r="AO202" s="3"/>
      <c r="AP202" s="3"/>
      <c r="AQ202" s="3"/>
      <c r="AR202" s="3"/>
      <c r="AS202" s="3"/>
      <c r="AT202" s="3"/>
      <c r="AU202" s="3"/>
      <c r="AV202" s="3"/>
      <c r="AW202" s="3"/>
      <c r="AX202" s="3"/>
      <c r="AY202" s="3"/>
    </row>
    <row r="203" spans="1:51" ht="13.5" customHeight="1">
      <c r="A203" s="194"/>
      <c r="B203" s="587"/>
      <c r="C203" s="587"/>
      <c r="D203" s="587"/>
      <c r="E203" s="587"/>
      <c r="F203" s="588"/>
      <c r="G203" s="587"/>
      <c r="H203" s="589"/>
      <c r="I203" s="590"/>
      <c r="J203" s="591"/>
      <c r="K203" s="592"/>
      <c r="L203" s="593"/>
      <c r="M203" s="587"/>
      <c r="N203" s="587"/>
      <c r="O203" s="587"/>
      <c r="P203" s="587"/>
      <c r="Q203" s="588"/>
      <c r="R203" s="587"/>
      <c r="S203" s="594"/>
      <c r="T203" s="595"/>
      <c r="U203" s="595"/>
      <c r="V203" s="512"/>
      <c r="W203" s="512"/>
      <c r="X203" s="512"/>
      <c r="Y203" s="512"/>
      <c r="Z203" s="512"/>
      <c r="AA203" s="512"/>
      <c r="AB203" s="512"/>
      <c r="AC203" s="512"/>
      <c r="AD203" s="512"/>
      <c r="AE203" s="4"/>
      <c r="AF203" s="3"/>
      <c r="AG203" s="3"/>
      <c r="AH203" s="3"/>
      <c r="AI203" s="3"/>
      <c r="AJ203" s="3"/>
      <c r="AK203" s="3"/>
      <c r="AL203" s="3"/>
      <c r="AM203" s="3"/>
      <c r="AN203" s="3"/>
      <c r="AO203" s="3"/>
      <c r="AP203" s="3"/>
      <c r="AQ203" s="3"/>
      <c r="AR203" s="3"/>
      <c r="AS203" s="3"/>
      <c r="AT203" s="3"/>
      <c r="AU203" s="3"/>
      <c r="AV203" s="3"/>
      <c r="AW203" s="3"/>
      <c r="AX203" s="3"/>
      <c r="AY203" s="3"/>
    </row>
    <row r="204" spans="1:51" ht="13.5" customHeight="1">
      <c r="A204" s="194"/>
      <c r="B204" s="587"/>
      <c r="C204" s="587"/>
      <c r="D204" s="587"/>
      <c r="E204" s="587"/>
      <c r="F204" s="588"/>
      <c r="G204" s="587"/>
      <c r="H204" s="589"/>
      <c r="I204" s="590"/>
      <c r="J204" s="591"/>
      <c r="K204" s="592"/>
      <c r="L204" s="593"/>
      <c r="M204" s="587"/>
      <c r="N204" s="587"/>
      <c r="O204" s="587"/>
      <c r="P204" s="587"/>
      <c r="Q204" s="588"/>
      <c r="R204" s="587"/>
      <c r="S204" s="594"/>
      <c r="T204" s="595"/>
      <c r="U204" s="595"/>
      <c r="V204" s="512"/>
      <c r="W204" s="512"/>
      <c r="X204" s="512"/>
      <c r="Y204" s="512"/>
      <c r="Z204" s="512"/>
      <c r="AA204" s="512"/>
      <c r="AB204" s="512"/>
      <c r="AC204" s="512"/>
      <c r="AD204" s="512"/>
      <c r="AE204" s="4"/>
      <c r="AF204" s="3"/>
      <c r="AG204" s="3"/>
      <c r="AH204" s="3"/>
      <c r="AI204" s="3"/>
      <c r="AJ204" s="3"/>
      <c r="AK204" s="3"/>
      <c r="AL204" s="3"/>
      <c r="AM204" s="3"/>
      <c r="AN204" s="3"/>
      <c r="AO204" s="3"/>
      <c r="AP204" s="3"/>
      <c r="AQ204" s="3"/>
      <c r="AR204" s="3"/>
      <c r="AS204" s="3"/>
      <c r="AT204" s="3"/>
      <c r="AU204" s="3"/>
      <c r="AV204" s="3"/>
      <c r="AW204" s="3"/>
      <c r="AX204" s="3"/>
      <c r="AY204" s="3"/>
    </row>
    <row r="205" spans="1:51" ht="13.5" customHeight="1">
      <c r="A205" s="194"/>
      <c r="B205" s="587"/>
      <c r="C205" s="587"/>
      <c r="D205" s="587"/>
      <c r="E205" s="587"/>
      <c r="F205" s="588"/>
      <c r="G205" s="587"/>
      <c r="H205" s="589"/>
      <c r="I205" s="590"/>
      <c r="J205" s="591"/>
      <c r="K205" s="592"/>
      <c r="L205" s="593"/>
      <c r="M205" s="587"/>
      <c r="N205" s="587"/>
      <c r="O205" s="587"/>
      <c r="P205" s="587"/>
      <c r="Q205" s="588"/>
      <c r="R205" s="587"/>
      <c r="S205" s="594"/>
      <c r="T205" s="595"/>
      <c r="U205" s="595"/>
      <c r="V205" s="512"/>
      <c r="W205" s="512"/>
      <c r="X205" s="512"/>
      <c r="Y205" s="512"/>
      <c r="Z205" s="512"/>
      <c r="AA205" s="512"/>
      <c r="AB205" s="512"/>
      <c r="AC205" s="512"/>
      <c r="AD205" s="512"/>
      <c r="AE205" s="4"/>
      <c r="AF205" s="3"/>
      <c r="AG205" s="3"/>
      <c r="AH205" s="3"/>
      <c r="AI205" s="3"/>
      <c r="AJ205" s="3"/>
      <c r="AK205" s="3"/>
      <c r="AL205" s="3"/>
      <c r="AM205" s="3"/>
      <c r="AN205" s="3"/>
      <c r="AO205" s="3"/>
      <c r="AP205" s="3"/>
      <c r="AQ205" s="3"/>
      <c r="AR205" s="3"/>
      <c r="AS205" s="3"/>
      <c r="AT205" s="3"/>
      <c r="AU205" s="3"/>
      <c r="AV205" s="3"/>
      <c r="AW205" s="3"/>
      <c r="AX205" s="3"/>
      <c r="AY205" s="3"/>
    </row>
    <row r="206" spans="1:51" ht="13.5" customHeight="1">
      <c r="A206" s="194"/>
      <c r="B206" s="587"/>
      <c r="C206" s="587"/>
      <c r="D206" s="587"/>
      <c r="E206" s="587"/>
      <c r="F206" s="588"/>
      <c r="G206" s="587"/>
      <c r="H206" s="589"/>
      <c r="I206" s="590"/>
      <c r="J206" s="591"/>
      <c r="K206" s="592"/>
      <c r="L206" s="593"/>
      <c r="M206" s="587"/>
      <c r="N206" s="587"/>
      <c r="O206" s="587"/>
      <c r="P206" s="587"/>
      <c r="Q206" s="588"/>
      <c r="R206" s="587"/>
      <c r="S206" s="594"/>
      <c r="T206" s="595"/>
      <c r="U206" s="595"/>
      <c r="V206" s="512"/>
      <c r="W206" s="512"/>
      <c r="X206" s="512"/>
      <c r="Y206" s="512"/>
      <c r="Z206" s="512"/>
      <c r="AA206" s="512"/>
      <c r="AB206" s="512"/>
      <c r="AC206" s="512"/>
      <c r="AD206" s="512"/>
      <c r="AE206" s="4"/>
      <c r="AF206" s="3"/>
      <c r="AG206" s="3"/>
      <c r="AH206" s="3"/>
      <c r="AI206" s="3"/>
      <c r="AJ206" s="3"/>
      <c r="AK206" s="3"/>
      <c r="AL206" s="3"/>
      <c r="AM206" s="3"/>
      <c r="AN206" s="3"/>
      <c r="AO206" s="3"/>
      <c r="AP206" s="3"/>
      <c r="AQ206" s="3"/>
      <c r="AR206" s="3"/>
      <c r="AS206" s="3"/>
      <c r="AT206" s="3"/>
      <c r="AU206" s="3"/>
      <c r="AV206" s="3"/>
      <c r="AW206" s="3"/>
      <c r="AX206" s="3"/>
      <c r="AY206" s="3"/>
    </row>
    <row r="207" spans="1:51" ht="13.5" customHeight="1">
      <c r="A207" s="194"/>
      <c r="B207" s="587"/>
      <c r="C207" s="587"/>
      <c r="D207" s="587"/>
      <c r="E207" s="587"/>
      <c r="F207" s="588"/>
      <c r="G207" s="587"/>
      <c r="H207" s="589"/>
      <c r="I207" s="590"/>
      <c r="J207" s="591"/>
      <c r="K207" s="592"/>
      <c r="L207" s="593"/>
      <c r="M207" s="587"/>
      <c r="N207" s="587"/>
      <c r="O207" s="587"/>
      <c r="P207" s="587"/>
      <c r="Q207" s="588"/>
      <c r="R207" s="587"/>
      <c r="S207" s="594"/>
      <c r="T207" s="595"/>
      <c r="U207" s="595"/>
      <c r="V207" s="512"/>
      <c r="W207" s="512"/>
      <c r="X207" s="512"/>
      <c r="Y207" s="512"/>
      <c r="Z207" s="512"/>
      <c r="AA207" s="512"/>
      <c r="AB207" s="512"/>
      <c r="AC207" s="512"/>
      <c r="AD207" s="512"/>
      <c r="AE207" s="4"/>
      <c r="AF207" s="3"/>
      <c r="AG207" s="3"/>
      <c r="AH207" s="3"/>
      <c r="AI207" s="3"/>
      <c r="AJ207" s="3"/>
      <c r="AK207" s="3"/>
      <c r="AL207" s="3"/>
      <c r="AM207" s="3"/>
      <c r="AN207" s="3"/>
      <c r="AO207" s="3"/>
      <c r="AP207" s="3"/>
      <c r="AQ207" s="3"/>
      <c r="AR207" s="3"/>
      <c r="AS207" s="3"/>
      <c r="AT207" s="3"/>
      <c r="AU207" s="3"/>
      <c r="AV207" s="3"/>
      <c r="AW207" s="3"/>
      <c r="AX207" s="3"/>
      <c r="AY207" s="3"/>
    </row>
    <row r="208" spans="1:51" ht="13.5" customHeight="1">
      <c r="A208" s="194"/>
      <c r="B208" s="587"/>
      <c r="C208" s="587"/>
      <c r="D208" s="587"/>
      <c r="E208" s="587"/>
      <c r="F208" s="588"/>
      <c r="G208" s="587"/>
      <c r="H208" s="589"/>
      <c r="I208" s="590"/>
      <c r="J208" s="591"/>
      <c r="K208" s="592"/>
      <c r="L208" s="593"/>
      <c r="M208" s="587"/>
      <c r="N208" s="587"/>
      <c r="O208" s="587"/>
      <c r="P208" s="587"/>
      <c r="Q208" s="588"/>
      <c r="R208" s="587"/>
      <c r="S208" s="594"/>
      <c r="T208" s="595"/>
      <c r="U208" s="595"/>
      <c r="V208" s="512"/>
      <c r="W208" s="512"/>
      <c r="X208" s="512"/>
      <c r="Y208" s="512"/>
      <c r="Z208" s="512"/>
      <c r="AA208" s="512"/>
      <c r="AB208" s="512"/>
      <c r="AC208" s="512"/>
      <c r="AD208" s="512"/>
      <c r="AE208" s="4"/>
      <c r="AF208" s="3"/>
      <c r="AG208" s="3"/>
      <c r="AH208" s="3"/>
      <c r="AI208" s="3"/>
      <c r="AJ208" s="3"/>
      <c r="AK208" s="3"/>
      <c r="AL208" s="3"/>
      <c r="AM208" s="3"/>
      <c r="AN208" s="3"/>
      <c r="AO208" s="3"/>
      <c r="AP208" s="3"/>
      <c r="AQ208" s="3"/>
      <c r="AR208" s="3"/>
      <c r="AS208" s="3"/>
      <c r="AT208" s="3"/>
      <c r="AU208" s="3"/>
      <c r="AV208" s="3"/>
      <c r="AW208" s="3"/>
      <c r="AX208" s="3"/>
      <c r="AY208" s="3"/>
    </row>
    <row r="209" spans="1:51" ht="13.5" customHeight="1">
      <c r="A209" s="194"/>
      <c r="B209" s="587"/>
      <c r="C209" s="587"/>
      <c r="D209" s="587"/>
      <c r="E209" s="587"/>
      <c r="F209" s="588"/>
      <c r="G209" s="587"/>
      <c r="H209" s="589"/>
      <c r="I209" s="590"/>
      <c r="J209" s="591"/>
      <c r="K209" s="592"/>
      <c r="L209" s="593"/>
      <c r="M209" s="587"/>
      <c r="N209" s="587"/>
      <c r="O209" s="587"/>
      <c r="P209" s="587"/>
      <c r="Q209" s="588"/>
      <c r="R209" s="587"/>
      <c r="S209" s="594"/>
      <c r="T209" s="595"/>
      <c r="U209" s="595"/>
      <c r="V209" s="512"/>
      <c r="W209" s="512"/>
      <c r="X209" s="512"/>
      <c r="Y209" s="512"/>
      <c r="Z209" s="512"/>
      <c r="AA209" s="512"/>
      <c r="AB209" s="512"/>
      <c r="AC209" s="512"/>
      <c r="AD209" s="512"/>
      <c r="AE209" s="4"/>
      <c r="AF209" s="3"/>
      <c r="AG209" s="3"/>
      <c r="AH209" s="3"/>
      <c r="AI209" s="3"/>
      <c r="AJ209" s="3"/>
      <c r="AK209" s="3"/>
      <c r="AL209" s="3"/>
      <c r="AM209" s="3"/>
      <c r="AN209" s="3"/>
      <c r="AO209" s="3"/>
      <c r="AP209" s="3"/>
      <c r="AQ209" s="3"/>
      <c r="AR209" s="3"/>
      <c r="AS209" s="3"/>
      <c r="AT209" s="3"/>
      <c r="AU209" s="3"/>
      <c r="AV209" s="3"/>
      <c r="AW209" s="3"/>
      <c r="AX209" s="3"/>
      <c r="AY209" s="3"/>
    </row>
    <row r="210" spans="1:51" ht="13.5" customHeight="1">
      <c r="A210" s="194"/>
      <c r="B210" s="587"/>
      <c r="C210" s="587"/>
      <c r="D210" s="587"/>
      <c r="E210" s="587"/>
      <c r="F210" s="588"/>
      <c r="G210" s="587"/>
      <c r="H210" s="589"/>
      <c r="I210" s="590"/>
      <c r="J210" s="591"/>
      <c r="K210" s="592"/>
      <c r="L210" s="593"/>
      <c r="M210" s="587"/>
      <c r="N210" s="587"/>
      <c r="O210" s="587"/>
      <c r="P210" s="587"/>
      <c r="Q210" s="588"/>
      <c r="R210" s="587"/>
      <c r="S210" s="594"/>
      <c r="T210" s="595"/>
      <c r="U210" s="595"/>
      <c r="V210" s="512"/>
      <c r="W210" s="512"/>
      <c r="X210" s="512"/>
      <c r="Y210" s="512"/>
      <c r="Z210" s="512"/>
      <c r="AA210" s="512"/>
      <c r="AB210" s="512"/>
      <c r="AC210" s="512"/>
      <c r="AD210" s="512"/>
      <c r="AE210" s="4"/>
      <c r="AF210" s="3"/>
      <c r="AG210" s="3"/>
      <c r="AH210" s="3"/>
      <c r="AI210" s="3"/>
      <c r="AJ210" s="3"/>
      <c r="AK210" s="3"/>
      <c r="AL210" s="3"/>
      <c r="AM210" s="3"/>
      <c r="AN210" s="3"/>
      <c r="AO210" s="3"/>
      <c r="AP210" s="3"/>
      <c r="AQ210" s="3"/>
      <c r="AR210" s="3"/>
      <c r="AS210" s="3"/>
      <c r="AT210" s="3"/>
      <c r="AU210" s="3"/>
      <c r="AV210" s="3"/>
      <c r="AW210" s="3"/>
      <c r="AX210" s="3"/>
      <c r="AY210" s="3"/>
    </row>
    <row r="211" spans="1:51" ht="13.5" customHeight="1">
      <c r="A211" s="194"/>
      <c r="B211" s="587"/>
      <c r="C211" s="587"/>
      <c r="D211" s="587"/>
      <c r="E211" s="587"/>
      <c r="F211" s="588"/>
      <c r="G211" s="587"/>
      <c r="H211" s="589"/>
      <c r="I211" s="590"/>
      <c r="J211" s="591"/>
      <c r="K211" s="592"/>
      <c r="L211" s="593"/>
      <c r="M211" s="587"/>
      <c r="N211" s="587"/>
      <c r="O211" s="587"/>
      <c r="P211" s="587"/>
      <c r="Q211" s="588"/>
      <c r="R211" s="587"/>
      <c r="S211" s="594"/>
      <c r="T211" s="595"/>
      <c r="U211" s="595"/>
      <c r="V211" s="512"/>
      <c r="W211" s="512"/>
      <c r="X211" s="512"/>
      <c r="Y211" s="512"/>
      <c r="Z211" s="512"/>
      <c r="AA211" s="512"/>
      <c r="AB211" s="512"/>
      <c r="AC211" s="512"/>
      <c r="AD211" s="512"/>
      <c r="AE211" s="4"/>
      <c r="AF211" s="3"/>
      <c r="AG211" s="3"/>
      <c r="AH211" s="3"/>
      <c r="AI211" s="3"/>
      <c r="AJ211" s="3"/>
      <c r="AK211" s="3"/>
      <c r="AL211" s="3"/>
      <c r="AM211" s="3"/>
      <c r="AN211" s="3"/>
      <c r="AO211" s="3"/>
      <c r="AP211" s="3"/>
      <c r="AQ211" s="3"/>
      <c r="AR211" s="3"/>
      <c r="AS211" s="3"/>
      <c r="AT211" s="3"/>
      <c r="AU211" s="3"/>
      <c r="AV211" s="3"/>
      <c r="AW211" s="3"/>
      <c r="AX211" s="3"/>
      <c r="AY211" s="3"/>
    </row>
    <row r="212" spans="1:51" ht="13.5" customHeight="1">
      <c r="A212" s="194"/>
      <c r="B212" s="587"/>
      <c r="C212" s="587"/>
      <c r="D212" s="587"/>
      <c r="E212" s="587"/>
      <c r="F212" s="588"/>
      <c r="G212" s="587"/>
      <c r="H212" s="589"/>
      <c r="I212" s="590"/>
      <c r="J212" s="591"/>
      <c r="K212" s="592"/>
      <c r="L212" s="593"/>
      <c r="M212" s="587"/>
      <c r="N212" s="587"/>
      <c r="O212" s="587"/>
      <c r="P212" s="587"/>
      <c r="Q212" s="588"/>
      <c r="R212" s="587"/>
      <c r="S212" s="594"/>
      <c r="T212" s="595"/>
      <c r="U212" s="595"/>
      <c r="V212" s="512"/>
      <c r="W212" s="512"/>
      <c r="X212" s="512"/>
      <c r="Y212" s="512"/>
      <c r="Z212" s="512"/>
      <c r="AA212" s="512"/>
      <c r="AB212" s="512"/>
      <c r="AC212" s="512"/>
      <c r="AD212" s="512"/>
      <c r="AE212" s="4"/>
      <c r="AF212" s="3"/>
      <c r="AG212" s="3"/>
      <c r="AH212" s="3"/>
      <c r="AI212" s="3"/>
      <c r="AJ212" s="3"/>
      <c r="AK212" s="3"/>
      <c r="AL212" s="3"/>
      <c r="AM212" s="3"/>
      <c r="AN212" s="3"/>
      <c r="AO212" s="3"/>
      <c r="AP212" s="3"/>
      <c r="AQ212" s="3"/>
      <c r="AR212" s="3"/>
      <c r="AS212" s="3"/>
      <c r="AT212" s="3"/>
      <c r="AU212" s="3"/>
      <c r="AV212" s="3"/>
      <c r="AW212" s="3"/>
      <c r="AX212" s="3"/>
      <c r="AY212" s="3"/>
    </row>
    <row r="213" spans="1:51" ht="13.5" customHeight="1">
      <c r="A213" s="194"/>
      <c r="B213" s="587"/>
      <c r="C213" s="587"/>
      <c r="D213" s="587"/>
      <c r="E213" s="587"/>
      <c r="F213" s="588"/>
      <c r="G213" s="587"/>
      <c r="H213" s="589"/>
      <c r="I213" s="590"/>
      <c r="J213" s="591"/>
      <c r="K213" s="592"/>
      <c r="L213" s="593"/>
      <c r="M213" s="587"/>
      <c r="N213" s="587"/>
      <c r="O213" s="587"/>
      <c r="P213" s="587"/>
      <c r="Q213" s="588"/>
      <c r="R213" s="587"/>
      <c r="S213" s="594"/>
      <c r="T213" s="595"/>
      <c r="U213" s="595"/>
      <c r="V213" s="512"/>
      <c r="W213" s="512"/>
      <c r="X213" s="512"/>
      <c r="Y213" s="512"/>
      <c r="Z213" s="512"/>
      <c r="AA213" s="512"/>
      <c r="AB213" s="512"/>
      <c r="AC213" s="512"/>
      <c r="AD213" s="512"/>
      <c r="AE213" s="4"/>
      <c r="AF213" s="3"/>
      <c r="AG213" s="3"/>
      <c r="AH213" s="3"/>
      <c r="AI213" s="3"/>
      <c r="AJ213" s="3"/>
      <c r="AK213" s="3"/>
      <c r="AL213" s="3"/>
      <c r="AM213" s="3"/>
      <c r="AN213" s="3"/>
      <c r="AO213" s="3"/>
      <c r="AP213" s="3"/>
      <c r="AQ213" s="3"/>
      <c r="AR213" s="3"/>
      <c r="AS213" s="3"/>
      <c r="AT213" s="3"/>
      <c r="AU213" s="3"/>
      <c r="AV213" s="3"/>
      <c r="AW213" s="3"/>
      <c r="AX213" s="3"/>
      <c r="AY213" s="3"/>
    </row>
    <row r="214" spans="1:51" ht="13.5" customHeight="1">
      <c r="A214" s="194"/>
      <c r="B214" s="587"/>
      <c r="C214" s="587"/>
      <c r="D214" s="587"/>
      <c r="E214" s="587"/>
      <c r="F214" s="588"/>
      <c r="G214" s="587"/>
      <c r="H214" s="589"/>
      <c r="I214" s="590"/>
      <c r="J214" s="591"/>
      <c r="K214" s="592"/>
      <c r="L214" s="593"/>
      <c r="M214" s="587"/>
      <c r="N214" s="587"/>
      <c r="O214" s="587"/>
      <c r="P214" s="587"/>
      <c r="Q214" s="588"/>
      <c r="R214" s="587"/>
      <c r="S214" s="594"/>
      <c r="T214" s="595"/>
      <c r="U214" s="595"/>
      <c r="V214" s="512"/>
      <c r="W214" s="512"/>
      <c r="X214" s="512"/>
      <c r="Y214" s="512"/>
      <c r="Z214" s="512"/>
      <c r="AA214" s="512"/>
      <c r="AB214" s="512"/>
      <c r="AC214" s="512"/>
      <c r="AD214" s="512"/>
      <c r="AE214" s="4"/>
      <c r="AF214" s="3"/>
      <c r="AG214" s="3"/>
      <c r="AH214" s="3"/>
      <c r="AI214" s="3"/>
      <c r="AJ214" s="3"/>
      <c r="AK214" s="3"/>
      <c r="AL214" s="3"/>
      <c r="AM214" s="3"/>
      <c r="AN214" s="3"/>
      <c r="AO214" s="3"/>
      <c r="AP214" s="3"/>
      <c r="AQ214" s="3"/>
      <c r="AR214" s="3"/>
      <c r="AS214" s="3"/>
      <c r="AT214" s="3"/>
      <c r="AU214" s="3"/>
      <c r="AV214" s="3"/>
      <c r="AW214" s="3"/>
      <c r="AX214" s="3"/>
      <c r="AY214" s="3"/>
    </row>
    <row r="215" spans="1:51" ht="13.5" customHeight="1">
      <c r="A215" s="194"/>
      <c r="B215" s="587"/>
      <c r="C215" s="587"/>
      <c r="D215" s="587"/>
      <c r="E215" s="587"/>
      <c r="F215" s="588"/>
      <c r="G215" s="587"/>
      <c r="H215" s="589"/>
      <c r="I215" s="590"/>
      <c r="J215" s="591"/>
      <c r="K215" s="592"/>
      <c r="L215" s="593"/>
      <c r="M215" s="587"/>
      <c r="N215" s="587"/>
      <c r="O215" s="587"/>
      <c r="P215" s="587"/>
      <c r="Q215" s="588"/>
      <c r="R215" s="587"/>
      <c r="S215" s="594"/>
      <c r="T215" s="595"/>
      <c r="U215" s="595"/>
      <c r="V215" s="512"/>
      <c r="W215" s="512"/>
      <c r="X215" s="512"/>
      <c r="Y215" s="512"/>
      <c r="Z215" s="512"/>
      <c r="AA215" s="512"/>
      <c r="AB215" s="512"/>
      <c r="AC215" s="512"/>
      <c r="AD215" s="512"/>
      <c r="AE215" s="4"/>
      <c r="AF215" s="3"/>
      <c r="AG215" s="3"/>
      <c r="AH215" s="3"/>
      <c r="AI215" s="3"/>
      <c r="AJ215" s="3"/>
      <c r="AK215" s="3"/>
      <c r="AL215" s="3"/>
      <c r="AM215" s="3"/>
      <c r="AN215" s="3"/>
      <c r="AO215" s="3"/>
      <c r="AP215" s="3"/>
      <c r="AQ215" s="3"/>
      <c r="AR215" s="3"/>
      <c r="AS215" s="3"/>
      <c r="AT215" s="3"/>
      <c r="AU215" s="3"/>
      <c r="AV215" s="3"/>
      <c r="AW215" s="3"/>
      <c r="AX215" s="3"/>
      <c r="AY215" s="3"/>
    </row>
    <row r="216" spans="1:51" ht="13.5" customHeight="1">
      <c r="A216" s="194"/>
      <c r="B216" s="587"/>
      <c r="C216" s="587"/>
      <c r="D216" s="587"/>
      <c r="E216" s="587"/>
      <c r="F216" s="588"/>
      <c r="G216" s="587"/>
      <c r="H216" s="589"/>
      <c r="I216" s="590"/>
      <c r="J216" s="591"/>
      <c r="K216" s="592"/>
      <c r="L216" s="593"/>
      <c r="M216" s="587"/>
      <c r="N216" s="587"/>
      <c r="O216" s="587"/>
      <c r="P216" s="587"/>
      <c r="Q216" s="588"/>
      <c r="R216" s="587"/>
      <c r="S216" s="594"/>
      <c r="T216" s="595"/>
      <c r="U216" s="595"/>
      <c r="V216" s="512"/>
      <c r="W216" s="512"/>
      <c r="X216" s="512"/>
      <c r="Y216" s="512"/>
      <c r="Z216" s="512"/>
      <c r="AA216" s="512"/>
      <c r="AB216" s="512"/>
      <c r="AC216" s="512"/>
      <c r="AD216" s="512"/>
      <c r="AE216" s="4"/>
      <c r="AF216" s="3"/>
      <c r="AG216" s="3"/>
      <c r="AH216" s="3"/>
      <c r="AI216" s="3"/>
      <c r="AJ216" s="3"/>
      <c r="AK216" s="3"/>
      <c r="AL216" s="3"/>
      <c r="AM216" s="3"/>
      <c r="AN216" s="3"/>
      <c r="AO216" s="3"/>
      <c r="AP216" s="3"/>
      <c r="AQ216" s="3"/>
      <c r="AR216" s="3"/>
      <c r="AS216" s="3"/>
      <c r="AT216" s="3"/>
      <c r="AU216" s="3"/>
      <c r="AV216" s="3"/>
      <c r="AW216" s="3"/>
      <c r="AX216" s="3"/>
      <c r="AY216" s="3"/>
    </row>
    <row r="217" spans="1:51" ht="13.5" customHeight="1">
      <c r="A217" s="194"/>
      <c r="B217" s="587"/>
      <c r="C217" s="587"/>
      <c r="D217" s="587"/>
      <c r="E217" s="587"/>
      <c r="F217" s="588"/>
      <c r="G217" s="587"/>
      <c r="H217" s="589"/>
      <c r="I217" s="590"/>
      <c r="J217" s="591"/>
      <c r="K217" s="592"/>
      <c r="L217" s="593"/>
      <c r="M217" s="587"/>
      <c r="N217" s="587"/>
      <c r="O217" s="587"/>
      <c r="P217" s="587"/>
      <c r="Q217" s="588"/>
      <c r="R217" s="587"/>
      <c r="S217" s="594"/>
      <c r="T217" s="595"/>
      <c r="U217" s="595"/>
      <c r="V217" s="512"/>
      <c r="W217" s="512"/>
      <c r="X217" s="512"/>
      <c r="Y217" s="512"/>
      <c r="Z217" s="512"/>
      <c r="AA217" s="512"/>
      <c r="AB217" s="512"/>
      <c r="AC217" s="512"/>
      <c r="AD217" s="512"/>
      <c r="AE217" s="4"/>
      <c r="AF217" s="3"/>
      <c r="AG217" s="3"/>
      <c r="AH217" s="3"/>
      <c r="AI217" s="3"/>
      <c r="AJ217" s="3"/>
      <c r="AK217" s="3"/>
      <c r="AL217" s="3"/>
      <c r="AM217" s="3"/>
      <c r="AN217" s="3"/>
      <c r="AO217" s="3"/>
      <c r="AP217" s="3"/>
      <c r="AQ217" s="3"/>
      <c r="AR217" s="3"/>
      <c r="AS217" s="3"/>
      <c r="AT217" s="3"/>
      <c r="AU217" s="3"/>
      <c r="AV217" s="3"/>
      <c r="AW217" s="3"/>
      <c r="AX217" s="3"/>
      <c r="AY217" s="3"/>
    </row>
    <row r="218" spans="1:51" ht="13.5" customHeight="1">
      <c r="A218" s="194"/>
      <c r="B218" s="587"/>
      <c r="C218" s="587"/>
      <c r="D218" s="587"/>
      <c r="E218" s="587"/>
      <c r="F218" s="588"/>
      <c r="G218" s="587"/>
      <c r="H218" s="589"/>
      <c r="I218" s="590"/>
      <c r="J218" s="591"/>
      <c r="K218" s="592"/>
      <c r="L218" s="593"/>
      <c r="M218" s="587"/>
      <c r="N218" s="587"/>
      <c r="O218" s="587"/>
      <c r="P218" s="587"/>
      <c r="Q218" s="588"/>
      <c r="R218" s="587"/>
      <c r="S218" s="594"/>
      <c r="T218" s="595"/>
      <c r="U218" s="595"/>
      <c r="V218" s="512"/>
      <c r="W218" s="512"/>
      <c r="X218" s="512"/>
      <c r="Y218" s="512"/>
      <c r="Z218" s="512"/>
      <c r="AA218" s="512"/>
      <c r="AB218" s="512"/>
      <c r="AC218" s="512"/>
      <c r="AD218" s="512"/>
      <c r="AE218" s="4"/>
      <c r="AF218" s="3"/>
      <c r="AG218" s="3"/>
      <c r="AH218" s="3"/>
      <c r="AI218" s="3"/>
      <c r="AJ218" s="3"/>
      <c r="AK218" s="3"/>
      <c r="AL218" s="3"/>
      <c r="AM218" s="3"/>
      <c r="AN218" s="3"/>
      <c r="AO218" s="3"/>
      <c r="AP218" s="3"/>
      <c r="AQ218" s="3"/>
      <c r="AR218" s="3"/>
      <c r="AS218" s="3"/>
      <c r="AT218" s="3"/>
      <c r="AU218" s="3"/>
      <c r="AV218" s="3"/>
      <c r="AW218" s="3"/>
      <c r="AX218" s="3"/>
      <c r="AY218" s="3"/>
    </row>
    <row r="219" spans="1:51" ht="13.5" customHeight="1">
      <c r="A219" s="194"/>
      <c r="B219" s="587"/>
      <c r="C219" s="587"/>
      <c r="D219" s="587"/>
      <c r="E219" s="587"/>
      <c r="F219" s="588"/>
      <c r="G219" s="587"/>
      <c r="H219" s="589"/>
      <c r="I219" s="590"/>
      <c r="J219" s="591"/>
      <c r="K219" s="592"/>
      <c r="L219" s="593"/>
      <c r="M219" s="587"/>
      <c r="N219" s="587"/>
      <c r="O219" s="587"/>
      <c r="P219" s="587"/>
      <c r="Q219" s="588"/>
      <c r="R219" s="587"/>
      <c r="S219" s="594"/>
      <c r="T219" s="595"/>
      <c r="U219" s="595"/>
      <c r="V219" s="512"/>
      <c r="W219" s="512"/>
      <c r="X219" s="512"/>
      <c r="Y219" s="512"/>
      <c r="Z219" s="512"/>
      <c r="AA219" s="512"/>
      <c r="AB219" s="512"/>
      <c r="AC219" s="512"/>
      <c r="AD219" s="512"/>
      <c r="AE219" s="4"/>
      <c r="AF219" s="3"/>
      <c r="AG219" s="3"/>
      <c r="AH219" s="3"/>
      <c r="AI219" s="3"/>
      <c r="AJ219" s="3"/>
      <c r="AK219" s="3"/>
      <c r="AL219" s="3"/>
      <c r="AM219" s="3"/>
      <c r="AN219" s="3"/>
      <c r="AO219" s="3"/>
      <c r="AP219" s="3"/>
      <c r="AQ219" s="3"/>
      <c r="AR219" s="3"/>
      <c r="AS219" s="3"/>
      <c r="AT219" s="3"/>
      <c r="AU219" s="3"/>
      <c r="AV219" s="3"/>
      <c r="AW219" s="3"/>
      <c r="AX219" s="3"/>
      <c r="AY219" s="3"/>
    </row>
    <row r="220" spans="1:51" ht="13.5" customHeight="1">
      <c r="A220" s="194"/>
      <c r="B220" s="587"/>
      <c r="C220" s="587"/>
      <c r="D220" s="587"/>
      <c r="E220" s="587"/>
      <c r="F220" s="588"/>
      <c r="G220" s="587"/>
      <c r="H220" s="589"/>
      <c r="I220" s="590"/>
      <c r="J220" s="591"/>
      <c r="K220" s="592"/>
      <c r="L220" s="593"/>
      <c r="M220" s="587"/>
      <c r="N220" s="587"/>
      <c r="O220" s="587"/>
      <c r="P220" s="587"/>
      <c r="Q220" s="588"/>
      <c r="R220" s="587"/>
      <c r="S220" s="594"/>
      <c r="T220" s="595"/>
      <c r="U220" s="595"/>
      <c r="V220" s="512"/>
      <c r="W220" s="512"/>
      <c r="X220" s="512"/>
      <c r="Y220" s="512"/>
      <c r="Z220" s="512"/>
      <c r="AA220" s="512"/>
      <c r="AB220" s="512"/>
      <c r="AC220" s="512"/>
      <c r="AD220" s="512"/>
      <c r="AE220" s="4"/>
      <c r="AF220" s="3"/>
      <c r="AG220" s="3"/>
      <c r="AH220" s="3"/>
      <c r="AI220" s="3"/>
      <c r="AJ220" s="3"/>
      <c r="AK220" s="3"/>
      <c r="AL220" s="3"/>
      <c r="AM220" s="3"/>
      <c r="AN220" s="3"/>
      <c r="AO220" s="3"/>
      <c r="AP220" s="3"/>
      <c r="AQ220" s="3"/>
      <c r="AR220" s="3"/>
      <c r="AS220" s="3"/>
      <c r="AT220" s="3"/>
      <c r="AU220" s="3"/>
      <c r="AV220" s="3"/>
      <c r="AW220" s="3"/>
      <c r="AX220" s="3"/>
      <c r="AY220" s="3"/>
    </row>
    <row r="221" spans="1:51" ht="13.5" customHeight="1">
      <c r="A221" s="194"/>
      <c r="B221" s="587"/>
      <c r="C221" s="587"/>
      <c r="D221" s="587"/>
      <c r="E221" s="587"/>
      <c r="F221" s="588"/>
      <c r="G221" s="587"/>
      <c r="H221" s="589"/>
      <c r="I221" s="590"/>
      <c r="J221" s="591"/>
      <c r="K221" s="592"/>
      <c r="L221" s="593"/>
      <c r="M221" s="587"/>
      <c r="N221" s="587"/>
      <c r="O221" s="587"/>
      <c r="P221" s="587"/>
      <c r="Q221" s="588"/>
      <c r="R221" s="587"/>
      <c r="S221" s="594"/>
      <c r="T221" s="595"/>
      <c r="U221" s="595"/>
      <c r="V221" s="512"/>
      <c r="W221" s="512"/>
      <c r="X221" s="512"/>
      <c r="Y221" s="512"/>
      <c r="Z221" s="512"/>
      <c r="AA221" s="512"/>
      <c r="AB221" s="512"/>
      <c r="AC221" s="512"/>
      <c r="AD221" s="512"/>
      <c r="AE221" s="4"/>
      <c r="AF221" s="3"/>
      <c r="AG221" s="3"/>
      <c r="AH221" s="3"/>
      <c r="AI221" s="3"/>
      <c r="AJ221" s="3"/>
      <c r="AK221" s="3"/>
      <c r="AL221" s="3"/>
      <c r="AM221" s="3"/>
      <c r="AN221" s="3"/>
      <c r="AO221" s="3"/>
      <c r="AP221" s="3"/>
      <c r="AQ221" s="3"/>
      <c r="AR221" s="3"/>
      <c r="AS221" s="3"/>
      <c r="AT221" s="3"/>
      <c r="AU221" s="3"/>
      <c r="AV221" s="3"/>
      <c r="AW221" s="3"/>
      <c r="AX221" s="3"/>
      <c r="AY221" s="3"/>
    </row>
    <row r="222" spans="1:51" ht="13.5" customHeight="1">
      <c r="A222" s="194"/>
      <c r="B222" s="587"/>
      <c r="C222" s="587"/>
      <c r="D222" s="587"/>
      <c r="E222" s="587"/>
      <c r="F222" s="588"/>
      <c r="G222" s="587"/>
      <c r="H222" s="589"/>
      <c r="I222" s="590"/>
      <c r="J222" s="591"/>
      <c r="K222" s="592"/>
      <c r="L222" s="593"/>
      <c r="M222" s="587"/>
      <c r="N222" s="587"/>
      <c r="O222" s="587"/>
      <c r="P222" s="587"/>
      <c r="Q222" s="588"/>
      <c r="R222" s="587"/>
      <c r="S222" s="594"/>
      <c r="T222" s="595"/>
      <c r="U222" s="595"/>
      <c r="V222" s="512"/>
      <c r="W222" s="512"/>
      <c r="X222" s="512"/>
      <c r="Y222" s="512"/>
      <c r="Z222" s="512"/>
      <c r="AA222" s="512"/>
      <c r="AB222" s="512"/>
      <c r="AC222" s="512"/>
      <c r="AD222" s="512"/>
      <c r="AE222" s="4"/>
      <c r="AF222" s="3"/>
      <c r="AG222" s="3"/>
      <c r="AH222" s="3"/>
      <c r="AI222" s="3"/>
      <c r="AJ222" s="3"/>
      <c r="AK222" s="3"/>
      <c r="AL222" s="3"/>
      <c r="AM222" s="3"/>
      <c r="AN222" s="3"/>
      <c r="AO222" s="3"/>
      <c r="AP222" s="3"/>
      <c r="AQ222" s="3"/>
      <c r="AR222" s="3"/>
      <c r="AS222" s="3"/>
      <c r="AT222" s="3"/>
      <c r="AU222" s="3"/>
      <c r="AV222" s="3"/>
      <c r="AW222" s="3"/>
      <c r="AX222" s="3"/>
      <c r="AY222" s="3"/>
    </row>
    <row r="223" spans="1:51" ht="13.5" customHeight="1">
      <c r="A223" s="194"/>
      <c r="B223" s="587"/>
      <c r="C223" s="587"/>
      <c r="D223" s="587"/>
      <c r="E223" s="587"/>
      <c r="F223" s="588"/>
      <c r="G223" s="587"/>
      <c r="H223" s="589"/>
      <c r="I223" s="590"/>
      <c r="J223" s="591"/>
      <c r="K223" s="592"/>
      <c r="L223" s="593"/>
      <c r="M223" s="587"/>
      <c r="N223" s="587"/>
      <c r="O223" s="587"/>
      <c r="P223" s="587"/>
      <c r="Q223" s="588"/>
      <c r="R223" s="587"/>
      <c r="S223" s="594"/>
      <c r="T223" s="595"/>
      <c r="U223" s="595"/>
      <c r="V223" s="512"/>
      <c r="W223" s="512"/>
      <c r="X223" s="512"/>
      <c r="Y223" s="512"/>
      <c r="Z223" s="512"/>
      <c r="AA223" s="512"/>
      <c r="AB223" s="512"/>
      <c r="AC223" s="512"/>
      <c r="AD223" s="512"/>
      <c r="AE223" s="4"/>
      <c r="AF223" s="3"/>
      <c r="AG223" s="3"/>
      <c r="AH223" s="3"/>
      <c r="AI223" s="3"/>
      <c r="AJ223" s="3"/>
      <c r="AK223" s="3"/>
      <c r="AL223" s="3"/>
      <c r="AM223" s="3"/>
      <c r="AN223" s="3"/>
      <c r="AO223" s="3"/>
      <c r="AP223" s="3"/>
      <c r="AQ223" s="3"/>
      <c r="AR223" s="3"/>
      <c r="AS223" s="3"/>
      <c r="AT223" s="3"/>
      <c r="AU223" s="3"/>
      <c r="AV223" s="3"/>
      <c r="AW223" s="3"/>
      <c r="AX223" s="3"/>
      <c r="AY223" s="3"/>
    </row>
    <row r="224" spans="1:51" ht="13.5" customHeight="1">
      <c r="A224" s="194"/>
      <c r="B224" s="587"/>
      <c r="C224" s="587"/>
      <c r="D224" s="587"/>
      <c r="E224" s="587"/>
      <c r="F224" s="588"/>
      <c r="G224" s="587"/>
      <c r="H224" s="589"/>
      <c r="I224" s="590"/>
      <c r="J224" s="591"/>
      <c r="K224" s="592"/>
      <c r="L224" s="593"/>
      <c r="M224" s="587"/>
      <c r="N224" s="587"/>
      <c r="O224" s="587"/>
      <c r="P224" s="587"/>
      <c r="Q224" s="588"/>
      <c r="R224" s="587"/>
      <c r="S224" s="594"/>
      <c r="T224" s="595"/>
      <c r="U224" s="595"/>
      <c r="V224" s="512"/>
      <c r="W224" s="512"/>
      <c r="X224" s="512"/>
      <c r="Y224" s="512"/>
      <c r="Z224" s="512"/>
      <c r="AA224" s="512"/>
      <c r="AB224" s="512"/>
      <c r="AC224" s="512"/>
      <c r="AD224" s="512"/>
      <c r="AE224" s="4"/>
      <c r="AF224" s="3"/>
      <c r="AG224" s="3"/>
      <c r="AH224" s="3"/>
      <c r="AI224" s="3"/>
      <c r="AJ224" s="3"/>
      <c r="AK224" s="3"/>
      <c r="AL224" s="3"/>
      <c r="AM224" s="3"/>
      <c r="AN224" s="3"/>
      <c r="AO224" s="3"/>
      <c r="AP224" s="3"/>
      <c r="AQ224" s="3"/>
      <c r="AR224" s="3"/>
      <c r="AS224" s="3"/>
      <c r="AT224" s="3"/>
      <c r="AU224" s="3"/>
      <c r="AV224" s="3"/>
      <c r="AW224" s="3"/>
      <c r="AX224" s="3"/>
      <c r="AY224" s="3"/>
    </row>
    <row r="225" spans="1:51" ht="13.5" customHeight="1">
      <c r="A225" s="194"/>
      <c r="B225" s="587"/>
      <c r="C225" s="587"/>
      <c r="D225" s="587"/>
      <c r="E225" s="587"/>
      <c r="F225" s="588"/>
      <c r="G225" s="587"/>
      <c r="H225" s="589"/>
      <c r="I225" s="590"/>
      <c r="J225" s="591"/>
      <c r="K225" s="592"/>
      <c r="L225" s="593"/>
      <c r="M225" s="587"/>
      <c r="N225" s="587"/>
      <c r="O225" s="587"/>
      <c r="P225" s="587"/>
      <c r="Q225" s="588"/>
      <c r="R225" s="587"/>
      <c r="S225" s="594"/>
      <c r="T225" s="595"/>
      <c r="U225" s="595"/>
      <c r="V225" s="512"/>
      <c r="W225" s="512"/>
      <c r="X225" s="512"/>
      <c r="Y225" s="512"/>
      <c r="Z225" s="512"/>
      <c r="AA225" s="512"/>
      <c r="AB225" s="512"/>
      <c r="AC225" s="512"/>
      <c r="AD225" s="512"/>
      <c r="AE225" s="4"/>
      <c r="AF225" s="3"/>
      <c r="AG225" s="3"/>
      <c r="AH225" s="3"/>
      <c r="AI225" s="3"/>
      <c r="AJ225" s="3"/>
      <c r="AK225" s="3"/>
      <c r="AL225" s="3"/>
      <c r="AM225" s="3"/>
      <c r="AN225" s="3"/>
      <c r="AO225" s="3"/>
      <c r="AP225" s="3"/>
      <c r="AQ225" s="3"/>
      <c r="AR225" s="3"/>
      <c r="AS225" s="3"/>
      <c r="AT225" s="3"/>
      <c r="AU225" s="3"/>
      <c r="AV225" s="3"/>
      <c r="AW225" s="3"/>
      <c r="AX225" s="3"/>
      <c r="AY225" s="3"/>
    </row>
    <row r="226" spans="1:51" ht="13.5" customHeight="1">
      <c r="A226" s="194"/>
      <c r="B226" s="587"/>
      <c r="C226" s="587"/>
      <c r="D226" s="587"/>
      <c r="E226" s="587"/>
      <c r="F226" s="588"/>
      <c r="G226" s="587"/>
      <c r="H226" s="589"/>
      <c r="I226" s="590"/>
      <c r="J226" s="591"/>
      <c r="K226" s="592"/>
      <c r="L226" s="593"/>
      <c r="M226" s="587"/>
      <c r="N226" s="587"/>
      <c r="O226" s="587"/>
      <c r="P226" s="587"/>
      <c r="Q226" s="588"/>
      <c r="R226" s="587"/>
      <c r="S226" s="594"/>
      <c r="T226" s="595"/>
      <c r="U226" s="595"/>
      <c r="V226" s="512"/>
      <c r="W226" s="512"/>
      <c r="X226" s="512"/>
      <c r="Y226" s="512"/>
      <c r="Z226" s="512"/>
      <c r="AA226" s="512"/>
      <c r="AB226" s="512"/>
      <c r="AC226" s="512"/>
      <c r="AD226" s="512"/>
      <c r="AE226" s="4"/>
      <c r="AF226" s="3"/>
      <c r="AG226" s="3"/>
      <c r="AH226" s="3"/>
      <c r="AI226" s="3"/>
      <c r="AJ226" s="3"/>
      <c r="AK226" s="3"/>
      <c r="AL226" s="3"/>
      <c r="AM226" s="3"/>
      <c r="AN226" s="3"/>
      <c r="AO226" s="3"/>
      <c r="AP226" s="3"/>
      <c r="AQ226" s="3"/>
      <c r="AR226" s="3"/>
      <c r="AS226" s="3"/>
      <c r="AT226" s="3"/>
      <c r="AU226" s="3"/>
      <c r="AV226" s="3"/>
      <c r="AW226" s="3"/>
      <c r="AX226" s="3"/>
      <c r="AY226" s="3"/>
    </row>
    <row r="227" spans="1:51" ht="13.5" customHeight="1">
      <c r="A227" s="194"/>
      <c r="B227" s="587"/>
      <c r="C227" s="587"/>
      <c r="D227" s="587"/>
      <c r="E227" s="587"/>
      <c r="F227" s="588"/>
      <c r="G227" s="587"/>
      <c r="H227" s="589"/>
      <c r="I227" s="590"/>
      <c r="J227" s="591"/>
      <c r="K227" s="592"/>
      <c r="L227" s="593"/>
      <c r="M227" s="587"/>
      <c r="N227" s="587"/>
      <c r="O227" s="587"/>
      <c r="P227" s="587"/>
      <c r="Q227" s="588"/>
      <c r="R227" s="587"/>
      <c r="S227" s="594"/>
      <c r="T227" s="595"/>
      <c r="U227" s="595"/>
      <c r="V227" s="512"/>
      <c r="W227" s="512"/>
      <c r="X227" s="512"/>
      <c r="Y227" s="512"/>
      <c r="Z227" s="512"/>
      <c r="AA227" s="512"/>
      <c r="AB227" s="512"/>
      <c r="AC227" s="512"/>
      <c r="AD227" s="512"/>
      <c r="AE227" s="4"/>
      <c r="AF227" s="3"/>
      <c r="AG227" s="3"/>
      <c r="AH227" s="3"/>
      <c r="AI227" s="3"/>
      <c r="AJ227" s="3"/>
      <c r="AK227" s="3"/>
      <c r="AL227" s="3"/>
      <c r="AM227" s="3"/>
      <c r="AN227" s="3"/>
      <c r="AO227" s="3"/>
      <c r="AP227" s="3"/>
      <c r="AQ227" s="3"/>
      <c r="AR227" s="3"/>
      <c r="AS227" s="3"/>
      <c r="AT227" s="3"/>
      <c r="AU227" s="3"/>
      <c r="AV227" s="3"/>
      <c r="AW227" s="3"/>
      <c r="AX227" s="3"/>
      <c r="AY227" s="3"/>
    </row>
    <row r="228" spans="1:51" ht="13.5" customHeight="1">
      <c r="A228" s="194"/>
      <c r="B228" s="587"/>
      <c r="C228" s="587"/>
      <c r="D228" s="587"/>
      <c r="E228" s="587"/>
      <c r="F228" s="588"/>
      <c r="G228" s="587"/>
      <c r="H228" s="589"/>
      <c r="I228" s="590"/>
      <c r="J228" s="591"/>
      <c r="K228" s="592"/>
      <c r="L228" s="593"/>
      <c r="M228" s="587"/>
      <c r="N228" s="587"/>
      <c r="O228" s="587"/>
      <c r="P228" s="587"/>
      <c r="Q228" s="588"/>
      <c r="R228" s="587"/>
      <c r="S228" s="594"/>
      <c r="T228" s="595"/>
      <c r="U228" s="595"/>
      <c r="V228" s="512"/>
      <c r="W228" s="512"/>
      <c r="X228" s="512"/>
      <c r="Y228" s="512"/>
      <c r="Z228" s="512"/>
      <c r="AA228" s="512"/>
      <c r="AB228" s="512"/>
      <c r="AC228" s="512"/>
      <c r="AD228" s="512"/>
      <c r="AE228" s="4"/>
      <c r="AF228" s="3"/>
      <c r="AG228" s="3"/>
      <c r="AH228" s="3"/>
      <c r="AI228" s="3"/>
      <c r="AJ228" s="3"/>
      <c r="AK228" s="3"/>
      <c r="AL228" s="3"/>
      <c r="AM228" s="3"/>
      <c r="AN228" s="3"/>
      <c r="AO228" s="3"/>
      <c r="AP228" s="3"/>
      <c r="AQ228" s="3"/>
      <c r="AR228" s="3"/>
      <c r="AS228" s="3"/>
      <c r="AT228" s="3"/>
      <c r="AU228" s="3"/>
      <c r="AV228" s="3"/>
      <c r="AW228" s="3"/>
      <c r="AX228" s="3"/>
      <c r="AY228" s="3"/>
    </row>
    <row r="229" spans="1:51" ht="13.5" customHeight="1">
      <c r="A229" s="194"/>
      <c r="B229" s="587"/>
      <c r="C229" s="587"/>
      <c r="D229" s="587"/>
      <c r="E229" s="587"/>
      <c r="F229" s="588"/>
      <c r="G229" s="587"/>
      <c r="H229" s="589"/>
      <c r="I229" s="590"/>
      <c r="J229" s="591"/>
      <c r="K229" s="592"/>
      <c r="L229" s="593"/>
      <c r="M229" s="587"/>
      <c r="N229" s="587"/>
      <c r="O229" s="587"/>
      <c r="P229" s="587"/>
      <c r="Q229" s="588"/>
      <c r="R229" s="587"/>
      <c r="S229" s="594"/>
      <c r="T229" s="595"/>
      <c r="U229" s="595"/>
      <c r="V229" s="512"/>
      <c r="W229" s="512"/>
      <c r="X229" s="512"/>
      <c r="Y229" s="512"/>
      <c r="Z229" s="512"/>
      <c r="AA229" s="512"/>
      <c r="AB229" s="512"/>
      <c r="AC229" s="512"/>
      <c r="AD229" s="512"/>
      <c r="AE229" s="4"/>
      <c r="AF229" s="3"/>
      <c r="AG229" s="3"/>
      <c r="AH229" s="3"/>
      <c r="AI229" s="3"/>
      <c r="AJ229" s="3"/>
      <c r="AK229" s="3"/>
      <c r="AL229" s="3"/>
      <c r="AM229" s="3"/>
      <c r="AN229" s="3"/>
      <c r="AO229" s="3"/>
      <c r="AP229" s="3"/>
      <c r="AQ229" s="3"/>
      <c r="AR229" s="3"/>
      <c r="AS229" s="3"/>
      <c r="AT229" s="3"/>
      <c r="AU229" s="3"/>
      <c r="AV229" s="3"/>
      <c r="AW229" s="3"/>
      <c r="AX229" s="3"/>
      <c r="AY229" s="3"/>
    </row>
    <row r="230" spans="1:51" ht="13.5" customHeight="1">
      <c r="A230" s="194"/>
      <c r="B230" s="587"/>
      <c r="C230" s="587"/>
      <c r="D230" s="587"/>
      <c r="E230" s="587"/>
      <c r="F230" s="588"/>
      <c r="G230" s="587"/>
      <c r="H230" s="589"/>
      <c r="I230" s="590"/>
      <c r="J230" s="591"/>
      <c r="K230" s="592"/>
      <c r="L230" s="593"/>
      <c r="M230" s="587"/>
      <c r="N230" s="587"/>
      <c r="O230" s="587"/>
      <c r="P230" s="587"/>
      <c r="Q230" s="588"/>
      <c r="R230" s="587"/>
      <c r="S230" s="594"/>
      <c r="T230" s="595"/>
      <c r="U230" s="595"/>
      <c r="V230" s="512"/>
      <c r="W230" s="512"/>
      <c r="X230" s="512"/>
      <c r="Y230" s="512"/>
      <c r="Z230" s="512"/>
      <c r="AA230" s="512"/>
      <c r="AB230" s="512"/>
      <c r="AC230" s="512"/>
      <c r="AD230" s="512"/>
      <c r="AE230" s="4"/>
      <c r="AF230" s="3"/>
      <c r="AG230" s="3"/>
      <c r="AH230" s="3"/>
      <c r="AI230" s="3"/>
      <c r="AJ230" s="3"/>
      <c r="AK230" s="3"/>
      <c r="AL230" s="3"/>
      <c r="AM230" s="3"/>
      <c r="AN230" s="3"/>
      <c r="AO230" s="3"/>
      <c r="AP230" s="3"/>
      <c r="AQ230" s="3"/>
      <c r="AR230" s="3"/>
      <c r="AS230" s="3"/>
      <c r="AT230" s="3"/>
      <c r="AU230" s="3"/>
      <c r="AV230" s="3"/>
      <c r="AW230" s="3"/>
      <c r="AX230" s="3"/>
      <c r="AY230" s="3"/>
    </row>
    <row r="231" spans="1:51" ht="13.5" customHeight="1">
      <c r="A231" s="194"/>
      <c r="B231" s="587"/>
      <c r="C231" s="587"/>
      <c r="D231" s="587"/>
      <c r="E231" s="587"/>
      <c r="F231" s="588"/>
      <c r="G231" s="587"/>
      <c r="H231" s="589"/>
      <c r="I231" s="590"/>
      <c r="J231" s="591"/>
      <c r="K231" s="592"/>
      <c r="L231" s="593"/>
      <c r="M231" s="587"/>
      <c r="N231" s="587"/>
      <c r="O231" s="587"/>
      <c r="P231" s="587"/>
      <c r="Q231" s="588"/>
      <c r="R231" s="587"/>
      <c r="S231" s="594"/>
      <c r="T231" s="595"/>
      <c r="U231" s="595"/>
      <c r="V231" s="512"/>
      <c r="W231" s="512"/>
      <c r="X231" s="512"/>
      <c r="Y231" s="512"/>
      <c r="Z231" s="512"/>
      <c r="AA231" s="512"/>
      <c r="AB231" s="512"/>
      <c r="AC231" s="512"/>
      <c r="AD231" s="512"/>
      <c r="AE231" s="4"/>
      <c r="AF231" s="3"/>
      <c r="AG231" s="3"/>
      <c r="AH231" s="3"/>
      <c r="AI231" s="3"/>
      <c r="AJ231" s="3"/>
      <c r="AK231" s="3"/>
      <c r="AL231" s="3"/>
      <c r="AM231" s="3"/>
      <c r="AN231" s="3"/>
      <c r="AO231" s="3"/>
      <c r="AP231" s="3"/>
      <c r="AQ231" s="3"/>
      <c r="AR231" s="3"/>
      <c r="AS231" s="3"/>
      <c r="AT231" s="3"/>
      <c r="AU231" s="3"/>
      <c r="AV231" s="3"/>
      <c r="AW231" s="3"/>
      <c r="AX231" s="3"/>
      <c r="AY231" s="3"/>
    </row>
    <row r="232" spans="1:51" ht="13.5" customHeight="1">
      <c r="A232" s="194"/>
      <c r="B232" s="587"/>
      <c r="C232" s="587"/>
      <c r="D232" s="587"/>
      <c r="E232" s="587"/>
      <c r="F232" s="588"/>
      <c r="G232" s="587"/>
      <c r="H232" s="589"/>
      <c r="I232" s="590"/>
      <c r="J232" s="591"/>
      <c r="K232" s="592"/>
      <c r="L232" s="593"/>
      <c r="M232" s="587"/>
      <c r="N232" s="587"/>
      <c r="O232" s="587"/>
      <c r="P232" s="587"/>
      <c r="Q232" s="588"/>
      <c r="R232" s="587"/>
      <c r="S232" s="594"/>
      <c r="T232" s="595"/>
      <c r="U232" s="595"/>
      <c r="V232" s="512"/>
      <c r="W232" s="512"/>
      <c r="X232" s="512"/>
      <c r="Y232" s="512"/>
      <c r="Z232" s="512"/>
      <c r="AA232" s="512"/>
      <c r="AB232" s="512"/>
      <c r="AC232" s="512"/>
      <c r="AD232" s="512"/>
      <c r="AE232" s="4"/>
      <c r="AF232" s="3"/>
      <c r="AG232" s="3"/>
      <c r="AH232" s="3"/>
      <c r="AI232" s="3"/>
      <c r="AJ232" s="3"/>
      <c r="AK232" s="3"/>
      <c r="AL232" s="3"/>
      <c r="AM232" s="3"/>
      <c r="AN232" s="3"/>
      <c r="AO232" s="3"/>
      <c r="AP232" s="3"/>
      <c r="AQ232" s="3"/>
      <c r="AR232" s="3"/>
      <c r="AS232" s="3"/>
      <c r="AT232" s="3"/>
      <c r="AU232" s="3"/>
      <c r="AV232" s="3"/>
      <c r="AW232" s="3"/>
      <c r="AX232" s="3"/>
      <c r="AY232" s="3"/>
    </row>
    <row r="233" spans="1:51" ht="13.5" customHeight="1">
      <c r="A233" s="194"/>
      <c r="B233" s="587"/>
      <c r="C233" s="587"/>
      <c r="D233" s="587"/>
      <c r="E233" s="587"/>
      <c r="F233" s="588"/>
      <c r="G233" s="587"/>
      <c r="H233" s="589"/>
      <c r="I233" s="590"/>
      <c r="J233" s="591"/>
      <c r="K233" s="592"/>
      <c r="L233" s="593"/>
      <c r="M233" s="587"/>
      <c r="N233" s="587"/>
      <c r="O233" s="587"/>
      <c r="P233" s="587"/>
      <c r="Q233" s="588"/>
      <c r="R233" s="587"/>
      <c r="S233" s="594"/>
      <c r="T233" s="595"/>
      <c r="U233" s="595"/>
      <c r="V233" s="512"/>
      <c r="W233" s="512"/>
      <c r="X233" s="512"/>
      <c r="Y233" s="512"/>
      <c r="Z233" s="512"/>
      <c r="AA233" s="512"/>
      <c r="AB233" s="512"/>
      <c r="AC233" s="512"/>
      <c r="AD233" s="512"/>
      <c r="AE233" s="4"/>
      <c r="AF233" s="3"/>
      <c r="AG233" s="3"/>
      <c r="AH233" s="3"/>
      <c r="AI233" s="3"/>
      <c r="AJ233" s="3"/>
      <c r="AK233" s="3"/>
      <c r="AL233" s="3"/>
      <c r="AM233" s="3"/>
      <c r="AN233" s="3"/>
      <c r="AO233" s="3"/>
      <c r="AP233" s="3"/>
      <c r="AQ233" s="3"/>
      <c r="AR233" s="3"/>
      <c r="AS233" s="3"/>
      <c r="AT233" s="3"/>
      <c r="AU233" s="3"/>
      <c r="AV233" s="3"/>
      <c r="AW233" s="3"/>
      <c r="AX233" s="3"/>
      <c r="AY233" s="3"/>
    </row>
    <row r="234" spans="1:51" ht="13.5" customHeight="1">
      <c r="A234" s="194"/>
      <c r="B234" s="587"/>
      <c r="C234" s="587"/>
      <c r="D234" s="587"/>
      <c r="E234" s="587"/>
      <c r="F234" s="588"/>
      <c r="G234" s="587"/>
      <c r="H234" s="589"/>
      <c r="I234" s="590"/>
      <c r="J234" s="591"/>
      <c r="K234" s="592"/>
      <c r="L234" s="593"/>
      <c r="M234" s="587"/>
      <c r="N234" s="587"/>
      <c r="O234" s="587"/>
      <c r="P234" s="587"/>
      <c r="Q234" s="588"/>
      <c r="R234" s="587"/>
      <c r="S234" s="594"/>
      <c r="T234" s="595"/>
      <c r="U234" s="595"/>
      <c r="V234" s="512"/>
      <c r="W234" s="512"/>
      <c r="X234" s="512"/>
      <c r="Y234" s="512"/>
      <c r="Z234" s="512"/>
      <c r="AA234" s="512"/>
      <c r="AB234" s="512"/>
      <c r="AC234" s="512"/>
      <c r="AD234" s="512"/>
      <c r="AE234" s="4"/>
      <c r="AF234" s="3"/>
      <c r="AG234" s="3"/>
      <c r="AH234" s="3"/>
      <c r="AI234" s="3"/>
      <c r="AJ234" s="3"/>
      <c r="AK234" s="3"/>
      <c r="AL234" s="3"/>
      <c r="AM234" s="3"/>
      <c r="AN234" s="3"/>
      <c r="AO234" s="3"/>
      <c r="AP234" s="3"/>
      <c r="AQ234" s="3"/>
      <c r="AR234" s="3"/>
      <c r="AS234" s="3"/>
      <c r="AT234" s="3"/>
      <c r="AU234" s="3"/>
      <c r="AV234" s="3"/>
      <c r="AW234" s="3"/>
      <c r="AX234" s="3"/>
      <c r="AY234" s="3"/>
    </row>
    <row r="235" spans="1:51" ht="13.5" customHeight="1">
      <c r="A235" s="194"/>
      <c r="B235" s="587"/>
      <c r="C235" s="587"/>
      <c r="D235" s="587"/>
      <c r="E235" s="587"/>
      <c r="F235" s="588"/>
      <c r="G235" s="587"/>
      <c r="H235" s="589"/>
      <c r="I235" s="590"/>
      <c r="J235" s="591"/>
      <c r="K235" s="592"/>
      <c r="L235" s="593"/>
      <c r="M235" s="587"/>
      <c r="N235" s="587"/>
      <c r="O235" s="587"/>
      <c r="P235" s="587"/>
      <c r="Q235" s="588"/>
      <c r="R235" s="587"/>
      <c r="S235" s="594"/>
      <c r="T235" s="595"/>
      <c r="U235" s="595"/>
      <c r="V235" s="512"/>
      <c r="W235" s="512"/>
      <c r="X235" s="512"/>
      <c r="Y235" s="512"/>
      <c r="Z235" s="512"/>
      <c r="AA235" s="512"/>
      <c r="AB235" s="512"/>
      <c r="AC235" s="512"/>
      <c r="AD235" s="512"/>
      <c r="AE235" s="4"/>
      <c r="AF235" s="3"/>
      <c r="AG235" s="3"/>
      <c r="AH235" s="3"/>
      <c r="AI235" s="3"/>
      <c r="AJ235" s="3"/>
      <c r="AK235" s="3"/>
      <c r="AL235" s="3"/>
      <c r="AM235" s="3"/>
      <c r="AN235" s="3"/>
      <c r="AO235" s="3"/>
      <c r="AP235" s="3"/>
      <c r="AQ235" s="3"/>
      <c r="AR235" s="3"/>
      <c r="AS235" s="3"/>
      <c r="AT235" s="3"/>
      <c r="AU235" s="3"/>
      <c r="AV235" s="3"/>
      <c r="AW235" s="3"/>
      <c r="AX235" s="3"/>
      <c r="AY235" s="3"/>
    </row>
    <row r="236" spans="1:51" ht="13.5" customHeight="1">
      <c r="A236" s="194"/>
      <c r="B236" s="587"/>
      <c r="C236" s="587"/>
      <c r="D236" s="587"/>
      <c r="E236" s="587"/>
      <c r="F236" s="588"/>
      <c r="G236" s="587"/>
      <c r="H236" s="589"/>
      <c r="I236" s="590"/>
      <c r="J236" s="591"/>
      <c r="K236" s="592"/>
      <c r="L236" s="593"/>
      <c r="M236" s="587"/>
      <c r="N236" s="587"/>
      <c r="O236" s="587"/>
      <c r="P236" s="587"/>
      <c r="Q236" s="588"/>
      <c r="R236" s="587"/>
      <c r="S236" s="594"/>
      <c r="T236" s="595"/>
      <c r="U236" s="595"/>
      <c r="V236" s="512"/>
      <c r="W236" s="512"/>
      <c r="X236" s="512"/>
      <c r="Y236" s="512"/>
      <c r="Z236" s="512"/>
      <c r="AA236" s="512"/>
      <c r="AB236" s="512"/>
      <c r="AC236" s="512"/>
      <c r="AD236" s="512"/>
      <c r="AE236" s="4"/>
      <c r="AF236" s="3"/>
      <c r="AG236" s="3"/>
      <c r="AH236" s="3"/>
      <c r="AI236" s="3"/>
      <c r="AJ236" s="3"/>
      <c r="AK236" s="3"/>
      <c r="AL236" s="3"/>
      <c r="AM236" s="3"/>
      <c r="AN236" s="3"/>
      <c r="AO236" s="3"/>
      <c r="AP236" s="3"/>
      <c r="AQ236" s="3"/>
      <c r="AR236" s="3"/>
      <c r="AS236" s="3"/>
      <c r="AT236" s="3"/>
      <c r="AU236" s="3"/>
      <c r="AV236" s="3"/>
      <c r="AW236" s="3"/>
      <c r="AX236" s="3"/>
      <c r="AY236" s="3"/>
    </row>
    <row r="237" spans="1:51" ht="13.5" customHeight="1">
      <c r="A237" s="194"/>
      <c r="B237" s="587"/>
      <c r="C237" s="587"/>
      <c r="D237" s="587"/>
      <c r="E237" s="587"/>
      <c r="F237" s="588"/>
      <c r="G237" s="587"/>
      <c r="H237" s="589"/>
      <c r="I237" s="590"/>
      <c r="J237" s="591"/>
      <c r="K237" s="592"/>
      <c r="L237" s="593"/>
      <c r="M237" s="587"/>
      <c r="N237" s="587"/>
      <c r="O237" s="587"/>
      <c r="P237" s="587"/>
      <c r="Q237" s="588"/>
      <c r="R237" s="587"/>
      <c r="S237" s="594"/>
      <c r="T237" s="595"/>
      <c r="U237" s="595"/>
      <c r="V237" s="512"/>
      <c r="W237" s="512"/>
      <c r="X237" s="512"/>
      <c r="Y237" s="512"/>
      <c r="Z237" s="512"/>
      <c r="AA237" s="512"/>
      <c r="AB237" s="512"/>
      <c r="AC237" s="512"/>
      <c r="AD237" s="512"/>
      <c r="AE237" s="4"/>
      <c r="AF237" s="3"/>
      <c r="AG237" s="3"/>
      <c r="AH237" s="3"/>
      <c r="AI237" s="3"/>
      <c r="AJ237" s="3"/>
      <c r="AK237" s="3"/>
      <c r="AL237" s="3"/>
      <c r="AM237" s="3"/>
      <c r="AN237" s="3"/>
      <c r="AO237" s="3"/>
      <c r="AP237" s="3"/>
      <c r="AQ237" s="3"/>
      <c r="AR237" s="3"/>
      <c r="AS237" s="3"/>
      <c r="AT237" s="3"/>
      <c r="AU237" s="3"/>
      <c r="AV237" s="3"/>
      <c r="AW237" s="3"/>
      <c r="AX237" s="3"/>
      <c r="AY237" s="3"/>
    </row>
    <row r="238" spans="1:51" ht="13.5" customHeight="1">
      <c r="A238" s="194"/>
      <c r="B238" s="587"/>
      <c r="C238" s="587"/>
      <c r="D238" s="587"/>
      <c r="E238" s="587"/>
      <c r="F238" s="588"/>
      <c r="G238" s="587"/>
      <c r="H238" s="589"/>
      <c r="I238" s="590"/>
      <c r="J238" s="591"/>
      <c r="K238" s="592"/>
      <c r="L238" s="593"/>
      <c r="M238" s="587"/>
      <c r="N238" s="587"/>
      <c r="O238" s="587"/>
      <c r="P238" s="587"/>
      <c r="Q238" s="588"/>
      <c r="R238" s="587"/>
      <c r="S238" s="594"/>
      <c r="T238" s="595"/>
      <c r="U238" s="595"/>
      <c r="V238" s="512"/>
      <c r="W238" s="512"/>
      <c r="X238" s="512"/>
      <c r="Y238" s="512"/>
      <c r="Z238" s="512"/>
      <c r="AA238" s="512"/>
      <c r="AB238" s="512"/>
      <c r="AC238" s="512"/>
      <c r="AD238" s="512"/>
      <c r="AE238" s="4"/>
      <c r="AF238" s="3"/>
      <c r="AG238" s="3"/>
      <c r="AH238" s="3"/>
      <c r="AI238" s="3"/>
      <c r="AJ238" s="3"/>
      <c r="AK238" s="3"/>
      <c r="AL238" s="3"/>
      <c r="AM238" s="3"/>
      <c r="AN238" s="3"/>
      <c r="AO238" s="3"/>
      <c r="AP238" s="3"/>
      <c r="AQ238" s="3"/>
      <c r="AR238" s="3"/>
      <c r="AS238" s="3"/>
      <c r="AT238" s="3"/>
      <c r="AU238" s="3"/>
      <c r="AV238" s="3"/>
      <c r="AW238" s="3"/>
      <c r="AX238" s="3"/>
      <c r="AY238" s="3"/>
    </row>
    <row r="239" spans="1:51" ht="13.5" customHeight="1">
      <c r="A239" s="194"/>
      <c r="B239" s="587"/>
      <c r="C239" s="587"/>
      <c r="D239" s="587"/>
      <c r="E239" s="587"/>
      <c r="F239" s="588"/>
      <c r="G239" s="587"/>
      <c r="H239" s="589"/>
      <c r="I239" s="590"/>
      <c r="J239" s="591"/>
      <c r="K239" s="592"/>
      <c r="L239" s="593"/>
      <c r="M239" s="587"/>
      <c r="N239" s="587"/>
      <c r="O239" s="587"/>
      <c r="P239" s="587"/>
      <c r="Q239" s="588"/>
      <c r="R239" s="587"/>
      <c r="S239" s="594"/>
      <c r="T239" s="595"/>
      <c r="U239" s="595"/>
      <c r="V239" s="512"/>
      <c r="W239" s="512"/>
      <c r="X239" s="512"/>
      <c r="Y239" s="512"/>
      <c r="Z239" s="512"/>
      <c r="AA239" s="512"/>
      <c r="AB239" s="512"/>
      <c r="AC239" s="512"/>
      <c r="AD239" s="512"/>
      <c r="AE239" s="4"/>
      <c r="AF239" s="3"/>
      <c r="AG239" s="3"/>
      <c r="AH239" s="3"/>
      <c r="AI239" s="3"/>
      <c r="AJ239" s="3"/>
      <c r="AK239" s="3"/>
      <c r="AL239" s="3"/>
      <c r="AM239" s="3"/>
      <c r="AN239" s="3"/>
      <c r="AO239" s="3"/>
      <c r="AP239" s="3"/>
      <c r="AQ239" s="3"/>
      <c r="AR239" s="3"/>
      <c r="AS239" s="3"/>
      <c r="AT239" s="3"/>
      <c r="AU239" s="3"/>
      <c r="AV239" s="3"/>
      <c r="AW239" s="3"/>
      <c r="AX239" s="3"/>
      <c r="AY239" s="3"/>
    </row>
    <row r="240" spans="1:51" ht="13.5" customHeight="1">
      <c r="A240" s="194"/>
      <c r="B240" s="587"/>
      <c r="C240" s="587"/>
      <c r="D240" s="587"/>
      <c r="E240" s="587"/>
      <c r="F240" s="588"/>
      <c r="G240" s="587"/>
      <c r="H240" s="589"/>
      <c r="I240" s="590"/>
      <c r="J240" s="591"/>
      <c r="K240" s="592"/>
      <c r="L240" s="593"/>
      <c r="M240" s="587"/>
      <c r="N240" s="587"/>
      <c r="O240" s="587"/>
      <c r="P240" s="587"/>
      <c r="Q240" s="588"/>
      <c r="R240" s="587"/>
      <c r="S240" s="594"/>
      <c r="T240" s="595"/>
      <c r="U240" s="595"/>
      <c r="V240" s="512"/>
      <c r="W240" s="512"/>
      <c r="X240" s="512"/>
      <c r="Y240" s="512"/>
      <c r="Z240" s="512"/>
      <c r="AA240" s="512"/>
      <c r="AB240" s="512"/>
      <c r="AC240" s="512"/>
      <c r="AD240" s="512"/>
      <c r="AE240" s="4"/>
      <c r="AF240" s="3"/>
      <c r="AG240" s="3"/>
      <c r="AH240" s="3"/>
      <c r="AI240" s="3"/>
      <c r="AJ240" s="3"/>
      <c r="AK240" s="3"/>
      <c r="AL240" s="3"/>
      <c r="AM240" s="3"/>
      <c r="AN240" s="3"/>
      <c r="AO240" s="3"/>
      <c r="AP240" s="3"/>
      <c r="AQ240" s="3"/>
      <c r="AR240" s="3"/>
      <c r="AS240" s="3"/>
      <c r="AT240" s="3"/>
      <c r="AU240" s="3"/>
      <c r="AV240" s="3"/>
      <c r="AW240" s="3"/>
      <c r="AX240" s="3"/>
      <c r="AY240" s="3"/>
    </row>
    <row r="241" spans="1:51" ht="13.5" customHeight="1">
      <c r="A241" s="194"/>
      <c r="B241" s="587"/>
      <c r="C241" s="587"/>
      <c r="D241" s="587"/>
      <c r="E241" s="587"/>
      <c r="F241" s="588"/>
      <c r="G241" s="587"/>
      <c r="H241" s="589"/>
      <c r="I241" s="590"/>
      <c r="J241" s="591"/>
      <c r="K241" s="592"/>
      <c r="L241" s="593"/>
      <c r="M241" s="587"/>
      <c r="N241" s="587"/>
      <c r="O241" s="587"/>
      <c r="P241" s="587"/>
      <c r="Q241" s="588"/>
      <c r="R241" s="587"/>
      <c r="S241" s="594"/>
      <c r="T241" s="595"/>
      <c r="U241" s="595"/>
      <c r="V241" s="512"/>
      <c r="W241" s="512"/>
      <c r="X241" s="512"/>
      <c r="Y241" s="512"/>
      <c r="Z241" s="512"/>
      <c r="AA241" s="512"/>
      <c r="AB241" s="512"/>
      <c r="AC241" s="512"/>
      <c r="AD241" s="512"/>
      <c r="AE241" s="4"/>
      <c r="AF241" s="3"/>
      <c r="AG241" s="3"/>
      <c r="AH241" s="3"/>
      <c r="AI241" s="3"/>
      <c r="AJ241" s="3"/>
      <c r="AK241" s="3"/>
      <c r="AL241" s="3"/>
      <c r="AM241" s="3"/>
      <c r="AN241" s="3"/>
      <c r="AO241" s="3"/>
      <c r="AP241" s="3"/>
      <c r="AQ241" s="3"/>
      <c r="AR241" s="3"/>
      <c r="AS241" s="3"/>
      <c r="AT241" s="3"/>
      <c r="AU241" s="3"/>
      <c r="AV241" s="3"/>
      <c r="AW241" s="3"/>
      <c r="AX241" s="3"/>
      <c r="AY241" s="3"/>
    </row>
    <row r="242" spans="1:51" ht="13.5" customHeight="1">
      <c r="A242" s="194"/>
      <c r="B242" s="587"/>
      <c r="C242" s="587"/>
      <c r="D242" s="587"/>
      <c r="E242" s="587"/>
      <c r="F242" s="588"/>
      <c r="G242" s="587"/>
      <c r="H242" s="589"/>
      <c r="I242" s="590"/>
      <c r="J242" s="591"/>
      <c r="K242" s="592"/>
      <c r="L242" s="593"/>
      <c r="M242" s="587"/>
      <c r="N242" s="587"/>
      <c r="O242" s="587"/>
      <c r="P242" s="587"/>
      <c r="Q242" s="588"/>
      <c r="R242" s="587"/>
      <c r="S242" s="594"/>
      <c r="T242" s="595"/>
      <c r="U242" s="595"/>
      <c r="V242" s="512"/>
      <c r="W242" s="512"/>
      <c r="X242" s="512"/>
      <c r="Y242" s="512"/>
      <c r="Z242" s="512"/>
      <c r="AA242" s="512"/>
      <c r="AB242" s="512"/>
      <c r="AC242" s="512"/>
      <c r="AD242" s="512"/>
      <c r="AE242" s="4"/>
      <c r="AF242" s="3"/>
      <c r="AG242" s="3"/>
      <c r="AH242" s="3"/>
      <c r="AI242" s="3"/>
      <c r="AJ242" s="3"/>
      <c r="AK242" s="3"/>
      <c r="AL242" s="3"/>
      <c r="AM242" s="3"/>
      <c r="AN242" s="3"/>
      <c r="AO242" s="3"/>
      <c r="AP242" s="3"/>
      <c r="AQ242" s="3"/>
      <c r="AR242" s="3"/>
      <c r="AS242" s="3"/>
      <c r="AT242" s="3"/>
      <c r="AU242" s="3"/>
      <c r="AV242" s="3"/>
      <c r="AW242" s="3"/>
      <c r="AX242" s="3"/>
      <c r="AY242" s="3"/>
    </row>
    <row r="243" spans="1:51" ht="13.5" customHeight="1">
      <c r="A243" s="194"/>
      <c r="B243" s="587"/>
      <c r="C243" s="587"/>
      <c r="D243" s="587"/>
      <c r="E243" s="587"/>
      <c r="F243" s="588"/>
      <c r="G243" s="587"/>
      <c r="H243" s="589"/>
      <c r="I243" s="590"/>
      <c r="J243" s="591"/>
      <c r="K243" s="592"/>
      <c r="L243" s="593"/>
      <c r="M243" s="587"/>
      <c r="N243" s="587"/>
      <c r="O243" s="587"/>
      <c r="P243" s="587"/>
      <c r="Q243" s="588"/>
      <c r="R243" s="587"/>
      <c r="S243" s="594"/>
      <c r="T243" s="595"/>
      <c r="U243" s="595"/>
      <c r="V243" s="512"/>
      <c r="W243" s="512"/>
      <c r="X243" s="512"/>
      <c r="Y243" s="512"/>
      <c r="Z243" s="512"/>
      <c r="AA243" s="512"/>
      <c r="AB243" s="512"/>
      <c r="AC243" s="512"/>
      <c r="AD243" s="512"/>
      <c r="AE243" s="4"/>
      <c r="AF243" s="3"/>
      <c r="AG243" s="3"/>
      <c r="AH243" s="3"/>
      <c r="AI243" s="3"/>
      <c r="AJ243" s="3"/>
      <c r="AK243" s="3"/>
      <c r="AL243" s="3"/>
      <c r="AM243" s="3"/>
      <c r="AN243" s="3"/>
      <c r="AO243" s="3"/>
      <c r="AP243" s="3"/>
      <c r="AQ243" s="3"/>
      <c r="AR243" s="3"/>
      <c r="AS243" s="3"/>
      <c r="AT243" s="3"/>
      <c r="AU243" s="3"/>
      <c r="AV243" s="3"/>
      <c r="AW243" s="3"/>
      <c r="AX243" s="3"/>
      <c r="AY243" s="3"/>
    </row>
    <row r="244" spans="1:51" ht="13.5" customHeight="1">
      <c r="A244" s="194"/>
      <c r="B244" s="587"/>
      <c r="C244" s="587"/>
      <c r="D244" s="587"/>
      <c r="E244" s="587"/>
      <c r="F244" s="588"/>
      <c r="G244" s="587"/>
      <c r="H244" s="589"/>
      <c r="I244" s="590"/>
      <c r="J244" s="591"/>
      <c r="K244" s="592"/>
      <c r="L244" s="593"/>
      <c r="M244" s="587"/>
      <c r="N244" s="587"/>
      <c r="O244" s="587"/>
      <c r="P244" s="587"/>
      <c r="Q244" s="588"/>
      <c r="R244" s="587"/>
      <c r="S244" s="594"/>
      <c r="T244" s="595"/>
      <c r="U244" s="595"/>
      <c r="V244" s="512"/>
      <c r="W244" s="512"/>
      <c r="X244" s="512"/>
      <c r="Y244" s="512"/>
      <c r="Z244" s="512"/>
      <c r="AA244" s="512"/>
      <c r="AB244" s="512"/>
      <c r="AC244" s="512"/>
      <c r="AD244" s="512"/>
      <c r="AE244" s="4"/>
      <c r="AF244" s="3"/>
      <c r="AG244" s="3"/>
      <c r="AH244" s="3"/>
      <c r="AI244" s="3"/>
      <c r="AJ244" s="3"/>
      <c r="AK244" s="3"/>
      <c r="AL244" s="3"/>
      <c r="AM244" s="3"/>
      <c r="AN244" s="3"/>
      <c r="AO244" s="3"/>
      <c r="AP244" s="3"/>
      <c r="AQ244" s="3"/>
      <c r="AR244" s="3"/>
      <c r="AS244" s="3"/>
      <c r="AT244" s="3"/>
      <c r="AU244" s="3"/>
      <c r="AV244" s="3"/>
      <c r="AW244" s="3"/>
      <c r="AX244" s="3"/>
      <c r="AY244" s="3"/>
    </row>
    <row r="245" spans="1:51" ht="13.5" customHeight="1">
      <c r="A245" s="194"/>
      <c r="B245" s="587"/>
      <c r="C245" s="587"/>
      <c r="D245" s="587"/>
      <c r="E245" s="587"/>
      <c r="F245" s="588"/>
      <c r="G245" s="587"/>
      <c r="H245" s="589"/>
      <c r="I245" s="590"/>
      <c r="J245" s="591"/>
      <c r="K245" s="592"/>
      <c r="L245" s="593"/>
      <c r="M245" s="587"/>
      <c r="N245" s="587"/>
      <c r="O245" s="587"/>
      <c r="P245" s="587"/>
      <c r="Q245" s="588"/>
      <c r="R245" s="587"/>
      <c r="S245" s="594"/>
      <c r="T245" s="595"/>
      <c r="U245" s="595"/>
      <c r="V245" s="512"/>
      <c r="W245" s="512"/>
      <c r="X245" s="512"/>
      <c r="Y245" s="512"/>
      <c r="Z245" s="512"/>
      <c r="AA245" s="512"/>
      <c r="AB245" s="512"/>
      <c r="AC245" s="512"/>
      <c r="AD245" s="512"/>
      <c r="AE245" s="4"/>
      <c r="AF245" s="3"/>
      <c r="AG245" s="3"/>
      <c r="AH245" s="3"/>
      <c r="AI245" s="3"/>
      <c r="AJ245" s="3"/>
      <c r="AK245" s="3"/>
      <c r="AL245" s="3"/>
      <c r="AM245" s="3"/>
      <c r="AN245" s="3"/>
      <c r="AO245" s="3"/>
      <c r="AP245" s="3"/>
      <c r="AQ245" s="3"/>
      <c r="AR245" s="3"/>
      <c r="AS245" s="3"/>
      <c r="AT245" s="3"/>
      <c r="AU245" s="3"/>
      <c r="AV245" s="3"/>
      <c r="AW245" s="3"/>
      <c r="AX245" s="3"/>
      <c r="AY245" s="3"/>
    </row>
    <row r="246" spans="1:51" ht="13.5" customHeight="1">
      <c r="A246" s="194"/>
      <c r="B246" s="587"/>
      <c r="C246" s="587"/>
      <c r="D246" s="587"/>
      <c r="E246" s="587"/>
      <c r="F246" s="588"/>
      <c r="G246" s="587"/>
      <c r="H246" s="589"/>
      <c r="I246" s="590"/>
      <c r="J246" s="591"/>
      <c r="K246" s="592"/>
      <c r="L246" s="593"/>
      <c r="M246" s="587"/>
      <c r="N246" s="587"/>
      <c r="O246" s="587"/>
      <c r="P246" s="587"/>
      <c r="Q246" s="588"/>
      <c r="R246" s="587"/>
      <c r="S246" s="594"/>
      <c r="T246" s="595"/>
      <c r="U246" s="595"/>
      <c r="V246" s="512"/>
      <c r="W246" s="512"/>
      <c r="X246" s="512"/>
      <c r="Y246" s="512"/>
      <c r="Z246" s="512"/>
      <c r="AA246" s="512"/>
      <c r="AB246" s="512"/>
      <c r="AC246" s="512"/>
      <c r="AD246" s="512"/>
      <c r="AE246" s="4"/>
      <c r="AF246" s="3"/>
      <c r="AG246" s="3"/>
      <c r="AH246" s="3"/>
      <c r="AI246" s="3"/>
      <c r="AJ246" s="3"/>
      <c r="AK246" s="3"/>
      <c r="AL246" s="3"/>
      <c r="AM246" s="3"/>
      <c r="AN246" s="3"/>
      <c r="AO246" s="3"/>
      <c r="AP246" s="3"/>
      <c r="AQ246" s="3"/>
      <c r="AR246" s="3"/>
      <c r="AS246" s="3"/>
      <c r="AT246" s="3"/>
      <c r="AU246" s="3"/>
      <c r="AV246" s="3"/>
      <c r="AW246" s="3"/>
      <c r="AX246" s="3"/>
      <c r="AY246" s="3"/>
    </row>
    <row r="247" spans="1:51" ht="13.5" customHeight="1">
      <c r="A247" s="194"/>
      <c r="B247" s="587"/>
      <c r="C247" s="587"/>
      <c r="D247" s="587"/>
      <c r="E247" s="587"/>
      <c r="F247" s="588"/>
      <c r="G247" s="587"/>
      <c r="H247" s="589"/>
      <c r="I247" s="590"/>
      <c r="J247" s="591"/>
      <c r="K247" s="592"/>
      <c r="L247" s="593"/>
      <c r="M247" s="587"/>
      <c r="N247" s="587"/>
      <c r="O247" s="587"/>
      <c r="P247" s="587"/>
      <c r="Q247" s="588"/>
      <c r="R247" s="587"/>
      <c r="S247" s="594"/>
      <c r="T247" s="595"/>
      <c r="U247" s="595"/>
      <c r="V247" s="512"/>
      <c r="W247" s="512"/>
      <c r="X247" s="512"/>
      <c r="Y247" s="512"/>
      <c r="Z247" s="512"/>
      <c r="AA247" s="512"/>
      <c r="AB247" s="512"/>
      <c r="AC247" s="512"/>
      <c r="AD247" s="512"/>
      <c r="AE247" s="4"/>
      <c r="AF247" s="3"/>
      <c r="AG247" s="3"/>
      <c r="AH247" s="3"/>
      <c r="AI247" s="3"/>
      <c r="AJ247" s="3"/>
      <c r="AK247" s="3"/>
      <c r="AL247" s="3"/>
      <c r="AM247" s="3"/>
      <c r="AN247" s="3"/>
      <c r="AO247" s="3"/>
      <c r="AP247" s="3"/>
      <c r="AQ247" s="3"/>
      <c r="AR247" s="3"/>
      <c r="AS247" s="3"/>
      <c r="AT247" s="3"/>
      <c r="AU247" s="3"/>
      <c r="AV247" s="3"/>
      <c r="AW247" s="3"/>
      <c r="AX247" s="3"/>
      <c r="AY247" s="3"/>
    </row>
    <row r="248" spans="1:51" ht="15.75" customHeight="1">
      <c r="A248" s="200"/>
      <c r="B248" s="625"/>
      <c r="C248" s="625"/>
      <c r="D248" s="625"/>
      <c r="E248" s="625"/>
      <c r="F248" s="625"/>
      <c r="G248" s="625"/>
      <c r="H248" s="626"/>
      <c r="I248" s="627"/>
      <c r="J248" s="628"/>
      <c r="K248" s="625"/>
      <c r="L248" s="629"/>
      <c r="M248" s="625"/>
      <c r="N248" s="625"/>
      <c r="O248" s="625"/>
      <c r="P248" s="625"/>
      <c r="Q248" s="588"/>
      <c r="R248" s="625"/>
      <c r="S248" s="594"/>
      <c r="T248" s="630"/>
      <c r="U248" s="630"/>
      <c r="V248" s="4"/>
      <c r="W248" s="4"/>
      <c r="X248" s="4"/>
      <c r="Y248" s="4"/>
      <c r="Z248" s="4"/>
      <c r="AA248" s="4"/>
      <c r="AB248" s="4"/>
      <c r="AC248" s="4"/>
      <c r="AD248" s="4"/>
      <c r="AE248" s="4"/>
      <c r="AF248" s="3"/>
      <c r="AG248" s="3"/>
      <c r="AH248" s="3"/>
      <c r="AI248" s="3"/>
      <c r="AJ248" s="3"/>
      <c r="AK248" s="3"/>
      <c r="AL248" s="3"/>
      <c r="AM248" s="3"/>
      <c r="AN248" s="3"/>
      <c r="AO248" s="3"/>
      <c r="AP248" s="3"/>
      <c r="AQ248" s="3"/>
      <c r="AR248" s="3"/>
      <c r="AS248" s="3"/>
      <c r="AT248" s="3"/>
      <c r="AU248" s="3"/>
      <c r="AV248" s="3"/>
      <c r="AW248" s="3"/>
      <c r="AX248" s="3"/>
      <c r="AY248" s="3"/>
    </row>
    <row r="249" spans="1:51" ht="15.75" customHeight="1">
      <c r="A249" s="4"/>
      <c r="B249" s="4"/>
      <c r="C249" s="4"/>
      <c r="D249" s="4"/>
      <c r="E249" s="4"/>
      <c r="F249" s="4"/>
      <c r="G249" s="4"/>
      <c r="H249" s="17"/>
      <c r="I249" s="18"/>
      <c r="J249" s="19"/>
      <c r="K249" s="4"/>
      <c r="L249" s="20"/>
      <c r="M249" s="4"/>
      <c r="N249" s="4"/>
      <c r="O249" s="4"/>
      <c r="P249" s="4"/>
      <c r="Q249" s="21"/>
      <c r="R249" s="4"/>
      <c r="S249" s="22"/>
      <c r="T249" s="23"/>
      <c r="U249" s="23"/>
      <c r="V249" s="4"/>
      <c r="W249" s="4"/>
      <c r="X249" s="4"/>
      <c r="Y249" s="4"/>
      <c r="Z249" s="4"/>
      <c r="AA249" s="4"/>
      <c r="AB249" s="4"/>
      <c r="AC249" s="4"/>
      <c r="AD249" s="4"/>
      <c r="AE249" s="4"/>
      <c r="AF249" s="3"/>
      <c r="AG249" s="3"/>
      <c r="AH249" s="3"/>
      <c r="AI249" s="3"/>
      <c r="AJ249" s="3"/>
      <c r="AK249" s="3"/>
      <c r="AL249" s="3"/>
      <c r="AM249" s="3"/>
      <c r="AN249" s="3"/>
      <c r="AO249" s="3"/>
      <c r="AP249" s="3"/>
      <c r="AQ249" s="3"/>
      <c r="AR249" s="3"/>
      <c r="AS249" s="3"/>
      <c r="AT249" s="3"/>
      <c r="AU249" s="3"/>
      <c r="AV249" s="3"/>
      <c r="AW249" s="3"/>
      <c r="AX249" s="3"/>
      <c r="AY249" s="3"/>
    </row>
    <row r="250" spans="1:51" ht="15.75" customHeight="1">
      <c r="A250" s="4"/>
      <c r="B250" s="4"/>
      <c r="C250" s="4"/>
      <c r="D250" s="4"/>
      <c r="E250" s="4"/>
      <c r="F250" s="4"/>
      <c r="G250" s="4"/>
      <c r="H250" s="17"/>
      <c r="I250" s="18"/>
      <c r="J250" s="19"/>
      <c r="K250" s="4"/>
      <c r="L250" s="20"/>
      <c r="M250" s="4"/>
      <c r="N250" s="4"/>
      <c r="O250" s="4"/>
      <c r="P250" s="4"/>
      <c r="Q250" s="21"/>
      <c r="R250" s="4"/>
      <c r="S250" s="22"/>
      <c r="T250" s="23"/>
      <c r="U250" s="23"/>
      <c r="V250" s="4"/>
      <c r="W250" s="4"/>
      <c r="X250" s="4"/>
      <c r="Y250" s="4"/>
      <c r="Z250" s="4"/>
      <c r="AA250" s="4"/>
      <c r="AB250" s="4"/>
      <c r="AC250" s="4"/>
      <c r="AD250" s="4"/>
      <c r="AE250" s="4"/>
      <c r="AF250" s="3"/>
      <c r="AG250" s="3"/>
      <c r="AH250" s="3"/>
      <c r="AI250" s="3"/>
      <c r="AJ250" s="3"/>
      <c r="AK250" s="3"/>
      <c r="AL250" s="3"/>
      <c r="AM250" s="3"/>
      <c r="AN250" s="3"/>
      <c r="AO250" s="3"/>
      <c r="AP250" s="3"/>
      <c r="AQ250" s="3"/>
      <c r="AR250" s="3"/>
      <c r="AS250" s="3"/>
      <c r="AT250" s="3"/>
      <c r="AU250" s="3"/>
      <c r="AV250" s="3"/>
      <c r="AW250" s="3"/>
      <c r="AX250" s="3"/>
      <c r="AY250" s="3"/>
    </row>
    <row r="251" spans="1:51" ht="15.75" customHeight="1">
      <c r="A251" s="3"/>
      <c r="B251" s="3"/>
      <c r="C251" s="3"/>
      <c r="D251" s="3"/>
      <c r="E251" s="3"/>
      <c r="F251" s="3"/>
      <c r="G251" s="3"/>
      <c r="H251" s="201"/>
      <c r="I251" s="202"/>
      <c r="J251" s="40"/>
      <c r="K251" s="3"/>
      <c r="L251" s="203"/>
      <c r="M251" s="3"/>
      <c r="N251" s="3"/>
      <c r="O251" s="3"/>
      <c r="P251" s="3"/>
      <c r="Q251" s="196"/>
      <c r="R251" s="3"/>
      <c r="S251" s="197"/>
      <c r="T251" s="204"/>
      <c r="U251" s="204"/>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row>
    <row r="252" spans="1:51" ht="15.75" customHeight="1">
      <c r="A252" s="3"/>
      <c r="B252" s="3"/>
      <c r="C252" s="3"/>
      <c r="D252" s="3"/>
      <c r="E252" s="3"/>
      <c r="F252" s="3"/>
      <c r="G252" s="3"/>
      <c r="H252" s="201"/>
      <c r="I252" s="202"/>
      <c r="J252" s="40"/>
      <c r="K252" s="3"/>
      <c r="L252" s="203"/>
      <c r="M252" s="3"/>
      <c r="N252" s="3"/>
      <c r="O252" s="3"/>
      <c r="P252" s="3"/>
      <c r="Q252" s="196"/>
      <c r="R252" s="3"/>
      <c r="S252" s="197"/>
      <c r="T252" s="204"/>
      <c r="U252" s="204"/>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row>
    <row r="253" spans="1:51" ht="15.75" customHeight="1">
      <c r="A253" s="3"/>
      <c r="B253" s="3"/>
      <c r="C253" s="3"/>
      <c r="D253" s="3"/>
      <c r="E253" s="3"/>
      <c r="F253" s="3"/>
      <c r="G253" s="3"/>
      <c r="H253" s="201"/>
      <c r="I253" s="202"/>
      <c r="J253" s="40"/>
      <c r="K253" s="3"/>
      <c r="L253" s="203"/>
      <c r="M253" s="3"/>
      <c r="N253" s="3"/>
      <c r="O253" s="3"/>
      <c r="P253" s="3"/>
      <c r="Q253" s="196"/>
      <c r="R253" s="3"/>
      <c r="S253" s="197"/>
      <c r="T253" s="204"/>
      <c r="U253" s="204"/>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row>
    <row r="254" spans="1:51" ht="15.75" customHeight="1">
      <c r="A254" s="3"/>
      <c r="B254" s="3"/>
      <c r="C254" s="3"/>
      <c r="D254" s="3"/>
      <c r="E254" s="3"/>
      <c r="F254" s="3"/>
      <c r="G254" s="3"/>
      <c r="H254" s="201"/>
      <c r="I254" s="202"/>
      <c r="J254" s="40"/>
      <c r="K254" s="3"/>
      <c r="L254" s="203"/>
      <c r="M254" s="3"/>
      <c r="N254" s="3"/>
      <c r="O254" s="3"/>
      <c r="P254" s="3"/>
      <c r="Q254" s="196"/>
      <c r="R254" s="3"/>
      <c r="S254" s="197"/>
      <c r="T254" s="204"/>
      <c r="U254" s="204"/>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row>
    <row r="255" spans="1:51" ht="15.75" customHeight="1">
      <c r="A255" s="3"/>
      <c r="B255" s="3"/>
      <c r="C255" s="3"/>
      <c r="D255" s="3"/>
      <c r="E255" s="3"/>
      <c r="F255" s="3"/>
      <c r="G255" s="3"/>
      <c r="H255" s="201"/>
      <c r="I255" s="202"/>
      <c r="J255" s="40"/>
      <c r="K255" s="3"/>
      <c r="L255" s="203"/>
      <c r="M255" s="3"/>
      <c r="N255" s="3"/>
      <c r="O255" s="3"/>
      <c r="P255" s="3"/>
      <c r="Q255" s="196"/>
      <c r="R255" s="3"/>
      <c r="S255" s="197"/>
      <c r="T255" s="204"/>
      <c r="U255" s="204"/>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row>
    <row r="256" spans="1:51" ht="15.75" customHeight="1">
      <c r="A256" s="3"/>
      <c r="B256" s="3"/>
      <c r="C256" s="3"/>
      <c r="D256" s="3"/>
      <c r="E256" s="3"/>
      <c r="F256" s="3"/>
      <c r="G256" s="3"/>
      <c r="H256" s="201"/>
      <c r="I256" s="202"/>
      <c r="J256" s="40"/>
      <c r="K256" s="3"/>
      <c r="L256" s="203"/>
      <c r="M256" s="3"/>
      <c r="N256" s="3"/>
      <c r="O256" s="3"/>
      <c r="P256" s="3"/>
      <c r="Q256" s="196"/>
      <c r="R256" s="3"/>
      <c r="S256" s="197"/>
      <c r="T256" s="204"/>
      <c r="U256" s="204"/>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row>
    <row r="257" spans="1:51" ht="15.75" customHeight="1">
      <c r="A257" s="3"/>
      <c r="B257" s="3"/>
      <c r="C257" s="3"/>
      <c r="D257" s="3"/>
      <c r="E257" s="3"/>
      <c r="F257" s="3"/>
      <c r="G257" s="3"/>
      <c r="H257" s="201"/>
      <c r="I257" s="202"/>
      <c r="J257" s="40"/>
      <c r="K257" s="3"/>
      <c r="L257" s="203"/>
      <c r="M257" s="3"/>
      <c r="N257" s="3"/>
      <c r="O257" s="3"/>
      <c r="P257" s="3"/>
      <c r="Q257" s="196"/>
      <c r="R257" s="3"/>
      <c r="S257" s="197"/>
      <c r="T257" s="204"/>
      <c r="U257" s="204"/>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row>
    <row r="258" spans="1:51" ht="15.75" customHeight="1">
      <c r="A258" s="3"/>
      <c r="B258" s="3"/>
      <c r="C258" s="3"/>
      <c r="D258" s="3"/>
      <c r="E258" s="3"/>
      <c r="F258" s="3"/>
      <c r="G258" s="3"/>
      <c r="H258" s="201"/>
      <c r="I258" s="202"/>
      <c r="J258" s="40"/>
      <c r="K258" s="3"/>
      <c r="L258" s="203"/>
      <c r="M258" s="3"/>
      <c r="N258" s="3"/>
      <c r="O258" s="3"/>
      <c r="P258" s="3"/>
      <c r="Q258" s="196"/>
      <c r="R258" s="3"/>
      <c r="S258" s="197"/>
      <c r="T258" s="204"/>
      <c r="U258" s="204"/>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row>
    <row r="259" spans="1:51" ht="15.75" customHeight="1">
      <c r="A259" s="3"/>
      <c r="B259" s="3"/>
      <c r="C259" s="3"/>
      <c r="D259" s="3"/>
      <c r="E259" s="3"/>
      <c r="F259" s="3"/>
      <c r="G259" s="3"/>
      <c r="H259" s="201"/>
      <c r="I259" s="202"/>
      <c r="J259" s="40"/>
      <c r="K259" s="3"/>
      <c r="L259" s="203"/>
      <c r="M259" s="3"/>
      <c r="N259" s="3"/>
      <c r="O259" s="3"/>
      <c r="P259" s="3"/>
      <c r="Q259" s="196"/>
      <c r="R259" s="3"/>
      <c r="S259" s="197"/>
      <c r="T259" s="204"/>
      <c r="U259" s="204"/>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row>
    <row r="260" spans="1:51" ht="15.75" customHeight="1">
      <c r="A260" s="3"/>
      <c r="B260" s="3"/>
      <c r="C260" s="3"/>
      <c r="D260" s="3"/>
      <c r="E260" s="3"/>
      <c r="F260" s="3"/>
      <c r="G260" s="3"/>
      <c r="H260" s="201"/>
      <c r="I260" s="202"/>
      <c r="J260" s="40"/>
      <c r="K260" s="3"/>
      <c r="L260" s="203"/>
      <c r="M260" s="3"/>
      <c r="N260" s="3"/>
      <c r="O260" s="3"/>
      <c r="P260" s="3"/>
      <c r="Q260" s="196"/>
      <c r="R260" s="3"/>
      <c r="S260" s="197"/>
      <c r="T260" s="204"/>
      <c r="U260" s="204"/>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row>
    <row r="261" spans="1:51" ht="15.75" customHeight="1">
      <c r="A261" s="3"/>
      <c r="B261" s="3"/>
      <c r="C261" s="3"/>
      <c r="D261" s="3"/>
      <c r="E261" s="3"/>
      <c r="F261" s="3"/>
      <c r="G261" s="3"/>
      <c r="H261" s="201"/>
      <c r="I261" s="202"/>
      <c r="J261" s="40"/>
      <c r="K261" s="3"/>
      <c r="L261" s="203"/>
      <c r="M261" s="3"/>
      <c r="N261" s="3"/>
      <c r="O261" s="3"/>
      <c r="P261" s="3"/>
      <c r="Q261" s="196"/>
      <c r="R261" s="3"/>
      <c r="S261" s="197"/>
      <c r="T261" s="204"/>
      <c r="U261" s="204"/>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row>
    <row r="262" spans="1:51" ht="15.75" customHeight="1">
      <c r="A262" s="3"/>
      <c r="B262" s="3"/>
      <c r="C262" s="3"/>
      <c r="D262" s="3"/>
      <c r="E262" s="3"/>
      <c r="F262" s="3"/>
      <c r="G262" s="3"/>
      <c r="H262" s="201"/>
      <c r="I262" s="202"/>
      <c r="J262" s="40"/>
      <c r="K262" s="3"/>
      <c r="L262" s="203"/>
      <c r="M262" s="3"/>
      <c r="N262" s="3"/>
      <c r="O262" s="3"/>
      <c r="P262" s="3"/>
      <c r="Q262" s="196"/>
      <c r="R262" s="3"/>
      <c r="S262" s="197"/>
      <c r="T262" s="204"/>
      <c r="U262" s="204"/>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row>
    <row r="263" spans="1:51" ht="15.75" customHeight="1">
      <c r="A263" s="3"/>
      <c r="B263" s="3"/>
      <c r="C263" s="3"/>
      <c r="D263" s="3"/>
      <c r="E263" s="3"/>
      <c r="F263" s="3"/>
      <c r="G263" s="3"/>
      <c r="H263" s="201"/>
      <c r="I263" s="202"/>
      <c r="J263" s="40"/>
      <c r="K263" s="3"/>
      <c r="L263" s="203"/>
      <c r="M263" s="3"/>
      <c r="N263" s="3"/>
      <c r="O263" s="3"/>
      <c r="P263" s="3"/>
      <c r="Q263" s="196"/>
      <c r="R263" s="3"/>
      <c r="S263" s="197"/>
      <c r="T263" s="204"/>
      <c r="U263" s="204"/>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row>
    <row r="264" spans="1:51" ht="15.75" customHeight="1">
      <c r="A264" s="3"/>
      <c r="B264" s="3"/>
      <c r="C264" s="3"/>
      <c r="D264" s="3"/>
      <c r="E264" s="3"/>
      <c r="F264" s="3"/>
      <c r="G264" s="3"/>
      <c r="H264" s="201"/>
      <c r="I264" s="202"/>
      <c r="J264" s="40"/>
      <c r="K264" s="3"/>
      <c r="L264" s="203"/>
      <c r="M264" s="3"/>
      <c r="N264" s="3"/>
      <c r="O264" s="3"/>
      <c r="P264" s="3"/>
      <c r="Q264" s="196"/>
      <c r="R264" s="3"/>
      <c r="S264" s="197"/>
      <c r="T264" s="204"/>
      <c r="U264" s="204"/>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row>
    <row r="265" spans="1:51" ht="15.75" customHeight="1">
      <c r="A265" s="3"/>
      <c r="B265" s="3"/>
      <c r="C265" s="3"/>
      <c r="D265" s="3"/>
      <c r="E265" s="3"/>
      <c r="F265" s="3"/>
      <c r="G265" s="3"/>
      <c r="H265" s="201"/>
      <c r="I265" s="202"/>
      <c r="J265" s="40"/>
      <c r="K265" s="3"/>
      <c r="L265" s="203"/>
      <c r="M265" s="3"/>
      <c r="N265" s="3"/>
      <c r="O265" s="3"/>
      <c r="P265" s="3"/>
      <c r="Q265" s="196"/>
      <c r="R265" s="3"/>
      <c r="S265" s="197"/>
      <c r="T265" s="204"/>
      <c r="U265" s="204"/>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row>
    <row r="266" spans="1:51" ht="15.75" customHeight="1">
      <c r="A266" s="3"/>
      <c r="B266" s="3"/>
      <c r="C266" s="3"/>
      <c r="D266" s="3"/>
      <c r="E266" s="3"/>
      <c r="F266" s="3"/>
      <c r="G266" s="3"/>
      <c r="H266" s="201"/>
      <c r="I266" s="202"/>
      <c r="J266" s="40"/>
      <c r="K266" s="3"/>
      <c r="L266" s="203"/>
      <c r="M266" s="3"/>
      <c r="N266" s="3"/>
      <c r="O266" s="3"/>
      <c r="P266" s="3"/>
      <c r="Q266" s="196"/>
      <c r="R266" s="3"/>
      <c r="S266" s="197"/>
      <c r="T266" s="204"/>
      <c r="U266" s="204"/>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row>
    <row r="267" spans="1:51" ht="15.75" customHeight="1">
      <c r="A267" s="3"/>
      <c r="B267" s="3"/>
      <c r="C267" s="3"/>
      <c r="D267" s="3"/>
      <c r="E267" s="3"/>
      <c r="F267" s="3"/>
      <c r="G267" s="3"/>
      <c r="H267" s="201"/>
      <c r="I267" s="202"/>
      <c r="J267" s="40"/>
      <c r="K267" s="3"/>
      <c r="L267" s="203"/>
      <c r="M267" s="3"/>
      <c r="N267" s="3"/>
      <c r="O267" s="3"/>
      <c r="P267" s="3"/>
      <c r="Q267" s="196"/>
      <c r="R267" s="3"/>
      <c r="S267" s="197"/>
      <c r="T267" s="204"/>
      <c r="U267" s="204"/>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row>
    <row r="268" spans="1:51" ht="15.75" customHeight="1">
      <c r="A268" s="3"/>
      <c r="B268" s="3"/>
      <c r="C268" s="3"/>
      <c r="D268" s="3"/>
      <c r="E268" s="3"/>
      <c r="F268" s="3"/>
      <c r="G268" s="3"/>
      <c r="H268" s="201"/>
      <c r="I268" s="202"/>
      <c r="J268" s="40"/>
      <c r="K268" s="3"/>
      <c r="L268" s="203"/>
      <c r="M268" s="3"/>
      <c r="N268" s="3"/>
      <c r="O268" s="3"/>
      <c r="P268" s="3"/>
      <c r="Q268" s="196"/>
      <c r="R268" s="3"/>
      <c r="S268" s="197"/>
      <c r="T268" s="204"/>
      <c r="U268" s="204"/>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row>
    <row r="269" spans="1:51" ht="15.75" customHeight="1">
      <c r="A269" s="3"/>
      <c r="B269" s="3"/>
      <c r="C269" s="3"/>
      <c r="D269" s="3"/>
      <c r="E269" s="3"/>
      <c r="F269" s="3"/>
      <c r="G269" s="3"/>
      <c r="H269" s="201"/>
      <c r="I269" s="202"/>
      <c r="J269" s="40"/>
      <c r="K269" s="3"/>
      <c r="L269" s="203"/>
      <c r="M269" s="3"/>
      <c r="N269" s="3"/>
      <c r="O269" s="3"/>
      <c r="P269" s="3"/>
      <c r="Q269" s="196"/>
      <c r="R269" s="3"/>
      <c r="S269" s="197"/>
      <c r="T269" s="204"/>
      <c r="U269" s="204"/>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row>
    <row r="270" spans="1:51" ht="15.75" customHeight="1">
      <c r="A270" s="3"/>
      <c r="B270" s="3"/>
      <c r="C270" s="3"/>
      <c r="D270" s="3"/>
      <c r="E270" s="3"/>
      <c r="F270" s="3"/>
      <c r="G270" s="3"/>
      <c r="H270" s="201"/>
      <c r="I270" s="202"/>
      <c r="J270" s="40"/>
      <c r="K270" s="3"/>
      <c r="L270" s="203"/>
      <c r="M270" s="3"/>
      <c r="N270" s="3"/>
      <c r="O270" s="3"/>
      <c r="P270" s="3"/>
      <c r="Q270" s="196"/>
      <c r="R270" s="3"/>
      <c r="S270" s="197"/>
      <c r="T270" s="204"/>
      <c r="U270" s="204"/>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row>
    <row r="271" spans="1:51" ht="15.75" customHeight="1">
      <c r="A271" s="3"/>
      <c r="B271" s="3"/>
      <c r="C271" s="3"/>
      <c r="D271" s="3"/>
      <c r="E271" s="3"/>
      <c r="F271" s="3"/>
      <c r="G271" s="3"/>
      <c r="H271" s="201"/>
      <c r="I271" s="202"/>
      <c r="J271" s="40"/>
      <c r="K271" s="3"/>
      <c r="L271" s="203"/>
      <c r="M271" s="3"/>
      <c r="N271" s="3"/>
      <c r="O271" s="3"/>
      <c r="P271" s="3"/>
      <c r="Q271" s="196"/>
      <c r="R271" s="3"/>
      <c r="S271" s="197"/>
      <c r="T271" s="204"/>
      <c r="U271" s="204"/>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row>
    <row r="272" spans="1:51" ht="15.75" customHeight="1">
      <c r="A272" s="3"/>
      <c r="B272" s="3"/>
      <c r="C272" s="3"/>
      <c r="D272" s="3"/>
      <c r="E272" s="3"/>
      <c r="F272" s="3"/>
      <c r="G272" s="3"/>
      <c r="H272" s="201"/>
      <c r="I272" s="202"/>
      <c r="J272" s="40"/>
      <c r="K272" s="3"/>
      <c r="L272" s="203"/>
      <c r="M272" s="3"/>
      <c r="N272" s="3"/>
      <c r="O272" s="3"/>
      <c r="P272" s="3"/>
      <c r="Q272" s="196"/>
      <c r="R272" s="3"/>
      <c r="S272" s="197"/>
      <c r="T272" s="204"/>
      <c r="U272" s="204"/>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row>
    <row r="273" spans="1:51" ht="15.75" customHeight="1">
      <c r="A273" s="3"/>
      <c r="B273" s="3"/>
      <c r="C273" s="3"/>
      <c r="D273" s="3"/>
      <c r="E273" s="3"/>
      <c r="F273" s="3"/>
      <c r="G273" s="3"/>
      <c r="H273" s="201"/>
      <c r="I273" s="202"/>
      <c r="J273" s="40"/>
      <c r="K273" s="3"/>
      <c r="L273" s="203"/>
      <c r="M273" s="3"/>
      <c r="N273" s="3"/>
      <c r="O273" s="3"/>
      <c r="P273" s="3"/>
      <c r="Q273" s="196"/>
      <c r="R273" s="3"/>
      <c r="S273" s="197"/>
      <c r="T273" s="204"/>
      <c r="U273" s="204"/>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row>
    <row r="274" spans="1:51" ht="15.75" customHeight="1">
      <c r="A274" s="3"/>
      <c r="B274" s="3"/>
      <c r="C274" s="3"/>
      <c r="D274" s="3"/>
      <c r="E274" s="3"/>
      <c r="F274" s="3"/>
      <c r="G274" s="3"/>
      <c r="H274" s="201"/>
      <c r="I274" s="202"/>
      <c r="J274" s="40"/>
      <c r="K274" s="3"/>
      <c r="L274" s="203"/>
      <c r="M274" s="3"/>
      <c r="N274" s="3"/>
      <c r="O274" s="3"/>
      <c r="P274" s="3"/>
      <c r="Q274" s="196"/>
      <c r="R274" s="3"/>
      <c r="S274" s="197"/>
      <c r="T274" s="204"/>
      <c r="U274" s="204"/>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row>
    <row r="275" spans="1:51" ht="15.75" customHeight="1">
      <c r="A275" s="3"/>
      <c r="B275" s="3"/>
      <c r="C275" s="3"/>
      <c r="D275" s="3"/>
      <c r="E275" s="3"/>
      <c r="F275" s="3"/>
      <c r="G275" s="3"/>
      <c r="H275" s="201"/>
      <c r="I275" s="202"/>
      <c r="J275" s="40"/>
      <c r="K275" s="3"/>
      <c r="L275" s="203"/>
      <c r="M275" s="3"/>
      <c r="N275" s="3"/>
      <c r="O275" s="3"/>
      <c r="P275" s="3"/>
      <c r="Q275" s="196"/>
      <c r="R275" s="3"/>
      <c r="S275" s="197"/>
      <c r="T275" s="204"/>
      <c r="U275" s="204"/>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row>
    <row r="276" spans="1:51" ht="15.75" customHeight="1">
      <c r="A276" s="3"/>
      <c r="B276" s="3"/>
      <c r="C276" s="3"/>
      <c r="D276" s="3"/>
      <c r="E276" s="3"/>
      <c r="F276" s="3"/>
      <c r="G276" s="3"/>
      <c r="H276" s="201"/>
      <c r="I276" s="202"/>
      <c r="J276" s="40"/>
      <c r="K276" s="3"/>
      <c r="L276" s="203"/>
      <c r="M276" s="3"/>
      <c r="N276" s="3"/>
      <c r="O276" s="3"/>
      <c r="P276" s="3"/>
      <c r="Q276" s="196"/>
      <c r="R276" s="3"/>
      <c r="S276" s="197"/>
      <c r="T276" s="204"/>
      <c r="U276" s="204"/>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row>
    <row r="277" spans="1:51" ht="15.75" customHeight="1">
      <c r="A277" s="3"/>
      <c r="B277" s="3"/>
      <c r="C277" s="3"/>
      <c r="D277" s="3"/>
      <c r="E277" s="3"/>
      <c r="F277" s="3"/>
      <c r="G277" s="3"/>
      <c r="H277" s="201"/>
      <c r="I277" s="202"/>
      <c r="J277" s="40"/>
      <c r="K277" s="3"/>
      <c r="L277" s="203"/>
      <c r="M277" s="3"/>
      <c r="N277" s="3"/>
      <c r="O277" s="3"/>
      <c r="P277" s="3"/>
      <c r="Q277" s="196"/>
      <c r="R277" s="3"/>
      <c r="S277" s="197"/>
      <c r="T277" s="204"/>
      <c r="U277" s="204"/>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row>
    <row r="278" spans="1:51" ht="15.75" customHeight="1">
      <c r="A278" s="3"/>
      <c r="B278" s="3"/>
      <c r="C278" s="3"/>
      <c r="D278" s="3"/>
      <c r="E278" s="3"/>
      <c r="F278" s="3"/>
      <c r="G278" s="3"/>
      <c r="H278" s="201"/>
      <c r="I278" s="202"/>
      <c r="J278" s="40"/>
      <c r="K278" s="3"/>
      <c r="L278" s="203"/>
      <c r="M278" s="3"/>
      <c r="N278" s="3"/>
      <c r="O278" s="3"/>
      <c r="P278" s="3"/>
      <c r="Q278" s="196"/>
      <c r="R278" s="3"/>
      <c r="S278" s="197"/>
      <c r="T278" s="204"/>
      <c r="U278" s="204"/>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row>
    <row r="279" spans="1:51" ht="15.75" customHeight="1">
      <c r="A279" s="3"/>
      <c r="B279" s="3"/>
      <c r="C279" s="3"/>
      <c r="D279" s="3"/>
      <c r="E279" s="3"/>
      <c r="F279" s="3"/>
      <c r="G279" s="3"/>
      <c r="H279" s="201"/>
      <c r="I279" s="202"/>
      <c r="J279" s="40"/>
      <c r="K279" s="3"/>
      <c r="L279" s="203"/>
      <c r="M279" s="3"/>
      <c r="N279" s="3"/>
      <c r="O279" s="3"/>
      <c r="P279" s="3"/>
      <c r="Q279" s="196"/>
      <c r="R279" s="3"/>
      <c r="S279" s="197"/>
      <c r="T279" s="204"/>
      <c r="U279" s="204"/>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row>
    <row r="280" spans="1:51" ht="15.75" customHeight="1">
      <c r="A280" s="3"/>
      <c r="B280" s="3"/>
      <c r="C280" s="3"/>
      <c r="D280" s="3"/>
      <c r="E280" s="3"/>
      <c r="F280" s="3"/>
      <c r="G280" s="3"/>
      <c r="H280" s="201"/>
      <c r="I280" s="202"/>
      <c r="J280" s="40"/>
      <c r="K280" s="3"/>
      <c r="L280" s="203"/>
      <c r="M280" s="3"/>
      <c r="N280" s="3"/>
      <c r="O280" s="3"/>
      <c r="P280" s="3"/>
      <c r="Q280" s="196"/>
      <c r="R280" s="3"/>
      <c r="S280" s="197"/>
      <c r="T280" s="204"/>
      <c r="U280" s="204"/>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row>
    <row r="281" spans="1:51" ht="15.75" customHeight="1">
      <c r="A281" s="3"/>
      <c r="B281" s="3"/>
      <c r="C281" s="3"/>
      <c r="D281" s="3"/>
      <c r="E281" s="3"/>
      <c r="F281" s="3"/>
      <c r="G281" s="3"/>
      <c r="H281" s="201"/>
      <c r="I281" s="202"/>
      <c r="J281" s="40"/>
      <c r="K281" s="3"/>
      <c r="L281" s="203"/>
      <c r="M281" s="3"/>
      <c r="N281" s="3"/>
      <c r="O281" s="3"/>
      <c r="P281" s="3"/>
      <c r="Q281" s="196"/>
      <c r="R281" s="3"/>
      <c r="S281" s="197"/>
      <c r="T281" s="204"/>
      <c r="U281" s="204"/>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row>
    <row r="282" spans="1:51" ht="15.75" customHeight="1">
      <c r="A282" s="3"/>
      <c r="B282" s="3"/>
      <c r="C282" s="3"/>
      <c r="D282" s="3"/>
      <c r="E282" s="3"/>
      <c r="F282" s="3"/>
      <c r="G282" s="3"/>
      <c r="H282" s="201"/>
      <c r="I282" s="202"/>
      <c r="J282" s="40"/>
      <c r="K282" s="3"/>
      <c r="L282" s="203"/>
      <c r="M282" s="3"/>
      <c r="N282" s="3"/>
      <c r="O282" s="3"/>
      <c r="P282" s="3"/>
      <c r="Q282" s="196"/>
      <c r="R282" s="3"/>
      <c r="S282" s="197"/>
      <c r="T282" s="204"/>
      <c r="U282" s="204"/>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row>
    <row r="283" spans="1:51" ht="15.75" customHeight="1">
      <c r="A283" s="3"/>
      <c r="B283" s="3"/>
      <c r="C283" s="3"/>
      <c r="D283" s="3"/>
      <c r="E283" s="3"/>
      <c r="F283" s="3"/>
      <c r="G283" s="3"/>
      <c r="H283" s="201"/>
      <c r="I283" s="202"/>
      <c r="J283" s="40"/>
      <c r="K283" s="3"/>
      <c r="L283" s="203"/>
      <c r="M283" s="3"/>
      <c r="N283" s="3"/>
      <c r="O283" s="3"/>
      <c r="P283" s="3"/>
      <c r="Q283" s="196"/>
      <c r="R283" s="3"/>
      <c r="S283" s="197"/>
      <c r="T283" s="204"/>
      <c r="U283" s="204"/>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row>
    <row r="284" spans="1:51" ht="15.75" customHeight="1">
      <c r="A284" s="3"/>
      <c r="B284" s="3"/>
      <c r="C284" s="3"/>
      <c r="D284" s="3"/>
      <c r="E284" s="3"/>
      <c r="F284" s="3"/>
      <c r="G284" s="3"/>
      <c r="H284" s="201"/>
      <c r="I284" s="202"/>
      <c r="J284" s="40"/>
      <c r="K284" s="3"/>
      <c r="L284" s="203"/>
      <c r="M284" s="3"/>
      <c r="N284" s="3"/>
      <c r="O284" s="3"/>
      <c r="P284" s="3"/>
      <c r="Q284" s="196"/>
      <c r="R284" s="3"/>
      <c r="S284" s="197"/>
      <c r="T284" s="204"/>
      <c r="U284" s="204"/>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row>
    <row r="285" spans="1:51" ht="15.75" customHeight="1">
      <c r="A285" s="3"/>
      <c r="B285" s="3"/>
      <c r="C285" s="3"/>
      <c r="D285" s="3"/>
      <c r="E285" s="3"/>
      <c r="F285" s="3"/>
      <c r="G285" s="3"/>
      <c r="H285" s="201"/>
      <c r="I285" s="202"/>
      <c r="J285" s="40"/>
      <c r="K285" s="3"/>
      <c r="L285" s="203"/>
      <c r="M285" s="3"/>
      <c r="N285" s="3"/>
      <c r="O285" s="3"/>
      <c r="P285" s="3"/>
      <c r="Q285" s="196"/>
      <c r="R285" s="3"/>
      <c r="S285" s="197"/>
      <c r="T285" s="204"/>
      <c r="U285" s="204"/>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row>
    <row r="286" spans="1:51" ht="15.75" customHeight="1">
      <c r="A286" s="3"/>
      <c r="B286" s="3"/>
      <c r="C286" s="3"/>
      <c r="D286" s="3"/>
      <c r="E286" s="3"/>
      <c r="F286" s="3"/>
      <c r="G286" s="3"/>
      <c r="H286" s="201"/>
      <c r="I286" s="202"/>
      <c r="J286" s="40"/>
      <c r="K286" s="3"/>
      <c r="L286" s="203"/>
      <c r="M286" s="3"/>
      <c r="N286" s="3"/>
      <c r="O286" s="3"/>
      <c r="P286" s="3"/>
      <c r="Q286" s="196"/>
      <c r="R286" s="3"/>
      <c r="S286" s="197"/>
      <c r="T286" s="204"/>
      <c r="U286" s="204"/>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row>
    <row r="287" spans="1:51" ht="15.75" customHeight="1">
      <c r="A287" s="3"/>
      <c r="B287" s="3"/>
      <c r="C287" s="3"/>
      <c r="D287" s="3"/>
      <c r="E287" s="3"/>
      <c r="F287" s="3"/>
      <c r="G287" s="3"/>
      <c r="H287" s="201"/>
      <c r="I287" s="202"/>
      <c r="J287" s="40"/>
      <c r="K287" s="3"/>
      <c r="L287" s="203"/>
      <c r="M287" s="3"/>
      <c r="N287" s="3"/>
      <c r="O287" s="3"/>
      <c r="P287" s="3"/>
      <c r="Q287" s="196"/>
      <c r="R287" s="3"/>
      <c r="S287" s="197"/>
      <c r="T287" s="204"/>
      <c r="U287" s="204"/>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row>
    <row r="288" spans="1:51" ht="15.75" customHeight="1">
      <c r="A288" s="3"/>
      <c r="B288" s="3"/>
      <c r="C288" s="3"/>
      <c r="D288" s="3"/>
      <c r="E288" s="3"/>
      <c r="F288" s="3"/>
      <c r="G288" s="3"/>
      <c r="H288" s="201"/>
      <c r="I288" s="202"/>
      <c r="J288" s="40"/>
      <c r="K288" s="3"/>
      <c r="L288" s="203"/>
      <c r="M288" s="3"/>
      <c r="N288" s="3"/>
      <c r="O288" s="3"/>
      <c r="P288" s="3"/>
      <c r="Q288" s="196"/>
      <c r="R288" s="3"/>
      <c r="S288" s="197"/>
      <c r="T288" s="204"/>
      <c r="U288" s="204"/>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row>
    <row r="289" spans="1:51" ht="15.75" customHeight="1">
      <c r="A289" s="3"/>
      <c r="B289" s="3"/>
      <c r="C289" s="3"/>
      <c r="D289" s="3"/>
      <c r="E289" s="3"/>
      <c r="F289" s="3"/>
      <c r="G289" s="3"/>
      <c r="H289" s="201"/>
      <c r="I289" s="202"/>
      <c r="J289" s="40"/>
      <c r="K289" s="3"/>
      <c r="L289" s="203"/>
      <c r="M289" s="3"/>
      <c r="N289" s="3"/>
      <c r="O289" s="3"/>
      <c r="P289" s="3"/>
      <c r="Q289" s="196"/>
      <c r="R289" s="3"/>
      <c r="S289" s="197"/>
      <c r="T289" s="204"/>
      <c r="U289" s="204"/>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row>
    <row r="290" spans="1:51" ht="15.75" customHeight="1">
      <c r="A290" s="3"/>
      <c r="B290" s="3"/>
      <c r="C290" s="3"/>
      <c r="D290" s="3"/>
      <c r="E290" s="3"/>
      <c r="F290" s="3"/>
      <c r="G290" s="3"/>
      <c r="H290" s="201"/>
      <c r="I290" s="202"/>
      <c r="J290" s="40"/>
      <c r="K290" s="3"/>
      <c r="L290" s="203"/>
      <c r="M290" s="3"/>
      <c r="N290" s="3"/>
      <c r="O290" s="3"/>
      <c r="P290" s="3"/>
      <c r="Q290" s="196"/>
      <c r="R290" s="3"/>
      <c r="S290" s="197"/>
      <c r="T290" s="204"/>
      <c r="U290" s="204"/>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row>
    <row r="291" spans="1:51" ht="15.75" customHeight="1">
      <c r="A291" s="3"/>
      <c r="B291" s="3"/>
      <c r="C291" s="3"/>
      <c r="D291" s="3"/>
      <c r="E291" s="3"/>
      <c r="F291" s="3"/>
      <c r="G291" s="3"/>
      <c r="H291" s="201"/>
      <c r="I291" s="202"/>
      <c r="J291" s="40"/>
      <c r="K291" s="3"/>
      <c r="L291" s="203"/>
      <c r="M291" s="3"/>
      <c r="N291" s="3"/>
      <c r="O291" s="3"/>
      <c r="P291" s="3"/>
      <c r="Q291" s="196"/>
      <c r="R291" s="3"/>
      <c r="S291" s="197"/>
      <c r="T291" s="204"/>
      <c r="U291" s="204"/>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row>
    <row r="292" spans="1:51" ht="15.75" customHeight="1">
      <c r="A292" s="3"/>
      <c r="B292" s="3"/>
      <c r="C292" s="3"/>
      <c r="D292" s="3"/>
      <c r="E292" s="3"/>
      <c r="F292" s="3"/>
      <c r="G292" s="3"/>
      <c r="H292" s="201"/>
      <c r="I292" s="202"/>
      <c r="J292" s="40"/>
      <c r="K292" s="3"/>
      <c r="L292" s="203"/>
      <c r="M292" s="3"/>
      <c r="N292" s="3"/>
      <c r="O292" s="3"/>
      <c r="P292" s="3"/>
      <c r="Q292" s="196"/>
      <c r="R292" s="3"/>
      <c r="S292" s="197"/>
      <c r="T292" s="204"/>
      <c r="U292" s="204"/>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row>
    <row r="293" spans="1:51" ht="15.75" customHeight="1">
      <c r="A293" s="3"/>
      <c r="B293" s="3"/>
      <c r="C293" s="3"/>
      <c r="D293" s="3"/>
      <c r="E293" s="3"/>
      <c r="F293" s="3"/>
      <c r="G293" s="3"/>
      <c r="H293" s="201"/>
      <c r="I293" s="202"/>
      <c r="J293" s="40"/>
      <c r="K293" s="3"/>
      <c r="L293" s="203"/>
      <c r="M293" s="3"/>
      <c r="N293" s="3"/>
      <c r="O293" s="3"/>
      <c r="P293" s="3"/>
      <c r="Q293" s="196"/>
      <c r="R293" s="3"/>
      <c r="S293" s="197"/>
      <c r="T293" s="204"/>
      <c r="U293" s="204"/>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row>
    <row r="294" spans="1:51" ht="15.75" customHeight="1">
      <c r="A294" s="3"/>
      <c r="B294" s="3"/>
      <c r="C294" s="3"/>
      <c r="D294" s="3"/>
      <c r="E294" s="3"/>
      <c r="F294" s="3"/>
      <c r="G294" s="3"/>
      <c r="H294" s="201"/>
      <c r="I294" s="202"/>
      <c r="J294" s="40"/>
      <c r="K294" s="3"/>
      <c r="L294" s="203"/>
      <c r="M294" s="3"/>
      <c r="N294" s="3"/>
      <c r="O294" s="3"/>
      <c r="P294" s="3"/>
      <c r="Q294" s="196"/>
      <c r="R294" s="3"/>
      <c r="S294" s="197"/>
      <c r="T294" s="204"/>
      <c r="U294" s="204"/>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row>
    <row r="295" spans="1:51" ht="15.75" customHeight="1">
      <c r="A295" s="3"/>
      <c r="B295" s="3"/>
      <c r="C295" s="3"/>
      <c r="D295" s="3"/>
      <c r="E295" s="3"/>
      <c r="F295" s="3"/>
      <c r="G295" s="3"/>
      <c r="H295" s="201"/>
      <c r="I295" s="202"/>
      <c r="J295" s="40"/>
      <c r="K295" s="3"/>
      <c r="L295" s="203"/>
      <c r="M295" s="3"/>
      <c r="N295" s="3"/>
      <c r="O295" s="3"/>
      <c r="P295" s="3"/>
      <c r="Q295" s="196"/>
      <c r="R295" s="3"/>
      <c r="S295" s="197"/>
      <c r="T295" s="204"/>
      <c r="U295" s="204"/>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row>
    <row r="296" spans="1:51" ht="15.75" customHeight="1">
      <c r="A296" s="3"/>
      <c r="B296" s="3"/>
      <c r="C296" s="3"/>
      <c r="D296" s="3"/>
      <c r="E296" s="3"/>
      <c r="F296" s="3"/>
      <c r="G296" s="3"/>
      <c r="H296" s="201"/>
      <c r="I296" s="202"/>
      <c r="J296" s="40"/>
      <c r="K296" s="3"/>
      <c r="L296" s="203"/>
      <c r="M296" s="3"/>
      <c r="N296" s="3"/>
      <c r="O296" s="3"/>
      <c r="P296" s="3"/>
      <c r="Q296" s="196"/>
      <c r="R296" s="3"/>
      <c r="S296" s="197"/>
      <c r="T296" s="204"/>
      <c r="U296" s="204"/>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row>
    <row r="297" spans="1:51" ht="15.75" customHeight="1">
      <c r="A297" s="3"/>
      <c r="B297" s="3"/>
      <c r="C297" s="3"/>
      <c r="D297" s="3"/>
      <c r="E297" s="3"/>
      <c r="F297" s="3"/>
      <c r="G297" s="3"/>
      <c r="H297" s="201"/>
      <c r="I297" s="202"/>
      <c r="J297" s="40"/>
      <c r="K297" s="3"/>
      <c r="L297" s="203"/>
      <c r="M297" s="3"/>
      <c r="N297" s="3"/>
      <c r="O297" s="3"/>
      <c r="P297" s="3"/>
      <c r="Q297" s="196"/>
      <c r="R297" s="3"/>
      <c r="S297" s="197"/>
      <c r="T297" s="204"/>
      <c r="U297" s="204"/>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row>
    <row r="298" spans="1:51" ht="15.75" customHeight="1">
      <c r="A298" s="3"/>
      <c r="B298" s="3"/>
      <c r="C298" s="3"/>
      <c r="D298" s="3"/>
      <c r="E298" s="3"/>
      <c r="F298" s="3"/>
      <c r="G298" s="3"/>
      <c r="H298" s="201"/>
      <c r="I298" s="202"/>
      <c r="J298" s="40"/>
      <c r="K298" s="3"/>
      <c r="L298" s="203"/>
      <c r="M298" s="3"/>
      <c r="N298" s="3"/>
      <c r="O298" s="3"/>
      <c r="P298" s="3"/>
      <c r="Q298" s="196"/>
      <c r="R298" s="3"/>
      <c r="S298" s="197"/>
      <c r="T298" s="204"/>
      <c r="U298" s="204"/>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row>
    <row r="299" spans="1:51" ht="15.75" customHeight="1">
      <c r="A299" s="3"/>
      <c r="B299" s="3"/>
      <c r="C299" s="3"/>
      <c r="D299" s="3"/>
      <c r="E299" s="3"/>
      <c r="F299" s="3"/>
      <c r="G299" s="3"/>
      <c r="H299" s="201"/>
      <c r="I299" s="202"/>
      <c r="J299" s="40"/>
      <c r="K299" s="3"/>
      <c r="L299" s="203"/>
      <c r="M299" s="3"/>
      <c r="N299" s="3"/>
      <c r="O299" s="3"/>
      <c r="P299" s="3"/>
      <c r="Q299" s="196"/>
      <c r="R299" s="3"/>
      <c r="S299" s="197"/>
      <c r="T299" s="204"/>
      <c r="U299" s="204"/>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row>
    <row r="300" spans="1:51" ht="15.75" customHeight="1">
      <c r="A300" s="3"/>
      <c r="B300" s="3"/>
      <c r="C300" s="3"/>
      <c r="D300" s="3"/>
      <c r="E300" s="3"/>
      <c r="F300" s="3"/>
      <c r="G300" s="3"/>
      <c r="H300" s="201"/>
      <c r="I300" s="202"/>
      <c r="J300" s="40"/>
      <c r="K300" s="3"/>
      <c r="L300" s="203"/>
      <c r="M300" s="3"/>
      <c r="N300" s="3"/>
      <c r="O300" s="3"/>
      <c r="P300" s="3"/>
      <c r="Q300" s="196"/>
      <c r="R300" s="3"/>
      <c r="S300" s="197"/>
      <c r="T300" s="204"/>
      <c r="U300" s="204"/>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row>
    <row r="301" spans="1:51" ht="15.75" customHeight="1">
      <c r="A301" s="3"/>
      <c r="B301" s="3"/>
      <c r="C301" s="3"/>
      <c r="D301" s="3"/>
      <c r="E301" s="3"/>
      <c r="F301" s="3"/>
      <c r="G301" s="3"/>
      <c r="H301" s="201"/>
      <c r="I301" s="202"/>
      <c r="J301" s="40"/>
      <c r="K301" s="3"/>
      <c r="L301" s="203"/>
      <c r="M301" s="3"/>
      <c r="N301" s="3"/>
      <c r="O301" s="3"/>
      <c r="P301" s="3"/>
      <c r="Q301" s="196"/>
      <c r="R301" s="3"/>
      <c r="S301" s="197"/>
      <c r="T301" s="204"/>
      <c r="U301" s="204"/>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row>
    <row r="302" spans="1:51" ht="15.75" customHeight="1">
      <c r="A302" s="3"/>
      <c r="B302" s="3"/>
      <c r="C302" s="3"/>
      <c r="D302" s="3"/>
      <c r="E302" s="3"/>
      <c r="F302" s="3"/>
      <c r="G302" s="3"/>
      <c r="H302" s="201"/>
      <c r="I302" s="202"/>
      <c r="J302" s="40"/>
      <c r="K302" s="3"/>
      <c r="L302" s="203"/>
      <c r="M302" s="3"/>
      <c r="N302" s="3"/>
      <c r="O302" s="3"/>
      <c r="P302" s="3"/>
      <c r="Q302" s="196"/>
      <c r="R302" s="3"/>
      <c r="S302" s="197"/>
      <c r="T302" s="204"/>
      <c r="U302" s="204"/>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row>
    <row r="303" spans="1:51" ht="15.75" customHeight="1">
      <c r="A303" s="3"/>
      <c r="B303" s="3"/>
      <c r="C303" s="3"/>
      <c r="D303" s="3"/>
      <c r="E303" s="3"/>
      <c r="F303" s="3"/>
      <c r="G303" s="3"/>
      <c r="H303" s="201"/>
      <c r="I303" s="202"/>
      <c r="J303" s="40"/>
      <c r="K303" s="3"/>
      <c r="L303" s="203"/>
      <c r="M303" s="3"/>
      <c r="N303" s="3"/>
      <c r="O303" s="3"/>
      <c r="P303" s="3"/>
      <c r="Q303" s="196"/>
      <c r="R303" s="3"/>
      <c r="S303" s="197"/>
      <c r="T303" s="204"/>
      <c r="U303" s="204"/>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row>
    <row r="304" spans="1:51" ht="15.75" customHeight="1">
      <c r="A304" s="3"/>
      <c r="B304" s="3"/>
      <c r="C304" s="3"/>
      <c r="D304" s="3"/>
      <c r="E304" s="3"/>
      <c r="F304" s="3"/>
      <c r="G304" s="3"/>
      <c r="H304" s="201"/>
      <c r="I304" s="202"/>
      <c r="J304" s="40"/>
      <c r="K304" s="3"/>
      <c r="L304" s="203"/>
      <c r="M304" s="3"/>
      <c r="N304" s="3"/>
      <c r="O304" s="3"/>
      <c r="P304" s="3"/>
      <c r="Q304" s="196"/>
      <c r="R304" s="3"/>
      <c r="S304" s="197"/>
      <c r="T304" s="204"/>
      <c r="U304" s="204"/>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row>
    <row r="305" spans="1:51" ht="15.75" customHeight="1">
      <c r="A305" s="3"/>
      <c r="B305" s="3"/>
      <c r="C305" s="3"/>
      <c r="D305" s="3"/>
      <c r="E305" s="3"/>
      <c r="F305" s="3"/>
      <c r="G305" s="3"/>
      <c r="H305" s="201"/>
      <c r="I305" s="202"/>
      <c r="J305" s="40"/>
      <c r="K305" s="3"/>
      <c r="L305" s="203"/>
      <c r="M305" s="3"/>
      <c r="N305" s="3"/>
      <c r="O305" s="3"/>
      <c r="P305" s="3"/>
      <c r="Q305" s="196"/>
      <c r="R305" s="3"/>
      <c r="S305" s="197"/>
      <c r="T305" s="204"/>
      <c r="U305" s="204"/>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row>
    <row r="306" spans="1:51" ht="15.75" customHeight="1">
      <c r="A306" s="3"/>
      <c r="B306" s="3"/>
      <c r="C306" s="3"/>
      <c r="D306" s="3"/>
      <c r="E306" s="3"/>
      <c r="F306" s="3"/>
      <c r="G306" s="3"/>
      <c r="H306" s="201"/>
      <c r="I306" s="202"/>
      <c r="J306" s="40"/>
      <c r="K306" s="3"/>
      <c r="L306" s="203"/>
      <c r="M306" s="3"/>
      <c r="N306" s="3"/>
      <c r="O306" s="3"/>
      <c r="P306" s="3"/>
      <c r="Q306" s="196"/>
      <c r="R306" s="3"/>
      <c r="S306" s="197"/>
      <c r="T306" s="204"/>
      <c r="U306" s="204"/>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row>
    <row r="307" spans="1:51" ht="15.75" customHeight="1">
      <c r="A307" s="3"/>
      <c r="B307" s="3"/>
      <c r="C307" s="3"/>
      <c r="D307" s="3"/>
      <c r="E307" s="3"/>
      <c r="F307" s="3"/>
      <c r="G307" s="3"/>
      <c r="H307" s="201"/>
      <c r="I307" s="202"/>
      <c r="J307" s="40"/>
      <c r="K307" s="3"/>
      <c r="L307" s="203"/>
      <c r="M307" s="3"/>
      <c r="N307" s="3"/>
      <c r="O307" s="3"/>
      <c r="P307" s="3"/>
      <c r="Q307" s="196"/>
      <c r="R307" s="3"/>
      <c r="S307" s="197"/>
      <c r="T307" s="204"/>
      <c r="U307" s="204"/>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row>
    <row r="308" spans="1:51" ht="15.75" customHeight="1">
      <c r="A308" s="3"/>
      <c r="B308" s="3"/>
      <c r="C308" s="3"/>
      <c r="D308" s="3"/>
      <c r="E308" s="3"/>
      <c r="F308" s="3"/>
      <c r="G308" s="3"/>
      <c r="H308" s="201"/>
      <c r="I308" s="202"/>
      <c r="J308" s="40"/>
      <c r="K308" s="3"/>
      <c r="L308" s="203"/>
      <c r="M308" s="3"/>
      <c r="N308" s="3"/>
      <c r="O308" s="3"/>
      <c r="P308" s="3"/>
      <c r="Q308" s="196"/>
      <c r="R308" s="3"/>
      <c r="S308" s="197"/>
      <c r="T308" s="204"/>
      <c r="U308" s="204"/>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row>
    <row r="309" spans="1:51" ht="15.75" customHeight="1">
      <c r="A309" s="3"/>
      <c r="B309" s="3"/>
      <c r="C309" s="3"/>
      <c r="D309" s="3"/>
      <c r="E309" s="3"/>
      <c r="F309" s="3"/>
      <c r="G309" s="3"/>
      <c r="H309" s="201"/>
      <c r="I309" s="202"/>
      <c r="J309" s="40"/>
      <c r="K309" s="3"/>
      <c r="L309" s="203"/>
      <c r="M309" s="3"/>
      <c r="N309" s="3"/>
      <c r="O309" s="3"/>
      <c r="P309" s="3"/>
      <c r="Q309" s="196"/>
      <c r="R309" s="3"/>
      <c r="S309" s="197"/>
      <c r="T309" s="204"/>
      <c r="U309" s="204"/>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row>
    <row r="310" spans="1:51" ht="15.75" customHeight="1">
      <c r="A310" s="3"/>
      <c r="B310" s="3"/>
      <c r="C310" s="3"/>
      <c r="D310" s="3"/>
      <c r="E310" s="3"/>
      <c r="F310" s="3"/>
      <c r="G310" s="3"/>
      <c r="H310" s="201"/>
      <c r="I310" s="202"/>
      <c r="J310" s="40"/>
      <c r="K310" s="3"/>
      <c r="L310" s="203"/>
      <c r="M310" s="3"/>
      <c r="N310" s="3"/>
      <c r="O310" s="3"/>
      <c r="P310" s="3"/>
      <c r="Q310" s="196"/>
      <c r="R310" s="3"/>
      <c r="S310" s="197"/>
      <c r="T310" s="204"/>
      <c r="U310" s="204"/>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row>
    <row r="311" spans="1:51" ht="15.75" customHeight="1">
      <c r="A311" s="3"/>
      <c r="B311" s="3"/>
      <c r="C311" s="3"/>
      <c r="D311" s="3"/>
      <c r="E311" s="3"/>
      <c r="F311" s="3"/>
      <c r="G311" s="3"/>
      <c r="H311" s="201"/>
      <c r="I311" s="202"/>
      <c r="J311" s="40"/>
      <c r="K311" s="3"/>
      <c r="L311" s="203"/>
      <c r="M311" s="3"/>
      <c r="N311" s="3"/>
      <c r="O311" s="3"/>
      <c r="P311" s="3"/>
      <c r="Q311" s="196"/>
      <c r="R311" s="3"/>
      <c r="S311" s="197"/>
      <c r="T311" s="204"/>
      <c r="U311" s="204"/>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row>
    <row r="312" spans="1:51" ht="15.75" customHeight="1">
      <c r="A312" s="3"/>
      <c r="B312" s="3"/>
      <c r="C312" s="3"/>
      <c r="D312" s="3"/>
      <c r="E312" s="3"/>
      <c r="F312" s="3"/>
      <c r="G312" s="3"/>
      <c r="H312" s="201"/>
      <c r="I312" s="202"/>
      <c r="J312" s="40"/>
      <c r="K312" s="3"/>
      <c r="L312" s="203"/>
      <c r="M312" s="3"/>
      <c r="N312" s="3"/>
      <c r="O312" s="3"/>
      <c r="P312" s="3"/>
      <c r="Q312" s="196"/>
      <c r="R312" s="3"/>
      <c r="S312" s="197"/>
      <c r="T312" s="204"/>
      <c r="U312" s="204"/>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row>
    <row r="313" spans="1:51" ht="15.75" customHeight="1">
      <c r="A313" s="3"/>
      <c r="B313" s="3"/>
      <c r="C313" s="3"/>
      <c r="D313" s="3"/>
      <c r="E313" s="3"/>
      <c r="F313" s="3"/>
      <c r="G313" s="3"/>
      <c r="H313" s="201"/>
      <c r="I313" s="202"/>
      <c r="J313" s="40"/>
      <c r="K313" s="3"/>
      <c r="L313" s="203"/>
      <c r="M313" s="3"/>
      <c r="N313" s="3"/>
      <c r="O313" s="3"/>
      <c r="P313" s="3"/>
      <c r="Q313" s="196"/>
      <c r="R313" s="3"/>
      <c r="S313" s="197"/>
      <c r="T313" s="204"/>
      <c r="U313" s="204"/>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row>
    <row r="314" spans="1:51" ht="15.75" customHeight="1">
      <c r="A314" s="3"/>
      <c r="B314" s="3"/>
      <c r="C314" s="3"/>
      <c r="D314" s="3"/>
      <c r="E314" s="3"/>
      <c r="F314" s="3"/>
      <c r="G314" s="3"/>
      <c r="H314" s="201"/>
      <c r="I314" s="202"/>
      <c r="J314" s="40"/>
      <c r="K314" s="3"/>
      <c r="L314" s="203"/>
      <c r="M314" s="3"/>
      <c r="N314" s="3"/>
      <c r="O314" s="3"/>
      <c r="P314" s="3"/>
      <c r="Q314" s="196"/>
      <c r="R314" s="3"/>
      <c r="S314" s="197"/>
      <c r="T314" s="204"/>
      <c r="U314" s="204"/>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row>
    <row r="315" spans="1:51" ht="15.75" customHeight="1">
      <c r="A315" s="3"/>
      <c r="B315" s="3"/>
      <c r="C315" s="3"/>
      <c r="D315" s="3"/>
      <c r="E315" s="3"/>
      <c r="F315" s="3"/>
      <c r="G315" s="3"/>
      <c r="H315" s="201"/>
      <c r="I315" s="202"/>
      <c r="J315" s="40"/>
      <c r="K315" s="3"/>
      <c r="L315" s="203"/>
      <c r="M315" s="3"/>
      <c r="N315" s="3"/>
      <c r="O315" s="3"/>
      <c r="P315" s="3"/>
      <c r="Q315" s="196"/>
      <c r="R315" s="3"/>
      <c r="S315" s="197"/>
      <c r="T315" s="204"/>
      <c r="U315" s="204"/>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row>
    <row r="316" spans="1:51" ht="15.75" customHeight="1">
      <c r="A316" s="3"/>
      <c r="B316" s="3"/>
      <c r="C316" s="3"/>
      <c r="D316" s="3"/>
      <c r="E316" s="3"/>
      <c r="F316" s="3"/>
      <c r="G316" s="3"/>
      <c r="H316" s="201"/>
      <c r="I316" s="202"/>
      <c r="J316" s="40"/>
      <c r="K316" s="3"/>
      <c r="L316" s="203"/>
      <c r="M316" s="3"/>
      <c r="N316" s="3"/>
      <c r="O316" s="3"/>
      <c r="P316" s="3"/>
      <c r="Q316" s="196"/>
      <c r="R316" s="3"/>
      <c r="S316" s="197"/>
      <c r="T316" s="204"/>
      <c r="U316" s="204"/>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row>
    <row r="317" spans="1:51" ht="15.75" customHeight="1">
      <c r="A317" s="3"/>
      <c r="B317" s="3"/>
      <c r="C317" s="3"/>
      <c r="D317" s="3"/>
      <c r="E317" s="3"/>
      <c r="F317" s="3"/>
      <c r="G317" s="3"/>
      <c r="H317" s="201"/>
      <c r="I317" s="202"/>
      <c r="J317" s="40"/>
      <c r="K317" s="3"/>
      <c r="L317" s="203"/>
      <c r="M317" s="3"/>
      <c r="N317" s="3"/>
      <c r="O317" s="3"/>
      <c r="P317" s="3"/>
      <c r="Q317" s="196"/>
      <c r="R317" s="3"/>
      <c r="S317" s="197"/>
      <c r="T317" s="204"/>
      <c r="U317" s="204"/>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row>
    <row r="318" spans="1:51" ht="15.75" customHeight="1">
      <c r="A318" s="3"/>
      <c r="B318" s="3"/>
      <c r="C318" s="3"/>
      <c r="D318" s="3"/>
      <c r="E318" s="3"/>
      <c r="F318" s="3"/>
      <c r="G318" s="3"/>
      <c r="H318" s="201"/>
      <c r="I318" s="202"/>
      <c r="J318" s="40"/>
      <c r="K318" s="3"/>
      <c r="L318" s="203"/>
      <c r="M318" s="3"/>
      <c r="N318" s="3"/>
      <c r="O318" s="3"/>
      <c r="P318" s="3"/>
      <c r="Q318" s="196"/>
      <c r="R318" s="3"/>
      <c r="S318" s="197"/>
      <c r="T318" s="204"/>
      <c r="U318" s="204"/>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row>
    <row r="319" spans="1:51" ht="15.75" customHeight="1">
      <c r="A319" s="3"/>
      <c r="B319" s="3"/>
      <c r="C319" s="3"/>
      <c r="D319" s="3"/>
      <c r="E319" s="3"/>
      <c r="F319" s="3"/>
      <c r="G319" s="3"/>
      <c r="H319" s="201"/>
      <c r="I319" s="202"/>
      <c r="J319" s="40"/>
      <c r="K319" s="3"/>
      <c r="L319" s="203"/>
      <c r="M319" s="3"/>
      <c r="N319" s="3"/>
      <c r="O319" s="3"/>
      <c r="P319" s="3"/>
      <c r="Q319" s="196"/>
      <c r="R319" s="3"/>
      <c r="S319" s="197"/>
      <c r="T319" s="204"/>
      <c r="U319" s="204"/>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row>
    <row r="320" spans="1:51" ht="15.75" customHeight="1">
      <c r="A320" s="3"/>
      <c r="B320" s="3"/>
      <c r="C320" s="3"/>
      <c r="D320" s="3"/>
      <c r="E320" s="3"/>
      <c r="F320" s="3"/>
      <c r="G320" s="3"/>
      <c r="H320" s="201"/>
      <c r="I320" s="202"/>
      <c r="J320" s="40"/>
      <c r="K320" s="3"/>
      <c r="L320" s="203"/>
      <c r="M320" s="3"/>
      <c r="N320" s="3"/>
      <c r="O320" s="3"/>
      <c r="P320" s="3"/>
      <c r="Q320" s="196"/>
      <c r="R320" s="3"/>
      <c r="S320" s="197"/>
      <c r="T320" s="204"/>
      <c r="U320" s="204"/>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row>
    <row r="321" spans="1:51" ht="15.75" customHeight="1">
      <c r="A321" s="3"/>
      <c r="B321" s="3"/>
      <c r="C321" s="3"/>
      <c r="D321" s="3"/>
      <c r="E321" s="3"/>
      <c r="F321" s="3"/>
      <c r="G321" s="3"/>
      <c r="H321" s="201"/>
      <c r="I321" s="202"/>
      <c r="J321" s="40"/>
      <c r="K321" s="3"/>
      <c r="L321" s="203"/>
      <c r="M321" s="3"/>
      <c r="N321" s="3"/>
      <c r="O321" s="3"/>
      <c r="P321" s="3"/>
      <c r="Q321" s="196"/>
      <c r="R321" s="3"/>
      <c r="S321" s="197"/>
      <c r="T321" s="204"/>
      <c r="U321" s="204"/>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row>
    <row r="322" spans="1:51" ht="15.75" customHeight="1">
      <c r="A322" s="3"/>
      <c r="B322" s="3"/>
      <c r="C322" s="3"/>
      <c r="D322" s="3"/>
      <c r="E322" s="3"/>
      <c r="F322" s="3"/>
      <c r="G322" s="3"/>
      <c r="H322" s="201"/>
      <c r="I322" s="202"/>
      <c r="J322" s="40"/>
      <c r="K322" s="3"/>
      <c r="L322" s="203"/>
      <c r="M322" s="3"/>
      <c r="N322" s="3"/>
      <c r="O322" s="3"/>
      <c r="P322" s="3"/>
      <c r="Q322" s="196"/>
      <c r="R322" s="3"/>
      <c r="S322" s="197"/>
      <c r="T322" s="204"/>
      <c r="U322" s="204"/>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row>
    <row r="323" spans="1:51" ht="15.75" customHeight="1">
      <c r="A323" s="3"/>
      <c r="B323" s="3"/>
      <c r="C323" s="3"/>
      <c r="D323" s="3"/>
      <c r="E323" s="3"/>
      <c r="F323" s="3"/>
      <c r="G323" s="3"/>
      <c r="H323" s="201"/>
      <c r="I323" s="202"/>
      <c r="J323" s="40"/>
      <c r="K323" s="3"/>
      <c r="L323" s="203"/>
      <c r="M323" s="3"/>
      <c r="N323" s="3"/>
      <c r="O323" s="3"/>
      <c r="P323" s="3"/>
      <c r="Q323" s="196"/>
      <c r="R323" s="3"/>
      <c r="S323" s="197"/>
      <c r="T323" s="204"/>
      <c r="U323" s="204"/>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row>
    <row r="324" spans="1:51" ht="15.75" customHeight="1">
      <c r="A324" s="3"/>
      <c r="B324" s="3"/>
      <c r="C324" s="3"/>
      <c r="D324" s="3"/>
      <c r="E324" s="3"/>
      <c r="F324" s="3"/>
      <c r="G324" s="3"/>
      <c r="H324" s="201"/>
      <c r="I324" s="202"/>
      <c r="J324" s="40"/>
      <c r="K324" s="3"/>
      <c r="L324" s="203"/>
      <c r="M324" s="3"/>
      <c r="N324" s="3"/>
      <c r="O324" s="3"/>
      <c r="P324" s="3"/>
      <c r="Q324" s="196"/>
      <c r="R324" s="3"/>
      <c r="S324" s="197"/>
      <c r="T324" s="204"/>
      <c r="U324" s="204"/>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row>
    <row r="325" spans="1:51" ht="15.75" customHeight="1">
      <c r="A325" s="3"/>
      <c r="B325" s="3"/>
      <c r="C325" s="3"/>
      <c r="D325" s="3"/>
      <c r="E325" s="3"/>
      <c r="F325" s="3"/>
      <c r="G325" s="3"/>
      <c r="H325" s="201"/>
      <c r="I325" s="202"/>
      <c r="J325" s="40"/>
      <c r="K325" s="3"/>
      <c r="L325" s="203"/>
      <c r="M325" s="3"/>
      <c r="N325" s="3"/>
      <c r="O325" s="3"/>
      <c r="P325" s="3"/>
      <c r="Q325" s="196"/>
      <c r="R325" s="3"/>
      <c r="S325" s="197"/>
      <c r="T325" s="204"/>
      <c r="U325" s="204"/>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row>
    <row r="326" spans="1:51" ht="15.75" customHeight="1">
      <c r="A326" s="3"/>
      <c r="B326" s="3"/>
      <c r="C326" s="3"/>
      <c r="D326" s="3"/>
      <c r="E326" s="3"/>
      <c r="F326" s="3"/>
      <c r="G326" s="3"/>
      <c r="H326" s="201"/>
      <c r="I326" s="202"/>
      <c r="J326" s="40"/>
      <c r="K326" s="3"/>
      <c r="L326" s="203"/>
      <c r="M326" s="3"/>
      <c r="N326" s="3"/>
      <c r="O326" s="3"/>
      <c r="P326" s="3"/>
      <c r="Q326" s="196"/>
      <c r="R326" s="3"/>
      <c r="S326" s="197"/>
      <c r="T326" s="204"/>
      <c r="U326" s="204"/>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row>
    <row r="327" spans="1:51" ht="15.75" customHeight="1">
      <c r="A327" s="3"/>
      <c r="B327" s="3"/>
      <c r="C327" s="3"/>
      <c r="D327" s="3"/>
      <c r="E327" s="3"/>
      <c r="F327" s="3"/>
      <c r="G327" s="3"/>
      <c r="H327" s="201"/>
      <c r="I327" s="202"/>
      <c r="J327" s="40"/>
      <c r="K327" s="3"/>
      <c r="L327" s="203"/>
      <c r="M327" s="3"/>
      <c r="N327" s="3"/>
      <c r="O327" s="3"/>
      <c r="P327" s="3"/>
      <c r="Q327" s="196"/>
      <c r="R327" s="3"/>
      <c r="S327" s="197"/>
      <c r="T327" s="204"/>
      <c r="U327" s="204"/>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row>
    <row r="328" spans="1:51" ht="15.75" customHeight="1">
      <c r="A328" s="3"/>
      <c r="B328" s="3"/>
      <c r="C328" s="3"/>
      <c r="D328" s="3"/>
      <c r="E328" s="3"/>
      <c r="F328" s="3"/>
      <c r="G328" s="3"/>
      <c r="H328" s="201"/>
      <c r="I328" s="202"/>
      <c r="J328" s="40"/>
      <c r="K328" s="3"/>
      <c r="L328" s="203"/>
      <c r="M328" s="3"/>
      <c r="N328" s="3"/>
      <c r="O328" s="3"/>
      <c r="P328" s="3"/>
      <c r="Q328" s="196"/>
      <c r="R328" s="3"/>
      <c r="S328" s="197"/>
      <c r="T328" s="204"/>
      <c r="U328" s="204"/>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row>
    <row r="329" spans="1:51" ht="15.75" customHeight="1">
      <c r="A329" s="3"/>
      <c r="B329" s="3"/>
      <c r="C329" s="3"/>
      <c r="D329" s="3"/>
      <c r="E329" s="3"/>
      <c r="F329" s="3"/>
      <c r="G329" s="3"/>
      <c r="H329" s="201"/>
      <c r="I329" s="202"/>
      <c r="J329" s="40"/>
      <c r="K329" s="3"/>
      <c r="L329" s="203"/>
      <c r="M329" s="3"/>
      <c r="N329" s="3"/>
      <c r="O329" s="3"/>
      <c r="P329" s="3"/>
      <c r="Q329" s="196"/>
      <c r="R329" s="3"/>
      <c r="S329" s="197"/>
      <c r="T329" s="204"/>
      <c r="U329" s="204"/>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row>
    <row r="330" spans="1:51" ht="15.75" customHeight="1">
      <c r="A330" s="3"/>
      <c r="B330" s="3"/>
      <c r="C330" s="3"/>
      <c r="D330" s="3"/>
      <c r="E330" s="3"/>
      <c r="F330" s="3"/>
      <c r="G330" s="3"/>
      <c r="H330" s="201"/>
      <c r="I330" s="202"/>
      <c r="J330" s="40"/>
      <c r="K330" s="3"/>
      <c r="L330" s="203"/>
      <c r="M330" s="3"/>
      <c r="N330" s="3"/>
      <c r="O330" s="3"/>
      <c r="P330" s="3"/>
      <c r="Q330" s="196"/>
      <c r="R330" s="3"/>
      <c r="S330" s="197"/>
      <c r="T330" s="204"/>
      <c r="U330" s="204"/>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row>
    <row r="331" spans="1:51" ht="15.75" customHeight="1">
      <c r="A331" s="3"/>
      <c r="B331" s="3"/>
      <c r="C331" s="3"/>
      <c r="D331" s="3"/>
      <c r="E331" s="3"/>
      <c r="F331" s="3"/>
      <c r="G331" s="3"/>
      <c r="H331" s="201"/>
      <c r="I331" s="202"/>
      <c r="J331" s="40"/>
      <c r="K331" s="3"/>
      <c r="L331" s="203"/>
      <c r="M331" s="3"/>
      <c r="N331" s="3"/>
      <c r="O331" s="3"/>
      <c r="P331" s="3"/>
      <c r="Q331" s="196"/>
      <c r="R331" s="3"/>
      <c r="S331" s="197"/>
      <c r="T331" s="204"/>
      <c r="U331" s="204"/>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row>
    <row r="332" spans="1:51" ht="15.75" customHeight="1">
      <c r="A332" s="3"/>
      <c r="B332" s="3"/>
      <c r="C332" s="3"/>
      <c r="D332" s="3"/>
      <c r="E332" s="3"/>
      <c r="F332" s="3"/>
      <c r="G332" s="3"/>
      <c r="H332" s="201"/>
      <c r="I332" s="202"/>
      <c r="J332" s="40"/>
      <c r="K332" s="3"/>
      <c r="L332" s="203"/>
      <c r="M332" s="3"/>
      <c r="N332" s="3"/>
      <c r="O332" s="3"/>
      <c r="P332" s="3"/>
      <c r="Q332" s="196"/>
      <c r="R332" s="3"/>
      <c r="S332" s="197"/>
      <c r="T332" s="204"/>
      <c r="U332" s="204"/>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row>
    <row r="333" spans="1:51" ht="15.75" customHeight="1">
      <c r="A333" s="3"/>
      <c r="B333" s="3"/>
      <c r="C333" s="3"/>
      <c r="D333" s="3"/>
      <c r="E333" s="3"/>
      <c r="F333" s="3"/>
      <c r="G333" s="3"/>
      <c r="H333" s="201"/>
      <c r="I333" s="202"/>
      <c r="J333" s="40"/>
      <c r="K333" s="3"/>
      <c r="L333" s="203"/>
      <c r="M333" s="3"/>
      <c r="N333" s="3"/>
      <c r="O333" s="3"/>
      <c r="P333" s="3"/>
      <c r="Q333" s="196"/>
      <c r="R333" s="3"/>
      <c r="S333" s="197"/>
      <c r="T333" s="204"/>
      <c r="U333" s="204"/>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row>
    <row r="334" spans="1:51" ht="15.75" customHeight="1">
      <c r="A334" s="3"/>
      <c r="B334" s="3"/>
      <c r="C334" s="3"/>
      <c r="D334" s="3"/>
      <c r="E334" s="3"/>
      <c r="F334" s="3"/>
      <c r="G334" s="3"/>
      <c r="H334" s="202"/>
      <c r="I334" s="202"/>
      <c r="J334" s="3"/>
      <c r="K334" s="3"/>
      <c r="L334" s="3"/>
      <c r="M334" s="3"/>
      <c r="N334" s="3"/>
      <c r="O334" s="3"/>
      <c r="P334" s="3"/>
      <c r="Q334" s="196"/>
      <c r="R334" s="3"/>
      <c r="S334" s="202"/>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row>
    <row r="335" spans="1:51" ht="15.75" customHeight="1">
      <c r="A335" s="3"/>
      <c r="B335" s="3"/>
      <c r="C335" s="3"/>
      <c r="D335" s="3"/>
      <c r="E335" s="3"/>
      <c r="F335" s="3"/>
      <c r="G335" s="3"/>
      <c r="H335" s="202"/>
      <c r="I335" s="202"/>
      <c r="J335" s="3"/>
      <c r="K335" s="3"/>
      <c r="L335" s="3"/>
      <c r="M335" s="3"/>
      <c r="N335" s="3"/>
      <c r="O335" s="3"/>
      <c r="P335" s="3"/>
      <c r="Q335" s="196"/>
      <c r="R335" s="3"/>
      <c r="S335" s="202"/>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row>
    <row r="336" spans="1:51" ht="15.75" customHeight="1">
      <c r="A336" s="3"/>
      <c r="B336" s="3"/>
      <c r="C336" s="3"/>
      <c r="D336" s="3"/>
      <c r="E336" s="3"/>
      <c r="F336" s="3"/>
      <c r="G336" s="3"/>
      <c r="H336" s="202"/>
      <c r="I336" s="202"/>
      <c r="J336" s="3"/>
      <c r="K336" s="3"/>
      <c r="L336" s="3"/>
      <c r="M336" s="3"/>
      <c r="N336" s="3"/>
      <c r="O336" s="3"/>
      <c r="P336" s="3"/>
      <c r="Q336" s="196"/>
      <c r="R336" s="3"/>
      <c r="S336" s="202"/>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row>
    <row r="337" spans="1:51" ht="15.75" customHeight="1">
      <c r="A337" s="3"/>
      <c r="B337" s="3"/>
      <c r="C337" s="3"/>
      <c r="D337" s="3"/>
      <c r="E337" s="3"/>
      <c r="F337" s="3"/>
      <c r="G337" s="3"/>
      <c r="H337" s="202"/>
      <c r="I337" s="202"/>
      <c r="J337" s="3"/>
      <c r="K337" s="3"/>
      <c r="L337" s="3"/>
      <c r="M337" s="3"/>
      <c r="N337" s="3"/>
      <c r="O337" s="3"/>
      <c r="P337" s="3"/>
      <c r="Q337" s="196"/>
      <c r="R337" s="3"/>
      <c r="S337" s="202"/>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row>
    <row r="338" spans="1:51" ht="15.75" customHeight="1">
      <c r="A338" s="3"/>
      <c r="B338" s="3"/>
      <c r="C338" s="3"/>
      <c r="D338" s="3"/>
      <c r="E338" s="3"/>
      <c r="F338" s="3"/>
      <c r="G338" s="3"/>
      <c r="H338" s="202"/>
      <c r="I338" s="202"/>
      <c r="J338" s="3"/>
      <c r="K338" s="3"/>
      <c r="L338" s="3"/>
      <c r="M338" s="3"/>
      <c r="N338" s="3"/>
      <c r="O338" s="3"/>
      <c r="P338" s="3"/>
      <c r="Q338" s="196"/>
      <c r="R338" s="3"/>
      <c r="S338" s="202"/>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row>
    <row r="339" spans="1:51" ht="15.75" customHeight="1">
      <c r="A339" s="3"/>
      <c r="B339" s="3"/>
      <c r="C339" s="3"/>
      <c r="D339" s="3"/>
      <c r="E339" s="3"/>
      <c r="F339" s="3"/>
      <c r="G339" s="3"/>
      <c r="H339" s="202"/>
      <c r="I339" s="202"/>
      <c r="J339" s="3"/>
      <c r="K339" s="3"/>
      <c r="L339" s="3"/>
      <c r="M339" s="3"/>
      <c r="N339" s="3"/>
      <c r="O339" s="3"/>
      <c r="P339" s="3"/>
      <c r="Q339" s="196"/>
      <c r="R339" s="3"/>
      <c r="S339" s="202"/>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row>
    <row r="340" spans="1:51" ht="15.75" customHeight="1">
      <c r="A340" s="3"/>
      <c r="B340" s="3"/>
      <c r="C340" s="3"/>
      <c r="D340" s="3"/>
      <c r="E340" s="3"/>
      <c r="F340" s="3"/>
      <c r="G340" s="3"/>
      <c r="H340" s="202"/>
      <c r="I340" s="202"/>
      <c r="J340" s="3"/>
      <c r="K340" s="3"/>
      <c r="L340" s="3"/>
      <c r="M340" s="3"/>
      <c r="N340" s="3"/>
      <c r="O340" s="3"/>
      <c r="P340" s="3"/>
      <c r="Q340" s="196"/>
      <c r="R340" s="3"/>
      <c r="S340" s="202"/>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row>
    <row r="341" spans="1:51" ht="15.75" customHeight="1">
      <c r="A341" s="3"/>
      <c r="B341" s="3"/>
      <c r="C341" s="3"/>
      <c r="D341" s="3"/>
      <c r="E341" s="3"/>
      <c r="F341" s="3"/>
      <c r="G341" s="3"/>
      <c r="H341" s="202"/>
      <c r="I341" s="202"/>
      <c r="J341" s="3"/>
      <c r="K341" s="3"/>
      <c r="L341" s="3"/>
      <c r="M341" s="3"/>
      <c r="N341" s="3"/>
      <c r="O341" s="3"/>
      <c r="P341" s="3"/>
      <c r="Q341" s="196"/>
      <c r="R341" s="3"/>
      <c r="S341" s="202"/>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row>
    <row r="342" spans="1:51" ht="15.75" customHeight="1">
      <c r="A342" s="3"/>
      <c r="B342" s="3"/>
      <c r="C342" s="3"/>
      <c r="D342" s="3"/>
      <c r="E342" s="3"/>
      <c r="F342" s="3"/>
      <c r="G342" s="3"/>
      <c r="H342" s="202"/>
      <c r="I342" s="202"/>
      <c r="J342" s="3"/>
      <c r="K342" s="3"/>
      <c r="L342" s="3"/>
      <c r="M342" s="3"/>
      <c r="N342" s="3"/>
      <c r="O342" s="3"/>
      <c r="P342" s="3"/>
      <c r="Q342" s="196"/>
      <c r="R342" s="3"/>
      <c r="S342" s="202"/>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row>
    <row r="343" spans="1:51" ht="15.75" customHeight="1">
      <c r="A343" s="3"/>
      <c r="B343" s="3"/>
      <c r="C343" s="3"/>
      <c r="D343" s="3"/>
      <c r="E343" s="3"/>
      <c r="F343" s="3"/>
      <c r="G343" s="3"/>
      <c r="H343" s="202"/>
      <c r="I343" s="202"/>
      <c r="J343" s="3"/>
      <c r="K343" s="3"/>
      <c r="L343" s="3"/>
      <c r="M343" s="3"/>
      <c r="N343" s="3"/>
      <c r="O343" s="3"/>
      <c r="P343" s="3"/>
      <c r="Q343" s="196"/>
      <c r="R343" s="3"/>
      <c r="S343" s="202"/>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row>
    <row r="344" spans="1:51" ht="15.75" customHeight="1">
      <c r="A344" s="3"/>
      <c r="B344" s="3"/>
      <c r="C344" s="3"/>
      <c r="D344" s="3"/>
      <c r="E344" s="3"/>
      <c r="F344" s="3"/>
      <c r="G344" s="3"/>
      <c r="H344" s="202"/>
      <c r="I344" s="202"/>
      <c r="J344" s="3"/>
      <c r="K344" s="3"/>
      <c r="L344" s="3"/>
      <c r="M344" s="3"/>
      <c r="N344" s="3"/>
      <c r="O344" s="3"/>
      <c r="P344" s="3"/>
      <c r="Q344" s="196"/>
      <c r="R344" s="3"/>
      <c r="S344" s="202"/>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row>
    <row r="345" spans="1:51" ht="15.75" customHeight="1">
      <c r="A345" s="3"/>
      <c r="B345" s="3"/>
      <c r="C345" s="3"/>
      <c r="D345" s="3"/>
      <c r="E345" s="3"/>
      <c r="F345" s="3"/>
      <c r="G345" s="3"/>
      <c r="H345" s="202"/>
      <c r="I345" s="202"/>
      <c r="J345" s="3"/>
      <c r="K345" s="3"/>
      <c r="L345" s="3"/>
      <c r="M345" s="3"/>
      <c r="N345" s="3"/>
      <c r="O345" s="3"/>
      <c r="P345" s="3"/>
      <c r="Q345" s="196"/>
      <c r="R345" s="3"/>
      <c r="S345" s="202"/>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row>
    <row r="346" spans="1:51" ht="15.75" customHeight="1">
      <c r="A346" s="3"/>
      <c r="B346" s="3"/>
      <c r="C346" s="3"/>
      <c r="D346" s="3"/>
      <c r="E346" s="3"/>
      <c r="F346" s="3"/>
      <c r="G346" s="3"/>
      <c r="H346" s="202"/>
      <c r="I346" s="202"/>
      <c r="J346" s="3"/>
      <c r="K346" s="3"/>
      <c r="L346" s="3"/>
      <c r="M346" s="3"/>
      <c r="N346" s="3"/>
      <c r="O346" s="3"/>
      <c r="P346" s="3"/>
      <c r="Q346" s="196"/>
      <c r="R346" s="3"/>
      <c r="S346" s="202"/>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row>
    <row r="347" spans="1:51" ht="15.75" customHeight="1">
      <c r="A347" s="3"/>
      <c r="B347" s="3"/>
      <c r="C347" s="3"/>
      <c r="D347" s="3"/>
      <c r="E347" s="3"/>
      <c r="F347" s="3"/>
      <c r="G347" s="3"/>
      <c r="H347" s="202"/>
      <c r="I347" s="202"/>
      <c r="J347" s="3"/>
      <c r="K347" s="3"/>
      <c r="L347" s="3"/>
      <c r="M347" s="3"/>
      <c r="N347" s="3"/>
      <c r="O347" s="3"/>
      <c r="P347" s="3"/>
      <c r="Q347" s="196"/>
      <c r="R347" s="3"/>
      <c r="S347" s="202"/>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row>
    <row r="348" spans="1:51" ht="15.75" customHeight="1">
      <c r="A348" s="3"/>
      <c r="B348" s="3"/>
      <c r="C348" s="3"/>
      <c r="D348" s="3"/>
      <c r="E348" s="3"/>
      <c r="F348" s="3"/>
      <c r="G348" s="3"/>
      <c r="H348" s="202"/>
      <c r="I348" s="202"/>
      <c r="J348" s="3"/>
      <c r="K348" s="3"/>
      <c r="L348" s="3"/>
      <c r="M348" s="3"/>
      <c r="N348" s="3"/>
      <c r="O348" s="3"/>
      <c r="P348" s="3"/>
      <c r="Q348" s="196"/>
      <c r="R348" s="3"/>
      <c r="S348" s="202"/>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row>
    <row r="349" spans="1:51" ht="15.75" customHeight="1">
      <c r="A349" s="3"/>
      <c r="B349" s="3"/>
      <c r="C349" s="3"/>
      <c r="D349" s="3"/>
      <c r="E349" s="3"/>
      <c r="F349" s="3"/>
      <c r="G349" s="3"/>
      <c r="H349" s="202"/>
      <c r="I349" s="202"/>
      <c r="J349" s="3"/>
      <c r="K349" s="3"/>
      <c r="L349" s="3"/>
      <c r="M349" s="3"/>
      <c r="N349" s="3"/>
      <c r="O349" s="3"/>
      <c r="P349" s="3"/>
      <c r="Q349" s="196"/>
      <c r="R349" s="3"/>
      <c r="S349" s="202"/>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row>
    <row r="350" spans="1:51" ht="15.75" customHeight="1">
      <c r="A350" s="3"/>
      <c r="B350" s="3"/>
      <c r="C350" s="3"/>
      <c r="D350" s="3"/>
      <c r="E350" s="3"/>
      <c r="F350" s="3"/>
      <c r="G350" s="3"/>
      <c r="H350" s="202"/>
      <c r="I350" s="202"/>
      <c r="J350" s="3"/>
      <c r="K350" s="3"/>
      <c r="L350" s="3"/>
      <c r="M350" s="3"/>
      <c r="N350" s="3"/>
      <c r="O350" s="3"/>
      <c r="P350" s="3"/>
      <c r="Q350" s="196"/>
      <c r="R350" s="3"/>
      <c r="S350" s="202"/>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row>
    <row r="351" spans="1:51" ht="15.75" customHeight="1">
      <c r="A351" s="3"/>
      <c r="B351" s="3"/>
      <c r="C351" s="3"/>
      <c r="D351" s="3"/>
      <c r="E351" s="3"/>
      <c r="F351" s="3"/>
      <c r="G351" s="3"/>
      <c r="H351" s="202"/>
      <c r="I351" s="202"/>
      <c r="J351" s="3"/>
      <c r="K351" s="3"/>
      <c r="L351" s="3"/>
      <c r="M351" s="3"/>
      <c r="N351" s="3"/>
      <c r="O351" s="3"/>
      <c r="P351" s="3"/>
      <c r="Q351" s="196"/>
      <c r="R351" s="3"/>
      <c r="S351" s="202"/>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row>
    <row r="352" spans="1:51" ht="15.75" customHeight="1">
      <c r="A352" s="3"/>
      <c r="B352" s="3"/>
      <c r="C352" s="3"/>
      <c r="D352" s="3"/>
      <c r="E352" s="3"/>
      <c r="F352" s="3"/>
      <c r="G352" s="3"/>
      <c r="H352" s="202"/>
      <c r="I352" s="202"/>
      <c r="J352" s="3"/>
      <c r="K352" s="3"/>
      <c r="L352" s="3"/>
      <c r="M352" s="3"/>
      <c r="N352" s="3"/>
      <c r="O352" s="3"/>
      <c r="P352" s="3"/>
      <c r="Q352" s="196"/>
      <c r="R352" s="3"/>
      <c r="S352" s="202"/>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row>
    <row r="353" spans="1:51" ht="15.75" customHeight="1">
      <c r="A353" s="3"/>
      <c r="B353" s="3"/>
      <c r="C353" s="3"/>
      <c r="D353" s="3"/>
      <c r="E353" s="3"/>
      <c r="F353" s="3"/>
      <c r="G353" s="3"/>
      <c r="H353" s="202"/>
      <c r="I353" s="202"/>
      <c r="J353" s="3"/>
      <c r="K353" s="3"/>
      <c r="L353" s="3"/>
      <c r="M353" s="3"/>
      <c r="N353" s="3"/>
      <c r="O353" s="3"/>
      <c r="P353" s="3"/>
      <c r="Q353" s="196"/>
      <c r="R353" s="3"/>
      <c r="S353" s="202"/>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row>
    <row r="354" spans="1:51" ht="15.75" customHeight="1">
      <c r="A354" s="3"/>
      <c r="B354" s="3"/>
      <c r="C354" s="3"/>
      <c r="D354" s="3"/>
      <c r="E354" s="3"/>
      <c r="F354" s="3"/>
      <c r="G354" s="3"/>
      <c r="H354" s="202"/>
      <c r="I354" s="202"/>
      <c r="J354" s="3"/>
      <c r="K354" s="3"/>
      <c r="L354" s="3"/>
      <c r="M354" s="3"/>
      <c r="N354" s="3"/>
      <c r="O354" s="3"/>
      <c r="P354" s="3"/>
      <c r="Q354" s="196"/>
      <c r="R354" s="3"/>
      <c r="S354" s="202"/>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row>
    <row r="355" spans="1:51" ht="15.75" customHeight="1">
      <c r="A355" s="3"/>
      <c r="B355" s="3"/>
      <c r="C355" s="3"/>
      <c r="D355" s="3"/>
      <c r="E355" s="3"/>
      <c r="F355" s="3"/>
      <c r="G355" s="3"/>
      <c r="H355" s="202"/>
      <c r="I355" s="202"/>
      <c r="J355" s="3"/>
      <c r="K355" s="3"/>
      <c r="L355" s="3"/>
      <c r="M355" s="3"/>
      <c r="N355" s="3"/>
      <c r="O355" s="3"/>
      <c r="P355" s="3"/>
      <c r="Q355" s="196"/>
      <c r="R355" s="3"/>
      <c r="S355" s="202"/>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row>
    <row r="356" spans="1:51" ht="15.75" customHeight="1">
      <c r="A356" s="3"/>
      <c r="B356" s="3"/>
      <c r="C356" s="3"/>
      <c r="D356" s="3"/>
      <c r="E356" s="3"/>
      <c r="F356" s="3"/>
      <c r="G356" s="3"/>
      <c r="H356" s="202"/>
      <c r="I356" s="202"/>
      <c r="J356" s="3"/>
      <c r="K356" s="3"/>
      <c r="L356" s="3"/>
      <c r="M356" s="3"/>
      <c r="N356" s="3"/>
      <c r="O356" s="3"/>
      <c r="P356" s="3"/>
      <c r="Q356" s="196"/>
      <c r="R356" s="3"/>
      <c r="S356" s="202"/>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row>
    <row r="357" spans="1:51" ht="15.75" customHeight="1">
      <c r="A357" s="3"/>
      <c r="B357" s="3"/>
      <c r="C357" s="3"/>
      <c r="D357" s="3"/>
      <c r="E357" s="3"/>
      <c r="F357" s="3"/>
      <c r="G357" s="3"/>
      <c r="H357" s="202"/>
      <c r="I357" s="202"/>
      <c r="J357" s="3"/>
      <c r="K357" s="3"/>
      <c r="L357" s="3"/>
      <c r="M357" s="3"/>
      <c r="N357" s="3"/>
      <c r="O357" s="3"/>
      <c r="P357" s="3"/>
      <c r="Q357" s="196"/>
      <c r="R357" s="3"/>
      <c r="S357" s="202"/>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row>
    <row r="358" spans="1:51" ht="15.75" customHeight="1">
      <c r="A358" s="3"/>
      <c r="B358" s="3"/>
      <c r="C358" s="3"/>
      <c r="D358" s="3"/>
      <c r="E358" s="3"/>
      <c r="F358" s="3"/>
      <c r="G358" s="3"/>
      <c r="H358" s="202"/>
      <c r="I358" s="202"/>
      <c r="J358" s="3"/>
      <c r="K358" s="3"/>
      <c r="L358" s="3"/>
      <c r="M358" s="3"/>
      <c r="N358" s="3"/>
      <c r="O358" s="3"/>
      <c r="P358" s="3"/>
      <c r="Q358" s="196"/>
      <c r="R358" s="3"/>
      <c r="S358" s="202"/>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row>
    <row r="359" spans="1:51" ht="15.75" customHeight="1">
      <c r="A359" s="3"/>
      <c r="B359" s="3"/>
      <c r="C359" s="3"/>
      <c r="D359" s="3"/>
      <c r="E359" s="3"/>
      <c r="F359" s="3"/>
      <c r="G359" s="3"/>
      <c r="H359" s="202"/>
      <c r="I359" s="202"/>
      <c r="J359" s="3"/>
      <c r="K359" s="3"/>
      <c r="L359" s="3"/>
      <c r="M359" s="3"/>
      <c r="N359" s="3"/>
      <c r="O359" s="3"/>
      <c r="P359" s="3"/>
      <c r="Q359" s="196"/>
      <c r="R359" s="3"/>
      <c r="S359" s="202"/>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row>
    <row r="360" spans="1:51" ht="15.75" customHeight="1">
      <c r="A360" s="3"/>
      <c r="B360" s="3"/>
      <c r="C360" s="3"/>
      <c r="D360" s="3"/>
      <c r="E360" s="3"/>
      <c r="F360" s="3"/>
      <c r="G360" s="3"/>
      <c r="H360" s="202"/>
      <c r="I360" s="202"/>
      <c r="J360" s="3"/>
      <c r="K360" s="3"/>
      <c r="L360" s="3"/>
      <c r="M360" s="3"/>
      <c r="N360" s="3"/>
      <c r="O360" s="3"/>
      <c r="P360" s="3"/>
      <c r="Q360" s="196"/>
      <c r="R360" s="3"/>
      <c r="S360" s="202"/>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row>
    <row r="361" spans="1:51" ht="15.75" customHeight="1">
      <c r="A361" s="3"/>
      <c r="B361" s="3"/>
      <c r="C361" s="3"/>
      <c r="D361" s="3"/>
      <c r="E361" s="3"/>
      <c r="F361" s="3"/>
      <c r="G361" s="3"/>
      <c r="H361" s="202"/>
      <c r="I361" s="202"/>
      <c r="J361" s="3"/>
      <c r="K361" s="3"/>
      <c r="L361" s="3"/>
      <c r="M361" s="3"/>
      <c r="N361" s="3"/>
      <c r="O361" s="3"/>
      <c r="P361" s="3"/>
      <c r="Q361" s="196"/>
      <c r="R361" s="3"/>
      <c r="S361" s="202"/>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row>
    <row r="362" spans="1:51" ht="15.75" customHeight="1">
      <c r="A362" s="3"/>
      <c r="B362" s="3"/>
      <c r="C362" s="3"/>
      <c r="D362" s="3"/>
      <c r="E362" s="3"/>
      <c r="F362" s="3"/>
      <c r="G362" s="3"/>
      <c r="H362" s="202"/>
      <c r="I362" s="202"/>
      <c r="J362" s="3"/>
      <c r="K362" s="3"/>
      <c r="L362" s="3"/>
      <c r="M362" s="3"/>
      <c r="N362" s="3"/>
      <c r="O362" s="3"/>
      <c r="P362" s="3"/>
      <c r="Q362" s="196"/>
      <c r="R362" s="3"/>
      <c r="S362" s="202"/>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row>
    <row r="363" spans="1:51" ht="15.75" customHeight="1">
      <c r="A363" s="3"/>
      <c r="B363" s="3"/>
      <c r="C363" s="3"/>
      <c r="D363" s="3"/>
      <c r="E363" s="3"/>
      <c r="F363" s="3"/>
      <c r="G363" s="3"/>
      <c r="H363" s="202"/>
      <c r="I363" s="202"/>
      <c r="J363" s="3"/>
      <c r="K363" s="3"/>
      <c r="L363" s="3"/>
      <c r="M363" s="3"/>
      <c r="N363" s="3"/>
      <c r="O363" s="3"/>
      <c r="P363" s="3"/>
      <c r="Q363" s="196"/>
      <c r="R363" s="3"/>
      <c r="S363" s="202"/>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row>
    <row r="364" spans="1:51" ht="15.75" customHeight="1">
      <c r="A364" s="3"/>
      <c r="B364" s="3"/>
      <c r="C364" s="3"/>
      <c r="D364" s="3"/>
      <c r="E364" s="3"/>
      <c r="F364" s="3"/>
      <c r="G364" s="3"/>
      <c r="H364" s="202"/>
      <c r="I364" s="202"/>
      <c r="J364" s="3"/>
      <c r="K364" s="3"/>
      <c r="L364" s="3"/>
      <c r="M364" s="3"/>
      <c r="N364" s="3"/>
      <c r="O364" s="3"/>
      <c r="P364" s="3"/>
      <c r="Q364" s="196"/>
      <c r="R364" s="3"/>
      <c r="S364" s="202"/>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row>
    <row r="365" spans="1:51" ht="15.75" customHeight="1">
      <c r="A365" s="3"/>
      <c r="B365" s="3"/>
      <c r="C365" s="3"/>
      <c r="D365" s="3"/>
      <c r="E365" s="3"/>
      <c r="F365" s="3"/>
      <c r="G365" s="3"/>
      <c r="H365" s="202"/>
      <c r="I365" s="202"/>
      <c r="J365" s="3"/>
      <c r="K365" s="3"/>
      <c r="L365" s="3"/>
      <c r="M365" s="3"/>
      <c r="N365" s="3"/>
      <c r="O365" s="3"/>
      <c r="P365" s="3"/>
      <c r="Q365" s="196"/>
      <c r="R365" s="3"/>
      <c r="S365" s="202"/>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row>
    <row r="366" spans="1:51" ht="15.75" customHeight="1">
      <c r="A366" s="3"/>
      <c r="B366" s="3"/>
      <c r="C366" s="3"/>
      <c r="D366" s="3"/>
      <c r="E366" s="3"/>
      <c r="F366" s="3"/>
      <c r="G366" s="3"/>
      <c r="H366" s="202"/>
      <c r="I366" s="202"/>
      <c r="J366" s="3"/>
      <c r="K366" s="3"/>
      <c r="L366" s="3"/>
      <c r="M366" s="3"/>
      <c r="N366" s="3"/>
      <c r="O366" s="3"/>
      <c r="P366" s="3"/>
      <c r="Q366" s="196"/>
      <c r="R366" s="3"/>
      <c r="S366" s="202"/>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row>
    <row r="367" spans="1:51" ht="15.75" customHeight="1">
      <c r="A367" s="3"/>
      <c r="B367" s="3"/>
      <c r="C367" s="3"/>
      <c r="D367" s="3"/>
      <c r="E367" s="3"/>
      <c r="F367" s="3"/>
      <c r="G367" s="3"/>
      <c r="H367" s="202"/>
      <c r="I367" s="202"/>
      <c r="J367" s="3"/>
      <c r="K367" s="3"/>
      <c r="L367" s="3"/>
      <c r="M367" s="3"/>
      <c r="N367" s="3"/>
      <c r="O367" s="3"/>
      <c r="P367" s="3"/>
      <c r="Q367" s="196"/>
      <c r="R367" s="3"/>
      <c r="S367" s="202"/>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row>
    <row r="368" spans="1:51" ht="15.75" customHeight="1">
      <c r="A368" s="3"/>
      <c r="B368" s="3"/>
      <c r="C368" s="3"/>
      <c r="D368" s="3"/>
      <c r="E368" s="3"/>
      <c r="F368" s="3"/>
      <c r="G368" s="3"/>
      <c r="H368" s="202"/>
      <c r="I368" s="202"/>
      <c r="J368" s="3"/>
      <c r="K368" s="3"/>
      <c r="L368" s="3"/>
      <c r="M368" s="3"/>
      <c r="N368" s="3"/>
      <c r="O368" s="3"/>
      <c r="P368" s="3"/>
      <c r="Q368" s="196"/>
      <c r="R368" s="3"/>
      <c r="S368" s="202"/>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row>
    <row r="369" spans="1:51" ht="15.75" customHeight="1">
      <c r="A369" s="3"/>
      <c r="B369" s="3"/>
      <c r="C369" s="3"/>
      <c r="D369" s="3"/>
      <c r="E369" s="3"/>
      <c r="F369" s="3"/>
      <c r="G369" s="3"/>
      <c r="H369" s="202"/>
      <c r="I369" s="202"/>
      <c r="J369" s="3"/>
      <c r="K369" s="3"/>
      <c r="L369" s="3"/>
      <c r="M369" s="3"/>
      <c r="N369" s="3"/>
      <c r="O369" s="3"/>
      <c r="P369" s="3"/>
      <c r="Q369" s="196"/>
      <c r="R369" s="3"/>
      <c r="S369" s="202"/>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row>
    <row r="370" spans="1:51" ht="15.75" customHeight="1">
      <c r="A370" s="3"/>
      <c r="B370" s="3"/>
      <c r="C370" s="3"/>
      <c r="D370" s="3"/>
      <c r="E370" s="3"/>
      <c r="F370" s="3"/>
      <c r="G370" s="3"/>
      <c r="H370" s="202"/>
      <c r="I370" s="202"/>
      <c r="J370" s="3"/>
      <c r="K370" s="3"/>
      <c r="L370" s="3"/>
      <c r="M370" s="3"/>
      <c r="N370" s="3"/>
      <c r="O370" s="3"/>
      <c r="P370" s="3"/>
      <c r="Q370" s="196"/>
      <c r="R370" s="3"/>
      <c r="S370" s="202"/>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row>
    <row r="371" spans="1:51" ht="15.75" customHeight="1">
      <c r="A371" s="3"/>
      <c r="B371" s="3"/>
      <c r="C371" s="3"/>
      <c r="D371" s="3"/>
      <c r="E371" s="3"/>
      <c r="F371" s="3"/>
      <c r="G371" s="3"/>
      <c r="H371" s="202"/>
      <c r="I371" s="202"/>
      <c r="J371" s="3"/>
      <c r="K371" s="3"/>
      <c r="L371" s="3"/>
      <c r="M371" s="3"/>
      <c r="N371" s="3"/>
      <c r="O371" s="3"/>
      <c r="P371" s="3"/>
      <c r="Q371" s="196"/>
      <c r="R371" s="3"/>
      <c r="S371" s="202"/>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row>
    <row r="372" spans="1:51" ht="15.75" customHeight="1">
      <c r="A372" s="3"/>
      <c r="B372" s="3"/>
      <c r="C372" s="3"/>
      <c r="D372" s="3"/>
      <c r="E372" s="3"/>
      <c r="F372" s="3"/>
      <c r="G372" s="3"/>
      <c r="H372" s="202"/>
      <c r="I372" s="202"/>
      <c r="J372" s="3"/>
      <c r="K372" s="3"/>
      <c r="L372" s="3"/>
      <c r="M372" s="3"/>
      <c r="N372" s="3"/>
      <c r="O372" s="3"/>
      <c r="P372" s="3"/>
      <c r="Q372" s="196"/>
      <c r="R372" s="3"/>
      <c r="S372" s="202"/>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row>
    <row r="373" spans="1:51" ht="15.75" customHeight="1">
      <c r="A373" s="3"/>
      <c r="B373" s="3"/>
      <c r="C373" s="3"/>
      <c r="D373" s="3"/>
      <c r="E373" s="3"/>
      <c r="F373" s="3"/>
      <c r="G373" s="3"/>
      <c r="H373" s="202"/>
      <c r="I373" s="202"/>
      <c r="J373" s="3"/>
      <c r="K373" s="3"/>
      <c r="L373" s="3"/>
      <c r="M373" s="3"/>
      <c r="N373" s="3"/>
      <c r="O373" s="3"/>
      <c r="P373" s="3"/>
      <c r="Q373" s="196"/>
      <c r="R373" s="3"/>
      <c r="S373" s="202"/>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row>
    <row r="374" spans="1:51" ht="15.75" customHeight="1">
      <c r="A374" s="3"/>
      <c r="B374" s="3"/>
      <c r="C374" s="3"/>
      <c r="D374" s="3"/>
      <c r="E374" s="3"/>
      <c r="F374" s="3"/>
      <c r="G374" s="3"/>
      <c r="H374" s="202"/>
      <c r="I374" s="202"/>
      <c r="J374" s="3"/>
      <c r="K374" s="3"/>
      <c r="L374" s="3"/>
      <c r="M374" s="3"/>
      <c r="N374" s="3"/>
      <c r="O374" s="3"/>
      <c r="P374" s="3"/>
      <c r="Q374" s="196"/>
      <c r="R374" s="3"/>
      <c r="S374" s="202"/>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row>
    <row r="375" spans="1:51" ht="15.75" customHeight="1">
      <c r="A375" s="3"/>
      <c r="B375" s="3"/>
      <c r="C375" s="3"/>
      <c r="D375" s="3"/>
      <c r="E375" s="3"/>
      <c r="F375" s="3"/>
      <c r="G375" s="3"/>
      <c r="H375" s="202"/>
      <c r="I375" s="202"/>
      <c r="J375" s="3"/>
      <c r="K375" s="3"/>
      <c r="L375" s="3"/>
      <c r="M375" s="3"/>
      <c r="N375" s="3"/>
      <c r="O375" s="3"/>
      <c r="P375" s="3"/>
      <c r="Q375" s="196"/>
      <c r="R375" s="3"/>
      <c r="S375" s="202"/>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row>
    <row r="376" spans="1:51" ht="15.75" customHeight="1">
      <c r="A376" s="3"/>
      <c r="B376" s="3"/>
      <c r="C376" s="3"/>
      <c r="D376" s="3"/>
      <c r="E376" s="3"/>
      <c r="F376" s="3"/>
      <c r="G376" s="3"/>
      <c r="H376" s="202"/>
      <c r="I376" s="202"/>
      <c r="J376" s="3"/>
      <c r="K376" s="3"/>
      <c r="L376" s="3"/>
      <c r="M376" s="3"/>
      <c r="N376" s="3"/>
      <c r="O376" s="3"/>
      <c r="P376" s="3"/>
      <c r="Q376" s="196"/>
      <c r="R376" s="3"/>
      <c r="S376" s="202"/>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row>
    <row r="377" spans="1:51" ht="15.75" customHeight="1">
      <c r="A377" s="3"/>
      <c r="B377" s="3"/>
      <c r="C377" s="3"/>
      <c r="D377" s="3"/>
      <c r="E377" s="3"/>
      <c r="F377" s="3"/>
      <c r="G377" s="3"/>
      <c r="H377" s="202"/>
      <c r="I377" s="202"/>
      <c r="J377" s="3"/>
      <c r="K377" s="3"/>
      <c r="L377" s="3"/>
      <c r="M377" s="3"/>
      <c r="N377" s="3"/>
      <c r="O377" s="3"/>
      <c r="P377" s="3"/>
      <c r="Q377" s="196"/>
      <c r="R377" s="3"/>
      <c r="S377" s="202"/>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row>
    <row r="378" spans="1:51" ht="15.75" customHeight="1">
      <c r="A378" s="3"/>
      <c r="B378" s="3"/>
      <c r="C378" s="3"/>
      <c r="D378" s="3"/>
      <c r="E378" s="3"/>
      <c r="F378" s="3"/>
      <c r="G378" s="3"/>
      <c r="H378" s="202"/>
      <c r="I378" s="202"/>
      <c r="J378" s="3"/>
      <c r="K378" s="3"/>
      <c r="L378" s="3"/>
      <c r="M378" s="3"/>
      <c r="N378" s="3"/>
      <c r="O378" s="3"/>
      <c r="P378" s="3"/>
      <c r="Q378" s="196"/>
      <c r="R378" s="3"/>
      <c r="S378" s="202"/>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row>
    <row r="379" spans="1:51" ht="15.75" customHeight="1">
      <c r="A379" s="3"/>
      <c r="B379" s="3"/>
      <c r="C379" s="3"/>
      <c r="D379" s="3"/>
      <c r="E379" s="3"/>
      <c r="F379" s="3"/>
      <c r="G379" s="3"/>
      <c r="H379" s="202"/>
      <c r="I379" s="202"/>
      <c r="J379" s="3"/>
      <c r="K379" s="3"/>
      <c r="L379" s="3"/>
      <c r="M379" s="3"/>
      <c r="N379" s="3"/>
      <c r="O379" s="3"/>
      <c r="P379" s="3"/>
      <c r="Q379" s="196"/>
      <c r="R379" s="3"/>
      <c r="S379" s="202"/>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row>
    <row r="380" spans="1:51" ht="15.75" customHeight="1">
      <c r="A380" s="3"/>
      <c r="B380" s="3"/>
      <c r="C380" s="3"/>
      <c r="D380" s="3"/>
      <c r="E380" s="3"/>
      <c r="F380" s="3"/>
      <c r="G380" s="3"/>
      <c r="H380" s="202"/>
      <c r="I380" s="202"/>
      <c r="J380" s="3"/>
      <c r="K380" s="3"/>
      <c r="L380" s="3"/>
      <c r="M380" s="3"/>
      <c r="N380" s="3"/>
      <c r="O380" s="3"/>
      <c r="P380" s="3"/>
      <c r="Q380" s="196"/>
      <c r="R380" s="3"/>
      <c r="S380" s="202"/>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row>
    <row r="381" spans="1:51" ht="15.75" customHeight="1">
      <c r="A381" s="3"/>
      <c r="B381" s="3"/>
      <c r="C381" s="3"/>
      <c r="D381" s="3"/>
      <c r="E381" s="3"/>
      <c r="F381" s="3"/>
      <c r="G381" s="3"/>
      <c r="H381" s="202"/>
      <c r="I381" s="202"/>
      <c r="J381" s="3"/>
      <c r="K381" s="3"/>
      <c r="L381" s="3"/>
      <c r="M381" s="3"/>
      <c r="N381" s="3"/>
      <c r="O381" s="3"/>
      <c r="P381" s="3"/>
      <c r="Q381" s="196"/>
      <c r="R381" s="3"/>
      <c r="S381" s="202"/>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row>
    <row r="382" spans="1:51" ht="15.75" customHeight="1">
      <c r="A382" s="3"/>
      <c r="B382" s="3"/>
      <c r="C382" s="3"/>
      <c r="D382" s="3"/>
      <c r="E382" s="3"/>
      <c r="F382" s="3"/>
      <c r="G382" s="3"/>
      <c r="H382" s="202"/>
      <c r="I382" s="202"/>
      <c r="J382" s="3"/>
      <c r="K382" s="3"/>
      <c r="L382" s="3"/>
      <c r="M382" s="3"/>
      <c r="N382" s="3"/>
      <c r="O382" s="3"/>
      <c r="P382" s="3"/>
      <c r="Q382" s="196"/>
      <c r="R382" s="3"/>
      <c r="S382" s="202"/>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row>
    <row r="383" spans="1:51" ht="15.75" customHeight="1">
      <c r="A383" s="3"/>
      <c r="B383" s="3"/>
      <c r="C383" s="3"/>
      <c r="D383" s="3"/>
      <c r="E383" s="3"/>
      <c r="F383" s="3"/>
      <c r="G383" s="3"/>
      <c r="H383" s="202"/>
      <c r="I383" s="202"/>
      <c r="J383" s="3"/>
      <c r="K383" s="3"/>
      <c r="L383" s="3"/>
      <c r="M383" s="3"/>
      <c r="N383" s="3"/>
      <c r="O383" s="3"/>
      <c r="P383" s="3"/>
      <c r="Q383" s="196"/>
      <c r="R383" s="3"/>
      <c r="S383" s="202"/>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row>
    <row r="384" spans="1:51" ht="15.75" customHeight="1">
      <c r="A384" s="3"/>
      <c r="B384" s="3"/>
      <c r="C384" s="3"/>
      <c r="D384" s="3"/>
      <c r="E384" s="3"/>
      <c r="F384" s="3"/>
      <c r="G384" s="3"/>
      <c r="H384" s="202"/>
      <c r="I384" s="202"/>
      <c r="J384" s="3"/>
      <c r="K384" s="3"/>
      <c r="L384" s="3"/>
      <c r="M384" s="3"/>
      <c r="N384" s="3"/>
      <c r="O384" s="3"/>
      <c r="P384" s="3"/>
      <c r="Q384" s="196"/>
      <c r="R384" s="3"/>
      <c r="S384" s="202"/>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row>
    <row r="385" spans="1:51" ht="15.75" customHeight="1">
      <c r="A385" s="3"/>
      <c r="B385" s="3"/>
      <c r="C385" s="3"/>
      <c r="D385" s="3"/>
      <c r="E385" s="3"/>
      <c r="F385" s="3"/>
      <c r="G385" s="3"/>
      <c r="H385" s="202"/>
      <c r="I385" s="202"/>
      <c r="J385" s="3"/>
      <c r="K385" s="3"/>
      <c r="L385" s="3"/>
      <c r="M385" s="3"/>
      <c r="N385" s="3"/>
      <c r="O385" s="3"/>
      <c r="P385" s="3"/>
      <c r="Q385" s="196"/>
      <c r="R385" s="3"/>
      <c r="S385" s="202"/>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row>
    <row r="386" spans="1:51" ht="15.75" customHeight="1">
      <c r="A386" s="3"/>
      <c r="B386" s="3"/>
      <c r="C386" s="3"/>
      <c r="D386" s="3"/>
      <c r="E386" s="3"/>
      <c r="F386" s="3"/>
      <c r="G386" s="3"/>
      <c r="H386" s="202"/>
      <c r="I386" s="202"/>
      <c r="J386" s="3"/>
      <c r="K386" s="3"/>
      <c r="L386" s="3"/>
      <c r="M386" s="3"/>
      <c r="N386" s="3"/>
      <c r="O386" s="3"/>
      <c r="P386" s="3"/>
      <c r="Q386" s="196"/>
      <c r="R386" s="3"/>
      <c r="S386" s="202"/>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row>
    <row r="387" spans="1:51" ht="15.75" customHeight="1">
      <c r="A387" s="3"/>
      <c r="B387" s="3"/>
      <c r="C387" s="3"/>
      <c r="D387" s="3"/>
      <c r="E387" s="3"/>
      <c r="F387" s="3"/>
      <c r="G387" s="3"/>
      <c r="H387" s="202"/>
      <c r="I387" s="202"/>
      <c r="J387" s="3"/>
      <c r="K387" s="3"/>
      <c r="L387" s="3"/>
      <c r="M387" s="3"/>
      <c r="N387" s="3"/>
      <c r="O387" s="3"/>
      <c r="P387" s="3"/>
      <c r="Q387" s="196"/>
      <c r="R387" s="3"/>
      <c r="S387" s="202"/>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row>
    <row r="388" spans="1:51" ht="15.75" customHeight="1">
      <c r="A388" s="3"/>
      <c r="B388" s="3"/>
      <c r="C388" s="3"/>
      <c r="D388" s="3"/>
      <c r="E388" s="3"/>
      <c r="F388" s="3"/>
      <c r="G388" s="3"/>
      <c r="H388" s="202"/>
      <c r="I388" s="202"/>
      <c r="J388" s="3"/>
      <c r="K388" s="3"/>
      <c r="L388" s="3"/>
      <c r="M388" s="3"/>
      <c r="N388" s="3"/>
      <c r="O388" s="3"/>
      <c r="P388" s="3"/>
      <c r="Q388" s="196"/>
      <c r="R388" s="3"/>
      <c r="S388" s="202"/>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row>
    <row r="389" spans="1:51" ht="15.75" customHeight="1">
      <c r="A389" s="3"/>
      <c r="B389" s="3"/>
      <c r="C389" s="3"/>
      <c r="D389" s="3"/>
      <c r="E389" s="3"/>
      <c r="F389" s="3"/>
      <c r="G389" s="3"/>
      <c r="H389" s="202"/>
      <c r="I389" s="202"/>
      <c r="J389" s="3"/>
      <c r="K389" s="3"/>
      <c r="L389" s="3"/>
      <c r="M389" s="3"/>
      <c r="N389" s="3"/>
      <c r="O389" s="3"/>
      <c r="P389" s="3"/>
      <c r="Q389" s="196"/>
      <c r="R389" s="3"/>
      <c r="S389" s="202"/>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row>
    <row r="390" spans="1:51" ht="15.75" customHeight="1">
      <c r="A390" s="3"/>
      <c r="B390" s="3"/>
      <c r="C390" s="3"/>
      <c r="D390" s="3"/>
      <c r="E390" s="3"/>
      <c r="F390" s="3"/>
      <c r="G390" s="3"/>
      <c r="H390" s="202"/>
      <c r="I390" s="202"/>
      <c r="J390" s="3"/>
      <c r="K390" s="3"/>
      <c r="L390" s="3"/>
      <c r="M390" s="3"/>
      <c r="N390" s="3"/>
      <c r="O390" s="3"/>
      <c r="P390" s="3"/>
      <c r="Q390" s="196"/>
      <c r="R390" s="3"/>
      <c r="S390" s="202"/>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row>
    <row r="391" spans="1:51" ht="15.75" customHeight="1">
      <c r="A391" s="3"/>
      <c r="B391" s="3"/>
      <c r="C391" s="3"/>
      <c r="D391" s="3"/>
      <c r="E391" s="3"/>
      <c r="F391" s="3"/>
      <c r="G391" s="3"/>
      <c r="H391" s="202"/>
      <c r="I391" s="202"/>
      <c r="J391" s="3"/>
      <c r="K391" s="3"/>
      <c r="L391" s="3"/>
      <c r="M391" s="3"/>
      <c r="N391" s="3"/>
      <c r="O391" s="3"/>
      <c r="P391" s="3"/>
      <c r="Q391" s="196"/>
      <c r="R391" s="3"/>
      <c r="S391" s="202"/>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row>
    <row r="392" spans="1:51" ht="15.75" customHeight="1">
      <c r="A392" s="3"/>
      <c r="B392" s="3"/>
      <c r="C392" s="3"/>
      <c r="D392" s="3"/>
      <c r="E392" s="3"/>
      <c r="F392" s="3"/>
      <c r="G392" s="3"/>
      <c r="H392" s="202"/>
      <c r="I392" s="202"/>
      <c r="J392" s="3"/>
      <c r="K392" s="3"/>
      <c r="L392" s="3"/>
      <c r="M392" s="3"/>
      <c r="N392" s="3"/>
      <c r="O392" s="3"/>
      <c r="P392" s="3"/>
      <c r="Q392" s="196"/>
      <c r="R392" s="3"/>
      <c r="S392" s="202"/>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row>
    <row r="393" spans="1:51" ht="15.75" customHeight="1">
      <c r="A393" s="3"/>
      <c r="B393" s="3"/>
      <c r="C393" s="3"/>
      <c r="D393" s="3"/>
      <c r="E393" s="3"/>
      <c r="F393" s="3"/>
      <c r="G393" s="3"/>
      <c r="H393" s="202"/>
      <c r="I393" s="202"/>
      <c r="J393" s="3"/>
      <c r="K393" s="3"/>
      <c r="L393" s="3"/>
      <c r="M393" s="3"/>
      <c r="N393" s="3"/>
      <c r="O393" s="3"/>
      <c r="P393" s="3"/>
      <c r="Q393" s="196"/>
      <c r="R393" s="3"/>
      <c r="S393" s="202"/>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row>
    <row r="394" spans="1:51" ht="15.75" customHeight="1">
      <c r="A394" s="3"/>
      <c r="B394" s="3"/>
      <c r="C394" s="3"/>
      <c r="D394" s="3"/>
      <c r="E394" s="3"/>
      <c r="F394" s="3"/>
      <c r="G394" s="3"/>
      <c r="H394" s="202"/>
      <c r="I394" s="202"/>
      <c r="J394" s="3"/>
      <c r="K394" s="3"/>
      <c r="L394" s="3"/>
      <c r="M394" s="3"/>
      <c r="N394" s="3"/>
      <c r="O394" s="3"/>
      <c r="P394" s="3"/>
      <c r="Q394" s="196"/>
      <c r="R394" s="3"/>
      <c r="S394" s="202"/>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row>
    <row r="395" spans="1:51" ht="15.75" customHeight="1">
      <c r="A395" s="3"/>
      <c r="B395" s="3"/>
      <c r="C395" s="3"/>
      <c r="D395" s="3"/>
      <c r="E395" s="3"/>
      <c r="F395" s="3"/>
      <c r="G395" s="3"/>
      <c r="H395" s="202"/>
      <c r="I395" s="202"/>
      <c r="J395" s="3"/>
      <c r="K395" s="3"/>
      <c r="L395" s="3"/>
      <c r="M395" s="3"/>
      <c r="N395" s="3"/>
      <c r="O395" s="3"/>
      <c r="P395" s="3"/>
      <c r="Q395" s="196"/>
      <c r="R395" s="3"/>
      <c r="S395" s="202"/>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row>
    <row r="396" spans="1:51" ht="15.75" customHeight="1">
      <c r="A396" s="3"/>
      <c r="B396" s="3"/>
      <c r="C396" s="3"/>
      <c r="D396" s="3"/>
      <c r="E396" s="3"/>
      <c r="F396" s="3"/>
      <c r="G396" s="3"/>
      <c r="H396" s="202"/>
      <c r="I396" s="202"/>
      <c r="J396" s="3"/>
      <c r="K396" s="3"/>
      <c r="L396" s="3"/>
      <c r="M396" s="3"/>
      <c r="N396" s="3"/>
      <c r="O396" s="3"/>
      <c r="P396" s="3"/>
      <c r="Q396" s="196"/>
      <c r="R396" s="3"/>
      <c r="S396" s="202"/>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row>
    <row r="397" spans="1:51" ht="15.75" customHeight="1">
      <c r="A397" s="3"/>
      <c r="B397" s="3"/>
      <c r="C397" s="3"/>
      <c r="D397" s="3"/>
      <c r="E397" s="3"/>
      <c r="F397" s="3"/>
      <c r="G397" s="3"/>
      <c r="H397" s="202"/>
      <c r="I397" s="202"/>
      <c r="J397" s="3"/>
      <c r="K397" s="3"/>
      <c r="L397" s="3"/>
      <c r="M397" s="3"/>
      <c r="N397" s="3"/>
      <c r="O397" s="3"/>
      <c r="P397" s="3"/>
      <c r="Q397" s="196"/>
      <c r="R397" s="3"/>
      <c r="S397" s="202"/>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row>
    <row r="398" spans="1:51" ht="15.75" customHeight="1">
      <c r="A398" s="3"/>
      <c r="B398" s="3"/>
      <c r="C398" s="3"/>
      <c r="D398" s="3"/>
      <c r="E398" s="3"/>
      <c r="F398" s="3"/>
      <c r="G398" s="3"/>
      <c r="H398" s="202"/>
      <c r="I398" s="202"/>
      <c r="J398" s="3"/>
      <c r="K398" s="3"/>
      <c r="L398" s="3"/>
      <c r="M398" s="3"/>
      <c r="N398" s="3"/>
      <c r="O398" s="3"/>
      <c r="P398" s="3"/>
      <c r="Q398" s="196"/>
      <c r="R398" s="3"/>
      <c r="S398" s="202"/>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row>
    <row r="399" spans="1:51" ht="15.75" customHeight="1">
      <c r="A399" s="3"/>
      <c r="B399" s="3"/>
      <c r="C399" s="3"/>
      <c r="D399" s="3"/>
      <c r="E399" s="3"/>
      <c r="F399" s="3"/>
      <c r="G399" s="3"/>
      <c r="H399" s="202"/>
      <c r="I399" s="202"/>
      <c r="J399" s="3"/>
      <c r="K399" s="3"/>
      <c r="L399" s="3"/>
      <c r="M399" s="3"/>
      <c r="N399" s="3"/>
      <c r="O399" s="3"/>
      <c r="P399" s="3"/>
      <c r="Q399" s="196"/>
      <c r="R399" s="3"/>
      <c r="S399" s="202"/>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row>
    <row r="400" spans="1:51" ht="15.75" customHeight="1">
      <c r="A400" s="3"/>
      <c r="B400" s="3"/>
      <c r="C400" s="3"/>
      <c r="D400" s="3"/>
      <c r="E400" s="3"/>
      <c r="F400" s="3"/>
      <c r="G400" s="3"/>
      <c r="H400" s="202"/>
      <c r="I400" s="202"/>
      <c r="J400" s="3"/>
      <c r="K400" s="3"/>
      <c r="L400" s="3"/>
      <c r="M400" s="3"/>
      <c r="N400" s="3"/>
      <c r="O400" s="3"/>
      <c r="P400" s="3"/>
      <c r="Q400" s="196"/>
      <c r="R400" s="3"/>
      <c r="S400" s="202"/>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row>
    <row r="401" spans="1:51" ht="15.75" customHeight="1">
      <c r="A401" s="3"/>
      <c r="B401" s="3"/>
      <c r="C401" s="3"/>
      <c r="D401" s="3"/>
      <c r="E401" s="3"/>
      <c r="F401" s="3"/>
      <c r="G401" s="3"/>
      <c r="H401" s="202"/>
      <c r="I401" s="202"/>
      <c r="J401" s="3"/>
      <c r="K401" s="3"/>
      <c r="L401" s="3"/>
      <c r="M401" s="3"/>
      <c r="N401" s="3"/>
      <c r="O401" s="3"/>
      <c r="P401" s="3"/>
      <c r="Q401" s="196"/>
      <c r="R401" s="3"/>
      <c r="S401" s="202"/>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row>
    <row r="402" spans="1:51" ht="15.75" customHeight="1">
      <c r="A402" s="3"/>
      <c r="B402" s="3"/>
      <c r="C402" s="3"/>
      <c r="D402" s="3"/>
      <c r="E402" s="3"/>
      <c r="F402" s="3"/>
      <c r="G402" s="3"/>
      <c r="H402" s="202"/>
      <c r="I402" s="202"/>
      <c r="J402" s="3"/>
      <c r="K402" s="3"/>
      <c r="L402" s="3"/>
      <c r="M402" s="3"/>
      <c r="N402" s="3"/>
      <c r="O402" s="3"/>
      <c r="P402" s="3"/>
      <c r="Q402" s="196"/>
      <c r="R402" s="3"/>
      <c r="S402" s="202"/>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row>
    <row r="403" spans="1:51" ht="15.75" customHeight="1">
      <c r="A403" s="3"/>
      <c r="B403" s="3"/>
      <c r="C403" s="3"/>
      <c r="D403" s="3"/>
      <c r="E403" s="3"/>
      <c r="F403" s="3"/>
      <c r="G403" s="3"/>
      <c r="H403" s="202"/>
      <c r="I403" s="202"/>
      <c r="J403" s="3"/>
      <c r="K403" s="3"/>
      <c r="L403" s="3"/>
      <c r="M403" s="3"/>
      <c r="N403" s="3"/>
      <c r="O403" s="3"/>
      <c r="P403" s="3"/>
      <c r="Q403" s="196"/>
      <c r="R403" s="3"/>
      <c r="S403" s="202"/>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row>
    <row r="404" spans="1:51" ht="15.75" customHeight="1">
      <c r="A404" s="3"/>
      <c r="B404" s="3"/>
      <c r="C404" s="3"/>
      <c r="D404" s="3"/>
      <c r="E404" s="3"/>
      <c r="F404" s="3"/>
      <c r="G404" s="3"/>
      <c r="H404" s="202"/>
      <c r="I404" s="202"/>
      <c r="J404" s="3"/>
      <c r="K404" s="3"/>
      <c r="L404" s="3"/>
      <c r="M404" s="3"/>
      <c r="N404" s="3"/>
      <c r="O404" s="3"/>
      <c r="P404" s="3"/>
      <c r="Q404" s="196"/>
      <c r="R404" s="3"/>
      <c r="S404" s="202"/>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row>
    <row r="405" spans="1:51" ht="15.75" customHeight="1">
      <c r="A405" s="3"/>
      <c r="B405" s="3"/>
      <c r="C405" s="3"/>
      <c r="D405" s="3"/>
      <c r="E405" s="3"/>
      <c r="F405" s="3"/>
      <c r="G405" s="3"/>
      <c r="H405" s="202"/>
      <c r="I405" s="202"/>
      <c r="J405" s="3"/>
      <c r="K405" s="3"/>
      <c r="L405" s="3"/>
      <c r="M405" s="3"/>
      <c r="N405" s="3"/>
      <c r="O405" s="3"/>
      <c r="P405" s="3"/>
      <c r="Q405" s="196"/>
      <c r="R405" s="3"/>
      <c r="S405" s="202"/>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row>
    <row r="406" spans="1:51" ht="15.75" customHeight="1">
      <c r="A406" s="3"/>
      <c r="B406" s="3"/>
      <c r="C406" s="3"/>
      <c r="D406" s="3"/>
      <c r="E406" s="3"/>
      <c r="F406" s="3"/>
      <c r="G406" s="3"/>
      <c r="H406" s="202"/>
      <c r="I406" s="202"/>
      <c r="J406" s="3"/>
      <c r="K406" s="3"/>
      <c r="L406" s="3"/>
      <c r="M406" s="3"/>
      <c r="N406" s="3"/>
      <c r="O406" s="3"/>
      <c r="P406" s="3"/>
      <c r="Q406" s="196"/>
      <c r="R406" s="3"/>
      <c r="S406" s="202"/>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row>
    <row r="407" spans="1:51" ht="15.75" customHeight="1">
      <c r="A407" s="3"/>
      <c r="B407" s="3"/>
      <c r="C407" s="3"/>
      <c r="D407" s="3"/>
      <c r="E407" s="3"/>
      <c r="F407" s="3"/>
      <c r="G407" s="3"/>
      <c r="H407" s="202"/>
      <c r="I407" s="202"/>
      <c r="J407" s="3"/>
      <c r="K407" s="3"/>
      <c r="L407" s="3"/>
      <c r="M407" s="3"/>
      <c r="N407" s="3"/>
      <c r="O407" s="3"/>
      <c r="P407" s="3"/>
      <c r="Q407" s="196"/>
      <c r="R407" s="3"/>
      <c r="S407" s="202"/>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row>
    <row r="408" spans="1:51" ht="15.75" customHeight="1">
      <c r="A408" s="3"/>
      <c r="B408" s="3"/>
      <c r="C408" s="3"/>
      <c r="D408" s="3"/>
      <c r="E408" s="3"/>
      <c r="F408" s="3"/>
      <c r="G408" s="3"/>
      <c r="H408" s="202"/>
      <c r="I408" s="202"/>
      <c r="J408" s="3"/>
      <c r="K408" s="3"/>
      <c r="L408" s="3"/>
      <c r="M408" s="3"/>
      <c r="N408" s="3"/>
      <c r="O408" s="3"/>
      <c r="P408" s="3"/>
      <c r="Q408" s="196"/>
      <c r="R408" s="3"/>
      <c r="S408" s="202"/>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row>
    <row r="409" spans="1:51" ht="15.75" customHeight="1">
      <c r="A409" s="3"/>
      <c r="B409" s="3"/>
      <c r="C409" s="3"/>
      <c r="D409" s="3"/>
      <c r="E409" s="3"/>
      <c r="F409" s="3"/>
      <c r="G409" s="3"/>
      <c r="H409" s="202"/>
      <c r="I409" s="202"/>
      <c r="J409" s="3"/>
      <c r="K409" s="3"/>
      <c r="L409" s="3"/>
      <c r="M409" s="3"/>
      <c r="N409" s="3"/>
      <c r="O409" s="3"/>
      <c r="P409" s="3"/>
      <c r="Q409" s="196"/>
      <c r="R409" s="3"/>
      <c r="S409" s="202"/>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row>
    <row r="410" spans="1:51" ht="15.75" customHeight="1">
      <c r="A410" s="3"/>
      <c r="B410" s="3"/>
      <c r="C410" s="3"/>
      <c r="D410" s="3"/>
      <c r="E410" s="3"/>
      <c r="F410" s="3"/>
      <c r="G410" s="3"/>
      <c r="H410" s="202"/>
      <c r="I410" s="202"/>
      <c r="J410" s="3"/>
      <c r="K410" s="3"/>
      <c r="L410" s="3"/>
      <c r="M410" s="3"/>
      <c r="N410" s="3"/>
      <c r="O410" s="3"/>
      <c r="P410" s="3"/>
      <c r="Q410" s="196"/>
      <c r="R410" s="3"/>
      <c r="S410" s="202"/>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row>
    <row r="411" spans="1:51" ht="15.75" customHeight="1">
      <c r="A411" s="3"/>
      <c r="B411" s="3"/>
      <c r="C411" s="3"/>
      <c r="D411" s="3"/>
      <c r="E411" s="3"/>
      <c r="F411" s="3"/>
      <c r="G411" s="3"/>
      <c r="H411" s="202"/>
      <c r="I411" s="202"/>
      <c r="J411" s="3"/>
      <c r="K411" s="3"/>
      <c r="L411" s="3"/>
      <c r="M411" s="3"/>
      <c r="N411" s="3"/>
      <c r="O411" s="3"/>
      <c r="P411" s="3"/>
      <c r="Q411" s="196"/>
      <c r="R411" s="3"/>
      <c r="S411" s="202"/>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row>
    <row r="412" spans="1:51" ht="15.75" customHeight="1">
      <c r="A412" s="3"/>
      <c r="B412" s="3"/>
      <c r="C412" s="3"/>
      <c r="D412" s="3"/>
      <c r="E412" s="3"/>
      <c r="F412" s="3"/>
      <c r="G412" s="3"/>
      <c r="H412" s="202"/>
      <c r="I412" s="202"/>
      <c r="J412" s="3"/>
      <c r="K412" s="3"/>
      <c r="L412" s="3"/>
      <c r="M412" s="3"/>
      <c r="N412" s="3"/>
      <c r="O412" s="3"/>
      <c r="P412" s="3"/>
      <c r="Q412" s="196"/>
      <c r="R412" s="3"/>
      <c r="S412" s="202"/>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row>
    <row r="413" spans="1:51" ht="15.75" customHeight="1">
      <c r="A413" s="3"/>
      <c r="B413" s="3"/>
      <c r="C413" s="3"/>
      <c r="D413" s="3"/>
      <c r="E413" s="3"/>
      <c r="F413" s="3"/>
      <c r="G413" s="3"/>
      <c r="H413" s="202"/>
      <c r="I413" s="202"/>
      <c r="J413" s="3"/>
      <c r="K413" s="3"/>
      <c r="L413" s="3"/>
      <c r="M413" s="3"/>
      <c r="N413" s="3"/>
      <c r="O413" s="3"/>
      <c r="P413" s="3"/>
      <c r="Q413" s="196"/>
      <c r="R413" s="3"/>
      <c r="S413" s="202"/>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row>
    <row r="414" spans="1:51" ht="15.75" customHeight="1">
      <c r="A414" s="3"/>
      <c r="B414" s="3"/>
      <c r="C414" s="3"/>
      <c r="D414" s="3"/>
      <c r="E414" s="3"/>
      <c r="F414" s="3"/>
      <c r="G414" s="3"/>
      <c r="H414" s="202"/>
      <c r="I414" s="202"/>
      <c r="J414" s="3"/>
      <c r="K414" s="3"/>
      <c r="L414" s="3"/>
      <c r="M414" s="3"/>
      <c r="N414" s="3"/>
      <c r="O414" s="3"/>
      <c r="P414" s="3"/>
      <c r="Q414" s="196"/>
      <c r="R414" s="3"/>
      <c r="S414" s="202"/>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row>
    <row r="415" spans="1:51" ht="15.75" customHeight="1">
      <c r="A415" s="3"/>
      <c r="B415" s="3"/>
      <c r="C415" s="3"/>
      <c r="D415" s="3"/>
      <c r="E415" s="3"/>
      <c r="F415" s="3"/>
      <c r="G415" s="3"/>
      <c r="H415" s="202"/>
      <c r="I415" s="202"/>
      <c r="J415" s="3"/>
      <c r="K415" s="3"/>
      <c r="L415" s="3"/>
      <c r="M415" s="3"/>
      <c r="N415" s="3"/>
      <c r="O415" s="3"/>
      <c r="P415" s="3"/>
      <c r="Q415" s="196"/>
      <c r="R415" s="3"/>
      <c r="S415" s="202"/>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row>
    <row r="416" spans="1:51" ht="15.75" customHeight="1">
      <c r="A416" s="3"/>
      <c r="B416" s="3"/>
      <c r="C416" s="3"/>
      <c r="D416" s="3"/>
      <c r="E416" s="3"/>
      <c r="F416" s="3"/>
      <c r="G416" s="3"/>
      <c r="H416" s="202"/>
      <c r="I416" s="202"/>
      <c r="J416" s="3"/>
      <c r="K416" s="3"/>
      <c r="L416" s="3"/>
      <c r="M416" s="3"/>
      <c r="N416" s="3"/>
      <c r="O416" s="3"/>
      <c r="P416" s="3"/>
      <c r="Q416" s="196"/>
      <c r="R416" s="3"/>
      <c r="S416" s="202"/>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row>
    <row r="417" spans="1:51" ht="15.75" customHeight="1">
      <c r="A417" s="3"/>
      <c r="B417" s="3"/>
      <c r="C417" s="3"/>
      <c r="D417" s="3"/>
      <c r="E417" s="3"/>
      <c r="F417" s="3"/>
      <c r="G417" s="3"/>
      <c r="H417" s="202"/>
      <c r="I417" s="202"/>
      <c r="J417" s="3"/>
      <c r="K417" s="3"/>
      <c r="L417" s="3"/>
      <c r="M417" s="3"/>
      <c r="N417" s="3"/>
      <c r="O417" s="3"/>
      <c r="P417" s="3"/>
      <c r="Q417" s="196"/>
      <c r="R417" s="3"/>
      <c r="S417" s="202"/>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row>
    <row r="418" spans="1:51" ht="15.75" customHeight="1">
      <c r="A418" s="3"/>
      <c r="B418" s="3"/>
      <c r="C418" s="3"/>
      <c r="D418" s="3"/>
      <c r="E418" s="3"/>
      <c r="F418" s="3"/>
      <c r="G418" s="3"/>
      <c r="H418" s="202"/>
      <c r="I418" s="202"/>
      <c r="J418" s="3"/>
      <c r="K418" s="3"/>
      <c r="L418" s="3"/>
      <c r="M418" s="3"/>
      <c r="N418" s="3"/>
      <c r="O418" s="3"/>
      <c r="P418" s="3"/>
      <c r="Q418" s="196"/>
      <c r="R418" s="3"/>
      <c r="S418" s="202"/>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row>
    <row r="419" spans="1:51" ht="15.75" customHeight="1">
      <c r="A419" s="3"/>
      <c r="B419" s="3"/>
      <c r="C419" s="3"/>
      <c r="D419" s="3"/>
      <c r="E419" s="3"/>
      <c r="F419" s="3"/>
      <c r="G419" s="3"/>
      <c r="H419" s="202"/>
      <c r="I419" s="202"/>
      <c r="J419" s="3"/>
      <c r="K419" s="3"/>
      <c r="L419" s="3"/>
      <c r="M419" s="3"/>
      <c r="N419" s="3"/>
      <c r="O419" s="3"/>
      <c r="P419" s="3"/>
      <c r="Q419" s="196"/>
      <c r="R419" s="3"/>
      <c r="S419" s="202"/>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row>
    <row r="420" spans="1:51" ht="15.75" customHeight="1">
      <c r="A420" s="3"/>
      <c r="B420" s="3"/>
      <c r="C420" s="3"/>
      <c r="D420" s="3"/>
      <c r="E420" s="3"/>
      <c r="F420" s="3"/>
      <c r="G420" s="3"/>
      <c r="H420" s="202"/>
      <c r="I420" s="202"/>
      <c r="J420" s="3"/>
      <c r="K420" s="3"/>
      <c r="L420" s="3"/>
      <c r="M420" s="3"/>
      <c r="N420" s="3"/>
      <c r="O420" s="3"/>
      <c r="P420" s="3"/>
      <c r="Q420" s="196"/>
      <c r="R420" s="3"/>
      <c r="S420" s="202"/>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row>
    <row r="421" spans="1:51" ht="15.75" customHeight="1">
      <c r="A421" s="3"/>
      <c r="B421" s="3"/>
      <c r="C421" s="3"/>
      <c r="D421" s="3"/>
      <c r="E421" s="3"/>
      <c r="F421" s="3"/>
      <c r="G421" s="3"/>
      <c r="H421" s="202"/>
      <c r="I421" s="202"/>
      <c r="J421" s="3"/>
      <c r="K421" s="3"/>
      <c r="L421" s="3"/>
      <c r="M421" s="3"/>
      <c r="N421" s="3"/>
      <c r="O421" s="3"/>
      <c r="P421" s="3"/>
      <c r="Q421" s="196"/>
      <c r="R421" s="3"/>
      <c r="S421" s="202"/>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row>
    <row r="422" spans="1:51" ht="15.75" customHeight="1">
      <c r="A422" s="3"/>
      <c r="B422" s="3"/>
      <c r="C422" s="3"/>
      <c r="D422" s="3"/>
      <c r="E422" s="3"/>
      <c r="F422" s="3"/>
      <c r="G422" s="3"/>
      <c r="H422" s="202"/>
      <c r="I422" s="202"/>
      <c r="J422" s="3"/>
      <c r="K422" s="3"/>
      <c r="L422" s="3"/>
      <c r="M422" s="3"/>
      <c r="N422" s="3"/>
      <c r="O422" s="3"/>
      <c r="P422" s="3"/>
      <c r="Q422" s="196"/>
      <c r="R422" s="3"/>
      <c r="S422" s="202"/>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row>
    <row r="423" spans="1:51" ht="15.75" customHeight="1">
      <c r="A423" s="3"/>
      <c r="B423" s="3"/>
      <c r="C423" s="3"/>
      <c r="D423" s="3"/>
      <c r="E423" s="3"/>
      <c r="F423" s="3"/>
      <c r="G423" s="3"/>
      <c r="H423" s="202"/>
      <c r="I423" s="202"/>
      <c r="J423" s="3"/>
      <c r="K423" s="3"/>
      <c r="L423" s="3"/>
      <c r="M423" s="3"/>
      <c r="N423" s="3"/>
      <c r="O423" s="3"/>
      <c r="P423" s="3"/>
      <c r="Q423" s="196"/>
      <c r="R423" s="3"/>
      <c r="S423" s="202"/>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row>
    <row r="424" spans="1:51" ht="15.75" customHeight="1">
      <c r="A424" s="3"/>
      <c r="B424" s="3"/>
      <c r="C424" s="3"/>
      <c r="D424" s="3"/>
      <c r="E424" s="3"/>
      <c r="F424" s="3"/>
      <c r="G424" s="3"/>
      <c r="H424" s="202"/>
      <c r="I424" s="202"/>
      <c r="J424" s="3"/>
      <c r="K424" s="3"/>
      <c r="L424" s="3"/>
      <c r="M424" s="3"/>
      <c r="N424" s="3"/>
      <c r="O424" s="3"/>
      <c r="P424" s="3"/>
      <c r="Q424" s="196"/>
      <c r="R424" s="3"/>
      <c r="S424" s="202"/>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row>
    <row r="425" spans="1:51" ht="15.75" customHeight="1">
      <c r="A425" s="3"/>
      <c r="B425" s="3"/>
      <c r="C425" s="3"/>
      <c r="D425" s="3"/>
      <c r="E425" s="3"/>
      <c r="F425" s="3"/>
      <c r="G425" s="3"/>
      <c r="H425" s="202"/>
      <c r="I425" s="202"/>
      <c r="J425" s="3"/>
      <c r="K425" s="3"/>
      <c r="L425" s="3"/>
      <c r="M425" s="3"/>
      <c r="N425" s="3"/>
      <c r="O425" s="3"/>
      <c r="P425" s="3"/>
      <c r="Q425" s="196"/>
      <c r="R425" s="3"/>
      <c r="S425" s="202"/>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row>
    <row r="426" spans="1:51" ht="15.75" customHeight="1">
      <c r="A426" s="3"/>
      <c r="B426" s="3"/>
      <c r="C426" s="3"/>
      <c r="D426" s="3"/>
      <c r="E426" s="3"/>
      <c r="F426" s="3"/>
      <c r="G426" s="3"/>
      <c r="H426" s="202"/>
      <c r="I426" s="202"/>
      <c r="J426" s="3"/>
      <c r="K426" s="3"/>
      <c r="L426" s="3"/>
      <c r="M426" s="3"/>
      <c r="N426" s="3"/>
      <c r="O426" s="3"/>
      <c r="P426" s="3"/>
      <c r="Q426" s="196"/>
      <c r="R426" s="3"/>
      <c r="S426" s="202"/>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row>
    <row r="427" spans="1:51" ht="15.75" customHeight="1">
      <c r="A427" s="3"/>
      <c r="B427" s="3"/>
      <c r="C427" s="3"/>
      <c r="D427" s="3"/>
      <c r="E427" s="3"/>
      <c r="F427" s="3"/>
      <c r="G427" s="3"/>
      <c r="H427" s="202"/>
      <c r="I427" s="202"/>
      <c r="J427" s="3"/>
      <c r="K427" s="3"/>
      <c r="L427" s="3"/>
      <c r="M427" s="3"/>
      <c r="N427" s="3"/>
      <c r="O427" s="3"/>
      <c r="P427" s="3"/>
      <c r="Q427" s="196"/>
      <c r="R427" s="3"/>
      <c r="S427" s="202"/>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row>
    <row r="428" spans="1:51" ht="15.75" customHeight="1">
      <c r="A428" s="3"/>
      <c r="B428" s="3"/>
      <c r="C428" s="3"/>
      <c r="D428" s="3"/>
      <c r="E428" s="3"/>
      <c r="F428" s="3"/>
      <c r="G428" s="3"/>
      <c r="H428" s="202"/>
      <c r="I428" s="202"/>
      <c r="J428" s="3"/>
      <c r="K428" s="3"/>
      <c r="L428" s="3"/>
      <c r="M428" s="3"/>
      <c r="N428" s="3"/>
      <c r="O428" s="3"/>
      <c r="P428" s="3"/>
      <c r="Q428" s="196"/>
      <c r="R428" s="3"/>
      <c r="S428" s="202"/>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row>
    <row r="429" spans="1:51" ht="15.75" customHeight="1">
      <c r="A429" s="3"/>
      <c r="B429" s="3"/>
      <c r="C429" s="3"/>
      <c r="D429" s="3"/>
      <c r="E429" s="3"/>
      <c r="F429" s="3"/>
      <c r="G429" s="3"/>
      <c r="H429" s="202"/>
      <c r="I429" s="202"/>
      <c r="J429" s="3"/>
      <c r="K429" s="3"/>
      <c r="L429" s="3"/>
      <c r="M429" s="3"/>
      <c r="N429" s="3"/>
      <c r="O429" s="3"/>
      <c r="P429" s="3"/>
      <c r="Q429" s="196"/>
      <c r="R429" s="3"/>
      <c r="S429" s="202"/>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row>
    <row r="430" spans="1:51" ht="15.75" customHeight="1">
      <c r="A430" s="3"/>
      <c r="B430" s="3"/>
      <c r="C430" s="3"/>
      <c r="D430" s="3"/>
      <c r="E430" s="3"/>
      <c r="F430" s="3"/>
      <c r="G430" s="3"/>
      <c r="H430" s="202"/>
      <c r="I430" s="202"/>
      <c r="J430" s="3"/>
      <c r="K430" s="3"/>
      <c r="L430" s="3"/>
      <c r="M430" s="3"/>
      <c r="N430" s="3"/>
      <c r="O430" s="3"/>
      <c r="P430" s="3"/>
      <c r="Q430" s="196"/>
      <c r="R430" s="3"/>
      <c r="S430" s="202"/>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row>
    <row r="431" spans="1:51" ht="15.75" customHeight="1">
      <c r="A431" s="3"/>
      <c r="B431" s="3"/>
      <c r="C431" s="3"/>
      <c r="D431" s="3"/>
      <c r="E431" s="3"/>
      <c r="F431" s="3"/>
      <c r="G431" s="3"/>
      <c r="H431" s="202"/>
      <c r="I431" s="202"/>
      <c r="J431" s="3"/>
      <c r="K431" s="3"/>
      <c r="L431" s="3"/>
      <c r="M431" s="3"/>
      <c r="N431" s="3"/>
      <c r="O431" s="3"/>
      <c r="P431" s="3"/>
      <c r="Q431" s="196"/>
      <c r="R431" s="3"/>
      <c r="S431" s="202"/>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row>
    <row r="432" spans="1:51" ht="15.75" customHeight="1">
      <c r="A432" s="3"/>
      <c r="B432" s="3"/>
      <c r="C432" s="3"/>
      <c r="D432" s="3"/>
      <c r="E432" s="3"/>
      <c r="F432" s="3"/>
      <c r="G432" s="3"/>
      <c r="H432" s="202"/>
      <c r="I432" s="202"/>
      <c r="J432" s="3"/>
      <c r="K432" s="3"/>
      <c r="L432" s="3"/>
      <c r="M432" s="3"/>
      <c r="N432" s="3"/>
      <c r="O432" s="3"/>
      <c r="P432" s="3"/>
      <c r="Q432" s="196"/>
      <c r="R432" s="3"/>
      <c r="S432" s="202"/>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row>
    <row r="433" spans="1:51" ht="15.75" customHeight="1">
      <c r="A433" s="3"/>
      <c r="B433" s="3"/>
      <c r="C433" s="3"/>
      <c r="D433" s="3"/>
      <c r="E433" s="3"/>
      <c r="F433" s="3"/>
      <c r="G433" s="3"/>
      <c r="H433" s="202"/>
      <c r="I433" s="202"/>
      <c r="J433" s="3"/>
      <c r="K433" s="3"/>
      <c r="L433" s="3"/>
      <c r="M433" s="3"/>
      <c r="N433" s="3"/>
      <c r="O433" s="3"/>
      <c r="P433" s="3"/>
      <c r="Q433" s="196"/>
      <c r="R433" s="3"/>
      <c r="S433" s="202"/>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row>
    <row r="434" spans="1:51" ht="15.75" customHeight="1">
      <c r="A434" s="3"/>
      <c r="B434" s="3"/>
      <c r="C434" s="3"/>
      <c r="D434" s="3"/>
      <c r="E434" s="3"/>
      <c r="F434" s="3"/>
      <c r="G434" s="3"/>
      <c r="H434" s="202"/>
      <c r="I434" s="202"/>
      <c r="J434" s="3"/>
      <c r="K434" s="3"/>
      <c r="L434" s="3"/>
      <c r="M434" s="3"/>
      <c r="N434" s="3"/>
      <c r="O434" s="3"/>
      <c r="P434" s="3"/>
      <c r="Q434" s="196"/>
      <c r="R434" s="3"/>
      <c r="S434" s="202"/>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row>
    <row r="435" spans="1:51" ht="15.75" customHeight="1">
      <c r="A435" s="3"/>
      <c r="B435" s="3"/>
      <c r="C435" s="3"/>
      <c r="D435" s="3"/>
      <c r="E435" s="3"/>
      <c r="F435" s="3"/>
      <c r="G435" s="3"/>
      <c r="H435" s="202"/>
      <c r="I435" s="202"/>
      <c r="J435" s="3"/>
      <c r="K435" s="3"/>
      <c r="L435" s="3"/>
      <c r="M435" s="3"/>
      <c r="N435" s="3"/>
      <c r="O435" s="3"/>
      <c r="P435" s="3"/>
      <c r="Q435" s="196"/>
      <c r="R435" s="3"/>
      <c r="S435" s="202"/>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row>
    <row r="436" spans="1:51" ht="15.75" customHeight="1">
      <c r="A436" s="3"/>
      <c r="B436" s="3"/>
      <c r="C436" s="3"/>
      <c r="D436" s="3"/>
      <c r="E436" s="3"/>
      <c r="F436" s="3"/>
      <c r="G436" s="3"/>
      <c r="H436" s="202"/>
      <c r="I436" s="202"/>
      <c r="J436" s="3"/>
      <c r="K436" s="3"/>
      <c r="L436" s="3"/>
      <c r="M436" s="3"/>
      <c r="N436" s="3"/>
      <c r="O436" s="3"/>
      <c r="P436" s="3"/>
      <c r="Q436" s="196"/>
      <c r="R436" s="3"/>
      <c r="S436" s="202"/>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row>
    <row r="437" spans="1:51" ht="15.75" customHeight="1">
      <c r="A437" s="3"/>
      <c r="B437" s="3"/>
      <c r="C437" s="3"/>
      <c r="D437" s="3"/>
      <c r="E437" s="3"/>
      <c r="F437" s="3"/>
      <c r="G437" s="3"/>
      <c r="H437" s="202"/>
      <c r="I437" s="202"/>
      <c r="J437" s="3"/>
      <c r="K437" s="3"/>
      <c r="L437" s="3"/>
      <c r="M437" s="3"/>
      <c r="N437" s="3"/>
      <c r="O437" s="3"/>
      <c r="P437" s="3"/>
      <c r="Q437" s="196"/>
      <c r="R437" s="3"/>
      <c r="S437" s="202"/>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row>
    <row r="438" spans="1:51" ht="15.75" customHeight="1">
      <c r="A438" s="3"/>
      <c r="B438" s="3"/>
      <c r="C438" s="3"/>
      <c r="D438" s="3"/>
      <c r="E438" s="3"/>
      <c r="F438" s="3"/>
      <c r="G438" s="3"/>
      <c r="H438" s="202"/>
      <c r="I438" s="202"/>
      <c r="J438" s="3"/>
      <c r="K438" s="3"/>
      <c r="L438" s="3"/>
      <c r="M438" s="3"/>
      <c r="N438" s="3"/>
      <c r="O438" s="3"/>
      <c r="P438" s="3"/>
      <c r="Q438" s="196"/>
      <c r="R438" s="3"/>
      <c r="S438" s="202"/>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row>
    <row r="439" spans="1:51" ht="15.75" customHeight="1">
      <c r="A439" s="3"/>
      <c r="B439" s="3"/>
      <c r="C439" s="3"/>
      <c r="D439" s="3"/>
      <c r="E439" s="3"/>
      <c r="F439" s="3"/>
      <c r="G439" s="3"/>
      <c r="H439" s="202"/>
      <c r="I439" s="202"/>
      <c r="J439" s="3"/>
      <c r="K439" s="3"/>
      <c r="L439" s="3"/>
      <c r="M439" s="3"/>
      <c r="N439" s="3"/>
      <c r="O439" s="3"/>
      <c r="P439" s="3"/>
      <c r="Q439" s="196"/>
      <c r="R439" s="3"/>
      <c r="S439" s="202"/>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row>
    <row r="440" spans="1:51" ht="15.75" customHeight="1">
      <c r="A440" s="3"/>
      <c r="B440" s="3"/>
      <c r="C440" s="3"/>
      <c r="D440" s="3"/>
      <c r="E440" s="3"/>
      <c r="F440" s="3"/>
      <c r="G440" s="3"/>
      <c r="H440" s="202"/>
      <c r="I440" s="202"/>
      <c r="J440" s="3"/>
      <c r="K440" s="3"/>
      <c r="L440" s="3"/>
      <c r="M440" s="3"/>
      <c r="N440" s="3"/>
      <c r="O440" s="3"/>
      <c r="P440" s="3"/>
      <c r="Q440" s="196"/>
      <c r="R440" s="3"/>
      <c r="S440" s="202"/>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row>
    <row r="441" spans="1:51" ht="15.75" customHeight="1">
      <c r="A441" s="3"/>
      <c r="B441" s="3"/>
      <c r="C441" s="3"/>
      <c r="D441" s="3"/>
      <c r="E441" s="3"/>
      <c r="F441" s="3"/>
      <c r="G441" s="3"/>
      <c r="H441" s="202"/>
      <c r="I441" s="202"/>
      <c r="J441" s="3"/>
      <c r="K441" s="3"/>
      <c r="L441" s="3"/>
      <c r="M441" s="3"/>
      <c r="N441" s="3"/>
      <c r="O441" s="3"/>
      <c r="P441" s="3"/>
      <c r="Q441" s="196"/>
      <c r="R441" s="3"/>
      <c r="S441" s="202"/>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row>
    <row r="442" spans="1:51" ht="15.75" customHeight="1">
      <c r="A442" s="3"/>
      <c r="B442" s="3"/>
      <c r="C442" s="3"/>
      <c r="D442" s="3"/>
      <c r="E442" s="3"/>
      <c r="F442" s="3"/>
      <c r="G442" s="3"/>
      <c r="H442" s="202"/>
      <c r="I442" s="202"/>
      <c r="J442" s="3"/>
      <c r="K442" s="3"/>
      <c r="L442" s="3"/>
      <c r="M442" s="3"/>
      <c r="N442" s="3"/>
      <c r="O442" s="3"/>
      <c r="P442" s="3"/>
      <c r="Q442" s="196"/>
      <c r="R442" s="3"/>
      <c r="S442" s="202"/>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row>
    <row r="443" spans="1:51" ht="15.75" customHeight="1">
      <c r="A443" s="3"/>
      <c r="B443" s="3"/>
      <c r="C443" s="3"/>
      <c r="D443" s="3"/>
      <c r="E443" s="3"/>
      <c r="F443" s="3"/>
      <c r="G443" s="3"/>
      <c r="H443" s="202"/>
      <c r="I443" s="202"/>
      <c r="J443" s="3"/>
      <c r="K443" s="3"/>
      <c r="L443" s="3"/>
      <c r="M443" s="3"/>
      <c r="N443" s="3"/>
      <c r="O443" s="3"/>
      <c r="P443" s="3"/>
      <c r="Q443" s="196"/>
      <c r="R443" s="3"/>
      <c r="S443" s="202"/>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row>
    <row r="444" spans="1:51" ht="15.75" customHeight="1">
      <c r="A444" s="3"/>
      <c r="B444" s="3"/>
      <c r="C444" s="3"/>
      <c r="D444" s="3"/>
      <c r="E444" s="3"/>
      <c r="F444" s="3"/>
      <c r="G444" s="3"/>
      <c r="H444" s="202"/>
      <c r="I444" s="202"/>
      <c r="J444" s="3"/>
      <c r="K444" s="3"/>
      <c r="L444" s="3"/>
      <c r="M444" s="3"/>
      <c r="N444" s="3"/>
      <c r="O444" s="3"/>
      <c r="P444" s="3"/>
      <c r="Q444" s="196"/>
      <c r="R444" s="3"/>
      <c r="S444" s="202"/>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row>
    <row r="445" spans="1:51" ht="15.75" customHeight="1">
      <c r="A445" s="3"/>
      <c r="B445" s="3"/>
      <c r="C445" s="3"/>
      <c r="D445" s="3"/>
      <c r="E445" s="3"/>
      <c r="F445" s="3"/>
      <c r="G445" s="3"/>
      <c r="H445" s="202"/>
      <c r="I445" s="202"/>
      <c r="J445" s="3"/>
      <c r="K445" s="3"/>
      <c r="L445" s="3"/>
      <c r="M445" s="3"/>
      <c r="N445" s="3"/>
      <c r="O445" s="3"/>
      <c r="P445" s="3"/>
      <c r="Q445" s="196"/>
      <c r="R445" s="3"/>
      <c r="S445" s="202"/>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row>
    <row r="446" spans="1:51" ht="15.75" customHeight="1">
      <c r="A446" s="3"/>
      <c r="B446" s="3"/>
      <c r="C446" s="3"/>
      <c r="D446" s="3"/>
      <c r="E446" s="3"/>
      <c r="F446" s="3"/>
      <c r="G446" s="3"/>
      <c r="H446" s="202"/>
      <c r="I446" s="202"/>
      <c r="J446" s="3"/>
      <c r="K446" s="3"/>
      <c r="L446" s="3"/>
      <c r="M446" s="3"/>
      <c r="N446" s="3"/>
      <c r="O446" s="3"/>
      <c r="P446" s="3"/>
      <c r="Q446" s="196"/>
      <c r="R446" s="3"/>
      <c r="S446" s="202"/>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row>
    <row r="447" spans="1:51" ht="15.75" customHeight="1">
      <c r="A447" s="3"/>
      <c r="B447" s="3"/>
      <c r="C447" s="3"/>
      <c r="D447" s="3"/>
      <c r="E447" s="3"/>
      <c r="F447" s="3"/>
      <c r="G447" s="3"/>
      <c r="H447" s="202"/>
      <c r="I447" s="202"/>
      <c r="J447" s="3"/>
      <c r="K447" s="3"/>
      <c r="L447" s="3"/>
      <c r="M447" s="3"/>
      <c r="N447" s="3"/>
      <c r="O447" s="3"/>
      <c r="P447" s="3"/>
      <c r="Q447" s="196"/>
      <c r="R447" s="3"/>
      <c r="S447" s="202"/>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row>
    <row r="448" spans="1:51" ht="15.75" customHeight="1">
      <c r="A448" s="3"/>
      <c r="B448" s="3"/>
      <c r="C448" s="3"/>
      <c r="D448" s="3"/>
      <c r="E448" s="3"/>
      <c r="F448" s="3"/>
      <c r="G448" s="3"/>
      <c r="H448" s="202"/>
      <c r="I448" s="202"/>
      <c r="J448" s="3"/>
      <c r="K448" s="3"/>
      <c r="L448" s="3"/>
      <c r="M448" s="3"/>
      <c r="N448" s="3"/>
      <c r="O448" s="3"/>
      <c r="P448" s="3"/>
      <c r="Q448" s="196"/>
      <c r="R448" s="3"/>
      <c r="S448" s="202"/>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row>
    <row r="449" spans="1:51" ht="15.75" customHeight="1">
      <c r="A449" s="3"/>
      <c r="B449" s="3"/>
      <c r="C449" s="3"/>
      <c r="D449" s="3"/>
      <c r="E449" s="3"/>
      <c r="F449" s="3"/>
      <c r="G449" s="3"/>
      <c r="H449" s="202"/>
      <c r="I449" s="202"/>
      <c r="J449" s="3"/>
      <c r="K449" s="3"/>
      <c r="L449" s="3"/>
      <c r="M449" s="3"/>
      <c r="N449" s="3"/>
      <c r="O449" s="3"/>
      <c r="P449" s="3"/>
      <c r="Q449" s="196"/>
      <c r="R449" s="3"/>
      <c r="S449" s="202"/>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row>
    <row r="450" spans="1:51" ht="15.75" customHeight="1">
      <c r="A450" s="3"/>
      <c r="B450" s="3"/>
      <c r="C450" s="3"/>
      <c r="D450" s="3"/>
      <c r="E450" s="3"/>
      <c r="F450" s="3"/>
      <c r="G450" s="3"/>
      <c r="H450" s="202"/>
      <c r="I450" s="202"/>
      <c r="J450" s="3"/>
      <c r="K450" s="3"/>
      <c r="L450" s="3"/>
      <c r="M450" s="3"/>
      <c r="N450" s="3"/>
      <c r="O450" s="3"/>
      <c r="P450" s="3"/>
      <c r="Q450" s="196"/>
      <c r="R450" s="3"/>
      <c r="S450" s="202"/>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row>
    <row r="451" spans="1:51" ht="15.75" customHeight="1">
      <c r="A451" s="3"/>
      <c r="B451" s="3"/>
      <c r="C451" s="3"/>
      <c r="D451" s="3"/>
      <c r="E451" s="3"/>
      <c r="F451" s="3"/>
      <c r="G451" s="3"/>
      <c r="H451" s="202"/>
      <c r="I451" s="202"/>
      <c r="J451" s="3"/>
      <c r="K451" s="3"/>
      <c r="L451" s="3"/>
      <c r="M451" s="3"/>
      <c r="N451" s="3"/>
      <c r="O451" s="3"/>
      <c r="P451" s="3"/>
      <c r="Q451" s="196"/>
      <c r="R451" s="3"/>
      <c r="S451" s="202"/>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row>
    <row r="452" spans="1:51" ht="15.75" customHeight="1">
      <c r="A452" s="3"/>
      <c r="B452" s="3"/>
      <c r="C452" s="3"/>
      <c r="D452" s="3"/>
      <c r="E452" s="3"/>
      <c r="F452" s="3"/>
      <c r="G452" s="3"/>
      <c r="H452" s="202"/>
      <c r="I452" s="202"/>
      <c r="J452" s="3"/>
      <c r="K452" s="3"/>
      <c r="L452" s="3"/>
      <c r="M452" s="3"/>
      <c r="N452" s="3"/>
      <c r="O452" s="3"/>
      <c r="P452" s="3"/>
      <c r="Q452" s="196"/>
      <c r="R452" s="3"/>
      <c r="S452" s="202"/>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row>
    <row r="453" spans="1:51" ht="15.75" customHeight="1">
      <c r="A453" s="3"/>
      <c r="B453" s="3"/>
      <c r="C453" s="3"/>
      <c r="D453" s="3"/>
      <c r="E453" s="3"/>
      <c r="F453" s="3"/>
      <c r="G453" s="3"/>
      <c r="H453" s="202"/>
      <c r="I453" s="202"/>
      <c r="J453" s="3"/>
      <c r="K453" s="3"/>
      <c r="L453" s="3"/>
      <c r="M453" s="3"/>
      <c r="N453" s="3"/>
      <c r="O453" s="3"/>
      <c r="P453" s="3"/>
      <c r="Q453" s="196"/>
      <c r="R453" s="3"/>
      <c r="S453" s="202"/>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row>
    <row r="454" spans="1:51" ht="15.75" customHeight="1">
      <c r="A454" s="3"/>
      <c r="B454" s="3"/>
      <c r="C454" s="3"/>
      <c r="D454" s="3"/>
      <c r="E454" s="3"/>
      <c r="F454" s="3"/>
      <c r="G454" s="3"/>
      <c r="H454" s="202"/>
      <c r="I454" s="202"/>
      <c r="J454" s="3"/>
      <c r="K454" s="3"/>
      <c r="L454" s="3"/>
      <c r="M454" s="3"/>
      <c r="N454" s="3"/>
      <c r="O454" s="3"/>
      <c r="P454" s="3"/>
      <c r="Q454" s="196"/>
      <c r="R454" s="3"/>
      <c r="S454" s="202"/>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row>
    <row r="455" spans="1:51" ht="15.75" customHeight="1">
      <c r="A455" s="3"/>
      <c r="B455" s="3"/>
      <c r="C455" s="3"/>
      <c r="D455" s="3"/>
      <c r="E455" s="3"/>
      <c r="F455" s="3"/>
      <c r="G455" s="3"/>
      <c r="H455" s="202"/>
      <c r="I455" s="202"/>
      <c r="J455" s="3"/>
      <c r="K455" s="3"/>
      <c r="L455" s="3"/>
      <c r="M455" s="3"/>
      <c r="N455" s="3"/>
      <c r="O455" s="3"/>
      <c r="P455" s="3"/>
      <c r="Q455" s="196"/>
      <c r="R455" s="3"/>
      <c r="S455" s="202"/>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row>
    <row r="456" spans="1:51" ht="15.75" customHeight="1">
      <c r="A456" s="3"/>
      <c r="B456" s="3"/>
      <c r="C456" s="3"/>
      <c r="D456" s="3"/>
      <c r="E456" s="3"/>
      <c r="F456" s="3"/>
      <c r="G456" s="3"/>
      <c r="H456" s="202"/>
      <c r="I456" s="202"/>
      <c r="J456" s="3"/>
      <c r="K456" s="3"/>
      <c r="L456" s="3"/>
      <c r="M456" s="3"/>
      <c r="N456" s="3"/>
      <c r="O456" s="3"/>
      <c r="P456" s="3"/>
      <c r="Q456" s="196"/>
      <c r="R456" s="3"/>
      <c r="S456" s="202"/>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row>
    <row r="457" spans="1:51" ht="15.75" customHeight="1">
      <c r="A457" s="3"/>
      <c r="B457" s="3"/>
      <c r="C457" s="3"/>
      <c r="D457" s="3"/>
      <c r="E457" s="3"/>
      <c r="F457" s="3"/>
      <c r="G457" s="3"/>
      <c r="H457" s="202"/>
      <c r="I457" s="202"/>
      <c r="J457" s="3"/>
      <c r="K457" s="3"/>
      <c r="L457" s="3"/>
      <c r="M457" s="3"/>
      <c r="N457" s="3"/>
      <c r="O457" s="3"/>
      <c r="P457" s="3"/>
      <c r="Q457" s="196"/>
      <c r="R457" s="3"/>
      <c r="S457" s="202"/>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row>
    <row r="458" spans="1:51" ht="15.75" customHeight="1">
      <c r="A458" s="3"/>
      <c r="B458" s="3"/>
      <c r="C458" s="3"/>
      <c r="D458" s="3"/>
      <c r="E458" s="3"/>
      <c r="F458" s="3"/>
      <c r="G458" s="3"/>
      <c r="H458" s="202"/>
      <c r="I458" s="202"/>
      <c r="J458" s="3"/>
      <c r="K458" s="3"/>
      <c r="L458" s="3"/>
      <c r="M458" s="3"/>
      <c r="N458" s="3"/>
      <c r="O458" s="3"/>
      <c r="P458" s="3"/>
      <c r="Q458" s="196"/>
      <c r="R458" s="3"/>
      <c r="S458" s="202"/>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row>
    <row r="459" spans="1:51" ht="15.75" customHeight="1">
      <c r="A459" s="3"/>
      <c r="B459" s="3"/>
      <c r="C459" s="3"/>
      <c r="D459" s="3"/>
      <c r="E459" s="3"/>
      <c r="F459" s="3"/>
      <c r="G459" s="3"/>
      <c r="H459" s="202"/>
      <c r="I459" s="202"/>
      <c r="J459" s="3"/>
      <c r="K459" s="3"/>
      <c r="L459" s="3"/>
      <c r="M459" s="3"/>
      <c r="N459" s="3"/>
      <c r="O459" s="3"/>
      <c r="P459" s="3"/>
      <c r="Q459" s="196"/>
      <c r="R459" s="3"/>
      <c r="S459" s="202"/>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row>
    <row r="460" spans="1:51" ht="15.75" customHeight="1">
      <c r="A460" s="3"/>
      <c r="B460" s="3"/>
      <c r="C460" s="3"/>
      <c r="D460" s="3"/>
      <c r="E460" s="3"/>
      <c r="F460" s="3"/>
      <c r="G460" s="3"/>
      <c r="H460" s="202"/>
      <c r="I460" s="202"/>
      <c r="J460" s="3"/>
      <c r="K460" s="3"/>
      <c r="L460" s="3"/>
      <c r="M460" s="3"/>
      <c r="N460" s="3"/>
      <c r="O460" s="3"/>
      <c r="P460" s="3"/>
      <c r="Q460" s="196"/>
      <c r="R460" s="3"/>
      <c r="S460" s="202"/>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row>
    <row r="461" spans="1:51" ht="15.75" customHeight="1">
      <c r="A461" s="3"/>
      <c r="B461" s="3"/>
      <c r="C461" s="3"/>
      <c r="D461" s="3"/>
      <c r="E461" s="3"/>
      <c r="F461" s="3"/>
      <c r="G461" s="3"/>
      <c r="H461" s="202"/>
      <c r="I461" s="202"/>
      <c r="J461" s="3"/>
      <c r="K461" s="3"/>
      <c r="L461" s="3"/>
      <c r="M461" s="3"/>
      <c r="N461" s="3"/>
      <c r="O461" s="3"/>
      <c r="P461" s="3"/>
      <c r="Q461" s="196"/>
      <c r="R461" s="3"/>
      <c r="S461" s="202"/>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row>
    <row r="462" spans="1:51" ht="15.75" customHeight="1">
      <c r="A462" s="3"/>
      <c r="B462" s="3"/>
      <c r="C462" s="3"/>
      <c r="D462" s="3"/>
      <c r="E462" s="3"/>
      <c r="F462" s="3"/>
      <c r="G462" s="3"/>
      <c r="H462" s="202"/>
      <c r="I462" s="202"/>
      <c r="J462" s="3"/>
      <c r="K462" s="3"/>
      <c r="L462" s="3"/>
      <c r="M462" s="3"/>
      <c r="N462" s="3"/>
      <c r="O462" s="3"/>
      <c r="P462" s="3"/>
      <c r="Q462" s="196"/>
      <c r="R462" s="3"/>
      <c r="S462" s="202"/>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row>
    <row r="463" spans="1:51" ht="15.75" customHeight="1">
      <c r="A463" s="3"/>
      <c r="B463" s="3"/>
      <c r="C463" s="3"/>
      <c r="D463" s="3"/>
      <c r="E463" s="3"/>
      <c r="F463" s="3"/>
      <c r="G463" s="3"/>
      <c r="H463" s="202"/>
      <c r="I463" s="202"/>
      <c r="J463" s="3"/>
      <c r="K463" s="3"/>
      <c r="L463" s="3"/>
      <c r="M463" s="3"/>
      <c r="N463" s="3"/>
      <c r="O463" s="3"/>
      <c r="P463" s="3"/>
      <c r="Q463" s="196"/>
      <c r="R463" s="3"/>
      <c r="S463" s="202"/>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row>
    <row r="464" spans="1:51" ht="15.75" customHeight="1">
      <c r="A464" s="3"/>
      <c r="B464" s="3"/>
      <c r="C464" s="3"/>
      <c r="D464" s="3"/>
      <c r="E464" s="3"/>
      <c r="F464" s="3"/>
      <c r="G464" s="3"/>
      <c r="H464" s="202"/>
      <c r="I464" s="202"/>
      <c r="J464" s="3"/>
      <c r="K464" s="3"/>
      <c r="L464" s="3"/>
      <c r="M464" s="3"/>
      <c r="N464" s="3"/>
      <c r="O464" s="3"/>
      <c r="P464" s="3"/>
      <c r="Q464" s="196"/>
      <c r="R464" s="3"/>
      <c r="S464" s="202"/>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row>
    <row r="465" spans="1:51" ht="15.75" customHeight="1">
      <c r="A465" s="3"/>
      <c r="B465" s="3"/>
      <c r="C465" s="3"/>
      <c r="D465" s="3"/>
      <c r="E465" s="3"/>
      <c r="F465" s="3"/>
      <c r="G465" s="3"/>
      <c r="H465" s="202"/>
      <c r="I465" s="202"/>
      <c r="J465" s="3"/>
      <c r="K465" s="3"/>
      <c r="L465" s="3"/>
      <c r="M465" s="3"/>
      <c r="N465" s="3"/>
      <c r="O465" s="3"/>
      <c r="P465" s="3"/>
      <c r="Q465" s="196"/>
      <c r="R465" s="3"/>
      <c r="S465" s="202"/>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row>
    <row r="466" spans="1:51" ht="15.75" customHeight="1">
      <c r="A466" s="3"/>
      <c r="B466" s="3"/>
      <c r="C466" s="3"/>
      <c r="D466" s="3"/>
      <c r="E466" s="3"/>
      <c r="F466" s="3"/>
      <c r="G466" s="3"/>
      <c r="H466" s="202"/>
      <c r="I466" s="202"/>
      <c r="J466" s="3"/>
      <c r="K466" s="3"/>
      <c r="L466" s="3"/>
      <c r="M466" s="3"/>
      <c r="N466" s="3"/>
      <c r="O466" s="3"/>
      <c r="P466" s="3"/>
      <c r="Q466" s="196"/>
      <c r="R466" s="3"/>
      <c r="S466" s="202"/>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row>
    <row r="467" spans="1:51" ht="15.75" customHeight="1">
      <c r="A467" s="3"/>
      <c r="B467" s="3"/>
      <c r="C467" s="3"/>
      <c r="D467" s="3"/>
      <c r="E467" s="3"/>
      <c r="F467" s="3"/>
      <c r="G467" s="3"/>
      <c r="H467" s="202"/>
      <c r="I467" s="202"/>
      <c r="J467" s="3"/>
      <c r="K467" s="3"/>
      <c r="L467" s="3"/>
      <c r="M467" s="3"/>
      <c r="N467" s="3"/>
      <c r="O467" s="3"/>
      <c r="P467" s="3"/>
      <c r="Q467" s="196"/>
      <c r="R467" s="3"/>
      <c r="S467" s="202"/>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row>
    <row r="468" spans="1:51" ht="15.75" customHeight="1">
      <c r="A468" s="3"/>
      <c r="B468" s="3"/>
      <c r="C468" s="3"/>
      <c r="D468" s="3"/>
      <c r="E468" s="3"/>
      <c r="F468" s="3"/>
      <c r="G468" s="3"/>
      <c r="H468" s="202"/>
      <c r="I468" s="202"/>
      <c r="J468" s="3"/>
      <c r="K468" s="3"/>
      <c r="L468" s="3"/>
      <c r="M468" s="3"/>
      <c r="N468" s="3"/>
      <c r="O468" s="3"/>
      <c r="P468" s="3"/>
      <c r="Q468" s="196"/>
      <c r="R468" s="3"/>
      <c r="S468" s="202"/>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row>
    <row r="469" spans="1:51" ht="15.75" customHeight="1">
      <c r="A469" s="3"/>
      <c r="B469" s="3"/>
      <c r="C469" s="3"/>
      <c r="D469" s="3"/>
      <c r="E469" s="3"/>
      <c r="F469" s="3"/>
      <c r="G469" s="3"/>
      <c r="H469" s="202"/>
      <c r="I469" s="202"/>
      <c r="J469" s="3"/>
      <c r="K469" s="3"/>
      <c r="L469" s="3"/>
      <c r="M469" s="3"/>
      <c r="N469" s="3"/>
      <c r="O469" s="3"/>
      <c r="P469" s="3"/>
      <c r="Q469" s="196"/>
      <c r="R469" s="3"/>
      <c r="S469" s="202"/>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row>
    <row r="470" spans="1:51" ht="15.75" customHeight="1">
      <c r="A470" s="3"/>
      <c r="B470" s="3"/>
      <c r="C470" s="3"/>
      <c r="D470" s="3"/>
      <c r="E470" s="3"/>
      <c r="F470" s="3"/>
      <c r="G470" s="3"/>
      <c r="H470" s="202"/>
      <c r="I470" s="202"/>
      <c r="J470" s="3"/>
      <c r="K470" s="3"/>
      <c r="L470" s="3"/>
      <c r="M470" s="3"/>
      <c r="N470" s="3"/>
      <c r="O470" s="3"/>
      <c r="P470" s="3"/>
      <c r="Q470" s="196"/>
      <c r="R470" s="3"/>
      <c r="S470" s="202"/>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row>
    <row r="471" spans="1:51" ht="15.75" customHeight="1">
      <c r="A471" s="3"/>
      <c r="B471" s="3"/>
      <c r="C471" s="3"/>
      <c r="D471" s="3"/>
      <c r="E471" s="3"/>
      <c r="F471" s="3"/>
      <c r="G471" s="3"/>
      <c r="H471" s="202"/>
      <c r="I471" s="202"/>
      <c r="J471" s="3"/>
      <c r="K471" s="3"/>
      <c r="L471" s="3"/>
      <c r="M471" s="3"/>
      <c r="N471" s="3"/>
      <c r="O471" s="3"/>
      <c r="P471" s="3"/>
      <c r="Q471" s="196"/>
      <c r="R471" s="3"/>
      <c r="S471" s="202"/>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row>
    <row r="472" spans="1:51" ht="15.75" customHeight="1">
      <c r="A472" s="3"/>
      <c r="B472" s="3"/>
      <c r="C472" s="3"/>
      <c r="D472" s="3"/>
      <c r="E472" s="3"/>
      <c r="F472" s="3"/>
      <c r="G472" s="3"/>
      <c r="H472" s="202"/>
      <c r="I472" s="202"/>
      <c r="J472" s="3"/>
      <c r="K472" s="3"/>
      <c r="L472" s="3"/>
      <c r="M472" s="3"/>
      <c r="N472" s="3"/>
      <c r="O472" s="3"/>
      <c r="P472" s="3"/>
      <c r="Q472" s="196"/>
      <c r="R472" s="3"/>
      <c r="S472" s="202"/>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row>
    <row r="473" spans="1:51" ht="15.75" customHeight="1">
      <c r="A473" s="3"/>
      <c r="B473" s="3"/>
      <c r="C473" s="3"/>
      <c r="D473" s="3"/>
      <c r="E473" s="3"/>
      <c r="F473" s="3"/>
      <c r="G473" s="3"/>
      <c r="H473" s="202"/>
      <c r="I473" s="202"/>
      <c r="J473" s="3"/>
      <c r="K473" s="3"/>
      <c r="L473" s="3"/>
      <c r="M473" s="3"/>
      <c r="N473" s="3"/>
      <c r="O473" s="3"/>
      <c r="P473" s="3"/>
      <c r="Q473" s="196"/>
      <c r="R473" s="3"/>
      <c r="S473" s="202"/>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row>
    <row r="474" spans="1:51" ht="15.75" customHeight="1">
      <c r="A474" s="3"/>
      <c r="B474" s="3"/>
      <c r="C474" s="3"/>
      <c r="D474" s="3"/>
      <c r="E474" s="3"/>
      <c r="F474" s="3"/>
      <c r="G474" s="3"/>
      <c r="H474" s="202"/>
      <c r="I474" s="202"/>
      <c r="J474" s="3"/>
      <c r="K474" s="3"/>
      <c r="L474" s="3"/>
      <c r="M474" s="3"/>
      <c r="N474" s="3"/>
      <c r="O474" s="3"/>
      <c r="P474" s="3"/>
      <c r="Q474" s="196"/>
      <c r="R474" s="3"/>
      <c r="S474" s="202"/>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row>
    <row r="475" spans="1:51" ht="15.75" customHeight="1">
      <c r="A475" s="3"/>
      <c r="B475" s="3"/>
      <c r="C475" s="3"/>
      <c r="D475" s="3"/>
      <c r="E475" s="3"/>
      <c r="F475" s="3"/>
      <c r="G475" s="3"/>
      <c r="H475" s="202"/>
      <c r="I475" s="202"/>
      <c r="J475" s="3"/>
      <c r="K475" s="3"/>
      <c r="L475" s="3"/>
      <c r="M475" s="3"/>
      <c r="N475" s="3"/>
      <c r="O475" s="3"/>
      <c r="P475" s="3"/>
      <c r="Q475" s="196"/>
      <c r="R475" s="3"/>
      <c r="S475" s="202"/>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row>
    <row r="476" spans="1:51" ht="15.75" customHeight="1">
      <c r="A476" s="3"/>
      <c r="B476" s="3"/>
      <c r="C476" s="3"/>
      <c r="D476" s="3"/>
      <c r="E476" s="3"/>
      <c r="F476" s="3"/>
      <c r="G476" s="3"/>
      <c r="H476" s="202"/>
      <c r="I476" s="202"/>
      <c r="J476" s="3"/>
      <c r="K476" s="3"/>
      <c r="L476" s="3"/>
      <c r="M476" s="3"/>
      <c r="N476" s="3"/>
      <c r="O476" s="3"/>
      <c r="P476" s="3"/>
      <c r="Q476" s="196"/>
      <c r="R476" s="3"/>
      <c r="S476" s="202"/>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row>
    <row r="477" spans="1:51" ht="15.75" customHeight="1">
      <c r="A477" s="3"/>
      <c r="B477" s="3"/>
      <c r="C477" s="3"/>
      <c r="D477" s="3"/>
      <c r="E477" s="3"/>
      <c r="F477" s="3"/>
      <c r="G477" s="3"/>
      <c r="H477" s="202"/>
      <c r="I477" s="202"/>
      <c r="J477" s="3"/>
      <c r="K477" s="3"/>
      <c r="L477" s="3"/>
      <c r="M477" s="3"/>
      <c r="N477" s="3"/>
      <c r="O477" s="3"/>
      <c r="P477" s="3"/>
      <c r="Q477" s="196"/>
      <c r="R477" s="3"/>
      <c r="S477" s="202"/>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row>
    <row r="478" spans="1:51" ht="15.75" customHeight="1">
      <c r="A478" s="3"/>
      <c r="B478" s="3"/>
      <c r="C478" s="3"/>
      <c r="D478" s="3"/>
      <c r="E478" s="3"/>
      <c r="F478" s="3"/>
      <c r="G478" s="3"/>
      <c r="H478" s="202"/>
      <c r="I478" s="202"/>
      <c r="J478" s="3"/>
      <c r="K478" s="3"/>
      <c r="L478" s="3"/>
      <c r="M478" s="3"/>
      <c r="N478" s="3"/>
      <c r="O478" s="3"/>
      <c r="P478" s="3"/>
      <c r="Q478" s="196"/>
      <c r="R478" s="3"/>
      <c r="S478" s="202"/>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row>
    <row r="479" spans="1:51" ht="15.75" customHeight="1">
      <c r="A479" s="3"/>
      <c r="B479" s="3"/>
      <c r="C479" s="3"/>
      <c r="D479" s="3"/>
      <c r="E479" s="3"/>
      <c r="F479" s="3"/>
      <c r="G479" s="3"/>
      <c r="H479" s="202"/>
      <c r="I479" s="202"/>
      <c r="J479" s="3"/>
      <c r="K479" s="3"/>
      <c r="L479" s="3"/>
      <c r="M479" s="3"/>
      <c r="N479" s="3"/>
      <c r="O479" s="3"/>
      <c r="P479" s="3"/>
      <c r="Q479" s="196"/>
      <c r="R479" s="3"/>
      <c r="S479" s="202"/>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row>
    <row r="480" spans="1:51" ht="15.75" customHeight="1">
      <c r="A480" s="3"/>
      <c r="B480" s="3"/>
      <c r="C480" s="3"/>
      <c r="D480" s="3"/>
      <c r="E480" s="3"/>
      <c r="F480" s="3"/>
      <c r="G480" s="3"/>
      <c r="H480" s="202"/>
      <c r="I480" s="202"/>
      <c r="J480" s="3"/>
      <c r="K480" s="3"/>
      <c r="L480" s="3"/>
      <c r="M480" s="3"/>
      <c r="N480" s="3"/>
      <c r="O480" s="3"/>
      <c r="P480" s="3"/>
      <c r="Q480" s="196"/>
      <c r="R480" s="3"/>
      <c r="S480" s="202"/>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row>
    <row r="481" spans="1:51" ht="15.75" customHeight="1">
      <c r="A481" s="3"/>
      <c r="B481" s="3"/>
      <c r="C481" s="3"/>
      <c r="D481" s="3"/>
      <c r="E481" s="3"/>
      <c r="F481" s="3"/>
      <c r="G481" s="3"/>
      <c r="H481" s="202"/>
      <c r="I481" s="202"/>
      <c r="J481" s="3"/>
      <c r="K481" s="3"/>
      <c r="L481" s="3"/>
      <c r="M481" s="3"/>
      <c r="N481" s="3"/>
      <c r="O481" s="3"/>
      <c r="P481" s="3"/>
      <c r="Q481" s="196"/>
      <c r="R481" s="3"/>
      <c r="S481" s="202"/>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row>
    <row r="482" spans="1:51" ht="15.75" customHeight="1">
      <c r="A482" s="3"/>
      <c r="B482" s="3"/>
      <c r="C482" s="3"/>
      <c r="D482" s="3"/>
      <c r="E482" s="3"/>
      <c r="F482" s="3"/>
      <c r="G482" s="3"/>
      <c r="H482" s="202"/>
      <c r="I482" s="202"/>
      <c r="J482" s="3"/>
      <c r="K482" s="3"/>
      <c r="L482" s="3"/>
      <c r="M482" s="3"/>
      <c r="N482" s="3"/>
      <c r="O482" s="3"/>
      <c r="P482" s="3"/>
      <c r="Q482" s="196"/>
      <c r="R482" s="3"/>
      <c r="S482" s="202"/>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row>
    <row r="483" spans="1:51" ht="15.75" customHeight="1">
      <c r="A483" s="3"/>
      <c r="B483" s="3"/>
      <c r="C483" s="3"/>
      <c r="D483" s="3"/>
      <c r="E483" s="3"/>
      <c r="F483" s="3"/>
      <c r="G483" s="3"/>
      <c r="H483" s="202"/>
      <c r="I483" s="202"/>
      <c r="J483" s="3"/>
      <c r="K483" s="3"/>
      <c r="L483" s="3"/>
      <c r="M483" s="3"/>
      <c r="N483" s="3"/>
      <c r="O483" s="3"/>
      <c r="P483" s="3"/>
      <c r="Q483" s="196"/>
      <c r="R483" s="3"/>
      <c r="S483" s="202"/>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row>
    <row r="484" spans="1:51" ht="15.75" customHeight="1">
      <c r="A484" s="3"/>
      <c r="B484" s="3"/>
      <c r="C484" s="3"/>
      <c r="D484" s="3"/>
      <c r="E484" s="3"/>
      <c r="F484" s="3"/>
      <c r="G484" s="3"/>
      <c r="H484" s="202"/>
      <c r="I484" s="202"/>
      <c r="J484" s="3"/>
      <c r="K484" s="3"/>
      <c r="L484" s="3"/>
      <c r="M484" s="3"/>
      <c r="N484" s="3"/>
      <c r="O484" s="3"/>
      <c r="P484" s="3"/>
      <c r="Q484" s="196"/>
      <c r="R484" s="3"/>
      <c r="S484" s="202"/>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row>
    <row r="485" spans="1:51" ht="15.75" customHeight="1">
      <c r="A485" s="3"/>
      <c r="B485" s="3"/>
      <c r="C485" s="3"/>
      <c r="D485" s="3"/>
      <c r="E485" s="3"/>
      <c r="F485" s="3"/>
      <c r="G485" s="3"/>
      <c r="H485" s="202"/>
      <c r="I485" s="202"/>
      <c r="J485" s="3"/>
      <c r="K485" s="3"/>
      <c r="L485" s="3"/>
      <c r="M485" s="3"/>
      <c r="N485" s="3"/>
      <c r="O485" s="3"/>
      <c r="P485" s="3"/>
      <c r="Q485" s="196"/>
      <c r="R485" s="3"/>
      <c r="S485" s="202"/>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row>
    <row r="486" spans="1:51" ht="15.75" customHeight="1">
      <c r="A486" s="3"/>
      <c r="B486" s="3"/>
      <c r="C486" s="3"/>
      <c r="D486" s="3"/>
      <c r="E486" s="3"/>
      <c r="F486" s="3"/>
      <c r="G486" s="3"/>
      <c r="H486" s="202"/>
      <c r="I486" s="202"/>
      <c r="J486" s="3"/>
      <c r="K486" s="3"/>
      <c r="L486" s="3"/>
      <c r="M486" s="3"/>
      <c r="N486" s="3"/>
      <c r="O486" s="3"/>
      <c r="P486" s="3"/>
      <c r="Q486" s="196"/>
      <c r="R486" s="3"/>
      <c r="S486" s="202"/>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row>
    <row r="487" spans="1:51" ht="15.75" customHeight="1">
      <c r="A487" s="3"/>
      <c r="B487" s="3"/>
      <c r="C487" s="3"/>
      <c r="D487" s="3"/>
      <c r="E487" s="3"/>
      <c r="F487" s="3"/>
      <c r="G487" s="3"/>
      <c r="H487" s="202"/>
      <c r="I487" s="202"/>
      <c r="J487" s="3"/>
      <c r="K487" s="3"/>
      <c r="L487" s="3"/>
      <c r="M487" s="3"/>
      <c r="N487" s="3"/>
      <c r="O487" s="3"/>
      <c r="P487" s="3"/>
      <c r="Q487" s="196"/>
      <c r="R487" s="3"/>
      <c r="S487" s="202"/>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row>
    <row r="488" spans="1:51" ht="15.75" customHeight="1">
      <c r="A488" s="3"/>
      <c r="B488" s="3"/>
      <c r="C488" s="3"/>
      <c r="D488" s="3"/>
      <c r="E488" s="3"/>
      <c r="F488" s="3"/>
      <c r="G488" s="3"/>
      <c r="H488" s="202"/>
      <c r="I488" s="202"/>
      <c r="J488" s="3"/>
      <c r="K488" s="3"/>
      <c r="L488" s="3"/>
      <c r="M488" s="3"/>
      <c r="N488" s="3"/>
      <c r="O488" s="3"/>
      <c r="P488" s="3"/>
      <c r="Q488" s="196"/>
      <c r="R488" s="3"/>
      <c r="S488" s="202"/>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row>
    <row r="489" spans="1:51" ht="15.75" customHeight="1">
      <c r="A489" s="3"/>
      <c r="B489" s="3"/>
      <c r="C489" s="3"/>
      <c r="D489" s="3"/>
      <c r="E489" s="3"/>
      <c r="F489" s="3"/>
      <c r="G489" s="3"/>
      <c r="H489" s="202"/>
      <c r="I489" s="202"/>
      <c r="J489" s="3"/>
      <c r="K489" s="3"/>
      <c r="L489" s="3"/>
      <c r="M489" s="3"/>
      <c r="N489" s="3"/>
      <c r="O489" s="3"/>
      <c r="P489" s="3"/>
      <c r="Q489" s="196"/>
      <c r="R489" s="3"/>
      <c r="S489" s="202"/>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row>
    <row r="490" spans="1:51" ht="15.75" customHeight="1">
      <c r="A490" s="3"/>
      <c r="B490" s="3"/>
      <c r="C490" s="3"/>
      <c r="D490" s="3"/>
      <c r="E490" s="3"/>
      <c r="F490" s="3"/>
      <c r="G490" s="3"/>
      <c r="H490" s="202"/>
      <c r="I490" s="202"/>
      <c r="J490" s="3"/>
      <c r="K490" s="3"/>
      <c r="L490" s="3"/>
      <c r="M490" s="3"/>
      <c r="N490" s="3"/>
      <c r="O490" s="3"/>
      <c r="P490" s="3"/>
      <c r="Q490" s="196"/>
      <c r="R490" s="3"/>
      <c r="S490" s="202"/>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row>
    <row r="491" spans="1:51" ht="15.75" customHeight="1">
      <c r="A491" s="3"/>
      <c r="B491" s="3"/>
      <c r="C491" s="3"/>
      <c r="D491" s="3"/>
      <c r="E491" s="3"/>
      <c r="F491" s="3"/>
      <c r="G491" s="3"/>
      <c r="H491" s="202"/>
      <c r="I491" s="202"/>
      <c r="J491" s="3"/>
      <c r="K491" s="3"/>
      <c r="L491" s="3"/>
      <c r="M491" s="3"/>
      <c r="N491" s="3"/>
      <c r="O491" s="3"/>
      <c r="P491" s="3"/>
      <c r="Q491" s="196"/>
      <c r="R491" s="3"/>
      <c r="S491" s="202"/>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row>
    <row r="492" spans="1:51" ht="15.75" customHeight="1">
      <c r="A492" s="3"/>
      <c r="B492" s="3"/>
      <c r="C492" s="3"/>
      <c r="D492" s="3"/>
      <c r="E492" s="3"/>
      <c r="F492" s="3"/>
      <c r="G492" s="3"/>
      <c r="H492" s="202"/>
      <c r="I492" s="202"/>
      <c r="J492" s="3"/>
      <c r="K492" s="3"/>
      <c r="L492" s="3"/>
      <c r="M492" s="3"/>
      <c r="N492" s="3"/>
      <c r="O492" s="3"/>
      <c r="P492" s="3"/>
      <c r="Q492" s="196"/>
      <c r="R492" s="3"/>
      <c r="S492" s="202"/>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row>
    <row r="493" spans="1:51" ht="15.75" customHeight="1">
      <c r="A493" s="3"/>
      <c r="B493" s="3"/>
      <c r="C493" s="3"/>
      <c r="D493" s="3"/>
      <c r="E493" s="3"/>
      <c r="F493" s="3"/>
      <c r="G493" s="3"/>
      <c r="H493" s="202"/>
      <c r="I493" s="202"/>
      <c r="J493" s="3"/>
      <c r="K493" s="3"/>
      <c r="L493" s="3"/>
      <c r="M493" s="3"/>
      <c r="N493" s="3"/>
      <c r="O493" s="3"/>
      <c r="P493" s="3"/>
      <c r="Q493" s="196"/>
      <c r="R493" s="3"/>
      <c r="S493" s="202"/>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row>
    <row r="494" spans="1:51" ht="15.75" customHeight="1">
      <c r="A494" s="3"/>
      <c r="B494" s="3"/>
      <c r="C494" s="3"/>
      <c r="D494" s="3"/>
      <c r="E494" s="3"/>
      <c r="F494" s="3"/>
      <c r="G494" s="3"/>
      <c r="H494" s="202"/>
      <c r="I494" s="202"/>
      <c r="J494" s="3"/>
      <c r="K494" s="3"/>
      <c r="L494" s="3"/>
      <c r="M494" s="3"/>
      <c r="N494" s="3"/>
      <c r="O494" s="3"/>
      <c r="P494" s="3"/>
      <c r="Q494" s="196"/>
      <c r="R494" s="3"/>
      <c r="S494" s="202"/>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row>
    <row r="495" spans="1:51" ht="15.75" customHeight="1">
      <c r="A495" s="3"/>
      <c r="B495" s="3"/>
      <c r="C495" s="3"/>
      <c r="D495" s="3"/>
      <c r="E495" s="3"/>
      <c r="F495" s="3"/>
      <c r="G495" s="3"/>
      <c r="H495" s="202"/>
      <c r="I495" s="202"/>
      <c r="J495" s="3"/>
      <c r="K495" s="3"/>
      <c r="L495" s="3"/>
      <c r="M495" s="3"/>
      <c r="N495" s="3"/>
      <c r="O495" s="3"/>
      <c r="P495" s="3"/>
      <c r="Q495" s="196"/>
      <c r="R495" s="3"/>
      <c r="S495" s="202"/>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row>
    <row r="496" spans="1:51" ht="15.75" customHeight="1">
      <c r="A496" s="3"/>
      <c r="B496" s="3"/>
      <c r="C496" s="3"/>
      <c r="D496" s="3"/>
      <c r="E496" s="3"/>
      <c r="F496" s="3"/>
      <c r="G496" s="3"/>
      <c r="H496" s="202"/>
      <c r="I496" s="202"/>
      <c r="J496" s="3"/>
      <c r="K496" s="3"/>
      <c r="L496" s="3"/>
      <c r="M496" s="3"/>
      <c r="N496" s="3"/>
      <c r="O496" s="3"/>
      <c r="P496" s="3"/>
      <c r="Q496" s="196"/>
      <c r="R496" s="3"/>
      <c r="S496" s="202"/>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row>
    <row r="497" spans="1:51" ht="15.75" customHeight="1">
      <c r="A497" s="3"/>
      <c r="B497" s="3"/>
      <c r="C497" s="3"/>
      <c r="D497" s="3"/>
      <c r="E497" s="3"/>
      <c r="F497" s="3"/>
      <c r="G497" s="3"/>
      <c r="H497" s="202"/>
      <c r="I497" s="202"/>
      <c r="J497" s="3"/>
      <c r="K497" s="3"/>
      <c r="L497" s="3"/>
      <c r="M497" s="3"/>
      <c r="N497" s="3"/>
      <c r="O497" s="3"/>
      <c r="P497" s="3"/>
      <c r="Q497" s="196"/>
      <c r="R497" s="3"/>
      <c r="S497" s="202"/>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row>
    <row r="498" spans="1:51" ht="15.75" customHeight="1">
      <c r="A498" s="3"/>
      <c r="B498" s="3"/>
      <c r="C498" s="3"/>
      <c r="D498" s="3"/>
      <c r="E498" s="3"/>
      <c r="F498" s="3"/>
      <c r="G498" s="3"/>
      <c r="H498" s="202"/>
      <c r="I498" s="202"/>
      <c r="J498" s="3"/>
      <c r="K498" s="3"/>
      <c r="L498" s="3"/>
      <c r="M498" s="3"/>
      <c r="N498" s="3"/>
      <c r="O498" s="3"/>
      <c r="P498" s="3"/>
      <c r="Q498" s="196"/>
      <c r="R498" s="3"/>
      <c r="S498" s="202"/>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row>
    <row r="499" spans="1:51" ht="15.75" customHeight="1">
      <c r="A499" s="3"/>
      <c r="B499" s="3"/>
      <c r="C499" s="3"/>
      <c r="D499" s="3"/>
      <c r="E499" s="3"/>
      <c r="F499" s="3"/>
      <c r="G499" s="3"/>
      <c r="H499" s="202"/>
      <c r="I499" s="202"/>
      <c r="J499" s="3"/>
      <c r="K499" s="3"/>
      <c r="L499" s="3"/>
      <c r="M499" s="3"/>
      <c r="N499" s="3"/>
      <c r="O499" s="3"/>
      <c r="P499" s="3"/>
      <c r="Q499" s="196"/>
      <c r="R499" s="3"/>
      <c r="S499" s="202"/>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row>
    <row r="500" spans="1:51" ht="15.75" customHeight="1">
      <c r="A500" s="3"/>
      <c r="B500" s="3"/>
      <c r="C500" s="3"/>
      <c r="D500" s="3"/>
      <c r="E500" s="3"/>
      <c r="F500" s="3"/>
      <c r="G500" s="3"/>
      <c r="H500" s="202"/>
      <c r="I500" s="202"/>
      <c r="J500" s="3"/>
      <c r="K500" s="3"/>
      <c r="L500" s="3"/>
      <c r="M500" s="3"/>
      <c r="N500" s="3"/>
      <c r="O500" s="3"/>
      <c r="P500" s="3"/>
      <c r="Q500" s="196"/>
      <c r="R500" s="3"/>
      <c r="S500" s="202"/>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row>
    <row r="501" spans="1:51" ht="15.75" customHeight="1">
      <c r="A501" s="3"/>
      <c r="B501" s="3"/>
      <c r="C501" s="3"/>
      <c r="D501" s="3"/>
      <c r="E501" s="3"/>
      <c r="F501" s="3"/>
      <c r="G501" s="3"/>
      <c r="H501" s="202"/>
      <c r="I501" s="202"/>
      <c r="J501" s="3"/>
      <c r="K501" s="3"/>
      <c r="L501" s="3"/>
      <c r="M501" s="3"/>
      <c r="N501" s="3"/>
      <c r="O501" s="3"/>
      <c r="P501" s="3"/>
      <c r="Q501" s="196"/>
      <c r="R501" s="3"/>
      <c r="S501" s="202"/>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row>
    <row r="502" spans="1:51" ht="15.75" customHeight="1">
      <c r="A502" s="3"/>
      <c r="B502" s="3"/>
      <c r="C502" s="3"/>
      <c r="D502" s="3"/>
      <c r="E502" s="3"/>
      <c r="F502" s="3"/>
      <c r="G502" s="3"/>
      <c r="H502" s="202"/>
      <c r="I502" s="202"/>
      <c r="J502" s="3"/>
      <c r="K502" s="3"/>
      <c r="L502" s="3"/>
      <c r="M502" s="3"/>
      <c r="N502" s="3"/>
      <c r="O502" s="3"/>
      <c r="P502" s="3"/>
      <c r="Q502" s="196"/>
      <c r="R502" s="3"/>
      <c r="S502" s="202"/>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row>
    <row r="503" spans="1:51" ht="15.75" customHeight="1">
      <c r="A503" s="3"/>
      <c r="B503" s="3"/>
      <c r="C503" s="3"/>
      <c r="D503" s="3"/>
      <c r="E503" s="3"/>
      <c r="F503" s="3"/>
      <c r="G503" s="3"/>
      <c r="H503" s="202"/>
      <c r="I503" s="202"/>
      <c r="J503" s="3"/>
      <c r="K503" s="3"/>
      <c r="L503" s="3"/>
      <c r="M503" s="3"/>
      <c r="N503" s="3"/>
      <c r="O503" s="3"/>
      <c r="P503" s="3"/>
      <c r="Q503" s="196"/>
      <c r="R503" s="3"/>
      <c r="S503" s="202"/>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row>
    <row r="504" spans="1:51" ht="15.75" customHeight="1">
      <c r="A504" s="3"/>
      <c r="B504" s="3"/>
      <c r="C504" s="3"/>
      <c r="D504" s="3"/>
      <c r="E504" s="3"/>
      <c r="F504" s="3"/>
      <c r="G504" s="3"/>
      <c r="H504" s="202"/>
      <c r="I504" s="202"/>
      <c r="J504" s="3"/>
      <c r="K504" s="3"/>
      <c r="L504" s="3"/>
      <c r="M504" s="3"/>
      <c r="N504" s="3"/>
      <c r="O504" s="3"/>
      <c r="P504" s="3"/>
      <c r="Q504" s="196"/>
      <c r="R504" s="3"/>
      <c r="S504" s="202"/>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row>
    <row r="505" spans="1:51" ht="15.75" customHeight="1">
      <c r="A505" s="3"/>
      <c r="B505" s="3"/>
      <c r="C505" s="3"/>
      <c r="D505" s="3"/>
      <c r="E505" s="3"/>
      <c r="F505" s="3"/>
      <c r="G505" s="3"/>
      <c r="H505" s="202"/>
      <c r="I505" s="202"/>
      <c r="J505" s="3"/>
      <c r="K505" s="3"/>
      <c r="L505" s="3"/>
      <c r="M505" s="3"/>
      <c r="N505" s="3"/>
      <c r="O505" s="3"/>
      <c r="P505" s="3"/>
      <c r="Q505" s="196"/>
      <c r="R505" s="3"/>
      <c r="S505" s="202"/>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row>
    <row r="506" spans="1:51" ht="15.75" customHeight="1">
      <c r="A506" s="3"/>
      <c r="B506" s="3"/>
      <c r="C506" s="3"/>
      <c r="D506" s="3"/>
      <c r="E506" s="3"/>
      <c r="F506" s="3"/>
      <c r="G506" s="3"/>
      <c r="H506" s="202"/>
      <c r="I506" s="202"/>
      <c r="J506" s="3"/>
      <c r="K506" s="3"/>
      <c r="L506" s="3"/>
      <c r="M506" s="3"/>
      <c r="N506" s="3"/>
      <c r="O506" s="3"/>
      <c r="P506" s="3"/>
      <c r="Q506" s="196"/>
      <c r="R506" s="3"/>
      <c r="S506" s="202"/>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row>
    <row r="507" spans="1:51" ht="15.75" customHeight="1">
      <c r="A507" s="3"/>
      <c r="B507" s="3"/>
      <c r="C507" s="3"/>
      <c r="D507" s="3"/>
      <c r="E507" s="3"/>
      <c r="F507" s="3"/>
      <c r="G507" s="3"/>
      <c r="H507" s="202"/>
      <c r="I507" s="202"/>
      <c r="J507" s="3"/>
      <c r="K507" s="3"/>
      <c r="L507" s="3"/>
      <c r="M507" s="3"/>
      <c r="N507" s="3"/>
      <c r="O507" s="3"/>
      <c r="P507" s="3"/>
      <c r="Q507" s="196"/>
      <c r="R507" s="3"/>
      <c r="S507" s="202"/>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row>
    <row r="508" spans="1:51" ht="15.75" customHeight="1">
      <c r="A508" s="3"/>
      <c r="B508" s="3"/>
      <c r="C508" s="3"/>
      <c r="D508" s="3"/>
      <c r="E508" s="3"/>
      <c r="F508" s="3"/>
      <c r="G508" s="3"/>
      <c r="H508" s="202"/>
      <c r="I508" s="202"/>
      <c r="J508" s="3"/>
      <c r="K508" s="3"/>
      <c r="L508" s="3"/>
      <c r="M508" s="3"/>
      <c r="N508" s="3"/>
      <c r="O508" s="3"/>
      <c r="P508" s="3"/>
      <c r="Q508" s="196"/>
      <c r="R508" s="3"/>
      <c r="S508" s="202"/>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row>
    <row r="509" spans="1:51" ht="15.75" customHeight="1">
      <c r="A509" s="3"/>
      <c r="B509" s="3"/>
      <c r="C509" s="3"/>
      <c r="D509" s="3"/>
      <c r="E509" s="3"/>
      <c r="F509" s="3"/>
      <c r="G509" s="3"/>
      <c r="H509" s="202"/>
      <c r="I509" s="202"/>
      <c r="J509" s="3"/>
      <c r="K509" s="3"/>
      <c r="L509" s="3"/>
      <c r="M509" s="3"/>
      <c r="N509" s="3"/>
      <c r="O509" s="3"/>
      <c r="P509" s="3"/>
      <c r="Q509" s="196"/>
      <c r="R509" s="3"/>
      <c r="S509" s="202"/>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row>
    <row r="510" spans="1:51" ht="15.75" customHeight="1">
      <c r="A510" s="3"/>
      <c r="B510" s="3"/>
      <c r="C510" s="3"/>
      <c r="D510" s="3"/>
      <c r="E510" s="3"/>
      <c r="F510" s="3"/>
      <c r="G510" s="3"/>
      <c r="H510" s="202"/>
      <c r="I510" s="202"/>
      <c r="J510" s="3"/>
      <c r="K510" s="3"/>
      <c r="L510" s="3"/>
      <c r="M510" s="3"/>
      <c r="N510" s="3"/>
      <c r="O510" s="3"/>
      <c r="P510" s="3"/>
      <c r="Q510" s="196"/>
      <c r="R510" s="3"/>
      <c r="S510" s="202"/>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row>
    <row r="511" spans="1:51" ht="15.75" customHeight="1">
      <c r="A511" s="3"/>
      <c r="B511" s="3"/>
      <c r="C511" s="3"/>
      <c r="D511" s="3"/>
      <c r="E511" s="3"/>
      <c r="F511" s="3"/>
      <c r="G511" s="3"/>
      <c r="H511" s="202"/>
      <c r="I511" s="202"/>
      <c r="J511" s="3"/>
      <c r="K511" s="3"/>
      <c r="L511" s="3"/>
      <c r="M511" s="3"/>
      <c r="N511" s="3"/>
      <c r="O511" s="3"/>
      <c r="P511" s="3"/>
      <c r="Q511" s="196"/>
      <c r="R511" s="3"/>
      <c r="S511" s="202"/>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row>
    <row r="512" spans="1:51" ht="15.75" customHeight="1">
      <c r="A512" s="3"/>
      <c r="B512" s="3"/>
      <c r="C512" s="3"/>
      <c r="D512" s="3"/>
      <c r="E512" s="3"/>
      <c r="F512" s="3"/>
      <c r="G512" s="3"/>
      <c r="H512" s="202"/>
      <c r="I512" s="202"/>
      <c r="J512" s="3"/>
      <c r="K512" s="3"/>
      <c r="L512" s="3"/>
      <c r="M512" s="3"/>
      <c r="N512" s="3"/>
      <c r="O512" s="3"/>
      <c r="P512" s="3"/>
      <c r="Q512" s="196"/>
      <c r="R512" s="3"/>
      <c r="S512" s="202"/>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row>
    <row r="513" spans="1:51" ht="15.75" customHeight="1">
      <c r="A513" s="3"/>
      <c r="B513" s="3"/>
      <c r="C513" s="3"/>
      <c r="D513" s="3"/>
      <c r="E513" s="3"/>
      <c r="F513" s="3"/>
      <c r="G513" s="3"/>
      <c r="H513" s="202"/>
      <c r="I513" s="202"/>
      <c r="J513" s="3"/>
      <c r="K513" s="3"/>
      <c r="L513" s="3"/>
      <c r="M513" s="3"/>
      <c r="N513" s="3"/>
      <c r="O513" s="3"/>
      <c r="P513" s="3"/>
      <c r="Q513" s="196"/>
      <c r="R513" s="3"/>
      <c r="S513" s="202"/>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row>
    <row r="514" spans="1:51" ht="15.75" customHeight="1">
      <c r="A514" s="3"/>
      <c r="B514" s="3"/>
      <c r="C514" s="3"/>
      <c r="D514" s="3"/>
      <c r="E514" s="3"/>
      <c r="F514" s="3"/>
      <c r="G514" s="3"/>
      <c r="H514" s="202"/>
      <c r="I514" s="202"/>
      <c r="J514" s="3"/>
      <c r="K514" s="3"/>
      <c r="L514" s="3"/>
      <c r="M514" s="3"/>
      <c r="N514" s="3"/>
      <c r="O514" s="3"/>
      <c r="P514" s="3"/>
      <c r="Q514" s="196"/>
      <c r="R514" s="3"/>
      <c r="S514" s="202"/>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row>
    <row r="515" spans="1:51" ht="15.75" customHeight="1">
      <c r="A515" s="3"/>
      <c r="B515" s="3"/>
      <c r="C515" s="3"/>
      <c r="D515" s="3"/>
      <c r="E515" s="3"/>
      <c r="F515" s="3"/>
      <c r="G515" s="3"/>
      <c r="H515" s="202"/>
      <c r="I515" s="202"/>
      <c r="J515" s="3"/>
      <c r="K515" s="3"/>
      <c r="L515" s="3"/>
      <c r="M515" s="3"/>
      <c r="N515" s="3"/>
      <c r="O515" s="3"/>
      <c r="P515" s="3"/>
      <c r="Q515" s="196"/>
      <c r="R515" s="3"/>
      <c r="S515" s="202"/>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row>
    <row r="516" spans="1:51" ht="15.75" customHeight="1">
      <c r="A516" s="3"/>
      <c r="B516" s="3"/>
      <c r="C516" s="3"/>
      <c r="D516" s="3"/>
      <c r="E516" s="3"/>
      <c r="F516" s="3"/>
      <c r="G516" s="3"/>
      <c r="H516" s="202"/>
      <c r="I516" s="202"/>
      <c r="J516" s="3"/>
      <c r="K516" s="3"/>
      <c r="L516" s="3"/>
      <c r="M516" s="3"/>
      <c r="N516" s="3"/>
      <c r="O516" s="3"/>
      <c r="P516" s="3"/>
      <c r="Q516" s="196"/>
      <c r="R516" s="3"/>
      <c r="S516" s="202"/>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row>
    <row r="517" spans="1:51" ht="15.75" customHeight="1">
      <c r="A517" s="3"/>
      <c r="B517" s="3"/>
      <c r="C517" s="3"/>
      <c r="D517" s="3"/>
      <c r="E517" s="3"/>
      <c r="F517" s="3"/>
      <c r="G517" s="3"/>
      <c r="H517" s="202"/>
      <c r="I517" s="202"/>
      <c r="J517" s="3"/>
      <c r="K517" s="3"/>
      <c r="L517" s="3"/>
      <c r="M517" s="3"/>
      <c r="N517" s="3"/>
      <c r="O517" s="3"/>
      <c r="P517" s="3"/>
      <c r="Q517" s="196"/>
      <c r="R517" s="3"/>
      <c r="S517" s="202"/>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row>
    <row r="518" spans="1:51" ht="15.75" customHeight="1">
      <c r="A518" s="3"/>
      <c r="B518" s="3"/>
      <c r="C518" s="3"/>
      <c r="D518" s="3"/>
      <c r="E518" s="3"/>
      <c r="F518" s="3"/>
      <c r="G518" s="3"/>
      <c r="H518" s="202"/>
      <c r="I518" s="202"/>
      <c r="J518" s="3"/>
      <c r="K518" s="3"/>
      <c r="L518" s="3"/>
      <c r="M518" s="3"/>
      <c r="N518" s="3"/>
      <c r="O518" s="3"/>
      <c r="P518" s="3"/>
      <c r="Q518" s="196"/>
      <c r="R518" s="3"/>
      <c r="S518" s="202"/>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row>
    <row r="519" spans="1:51" ht="15.75" customHeight="1">
      <c r="A519" s="3"/>
      <c r="B519" s="3"/>
      <c r="C519" s="3"/>
      <c r="D519" s="3"/>
      <c r="E519" s="3"/>
      <c r="F519" s="3"/>
      <c r="G519" s="3"/>
      <c r="H519" s="202"/>
      <c r="I519" s="202"/>
      <c r="J519" s="3"/>
      <c r="K519" s="3"/>
      <c r="L519" s="3"/>
      <c r="M519" s="3"/>
      <c r="N519" s="3"/>
      <c r="O519" s="3"/>
      <c r="P519" s="3"/>
      <c r="Q519" s="196"/>
      <c r="R519" s="3"/>
      <c r="S519" s="202"/>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row>
    <row r="520" spans="1:51" ht="15.75" customHeight="1">
      <c r="A520" s="3"/>
      <c r="B520" s="3"/>
      <c r="C520" s="3"/>
      <c r="D520" s="3"/>
      <c r="E520" s="3"/>
      <c r="F520" s="3"/>
      <c r="G520" s="3"/>
      <c r="H520" s="202"/>
      <c r="I520" s="202"/>
      <c r="J520" s="3"/>
      <c r="K520" s="3"/>
      <c r="L520" s="3"/>
      <c r="M520" s="3"/>
      <c r="N520" s="3"/>
      <c r="O520" s="3"/>
      <c r="P520" s="3"/>
      <c r="Q520" s="196"/>
      <c r="R520" s="3"/>
      <c r="S520" s="202"/>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row>
    <row r="521" spans="1:51" ht="15.75" customHeight="1">
      <c r="A521" s="3"/>
      <c r="B521" s="3"/>
      <c r="C521" s="3"/>
      <c r="D521" s="3"/>
      <c r="E521" s="3"/>
      <c r="F521" s="3"/>
      <c r="G521" s="3"/>
      <c r="H521" s="202"/>
      <c r="I521" s="202"/>
      <c r="J521" s="3"/>
      <c r="K521" s="3"/>
      <c r="L521" s="3"/>
      <c r="M521" s="3"/>
      <c r="N521" s="3"/>
      <c r="O521" s="3"/>
      <c r="P521" s="3"/>
      <c r="Q521" s="196"/>
      <c r="R521" s="3"/>
      <c r="S521" s="202"/>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row>
    <row r="522" spans="1:51" ht="15.75" customHeight="1">
      <c r="A522" s="3"/>
      <c r="B522" s="3"/>
      <c r="C522" s="3"/>
      <c r="D522" s="3"/>
      <c r="E522" s="3"/>
      <c r="F522" s="3"/>
      <c r="G522" s="3"/>
      <c r="H522" s="202"/>
      <c r="I522" s="202"/>
      <c r="J522" s="3"/>
      <c r="K522" s="3"/>
      <c r="L522" s="3"/>
      <c r="M522" s="3"/>
      <c r="N522" s="3"/>
      <c r="O522" s="3"/>
      <c r="P522" s="3"/>
      <c r="Q522" s="196"/>
      <c r="R522" s="3"/>
      <c r="S522" s="202"/>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row>
    <row r="523" spans="1:51" ht="15.75" customHeight="1">
      <c r="A523" s="3"/>
      <c r="B523" s="3"/>
      <c r="C523" s="3"/>
      <c r="D523" s="3"/>
      <c r="E523" s="3"/>
      <c r="F523" s="3"/>
      <c r="G523" s="3"/>
      <c r="H523" s="202"/>
      <c r="I523" s="202"/>
      <c r="J523" s="3"/>
      <c r="K523" s="3"/>
      <c r="L523" s="3"/>
      <c r="M523" s="3"/>
      <c r="N523" s="3"/>
      <c r="O523" s="3"/>
      <c r="P523" s="3"/>
      <c r="Q523" s="196"/>
      <c r="R523" s="3"/>
      <c r="S523" s="202"/>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row>
    <row r="524" spans="1:51" ht="15.75" customHeight="1">
      <c r="A524" s="3"/>
      <c r="B524" s="3"/>
      <c r="C524" s="3"/>
      <c r="D524" s="3"/>
      <c r="E524" s="3"/>
      <c r="F524" s="3"/>
      <c r="G524" s="3"/>
      <c r="H524" s="202"/>
      <c r="I524" s="202"/>
      <c r="J524" s="3"/>
      <c r="K524" s="3"/>
      <c r="L524" s="3"/>
      <c r="M524" s="3"/>
      <c r="N524" s="3"/>
      <c r="O524" s="3"/>
      <c r="P524" s="3"/>
      <c r="Q524" s="196"/>
      <c r="R524" s="3"/>
      <c r="S524" s="202"/>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row>
    <row r="525" spans="1:51" ht="15.75" customHeight="1">
      <c r="A525" s="3"/>
      <c r="B525" s="3"/>
      <c r="C525" s="3"/>
      <c r="D525" s="3"/>
      <c r="E525" s="3"/>
      <c r="F525" s="3"/>
      <c r="G525" s="3"/>
      <c r="H525" s="202"/>
      <c r="I525" s="202"/>
      <c r="J525" s="3"/>
      <c r="K525" s="3"/>
      <c r="L525" s="3"/>
      <c r="M525" s="3"/>
      <c r="N525" s="3"/>
      <c r="O525" s="3"/>
      <c r="P525" s="3"/>
      <c r="Q525" s="196"/>
      <c r="R525" s="3"/>
      <c r="S525" s="202"/>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row>
    <row r="526" spans="1:51" ht="15.75" customHeight="1">
      <c r="A526" s="3"/>
      <c r="B526" s="3"/>
      <c r="C526" s="3"/>
      <c r="D526" s="3"/>
      <c r="E526" s="3"/>
      <c r="F526" s="3"/>
      <c r="G526" s="3"/>
      <c r="H526" s="202"/>
      <c r="I526" s="202"/>
      <c r="J526" s="3"/>
      <c r="K526" s="3"/>
      <c r="L526" s="3"/>
      <c r="M526" s="3"/>
      <c r="N526" s="3"/>
      <c r="O526" s="3"/>
      <c r="P526" s="3"/>
      <c r="Q526" s="196"/>
      <c r="R526" s="3"/>
      <c r="S526" s="202"/>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row>
    <row r="527" spans="1:51" ht="15.75" customHeight="1">
      <c r="A527" s="3"/>
      <c r="B527" s="3"/>
      <c r="C527" s="3"/>
      <c r="D527" s="3"/>
      <c r="E527" s="3"/>
      <c r="F527" s="3"/>
      <c r="G527" s="3"/>
      <c r="H527" s="202"/>
      <c r="I527" s="202"/>
      <c r="J527" s="3"/>
      <c r="K527" s="3"/>
      <c r="L527" s="3"/>
      <c r="M527" s="3"/>
      <c r="N527" s="3"/>
      <c r="O527" s="3"/>
      <c r="P527" s="3"/>
      <c r="Q527" s="196"/>
      <c r="R527" s="3"/>
      <c r="S527" s="202"/>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row>
    <row r="528" spans="1:51" ht="15.75" customHeight="1">
      <c r="A528" s="3"/>
      <c r="B528" s="3"/>
      <c r="C528" s="3"/>
      <c r="D528" s="3"/>
      <c r="E528" s="3"/>
      <c r="F528" s="3"/>
      <c r="G528" s="3"/>
      <c r="H528" s="202"/>
      <c r="I528" s="202"/>
      <c r="J528" s="3"/>
      <c r="K528" s="3"/>
      <c r="L528" s="3"/>
      <c r="M528" s="3"/>
      <c r="N528" s="3"/>
      <c r="O528" s="3"/>
      <c r="P528" s="3"/>
      <c r="Q528" s="196"/>
      <c r="R528" s="3"/>
      <c r="S528" s="202"/>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row>
    <row r="529" spans="1:51" ht="15.75" customHeight="1">
      <c r="A529" s="3"/>
      <c r="B529" s="3"/>
      <c r="C529" s="3"/>
      <c r="D529" s="3"/>
      <c r="E529" s="3"/>
      <c r="F529" s="3"/>
      <c r="G529" s="3"/>
      <c r="H529" s="202"/>
      <c r="I529" s="202"/>
      <c r="J529" s="3"/>
      <c r="K529" s="3"/>
      <c r="L529" s="3"/>
      <c r="M529" s="3"/>
      <c r="N529" s="3"/>
      <c r="O529" s="3"/>
      <c r="P529" s="3"/>
      <c r="Q529" s="196"/>
      <c r="R529" s="3"/>
      <c r="S529" s="202"/>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row>
    <row r="530" spans="1:51" ht="15.75" customHeight="1">
      <c r="A530" s="3"/>
      <c r="B530" s="3"/>
      <c r="C530" s="3"/>
      <c r="D530" s="3"/>
      <c r="E530" s="3"/>
      <c r="F530" s="3"/>
      <c r="G530" s="3"/>
      <c r="H530" s="202"/>
      <c r="I530" s="202"/>
      <c r="J530" s="3"/>
      <c r="K530" s="3"/>
      <c r="L530" s="3"/>
      <c r="M530" s="3"/>
      <c r="N530" s="3"/>
      <c r="O530" s="3"/>
      <c r="P530" s="3"/>
      <c r="Q530" s="196"/>
      <c r="R530" s="3"/>
      <c r="S530" s="202"/>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row>
    <row r="531" spans="1:51" ht="15.75" customHeight="1">
      <c r="A531" s="3"/>
      <c r="B531" s="3"/>
      <c r="C531" s="3"/>
      <c r="D531" s="3"/>
      <c r="E531" s="3"/>
      <c r="F531" s="3"/>
      <c r="G531" s="3"/>
      <c r="H531" s="202"/>
      <c r="I531" s="202"/>
      <c r="J531" s="3"/>
      <c r="K531" s="3"/>
      <c r="L531" s="3"/>
      <c r="M531" s="3"/>
      <c r="N531" s="3"/>
      <c r="O531" s="3"/>
      <c r="P531" s="3"/>
      <c r="Q531" s="196"/>
      <c r="R531" s="3"/>
      <c r="S531" s="202"/>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row>
    <row r="532" spans="1:51" ht="15.75" customHeight="1">
      <c r="A532" s="3"/>
      <c r="B532" s="3"/>
      <c r="C532" s="3"/>
      <c r="D532" s="3"/>
      <c r="E532" s="3"/>
      <c r="F532" s="3"/>
      <c r="G532" s="3"/>
      <c r="H532" s="202"/>
      <c r="I532" s="202"/>
      <c r="J532" s="3"/>
      <c r="K532" s="3"/>
      <c r="L532" s="3"/>
      <c r="M532" s="3"/>
      <c r="N532" s="3"/>
      <c r="O532" s="3"/>
      <c r="P532" s="3"/>
      <c r="Q532" s="196"/>
      <c r="R532" s="3"/>
      <c r="S532" s="202"/>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row>
    <row r="533" spans="1:51" ht="15.75" customHeight="1">
      <c r="A533" s="3"/>
      <c r="B533" s="3"/>
      <c r="C533" s="3"/>
      <c r="D533" s="3"/>
      <c r="E533" s="3"/>
      <c r="F533" s="3"/>
      <c r="G533" s="3"/>
      <c r="H533" s="202"/>
      <c r="I533" s="202"/>
      <c r="J533" s="3"/>
      <c r="K533" s="3"/>
      <c r="L533" s="3"/>
      <c r="M533" s="3"/>
      <c r="N533" s="3"/>
      <c r="O533" s="3"/>
      <c r="P533" s="3"/>
      <c r="Q533" s="196"/>
      <c r="R533" s="3"/>
      <c r="S533" s="202"/>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row>
    <row r="534" spans="1:51" ht="15.75" customHeight="1">
      <c r="A534" s="3"/>
      <c r="B534" s="3"/>
      <c r="C534" s="3"/>
      <c r="D534" s="3"/>
      <c r="E534" s="3"/>
      <c r="F534" s="3"/>
      <c r="G534" s="3"/>
      <c r="H534" s="202"/>
      <c r="I534" s="202"/>
      <c r="J534" s="3"/>
      <c r="K534" s="3"/>
      <c r="L534" s="3"/>
      <c r="M534" s="3"/>
      <c r="N534" s="3"/>
      <c r="O534" s="3"/>
      <c r="P534" s="3"/>
      <c r="Q534" s="196"/>
      <c r="R534" s="3"/>
      <c r="S534" s="202"/>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row>
    <row r="535" spans="1:51" ht="15.75" customHeight="1">
      <c r="A535" s="3"/>
      <c r="B535" s="3"/>
      <c r="C535" s="3"/>
      <c r="D535" s="3"/>
      <c r="E535" s="3"/>
      <c r="F535" s="3"/>
      <c r="G535" s="3"/>
      <c r="H535" s="202"/>
      <c r="I535" s="202"/>
      <c r="J535" s="3"/>
      <c r="K535" s="3"/>
      <c r="L535" s="3"/>
      <c r="M535" s="3"/>
      <c r="N535" s="3"/>
      <c r="O535" s="3"/>
      <c r="P535" s="3"/>
      <c r="Q535" s="196"/>
      <c r="R535" s="3"/>
      <c r="S535" s="202"/>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row>
    <row r="536" spans="1:51" ht="15.75" customHeight="1">
      <c r="A536" s="3"/>
      <c r="B536" s="3"/>
      <c r="C536" s="3"/>
      <c r="D536" s="3"/>
      <c r="E536" s="3"/>
      <c r="F536" s="3"/>
      <c r="G536" s="3"/>
      <c r="H536" s="202"/>
      <c r="I536" s="202"/>
      <c r="J536" s="3"/>
      <c r="K536" s="3"/>
      <c r="L536" s="3"/>
      <c r="M536" s="3"/>
      <c r="N536" s="3"/>
      <c r="O536" s="3"/>
      <c r="P536" s="3"/>
      <c r="Q536" s="196"/>
      <c r="R536" s="3"/>
      <c r="S536" s="202"/>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row>
    <row r="537" spans="1:51" ht="15.75" customHeight="1">
      <c r="A537" s="3"/>
      <c r="B537" s="3"/>
      <c r="C537" s="3"/>
      <c r="D537" s="3"/>
      <c r="E537" s="3"/>
      <c r="F537" s="3"/>
      <c r="G537" s="3"/>
      <c r="H537" s="202"/>
      <c r="I537" s="202"/>
      <c r="J537" s="3"/>
      <c r="K537" s="3"/>
      <c r="L537" s="3"/>
      <c r="M537" s="3"/>
      <c r="N537" s="3"/>
      <c r="O537" s="3"/>
      <c r="P537" s="3"/>
      <c r="Q537" s="196"/>
      <c r="R537" s="3"/>
      <c r="S537" s="202"/>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row>
    <row r="538" spans="1:51" ht="15.75" customHeight="1">
      <c r="A538" s="3"/>
      <c r="B538" s="3"/>
      <c r="C538" s="3"/>
      <c r="D538" s="3"/>
      <c r="E538" s="3"/>
      <c r="F538" s="3"/>
      <c r="G538" s="3"/>
      <c r="H538" s="202"/>
      <c r="I538" s="202"/>
      <c r="J538" s="3"/>
      <c r="K538" s="3"/>
      <c r="L538" s="3"/>
      <c r="M538" s="3"/>
      <c r="N538" s="3"/>
      <c r="O538" s="3"/>
      <c r="P538" s="3"/>
      <c r="Q538" s="196"/>
      <c r="R538" s="3"/>
      <c r="S538" s="202"/>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row>
    <row r="539" spans="1:51" ht="15.75" customHeight="1">
      <c r="A539" s="3"/>
      <c r="B539" s="3"/>
      <c r="C539" s="3"/>
      <c r="D539" s="3"/>
      <c r="E539" s="3"/>
      <c r="F539" s="3"/>
      <c r="G539" s="3"/>
      <c r="H539" s="202"/>
      <c r="I539" s="202"/>
      <c r="J539" s="3"/>
      <c r="K539" s="3"/>
      <c r="L539" s="3"/>
      <c r="M539" s="3"/>
      <c r="N539" s="3"/>
      <c r="O539" s="3"/>
      <c r="P539" s="3"/>
      <c r="Q539" s="196"/>
      <c r="R539" s="3"/>
      <c r="S539" s="202"/>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row>
    <row r="540" spans="1:51" ht="15.75" customHeight="1">
      <c r="A540" s="3"/>
      <c r="B540" s="3"/>
      <c r="C540" s="3"/>
      <c r="D540" s="3"/>
      <c r="E540" s="3"/>
      <c r="F540" s="3"/>
      <c r="G540" s="3"/>
      <c r="H540" s="202"/>
      <c r="I540" s="202"/>
      <c r="J540" s="3"/>
      <c r="K540" s="3"/>
      <c r="L540" s="3"/>
      <c r="M540" s="3"/>
      <c r="N540" s="3"/>
      <c r="O540" s="3"/>
      <c r="P540" s="3"/>
      <c r="Q540" s="196"/>
      <c r="R540" s="3"/>
      <c r="S540" s="202"/>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row>
    <row r="541" spans="1:51" ht="15.75" customHeight="1">
      <c r="A541" s="3"/>
      <c r="B541" s="3"/>
      <c r="C541" s="3"/>
      <c r="D541" s="3"/>
      <c r="E541" s="3"/>
      <c r="F541" s="3"/>
      <c r="G541" s="3"/>
      <c r="H541" s="202"/>
      <c r="I541" s="202"/>
      <c r="J541" s="3"/>
      <c r="K541" s="3"/>
      <c r="L541" s="3"/>
      <c r="M541" s="3"/>
      <c r="N541" s="3"/>
      <c r="O541" s="3"/>
      <c r="P541" s="3"/>
      <c r="Q541" s="196"/>
      <c r="R541" s="3"/>
      <c r="S541" s="202"/>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row>
    <row r="542" spans="1:51" ht="15.75" customHeight="1">
      <c r="A542" s="3"/>
      <c r="B542" s="3"/>
      <c r="C542" s="3"/>
      <c r="D542" s="3"/>
      <c r="E542" s="3"/>
      <c r="F542" s="3"/>
      <c r="G542" s="3"/>
      <c r="H542" s="202"/>
      <c r="I542" s="202"/>
      <c r="J542" s="3"/>
      <c r="K542" s="3"/>
      <c r="L542" s="3"/>
      <c r="M542" s="3"/>
      <c r="N542" s="3"/>
      <c r="O542" s="3"/>
      <c r="P542" s="3"/>
      <c r="Q542" s="196"/>
      <c r="R542" s="3"/>
      <c r="S542" s="202"/>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row>
    <row r="543" spans="1:51" ht="15.75" customHeight="1">
      <c r="A543" s="3"/>
      <c r="B543" s="3"/>
      <c r="C543" s="3"/>
      <c r="D543" s="3"/>
      <c r="E543" s="3"/>
      <c r="F543" s="3"/>
      <c r="G543" s="3"/>
      <c r="H543" s="202"/>
      <c r="I543" s="202"/>
      <c r="J543" s="3"/>
      <c r="K543" s="3"/>
      <c r="L543" s="3"/>
      <c r="M543" s="3"/>
      <c r="N543" s="3"/>
      <c r="O543" s="3"/>
      <c r="P543" s="3"/>
      <c r="Q543" s="196"/>
      <c r="R543" s="3"/>
      <c r="S543" s="202"/>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row>
    <row r="544" spans="1:51" ht="15.75" customHeight="1">
      <c r="A544" s="3"/>
      <c r="B544" s="3"/>
      <c r="C544" s="3"/>
      <c r="D544" s="3"/>
      <c r="E544" s="3"/>
      <c r="F544" s="3"/>
      <c r="G544" s="3"/>
      <c r="H544" s="202"/>
      <c r="I544" s="202"/>
      <c r="J544" s="3"/>
      <c r="K544" s="3"/>
      <c r="L544" s="3"/>
      <c r="M544" s="3"/>
      <c r="N544" s="3"/>
      <c r="O544" s="3"/>
      <c r="P544" s="3"/>
      <c r="Q544" s="196"/>
      <c r="R544" s="3"/>
      <c r="S544" s="202"/>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row>
    <row r="545" spans="1:51" ht="15.75" customHeight="1">
      <c r="A545" s="3"/>
      <c r="B545" s="3"/>
      <c r="C545" s="3"/>
      <c r="D545" s="3"/>
      <c r="E545" s="3"/>
      <c r="F545" s="3"/>
      <c r="G545" s="3"/>
      <c r="H545" s="202"/>
      <c r="I545" s="202"/>
      <c r="J545" s="3"/>
      <c r="K545" s="3"/>
      <c r="L545" s="3"/>
      <c r="M545" s="3"/>
      <c r="N545" s="3"/>
      <c r="O545" s="3"/>
      <c r="P545" s="3"/>
      <c r="Q545" s="196"/>
      <c r="R545" s="3"/>
      <c r="S545" s="202"/>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row>
    <row r="546" spans="1:51" ht="15.75" customHeight="1">
      <c r="A546" s="3"/>
      <c r="B546" s="3"/>
      <c r="C546" s="3"/>
      <c r="D546" s="3"/>
      <c r="E546" s="3"/>
      <c r="F546" s="3"/>
      <c r="G546" s="3"/>
      <c r="H546" s="202"/>
      <c r="I546" s="202"/>
      <c r="J546" s="3"/>
      <c r="K546" s="3"/>
      <c r="L546" s="3"/>
      <c r="M546" s="3"/>
      <c r="N546" s="3"/>
      <c r="O546" s="3"/>
      <c r="P546" s="3"/>
      <c r="Q546" s="196"/>
      <c r="R546" s="3"/>
      <c r="S546" s="202"/>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row>
    <row r="547" spans="1:51" ht="15.75" customHeight="1">
      <c r="A547" s="3"/>
      <c r="B547" s="3"/>
      <c r="C547" s="3"/>
      <c r="D547" s="3"/>
      <c r="E547" s="3"/>
      <c r="F547" s="3"/>
      <c r="G547" s="3"/>
      <c r="H547" s="202"/>
      <c r="I547" s="202"/>
      <c r="J547" s="3"/>
      <c r="K547" s="3"/>
      <c r="L547" s="3"/>
      <c r="M547" s="3"/>
      <c r="N547" s="3"/>
      <c r="O547" s="3"/>
      <c r="P547" s="3"/>
      <c r="Q547" s="196"/>
      <c r="R547" s="3"/>
      <c r="S547" s="202"/>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row>
    <row r="548" spans="1:51" ht="15.75" customHeight="1">
      <c r="A548" s="3"/>
      <c r="B548" s="3"/>
      <c r="C548" s="3"/>
      <c r="D548" s="3"/>
      <c r="E548" s="3"/>
      <c r="F548" s="3"/>
      <c r="G548" s="3"/>
      <c r="H548" s="202"/>
      <c r="I548" s="202"/>
      <c r="J548" s="3"/>
      <c r="K548" s="3"/>
      <c r="L548" s="3"/>
      <c r="M548" s="3"/>
      <c r="N548" s="3"/>
      <c r="O548" s="3"/>
      <c r="P548" s="3"/>
      <c r="Q548" s="196"/>
      <c r="R548" s="3"/>
      <c r="S548" s="202"/>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row>
    <row r="549" spans="1:51" ht="15.75" customHeight="1">
      <c r="A549" s="3"/>
      <c r="B549" s="3"/>
      <c r="C549" s="3"/>
      <c r="D549" s="3"/>
      <c r="E549" s="3"/>
      <c r="F549" s="3"/>
      <c r="G549" s="3"/>
      <c r="H549" s="202"/>
      <c r="I549" s="202"/>
      <c r="J549" s="3"/>
      <c r="K549" s="3"/>
      <c r="L549" s="3"/>
      <c r="M549" s="3"/>
      <c r="N549" s="3"/>
      <c r="O549" s="3"/>
      <c r="P549" s="3"/>
      <c r="Q549" s="196"/>
      <c r="R549" s="3"/>
      <c r="S549" s="202"/>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row>
    <row r="550" spans="1:51" ht="15.75" customHeight="1">
      <c r="A550" s="3"/>
      <c r="B550" s="3"/>
      <c r="C550" s="3"/>
      <c r="D550" s="3"/>
      <c r="E550" s="3"/>
      <c r="F550" s="3"/>
      <c r="G550" s="3"/>
      <c r="H550" s="202"/>
      <c r="I550" s="202"/>
      <c r="J550" s="3"/>
      <c r="K550" s="3"/>
      <c r="L550" s="3"/>
      <c r="M550" s="3"/>
      <c r="N550" s="3"/>
      <c r="O550" s="3"/>
      <c r="P550" s="3"/>
      <c r="Q550" s="196"/>
      <c r="R550" s="3"/>
      <c r="S550" s="202"/>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row>
    <row r="551" spans="1:51" ht="15.75" customHeight="1">
      <c r="A551" s="3"/>
      <c r="B551" s="3"/>
      <c r="C551" s="3"/>
      <c r="D551" s="3"/>
      <c r="E551" s="3"/>
      <c r="F551" s="3"/>
      <c r="G551" s="3"/>
      <c r="H551" s="202"/>
      <c r="I551" s="202"/>
      <c r="J551" s="3"/>
      <c r="K551" s="3"/>
      <c r="L551" s="3"/>
      <c r="M551" s="3"/>
      <c r="N551" s="3"/>
      <c r="O551" s="3"/>
      <c r="P551" s="3"/>
      <c r="Q551" s="196"/>
      <c r="R551" s="3"/>
      <c r="S551" s="202"/>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row>
    <row r="552" spans="1:51" ht="15.75" customHeight="1">
      <c r="A552" s="3"/>
      <c r="B552" s="3"/>
      <c r="C552" s="3"/>
      <c r="D552" s="3"/>
      <c r="E552" s="3"/>
      <c r="F552" s="3"/>
      <c r="G552" s="3"/>
      <c r="H552" s="202"/>
      <c r="I552" s="202"/>
      <c r="J552" s="3"/>
      <c r="K552" s="3"/>
      <c r="L552" s="3"/>
      <c r="M552" s="3"/>
      <c r="N552" s="3"/>
      <c r="O552" s="3"/>
      <c r="P552" s="3"/>
      <c r="Q552" s="196"/>
      <c r="R552" s="3"/>
      <c r="S552" s="202"/>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row>
    <row r="553" spans="1:51" ht="15.75" customHeight="1">
      <c r="A553" s="3"/>
      <c r="B553" s="3"/>
      <c r="C553" s="3"/>
      <c r="D553" s="3"/>
      <c r="E553" s="3"/>
      <c r="F553" s="3"/>
      <c r="G553" s="3"/>
      <c r="H553" s="202"/>
      <c r="I553" s="202"/>
      <c r="J553" s="3"/>
      <c r="K553" s="3"/>
      <c r="L553" s="3"/>
      <c r="M553" s="3"/>
      <c r="N553" s="3"/>
      <c r="O553" s="3"/>
      <c r="P553" s="3"/>
      <c r="Q553" s="196"/>
      <c r="R553" s="3"/>
      <c r="S553" s="202"/>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row>
    <row r="554" spans="1:51" ht="15.75" customHeight="1">
      <c r="A554" s="3"/>
      <c r="B554" s="3"/>
      <c r="C554" s="3"/>
      <c r="D554" s="3"/>
      <c r="E554" s="3"/>
      <c r="F554" s="3"/>
      <c r="G554" s="3"/>
      <c r="H554" s="202"/>
      <c r="I554" s="202"/>
      <c r="J554" s="3"/>
      <c r="K554" s="3"/>
      <c r="L554" s="3"/>
      <c r="M554" s="3"/>
      <c r="N554" s="3"/>
      <c r="O554" s="3"/>
      <c r="P554" s="3"/>
      <c r="Q554" s="196"/>
      <c r="R554" s="3"/>
      <c r="S554" s="202"/>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row>
    <row r="555" spans="1:51" ht="15.75" customHeight="1">
      <c r="A555" s="3"/>
      <c r="B555" s="3"/>
      <c r="C555" s="3"/>
      <c r="D555" s="3"/>
      <c r="E555" s="3"/>
      <c r="F555" s="3"/>
      <c r="G555" s="3"/>
      <c r="H555" s="202"/>
      <c r="I555" s="202"/>
      <c r="J555" s="3"/>
      <c r="K555" s="3"/>
      <c r="L555" s="3"/>
      <c r="M555" s="3"/>
      <c r="N555" s="3"/>
      <c r="O555" s="3"/>
      <c r="P555" s="3"/>
      <c r="Q555" s="196"/>
      <c r="R555" s="3"/>
      <c r="S555" s="202"/>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row>
    <row r="556" spans="1:51" ht="15.75" customHeight="1">
      <c r="A556" s="3"/>
      <c r="B556" s="3"/>
      <c r="C556" s="3"/>
      <c r="D556" s="3"/>
      <c r="E556" s="3"/>
      <c r="F556" s="3"/>
      <c r="G556" s="3"/>
      <c r="H556" s="202"/>
      <c r="I556" s="202"/>
      <c r="J556" s="3"/>
      <c r="K556" s="3"/>
      <c r="L556" s="3"/>
      <c r="M556" s="3"/>
      <c r="N556" s="3"/>
      <c r="O556" s="3"/>
      <c r="P556" s="3"/>
      <c r="Q556" s="196"/>
      <c r="R556" s="3"/>
      <c r="S556" s="202"/>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row>
    <row r="557" spans="1:51" ht="15.75" customHeight="1">
      <c r="A557" s="3"/>
      <c r="B557" s="3"/>
      <c r="C557" s="3"/>
      <c r="D557" s="3"/>
      <c r="E557" s="3"/>
      <c r="F557" s="3"/>
      <c r="G557" s="3"/>
      <c r="H557" s="202"/>
      <c r="I557" s="202"/>
      <c r="J557" s="3"/>
      <c r="K557" s="3"/>
      <c r="L557" s="3"/>
      <c r="M557" s="3"/>
      <c r="N557" s="3"/>
      <c r="O557" s="3"/>
      <c r="P557" s="3"/>
      <c r="Q557" s="196"/>
      <c r="R557" s="3"/>
      <c r="S557" s="202"/>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row>
    <row r="558" spans="1:51" ht="15.75" customHeight="1">
      <c r="A558" s="3"/>
      <c r="B558" s="3"/>
      <c r="C558" s="3"/>
      <c r="D558" s="3"/>
      <c r="E558" s="3"/>
      <c r="F558" s="3"/>
      <c r="G558" s="3"/>
      <c r="H558" s="202"/>
      <c r="I558" s="202"/>
      <c r="J558" s="3"/>
      <c r="K558" s="3"/>
      <c r="L558" s="3"/>
      <c r="M558" s="3"/>
      <c r="N558" s="3"/>
      <c r="O558" s="3"/>
      <c r="P558" s="3"/>
      <c r="Q558" s="196"/>
      <c r="R558" s="3"/>
      <c r="S558" s="202"/>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row>
    <row r="559" spans="1:51" ht="15.75" customHeight="1">
      <c r="A559" s="3"/>
      <c r="B559" s="3"/>
      <c r="C559" s="3"/>
      <c r="D559" s="3"/>
      <c r="E559" s="3"/>
      <c r="F559" s="3"/>
      <c r="G559" s="3"/>
      <c r="H559" s="202"/>
      <c r="I559" s="202"/>
      <c r="J559" s="3"/>
      <c r="K559" s="3"/>
      <c r="L559" s="3"/>
      <c r="M559" s="3"/>
      <c r="N559" s="3"/>
      <c r="O559" s="3"/>
      <c r="P559" s="3"/>
      <c r="Q559" s="196"/>
      <c r="R559" s="3"/>
      <c r="S559" s="202"/>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row>
    <row r="560" spans="1:51" ht="15.75" customHeight="1">
      <c r="A560" s="3"/>
      <c r="B560" s="3"/>
      <c r="C560" s="3"/>
      <c r="D560" s="3"/>
      <c r="E560" s="3"/>
      <c r="F560" s="3"/>
      <c r="G560" s="3"/>
      <c r="H560" s="202"/>
      <c r="I560" s="202"/>
      <c r="J560" s="3"/>
      <c r="K560" s="3"/>
      <c r="L560" s="3"/>
      <c r="M560" s="3"/>
      <c r="N560" s="3"/>
      <c r="O560" s="3"/>
      <c r="P560" s="3"/>
      <c r="Q560" s="196"/>
      <c r="R560" s="3"/>
      <c r="S560" s="202"/>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row>
    <row r="561" spans="1:51" ht="15.75" customHeight="1">
      <c r="A561" s="3"/>
      <c r="B561" s="3"/>
      <c r="C561" s="3"/>
      <c r="D561" s="3"/>
      <c r="E561" s="3"/>
      <c r="F561" s="3"/>
      <c r="G561" s="3"/>
      <c r="H561" s="202"/>
      <c r="I561" s="202"/>
      <c r="J561" s="3"/>
      <c r="K561" s="3"/>
      <c r="L561" s="3"/>
      <c r="M561" s="3"/>
      <c r="N561" s="3"/>
      <c r="O561" s="3"/>
      <c r="P561" s="3"/>
      <c r="Q561" s="196"/>
      <c r="R561" s="3"/>
      <c r="S561" s="202"/>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row>
    <row r="562" spans="1:51" ht="15.75" customHeight="1">
      <c r="A562" s="3"/>
      <c r="B562" s="3"/>
      <c r="C562" s="3"/>
      <c r="D562" s="3"/>
      <c r="E562" s="3"/>
      <c r="F562" s="3"/>
      <c r="G562" s="3"/>
      <c r="H562" s="202"/>
      <c r="I562" s="202"/>
      <c r="J562" s="3"/>
      <c r="K562" s="3"/>
      <c r="L562" s="3"/>
      <c r="M562" s="3"/>
      <c r="N562" s="3"/>
      <c r="O562" s="3"/>
      <c r="P562" s="3"/>
      <c r="Q562" s="196"/>
      <c r="R562" s="3"/>
      <c r="S562" s="202"/>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row>
    <row r="563" spans="1:51" ht="15.75" customHeight="1">
      <c r="A563" s="3"/>
      <c r="B563" s="3"/>
      <c r="C563" s="3"/>
      <c r="D563" s="3"/>
      <c r="E563" s="3"/>
      <c r="F563" s="3"/>
      <c r="G563" s="3"/>
      <c r="H563" s="202"/>
      <c r="I563" s="202"/>
      <c r="J563" s="3"/>
      <c r="K563" s="3"/>
      <c r="L563" s="3"/>
      <c r="M563" s="3"/>
      <c r="N563" s="3"/>
      <c r="O563" s="3"/>
      <c r="P563" s="3"/>
      <c r="Q563" s="196"/>
      <c r="R563" s="3"/>
      <c r="S563" s="202"/>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row>
    <row r="564" spans="1:51" ht="15.75" customHeight="1">
      <c r="A564" s="3"/>
      <c r="B564" s="3"/>
      <c r="C564" s="3"/>
      <c r="D564" s="3"/>
      <c r="E564" s="3"/>
      <c r="F564" s="3"/>
      <c r="G564" s="3"/>
      <c r="H564" s="202"/>
      <c r="I564" s="202"/>
      <c r="J564" s="3"/>
      <c r="K564" s="3"/>
      <c r="L564" s="3"/>
      <c r="M564" s="3"/>
      <c r="N564" s="3"/>
      <c r="O564" s="3"/>
      <c r="P564" s="3"/>
      <c r="Q564" s="196"/>
      <c r="R564" s="3"/>
      <c r="S564" s="202"/>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row>
    <row r="565" spans="1:51" ht="15.75" customHeight="1">
      <c r="A565" s="3"/>
      <c r="B565" s="3"/>
      <c r="C565" s="3"/>
      <c r="D565" s="3"/>
      <c r="E565" s="3"/>
      <c r="F565" s="3"/>
      <c r="G565" s="3"/>
      <c r="H565" s="202"/>
      <c r="I565" s="202"/>
      <c r="J565" s="3"/>
      <c r="K565" s="3"/>
      <c r="L565" s="3"/>
      <c r="M565" s="3"/>
      <c r="N565" s="3"/>
      <c r="O565" s="3"/>
      <c r="P565" s="3"/>
      <c r="Q565" s="196"/>
      <c r="R565" s="3"/>
      <c r="S565" s="202"/>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row>
    <row r="566" spans="1:51" ht="15.75" customHeight="1">
      <c r="A566" s="3"/>
      <c r="B566" s="3"/>
      <c r="C566" s="3"/>
      <c r="D566" s="3"/>
      <c r="E566" s="3"/>
      <c r="F566" s="3"/>
      <c r="G566" s="3"/>
      <c r="H566" s="202"/>
      <c r="I566" s="202"/>
      <c r="J566" s="3"/>
      <c r="K566" s="3"/>
      <c r="L566" s="3"/>
      <c r="M566" s="3"/>
      <c r="N566" s="3"/>
      <c r="O566" s="3"/>
      <c r="P566" s="3"/>
      <c r="Q566" s="196"/>
      <c r="R566" s="3"/>
      <c r="S566" s="202"/>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row>
    <row r="567" spans="1:51" ht="15.75" customHeight="1">
      <c r="A567" s="3"/>
      <c r="B567" s="3"/>
      <c r="C567" s="3"/>
      <c r="D567" s="3"/>
      <c r="E567" s="3"/>
      <c r="F567" s="3"/>
      <c r="G567" s="3"/>
      <c r="H567" s="202"/>
      <c r="I567" s="202"/>
      <c r="J567" s="3"/>
      <c r="K567" s="3"/>
      <c r="L567" s="3"/>
      <c r="M567" s="3"/>
      <c r="N567" s="3"/>
      <c r="O567" s="3"/>
      <c r="P567" s="3"/>
      <c r="Q567" s="196"/>
      <c r="R567" s="3"/>
      <c r="S567" s="202"/>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row>
    <row r="568" spans="1:51" ht="15.75" customHeight="1">
      <c r="A568" s="3"/>
      <c r="B568" s="3"/>
      <c r="C568" s="3"/>
      <c r="D568" s="3"/>
      <c r="E568" s="3"/>
      <c r="F568" s="3"/>
      <c r="G568" s="3"/>
      <c r="H568" s="202"/>
      <c r="I568" s="202"/>
      <c r="J568" s="3"/>
      <c r="K568" s="3"/>
      <c r="L568" s="3"/>
      <c r="M568" s="3"/>
      <c r="N568" s="3"/>
      <c r="O568" s="3"/>
      <c r="P568" s="3"/>
      <c r="Q568" s="196"/>
      <c r="R568" s="3"/>
      <c r="S568" s="202"/>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row>
    <row r="569" spans="1:51" ht="15.75" customHeight="1">
      <c r="A569" s="3"/>
      <c r="B569" s="3"/>
      <c r="C569" s="3"/>
      <c r="D569" s="3"/>
      <c r="E569" s="3"/>
      <c r="F569" s="3"/>
      <c r="G569" s="3"/>
      <c r="H569" s="202"/>
      <c r="I569" s="202"/>
      <c r="J569" s="3"/>
      <c r="K569" s="3"/>
      <c r="L569" s="3"/>
      <c r="M569" s="3"/>
      <c r="N569" s="3"/>
      <c r="O569" s="3"/>
      <c r="P569" s="3"/>
      <c r="Q569" s="196"/>
      <c r="R569" s="3"/>
      <c r="S569" s="202"/>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row>
    <row r="570" spans="1:51" ht="15.75" customHeight="1">
      <c r="A570" s="3"/>
      <c r="B570" s="3"/>
      <c r="C570" s="3"/>
      <c r="D570" s="3"/>
      <c r="E570" s="3"/>
      <c r="F570" s="3"/>
      <c r="G570" s="3"/>
      <c r="H570" s="202"/>
      <c r="I570" s="202"/>
      <c r="J570" s="3"/>
      <c r="K570" s="3"/>
      <c r="L570" s="3"/>
      <c r="M570" s="3"/>
      <c r="N570" s="3"/>
      <c r="O570" s="3"/>
      <c r="P570" s="3"/>
      <c r="Q570" s="196"/>
      <c r="R570" s="3"/>
      <c r="S570" s="202"/>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row>
    <row r="571" spans="1:51" ht="15.75" customHeight="1">
      <c r="A571" s="3"/>
      <c r="B571" s="3"/>
      <c r="C571" s="3"/>
      <c r="D571" s="3"/>
      <c r="E571" s="3"/>
      <c r="F571" s="3"/>
      <c r="G571" s="3"/>
      <c r="H571" s="202"/>
      <c r="I571" s="202"/>
      <c r="J571" s="3"/>
      <c r="K571" s="3"/>
      <c r="L571" s="3"/>
      <c r="M571" s="3"/>
      <c r="N571" s="3"/>
      <c r="O571" s="3"/>
      <c r="P571" s="3"/>
      <c r="Q571" s="196"/>
      <c r="R571" s="3"/>
      <c r="S571" s="202"/>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row>
    <row r="572" spans="1:51" ht="15.75" customHeight="1">
      <c r="A572" s="3"/>
      <c r="B572" s="3"/>
      <c r="C572" s="3"/>
      <c r="D572" s="3"/>
      <c r="E572" s="3"/>
      <c r="F572" s="3"/>
      <c r="G572" s="3"/>
      <c r="H572" s="202"/>
      <c r="I572" s="202"/>
      <c r="J572" s="3"/>
      <c r="K572" s="3"/>
      <c r="L572" s="3"/>
      <c r="M572" s="3"/>
      <c r="N572" s="3"/>
      <c r="O572" s="3"/>
      <c r="P572" s="3"/>
      <c r="Q572" s="196"/>
      <c r="R572" s="3"/>
      <c r="S572" s="202"/>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row>
    <row r="573" spans="1:51" ht="15.75" customHeight="1">
      <c r="A573" s="3"/>
      <c r="B573" s="3"/>
      <c r="C573" s="3"/>
      <c r="D573" s="3"/>
      <c r="E573" s="3"/>
      <c r="F573" s="3"/>
      <c r="G573" s="3"/>
      <c r="H573" s="202"/>
      <c r="I573" s="202"/>
      <c r="J573" s="3"/>
      <c r="K573" s="3"/>
      <c r="L573" s="3"/>
      <c r="M573" s="3"/>
      <c r="N573" s="3"/>
      <c r="O573" s="3"/>
      <c r="P573" s="3"/>
      <c r="Q573" s="196"/>
      <c r="R573" s="3"/>
      <c r="S573" s="202"/>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row>
    <row r="574" spans="1:51" ht="15.75" customHeight="1">
      <c r="A574" s="3"/>
      <c r="B574" s="3"/>
      <c r="C574" s="3"/>
      <c r="D574" s="3"/>
      <c r="E574" s="3"/>
      <c r="F574" s="3"/>
      <c r="G574" s="3"/>
      <c r="H574" s="202"/>
      <c r="I574" s="202"/>
      <c r="J574" s="3"/>
      <c r="K574" s="3"/>
      <c r="L574" s="3"/>
      <c r="M574" s="3"/>
      <c r="N574" s="3"/>
      <c r="O574" s="3"/>
      <c r="P574" s="3"/>
      <c r="Q574" s="196"/>
      <c r="R574" s="3"/>
      <c r="S574" s="202"/>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row>
    <row r="575" spans="1:51" ht="15.75" customHeight="1">
      <c r="A575" s="3"/>
      <c r="B575" s="3"/>
      <c r="C575" s="3"/>
      <c r="D575" s="3"/>
      <c r="E575" s="3"/>
      <c r="F575" s="3"/>
      <c r="G575" s="3"/>
      <c r="H575" s="202"/>
      <c r="I575" s="202"/>
      <c r="J575" s="3"/>
      <c r="K575" s="3"/>
      <c r="L575" s="3"/>
      <c r="M575" s="3"/>
      <c r="N575" s="3"/>
      <c r="O575" s="3"/>
      <c r="P575" s="3"/>
      <c r="Q575" s="196"/>
      <c r="R575" s="3"/>
      <c r="S575" s="202"/>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row>
    <row r="576" spans="1:51" ht="15.75" customHeight="1">
      <c r="A576" s="3"/>
      <c r="B576" s="3"/>
      <c r="C576" s="3"/>
      <c r="D576" s="3"/>
      <c r="E576" s="3"/>
      <c r="F576" s="3"/>
      <c r="G576" s="3"/>
      <c r="H576" s="202"/>
      <c r="I576" s="202"/>
      <c r="J576" s="3"/>
      <c r="K576" s="3"/>
      <c r="L576" s="3"/>
      <c r="M576" s="3"/>
      <c r="N576" s="3"/>
      <c r="O576" s="3"/>
      <c r="P576" s="3"/>
      <c r="Q576" s="196"/>
      <c r="R576" s="3"/>
      <c r="S576" s="202"/>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row>
    <row r="577" spans="1:51" ht="15.75" customHeight="1">
      <c r="A577" s="3"/>
      <c r="B577" s="3"/>
      <c r="C577" s="3"/>
      <c r="D577" s="3"/>
      <c r="E577" s="3"/>
      <c r="F577" s="3"/>
      <c r="G577" s="3"/>
      <c r="H577" s="202"/>
      <c r="I577" s="202"/>
      <c r="J577" s="3"/>
      <c r="K577" s="3"/>
      <c r="L577" s="3"/>
      <c r="M577" s="3"/>
      <c r="N577" s="3"/>
      <c r="O577" s="3"/>
      <c r="P577" s="3"/>
      <c r="Q577" s="196"/>
      <c r="R577" s="3"/>
      <c r="S577" s="202"/>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row>
    <row r="578" spans="1:51" ht="15.75" customHeight="1">
      <c r="A578" s="3"/>
      <c r="B578" s="3"/>
      <c r="C578" s="3"/>
      <c r="D578" s="3"/>
      <c r="E578" s="3"/>
      <c r="F578" s="3"/>
      <c r="G578" s="3"/>
      <c r="H578" s="202"/>
      <c r="I578" s="202"/>
      <c r="J578" s="3"/>
      <c r="K578" s="3"/>
      <c r="L578" s="3"/>
      <c r="M578" s="3"/>
      <c r="N578" s="3"/>
      <c r="O578" s="3"/>
      <c r="P578" s="3"/>
      <c r="Q578" s="196"/>
      <c r="R578" s="3"/>
      <c r="S578" s="202"/>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row>
    <row r="579" spans="1:51" ht="15.75" customHeight="1">
      <c r="A579" s="3"/>
      <c r="B579" s="3"/>
      <c r="C579" s="3"/>
      <c r="D579" s="3"/>
      <c r="E579" s="3"/>
      <c r="F579" s="3"/>
      <c r="G579" s="3"/>
      <c r="H579" s="202"/>
      <c r="I579" s="202"/>
      <c r="J579" s="3"/>
      <c r="K579" s="3"/>
      <c r="L579" s="3"/>
      <c r="M579" s="3"/>
      <c r="N579" s="3"/>
      <c r="O579" s="3"/>
      <c r="P579" s="3"/>
      <c r="Q579" s="196"/>
      <c r="R579" s="3"/>
      <c r="S579" s="202"/>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row>
    <row r="580" spans="1:51" ht="15.75" customHeight="1">
      <c r="A580" s="3"/>
      <c r="B580" s="3"/>
      <c r="C580" s="3"/>
      <c r="D580" s="3"/>
      <c r="E580" s="3"/>
      <c r="F580" s="3"/>
      <c r="G580" s="3"/>
      <c r="H580" s="202"/>
      <c r="I580" s="202"/>
      <c r="J580" s="3"/>
      <c r="K580" s="3"/>
      <c r="L580" s="3"/>
      <c r="M580" s="3"/>
      <c r="N580" s="3"/>
      <c r="O580" s="3"/>
      <c r="P580" s="3"/>
      <c r="Q580" s="196"/>
      <c r="R580" s="3"/>
      <c r="S580" s="202"/>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row>
    <row r="581" spans="1:51" ht="15.75" customHeight="1">
      <c r="A581" s="3"/>
      <c r="B581" s="3"/>
      <c r="C581" s="3"/>
      <c r="D581" s="3"/>
      <c r="E581" s="3"/>
      <c r="F581" s="3"/>
      <c r="G581" s="3"/>
      <c r="H581" s="202"/>
      <c r="I581" s="202"/>
      <c r="J581" s="3"/>
      <c r="K581" s="3"/>
      <c r="L581" s="3"/>
      <c r="M581" s="3"/>
      <c r="N581" s="3"/>
      <c r="O581" s="3"/>
      <c r="P581" s="3"/>
      <c r="Q581" s="196"/>
      <c r="R581" s="3"/>
      <c r="S581" s="202"/>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row>
    <row r="582" spans="1:51" ht="15.75" customHeight="1">
      <c r="A582" s="3"/>
      <c r="B582" s="3"/>
      <c r="C582" s="3"/>
      <c r="D582" s="3"/>
      <c r="E582" s="3"/>
      <c r="F582" s="3"/>
      <c r="G582" s="3"/>
      <c r="H582" s="202"/>
      <c r="I582" s="202"/>
      <c r="J582" s="3"/>
      <c r="K582" s="3"/>
      <c r="L582" s="3"/>
      <c r="M582" s="3"/>
      <c r="N582" s="3"/>
      <c r="O582" s="3"/>
      <c r="P582" s="3"/>
      <c r="Q582" s="196"/>
      <c r="R582" s="3"/>
      <c r="S582" s="202"/>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row>
    <row r="583" spans="1:51" ht="15.75" customHeight="1">
      <c r="A583" s="3"/>
      <c r="B583" s="3"/>
      <c r="C583" s="3"/>
      <c r="D583" s="3"/>
      <c r="E583" s="3"/>
      <c r="F583" s="3"/>
      <c r="G583" s="3"/>
      <c r="H583" s="202"/>
      <c r="I583" s="202"/>
      <c r="J583" s="3"/>
      <c r="K583" s="3"/>
      <c r="L583" s="3"/>
      <c r="M583" s="3"/>
      <c r="N583" s="3"/>
      <c r="O583" s="3"/>
      <c r="P583" s="3"/>
      <c r="Q583" s="196"/>
      <c r="R583" s="3"/>
      <c r="S583" s="202"/>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row>
    <row r="584" spans="1:51" ht="15.75" customHeight="1">
      <c r="A584" s="3"/>
      <c r="B584" s="3"/>
      <c r="C584" s="3"/>
      <c r="D584" s="3"/>
      <c r="E584" s="3"/>
      <c r="F584" s="3"/>
      <c r="G584" s="3"/>
      <c r="H584" s="202"/>
      <c r="I584" s="202"/>
      <c r="J584" s="3"/>
      <c r="K584" s="3"/>
      <c r="L584" s="3"/>
      <c r="M584" s="3"/>
      <c r="N584" s="3"/>
      <c r="O584" s="3"/>
      <c r="P584" s="3"/>
      <c r="Q584" s="196"/>
      <c r="R584" s="3"/>
      <c r="S584" s="202"/>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row>
    <row r="585" spans="1:51" ht="15.75" customHeight="1">
      <c r="A585" s="3"/>
      <c r="B585" s="3"/>
      <c r="C585" s="3"/>
      <c r="D585" s="3"/>
      <c r="E585" s="3"/>
      <c r="F585" s="3"/>
      <c r="G585" s="3"/>
      <c r="H585" s="202"/>
      <c r="I585" s="202"/>
      <c r="J585" s="3"/>
      <c r="K585" s="3"/>
      <c r="L585" s="3"/>
      <c r="M585" s="3"/>
      <c r="N585" s="3"/>
      <c r="O585" s="3"/>
      <c r="P585" s="3"/>
      <c r="Q585" s="196"/>
      <c r="R585" s="3"/>
      <c r="S585" s="202"/>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row>
    <row r="586" spans="1:51" ht="15.75" customHeight="1">
      <c r="A586" s="3"/>
      <c r="B586" s="3"/>
      <c r="C586" s="3"/>
      <c r="D586" s="3"/>
      <c r="E586" s="3"/>
      <c r="F586" s="3"/>
      <c r="G586" s="3"/>
      <c r="H586" s="202"/>
      <c r="I586" s="202"/>
      <c r="J586" s="3"/>
      <c r="K586" s="3"/>
      <c r="L586" s="3"/>
      <c r="M586" s="3"/>
      <c r="N586" s="3"/>
      <c r="O586" s="3"/>
      <c r="P586" s="3"/>
      <c r="Q586" s="196"/>
      <c r="R586" s="3"/>
      <c r="S586" s="202"/>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row>
    <row r="587" spans="1:51" ht="15.75" customHeight="1">
      <c r="A587" s="3"/>
      <c r="B587" s="3"/>
      <c r="C587" s="3"/>
      <c r="D587" s="3"/>
      <c r="E587" s="3"/>
      <c r="F587" s="3"/>
      <c r="G587" s="3"/>
      <c r="H587" s="202"/>
      <c r="I587" s="202"/>
      <c r="J587" s="3"/>
      <c r="K587" s="3"/>
      <c r="L587" s="3"/>
      <c r="M587" s="3"/>
      <c r="N587" s="3"/>
      <c r="O587" s="3"/>
      <c r="P587" s="3"/>
      <c r="Q587" s="196"/>
      <c r="R587" s="3"/>
      <c r="S587" s="202"/>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row>
    <row r="588" spans="1:51" ht="15.75" customHeight="1">
      <c r="A588" s="3"/>
      <c r="B588" s="3"/>
      <c r="C588" s="3"/>
      <c r="D588" s="3"/>
      <c r="E588" s="3"/>
      <c r="F588" s="3"/>
      <c r="G588" s="3"/>
      <c r="H588" s="202"/>
      <c r="I588" s="202"/>
      <c r="J588" s="3"/>
      <c r="K588" s="3"/>
      <c r="L588" s="3"/>
      <c r="M588" s="3"/>
      <c r="N588" s="3"/>
      <c r="O588" s="3"/>
      <c r="P588" s="3"/>
      <c r="Q588" s="196"/>
      <c r="R588" s="3"/>
      <c r="S588" s="202"/>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row>
    <row r="589" spans="1:51" ht="15.75" customHeight="1">
      <c r="A589" s="3"/>
      <c r="B589" s="3"/>
      <c r="C589" s="3"/>
      <c r="D589" s="3"/>
      <c r="E589" s="3"/>
      <c r="F589" s="3"/>
      <c r="G589" s="3"/>
      <c r="H589" s="202"/>
      <c r="I589" s="202"/>
      <c r="J589" s="3"/>
      <c r="K589" s="3"/>
      <c r="L589" s="3"/>
      <c r="M589" s="3"/>
      <c r="N589" s="3"/>
      <c r="O589" s="3"/>
      <c r="P589" s="3"/>
      <c r="Q589" s="196"/>
      <c r="R589" s="3"/>
      <c r="S589" s="202"/>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row>
    <row r="590" spans="1:51" ht="15.75" customHeight="1">
      <c r="A590" s="3"/>
      <c r="B590" s="3"/>
      <c r="C590" s="3"/>
      <c r="D590" s="3"/>
      <c r="E590" s="3"/>
      <c r="F590" s="3"/>
      <c r="G590" s="3"/>
      <c r="H590" s="202"/>
      <c r="I590" s="202"/>
      <c r="J590" s="3"/>
      <c r="K590" s="3"/>
      <c r="L590" s="3"/>
      <c r="M590" s="3"/>
      <c r="N590" s="3"/>
      <c r="O590" s="3"/>
      <c r="P590" s="3"/>
      <c r="Q590" s="196"/>
      <c r="R590" s="3"/>
      <c r="S590" s="202"/>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row>
    <row r="591" spans="1:51" ht="15.75" customHeight="1">
      <c r="A591" s="3"/>
      <c r="B591" s="3"/>
      <c r="C591" s="3"/>
      <c r="D591" s="3"/>
      <c r="E591" s="3"/>
      <c r="F591" s="3"/>
      <c r="G591" s="3"/>
      <c r="H591" s="202"/>
      <c r="I591" s="202"/>
      <c r="J591" s="3"/>
      <c r="K591" s="3"/>
      <c r="L591" s="3"/>
      <c r="M591" s="3"/>
      <c r="N591" s="3"/>
      <c r="O591" s="3"/>
      <c r="P591" s="3"/>
      <c r="Q591" s="196"/>
      <c r="R591" s="3"/>
      <c r="S591" s="202"/>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row>
    <row r="592" spans="1:51" ht="15.75" customHeight="1">
      <c r="A592" s="3"/>
      <c r="B592" s="3"/>
      <c r="C592" s="3"/>
      <c r="D592" s="3"/>
      <c r="E592" s="3"/>
      <c r="F592" s="3"/>
      <c r="G592" s="3"/>
      <c r="H592" s="202"/>
      <c r="I592" s="202"/>
      <c r="J592" s="3"/>
      <c r="K592" s="3"/>
      <c r="L592" s="3"/>
      <c r="M592" s="3"/>
      <c r="N592" s="3"/>
      <c r="O592" s="3"/>
      <c r="P592" s="3"/>
      <c r="Q592" s="196"/>
      <c r="R592" s="3"/>
      <c r="S592" s="202"/>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row>
    <row r="593" spans="1:51" ht="15.75" customHeight="1">
      <c r="A593" s="3"/>
      <c r="B593" s="3"/>
      <c r="C593" s="3"/>
      <c r="D593" s="3"/>
      <c r="E593" s="3"/>
      <c r="F593" s="3"/>
      <c r="G593" s="3"/>
      <c r="H593" s="202"/>
      <c r="I593" s="202"/>
      <c r="J593" s="3"/>
      <c r="K593" s="3"/>
      <c r="L593" s="3"/>
      <c r="M593" s="3"/>
      <c r="N593" s="3"/>
      <c r="O593" s="3"/>
      <c r="P593" s="3"/>
      <c r="Q593" s="196"/>
      <c r="R593" s="3"/>
      <c r="S593" s="202"/>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row>
    <row r="594" spans="1:51" ht="15.75" customHeight="1">
      <c r="A594" s="3"/>
      <c r="B594" s="3"/>
      <c r="C594" s="3"/>
      <c r="D594" s="3"/>
      <c r="E594" s="3"/>
      <c r="F594" s="3"/>
      <c r="G594" s="3"/>
      <c r="H594" s="202"/>
      <c r="I594" s="202"/>
      <c r="J594" s="3"/>
      <c r="K594" s="3"/>
      <c r="L594" s="3"/>
      <c r="M594" s="3"/>
      <c r="N594" s="3"/>
      <c r="O594" s="3"/>
      <c r="P594" s="3"/>
      <c r="Q594" s="196"/>
      <c r="R594" s="3"/>
      <c r="S594" s="202"/>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row>
    <row r="595" spans="1:51" ht="15.75" customHeight="1">
      <c r="A595" s="3"/>
      <c r="B595" s="3"/>
      <c r="C595" s="3"/>
      <c r="D595" s="3"/>
      <c r="E595" s="3"/>
      <c r="F595" s="3"/>
      <c r="G595" s="3"/>
      <c r="H595" s="202"/>
      <c r="I595" s="202"/>
      <c r="J595" s="3"/>
      <c r="K595" s="3"/>
      <c r="L595" s="3"/>
      <c r="M595" s="3"/>
      <c r="N595" s="3"/>
      <c r="O595" s="3"/>
      <c r="P595" s="3"/>
      <c r="Q595" s="196"/>
      <c r="R595" s="3"/>
      <c r="S595" s="202"/>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row>
    <row r="596" spans="1:51" ht="15.75" customHeight="1">
      <c r="A596" s="3"/>
      <c r="B596" s="3"/>
      <c r="C596" s="3"/>
      <c r="D596" s="3"/>
      <c r="E596" s="3"/>
      <c r="F596" s="3"/>
      <c r="G596" s="3"/>
      <c r="H596" s="202"/>
      <c r="I596" s="202"/>
      <c r="J596" s="3"/>
      <c r="K596" s="3"/>
      <c r="L596" s="3"/>
      <c r="M596" s="3"/>
      <c r="N596" s="3"/>
      <c r="O596" s="3"/>
      <c r="P596" s="3"/>
      <c r="Q596" s="196"/>
      <c r="R596" s="3"/>
      <c r="S596" s="202"/>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row>
    <row r="597" spans="1:51" ht="15.75" customHeight="1">
      <c r="A597" s="3"/>
      <c r="B597" s="3"/>
      <c r="C597" s="3"/>
      <c r="D597" s="3"/>
      <c r="E597" s="3"/>
      <c r="F597" s="3"/>
      <c r="G597" s="3"/>
      <c r="H597" s="202"/>
      <c r="I597" s="202"/>
      <c r="J597" s="3"/>
      <c r="K597" s="3"/>
      <c r="L597" s="3"/>
      <c r="M597" s="3"/>
      <c r="N597" s="3"/>
      <c r="O597" s="3"/>
      <c r="P597" s="3"/>
      <c r="Q597" s="196"/>
      <c r="R597" s="3"/>
      <c r="S597" s="202"/>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row>
    <row r="598" spans="1:51" ht="15.75" customHeight="1">
      <c r="A598" s="3"/>
      <c r="B598" s="3"/>
      <c r="C598" s="3"/>
      <c r="D598" s="3"/>
      <c r="E598" s="3"/>
      <c r="F598" s="3"/>
      <c r="G598" s="3"/>
      <c r="H598" s="202"/>
      <c r="I598" s="202"/>
      <c r="J598" s="3"/>
      <c r="K598" s="3"/>
      <c r="L598" s="3"/>
      <c r="M598" s="3"/>
      <c r="N598" s="3"/>
      <c r="O598" s="3"/>
      <c r="P598" s="3"/>
      <c r="Q598" s="196"/>
      <c r="R598" s="3"/>
      <c r="S598" s="202"/>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row>
    <row r="599" spans="1:51" ht="15.75" customHeight="1">
      <c r="A599" s="3"/>
      <c r="B599" s="3"/>
      <c r="C599" s="3"/>
      <c r="D599" s="3"/>
      <c r="E599" s="3"/>
      <c r="F599" s="3"/>
      <c r="G599" s="3"/>
      <c r="H599" s="202"/>
      <c r="I599" s="202"/>
      <c r="J599" s="3"/>
      <c r="K599" s="3"/>
      <c r="L599" s="3"/>
      <c r="M599" s="3"/>
      <c r="N599" s="3"/>
      <c r="O599" s="3"/>
      <c r="P599" s="3"/>
      <c r="Q599" s="196"/>
      <c r="R599" s="3"/>
      <c r="S599" s="202"/>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row>
    <row r="600" spans="1:51" ht="15.75" customHeight="1">
      <c r="A600" s="3"/>
      <c r="B600" s="3"/>
      <c r="C600" s="3"/>
      <c r="D600" s="3"/>
      <c r="E600" s="3"/>
      <c r="F600" s="3"/>
      <c r="G600" s="3"/>
      <c r="H600" s="202"/>
      <c r="I600" s="202"/>
      <c r="J600" s="3"/>
      <c r="K600" s="3"/>
      <c r="L600" s="3"/>
      <c r="M600" s="3"/>
      <c r="N600" s="3"/>
      <c r="O600" s="3"/>
      <c r="P600" s="3"/>
      <c r="Q600" s="196"/>
      <c r="R600" s="3"/>
      <c r="S600" s="202"/>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row>
    <row r="601" spans="1:51" ht="15.75" customHeight="1">
      <c r="A601" s="3"/>
      <c r="B601" s="3"/>
      <c r="C601" s="3"/>
      <c r="D601" s="3"/>
      <c r="E601" s="3"/>
      <c r="F601" s="3"/>
      <c r="G601" s="3"/>
      <c r="H601" s="202"/>
      <c r="I601" s="202"/>
      <c r="J601" s="3"/>
      <c r="K601" s="3"/>
      <c r="L601" s="3"/>
      <c r="M601" s="3"/>
      <c r="N601" s="3"/>
      <c r="O601" s="3"/>
      <c r="P601" s="3"/>
      <c r="Q601" s="196"/>
      <c r="R601" s="3"/>
      <c r="S601" s="202"/>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row>
    <row r="602" spans="1:51" ht="15.75" customHeight="1">
      <c r="A602" s="3"/>
      <c r="B602" s="3"/>
      <c r="C602" s="3"/>
      <c r="D602" s="3"/>
      <c r="E602" s="3"/>
      <c r="F602" s="3"/>
      <c r="G602" s="3"/>
      <c r="H602" s="202"/>
      <c r="I602" s="202"/>
      <c r="J602" s="3"/>
      <c r="K602" s="3"/>
      <c r="L602" s="3"/>
      <c r="M602" s="3"/>
      <c r="N602" s="3"/>
      <c r="O602" s="3"/>
      <c r="P602" s="3"/>
      <c r="Q602" s="196"/>
      <c r="R602" s="3"/>
      <c r="S602" s="202"/>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row>
    <row r="603" spans="1:51" ht="15.75" customHeight="1">
      <c r="A603" s="3"/>
      <c r="B603" s="3"/>
      <c r="C603" s="3"/>
      <c r="D603" s="3"/>
      <c r="E603" s="3"/>
      <c r="F603" s="3"/>
      <c r="G603" s="3"/>
      <c r="H603" s="202"/>
      <c r="I603" s="202"/>
      <c r="J603" s="3"/>
      <c r="K603" s="3"/>
      <c r="L603" s="3"/>
      <c r="M603" s="3"/>
      <c r="N603" s="3"/>
      <c r="O603" s="3"/>
      <c r="P603" s="3"/>
      <c r="Q603" s="196"/>
      <c r="R603" s="3"/>
      <c r="S603" s="202"/>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row>
    <row r="604" spans="1:51" ht="15.75" customHeight="1">
      <c r="A604" s="3"/>
      <c r="B604" s="3"/>
      <c r="C604" s="3"/>
      <c r="D604" s="3"/>
      <c r="E604" s="3"/>
      <c r="F604" s="3"/>
      <c r="G604" s="3"/>
      <c r="H604" s="202"/>
      <c r="I604" s="202"/>
      <c r="J604" s="3"/>
      <c r="K604" s="3"/>
      <c r="L604" s="3"/>
      <c r="M604" s="3"/>
      <c r="N604" s="3"/>
      <c r="O604" s="3"/>
      <c r="P604" s="3"/>
      <c r="Q604" s="196"/>
      <c r="R604" s="3"/>
      <c r="S604" s="202"/>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row>
    <row r="605" spans="1:51" ht="15.75" customHeight="1">
      <c r="A605" s="3"/>
      <c r="B605" s="3"/>
      <c r="C605" s="3"/>
      <c r="D605" s="3"/>
      <c r="E605" s="3"/>
      <c r="F605" s="3"/>
      <c r="G605" s="3"/>
      <c r="H605" s="202"/>
      <c r="I605" s="202"/>
      <c r="J605" s="3"/>
      <c r="K605" s="3"/>
      <c r="L605" s="3"/>
      <c r="M605" s="3"/>
      <c r="N605" s="3"/>
      <c r="O605" s="3"/>
      <c r="P605" s="3"/>
      <c r="Q605" s="196"/>
      <c r="R605" s="3"/>
      <c r="S605" s="202"/>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row>
    <row r="606" spans="1:51" ht="15.75" customHeight="1">
      <c r="A606" s="3"/>
      <c r="B606" s="3"/>
      <c r="C606" s="3"/>
      <c r="D606" s="3"/>
      <c r="E606" s="3"/>
      <c r="F606" s="3"/>
      <c r="G606" s="3"/>
      <c r="H606" s="202"/>
      <c r="I606" s="202"/>
      <c r="J606" s="3"/>
      <c r="K606" s="3"/>
      <c r="L606" s="3"/>
      <c r="M606" s="3"/>
      <c r="N606" s="3"/>
      <c r="O606" s="3"/>
      <c r="P606" s="3"/>
      <c r="Q606" s="196"/>
      <c r="R606" s="3"/>
      <c r="S606" s="202"/>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row>
    <row r="607" spans="1:51" ht="15.75" customHeight="1">
      <c r="A607" s="3"/>
      <c r="B607" s="3"/>
      <c r="C607" s="3"/>
      <c r="D607" s="3"/>
      <c r="E607" s="3"/>
      <c r="F607" s="3"/>
      <c r="G607" s="3"/>
      <c r="H607" s="202"/>
      <c r="I607" s="202"/>
      <c r="J607" s="3"/>
      <c r="K607" s="3"/>
      <c r="L607" s="3"/>
      <c r="M607" s="3"/>
      <c r="N607" s="3"/>
      <c r="O607" s="3"/>
      <c r="P607" s="3"/>
      <c r="Q607" s="196"/>
      <c r="R607" s="3"/>
      <c r="S607" s="202"/>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row>
    <row r="608" spans="1:51" ht="15.75" customHeight="1">
      <c r="A608" s="3"/>
      <c r="B608" s="3"/>
      <c r="C608" s="3"/>
      <c r="D608" s="3"/>
      <c r="E608" s="3"/>
      <c r="F608" s="3"/>
      <c r="G608" s="3"/>
      <c r="H608" s="202"/>
      <c r="I608" s="202"/>
      <c r="J608" s="3"/>
      <c r="K608" s="3"/>
      <c r="L608" s="3"/>
      <c r="M608" s="3"/>
      <c r="N608" s="3"/>
      <c r="O608" s="3"/>
      <c r="P608" s="3"/>
      <c r="Q608" s="196"/>
      <c r="R608" s="3"/>
      <c r="S608" s="202"/>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row>
    <row r="609" spans="1:51" ht="15.75" customHeight="1">
      <c r="A609" s="3"/>
      <c r="B609" s="3"/>
      <c r="C609" s="3"/>
      <c r="D609" s="3"/>
      <c r="E609" s="3"/>
      <c r="F609" s="3"/>
      <c r="G609" s="3"/>
      <c r="H609" s="202"/>
      <c r="I609" s="202"/>
      <c r="J609" s="3"/>
      <c r="K609" s="3"/>
      <c r="L609" s="3"/>
      <c r="M609" s="3"/>
      <c r="N609" s="3"/>
      <c r="O609" s="3"/>
      <c r="P609" s="3"/>
      <c r="Q609" s="196"/>
      <c r="R609" s="3"/>
      <c r="S609" s="202"/>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row>
    <row r="610" spans="1:51" ht="15.75" customHeight="1">
      <c r="A610" s="3"/>
      <c r="B610" s="3"/>
      <c r="C610" s="3"/>
      <c r="D610" s="3"/>
      <c r="E610" s="3"/>
      <c r="F610" s="3"/>
      <c r="G610" s="3"/>
      <c r="H610" s="202"/>
      <c r="I610" s="202"/>
      <c r="J610" s="3"/>
      <c r="K610" s="3"/>
      <c r="L610" s="3"/>
      <c r="M610" s="3"/>
      <c r="N610" s="3"/>
      <c r="O610" s="3"/>
      <c r="P610" s="3"/>
      <c r="Q610" s="196"/>
      <c r="R610" s="3"/>
      <c r="S610" s="202"/>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row>
    <row r="611" spans="1:51" ht="15.75" customHeight="1">
      <c r="A611" s="3"/>
      <c r="B611" s="3"/>
      <c r="C611" s="3"/>
      <c r="D611" s="3"/>
      <c r="E611" s="3"/>
      <c r="F611" s="3"/>
      <c r="G611" s="3"/>
      <c r="H611" s="202"/>
      <c r="I611" s="202"/>
      <c r="J611" s="3"/>
      <c r="K611" s="3"/>
      <c r="L611" s="3"/>
      <c r="M611" s="3"/>
      <c r="N611" s="3"/>
      <c r="O611" s="3"/>
      <c r="P611" s="3"/>
      <c r="Q611" s="196"/>
      <c r="R611" s="3"/>
      <c r="S611" s="202"/>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row>
    <row r="612" spans="1:51" ht="15.75" customHeight="1">
      <c r="A612" s="3"/>
      <c r="B612" s="3"/>
      <c r="C612" s="3"/>
      <c r="D612" s="3"/>
      <c r="E612" s="3"/>
      <c r="F612" s="3"/>
      <c r="G612" s="3"/>
      <c r="H612" s="202"/>
      <c r="I612" s="202"/>
      <c r="J612" s="3"/>
      <c r="K612" s="3"/>
      <c r="L612" s="3"/>
      <c r="M612" s="3"/>
      <c r="N612" s="3"/>
      <c r="O612" s="3"/>
      <c r="P612" s="3"/>
      <c r="Q612" s="196"/>
      <c r="R612" s="3"/>
      <c r="S612" s="202"/>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row>
    <row r="613" spans="1:51" ht="15.75" customHeight="1">
      <c r="A613" s="3"/>
      <c r="B613" s="3"/>
      <c r="C613" s="3"/>
      <c r="D613" s="3"/>
      <c r="E613" s="3"/>
      <c r="F613" s="3"/>
      <c r="G613" s="3"/>
      <c r="H613" s="202"/>
      <c r="I613" s="202"/>
      <c r="J613" s="3"/>
      <c r="K613" s="3"/>
      <c r="L613" s="3"/>
      <c r="M613" s="3"/>
      <c r="N613" s="3"/>
      <c r="O613" s="3"/>
      <c r="P613" s="3"/>
      <c r="Q613" s="196"/>
      <c r="R613" s="3"/>
      <c r="S613" s="202"/>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row>
    <row r="614" spans="1:51" ht="15.75" customHeight="1">
      <c r="A614" s="3"/>
      <c r="B614" s="3"/>
      <c r="C614" s="3"/>
      <c r="D614" s="3"/>
      <c r="E614" s="3"/>
      <c r="F614" s="3"/>
      <c r="G614" s="3"/>
      <c r="H614" s="202"/>
      <c r="I614" s="202"/>
      <c r="J614" s="3"/>
      <c r="K614" s="3"/>
      <c r="L614" s="3"/>
      <c r="M614" s="3"/>
      <c r="N614" s="3"/>
      <c r="O614" s="3"/>
      <c r="P614" s="3"/>
      <c r="Q614" s="196"/>
      <c r="R614" s="3"/>
      <c r="S614" s="202"/>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row>
    <row r="615" spans="1:51" ht="15.75" customHeight="1">
      <c r="A615" s="3"/>
      <c r="B615" s="3"/>
      <c r="C615" s="3"/>
      <c r="D615" s="3"/>
      <c r="E615" s="3"/>
      <c r="F615" s="3"/>
      <c r="G615" s="3"/>
      <c r="H615" s="202"/>
      <c r="I615" s="202"/>
      <c r="J615" s="3"/>
      <c r="K615" s="3"/>
      <c r="L615" s="3"/>
      <c r="M615" s="3"/>
      <c r="N615" s="3"/>
      <c r="O615" s="3"/>
      <c r="P615" s="3"/>
      <c r="Q615" s="196"/>
      <c r="R615" s="3"/>
      <c r="S615" s="202"/>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row>
    <row r="616" spans="1:51" ht="15.75" customHeight="1">
      <c r="A616" s="3"/>
      <c r="B616" s="3"/>
      <c r="C616" s="3"/>
      <c r="D616" s="3"/>
      <c r="E616" s="3"/>
      <c r="F616" s="3"/>
      <c r="G616" s="3"/>
      <c r="H616" s="202"/>
      <c r="I616" s="202"/>
      <c r="J616" s="3"/>
      <c r="K616" s="3"/>
      <c r="L616" s="3"/>
      <c r="M616" s="3"/>
      <c r="N616" s="3"/>
      <c r="O616" s="3"/>
      <c r="P616" s="3"/>
      <c r="Q616" s="196"/>
      <c r="R616" s="3"/>
      <c r="S616" s="202"/>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row>
    <row r="617" spans="1:51" ht="15.75" customHeight="1">
      <c r="A617" s="3"/>
      <c r="B617" s="3"/>
      <c r="C617" s="3"/>
      <c r="D617" s="3"/>
      <c r="E617" s="3"/>
      <c r="F617" s="3"/>
      <c r="G617" s="3"/>
      <c r="H617" s="202"/>
      <c r="I617" s="202"/>
      <c r="J617" s="3"/>
      <c r="K617" s="3"/>
      <c r="L617" s="3"/>
      <c r="M617" s="3"/>
      <c r="N617" s="3"/>
      <c r="O617" s="3"/>
      <c r="P617" s="3"/>
      <c r="Q617" s="196"/>
      <c r="R617" s="3"/>
      <c r="S617" s="202"/>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row>
    <row r="618" spans="1:51" ht="15.75" customHeight="1">
      <c r="A618" s="3"/>
      <c r="B618" s="3"/>
      <c r="C618" s="3"/>
      <c r="D618" s="3"/>
      <c r="E618" s="3"/>
      <c r="F618" s="3"/>
      <c r="G618" s="3"/>
      <c r="H618" s="202"/>
      <c r="I618" s="202"/>
      <c r="J618" s="3"/>
      <c r="K618" s="3"/>
      <c r="L618" s="3"/>
      <c r="M618" s="3"/>
      <c r="N618" s="3"/>
      <c r="O618" s="3"/>
      <c r="P618" s="3"/>
      <c r="Q618" s="196"/>
      <c r="R618" s="3"/>
      <c r="S618" s="202"/>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row>
    <row r="619" spans="1:51" ht="15.75" customHeight="1">
      <c r="A619" s="3"/>
      <c r="B619" s="3"/>
      <c r="C619" s="3"/>
      <c r="D619" s="3"/>
      <c r="E619" s="3"/>
      <c r="F619" s="3"/>
      <c r="G619" s="3"/>
      <c r="H619" s="202"/>
      <c r="I619" s="202"/>
      <c r="J619" s="3"/>
      <c r="K619" s="3"/>
      <c r="L619" s="3"/>
      <c r="M619" s="3"/>
      <c r="N619" s="3"/>
      <c r="O619" s="3"/>
      <c r="P619" s="3"/>
      <c r="Q619" s="196"/>
      <c r="R619" s="3"/>
      <c r="S619" s="202"/>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row>
    <row r="620" spans="1:51" ht="15.75" customHeight="1">
      <c r="A620" s="3"/>
      <c r="B620" s="3"/>
      <c r="C620" s="3"/>
      <c r="D620" s="3"/>
      <c r="E620" s="3"/>
      <c r="F620" s="3"/>
      <c r="G620" s="3"/>
      <c r="H620" s="202"/>
      <c r="I620" s="202"/>
      <c r="J620" s="3"/>
      <c r="K620" s="3"/>
      <c r="L620" s="3"/>
      <c r="M620" s="3"/>
      <c r="N620" s="3"/>
      <c r="O620" s="3"/>
      <c r="P620" s="3"/>
      <c r="Q620" s="196"/>
      <c r="R620" s="3"/>
      <c r="S620" s="202"/>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row>
    <row r="621" spans="1:51" ht="15.75" customHeight="1">
      <c r="A621" s="3"/>
      <c r="B621" s="3"/>
      <c r="C621" s="3"/>
      <c r="D621" s="3"/>
      <c r="E621" s="3"/>
      <c r="F621" s="3"/>
      <c r="G621" s="3"/>
      <c r="H621" s="202"/>
      <c r="I621" s="202"/>
      <c r="J621" s="3"/>
      <c r="K621" s="3"/>
      <c r="L621" s="3"/>
      <c r="M621" s="3"/>
      <c r="N621" s="3"/>
      <c r="O621" s="3"/>
      <c r="P621" s="3"/>
      <c r="Q621" s="196"/>
      <c r="R621" s="3"/>
      <c r="S621" s="202"/>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row>
    <row r="622" spans="1:51" ht="15.75" customHeight="1">
      <c r="A622" s="3"/>
      <c r="B622" s="3"/>
      <c r="C622" s="3"/>
      <c r="D622" s="3"/>
      <c r="E622" s="3"/>
      <c r="F622" s="3"/>
      <c r="G622" s="3"/>
      <c r="H622" s="202"/>
      <c r="I622" s="202"/>
      <c r="J622" s="3"/>
      <c r="K622" s="3"/>
      <c r="L622" s="3"/>
      <c r="M622" s="3"/>
      <c r="N622" s="3"/>
      <c r="O622" s="3"/>
      <c r="P622" s="3"/>
      <c r="Q622" s="196"/>
      <c r="R622" s="3"/>
      <c r="S622" s="202"/>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row>
    <row r="623" spans="1:51" ht="15.75" customHeight="1">
      <c r="A623" s="3"/>
      <c r="B623" s="3"/>
      <c r="C623" s="3"/>
      <c r="D623" s="3"/>
      <c r="E623" s="3"/>
      <c r="F623" s="3"/>
      <c r="G623" s="3"/>
      <c r="H623" s="202"/>
      <c r="I623" s="202"/>
      <c r="J623" s="3"/>
      <c r="K623" s="3"/>
      <c r="L623" s="3"/>
      <c r="M623" s="3"/>
      <c r="N623" s="3"/>
      <c r="O623" s="3"/>
      <c r="P623" s="3"/>
      <c r="Q623" s="196"/>
      <c r="R623" s="3"/>
      <c r="S623" s="202"/>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row>
    <row r="624" spans="1:51" ht="15.75" customHeight="1">
      <c r="A624" s="3"/>
      <c r="B624" s="3"/>
      <c r="C624" s="3"/>
      <c r="D624" s="3"/>
      <c r="E624" s="3"/>
      <c r="F624" s="3"/>
      <c r="G624" s="3"/>
      <c r="H624" s="202"/>
      <c r="I624" s="202"/>
      <c r="J624" s="3"/>
      <c r="K624" s="3"/>
      <c r="L624" s="3"/>
      <c r="M624" s="3"/>
      <c r="N624" s="3"/>
      <c r="O624" s="3"/>
      <c r="P624" s="3"/>
      <c r="Q624" s="196"/>
      <c r="R624" s="3"/>
      <c r="S624" s="202"/>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row>
    <row r="625" spans="1:51" ht="15.75" customHeight="1">
      <c r="A625" s="3"/>
      <c r="B625" s="3"/>
      <c r="C625" s="3"/>
      <c r="D625" s="3"/>
      <c r="E625" s="3"/>
      <c r="F625" s="3"/>
      <c r="G625" s="3"/>
      <c r="H625" s="202"/>
      <c r="I625" s="202"/>
      <c r="J625" s="3"/>
      <c r="K625" s="3"/>
      <c r="L625" s="3"/>
      <c r="M625" s="3"/>
      <c r="N625" s="3"/>
      <c r="O625" s="3"/>
      <c r="P625" s="3"/>
      <c r="Q625" s="196"/>
      <c r="R625" s="3"/>
      <c r="S625" s="202"/>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row>
    <row r="626" spans="1:51" ht="15.75" customHeight="1">
      <c r="A626" s="3"/>
      <c r="B626" s="3"/>
      <c r="C626" s="3"/>
      <c r="D626" s="3"/>
      <c r="E626" s="3"/>
      <c r="F626" s="3"/>
      <c r="G626" s="3"/>
      <c r="H626" s="202"/>
      <c r="I626" s="202"/>
      <c r="J626" s="3"/>
      <c r="K626" s="3"/>
      <c r="L626" s="3"/>
      <c r="M626" s="3"/>
      <c r="N626" s="3"/>
      <c r="O626" s="3"/>
      <c r="P626" s="3"/>
      <c r="Q626" s="196"/>
      <c r="R626" s="3"/>
      <c r="S626" s="202"/>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row>
    <row r="627" spans="1:51" ht="15.75" customHeight="1">
      <c r="A627" s="3"/>
      <c r="B627" s="3"/>
      <c r="C627" s="3"/>
      <c r="D627" s="3"/>
      <c r="E627" s="3"/>
      <c r="F627" s="3"/>
      <c r="G627" s="3"/>
      <c r="H627" s="202"/>
      <c r="I627" s="202"/>
      <c r="J627" s="3"/>
      <c r="K627" s="3"/>
      <c r="L627" s="3"/>
      <c r="M627" s="3"/>
      <c r="N627" s="3"/>
      <c r="O627" s="3"/>
      <c r="P627" s="3"/>
      <c r="Q627" s="196"/>
      <c r="R627" s="3"/>
      <c r="S627" s="202"/>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row>
    <row r="628" spans="1:51" ht="15.75" customHeight="1">
      <c r="A628" s="3"/>
      <c r="B628" s="3"/>
      <c r="C628" s="3"/>
      <c r="D628" s="3"/>
      <c r="E628" s="3"/>
      <c r="F628" s="3"/>
      <c r="G628" s="3"/>
      <c r="H628" s="202"/>
      <c r="I628" s="202"/>
      <c r="J628" s="3"/>
      <c r="K628" s="3"/>
      <c r="L628" s="3"/>
      <c r="M628" s="3"/>
      <c r="N628" s="3"/>
      <c r="O628" s="3"/>
      <c r="P628" s="3"/>
      <c r="Q628" s="196"/>
      <c r="R628" s="3"/>
      <c r="S628" s="202"/>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row>
    <row r="629" spans="1:51" ht="15.75" customHeight="1">
      <c r="A629" s="3"/>
      <c r="B629" s="3"/>
      <c r="C629" s="3"/>
      <c r="D629" s="3"/>
      <c r="E629" s="3"/>
      <c r="F629" s="3"/>
      <c r="G629" s="3"/>
      <c r="H629" s="202"/>
      <c r="I629" s="202"/>
      <c r="J629" s="3"/>
      <c r="K629" s="3"/>
      <c r="L629" s="3"/>
      <c r="M629" s="3"/>
      <c r="N629" s="3"/>
      <c r="O629" s="3"/>
      <c r="P629" s="3"/>
      <c r="Q629" s="196"/>
      <c r="R629" s="3"/>
      <c r="S629" s="202"/>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row>
    <row r="630" spans="1:51" ht="15.75" customHeight="1">
      <c r="A630" s="3"/>
      <c r="B630" s="3"/>
      <c r="C630" s="3"/>
      <c r="D630" s="3"/>
      <c r="E630" s="3"/>
      <c r="F630" s="3"/>
      <c r="G630" s="3"/>
      <c r="H630" s="202"/>
      <c r="I630" s="202"/>
      <c r="J630" s="3"/>
      <c r="K630" s="3"/>
      <c r="L630" s="3"/>
      <c r="M630" s="3"/>
      <c r="N630" s="3"/>
      <c r="O630" s="3"/>
      <c r="P630" s="3"/>
      <c r="Q630" s="196"/>
      <c r="R630" s="3"/>
      <c r="S630" s="202"/>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row>
    <row r="631" spans="1:51" ht="15.75" customHeight="1">
      <c r="A631" s="3"/>
      <c r="B631" s="3"/>
      <c r="C631" s="3"/>
      <c r="D631" s="3"/>
      <c r="E631" s="3"/>
      <c r="F631" s="3"/>
      <c r="G631" s="3"/>
      <c r="H631" s="202"/>
      <c r="I631" s="202"/>
      <c r="J631" s="3"/>
      <c r="K631" s="3"/>
      <c r="L631" s="3"/>
      <c r="M631" s="3"/>
      <c r="N631" s="3"/>
      <c r="O631" s="3"/>
      <c r="P631" s="3"/>
      <c r="Q631" s="196"/>
      <c r="R631" s="3"/>
      <c r="S631" s="202"/>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row>
    <row r="632" spans="1:51" ht="15.75" customHeight="1">
      <c r="A632" s="3"/>
      <c r="B632" s="3"/>
      <c r="C632" s="3"/>
      <c r="D632" s="3"/>
      <c r="E632" s="3"/>
      <c r="F632" s="3"/>
      <c r="G632" s="3"/>
      <c r="H632" s="202"/>
      <c r="I632" s="202"/>
      <c r="J632" s="3"/>
      <c r="K632" s="3"/>
      <c r="L632" s="3"/>
      <c r="M632" s="3"/>
      <c r="N632" s="3"/>
      <c r="O632" s="3"/>
      <c r="P632" s="3"/>
      <c r="Q632" s="196"/>
      <c r="R632" s="3"/>
      <c r="S632" s="202"/>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row>
    <row r="633" spans="1:51" ht="15.75" customHeight="1">
      <c r="A633" s="3"/>
      <c r="B633" s="3"/>
      <c r="C633" s="3"/>
      <c r="D633" s="3"/>
      <c r="E633" s="3"/>
      <c r="F633" s="3"/>
      <c r="G633" s="3"/>
      <c r="H633" s="202"/>
      <c r="I633" s="202"/>
      <c r="J633" s="3"/>
      <c r="K633" s="3"/>
      <c r="L633" s="3"/>
      <c r="M633" s="3"/>
      <c r="N633" s="3"/>
      <c r="O633" s="3"/>
      <c r="P633" s="3"/>
      <c r="Q633" s="196"/>
      <c r="R633" s="3"/>
      <c r="S633" s="202"/>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row>
    <row r="634" spans="1:51" ht="15.75" customHeight="1">
      <c r="A634" s="3"/>
      <c r="B634" s="3"/>
      <c r="C634" s="3"/>
      <c r="D634" s="3"/>
      <c r="E634" s="3"/>
      <c r="F634" s="3"/>
      <c r="G634" s="3"/>
      <c r="H634" s="202"/>
      <c r="I634" s="202"/>
      <c r="J634" s="3"/>
      <c r="K634" s="3"/>
      <c r="L634" s="3"/>
      <c r="M634" s="3"/>
      <c r="N634" s="3"/>
      <c r="O634" s="3"/>
      <c r="P634" s="3"/>
      <c r="Q634" s="196"/>
      <c r="R634" s="3"/>
      <c r="S634" s="202"/>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row>
    <row r="635" spans="1:51" ht="15.75" customHeight="1">
      <c r="A635" s="3"/>
      <c r="B635" s="3"/>
      <c r="C635" s="3"/>
      <c r="D635" s="3"/>
      <c r="E635" s="3"/>
      <c r="F635" s="3"/>
      <c r="G635" s="3"/>
      <c r="H635" s="202"/>
      <c r="I635" s="202"/>
      <c r="J635" s="3"/>
      <c r="K635" s="3"/>
      <c r="L635" s="3"/>
      <c r="M635" s="3"/>
      <c r="N635" s="3"/>
      <c r="O635" s="3"/>
      <c r="P635" s="3"/>
      <c r="Q635" s="196"/>
      <c r="R635" s="3"/>
      <c r="S635" s="202"/>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row>
    <row r="636" spans="1:51" ht="15.75" customHeight="1">
      <c r="A636" s="3"/>
      <c r="B636" s="3"/>
      <c r="C636" s="3"/>
      <c r="D636" s="3"/>
      <c r="E636" s="3"/>
      <c r="F636" s="3"/>
      <c r="G636" s="3"/>
      <c r="H636" s="202"/>
      <c r="I636" s="202"/>
      <c r="J636" s="3"/>
      <c r="K636" s="3"/>
      <c r="L636" s="3"/>
      <c r="M636" s="3"/>
      <c r="N636" s="3"/>
      <c r="O636" s="3"/>
      <c r="P636" s="3"/>
      <c r="Q636" s="196"/>
      <c r="R636" s="3"/>
      <c r="S636" s="202"/>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row>
    <row r="637" spans="1:51" ht="15.75" customHeight="1">
      <c r="A637" s="3"/>
      <c r="B637" s="3"/>
      <c r="C637" s="3"/>
      <c r="D637" s="3"/>
      <c r="E637" s="3"/>
      <c r="F637" s="3"/>
      <c r="G637" s="3"/>
      <c r="H637" s="202"/>
      <c r="I637" s="202"/>
      <c r="J637" s="3"/>
      <c r="K637" s="3"/>
      <c r="L637" s="3"/>
      <c r="M637" s="3"/>
      <c r="N637" s="3"/>
      <c r="O637" s="3"/>
      <c r="P637" s="3"/>
      <c r="Q637" s="196"/>
      <c r="R637" s="3"/>
      <c r="S637" s="202"/>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row>
    <row r="638" spans="1:51" ht="15.75" customHeight="1">
      <c r="A638" s="3"/>
      <c r="B638" s="3"/>
      <c r="C638" s="3"/>
      <c r="D638" s="3"/>
      <c r="E638" s="3"/>
      <c r="F638" s="3"/>
      <c r="G638" s="3"/>
      <c r="H638" s="202"/>
      <c r="I638" s="202"/>
      <c r="J638" s="3"/>
      <c r="K638" s="3"/>
      <c r="L638" s="3"/>
      <c r="M638" s="3"/>
      <c r="N638" s="3"/>
      <c r="O638" s="3"/>
      <c r="P638" s="3"/>
      <c r="Q638" s="196"/>
      <c r="R638" s="3"/>
      <c r="S638" s="202"/>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row>
    <row r="639" spans="1:51" ht="15.75" customHeight="1">
      <c r="A639" s="3"/>
      <c r="B639" s="3"/>
      <c r="C639" s="3"/>
      <c r="D639" s="3"/>
      <c r="E639" s="3"/>
      <c r="F639" s="3"/>
      <c r="G639" s="3"/>
      <c r="H639" s="202"/>
      <c r="I639" s="202"/>
      <c r="J639" s="3"/>
      <c r="K639" s="3"/>
      <c r="L639" s="3"/>
      <c r="M639" s="3"/>
      <c r="N639" s="3"/>
      <c r="O639" s="3"/>
      <c r="P639" s="3"/>
      <c r="Q639" s="196"/>
      <c r="R639" s="3"/>
      <c r="S639" s="202"/>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row>
    <row r="640" spans="1:51" ht="15.75" customHeight="1">
      <c r="A640" s="3"/>
      <c r="B640" s="3"/>
      <c r="C640" s="3"/>
      <c r="D640" s="3"/>
      <c r="E640" s="3"/>
      <c r="F640" s="3"/>
      <c r="G640" s="3"/>
      <c r="H640" s="202"/>
      <c r="I640" s="202"/>
      <c r="J640" s="3"/>
      <c r="K640" s="3"/>
      <c r="L640" s="3"/>
      <c r="M640" s="3"/>
      <c r="N640" s="3"/>
      <c r="O640" s="3"/>
      <c r="P640" s="3"/>
      <c r="Q640" s="196"/>
      <c r="R640" s="3"/>
      <c r="S640" s="202"/>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row>
    <row r="641" spans="1:51" ht="15.75" customHeight="1">
      <c r="A641" s="3"/>
      <c r="B641" s="3"/>
      <c r="C641" s="3"/>
      <c r="D641" s="3"/>
      <c r="E641" s="3"/>
      <c r="F641" s="3"/>
      <c r="G641" s="3"/>
      <c r="H641" s="202"/>
      <c r="I641" s="202"/>
      <c r="J641" s="3"/>
      <c r="K641" s="3"/>
      <c r="L641" s="3"/>
      <c r="M641" s="3"/>
      <c r="N641" s="3"/>
      <c r="O641" s="3"/>
      <c r="P641" s="3"/>
      <c r="Q641" s="196"/>
      <c r="R641" s="3"/>
      <c r="S641" s="202"/>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row>
    <row r="642" spans="1:51" ht="15.75" customHeight="1">
      <c r="A642" s="3"/>
      <c r="B642" s="3"/>
      <c r="C642" s="3"/>
      <c r="D642" s="3"/>
      <c r="E642" s="3"/>
      <c r="F642" s="3"/>
      <c r="G642" s="3"/>
      <c r="H642" s="202"/>
      <c r="I642" s="202"/>
      <c r="J642" s="3"/>
      <c r="K642" s="3"/>
      <c r="L642" s="3"/>
      <c r="M642" s="3"/>
      <c r="N642" s="3"/>
      <c r="O642" s="3"/>
      <c r="P642" s="3"/>
      <c r="Q642" s="196"/>
      <c r="R642" s="3"/>
      <c r="S642" s="202"/>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row>
    <row r="643" spans="1:51" ht="15.75" customHeight="1">
      <c r="A643" s="3"/>
      <c r="B643" s="3"/>
      <c r="C643" s="3"/>
      <c r="D643" s="3"/>
      <c r="E643" s="3"/>
      <c r="F643" s="3"/>
      <c r="G643" s="3"/>
      <c r="H643" s="202"/>
      <c r="I643" s="202"/>
      <c r="J643" s="3"/>
      <c r="K643" s="3"/>
      <c r="L643" s="3"/>
      <c r="M643" s="3"/>
      <c r="N643" s="3"/>
      <c r="O643" s="3"/>
      <c r="P643" s="3"/>
      <c r="Q643" s="196"/>
      <c r="R643" s="3"/>
      <c r="S643" s="202"/>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row>
    <row r="644" spans="1:51" ht="15.75" customHeight="1">
      <c r="A644" s="3"/>
      <c r="B644" s="3"/>
      <c r="C644" s="3"/>
      <c r="D644" s="3"/>
      <c r="E644" s="3"/>
      <c r="F644" s="3"/>
      <c r="G644" s="3"/>
      <c r="H644" s="202"/>
      <c r="I644" s="202"/>
      <c r="J644" s="3"/>
      <c r="K644" s="3"/>
      <c r="L644" s="3"/>
      <c r="M644" s="3"/>
      <c r="N644" s="3"/>
      <c r="O644" s="3"/>
      <c r="P644" s="3"/>
      <c r="Q644" s="196"/>
      <c r="R644" s="3"/>
      <c r="S644" s="202"/>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row>
    <row r="645" spans="1:51" ht="15.75" customHeight="1">
      <c r="A645" s="3"/>
      <c r="B645" s="3"/>
      <c r="C645" s="3"/>
      <c r="D645" s="3"/>
      <c r="E645" s="3"/>
      <c r="F645" s="3"/>
      <c r="G645" s="3"/>
      <c r="H645" s="202"/>
      <c r="I645" s="202"/>
      <c r="J645" s="3"/>
      <c r="K645" s="3"/>
      <c r="L645" s="3"/>
      <c r="M645" s="3"/>
      <c r="N645" s="3"/>
      <c r="O645" s="3"/>
      <c r="P645" s="3"/>
      <c r="Q645" s="196"/>
      <c r="R645" s="3"/>
      <c r="S645" s="202"/>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row>
    <row r="646" spans="1:51" ht="15.75" customHeight="1">
      <c r="A646" s="3"/>
      <c r="B646" s="3"/>
      <c r="C646" s="3"/>
      <c r="D646" s="3"/>
      <c r="E646" s="3"/>
      <c r="F646" s="3"/>
      <c r="G646" s="3"/>
      <c r="H646" s="202"/>
      <c r="I646" s="202"/>
      <c r="J646" s="3"/>
      <c r="K646" s="3"/>
      <c r="L646" s="3"/>
      <c r="M646" s="3"/>
      <c r="N646" s="3"/>
      <c r="O646" s="3"/>
      <c r="P646" s="3"/>
      <c r="Q646" s="196"/>
      <c r="R646" s="3"/>
      <c r="S646" s="202"/>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row>
    <row r="647" spans="1:51" ht="15.75" customHeight="1">
      <c r="A647" s="3"/>
      <c r="B647" s="3"/>
      <c r="C647" s="3"/>
      <c r="D647" s="3"/>
      <c r="E647" s="3"/>
      <c r="F647" s="3"/>
      <c r="G647" s="3"/>
      <c r="H647" s="202"/>
      <c r="I647" s="202"/>
      <c r="J647" s="3"/>
      <c r="K647" s="3"/>
      <c r="L647" s="3"/>
      <c r="M647" s="3"/>
      <c r="N647" s="3"/>
      <c r="O647" s="3"/>
      <c r="P647" s="3"/>
      <c r="Q647" s="196"/>
      <c r="R647" s="3"/>
      <c r="S647" s="202"/>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row>
    <row r="648" spans="1:51" ht="15.75" customHeight="1">
      <c r="A648" s="3"/>
      <c r="B648" s="3"/>
      <c r="C648" s="3"/>
      <c r="D648" s="3"/>
      <c r="E648" s="3"/>
      <c r="F648" s="3"/>
      <c r="G648" s="3"/>
      <c r="H648" s="202"/>
      <c r="I648" s="202"/>
      <c r="J648" s="3"/>
      <c r="K648" s="3"/>
      <c r="L648" s="3"/>
      <c r="M648" s="3"/>
      <c r="N648" s="3"/>
      <c r="O648" s="3"/>
      <c r="P648" s="3"/>
      <c r="Q648" s="196"/>
      <c r="R648" s="3"/>
      <c r="S648" s="202"/>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row>
    <row r="649" spans="1:51" ht="15.75" customHeight="1">
      <c r="A649" s="3"/>
      <c r="B649" s="3"/>
      <c r="C649" s="3"/>
      <c r="D649" s="3"/>
      <c r="E649" s="3"/>
      <c r="F649" s="3"/>
      <c r="G649" s="3"/>
      <c r="H649" s="202"/>
      <c r="I649" s="202"/>
      <c r="J649" s="3"/>
      <c r="K649" s="3"/>
      <c r="L649" s="3"/>
      <c r="M649" s="3"/>
      <c r="N649" s="3"/>
      <c r="O649" s="3"/>
      <c r="P649" s="3"/>
      <c r="Q649" s="196"/>
      <c r="R649" s="3"/>
      <c r="S649" s="202"/>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row>
    <row r="650" spans="1:51" ht="15.75" customHeight="1">
      <c r="A650" s="3"/>
      <c r="B650" s="3"/>
      <c r="C650" s="3"/>
      <c r="D650" s="3"/>
      <c r="E650" s="3"/>
      <c r="F650" s="3"/>
      <c r="G650" s="3"/>
      <c r="H650" s="202"/>
      <c r="I650" s="202"/>
      <c r="J650" s="3"/>
      <c r="K650" s="3"/>
      <c r="L650" s="3"/>
      <c r="M650" s="3"/>
      <c r="N650" s="3"/>
      <c r="O650" s="3"/>
      <c r="P650" s="3"/>
      <c r="Q650" s="196"/>
      <c r="R650" s="3"/>
      <c r="S650" s="202"/>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row>
    <row r="651" spans="1:51" ht="15.75" customHeight="1">
      <c r="A651" s="3"/>
      <c r="B651" s="3"/>
      <c r="C651" s="3"/>
      <c r="D651" s="3"/>
      <c r="E651" s="3"/>
      <c r="F651" s="3"/>
      <c r="G651" s="3"/>
      <c r="H651" s="202"/>
      <c r="I651" s="202"/>
      <c r="J651" s="3"/>
      <c r="K651" s="3"/>
      <c r="L651" s="3"/>
      <c r="M651" s="3"/>
      <c r="N651" s="3"/>
      <c r="O651" s="3"/>
      <c r="P651" s="3"/>
      <c r="Q651" s="196"/>
      <c r="R651" s="3"/>
      <c r="S651" s="202"/>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row>
    <row r="652" spans="1:51" ht="15.75" customHeight="1">
      <c r="A652" s="3"/>
      <c r="B652" s="3"/>
      <c r="C652" s="3"/>
      <c r="D652" s="3"/>
      <c r="E652" s="3"/>
      <c r="F652" s="3"/>
      <c r="G652" s="3"/>
      <c r="H652" s="202"/>
      <c r="I652" s="202"/>
      <c r="J652" s="3"/>
      <c r="K652" s="3"/>
      <c r="L652" s="3"/>
      <c r="M652" s="3"/>
      <c r="N652" s="3"/>
      <c r="O652" s="3"/>
      <c r="P652" s="3"/>
      <c r="Q652" s="196"/>
      <c r="R652" s="3"/>
      <c r="S652" s="202"/>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row>
    <row r="653" spans="1:51" ht="15.75" customHeight="1">
      <c r="A653" s="3"/>
      <c r="B653" s="3"/>
      <c r="C653" s="3"/>
      <c r="D653" s="3"/>
      <c r="E653" s="3"/>
      <c r="F653" s="3"/>
      <c r="G653" s="3"/>
      <c r="H653" s="202"/>
      <c r="I653" s="202"/>
      <c r="J653" s="3"/>
      <c r="K653" s="3"/>
      <c r="L653" s="3"/>
      <c r="M653" s="3"/>
      <c r="N653" s="3"/>
      <c r="O653" s="3"/>
      <c r="P653" s="3"/>
      <c r="Q653" s="196"/>
      <c r="R653" s="3"/>
      <c r="S653" s="202"/>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row>
    <row r="654" spans="1:51" ht="15.75" customHeight="1">
      <c r="A654" s="3"/>
      <c r="B654" s="3"/>
      <c r="C654" s="3"/>
      <c r="D654" s="3"/>
      <c r="E654" s="3"/>
      <c r="F654" s="3"/>
      <c r="G654" s="3"/>
      <c r="H654" s="202"/>
      <c r="I654" s="202"/>
      <c r="J654" s="3"/>
      <c r="K654" s="3"/>
      <c r="L654" s="3"/>
      <c r="M654" s="3"/>
      <c r="N654" s="3"/>
      <c r="O654" s="3"/>
      <c r="P654" s="3"/>
      <c r="Q654" s="196"/>
      <c r="R654" s="3"/>
      <c r="S654" s="202"/>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row>
    <row r="655" spans="1:51" ht="15.75" customHeight="1">
      <c r="A655" s="3"/>
      <c r="B655" s="3"/>
      <c r="C655" s="3"/>
      <c r="D655" s="3"/>
      <c r="E655" s="3"/>
      <c r="F655" s="3"/>
      <c r="G655" s="3"/>
      <c r="H655" s="202"/>
      <c r="I655" s="202"/>
      <c r="J655" s="3"/>
      <c r="K655" s="3"/>
      <c r="L655" s="3"/>
      <c r="M655" s="3"/>
      <c r="N655" s="3"/>
      <c r="O655" s="3"/>
      <c r="P655" s="3"/>
      <c r="Q655" s="196"/>
      <c r="R655" s="3"/>
      <c r="S655" s="202"/>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row>
    <row r="656" spans="1:51" ht="15.75" customHeight="1">
      <c r="A656" s="3"/>
      <c r="B656" s="3"/>
      <c r="C656" s="3"/>
      <c r="D656" s="3"/>
      <c r="E656" s="3"/>
      <c r="F656" s="3"/>
      <c r="G656" s="3"/>
      <c r="H656" s="202"/>
      <c r="I656" s="202"/>
      <c r="J656" s="3"/>
      <c r="K656" s="3"/>
      <c r="L656" s="3"/>
      <c r="M656" s="3"/>
      <c r="N656" s="3"/>
      <c r="O656" s="3"/>
      <c r="P656" s="3"/>
      <c r="Q656" s="196"/>
      <c r="R656" s="3"/>
      <c r="S656" s="202"/>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row>
    <row r="657" spans="1:51" ht="15.75" customHeight="1">
      <c r="A657" s="3"/>
      <c r="B657" s="3"/>
      <c r="C657" s="3"/>
      <c r="D657" s="3"/>
      <c r="E657" s="3"/>
      <c r="F657" s="3"/>
      <c r="G657" s="3"/>
      <c r="H657" s="202"/>
      <c r="I657" s="202"/>
      <c r="J657" s="3"/>
      <c r="K657" s="3"/>
      <c r="L657" s="3"/>
      <c r="M657" s="3"/>
      <c r="N657" s="3"/>
      <c r="O657" s="3"/>
      <c r="P657" s="3"/>
      <c r="Q657" s="196"/>
      <c r="R657" s="3"/>
      <c r="S657" s="202"/>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row>
    <row r="658" spans="1:51" ht="15.75" customHeight="1">
      <c r="A658" s="3"/>
      <c r="B658" s="3"/>
      <c r="C658" s="3"/>
      <c r="D658" s="3"/>
      <c r="E658" s="3"/>
      <c r="F658" s="3"/>
      <c r="G658" s="3"/>
      <c r="H658" s="202"/>
      <c r="I658" s="202"/>
      <c r="J658" s="3"/>
      <c r="K658" s="3"/>
      <c r="L658" s="3"/>
      <c r="M658" s="3"/>
      <c r="N658" s="3"/>
      <c r="O658" s="3"/>
      <c r="P658" s="3"/>
      <c r="Q658" s="196"/>
      <c r="R658" s="3"/>
      <c r="S658" s="202"/>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row>
    <row r="659" spans="1:51" ht="15.75" customHeight="1">
      <c r="A659" s="3"/>
      <c r="B659" s="3"/>
      <c r="C659" s="3"/>
      <c r="D659" s="3"/>
      <c r="E659" s="3"/>
      <c r="F659" s="3"/>
      <c r="G659" s="3"/>
      <c r="H659" s="202"/>
      <c r="I659" s="202"/>
      <c r="J659" s="3"/>
      <c r="K659" s="3"/>
      <c r="L659" s="3"/>
      <c r="M659" s="3"/>
      <c r="N659" s="3"/>
      <c r="O659" s="3"/>
      <c r="P659" s="3"/>
      <c r="Q659" s="196"/>
      <c r="R659" s="3"/>
      <c r="S659" s="202"/>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row>
    <row r="660" spans="1:51" ht="15.75" customHeight="1">
      <c r="A660" s="3"/>
      <c r="B660" s="3"/>
      <c r="C660" s="3"/>
      <c r="D660" s="3"/>
      <c r="E660" s="3"/>
      <c r="F660" s="3"/>
      <c r="G660" s="3"/>
      <c r="H660" s="202"/>
      <c r="I660" s="202"/>
      <c r="J660" s="3"/>
      <c r="K660" s="3"/>
      <c r="L660" s="3"/>
      <c r="M660" s="3"/>
      <c r="N660" s="3"/>
      <c r="O660" s="3"/>
      <c r="P660" s="3"/>
      <c r="Q660" s="196"/>
      <c r="R660" s="3"/>
      <c r="S660" s="202"/>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row>
    <row r="661" spans="1:51" ht="15.75" customHeight="1">
      <c r="A661" s="3"/>
      <c r="B661" s="3"/>
      <c r="C661" s="3"/>
      <c r="D661" s="3"/>
      <c r="E661" s="3"/>
      <c r="F661" s="3"/>
      <c r="G661" s="3"/>
      <c r="H661" s="202"/>
      <c r="I661" s="202"/>
      <c r="J661" s="3"/>
      <c r="K661" s="3"/>
      <c r="L661" s="3"/>
      <c r="M661" s="3"/>
      <c r="N661" s="3"/>
      <c r="O661" s="3"/>
      <c r="P661" s="3"/>
      <c r="Q661" s="196"/>
      <c r="R661" s="3"/>
      <c r="S661" s="202"/>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row>
    <row r="662" spans="1:51" ht="15.75" customHeight="1">
      <c r="A662" s="3"/>
      <c r="B662" s="3"/>
      <c r="C662" s="3"/>
      <c r="D662" s="3"/>
      <c r="E662" s="3"/>
      <c r="F662" s="3"/>
      <c r="G662" s="3"/>
      <c r="H662" s="202"/>
      <c r="I662" s="202"/>
      <c r="J662" s="3"/>
      <c r="K662" s="3"/>
      <c r="L662" s="3"/>
      <c r="M662" s="3"/>
      <c r="N662" s="3"/>
      <c r="O662" s="3"/>
      <c r="P662" s="3"/>
      <c r="Q662" s="196"/>
      <c r="R662" s="3"/>
      <c r="S662" s="202"/>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row>
    <row r="663" spans="1:51" ht="15.75" customHeight="1">
      <c r="A663" s="3"/>
      <c r="B663" s="3"/>
      <c r="C663" s="3"/>
      <c r="D663" s="3"/>
      <c r="E663" s="3"/>
      <c r="F663" s="3"/>
      <c r="G663" s="3"/>
      <c r="H663" s="202"/>
      <c r="I663" s="202"/>
      <c r="J663" s="3"/>
      <c r="K663" s="3"/>
      <c r="L663" s="3"/>
      <c r="M663" s="3"/>
      <c r="N663" s="3"/>
      <c r="O663" s="3"/>
      <c r="P663" s="3"/>
      <c r="Q663" s="196"/>
      <c r="R663" s="3"/>
      <c r="S663" s="202"/>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row>
    <row r="664" spans="1:51" ht="15.75" customHeight="1">
      <c r="A664" s="3"/>
      <c r="B664" s="3"/>
      <c r="C664" s="3"/>
      <c r="D664" s="3"/>
      <c r="E664" s="3"/>
      <c r="F664" s="3"/>
      <c r="G664" s="3"/>
      <c r="H664" s="202"/>
      <c r="I664" s="202"/>
      <c r="J664" s="3"/>
      <c r="K664" s="3"/>
      <c r="L664" s="3"/>
      <c r="M664" s="3"/>
      <c r="N664" s="3"/>
      <c r="O664" s="3"/>
      <c r="P664" s="3"/>
      <c r="Q664" s="196"/>
      <c r="R664" s="3"/>
      <c r="S664" s="202"/>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row>
    <row r="665" spans="1:51" ht="15.75" customHeight="1">
      <c r="A665" s="3"/>
      <c r="B665" s="3"/>
      <c r="C665" s="3"/>
      <c r="D665" s="3"/>
      <c r="E665" s="3"/>
      <c r="F665" s="3"/>
      <c r="G665" s="3"/>
      <c r="H665" s="202"/>
      <c r="I665" s="202"/>
      <c r="J665" s="3"/>
      <c r="K665" s="3"/>
      <c r="L665" s="3"/>
      <c r="M665" s="3"/>
      <c r="N665" s="3"/>
      <c r="O665" s="3"/>
      <c r="P665" s="3"/>
      <c r="Q665" s="196"/>
      <c r="R665" s="3"/>
      <c r="S665" s="202"/>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row>
    <row r="666" spans="1:51" ht="15.75" customHeight="1">
      <c r="A666" s="3"/>
      <c r="B666" s="3"/>
      <c r="C666" s="3"/>
      <c r="D666" s="3"/>
      <c r="E666" s="3"/>
      <c r="F666" s="3"/>
      <c r="G666" s="3"/>
      <c r="H666" s="202"/>
      <c r="I666" s="202"/>
      <c r="J666" s="3"/>
      <c r="K666" s="3"/>
      <c r="L666" s="3"/>
      <c r="M666" s="3"/>
      <c r="N666" s="3"/>
      <c r="O666" s="3"/>
      <c r="P666" s="3"/>
      <c r="Q666" s="196"/>
      <c r="R666" s="3"/>
      <c r="S666" s="202"/>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row>
    <row r="667" spans="1:51" ht="15.75" customHeight="1">
      <c r="A667" s="3"/>
      <c r="B667" s="3"/>
      <c r="C667" s="3"/>
      <c r="D667" s="3"/>
      <c r="E667" s="3"/>
      <c r="F667" s="3"/>
      <c r="G667" s="3"/>
      <c r="H667" s="202"/>
      <c r="I667" s="202"/>
      <c r="J667" s="3"/>
      <c r="K667" s="3"/>
      <c r="L667" s="3"/>
      <c r="M667" s="3"/>
      <c r="N667" s="3"/>
      <c r="O667" s="3"/>
      <c r="P667" s="3"/>
      <c r="Q667" s="196"/>
      <c r="R667" s="3"/>
      <c r="S667" s="202"/>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row>
    <row r="668" spans="1:51" ht="15.75" customHeight="1">
      <c r="A668" s="3"/>
      <c r="B668" s="3"/>
      <c r="C668" s="3"/>
      <c r="D668" s="3"/>
      <c r="E668" s="3"/>
      <c r="F668" s="3"/>
      <c r="G668" s="3"/>
      <c r="H668" s="202"/>
      <c r="I668" s="202"/>
      <c r="J668" s="3"/>
      <c r="K668" s="3"/>
      <c r="L668" s="3"/>
      <c r="M668" s="3"/>
      <c r="N668" s="3"/>
      <c r="O668" s="3"/>
      <c r="P668" s="3"/>
      <c r="Q668" s="196"/>
      <c r="R668" s="3"/>
      <c r="S668" s="202"/>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row>
    <row r="669" spans="1:51" ht="15.75" customHeight="1">
      <c r="A669" s="3"/>
      <c r="B669" s="3"/>
      <c r="C669" s="3"/>
      <c r="D669" s="3"/>
      <c r="E669" s="3"/>
      <c r="F669" s="3"/>
      <c r="G669" s="3"/>
      <c r="H669" s="202"/>
      <c r="I669" s="202"/>
      <c r="J669" s="3"/>
      <c r="K669" s="3"/>
      <c r="L669" s="3"/>
      <c r="M669" s="3"/>
      <c r="N669" s="3"/>
      <c r="O669" s="3"/>
      <c r="P669" s="3"/>
      <c r="Q669" s="196"/>
      <c r="R669" s="3"/>
      <c r="S669" s="202"/>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row>
    <row r="670" spans="1:51" ht="15.75" customHeight="1">
      <c r="A670" s="3"/>
      <c r="B670" s="3"/>
      <c r="C670" s="3"/>
      <c r="D670" s="3"/>
      <c r="E670" s="3"/>
      <c r="F670" s="3"/>
      <c r="G670" s="3"/>
      <c r="H670" s="202"/>
      <c r="I670" s="202"/>
      <c r="J670" s="3"/>
      <c r="K670" s="3"/>
      <c r="L670" s="3"/>
      <c r="M670" s="3"/>
      <c r="N670" s="3"/>
      <c r="O670" s="3"/>
      <c r="P670" s="3"/>
      <c r="Q670" s="196"/>
      <c r="R670" s="3"/>
      <c r="S670" s="202"/>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row>
    <row r="671" spans="1:51" ht="15.75" customHeight="1">
      <c r="A671" s="3"/>
      <c r="B671" s="3"/>
      <c r="C671" s="3"/>
      <c r="D671" s="3"/>
      <c r="E671" s="3"/>
      <c r="F671" s="3"/>
      <c r="G671" s="3"/>
      <c r="H671" s="202"/>
      <c r="I671" s="202"/>
      <c r="J671" s="3"/>
      <c r="K671" s="3"/>
      <c r="L671" s="3"/>
      <c r="M671" s="3"/>
      <c r="N671" s="3"/>
      <c r="O671" s="3"/>
      <c r="P671" s="3"/>
      <c r="Q671" s="196"/>
      <c r="R671" s="3"/>
      <c r="S671" s="202"/>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row>
    <row r="672" spans="1:51" ht="15.75" customHeight="1">
      <c r="A672" s="3"/>
      <c r="B672" s="3"/>
      <c r="C672" s="3"/>
      <c r="D672" s="3"/>
      <c r="E672" s="3"/>
      <c r="F672" s="3"/>
      <c r="G672" s="3"/>
      <c r="H672" s="202"/>
      <c r="I672" s="202"/>
      <c r="J672" s="3"/>
      <c r="K672" s="3"/>
      <c r="L672" s="3"/>
      <c r="M672" s="3"/>
      <c r="N672" s="3"/>
      <c r="O672" s="3"/>
      <c r="P672" s="3"/>
      <c r="Q672" s="196"/>
      <c r="R672" s="3"/>
      <c r="S672" s="202"/>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row>
    <row r="673" spans="1:51" ht="15.75" customHeight="1">
      <c r="A673" s="3"/>
      <c r="B673" s="3"/>
      <c r="C673" s="3"/>
      <c r="D673" s="3"/>
      <c r="E673" s="3"/>
      <c r="F673" s="3"/>
      <c r="G673" s="3"/>
      <c r="H673" s="202"/>
      <c r="I673" s="202"/>
      <c r="J673" s="3"/>
      <c r="K673" s="3"/>
      <c r="L673" s="3"/>
      <c r="M673" s="3"/>
      <c r="N673" s="3"/>
      <c r="O673" s="3"/>
      <c r="P673" s="3"/>
      <c r="Q673" s="196"/>
      <c r="R673" s="3"/>
      <c r="S673" s="202"/>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row>
    <row r="674" spans="1:51" ht="15.75" customHeight="1">
      <c r="A674" s="3"/>
      <c r="B674" s="3"/>
      <c r="C674" s="3"/>
      <c r="D674" s="3"/>
      <c r="E674" s="3"/>
      <c r="F674" s="3"/>
      <c r="G674" s="3"/>
      <c r="H674" s="202"/>
      <c r="I674" s="202"/>
      <c r="J674" s="3"/>
      <c r="K674" s="3"/>
      <c r="L674" s="3"/>
      <c r="M674" s="3"/>
      <c r="N674" s="3"/>
      <c r="O674" s="3"/>
      <c r="P674" s="3"/>
      <c r="Q674" s="196"/>
      <c r="R674" s="3"/>
      <c r="S674" s="202"/>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row>
    <row r="675" spans="1:51" ht="15.75" customHeight="1">
      <c r="A675" s="3"/>
      <c r="B675" s="3"/>
      <c r="C675" s="3"/>
      <c r="D675" s="3"/>
      <c r="E675" s="3"/>
      <c r="F675" s="3"/>
      <c r="G675" s="3"/>
      <c r="H675" s="202"/>
      <c r="I675" s="202"/>
      <c r="J675" s="3"/>
      <c r="K675" s="3"/>
      <c r="L675" s="3"/>
      <c r="M675" s="3"/>
      <c r="N675" s="3"/>
      <c r="O675" s="3"/>
      <c r="P675" s="3"/>
      <c r="Q675" s="196"/>
      <c r="R675" s="3"/>
      <c r="S675" s="202"/>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row>
    <row r="676" spans="1:51" ht="15.75" customHeight="1">
      <c r="A676" s="3"/>
      <c r="B676" s="3"/>
      <c r="C676" s="3"/>
      <c r="D676" s="3"/>
      <c r="E676" s="3"/>
      <c r="F676" s="3"/>
      <c r="G676" s="3"/>
      <c r="H676" s="202"/>
      <c r="I676" s="202"/>
      <c r="J676" s="3"/>
      <c r="K676" s="3"/>
      <c r="L676" s="3"/>
      <c r="M676" s="3"/>
      <c r="N676" s="3"/>
      <c r="O676" s="3"/>
      <c r="P676" s="3"/>
      <c r="Q676" s="196"/>
      <c r="R676" s="3"/>
      <c r="S676" s="202"/>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row>
    <row r="677" spans="1:51" ht="15.75" customHeight="1">
      <c r="A677" s="3"/>
      <c r="B677" s="3"/>
      <c r="C677" s="3"/>
      <c r="D677" s="3"/>
      <c r="E677" s="3"/>
      <c r="F677" s="3"/>
      <c r="G677" s="3"/>
      <c r="H677" s="202"/>
      <c r="I677" s="202"/>
      <c r="J677" s="3"/>
      <c r="K677" s="3"/>
      <c r="L677" s="3"/>
      <c r="M677" s="3"/>
      <c r="N677" s="3"/>
      <c r="O677" s="3"/>
      <c r="P677" s="3"/>
      <c r="Q677" s="196"/>
      <c r="R677" s="3"/>
      <c r="S677" s="202"/>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row>
    <row r="678" spans="1:51" ht="15.75" customHeight="1">
      <c r="A678" s="3"/>
      <c r="B678" s="3"/>
      <c r="C678" s="3"/>
      <c r="D678" s="3"/>
      <c r="E678" s="3"/>
      <c r="F678" s="3"/>
      <c r="G678" s="3"/>
      <c r="H678" s="202"/>
      <c r="I678" s="202"/>
      <c r="J678" s="3"/>
      <c r="K678" s="3"/>
      <c r="L678" s="3"/>
      <c r="M678" s="3"/>
      <c r="N678" s="3"/>
      <c r="O678" s="3"/>
      <c r="P678" s="3"/>
      <c r="Q678" s="196"/>
      <c r="R678" s="3"/>
      <c r="S678" s="202"/>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row>
    <row r="679" spans="1:51" ht="15.75" customHeight="1">
      <c r="A679" s="3"/>
      <c r="B679" s="3"/>
      <c r="C679" s="3"/>
      <c r="D679" s="3"/>
      <c r="E679" s="3"/>
      <c r="F679" s="3"/>
      <c r="G679" s="3"/>
      <c r="H679" s="202"/>
      <c r="I679" s="202"/>
      <c r="J679" s="3"/>
      <c r="K679" s="3"/>
      <c r="L679" s="3"/>
      <c r="M679" s="3"/>
      <c r="N679" s="3"/>
      <c r="O679" s="3"/>
      <c r="P679" s="3"/>
      <c r="Q679" s="196"/>
      <c r="R679" s="3"/>
      <c r="S679" s="202"/>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row>
    <row r="680" spans="1:51" ht="15.75" customHeight="1">
      <c r="A680" s="3"/>
      <c r="B680" s="3"/>
      <c r="C680" s="3"/>
      <c r="D680" s="3"/>
      <c r="E680" s="3"/>
      <c r="F680" s="3"/>
      <c r="G680" s="3"/>
      <c r="H680" s="202"/>
      <c r="I680" s="202"/>
      <c r="J680" s="3"/>
      <c r="K680" s="3"/>
      <c r="L680" s="3"/>
      <c r="M680" s="3"/>
      <c r="N680" s="3"/>
      <c r="O680" s="3"/>
      <c r="P680" s="3"/>
      <c r="Q680" s="196"/>
      <c r="R680" s="3"/>
      <c r="S680" s="202"/>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row>
    <row r="681" spans="1:51" ht="15.75" customHeight="1">
      <c r="A681" s="3"/>
      <c r="B681" s="3"/>
      <c r="C681" s="3"/>
      <c r="D681" s="3"/>
      <c r="E681" s="3"/>
      <c r="F681" s="3"/>
      <c r="G681" s="3"/>
      <c r="H681" s="202"/>
      <c r="I681" s="202"/>
      <c r="J681" s="3"/>
      <c r="K681" s="3"/>
      <c r="L681" s="3"/>
      <c r="M681" s="3"/>
      <c r="N681" s="3"/>
      <c r="O681" s="3"/>
      <c r="P681" s="3"/>
      <c r="Q681" s="196"/>
      <c r="R681" s="3"/>
      <c r="S681" s="202"/>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row>
    <row r="682" spans="1:51" ht="15.75" customHeight="1">
      <c r="A682" s="3"/>
      <c r="B682" s="3"/>
      <c r="C682" s="3"/>
      <c r="D682" s="3"/>
      <c r="E682" s="3"/>
      <c r="F682" s="3"/>
      <c r="G682" s="3"/>
      <c r="H682" s="202"/>
      <c r="I682" s="202"/>
      <c r="J682" s="3"/>
      <c r="K682" s="3"/>
      <c r="L682" s="3"/>
      <c r="M682" s="3"/>
      <c r="N682" s="3"/>
      <c r="O682" s="3"/>
      <c r="P682" s="3"/>
      <c r="Q682" s="196"/>
      <c r="R682" s="3"/>
      <c r="S682" s="202"/>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row>
    <row r="683" spans="1:51" ht="15.75" customHeight="1">
      <c r="A683" s="3"/>
      <c r="B683" s="3"/>
      <c r="C683" s="3"/>
      <c r="D683" s="3"/>
      <c r="E683" s="3"/>
      <c r="F683" s="3"/>
      <c r="G683" s="3"/>
      <c r="H683" s="202"/>
      <c r="I683" s="202"/>
      <c r="J683" s="3"/>
      <c r="K683" s="3"/>
      <c r="L683" s="3"/>
      <c r="M683" s="3"/>
      <c r="N683" s="3"/>
      <c r="O683" s="3"/>
      <c r="P683" s="3"/>
      <c r="Q683" s="196"/>
      <c r="R683" s="3"/>
      <c r="S683" s="202"/>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row>
    <row r="684" spans="1:51" ht="15.75" customHeight="1">
      <c r="A684" s="3"/>
      <c r="B684" s="3"/>
      <c r="C684" s="3"/>
      <c r="D684" s="3"/>
      <c r="E684" s="3"/>
      <c r="F684" s="3"/>
      <c r="G684" s="3"/>
      <c r="H684" s="202"/>
      <c r="I684" s="202"/>
      <c r="J684" s="3"/>
      <c r="K684" s="3"/>
      <c r="L684" s="3"/>
      <c r="M684" s="3"/>
      <c r="N684" s="3"/>
      <c r="O684" s="3"/>
      <c r="P684" s="3"/>
      <c r="Q684" s="196"/>
      <c r="R684" s="3"/>
      <c r="S684" s="202"/>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row>
    <row r="685" spans="1:51" ht="15.75" customHeight="1">
      <c r="A685" s="3"/>
      <c r="B685" s="3"/>
      <c r="C685" s="3"/>
      <c r="D685" s="3"/>
      <c r="E685" s="3"/>
      <c r="F685" s="3"/>
      <c r="G685" s="3"/>
      <c r="H685" s="202"/>
      <c r="I685" s="202"/>
      <c r="J685" s="3"/>
      <c r="K685" s="3"/>
      <c r="L685" s="3"/>
      <c r="M685" s="3"/>
      <c r="N685" s="3"/>
      <c r="O685" s="3"/>
      <c r="P685" s="3"/>
      <c r="Q685" s="196"/>
      <c r="R685" s="3"/>
      <c r="S685" s="202"/>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row>
    <row r="686" spans="1:51" ht="15.75" customHeight="1">
      <c r="A686" s="3"/>
      <c r="B686" s="3"/>
      <c r="C686" s="3"/>
      <c r="D686" s="3"/>
      <c r="E686" s="3"/>
      <c r="F686" s="3"/>
      <c r="G686" s="3"/>
      <c r="H686" s="202"/>
      <c r="I686" s="202"/>
      <c r="J686" s="3"/>
      <c r="K686" s="3"/>
      <c r="L686" s="3"/>
      <c r="M686" s="3"/>
      <c r="N686" s="3"/>
      <c r="O686" s="3"/>
      <c r="P686" s="3"/>
      <c r="Q686" s="196"/>
      <c r="R686" s="3"/>
      <c r="S686" s="202"/>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row>
    <row r="687" spans="1:51" ht="15.75" customHeight="1">
      <c r="A687" s="3"/>
      <c r="B687" s="3"/>
      <c r="C687" s="3"/>
      <c r="D687" s="3"/>
      <c r="E687" s="3"/>
      <c r="F687" s="3"/>
      <c r="G687" s="3"/>
      <c r="H687" s="202"/>
      <c r="I687" s="202"/>
      <c r="J687" s="3"/>
      <c r="K687" s="3"/>
      <c r="L687" s="3"/>
      <c r="M687" s="3"/>
      <c r="N687" s="3"/>
      <c r="O687" s="3"/>
      <c r="P687" s="3"/>
      <c r="Q687" s="196"/>
      <c r="R687" s="3"/>
      <c r="S687" s="202"/>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row>
    <row r="688" spans="1:51" ht="15.75" customHeight="1">
      <c r="A688" s="3"/>
      <c r="B688" s="3"/>
      <c r="C688" s="3"/>
      <c r="D688" s="3"/>
      <c r="E688" s="3"/>
      <c r="F688" s="3"/>
      <c r="G688" s="3"/>
      <c r="H688" s="202"/>
      <c r="I688" s="202"/>
      <c r="J688" s="3"/>
      <c r="K688" s="3"/>
      <c r="L688" s="3"/>
      <c r="M688" s="3"/>
      <c r="N688" s="3"/>
      <c r="O688" s="3"/>
      <c r="P688" s="3"/>
      <c r="Q688" s="196"/>
      <c r="R688" s="3"/>
      <c r="S688" s="202"/>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row>
    <row r="689" spans="1:51" ht="15.75" customHeight="1">
      <c r="A689" s="3"/>
      <c r="B689" s="3"/>
      <c r="C689" s="3"/>
      <c r="D689" s="3"/>
      <c r="E689" s="3"/>
      <c r="F689" s="3"/>
      <c r="G689" s="3"/>
      <c r="H689" s="202"/>
      <c r="I689" s="202"/>
      <c r="J689" s="3"/>
      <c r="K689" s="3"/>
      <c r="L689" s="3"/>
      <c r="M689" s="3"/>
      <c r="N689" s="3"/>
      <c r="O689" s="3"/>
      <c r="P689" s="3"/>
      <c r="Q689" s="196"/>
      <c r="R689" s="3"/>
      <c r="S689" s="202"/>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row>
    <row r="690" spans="1:51" ht="15.75" customHeight="1">
      <c r="A690" s="3"/>
      <c r="B690" s="3"/>
      <c r="C690" s="3"/>
      <c r="D690" s="3"/>
      <c r="E690" s="3"/>
      <c r="F690" s="3"/>
      <c r="G690" s="3"/>
      <c r="H690" s="202"/>
      <c r="I690" s="202"/>
      <c r="J690" s="3"/>
      <c r="K690" s="3"/>
      <c r="L690" s="3"/>
      <c r="M690" s="3"/>
      <c r="N690" s="3"/>
      <c r="O690" s="3"/>
      <c r="P690" s="3"/>
      <c r="Q690" s="196"/>
      <c r="R690" s="3"/>
      <c r="S690" s="202"/>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row>
    <row r="691" spans="1:51" ht="15.75" customHeight="1">
      <c r="A691" s="3"/>
      <c r="B691" s="3"/>
      <c r="C691" s="3"/>
      <c r="D691" s="3"/>
      <c r="E691" s="3"/>
      <c r="F691" s="3"/>
      <c r="G691" s="3"/>
      <c r="H691" s="202"/>
      <c r="I691" s="202"/>
      <c r="J691" s="3"/>
      <c r="K691" s="3"/>
      <c r="L691" s="3"/>
      <c r="M691" s="3"/>
      <c r="N691" s="3"/>
      <c r="O691" s="3"/>
      <c r="P691" s="3"/>
      <c r="Q691" s="196"/>
      <c r="R691" s="3"/>
      <c r="S691" s="202"/>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row>
    <row r="692" spans="1:51" ht="15.75" customHeight="1">
      <c r="A692" s="3"/>
      <c r="B692" s="3"/>
      <c r="C692" s="3"/>
      <c r="D692" s="3"/>
      <c r="E692" s="3"/>
      <c r="F692" s="3"/>
      <c r="G692" s="3"/>
      <c r="H692" s="202"/>
      <c r="I692" s="202"/>
      <c r="J692" s="3"/>
      <c r="K692" s="3"/>
      <c r="L692" s="3"/>
      <c r="M692" s="3"/>
      <c r="N692" s="3"/>
      <c r="O692" s="3"/>
      <c r="P692" s="3"/>
      <c r="Q692" s="196"/>
      <c r="R692" s="3"/>
      <c r="S692" s="202"/>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row>
    <row r="693" spans="1:51" ht="15.75" customHeight="1">
      <c r="A693" s="3"/>
      <c r="B693" s="3"/>
      <c r="C693" s="3"/>
      <c r="D693" s="3"/>
      <c r="E693" s="3"/>
      <c r="F693" s="3"/>
      <c r="G693" s="3"/>
      <c r="H693" s="202"/>
      <c r="I693" s="202"/>
      <c r="J693" s="3"/>
      <c r="K693" s="3"/>
      <c r="L693" s="3"/>
      <c r="M693" s="3"/>
      <c r="N693" s="3"/>
      <c r="O693" s="3"/>
      <c r="P693" s="3"/>
      <c r="Q693" s="196"/>
      <c r="R693" s="3"/>
      <c r="S693" s="202"/>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row>
    <row r="694" spans="1:51" ht="15.75" customHeight="1">
      <c r="A694" s="3"/>
      <c r="B694" s="3"/>
      <c r="C694" s="3"/>
      <c r="D694" s="3"/>
      <c r="E694" s="3"/>
      <c r="F694" s="3"/>
      <c r="G694" s="3"/>
      <c r="H694" s="202"/>
      <c r="I694" s="202"/>
      <c r="J694" s="3"/>
      <c r="K694" s="3"/>
      <c r="L694" s="3"/>
      <c r="M694" s="3"/>
      <c r="N694" s="3"/>
      <c r="O694" s="3"/>
      <c r="P694" s="3"/>
      <c r="Q694" s="196"/>
      <c r="R694" s="3"/>
      <c r="S694" s="202"/>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row>
    <row r="695" spans="1:51" ht="15.75" customHeight="1">
      <c r="A695" s="3"/>
      <c r="B695" s="3"/>
      <c r="C695" s="3"/>
      <c r="D695" s="3"/>
      <c r="E695" s="3"/>
      <c r="F695" s="3"/>
      <c r="G695" s="3"/>
      <c r="H695" s="202"/>
      <c r="I695" s="202"/>
      <c r="J695" s="3"/>
      <c r="K695" s="3"/>
      <c r="L695" s="3"/>
      <c r="M695" s="3"/>
      <c r="N695" s="3"/>
      <c r="O695" s="3"/>
      <c r="P695" s="3"/>
      <c r="Q695" s="196"/>
      <c r="R695" s="3"/>
      <c r="S695" s="202"/>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row>
    <row r="696" spans="1:51" ht="15.75" customHeight="1">
      <c r="A696" s="3"/>
      <c r="B696" s="3"/>
      <c r="C696" s="3"/>
      <c r="D696" s="3"/>
      <c r="E696" s="3"/>
      <c r="F696" s="3"/>
      <c r="G696" s="3"/>
      <c r="H696" s="202"/>
      <c r="I696" s="202"/>
      <c r="J696" s="3"/>
      <c r="K696" s="3"/>
      <c r="L696" s="3"/>
      <c r="M696" s="3"/>
      <c r="N696" s="3"/>
      <c r="O696" s="3"/>
      <c r="P696" s="3"/>
      <c r="Q696" s="196"/>
      <c r="R696" s="3"/>
      <c r="S696" s="202"/>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row>
    <row r="697" spans="1:51" ht="15.75" customHeight="1">
      <c r="A697" s="3"/>
      <c r="B697" s="3"/>
      <c r="C697" s="3"/>
      <c r="D697" s="3"/>
      <c r="E697" s="3"/>
      <c r="F697" s="3"/>
      <c r="G697" s="3"/>
      <c r="H697" s="202"/>
      <c r="I697" s="202"/>
      <c r="J697" s="3"/>
      <c r="K697" s="3"/>
      <c r="L697" s="3"/>
      <c r="M697" s="3"/>
      <c r="N697" s="3"/>
      <c r="O697" s="3"/>
      <c r="P697" s="3"/>
      <c r="Q697" s="196"/>
      <c r="R697" s="3"/>
      <c r="S697" s="202"/>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row>
    <row r="698" spans="1:51" ht="15.75" customHeight="1">
      <c r="A698" s="3"/>
      <c r="B698" s="3"/>
      <c r="C698" s="3"/>
      <c r="D698" s="3"/>
      <c r="E698" s="3"/>
      <c r="F698" s="3"/>
      <c r="G698" s="3"/>
      <c r="H698" s="202"/>
      <c r="I698" s="202"/>
      <c r="J698" s="3"/>
      <c r="K698" s="3"/>
      <c r="L698" s="3"/>
      <c r="M698" s="3"/>
      <c r="N698" s="3"/>
      <c r="O698" s="3"/>
      <c r="P698" s="3"/>
      <c r="Q698" s="196"/>
      <c r="R698" s="3"/>
      <c r="S698" s="202"/>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row>
    <row r="699" spans="1:51" ht="15.75" customHeight="1">
      <c r="A699" s="3"/>
      <c r="B699" s="3"/>
      <c r="C699" s="3"/>
      <c r="D699" s="3"/>
      <c r="E699" s="3"/>
      <c r="F699" s="3"/>
      <c r="G699" s="3"/>
      <c r="H699" s="202"/>
      <c r="I699" s="202"/>
      <c r="J699" s="3"/>
      <c r="K699" s="3"/>
      <c r="L699" s="3"/>
      <c r="M699" s="3"/>
      <c r="N699" s="3"/>
      <c r="O699" s="3"/>
      <c r="P699" s="3"/>
      <c r="Q699" s="196"/>
      <c r="R699" s="3"/>
      <c r="S699" s="202"/>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row>
    <row r="700" spans="1:51" ht="15.75" customHeight="1">
      <c r="A700" s="3"/>
      <c r="B700" s="3"/>
      <c r="C700" s="3"/>
      <c r="D700" s="3"/>
      <c r="E700" s="3"/>
      <c r="F700" s="3"/>
      <c r="G700" s="3"/>
      <c r="H700" s="202"/>
      <c r="I700" s="202"/>
      <c r="J700" s="3"/>
      <c r="K700" s="3"/>
      <c r="L700" s="3"/>
      <c r="M700" s="3"/>
      <c r="N700" s="3"/>
      <c r="O700" s="3"/>
      <c r="P700" s="3"/>
      <c r="Q700" s="196"/>
      <c r="R700" s="3"/>
      <c r="S700" s="202"/>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row>
    <row r="701" spans="1:51" ht="15.75" customHeight="1">
      <c r="A701" s="3"/>
      <c r="B701" s="3"/>
      <c r="C701" s="3"/>
      <c r="D701" s="3"/>
      <c r="E701" s="3"/>
      <c r="F701" s="3"/>
      <c r="G701" s="3"/>
      <c r="H701" s="202"/>
      <c r="I701" s="202"/>
      <c r="J701" s="3"/>
      <c r="K701" s="3"/>
      <c r="L701" s="3"/>
      <c r="M701" s="3"/>
      <c r="N701" s="3"/>
      <c r="O701" s="3"/>
      <c r="P701" s="3"/>
      <c r="Q701" s="196"/>
      <c r="R701" s="3"/>
      <c r="S701" s="202"/>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row>
    <row r="702" spans="1:51" ht="15.75" customHeight="1">
      <c r="A702" s="3"/>
      <c r="B702" s="3"/>
      <c r="C702" s="3"/>
      <c r="D702" s="3"/>
      <c r="E702" s="3"/>
      <c r="F702" s="3"/>
      <c r="G702" s="3"/>
      <c r="H702" s="202"/>
      <c r="I702" s="202"/>
      <c r="J702" s="3"/>
      <c r="K702" s="3"/>
      <c r="L702" s="3"/>
      <c r="M702" s="3"/>
      <c r="N702" s="3"/>
      <c r="O702" s="3"/>
      <c r="P702" s="3"/>
      <c r="Q702" s="196"/>
      <c r="R702" s="3"/>
      <c r="S702" s="202"/>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row>
    <row r="703" spans="1:51" ht="15.75" customHeight="1">
      <c r="A703" s="3"/>
      <c r="B703" s="3"/>
      <c r="C703" s="3"/>
      <c r="D703" s="3"/>
      <c r="E703" s="3"/>
      <c r="F703" s="3"/>
      <c r="G703" s="3"/>
      <c r="H703" s="202"/>
      <c r="I703" s="202"/>
      <c r="J703" s="3"/>
      <c r="K703" s="3"/>
      <c r="L703" s="3"/>
      <c r="M703" s="3"/>
      <c r="N703" s="3"/>
      <c r="O703" s="3"/>
      <c r="P703" s="3"/>
      <c r="Q703" s="196"/>
      <c r="R703" s="3"/>
      <c r="S703" s="202"/>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row>
    <row r="704" spans="1:51" ht="15.75" customHeight="1">
      <c r="A704" s="3"/>
      <c r="B704" s="3"/>
      <c r="C704" s="3"/>
      <c r="D704" s="3"/>
      <c r="E704" s="3"/>
      <c r="F704" s="3"/>
      <c r="G704" s="3"/>
      <c r="H704" s="202"/>
      <c r="I704" s="202"/>
      <c r="J704" s="3"/>
      <c r="K704" s="3"/>
      <c r="L704" s="3"/>
      <c r="M704" s="3"/>
      <c r="N704" s="3"/>
      <c r="O704" s="3"/>
      <c r="P704" s="3"/>
      <c r="Q704" s="196"/>
      <c r="R704" s="3"/>
      <c r="S704" s="202"/>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row>
    <row r="705" spans="1:51" ht="15.75" customHeight="1">
      <c r="A705" s="3"/>
      <c r="B705" s="3"/>
      <c r="C705" s="3"/>
      <c r="D705" s="3"/>
      <c r="E705" s="3"/>
      <c r="F705" s="3"/>
      <c r="G705" s="3"/>
      <c r="H705" s="202"/>
      <c r="I705" s="202"/>
      <c r="J705" s="3"/>
      <c r="K705" s="3"/>
      <c r="L705" s="3"/>
      <c r="M705" s="3"/>
      <c r="N705" s="3"/>
      <c r="O705" s="3"/>
      <c r="P705" s="3"/>
      <c r="Q705" s="196"/>
      <c r="R705" s="3"/>
      <c r="S705" s="202"/>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row>
    <row r="706" spans="1:51" ht="15.75" customHeight="1">
      <c r="A706" s="3"/>
      <c r="B706" s="3"/>
      <c r="C706" s="3"/>
      <c r="D706" s="3"/>
      <c r="E706" s="3"/>
      <c r="F706" s="3"/>
      <c r="G706" s="3"/>
      <c r="H706" s="202"/>
      <c r="I706" s="202"/>
      <c r="J706" s="3"/>
      <c r="K706" s="3"/>
      <c r="L706" s="3"/>
      <c r="M706" s="3"/>
      <c r="N706" s="3"/>
      <c r="O706" s="3"/>
      <c r="P706" s="3"/>
      <c r="Q706" s="196"/>
      <c r="R706" s="3"/>
      <c r="S706" s="202"/>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row>
    <row r="707" spans="1:51" ht="15.75" customHeight="1">
      <c r="A707" s="3"/>
      <c r="B707" s="3"/>
      <c r="C707" s="3"/>
      <c r="D707" s="3"/>
      <c r="E707" s="3"/>
      <c r="F707" s="3"/>
      <c r="G707" s="3"/>
      <c r="H707" s="202"/>
      <c r="I707" s="202"/>
      <c r="J707" s="3"/>
      <c r="K707" s="3"/>
      <c r="L707" s="3"/>
      <c r="M707" s="3"/>
      <c r="N707" s="3"/>
      <c r="O707" s="3"/>
      <c r="P707" s="3"/>
      <c r="Q707" s="196"/>
      <c r="R707" s="3"/>
      <c r="S707" s="202"/>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row>
    <row r="708" spans="1:51" ht="15.75" customHeight="1">
      <c r="A708" s="3"/>
      <c r="B708" s="3"/>
      <c r="C708" s="3"/>
      <c r="D708" s="3"/>
      <c r="E708" s="3"/>
      <c r="F708" s="3"/>
      <c r="G708" s="3"/>
      <c r="H708" s="202"/>
      <c r="I708" s="202"/>
      <c r="J708" s="3"/>
      <c r="K708" s="3"/>
      <c r="L708" s="3"/>
      <c r="M708" s="3"/>
      <c r="N708" s="3"/>
      <c r="O708" s="3"/>
      <c r="P708" s="3"/>
      <c r="Q708" s="196"/>
      <c r="R708" s="3"/>
      <c r="S708" s="202"/>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row>
    <row r="709" spans="1:51" ht="15.75" customHeight="1">
      <c r="A709" s="3"/>
      <c r="B709" s="3"/>
      <c r="C709" s="3"/>
      <c r="D709" s="3"/>
      <c r="E709" s="3"/>
      <c r="F709" s="3"/>
      <c r="G709" s="3"/>
      <c r="H709" s="202"/>
      <c r="I709" s="202"/>
      <c r="J709" s="3"/>
      <c r="K709" s="3"/>
      <c r="L709" s="3"/>
      <c r="M709" s="3"/>
      <c r="N709" s="3"/>
      <c r="O709" s="3"/>
      <c r="P709" s="3"/>
      <c r="Q709" s="196"/>
      <c r="R709" s="3"/>
      <c r="S709" s="202"/>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row>
    <row r="710" spans="1:51" ht="15.75" customHeight="1">
      <c r="A710" s="3"/>
      <c r="B710" s="3"/>
      <c r="C710" s="3"/>
      <c r="D710" s="3"/>
      <c r="E710" s="3"/>
      <c r="F710" s="3"/>
      <c r="G710" s="3"/>
      <c r="H710" s="202"/>
      <c r="I710" s="202"/>
      <c r="J710" s="3"/>
      <c r="K710" s="3"/>
      <c r="L710" s="3"/>
      <c r="M710" s="3"/>
      <c r="N710" s="3"/>
      <c r="O710" s="3"/>
      <c r="P710" s="3"/>
      <c r="Q710" s="196"/>
      <c r="R710" s="3"/>
      <c r="S710" s="202"/>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row>
    <row r="711" spans="1:51" ht="15.75" customHeight="1">
      <c r="A711" s="3"/>
      <c r="B711" s="3"/>
      <c r="C711" s="3"/>
      <c r="D711" s="3"/>
      <c r="E711" s="3"/>
      <c r="F711" s="3"/>
      <c r="G711" s="3"/>
      <c r="H711" s="202"/>
      <c r="I711" s="202"/>
      <c r="J711" s="3"/>
      <c r="K711" s="3"/>
      <c r="L711" s="3"/>
      <c r="M711" s="3"/>
      <c r="N711" s="3"/>
      <c r="O711" s="3"/>
      <c r="P711" s="3"/>
      <c r="Q711" s="196"/>
      <c r="R711" s="3"/>
      <c r="S711" s="202"/>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row>
    <row r="712" spans="1:51" ht="15.75" customHeight="1">
      <c r="A712" s="3"/>
      <c r="B712" s="3"/>
      <c r="C712" s="3"/>
      <c r="D712" s="3"/>
      <c r="E712" s="3"/>
      <c r="F712" s="3"/>
      <c r="G712" s="3"/>
      <c r="H712" s="202"/>
      <c r="I712" s="202"/>
      <c r="J712" s="3"/>
      <c r="K712" s="3"/>
      <c r="L712" s="3"/>
      <c r="M712" s="3"/>
      <c r="N712" s="3"/>
      <c r="O712" s="3"/>
      <c r="P712" s="3"/>
      <c r="Q712" s="196"/>
      <c r="R712" s="3"/>
      <c r="S712" s="202"/>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row>
    <row r="713" spans="1:51" ht="15.75" customHeight="1">
      <c r="A713" s="3"/>
      <c r="B713" s="3"/>
      <c r="C713" s="3"/>
      <c r="D713" s="3"/>
      <c r="E713" s="3"/>
      <c r="F713" s="3"/>
      <c r="G713" s="3"/>
      <c r="H713" s="202"/>
      <c r="I713" s="202"/>
      <c r="J713" s="3"/>
      <c r="K713" s="3"/>
      <c r="L713" s="3"/>
      <c r="M713" s="3"/>
      <c r="N713" s="3"/>
      <c r="O713" s="3"/>
      <c r="P713" s="3"/>
      <c r="Q713" s="196"/>
      <c r="R713" s="3"/>
      <c r="S713" s="202"/>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row>
    <row r="714" spans="1:51" ht="15.75" customHeight="1">
      <c r="A714" s="3"/>
      <c r="B714" s="3"/>
      <c r="C714" s="3"/>
      <c r="D714" s="3"/>
      <c r="E714" s="3"/>
      <c r="F714" s="3"/>
      <c r="G714" s="3"/>
      <c r="H714" s="202"/>
      <c r="I714" s="202"/>
      <c r="J714" s="3"/>
      <c r="K714" s="3"/>
      <c r="L714" s="3"/>
      <c r="M714" s="3"/>
      <c r="N714" s="3"/>
      <c r="O714" s="3"/>
      <c r="P714" s="3"/>
      <c r="Q714" s="196"/>
      <c r="R714" s="3"/>
      <c r="S714" s="202"/>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row>
    <row r="715" spans="1:51" ht="15.75" customHeight="1">
      <c r="A715" s="3"/>
      <c r="B715" s="3"/>
      <c r="C715" s="3"/>
      <c r="D715" s="3"/>
      <c r="E715" s="3"/>
      <c r="F715" s="3"/>
      <c r="G715" s="3"/>
      <c r="H715" s="202"/>
      <c r="I715" s="202"/>
      <c r="J715" s="3"/>
      <c r="K715" s="3"/>
      <c r="L715" s="3"/>
      <c r="M715" s="3"/>
      <c r="N715" s="3"/>
      <c r="O715" s="3"/>
      <c r="P715" s="3"/>
      <c r="Q715" s="196"/>
      <c r="R715" s="3"/>
      <c r="S715" s="202"/>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row>
    <row r="716" spans="1:51" ht="15.75" customHeight="1">
      <c r="A716" s="3"/>
      <c r="B716" s="3"/>
      <c r="C716" s="3"/>
      <c r="D716" s="3"/>
      <c r="E716" s="3"/>
      <c r="F716" s="3"/>
      <c r="G716" s="3"/>
      <c r="H716" s="202"/>
      <c r="I716" s="202"/>
      <c r="J716" s="3"/>
      <c r="K716" s="3"/>
      <c r="L716" s="3"/>
      <c r="M716" s="3"/>
      <c r="N716" s="3"/>
      <c r="O716" s="3"/>
      <c r="P716" s="3"/>
      <c r="Q716" s="196"/>
      <c r="R716" s="3"/>
      <c r="S716" s="202"/>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row>
    <row r="717" spans="1:51" ht="15.75" customHeight="1">
      <c r="A717" s="3"/>
      <c r="B717" s="3"/>
      <c r="C717" s="3"/>
      <c r="D717" s="3"/>
      <c r="E717" s="3"/>
      <c r="F717" s="3"/>
      <c r="G717" s="3"/>
      <c r="H717" s="202"/>
      <c r="I717" s="202"/>
      <c r="J717" s="3"/>
      <c r="K717" s="3"/>
      <c r="L717" s="3"/>
      <c r="M717" s="3"/>
      <c r="N717" s="3"/>
      <c r="O717" s="3"/>
      <c r="P717" s="3"/>
      <c r="Q717" s="196"/>
      <c r="R717" s="3"/>
      <c r="S717" s="202"/>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row>
    <row r="718" spans="1:51" ht="15.75" customHeight="1">
      <c r="A718" s="3"/>
      <c r="B718" s="3"/>
      <c r="C718" s="3"/>
      <c r="D718" s="3"/>
      <c r="E718" s="3"/>
      <c r="F718" s="3"/>
      <c r="G718" s="3"/>
      <c r="H718" s="202"/>
      <c r="I718" s="202"/>
      <c r="J718" s="3"/>
      <c r="K718" s="3"/>
      <c r="L718" s="3"/>
      <c r="M718" s="3"/>
      <c r="N718" s="3"/>
      <c r="O718" s="3"/>
      <c r="P718" s="3"/>
      <c r="Q718" s="196"/>
      <c r="R718" s="3"/>
      <c r="S718" s="202"/>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row>
    <row r="719" spans="1:51" ht="15.75" customHeight="1">
      <c r="A719" s="3"/>
      <c r="B719" s="3"/>
      <c r="C719" s="3"/>
      <c r="D719" s="3"/>
      <c r="E719" s="3"/>
      <c r="F719" s="3"/>
      <c r="G719" s="3"/>
      <c r="H719" s="202"/>
      <c r="I719" s="202"/>
      <c r="J719" s="3"/>
      <c r="K719" s="3"/>
      <c r="L719" s="3"/>
      <c r="M719" s="3"/>
      <c r="N719" s="3"/>
      <c r="O719" s="3"/>
      <c r="P719" s="3"/>
      <c r="Q719" s="196"/>
      <c r="R719" s="3"/>
      <c r="S719" s="202"/>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row>
    <row r="720" spans="1:51" ht="15.75" customHeight="1">
      <c r="A720" s="3"/>
      <c r="B720" s="3"/>
      <c r="C720" s="3"/>
      <c r="D720" s="3"/>
      <c r="E720" s="3"/>
      <c r="F720" s="3"/>
      <c r="G720" s="3"/>
      <c r="H720" s="202"/>
      <c r="I720" s="202"/>
      <c r="J720" s="3"/>
      <c r="K720" s="3"/>
      <c r="L720" s="3"/>
      <c r="M720" s="3"/>
      <c r="N720" s="3"/>
      <c r="O720" s="3"/>
      <c r="P720" s="3"/>
      <c r="Q720" s="196"/>
      <c r="R720" s="3"/>
      <c r="S720" s="202"/>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row>
    <row r="721" spans="1:51" ht="15.75" customHeight="1">
      <c r="A721" s="3"/>
      <c r="B721" s="3"/>
      <c r="C721" s="3"/>
      <c r="D721" s="3"/>
      <c r="E721" s="3"/>
      <c r="F721" s="3"/>
      <c r="G721" s="3"/>
      <c r="H721" s="202"/>
      <c r="I721" s="202"/>
      <c r="J721" s="3"/>
      <c r="K721" s="3"/>
      <c r="L721" s="3"/>
      <c r="M721" s="3"/>
      <c r="N721" s="3"/>
      <c r="O721" s="3"/>
      <c r="P721" s="3"/>
      <c r="Q721" s="196"/>
      <c r="R721" s="3"/>
      <c r="S721" s="202"/>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row>
    <row r="722" spans="1:51" ht="15.75" customHeight="1">
      <c r="A722" s="3"/>
      <c r="B722" s="3"/>
      <c r="C722" s="3"/>
      <c r="D722" s="3"/>
      <c r="E722" s="3"/>
      <c r="F722" s="3"/>
      <c r="G722" s="3"/>
      <c r="H722" s="202"/>
      <c r="I722" s="202"/>
      <c r="J722" s="3"/>
      <c r="K722" s="3"/>
      <c r="L722" s="3"/>
      <c r="M722" s="3"/>
      <c r="N722" s="3"/>
      <c r="O722" s="3"/>
      <c r="P722" s="3"/>
      <c r="Q722" s="196"/>
      <c r="R722" s="3"/>
      <c r="S722" s="202"/>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row>
    <row r="723" spans="1:51" ht="15.75" customHeight="1">
      <c r="A723" s="3"/>
      <c r="B723" s="3"/>
      <c r="C723" s="3"/>
      <c r="D723" s="3"/>
      <c r="E723" s="3"/>
      <c r="F723" s="3"/>
      <c r="G723" s="3"/>
      <c r="H723" s="202"/>
      <c r="I723" s="202"/>
      <c r="J723" s="3"/>
      <c r="K723" s="3"/>
      <c r="L723" s="3"/>
      <c r="M723" s="3"/>
      <c r="N723" s="3"/>
      <c r="O723" s="3"/>
      <c r="P723" s="3"/>
      <c r="Q723" s="196"/>
      <c r="R723" s="3"/>
      <c r="S723" s="202"/>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row>
    <row r="724" spans="1:51" ht="15.75" customHeight="1">
      <c r="A724" s="3"/>
      <c r="B724" s="3"/>
      <c r="C724" s="3"/>
      <c r="D724" s="3"/>
      <c r="E724" s="3"/>
      <c r="F724" s="3"/>
      <c r="G724" s="3"/>
      <c r="H724" s="202"/>
      <c r="I724" s="202"/>
      <c r="J724" s="3"/>
      <c r="K724" s="3"/>
      <c r="L724" s="3"/>
      <c r="M724" s="3"/>
      <c r="N724" s="3"/>
      <c r="O724" s="3"/>
      <c r="P724" s="3"/>
      <c r="Q724" s="196"/>
      <c r="R724" s="3"/>
      <c r="S724" s="202"/>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row>
    <row r="725" spans="1:51" ht="15.75" customHeight="1">
      <c r="A725" s="3"/>
      <c r="B725" s="3"/>
      <c r="C725" s="3"/>
      <c r="D725" s="3"/>
      <c r="E725" s="3"/>
      <c r="F725" s="3"/>
      <c r="G725" s="3"/>
      <c r="H725" s="202"/>
      <c r="I725" s="202"/>
      <c r="J725" s="3"/>
      <c r="K725" s="3"/>
      <c r="L725" s="3"/>
      <c r="M725" s="3"/>
      <c r="N725" s="3"/>
      <c r="O725" s="3"/>
      <c r="P725" s="3"/>
      <c r="Q725" s="196"/>
      <c r="R725" s="3"/>
      <c r="S725" s="202"/>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row>
    <row r="726" spans="1:51" ht="15.75" customHeight="1">
      <c r="A726" s="3"/>
      <c r="B726" s="3"/>
      <c r="C726" s="3"/>
      <c r="D726" s="3"/>
      <c r="E726" s="3"/>
      <c r="F726" s="3"/>
      <c r="G726" s="3"/>
      <c r="H726" s="202"/>
      <c r="I726" s="202"/>
      <c r="J726" s="3"/>
      <c r="K726" s="3"/>
      <c r="L726" s="3"/>
      <c r="M726" s="3"/>
      <c r="N726" s="3"/>
      <c r="O726" s="3"/>
      <c r="P726" s="3"/>
      <c r="Q726" s="196"/>
      <c r="R726" s="3"/>
      <c r="S726" s="202"/>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row>
    <row r="727" spans="1:51" ht="15.75" customHeight="1">
      <c r="A727" s="3"/>
      <c r="B727" s="3"/>
      <c r="C727" s="3"/>
      <c r="D727" s="3"/>
      <c r="E727" s="3"/>
      <c r="F727" s="3"/>
      <c r="G727" s="3"/>
      <c r="H727" s="202"/>
      <c r="I727" s="202"/>
      <c r="J727" s="3"/>
      <c r="K727" s="3"/>
      <c r="L727" s="3"/>
      <c r="M727" s="3"/>
      <c r="N727" s="3"/>
      <c r="O727" s="3"/>
      <c r="P727" s="3"/>
      <c r="Q727" s="196"/>
      <c r="R727" s="3"/>
      <c r="S727" s="202"/>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row>
    <row r="728" spans="1:51" ht="15.75" customHeight="1">
      <c r="A728" s="3"/>
      <c r="B728" s="3"/>
      <c r="C728" s="3"/>
      <c r="D728" s="3"/>
      <c r="E728" s="3"/>
      <c r="F728" s="3"/>
      <c r="G728" s="3"/>
      <c r="H728" s="202"/>
      <c r="I728" s="202"/>
      <c r="J728" s="3"/>
      <c r="K728" s="3"/>
      <c r="L728" s="3"/>
      <c r="M728" s="3"/>
      <c r="N728" s="3"/>
      <c r="O728" s="3"/>
      <c r="P728" s="3"/>
      <c r="Q728" s="196"/>
      <c r="R728" s="3"/>
      <c r="S728" s="202"/>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row>
    <row r="729" spans="1:51" ht="15.75" customHeight="1">
      <c r="A729" s="3"/>
      <c r="B729" s="3"/>
      <c r="C729" s="3"/>
      <c r="D729" s="3"/>
      <c r="E729" s="3"/>
      <c r="F729" s="3"/>
      <c r="G729" s="3"/>
      <c r="H729" s="202"/>
      <c r="I729" s="202"/>
      <c r="J729" s="3"/>
      <c r="K729" s="3"/>
      <c r="L729" s="3"/>
      <c r="M729" s="3"/>
      <c r="N729" s="3"/>
      <c r="O729" s="3"/>
      <c r="P729" s="3"/>
      <c r="Q729" s="196"/>
      <c r="R729" s="3"/>
      <c r="S729" s="202"/>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row>
    <row r="730" spans="1:51" ht="15.75" customHeight="1">
      <c r="A730" s="3"/>
      <c r="B730" s="3"/>
      <c r="C730" s="3"/>
      <c r="D730" s="3"/>
      <c r="E730" s="3"/>
      <c r="F730" s="3"/>
      <c r="G730" s="3"/>
      <c r="H730" s="202"/>
      <c r="I730" s="202"/>
      <c r="J730" s="3"/>
      <c r="K730" s="3"/>
      <c r="L730" s="3"/>
      <c r="M730" s="3"/>
      <c r="N730" s="3"/>
      <c r="O730" s="3"/>
      <c r="P730" s="3"/>
      <c r="Q730" s="196"/>
      <c r="R730" s="3"/>
      <c r="S730" s="202"/>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row>
    <row r="731" spans="1:51" ht="15.75" customHeight="1">
      <c r="A731" s="3"/>
      <c r="B731" s="3"/>
      <c r="C731" s="3"/>
      <c r="D731" s="3"/>
      <c r="E731" s="3"/>
      <c r="F731" s="3"/>
      <c r="G731" s="3"/>
      <c r="H731" s="202"/>
      <c r="I731" s="202"/>
      <c r="J731" s="3"/>
      <c r="K731" s="3"/>
      <c r="L731" s="3"/>
      <c r="M731" s="3"/>
      <c r="N731" s="3"/>
      <c r="O731" s="3"/>
      <c r="P731" s="3"/>
      <c r="Q731" s="196"/>
      <c r="R731" s="3"/>
      <c r="S731" s="202"/>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row>
    <row r="732" spans="1:51" ht="15.75" customHeight="1">
      <c r="A732" s="3"/>
      <c r="B732" s="3"/>
      <c r="C732" s="3"/>
      <c r="D732" s="3"/>
      <c r="E732" s="3"/>
      <c r="F732" s="3"/>
      <c r="G732" s="3"/>
      <c r="H732" s="202"/>
      <c r="I732" s="202"/>
      <c r="J732" s="3"/>
      <c r="K732" s="3"/>
      <c r="L732" s="3"/>
      <c r="M732" s="3"/>
      <c r="N732" s="3"/>
      <c r="O732" s="3"/>
      <c r="P732" s="3"/>
      <c r="Q732" s="196"/>
      <c r="R732" s="3"/>
      <c r="S732" s="202"/>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row>
    <row r="733" spans="1:51" ht="15.75" customHeight="1">
      <c r="A733" s="3"/>
      <c r="B733" s="3"/>
      <c r="C733" s="3"/>
      <c r="D733" s="3"/>
      <c r="E733" s="3"/>
      <c r="F733" s="3"/>
      <c r="G733" s="3"/>
      <c r="H733" s="202"/>
      <c r="I733" s="202"/>
      <c r="J733" s="3"/>
      <c r="K733" s="3"/>
      <c r="L733" s="3"/>
      <c r="M733" s="3"/>
      <c r="N733" s="3"/>
      <c r="O733" s="3"/>
      <c r="P733" s="3"/>
      <c r="Q733" s="196"/>
      <c r="R733" s="3"/>
      <c r="S733" s="202"/>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row>
    <row r="734" spans="1:51" ht="15.75" customHeight="1">
      <c r="A734" s="3"/>
      <c r="B734" s="3"/>
      <c r="C734" s="3"/>
      <c r="D734" s="3"/>
      <c r="E734" s="3"/>
      <c r="F734" s="3"/>
      <c r="G734" s="3"/>
      <c r="H734" s="202"/>
      <c r="I734" s="202"/>
      <c r="J734" s="3"/>
      <c r="K734" s="3"/>
      <c r="L734" s="3"/>
      <c r="M734" s="3"/>
      <c r="N734" s="3"/>
      <c r="O734" s="3"/>
      <c r="P734" s="3"/>
      <c r="Q734" s="196"/>
      <c r="R734" s="3"/>
      <c r="S734" s="202"/>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row>
    <row r="735" spans="1:51" ht="15.75" customHeight="1">
      <c r="A735" s="3"/>
      <c r="B735" s="3"/>
      <c r="C735" s="3"/>
      <c r="D735" s="3"/>
      <c r="E735" s="3"/>
      <c r="F735" s="3"/>
      <c r="G735" s="3"/>
      <c r="H735" s="202"/>
      <c r="I735" s="202"/>
      <c r="J735" s="3"/>
      <c r="K735" s="3"/>
      <c r="L735" s="3"/>
      <c r="M735" s="3"/>
      <c r="N735" s="3"/>
      <c r="O735" s="3"/>
      <c r="P735" s="3"/>
      <c r="Q735" s="196"/>
      <c r="R735" s="3"/>
      <c r="S735" s="202"/>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row>
    <row r="736" spans="1:51" ht="15.75" customHeight="1">
      <c r="A736" s="3"/>
      <c r="B736" s="3"/>
      <c r="C736" s="3"/>
      <c r="D736" s="3"/>
      <c r="E736" s="3"/>
      <c r="F736" s="3"/>
      <c r="G736" s="3"/>
      <c r="H736" s="202"/>
      <c r="I736" s="202"/>
      <c r="J736" s="3"/>
      <c r="K736" s="3"/>
      <c r="L736" s="3"/>
      <c r="M736" s="3"/>
      <c r="N736" s="3"/>
      <c r="O736" s="3"/>
      <c r="P736" s="3"/>
      <c r="Q736" s="196"/>
      <c r="R736" s="3"/>
      <c r="S736" s="202"/>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row>
    <row r="737" spans="1:51" ht="15.75" customHeight="1">
      <c r="A737" s="3"/>
      <c r="B737" s="3"/>
      <c r="C737" s="3"/>
      <c r="D737" s="3"/>
      <c r="E737" s="3"/>
      <c r="F737" s="3"/>
      <c r="G737" s="3"/>
      <c r="H737" s="202"/>
      <c r="I737" s="202"/>
      <c r="J737" s="3"/>
      <c r="K737" s="3"/>
      <c r="L737" s="3"/>
      <c r="M737" s="3"/>
      <c r="N737" s="3"/>
      <c r="O737" s="3"/>
      <c r="P737" s="3"/>
      <c r="Q737" s="196"/>
      <c r="R737" s="3"/>
      <c r="S737" s="202"/>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row>
    <row r="738" spans="1:51" ht="15.75" customHeight="1">
      <c r="A738" s="3"/>
      <c r="B738" s="3"/>
      <c r="C738" s="3"/>
      <c r="D738" s="3"/>
      <c r="E738" s="3"/>
      <c r="F738" s="3"/>
      <c r="G738" s="3"/>
      <c r="H738" s="202"/>
      <c r="I738" s="202"/>
      <c r="J738" s="3"/>
      <c r="K738" s="3"/>
      <c r="L738" s="3"/>
      <c r="M738" s="3"/>
      <c r="N738" s="3"/>
      <c r="O738" s="3"/>
      <c r="P738" s="3"/>
      <c r="Q738" s="196"/>
      <c r="R738" s="3"/>
      <c r="S738" s="202"/>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row>
    <row r="739" spans="1:51" ht="15.75" customHeight="1">
      <c r="A739" s="3"/>
      <c r="B739" s="3"/>
      <c r="C739" s="3"/>
      <c r="D739" s="3"/>
      <c r="E739" s="3"/>
      <c r="F739" s="3"/>
      <c r="G739" s="3"/>
      <c r="H739" s="202"/>
      <c r="I739" s="202"/>
      <c r="J739" s="3"/>
      <c r="K739" s="3"/>
      <c r="L739" s="3"/>
      <c r="M739" s="3"/>
      <c r="N739" s="3"/>
      <c r="O739" s="3"/>
      <c r="P739" s="3"/>
      <c r="Q739" s="196"/>
      <c r="R739" s="3"/>
      <c r="S739" s="202"/>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row>
    <row r="740" spans="1:51" ht="15.75" customHeight="1">
      <c r="A740" s="3"/>
      <c r="B740" s="3"/>
      <c r="C740" s="3"/>
      <c r="D740" s="3"/>
      <c r="E740" s="3"/>
      <c r="F740" s="3"/>
      <c r="G740" s="3"/>
      <c r="H740" s="202"/>
      <c r="I740" s="202"/>
      <c r="J740" s="3"/>
      <c r="K740" s="3"/>
      <c r="L740" s="3"/>
      <c r="M740" s="3"/>
      <c r="N740" s="3"/>
      <c r="O740" s="3"/>
      <c r="P740" s="3"/>
      <c r="Q740" s="196"/>
      <c r="R740" s="3"/>
      <c r="S740" s="202"/>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row>
    <row r="741" spans="1:51" ht="15.75" customHeight="1">
      <c r="A741" s="3"/>
      <c r="B741" s="3"/>
      <c r="C741" s="3"/>
      <c r="D741" s="3"/>
      <c r="E741" s="3"/>
      <c r="F741" s="3"/>
      <c r="G741" s="3"/>
      <c r="H741" s="202"/>
      <c r="I741" s="202"/>
      <c r="J741" s="3"/>
      <c r="K741" s="3"/>
      <c r="L741" s="3"/>
      <c r="M741" s="3"/>
      <c r="N741" s="3"/>
      <c r="O741" s="3"/>
      <c r="P741" s="3"/>
      <c r="Q741" s="196"/>
      <c r="R741" s="3"/>
      <c r="S741" s="202"/>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row>
    <row r="742" spans="1:51" ht="15.75" customHeight="1">
      <c r="A742" s="3"/>
      <c r="B742" s="3"/>
      <c r="C742" s="3"/>
      <c r="D742" s="3"/>
      <c r="E742" s="3"/>
      <c r="F742" s="3"/>
      <c r="G742" s="3"/>
      <c r="H742" s="202"/>
      <c r="I742" s="202"/>
      <c r="J742" s="3"/>
      <c r="K742" s="3"/>
      <c r="L742" s="3"/>
      <c r="M742" s="3"/>
      <c r="N742" s="3"/>
      <c r="O742" s="3"/>
      <c r="P742" s="3"/>
      <c r="Q742" s="196"/>
      <c r="R742" s="3"/>
      <c r="S742" s="202"/>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row>
    <row r="743" spans="1:51" ht="15.75" customHeight="1">
      <c r="A743" s="3"/>
      <c r="B743" s="3"/>
      <c r="C743" s="3"/>
      <c r="D743" s="3"/>
      <c r="E743" s="3"/>
      <c r="F743" s="3"/>
      <c r="G743" s="3"/>
      <c r="H743" s="202"/>
      <c r="I743" s="202"/>
      <c r="J743" s="3"/>
      <c r="K743" s="3"/>
      <c r="L743" s="3"/>
      <c r="M743" s="3"/>
      <c r="N743" s="3"/>
      <c r="O743" s="3"/>
      <c r="P743" s="3"/>
      <c r="Q743" s="196"/>
      <c r="R743" s="3"/>
      <c r="S743" s="202"/>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row>
    <row r="744" spans="1:51" ht="15.75" customHeight="1">
      <c r="A744" s="3"/>
      <c r="B744" s="3"/>
      <c r="C744" s="3"/>
      <c r="D744" s="3"/>
      <c r="E744" s="3"/>
      <c r="F744" s="3"/>
      <c r="G744" s="3"/>
      <c r="H744" s="202"/>
      <c r="I744" s="202"/>
      <c r="J744" s="3"/>
      <c r="K744" s="3"/>
      <c r="L744" s="3"/>
      <c r="M744" s="3"/>
      <c r="N744" s="3"/>
      <c r="O744" s="3"/>
      <c r="P744" s="3"/>
      <c r="Q744" s="196"/>
      <c r="R744" s="3"/>
      <c r="S744" s="202"/>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row>
    <row r="745" spans="1:51" ht="15.75" customHeight="1">
      <c r="A745" s="3"/>
      <c r="B745" s="3"/>
      <c r="C745" s="3"/>
      <c r="D745" s="3"/>
      <c r="E745" s="3"/>
      <c r="F745" s="3"/>
      <c r="G745" s="3"/>
      <c r="H745" s="202"/>
      <c r="I745" s="202"/>
      <c r="J745" s="3"/>
      <c r="K745" s="3"/>
      <c r="L745" s="3"/>
      <c r="M745" s="3"/>
      <c r="N745" s="3"/>
      <c r="O745" s="3"/>
      <c r="P745" s="3"/>
      <c r="Q745" s="196"/>
      <c r="R745" s="3"/>
      <c r="S745" s="202"/>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row>
    <row r="746" spans="1:51" ht="15.75" customHeight="1">
      <c r="A746" s="3"/>
      <c r="B746" s="3"/>
      <c r="C746" s="3"/>
      <c r="D746" s="3"/>
      <c r="E746" s="3"/>
      <c r="F746" s="3"/>
      <c r="G746" s="3"/>
      <c r="H746" s="202"/>
      <c r="I746" s="202"/>
      <c r="J746" s="3"/>
      <c r="K746" s="3"/>
      <c r="L746" s="3"/>
      <c r="M746" s="3"/>
      <c r="N746" s="3"/>
      <c r="O746" s="3"/>
      <c r="P746" s="3"/>
      <c r="Q746" s="196"/>
      <c r="R746" s="3"/>
      <c r="S746" s="202"/>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row>
    <row r="747" spans="1:51" ht="15.75" customHeight="1">
      <c r="A747" s="3"/>
      <c r="B747" s="3"/>
      <c r="C747" s="3"/>
      <c r="D747" s="3"/>
      <c r="E747" s="3"/>
      <c r="F747" s="3"/>
      <c r="G747" s="3"/>
      <c r="H747" s="202"/>
      <c r="I747" s="202"/>
      <c r="J747" s="3"/>
      <c r="K747" s="3"/>
      <c r="L747" s="3"/>
      <c r="M747" s="3"/>
      <c r="N747" s="3"/>
      <c r="O747" s="3"/>
      <c r="P747" s="3"/>
      <c r="Q747" s="196"/>
      <c r="R747" s="3"/>
      <c r="S747" s="202"/>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row>
    <row r="748" spans="1:51" ht="15.75" customHeight="1">
      <c r="A748" s="3"/>
      <c r="B748" s="3"/>
      <c r="C748" s="3"/>
      <c r="D748" s="3"/>
      <c r="E748" s="3"/>
      <c r="F748" s="3"/>
      <c r="G748" s="3"/>
      <c r="H748" s="202"/>
      <c r="I748" s="202"/>
      <c r="J748" s="3"/>
      <c r="K748" s="3"/>
      <c r="L748" s="3"/>
      <c r="M748" s="3"/>
      <c r="N748" s="3"/>
      <c r="O748" s="3"/>
      <c r="P748" s="3"/>
      <c r="Q748" s="196"/>
      <c r="R748" s="3"/>
      <c r="S748" s="202"/>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row>
    <row r="749" spans="1:51" ht="15.75" customHeight="1">
      <c r="A749" s="3"/>
      <c r="B749" s="3"/>
      <c r="C749" s="3"/>
      <c r="D749" s="3"/>
      <c r="E749" s="3"/>
      <c r="F749" s="3"/>
      <c r="G749" s="3"/>
      <c r="H749" s="202"/>
      <c r="I749" s="202"/>
      <c r="J749" s="3"/>
      <c r="K749" s="3"/>
      <c r="L749" s="3"/>
      <c r="M749" s="3"/>
      <c r="N749" s="3"/>
      <c r="O749" s="3"/>
      <c r="P749" s="3"/>
      <c r="Q749" s="196"/>
      <c r="R749" s="3"/>
      <c r="S749" s="202"/>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row>
    <row r="750" spans="1:51" ht="15.75" customHeight="1">
      <c r="A750" s="3"/>
      <c r="B750" s="3"/>
      <c r="C750" s="3"/>
      <c r="D750" s="3"/>
      <c r="E750" s="3"/>
      <c r="F750" s="3"/>
      <c r="G750" s="3"/>
      <c r="H750" s="202"/>
      <c r="I750" s="202"/>
      <c r="J750" s="3"/>
      <c r="K750" s="3"/>
      <c r="L750" s="3"/>
      <c r="M750" s="3"/>
      <c r="N750" s="3"/>
      <c r="O750" s="3"/>
      <c r="P750" s="3"/>
      <c r="Q750" s="196"/>
      <c r="R750" s="3"/>
      <c r="S750" s="202"/>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row>
    <row r="751" spans="1:51" ht="15.75" customHeight="1">
      <c r="A751" s="3"/>
      <c r="B751" s="3"/>
      <c r="C751" s="3"/>
      <c r="D751" s="3"/>
      <c r="E751" s="3"/>
      <c r="F751" s="3"/>
      <c r="G751" s="3"/>
      <c r="H751" s="202"/>
      <c r="I751" s="202"/>
      <c r="J751" s="3"/>
      <c r="K751" s="3"/>
      <c r="L751" s="3"/>
      <c r="M751" s="3"/>
      <c r="N751" s="3"/>
      <c r="O751" s="3"/>
      <c r="P751" s="3"/>
      <c r="Q751" s="196"/>
      <c r="R751" s="3"/>
      <c r="S751" s="202"/>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row>
    <row r="752" spans="1:51" ht="15.75" customHeight="1">
      <c r="A752" s="3"/>
      <c r="B752" s="3"/>
      <c r="C752" s="3"/>
      <c r="D752" s="3"/>
      <c r="E752" s="3"/>
      <c r="F752" s="3"/>
      <c r="G752" s="3"/>
      <c r="H752" s="202"/>
      <c r="I752" s="202"/>
      <c r="J752" s="3"/>
      <c r="K752" s="3"/>
      <c r="L752" s="3"/>
      <c r="M752" s="3"/>
      <c r="N752" s="3"/>
      <c r="O752" s="3"/>
      <c r="P752" s="3"/>
      <c r="Q752" s="196"/>
      <c r="R752" s="3"/>
      <c r="S752" s="202"/>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row>
    <row r="753" spans="1:51" ht="15.75" customHeight="1">
      <c r="A753" s="3"/>
      <c r="B753" s="3"/>
      <c r="C753" s="3"/>
      <c r="D753" s="3"/>
      <c r="E753" s="3"/>
      <c r="F753" s="3"/>
      <c r="G753" s="3"/>
      <c r="H753" s="202"/>
      <c r="I753" s="202"/>
      <c r="J753" s="3"/>
      <c r="K753" s="3"/>
      <c r="L753" s="3"/>
      <c r="M753" s="3"/>
      <c r="N753" s="3"/>
      <c r="O753" s="3"/>
      <c r="P753" s="3"/>
      <c r="Q753" s="196"/>
      <c r="R753" s="3"/>
      <c r="S753" s="202"/>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row>
    <row r="754" spans="1:51" ht="15.75" customHeight="1">
      <c r="A754" s="3"/>
      <c r="B754" s="3"/>
      <c r="C754" s="3"/>
      <c r="D754" s="3"/>
      <c r="E754" s="3"/>
      <c r="F754" s="3"/>
      <c r="G754" s="3"/>
      <c r="H754" s="202"/>
      <c r="I754" s="202"/>
      <c r="J754" s="3"/>
      <c r="K754" s="3"/>
      <c r="L754" s="3"/>
      <c r="M754" s="3"/>
      <c r="N754" s="3"/>
      <c r="O754" s="3"/>
      <c r="P754" s="3"/>
      <c r="Q754" s="196"/>
      <c r="R754" s="3"/>
      <c r="S754" s="202"/>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row>
    <row r="755" spans="1:51" ht="15.75" customHeight="1">
      <c r="A755" s="3"/>
      <c r="B755" s="3"/>
      <c r="C755" s="3"/>
      <c r="D755" s="3"/>
      <c r="E755" s="3"/>
      <c r="F755" s="3"/>
      <c r="G755" s="3"/>
      <c r="H755" s="202"/>
      <c r="I755" s="202"/>
      <c r="J755" s="3"/>
      <c r="K755" s="3"/>
      <c r="L755" s="3"/>
      <c r="M755" s="3"/>
      <c r="N755" s="3"/>
      <c r="O755" s="3"/>
      <c r="P755" s="3"/>
      <c r="Q755" s="196"/>
      <c r="R755" s="3"/>
      <c r="S755" s="202"/>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row>
    <row r="756" spans="1:51" ht="15.75" customHeight="1">
      <c r="A756" s="3"/>
      <c r="B756" s="3"/>
      <c r="C756" s="3"/>
      <c r="D756" s="3"/>
      <c r="E756" s="3"/>
      <c r="F756" s="3"/>
      <c r="G756" s="3"/>
      <c r="H756" s="202"/>
      <c r="I756" s="202"/>
      <c r="J756" s="3"/>
      <c r="K756" s="3"/>
      <c r="L756" s="3"/>
      <c r="M756" s="3"/>
      <c r="N756" s="3"/>
      <c r="O756" s="3"/>
      <c r="P756" s="3"/>
      <c r="Q756" s="196"/>
      <c r="R756" s="3"/>
      <c r="S756" s="202"/>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row>
    <row r="757" spans="1:51" ht="15.75" customHeight="1">
      <c r="A757" s="3"/>
      <c r="B757" s="3"/>
      <c r="C757" s="3"/>
      <c r="D757" s="3"/>
      <c r="E757" s="3"/>
      <c r="F757" s="3"/>
      <c r="G757" s="3"/>
      <c r="H757" s="202"/>
      <c r="I757" s="202"/>
      <c r="J757" s="3"/>
      <c r="K757" s="3"/>
      <c r="L757" s="3"/>
      <c r="M757" s="3"/>
      <c r="N757" s="3"/>
      <c r="O757" s="3"/>
      <c r="P757" s="3"/>
      <c r="Q757" s="196"/>
      <c r="R757" s="3"/>
      <c r="S757" s="202"/>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row>
    <row r="758" spans="1:51" ht="15.75" customHeight="1">
      <c r="A758" s="3"/>
      <c r="B758" s="3"/>
      <c r="C758" s="3"/>
      <c r="D758" s="3"/>
      <c r="E758" s="3"/>
      <c r="F758" s="3"/>
      <c r="G758" s="3"/>
      <c r="H758" s="202"/>
      <c r="I758" s="202"/>
      <c r="J758" s="3"/>
      <c r="K758" s="3"/>
      <c r="L758" s="3"/>
      <c r="M758" s="3"/>
      <c r="N758" s="3"/>
      <c r="O758" s="3"/>
      <c r="P758" s="3"/>
      <c r="Q758" s="196"/>
      <c r="R758" s="3"/>
      <c r="S758" s="202"/>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row>
    <row r="759" spans="1:51" ht="15.75" customHeight="1">
      <c r="A759" s="3"/>
      <c r="B759" s="3"/>
      <c r="C759" s="3"/>
      <c r="D759" s="3"/>
      <c r="E759" s="3"/>
      <c r="F759" s="3"/>
      <c r="G759" s="3"/>
      <c r="H759" s="202"/>
      <c r="I759" s="202"/>
      <c r="J759" s="3"/>
      <c r="K759" s="3"/>
      <c r="L759" s="3"/>
      <c r="M759" s="3"/>
      <c r="N759" s="3"/>
      <c r="O759" s="3"/>
      <c r="P759" s="3"/>
      <c r="Q759" s="196"/>
      <c r="R759" s="3"/>
      <c r="S759" s="202"/>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row>
    <row r="760" spans="1:51" ht="15.75" customHeight="1">
      <c r="A760" s="3"/>
      <c r="B760" s="3"/>
      <c r="C760" s="3"/>
      <c r="D760" s="3"/>
      <c r="E760" s="3"/>
      <c r="F760" s="3"/>
      <c r="G760" s="3"/>
      <c r="H760" s="202"/>
      <c r="I760" s="202"/>
      <c r="J760" s="3"/>
      <c r="K760" s="3"/>
      <c r="L760" s="3"/>
      <c r="M760" s="3"/>
      <c r="N760" s="3"/>
      <c r="O760" s="3"/>
      <c r="P760" s="3"/>
      <c r="Q760" s="196"/>
      <c r="R760" s="3"/>
      <c r="S760" s="202"/>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row>
    <row r="761" spans="1:51" ht="15.75" customHeight="1">
      <c r="A761" s="3"/>
      <c r="B761" s="3"/>
      <c r="C761" s="3"/>
      <c r="D761" s="3"/>
      <c r="E761" s="3"/>
      <c r="F761" s="3"/>
      <c r="G761" s="3"/>
      <c r="H761" s="202"/>
      <c r="I761" s="202"/>
      <c r="J761" s="3"/>
      <c r="K761" s="3"/>
      <c r="L761" s="3"/>
      <c r="M761" s="3"/>
      <c r="N761" s="3"/>
      <c r="O761" s="3"/>
      <c r="P761" s="3"/>
      <c r="Q761" s="196"/>
      <c r="R761" s="3"/>
      <c r="S761" s="202"/>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row>
    <row r="762" spans="1:51" ht="15.75" customHeight="1">
      <c r="A762" s="3"/>
      <c r="B762" s="3"/>
      <c r="C762" s="3"/>
      <c r="D762" s="3"/>
      <c r="E762" s="3"/>
      <c r="F762" s="3"/>
      <c r="G762" s="3"/>
      <c r="H762" s="202"/>
      <c r="I762" s="202"/>
      <c r="J762" s="3"/>
      <c r="K762" s="3"/>
      <c r="L762" s="3"/>
      <c r="M762" s="3"/>
      <c r="N762" s="3"/>
      <c r="O762" s="3"/>
      <c r="P762" s="3"/>
      <c r="Q762" s="196"/>
      <c r="R762" s="3"/>
      <c r="S762" s="202"/>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row>
    <row r="763" spans="1:51" ht="15.75" customHeight="1">
      <c r="A763" s="3"/>
      <c r="B763" s="3"/>
      <c r="C763" s="3"/>
      <c r="D763" s="3"/>
      <c r="E763" s="3"/>
      <c r="F763" s="3"/>
      <c r="G763" s="3"/>
      <c r="H763" s="202"/>
      <c r="I763" s="202"/>
      <c r="J763" s="3"/>
      <c r="K763" s="3"/>
      <c r="L763" s="3"/>
      <c r="M763" s="3"/>
      <c r="N763" s="3"/>
      <c r="O763" s="3"/>
      <c r="P763" s="3"/>
      <c r="Q763" s="196"/>
      <c r="R763" s="3"/>
      <c r="S763" s="202"/>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row>
    <row r="764" spans="1:51" ht="15.75" customHeight="1">
      <c r="A764" s="3"/>
      <c r="B764" s="3"/>
      <c r="C764" s="3"/>
      <c r="D764" s="3"/>
      <c r="E764" s="3"/>
      <c r="F764" s="3"/>
      <c r="G764" s="3"/>
      <c r="H764" s="202"/>
      <c r="I764" s="202"/>
      <c r="J764" s="3"/>
      <c r="K764" s="3"/>
      <c r="L764" s="3"/>
      <c r="M764" s="3"/>
      <c r="N764" s="3"/>
      <c r="O764" s="3"/>
      <c r="P764" s="3"/>
      <c r="Q764" s="196"/>
      <c r="R764" s="3"/>
      <c r="S764" s="202"/>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row>
    <row r="765" spans="1:51" ht="15.75" customHeight="1">
      <c r="A765" s="3"/>
      <c r="B765" s="3"/>
      <c r="C765" s="3"/>
      <c r="D765" s="3"/>
      <c r="E765" s="3"/>
      <c r="F765" s="3"/>
      <c r="G765" s="3"/>
      <c r="H765" s="202"/>
      <c r="I765" s="202"/>
      <c r="J765" s="3"/>
      <c r="K765" s="3"/>
      <c r="L765" s="3"/>
      <c r="M765" s="3"/>
      <c r="N765" s="3"/>
      <c r="O765" s="3"/>
      <c r="P765" s="3"/>
      <c r="Q765" s="196"/>
      <c r="R765" s="3"/>
      <c r="S765" s="202"/>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row>
    <row r="766" spans="1:51" ht="15.75" customHeight="1">
      <c r="A766" s="3"/>
      <c r="B766" s="3"/>
      <c r="C766" s="3"/>
      <c r="D766" s="3"/>
      <c r="E766" s="3"/>
      <c r="F766" s="3"/>
      <c r="G766" s="3"/>
      <c r="H766" s="202"/>
      <c r="I766" s="202"/>
      <c r="J766" s="3"/>
      <c r="K766" s="3"/>
      <c r="L766" s="3"/>
      <c r="M766" s="3"/>
      <c r="N766" s="3"/>
      <c r="O766" s="3"/>
      <c r="P766" s="3"/>
      <c r="Q766" s="196"/>
      <c r="R766" s="3"/>
      <c r="S766" s="202"/>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row>
    <row r="767" spans="1:51" ht="15.75" customHeight="1">
      <c r="A767" s="3"/>
      <c r="B767" s="3"/>
      <c r="C767" s="3"/>
      <c r="D767" s="3"/>
      <c r="E767" s="3"/>
      <c r="F767" s="3"/>
      <c r="G767" s="3"/>
      <c r="H767" s="202"/>
      <c r="I767" s="202"/>
      <c r="J767" s="3"/>
      <c r="K767" s="3"/>
      <c r="L767" s="3"/>
      <c r="M767" s="3"/>
      <c r="N767" s="3"/>
      <c r="O767" s="3"/>
      <c r="P767" s="3"/>
      <c r="Q767" s="196"/>
      <c r="R767" s="3"/>
      <c r="S767" s="202"/>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row>
    <row r="768" spans="1:51" ht="15.75" customHeight="1">
      <c r="A768" s="3"/>
      <c r="B768" s="3"/>
      <c r="C768" s="3"/>
      <c r="D768" s="3"/>
      <c r="E768" s="3"/>
      <c r="F768" s="3"/>
      <c r="G768" s="3"/>
      <c r="H768" s="202"/>
      <c r="I768" s="202"/>
      <c r="J768" s="3"/>
      <c r="K768" s="3"/>
      <c r="L768" s="3"/>
      <c r="M768" s="3"/>
      <c r="N768" s="3"/>
      <c r="O768" s="3"/>
      <c r="P768" s="3"/>
      <c r="Q768" s="196"/>
      <c r="R768" s="3"/>
      <c r="S768" s="202"/>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row>
    <row r="769" spans="1:51" ht="15.75" customHeight="1">
      <c r="A769" s="3"/>
      <c r="B769" s="3"/>
      <c r="C769" s="3"/>
      <c r="D769" s="3"/>
      <c r="E769" s="3"/>
      <c r="F769" s="3"/>
      <c r="G769" s="3"/>
      <c r="H769" s="202"/>
      <c r="I769" s="202"/>
      <c r="J769" s="3"/>
      <c r="K769" s="3"/>
      <c r="L769" s="3"/>
      <c r="M769" s="3"/>
      <c r="N769" s="3"/>
      <c r="O769" s="3"/>
      <c r="P769" s="3"/>
      <c r="Q769" s="196"/>
      <c r="R769" s="3"/>
      <c r="S769" s="202"/>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row>
    <row r="770" spans="1:51" ht="15.75" customHeight="1">
      <c r="A770" s="3"/>
      <c r="B770" s="3"/>
      <c r="C770" s="3"/>
      <c r="D770" s="3"/>
      <c r="E770" s="3"/>
      <c r="F770" s="3"/>
      <c r="G770" s="3"/>
      <c r="H770" s="202"/>
      <c r="I770" s="202"/>
      <c r="J770" s="3"/>
      <c r="K770" s="3"/>
      <c r="L770" s="3"/>
      <c r="M770" s="3"/>
      <c r="N770" s="3"/>
      <c r="O770" s="3"/>
      <c r="P770" s="3"/>
      <c r="Q770" s="196"/>
      <c r="R770" s="3"/>
      <c r="S770" s="202"/>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row>
    <row r="771" spans="1:51" ht="15.75" customHeight="1">
      <c r="A771" s="3"/>
      <c r="B771" s="3"/>
      <c r="C771" s="3"/>
      <c r="D771" s="3"/>
      <c r="E771" s="3"/>
      <c r="F771" s="3"/>
      <c r="G771" s="3"/>
      <c r="H771" s="202"/>
      <c r="I771" s="202"/>
      <c r="J771" s="3"/>
      <c r="K771" s="3"/>
      <c r="L771" s="3"/>
      <c r="M771" s="3"/>
      <c r="N771" s="3"/>
      <c r="O771" s="3"/>
      <c r="P771" s="3"/>
      <c r="Q771" s="196"/>
      <c r="R771" s="3"/>
      <c r="S771" s="202"/>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row>
    <row r="772" spans="1:51" ht="15.75" customHeight="1">
      <c r="A772" s="3"/>
      <c r="B772" s="3"/>
      <c r="C772" s="3"/>
      <c r="D772" s="3"/>
      <c r="E772" s="3"/>
      <c r="F772" s="3"/>
      <c r="G772" s="3"/>
      <c r="H772" s="202"/>
      <c r="I772" s="202"/>
      <c r="J772" s="3"/>
      <c r="K772" s="3"/>
      <c r="L772" s="3"/>
      <c r="M772" s="3"/>
      <c r="N772" s="3"/>
      <c r="O772" s="3"/>
      <c r="P772" s="3"/>
      <c r="Q772" s="196"/>
      <c r="R772" s="3"/>
      <c r="S772" s="202"/>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row>
    <row r="773" spans="1:51" ht="15.75" customHeight="1">
      <c r="A773" s="3"/>
      <c r="B773" s="3"/>
      <c r="C773" s="3"/>
      <c r="D773" s="3"/>
      <c r="E773" s="3"/>
      <c r="F773" s="3"/>
      <c r="G773" s="3"/>
      <c r="H773" s="202"/>
      <c r="I773" s="202"/>
      <c r="J773" s="3"/>
      <c r="K773" s="3"/>
      <c r="L773" s="3"/>
      <c r="M773" s="3"/>
      <c r="N773" s="3"/>
      <c r="O773" s="3"/>
      <c r="P773" s="3"/>
      <c r="Q773" s="196"/>
      <c r="R773" s="3"/>
      <c r="S773" s="202"/>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row>
    <row r="774" spans="1:51" ht="15.75" customHeight="1">
      <c r="A774" s="3"/>
      <c r="B774" s="3"/>
      <c r="C774" s="3"/>
      <c r="D774" s="3"/>
      <c r="E774" s="3"/>
      <c r="F774" s="3"/>
      <c r="G774" s="3"/>
      <c r="H774" s="202"/>
      <c r="I774" s="202"/>
      <c r="J774" s="3"/>
      <c r="K774" s="3"/>
      <c r="L774" s="3"/>
      <c r="M774" s="3"/>
      <c r="N774" s="3"/>
      <c r="O774" s="3"/>
      <c r="P774" s="3"/>
      <c r="Q774" s="196"/>
      <c r="R774" s="3"/>
      <c r="S774" s="202"/>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row>
    <row r="775" spans="1:51" ht="15.75" customHeight="1">
      <c r="A775" s="3"/>
      <c r="B775" s="3"/>
      <c r="C775" s="3"/>
      <c r="D775" s="3"/>
      <c r="E775" s="3"/>
      <c r="F775" s="3"/>
      <c r="G775" s="3"/>
      <c r="H775" s="202"/>
      <c r="I775" s="202"/>
      <c r="J775" s="3"/>
      <c r="K775" s="3"/>
      <c r="L775" s="3"/>
      <c r="M775" s="3"/>
      <c r="N775" s="3"/>
      <c r="O775" s="3"/>
      <c r="P775" s="3"/>
      <c r="Q775" s="196"/>
      <c r="R775" s="3"/>
      <c r="S775" s="202"/>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row>
    <row r="776" spans="1:51" ht="15.75" customHeight="1">
      <c r="A776" s="3"/>
      <c r="B776" s="3"/>
      <c r="C776" s="3"/>
      <c r="D776" s="3"/>
      <c r="E776" s="3"/>
      <c r="F776" s="3"/>
      <c r="G776" s="3"/>
      <c r="H776" s="202"/>
      <c r="I776" s="202"/>
      <c r="J776" s="3"/>
      <c r="K776" s="3"/>
      <c r="L776" s="3"/>
      <c r="M776" s="3"/>
      <c r="N776" s="3"/>
      <c r="O776" s="3"/>
      <c r="P776" s="3"/>
      <c r="Q776" s="196"/>
      <c r="R776" s="3"/>
      <c r="S776" s="202"/>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row>
    <row r="777" spans="1:51" ht="15.75" customHeight="1">
      <c r="A777" s="3"/>
      <c r="B777" s="3"/>
      <c r="C777" s="3"/>
      <c r="D777" s="3"/>
      <c r="E777" s="3"/>
      <c r="F777" s="3"/>
      <c r="G777" s="3"/>
      <c r="H777" s="202"/>
      <c r="I777" s="202"/>
      <c r="J777" s="3"/>
      <c r="K777" s="3"/>
      <c r="L777" s="3"/>
      <c r="M777" s="3"/>
      <c r="N777" s="3"/>
      <c r="O777" s="3"/>
      <c r="P777" s="3"/>
      <c r="Q777" s="196"/>
      <c r="R777" s="3"/>
      <c r="S777" s="202"/>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row>
    <row r="778" spans="1:51" ht="15.75" customHeight="1">
      <c r="A778" s="3"/>
      <c r="B778" s="3"/>
      <c r="C778" s="3"/>
      <c r="D778" s="3"/>
      <c r="E778" s="3"/>
      <c r="F778" s="3"/>
      <c r="G778" s="3"/>
      <c r="H778" s="202"/>
      <c r="I778" s="202"/>
      <c r="J778" s="3"/>
      <c r="K778" s="3"/>
      <c r="L778" s="3"/>
      <c r="M778" s="3"/>
      <c r="N778" s="3"/>
      <c r="O778" s="3"/>
      <c r="P778" s="3"/>
      <c r="Q778" s="196"/>
      <c r="R778" s="3"/>
      <c r="S778" s="202"/>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row>
    <row r="779" spans="1:51" ht="15.75" customHeight="1">
      <c r="A779" s="3"/>
      <c r="B779" s="3"/>
      <c r="C779" s="3"/>
      <c r="D779" s="3"/>
      <c r="E779" s="3"/>
      <c r="F779" s="3"/>
      <c r="G779" s="3"/>
      <c r="H779" s="202"/>
      <c r="I779" s="202"/>
      <c r="J779" s="3"/>
      <c r="K779" s="3"/>
      <c r="L779" s="3"/>
      <c r="M779" s="3"/>
      <c r="N779" s="3"/>
      <c r="O779" s="3"/>
      <c r="P779" s="3"/>
      <c r="Q779" s="196"/>
      <c r="R779" s="3"/>
      <c r="S779" s="202"/>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row>
    <row r="780" spans="1:51" ht="15.75" customHeight="1">
      <c r="A780" s="3"/>
      <c r="B780" s="3"/>
      <c r="C780" s="3"/>
      <c r="D780" s="3"/>
      <c r="E780" s="3"/>
      <c r="F780" s="3"/>
      <c r="G780" s="3"/>
      <c r="H780" s="202"/>
      <c r="I780" s="202"/>
      <c r="J780" s="3"/>
      <c r="K780" s="3"/>
      <c r="L780" s="3"/>
      <c r="M780" s="3"/>
      <c r="N780" s="3"/>
      <c r="O780" s="3"/>
      <c r="P780" s="3"/>
      <c r="Q780" s="196"/>
      <c r="R780" s="3"/>
      <c r="S780" s="202"/>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row>
    <row r="781" spans="1:51" ht="15.75" customHeight="1">
      <c r="A781" s="3"/>
      <c r="B781" s="3"/>
      <c r="C781" s="3"/>
      <c r="D781" s="3"/>
      <c r="E781" s="3"/>
      <c r="F781" s="3"/>
      <c r="G781" s="3"/>
      <c r="H781" s="202"/>
      <c r="I781" s="202"/>
      <c r="J781" s="3"/>
      <c r="K781" s="3"/>
      <c r="L781" s="3"/>
      <c r="M781" s="3"/>
      <c r="N781" s="3"/>
      <c r="O781" s="3"/>
      <c r="P781" s="3"/>
      <c r="Q781" s="196"/>
      <c r="R781" s="3"/>
      <c r="S781" s="202"/>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row>
    <row r="782" spans="1:51" ht="15.75" customHeight="1">
      <c r="A782" s="3"/>
      <c r="B782" s="3"/>
      <c r="C782" s="3"/>
      <c r="D782" s="3"/>
      <c r="E782" s="3"/>
      <c r="F782" s="3"/>
      <c r="G782" s="3"/>
      <c r="H782" s="202"/>
      <c r="I782" s="202"/>
      <c r="J782" s="3"/>
      <c r="K782" s="3"/>
      <c r="L782" s="3"/>
      <c r="M782" s="3"/>
      <c r="N782" s="3"/>
      <c r="O782" s="3"/>
      <c r="P782" s="3"/>
      <c r="Q782" s="196"/>
      <c r="R782" s="3"/>
      <c r="S782" s="202"/>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row>
    <row r="783" spans="1:51" ht="15.75" customHeight="1">
      <c r="A783" s="3"/>
      <c r="B783" s="3"/>
      <c r="C783" s="3"/>
      <c r="D783" s="3"/>
      <c r="E783" s="3"/>
      <c r="F783" s="3"/>
      <c r="G783" s="3"/>
      <c r="H783" s="202"/>
      <c r="I783" s="202"/>
      <c r="J783" s="3"/>
      <c r="K783" s="3"/>
      <c r="L783" s="3"/>
      <c r="M783" s="3"/>
      <c r="N783" s="3"/>
      <c r="O783" s="3"/>
      <c r="P783" s="3"/>
      <c r="Q783" s="196"/>
      <c r="R783" s="3"/>
      <c r="S783" s="202"/>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row>
    <row r="784" spans="1:51" ht="15.75" customHeight="1">
      <c r="A784" s="3"/>
      <c r="B784" s="3"/>
      <c r="C784" s="3"/>
      <c r="D784" s="3"/>
      <c r="E784" s="3"/>
      <c r="F784" s="3"/>
      <c r="G784" s="3"/>
      <c r="H784" s="202"/>
      <c r="I784" s="202"/>
      <c r="J784" s="3"/>
      <c r="K784" s="3"/>
      <c r="L784" s="3"/>
      <c r="M784" s="3"/>
      <c r="N784" s="3"/>
      <c r="O784" s="3"/>
      <c r="P784" s="3"/>
      <c r="Q784" s="196"/>
      <c r="R784" s="3"/>
      <c r="S784" s="202"/>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row>
    <row r="785" spans="1:51" ht="15.75" customHeight="1">
      <c r="A785" s="3"/>
      <c r="B785" s="3"/>
      <c r="C785" s="3"/>
      <c r="D785" s="3"/>
      <c r="E785" s="3"/>
      <c r="F785" s="3"/>
      <c r="G785" s="3"/>
      <c r="H785" s="202"/>
      <c r="I785" s="202"/>
      <c r="J785" s="3"/>
      <c r="K785" s="3"/>
      <c r="L785" s="3"/>
      <c r="M785" s="3"/>
      <c r="N785" s="3"/>
      <c r="O785" s="3"/>
      <c r="P785" s="3"/>
      <c r="Q785" s="196"/>
      <c r="R785" s="3"/>
      <c r="S785" s="202"/>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row>
    <row r="786" spans="1:51" ht="15.75" customHeight="1">
      <c r="A786" s="3"/>
      <c r="B786" s="3"/>
      <c r="C786" s="3"/>
      <c r="D786" s="3"/>
      <c r="E786" s="3"/>
      <c r="F786" s="3"/>
      <c r="G786" s="3"/>
      <c r="H786" s="202"/>
      <c r="I786" s="202"/>
      <c r="J786" s="3"/>
      <c r="K786" s="3"/>
      <c r="L786" s="3"/>
      <c r="M786" s="3"/>
      <c r="N786" s="3"/>
      <c r="O786" s="3"/>
      <c r="P786" s="3"/>
      <c r="Q786" s="196"/>
      <c r="R786" s="3"/>
      <c r="S786" s="202"/>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row>
    <row r="787" spans="1:51" ht="15.75" customHeight="1">
      <c r="A787" s="3"/>
      <c r="B787" s="3"/>
      <c r="C787" s="3"/>
      <c r="D787" s="3"/>
      <c r="E787" s="3"/>
      <c r="F787" s="3"/>
      <c r="G787" s="3"/>
      <c r="H787" s="202"/>
      <c r="I787" s="202"/>
      <c r="J787" s="3"/>
      <c r="K787" s="3"/>
      <c r="L787" s="3"/>
      <c r="M787" s="3"/>
      <c r="N787" s="3"/>
      <c r="O787" s="3"/>
      <c r="P787" s="3"/>
      <c r="Q787" s="196"/>
      <c r="R787" s="3"/>
      <c r="S787" s="202"/>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row>
    <row r="788" spans="1:51" ht="15.75" customHeight="1">
      <c r="A788" s="3"/>
      <c r="B788" s="3"/>
      <c r="C788" s="3"/>
      <c r="D788" s="3"/>
      <c r="E788" s="3"/>
      <c r="F788" s="3"/>
      <c r="G788" s="3"/>
      <c r="H788" s="202"/>
      <c r="I788" s="202"/>
      <c r="J788" s="3"/>
      <c r="K788" s="3"/>
      <c r="L788" s="3"/>
      <c r="M788" s="3"/>
      <c r="N788" s="3"/>
      <c r="O788" s="3"/>
      <c r="P788" s="3"/>
      <c r="Q788" s="196"/>
      <c r="R788" s="3"/>
      <c r="S788" s="202"/>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row>
    <row r="789" spans="1:51" ht="15.75" customHeight="1">
      <c r="A789" s="3"/>
      <c r="B789" s="3"/>
      <c r="C789" s="3"/>
      <c r="D789" s="3"/>
      <c r="E789" s="3"/>
      <c r="F789" s="3"/>
      <c r="G789" s="3"/>
      <c r="H789" s="202"/>
      <c r="I789" s="202"/>
      <c r="J789" s="3"/>
      <c r="K789" s="3"/>
      <c r="L789" s="3"/>
      <c r="M789" s="3"/>
      <c r="N789" s="3"/>
      <c r="O789" s="3"/>
      <c r="P789" s="3"/>
      <c r="Q789" s="196"/>
      <c r="R789" s="3"/>
      <c r="S789" s="202"/>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row>
    <row r="790" spans="1:51" ht="15.75" customHeight="1">
      <c r="A790" s="3"/>
      <c r="B790" s="3"/>
      <c r="C790" s="3"/>
      <c r="D790" s="3"/>
      <c r="E790" s="3"/>
      <c r="F790" s="3"/>
      <c r="G790" s="3"/>
      <c r="H790" s="202"/>
      <c r="I790" s="202"/>
      <c r="J790" s="3"/>
      <c r="K790" s="3"/>
      <c r="L790" s="3"/>
      <c r="M790" s="3"/>
      <c r="N790" s="3"/>
      <c r="O790" s="3"/>
      <c r="P790" s="3"/>
      <c r="Q790" s="196"/>
      <c r="R790" s="3"/>
      <c r="S790" s="202"/>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row>
    <row r="791" spans="1:51" ht="15.75" customHeight="1">
      <c r="A791" s="3"/>
      <c r="B791" s="3"/>
      <c r="C791" s="3"/>
      <c r="D791" s="3"/>
      <c r="E791" s="3"/>
      <c r="F791" s="3"/>
      <c r="G791" s="3"/>
      <c r="H791" s="202"/>
      <c r="I791" s="202"/>
      <c r="J791" s="3"/>
      <c r="K791" s="3"/>
      <c r="L791" s="3"/>
      <c r="M791" s="3"/>
      <c r="N791" s="3"/>
      <c r="O791" s="3"/>
      <c r="P791" s="3"/>
      <c r="Q791" s="196"/>
      <c r="R791" s="3"/>
      <c r="S791" s="202"/>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row>
    <row r="792" spans="1:51" ht="15.75" customHeight="1">
      <c r="A792" s="3"/>
      <c r="B792" s="3"/>
      <c r="C792" s="3"/>
      <c r="D792" s="3"/>
      <c r="E792" s="3"/>
      <c r="F792" s="3"/>
      <c r="G792" s="3"/>
      <c r="H792" s="202"/>
      <c r="I792" s="202"/>
      <c r="J792" s="3"/>
      <c r="K792" s="3"/>
      <c r="L792" s="3"/>
      <c r="M792" s="3"/>
      <c r="N792" s="3"/>
      <c r="O792" s="3"/>
      <c r="P792" s="3"/>
      <c r="Q792" s="196"/>
      <c r="R792" s="3"/>
      <c r="S792" s="202"/>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row>
    <row r="793" spans="1:51" ht="15.75" customHeight="1">
      <c r="A793" s="3"/>
      <c r="B793" s="3"/>
      <c r="C793" s="3"/>
      <c r="D793" s="3"/>
      <c r="E793" s="3"/>
      <c r="F793" s="3"/>
      <c r="G793" s="3"/>
      <c r="H793" s="202"/>
      <c r="I793" s="202"/>
      <c r="J793" s="3"/>
      <c r="K793" s="3"/>
      <c r="L793" s="3"/>
      <c r="M793" s="3"/>
      <c r="N793" s="3"/>
      <c r="O793" s="3"/>
      <c r="P793" s="3"/>
      <c r="Q793" s="196"/>
      <c r="R793" s="3"/>
      <c r="S793" s="202"/>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row>
    <row r="794" spans="1:51" ht="15.75" customHeight="1">
      <c r="A794" s="3"/>
      <c r="B794" s="3"/>
      <c r="C794" s="3"/>
      <c r="D794" s="3"/>
      <c r="E794" s="3"/>
      <c r="F794" s="3"/>
      <c r="G794" s="3"/>
      <c r="H794" s="202"/>
      <c r="I794" s="202"/>
      <c r="J794" s="3"/>
      <c r="K794" s="3"/>
      <c r="L794" s="3"/>
      <c r="M794" s="3"/>
      <c r="N794" s="3"/>
      <c r="O794" s="3"/>
      <c r="P794" s="3"/>
      <c r="Q794" s="196"/>
      <c r="R794" s="3"/>
      <c r="S794" s="202"/>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row>
    <row r="795" spans="1:51" ht="15.75" customHeight="1">
      <c r="A795" s="3"/>
      <c r="B795" s="3"/>
      <c r="C795" s="3"/>
      <c r="D795" s="3"/>
      <c r="E795" s="3"/>
      <c r="F795" s="3"/>
      <c r="G795" s="3"/>
      <c r="H795" s="202"/>
      <c r="I795" s="202"/>
      <c r="J795" s="3"/>
      <c r="K795" s="3"/>
      <c r="L795" s="3"/>
      <c r="M795" s="3"/>
      <c r="N795" s="3"/>
      <c r="O795" s="3"/>
      <c r="P795" s="3"/>
      <c r="Q795" s="196"/>
      <c r="R795" s="3"/>
      <c r="S795" s="202"/>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row>
    <row r="796" spans="1:51" ht="15.75" customHeight="1">
      <c r="A796" s="3"/>
      <c r="B796" s="3"/>
      <c r="C796" s="3"/>
      <c r="D796" s="3"/>
      <c r="E796" s="3"/>
      <c r="F796" s="3"/>
      <c r="G796" s="3"/>
      <c r="H796" s="202"/>
      <c r="I796" s="202"/>
      <c r="J796" s="3"/>
      <c r="K796" s="3"/>
      <c r="L796" s="3"/>
      <c r="M796" s="3"/>
      <c r="N796" s="3"/>
      <c r="O796" s="3"/>
      <c r="P796" s="3"/>
      <c r="Q796" s="196"/>
      <c r="R796" s="3"/>
      <c r="S796" s="202"/>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row>
    <row r="797" spans="1:51" ht="15.75" customHeight="1">
      <c r="A797" s="3"/>
      <c r="B797" s="3"/>
      <c r="C797" s="3"/>
      <c r="D797" s="3"/>
      <c r="E797" s="3"/>
      <c r="F797" s="3"/>
      <c r="G797" s="3"/>
      <c r="H797" s="202"/>
      <c r="I797" s="202"/>
      <c r="J797" s="3"/>
      <c r="K797" s="3"/>
      <c r="L797" s="3"/>
      <c r="M797" s="3"/>
      <c r="N797" s="3"/>
      <c r="O797" s="3"/>
      <c r="P797" s="3"/>
      <c r="Q797" s="196"/>
      <c r="R797" s="3"/>
      <c r="S797" s="202"/>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row>
    <row r="798" spans="1:51" ht="15.75" customHeight="1">
      <c r="A798" s="3"/>
      <c r="B798" s="3"/>
      <c r="C798" s="3"/>
      <c r="D798" s="3"/>
      <c r="E798" s="3"/>
      <c r="F798" s="3"/>
      <c r="G798" s="3"/>
      <c r="H798" s="202"/>
      <c r="I798" s="202"/>
      <c r="J798" s="3"/>
      <c r="K798" s="3"/>
      <c r="L798" s="3"/>
      <c r="M798" s="3"/>
      <c r="N798" s="3"/>
      <c r="O798" s="3"/>
      <c r="P798" s="3"/>
      <c r="Q798" s="196"/>
      <c r="R798" s="3"/>
      <c r="S798" s="202"/>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row>
    <row r="799" spans="1:51" ht="15.75" customHeight="1">
      <c r="A799" s="3"/>
      <c r="B799" s="3"/>
      <c r="C799" s="3"/>
      <c r="D799" s="3"/>
      <c r="E799" s="3"/>
      <c r="F799" s="3"/>
      <c r="G799" s="3"/>
      <c r="H799" s="202"/>
      <c r="I799" s="202"/>
      <c r="J799" s="3"/>
      <c r="K799" s="3"/>
      <c r="L799" s="3"/>
      <c r="M799" s="3"/>
      <c r="N799" s="3"/>
      <c r="O799" s="3"/>
      <c r="P799" s="3"/>
      <c r="Q799" s="196"/>
      <c r="R799" s="3"/>
      <c r="S799" s="202"/>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row>
    <row r="800" spans="1:51" ht="15.75" customHeight="1">
      <c r="A800" s="3"/>
      <c r="B800" s="3"/>
      <c r="C800" s="3"/>
      <c r="D800" s="3"/>
      <c r="E800" s="3"/>
      <c r="F800" s="3"/>
      <c r="G800" s="3"/>
      <c r="H800" s="202"/>
      <c r="I800" s="202"/>
      <c r="J800" s="3"/>
      <c r="K800" s="3"/>
      <c r="L800" s="3"/>
      <c r="M800" s="3"/>
      <c r="N800" s="3"/>
      <c r="O800" s="3"/>
      <c r="P800" s="3"/>
      <c r="Q800" s="196"/>
      <c r="R800" s="3"/>
      <c r="S800" s="202"/>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row>
    <row r="801" spans="1:51" ht="15.75" customHeight="1">
      <c r="A801" s="3"/>
      <c r="B801" s="3"/>
      <c r="C801" s="3"/>
      <c r="D801" s="3"/>
      <c r="E801" s="3"/>
      <c r="F801" s="3"/>
      <c r="G801" s="3"/>
      <c r="H801" s="202"/>
      <c r="I801" s="202"/>
      <c r="J801" s="3"/>
      <c r="K801" s="3"/>
      <c r="L801" s="3"/>
      <c r="M801" s="3"/>
      <c r="N801" s="3"/>
      <c r="O801" s="3"/>
      <c r="P801" s="3"/>
      <c r="Q801" s="196"/>
      <c r="R801" s="3"/>
      <c r="S801" s="202"/>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row>
    <row r="802" spans="1:51" ht="15.75" customHeight="1">
      <c r="A802" s="3"/>
      <c r="B802" s="3"/>
      <c r="C802" s="3"/>
      <c r="D802" s="3"/>
      <c r="E802" s="3"/>
      <c r="F802" s="3"/>
      <c r="G802" s="3"/>
      <c r="H802" s="202"/>
      <c r="I802" s="202"/>
      <c r="J802" s="3"/>
      <c r="K802" s="3"/>
      <c r="L802" s="3"/>
      <c r="M802" s="3"/>
      <c r="N802" s="3"/>
      <c r="O802" s="3"/>
      <c r="P802" s="3"/>
      <c r="Q802" s="196"/>
      <c r="R802" s="3"/>
      <c r="S802" s="202"/>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row>
    <row r="803" spans="1:51" ht="15.75" customHeight="1">
      <c r="A803" s="3"/>
      <c r="B803" s="3"/>
      <c r="C803" s="3"/>
      <c r="D803" s="3"/>
      <c r="E803" s="3"/>
      <c r="F803" s="3"/>
      <c r="G803" s="3"/>
      <c r="H803" s="202"/>
      <c r="I803" s="202"/>
      <c r="J803" s="3"/>
      <c r="K803" s="3"/>
      <c r="L803" s="3"/>
      <c r="M803" s="3"/>
      <c r="N803" s="3"/>
      <c r="O803" s="3"/>
      <c r="P803" s="3"/>
      <c r="Q803" s="196"/>
      <c r="R803" s="3"/>
      <c r="S803" s="202"/>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row>
    <row r="804" spans="1:51" ht="15.75" customHeight="1">
      <c r="A804" s="3"/>
      <c r="B804" s="3"/>
      <c r="C804" s="3"/>
      <c r="D804" s="3"/>
      <c r="E804" s="3"/>
      <c r="F804" s="3"/>
      <c r="G804" s="3"/>
      <c r="H804" s="202"/>
      <c r="I804" s="202"/>
      <c r="J804" s="3"/>
      <c r="K804" s="3"/>
      <c r="L804" s="3"/>
      <c r="M804" s="3"/>
      <c r="N804" s="3"/>
      <c r="O804" s="3"/>
      <c r="P804" s="3"/>
      <c r="Q804" s="196"/>
      <c r="R804" s="3"/>
      <c r="S804" s="202"/>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row>
    <row r="805" spans="1:51" ht="15.75" customHeight="1">
      <c r="A805" s="3"/>
      <c r="B805" s="3"/>
      <c r="C805" s="3"/>
      <c r="D805" s="3"/>
      <c r="E805" s="3"/>
      <c r="F805" s="3"/>
      <c r="G805" s="3"/>
      <c r="H805" s="202"/>
      <c r="I805" s="202"/>
      <c r="J805" s="3"/>
      <c r="K805" s="3"/>
      <c r="L805" s="3"/>
      <c r="M805" s="3"/>
      <c r="N805" s="3"/>
      <c r="O805" s="3"/>
      <c r="P805" s="3"/>
      <c r="Q805" s="196"/>
      <c r="R805" s="3"/>
      <c r="S805" s="202"/>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row>
    <row r="806" spans="1:51" ht="15.75" customHeight="1">
      <c r="A806" s="3"/>
      <c r="B806" s="3"/>
      <c r="C806" s="3"/>
      <c r="D806" s="3"/>
      <c r="E806" s="3"/>
      <c r="F806" s="3"/>
      <c r="G806" s="3"/>
      <c r="H806" s="202"/>
      <c r="I806" s="202"/>
      <c r="J806" s="3"/>
      <c r="K806" s="3"/>
      <c r="L806" s="3"/>
      <c r="M806" s="3"/>
      <c r="N806" s="3"/>
      <c r="O806" s="3"/>
      <c r="P806" s="3"/>
      <c r="Q806" s="196"/>
      <c r="R806" s="3"/>
      <c r="S806" s="202"/>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row>
    <row r="807" spans="1:51" ht="15.75" customHeight="1">
      <c r="A807" s="3"/>
      <c r="B807" s="3"/>
      <c r="C807" s="3"/>
      <c r="D807" s="3"/>
      <c r="E807" s="3"/>
      <c r="F807" s="3"/>
      <c r="G807" s="3"/>
      <c r="H807" s="202"/>
      <c r="I807" s="202"/>
      <c r="J807" s="3"/>
      <c r="K807" s="3"/>
      <c r="L807" s="3"/>
      <c r="M807" s="3"/>
      <c r="N807" s="3"/>
      <c r="O807" s="3"/>
      <c r="P807" s="3"/>
      <c r="Q807" s="196"/>
      <c r="R807" s="3"/>
      <c r="S807" s="202"/>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row>
    <row r="808" spans="1:51" ht="15.75" customHeight="1">
      <c r="A808" s="3"/>
      <c r="B808" s="3"/>
      <c r="C808" s="3"/>
      <c r="D808" s="3"/>
      <c r="E808" s="3"/>
      <c r="F808" s="3"/>
      <c r="G808" s="3"/>
      <c r="H808" s="202"/>
      <c r="I808" s="202"/>
      <c r="J808" s="3"/>
      <c r="K808" s="3"/>
      <c r="L808" s="3"/>
      <c r="M808" s="3"/>
      <c r="N808" s="3"/>
      <c r="O808" s="3"/>
      <c r="P808" s="3"/>
      <c r="Q808" s="196"/>
      <c r="R808" s="3"/>
      <c r="S808" s="202"/>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row>
    <row r="809" spans="1:51" ht="15.75" customHeight="1">
      <c r="A809" s="3"/>
      <c r="B809" s="3"/>
      <c r="C809" s="3"/>
      <c r="D809" s="3"/>
      <c r="E809" s="3"/>
      <c r="F809" s="3"/>
      <c r="G809" s="3"/>
      <c r="H809" s="202"/>
      <c r="I809" s="202"/>
      <c r="J809" s="3"/>
      <c r="K809" s="3"/>
      <c r="L809" s="3"/>
      <c r="M809" s="3"/>
      <c r="N809" s="3"/>
      <c r="O809" s="3"/>
      <c r="P809" s="3"/>
      <c r="Q809" s="196"/>
      <c r="R809" s="3"/>
      <c r="S809" s="202"/>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row>
    <row r="810" spans="1:51" ht="15.75" customHeight="1">
      <c r="A810" s="3"/>
      <c r="B810" s="3"/>
      <c r="C810" s="3"/>
      <c r="D810" s="3"/>
      <c r="E810" s="3"/>
      <c r="F810" s="3"/>
      <c r="G810" s="3"/>
      <c r="H810" s="202"/>
      <c r="I810" s="202"/>
      <c r="J810" s="3"/>
      <c r="K810" s="3"/>
      <c r="L810" s="3"/>
      <c r="M810" s="3"/>
      <c r="N810" s="3"/>
      <c r="O810" s="3"/>
      <c r="P810" s="3"/>
      <c r="Q810" s="196"/>
      <c r="R810" s="3"/>
      <c r="S810" s="202"/>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row>
    <row r="811" spans="1:51" ht="15.75" customHeight="1">
      <c r="A811" s="3"/>
      <c r="B811" s="3"/>
      <c r="C811" s="3"/>
      <c r="D811" s="3"/>
      <c r="E811" s="3"/>
      <c r="F811" s="3"/>
      <c r="G811" s="3"/>
      <c r="H811" s="202"/>
      <c r="I811" s="202"/>
      <c r="J811" s="3"/>
      <c r="K811" s="3"/>
      <c r="L811" s="3"/>
      <c r="M811" s="3"/>
      <c r="N811" s="3"/>
      <c r="O811" s="3"/>
      <c r="P811" s="3"/>
      <c r="Q811" s="196"/>
      <c r="R811" s="3"/>
      <c r="S811" s="202"/>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row>
    <row r="812" spans="1:51" ht="15.75" customHeight="1">
      <c r="A812" s="3"/>
      <c r="B812" s="3"/>
      <c r="C812" s="3"/>
      <c r="D812" s="3"/>
      <c r="E812" s="3"/>
      <c r="F812" s="3"/>
      <c r="G812" s="3"/>
      <c r="H812" s="202"/>
      <c r="I812" s="202"/>
      <c r="J812" s="3"/>
      <c r="K812" s="3"/>
      <c r="L812" s="3"/>
      <c r="M812" s="3"/>
      <c r="N812" s="3"/>
      <c r="O812" s="3"/>
      <c r="P812" s="3"/>
      <c r="Q812" s="196"/>
      <c r="R812" s="3"/>
      <c r="S812" s="202"/>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row>
    <row r="813" spans="1:51" ht="15.75" customHeight="1">
      <c r="A813" s="3"/>
      <c r="B813" s="3"/>
      <c r="C813" s="3"/>
      <c r="D813" s="3"/>
      <c r="E813" s="3"/>
      <c r="F813" s="3"/>
      <c r="G813" s="3"/>
      <c r="H813" s="202"/>
      <c r="I813" s="202"/>
      <c r="J813" s="3"/>
      <c r="K813" s="3"/>
      <c r="L813" s="3"/>
      <c r="M813" s="3"/>
      <c r="N813" s="3"/>
      <c r="O813" s="3"/>
      <c r="P813" s="3"/>
      <c r="Q813" s="196"/>
      <c r="R813" s="3"/>
      <c r="S813" s="202"/>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row>
    <row r="814" spans="1:51" ht="15.75" customHeight="1">
      <c r="A814" s="3"/>
      <c r="B814" s="3"/>
      <c r="C814" s="3"/>
      <c r="D814" s="3"/>
      <c r="E814" s="3"/>
      <c r="F814" s="3"/>
      <c r="G814" s="3"/>
      <c r="H814" s="202"/>
      <c r="I814" s="202"/>
      <c r="J814" s="3"/>
      <c r="K814" s="3"/>
      <c r="L814" s="3"/>
      <c r="M814" s="3"/>
      <c r="N814" s="3"/>
      <c r="O814" s="3"/>
      <c r="P814" s="3"/>
      <c r="Q814" s="196"/>
      <c r="R814" s="3"/>
      <c r="S814" s="202"/>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row>
    <row r="815" spans="1:51" ht="15.75" customHeight="1">
      <c r="A815" s="3"/>
      <c r="B815" s="3"/>
      <c r="C815" s="3"/>
      <c r="D815" s="3"/>
      <c r="E815" s="3"/>
      <c r="F815" s="3"/>
      <c r="G815" s="3"/>
      <c r="H815" s="202"/>
      <c r="I815" s="202"/>
      <c r="J815" s="3"/>
      <c r="K815" s="3"/>
      <c r="L815" s="3"/>
      <c r="M815" s="3"/>
      <c r="N815" s="3"/>
      <c r="O815" s="3"/>
      <c r="P815" s="3"/>
      <c r="Q815" s="196"/>
      <c r="R815" s="3"/>
      <c r="S815" s="202"/>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row>
    <row r="816" spans="1:51" ht="15.75" customHeight="1">
      <c r="A816" s="3"/>
      <c r="B816" s="3"/>
      <c r="C816" s="3"/>
      <c r="D816" s="3"/>
      <c r="E816" s="3"/>
      <c r="F816" s="3"/>
      <c r="G816" s="3"/>
      <c r="H816" s="202"/>
      <c r="I816" s="202"/>
      <c r="J816" s="3"/>
      <c r="K816" s="3"/>
      <c r="L816" s="3"/>
      <c r="M816" s="3"/>
      <c r="N816" s="3"/>
      <c r="O816" s="3"/>
      <c r="P816" s="3"/>
      <c r="Q816" s="196"/>
      <c r="R816" s="3"/>
      <c r="S816" s="202"/>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row>
    <row r="817" spans="1:51" ht="15.75" customHeight="1">
      <c r="A817" s="3"/>
      <c r="B817" s="3"/>
      <c r="C817" s="3"/>
      <c r="D817" s="3"/>
      <c r="E817" s="3"/>
      <c r="F817" s="3"/>
      <c r="G817" s="3"/>
      <c r="H817" s="202"/>
      <c r="I817" s="202"/>
      <c r="J817" s="3"/>
      <c r="K817" s="3"/>
      <c r="L817" s="3"/>
      <c r="M817" s="3"/>
      <c r="N817" s="3"/>
      <c r="O817" s="3"/>
      <c r="P817" s="3"/>
      <c r="Q817" s="196"/>
      <c r="R817" s="3"/>
      <c r="S817" s="202"/>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row>
    <row r="818" spans="1:51" ht="15.75" customHeight="1">
      <c r="A818" s="3"/>
      <c r="B818" s="3"/>
      <c r="C818" s="3"/>
      <c r="D818" s="3"/>
      <c r="E818" s="3"/>
      <c r="F818" s="3"/>
      <c r="G818" s="3"/>
      <c r="H818" s="202"/>
      <c r="I818" s="202"/>
      <c r="J818" s="3"/>
      <c r="K818" s="3"/>
      <c r="L818" s="3"/>
      <c r="M818" s="3"/>
      <c r="N818" s="3"/>
      <c r="O818" s="3"/>
      <c r="P818" s="3"/>
      <c r="Q818" s="196"/>
      <c r="R818" s="3"/>
      <c r="S818" s="202"/>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row>
    <row r="819" spans="1:51" ht="15.75" customHeight="1">
      <c r="A819" s="3"/>
      <c r="B819" s="3"/>
      <c r="C819" s="3"/>
      <c r="D819" s="3"/>
      <c r="E819" s="3"/>
      <c r="F819" s="3"/>
      <c r="G819" s="3"/>
      <c r="H819" s="202"/>
      <c r="I819" s="202"/>
      <c r="J819" s="3"/>
      <c r="K819" s="3"/>
      <c r="L819" s="3"/>
      <c r="M819" s="3"/>
      <c r="N819" s="3"/>
      <c r="O819" s="3"/>
      <c r="P819" s="3"/>
      <c r="Q819" s="196"/>
      <c r="R819" s="3"/>
      <c r="S819" s="202"/>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row>
    <row r="820" spans="1:51" ht="15.75" customHeight="1">
      <c r="A820" s="3"/>
      <c r="B820" s="3"/>
      <c r="C820" s="3"/>
      <c r="D820" s="3"/>
      <c r="E820" s="3"/>
      <c r="F820" s="3"/>
      <c r="G820" s="3"/>
      <c r="H820" s="202"/>
      <c r="I820" s="202"/>
      <c r="J820" s="3"/>
      <c r="K820" s="3"/>
      <c r="L820" s="3"/>
      <c r="M820" s="3"/>
      <c r="N820" s="3"/>
      <c r="O820" s="3"/>
      <c r="P820" s="3"/>
      <c r="Q820" s="196"/>
      <c r="R820" s="3"/>
      <c r="S820" s="202"/>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row>
    <row r="821" spans="1:51" ht="15.75" customHeight="1">
      <c r="A821" s="3"/>
      <c r="B821" s="3"/>
      <c r="C821" s="3"/>
      <c r="D821" s="3"/>
      <c r="E821" s="3"/>
      <c r="F821" s="3"/>
      <c r="G821" s="3"/>
      <c r="H821" s="202"/>
      <c r="I821" s="202"/>
      <c r="J821" s="3"/>
      <c r="K821" s="3"/>
      <c r="L821" s="3"/>
      <c r="M821" s="3"/>
      <c r="N821" s="3"/>
      <c r="O821" s="3"/>
      <c r="P821" s="3"/>
      <c r="Q821" s="196"/>
      <c r="R821" s="3"/>
      <c r="S821" s="202"/>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row>
    <row r="822" spans="1:51" ht="15.75" customHeight="1">
      <c r="A822" s="3"/>
      <c r="B822" s="3"/>
      <c r="C822" s="3"/>
      <c r="D822" s="3"/>
      <c r="E822" s="3"/>
      <c r="F822" s="3"/>
      <c r="G822" s="3"/>
      <c r="H822" s="202"/>
      <c r="I822" s="202"/>
      <c r="J822" s="3"/>
      <c r="K822" s="3"/>
      <c r="L822" s="3"/>
      <c r="M822" s="3"/>
      <c r="N822" s="3"/>
      <c r="O822" s="3"/>
      <c r="P822" s="3"/>
      <c r="Q822" s="196"/>
      <c r="R822" s="3"/>
      <c r="S822" s="202"/>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row>
    <row r="823" spans="1:51" ht="15.75" customHeight="1">
      <c r="A823" s="3"/>
      <c r="B823" s="3"/>
      <c r="C823" s="3"/>
      <c r="D823" s="3"/>
      <c r="E823" s="3"/>
      <c r="F823" s="3"/>
      <c r="G823" s="3"/>
      <c r="H823" s="202"/>
      <c r="I823" s="202"/>
      <c r="J823" s="3"/>
      <c r="K823" s="3"/>
      <c r="L823" s="3"/>
      <c r="M823" s="3"/>
      <c r="N823" s="3"/>
      <c r="O823" s="3"/>
      <c r="P823" s="3"/>
      <c r="Q823" s="196"/>
      <c r="R823" s="3"/>
      <c r="S823" s="202"/>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row>
    <row r="824" spans="1:51" ht="15.75" customHeight="1">
      <c r="A824" s="3"/>
      <c r="B824" s="3"/>
      <c r="C824" s="3"/>
      <c r="D824" s="3"/>
      <c r="E824" s="3"/>
      <c r="F824" s="3"/>
      <c r="G824" s="3"/>
      <c r="H824" s="202"/>
      <c r="I824" s="202"/>
      <c r="J824" s="3"/>
      <c r="K824" s="3"/>
      <c r="L824" s="3"/>
      <c r="M824" s="3"/>
      <c r="N824" s="3"/>
      <c r="O824" s="3"/>
      <c r="P824" s="3"/>
      <c r="Q824" s="196"/>
      <c r="R824" s="3"/>
      <c r="S824" s="202"/>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row>
    <row r="825" spans="1:51" ht="15.75" customHeight="1">
      <c r="A825" s="3"/>
      <c r="B825" s="3"/>
      <c r="C825" s="3"/>
      <c r="D825" s="3"/>
      <c r="E825" s="3"/>
      <c r="F825" s="3"/>
      <c r="G825" s="3"/>
      <c r="H825" s="202"/>
      <c r="I825" s="202"/>
      <c r="J825" s="3"/>
      <c r="K825" s="3"/>
      <c r="L825" s="3"/>
      <c r="M825" s="3"/>
      <c r="N825" s="3"/>
      <c r="O825" s="3"/>
      <c r="P825" s="3"/>
      <c r="Q825" s="196"/>
      <c r="R825" s="3"/>
      <c r="S825" s="202"/>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row>
    <row r="826" spans="1:51" ht="15.75" customHeight="1">
      <c r="A826" s="3"/>
      <c r="B826" s="3"/>
      <c r="C826" s="3"/>
      <c r="D826" s="3"/>
      <c r="E826" s="3"/>
      <c r="F826" s="3"/>
      <c r="G826" s="3"/>
      <c r="H826" s="202"/>
      <c r="I826" s="202"/>
      <c r="J826" s="3"/>
      <c r="K826" s="3"/>
      <c r="L826" s="3"/>
      <c r="M826" s="3"/>
      <c r="N826" s="3"/>
      <c r="O826" s="3"/>
      <c r="P826" s="3"/>
      <c r="Q826" s="196"/>
      <c r="R826" s="3"/>
      <c r="S826" s="202"/>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row>
    <row r="827" spans="1:51" ht="15.75" customHeight="1">
      <c r="A827" s="3"/>
      <c r="B827" s="3"/>
      <c r="C827" s="3"/>
      <c r="D827" s="3"/>
      <c r="E827" s="3"/>
      <c r="F827" s="3"/>
      <c r="G827" s="3"/>
      <c r="H827" s="202"/>
      <c r="I827" s="202"/>
      <c r="J827" s="3"/>
      <c r="K827" s="3"/>
      <c r="L827" s="3"/>
      <c r="M827" s="3"/>
      <c r="N827" s="3"/>
      <c r="O827" s="3"/>
      <c r="P827" s="3"/>
      <c r="Q827" s="196"/>
      <c r="R827" s="3"/>
      <c r="S827" s="202"/>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row>
    <row r="828" spans="1:51" ht="15.75" customHeight="1">
      <c r="A828" s="3"/>
      <c r="B828" s="3"/>
      <c r="C828" s="3"/>
      <c r="D828" s="3"/>
      <c r="E828" s="3"/>
      <c r="F828" s="3"/>
      <c r="G828" s="3"/>
      <c r="H828" s="202"/>
      <c r="I828" s="202"/>
      <c r="J828" s="3"/>
      <c r="K828" s="3"/>
      <c r="L828" s="3"/>
      <c r="M828" s="3"/>
      <c r="N828" s="3"/>
      <c r="O828" s="3"/>
      <c r="P828" s="3"/>
      <c r="Q828" s="196"/>
      <c r="R828" s="3"/>
      <c r="S828" s="202"/>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row>
    <row r="829" spans="1:51" ht="15.75" customHeight="1">
      <c r="A829" s="3"/>
      <c r="B829" s="3"/>
      <c r="C829" s="3"/>
      <c r="D829" s="3"/>
      <c r="E829" s="3"/>
      <c r="F829" s="3"/>
      <c r="G829" s="3"/>
      <c r="H829" s="202"/>
      <c r="I829" s="202"/>
      <c r="J829" s="3"/>
      <c r="K829" s="3"/>
      <c r="L829" s="3"/>
      <c r="M829" s="3"/>
      <c r="N829" s="3"/>
      <c r="O829" s="3"/>
      <c r="P829" s="3"/>
      <c r="Q829" s="196"/>
      <c r="R829" s="3"/>
      <c r="S829" s="202"/>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row>
    <row r="830" spans="1:51" ht="15.75" customHeight="1">
      <c r="A830" s="3"/>
      <c r="B830" s="3"/>
      <c r="C830" s="3"/>
      <c r="D830" s="3"/>
      <c r="E830" s="3"/>
      <c r="F830" s="3"/>
      <c r="G830" s="3"/>
      <c r="H830" s="202"/>
      <c r="I830" s="202"/>
      <c r="J830" s="3"/>
      <c r="K830" s="3"/>
      <c r="L830" s="3"/>
      <c r="M830" s="3"/>
      <c r="N830" s="3"/>
      <c r="O830" s="3"/>
      <c r="P830" s="3"/>
      <c r="Q830" s="196"/>
      <c r="R830" s="3"/>
      <c r="S830" s="202"/>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row>
    <row r="831" spans="1:51" ht="15.75" customHeight="1">
      <c r="A831" s="3"/>
      <c r="B831" s="3"/>
      <c r="C831" s="3"/>
      <c r="D831" s="3"/>
      <c r="E831" s="3"/>
      <c r="F831" s="3"/>
      <c r="G831" s="3"/>
      <c r="H831" s="202"/>
      <c r="I831" s="202"/>
      <c r="J831" s="3"/>
      <c r="K831" s="3"/>
      <c r="L831" s="3"/>
      <c r="M831" s="3"/>
      <c r="N831" s="3"/>
      <c r="O831" s="3"/>
      <c r="P831" s="3"/>
      <c r="Q831" s="196"/>
      <c r="R831" s="3"/>
      <c r="S831" s="202"/>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row>
    <row r="832" spans="1:51" ht="15.75" customHeight="1">
      <c r="A832" s="3"/>
      <c r="B832" s="3"/>
      <c r="C832" s="3"/>
      <c r="D832" s="3"/>
      <c r="E832" s="3"/>
      <c r="F832" s="3"/>
      <c r="G832" s="3"/>
      <c r="H832" s="202"/>
      <c r="I832" s="202"/>
      <c r="J832" s="3"/>
      <c r="K832" s="3"/>
      <c r="L832" s="3"/>
      <c r="M832" s="3"/>
      <c r="N832" s="3"/>
      <c r="O832" s="3"/>
      <c r="P832" s="3"/>
      <c r="Q832" s="196"/>
      <c r="R832" s="3"/>
      <c r="S832" s="202"/>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row>
    <row r="833" spans="1:51" ht="15.75" customHeight="1">
      <c r="A833" s="3"/>
      <c r="B833" s="3"/>
      <c r="C833" s="3"/>
      <c r="D833" s="3"/>
      <c r="E833" s="3"/>
      <c r="F833" s="3"/>
      <c r="G833" s="3"/>
      <c r="H833" s="202"/>
      <c r="I833" s="202"/>
      <c r="J833" s="3"/>
      <c r="K833" s="3"/>
      <c r="L833" s="3"/>
      <c r="M833" s="3"/>
      <c r="N833" s="3"/>
      <c r="O833" s="3"/>
      <c r="P833" s="3"/>
      <c r="Q833" s="196"/>
      <c r="R833" s="3"/>
      <c r="S833" s="202"/>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row>
    <row r="834" spans="1:51" ht="15.75" customHeight="1">
      <c r="A834" s="3"/>
      <c r="B834" s="3"/>
      <c r="C834" s="3"/>
      <c r="D834" s="3"/>
      <c r="E834" s="3"/>
      <c r="F834" s="3"/>
      <c r="G834" s="3"/>
      <c r="H834" s="202"/>
      <c r="I834" s="202"/>
      <c r="J834" s="3"/>
      <c r="K834" s="3"/>
      <c r="L834" s="3"/>
      <c r="M834" s="3"/>
      <c r="N834" s="3"/>
      <c r="O834" s="3"/>
      <c r="P834" s="3"/>
      <c r="Q834" s="196"/>
      <c r="R834" s="3"/>
      <c r="S834" s="202"/>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row>
    <row r="835" spans="1:51" ht="15.75" customHeight="1">
      <c r="A835" s="3"/>
      <c r="B835" s="3"/>
      <c r="C835" s="3"/>
      <c r="D835" s="3"/>
      <c r="E835" s="3"/>
      <c r="F835" s="3"/>
      <c r="G835" s="3"/>
      <c r="H835" s="202"/>
      <c r="I835" s="202"/>
      <c r="J835" s="3"/>
      <c r="K835" s="3"/>
      <c r="L835" s="3"/>
      <c r="M835" s="3"/>
      <c r="N835" s="3"/>
      <c r="O835" s="3"/>
      <c r="P835" s="3"/>
      <c r="Q835" s="196"/>
      <c r="R835" s="3"/>
      <c r="S835" s="202"/>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row>
    <row r="836" spans="1:51" ht="15.75" customHeight="1">
      <c r="A836" s="3"/>
      <c r="B836" s="3"/>
      <c r="C836" s="3"/>
      <c r="D836" s="3"/>
      <c r="E836" s="3"/>
      <c r="F836" s="3"/>
      <c r="G836" s="3"/>
      <c r="H836" s="202"/>
      <c r="I836" s="202"/>
      <c r="J836" s="3"/>
      <c r="K836" s="3"/>
      <c r="L836" s="3"/>
      <c r="M836" s="3"/>
      <c r="N836" s="3"/>
      <c r="O836" s="3"/>
      <c r="P836" s="3"/>
      <c r="Q836" s="196"/>
      <c r="R836" s="3"/>
      <c r="S836" s="202"/>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row>
    <row r="837" spans="1:51" ht="15.75" customHeight="1">
      <c r="A837" s="3"/>
      <c r="B837" s="3"/>
      <c r="C837" s="3"/>
      <c r="D837" s="3"/>
      <c r="E837" s="3"/>
      <c r="F837" s="3"/>
      <c r="G837" s="3"/>
      <c r="H837" s="202"/>
      <c r="I837" s="202"/>
      <c r="J837" s="3"/>
      <c r="K837" s="3"/>
      <c r="L837" s="3"/>
      <c r="M837" s="3"/>
      <c r="N837" s="3"/>
      <c r="O837" s="3"/>
      <c r="P837" s="3"/>
      <c r="Q837" s="196"/>
      <c r="R837" s="3"/>
      <c r="S837" s="202"/>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row>
    <row r="838" spans="1:51" ht="15.75" customHeight="1">
      <c r="A838" s="3"/>
      <c r="B838" s="3"/>
      <c r="C838" s="3"/>
      <c r="D838" s="3"/>
      <c r="E838" s="3"/>
      <c r="F838" s="3"/>
      <c r="G838" s="3"/>
      <c r="H838" s="202"/>
      <c r="I838" s="202"/>
      <c r="J838" s="3"/>
      <c r="K838" s="3"/>
      <c r="L838" s="3"/>
      <c r="M838" s="3"/>
      <c r="N838" s="3"/>
      <c r="O838" s="3"/>
      <c r="P838" s="3"/>
      <c r="Q838" s="196"/>
      <c r="R838" s="3"/>
      <c r="S838" s="202"/>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row>
    <row r="839" spans="1:51" ht="15.75" customHeight="1">
      <c r="A839" s="3"/>
      <c r="B839" s="3"/>
      <c r="C839" s="3"/>
      <c r="D839" s="3"/>
      <c r="E839" s="3"/>
      <c r="F839" s="3"/>
      <c r="G839" s="3"/>
      <c r="H839" s="202"/>
      <c r="I839" s="202"/>
      <c r="J839" s="3"/>
      <c r="K839" s="3"/>
      <c r="L839" s="3"/>
      <c r="M839" s="3"/>
      <c r="N839" s="3"/>
      <c r="O839" s="3"/>
      <c r="P839" s="3"/>
      <c r="Q839" s="196"/>
      <c r="R839" s="3"/>
      <c r="S839" s="202"/>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row>
    <row r="840" spans="1:51" ht="15.75" customHeight="1">
      <c r="A840" s="3"/>
      <c r="B840" s="3"/>
      <c r="C840" s="3"/>
      <c r="D840" s="3"/>
      <c r="E840" s="3"/>
      <c r="F840" s="3"/>
      <c r="G840" s="3"/>
      <c r="H840" s="202"/>
      <c r="I840" s="202"/>
      <c r="J840" s="3"/>
      <c r="K840" s="3"/>
      <c r="L840" s="3"/>
      <c r="M840" s="3"/>
      <c r="N840" s="3"/>
      <c r="O840" s="3"/>
      <c r="P840" s="3"/>
      <c r="Q840" s="196"/>
      <c r="R840" s="3"/>
      <c r="S840" s="202"/>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row>
    <row r="841" spans="1:51" ht="15.75" customHeight="1">
      <c r="A841" s="3"/>
      <c r="B841" s="3"/>
      <c r="C841" s="3"/>
      <c r="D841" s="3"/>
      <c r="E841" s="3"/>
      <c r="F841" s="3"/>
      <c r="G841" s="3"/>
      <c r="H841" s="202"/>
      <c r="I841" s="202"/>
      <c r="J841" s="3"/>
      <c r="K841" s="3"/>
      <c r="L841" s="3"/>
      <c r="M841" s="3"/>
      <c r="N841" s="3"/>
      <c r="O841" s="3"/>
      <c r="P841" s="3"/>
      <c r="Q841" s="196"/>
      <c r="R841" s="3"/>
      <c r="S841" s="202"/>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row>
    <row r="842" spans="1:51" ht="15.75" customHeight="1">
      <c r="A842" s="3"/>
      <c r="B842" s="3"/>
      <c r="C842" s="3"/>
      <c r="D842" s="3"/>
      <c r="E842" s="3"/>
      <c r="F842" s="3"/>
      <c r="G842" s="3"/>
      <c r="H842" s="202"/>
      <c r="I842" s="202"/>
      <c r="J842" s="3"/>
      <c r="K842" s="3"/>
      <c r="L842" s="3"/>
      <c r="M842" s="3"/>
      <c r="N842" s="3"/>
      <c r="O842" s="3"/>
      <c r="P842" s="3"/>
      <c r="Q842" s="196"/>
      <c r="R842" s="3"/>
      <c r="S842" s="202"/>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row>
    <row r="843" spans="1:51" ht="15.75" customHeight="1">
      <c r="A843" s="3"/>
      <c r="B843" s="3"/>
      <c r="C843" s="3"/>
      <c r="D843" s="3"/>
      <c r="E843" s="3"/>
      <c r="F843" s="3"/>
      <c r="G843" s="3"/>
      <c r="H843" s="202"/>
      <c r="I843" s="202"/>
      <c r="J843" s="3"/>
      <c r="K843" s="3"/>
      <c r="L843" s="3"/>
      <c r="M843" s="3"/>
      <c r="N843" s="3"/>
      <c r="O843" s="3"/>
      <c r="P843" s="3"/>
      <c r="Q843" s="196"/>
      <c r="R843" s="3"/>
      <c r="S843" s="202"/>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row>
    <row r="844" spans="1:51" ht="15.75" customHeight="1">
      <c r="A844" s="3"/>
      <c r="B844" s="3"/>
      <c r="C844" s="3"/>
      <c r="D844" s="3"/>
      <c r="E844" s="3"/>
      <c r="F844" s="3"/>
      <c r="G844" s="3"/>
      <c r="H844" s="202"/>
      <c r="I844" s="202"/>
      <c r="J844" s="3"/>
      <c r="K844" s="3"/>
      <c r="L844" s="3"/>
      <c r="M844" s="3"/>
      <c r="N844" s="3"/>
      <c r="O844" s="3"/>
      <c r="P844" s="3"/>
      <c r="Q844" s="196"/>
      <c r="R844" s="3"/>
      <c r="S844" s="202"/>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row>
    <row r="845" spans="1:51" ht="15.75" customHeight="1">
      <c r="A845" s="3"/>
      <c r="B845" s="3"/>
      <c r="C845" s="3"/>
      <c r="D845" s="3"/>
      <c r="E845" s="3"/>
      <c r="F845" s="3"/>
      <c r="G845" s="3"/>
      <c r="H845" s="202"/>
      <c r="I845" s="202"/>
      <c r="J845" s="3"/>
      <c r="K845" s="3"/>
      <c r="L845" s="3"/>
      <c r="M845" s="3"/>
      <c r="N845" s="3"/>
      <c r="O845" s="3"/>
      <c r="P845" s="3"/>
      <c r="Q845" s="196"/>
      <c r="R845" s="3"/>
      <c r="S845" s="202"/>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row>
    <row r="846" spans="1:51" ht="15.75" customHeight="1">
      <c r="A846" s="3"/>
      <c r="B846" s="3"/>
      <c r="C846" s="3"/>
      <c r="D846" s="3"/>
      <c r="E846" s="3"/>
      <c r="F846" s="3"/>
      <c r="G846" s="3"/>
      <c r="H846" s="202"/>
      <c r="I846" s="202"/>
      <c r="J846" s="3"/>
      <c r="K846" s="3"/>
      <c r="L846" s="3"/>
      <c r="M846" s="3"/>
      <c r="N846" s="3"/>
      <c r="O846" s="3"/>
      <c r="P846" s="3"/>
      <c r="Q846" s="196"/>
      <c r="R846" s="3"/>
      <c r="S846" s="202"/>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row>
    <row r="847" spans="1:51" ht="15.75" customHeight="1">
      <c r="A847" s="3"/>
      <c r="B847" s="3"/>
      <c r="C847" s="3"/>
      <c r="D847" s="3"/>
      <c r="E847" s="3"/>
      <c r="F847" s="3"/>
      <c r="G847" s="3"/>
      <c r="H847" s="202"/>
      <c r="I847" s="202"/>
      <c r="J847" s="3"/>
      <c r="K847" s="3"/>
      <c r="L847" s="3"/>
      <c r="M847" s="3"/>
      <c r="N847" s="3"/>
      <c r="O847" s="3"/>
      <c r="P847" s="3"/>
      <c r="Q847" s="196"/>
      <c r="R847" s="3"/>
      <c r="S847" s="202"/>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row>
    <row r="848" spans="1:51" ht="15.75" customHeight="1">
      <c r="A848" s="3"/>
      <c r="B848" s="3"/>
      <c r="C848" s="3"/>
      <c r="D848" s="3"/>
      <c r="E848" s="3"/>
      <c r="F848" s="3"/>
      <c r="G848" s="3"/>
      <c r="H848" s="202"/>
      <c r="I848" s="202"/>
      <c r="J848" s="3"/>
      <c r="K848" s="3"/>
      <c r="L848" s="3"/>
      <c r="M848" s="3"/>
      <c r="N848" s="3"/>
      <c r="O848" s="3"/>
      <c r="P848" s="3"/>
      <c r="Q848" s="196"/>
      <c r="R848" s="3"/>
      <c r="S848" s="202"/>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row>
    <row r="849" spans="1:51" ht="15.75" customHeight="1">
      <c r="A849" s="3"/>
      <c r="B849" s="3"/>
      <c r="C849" s="3"/>
      <c r="D849" s="3"/>
      <c r="E849" s="3"/>
      <c r="F849" s="3"/>
      <c r="G849" s="3"/>
      <c r="H849" s="202"/>
      <c r="I849" s="202"/>
      <c r="J849" s="3"/>
      <c r="K849" s="3"/>
      <c r="L849" s="3"/>
      <c r="M849" s="3"/>
      <c r="N849" s="3"/>
      <c r="O849" s="3"/>
      <c r="P849" s="3"/>
      <c r="Q849" s="196"/>
      <c r="R849" s="3"/>
      <c r="S849" s="202"/>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row>
    <row r="850" spans="1:51" ht="15.75" customHeight="1">
      <c r="A850" s="3"/>
      <c r="B850" s="3"/>
      <c r="C850" s="3"/>
      <c r="D850" s="3"/>
      <c r="E850" s="3"/>
      <c r="F850" s="3"/>
      <c r="G850" s="3"/>
      <c r="H850" s="202"/>
      <c r="I850" s="202"/>
      <c r="J850" s="3"/>
      <c r="K850" s="3"/>
      <c r="L850" s="3"/>
      <c r="M850" s="3"/>
      <c r="N850" s="3"/>
      <c r="O850" s="3"/>
      <c r="P850" s="3"/>
      <c r="Q850" s="196"/>
      <c r="R850" s="3"/>
      <c r="S850" s="202"/>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row>
    <row r="851" spans="1:51" ht="15.75" customHeight="1">
      <c r="A851" s="3"/>
      <c r="B851" s="3"/>
      <c r="C851" s="3"/>
      <c r="D851" s="3"/>
      <c r="E851" s="3"/>
      <c r="F851" s="3"/>
      <c r="G851" s="3"/>
      <c r="H851" s="202"/>
      <c r="I851" s="202"/>
      <c r="J851" s="3"/>
      <c r="K851" s="3"/>
      <c r="L851" s="3"/>
      <c r="M851" s="3"/>
      <c r="N851" s="3"/>
      <c r="O851" s="3"/>
      <c r="P851" s="3"/>
      <c r="Q851" s="196"/>
      <c r="R851" s="3"/>
      <c r="S851" s="202"/>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row>
    <row r="852" spans="1:51" ht="15.75" customHeight="1">
      <c r="A852" s="3"/>
      <c r="B852" s="3"/>
      <c r="C852" s="3"/>
      <c r="D852" s="3"/>
      <c r="E852" s="3"/>
      <c r="F852" s="3"/>
      <c r="G852" s="3"/>
      <c r="H852" s="202"/>
      <c r="I852" s="202"/>
      <c r="J852" s="3"/>
      <c r="K852" s="3"/>
      <c r="L852" s="3"/>
      <c r="M852" s="3"/>
      <c r="N852" s="3"/>
      <c r="O852" s="3"/>
      <c r="P852" s="3"/>
      <c r="Q852" s="196"/>
      <c r="R852" s="3"/>
      <c r="S852" s="202"/>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row>
    <row r="853" spans="1:51" ht="15.75" customHeight="1">
      <c r="A853" s="3"/>
      <c r="B853" s="3"/>
      <c r="C853" s="3"/>
      <c r="D853" s="3"/>
      <c r="E853" s="3"/>
      <c r="F853" s="3"/>
      <c r="G853" s="3"/>
      <c r="H853" s="202"/>
      <c r="I853" s="202"/>
      <c r="J853" s="3"/>
      <c r="K853" s="3"/>
      <c r="L853" s="3"/>
      <c r="M853" s="3"/>
      <c r="N853" s="3"/>
      <c r="O853" s="3"/>
      <c r="P853" s="3"/>
      <c r="Q853" s="196"/>
      <c r="R853" s="3"/>
      <c r="S853" s="202"/>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row>
    <row r="854" spans="1:51" ht="15.75" customHeight="1">
      <c r="A854" s="3"/>
      <c r="B854" s="3"/>
      <c r="C854" s="3"/>
      <c r="D854" s="3"/>
      <c r="E854" s="3"/>
      <c r="F854" s="3"/>
      <c r="G854" s="3"/>
      <c r="H854" s="202"/>
      <c r="I854" s="202"/>
      <c r="J854" s="3"/>
      <c r="K854" s="3"/>
      <c r="L854" s="3"/>
      <c r="M854" s="3"/>
      <c r="N854" s="3"/>
      <c r="O854" s="3"/>
      <c r="P854" s="3"/>
      <c r="Q854" s="196"/>
      <c r="R854" s="3"/>
      <c r="S854" s="202"/>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row>
    <row r="855" spans="1:51" ht="15.75" customHeight="1">
      <c r="A855" s="3"/>
      <c r="B855" s="3"/>
      <c r="C855" s="3"/>
      <c r="D855" s="3"/>
      <c r="E855" s="3"/>
      <c r="F855" s="3"/>
      <c r="G855" s="3"/>
      <c r="H855" s="202"/>
      <c r="I855" s="202"/>
      <c r="J855" s="3"/>
      <c r="K855" s="3"/>
      <c r="L855" s="3"/>
      <c r="M855" s="3"/>
      <c r="N855" s="3"/>
      <c r="O855" s="3"/>
      <c r="P855" s="3"/>
      <c r="Q855" s="196"/>
      <c r="R855" s="3"/>
      <c r="S855" s="202"/>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row>
    <row r="856" spans="1:51" ht="15.75" customHeight="1">
      <c r="A856" s="3"/>
      <c r="B856" s="3"/>
      <c r="C856" s="3"/>
      <c r="D856" s="3"/>
      <c r="E856" s="3"/>
      <c r="F856" s="3"/>
      <c r="G856" s="3"/>
      <c r="H856" s="202"/>
      <c r="I856" s="202"/>
      <c r="J856" s="3"/>
      <c r="K856" s="3"/>
      <c r="L856" s="3"/>
      <c r="M856" s="3"/>
      <c r="N856" s="3"/>
      <c r="O856" s="3"/>
      <c r="P856" s="3"/>
      <c r="Q856" s="196"/>
      <c r="R856" s="3"/>
      <c r="S856" s="202"/>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row>
    <row r="857" spans="1:51" ht="15.75" customHeight="1">
      <c r="A857" s="3"/>
      <c r="B857" s="3"/>
      <c r="C857" s="3"/>
      <c r="D857" s="3"/>
      <c r="E857" s="3"/>
      <c r="F857" s="3"/>
      <c r="G857" s="3"/>
      <c r="H857" s="202"/>
      <c r="I857" s="202"/>
      <c r="J857" s="3"/>
      <c r="K857" s="3"/>
      <c r="L857" s="3"/>
      <c r="M857" s="3"/>
      <c r="N857" s="3"/>
      <c r="O857" s="3"/>
      <c r="P857" s="3"/>
      <c r="Q857" s="196"/>
      <c r="R857" s="3"/>
      <c r="S857" s="202"/>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row>
    <row r="858" spans="1:51" ht="15.75" customHeight="1">
      <c r="A858" s="3"/>
      <c r="B858" s="3"/>
      <c r="C858" s="3"/>
      <c r="D858" s="3"/>
      <c r="E858" s="3"/>
      <c r="F858" s="3"/>
      <c r="G858" s="3"/>
      <c r="H858" s="202"/>
      <c r="I858" s="202"/>
      <c r="J858" s="3"/>
      <c r="K858" s="3"/>
      <c r="L858" s="3"/>
      <c r="M858" s="3"/>
      <c r="N858" s="3"/>
      <c r="O858" s="3"/>
      <c r="P858" s="3"/>
      <c r="Q858" s="196"/>
      <c r="R858" s="3"/>
      <c r="S858" s="202"/>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row>
    <row r="859" spans="1:51" ht="15.75" customHeight="1">
      <c r="A859" s="3"/>
      <c r="B859" s="3"/>
      <c r="C859" s="3"/>
      <c r="D859" s="3"/>
      <c r="E859" s="3"/>
      <c r="F859" s="3"/>
      <c r="G859" s="3"/>
      <c r="H859" s="202"/>
      <c r="I859" s="202"/>
      <c r="J859" s="3"/>
      <c r="K859" s="3"/>
      <c r="L859" s="3"/>
      <c r="M859" s="3"/>
      <c r="N859" s="3"/>
      <c r="O859" s="3"/>
      <c r="P859" s="3"/>
      <c r="Q859" s="196"/>
      <c r="R859" s="3"/>
      <c r="S859" s="202"/>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row>
    <row r="860" spans="1:51" ht="15.75" customHeight="1">
      <c r="A860" s="3"/>
      <c r="B860" s="3"/>
      <c r="C860" s="3"/>
      <c r="D860" s="3"/>
      <c r="E860" s="3"/>
      <c r="F860" s="3"/>
      <c r="G860" s="3"/>
      <c r="H860" s="202"/>
      <c r="I860" s="202"/>
      <c r="J860" s="3"/>
      <c r="K860" s="3"/>
      <c r="L860" s="3"/>
      <c r="M860" s="3"/>
      <c r="N860" s="3"/>
      <c r="O860" s="3"/>
      <c r="P860" s="3"/>
      <c r="Q860" s="196"/>
      <c r="R860" s="3"/>
      <c r="S860" s="202"/>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row>
    <row r="861" spans="1:51" ht="15.75" customHeight="1">
      <c r="A861" s="3"/>
      <c r="B861" s="3"/>
      <c r="C861" s="3"/>
      <c r="D861" s="3"/>
      <c r="E861" s="3"/>
      <c r="F861" s="3"/>
      <c r="G861" s="3"/>
      <c r="H861" s="202"/>
      <c r="I861" s="202"/>
      <c r="J861" s="3"/>
      <c r="K861" s="3"/>
      <c r="L861" s="3"/>
      <c r="M861" s="3"/>
      <c r="N861" s="3"/>
      <c r="O861" s="3"/>
      <c r="P861" s="3"/>
      <c r="Q861" s="196"/>
      <c r="R861" s="3"/>
      <c r="S861" s="202"/>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row>
    <row r="862" spans="1:51" ht="15.75" customHeight="1">
      <c r="A862" s="3"/>
      <c r="B862" s="3"/>
      <c r="C862" s="3"/>
      <c r="D862" s="3"/>
      <c r="E862" s="3"/>
      <c r="F862" s="3"/>
      <c r="G862" s="3"/>
      <c r="H862" s="202"/>
      <c r="I862" s="202"/>
      <c r="J862" s="3"/>
      <c r="K862" s="3"/>
      <c r="L862" s="3"/>
      <c r="M862" s="3"/>
      <c r="N862" s="3"/>
      <c r="O862" s="3"/>
      <c r="P862" s="3"/>
      <c r="Q862" s="196"/>
      <c r="R862" s="3"/>
      <c r="S862" s="202"/>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row>
    <row r="863" spans="1:51" ht="15.75" customHeight="1">
      <c r="A863" s="3"/>
      <c r="B863" s="3"/>
      <c r="C863" s="3"/>
      <c r="D863" s="3"/>
      <c r="E863" s="3"/>
      <c r="F863" s="3"/>
      <c r="G863" s="3"/>
      <c r="H863" s="202"/>
      <c r="I863" s="202"/>
      <c r="J863" s="3"/>
      <c r="K863" s="3"/>
      <c r="L863" s="3"/>
      <c r="M863" s="3"/>
      <c r="N863" s="3"/>
      <c r="O863" s="3"/>
      <c r="P863" s="3"/>
      <c r="Q863" s="196"/>
      <c r="R863" s="3"/>
      <c r="S863" s="202"/>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row>
    <row r="864" spans="1:51" ht="15.75" customHeight="1">
      <c r="A864" s="3"/>
      <c r="B864" s="3"/>
      <c r="C864" s="3"/>
      <c r="D864" s="3"/>
      <c r="E864" s="3"/>
      <c r="F864" s="3"/>
      <c r="G864" s="3"/>
      <c r="H864" s="202"/>
      <c r="I864" s="202"/>
      <c r="J864" s="3"/>
      <c r="K864" s="3"/>
      <c r="L864" s="3"/>
      <c r="M864" s="3"/>
      <c r="N864" s="3"/>
      <c r="O864" s="3"/>
      <c r="P864" s="3"/>
      <c r="Q864" s="196"/>
      <c r="R864" s="3"/>
      <c r="S864" s="202"/>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row>
    <row r="865" spans="1:51" ht="15.75" customHeight="1">
      <c r="A865" s="3"/>
      <c r="B865" s="3"/>
      <c r="C865" s="3"/>
      <c r="D865" s="3"/>
      <c r="E865" s="3"/>
      <c r="F865" s="3"/>
      <c r="G865" s="3"/>
      <c r="H865" s="202"/>
      <c r="I865" s="202"/>
      <c r="J865" s="3"/>
      <c r="K865" s="3"/>
      <c r="L865" s="3"/>
      <c r="M865" s="3"/>
      <c r="N865" s="3"/>
      <c r="O865" s="3"/>
      <c r="P865" s="3"/>
      <c r="Q865" s="196"/>
      <c r="R865" s="3"/>
      <c r="S865" s="202"/>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row>
    <row r="866" spans="1:51" ht="15.75" customHeight="1">
      <c r="A866" s="3"/>
      <c r="B866" s="3"/>
      <c r="C866" s="3"/>
      <c r="D866" s="3"/>
      <c r="E866" s="3"/>
      <c r="F866" s="3"/>
      <c r="G866" s="3"/>
      <c r="H866" s="202"/>
      <c r="I866" s="202"/>
      <c r="J866" s="3"/>
      <c r="K866" s="3"/>
      <c r="L866" s="3"/>
      <c r="M866" s="3"/>
      <c r="N866" s="3"/>
      <c r="O866" s="3"/>
      <c r="P866" s="3"/>
      <c r="Q866" s="196"/>
      <c r="R866" s="3"/>
      <c r="S866" s="202"/>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row>
    <row r="867" spans="1:51" ht="15.75" customHeight="1">
      <c r="A867" s="3"/>
      <c r="B867" s="3"/>
      <c r="C867" s="3"/>
      <c r="D867" s="3"/>
      <c r="E867" s="3"/>
      <c r="F867" s="3"/>
      <c r="G867" s="3"/>
      <c r="H867" s="202"/>
      <c r="I867" s="202"/>
      <c r="J867" s="3"/>
      <c r="K867" s="3"/>
      <c r="L867" s="3"/>
      <c r="M867" s="3"/>
      <c r="N867" s="3"/>
      <c r="O867" s="3"/>
      <c r="P867" s="3"/>
      <c r="Q867" s="196"/>
      <c r="R867" s="3"/>
      <c r="S867" s="202"/>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row>
    <row r="868" spans="1:51" ht="15.75" customHeight="1">
      <c r="A868" s="3"/>
      <c r="B868" s="3"/>
      <c r="C868" s="3"/>
      <c r="D868" s="3"/>
      <c r="E868" s="3"/>
      <c r="F868" s="3"/>
      <c r="G868" s="3"/>
      <c r="H868" s="202"/>
      <c r="I868" s="202"/>
      <c r="J868" s="3"/>
      <c r="K868" s="3"/>
      <c r="L868" s="3"/>
      <c r="M868" s="3"/>
      <c r="N868" s="3"/>
      <c r="O868" s="3"/>
      <c r="P868" s="3"/>
      <c r="Q868" s="196"/>
      <c r="R868" s="3"/>
      <c r="S868" s="202"/>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row>
    <row r="869" spans="1:51" ht="15.75" customHeight="1">
      <c r="A869" s="3"/>
      <c r="B869" s="3"/>
      <c r="C869" s="3"/>
      <c r="D869" s="3"/>
      <c r="E869" s="3"/>
      <c r="F869" s="3"/>
      <c r="G869" s="3"/>
      <c r="H869" s="202"/>
      <c r="I869" s="202"/>
      <c r="J869" s="3"/>
      <c r="K869" s="3"/>
      <c r="L869" s="3"/>
      <c r="M869" s="3"/>
      <c r="N869" s="3"/>
      <c r="O869" s="3"/>
      <c r="P869" s="3"/>
      <c r="Q869" s="196"/>
      <c r="R869" s="3"/>
      <c r="S869" s="202"/>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row>
    <row r="870" spans="1:51" ht="15.75" customHeight="1">
      <c r="A870" s="3"/>
      <c r="B870" s="3"/>
      <c r="C870" s="3"/>
      <c r="D870" s="3"/>
      <c r="E870" s="3"/>
      <c r="F870" s="3"/>
      <c r="G870" s="3"/>
      <c r="H870" s="202"/>
      <c r="I870" s="202"/>
      <c r="J870" s="3"/>
      <c r="K870" s="3"/>
      <c r="L870" s="3"/>
      <c r="M870" s="3"/>
      <c r="N870" s="3"/>
      <c r="O870" s="3"/>
      <c r="P870" s="3"/>
      <c r="Q870" s="196"/>
      <c r="R870" s="3"/>
      <c r="S870" s="202"/>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row>
    <row r="871" spans="1:51" ht="15.75" customHeight="1">
      <c r="A871" s="3"/>
      <c r="B871" s="3"/>
      <c r="C871" s="3"/>
      <c r="D871" s="3"/>
      <c r="E871" s="3"/>
      <c r="F871" s="3"/>
      <c r="G871" s="3"/>
      <c r="H871" s="202"/>
      <c r="I871" s="202"/>
      <c r="J871" s="3"/>
      <c r="K871" s="3"/>
      <c r="L871" s="3"/>
      <c r="M871" s="3"/>
      <c r="N871" s="3"/>
      <c r="O871" s="3"/>
      <c r="P871" s="3"/>
      <c r="Q871" s="196"/>
      <c r="R871" s="3"/>
      <c r="S871" s="202"/>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row>
    <row r="872" spans="1:51" ht="15.75" customHeight="1">
      <c r="A872" s="3"/>
      <c r="B872" s="3"/>
      <c r="C872" s="3"/>
      <c r="D872" s="3"/>
      <c r="E872" s="3"/>
      <c r="F872" s="3"/>
      <c r="G872" s="3"/>
      <c r="H872" s="202"/>
      <c r="I872" s="202"/>
      <c r="J872" s="3"/>
      <c r="K872" s="3"/>
      <c r="L872" s="3"/>
      <c r="M872" s="3"/>
      <c r="N872" s="3"/>
      <c r="O872" s="3"/>
      <c r="P872" s="3"/>
      <c r="Q872" s="196"/>
      <c r="R872" s="3"/>
      <c r="S872" s="202"/>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row>
    <row r="873" spans="1:51" ht="15.75" customHeight="1">
      <c r="A873" s="3"/>
      <c r="B873" s="3"/>
      <c r="C873" s="3"/>
      <c r="D873" s="3"/>
      <c r="E873" s="3"/>
      <c r="F873" s="3"/>
      <c r="G873" s="3"/>
      <c r="H873" s="202"/>
      <c r="I873" s="202"/>
      <c r="J873" s="3"/>
      <c r="K873" s="3"/>
      <c r="L873" s="3"/>
      <c r="M873" s="3"/>
      <c r="N873" s="3"/>
      <c r="O873" s="3"/>
      <c r="P873" s="3"/>
      <c r="Q873" s="196"/>
      <c r="R873" s="3"/>
      <c r="S873" s="202"/>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row>
    <row r="874" spans="1:51" ht="15.75" customHeight="1">
      <c r="A874" s="3"/>
      <c r="B874" s="3"/>
      <c r="C874" s="3"/>
      <c r="D874" s="3"/>
      <c r="E874" s="3"/>
      <c r="F874" s="3"/>
      <c r="G874" s="3"/>
      <c r="H874" s="202"/>
      <c r="I874" s="202"/>
      <c r="J874" s="3"/>
      <c r="K874" s="3"/>
      <c r="L874" s="3"/>
      <c r="M874" s="3"/>
      <c r="N874" s="3"/>
      <c r="O874" s="3"/>
      <c r="P874" s="3"/>
      <c r="Q874" s="196"/>
      <c r="R874" s="3"/>
      <c r="S874" s="202"/>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row>
    <row r="875" spans="1:51" ht="15.75" customHeight="1">
      <c r="A875" s="3"/>
      <c r="B875" s="3"/>
      <c r="C875" s="3"/>
      <c r="D875" s="3"/>
      <c r="E875" s="3"/>
      <c r="F875" s="3"/>
      <c r="G875" s="3"/>
      <c r="H875" s="202"/>
      <c r="I875" s="202"/>
      <c r="J875" s="3"/>
      <c r="K875" s="3"/>
      <c r="L875" s="3"/>
      <c r="M875" s="3"/>
      <c r="N875" s="3"/>
      <c r="O875" s="3"/>
      <c r="P875" s="3"/>
      <c r="Q875" s="196"/>
      <c r="R875" s="3"/>
      <c r="S875" s="202"/>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row>
    <row r="876" spans="1:51" ht="15.75" customHeight="1">
      <c r="A876" s="3"/>
      <c r="B876" s="3"/>
      <c r="C876" s="3"/>
      <c r="D876" s="3"/>
      <c r="E876" s="3"/>
      <c r="F876" s="3"/>
      <c r="G876" s="3"/>
      <c r="H876" s="202"/>
      <c r="I876" s="202"/>
      <c r="J876" s="3"/>
      <c r="K876" s="3"/>
      <c r="L876" s="3"/>
      <c r="M876" s="3"/>
      <c r="N876" s="3"/>
      <c r="O876" s="3"/>
      <c r="P876" s="3"/>
      <c r="Q876" s="196"/>
      <c r="R876" s="3"/>
      <c r="S876" s="202"/>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row>
    <row r="877" spans="1:51" ht="15.75" customHeight="1">
      <c r="A877" s="3"/>
      <c r="B877" s="3"/>
      <c r="C877" s="3"/>
      <c r="D877" s="3"/>
      <c r="E877" s="3"/>
      <c r="F877" s="3"/>
      <c r="G877" s="3"/>
      <c r="H877" s="202"/>
      <c r="I877" s="202"/>
      <c r="J877" s="3"/>
      <c r="K877" s="3"/>
      <c r="L877" s="3"/>
      <c r="M877" s="3"/>
      <c r="N877" s="3"/>
      <c r="O877" s="3"/>
      <c r="P877" s="3"/>
      <c r="Q877" s="196"/>
      <c r="R877" s="3"/>
      <c r="S877" s="202"/>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row>
    <row r="878" spans="1:51" ht="15.75" customHeight="1">
      <c r="A878" s="3"/>
      <c r="B878" s="3"/>
      <c r="C878" s="3"/>
      <c r="D878" s="3"/>
      <c r="E878" s="3"/>
      <c r="F878" s="3"/>
      <c r="G878" s="3"/>
      <c r="H878" s="202"/>
      <c r="I878" s="202"/>
      <c r="J878" s="3"/>
      <c r="K878" s="3"/>
      <c r="L878" s="3"/>
      <c r="M878" s="3"/>
      <c r="N878" s="3"/>
      <c r="O878" s="3"/>
      <c r="P878" s="3"/>
      <c r="Q878" s="196"/>
      <c r="R878" s="3"/>
      <c r="S878" s="202"/>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row>
    <row r="879" spans="1:51" ht="15.75" customHeight="1">
      <c r="A879" s="3"/>
      <c r="B879" s="3"/>
      <c r="C879" s="3"/>
      <c r="D879" s="3"/>
      <c r="E879" s="3"/>
      <c r="F879" s="3"/>
      <c r="G879" s="3"/>
      <c r="H879" s="202"/>
      <c r="I879" s="202"/>
      <c r="J879" s="3"/>
      <c r="K879" s="3"/>
      <c r="L879" s="3"/>
      <c r="M879" s="3"/>
      <c r="N879" s="3"/>
      <c r="O879" s="3"/>
      <c r="P879" s="3"/>
      <c r="Q879" s="196"/>
      <c r="R879" s="3"/>
      <c r="S879" s="202"/>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row>
    <row r="880" spans="1:51" ht="15.75" customHeight="1">
      <c r="A880" s="3"/>
      <c r="B880" s="3"/>
      <c r="C880" s="3"/>
      <c r="D880" s="3"/>
      <c r="E880" s="3"/>
      <c r="F880" s="3"/>
      <c r="G880" s="3"/>
      <c r="H880" s="202"/>
      <c r="I880" s="202"/>
      <c r="J880" s="3"/>
      <c r="K880" s="3"/>
      <c r="L880" s="3"/>
      <c r="M880" s="3"/>
      <c r="N880" s="3"/>
      <c r="O880" s="3"/>
      <c r="P880" s="3"/>
      <c r="Q880" s="196"/>
      <c r="R880" s="3"/>
      <c r="S880" s="202"/>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row>
    <row r="881" spans="1:51" ht="15.75" customHeight="1">
      <c r="A881" s="3"/>
      <c r="B881" s="3"/>
      <c r="C881" s="3"/>
      <c r="D881" s="3"/>
      <c r="E881" s="3"/>
      <c r="F881" s="3"/>
      <c r="G881" s="3"/>
      <c r="H881" s="202"/>
      <c r="I881" s="202"/>
      <c r="J881" s="3"/>
      <c r="K881" s="3"/>
      <c r="L881" s="3"/>
      <c r="M881" s="3"/>
      <c r="N881" s="3"/>
      <c r="O881" s="3"/>
      <c r="P881" s="3"/>
      <c r="Q881" s="196"/>
      <c r="R881" s="3"/>
      <c r="S881" s="202"/>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row>
    <row r="882" spans="1:51" ht="15.75" customHeight="1">
      <c r="A882" s="3"/>
      <c r="B882" s="3"/>
      <c r="C882" s="3"/>
      <c r="D882" s="3"/>
      <c r="E882" s="3"/>
      <c r="F882" s="3"/>
      <c r="G882" s="3"/>
      <c r="H882" s="202"/>
      <c r="I882" s="202"/>
      <c r="J882" s="3"/>
      <c r="K882" s="3"/>
      <c r="L882" s="3"/>
      <c r="M882" s="3"/>
      <c r="N882" s="3"/>
      <c r="O882" s="3"/>
      <c r="P882" s="3"/>
      <c r="Q882" s="196"/>
      <c r="R882" s="3"/>
      <c r="S882" s="202"/>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row>
    <row r="883" spans="1:51" ht="15.75" customHeight="1">
      <c r="A883" s="3"/>
      <c r="B883" s="3"/>
      <c r="C883" s="3"/>
      <c r="D883" s="3"/>
      <c r="E883" s="3"/>
      <c r="F883" s="3"/>
      <c r="G883" s="3"/>
      <c r="H883" s="202"/>
      <c r="I883" s="202"/>
      <c r="J883" s="3"/>
      <c r="K883" s="3"/>
      <c r="L883" s="3"/>
      <c r="M883" s="3"/>
      <c r="N883" s="3"/>
      <c r="O883" s="3"/>
      <c r="P883" s="3"/>
      <c r="Q883" s="196"/>
      <c r="R883" s="3"/>
      <c r="S883" s="202"/>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row>
    <row r="884" spans="1:51" ht="15.75" customHeight="1">
      <c r="A884" s="3"/>
      <c r="B884" s="3"/>
      <c r="C884" s="3"/>
      <c r="D884" s="3"/>
      <c r="E884" s="3"/>
      <c r="F884" s="3"/>
      <c r="G884" s="3"/>
      <c r="H884" s="202"/>
      <c r="I884" s="202"/>
      <c r="J884" s="3"/>
      <c r="K884" s="3"/>
      <c r="L884" s="3"/>
      <c r="M884" s="3"/>
      <c r="N884" s="3"/>
      <c r="O884" s="3"/>
      <c r="P884" s="3"/>
      <c r="Q884" s="196"/>
      <c r="R884" s="3"/>
      <c r="S884" s="202"/>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row>
    <row r="885" spans="1:51" ht="15.75" customHeight="1">
      <c r="A885" s="3"/>
      <c r="B885" s="3"/>
      <c r="C885" s="3"/>
      <c r="D885" s="3"/>
      <c r="E885" s="3"/>
      <c r="F885" s="3"/>
      <c r="G885" s="3"/>
      <c r="H885" s="202"/>
      <c r="I885" s="202"/>
      <c r="J885" s="3"/>
      <c r="K885" s="3"/>
      <c r="L885" s="3"/>
      <c r="M885" s="3"/>
      <c r="N885" s="3"/>
      <c r="O885" s="3"/>
      <c r="P885" s="3"/>
      <c r="Q885" s="196"/>
      <c r="R885" s="3"/>
      <c r="S885" s="202"/>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row>
    <row r="886" spans="1:51" ht="15.75" customHeight="1">
      <c r="A886" s="3"/>
      <c r="B886" s="3"/>
      <c r="C886" s="3"/>
      <c r="D886" s="3"/>
      <c r="E886" s="3"/>
      <c r="F886" s="3"/>
      <c r="G886" s="3"/>
      <c r="H886" s="202"/>
      <c r="I886" s="202"/>
      <c r="J886" s="3"/>
      <c r="K886" s="3"/>
      <c r="L886" s="3"/>
      <c r="M886" s="3"/>
      <c r="N886" s="3"/>
      <c r="O886" s="3"/>
      <c r="P886" s="3"/>
      <c r="Q886" s="196"/>
      <c r="R886" s="3"/>
      <c r="S886" s="202"/>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row>
    <row r="887" spans="1:51" ht="15.75" customHeight="1">
      <c r="A887" s="3"/>
      <c r="B887" s="3"/>
      <c r="C887" s="3"/>
      <c r="D887" s="3"/>
      <c r="E887" s="3"/>
      <c r="F887" s="3"/>
      <c r="G887" s="3"/>
      <c r="H887" s="202"/>
      <c r="I887" s="202"/>
      <c r="J887" s="3"/>
      <c r="K887" s="3"/>
      <c r="L887" s="3"/>
      <c r="M887" s="3"/>
      <c r="N887" s="3"/>
      <c r="O887" s="3"/>
      <c r="P887" s="3"/>
      <c r="Q887" s="196"/>
      <c r="R887" s="3"/>
      <c r="S887" s="202"/>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row>
    <row r="888" spans="1:51" ht="15.75" customHeight="1">
      <c r="A888" s="3"/>
      <c r="B888" s="3"/>
      <c r="C888" s="3"/>
      <c r="D888" s="3"/>
      <c r="E888" s="3"/>
      <c r="F888" s="3"/>
      <c r="G888" s="3"/>
      <c r="H888" s="202"/>
      <c r="I888" s="202"/>
      <c r="J888" s="3"/>
      <c r="K888" s="3"/>
      <c r="L888" s="3"/>
      <c r="M888" s="3"/>
      <c r="N888" s="3"/>
      <c r="O888" s="3"/>
      <c r="P888" s="3"/>
      <c r="Q888" s="196"/>
      <c r="R888" s="3"/>
      <c r="S888" s="202"/>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row>
    <row r="889" spans="1:51" ht="15.75" customHeight="1">
      <c r="A889" s="3"/>
      <c r="B889" s="3"/>
      <c r="C889" s="3"/>
      <c r="D889" s="3"/>
      <c r="E889" s="3"/>
      <c r="F889" s="3"/>
      <c r="G889" s="3"/>
      <c r="H889" s="202"/>
      <c r="I889" s="202"/>
      <c r="J889" s="3"/>
      <c r="K889" s="3"/>
      <c r="L889" s="3"/>
      <c r="M889" s="3"/>
      <c r="N889" s="3"/>
      <c r="O889" s="3"/>
      <c r="P889" s="3"/>
      <c r="Q889" s="196"/>
      <c r="R889" s="3"/>
      <c r="S889" s="202"/>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row>
    <row r="890" spans="1:51" ht="15.75" customHeight="1">
      <c r="A890" s="3"/>
      <c r="B890" s="3"/>
      <c r="C890" s="3"/>
      <c r="D890" s="3"/>
      <c r="E890" s="3"/>
      <c r="F890" s="3"/>
      <c r="G890" s="3"/>
      <c r="H890" s="202"/>
      <c r="I890" s="202"/>
      <c r="J890" s="3"/>
      <c r="K890" s="3"/>
      <c r="L890" s="3"/>
      <c r="M890" s="3"/>
      <c r="N890" s="3"/>
      <c r="O890" s="3"/>
      <c r="P890" s="3"/>
      <c r="Q890" s="196"/>
      <c r="R890" s="3"/>
      <c r="S890" s="202"/>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row>
    <row r="891" spans="1:51" ht="15.75" customHeight="1">
      <c r="A891" s="3"/>
      <c r="B891" s="3"/>
      <c r="C891" s="3"/>
      <c r="D891" s="3"/>
      <c r="E891" s="3"/>
      <c r="F891" s="3"/>
      <c r="G891" s="3"/>
      <c r="H891" s="202"/>
      <c r="I891" s="202"/>
      <c r="J891" s="3"/>
      <c r="K891" s="3"/>
      <c r="L891" s="3"/>
      <c r="M891" s="3"/>
      <c r="N891" s="3"/>
      <c r="O891" s="3"/>
      <c r="P891" s="3"/>
      <c r="Q891" s="196"/>
      <c r="R891" s="3"/>
      <c r="S891" s="202"/>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row>
    <row r="892" spans="1:51" ht="15.75" customHeight="1">
      <c r="A892" s="3"/>
      <c r="B892" s="3"/>
      <c r="C892" s="3"/>
      <c r="D892" s="3"/>
      <c r="E892" s="3"/>
      <c r="F892" s="3"/>
      <c r="G892" s="3"/>
      <c r="H892" s="202"/>
      <c r="I892" s="202"/>
      <c r="J892" s="3"/>
      <c r="K892" s="3"/>
      <c r="L892" s="3"/>
      <c r="M892" s="3"/>
      <c r="N892" s="3"/>
      <c r="O892" s="3"/>
      <c r="P892" s="3"/>
      <c r="Q892" s="196"/>
      <c r="R892" s="3"/>
      <c r="S892" s="202"/>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row>
    <row r="893" spans="1:51" ht="15.75" customHeight="1">
      <c r="A893" s="3"/>
      <c r="B893" s="3"/>
      <c r="C893" s="3"/>
      <c r="D893" s="3"/>
      <c r="E893" s="3"/>
      <c r="F893" s="3"/>
      <c r="G893" s="3"/>
      <c r="H893" s="202"/>
      <c r="I893" s="202"/>
      <c r="J893" s="3"/>
      <c r="K893" s="3"/>
      <c r="L893" s="3"/>
      <c r="M893" s="3"/>
      <c r="N893" s="3"/>
      <c r="O893" s="3"/>
      <c r="P893" s="3"/>
      <c r="Q893" s="196"/>
      <c r="R893" s="3"/>
      <c r="S893" s="202"/>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row>
    <row r="894" spans="1:51" ht="15.75" customHeight="1">
      <c r="A894" s="3"/>
      <c r="B894" s="3"/>
      <c r="C894" s="3"/>
      <c r="D894" s="3"/>
      <c r="E894" s="3"/>
      <c r="F894" s="3"/>
      <c r="G894" s="3"/>
      <c r="H894" s="202"/>
      <c r="I894" s="202"/>
      <c r="J894" s="3"/>
      <c r="K894" s="3"/>
      <c r="L894" s="3"/>
      <c r="M894" s="3"/>
      <c r="N894" s="3"/>
      <c r="O894" s="3"/>
      <c r="P894" s="3"/>
      <c r="Q894" s="196"/>
      <c r="R894" s="3"/>
      <c r="S894" s="202"/>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row>
    <row r="895" spans="1:51" ht="15.75" customHeight="1">
      <c r="A895" s="3"/>
      <c r="B895" s="3"/>
      <c r="C895" s="3"/>
      <c r="D895" s="3"/>
      <c r="E895" s="3"/>
      <c r="F895" s="3"/>
      <c r="G895" s="3"/>
      <c r="H895" s="202"/>
      <c r="I895" s="202"/>
      <c r="J895" s="3"/>
      <c r="K895" s="3"/>
      <c r="L895" s="3"/>
      <c r="M895" s="3"/>
      <c r="N895" s="3"/>
      <c r="O895" s="3"/>
      <c r="P895" s="3"/>
      <c r="Q895" s="196"/>
      <c r="R895" s="3"/>
      <c r="S895" s="202"/>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row>
    <row r="896" spans="1:51" ht="15.75" customHeight="1">
      <c r="A896" s="3"/>
      <c r="B896" s="3"/>
      <c r="C896" s="3"/>
      <c r="D896" s="3"/>
      <c r="E896" s="3"/>
      <c r="F896" s="3"/>
      <c r="G896" s="3"/>
      <c r="H896" s="202"/>
      <c r="I896" s="202"/>
      <c r="J896" s="3"/>
      <c r="K896" s="3"/>
      <c r="L896" s="3"/>
      <c r="M896" s="3"/>
      <c r="N896" s="3"/>
      <c r="O896" s="3"/>
      <c r="P896" s="3"/>
      <c r="Q896" s="196"/>
      <c r="R896" s="3"/>
      <c r="S896" s="202"/>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row>
    <row r="897" spans="1:51" ht="15.75" customHeight="1">
      <c r="A897" s="3"/>
      <c r="B897" s="3"/>
      <c r="C897" s="3"/>
      <c r="D897" s="3"/>
      <c r="E897" s="3"/>
      <c r="F897" s="3"/>
      <c r="G897" s="3"/>
      <c r="H897" s="202"/>
      <c r="I897" s="202"/>
      <c r="J897" s="3"/>
      <c r="K897" s="3"/>
      <c r="L897" s="3"/>
      <c r="M897" s="3"/>
      <c r="N897" s="3"/>
      <c r="O897" s="3"/>
      <c r="P897" s="3"/>
      <c r="Q897" s="196"/>
      <c r="R897" s="3"/>
      <c r="S897" s="202"/>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row>
    <row r="898" spans="1:51" ht="15.75" customHeight="1">
      <c r="A898" s="3"/>
      <c r="B898" s="3"/>
      <c r="C898" s="3"/>
      <c r="D898" s="3"/>
      <c r="E898" s="3"/>
      <c r="F898" s="3"/>
      <c r="G898" s="3"/>
      <c r="H898" s="202"/>
      <c r="I898" s="202"/>
      <c r="J898" s="3"/>
      <c r="K898" s="3"/>
      <c r="L898" s="3"/>
      <c r="M898" s="3"/>
      <c r="N898" s="3"/>
      <c r="O898" s="3"/>
      <c r="P898" s="3"/>
      <c r="Q898" s="196"/>
      <c r="R898" s="3"/>
      <c r="S898" s="202"/>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row>
    <row r="899" spans="1:51" ht="15.75" customHeight="1">
      <c r="A899" s="3"/>
      <c r="B899" s="3"/>
      <c r="C899" s="3"/>
      <c r="D899" s="3"/>
      <c r="E899" s="3"/>
      <c r="F899" s="3"/>
      <c r="G899" s="3"/>
      <c r="H899" s="202"/>
      <c r="I899" s="202"/>
      <c r="J899" s="3"/>
      <c r="K899" s="3"/>
      <c r="L899" s="3"/>
      <c r="M899" s="3"/>
      <c r="N899" s="3"/>
      <c r="O899" s="3"/>
      <c r="P899" s="3"/>
      <c r="Q899" s="196"/>
      <c r="R899" s="3"/>
      <c r="S899" s="202"/>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row>
    <row r="900" spans="1:51" ht="15.75" customHeight="1">
      <c r="A900" s="3"/>
      <c r="B900" s="3"/>
      <c r="C900" s="3"/>
      <c r="D900" s="3"/>
      <c r="E900" s="3"/>
      <c r="F900" s="3"/>
      <c r="G900" s="3"/>
      <c r="H900" s="202"/>
      <c r="I900" s="202"/>
      <c r="J900" s="3"/>
      <c r="K900" s="3"/>
      <c r="L900" s="3"/>
      <c r="M900" s="3"/>
      <c r="N900" s="3"/>
      <c r="O900" s="3"/>
      <c r="P900" s="3"/>
      <c r="Q900" s="196"/>
      <c r="R900" s="3"/>
      <c r="S900" s="202"/>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row>
    <row r="901" spans="1:51" ht="15.75" customHeight="1">
      <c r="A901" s="3"/>
      <c r="B901" s="3"/>
      <c r="C901" s="3"/>
      <c r="D901" s="3"/>
      <c r="E901" s="3"/>
      <c r="F901" s="3"/>
      <c r="G901" s="3"/>
      <c r="H901" s="202"/>
      <c r="I901" s="202"/>
      <c r="J901" s="3"/>
      <c r="K901" s="3"/>
      <c r="L901" s="3"/>
      <c r="M901" s="3"/>
      <c r="N901" s="3"/>
      <c r="O901" s="3"/>
      <c r="P901" s="3"/>
      <c r="Q901" s="196"/>
      <c r="R901" s="3"/>
      <c r="S901" s="202"/>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row>
    <row r="902" spans="1:51" ht="15.75" customHeight="1">
      <c r="A902" s="3"/>
      <c r="B902" s="3"/>
      <c r="C902" s="3"/>
      <c r="D902" s="3"/>
      <c r="E902" s="3"/>
      <c r="F902" s="3"/>
      <c r="G902" s="3"/>
      <c r="H902" s="202"/>
      <c r="I902" s="202"/>
      <c r="J902" s="3"/>
      <c r="K902" s="3"/>
      <c r="L902" s="3"/>
      <c r="M902" s="3"/>
      <c r="N902" s="3"/>
      <c r="O902" s="3"/>
      <c r="P902" s="3"/>
      <c r="Q902" s="196"/>
      <c r="R902" s="3"/>
      <c r="S902" s="202"/>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row>
    <row r="903" spans="1:51" ht="15.75" customHeight="1">
      <c r="A903" s="3"/>
      <c r="B903" s="3"/>
      <c r="C903" s="3"/>
      <c r="D903" s="3"/>
      <c r="E903" s="3"/>
      <c r="F903" s="3"/>
      <c r="G903" s="3"/>
      <c r="H903" s="202"/>
      <c r="I903" s="202"/>
      <c r="J903" s="3"/>
      <c r="K903" s="3"/>
      <c r="L903" s="3"/>
      <c r="M903" s="3"/>
      <c r="N903" s="3"/>
      <c r="O903" s="3"/>
      <c r="P903" s="3"/>
      <c r="Q903" s="196"/>
      <c r="R903" s="3"/>
      <c r="S903" s="202"/>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row>
    <row r="904" spans="1:51" ht="15.75" customHeight="1">
      <c r="A904" s="3"/>
      <c r="B904" s="3"/>
      <c r="C904" s="3"/>
      <c r="D904" s="3"/>
      <c r="E904" s="3"/>
      <c r="F904" s="3"/>
      <c r="G904" s="3"/>
      <c r="H904" s="202"/>
      <c r="I904" s="202"/>
      <c r="J904" s="3"/>
      <c r="K904" s="3"/>
      <c r="L904" s="3"/>
      <c r="M904" s="3"/>
      <c r="N904" s="3"/>
      <c r="O904" s="3"/>
      <c r="P904" s="3"/>
      <c r="Q904" s="196"/>
      <c r="R904" s="3"/>
      <c r="S904" s="202"/>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row>
    <row r="905" spans="1:51" ht="15.75" customHeight="1">
      <c r="A905" s="3"/>
      <c r="B905" s="3"/>
      <c r="C905" s="3"/>
      <c r="D905" s="3"/>
      <c r="E905" s="3"/>
      <c r="F905" s="3"/>
      <c r="G905" s="3"/>
      <c r="H905" s="202"/>
      <c r="I905" s="202"/>
      <c r="J905" s="3"/>
      <c r="K905" s="3"/>
      <c r="L905" s="3"/>
      <c r="M905" s="3"/>
      <c r="N905" s="3"/>
      <c r="O905" s="3"/>
      <c r="P905" s="3"/>
      <c r="Q905" s="196"/>
      <c r="R905" s="3"/>
      <c r="S905" s="202"/>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row>
    <row r="906" spans="1:51" ht="15.75" customHeight="1">
      <c r="A906" s="3"/>
      <c r="B906" s="3"/>
      <c r="C906" s="3"/>
      <c r="D906" s="3"/>
      <c r="E906" s="3"/>
      <c r="F906" s="3"/>
      <c r="G906" s="3"/>
      <c r="H906" s="202"/>
      <c r="I906" s="202"/>
      <c r="J906" s="3"/>
      <c r="K906" s="3"/>
      <c r="L906" s="3"/>
      <c r="M906" s="3"/>
      <c r="N906" s="3"/>
      <c r="O906" s="3"/>
      <c r="P906" s="3"/>
      <c r="Q906" s="196"/>
      <c r="R906" s="3"/>
      <c r="S906" s="202"/>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row>
    <row r="907" spans="1:51" ht="15.75" customHeight="1">
      <c r="A907" s="3"/>
      <c r="B907" s="3"/>
      <c r="C907" s="3"/>
      <c r="D907" s="3"/>
      <c r="E907" s="3"/>
      <c r="F907" s="3"/>
      <c r="G907" s="3"/>
      <c r="H907" s="202"/>
      <c r="I907" s="202"/>
      <c r="J907" s="3"/>
      <c r="K907" s="3"/>
      <c r="L907" s="3"/>
      <c r="M907" s="3"/>
      <c r="N907" s="3"/>
      <c r="O907" s="3"/>
      <c r="P907" s="3"/>
      <c r="Q907" s="196"/>
      <c r="R907" s="3"/>
      <c r="S907" s="202"/>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row>
    <row r="908" spans="1:51" ht="15.75" customHeight="1">
      <c r="A908" s="3"/>
      <c r="B908" s="3"/>
      <c r="C908" s="3"/>
      <c r="D908" s="3"/>
      <c r="E908" s="3"/>
      <c r="F908" s="3"/>
      <c r="G908" s="3"/>
      <c r="H908" s="202"/>
      <c r="I908" s="202"/>
      <c r="J908" s="3"/>
      <c r="K908" s="3"/>
      <c r="L908" s="3"/>
      <c r="M908" s="3"/>
      <c r="N908" s="3"/>
      <c r="O908" s="3"/>
      <c r="P908" s="3"/>
      <c r="Q908" s="196"/>
      <c r="R908" s="3"/>
      <c r="S908" s="202"/>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row>
    <row r="909" spans="1:51" ht="15.75" customHeight="1">
      <c r="A909" s="3"/>
      <c r="B909" s="3"/>
      <c r="C909" s="3"/>
      <c r="D909" s="3"/>
      <c r="E909" s="3"/>
      <c r="F909" s="3"/>
      <c r="G909" s="3"/>
      <c r="H909" s="202"/>
      <c r="I909" s="202"/>
      <c r="J909" s="3"/>
      <c r="K909" s="3"/>
      <c r="L909" s="3"/>
      <c r="M909" s="3"/>
      <c r="N909" s="3"/>
      <c r="O909" s="3"/>
      <c r="P909" s="3"/>
      <c r="Q909" s="196"/>
      <c r="R909" s="3"/>
      <c r="S909" s="202"/>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row>
    <row r="910" spans="1:51" ht="15.75" customHeight="1">
      <c r="A910" s="3"/>
      <c r="B910" s="3"/>
      <c r="C910" s="3"/>
      <c r="D910" s="3"/>
      <c r="E910" s="3"/>
      <c r="F910" s="3"/>
      <c r="G910" s="3"/>
      <c r="H910" s="202"/>
      <c r="I910" s="202"/>
      <c r="J910" s="3"/>
      <c r="K910" s="3"/>
      <c r="L910" s="3"/>
      <c r="M910" s="3"/>
      <c r="N910" s="3"/>
      <c r="O910" s="3"/>
      <c r="P910" s="3"/>
      <c r="Q910" s="196"/>
      <c r="R910" s="3"/>
      <c r="S910" s="202"/>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row>
    <row r="911" spans="1:51" ht="15.75" customHeight="1">
      <c r="A911" s="3"/>
      <c r="B911" s="3"/>
      <c r="C911" s="3"/>
      <c r="D911" s="3"/>
      <c r="E911" s="3"/>
      <c r="F911" s="3"/>
      <c r="G911" s="3"/>
      <c r="H911" s="202"/>
      <c r="I911" s="202"/>
      <c r="J911" s="3"/>
      <c r="K911" s="3"/>
      <c r="L911" s="3"/>
      <c r="M911" s="3"/>
      <c r="N911" s="3"/>
      <c r="O911" s="3"/>
      <c r="P911" s="3"/>
      <c r="Q911" s="196"/>
      <c r="R911" s="3"/>
      <c r="S911" s="202"/>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row>
    <row r="912" spans="1:51" ht="15.75" customHeight="1">
      <c r="A912" s="3"/>
      <c r="B912" s="3"/>
      <c r="C912" s="3"/>
      <c r="D912" s="3"/>
      <c r="E912" s="3"/>
      <c r="F912" s="3"/>
      <c r="G912" s="3"/>
      <c r="H912" s="202"/>
      <c r="I912" s="202"/>
      <c r="J912" s="3"/>
      <c r="K912" s="3"/>
      <c r="L912" s="3"/>
      <c r="M912" s="3"/>
      <c r="N912" s="3"/>
      <c r="O912" s="3"/>
      <c r="P912" s="3"/>
      <c r="Q912" s="196"/>
      <c r="R912" s="3"/>
      <c r="S912" s="202"/>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row>
    <row r="913" spans="1:51" ht="15.75" customHeight="1">
      <c r="A913" s="3"/>
      <c r="B913" s="3"/>
      <c r="C913" s="3"/>
      <c r="D913" s="3"/>
      <c r="E913" s="3"/>
      <c r="F913" s="3"/>
      <c r="G913" s="3"/>
      <c r="H913" s="202"/>
      <c r="I913" s="202"/>
      <c r="J913" s="3"/>
      <c r="K913" s="3"/>
      <c r="L913" s="3"/>
      <c r="M913" s="3"/>
      <c r="N913" s="3"/>
      <c r="O913" s="3"/>
      <c r="P913" s="3"/>
      <c r="Q913" s="196"/>
      <c r="R913" s="3"/>
      <c r="S913" s="202"/>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row>
    <row r="914" spans="1:51" ht="15.75" customHeight="1">
      <c r="A914" s="3"/>
      <c r="B914" s="3"/>
      <c r="C914" s="3"/>
      <c r="D914" s="3"/>
      <c r="E914" s="3"/>
      <c r="F914" s="3"/>
      <c r="G914" s="3"/>
      <c r="H914" s="202"/>
      <c r="I914" s="202"/>
      <c r="J914" s="3"/>
      <c r="K914" s="3"/>
      <c r="L914" s="3"/>
      <c r="M914" s="3"/>
      <c r="N914" s="3"/>
      <c r="O914" s="3"/>
      <c r="P914" s="3"/>
      <c r="Q914" s="196"/>
      <c r="R914" s="3"/>
      <c r="S914" s="202"/>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row>
    <row r="915" spans="1:51" ht="15.75" customHeight="1">
      <c r="A915" s="3"/>
      <c r="B915" s="3"/>
      <c r="C915" s="3"/>
      <c r="D915" s="3"/>
      <c r="E915" s="3"/>
      <c r="F915" s="3"/>
      <c r="G915" s="3"/>
      <c r="H915" s="202"/>
      <c r="I915" s="202"/>
      <c r="J915" s="3"/>
      <c r="K915" s="3"/>
      <c r="L915" s="3"/>
      <c r="M915" s="3"/>
      <c r="N915" s="3"/>
      <c r="O915" s="3"/>
      <c r="P915" s="3"/>
      <c r="Q915" s="196"/>
      <c r="R915" s="3"/>
      <c r="S915" s="202"/>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row>
    <row r="916" spans="1:51" ht="15.75" customHeight="1">
      <c r="A916" s="3"/>
      <c r="B916" s="3"/>
      <c r="C916" s="3"/>
      <c r="D916" s="3"/>
      <c r="E916" s="3"/>
      <c r="F916" s="3"/>
      <c r="G916" s="3"/>
      <c r="H916" s="202"/>
      <c r="I916" s="202"/>
      <c r="J916" s="3"/>
      <c r="K916" s="3"/>
      <c r="L916" s="3"/>
      <c r="M916" s="3"/>
      <c r="N916" s="3"/>
      <c r="O916" s="3"/>
      <c r="P916" s="3"/>
      <c r="Q916" s="196"/>
      <c r="R916" s="3"/>
      <c r="S916" s="202"/>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row>
    <row r="917" spans="1:51" ht="15.75" customHeight="1">
      <c r="A917" s="3"/>
      <c r="B917" s="3"/>
      <c r="C917" s="3"/>
      <c r="D917" s="3"/>
      <c r="E917" s="3"/>
      <c r="F917" s="3"/>
      <c r="G917" s="3"/>
      <c r="H917" s="202"/>
      <c r="I917" s="202"/>
      <c r="J917" s="3"/>
      <c r="K917" s="3"/>
      <c r="L917" s="3"/>
      <c r="M917" s="3"/>
      <c r="N917" s="3"/>
      <c r="O917" s="3"/>
      <c r="P917" s="3"/>
      <c r="Q917" s="196"/>
      <c r="R917" s="3"/>
      <c r="S917" s="202"/>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row>
    <row r="918" spans="1:51" ht="15.75" customHeight="1">
      <c r="A918" s="3"/>
      <c r="B918" s="3"/>
      <c r="C918" s="3"/>
      <c r="D918" s="3"/>
      <c r="E918" s="3"/>
      <c r="F918" s="3"/>
      <c r="G918" s="3"/>
      <c r="H918" s="202"/>
      <c r="I918" s="202"/>
      <c r="J918" s="3"/>
      <c r="K918" s="3"/>
      <c r="L918" s="3"/>
      <c r="M918" s="3"/>
      <c r="N918" s="3"/>
      <c r="O918" s="3"/>
      <c r="P918" s="3"/>
      <c r="Q918" s="196"/>
      <c r="R918" s="3"/>
      <c r="S918" s="202"/>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row>
    <row r="919" spans="1:51" ht="15.75" customHeight="1">
      <c r="A919" s="3"/>
      <c r="B919" s="3"/>
      <c r="C919" s="3"/>
      <c r="D919" s="3"/>
      <c r="E919" s="3"/>
      <c r="F919" s="3"/>
      <c r="G919" s="3"/>
      <c r="H919" s="202"/>
      <c r="I919" s="202"/>
      <c r="J919" s="3"/>
      <c r="K919" s="3"/>
      <c r="L919" s="3"/>
      <c r="M919" s="3"/>
      <c r="N919" s="3"/>
      <c r="O919" s="3"/>
      <c r="P919" s="3"/>
      <c r="Q919" s="196"/>
      <c r="R919" s="3"/>
      <c r="S919" s="202"/>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row>
    <row r="920" spans="1:51" ht="15.75" customHeight="1">
      <c r="A920" s="3"/>
      <c r="B920" s="3"/>
      <c r="C920" s="3"/>
      <c r="D920" s="3"/>
      <c r="E920" s="3"/>
      <c r="F920" s="3"/>
      <c r="G920" s="3"/>
      <c r="H920" s="202"/>
      <c r="I920" s="202"/>
      <c r="J920" s="3"/>
      <c r="K920" s="3"/>
      <c r="L920" s="3"/>
      <c r="M920" s="3"/>
      <c r="N920" s="3"/>
      <c r="O920" s="3"/>
      <c r="P920" s="3"/>
      <c r="Q920" s="196"/>
      <c r="R920" s="3"/>
      <c r="S920" s="202"/>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row>
    <row r="921" spans="1:51" ht="15.75" customHeight="1">
      <c r="A921" s="3"/>
      <c r="B921" s="3"/>
      <c r="C921" s="3"/>
      <c r="D921" s="3"/>
      <c r="E921" s="3"/>
      <c r="F921" s="3"/>
      <c r="G921" s="3"/>
      <c r="H921" s="202"/>
      <c r="I921" s="202"/>
      <c r="J921" s="3"/>
      <c r="K921" s="3"/>
      <c r="L921" s="3"/>
      <c r="M921" s="3"/>
      <c r="N921" s="3"/>
      <c r="O921" s="3"/>
      <c r="P921" s="3"/>
      <c r="Q921" s="196"/>
      <c r="R921" s="3"/>
      <c r="S921" s="202"/>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row>
    <row r="922" spans="1:51" ht="15.75" customHeight="1">
      <c r="A922" s="3"/>
      <c r="B922" s="3"/>
      <c r="C922" s="3"/>
      <c r="D922" s="3"/>
      <c r="E922" s="3"/>
      <c r="F922" s="3"/>
      <c r="G922" s="3"/>
      <c r="H922" s="202"/>
      <c r="I922" s="202"/>
      <c r="J922" s="3"/>
      <c r="K922" s="3"/>
      <c r="L922" s="3"/>
      <c r="M922" s="3"/>
      <c r="N922" s="3"/>
      <c r="O922" s="3"/>
      <c r="P922" s="3"/>
      <c r="Q922" s="196"/>
      <c r="R922" s="3"/>
      <c r="S922" s="202"/>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row>
    <row r="923" spans="1:51" ht="15.75" customHeight="1">
      <c r="A923" s="3"/>
      <c r="B923" s="3"/>
      <c r="C923" s="3"/>
      <c r="D923" s="3"/>
      <c r="E923" s="3"/>
      <c r="F923" s="3"/>
      <c r="G923" s="3"/>
      <c r="H923" s="202"/>
      <c r="I923" s="202"/>
      <c r="J923" s="3"/>
      <c r="K923" s="3"/>
      <c r="L923" s="3"/>
      <c r="M923" s="3"/>
      <c r="N923" s="3"/>
      <c r="O923" s="3"/>
      <c r="P923" s="3"/>
      <c r="Q923" s="196"/>
      <c r="R923" s="3"/>
      <c r="S923" s="202"/>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row>
    <row r="924" spans="1:51" ht="15.75" customHeight="1">
      <c r="A924" s="3"/>
      <c r="B924" s="3"/>
      <c r="C924" s="3"/>
      <c r="D924" s="3"/>
      <c r="E924" s="3"/>
      <c r="F924" s="3"/>
      <c r="G924" s="3"/>
      <c r="H924" s="202"/>
      <c r="I924" s="202"/>
      <c r="J924" s="3"/>
      <c r="K924" s="3"/>
      <c r="L924" s="3"/>
      <c r="M924" s="3"/>
      <c r="N924" s="3"/>
      <c r="O924" s="3"/>
      <c r="P924" s="3"/>
      <c r="Q924" s="196"/>
      <c r="R924" s="3"/>
      <c r="S924" s="202"/>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row>
    <row r="925" spans="1:51" ht="15.75" customHeight="1">
      <c r="A925" s="3"/>
      <c r="B925" s="3"/>
      <c r="C925" s="3"/>
      <c r="D925" s="3"/>
      <c r="E925" s="3"/>
      <c r="F925" s="3"/>
      <c r="G925" s="3"/>
      <c r="H925" s="202"/>
      <c r="I925" s="202"/>
      <c r="J925" s="3"/>
      <c r="K925" s="3"/>
      <c r="L925" s="3"/>
      <c r="M925" s="3"/>
      <c r="N925" s="3"/>
      <c r="O925" s="3"/>
      <c r="P925" s="3"/>
      <c r="Q925" s="196"/>
      <c r="R925" s="3"/>
      <c r="S925" s="202"/>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row>
    <row r="926" spans="1:51" ht="15.75" customHeight="1">
      <c r="A926" s="3"/>
      <c r="B926" s="3"/>
      <c r="C926" s="3"/>
      <c r="D926" s="3"/>
      <c r="E926" s="3"/>
      <c r="F926" s="3"/>
      <c r="G926" s="3"/>
      <c r="H926" s="202"/>
      <c r="I926" s="202"/>
      <c r="J926" s="3"/>
      <c r="K926" s="3"/>
      <c r="L926" s="3"/>
      <c r="M926" s="3"/>
      <c r="N926" s="3"/>
      <c r="O926" s="3"/>
      <c r="P926" s="3"/>
      <c r="Q926" s="196"/>
      <c r="R926" s="3"/>
      <c r="S926" s="202"/>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row>
    <row r="927" spans="1:51" ht="15.75" customHeight="1">
      <c r="A927" s="3"/>
      <c r="B927" s="3"/>
      <c r="C927" s="3"/>
      <c r="D927" s="3"/>
      <c r="E927" s="3"/>
      <c r="F927" s="3"/>
      <c r="G927" s="3"/>
      <c r="H927" s="202"/>
      <c r="I927" s="202"/>
      <c r="J927" s="3"/>
      <c r="K927" s="3"/>
      <c r="L927" s="3"/>
      <c r="M927" s="3"/>
      <c r="N927" s="3"/>
      <c r="O927" s="3"/>
      <c r="P927" s="3"/>
      <c r="Q927" s="196"/>
      <c r="R927" s="3"/>
      <c r="S927" s="202"/>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row>
    <row r="928" spans="1:51" ht="15.75" customHeight="1">
      <c r="A928" s="3"/>
      <c r="B928" s="3"/>
      <c r="C928" s="3"/>
      <c r="D928" s="3"/>
      <c r="E928" s="3"/>
      <c r="F928" s="3"/>
      <c r="G928" s="3"/>
      <c r="H928" s="202"/>
      <c r="I928" s="202"/>
      <c r="J928" s="3"/>
      <c r="K928" s="3"/>
      <c r="L928" s="3"/>
      <c r="M928" s="3"/>
      <c r="N928" s="3"/>
      <c r="O928" s="3"/>
      <c r="P928" s="3"/>
      <c r="Q928" s="196"/>
      <c r="R928" s="3"/>
      <c r="S928" s="202"/>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row>
    <row r="929" spans="1:51" ht="15.75" customHeight="1">
      <c r="A929" s="3"/>
      <c r="B929" s="3"/>
      <c r="C929" s="3"/>
      <c r="D929" s="3"/>
      <c r="E929" s="3"/>
      <c r="F929" s="3"/>
      <c r="G929" s="3"/>
      <c r="H929" s="202"/>
      <c r="I929" s="202"/>
      <c r="J929" s="3"/>
      <c r="K929" s="3"/>
      <c r="L929" s="3"/>
      <c r="M929" s="3"/>
      <c r="N929" s="3"/>
      <c r="O929" s="3"/>
      <c r="P929" s="3"/>
      <c r="Q929" s="196"/>
      <c r="R929" s="3"/>
      <c r="S929" s="202"/>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row>
    <row r="930" spans="1:51" ht="15.75" customHeight="1">
      <c r="A930" s="3"/>
      <c r="B930" s="3"/>
      <c r="C930" s="3"/>
      <c r="D930" s="3"/>
      <c r="E930" s="3"/>
      <c r="F930" s="3"/>
      <c r="G930" s="3"/>
      <c r="H930" s="202"/>
      <c r="I930" s="202"/>
      <c r="J930" s="3"/>
      <c r="K930" s="3"/>
      <c r="L930" s="3"/>
      <c r="M930" s="3"/>
      <c r="N930" s="3"/>
      <c r="O930" s="3"/>
      <c r="P930" s="3"/>
      <c r="Q930" s="196"/>
      <c r="R930" s="3"/>
      <c r="S930" s="202"/>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row>
    <row r="931" spans="1:51" ht="15.75" customHeight="1">
      <c r="A931" s="3"/>
      <c r="B931" s="3"/>
      <c r="C931" s="3"/>
      <c r="D931" s="3"/>
      <c r="E931" s="3"/>
      <c r="F931" s="3"/>
      <c r="G931" s="3"/>
      <c r="H931" s="202"/>
      <c r="I931" s="202"/>
      <c r="J931" s="3"/>
      <c r="K931" s="3"/>
      <c r="L931" s="3"/>
      <c r="M931" s="3"/>
      <c r="N931" s="3"/>
      <c r="O931" s="3"/>
      <c r="P931" s="3"/>
      <c r="Q931" s="196"/>
      <c r="R931" s="3"/>
      <c r="S931" s="202"/>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row>
    <row r="932" spans="1:51" ht="15.75" customHeight="1">
      <c r="A932" s="3"/>
      <c r="B932" s="3"/>
      <c r="C932" s="3"/>
      <c r="D932" s="3"/>
      <c r="E932" s="3"/>
      <c r="F932" s="3"/>
      <c r="G932" s="3"/>
      <c r="H932" s="202"/>
      <c r="I932" s="202"/>
      <c r="J932" s="3"/>
      <c r="K932" s="3"/>
      <c r="L932" s="3"/>
      <c r="M932" s="3"/>
      <c r="N932" s="3"/>
      <c r="O932" s="3"/>
      <c r="P932" s="3"/>
      <c r="Q932" s="196"/>
      <c r="R932" s="3"/>
      <c r="S932" s="202"/>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row>
    <row r="933" spans="1:51" ht="15.75" customHeight="1">
      <c r="A933" s="3"/>
      <c r="B933" s="3"/>
      <c r="C933" s="3"/>
      <c r="D933" s="3"/>
      <c r="E933" s="3"/>
      <c r="F933" s="3"/>
      <c r="G933" s="3"/>
      <c r="H933" s="202"/>
      <c r="I933" s="202"/>
      <c r="J933" s="3"/>
      <c r="K933" s="3"/>
      <c r="L933" s="3"/>
      <c r="M933" s="3"/>
      <c r="N933" s="3"/>
      <c r="O933" s="3"/>
      <c r="P933" s="3"/>
      <c r="Q933" s="196"/>
      <c r="R933" s="3"/>
      <c r="S933" s="202"/>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row>
    <row r="934" spans="1:51" ht="15.75" customHeight="1">
      <c r="A934" s="3"/>
      <c r="B934" s="3"/>
      <c r="C934" s="3"/>
      <c r="D934" s="3"/>
      <c r="E934" s="3"/>
      <c r="F934" s="3"/>
      <c r="G934" s="3"/>
      <c r="H934" s="202"/>
      <c r="I934" s="202"/>
      <c r="J934" s="3"/>
      <c r="K934" s="3"/>
      <c r="L934" s="3"/>
      <c r="M934" s="3"/>
      <c r="N934" s="3"/>
      <c r="O934" s="3"/>
      <c r="P934" s="3"/>
      <c r="Q934" s="196"/>
      <c r="R934" s="3"/>
      <c r="S934" s="202"/>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row>
    <row r="935" spans="1:51" ht="15.75" customHeight="1">
      <c r="A935" s="3"/>
      <c r="B935" s="3"/>
      <c r="C935" s="3"/>
      <c r="D935" s="3"/>
      <c r="E935" s="3"/>
      <c r="F935" s="3"/>
      <c r="G935" s="3"/>
      <c r="H935" s="202"/>
      <c r="I935" s="202"/>
      <c r="J935" s="3"/>
      <c r="K935" s="3"/>
      <c r="L935" s="3"/>
      <c r="M935" s="3"/>
      <c r="N935" s="3"/>
      <c r="O935" s="3"/>
      <c r="P935" s="3"/>
      <c r="Q935" s="196"/>
      <c r="R935" s="3"/>
      <c r="S935" s="202"/>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row>
    <row r="936" spans="1:51" ht="15.75" customHeight="1">
      <c r="A936" s="3"/>
      <c r="B936" s="3"/>
      <c r="C936" s="3"/>
      <c r="D936" s="3"/>
      <c r="E936" s="3"/>
      <c r="F936" s="3"/>
      <c r="G936" s="3"/>
      <c r="H936" s="202"/>
      <c r="I936" s="202"/>
      <c r="J936" s="3"/>
      <c r="K936" s="3"/>
      <c r="L936" s="3"/>
      <c r="M936" s="3"/>
      <c r="N936" s="3"/>
      <c r="O936" s="3"/>
      <c r="P936" s="3"/>
      <c r="Q936" s="196"/>
      <c r="R936" s="3"/>
      <c r="S936" s="202"/>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row>
    <row r="937" spans="1:51" ht="15.75" customHeight="1">
      <c r="A937" s="3"/>
      <c r="B937" s="3"/>
      <c r="C937" s="3"/>
      <c r="D937" s="3"/>
      <c r="E937" s="3"/>
      <c r="F937" s="3"/>
      <c r="G937" s="3"/>
      <c r="H937" s="202"/>
      <c r="I937" s="202"/>
      <c r="J937" s="3"/>
      <c r="K937" s="3"/>
      <c r="L937" s="3"/>
      <c r="M937" s="3"/>
      <c r="N937" s="3"/>
      <c r="O937" s="3"/>
      <c r="P937" s="3"/>
      <c r="Q937" s="196"/>
      <c r="R937" s="3"/>
      <c r="S937" s="202"/>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row>
    <row r="938" spans="1:51" ht="15.75" customHeight="1">
      <c r="A938" s="3"/>
      <c r="B938" s="3"/>
      <c r="C938" s="3"/>
      <c r="D938" s="3"/>
      <c r="E938" s="3"/>
      <c r="F938" s="3"/>
      <c r="G938" s="3"/>
      <c r="H938" s="202"/>
      <c r="I938" s="202"/>
      <c r="J938" s="3"/>
      <c r="K938" s="3"/>
      <c r="L938" s="3"/>
      <c r="M938" s="3"/>
      <c r="N938" s="3"/>
      <c r="O938" s="3"/>
      <c r="P938" s="3"/>
      <c r="Q938" s="196"/>
      <c r="R938" s="3"/>
      <c r="S938" s="202"/>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row>
    <row r="939" spans="1:51" ht="15.75" customHeight="1">
      <c r="A939" s="3"/>
      <c r="B939" s="3"/>
      <c r="C939" s="3"/>
      <c r="D939" s="3"/>
      <c r="E939" s="3"/>
      <c r="F939" s="3"/>
      <c r="G939" s="3"/>
      <c r="H939" s="202"/>
      <c r="I939" s="202"/>
      <c r="J939" s="3"/>
      <c r="K939" s="3"/>
      <c r="L939" s="3"/>
      <c r="M939" s="3"/>
      <c r="N939" s="3"/>
      <c r="O939" s="3"/>
      <c r="P939" s="3"/>
      <c r="Q939" s="196"/>
      <c r="R939" s="3"/>
      <c r="S939" s="202"/>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row>
    <row r="940" spans="1:51" ht="15.75" customHeight="1">
      <c r="A940" s="3"/>
      <c r="B940" s="3"/>
      <c r="C940" s="3"/>
      <c r="D940" s="3"/>
      <c r="E940" s="3"/>
      <c r="F940" s="3"/>
      <c r="G940" s="3"/>
      <c r="H940" s="202"/>
      <c r="I940" s="202"/>
      <c r="J940" s="3"/>
      <c r="K940" s="3"/>
      <c r="L940" s="3"/>
      <c r="M940" s="3"/>
      <c r="N940" s="3"/>
      <c r="O940" s="3"/>
      <c r="P940" s="3"/>
      <c r="Q940" s="196"/>
      <c r="R940" s="3"/>
      <c r="S940" s="202"/>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row>
    <row r="941" spans="1:51" ht="15.75" customHeight="1">
      <c r="A941" s="3"/>
      <c r="B941" s="3"/>
      <c r="C941" s="3"/>
      <c r="D941" s="3"/>
      <c r="E941" s="3"/>
      <c r="F941" s="3"/>
      <c r="G941" s="3"/>
      <c r="H941" s="202"/>
      <c r="I941" s="202"/>
      <c r="J941" s="3"/>
      <c r="K941" s="3"/>
      <c r="L941" s="3"/>
      <c r="M941" s="3"/>
      <c r="N941" s="3"/>
      <c r="O941" s="3"/>
      <c r="P941" s="3"/>
      <c r="Q941" s="196"/>
      <c r="R941" s="3"/>
      <c r="S941" s="202"/>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row>
    <row r="942" spans="1:51" ht="15.75" customHeight="1">
      <c r="A942" s="3"/>
      <c r="B942" s="3"/>
      <c r="C942" s="3"/>
      <c r="D942" s="3"/>
      <c r="E942" s="3"/>
      <c r="F942" s="3"/>
      <c r="G942" s="3"/>
      <c r="H942" s="202"/>
      <c r="I942" s="202"/>
      <c r="J942" s="3"/>
      <c r="K942" s="3"/>
      <c r="L942" s="3"/>
      <c r="M942" s="3"/>
      <c r="N942" s="3"/>
      <c r="O942" s="3"/>
      <c r="P942" s="3"/>
      <c r="Q942" s="196"/>
      <c r="R942" s="3"/>
      <c r="S942" s="202"/>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row>
    <row r="943" spans="1:51" ht="15.75" customHeight="1">
      <c r="A943" s="3"/>
      <c r="B943" s="3"/>
      <c r="C943" s="3"/>
      <c r="D943" s="3"/>
      <c r="E943" s="3"/>
      <c r="F943" s="3"/>
      <c r="G943" s="3"/>
      <c r="H943" s="202"/>
      <c r="I943" s="202"/>
      <c r="J943" s="3"/>
      <c r="K943" s="3"/>
      <c r="L943" s="3"/>
      <c r="M943" s="3"/>
      <c r="N943" s="3"/>
      <c r="O943" s="3"/>
      <c r="P943" s="3"/>
      <c r="Q943" s="196"/>
      <c r="R943" s="3"/>
      <c r="S943" s="202"/>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row>
    <row r="944" spans="1:51" ht="15.75" customHeight="1">
      <c r="A944" s="3"/>
      <c r="B944" s="3"/>
      <c r="C944" s="3"/>
      <c r="D944" s="3"/>
      <c r="E944" s="3"/>
      <c r="F944" s="3"/>
      <c r="G944" s="3"/>
      <c r="H944" s="202"/>
      <c r="I944" s="202"/>
      <c r="J944" s="3"/>
      <c r="K944" s="3"/>
      <c r="L944" s="3"/>
      <c r="M944" s="3"/>
      <c r="N944" s="3"/>
      <c r="O944" s="3"/>
      <c r="P944" s="3"/>
      <c r="Q944" s="196"/>
      <c r="R944" s="3"/>
      <c r="S944" s="202"/>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row>
    <row r="945" spans="1:51" ht="15.75" customHeight="1">
      <c r="A945" s="3"/>
      <c r="B945" s="3"/>
      <c r="C945" s="3"/>
      <c r="D945" s="3"/>
      <c r="E945" s="3"/>
      <c r="F945" s="3"/>
      <c r="G945" s="3"/>
      <c r="H945" s="202"/>
      <c r="I945" s="202"/>
      <c r="J945" s="3"/>
      <c r="K945" s="3"/>
      <c r="L945" s="3"/>
      <c r="M945" s="3"/>
      <c r="N945" s="3"/>
      <c r="O945" s="3"/>
      <c r="P945" s="3"/>
      <c r="Q945" s="196"/>
      <c r="R945" s="3"/>
      <c r="S945" s="202"/>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row>
    <row r="946" spans="1:51" ht="15.75" customHeight="1">
      <c r="A946" s="3"/>
      <c r="B946" s="3"/>
      <c r="C946" s="3"/>
      <c r="D946" s="3"/>
      <c r="E946" s="3"/>
      <c r="F946" s="3"/>
      <c r="G946" s="3"/>
      <c r="H946" s="202"/>
      <c r="I946" s="202"/>
      <c r="J946" s="3"/>
      <c r="K946" s="3"/>
      <c r="L946" s="3"/>
      <c r="M946" s="3"/>
      <c r="N946" s="3"/>
      <c r="O946" s="3"/>
      <c r="P946" s="3"/>
      <c r="Q946" s="196"/>
      <c r="R946" s="3"/>
      <c r="S946" s="202"/>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row>
    <row r="947" spans="1:51" ht="15.75" customHeight="1">
      <c r="A947" s="3"/>
      <c r="B947" s="3"/>
      <c r="C947" s="3"/>
      <c r="D947" s="3"/>
      <c r="E947" s="3"/>
      <c r="F947" s="3"/>
      <c r="G947" s="3"/>
      <c r="H947" s="202"/>
      <c r="I947" s="202"/>
      <c r="J947" s="3"/>
      <c r="K947" s="3"/>
      <c r="L947" s="3"/>
      <c r="M947" s="3"/>
      <c r="N947" s="3"/>
      <c r="O947" s="3"/>
      <c r="P947" s="3"/>
      <c r="Q947" s="196"/>
      <c r="R947" s="3"/>
      <c r="S947" s="202"/>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row>
    <row r="948" spans="1:51" ht="15.75" customHeight="1">
      <c r="A948" s="3"/>
      <c r="B948" s="3"/>
      <c r="C948" s="3"/>
      <c r="D948" s="3"/>
      <c r="E948" s="3"/>
      <c r="F948" s="3"/>
      <c r="G948" s="3"/>
      <c r="H948" s="202"/>
      <c r="I948" s="202"/>
      <c r="J948" s="3"/>
      <c r="K948" s="3"/>
      <c r="L948" s="3"/>
      <c r="M948" s="3"/>
      <c r="N948" s="3"/>
      <c r="O948" s="3"/>
      <c r="P948" s="3"/>
      <c r="Q948" s="196"/>
      <c r="R948" s="3"/>
      <c r="S948" s="202"/>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row>
    <row r="949" spans="1:51" ht="15.75" customHeight="1">
      <c r="A949" s="3"/>
      <c r="B949" s="3"/>
      <c r="C949" s="3"/>
      <c r="D949" s="3"/>
      <c r="E949" s="3"/>
      <c r="F949" s="3"/>
      <c r="G949" s="3"/>
      <c r="H949" s="202"/>
      <c r="I949" s="202"/>
      <c r="J949" s="3"/>
      <c r="K949" s="3"/>
      <c r="L949" s="3"/>
      <c r="M949" s="3"/>
      <c r="N949" s="3"/>
      <c r="O949" s="3"/>
      <c r="P949" s="3"/>
      <c r="Q949" s="196"/>
      <c r="R949" s="3"/>
      <c r="S949" s="202"/>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row>
    <row r="950" spans="1:51" ht="15.75" customHeight="1">
      <c r="A950" s="3"/>
      <c r="B950" s="3"/>
      <c r="C950" s="3"/>
      <c r="D950" s="3"/>
      <c r="E950" s="3"/>
      <c r="F950" s="3"/>
      <c r="G950" s="3"/>
      <c r="H950" s="202"/>
      <c r="I950" s="202"/>
      <c r="J950" s="3"/>
      <c r="K950" s="3"/>
      <c r="L950" s="3"/>
      <c r="M950" s="3"/>
      <c r="N950" s="3"/>
      <c r="O950" s="3"/>
      <c r="P950" s="3"/>
      <c r="Q950" s="196"/>
      <c r="R950" s="3"/>
      <c r="S950" s="202"/>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row>
    <row r="951" spans="1:51" ht="15.75" customHeight="1">
      <c r="A951" s="3"/>
      <c r="B951" s="3"/>
      <c r="C951" s="3"/>
      <c r="D951" s="3"/>
      <c r="E951" s="3"/>
      <c r="F951" s="3"/>
      <c r="G951" s="3"/>
      <c r="H951" s="202"/>
      <c r="I951" s="202"/>
      <c r="J951" s="3"/>
      <c r="K951" s="3"/>
      <c r="L951" s="3"/>
      <c r="M951" s="3"/>
      <c r="N951" s="3"/>
      <c r="O951" s="3"/>
      <c r="P951" s="3"/>
      <c r="Q951" s="196"/>
      <c r="R951" s="3"/>
      <c r="S951" s="202"/>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row>
    <row r="952" spans="1:51" ht="15.75" customHeight="1">
      <c r="A952" s="3"/>
      <c r="B952" s="3"/>
      <c r="C952" s="3"/>
      <c r="D952" s="3"/>
      <c r="E952" s="3"/>
      <c r="F952" s="3"/>
      <c r="G952" s="3"/>
      <c r="H952" s="202"/>
      <c r="I952" s="202"/>
      <c r="J952" s="3"/>
      <c r="K952" s="3"/>
      <c r="L952" s="3"/>
      <c r="M952" s="3"/>
      <c r="N952" s="3"/>
      <c r="O952" s="3"/>
      <c r="P952" s="3"/>
      <c r="Q952" s="196"/>
      <c r="R952" s="3"/>
      <c r="S952" s="202"/>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row>
    <row r="953" spans="1:51" ht="15.75" customHeight="1">
      <c r="A953" s="3"/>
      <c r="B953" s="3"/>
      <c r="C953" s="3"/>
      <c r="D953" s="3"/>
      <c r="E953" s="3"/>
      <c r="F953" s="3"/>
      <c r="G953" s="3"/>
      <c r="H953" s="202"/>
      <c r="I953" s="202"/>
      <c r="J953" s="3"/>
      <c r="K953" s="3"/>
      <c r="L953" s="3"/>
      <c r="M953" s="3"/>
      <c r="N953" s="3"/>
      <c r="O953" s="3"/>
      <c r="P953" s="3"/>
      <c r="Q953" s="196"/>
      <c r="R953" s="3"/>
      <c r="S953" s="202"/>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row>
    <row r="954" spans="1:51" ht="15.75" customHeight="1">
      <c r="A954" s="3"/>
      <c r="B954" s="3"/>
      <c r="C954" s="3"/>
      <c r="D954" s="3"/>
      <c r="E954" s="3"/>
      <c r="F954" s="3"/>
      <c r="G954" s="3"/>
      <c r="H954" s="202"/>
      <c r="I954" s="202"/>
      <c r="J954" s="3"/>
      <c r="K954" s="3"/>
      <c r="L954" s="3"/>
      <c r="M954" s="3"/>
      <c r="N954" s="3"/>
      <c r="O954" s="3"/>
      <c r="P954" s="3"/>
      <c r="Q954" s="196"/>
      <c r="R954" s="3"/>
      <c r="S954" s="202"/>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row>
    <row r="955" spans="1:51" ht="15.75" customHeight="1">
      <c r="A955" s="3"/>
      <c r="B955" s="3"/>
      <c r="C955" s="3"/>
      <c r="D955" s="3"/>
      <c r="E955" s="3"/>
      <c r="F955" s="3"/>
      <c r="G955" s="3"/>
      <c r="H955" s="202"/>
      <c r="I955" s="202"/>
      <c r="J955" s="3"/>
      <c r="K955" s="3"/>
      <c r="L955" s="3"/>
      <c r="M955" s="3"/>
      <c r="N955" s="3"/>
      <c r="O955" s="3"/>
      <c r="P955" s="3"/>
      <c r="Q955" s="196"/>
      <c r="R955" s="3"/>
      <c r="S955" s="202"/>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row>
    <row r="956" spans="1:51" ht="15.75" customHeight="1">
      <c r="A956" s="3"/>
      <c r="B956" s="3"/>
      <c r="C956" s="3"/>
      <c r="D956" s="3"/>
      <c r="E956" s="3"/>
      <c r="F956" s="3"/>
      <c r="G956" s="3"/>
      <c r="H956" s="202"/>
      <c r="I956" s="202"/>
      <c r="J956" s="3"/>
      <c r="K956" s="3"/>
      <c r="L956" s="3"/>
      <c r="M956" s="3"/>
      <c r="N956" s="3"/>
      <c r="O956" s="3"/>
      <c r="P956" s="3"/>
      <c r="Q956" s="196"/>
      <c r="R956" s="3"/>
      <c r="S956" s="202"/>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row>
    <row r="957" spans="1:51" ht="15.75" customHeight="1">
      <c r="A957" s="3"/>
      <c r="B957" s="3"/>
      <c r="C957" s="3"/>
      <c r="D957" s="3"/>
      <c r="E957" s="3"/>
      <c r="F957" s="3"/>
      <c r="G957" s="3"/>
      <c r="H957" s="202"/>
      <c r="I957" s="202"/>
      <c r="J957" s="3"/>
      <c r="K957" s="3"/>
      <c r="L957" s="3"/>
      <c r="M957" s="3"/>
      <c r="N957" s="3"/>
      <c r="O957" s="3"/>
      <c r="P957" s="3"/>
      <c r="Q957" s="196"/>
      <c r="R957" s="3"/>
      <c r="S957" s="202"/>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row>
    <row r="958" spans="1:51" ht="15.75" customHeight="1">
      <c r="A958" s="3"/>
      <c r="B958" s="3"/>
      <c r="C958" s="3"/>
      <c r="D958" s="3"/>
      <c r="E958" s="3"/>
      <c r="F958" s="3"/>
      <c r="G958" s="3"/>
      <c r="H958" s="202"/>
      <c r="I958" s="202"/>
      <c r="J958" s="3"/>
      <c r="K958" s="3"/>
      <c r="L958" s="3"/>
      <c r="M958" s="3"/>
      <c r="N958" s="3"/>
      <c r="O958" s="3"/>
      <c r="P958" s="3"/>
      <c r="Q958" s="196"/>
      <c r="R958" s="3"/>
      <c r="S958" s="202"/>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row>
    <row r="959" spans="1:51" ht="15.75" customHeight="1">
      <c r="A959" s="3"/>
      <c r="B959" s="3"/>
      <c r="C959" s="3"/>
      <c r="D959" s="3"/>
      <c r="E959" s="3"/>
      <c r="F959" s="3"/>
      <c r="G959" s="3"/>
      <c r="H959" s="202"/>
      <c r="I959" s="202"/>
      <c r="J959" s="3"/>
      <c r="K959" s="3"/>
      <c r="L959" s="3"/>
      <c r="M959" s="3"/>
      <c r="N959" s="3"/>
      <c r="O959" s="3"/>
      <c r="P959" s="3"/>
      <c r="Q959" s="196"/>
      <c r="R959" s="3"/>
      <c r="S959" s="202"/>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row>
    <row r="960" spans="1:51" ht="15.75" customHeight="1">
      <c r="A960" s="3"/>
      <c r="B960" s="3"/>
      <c r="C960" s="3"/>
      <c r="D960" s="3"/>
      <c r="E960" s="3"/>
      <c r="F960" s="3"/>
      <c r="G960" s="3"/>
      <c r="H960" s="202"/>
      <c r="I960" s="202"/>
      <c r="J960" s="3"/>
      <c r="K960" s="3"/>
      <c r="L960" s="3"/>
      <c r="M960" s="3"/>
      <c r="N960" s="3"/>
      <c r="O960" s="3"/>
      <c r="P960" s="3"/>
      <c r="Q960" s="196"/>
      <c r="R960" s="3"/>
      <c r="S960" s="202"/>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row>
    <row r="961" spans="1:51" ht="15.75" customHeight="1">
      <c r="A961" s="3"/>
      <c r="B961" s="3"/>
      <c r="C961" s="3"/>
      <c r="D961" s="3"/>
      <c r="E961" s="3"/>
      <c r="F961" s="3"/>
      <c r="G961" s="3"/>
      <c r="H961" s="202"/>
      <c r="I961" s="202"/>
      <c r="J961" s="3"/>
      <c r="K961" s="3"/>
      <c r="L961" s="3"/>
      <c r="M961" s="3"/>
      <c r="N961" s="3"/>
      <c r="O961" s="3"/>
      <c r="P961" s="3"/>
      <c r="Q961" s="196"/>
      <c r="R961" s="3"/>
      <c r="S961" s="202"/>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row>
    <row r="962" spans="1:51" ht="15.75" customHeight="1">
      <c r="A962" s="3"/>
      <c r="B962" s="3"/>
      <c r="C962" s="3"/>
      <c r="D962" s="3"/>
      <c r="E962" s="3"/>
      <c r="F962" s="3"/>
      <c r="G962" s="3"/>
      <c r="H962" s="202"/>
      <c r="I962" s="202"/>
      <c r="J962" s="3"/>
      <c r="K962" s="3"/>
      <c r="L962" s="3"/>
      <c r="M962" s="3"/>
      <c r="N962" s="3"/>
      <c r="O962" s="3"/>
      <c r="P962" s="3"/>
      <c r="Q962" s="196"/>
      <c r="R962" s="3"/>
      <c r="S962" s="202"/>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row>
    <row r="963" spans="1:51" ht="15.75" customHeight="1">
      <c r="A963" s="3"/>
      <c r="B963" s="3"/>
      <c r="C963" s="3"/>
      <c r="D963" s="3"/>
      <c r="E963" s="3"/>
      <c r="F963" s="3"/>
      <c r="G963" s="3"/>
      <c r="H963" s="202"/>
      <c r="I963" s="202"/>
      <c r="J963" s="3"/>
      <c r="K963" s="3"/>
      <c r="L963" s="3"/>
      <c r="M963" s="3"/>
      <c r="N963" s="3"/>
      <c r="O963" s="3"/>
      <c r="P963" s="3"/>
      <c r="Q963" s="196"/>
      <c r="R963" s="3"/>
      <c r="S963" s="202"/>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row>
    <row r="964" spans="1:51" ht="15.75" customHeight="1">
      <c r="A964" s="3"/>
      <c r="B964" s="3"/>
      <c r="C964" s="3"/>
      <c r="D964" s="3"/>
      <c r="E964" s="3"/>
      <c r="F964" s="3"/>
      <c r="G964" s="3"/>
      <c r="H964" s="202"/>
      <c r="I964" s="202"/>
      <c r="J964" s="3"/>
      <c r="K964" s="3"/>
      <c r="L964" s="3"/>
      <c r="M964" s="3"/>
      <c r="N964" s="3"/>
      <c r="O964" s="3"/>
      <c r="P964" s="3"/>
      <c r="Q964" s="196"/>
      <c r="R964" s="3"/>
      <c r="S964" s="202"/>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row>
    <row r="965" spans="1:51" ht="15.75" customHeight="1">
      <c r="A965" s="3"/>
      <c r="B965" s="3"/>
      <c r="C965" s="3"/>
      <c r="D965" s="3"/>
      <c r="E965" s="3"/>
      <c r="F965" s="3"/>
      <c r="G965" s="3"/>
      <c r="H965" s="202"/>
      <c r="I965" s="202"/>
      <c r="J965" s="3"/>
      <c r="K965" s="3"/>
      <c r="L965" s="3"/>
      <c r="M965" s="3"/>
      <c r="N965" s="3"/>
      <c r="O965" s="3"/>
      <c r="P965" s="3"/>
      <c r="Q965" s="196"/>
      <c r="R965" s="3"/>
      <c r="S965" s="202"/>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row>
    <row r="966" spans="1:51" ht="15.75" customHeight="1">
      <c r="A966" s="3"/>
      <c r="B966" s="3"/>
      <c r="C966" s="3"/>
      <c r="D966" s="3"/>
      <c r="E966" s="3"/>
      <c r="F966" s="3"/>
      <c r="G966" s="3"/>
      <c r="H966" s="202"/>
      <c r="I966" s="202"/>
      <c r="J966" s="3"/>
      <c r="K966" s="3"/>
      <c r="L966" s="3"/>
      <c r="M966" s="3"/>
      <c r="N966" s="3"/>
      <c r="O966" s="3"/>
      <c r="P966" s="3"/>
      <c r="Q966" s="196"/>
      <c r="R966" s="3"/>
      <c r="S966" s="202"/>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row>
    <row r="967" spans="1:51" ht="15.75" customHeight="1">
      <c r="A967" s="3"/>
      <c r="B967" s="3"/>
      <c r="C967" s="3"/>
      <c r="D967" s="3"/>
      <c r="E967" s="3"/>
      <c r="F967" s="3"/>
      <c r="G967" s="3"/>
      <c r="H967" s="202"/>
      <c r="I967" s="202"/>
      <c r="J967" s="3"/>
      <c r="K967" s="3"/>
      <c r="L967" s="3"/>
      <c r="M967" s="3"/>
      <c r="N967" s="3"/>
      <c r="O967" s="3"/>
      <c r="P967" s="3"/>
      <c r="Q967" s="196"/>
      <c r="R967" s="3"/>
      <c r="S967" s="202"/>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row>
    <row r="968" spans="1:51" ht="15.75" customHeight="1">
      <c r="A968" s="3"/>
      <c r="B968" s="3"/>
      <c r="C968" s="3"/>
      <c r="D968" s="3"/>
      <c r="E968" s="3"/>
      <c r="F968" s="3"/>
      <c r="G968" s="3"/>
      <c r="H968" s="202"/>
      <c r="I968" s="202"/>
      <c r="J968" s="3"/>
      <c r="K968" s="3"/>
      <c r="L968" s="3"/>
      <c r="M968" s="3"/>
      <c r="N968" s="3"/>
      <c r="O968" s="3"/>
      <c r="P968" s="3"/>
      <c r="Q968" s="196"/>
      <c r="R968" s="3"/>
      <c r="S968" s="202"/>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row>
    <row r="969" spans="1:51" ht="15.75" customHeight="1">
      <c r="A969" s="3"/>
      <c r="B969" s="3"/>
      <c r="C969" s="3"/>
      <c r="D969" s="3"/>
      <c r="E969" s="3"/>
      <c r="F969" s="3"/>
      <c r="G969" s="3"/>
      <c r="H969" s="202"/>
      <c r="I969" s="202"/>
      <c r="J969" s="3"/>
      <c r="K969" s="3"/>
      <c r="L969" s="3"/>
      <c r="M969" s="3"/>
      <c r="N969" s="3"/>
      <c r="O969" s="3"/>
      <c r="P969" s="3"/>
      <c r="Q969" s="196"/>
      <c r="R969" s="3"/>
      <c r="S969" s="202"/>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row>
    <row r="970" spans="1:51" ht="15.75" customHeight="1">
      <c r="A970" s="3"/>
      <c r="B970" s="3"/>
      <c r="C970" s="3"/>
      <c r="D970" s="3"/>
      <c r="E970" s="3"/>
      <c r="F970" s="3"/>
      <c r="G970" s="3"/>
      <c r="H970" s="202"/>
      <c r="I970" s="202"/>
      <c r="J970" s="3"/>
      <c r="K970" s="3"/>
      <c r="L970" s="3"/>
      <c r="M970" s="3"/>
      <c r="N970" s="3"/>
      <c r="O970" s="3"/>
      <c r="P970" s="3"/>
      <c r="Q970" s="196"/>
      <c r="R970" s="3"/>
      <c r="S970" s="202"/>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row>
    <row r="971" spans="1:51" ht="15.75" customHeight="1">
      <c r="A971" s="3"/>
      <c r="B971" s="3"/>
      <c r="C971" s="3"/>
      <c r="D971" s="3"/>
      <c r="E971" s="3"/>
      <c r="F971" s="3"/>
      <c r="G971" s="3"/>
      <c r="H971" s="202"/>
      <c r="I971" s="202"/>
      <c r="J971" s="3"/>
      <c r="K971" s="3"/>
      <c r="L971" s="3"/>
      <c r="M971" s="3"/>
      <c r="N971" s="3"/>
      <c r="O971" s="3"/>
      <c r="P971" s="3"/>
      <c r="Q971" s="196"/>
      <c r="R971" s="3"/>
      <c r="S971" s="202"/>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row>
    <row r="972" spans="1:51" ht="15.75" customHeight="1">
      <c r="A972" s="3"/>
      <c r="B972" s="3"/>
      <c r="C972" s="3"/>
      <c r="D972" s="3"/>
      <c r="E972" s="3"/>
      <c r="F972" s="3"/>
      <c r="G972" s="3"/>
      <c r="H972" s="202"/>
      <c r="I972" s="202"/>
      <c r="J972" s="3"/>
      <c r="K972" s="3"/>
      <c r="L972" s="3"/>
      <c r="M972" s="3"/>
      <c r="N972" s="3"/>
      <c r="O972" s="3"/>
      <c r="P972" s="3"/>
      <c r="Q972" s="196"/>
      <c r="R972" s="3"/>
      <c r="S972" s="202"/>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row>
    <row r="973" spans="1:51" ht="15.75" customHeight="1">
      <c r="A973" s="3"/>
      <c r="B973" s="3"/>
      <c r="C973" s="3"/>
      <c r="D973" s="3"/>
      <c r="E973" s="3"/>
      <c r="F973" s="3"/>
      <c r="G973" s="3"/>
      <c r="H973" s="202"/>
      <c r="I973" s="202"/>
      <c r="J973" s="3"/>
      <c r="K973" s="3"/>
      <c r="L973" s="3"/>
      <c r="M973" s="3"/>
      <c r="N973" s="3"/>
      <c r="O973" s="3"/>
      <c r="P973" s="3"/>
      <c r="Q973" s="196"/>
      <c r="R973" s="3"/>
      <c r="S973" s="202"/>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row>
    <row r="974" spans="1:51" ht="15.75" customHeight="1">
      <c r="A974" s="3"/>
      <c r="B974" s="3"/>
      <c r="C974" s="3"/>
      <c r="D974" s="3"/>
      <c r="E974" s="3"/>
      <c r="F974" s="3"/>
      <c r="G974" s="3"/>
      <c r="H974" s="202"/>
      <c r="I974" s="202"/>
      <c r="J974" s="3"/>
      <c r="K974" s="3"/>
      <c r="L974" s="3"/>
      <c r="M974" s="3"/>
      <c r="N974" s="3"/>
      <c r="O974" s="3"/>
      <c r="P974" s="3"/>
      <c r="Q974" s="196"/>
      <c r="R974" s="3"/>
      <c r="S974" s="202"/>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row>
    <row r="975" spans="1:51" ht="15.75" customHeight="1">
      <c r="A975" s="3"/>
      <c r="B975" s="3"/>
      <c r="C975" s="3"/>
      <c r="D975" s="3"/>
      <c r="E975" s="3"/>
      <c r="F975" s="3"/>
      <c r="G975" s="3"/>
      <c r="H975" s="202"/>
      <c r="I975" s="202"/>
      <c r="J975" s="3"/>
      <c r="K975" s="3"/>
      <c r="L975" s="3"/>
      <c r="M975" s="3"/>
      <c r="N975" s="3"/>
      <c r="O975" s="3"/>
      <c r="P975" s="3"/>
      <c r="Q975" s="196"/>
      <c r="R975" s="3"/>
      <c r="S975" s="202"/>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row>
    <row r="976" spans="1:51" ht="15.75" customHeight="1">
      <c r="A976" s="3"/>
      <c r="B976" s="3"/>
      <c r="C976" s="3"/>
      <c r="D976" s="3"/>
      <c r="E976" s="3"/>
      <c r="F976" s="3"/>
      <c r="G976" s="3"/>
      <c r="H976" s="202"/>
      <c r="I976" s="202"/>
      <c r="J976" s="3"/>
      <c r="K976" s="3"/>
      <c r="L976" s="3"/>
      <c r="M976" s="3"/>
      <c r="N976" s="3"/>
      <c r="O976" s="3"/>
      <c r="P976" s="3"/>
      <c r="Q976" s="196"/>
      <c r="R976" s="3"/>
      <c r="S976" s="202"/>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row>
    <row r="977" spans="1:51" ht="15.75" customHeight="1">
      <c r="A977" s="3"/>
      <c r="B977" s="3"/>
      <c r="C977" s="3"/>
      <c r="D977" s="3"/>
      <c r="E977" s="3"/>
      <c r="F977" s="3"/>
      <c r="G977" s="3"/>
      <c r="H977" s="202"/>
      <c r="I977" s="202"/>
      <c r="J977" s="3"/>
      <c r="K977" s="3"/>
      <c r="L977" s="3"/>
      <c r="M977" s="3"/>
      <c r="N977" s="3"/>
      <c r="O977" s="3"/>
      <c r="P977" s="3"/>
      <c r="Q977" s="196"/>
      <c r="R977" s="3"/>
      <c r="S977" s="202"/>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row>
    <row r="978" spans="1:51" ht="15.75" customHeight="1">
      <c r="A978" s="3"/>
      <c r="B978" s="3"/>
      <c r="C978" s="3"/>
      <c r="D978" s="3"/>
      <c r="E978" s="3"/>
      <c r="F978" s="3"/>
      <c r="G978" s="3"/>
      <c r="H978" s="202"/>
      <c r="I978" s="202"/>
      <c r="J978" s="3"/>
      <c r="K978" s="3"/>
      <c r="L978" s="3"/>
      <c r="M978" s="3"/>
      <c r="N978" s="3"/>
      <c r="O978" s="3"/>
      <c r="P978" s="3"/>
      <c r="Q978" s="196"/>
      <c r="R978" s="3"/>
      <c r="S978" s="202"/>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row>
    <row r="979" spans="1:51" ht="15.75" customHeight="1">
      <c r="A979" s="3"/>
      <c r="B979" s="3"/>
      <c r="C979" s="3"/>
      <c r="D979" s="3"/>
      <c r="E979" s="3"/>
      <c r="F979" s="3"/>
      <c r="G979" s="3"/>
      <c r="H979" s="202"/>
      <c r="I979" s="202"/>
      <c r="J979" s="3"/>
      <c r="K979" s="3"/>
      <c r="L979" s="3"/>
      <c r="M979" s="3"/>
      <c r="N979" s="3"/>
      <c r="O979" s="3"/>
      <c r="P979" s="3"/>
      <c r="Q979" s="196"/>
      <c r="R979" s="3"/>
      <c r="S979" s="202"/>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row>
    <row r="980" spans="1:51" ht="15.75" customHeight="1">
      <c r="A980" s="3"/>
      <c r="B980" s="3"/>
      <c r="C980" s="3"/>
      <c r="D980" s="3"/>
      <c r="E980" s="3"/>
      <c r="F980" s="3"/>
      <c r="G980" s="3"/>
      <c r="H980" s="202"/>
      <c r="I980" s="202"/>
      <c r="J980" s="3"/>
      <c r="K980" s="3"/>
      <c r="L980" s="3"/>
      <c r="M980" s="3"/>
      <c r="N980" s="3"/>
      <c r="O980" s="3"/>
      <c r="P980" s="3"/>
      <c r="Q980" s="196"/>
      <c r="R980" s="3"/>
      <c r="S980" s="202"/>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row>
    <row r="981" spans="1:51" ht="15.75" customHeight="1">
      <c r="A981" s="3"/>
      <c r="B981" s="3"/>
      <c r="C981" s="3"/>
      <c r="D981" s="3"/>
      <c r="E981" s="3"/>
      <c r="F981" s="3"/>
      <c r="G981" s="3"/>
      <c r="H981" s="202"/>
      <c r="I981" s="202"/>
      <c r="J981" s="3"/>
      <c r="K981" s="3"/>
      <c r="L981" s="3"/>
      <c r="M981" s="3"/>
      <c r="N981" s="3"/>
      <c r="O981" s="3"/>
      <c r="P981" s="3"/>
      <c r="Q981" s="196"/>
      <c r="R981" s="3"/>
      <c r="S981" s="202"/>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row>
    <row r="982" spans="1:51" ht="15.75" customHeight="1">
      <c r="A982" s="3"/>
      <c r="B982" s="3"/>
      <c r="C982" s="3"/>
      <c r="D982" s="3"/>
      <c r="E982" s="3"/>
      <c r="F982" s="3"/>
      <c r="G982" s="3"/>
      <c r="H982" s="202"/>
      <c r="I982" s="202"/>
      <c r="J982" s="3"/>
      <c r="K982" s="3"/>
      <c r="L982" s="3"/>
      <c r="M982" s="3"/>
      <c r="N982" s="3"/>
      <c r="O982" s="3"/>
      <c r="P982" s="3"/>
      <c r="Q982" s="196"/>
      <c r="R982" s="3"/>
      <c r="S982" s="202"/>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row>
    <row r="983" spans="1:51" ht="15.75" customHeight="1">
      <c r="A983" s="3"/>
      <c r="B983" s="3"/>
      <c r="C983" s="3"/>
      <c r="D983" s="3"/>
      <c r="E983" s="3"/>
      <c r="F983" s="3"/>
      <c r="G983" s="3"/>
      <c r="H983" s="202"/>
      <c r="I983" s="202"/>
      <c r="J983" s="3"/>
      <c r="K983" s="3"/>
      <c r="L983" s="3"/>
      <c r="M983" s="3"/>
      <c r="N983" s="3"/>
      <c r="O983" s="3"/>
      <c r="P983" s="3"/>
      <c r="Q983" s="196"/>
      <c r="R983" s="3"/>
      <c r="S983" s="202"/>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row>
    <row r="984" spans="1:51" ht="15.75" customHeight="1">
      <c r="A984" s="3"/>
      <c r="B984" s="3"/>
      <c r="C984" s="3"/>
      <c r="D984" s="3"/>
      <c r="E984" s="3"/>
      <c r="F984" s="3"/>
      <c r="G984" s="3"/>
      <c r="H984" s="202"/>
      <c r="I984" s="202"/>
      <c r="J984" s="3"/>
      <c r="K984" s="3"/>
      <c r="L984" s="3"/>
      <c r="M984" s="3"/>
      <c r="N984" s="3"/>
      <c r="O984" s="3"/>
      <c r="P984" s="3"/>
      <c r="Q984" s="196"/>
      <c r="R984" s="3"/>
      <c r="S984" s="202"/>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row>
    <row r="985" spans="1:51" ht="15.75" customHeight="1">
      <c r="A985" s="3"/>
      <c r="B985" s="3"/>
      <c r="C985" s="3"/>
      <c r="D985" s="3"/>
      <c r="E985" s="3"/>
      <c r="F985" s="3"/>
      <c r="G985" s="3"/>
      <c r="H985" s="202"/>
      <c r="I985" s="202"/>
      <c r="J985" s="3"/>
      <c r="K985" s="3"/>
      <c r="L985" s="3"/>
      <c r="M985" s="3"/>
      <c r="N985" s="3"/>
      <c r="O985" s="3"/>
      <c r="P985" s="3"/>
      <c r="Q985" s="196"/>
      <c r="R985" s="3"/>
      <c r="S985" s="202"/>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row>
    <row r="986" spans="1:51" ht="15.75" customHeight="1">
      <c r="A986" s="3"/>
      <c r="B986" s="3"/>
      <c r="C986" s="3"/>
      <c r="D986" s="3"/>
      <c r="E986" s="3"/>
      <c r="F986" s="3"/>
      <c r="G986" s="3"/>
      <c r="H986" s="202"/>
      <c r="I986" s="202"/>
      <c r="J986" s="3"/>
      <c r="K986" s="3"/>
      <c r="L986" s="3"/>
      <c r="M986" s="3"/>
      <c r="N986" s="3"/>
      <c r="O986" s="3"/>
      <c r="P986" s="3"/>
      <c r="Q986" s="196"/>
      <c r="R986" s="3"/>
      <c r="S986" s="202"/>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row>
    <row r="987" spans="1:51" ht="15.75" customHeight="1">
      <c r="A987" s="3"/>
      <c r="B987" s="3"/>
      <c r="C987" s="3"/>
      <c r="D987" s="3"/>
      <c r="E987" s="3"/>
      <c r="F987" s="3"/>
      <c r="G987" s="3"/>
      <c r="H987" s="202"/>
      <c r="I987" s="202"/>
      <c r="J987" s="3"/>
      <c r="K987" s="3"/>
      <c r="L987" s="3"/>
      <c r="M987" s="3"/>
      <c r="N987" s="3"/>
      <c r="O987" s="3"/>
      <c r="P987" s="3"/>
      <c r="Q987" s="196"/>
      <c r="R987" s="3"/>
      <c r="S987" s="202"/>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row>
    <row r="988" spans="1:51" ht="15.75" customHeight="1">
      <c r="A988" s="3"/>
      <c r="B988" s="3"/>
      <c r="C988" s="3"/>
      <c r="D988" s="3"/>
      <c r="E988" s="3"/>
      <c r="F988" s="3"/>
      <c r="G988" s="3"/>
      <c r="H988" s="202"/>
      <c r="I988" s="202"/>
      <c r="J988" s="3"/>
      <c r="K988" s="3"/>
      <c r="L988" s="3"/>
      <c r="M988" s="3"/>
      <c r="N988" s="3"/>
      <c r="O988" s="3"/>
      <c r="P988" s="3"/>
      <c r="Q988" s="196"/>
      <c r="R988" s="3"/>
      <c r="S988" s="202"/>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row>
    <row r="989" spans="1:51" ht="15.75" customHeight="1">
      <c r="A989" s="3"/>
      <c r="B989" s="3"/>
      <c r="C989" s="3"/>
      <c r="D989" s="3"/>
      <c r="E989" s="3"/>
      <c r="F989" s="3"/>
      <c r="G989" s="3"/>
      <c r="H989" s="202"/>
      <c r="I989" s="202"/>
      <c r="J989" s="3"/>
      <c r="K989" s="3"/>
      <c r="L989" s="3"/>
      <c r="M989" s="3"/>
      <c r="N989" s="3"/>
      <c r="O989" s="3"/>
      <c r="P989" s="3"/>
      <c r="Q989" s="196"/>
      <c r="R989" s="3"/>
      <c r="S989" s="202"/>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row>
    <row r="990" spans="1:51" ht="15.75" customHeight="1">
      <c r="A990" s="3"/>
      <c r="B990" s="3"/>
      <c r="C990" s="3"/>
      <c r="D990" s="3"/>
      <c r="E990" s="3"/>
      <c r="F990" s="3"/>
      <c r="G990" s="3"/>
      <c r="H990" s="202"/>
      <c r="I990" s="202"/>
      <c r="J990" s="3"/>
      <c r="K990" s="3"/>
      <c r="L990" s="3"/>
      <c r="M990" s="3"/>
      <c r="N990" s="3"/>
      <c r="O990" s="3"/>
      <c r="P990" s="3"/>
      <c r="Q990" s="196"/>
      <c r="R990" s="3"/>
      <c r="S990" s="202"/>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row>
    <row r="991" spans="1:51" ht="15.75" customHeight="1">
      <c r="A991" s="3"/>
      <c r="B991" s="3"/>
      <c r="C991" s="3"/>
      <c r="D991" s="3"/>
      <c r="E991" s="3"/>
      <c r="F991" s="3"/>
      <c r="G991" s="3"/>
      <c r="H991" s="202"/>
      <c r="I991" s="202"/>
      <c r="J991" s="3"/>
      <c r="K991" s="3"/>
      <c r="L991" s="3"/>
      <c r="M991" s="3"/>
      <c r="N991" s="3"/>
      <c r="O991" s="3"/>
      <c r="P991" s="3"/>
      <c r="Q991" s="196"/>
      <c r="R991" s="3"/>
      <c r="S991" s="202"/>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row>
    <row r="992" spans="1:51" ht="15.75" customHeight="1">
      <c r="A992" s="3"/>
      <c r="B992" s="3"/>
      <c r="C992" s="3"/>
      <c r="D992" s="3"/>
      <c r="E992" s="3"/>
      <c r="F992" s="3"/>
      <c r="G992" s="3"/>
      <c r="H992" s="202"/>
      <c r="I992" s="202"/>
      <c r="J992" s="3"/>
      <c r="K992" s="3"/>
      <c r="L992" s="3"/>
      <c r="M992" s="3"/>
      <c r="N992" s="3"/>
      <c r="O992" s="3"/>
      <c r="P992" s="3"/>
      <c r="Q992" s="196"/>
      <c r="R992" s="3"/>
      <c r="S992" s="202"/>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row>
    <row r="993" spans="1:51" ht="15.75" customHeight="1">
      <c r="A993" s="3"/>
      <c r="B993" s="3"/>
      <c r="C993" s="3"/>
      <c r="D993" s="3"/>
      <c r="E993" s="3"/>
      <c r="F993" s="3"/>
      <c r="G993" s="3"/>
      <c r="H993" s="202"/>
      <c r="I993" s="202"/>
      <c r="J993" s="3"/>
      <c r="K993" s="3"/>
      <c r="L993" s="3"/>
      <c r="M993" s="3"/>
      <c r="N993" s="3"/>
      <c r="O993" s="3"/>
      <c r="P993" s="3"/>
      <c r="Q993" s="196"/>
      <c r="R993" s="3"/>
      <c r="S993" s="202"/>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row>
    <row r="994" spans="1:51" ht="15.75" customHeight="1">
      <c r="A994" s="3"/>
      <c r="B994" s="3"/>
      <c r="C994" s="3"/>
      <c r="D994" s="3"/>
      <c r="E994" s="3"/>
      <c r="F994" s="3"/>
      <c r="G994" s="3"/>
      <c r="H994" s="202"/>
      <c r="I994" s="202"/>
      <c r="J994" s="3"/>
      <c r="K994" s="3"/>
      <c r="L994" s="3"/>
      <c r="M994" s="3"/>
      <c r="N994" s="3"/>
      <c r="O994" s="3"/>
      <c r="P994" s="3"/>
      <c r="Q994" s="196"/>
      <c r="R994" s="3"/>
      <c r="S994" s="202"/>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row>
    <row r="995" spans="1:51" ht="15.75" customHeight="1">
      <c r="A995" s="3"/>
      <c r="B995" s="3"/>
      <c r="C995" s="3"/>
      <c r="D995" s="3"/>
      <c r="E995" s="3"/>
      <c r="F995" s="3"/>
      <c r="G995" s="3"/>
      <c r="H995" s="202"/>
      <c r="I995" s="202"/>
      <c r="J995" s="3"/>
      <c r="K995" s="3"/>
      <c r="L995" s="3"/>
      <c r="M995" s="3"/>
      <c r="N995" s="3"/>
      <c r="O995" s="3"/>
      <c r="P995" s="3"/>
      <c r="Q995" s="196"/>
      <c r="R995" s="3"/>
      <c r="S995" s="202"/>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row>
    <row r="996" spans="1:51" ht="15.75" customHeight="1">
      <c r="A996" s="3"/>
      <c r="B996" s="3"/>
      <c r="C996" s="3"/>
      <c r="D996" s="3"/>
      <c r="E996" s="3"/>
      <c r="F996" s="3"/>
      <c r="G996" s="3"/>
      <c r="H996" s="202"/>
      <c r="I996" s="202"/>
      <c r="J996" s="3"/>
      <c r="K996" s="3"/>
      <c r="L996" s="3"/>
      <c r="M996" s="3"/>
      <c r="N996" s="3"/>
      <c r="O996" s="3"/>
      <c r="P996" s="3"/>
      <c r="Q996" s="196"/>
      <c r="R996" s="3"/>
      <c r="S996" s="202"/>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row>
    <row r="997" spans="1:51" ht="15.75" customHeight="1">
      <c r="A997" s="3"/>
      <c r="B997" s="3"/>
      <c r="C997" s="3"/>
      <c r="D997" s="3"/>
      <c r="E997" s="3"/>
      <c r="F997" s="3"/>
      <c r="G997" s="3"/>
      <c r="H997" s="202"/>
      <c r="I997" s="202"/>
      <c r="J997" s="3"/>
      <c r="K997" s="3"/>
      <c r="L997" s="3"/>
      <c r="M997" s="3"/>
      <c r="N997" s="3"/>
      <c r="O997" s="3"/>
      <c r="P997" s="3"/>
      <c r="Q997" s="196"/>
      <c r="R997" s="3"/>
      <c r="S997" s="202"/>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row>
    <row r="998" spans="1:51" ht="15.75" customHeight="1">
      <c r="A998" s="3"/>
      <c r="B998" s="3"/>
      <c r="C998" s="3"/>
      <c r="D998" s="3"/>
      <c r="E998" s="3"/>
      <c r="F998" s="3"/>
      <c r="G998" s="3"/>
      <c r="H998" s="202"/>
      <c r="I998" s="202"/>
      <c r="J998" s="3"/>
      <c r="K998" s="3"/>
      <c r="L998" s="3"/>
      <c r="M998" s="3"/>
      <c r="N998" s="3"/>
      <c r="O998" s="3"/>
      <c r="P998" s="3"/>
      <c r="Q998" s="196"/>
      <c r="R998" s="3"/>
      <c r="S998" s="202"/>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row>
    <row r="999" spans="1:51" ht="15.75" customHeight="1">
      <c r="A999" s="3"/>
      <c r="B999" s="3"/>
      <c r="C999" s="3"/>
      <c r="D999" s="3"/>
      <c r="E999" s="3"/>
      <c r="F999" s="3"/>
      <c r="G999" s="3"/>
      <c r="H999" s="202"/>
      <c r="I999" s="202"/>
      <c r="J999" s="3"/>
      <c r="K999" s="3"/>
      <c r="L999" s="3"/>
      <c r="M999" s="3"/>
      <c r="N999" s="3"/>
      <c r="O999" s="3"/>
      <c r="P999" s="3"/>
      <c r="Q999" s="196"/>
      <c r="R999" s="3"/>
      <c r="S999" s="202"/>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row>
    <row r="1000" spans="1:51" ht="15.75" customHeight="1">
      <c r="A1000" s="3"/>
      <c r="B1000" s="3"/>
      <c r="C1000" s="3"/>
      <c r="D1000" s="3"/>
      <c r="E1000" s="3"/>
      <c r="F1000" s="3"/>
      <c r="G1000" s="3"/>
      <c r="H1000" s="202"/>
      <c r="I1000" s="202"/>
      <c r="J1000" s="3"/>
      <c r="K1000" s="3"/>
      <c r="L1000" s="3"/>
      <c r="M1000" s="3"/>
      <c r="N1000" s="3"/>
      <c r="O1000" s="3"/>
      <c r="P1000" s="3"/>
      <c r="Q1000" s="196"/>
      <c r="R1000" s="3"/>
      <c r="S1000" s="202"/>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row>
  </sheetData>
  <mergeCells count="392">
    <mergeCell ref="B64:B69"/>
    <mergeCell ref="C64:C72"/>
    <mergeCell ref="B70:B72"/>
    <mergeCell ref="B73:B84"/>
    <mergeCell ref="C73:C84"/>
    <mergeCell ref="A58:A63"/>
    <mergeCell ref="A64:A72"/>
    <mergeCell ref="A73:A84"/>
    <mergeCell ref="I46:I48"/>
    <mergeCell ref="E46:F48"/>
    <mergeCell ref="A49:A57"/>
    <mergeCell ref="B61:B63"/>
    <mergeCell ref="E25:F27"/>
    <mergeCell ref="E28:F30"/>
    <mergeCell ref="E49:F51"/>
    <mergeCell ref="E52:F54"/>
    <mergeCell ref="E61:F63"/>
    <mergeCell ref="B49:B57"/>
    <mergeCell ref="B58:B60"/>
    <mergeCell ref="B37:B39"/>
    <mergeCell ref="E37:F39"/>
    <mergeCell ref="J31:J33"/>
    <mergeCell ref="E34:F36"/>
    <mergeCell ref="G34:G36"/>
    <mergeCell ref="H34:H36"/>
    <mergeCell ref="I34:I36"/>
    <mergeCell ref="J34:J36"/>
    <mergeCell ref="B16:B30"/>
    <mergeCell ref="B34:B36"/>
    <mergeCell ref="A40:A48"/>
    <mergeCell ref="B40:B45"/>
    <mergeCell ref="B46:B48"/>
    <mergeCell ref="J46:J48"/>
    <mergeCell ref="H37:H39"/>
    <mergeCell ref="I37:I39"/>
    <mergeCell ref="J37:J39"/>
    <mergeCell ref="J43:J45"/>
    <mergeCell ref="I40:I42"/>
    <mergeCell ref="G46:G48"/>
    <mergeCell ref="H46:H48"/>
    <mergeCell ref="G37:G39"/>
    <mergeCell ref="E40:F42"/>
    <mergeCell ref="G40:G42"/>
    <mergeCell ref="H40:H42"/>
    <mergeCell ref="E43:F45"/>
    <mergeCell ref="G43:G45"/>
    <mergeCell ref="H28:H30"/>
    <mergeCell ref="E31:F33"/>
    <mergeCell ref="H31:H33"/>
    <mergeCell ref="G49:G51"/>
    <mergeCell ref="H49:H51"/>
    <mergeCell ref="I49:I51"/>
    <mergeCell ref="J49:J51"/>
    <mergeCell ref="H55:H57"/>
    <mergeCell ref="I55:I57"/>
    <mergeCell ref="G61:G63"/>
    <mergeCell ref="H61:H63"/>
    <mergeCell ref="H67:H69"/>
    <mergeCell ref="I67:I69"/>
    <mergeCell ref="G52:G54"/>
    <mergeCell ref="H52:H54"/>
    <mergeCell ref="I52:I54"/>
    <mergeCell ref="J52:J54"/>
    <mergeCell ref="G55:G57"/>
    <mergeCell ref="J55:J57"/>
    <mergeCell ref="I61:I63"/>
    <mergeCell ref="J61:J63"/>
    <mergeCell ref="E55:F57"/>
    <mergeCell ref="E58:F60"/>
    <mergeCell ref="G58:G60"/>
    <mergeCell ref="H58:H60"/>
    <mergeCell ref="I58:I60"/>
    <mergeCell ref="J58:J60"/>
    <mergeCell ref="H70:H72"/>
    <mergeCell ref="I70:I72"/>
    <mergeCell ref="J70:J72"/>
    <mergeCell ref="E67:F69"/>
    <mergeCell ref="G67:G69"/>
    <mergeCell ref="E70:F72"/>
    <mergeCell ref="G70:G72"/>
    <mergeCell ref="J67:J69"/>
    <mergeCell ref="D73:D75"/>
    <mergeCell ref="D76:D78"/>
    <mergeCell ref="E76:F78"/>
    <mergeCell ref="G76:G78"/>
    <mergeCell ref="H76:H78"/>
    <mergeCell ref="I76:I78"/>
    <mergeCell ref="J76:J78"/>
    <mergeCell ref="E64:F66"/>
    <mergeCell ref="G64:G66"/>
    <mergeCell ref="H64:H66"/>
    <mergeCell ref="I64:I66"/>
    <mergeCell ref="J64:J66"/>
    <mergeCell ref="H73:H75"/>
    <mergeCell ref="I73:I75"/>
    <mergeCell ref="J73:J75"/>
    <mergeCell ref="D70:D72"/>
    <mergeCell ref="E73:F75"/>
    <mergeCell ref="G73:G75"/>
    <mergeCell ref="D64:D69"/>
    <mergeCell ref="Q52:Q54"/>
    <mergeCell ref="R52:R54"/>
    <mergeCell ref="T52:T54"/>
    <mergeCell ref="U52:U54"/>
    <mergeCell ref="R55:R57"/>
    <mergeCell ref="T55:T57"/>
    <mergeCell ref="U55:U57"/>
    <mergeCell ref="Q55:Q57"/>
    <mergeCell ref="Q58:Q60"/>
    <mergeCell ref="R58:R60"/>
    <mergeCell ref="T58:T60"/>
    <mergeCell ref="U58:U60"/>
    <mergeCell ref="Q61:Q63"/>
    <mergeCell ref="R61:R63"/>
    <mergeCell ref="Q64:Q66"/>
    <mergeCell ref="R64:R66"/>
    <mergeCell ref="T64:T66"/>
    <mergeCell ref="U64:U66"/>
    <mergeCell ref="R67:R69"/>
    <mergeCell ref="T67:T69"/>
    <mergeCell ref="U67:U69"/>
    <mergeCell ref="T73:T75"/>
    <mergeCell ref="U73:U75"/>
    <mergeCell ref="Q67:Q69"/>
    <mergeCell ref="Q70:Q72"/>
    <mergeCell ref="R70:R72"/>
    <mergeCell ref="T70:T72"/>
    <mergeCell ref="U70:U72"/>
    <mergeCell ref="Q73:Q75"/>
    <mergeCell ref="R73:R75"/>
    <mergeCell ref="G89:G90"/>
    <mergeCell ref="H89:H90"/>
    <mergeCell ref="T89:T90"/>
    <mergeCell ref="U89:U90"/>
    <mergeCell ref="Q82:Q84"/>
    <mergeCell ref="A85:P85"/>
    <mergeCell ref="A87:U87"/>
    <mergeCell ref="A88:Q88"/>
    <mergeCell ref="R88:U88"/>
    <mergeCell ref="A89:D90"/>
    <mergeCell ref="E89:F90"/>
    <mergeCell ref="L89:P89"/>
    <mergeCell ref="I89:J89"/>
    <mergeCell ref="K89:K90"/>
    <mergeCell ref="D82:D84"/>
    <mergeCell ref="E82:F84"/>
    <mergeCell ref="G82:G84"/>
    <mergeCell ref="H82:H84"/>
    <mergeCell ref="I82:I84"/>
    <mergeCell ref="J82:J84"/>
    <mergeCell ref="Q98:Q100"/>
    <mergeCell ref="Q101:Q103"/>
    <mergeCell ref="R94:R97"/>
    <mergeCell ref="R98:R100"/>
    <mergeCell ref="T98:T100"/>
    <mergeCell ref="U98:U100"/>
    <mergeCell ref="Q76:Q78"/>
    <mergeCell ref="R76:R78"/>
    <mergeCell ref="T76:T78"/>
    <mergeCell ref="U76:U78"/>
    <mergeCell ref="R82:R84"/>
    <mergeCell ref="T82:T84"/>
    <mergeCell ref="U82:U84"/>
    <mergeCell ref="Q85:T85"/>
    <mergeCell ref="R89:R90"/>
    <mergeCell ref="S89:S90"/>
    <mergeCell ref="R91:R93"/>
    <mergeCell ref="T91:T93"/>
    <mergeCell ref="U91:U93"/>
    <mergeCell ref="T94:T97"/>
    <mergeCell ref="U94:U97"/>
    <mergeCell ref="Q89:Q90"/>
    <mergeCell ref="Q91:Q93"/>
    <mergeCell ref="Q94:Q97"/>
    <mergeCell ref="O96:O97"/>
    <mergeCell ref="P96:P97"/>
    <mergeCell ref="A91:D93"/>
    <mergeCell ref="A94:D97"/>
    <mergeCell ref="E94:F97"/>
    <mergeCell ref="G94:G97"/>
    <mergeCell ref="H94:H97"/>
    <mergeCell ref="I94:I97"/>
    <mergeCell ref="J94:J97"/>
    <mergeCell ref="E91:F93"/>
    <mergeCell ref="G91:G93"/>
    <mergeCell ref="H91:H93"/>
    <mergeCell ref="I91:I93"/>
    <mergeCell ref="J91:J93"/>
    <mergeCell ref="K96:K97"/>
    <mergeCell ref="L96:L97"/>
    <mergeCell ref="M96:M97"/>
    <mergeCell ref="N96:N97"/>
    <mergeCell ref="T101:T103"/>
    <mergeCell ref="U101:U103"/>
    <mergeCell ref="H101:H103"/>
    <mergeCell ref="I101:I103"/>
    <mergeCell ref="L114:P114"/>
    <mergeCell ref="Q114:Q115"/>
    <mergeCell ref="A107:D109"/>
    <mergeCell ref="A110:T110"/>
    <mergeCell ref="A112:Q112"/>
    <mergeCell ref="R112:U112"/>
    <mergeCell ref="A113:Q113"/>
    <mergeCell ref="R113:U113"/>
    <mergeCell ref="A114:D115"/>
    <mergeCell ref="Q104:Q106"/>
    <mergeCell ref="R104:R106"/>
    <mergeCell ref="T104:T106"/>
    <mergeCell ref="U104:U106"/>
    <mergeCell ref="Q107:Q109"/>
    <mergeCell ref="R107:R109"/>
    <mergeCell ref="T107:T109"/>
    <mergeCell ref="U107:U109"/>
    <mergeCell ref="T119:T121"/>
    <mergeCell ref="U119:U121"/>
    <mergeCell ref="R114:R115"/>
    <mergeCell ref="S114:S115"/>
    <mergeCell ref="Q116:Q118"/>
    <mergeCell ref="T116:T118"/>
    <mergeCell ref="U116:U118"/>
    <mergeCell ref="Q119:Q121"/>
    <mergeCell ref="R119:R121"/>
    <mergeCell ref="T114:T115"/>
    <mergeCell ref="U114:U115"/>
    <mergeCell ref="A119:D121"/>
    <mergeCell ref="A122:D124"/>
    <mergeCell ref="B131:E132"/>
    <mergeCell ref="H131:L132"/>
    <mergeCell ref="N131:P132"/>
    <mergeCell ref="B133:E133"/>
    <mergeCell ref="H133:L133"/>
    <mergeCell ref="N133:P133"/>
    <mergeCell ref="E119:H121"/>
    <mergeCell ref="I119:I121"/>
    <mergeCell ref="E122:H124"/>
    <mergeCell ref="I122:I124"/>
    <mergeCell ref="J122:J124"/>
    <mergeCell ref="Q122:Q124"/>
    <mergeCell ref="R122:R124"/>
    <mergeCell ref="E101:F103"/>
    <mergeCell ref="G101:G103"/>
    <mergeCell ref="E104:F106"/>
    <mergeCell ref="G104:G106"/>
    <mergeCell ref="H104:H106"/>
    <mergeCell ref="I104:I106"/>
    <mergeCell ref="J104:J106"/>
    <mergeCell ref="E107:F109"/>
    <mergeCell ref="G107:G109"/>
    <mergeCell ref="H107:H109"/>
    <mergeCell ref="I107:I109"/>
    <mergeCell ref="J107:J109"/>
    <mergeCell ref="J114:J115"/>
    <mergeCell ref="K114:K115"/>
    <mergeCell ref="E114:H115"/>
    <mergeCell ref="I114:I115"/>
    <mergeCell ref="R101:R103"/>
    <mergeCell ref="A98:D100"/>
    <mergeCell ref="E98:F100"/>
    <mergeCell ref="G98:G100"/>
    <mergeCell ref="H98:H100"/>
    <mergeCell ref="I98:I100"/>
    <mergeCell ref="J98:J100"/>
    <mergeCell ref="J101:J103"/>
    <mergeCell ref="A101:D103"/>
    <mergeCell ref="A104:D106"/>
    <mergeCell ref="A116:D118"/>
    <mergeCell ref="E116:H118"/>
    <mergeCell ref="I116:I118"/>
    <mergeCell ref="J116:J118"/>
    <mergeCell ref="J119:J121"/>
    <mergeCell ref="T122:T124"/>
    <mergeCell ref="U122:U124"/>
    <mergeCell ref="A125:T125"/>
    <mergeCell ref="L13:P13"/>
    <mergeCell ref="Q13:Q15"/>
    <mergeCell ref="L14:L15"/>
    <mergeCell ref="M14:M15"/>
    <mergeCell ref="N14:N15"/>
    <mergeCell ref="O14:O15"/>
    <mergeCell ref="P14:P15"/>
    <mergeCell ref="I14:I15"/>
    <mergeCell ref="J14:J15"/>
    <mergeCell ref="H25:H27"/>
    <mergeCell ref="T25:T27"/>
    <mergeCell ref="U25:U27"/>
    <mergeCell ref="Q25:Q27"/>
    <mergeCell ref="R25:R27"/>
    <mergeCell ref="H43:H45"/>
    <mergeCell ref="I43:I45"/>
    <mergeCell ref="A12:Q12"/>
    <mergeCell ref="R12:U12"/>
    <mergeCell ref="E13:F15"/>
    <mergeCell ref="G13:G15"/>
    <mergeCell ref="H13:H15"/>
    <mergeCell ref="A14:A15"/>
    <mergeCell ref="N16:N19"/>
    <mergeCell ref="O16:O19"/>
    <mergeCell ref="E16:F21"/>
    <mergeCell ref="H16:H21"/>
    <mergeCell ref="I16:I21"/>
    <mergeCell ref="J16:J21"/>
    <mergeCell ref="K16:K19"/>
    <mergeCell ref="L16:L19"/>
    <mergeCell ref="M16:M19"/>
    <mergeCell ref="A13:D13"/>
    <mergeCell ref="B14:D14"/>
    <mergeCell ref="A16:A39"/>
    <mergeCell ref="C16:C30"/>
    <mergeCell ref="D16:D30"/>
    <mergeCell ref="G16:G30"/>
    <mergeCell ref="G31:G33"/>
    <mergeCell ref="B31:B33"/>
    <mergeCell ref="I31:I33"/>
    <mergeCell ref="N4:U4"/>
    <mergeCell ref="N5:U5"/>
    <mergeCell ref="N6:U6"/>
    <mergeCell ref="A1:U1"/>
    <mergeCell ref="A2:U2"/>
    <mergeCell ref="A3:U3"/>
    <mergeCell ref="A4:D4"/>
    <mergeCell ref="E4:L4"/>
    <mergeCell ref="A5:D5"/>
    <mergeCell ref="E5:L5"/>
    <mergeCell ref="A6:D6"/>
    <mergeCell ref="E6:L6"/>
    <mergeCell ref="A7:D7"/>
    <mergeCell ref="E7:L7"/>
    <mergeCell ref="A8:D8"/>
    <mergeCell ref="E8:U8"/>
    <mergeCell ref="A9:U9"/>
    <mergeCell ref="I13:J13"/>
    <mergeCell ref="K13:K15"/>
    <mergeCell ref="E22:F24"/>
    <mergeCell ref="H22:H24"/>
    <mergeCell ref="Q16:Q21"/>
    <mergeCell ref="Q22:Q24"/>
    <mergeCell ref="R22:R24"/>
    <mergeCell ref="T22:T24"/>
    <mergeCell ref="U22:U24"/>
    <mergeCell ref="T13:T15"/>
    <mergeCell ref="U13:U15"/>
    <mergeCell ref="R13:R15"/>
    <mergeCell ref="S13:S15"/>
    <mergeCell ref="P16:P19"/>
    <mergeCell ref="R16:R21"/>
    <mergeCell ref="S16:S19"/>
    <mergeCell ref="T16:T21"/>
    <mergeCell ref="U16:U21"/>
    <mergeCell ref="A10:U10"/>
    <mergeCell ref="T40:T42"/>
    <mergeCell ref="U40:U42"/>
    <mergeCell ref="R43:R45"/>
    <mergeCell ref="T43:T45"/>
    <mergeCell ref="U43:U45"/>
    <mergeCell ref="Q43:Q45"/>
    <mergeCell ref="Q46:Q48"/>
    <mergeCell ref="R46:R48"/>
    <mergeCell ref="T46:T48"/>
    <mergeCell ref="U46:U48"/>
    <mergeCell ref="D52:D54"/>
    <mergeCell ref="D55:D57"/>
    <mergeCell ref="C34:C39"/>
    <mergeCell ref="D34:D36"/>
    <mergeCell ref="D37:D39"/>
    <mergeCell ref="C40:C48"/>
    <mergeCell ref="D40:D48"/>
    <mergeCell ref="C49:C57"/>
    <mergeCell ref="D49:D51"/>
    <mergeCell ref="T49:T51"/>
    <mergeCell ref="U49:U51"/>
    <mergeCell ref="T61:T63"/>
    <mergeCell ref="U61:U63"/>
    <mergeCell ref="Q28:Q30"/>
    <mergeCell ref="R28:R30"/>
    <mergeCell ref="T28:T30"/>
    <mergeCell ref="U28:U30"/>
    <mergeCell ref="R31:R33"/>
    <mergeCell ref="T31:T33"/>
    <mergeCell ref="U31:U33"/>
    <mergeCell ref="T37:T39"/>
    <mergeCell ref="U37:U39"/>
    <mergeCell ref="Q31:Q33"/>
    <mergeCell ref="Q34:Q36"/>
    <mergeCell ref="R34:R36"/>
    <mergeCell ref="T34:T36"/>
    <mergeCell ref="U34:U36"/>
    <mergeCell ref="Q37:Q39"/>
    <mergeCell ref="R37:R39"/>
    <mergeCell ref="Q49:Q51"/>
    <mergeCell ref="R49:R51"/>
    <mergeCell ref="Q40:Q42"/>
    <mergeCell ref="R40:R42"/>
  </mergeCells>
  <printOptions horizontalCentered="1"/>
  <pageMargins left="0" right="0" top="0.51" bottom="0.55000000000000004" header="0" footer="0"/>
  <pageSetup paperSize="14"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5623"/>
  </sheetPr>
  <dimension ref="A1:Z1000"/>
  <sheetViews>
    <sheetView zoomScale="55" zoomScaleNormal="55" workbookViewId="0">
      <selection activeCell="C4" sqref="C4:F5"/>
    </sheetView>
  </sheetViews>
  <sheetFormatPr defaultColWidth="14.42578125" defaultRowHeight="15" customHeight="1"/>
  <cols>
    <col min="1" max="1" width="1.42578125" customWidth="1"/>
    <col min="2" max="2" width="22.42578125" customWidth="1"/>
    <col min="3" max="3" width="47.28515625" customWidth="1"/>
    <col min="4" max="4" width="29.28515625" customWidth="1"/>
    <col min="5" max="5" width="14.140625" customWidth="1"/>
    <col min="6" max="6" width="30.85546875" customWidth="1"/>
    <col min="7" max="7" width="34" customWidth="1"/>
    <col min="8" max="8" width="55.42578125" customWidth="1"/>
    <col min="9" max="9" width="13.85546875" customWidth="1"/>
    <col min="10" max="10" width="21.42578125" customWidth="1"/>
    <col min="11" max="11" width="24.42578125" customWidth="1"/>
    <col min="12" max="12" width="9.42578125" customWidth="1"/>
    <col min="13" max="13" width="19.28515625" customWidth="1"/>
    <col min="14" max="14" width="28.85546875" customWidth="1"/>
    <col min="15" max="20" width="9.140625" customWidth="1"/>
  </cols>
  <sheetData>
    <row r="1" spans="1:26" ht="0.75" customHeight="1">
      <c r="A1" s="631" t="s">
        <v>657</v>
      </c>
      <c r="B1" s="352"/>
      <c r="C1" s="353"/>
      <c r="D1" s="353"/>
      <c r="E1" s="353"/>
      <c r="F1" s="353"/>
      <c r="G1" s="353"/>
      <c r="H1" s="353"/>
      <c r="I1" s="353"/>
      <c r="J1" s="353"/>
      <c r="K1" s="632"/>
      <c r="L1" s="633"/>
      <c r="M1" s="633"/>
      <c r="N1" s="633"/>
      <c r="O1" s="633"/>
      <c r="P1" s="633"/>
      <c r="Q1" s="633"/>
      <c r="R1" s="633"/>
      <c r="S1" s="633"/>
      <c r="T1" s="633"/>
    </row>
    <row r="2" spans="1:26" ht="18.75" customHeight="1">
      <c r="A2" s="633"/>
      <c r="B2" s="1" t="s">
        <v>658</v>
      </c>
      <c r="C2" s="3"/>
      <c r="D2" s="3"/>
      <c r="E2" s="3"/>
      <c r="F2" s="3"/>
      <c r="G2" s="3"/>
      <c r="H2" s="634"/>
      <c r="I2" s="3"/>
      <c r="J2" s="3"/>
      <c r="K2" s="632"/>
      <c r="L2" s="633"/>
      <c r="M2" s="633"/>
      <c r="N2" s="633"/>
      <c r="O2" s="633"/>
    </row>
    <row r="3" spans="1:26" ht="73.5" customHeight="1">
      <c r="A3" s="633"/>
      <c r="B3" s="635" t="s">
        <v>659</v>
      </c>
      <c r="C3" s="374"/>
      <c r="D3" s="374"/>
      <c r="E3" s="374"/>
      <c r="F3" s="374"/>
      <c r="G3" s="374"/>
      <c r="H3" s="374"/>
      <c r="I3" s="374"/>
      <c r="J3" s="386"/>
      <c r="K3" s="632"/>
      <c r="L3" s="633"/>
      <c r="M3" s="633"/>
      <c r="N3" s="633"/>
      <c r="O3" s="633"/>
    </row>
    <row r="4" spans="1:26" ht="23.25" customHeight="1">
      <c r="A4" s="633"/>
      <c r="B4" s="335" t="s">
        <v>660</v>
      </c>
      <c r="C4" s="333" t="s">
        <v>661</v>
      </c>
      <c r="D4" s="374"/>
      <c r="E4" s="374"/>
      <c r="F4" s="417"/>
      <c r="G4" s="333" t="s">
        <v>662</v>
      </c>
      <c r="H4" s="417"/>
      <c r="I4" s="338" t="s">
        <v>663</v>
      </c>
      <c r="J4" s="332" t="s">
        <v>664</v>
      </c>
      <c r="K4" s="636"/>
      <c r="L4" s="637" t="s">
        <v>665</v>
      </c>
      <c r="M4" s="357"/>
      <c r="N4" s="357"/>
      <c r="O4" s="633"/>
    </row>
    <row r="5" spans="1:26" ht="39" customHeight="1">
      <c r="A5" s="633"/>
      <c r="B5" s="424"/>
      <c r="C5" s="420"/>
      <c r="D5" s="494"/>
      <c r="E5" s="494"/>
      <c r="F5" s="421"/>
      <c r="G5" s="420"/>
      <c r="H5" s="421"/>
      <c r="I5" s="414"/>
      <c r="J5" s="423"/>
      <c r="K5" s="632"/>
      <c r="L5" s="11" t="s">
        <v>666</v>
      </c>
      <c r="M5" s="638" t="s">
        <v>667</v>
      </c>
      <c r="N5" s="638" t="s">
        <v>668</v>
      </c>
      <c r="O5" s="633"/>
    </row>
    <row r="6" spans="1:26" ht="34.5" customHeight="1">
      <c r="A6" s="639"/>
      <c r="B6" s="336" t="s">
        <v>669</v>
      </c>
      <c r="C6" s="640" t="s">
        <v>670</v>
      </c>
      <c r="D6" s="361"/>
      <c r="E6" s="361"/>
      <c r="F6" s="362"/>
      <c r="G6" s="641"/>
      <c r="H6" s="361"/>
      <c r="I6" s="14">
        <v>4</v>
      </c>
      <c r="J6" s="334">
        <f>AVERAGE(I6:I10)</f>
        <v>4.2</v>
      </c>
      <c r="K6" s="642"/>
      <c r="L6" s="15">
        <v>5</v>
      </c>
      <c r="M6" s="643" t="s">
        <v>671</v>
      </c>
      <c r="N6" s="643" t="s">
        <v>672</v>
      </c>
      <c r="O6" s="639"/>
      <c r="U6" s="16"/>
      <c r="V6" s="16"/>
      <c r="W6" s="16"/>
      <c r="X6" s="16"/>
      <c r="Y6" s="16"/>
      <c r="Z6" s="16"/>
    </row>
    <row r="7" spans="1:26" ht="34.5" customHeight="1">
      <c r="A7" s="639"/>
      <c r="B7" s="412"/>
      <c r="C7" s="640" t="s">
        <v>673</v>
      </c>
      <c r="D7" s="361"/>
      <c r="E7" s="361"/>
      <c r="F7" s="362"/>
      <c r="G7" s="641"/>
      <c r="H7" s="361"/>
      <c r="I7" s="14">
        <v>4</v>
      </c>
      <c r="J7" s="382"/>
      <c r="K7" s="642"/>
      <c r="L7" s="15">
        <v>4</v>
      </c>
      <c r="M7" s="643" t="s">
        <v>674</v>
      </c>
      <c r="N7" s="643" t="s">
        <v>675</v>
      </c>
      <c r="O7" s="639"/>
      <c r="U7" s="16"/>
      <c r="V7" s="16"/>
      <c r="W7" s="16"/>
      <c r="X7" s="16"/>
      <c r="Y7" s="16"/>
      <c r="Z7" s="16"/>
    </row>
    <row r="8" spans="1:26" ht="34.5" customHeight="1">
      <c r="A8" s="639"/>
      <c r="B8" s="412"/>
      <c r="C8" s="640" t="s">
        <v>676</v>
      </c>
      <c r="D8" s="361"/>
      <c r="E8" s="361"/>
      <c r="F8" s="362"/>
      <c r="G8" s="641"/>
      <c r="H8" s="361"/>
      <c r="I8" s="14">
        <v>4</v>
      </c>
      <c r="J8" s="382"/>
      <c r="K8" s="642"/>
      <c r="L8" s="15">
        <v>3</v>
      </c>
      <c r="M8" s="643" t="s">
        <v>677</v>
      </c>
      <c r="N8" s="643" t="s">
        <v>678</v>
      </c>
      <c r="O8" s="639"/>
      <c r="U8" s="16"/>
      <c r="V8" s="16"/>
      <c r="W8" s="16"/>
      <c r="X8" s="16"/>
      <c r="Y8" s="16"/>
      <c r="Z8" s="16"/>
    </row>
    <row r="9" spans="1:26" ht="34.5" customHeight="1">
      <c r="A9" s="639"/>
      <c r="B9" s="412"/>
      <c r="C9" s="640" t="s">
        <v>679</v>
      </c>
      <c r="D9" s="361"/>
      <c r="E9" s="361"/>
      <c r="F9" s="362"/>
      <c r="G9" s="641"/>
      <c r="H9" s="361"/>
      <c r="I9" s="14">
        <v>4</v>
      </c>
      <c r="J9" s="382"/>
      <c r="K9" s="642"/>
      <c r="L9" s="15">
        <v>2</v>
      </c>
      <c r="M9" s="643" t="s">
        <v>680</v>
      </c>
      <c r="N9" s="643" t="s">
        <v>681</v>
      </c>
      <c r="O9" s="639"/>
      <c r="U9" s="16"/>
      <c r="V9" s="16"/>
      <c r="W9" s="16"/>
      <c r="X9" s="16"/>
      <c r="Y9" s="16"/>
      <c r="Z9" s="16"/>
    </row>
    <row r="10" spans="1:26" ht="34.5" customHeight="1">
      <c r="A10" s="639"/>
      <c r="B10" s="424"/>
      <c r="C10" s="644" t="s">
        <v>682</v>
      </c>
      <c r="D10" s="361"/>
      <c r="E10" s="361"/>
      <c r="F10" s="362"/>
      <c r="G10" s="641"/>
      <c r="H10" s="361"/>
      <c r="I10" s="14">
        <v>5</v>
      </c>
      <c r="J10" s="645"/>
      <c r="K10" s="642"/>
      <c r="L10" s="15">
        <v>1</v>
      </c>
      <c r="M10" s="643" t="s">
        <v>683</v>
      </c>
      <c r="N10" s="643" t="s">
        <v>684</v>
      </c>
      <c r="O10" s="639"/>
      <c r="U10" s="16"/>
      <c r="V10" s="16"/>
      <c r="W10" s="16"/>
      <c r="X10" s="16"/>
      <c r="Y10" s="16"/>
      <c r="Z10" s="16"/>
    </row>
    <row r="11" spans="1:26" ht="43.5" customHeight="1">
      <c r="A11" s="639"/>
      <c r="B11" s="337" t="s">
        <v>685</v>
      </c>
      <c r="C11" s="646" t="s">
        <v>686</v>
      </c>
      <c r="D11" s="361"/>
      <c r="E11" s="361"/>
      <c r="F11" s="362"/>
      <c r="G11" s="641"/>
      <c r="H11" s="361"/>
      <c r="I11" s="14">
        <v>5</v>
      </c>
      <c r="J11" s="334">
        <f>AVERAGE(I11:I15)</f>
        <v>4.2</v>
      </c>
      <c r="K11" s="642"/>
      <c r="L11" s="647"/>
      <c r="M11" s="647"/>
      <c r="N11" s="647"/>
      <c r="O11" s="639"/>
      <c r="U11" s="16"/>
      <c r="V11" s="16"/>
      <c r="W11" s="16"/>
      <c r="X11" s="16"/>
      <c r="Y11" s="16"/>
      <c r="Z11" s="16"/>
    </row>
    <row r="12" spans="1:26" ht="34.5" customHeight="1">
      <c r="A12" s="639"/>
      <c r="B12" s="412"/>
      <c r="C12" s="646" t="s">
        <v>687</v>
      </c>
      <c r="D12" s="361"/>
      <c r="E12" s="361"/>
      <c r="F12" s="362"/>
      <c r="G12" s="641"/>
      <c r="H12" s="361"/>
      <c r="I12" s="14">
        <v>4</v>
      </c>
      <c r="J12" s="382"/>
      <c r="K12" s="642"/>
      <c r="L12" s="647"/>
      <c r="M12" s="647"/>
      <c r="N12" s="647"/>
      <c r="O12" s="639"/>
      <c r="U12" s="16"/>
      <c r="V12" s="16"/>
      <c r="W12" s="16"/>
      <c r="X12" s="16"/>
      <c r="Y12" s="16"/>
      <c r="Z12" s="16"/>
    </row>
    <row r="13" spans="1:26" ht="34.5" customHeight="1">
      <c r="A13" s="639"/>
      <c r="B13" s="412"/>
      <c r="C13" s="646" t="s">
        <v>688</v>
      </c>
      <c r="D13" s="361"/>
      <c r="E13" s="361"/>
      <c r="F13" s="362"/>
      <c r="G13" s="641"/>
      <c r="H13" s="361"/>
      <c r="I13" s="14">
        <v>5</v>
      </c>
      <c r="J13" s="382"/>
      <c r="K13" s="642"/>
      <c r="L13" s="647"/>
      <c r="M13" s="647"/>
      <c r="N13" s="647"/>
      <c r="O13" s="639"/>
      <c r="U13" s="16"/>
      <c r="V13" s="16"/>
      <c r="W13" s="16"/>
      <c r="X13" s="16"/>
      <c r="Y13" s="16"/>
      <c r="Z13" s="16"/>
    </row>
    <row r="14" spans="1:26" ht="34.5" customHeight="1">
      <c r="A14" s="639"/>
      <c r="B14" s="412"/>
      <c r="C14" s="646" t="s">
        <v>689</v>
      </c>
      <c r="D14" s="361"/>
      <c r="E14" s="361"/>
      <c r="F14" s="362"/>
      <c r="G14" s="641"/>
      <c r="H14" s="361"/>
      <c r="I14" s="14">
        <v>3</v>
      </c>
      <c r="J14" s="382"/>
      <c r="K14" s="642"/>
      <c r="L14" s="647"/>
      <c r="M14" s="647"/>
      <c r="N14" s="647"/>
      <c r="O14" s="639"/>
      <c r="U14" s="16"/>
      <c r="V14" s="16"/>
      <c r="W14" s="16"/>
      <c r="X14" s="16"/>
      <c r="Y14" s="16"/>
      <c r="Z14" s="16"/>
    </row>
    <row r="15" spans="1:26" ht="34.5" customHeight="1">
      <c r="A15" s="639"/>
      <c r="B15" s="424"/>
      <c r="C15" s="648" t="s">
        <v>690</v>
      </c>
      <c r="D15" s="361"/>
      <c r="E15" s="361"/>
      <c r="F15" s="362"/>
      <c r="G15" s="641"/>
      <c r="H15" s="361"/>
      <c r="I15" s="14">
        <v>4</v>
      </c>
      <c r="J15" s="645"/>
      <c r="K15" s="642"/>
      <c r="L15" s="647"/>
      <c r="M15" s="647"/>
      <c r="N15" s="647"/>
      <c r="O15" s="639"/>
      <c r="U15" s="16"/>
      <c r="V15" s="16"/>
      <c r="W15" s="16"/>
      <c r="X15" s="16"/>
      <c r="Y15" s="16"/>
      <c r="Z15" s="16"/>
    </row>
    <row r="16" spans="1:26" ht="34.5" customHeight="1">
      <c r="A16" s="639"/>
      <c r="B16" s="336" t="s">
        <v>691</v>
      </c>
      <c r="C16" s="648" t="s">
        <v>692</v>
      </c>
      <c r="D16" s="361"/>
      <c r="E16" s="361"/>
      <c r="F16" s="362"/>
      <c r="G16" s="641"/>
      <c r="H16" s="361"/>
      <c r="I16" s="14">
        <v>5</v>
      </c>
      <c r="J16" s="334">
        <f>AVERAGE(I16:I20)</f>
        <v>4.4000000000000004</v>
      </c>
      <c r="K16" s="642"/>
      <c r="L16" s="647"/>
      <c r="M16" s="647"/>
      <c r="N16" s="647"/>
      <c r="O16" s="639"/>
      <c r="U16" s="16"/>
      <c r="V16" s="16"/>
      <c r="W16" s="16"/>
      <c r="X16" s="16"/>
      <c r="Y16" s="16"/>
      <c r="Z16" s="16"/>
    </row>
    <row r="17" spans="1:26" ht="34.5" customHeight="1">
      <c r="A17" s="639"/>
      <c r="B17" s="412"/>
      <c r="C17" s="648" t="s">
        <v>693</v>
      </c>
      <c r="D17" s="361"/>
      <c r="E17" s="361"/>
      <c r="F17" s="362"/>
      <c r="G17" s="641"/>
      <c r="H17" s="361"/>
      <c r="I17" s="14">
        <v>4</v>
      </c>
      <c r="J17" s="382"/>
      <c r="K17" s="642"/>
      <c r="L17" s="647"/>
      <c r="M17" s="647"/>
      <c r="N17" s="647"/>
      <c r="O17" s="639"/>
      <c r="U17" s="16"/>
      <c r="V17" s="16"/>
      <c r="W17" s="16"/>
      <c r="X17" s="16"/>
      <c r="Y17" s="16"/>
      <c r="Z17" s="16"/>
    </row>
    <row r="18" spans="1:26" ht="34.5" customHeight="1">
      <c r="A18" s="639"/>
      <c r="B18" s="412"/>
      <c r="C18" s="648" t="s">
        <v>694</v>
      </c>
      <c r="D18" s="361"/>
      <c r="E18" s="361"/>
      <c r="F18" s="362"/>
      <c r="G18" s="641"/>
      <c r="H18" s="361"/>
      <c r="I18" s="14">
        <v>5</v>
      </c>
      <c r="J18" s="382"/>
      <c r="K18" s="642"/>
      <c r="L18" s="647"/>
      <c r="M18" s="647"/>
      <c r="N18" s="647"/>
      <c r="O18" s="639"/>
      <c r="U18" s="16"/>
      <c r="V18" s="16"/>
      <c r="W18" s="16"/>
      <c r="X18" s="16"/>
      <c r="Y18" s="16"/>
      <c r="Z18" s="16"/>
    </row>
    <row r="19" spans="1:26" ht="34.5" customHeight="1">
      <c r="A19" s="639"/>
      <c r="B19" s="412"/>
      <c r="C19" s="648" t="s">
        <v>695</v>
      </c>
      <c r="D19" s="361"/>
      <c r="E19" s="361"/>
      <c r="F19" s="362"/>
      <c r="G19" s="641"/>
      <c r="H19" s="361"/>
      <c r="I19" s="14">
        <v>4</v>
      </c>
      <c r="J19" s="382"/>
      <c r="K19" s="642"/>
      <c r="L19" s="647"/>
      <c r="M19" s="647"/>
      <c r="N19" s="647"/>
      <c r="O19" s="639"/>
      <c r="U19" s="16"/>
      <c r="V19" s="16"/>
      <c r="W19" s="16"/>
      <c r="X19" s="16"/>
      <c r="Y19" s="16"/>
      <c r="Z19" s="16"/>
    </row>
    <row r="20" spans="1:26" ht="34.5" customHeight="1">
      <c r="A20" s="639"/>
      <c r="B20" s="424"/>
      <c r="C20" s="648" t="s">
        <v>696</v>
      </c>
      <c r="D20" s="361"/>
      <c r="E20" s="361"/>
      <c r="F20" s="362"/>
      <c r="G20" s="641"/>
      <c r="H20" s="361"/>
      <c r="I20" s="14">
        <v>4</v>
      </c>
      <c r="J20" s="645"/>
      <c r="K20" s="642"/>
      <c r="L20" s="647"/>
      <c r="M20" s="647"/>
      <c r="N20" s="647"/>
      <c r="O20" s="639"/>
      <c r="U20" s="16"/>
      <c r="V20" s="16"/>
      <c r="W20" s="16"/>
      <c r="X20" s="16"/>
      <c r="Y20" s="16"/>
      <c r="Z20" s="16"/>
    </row>
    <row r="21" spans="1:26" ht="34.5" customHeight="1">
      <c r="A21" s="633"/>
      <c r="B21" s="329" t="s">
        <v>697</v>
      </c>
      <c r="C21" s="370"/>
      <c r="D21" s="370"/>
      <c r="E21" s="370"/>
      <c r="F21" s="370"/>
      <c r="G21" s="370"/>
      <c r="H21" s="370"/>
      <c r="I21" s="371"/>
      <c r="J21" s="24">
        <f>AVERAGE(J6:J20)*0.025</f>
        <v>0.10666666666666667</v>
      </c>
      <c r="K21" s="649"/>
      <c r="L21" s="650"/>
      <c r="M21" s="650"/>
      <c r="N21" s="650"/>
      <c r="O21" s="633"/>
    </row>
    <row r="22" spans="1:26" ht="55.5" customHeight="1">
      <c r="A22" s="633"/>
      <c r="B22" s="651" t="s">
        <v>698</v>
      </c>
      <c r="C22" s="375"/>
      <c r="D22" s="375"/>
      <c r="E22" s="375"/>
      <c r="F22" s="375"/>
      <c r="G22" s="375"/>
      <c r="H22" s="375"/>
      <c r="I22" s="375"/>
      <c r="J22" s="375"/>
      <c r="K22" s="632"/>
      <c r="L22" s="650"/>
      <c r="M22" s="650"/>
      <c r="N22" s="650"/>
      <c r="O22" s="633"/>
    </row>
    <row r="23" spans="1:26" ht="34.5" customHeight="1">
      <c r="A23" s="633"/>
      <c r="B23" s="335" t="s">
        <v>660</v>
      </c>
      <c r="C23" s="333" t="s">
        <v>661</v>
      </c>
      <c r="D23" s="374"/>
      <c r="E23" s="374"/>
      <c r="F23" s="417"/>
      <c r="G23" s="333" t="s">
        <v>662</v>
      </c>
      <c r="H23" s="417"/>
      <c r="I23" s="338" t="s">
        <v>699</v>
      </c>
      <c r="J23" s="332" t="s">
        <v>664</v>
      </c>
      <c r="K23" s="632"/>
      <c r="L23" s="650"/>
      <c r="M23" s="650"/>
      <c r="N23" s="650"/>
      <c r="O23" s="633"/>
    </row>
    <row r="24" spans="1:26" ht="34.5" customHeight="1">
      <c r="A24" s="633"/>
      <c r="B24" s="424"/>
      <c r="C24" s="420"/>
      <c r="D24" s="494"/>
      <c r="E24" s="494"/>
      <c r="F24" s="421"/>
      <c r="G24" s="420"/>
      <c r="H24" s="421"/>
      <c r="I24" s="422"/>
      <c r="J24" s="423"/>
      <c r="K24" s="632"/>
      <c r="L24" s="650"/>
      <c r="M24" s="650"/>
      <c r="N24" s="650"/>
      <c r="O24" s="633"/>
    </row>
    <row r="25" spans="1:26" ht="34.5" customHeight="1">
      <c r="A25" s="639"/>
      <c r="B25" s="330" t="s">
        <v>700</v>
      </c>
      <c r="C25" s="652" t="s">
        <v>701</v>
      </c>
      <c r="D25" s="361"/>
      <c r="E25" s="361"/>
      <c r="F25" s="362"/>
      <c r="G25" s="653"/>
      <c r="H25" s="362"/>
      <c r="I25" s="14">
        <v>4</v>
      </c>
      <c r="J25" s="654">
        <f>AVERAGE(I25:I29)</f>
        <v>4.2</v>
      </c>
      <c r="K25" s="642"/>
      <c r="L25" s="647"/>
      <c r="M25" s="647"/>
      <c r="N25" s="647"/>
      <c r="O25" s="639"/>
      <c r="U25" s="16"/>
      <c r="V25" s="16"/>
      <c r="W25" s="16"/>
      <c r="X25" s="16"/>
      <c r="Y25" s="16"/>
      <c r="Z25" s="16"/>
    </row>
    <row r="26" spans="1:26" ht="34.5" customHeight="1">
      <c r="A26" s="639"/>
      <c r="B26" s="412"/>
      <c r="C26" s="652" t="s">
        <v>702</v>
      </c>
      <c r="D26" s="361"/>
      <c r="E26" s="361"/>
      <c r="F26" s="362"/>
      <c r="G26" s="653"/>
      <c r="H26" s="362"/>
      <c r="I26" s="14">
        <v>4</v>
      </c>
      <c r="J26" s="415"/>
      <c r="K26" s="642"/>
      <c r="L26" s="639"/>
      <c r="M26" s="639"/>
      <c r="N26" s="639"/>
      <c r="O26" s="639"/>
      <c r="U26" s="16"/>
      <c r="V26" s="16"/>
      <c r="W26" s="16"/>
      <c r="X26" s="16"/>
      <c r="Y26" s="16"/>
      <c r="Z26" s="16"/>
    </row>
    <row r="27" spans="1:26" ht="34.5" customHeight="1">
      <c r="A27" s="639"/>
      <c r="B27" s="412"/>
      <c r="C27" s="652" t="s">
        <v>703</v>
      </c>
      <c r="D27" s="361"/>
      <c r="E27" s="361"/>
      <c r="F27" s="362"/>
      <c r="G27" s="653"/>
      <c r="H27" s="362"/>
      <c r="I27" s="14">
        <v>5</v>
      </c>
      <c r="J27" s="415"/>
      <c r="K27" s="642"/>
      <c r="L27" s="639"/>
      <c r="M27" s="639"/>
      <c r="N27" s="639"/>
      <c r="O27" s="639"/>
      <c r="U27" s="16"/>
      <c r="V27" s="16"/>
      <c r="W27" s="16"/>
      <c r="X27" s="16"/>
      <c r="Y27" s="16"/>
      <c r="Z27" s="16"/>
    </row>
    <row r="28" spans="1:26" ht="34.5" customHeight="1">
      <c r="A28" s="639"/>
      <c r="B28" s="412"/>
      <c r="C28" s="652" t="s">
        <v>704</v>
      </c>
      <c r="D28" s="361"/>
      <c r="E28" s="361"/>
      <c r="F28" s="362"/>
      <c r="G28" s="653"/>
      <c r="H28" s="362"/>
      <c r="I28" s="14">
        <v>4</v>
      </c>
      <c r="J28" s="415"/>
      <c r="K28" s="642"/>
      <c r="L28" s="639"/>
      <c r="M28" s="639"/>
      <c r="N28" s="639"/>
      <c r="O28" s="639"/>
      <c r="U28" s="16"/>
      <c r="V28" s="16"/>
      <c r="W28" s="16"/>
      <c r="X28" s="16"/>
      <c r="Y28" s="16"/>
      <c r="Z28" s="16"/>
    </row>
    <row r="29" spans="1:26" ht="34.5" customHeight="1">
      <c r="A29" s="639"/>
      <c r="B29" s="424"/>
      <c r="C29" s="652" t="s">
        <v>705</v>
      </c>
      <c r="D29" s="361"/>
      <c r="E29" s="361"/>
      <c r="F29" s="362"/>
      <c r="G29" s="653"/>
      <c r="H29" s="362"/>
      <c r="I29" s="14">
        <v>4</v>
      </c>
      <c r="J29" s="423"/>
      <c r="K29" s="642"/>
      <c r="L29" s="639"/>
      <c r="M29" s="639"/>
      <c r="N29" s="639"/>
      <c r="O29" s="639"/>
      <c r="U29" s="16"/>
      <c r="V29" s="16"/>
      <c r="W29" s="16"/>
      <c r="X29" s="16"/>
      <c r="Y29" s="16"/>
      <c r="Z29" s="16"/>
    </row>
    <row r="30" spans="1:26" ht="34.5" customHeight="1">
      <c r="A30" s="639"/>
      <c r="B30" s="331" t="s">
        <v>706</v>
      </c>
      <c r="C30" s="652" t="s">
        <v>707</v>
      </c>
      <c r="D30" s="361"/>
      <c r="E30" s="361"/>
      <c r="F30" s="362"/>
      <c r="G30" s="653"/>
      <c r="H30" s="362"/>
      <c r="I30" s="14">
        <v>4</v>
      </c>
      <c r="J30" s="654">
        <f>AVERAGE(I30:I34)</f>
        <v>4.2</v>
      </c>
      <c r="K30" s="642"/>
      <c r="L30" s="639"/>
      <c r="M30" s="639"/>
      <c r="N30" s="639"/>
      <c r="O30" s="639"/>
      <c r="U30" s="16"/>
      <c r="V30" s="16"/>
      <c r="W30" s="16"/>
      <c r="X30" s="16"/>
      <c r="Y30" s="16"/>
      <c r="Z30" s="16"/>
    </row>
    <row r="31" spans="1:26" ht="34.5" customHeight="1">
      <c r="A31" s="639"/>
      <c r="B31" s="412"/>
      <c r="C31" s="652" t="s">
        <v>708</v>
      </c>
      <c r="D31" s="361"/>
      <c r="E31" s="361"/>
      <c r="F31" s="362"/>
      <c r="G31" s="653"/>
      <c r="H31" s="362"/>
      <c r="I31" s="14">
        <v>4</v>
      </c>
      <c r="J31" s="415"/>
      <c r="K31" s="642"/>
      <c r="L31" s="639"/>
      <c r="M31" s="639"/>
      <c r="N31" s="639"/>
      <c r="O31" s="639"/>
      <c r="U31" s="16"/>
      <c r="V31" s="16"/>
      <c r="W31" s="16"/>
      <c r="X31" s="16"/>
      <c r="Y31" s="16"/>
      <c r="Z31" s="16"/>
    </row>
    <row r="32" spans="1:26" ht="34.5" customHeight="1">
      <c r="A32" s="639"/>
      <c r="B32" s="412"/>
      <c r="C32" s="652" t="s">
        <v>709</v>
      </c>
      <c r="D32" s="361"/>
      <c r="E32" s="361"/>
      <c r="F32" s="362"/>
      <c r="G32" s="653"/>
      <c r="H32" s="362"/>
      <c r="I32" s="14">
        <v>4</v>
      </c>
      <c r="J32" s="415"/>
      <c r="K32" s="642"/>
      <c r="L32" s="639"/>
      <c r="M32" s="639"/>
      <c r="N32" s="639"/>
      <c r="O32" s="639"/>
      <c r="U32" s="16"/>
      <c r="V32" s="16"/>
      <c r="W32" s="16"/>
      <c r="X32" s="16"/>
      <c r="Y32" s="16"/>
      <c r="Z32" s="16"/>
    </row>
    <row r="33" spans="1:26" ht="34.5" customHeight="1">
      <c r="A33" s="639"/>
      <c r="B33" s="412"/>
      <c r="C33" s="652" t="s">
        <v>710</v>
      </c>
      <c r="D33" s="361"/>
      <c r="E33" s="361"/>
      <c r="F33" s="362"/>
      <c r="G33" s="653"/>
      <c r="H33" s="362"/>
      <c r="I33" s="14">
        <v>5</v>
      </c>
      <c r="J33" s="415"/>
      <c r="K33" s="642"/>
      <c r="L33" s="639"/>
      <c r="M33" s="639"/>
      <c r="N33" s="639"/>
      <c r="O33" s="639"/>
      <c r="U33" s="16"/>
      <c r="V33" s="16"/>
      <c r="W33" s="16"/>
      <c r="X33" s="16"/>
      <c r="Y33" s="16"/>
      <c r="Z33" s="16"/>
    </row>
    <row r="34" spans="1:26" ht="34.5" customHeight="1">
      <c r="A34" s="639"/>
      <c r="B34" s="424"/>
      <c r="C34" s="652" t="s">
        <v>711</v>
      </c>
      <c r="D34" s="361"/>
      <c r="E34" s="361"/>
      <c r="F34" s="362"/>
      <c r="G34" s="653"/>
      <c r="H34" s="362"/>
      <c r="I34" s="14">
        <v>4</v>
      </c>
      <c r="J34" s="423"/>
      <c r="K34" s="642"/>
      <c r="L34" s="639"/>
      <c r="M34" s="639"/>
      <c r="N34" s="639"/>
      <c r="O34" s="639"/>
      <c r="U34" s="16"/>
      <c r="V34" s="16"/>
      <c r="W34" s="16"/>
      <c r="X34" s="16"/>
      <c r="Y34" s="16"/>
      <c r="Z34" s="16"/>
    </row>
    <row r="35" spans="1:26" ht="34.5" customHeight="1">
      <c r="A35" s="639"/>
      <c r="B35" s="330" t="s">
        <v>712</v>
      </c>
      <c r="C35" s="652" t="s">
        <v>713</v>
      </c>
      <c r="D35" s="361"/>
      <c r="E35" s="361"/>
      <c r="F35" s="362"/>
      <c r="G35" s="653"/>
      <c r="H35" s="362"/>
      <c r="I35" s="14">
        <v>4</v>
      </c>
      <c r="J35" s="654">
        <f>AVERAGE(I35:I39)</f>
        <v>4</v>
      </c>
      <c r="K35" s="642"/>
      <c r="L35" s="639"/>
      <c r="M35" s="639"/>
      <c r="N35" s="639"/>
      <c r="O35" s="639"/>
      <c r="U35" s="16"/>
      <c r="V35" s="16"/>
      <c r="W35" s="16"/>
      <c r="X35" s="16"/>
      <c r="Y35" s="16"/>
      <c r="Z35" s="16"/>
    </row>
    <row r="36" spans="1:26" ht="34.5" customHeight="1">
      <c r="A36" s="639"/>
      <c r="B36" s="412"/>
      <c r="C36" s="652" t="s">
        <v>714</v>
      </c>
      <c r="D36" s="361"/>
      <c r="E36" s="361"/>
      <c r="F36" s="362"/>
      <c r="G36" s="653"/>
      <c r="H36" s="362"/>
      <c r="I36" s="14">
        <v>4</v>
      </c>
      <c r="J36" s="415"/>
      <c r="K36" s="642"/>
      <c r="L36" s="639"/>
      <c r="M36" s="639"/>
      <c r="N36" s="639"/>
      <c r="O36" s="639"/>
      <c r="U36" s="16"/>
      <c r="V36" s="16"/>
      <c r="W36" s="16"/>
      <c r="X36" s="16"/>
      <c r="Y36" s="16"/>
      <c r="Z36" s="16"/>
    </row>
    <row r="37" spans="1:26" ht="51.75" customHeight="1">
      <c r="A37" s="639"/>
      <c r="B37" s="412"/>
      <c r="C37" s="646" t="s">
        <v>715</v>
      </c>
      <c r="D37" s="361"/>
      <c r="E37" s="361"/>
      <c r="F37" s="362"/>
      <c r="G37" s="653"/>
      <c r="H37" s="362"/>
      <c r="I37" s="14">
        <v>4</v>
      </c>
      <c r="J37" s="415"/>
      <c r="K37" s="642"/>
      <c r="L37" s="639"/>
      <c r="M37" s="639"/>
      <c r="N37" s="639"/>
      <c r="O37" s="639"/>
      <c r="U37" s="16"/>
      <c r="V37" s="16"/>
      <c r="W37" s="16"/>
      <c r="X37" s="16"/>
      <c r="Y37" s="16"/>
      <c r="Z37" s="16"/>
    </row>
    <row r="38" spans="1:26" ht="34.5" customHeight="1">
      <c r="A38" s="639"/>
      <c r="B38" s="412"/>
      <c r="C38" s="652" t="s">
        <v>716</v>
      </c>
      <c r="D38" s="361"/>
      <c r="E38" s="361"/>
      <c r="F38" s="362"/>
      <c r="G38" s="653"/>
      <c r="H38" s="362"/>
      <c r="I38" s="14">
        <v>4</v>
      </c>
      <c r="J38" s="415"/>
      <c r="K38" s="642"/>
      <c r="L38" s="639"/>
      <c r="M38" s="639"/>
      <c r="N38" s="639"/>
      <c r="O38" s="639"/>
      <c r="U38" s="16"/>
      <c r="V38" s="16"/>
      <c r="W38" s="16"/>
      <c r="X38" s="16"/>
      <c r="Y38" s="16"/>
      <c r="Z38" s="16"/>
    </row>
    <row r="39" spans="1:26" ht="51" customHeight="1">
      <c r="A39" s="639"/>
      <c r="B39" s="424"/>
      <c r="C39" s="648" t="s">
        <v>717</v>
      </c>
      <c r="D39" s="361"/>
      <c r="E39" s="361"/>
      <c r="F39" s="362"/>
      <c r="G39" s="653"/>
      <c r="H39" s="362"/>
      <c r="I39" s="14">
        <v>4</v>
      </c>
      <c r="J39" s="423"/>
      <c r="K39" s="642"/>
      <c r="L39" s="639"/>
      <c r="M39" s="639"/>
      <c r="N39" s="639"/>
      <c r="O39" s="639"/>
      <c r="U39" s="16"/>
      <c r="V39" s="16"/>
      <c r="W39" s="16"/>
      <c r="X39" s="16"/>
      <c r="Y39" s="16"/>
      <c r="Z39" s="16"/>
    </row>
    <row r="40" spans="1:26" ht="34.5" customHeight="1">
      <c r="A40" s="639"/>
      <c r="B40" s="330" t="s">
        <v>718</v>
      </c>
      <c r="C40" s="652" t="s">
        <v>719</v>
      </c>
      <c r="D40" s="361"/>
      <c r="E40" s="361"/>
      <c r="F40" s="362"/>
      <c r="G40" s="653"/>
      <c r="H40" s="362"/>
      <c r="I40" s="14">
        <v>5</v>
      </c>
      <c r="J40" s="654">
        <f>AVERAGE(I40:I44)</f>
        <v>4.8</v>
      </c>
      <c r="K40" s="642"/>
      <c r="L40" s="639"/>
      <c r="M40" s="639"/>
      <c r="N40" s="639"/>
      <c r="O40" s="639"/>
      <c r="U40" s="16"/>
      <c r="V40" s="16"/>
      <c r="W40" s="16"/>
      <c r="X40" s="16"/>
      <c r="Y40" s="16"/>
      <c r="Z40" s="16"/>
    </row>
    <row r="41" spans="1:26" ht="34.5" customHeight="1">
      <c r="A41" s="639"/>
      <c r="B41" s="412"/>
      <c r="C41" s="652" t="s">
        <v>720</v>
      </c>
      <c r="D41" s="361"/>
      <c r="E41" s="361"/>
      <c r="F41" s="362"/>
      <c r="G41" s="653"/>
      <c r="H41" s="362"/>
      <c r="I41" s="14">
        <v>5</v>
      </c>
      <c r="J41" s="415"/>
      <c r="K41" s="642"/>
      <c r="L41" s="639"/>
      <c r="M41" s="639"/>
      <c r="N41" s="639"/>
      <c r="O41" s="639"/>
      <c r="U41" s="16"/>
      <c r="V41" s="16"/>
      <c r="W41" s="16"/>
      <c r="X41" s="16"/>
      <c r="Y41" s="16"/>
      <c r="Z41" s="16"/>
    </row>
    <row r="42" spans="1:26" ht="34.5" customHeight="1">
      <c r="A42" s="639"/>
      <c r="B42" s="412"/>
      <c r="C42" s="652" t="s">
        <v>721</v>
      </c>
      <c r="D42" s="361"/>
      <c r="E42" s="361"/>
      <c r="F42" s="362"/>
      <c r="G42" s="653"/>
      <c r="H42" s="362"/>
      <c r="I42" s="14">
        <v>5</v>
      </c>
      <c r="J42" s="415"/>
      <c r="K42" s="642"/>
      <c r="L42" s="639"/>
      <c r="M42" s="639"/>
      <c r="N42" s="639"/>
      <c r="O42" s="639"/>
      <c r="U42" s="16"/>
      <c r="V42" s="16"/>
      <c r="W42" s="16"/>
      <c r="X42" s="16"/>
      <c r="Y42" s="16"/>
      <c r="Z42" s="16"/>
    </row>
    <row r="43" spans="1:26" ht="34.5" customHeight="1">
      <c r="A43" s="639"/>
      <c r="B43" s="412"/>
      <c r="C43" s="652" t="s">
        <v>722</v>
      </c>
      <c r="D43" s="361"/>
      <c r="E43" s="361"/>
      <c r="F43" s="362"/>
      <c r="G43" s="653"/>
      <c r="H43" s="362"/>
      <c r="I43" s="14">
        <v>5</v>
      </c>
      <c r="J43" s="415"/>
      <c r="K43" s="642"/>
      <c r="L43" s="639"/>
      <c r="M43" s="639"/>
      <c r="N43" s="639"/>
      <c r="O43" s="639"/>
      <c r="U43" s="16"/>
      <c r="V43" s="16"/>
      <c r="W43" s="16"/>
      <c r="X43" s="16"/>
      <c r="Y43" s="16"/>
      <c r="Z43" s="16"/>
    </row>
    <row r="44" spans="1:26" ht="34.5" customHeight="1">
      <c r="A44" s="639"/>
      <c r="B44" s="424"/>
      <c r="C44" s="648" t="s">
        <v>723</v>
      </c>
      <c r="D44" s="361"/>
      <c r="E44" s="361"/>
      <c r="F44" s="362"/>
      <c r="G44" s="653"/>
      <c r="H44" s="362"/>
      <c r="I44" s="14">
        <v>4</v>
      </c>
      <c r="J44" s="423"/>
      <c r="K44" s="642"/>
      <c r="L44" s="639"/>
      <c r="M44" s="639"/>
      <c r="N44" s="639"/>
      <c r="O44" s="639"/>
      <c r="U44" s="16"/>
      <c r="V44" s="16"/>
      <c r="W44" s="16"/>
      <c r="X44" s="16"/>
      <c r="Y44" s="16"/>
      <c r="Z44" s="16"/>
    </row>
    <row r="45" spans="1:26" ht="34.5" customHeight="1">
      <c r="A45" s="639"/>
      <c r="B45" s="330" t="s">
        <v>724</v>
      </c>
      <c r="C45" s="652" t="s">
        <v>725</v>
      </c>
      <c r="D45" s="361"/>
      <c r="E45" s="361"/>
      <c r="F45" s="362"/>
      <c r="G45" s="653"/>
      <c r="H45" s="362"/>
      <c r="I45" s="14">
        <v>4</v>
      </c>
      <c r="J45" s="654">
        <f>AVERAGE(I45:I49)</f>
        <v>4</v>
      </c>
      <c r="K45" s="642"/>
      <c r="L45" s="639"/>
      <c r="M45" s="639"/>
      <c r="N45" s="639"/>
      <c r="O45" s="639"/>
      <c r="U45" s="16"/>
      <c r="V45" s="16"/>
      <c r="W45" s="16"/>
      <c r="X45" s="16"/>
      <c r="Y45" s="16"/>
      <c r="Z45" s="16"/>
    </row>
    <row r="46" spans="1:26" ht="34.5" customHeight="1">
      <c r="A46" s="639"/>
      <c r="B46" s="412"/>
      <c r="C46" s="652" t="s">
        <v>726</v>
      </c>
      <c r="D46" s="361"/>
      <c r="E46" s="361"/>
      <c r="F46" s="362"/>
      <c r="G46" s="653"/>
      <c r="H46" s="362"/>
      <c r="I46" s="14">
        <v>4</v>
      </c>
      <c r="J46" s="415"/>
      <c r="K46" s="642"/>
      <c r="L46" s="639"/>
      <c r="M46" s="639"/>
      <c r="N46" s="639"/>
      <c r="O46" s="639"/>
      <c r="U46" s="16"/>
      <c r="V46" s="16"/>
      <c r="W46" s="16"/>
      <c r="X46" s="16"/>
      <c r="Y46" s="16"/>
      <c r="Z46" s="16"/>
    </row>
    <row r="47" spans="1:26" ht="34.5" customHeight="1">
      <c r="A47" s="639"/>
      <c r="B47" s="412"/>
      <c r="C47" s="652" t="s">
        <v>727</v>
      </c>
      <c r="D47" s="361"/>
      <c r="E47" s="361"/>
      <c r="F47" s="362"/>
      <c r="G47" s="653"/>
      <c r="H47" s="362"/>
      <c r="I47" s="14">
        <v>4</v>
      </c>
      <c r="J47" s="415"/>
      <c r="K47" s="642"/>
      <c r="L47" s="639"/>
      <c r="M47" s="639"/>
      <c r="N47" s="639"/>
      <c r="O47" s="639"/>
      <c r="U47" s="16"/>
      <c r="V47" s="16"/>
      <c r="W47" s="16"/>
      <c r="X47" s="16"/>
      <c r="Y47" s="16"/>
      <c r="Z47" s="16"/>
    </row>
    <row r="48" spans="1:26" ht="34.5" customHeight="1">
      <c r="A48" s="639"/>
      <c r="B48" s="412"/>
      <c r="C48" s="646" t="s">
        <v>728</v>
      </c>
      <c r="D48" s="361"/>
      <c r="E48" s="361"/>
      <c r="F48" s="362"/>
      <c r="G48" s="653"/>
      <c r="H48" s="362"/>
      <c r="I48" s="14">
        <v>4</v>
      </c>
      <c r="J48" s="415"/>
      <c r="K48" s="642"/>
      <c r="L48" s="639"/>
      <c r="M48" s="639"/>
      <c r="N48" s="639"/>
      <c r="O48" s="639"/>
      <c r="U48" s="16"/>
      <c r="V48" s="16"/>
      <c r="W48" s="16"/>
      <c r="X48" s="16"/>
      <c r="Y48" s="16"/>
      <c r="Z48" s="16"/>
    </row>
    <row r="49" spans="1:26" ht="34.5" customHeight="1">
      <c r="A49" s="639"/>
      <c r="B49" s="424"/>
      <c r="C49" s="646" t="s">
        <v>729</v>
      </c>
      <c r="D49" s="361"/>
      <c r="E49" s="361"/>
      <c r="F49" s="362"/>
      <c r="G49" s="653"/>
      <c r="H49" s="362"/>
      <c r="I49" s="14">
        <v>4</v>
      </c>
      <c r="J49" s="423"/>
      <c r="K49" s="642"/>
      <c r="L49" s="639"/>
      <c r="M49" s="639"/>
      <c r="N49" s="639"/>
      <c r="O49" s="639"/>
      <c r="U49" s="16"/>
      <c r="V49" s="16"/>
      <c r="W49" s="16"/>
      <c r="X49" s="16"/>
      <c r="Y49" s="16"/>
      <c r="Z49" s="16"/>
    </row>
    <row r="50" spans="1:26" ht="34.5" customHeight="1">
      <c r="A50" s="639"/>
      <c r="B50" s="330" t="s">
        <v>730</v>
      </c>
      <c r="C50" s="648" t="s">
        <v>731</v>
      </c>
      <c r="D50" s="361"/>
      <c r="E50" s="361"/>
      <c r="F50" s="362"/>
      <c r="G50" s="653"/>
      <c r="H50" s="362"/>
      <c r="I50" s="14">
        <v>5</v>
      </c>
      <c r="J50" s="654">
        <f>AVERAGE(I50:I54)</f>
        <v>4.8</v>
      </c>
      <c r="K50" s="642"/>
      <c r="L50" s="639"/>
      <c r="M50" s="639"/>
      <c r="N50" s="639"/>
      <c r="O50" s="639"/>
      <c r="U50" s="16"/>
      <c r="V50" s="16"/>
      <c r="W50" s="16"/>
      <c r="X50" s="16"/>
      <c r="Y50" s="16"/>
      <c r="Z50" s="16"/>
    </row>
    <row r="51" spans="1:26" ht="34.5" customHeight="1">
      <c r="A51" s="639"/>
      <c r="B51" s="412"/>
      <c r="C51" s="646" t="s">
        <v>732</v>
      </c>
      <c r="D51" s="361"/>
      <c r="E51" s="361"/>
      <c r="F51" s="362"/>
      <c r="G51" s="655"/>
      <c r="H51" s="656"/>
      <c r="I51" s="14">
        <v>5</v>
      </c>
      <c r="J51" s="415"/>
      <c r="K51" s="642"/>
      <c r="L51" s="639"/>
      <c r="M51" s="639"/>
      <c r="N51" s="639"/>
      <c r="O51" s="639"/>
      <c r="U51" s="16"/>
      <c r="V51" s="16"/>
      <c r="W51" s="16"/>
      <c r="X51" s="16"/>
      <c r="Y51" s="16"/>
      <c r="Z51" s="16"/>
    </row>
    <row r="52" spans="1:26" ht="34.5" customHeight="1">
      <c r="A52" s="639"/>
      <c r="B52" s="412"/>
      <c r="C52" s="646" t="s">
        <v>733</v>
      </c>
      <c r="D52" s="361"/>
      <c r="E52" s="361"/>
      <c r="F52" s="362"/>
      <c r="G52" s="653"/>
      <c r="H52" s="362"/>
      <c r="I52" s="14">
        <v>5</v>
      </c>
      <c r="J52" s="415"/>
      <c r="K52" s="642"/>
      <c r="L52" s="639"/>
      <c r="M52" s="639"/>
      <c r="N52" s="639"/>
      <c r="O52" s="639"/>
      <c r="U52" s="16"/>
      <c r="V52" s="16"/>
      <c r="W52" s="16"/>
      <c r="X52" s="16"/>
      <c r="Y52" s="16"/>
      <c r="Z52" s="16"/>
    </row>
    <row r="53" spans="1:26" ht="34.5" customHeight="1">
      <c r="A53" s="639"/>
      <c r="B53" s="412"/>
      <c r="C53" s="646" t="s">
        <v>734</v>
      </c>
      <c r="D53" s="361"/>
      <c r="E53" s="361"/>
      <c r="F53" s="362"/>
      <c r="G53" s="653"/>
      <c r="H53" s="362"/>
      <c r="I53" s="14">
        <v>4</v>
      </c>
      <c r="J53" s="415"/>
      <c r="K53" s="642"/>
      <c r="L53" s="639"/>
      <c r="M53" s="639"/>
      <c r="N53" s="639"/>
      <c r="O53" s="639"/>
      <c r="U53" s="16"/>
      <c r="V53" s="16"/>
      <c r="W53" s="16"/>
      <c r="X53" s="16"/>
      <c r="Y53" s="16"/>
      <c r="Z53" s="16"/>
    </row>
    <row r="54" spans="1:26" ht="34.5" customHeight="1">
      <c r="A54" s="639"/>
      <c r="B54" s="424"/>
      <c r="C54" s="646" t="s">
        <v>735</v>
      </c>
      <c r="D54" s="361"/>
      <c r="E54" s="361"/>
      <c r="F54" s="362"/>
      <c r="G54" s="653"/>
      <c r="H54" s="362"/>
      <c r="I54" s="14">
        <v>5</v>
      </c>
      <c r="J54" s="423"/>
      <c r="K54" s="642"/>
      <c r="L54" s="639"/>
      <c r="M54" s="639"/>
      <c r="N54" s="639"/>
      <c r="O54" s="639"/>
      <c r="U54" s="16"/>
      <c r="V54" s="16"/>
      <c r="W54" s="16"/>
      <c r="X54" s="16"/>
      <c r="Y54" s="16"/>
      <c r="Z54" s="16"/>
    </row>
    <row r="55" spans="1:26" ht="22.5" customHeight="1">
      <c r="A55" s="633"/>
      <c r="B55" s="329" t="s">
        <v>736</v>
      </c>
      <c r="C55" s="370"/>
      <c r="D55" s="370"/>
      <c r="E55" s="370"/>
      <c r="F55" s="370"/>
      <c r="G55" s="370"/>
      <c r="H55" s="370"/>
      <c r="I55" s="371"/>
      <c r="J55" s="24">
        <f>AVERAGE(J25:J54)*0.025</f>
        <v>0.10833333333333334</v>
      </c>
      <c r="K55" s="649"/>
      <c r="L55" s="633"/>
      <c r="M55" s="633"/>
      <c r="N55" s="633"/>
      <c r="O55" s="633"/>
    </row>
    <row r="56" spans="1:26" ht="70.5" customHeight="1">
      <c r="A56" s="633"/>
      <c r="B56" s="496"/>
      <c r="C56" s="368"/>
      <c r="D56" s="498"/>
      <c r="E56" s="499"/>
      <c r="F56" s="499"/>
      <c r="G56" s="657"/>
      <c r="H56" s="657"/>
      <c r="I56" s="501"/>
      <c r="J56" s="501"/>
      <c r="K56" s="632"/>
      <c r="L56" s="633"/>
      <c r="M56" s="633"/>
      <c r="N56" s="633"/>
      <c r="O56" s="633"/>
    </row>
    <row r="57" spans="1:26" ht="15" customHeight="1">
      <c r="A57" s="633"/>
      <c r="B57" s="496"/>
      <c r="C57" s="77"/>
      <c r="D57" s="658"/>
      <c r="E57" s="499"/>
      <c r="F57" s="499"/>
      <c r="G57" s="657"/>
      <c r="H57" s="657"/>
      <c r="I57" s="501"/>
      <c r="J57" s="501"/>
      <c r="K57" s="632"/>
      <c r="L57" s="633"/>
      <c r="M57" s="633"/>
      <c r="N57" s="633"/>
      <c r="O57" s="633"/>
    </row>
    <row r="58" spans="1:26" ht="43.5" customHeight="1">
      <c r="A58" s="633"/>
      <c r="B58" s="659"/>
      <c r="C58" s="618" t="str">
        <f>'PART I (CY 2025&amp;SY2025-2026)'!E4</f>
        <v>MC WELSON C. SOLOMON</v>
      </c>
      <c r="D58" s="366"/>
      <c r="E58" s="367"/>
      <c r="G58" s="618" t="s">
        <v>130</v>
      </c>
      <c r="H58" s="366"/>
      <c r="I58" s="367"/>
      <c r="J58" s="660"/>
      <c r="K58" s="660"/>
      <c r="L58" s="633"/>
      <c r="M58" s="633"/>
      <c r="N58" s="633"/>
      <c r="O58" s="633"/>
    </row>
    <row r="59" spans="1:26" ht="15" customHeight="1">
      <c r="A59" s="633"/>
      <c r="B59" s="659"/>
      <c r="C59" s="420"/>
      <c r="D59" s="494"/>
      <c r="E59" s="421"/>
      <c r="G59" s="420"/>
      <c r="H59" s="494"/>
      <c r="I59" s="421"/>
      <c r="J59" s="660"/>
      <c r="K59" s="660"/>
      <c r="L59" s="633"/>
      <c r="M59" s="633"/>
      <c r="N59" s="633"/>
      <c r="O59" s="633"/>
    </row>
    <row r="60" spans="1:26" ht="18" customHeight="1">
      <c r="A60" s="633"/>
      <c r="B60" s="659"/>
      <c r="C60" s="506" t="s">
        <v>123</v>
      </c>
      <c r="D60" s="361"/>
      <c r="E60" s="362"/>
      <c r="G60" s="661" t="s">
        <v>124</v>
      </c>
      <c r="H60" s="494"/>
      <c r="I60" s="421"/>
      <c r="J60" s="77"/>
      <c r="K60" s="632"/>
      <c r="L60" s="633"/>
      <c r="M60" s="633"/>
      <c r="N60" s="633"/>
      <c r="O60" s="633"/>
    </row>
    <row r="61" spans="1:26" ht="16.5" customHeight="1">
      <c r="A61" s="633"/>
      <c r="B61" s="659"/>
      <c r="C61" s="658"/>
      <c r="D61" s="658"/>
      <c r="E61" s="503"/>
      <c r="F61" s="503"/>
      <c r="G61" s="662"/>
      <c r="H61" s="375"/>
      <c r="I61" s="375"/>
      <c r="J61" s="375"/>
      <c r="K61" s="632"/>
      <c r="L61" s="633"/>
      <c r="M61" s="633"/>
      <c r="N61" s="633"/>
      <c r="O61" s="633"/>
    </row>
    <row r="62" spans="1:26" ht="13.5" customHeight="1">
      <c r="A62" s="633"/>
      <c r="B62" s="659"/>
      <c r="C62" s="658"/>
      <c r="D62" s="659"/>
      <c r="E62" s="503"/>
      <c r="F62" s="503"/>
      <c r="G62" s="663"/>
      <c r="H62" s="375"/>
      <c r="I62" s="375"/>
      <c r="J62" s="375"/>
      <c r="K62" s="632"/>
      <c r="L62" s="633"/>
      <c r="M62" s="633"/>
      <c r="N62" s="633"/>
      <c r="O62" s="633"/>
    </row>
    <row r="63" spans="1:26" ht="6.75" hidden="1" customHeight="1">
      <c r="A63" s="633"/>
      <c r="B63" s="659"/>
      <c r="C63" s="664"/>
      <c r="D63" s="659"/>
      <c r="E63" s="665"/>
      <c r="F63" s="665"/>
      <c r="G63" s="659"/>
      <c r="H63" s="659"/>
      <c r="I63" s="659"/>
      <c r="J63" s="659"/>
      <c r="K63" s="632"/>
      <c r="L63" s="633"/>
      <c r="M63" s="633"/>
      <c r="N63" s="633"/>
      <c r="O63" s="633"/>
    </row>
    <row r="64" spans="1:26" ht="54" customHeight="1">
      <c r="A64" s="633"/>
      <c r="B64" s="659"/>
      <c r="C64" s="664"/>
      <c r="D64" s="659"/>
      <c r="E64" s="665"/>
      <c r="F64" s="665"/>
      <c r="G64" s="659"/>
      <c r="H64" s="659"/>
      <c r="I64" s="659"/>
      <c r="J64" s="659"/>
      <c r="K64" s="632"/>
      <c r="L64" s="633"/>
      <c r="M64" s="633"/>
      <c r="N64" s="633"/>
      <c r="O64" s="633"/>
    </row>
    <row r="65" spans="1:15" ht="33.75" customHeight="1">
      <c r="A65" s="633"/>
      <c r="B65" s="659"/>
      <c r="C65" s="664"/>
      <c r="D65" s="666" t="s">
        <v>134</v>
      </c>
      <c r="E65" s="366"/>
      <c r="F65" s="366"/>
      <c r="G65" s="367"/>
      <c r="H65" s="659"/>
      <c r="I65" s="659"/>
      <c r="J65" s="659"/>
      <c r="K65" s="632"/>
      <c r="L65" s="633"/>
      <c r="M65" s="633"/>
      <c r="N65" s="633"/>
      <c r="O65" s="633"/>
    </row>
    <row r="66" spans="1:15" ht="13.5" customHeight="1">
      <c r="A66" s="633"/>
      <c r="B66" s="659"/>
      <c r="C66" s="664"/>
      <c r="D66" s="420"/>
      <c r="E66" s="494"/>
      <c r="F66" s="494"/>
      <c r="G66" s="421"/>
      <c r="H66" s="659"/>
      <c r="I66" s="659"/>
      <c r="J66" s="659"/>
      <c r="K66" s="632"/>
      <c r="L66" s="633"/>
      <c r="M66" s="633"/>
      <c r="N66" s="633"/>
      <c r="O66" s="633"/>
    </row>
    <row r="67" spans="1:15" ht="21.75" customHeight="1">
      <c r="A67" s="633"/>
      <c r="B67" s="659"/>
      <c r="C67" s="664"/>
      <c r="D67" s="507" t="s">
        <v>125</v>
      </c>
      <c r="E67" s="361"/>
      <c r="F67" s="361"/>
      <c r="G67" s="362"/>
      <c r="H67" s="659"/>
      <c r="I67" s="659"/>
      <c r="J67" s="659"/>
      <c r="K67" s="632"/>
      <c r="L67" s="633"/>
      <c r="M67" s="633"/>
      <c r="N67" s="633"/>
      <c r="O67" s="633"/>
    </row>
    <row r="68" spans="1:15" ht="13.5" customHeight="1">
      <c r="A68" s="633"/>
      <c r="B68" s="659"/>
      <c r="C68" s="664"/>
      <c r="D68" s="659"/>
      <c r="E68" s="665"/>
      <c r="F68" s="665"/>
      <c r="G68" s="659"/>
      <c r="H68" s="659"/>
      <c r="I68" s="659"/>
      <c r="J68" s="659"/>
      <c r="K68" s="632"/>
      <c r="L68" s="633"/>
      <c r="M68" s="633"/>
      <c r="N68" s="633"/>
      <c r="O68" s="633"/>
    </row>
    <row r="69" spans="1:15" ht="13.5" customHeight="1">
      <c r="A69" s="633"/>
      <c r="B69" s="659"/>
      <c r="C69" s="664"/>
      <c r="D69" s="659"/>
      <c r="E69" s="665"/>
      <c r="F69" s="665"/>
      <c r="G69" s="659"/>
      <c r="H69" s="659"/>
      <c r="I69" s="659"/>
      <c r="J69" s="659"/>
      <c r="K69" s="632"/>
      <c r="L69" s="633"/>
      <c r="M69" s="633"/>
      <c r="N69" s="633"/>
      <c r="O69" s="633"/>
    </row>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1">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L4:N4"/>
    <mergeCell ref="C9:F9"/>
    <mergeCell ref="G9:H9"/>
    <mergeCell ref="C6:F6"/>
    <mergeCell ref="G6:H6"/>
    <mergeCell ref="J6:J10"/>
    <mergeCell ref="C7:F7"/>
    <mergeCell ref="G7:H7"/>
    <mergeCell ref="C8:F8"/>
    <mergeCell ref="G8:H8"/>
    <mergeCell ref="C10:F10"/>
    <mergeCell ref="G10:H10"/>
    <mergeCell ref="J23:J24"/>
    <mergeCell ref="C23:F24"/>
    <mergeCell ref="C25:F25"/>
    <mergeCell ref="G25:H25"/>
    <mergeCell ref="J25:J29"/>
    <mergeCell ref="C26:F26"/>
    <mergeCell ref="G26:H26"/>
    <mergeCell ref="G27:H27"/>
    <mergeCell ref="C31:F31"/>
    <mergeCell ref="G31:H31"/>
    <mergeCell ref="J30:J34"/>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45:J49"/>
    <mergeCell ref="G46:H46"/>
    <mergeCell ref="C53:F53"/>
    <mergeCell ref="G53:H53"/>
    <mergeCell ref="C49:F49"/>
    <mergeCell ref="G49:H49"/>
    <mergeCell ref="B50:B54"/>
    <mergeCell ref="C50:F50"/>
    <mergeCell ref="G50:H50"/>
    <mergeCell ref="J50:J54"/>
    <mergeCell ref="C51:F51"/>
    <mergeCell ref="C46:F46"/>
    <mergeCell ref="C47:F47"/>
    <mergeCell ref="C52:F52"/>
    <mergeCell ref="G52:H52"/>
    <mergeCell ref="G47:H47"/>
    <mergeCell ref="C48:F48"/>
    <mergeCell ref="G48:H48"/>
    <mergeCell ref="B45:B49"/>
    <mergeCell ref="C45:F45"/>
    <mergeCell ref="G45:H45"/>
    <mergeCell ref="B55:I55"/>
    <mergeCell ref="G62:J62"/>
    <mergeCell ref="D65:G66"/>
    <mergeCell ref="D67:G67"/>
    <mergeCell ref="C54:F54"/>
    <mergeCell ref="G54:H54"/>
    <mergeCell ref="C58:E59"/>
    <mergeCell ref="G58:I59"/>
    <mergeCell ref="C60:E60"/>
    <mergeCell ref="G60:I60"/>
    <mergeCell ref="G61:J61"/>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s>
  <conditionalFormatting sqref="J6:J21">
    <cfRule type="cellIs" dxfId="23" priority="1" operator="greaterThanOrEqual">
      <formula>5</formula>
    </cfRule>
    <cfRule type="cellIs" dxfId="22" priority="2" operator="greaterThanOrEqual">
      <formula>4</formula>
    </cfRule>
    <cfRule type="cellIs" dxfId="21" priority="3" operator="greaterThanOrEqual">
      <formula>3</formula>
    </cfRule>
    <cfRule type="cellIs" dxfId="20" priority="4" operator="greaterThanOrEqual">
      <formula>2</formula>
    </cfRule>
    <cfRule type="cellIs" dxfId="19" priority="5" operator="greaterThanOrEqual">
      <formula>1</formula>
    </cfRule>
    <cfRule type="cellIs" dxfId="18" priority="6" operator="greaterThanOrEqual">
      <formula>0.1</formula>
    </cfRule>
  </conditionalFormatting>
  <conditionalFormatting sqref="J25:J54">
    <cfRule type="cellIs" dxfId="17" priority="7" operator="greaterThanOrEqual">
      <formula>5</formula>
    </cfRule>
  </conditionalFormatting>
  <conditionalFormatting sqref="J25:J55">
    <cfRule type="cellIs" dxfId="16" priority="8" operator="greaterThanOrEqual">
      <formula>3</formula>
    </cfRule>
    <cfRule type="cellIs" dxfId="15" priority="9" operator="greaterThanOrEqual">
      <formula>2</formula>
    </cfRule>
    <cfRule type="cellIs" dxfId="14" priority="10" operator="greaterThanOrEqual">
      <formula>1</formula>
    </cfRule>
    <cfRule type="cellIs" dxfId="13" priority="11" operator="greaterThanOrEqual">
      <formula>0.1</formula>
    </cfRule>
    <cfRule type="cellIs" dxfId="12" priority="12" operator="greaterThanOrEqual">
      <formula>4</formula>
    </cfRule>
  </conditionalFormatting>
  <hyperlinks>
    <hyperlink ref="A1" r:id="rId1" xr:uid="{9503537A-6B24-4DEE-B21E-26F426C48264}"/>
  </hyperlinks>
  <printOptions horizontalCentered="1"/>
  <pageMargins left="0.12" right="0" top="0.6" bottom="0.41" header="0" footer="0"/>
  <pageSetup paperSize="14" scale="45"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5623"/>
    <pageSetUpPr fitToPage="1"/>
  </sheetPr>
  <dimension ref="A1:E1000"/>
  <sheetViews>
    <sheetView workbookViewId="0"/>
  </sheetViews>
  <sheetFormatPr defaultColWidth="14.42578125" defaultRowHeight="15" customHeight="1"/>
  <cols>
    <col min="1" max="1" width="20.140625" customWidth="1"/>
    <col min="2" max="2" width="29" customWidth="1"/>
    <col min="3" max="5" width="20.140625" customWidth="1"/>
    <col min="6" max="26" width="8.7109375" customWidth="1"/>
  </cols>
  <sheetData>
    <row r="1" spans="1:5" ht="14.25" customHeight="1">
      <c r="A1" s="667" t="s">
        <v>737</v>
      </c>
      <c r="B1" s="667" t="s">
        <v>738</v>
      </c>
      <c r="C1" s="667" t="s">
        <v>739</v>
      </c>
      <c r="D1" s="667" t="s">
        <v>740</v>
      </c>
      <c r="E1" s="667" t="s">
        <v>741</v>
      </c>
    </row>
    <row r="2" spans="1:5" ht="14.25" customHeight="1">
      <c r="A2" s="668" t="s">
        <v>742</v>
      </c>
      <c r="B2" s="57" t="s">
        <v>743</v>
      </c>
      <c r="C2" s="58" t="s">
        <v>744</v>
      </c>
      <c r="D2" s="60">
        <v>0</v>
      </c>
      <c r="E2" s="57"/>
    </row>
    <row r="3" spans="1:5" ht="14.25" customHeight="1">
      <c r="A3" s="414"/>
      <c r="B3" s="57" t="s">
        <v>745</v>
      </c>
      <c r="C3" s="57" t="s">
        <v>746</v>
      </c>
      <c r="D3" s="60">
        <v>0.05</v>
      </c>
      <c r="E3" s="57" t="s">
        <v>747</v>
      </c>
    </row>
    <row r="4" spans="1:5" ht="14.25" customHeight="1">
      <c r="A4" s="414"/>
      <c r="B4" s="57" t="s">
        <v>748</v>
      </c>
      <c r="C4" s="57" t="s">
        <v>749</v>
      </c>
      <c r="D4" s="60">
        <v>0.04</v>
      </c>
      <c r="E4" s="57" t="s">
        <v>750</v>
      </c>
    </row>
    <row r="5" spans="1:5" ht="14.25" customHeight="1">
      <c r="A5" s="414"/>
      <c r="B5" s="57" t="s">
        <v>751</v>
      </c>
      <c r="C5" s="57" t="s">
        <v>749</v>
      </c>
      <c r="D5" s="60">
        <v>0.04</v>
      </c>
      <c r="E5" s="57" t="s">
        <v>752</v>
      </c>
    </row>
    <row r="6" spans="1:5" ht="14.25" customHeight="1">
      <c r="A6" s="414"/>
      <c r="B6" s="57" t="s">
        <v>753</v>
      </c>
      <c r="C6" s="57" t="s">
        <v>754</v>
      </c>
      <c r="D6" s="60">
        <v>0.04</v>
      </c>
      <c r="E6" s="57" t="s">
        <v>755</v>
      </c>
    </row>
    <row r="7" spans="1:5" ht="14.25" customHeight="1">
      <c r="A7" s="414"/>
      <c r="B7" s="58" t="s">
        <v>756</v>
      </c>
      <c r="C7" s="57" t="s">
        <v>757</v>
      </c>
      <c r="D7" s="60">
        <v>0.03</v>
      </c>
      <c r="E7" s="57" t="s">
        <v>758</v>
      </c>
    </row>
    <row r="8" spans="1:5" ht="14.25" customHeight="1">
      <c r="A8" s="414"/>
      <c r="B8" s="58" t="s">
        <v>759</v>
      </c>
      <c r="C8" s="57" t="s">
        <v>760</v>
      </c>
      <c r="D8" s="60">
        <v>0.02</v>
      </c>
      <c r="E8" s="57" t="s">
        <v>761</v>
      </c>
    </row>
    <row r="9" spans="1:5" ht="14.25" customHeight="1">
      <c r="A9" s="422"/>
      <c r="B9" s="58" t="s">
        <v>762</v>
      </c>
      <c r="C9" s="57" t="s">
        <v>763</v>
      </c>
      <c r="D9" s="60">
        <v>0.03</v>
      </c>
      <c r="E9" s="57" t="s">
        <v>764</v>
      </c>
    </row>
    <row r="10" spans="1:5" ht="14.25" customHeight="1">
      <c r="A10" s="668" t="s">
        <v>765</v>
      </c>
      <c r="B10" s="57" t="s">
        <v>766</v>
      </c>
      <c r="C10" s="57" t="s">
        <v>767</v>
      </c>
      <c r="D10" s="60">
        <v>0.03</v>
      </c>
      <c r="E10" s="57" t="s">
        <v>768</v>
      </c>
    </row>
    <row r="11" spans="1:5" ht="14.25" customHeight="1">
      <c r="A11" s="414"/>
      <c r="B11" s="57" t="s">
        <v>769</v>
      </c>
      <c r="C11" s="57" t="s">
        <v>770</v>
      </c>
      <c r="D11" s="60">
        <v>0.03</v>
      </c>
      <c r="E11" s="57" t="s">
        <v>771</v>
      </c>
    </row>
    <row r="12" spans="1:5" ht="14.25" customHeight="1">
      <c r="A12" s="414"/>
      <c r="B12" s="57" t="s">
        <v>772</v>
      </c>
      <c r="C12" s="57" t="s">
        <v>773</v>
      </c>
      <c r="D12" s="60">
        <v>0.02</v>
      </c>
      <c r="E12" s="57" t="s">
        <v>774</v>
      </c>
    </row>
    <row r="13" spans="1:5" ht="14.25" customHeight="1">
      <c r="A13" s="414"/>
      <c r="B13" s="57" t="s">
        <v>775</v>
      </c>
      <c r="C13" s="57" t="s">
        <v>776</v>
      </c>
      <c r="D13" s="60">
        <v>0.02</v>
      </c>
      <c r="E13" s="57" t="s">
        <v>777</v>
      </c>
    </row>
    <row r="14" spans="1:5" ht="14.25" customHeight="1">
      <c r="A14" s="422"/>
      <c r="B14" s="57" t="s">
        <v>778</v>
      </c>
      <c r="C14" s="57" t="s">
        <v>779</v>
      </c>
      <c r="D14" s="60">
        <v>0.02</v>
      </c>
      <c r="E14" s="57" t="s">
        <v>780</v>
      </c>
    </row>
    <row r="15" spans="1:5" ht="14.25" customHeight="1">
      <c r="A15" s="57" t="s">
        <v>781</v>
      </c>
      <c r="B15" s="57" t="s">
        <v>782</v>
      </c>
      <c r="C15" s="57" t="s">
        <v>783</v>
      </c>
      <c r="D15" s="60">
        <v>0.03</v>
      </c>
      <c r="E15" s="57" t="s">
        <v>784</v>
      </c>
    </row>
    <row r="16" spans="1:5" ht="34.5" customHeight="1">
      <c r="A16" s="668" t="s">
        <v>785</v>
      </c>
      <c r="B16" s="57" t="s">
        <v>786</v>
      </c>
      <c r="C16" s="57" t="s">
        <v>767</v>
      </c>
      <c r="D16" s="60">
        <v>0.03</v>
      </c>
      <c r="E16" s="57" t="s">
        <v>787</v>
      </c>
    </row>
    <row r="17" spans="1:5" ht="14.25" customHeight="1">
      <c r="A17" s="414"/>
      <c r="B17" s="57" t="s">
        <v>370</v>
      </c>
      <c r="C17" s="57" t="s">
        <v>788</v>
      </c>
      <c r="D17" s="60">
        <v>0.02</v>
      </c>
      <c r="E17" s="57" t="s">
        <v>789</v>
      </c>
    </row>
    <row r="18" spans="1:5" ht="14.25" customHeight="1">
      <c r="A18" s="422"/>
      <c r="B18" s="57" t="s">
        <v>790</v>
      </c>
      <c r="C18" s="57" t="s">
        <v>791</v>
      </c>
      <c r="D18" s="60">
        <v>0.03</v>
      </c>
      <c r="E18" s="57" t="s">
        <v>792</v>
      </c>
    </row>
    <row r="19" spans="1:5" ht="14.25" customHeight="1">
      <c r="A19" s="668" t="s">
        <v>793</v>
      </c>
      <c r="B19" s="57" t="s">
        <v>794</v>
      </c>
      <c r="C19" s="57" t="s">
        <v>795</v>
      </c>
      <c r="D19" s="60">
        <v>0.03</v>
      </c>
      <c r="E19" s="57" t="s">
        <v>796</v>
      </c>
    </row>
    <row r="20" spans="1:5" ht="14.25" customHeight="1">
      <c r="A20" s="414"/>
      <c r="B20" s="57" t="s">
        <v>797</v>
      </c>
      <c r="C20" s="57" t="s">
        <v>798</v>
      </c>
      <c r="D20" s="60">
        <v>0.02</v>
      </c>
      <c r="E20" s="57" t="s">
        <v>799</v>
      </c>
    </row>
    <row r="21" spans="1:5" ht="14.25" customHeight="1">
      <c r="A21" s="422"/>
      <c r="B21" s="57" t="s">
        <v>800</v>
      </c>
      <c r="C21" s="57" t="s">
        <v>767</v>
      </c>
      <c r="D21" s="60">
        <v>0.02</v>
      </c>
      <c r="E21" s="57" t="s">
        <v>801</v>
      </c>
    </row>
    <row r="22" spans="1:5" ht="22.5" customHeight="1">
      <c r="A22" s="668" t="s">
        <v>802</v>
      </c>
      <c r="B22" s="57" t="s">
        <v>803</v>
      </c>
      <c r="C22" s="57" t="s">
        <v>804</v>
      </c>
      <c r="D22" s="67">
        <v>2.5000000000000001E-2</v>
      </c>
      <c r="E22" s="57" t="s">
        <v>805</v>
      </c>
    </row>
    <row r="23" spans="1:5" ht="14.25" customHeight="1">
      <c r="A23" s="422"/>
      <c r="B23" s="57" t="s">
        <v>806</v>
      </c>
      <c r="C23" s="57" t="s">
        <v>807</v>
      </c>
      <c r="D23" s="67">
        <v>2.5000000000000001E-2</v>
      </c>
      <c r="E23" s="57" t="s">
        <v>808</v>
      </c>
    </row>
    <row r="24" spans="1:5" ht="14.25" customHeight="1">
      <c r="A24" s="669" t="s">
        <v>809</v>
      </c>
      <c r="B24" s="669"/>
      <c r="C24" s="669"/>
      <c r="D24" s="670"/>
      <c r="E24" s="669"/>
    </row>
    <row r="25" spans="1:5" ht="14.25" customHeight="1">
      <c r="D25" s="71">
        <f>SUM(D2:D24)</f>
        <v>0.60000000000000031</v>
      </c>
    </row>
    <row r="26" spans="1:5" ht="14.25" customHeight="1">
      <c r="D26" s="72"/>
    </row>
    <row r="27" spans="1:5" ht="14.25" customHeight="1">
      <c r="D27" s="72"/>
    </row>
    <row r="28" spans="1:5" ht="14.25" customHeight="1">
      <c r="D28" s="72"/>
    </row>
    <row r="29" spans="1:5" ht="14.25" customHeight="1">
      <c r="D29" s="72"/>
    </row>
    <row r="30" spans="1:5" ht="14.25" customHeight="1">
      <c r="D30" s="72"/>
    </row>
    <row r="31" spans="1:5" ht="14.25" customHeight="1">
      <c r="D31" s="72"/>
    </row>
    <row r="32" spans="1:5" ht="14.25" customHeight="1">
      <c r="D32" s="72"/>
    </row>
    <row r="33" spans="4:4" ht="14.25" customHeight="1">
      <c r="D33" s="72"/>
    </row>
    <row r="34" spans="4:4" ht="14.25" customHeight="1">
      <c r="D34" s="72"/>
    </row>
    <row r="35" spans="4:4" ht="14.25" customHeight="1">
      <c r="D35" s="72"/>
    </row>
    <row r="36" spans="4:4" ht="14.25" customHeight="1">
      <c r="D36" s="72"/>
    </row>
    <row r="37" spans="4:4" ht="14.25" customHeight="1">
      <c r="D37" s="72"/>
    </row>
    <row r="38" spans="4:4" ht="14.25" customHeight="1">
      <c r="D38" s="72"/>
    </row>
    <row r="39" spans="4:4" ht="14.25" customHeight="1">
      <c r="D39" s="72"/>
    </row>
    <row r="40" spans="4:4" ht="14.25" customHeight="1">
      <c r="D40" s="72"/>
    </row>
    <row r="41" spans="4:4" ht="14.25" customHeight="1">
      <c r="D41" s="72"/>
    </row>
    <row r="42" spans="4:4" ht="14.25" customHeight="1">
      <c r="D42" s="72"/>
    </row>
    <row r="43" spans="4:4" ht="14.25" customHeight="1">
      <c r="D43" s="72"/>
    </row>
    <row r="44" spans="4:4" ht="14.25" customHeight="1">
      <c r="D44" s="72"/>
    </row>
    <row r="45" spans="4:4" ht="14.25" customHeight="1">
      <c r="D45" s="72"/>
    </row>
    <row r="46" spans="4:4" ht="14.25" customHeight="1">
      <c r="D46" s="72"/>
    </row>
    <row r="47" spans="4:4" ht="14.25" customHeight="1">
      <c r="D47" s="72"/>
    </row>
    <row r="48" spans="4:4" ht="14.25" customHeight="1">
      <c r="D48" s="72"/>
    </row>
    <row r="49" spans="4:4" ht="14.25" customHeight="1">
      <c r="D49" s="72"/>
    </row>
    <row r="50" spans="4:4" ht="14.25" customHeight="1">
      <c r="D50" s="72"/>
    </row>
    <row r="51" spans="4:4" ht="14.25" customHeight="1">
      <c r="D51" s="72"/>
    </row>
    <row r="52" spans="4:4" ht="14.25" customHeight="1">
      <c r="D52" s="72"/>
    </row>
    <row r="53" spans="4:4" ht="14.25" customHeight="1">
      <c r="D53" s="72"/>
    </row>
    <row r="54" spans="4:4" ht="14.25" customHeight="1">
      <c r="D54" s="72"/>
    </row>
    <row r="55" spans="4:4" ht="14.25" customHeight="1">
      <c r="D55" s="72"/>
    </row>
    <row r="56" spans="4:4" ht="14.25" customHeight="1">
      <c r="D56" s="72"/>
    </row>
    <row r="57" spans="4:4" ht="14.25" customHeight="1">
      <c r="D57" s="72"/>
    </row>
    <row r="58" spans="4:4" ht="14.25" customHeight="1">
      <c r="D58" s="72"/>
    </row>
    <row r="59" spans="4:4" ht="14.25" customHeight="1">
      <c r="D59" s="72"/>
    </row>
    <row r="60" spans="4:4" ht="14.25" customHeight="1">
      <c r="D60" s="72"/>
    </row>
    <row r="61" spans="4:4" ht="14.25" customHeight="1">
      <c r="D61" s="72"/>
    </row>
    <row r="62" spans="4:4" ht="14.25" customHeight="1">
      <c r="D62" s="72"/>
    </row>
    <row r="63" spans="4:4" ht="14.25" customHeight="1">
      <c r="D63" s="72"/>
    </row>
    <row r="64" spans="4:4" ht="14.25" customHeight="1">
      <c r="D64" s="72"/>
    </row>
    <row r="65" spans="4:4" ht="14.25" customHeight="1">
      <c r="D65" s="72"/>
    </row>
    <row r="66" spans="4:4" ht="14.25" customHeight="1">
      <c r="D66" s="72"/>
    </row>
    <row r="67" spans="4:4" ht="14.25" customHeight="1">
      <c r="D67" s="72"/>
    </row>
    <row r="68" spans="4:4" ht="14.25" customHeight="1">
      <c r="D68" s="72"/>
    </row>
    <row r="69" spans="4:4" ht="14.25" customHeight="1">
      <c r="D69" s="72"/>
    </row>
    <row r="70" spans="4:4" ht="14.25" customHeight="1">
      <c r="D70" s="72"/>
    </row>
    <row r="71" spans="4:4" ht="14.25" customHeight="1">
      <c r="D71" s="72"/>
    </row>
    <row r="72" spans="4:4" ht="14.25" customHeight="1">
      <c r="D72" s="72"/>
    </row>
    <row r="73" spans="4:4" ht="14.25" customHeight="1">
      <c r="D73" s="72"/>
    </row>
    <row r="74" spans="4:4" ht="14.25" customHeight="1">
      <c r="D74" s="72"/>
    </row>
    <row r="75" spans="4:4" ht="14.25" customHeight="1">
      <c r="D75" s="72"/>
    </row>
    <row r="76" spans="4:4" ht="14.25" customHeight="1">
      <c r="D76" s="72"/>
    </row>
    <row r="77" spans="4:4" ht="14.25" customHeight="1">
      <c r="D77" s="72"/>
    </row>
    <row r="78" spans="4:4" ht="14.25" customHeight="1">
      <c r="D78" s="72"/>
    </row>
    <row r="79" spans="4:4" ht="14.25" customHeight="1">
      <c r="D79" s="72"/>
    </row>
    <row r="80" spans="4:4" ht="14.25" customHeight="1">
      <c r="D80" s="72"/>
    </row>
    <row r="81" spans="4:4" ht="14.25" customHeight="1">
      <c r="D81" s="72"/>
    </row>
    <row r="82" spans="4:4" ht="14.25" customHeight="1">
      <c r="D82" s="72"/>
    </row>
    <row r="83" spans="4:4" ht="14.25" customHeight="1">
      <c r="D83" s="72"/>
    </row>
    <row r="84" spans="4:4" ht="14.25" customHeight="1">
      <c r="D84" s="72"/>
    </row>
    <row r="85" spans="4:4" ht="14.25" customHeight="1">
      <c r="D85" s="72"/>
    </row>
    <row r="86" spans="4:4" ht="14.25" customHeight="1">
      <c r="D86" s="72"/>
    </row>
    <row r="87" spans="4:4" ht="14.25" customHeight="1">
      <c r="D87" s="72"/>
    </row>
    <row r="88" spans="4:4" ht="14.25" customHeight="1">
      <c r="D88" s="72"/>
    </row>
    <row r="89" spans="4:4" ht="14.25" customHeight="1">
      <c r="D89" s="72"/>
    </row>
    <row r="90" spans="4:4" ht="14.25" customHeight="1">
      <c r="D90" s="72"/>
    </row>
    <row r="91" spans="4:4" ht="14.25" customHeight="1">
      <c r="D91" s="72"/>
    </row>
    <row r="92" spans="4:4" ht="14.25" customHeight="1">
      <c r="D92" s="72"/>
    </row>
    <row r="93" spans="4:4" ht="14.25" customHeight="1">
      <c r="D93" s="72"/>
    </row>
    <row r="94" spans="4:4" ht="14.25" customHeight="1">
      <c r="D94" s="72"/>
    </row>
    <row r="95" spans="4:4" ht="14.25" customHeight="1">
      <c r="D95" s="72"/>
    </row>
    <row r="96" spans="4:4" ht="14.25" customHeight="1">
      <c r="D96" s="72"/>
    </row>
    <row r="97" spans="4:4" ht="14.25" customHeight="1">
      <c r="D97" s="72"/>
    </row>
    <row r="98" spans="4:4" ht="14.25" customHeight="1">
      <c r="D98" s="72"/>
    </row>
    <row r="99" spans="4:4" ht="14.25" customHeight="1">
      <c r="D99" s="72"/>
    </row>
    <row r="100" spans="4:4" ht="14.25" customHeight="1">
      <c r="D100" s="72"/>
    </row>
    <row r="101" spans="4:4" ht="14.25" customHeight="1">
      <c r="D101" s="72"/>
    </row>
    <row r="102" spans="4:4" ht="14.25" customHeight="1">
      <c r="D102" s="72"/>
    </row>
    <row r="103" spans="4:4" ht="14.25" customHeight="1">
      <c r="D103" s="72"/>
    </row>
    <row r="104" spans="4:4" ht="14.25" customHeight="1">
      <c r="D104" s="72"/>
    </row>
    <row r="105" spans="4:4" ht="14.25" customHeight="1">
      <c r="D105" s="72"/>
    </row>
    <row r="106" spans="4:4" ht="14.25" customHeight="1">
      <c r="D106" s="72"/>
    </row>
    <row r="107" spans="4:4" ht="14.25" customHeight="1">
      <c r="D107" s="72"/>
    </row>
    <row r="108" spans="4:4" ht="14.25" customHeight="1">
      <c r="D108" s="72"/>
    </row>
    <row r="109" spans="4:4" ht="14.25" customHeight="1">
      <c r="D109" s="72"/>
    </row>
    <row r="110" spans="4:4" ht="14.25" customHeight="1">
      <c r="D110" s="72"/>
    </row>
    <row r="111" spans="4:4" ht="14.25" customHeight="1">
      <c r="D111" s="72"/>
    </row>
    <row r="112" spans="4:4" ht="14.25" customHeight="1">
      <c r="D112" s="72"/>
    </row>
    <row r="113" spans="4:4" ht="14.25" customHeight="1">
      <c r="D113" s="72"/>
    </row>
    <row r="114" spans="4:4" ht="14.25" customHeight="1">
      <c r="D114" s="72"/>
    </row>
    <row r="115" spans="4:4" ht="14.25" customHeight="1">
      <c r="D115" s="72"/>
    </row>
    <row r="116" spans="4:4" ht="14.25" customHeight="1">
      <c r="D116" s="72"/>
    </row>
    <row r="117" spans="4:4" ht="14.25" customHeight="1">
      <c r="D117" s="72"/>
    </row>
    <row r="118" spans="4:4" ht="14.25" customHeight="1">
      <c r="D118" s="72"/>
    </row>
    <row r="119" spans="4:4" ht="14.25" customHeight="1">
      <c r="D119" s="72"/>
    </row>
    <row r="120" spans="4:4" ht="14.25" customHeight="1">
      <c r="D120" s="72"/>
    </row>
    <row r="121" spans="4:4" ht="14.25" customHeight="1">
      <c r="D121" s="72"/>
    </row>
    <row r="122" spans="4:4" ht="14.25" customHeight="1">
      <c r="D122" s="72"/>
    </row>
    <row r="123" spans="4:4" ht="14.25" customHeight="1">
      <c r="D123" s="72"/>
    </row>
    <row r="124" spans="4:4" ht="14.25" customHeight="1">
      <c r="D124" s="72"/>
    </row>
    <row r="125" spans="4:4" ht="14.25" customHeight="1">
      <c r="D125" s="72"/>
    </row>
    <row r="126" spans="4:4" ht="14.25" customHeight="1">
      <c r="D126" s="72"/>
    </row>
    <row r="127" spans="4:4" ht="14.25" customHeight="1">
      <c r="D127" s="72"/>
    </row>
    <row r="128" spans="4:4" ht="14.25" customHeight="1">
      <c r="D128" s="72"/>
    </row>
    <row r="129" spans="4:4" ht="14.25" customHeight="1">
      <c r="D129" s="72"/>
    </row>
    <row r="130" spans="4:4" ht="14.25" customHeight="1">
      <c r="D130" s="72"/>
    </row>
    <row r="131" spans="4:4" ht="14.25" customHeight="1">
      <c r="D131" s="72"/>
    </row>
    <row r="132" spans="4:4" ht="14.25" customHeight="1">
      <c r="D132" s="72"/>
    </row>
    <row r="133" spans="4:4" ht="14.25" customHeight="1">
      <c r="D133" s="72"/>
    </row>
    <row r="134" spans="4:4" ht="14.25" customHeight="1">
      <c r="D134" s="72"/>
    </row>
    <row r="135" spans="4:4" ht="14.25" customHeight="1">
      <c r="D135" s="72"/>
    </row>
    <row r="136" spans="4:4" ht="14.25" customHeight="1">
      <c r="D136" s="72"/>
    </row>
    <row r="137" spans="4:4" ht="14.25" customHeight="1">
      <c r="D137" s="72"/>
    </row>
    <row r="138" spans="4:4" ht="14.25" customHeight="1">
      <c r="D138" s="72"/>
    </row>
    <row r="139" spans="4:4" ht="14.25" customHeight="1">
      <c r="D139" s="72"/>
    </row>
    <row r="140" spans="4:4" ht="14.25" customHeight="1">
      <c r="D140" s="72"/>
    </row>
    <row r="141" spans="4:4" ht="14.25" customHeight="1">
      <c r="D141" s="72"/>
    </row>
    <row r="142" spans="4:4" ht="14.25" customHeight="1">
      <c r="D142" s="72"/>
    </row>
    <row r="143" spans="4:4" ht="14.25" customHeight="1">
      <c r="D143" s="72"/>
    </row>
    <row r="144" spans="4:4" ht="14.25" customHeight="1">
      <c r="D144" s="72"/>
    </row>
    <row r="145" spans="4:4" ht="14.25" customHeight="1">
      <c r="D145" s="72"/>
    </row>
    <row r="146" spans="4:4" ht="14.25" customHeight="1">
      <c r="D146" s="72"/>
    </row>
    <row r="147" spans="4:4" ht="14.25" customHeight="1">
      <c r="D147" s="72"/>
    </row>
    <row r="148" spans="4:4" ht="14.25" customHeight="1">
      <c r="D148" s="72"/>
    </row>
    <row r="149" spans="4:4" ht="14.25" customHeight="1">
      <c r="D149" s="72"/>
    </row>
    <row r="150" spans="4:4" ht="14.25" customHeight="1">
      <c r="D150" s="72"/>
    </row>
    <row r="151" spans="4:4" ht="14.25" customHeight="1">
      <c r="D151" s="72"/>
    </row>
    <row r="152" spans="4:4" ht="14.25" customHeight="1">
      <c r="D152" s="72"/>
    </row>
    <row r="153" spans="4:4" ht="14.25" customHeight="1">
      <c r="D153" s="72"/>
    </row>
    <row r="154" spans="4:4" ht="14.25" customHeight="1">
      <c r="D154" s="72"/>
    </row>
    <row r="155" spans="4:4" ht="14.25" customHeight="1">
      <c r="D155" s="72"/>
    </row>
    <row r="156" spans="4:4" ht="14.25" customHeight="1">
      <c r="D156" s="72"/>
    </row>
    <row r="157" spans="4:4" ht="14.25" customHeight="1">
      <c r="D157" s="72"/>
    </row>
    <row r="158" spans="4:4" ht="14.25" customHeight="1">
      <c r="D158" s="72"/>
    </row>
    <row r="159" spans="4:4" ht="14.25" customHeight="1">
      <c r="D159" s="72"/>
    </row>
    <row r="160" spans="4:4" ht="14.25" customHeight="1">
      <c r="D160" s="72"/>
    </row>
    <row r="161" spans="4:4" ht="14.25" customHeight="1">
      <c r="D161" s="72"/>
    </row>
    <row r="162" spans="4:4" ht="14.25" customHeight="1">
      <c r="D162" s="72"/>
    </row>
    <row r="163" spans="4:4" ht="14.25" customHeight="1">
      <c r="D163" s="72"/>
    </row>
    <row r="164" spans="4:4" ht="14.25" customHeight="1">
      <c r="D164" s="72"/>
    </row>
    <row r="165" spans="4:4" ht="14.25" customHeight="1">
      <c r="D165" s="72"/>
    </row>
    <row r="166" spans="4:4" ht="14.25" customHeight="1">
      <c r="D166" s="72"/>
    </row>
    <row r="167" spans="4:4" ht="14.25" customHeight="1">
      <c r="D167" s="72"/>
    </row>
    <row r="168" spans="4:4" ht="14.25" customHeight="1">
      <c r="D168" s="72"/>
    </row>
    <row r="169" spans="4:4" ht="14.25" customHeight="1">
      <c r="D169" s="72"/>
    </row>
    <row r="170" spans="4:4" ht="14.25" customHeight="1">
      <c r="D170" s="72"/>
    </row>
    <row r="171" spans="4:4" ht="14.25" customHeight="1">
      <c r="D171" s="72"/>
    </row>
    <row r="172" spans="4:4" ht="14.25" customHeight="1">
      <c r="D172" s="72"/>
    </row>
    <row r="173" spans="4:4" ht="14.25" customHeight="1">
      <c r="D173" s="72"/>
    </row>
    <row r="174" spans="4:4" ht="14.25" customHeight="1">
      <c r="D174" s="72"/>
    </row>
    <row r="175" spans="4:4" ht="14.25" customHeight="1">
      <c r="D175" s="72"/>
    </row>
    <row r="176" spans="4:4" ht="14.25" customHeight="1">
      <c r="D176" s="72"/>
    </row>
    <row r="177" spans="4:4" ht="14.25" customHeight="1">
      <c r="D177" s="72"/>
    </row>
    <row r="178" spans="4:4" ht="14.25" customHeight="1">
      <c r="D178" s="72"/>
    </row>
    <row r="179" spans="4:4" ht="14.25" customHeight="1">
      <c r="D179" s="72"/>
    </row>
    <row r="180" spans="4:4" ht="14.25" customHeight="1">
      <c r="D180" s="72"/>
    </row>
    <row r="181" spans="4:4" ht="14.25" customHeight="1">
      <c r="D181" s="72"/>
    </row>
    <row r="182" spans="4:4" ht="14.25" customHeight="1">
      <c r="D182" s="72"/>
    </row>
    <row r="183" spans="4:4" ht="14.25" customHeight="1">
      <c r="D183" s="72"/>
    </row>
    <row r="184" spans="4:4" ht="14.25" customHeight="1">
      <c r="D184" s="72"/>
    </row>
    <row r="185" spans="4:4" ht="14.25" customHeight="1">
      <c r="D185" s="72"/>
    </row>
    <row r="186" spans="4:4" ht="14.25" customHeight="1">
      <c r="D186" s="72"/>
    </row>
    <row r="187" spans="4:4" ht="14.25" customHeight="1">
      <c r="D187" s="72"/>
    </row>
    <row r="188" spans="4:4" ht="14.25" customHeight="1">
      <c r="D188" s="72"/>
    </row>
    <row r="189" spans="4:4" ht="14.25" customHeight="1">
      <c r="D189" s="72"/>
    </row>
    <row r="190" spans="4:4" ht="14.25" customHeight="1">
      <c r="D190" s="72"/>
    </row>
    <row r="191" spans="4:4" ht="14.25" customHeight="1">
      <c r="D191" s="72"/>
    </row>
    <row r="192" spans="4:4" ht="14.25" customHeight="1">
      <c r="D192" s="72"/>
    </row>
    <row r="193" spans="4:4" ht="14.25" customHeight="1">
      <c r="D193" s="72"/>
    </row>
    <row r="194" spans="4:4" ht="14.25" customHeight="1">
      <c r="D194" s="72"/>
    </row>
    <row r="195" spans="4:4" ht="14.25" customHeight="1">
      <c r="D195" s="72"/>
    </row>
    <row r="196" spans="4:4" ht="14.25" customHeight="1">
      <c r="D196" s="72"/>
    </row>
    <row r="197" spans="4:4" ht="14.25" customHeight="1">
      <c r="D197" s="72"/>
    </row>
    <row r="198" spans="4:4" ht="14.25" customHeight="1">
      <c r="D198" s="72"/>
    </row>
    <row r="199" spans="4:4" ht="14.25" customHeight="1">
      <c r="D199" s="72"/>
    </row>
    <row r="200" spans="4:4" ht="14.25" customHeight="1">
      <c r="D200" s="72"/>
    </row>
    <row r="201" spans="4:4" ht="14.25" customHeight="1">
      <c r="D201" s="72"/>
    </row>
    <row r="202" spans="4:4" ht="14.25" customHeight="1">
      <c r="D202" s="72"/>
    </row>
    <row r="203" spans="4:4" ht="14.25" customHeight="1">
      <c r="D203" s="72"/>
    </row>
    <row r="204" spans="4:4" ht="14.25" customHeight="1">
      <c r="D204" s="72"/>
    </row>
    <row r="205" spans="4:4" ht="14.25" customHeight="1">
      <c r="D205" s="72"/>
    </row>
    <row r="206" spans="4:4" ht="14.25" customHeight="1">
      <c r="D206" s="72"/>
    </row>
    <row r="207" spans="4:4" ht="14.25" customHeight="1">
      <c r="D207" s="72"/>
    </row>
    <row r="208" spans="4:4" ht="14.25" customHeight="1">
      <c r="D208" s="72"/>
    </row>
    <row r="209" spans="4:4" ht="14.25" customHeight="1">
      <c r="D209" s="72"/>
    </row>
    <row r="210" spans="4:4" ht="14.25" customHeight="1">
      <c r="D210" s="72"/>
    </row>
    <row r="211" spans="4:4" ht="14.25" customHeight="1">
      <c r="D211" s="72"/>
    </row>
    <row r="212" spans="4:4" ht="14.25" customHeight="1">
      <c r="D212" s="72"/>
    </row>
    <row r="213" spans="4:4" ht="14.25" customHeight="1">
      <c r="D213" s="72"/>
    </row>
    <row r="214" spans="4:4" ht="14.25" customHeight="1">
      <c r="D214" s="72"/>
    </row>
    <row r="215" spans="4:4" ht="14.25" customHeight="1">
      <c r="D215" s="72"/>
    </row>
    <row r="216" spans="4:4" ht="14.25" customHeight="1">
      <c r="D216" s="72"/>
    </row>
    <row r="217" spans="4:4" ht="14.25" customHeight="1">
      <c r="D217" s="72"/>
    </row>
    <row r="218" spans="4:4" ht="14.25" customHeight="1">
      <c r="D218" s="72"/>
    </row>
    <row r="219" spans="4:4" ht="14.25" customHeight="1">
      <c r="D219" s="72"/>
    </row>
    <row r="220" spans="4:4" ht="14.25" customHeight="1">
      <c r="D220" s="72"/>
    </row>
    <row r="221" spans="4:4" ht="14.25" customHeight="1">
      <c r="D221" s="72"/>
    </row>
    <row r="222" spans="4:4" ht="14.25" customHeight="1">
      <c r="D222" s="72"/>
    </row>
    <row r="223" spans="4:4" ht="14.25" customHeight="1">
      <c r="D223" s="72"/>
    </row>
    <row r="224" spans="4:4" ht="14.25" customHeight="1">
      <c r="D224" s="72"/>
    </row>
    <row r="225" spans="4:4" ht="14.25" customHeight="1">
      <c r="D225" s="72"/>
    </row>
    <row r="226" spans="4:4" ht="14.25" customHeight="1">
      <c r="D226" s="72"/>
    </row>
    <row r="227" spans="4:4" ht="14.25" customHeight="1">
      <c r="D227" s="72"/>
    </row>
    <row r="228" spans="4:4" ht="14.25" customHeight="1">
      <c r="D228" s="72"/>
    </row>
    <row r="229" spans="4:4" ht="14.25" customHeight="1">
      <c r="D229" s="72"/>
    </row>
    <row r="230" spans="4:4" ht="14.25" customHeight="1">
      <c r="D230" s="72"/>
    </row>
    <row r="231" spans="4:4" ht="14.25" customHeight="1">
      <c r="D231" s="72"/>
    </row>
    <row r="232" spans="4:4" ht="14.25" customHeight="1">
      <c r="D232" s="72"/>
    </row>
    <row r="233" spans="4:4" ht="14.25" customHeight="1">
      <c r="D233" s="72"/>
    </row>
    <row r="234" spans="4:4" ht="14.25" customHeight="1">
      <c r="D234" s="72"/>
    </row>
    <row r="235" spans="4:4" ht="14.25" customHeight="1">
      <c r="D235" s="72"/>
    </row>
    <row r="236" spans="4:4" ht="14.25" customHeight="1">
      <c r="D236" s="72"/>
    </row>
    <row r="237" spans="4:4" ht="14.25" customHeight="1">
      <c r="D237" s="72"/>
    </row>
    <row r="238" spans="4:4" ht="14.25" customHeight="1">
      <c r="D238" s="72"/>
    </row>
    <row r="239" spans="4:4" ht="14.25" customHeight="1">
      <c r="D239" s="72"/>
    </row>
    <row r="240" spans="4:4" ht="14.25" customHeight="1">
      <c r="D240" s="72"/>
    </row>
    <row r="241" spans="4:4" ht="14.25" customHeight="1">
      <c r="D241" s="72"/>
    </row>
    <row r="242" spans="4:4" ht="14.25" customHeight="1">
      <c r="D242" s="72"/>
    </row>
    <row r="243" spans="4:4" ht="14.25" customHeight="1">
      <c r="D243" s="72"/>
    </row>
    <row r="244" spans="4:4" ht="14.25" customHeight="1">
      <c r="D244" s="72"/>
    </row>
    <row r="245" spans="4:4" ht="14.25" customHeight="1">
      <c r="D245" s="72"/>
    </row>
    <row r="246" spans="4:4" ht="14.25" customHeight="1">
      <c r="D246" s="72"/>
    </row>
    <row r="247" spans="4:4" ht="14.25" customHeight="1">
      <c r="D247" s="72"/>
    </row>
    <row r="248" spans="4:4" ht="14.25" customHeight="1">
      <c r="D248" s="72"/>
    </row>
    <row r="249" spans="4:4" ht="14.25" customHeight="1">
      <c r="D249" s="72"/>
    </row>
    <row r="250" spans="4:4" ht="14.25" customHeight="1">
      <c r="D250" s="72"/>
    </row>
    <row r="251" spans="4:4" ht="14.25" customHeight="1">
      <c r="D251" s="72"/>
    </row>
    <row r="252" spans="4:4" ht="14.25" customHeight="1">
      <c r="D252" s="72"/>
    </row>
    <row r="253" spans="4:4" ht="14.25" customHeight="1">
      <c r="D253" s="72"/>
    </row>
    <row r="254" spans="4:4" ht="14.25" customHeight="1">
      <c r="D254" s="72"/>
    </row>
    <row r="255" spans="4:4" ht="14.25" customHeight="1">
      <c r="D255" s="72"/>
    </row>
    <row r="256" spans="4:4" ht="14.25" customHeight="1">
      <c r="D256" s="72"/>
    </row>
    <row r="257" spans="4:4" ht="14.25" customHeight="1">
      <c r="D257" s="72"/>
    </row>
    <row r="258" spans="4:4" ht="14.25" customHeight="1">
      <c r="D258" s="72"/>
    </row>
    <row r="259" spans="4:4" ht="14.25" customHeight="1">
      <c r="D259" s="72"/>
    </row>
    <row r="260" spans="4:4" ht="14.25" customHeight="1">
      <c r="D260" s="72"/>
    </row>
    <row r="261" spans="4:4" ht="14.25" customHeight="1">
      <c r="D261" s="72"/>
    </row>
    <row r="262" spans="4:4" ht="14.25" customHeight="1">
      <c r="D262" s="72"/>
    </row>
    <row r="263" spans="4:4" ht="14.25" customHeight="1">
      <c r="D263" s="72"/>
    </row>
    <row r="264" spans="4:4" ht="14.25" customHeight="1">
      <c r="D264" s="72"/>
    </row>
    <row r="265" spans="4:4" ht="14.25" customHeight="1">
      <c r="D265" s="72"/>
    </row>
    <row r="266" spans="4:4" ht="14.25" customHeight="1">
      <c r="D266" s="72"/>
    </row>
    <row r="267" spans="4:4" ht="14.25" customHeight="1">
      <c r="D267" s="72"/>
    </row>
    <row r="268" spans="4:4" ht="14.25" customHeight="1">
      <c r="D268" s="72"/>
    </row>
    <row r="269" spans="4:4" ht="14.25" customHeight="1">
      <c r="D269" s="72"/>
    </row>
    <row r="270" spans="4:4" ht="14.25" customHeight="1">
      <c r="D270" s="72"/>
    </row>
    <row r="271" spans="4:4" ht="14.25" customHeight="1">
      <c r="D271" s="72"/>
    </row>
    <row r="272" spans="4:4" ht="14.25" customHeight="1">
      <c r="D272" s="72"/>
    </row>
    <row r="273" spans="4:4" ht="14.25" customHeight="1">
      <c r="D273" s="72"/>
    </row>
    <row r="274" spans="4:4" ht="14.25" customHeight="1">
      <c r="D274" s="72"/>
    </row>
    <row r="275" spans="4:4" ht="14.25" customHeight="1">
      <c r="D275" s="72"/>
    </row>
    <row r="276" spans="4:4" ht="14.25" customHeight="1">
      <c r="D276" s="72"/>
    </row>
    <row r="277" spans="4:4" ht="14.25" customHeight="1">
      <c r="D277" s="72"/>
    </row>
    <row r="278" spans="4:4" ht="14.25" customHeight="1">
      <c r="D278" s="72"/>
    </row>
    <row r="279" spans="4:4" ht="14.25" customHeight="1">
      <c r="D279" s="72"/>
    </row>
    <row r="280" spans="4:4" ht="14.25" customHeight="1">
      <c r="D280" s="72"/>
    </row>
    <row r="281" spans="4:4" ht="14.25" customHeight="1">
      <c r="D281" s="72"/>
    </row>
    <row r="282" spans="4:4" ht="14.25" customHeight="1">
      <c r="D282" s="72"/>
    </row>
    <row r="283" spans="4:4" ht="14.25" customHeight="1">
      <c r="D283" s="72"/>
    </row>
    <row r="284" spans="4:4" ht="14.25" customHeight="1">
      <c r="D284" s="72"/>
    </row>
    <row r="285" spans="4:4" ht="14.25" customHeight="1">
      <c r="D285" s="72"/>
    </row>
    <row r="286" spans="4:4" ht="14.25" customHeight="1">
      <c r="D286" s="72"/>
    </row>
    <row r="287" spans="4:4" ht="14.25" customHeight="1">
      <c r="D287" s="72"/>
    </row>
    <row r="288" spans="4:4" ht="14.25" customHeight="1">
      <c r="D288" s="72"/>
    </row>
    <row r="289" spans="4:4" ht="14.25" customHeight="1">
      <c r="D289" s="72"/>
    </row>
    <row r="290" spans="4:4" ht="14.25" customHeight="1">
      <c r="D290" s="72"/>
    </row>
    <row r="291" spans="4:4" ht="14.25" customHeight="1">
      <c r="D291" s="72"/>
    </row>
    <row r="292" spans="4:4" ht="14.25" customHeight="1">
      <c r="D292" s="72"/>
    </row>
    <row r="293" spans="4:4" ht="14.25" customHeight="1">
      <c r="D293" s="72"/>
    </row>
    <row r="294" spans="4:4" ht="14.25" customHeight="1">
      <c r="D294" s="72"/>
    </row>
    <row r="295" spans="4:4" ht="14.25" customHeight="1">
      <c r="D295" s="72"/>
    </row>
    <row r="296" spans="4:4" ht="14.25" customHeight="1">
      <c r="D296" s="72"/>
    </row>
    <row r="297" spans="4:4" ht="14.25" customHeight="1">
      <c r="D297" s="72"/>
    </row>
    <row r="298" spans="4:4" ht="14.25" customHeight="1">
      <c r="D298" s="72"/>
    </row>
    <row r="299" spans="4:4" ht="14.25" customHeight="1">
      <c r="D299" s="72"/>
    </row>
    <row r="300" spans="4:4" ht="14.25" customHeight="1">
      <c r="D300" s="72"/>
    </row>
    <row r="301" spans="4:4" ht="14.25" customHeight="1">
      <c r="D301" s="72"/>
    </row>
    <row r="302" spans="4:4" ht="14.25" customHeight="1">
      <c r="D302" s="72"/>
    </row>
    <row r="303" spans="4:4" ht="14.25" customHeight="1">
      <c r="D303" s="72"/>
    </row>
    <row r="304" spans="4:4" ht="14.25" customHeight="1">
      <c r="D304" s="72"/>
    </row>
    <row r="305" spans="4:4" ht="14.25" customHeight="1">
      <c r="D305" s="72"/>
    </row>
    <row r="306" spans="4:4" ht="14.25" customHeight="1">
      <c r="D306" s="72"/>
    </row>
    <row r="307" spans="4:4" ht="14.25" customHeight="1">
      <c r="D307" s="72"/>
    </row>
    <row r="308" spans="4:4" ht="14.25" customHeight="1">
      <c r="D308" s="72"/>
    </row>
    <row r="309" spans="4:4" ht="14.25" customHeight="1">
      <c r="D309" s="72"/>
    </row>
    <row r="310" spans="4:4" ht="14.25" customHeight="1">
      <c r="D310" s="72"/>
    </row>
    <row r="311" spans="4:4" ht="14.25" customHeight="1">
      <c r="D311" s="72"/>
    </row>
    <row r="312" spans="4:4" ht="14.25" customHeight="1">
      <c r="D312" s="72"/>
    </row>
    <row r="313" spans="4:4" ht="14.25" customHeight="1">
      <c r="D313" s="72"/>
    </row>
    <row r="314" spans="4:4" ht="14.25" customHeight="1">
      <c r="D314" s="72"/>
    </row>
    <row r="315" spans="4:4" ht="14.25" customHeight="1">
      <c r="D315" s="72"/>
    </row>
    <row r="316" spans="4:4" ht="14.25" customHeight="1">
      <c r="D316" s="72"/>
    </row>
    <row r="317" spans="4:4" ht="14.25" customHeight="1">
      <c r="D317" s="72"/>
    </row>
    <row r="318" spans="4:4" ht="14.25" customHeight="1">
      <c r="D318" s="72"/>
    </row>
    <row r="319" spans="4:4" ht="14.25" customHeight="1">
      <c r="D319" s="72"/>
    </row>
    <row r="320" spans="4:4" ht="14.25" customHeight="1">
      <c r="D320" s="72"/>
    </row>
    <row r="321" spans="4:4" ht="14.25" customHeight="1">
      <c r="D321" s="72"/>
    </row>
    <row r="322" spans="4:4" ht="14.25" customHeight="1">
      <c r="D322" s="72"/>
    </row>
    <row r="323" spans="4:4" ht="14.25" customHeight="1">
      <c r="D323" s="72"/>
    </row>
    <row r="324" spans="4:4" ht="14.25" customHeight="1">
      <c r="D324" s="72"/>
    </row>
    <row r="325" spans="4:4" ht="14.25" customHeight="1">
      <c r="D325" s="72"/>
    </row>
    <row r="326" spans="4:4" ht="14.25" customHeight="1">
      <c r="D326" s="72"/>
    </row>
    <row r="327" spans="4:4" ht="14.25" customHeight="1">
      <c r="D327" s="72"/>
    </row>
    <row r="328" spans="4:4" ht="14.25" customHeight="1">
      <c r="D328" s="72"/>
    </row>
    <row r="329" spans="4:4" ht="14.25" customHeight="1">
      <c r="D329" s="72"/>
    </row>
    <row r="330" spans="4:4" ht="14.25" customHeight="1">
      <c r="D330" s="72"/>
    </row>
    <row r="331" spans="4:4" ht="14.25" customHeight="1">
      <c r="D331" s="72"/>
    </row>
    <row r="332" spans="4:4" ht="14.25" customHeight="1">
      <c r="D332" s="72"/>
    </row>
    <row r="333" spans="4:4" ht="14.25" customHeight="1">
      <c r="D333" s="72"/>
    </row>
    <row r="334" spans="4:4" ht="14.25" customHeight="1">
      <c r="D334" s="72"/>
    </row>
    <row r="335" spans="4:4" ht="14.25" customHeight="1">
      <c r="D335" s="72"/>
    </row>
    <row r="336" spans="4:4" ht="14.25" customHeight="1">
      <c r="D336" s="72"/>
    </row>
    <row r="337" spans="4:4" ht="14.25" customHeight="1">
      <c r="D337" s="72"/>
    </row>
    <row r="338" spans="4:4" ht="14.25" customHeight="1">
      <c r="D338" s="72"/>
    </row>
    <row r="339" spans="4:4" ht="14.25" customHeight="1">
      <c r="D339" s="72"/>
    </row>
    <row r="340" spans="4:4" ht="14.25" customHeight="1">
      <c r="D340" s="72"/>
    </row>
    <row r="341" spans="4:4" ht="14.25" customHeight="1">
      <c r="D341" s="72"/>
    </row>
    <row r="342" spans="4:4" ht="14.25" customHeight="1">
      <c r="D342" s="72"/>
    </row>
    <row r="343" spans="4:4" ht="14.25" customHeight="1">
      <c r="D343" s="72"/>
    </row>
    <row r="344" spans="4:4" ht="14.25" customHeight="1">
      <c r="D344" s="72"/>
    </row>
    <row r="345" spans="4:4" ht="14.25" customHeight="1">
      <c r="D345" s="72"/>
    </row>
    <row r="346" spans="4:4" ht="14.25" customHeight="1">
      <c r="D346" s="72"/>
    </row>
    <row r="347" spans="4:4" ht="14.25" customHeight="1">
      <c r="D347" s="72"/>
    </row>
    <row r="348" spans="4:4" ht="14.25" customHeight="1">
      <c r="D348" s="72"/>
    </row>
    <row r="349" spans="4:4" ht="14.25" customHeight="1">
      <c r="D349" s="72"/>
    </row>
    <row r="350" spans="4:4" ht="14.25" customHeight="1">
      <c r="D350" s="72"/>
    </row>
    <row r="351" spans="4:4" ht="14.25" customHeight="1">
      <c r="D351" s="72"/>
    </row>
    <row r="352" spans="4:4" ht="14.25" customHeight="1">
      <c r="D352" s="72"/>
    </row>
    <row r="353" spans="4:4" ht="14.25" customHeight="1">
      <c r="D353" s="72"/>
    </row>
    <row r="354" spans="4:4" ht="14.25" customHeight="1">
      <c r="D354" s="72"/>
    </row>
    <row r="355" spans="4:4" ht="14.25" customHeight="1">
      <c r="D355" s="72"/>
    </row>
    <row r="356" spans="4:4" ht="14.25" customHeight="1">
      <c r="D356" s="72"/>
    </row>
    <row r="357" spans="4:4" ht="14.25" customHeight="1">
      <c r="D357" s="72"/>
    </row>
    <row r="358" spans="4:4" ht="14.25" customHeight="1">
      <c r="D358" s="72"/>
    </row>
    <row r="359" spans="4:4" ht="14.25" customHeight="1">
      <c r="D359" s="72"/>
    </row>
    <row r="360" spans="4:4" ht="14.25" customHeight="1">
      <c r="D360" s="72"/>
    </row>
    <row r="361" spans="4:4" ht="14.25" customHeight="1">
      <c r="D361" s="72"/>
    </row>
    <row r="362" spans="4:4" ht="14.25" customHeight="1">
      <c r="D362" s="72"/>
    </row>
    <row r="363" spans="4:4" ht="14.25" customHeight="1">
      <c r="D363" s="72"/>
    </row>
    <row r="364" spans="4:4" ht="14.25" customHeight="1">
      <c r="D364" s="72"/>
    </row>
    <row r="365" spans="4:4" ht="14.25" customHeight="1">
      <c r="D365" s="72"/>
    </row>
    <row r="366" spans="4:4" ht="14.25" customHeight="1">
      <c r="D366" s="72"/>
    </row>
    <row r="367" spans="4:4" ht="14.25" customHeight="1">
      <c r="D367" s="72"/>
    </row>
    <row r="368" spans="4:4" ht="14.25" customHeight="1">
      <c r="D368" s="72"/>
    </row>
    <row r="369" spans="4:4" ht="14.25" customHeight="1">
      <c r="D369" s="72"/>
    </row>
    <row r="370" spans="4:4" ht="14.25" customHeight="1">
      <c r="D370" s="72"/>
    </row>
    <row r="371" spans="4:4" ht="14.25" customHeight="1">
      <c r="D371" s="72"/>
    </row>
    <row r="372" spans="4:4" ht="14.25" customHeight="1">
      <c r="D372" s="72"/>
    </row>
    <row r="373" spans="4:4" ht="14.25" customHeight="1">
      <c r="D373" s="72"/>
    </row>
    <row r="374" spans="4:4" ht="14.25" customHeight="1">
      <c r="D374" s="72"/>
    </row>
    <row r="375" spans="4:4" ht="14.25" customHeight="1">
      <c r="D375" s="72"/>
    </row>
    <row r="376" spans="4:4" ht="14.25" customHeight="1">
      <c r="D376" s="72"/>
    </row>
    <row r="377" spans="4:4" ht="14.25" customHeight="1">
      <c r="D377" s="72"/>
    </row>
    <row r="378" spans="4:4" ht="14.25" customHeight="1">
      <c r="D378" s="72"/>
    </row>
    <row r="379" spans="4:4" ht="14.25" customHeight="1">
      <c r="D379" s="72"/>
    </row>
    <row r="380" spans="4:4" ht="14.25" customHeight="1">
      <c r="D380" s="72"/>
    </row>
    <row r="381" spans="4:4" ht="14.25" customHeight="1">
      <c r="D381" s="72"/>
    </row>
    <row r="382" spans="4:4" ht="14.25" customHeight="1">
      <c r="D382" s="72"/>
    </row>
    <row r="383" spans="4:4" ht="14.25" customHeight="1">
      <c r="D383" s="72"/>
    </row>
    <row r="384" spans="4:4" ht="14.25" customHeight="1">
      <c r="D384" s="72"/>
    </row>
    <row r="385" spans="4:4" ht="14.25" customHeight="1">
      <c r="D385" s="72"/>
    </row>
    <row r="386" spans="4:4" ht="14.25" customHeight="1">
      <c r="D386" s="72"/>
    </row>
    <row r="387" spans="4:4" ht="14.25" customHeight="1">
      <c r="D387" s="72"/>
    </row>
    <row r="388" spans="4:4" ht="14.25" customHeight="1">
      <c r="D388" s="72"/>
    </row>
    <row r="389" spans="4:4" ht="14.25" customHeight="1">
      <c r="D389" s="72"/>
    </row>
    <row r="390" spans="4:4" ht="14.25" customHeight="1">
      <c r="D390" s="72"/>
    </row>
    <row r="391" spans="4:4" ht="14.25" customHeight="1">
      <c r="D391" s="72"/>
    </row>
    <row r="392" spans="4:4" ht="14.25" customHeight="1">
      <c r="D392" s="72"/>
    </row>
    <row r="393" spans="4:4" ht="14.25" customHeight="1">
      <c r="D393" s="72"/>
    </row>
    <row r="394" spans="4:4" ht="14.25" customHeight="1">
      <c r="D394" s="72"/>
    </row>
    <row r="395" spans="4:4" ht="14.25" customHeight="1">
      <c r="D395" s="72"/>
    </row>
    <row r="396" spans="4:4" ht="14.25" customHeight="1">
      <c r="D396" s="72"/>
    </row>
    <row r="397" spans="4:4" ht="14.25" customHeight="1">
      <c r="D397" s="72"/>
    </row>
    <row r="398" spans="4:4" ht="14.25" customHeight="1">
      <c r="D398" s="72"/>
    </row>
    <row r="399" spans="4:4" ht="14.25" customHeight="1">
      <c r="D399" s="72"/>
    </row>
    <row r="400" spans="4:4" ht="14.25" customHeight="1">
      <c r="D400" s="72"/>
    </row>
    <row r="401" spans="4:4" ht="14.25" customHeight="1">
      <c r="D401" s="72"/>
    </row>
    <row r="402" spans="4:4" ht="14.25" customHeight="1">
      <c r="D402" s="72"/>
    </row>
    <row r="403" spans="4:4" ht="14.25" customHeight="1">
      <c r="D403" s="72"/>
    </row>
    <row r="404" spans="4:4" ht="14.25" customHeight="1">
      <c r="D404" s="72"/>
    </row>
    <row r="405" spans="4:4" ht="14.25" customHeight="1">
      <c r="D405" s="72"/>
    </row>
    <row r="406" spans="4:4" ht="14.25" customHeight="1">
      <c r="D406" s="72"/>
    </row>
    <row r="407" spans="4:4" ht="14.25" customHeight="1">
      <c r="D407" s="72"/>
    </row>
    <row r="408" spans="4:4" ht="14.25" customHeight="1">
      <c r="D408" s="72"/>
    </row>
    <row r="409" spans="4:4" ht="14.25" customHeight="1">
      <c r="D409" s="72"/>
    </row>
    <row r="410" spans="4:4" ht="14.25" customHeight="1">
      <c r="D410" s="72"/>
    </row>
    <row r="411" spans="4:4" ht="14.25" customHeight="1">
      <c r="D411" s="72"/>
    </row>
    <row r="412" spans="4:4" ht="14.25" customHeight="1">
      <c r="D412" s="72"/>
    </row>
    <row r="413" spans="4:4" ht="14.25" customHeight="1">
      <c r="D413" s="72"/>
    </row>
    <row r="414" spans="4:4" ht="14.25" customHeight="1">
      <c r="D414" s="72"/>
    </row>
    <row r="415" spans="4:4" ht="14.25" customHeight="1">
      <c r="D415" s="72"/>
    </row>
    <row r="416" spans="4:4" ht="14.25" customHeight="1">
      <c r="D416" s="72"/>
    </row>
    <row r="417" spans="4:4" ht="14.25" customHeight="1">
      <c r="D417" s="72"/>
    </row>
    <row r="418" spans="4:4" ht="14.25" customHeight="1">
      <c r="D418" s="72"/>
    </row>
    <row r="419" spans="4:4" ht="14.25" customHeight="1">
      <c r="D419" s="72"/>
    </row>
    <row r="420" spans="4:4" ht="14.25" customHeight="1">
      <c r="D420" s="72"/>
    </row>
    <row r="421" spans="4:4" ht="14.25" customHeight="1">
      <c r="D421" s="72"/>
    </row>
    <row r="422" spans="4:4" ht="14.25" customHeight="1">
      <c r="D422" s="72"/>
    </row>
    <row r="423" spans="4:4" ht="14.25" customHeight="1">
      <c r="D423" s="72"/>
    </row>
    <row r="424" spans="4:4" ht="14.25" customHeight="1">
      <c r="D424" s="72"/>
    </row>
    <row r="425" spans="4:4" ht="14.25" customHeight="1">
      <c r="D425" s="72"/>
    </row>
    <row r="426" spans="4:4" ht="14.25" customHeight="1">
      <c r="D426" s="72"/>
    </row>
    <row r="427" spans="4:4" ht="14.25" customHeight="1">
      <c r="D427" s="72"/>
    </row>
    <row r="428" spans="4:4" ht="14.25" customHeight="1">
      <c r="D428" s="72"/>
    </row>
    <row r="429" spans="4:4" ht="14.25" customHeight="1">
      <c r="D429" s="72"/>
    </row>
    <row r="430" spans="4:4" ht="14.25" customHeight="1">
      <c r="D430" s="72"/>
    </row>
    <row r="431" spans="4:4" ht="14.25" customHeight="1">
      <c r="D431" s="72"/>
    </row>
    <row r="432" spans="4:4" ht="14.25" customHeight="1">
      <c r="D432" s="72"/>
    </row>
    <row r="433" spans="4:4" ht="14.25" customHeight="1">
      <c r="D433" s="72"/>
    </row>
    <row r="434" spans="4:4" ht="14.25" customHeight="1">
      <c r="D434" s="72"/>
    </row>
    <row r="435" spans="4:4" ht="14.25" customHeight="1">
      <c r="D435" s="72"/>
    </row>
    <row r="436" spans="4:4" ht="14.25" customHeight="1">
      <c r="D436" s="72"/>
    </row>
    <row r="437" spans="4:4" ht="14.25" customHeight="1">
      <c r="D437" s="72"/>
    </row>
    <row r="438" spans="4:4" ht="14.25" customHeight="1">
      <c r="D438" s="72"/>
    </row>
    <row r="439" spans="4:4" ht="14.25" customHeight="1">
      <c r="D439" s="72"/>
    </row>
    <row r="440" spans="4:4" ht="14.25" customHeight="1">
      <c r="D440" s="72"/>
    </row>
    <row r="441" spans="4:4" ht="14.25" customHeight="1">
      <c r="D441" s="72"/>
    </row>
    <row r="442" spans="4:4" ht="14.25" customHeight="1">
      <c r="D442" s="72"/>
    </row>
    <row r="443" spans="4:4" ht="14.25" customHeight="1">
      <c r="D443" s="72"/>
    </row>
    <row r="444" spans="4:4" ht="14.25" customHeight="1">
      <c r="D444" s="72"/>
    </row>
    <row r="445" spans="4:4" ht="14.25" customHeight="1">
      <c r="D445" s="72"/>
    </row>
    <row r="446" spans="4:4" ht="14.25" customHeight="1">
      <c r="D446" s="72"/>
    </row>
    <row r="447" spans="4:4" ht="14.25" customHeight="1">
      <c r="D447" s="72"/>
    </row>
    <row r="448" spans="4:4" ht="14.25" customHeight="1">
      <c r="D448" s="72"/>
    </row>
    <row r="449" spans="4:4" ht="14.25" customHeight="1">
      <c r="D449" s="72"/>
    </row>
    <row r="450" spans="4:4" ht="14.25" customHeight="1">
      <c r="D450" s="72"/>
    </row>
    <row r="451" spans="4:4" ht="14.25" customHeight="1">
      <c r="D451" s="72"/>
    </row>
    <row r="452" spans="4:4" ht="14.25" customHeight="1">
      <c r="D452" s="72"/>
    </row>
    <row r="453" spans="4:4" ht="14.25" customHeight="1">
      <c r="D453" s="72"/>
    </row>
    <row r="454" spans="4:4" ht="14.25" customHeight="1">
      <c r="D454" s="72"/>
    </row>
    <row r="455" spans="4:4" ht="14.25" customHeight="1">
      <c r="D455" s="72"/>
    </row>
    <row r="456" spans="4:4" ht="14.25" customHeight="1">
      <c r="D456" s="72"/>
    </row>
    <row r="457" spans="4:4" ht="14.25" customHeight="1">
      <c r="D457" s="72"/>
    </row>
    <row r="458" spans="4:4" ht="14.25" customHeight="1">
      <c r="D458" s="72"/>
    </row>
    <row r="459" spans="4:4" ht="14.25" customHeight="1">
      <c r="D459" s="72"/>
    </row>
    <row r="460" spans="4:4" ht="14.25" customHeight="1">
      <c r="D460" s="72"/>
    </row>
    <row r="461" spans="4:4" ht="14.25" customHeight="1">
      <c r="D461" s="72"/>
    </row>
    <row r="462" spans="4:4" ht="14.25" customHeight="1">
      <c r="D462" s="72"/>
    </row>
    <row r="463" spans="4:4" ht="14.25" customHeight="1">
      <c r="D463" s="72"/>
    </row>
    <row r="464" spans="4:4" ht="14.25" customHeight="1">
      <c r="D464" s="72"/>
    </row>
    <row r="465" spans="4:4" ht="14.25" customHeight="1">
      <c r="D465" s="72"/>
    </row>
    <row r="466" spans="4:4" ht="14.25" customHeight="1">
      <c r="D466" s="72"/>
    </row>
    <row r="467" spans="4:4" ht="14.25" customHeight="1">
      <c r="D467" s="72"/>
    </row>
    <row r="468" spans="4:4" ht="14.25" customHeight="1">
      <c r="D468" s="72"/>
    </row>
    <row r="469" spans="4:4" ht="14.25" customHeight="1">
      <c r="D469" s="72"/>
    </row>
    <row r="470" spans="4:4" ht="14.25" customHeight="1">
      <c r="D470" s="72"/>
    </row>
    <row r="471" spans="4:4" ht="14.25" customHeight="1">
      <c r="D471" s="72"/>
    </row>
    <row r="472" spans="4:4" ht="14.25" customHeight="1">
      <c r="D472" s="72"/>
    </row>
    <row r="473" spans="4:4" ht="14.25" customHeight="1">
      <c r="D473" s="72"/>
    </row>
    <row r="474" spans="4:4" ht="14.25" customHeight="1">
      <c r="D474" s="72"/>
    </row>
    <row r="475" spans="4:4" ht="14.25" customHeight="1">
      <c r="D475" s="72"/>
    </row>
    <row r="476" spans="4:4" ht="14.25" customHeight="1">
      <c r="D476" s="72"/>
    </row>
    <row r="477" spans="4:4" ht="14.25" customHeight="1">
      <c r="D477" s="72"/>
    </row>
    <row r="478" spans="4:4" ht="14.25" customHeight="1">
      <c r="D478" s="72"/>
    </row>
    <row r="479" spans="4:4" ht="14.25" customHeight="1">
      <c r="D479" s="72"/>
    </row>
    <row r="480" spans="4:4" ht="14.25" customHeight="1">
      <c r="D480" s="72"/>
    </row>
    <row r="481" spans="4:4" ht="14.25" customHeight="1">
      <c r="D481" s="72"/>
    </row>
    <row r="482" spans="4:4" ht="14.25" customHeight="1">
      <c r="D482" s="72"/>
    </row>
    <row r="483" spans="4:4" ht="14.25" customHeight="1">
      <c r="D483" s="72"/>
    </row>
    <row r="484" spans="4:4" ht="14.25" customHeight="1">
      <c r="D484" s="72"/>
    </row>
    <row r="485" spans="4:4" ht="14.25" customHeight="1">
      <c r="D485" s="72"/>
    </row>
    <row r="486" spans="4:4" ht="14.25" customHeight="1">
      <c r="D486" s="72"/>
    </row>
    <row r="487" spans="4:4" ht="14.25" customHeight="1">
      <c r="D487" s="72"/>
    </row>
    <row r="488" spans="4:4" ht="14.25" customHeight="1">
      <c r="D488" s="72"/>
    </row>
    <row r="489" spans="4:4" ht="14.25" customHeight="1">
      <c r="D489" s="72"/>
    </row>
    <row r="490" spans="4:4" ht="14.25" customHeight="1">
      <c r="D490" s="72"/>
    </row>
    <row r="491" spans="4:4" ht="14.25" customHeight="1">
      <c r="D491" s="72"/>
    </row>
    <row r="492" spans="4:4" ht="14.25" customHeight="1">
      <c r="D492" s="72"/>
    </row>
    <row r="493" spans="4:4" ht="14.25" customHeight="1">
      <c r="D493" s="72"/>
    </row>
    <row r="494" spans="4:4" ht="14.25" customHeight="1">
      <c r="D494" s="72"/>
    </row>
    <row r="495" spans="4:4" ht="14.25" customHeight="1">
      <c r="D495" s="72"/>
    </row>
    <row r="496" spans="4:4" ht="14.25" customHeight="1">
      <c r="D496" s="72"/>
    </row>
    <row r="497" spans="4:4" ht="14.25" customHeight="1">
      <c r="D497" s="72"/>
    </row>
    <row r="498" spans="4:4" ht="14.25" customHeight="1">
      <c r="D498" s="72"/>
    </row>
    <row r="499" spans="4:4" ht="14.25" customHeight="1">
      <c r="D499" s="72"/>
    </row>
    <row r="500" spans="4:4" ht="14.25" customHeight="1">
      <c r="D500" s="72"/>
    </row>
    <row r="501" spans="4:4" ht="14.25" customHeight="1">
      <c r="D501" s="72"/>
    </row>
    <row r="502" spans="4:4" ht="14.25" customHeight="1">
      <c r="D502" s="72"/>
    </row>
    <row r="503" spans="4:4" ht="14.25" customHeight="1">
      <c r="D503" s="72"/>
    </row>
    <row r="504" spans="4:4" ht="14.25" customHeight="1">
      <c r="D504" s="72"/>
    </row>
    <row r="505" spans="4:4" ht="14.25" customHeight="1">
      <c r="D505" s="72"/>
    </row>
    <row r="506" spans="4:4" ht="14.25" customHeight="1">
      <c r="D506" s="72"/>
    </row>
    <row r="507" spans="4:4" ht="14.25" customHeight="1">
      <c r="D507" s="72"/>
    </row>
    <row r="508" spans="4:4" ht="14.25" customHeight="1">
      <c r="D508" s="72"/>
    </row>
    <row r="509" spans="4:4" ht="14.25" customHeight="1">
      <c r="D509" s="72"/>
    </row>
    <row r="510" spans="4:4" ht="14.25" customHeight="1">
      <c r="D510" s="72"/>
    </row>
    <row r="511" spans="4:4" ht="14.25" customHeight="1">
      <c r="D511" s="72"/>
    </row>
    <row r="512" spans="4:4" ht="14.25" customHeight="1">
      <c r="D512" s="72"/>
    </row>
    <row r="513" spans="4:4" ht="14.25" customHeight="1">
      <c r="D513" s="72"/>
    </row>
    <row r="514" spans="4:4" ht="14.25" customHeight="1">
      <c r="D514" s="72"/>
    </row>
    <row r="515" spans="4:4" ht="14.25" customHeight="1">
      <c r="D515" s="72"/>
    </row>
    <row r="516" spans="4:4" ht="14.25" customHeight="1">
      <c r="D516" s="72"/>
    </row>
    <row r="517" spans="4:4" ht="14.25" customHeight="1">
      <c r="D517" s="72"/>
    </row>
    <row r="518" spans="4:4" ht="14.25" customHeight="1">
      <c r="D518" s="72"/>
    </row>
    <row r="519" spans="4:4" ht="14.25" customHeight="1">
      <c r="D519" s="72"/>
    </row>
    <row r="520" spans="4:4" ht="14.25" customHeight="1">
      <c r="D520" s="72"/>
    </row>
    <row r="521" spans="4:4" ht="14.25" customHeight="1">
      <c r="D521" s="72"/>
    </row>
    <row r="522" spans="4:4" ht="14.25" customHeight="1">
      <c r="D522" s="72"/>
    </row>
    <row r="523" spans="4:4" ht="14.25" customHeight="1">
      <c r="D523" s="72"/>
    </row>
    <row r="524" spans="4:4" ht="14.25" customHeight="1">
      <c r="D524" s="72"/>
    </row>
    <row r="525" spans="4:4" ht="14.25" customHeight="1">
      <c r="D525" s="72"/>
    </row>
    <row r="526" spans="4:4" ht="14.25" customHeight="1">
      <c r="D526" s="72"/>
    </row>
    <row r="527" spans="4:4" ht="14.25" customHeight="1">
      <c r="D527" s="72"/>
    </row>
    <row r="528" spans="4:4" ht="14.25" customHeight="1">
      <c r="D528" s="72"/>
    </row>
    <row r="529" spans="4:4" ht="14.25" customHeight="1">
      <c r="D529" s="72"/>
    </row>
    <row r="530" spans="4:4" ht="14.25" customHeight="1">
      <c r="D530" s="72"/>
    </row>
    <row r="531" spans="4:4" ht="14.25" customHeight="1">
      <c r="D531" s="72"/>
    </row>
    <row r="532" spans="4:4" ht="14.25" customHeight="1">
      <c r="D532" s="72"/>
    </row>
    <row r="533" spans="4:4" ht="14.25" customHeight="1">
      <c r="D533" s="72"/>
    </row>
    <row r="534" spans="4:4" ht="14.25" customHeight="1">
      <c r="D534" s="72"/>
    </row>
    <row r="535" spans="4:4" ht="14.25" customHeight="1">
      <c r="D535" s="72"/>
    </row>
    <row r="536" spans="4:4" ht="14.25" customHeight="1">
      <c r="D536" s="72"/>
    </row>
    <row r="537" spans="4:4" ht="14.25" customHeight="1">
      <c r="D537" s="72"/>
    </row>
    <row r="538" spans="4:4" ht="14.25" customHeight="1">
      <c r="D538" s="72"/>
    </row>
    <row r="539" spans="4:4" ht="14.25" customHeight="1">
      <c r="D539" s="72"/>
    </row>
    <row r="540" spans="4:4" ht="14.25" customHeight="1">
      <c r="D540" s="72"/>
    </row>
    <row r="541" spans="4:4" ht="14.25" customHeight="1">
      <c r="D541" s="72"/>
    </row>
    <row r="542" spans="4:4" ht="14.25" customHeight="1">
      <c r="D542" s="72"/>
    </row>
    <row r="543" spans="4:4" ht="14.25" customHeight="1">
      <c r="D543" s="72"/>
    </row>
    <row r="544" spans="4:4" ht="14.25" customHeight="1">
      <c r="D544" s="72"/>
    </row>
    <row r="545" spans="4:4" ht="14.25" customHeight="1">
      <c r="D545" s="72"/>
    </row>
    <row r="546" spans="4:4" ht="14.25" customHeight="1">
      <c r="D546" s="72"/>
    </row>
    <row r="547" spans="4:4" ht="14.25" customHeight="1">
      <c r="D547" s="72"/>
    </row>
    <row r="548" spans="4:4" ht="14.25" customHeight="1">
      <c r="D548" s="72"/>
    </row>
    <row r="549" spans="4:4" ht="14.25" customHeight="1">
      <c r="D549" s="72"/>
    </row>
    <row r="550" spans="4:4" ht="14.25" customHeight="1">
      <c r="D550" s="72"/>
    </row>
    <row r="551" spans="4:4" ht="14.25" customHeight="1">
      <c r="D551" s="72"/>
    </row>
    <row r="552" spans="4:4" ht="14.25" customHeight="1">
      <c r="D552" s="72"/>
    </row>
    <row r="553" spans="4:4" ht="14.25" customHeight="1">
      <c r="D553" s="72"/>
    </row>
    <row r="554" spans="4:4" ht="14.25" customHeight="1">
      <c r="D554" s="72"/>
    </row>
    <row r="555" spans="4:4" ht="14.25" customHeight="1">
      <c r="D555" s="72"/>
    </row>
    <row r="556" spans="4:4" ht="14.25" customHeight="1">
      <c r="D556" s="72"/>
    </row>
    <row r="557" spans="4:4" ht="14.25" customHeight="1">
      <c r="D557" s="72"/>
    </row>
    <row r="558" spans="4:4" ht="14.25" customHeight="1">
      <c r="D558" s="72"/>
    </row>
    <row r="559" spans="4:4" ht="14.25" customHeight="1">
      <c r="D559" s="72"/>
    </row>
    <row r="560" spans="4:4" ht="14.25" customHeight="1">
      <c r="D560" s="72"/>
    </row>
    <row r="561" spans="4:4" ht="14.25" customHeight="1">
      <c r="D561" s="72"/>
    </row>
    <row r="562" spans="4:4" ht="14.25" customHeight="1">
      <c r="D562" s="72"/>
    </row>
    <row r="563" spans="4:4" ht="14.25" customHeight="1">
      <c r="D563" s="72"/>
    </row>
    <row r="564" spans="4:4" ht="14.25" customHeight="1">
      <c r="D564" s="72"/>
    </row>
    <row r="565" spans="4:4" ht="14.25" customHeight="1">
      <c r="D565" s="72"/>
    </row>
    <row r="566" spans="4:4" ht="14.25" customHeight="1">
      <c r="D566" s="72"/>
    </row>
    <row r="567" spans="4:4" ht="14.25" customHeight="1">
      <c r="D567" s="72"/>
    </row>
    <row r="568" spans="4:4" ht="14.25" customHeight="1">
      <c r="D568" s="72"/>
    </row>
    <row r="569" spans="4:4" ht="14.25" customHeight="1">
      <c r="D569" s="72"/>
    </row>
    <row r="570" spans="4:4" ht="14.25" customHeight="1">
      <c r="D570" s="72"/>
    </row>
    <row r="571" spans="4:4" ht="14.25" customHeight="1">
      <c r="D571" s="72"/>
    </row>
    <row r="572" spans="4:4" ht="14.25" customHeight="1">
      <c r="D572" s="72"/>
    </row>
    <row r="573" spans="4:4" ht="14.25" customHeight="1">
      <c r="D573" s="72"/>
    </row>
    <row r="574" spans="4:4" ht="14.25" customHeight="1">
      <c r="D574" s="72"/>
    </row>
    <row r="575" spans="4:4" ht="14.25" customHeight="1">
      <c r="D575" s="72"/>
    </row>
    <row r="576" spans="4:4" ht="14.25" customHeight="1">
      <c r="D576" s="72"/>
    </row>
    <row r="577" spans="4:4" ht="14.25" customHeight="1">
      <c r="D577" s="72"/>
    </row>
    <row r="578" spans="4:4" ht="14.25" customHeight="1">
      <c r="D578" s="72"/>
    </row>
    <row r="579" spans="4:4" ht="14.25" customHeight="1">
      <c r="D579" s="72"/>
    </row>
    <row r="580" spans="4:4" ht="14.25" customHeight="1">
      <c r="D580" s="72"/>
    </row>
    <row r="581" spans="4:4" ht="14.25" customHeight="1">
      <c r="D581" s="72"/>
    </row>
    <row r="582" spans="4:4" ht="14.25" customHeight="1">
      <c r="D582" s="72"/>
    </row>
    <row r="583" spans="4:4" ht="14.25" customHeight="1">
      <c r="D583" s="72"/>
    </row>
    <row r="584" spans="4:4" ht="14.25" customHeight="1">
      <c r="D584" s="72"/>
    </row>
    <row r="585" spans="4:4" ht="14.25" customHeight="1">
      <c r="D585" s="72"/>
    </row>
    <row r="586" spans="4:4" ht="14.25" customHeight="1">
      <c r="D586" s="72"/>
    </row>
    <row r="587" spans="4:4" ht="14.25" customHeight="1">
      <c r="D587" s="72"/>
    </row>
    <row r="588" spans="4:4" ht="14.25" customHeight="1">
      <c r="D588" s="72"/>
    </row>
    <row r="589" spans="4:4" ht="14.25" customHeight="1">
      <c r="D589" s="72"/>
    </row>
    <row r="590" spans="4:4" ht="14.25" customHeight="1">
      <c r="D590" s="72"/>
    </row>
    <row r="591" spans="4:4" ht="14.25" customHeight="1">
      <c r="D591" s="72"/>
    </row>
    <row r="592" spans="4:4" ht="14.25" customHeight="1">
      <c r="D592" s="72"/>
    </row>
    <row r="593" spans="4:4" ht="14.25" customHeight="1">
      <c r="D593" s="72"/>
    </row>
    <row r="594" spans="4:4" ht="14.25" customHeight="1">
      <c r="D594" s="72"/>
    </row>
    <row r="595" spans="4:4" ht="14.25" customHeight="1">
      <c r="D595" s="72"/>
    </row>
    <row r="596" spans="4:4" ht="14.25" customHeight="1">
      <c r="D596" s="72"/>
    </row>
    <row r="597" spans="4:4" ht="14.25" customHeight="1">
      <c r="D597" s="72"/>
    </row>
    <row r="598" spans="4:4" ht="14.25" customHeight="1">
      <c r="D598" s="72"/>
    </row>
    <row r="599" spans="4:4" ht="14.25" customHeight="1">
      <c r="D599" s="72"/>
    </row>
    <row r="600" spans="4:4" ht="14.25" customHeight="1">
      <c r="D600" s="72"/>
    </row>
    <row r="601" spans="4:4" ht="14.25" customHeight="1">
      <c r="D601" s="72"/>
    </row>
    <row r="602" spans="4:4" ht="14.25" customHeight="1">
      <c r="D602" s="72"/>
    </row>
    <row r="603" spans="4:4" ht="14.25" customHeight="1">
      <c r="D603" s="72"/>
    </row>
    <row r="604" spans="4:4" ht="14.25" customHeight="1">
      <c r="D604" s="72"/>
    </row>
    <row r="605" spans="4:4" ht="14.25" customHeight="1">
      <c r="D605" s="72"/>
    </row>
    <row r="606" spans="4:4" ht="14.25" customHeight="1">
      <c r="D606" s="72"/>
    </row>
    <row r="607" spans="4:4" ht="14.25" customHeight="1">
      <c r="D607" s="72"/>
    </row>
    <row r="608" spans="4:4" ht="14.25" customHeight="1">
      <c r="D608" s="72"/>
    </row>
    <row r="609" spans="4:4" ht="14.25" customHeight="1">
      <c r="D609" s="72"/>
    </row>
    <row r="610" spans="4:4" ht="14.25" customHeight="1">
      <c r="D610" s="72"/>
    </row>
    <row r="611" spans="4:4" ht="14.25" customHeight="1">
      <c r="D611" s="72"/>
    </row>
    <row r="612" spans="4:4" ht="14.25" customHeight="1">
      <c r="D612" s="72"/>
    </row>
    <row r="613" spans="4:4" ht="14.25" customHeight="1">
      <c r="D613" s="72"/>
    </row>
    <row r="614" spans="4:4" ht="14.25" customHeight="1">
      <c r="D614" s="72"/>
    </row>
    <row r="615" spans="4:4" ht="14.25" customHeight="1">
      <c r="D615" s="72"/>
    </row>
    <row r="616" spans="4:4" ht="14.25" customHeight="1">
      <c r="D616" s="72"/>
    </row>
    <row r="617" spans="4:4" ht="14.25" customHeight="1">
      <c r="D617" s="72"/>
    </row>
    <row r="618" spans="4:4" ht="14.25" customHeight="1">
      <c r="D618" s="72"/>
    </row>
    <row r="619" spans="4:4" ht="14.25" customHeight="1">
      <c r="D619" s="72"/>
    </row>
    <row r="620" spans="4:4" ht="14.25" customHeight="1">
      <c r="D620" s="72"/>
    </row>
    <row r="621" spans="4:4" ht="14.25" customHeight="1">
      <c r="D621" s="72"/>
    </row>
    <row r="622" spans="4:4" ht="14.25" customHeight="1">
      <c r="D622" s="72"/>
    </row>
    <row r="623" spans="4:4" ht="14.25" customHeight="1">
      <c r="D623" s="72"/>
    </row>
    <row r="624" spans="4:4" ht="14.25" customHeight="1">
      <c r="D624" s="72"/>
    </row>
    <row r="625" spans="4:4" ht="14.25" customHeight="1">
      <c r="D625" s="72"/>
    </row>
    <row r="626" spans="4:4" ht="14.25" customHeight="1">
      <c r="D626" s="72"/>
    </row>
    <row r="627" spans="4:4" ht="14.25" customHeight="1">
      <c r="D627" s="72"/>
    </row>
    <row r="628" spans="4:4" ht="14.25" customHeight="1">
      <c r="D628" s="72"/>
    </row>
    <row r="629" spans="4:4" ht="14.25" customHeight="1">
      <c r="D629" s="72"/>
    </row>
    <row r="630" spans="4:4" ht="14.25" customHeight="1">
      <c r="D630" s="72"/>
    </row>
    <row r="631" spans="4:4" ht="14.25" customHeight="1">
      <c r="D631" s="72"/>
    </row>
    <row r="632" spans="4:4" ht="14.25" customHeight="1">
      <c r="D632" s="72"/>
    </row>
    <row r="633" spans="4:4" ht="14.25" customHeight="1">
      <c r="D633" s="72"/>
    </row>
    <row r="634" spans="4:4" ht="14.25" customHeight="1">
      <c r="D634" s="72"/>
    </row>
    <row r="635" spans="4:4" ht="14.25" customHeight="1">
      <c r="D635" s="72"/>
    </row>
    <row r="636" spans="4:4" ht="14.25" customHeight="1">
      <c r="D636" s="72"/>
    </row>
    <row r="637" spans="4:4" ht="14.25" customHeight="1">
      <c r="D637" s="72"/>
    </row>
    <row r="638" spans="4:4" ht="14.25" customHeight="1">
      <c r="D638" s="72"/>
    </row>
    <row r="639" spans="4:4" ht="14.25" customHeight="1">
      <c r="D639" s="72"/>
    </row>
    <row r="640" spans="4:4" ht="14.25" customHeight="1">
      <c r="D640" s="72"/>
    </row>
    <row r="641" spans="4:4" ht="14.25" customHeight="1">
      <c r="D641" s="72"/>
    </row>
    <row r="642" spans="4:4" ht="14.25" customHeight="1">
      <c r="D642" s="72"/>
    </row>
    <row r="643" spans="4:4" ht="14.25" customHeight="1">
      <c r="D643" s="72"/>
    </row>
    <row r="644" spans="4:4" ht="14.25" customHeight="1">
      <c r="D644" s="72"/>
    </row>
    <row r="645" spans="4:4" ht="14.25" customHeight="1">
      <c r="D645" s="72"/>
    </row>
    <row r="646" spans="4:4" ht="14.25" customHeight="1">
      <c r="D646" s="72"/>
    </row>
    <row r="647" spans="4:4" ht="14.25" customHeight="1">
      <c r="D647" s="72"/>
    </row>
    <row r="648" spans="4:4" ht="14.25" customHeight="1">
      <c r="D648" s="72"/>
    </row>
    <row r="649" spans="4:4" ht="14.25" customHeight="1">
      <c r="D649" s="72"/>
    </row>
    <row r="650" spans="4:4" ht="14.25" customHeight="1">
      <c r="D650" s="72"/>
    </row>
    <row r="651" spans="4:4" ht="14.25" customHeight="1">
      <c r="D651" s="72"/>
    </row>
    <row r="652" spans="4:4" ht="14.25" customHeight="1">
      <c r="D652" s="72"/>
    </row>
    <row r="653" spans="4:4" ht="14.25" customHeight="1">
      <c r="D653" s="72"/>
    </row>
    <row r="654" spans="4:4" ht="14.25" customHeight="1">
      <c r="D654" s="72"/>
    </row>
    <row r="655" spans="4:4" ht="14.25" customHeight="1">
      <c r="D655" s="72"/>
    </row>
    <row r="656" spans="4:4" ht="14.25" customHeight="1">
      <c r="D656" s="72"/>
    </row>
    <row r="657" spans="4:4" ht="14.25" customHeight="1">
      <c r="D657" s="72"/>
    </row>
    <row r="658" spans="4:4" ht="14.25" customHeight="1">
      <c r="D658" s="72"/>
    </row>
    <row r="659" spans="4:4" ht="14.25" customHeight="1">
      <c r="D659" s="72"/>
    </row>
    <row r="660" spans="4:4" ht="14.25" customHeight="1">
      <c r="D660" s="72"/>
    </row>
    <row r="661" spans="4:4" ht="14.25" customHeight="1">
      <c r="D661" s="72"/>
    </row>
    <row r="662" spans="4:4" ht="14.25" customHeight="1">
      <c r="D662" s="72"/>
    </row>
    <row r="663" spans="4:4" ht="14.25" customHeight="1">
      <c r="D663" s="72"/>
    </row>
    <row r="664" spans="4:4" ht="14.25" customHeight="1">
      <c r="D664" s="72"/>
    </row>
    <row r="665" spans="4:4" ht="14.25" customHeight="1">
      <c r="D665" s="72"/>
    </row>
    <row r="666" spans="4:4" ht="14.25" customHeight="1">
      <c r="D666" s="72"/>
    </row>
    <row r="667" spans="4:4" ht="14.25" customHeight="1">
      <c r="D667" s="72"/>
    </row>
    <row r="668" spans="4:4" ht="14.25" customHeight="1">
      <c r="D668" s="72"/>
    </row>
    <row r="669" spans="4:4" ht="14.25" customHeight="1">
      <c r="D669" s="72"/>
    </row>
    <row r="670" spans="4:4" ht="14.25" customHeight="1">
      <c r="D670" s="72"/>
    </row>
    <row r="671" spans="4:4" ht="14.25" customHeight="1">
      <c r="D671" s="72"/>
    </row>
    <row r="672" spans="4:4" ht="14.25" customHeight="1">
      <c r="D672" s="72"/>
    </row>
    <row r="673" spans="4:4" ht="14.25" customHeight="1">
      <c r="D673" s="72"/>
    </row>
    <row r="674" spans="4:4" ht="14.25" customHeight="1">
      <c r="D674" s="72"/>
    </row>
    <row r="675" spans="4:4" ht="14.25" customHeight="1">
      <c r="D675" s="72"/>
    </row>
    <row r="676" spans="4:4" ht="14.25" customHeight="1">
      <c r="D676" s="72"/>
    </row>
    <row r="677" spans="4:4" ht="14.25" customHeight="1">
      <c r="D677" s="72"/>
    </row>
    <row r="678" spans="4:4" ht="14.25" customHeight="1">
      <c r="D678" s="72"/>
    </row>
    <row r="679" spans="4:4" ht="14.25" customHeight="1">
      <c r="D679" s="72"/>
    </row>
    <row r="680" spans="4:4" ht="14.25" customHeight="1">
      <c r="D680" s="72"/>
    </row>
    <row r="681" spans="4:4" ht="14.25" customHeight="1">
      <c r="D681" s="72"/>
    </row>
    <row r="682" spans="4:4" ht="14.25" customHeight="1">
      <c r="D682" s="72"/>
    </row>
    <row r="683" spans="4:4" ht="14.25" customHeight="1">
      <c r="D683" s="72"/>
    </row>
    <row r="684" spans="4:4" ht="14.25" customHeight="1">
      <c r="D684" s="72"/>
    </row>
    <row r="685" spans="4:4" ht="14.25" customHeight="1">
      <c r="D685" s="72"/>
    </row>
    <row r="686" spans="4:4" ht="14.25" customHeight="1">
      <c r="D686" s="72"/>
    </row>
    <row r="687" spans="4:4" ht="14.25" customHeight="1">
      <c r="D687" s="72"/>
    </row>
    <row r="688" spans="4:4" ht="14.25" customHeight="1">
      <c r="D688" s="72"/>
    </row>
    <row r="689" spans="4:4" ht="14.25" customHeight="1">
      <c r="D689" s="72"/>
    </row>
    <row r="690" spans="4:4" ht="14.25" customHeight="1">
      <c r="D690" s="72"/>
    </row>
    <row r="691" spans="4:4" ht="14.25" customHeight="1">
      <c r="D691" s="72"/>
    </row>
    <row r="692" spans="4:4" ht="14.25" customHeight="1">
      <c r="D692" s="72"/>
    </row>
    <row r="693" spans="4:4" ht="14.25" customHeight="1">
      <c r="D693" s="72"/>
    </row>
    <row r="694" spans="4:4" ht="14.25" customHeight="1">
      <c r="D694" s="72"/>
    </row>
    <row r="695" spans="4:4" ht="14.25" customHeight="1">
      <c r="D695" s="72"/>
    </row>
    <row r="696" spans="4:4" ht="14.25" customHeight="1">
      <c r="D696" s="72"/>
    </row>
    <row r="697" spans="4:4" ht="14.25" customHeight="1">
      <c r="D697" s="72"/>
    </row>
    <row r="698" spans="4:4" ht="14.25" customHeight="1">
      <c r="D698" s="72"/>
    </row>
    <row r="699" spans="4:4" ht="14.25" customHeight="1">
      <c r="D699" s="72"/>
    </row>
    <row r="700" spans="4:4" ht="14.25" customHeight="1">
      <c r="D700" s="72"/>
    </row>
    <row r="701" spans="4:4" ht="14.25" customHeight="1">
      <c r="D701" s="72"/>
    </row>
    <row r="702" spans="4:4" ht="14.25" customHeight="1">
      <c r="D702" s="72"/>
    </row>
    <row r="703" spans="4:4" ht="14.25" customHeight="1">
      <c r="D703" s="72"/>
    </row>
    <row r="704" spans="4:4" ht="14.25" customHeight="1">
      <c r="D704" s="72"/>
    </row>
    <row r="705" spans="4:4" ht="14.25" customHeight="1">
      <c r="D705" s="72"/>
    </row>
    <row r="706" spans="4:4" ht="14.25" customHeight="1">
      <c r="D706" s="72"/>
    </row>
    <row r="707" spans="4:4" ht="14.25" customHeight="1">
      <c r="D707" s="72"/>
    </row>
    <row r="708" spans="4:4" ht="14.25" customHeight="1">
      <c r="D708" s="72"/>
    </row>
    <row r="709" spans="4:4" ht="14.25" customHeight="1">
      <c r="D709" s="72"/>
    </row>
    <row r="710" spans="4:4" ht="14.25" customHeight="1">
      <c r="D710" s="72"/>
    </row>
    <row r="711" spans="4:4" ht="14.25" customHeight="1">
      <c r="D711" s="72"/>
    </row>
    <row r="712" spans="4:4" ht="14.25" customHeight="1">
      <c r="D712" s="72"/>
    </row>
    <row r="713" spans="4:4" ht="14.25" customHeight="1">
      <c r="D713" s="72"/>
    </row>
    <row r="714" spans="4:4" ht="14.25" customHeight="1">
      <c r="D714" s="72"/>
    </row>
    <row r="715" spans="4:4" ht="14.25" customHeight="1">
      <c r="D715" s="72"/>
    </row>
    <row r="716" spans="4:4" ht="14.25" customHeight="1">
      <c r="D716" s="72"/>
    </row>
    <row r="717" spans="4:4" ht="14.25" customHeight="1">
      <c r="D717" s="72"/>
    </row>
    <row r="718" spans="4:4" ht="14.25" customHeight="1">
      <c r="D718" s="72"/>
    </row>
    <row r="719" spans="4:4" ht="14.25" customHeight="1">
      <c r="D719" s="72"/>
    </row>
    <row r="720" spans="4:4" ht="14.25" customHeight="1">
      <c r="D720" s="72"/>
    </row>
    <row r="721" spans="4:4" ht="14.25" customHeight="1">
      <c r="D721" s="72"/>
    </row>
    <row r="722" spans="4:4" ht="14.25" customHeight="1">
      <c r="D722" s="72"/>
    </row>
    <row r="723" spans="4:4" ht="14.25" customHeight="1">
      <c r="D723" s="72"/>
    </row>
    <row r="724" spans="4:4" ht="14.25" customHeight="1">
      <c r="D724" s="72"/>
    </row>
    <row r="725" spans="4:4" ht="14.25" customHeight="1">
      <c r="D725" s="72"/>
    </row>
    <row r="726" spans="4:4" ht="14.25" customHeight="1">
      <c r="D726" s="72"/>
    </row>
    <row r="727" spans="4:4" ht="14.25" customHeight="1">
      <c r="D727" s="72"/>
    </row>
    <row r="728" spans="4:4" ht="14.25" customHeight="1">
      <c r="D728" s="72"/>
    </row>
    <row r="729" spans="4:4" ht="14.25" customHeight="1">
      <c r="D729" s="72"/>
    </row>
    <row r="730" spans="4:4" ht="14.25" customHeight="1">
      <c r="D730" s="72"/>
    </row>
    <row r="731" spans="4:4" ht="14.25" customHeight="1">
      <c r="D731" s="72"/>
    </row>
    <row r="732" spans="4:4" ht="14.25" customHeight="1">
      <c r="D732" s="72"/>
    </row>
    <row r="733" spans="4:4" ht="14.25" customHeight="1">
      <c r="D733" s="72"/>
    </row>
    <row r="734" spans="4:4" ht="14.25" customHeight="1">
      <c r="D734" s="72"/>
    </row>
    <row r="735" spans="4:4" ht="14.25" customHeight="1">
      <c r="D735" s="72"/>
    </row>
    <row r="736" spans="4:4" ht="14.25" customHeight="1">
      <c r="D736" s="72"/>
    </row>
    <row r="737" spans="4:4" ht="14.25" customHeight="1">
      <c r="D737" s="72"/>
    </row>
    <row r="738" spans="4:4" ht="14.25" customHeight="1">
      <c r="D738" s="72"/>
    </row>
    <row r="739" spans="4:4" ht="14.25" customHeight="1">
      <c r="D739" s="72"/>
    </row>
    <row r="740" spans="4:4" ht="14.25" customHeight="1">
      <c r="D740" s="72"/>
    </row>
    <row r="741" spans="4:4" ht="14.25" customHeight="1">
      <c r="D741" s="72"/>
    </row>
    <row r="742" spans="4:4" ht="14.25" customHeight="1">
      <c r="D742" s="72"/>
    </row>
    <row r="743" spans="4:4" ht="14.25" customHeight="1">
      <c r="D743" s="72"/>
    </row>
    <row r="744" spans="4:4" ht="14.25" customHeight="1">
      <c r="D744" s="72"/>
    </row>
    <row r="745" spans="4:4" ht="14.25" customHeight="1">
      <c r="D745" s="72"/>
    </row>
    <row r="746" spans="4:4" ht="14.25" customHeight="1">
      <c r="D746" s="72"/>
    </row>
    <row r="747" spans="4:4" ht="14.25" customHeight="1">
      <c r="D747" s="72"/>
    </row>
    <row r="748" spans="4:4" ht="14.25" customHeight="1">
      <c r="D748" s="72"/>
    </row>
    <row r="749" spans="4:4" ht="14.25" customHeight="1">
      <c r="D749" s="72"/>
    </row>
    <row r="750" spans="4:4" ht="14.25" customHeight="1">
      <c r="D750" s="72"/>
    </row>
    <row r="751" spans="4:4" ht="14.25" customHeight="1">
      <c r="D751" s="72"/>
    </row>
    <row r="752" spans="4:4" ht="14.25" customHeight="1">
      <c r="D752" s="72"/>
    </row>
    <row r="753" spans="4:4" ht="14.25" customHeight="1">
      <c r="D753" s="72"/>
    </row>
    <row r="754" spans="4:4" ht="14.25" customHeight="1">
      <c r="D754" s="72"/>
    </row>
    <row r="755" spans="4:4" ht="14.25" customHeight="1">
      <c r="D755" s="72"/>
    </row>
    <row r="756" spans="4:4" ht="14.25" customHeight="1">
      <c r="D756" s="72"/>
    </row>
    <row r="757" spans="4:4" ht="14.25" customHeight="1">
      <c r="D757" s="72"/>
    </row>
    <row r="758" spans="4:4" ht="14.25" customHeight="1">
      <c r="D758" s="72"/>
    </row>
    <row r="759" spans="4:4" ht="14.25" customHeight="1">
      <c r="D759" s="72"/>
    </row>
    <row r="760" spans="4:4" ht="14.25" customHeight="1">
      <c r="D760" s="72"/>
    </row>
    <row r="761" spans="4:4" ht="14.25" customHeight="1">
      <c r="D761" s="72"/>
    </row>
    <row r="762" spans="4:4" ht="14.25" customHeight="1">
      <c r="D762" s="72"/>
    </row>
    <row r="763" spans="4:4" ht="14.25" customHeight="1">
      <c r="D763" s="72"/>
    </row>
    <row r="764" spans="4:4" ht="14.25" customHeight="1">
      <c r="D764" s="72"/>
    </row>
    <row r="765" spans="4:4" ht="14.25" customHeight="1">
      <c r="D765" s="72"/>
    </row>
    <row r="766" spans="4:4" ht="14.25" customHeight="1">
      <c r="D766" s="72"/>
    </row>
    <row r="767" spans="4:4" ht="14.25" customHeight="1">
      <c r="D767" s="72"/>
    </row>
    <row r="768" spans="4:4" ht="14.25" customHeight="1">
      <c r="D768" s="72"/>
    </row>
    <row r="769" spans="4:4" ht="14.25" customHeight="1">
      <c r="D769" s="72"/>
    </row>
    <row r="770" spans="4:4" ht="14.25" customHeight="1">
      <c r="D770" s="72"/>
    </row>
    <row r="771" spans="4:4" ht="14.25" customHeight="1">
      <c r="D771" s="72"/>
    </row>
    <row r="772" spans="4:4" ht="14.25" customHeight="1">
      <c r="D772" s="72"/>
    </row>
    <row r="773" spans="4:4" ht="14.25" customHeight="1">
      <c r="D773" s="72"/>
    </row>
    <row r="774" spans="4:4" ht="14.25" customHeight="1">
      <c r="D774" s="72"/>
    </row>
    <row r="775" spans="4:4" ht="14.25" customHeight="1">
      <c r="D775" s="72"/>
    </row>
    <row r="776" spans="4:4" ht="14.25" customHeight="1">
      <c r="D776" s="72"/>
    </row>
    <row r="777" spans="4:4" ht="14.25" customHeight="1">
      <c r="D777" s="72"/>
    </row>
    <row r="778" spans="4:4" ht="14.25" customHeight="1">
      <c r="D778" s="72"/>
    </row>
    <row r="779" spans="4:4" ht="14.25" customHeight="1">
      <c r="D779" s="72"/>
    </row>
    <row r="780" spans="4:4" ht="14.25" customHeight="1">
      <c r="D780" s="72"/>
    </row>
    <row r="781" spans="4:4" ht="14.25" customHeight="1">
      <c r="D781" s="72"/>
    </row>
    <row r="782" spans="4:4" ht="14.25" customHeight="1">
      <c r="D782" s="72"/>
    </row>
    <row r="783" spans="4:4" ht="14.25" customHeight="1">
      <c r="D783" s="72"/>
    </row>
    <row r="784" spans="4:4" ht="14.25" customHeight="1">
      <c r="D784" s="72"/>
    </row>
    <row r="785" spans="4:4" ht="14.25" customHeight="1">
      <c r="D785" s="72"/>
    </row>
    <row r="786" spans="4:4" ht="14.25" customHeight="1">
      <c r="D786" s="72"/>
    </row>
    <row r="787" spans="4:4" ht="14.25" customHeight="1">
      <c r="D787" s="72"/>
    </row>
    <row r="788" spans="4:4" ht="14.25" customHeight="1">
      <c r="D788" s="72"/>
    </row>
    <row r="789" spans="4:4" ht="14.25" customHeight="1">
      <c r="D789" s="72"/>
    </row>
    <row r="790" spans="4:4" ht="14.25" customHeight="1">
      <c r="D790" s="72"/>
    </row>
    <row r="791" spans="4:4" ht="14.25" customHeight="1">
      <c r="D791" s="72"/>
    </row>
    <row r="792" spans="4:4" ht="14.25" customHeight="1">
      <c r="D792" s="72"/>
    </row>
    <row r="793" spans="4:4" ht="14.25" customHeight="1">
      <c r="D793" s="72"/>
    </row>
    <row r="794" spans="4:4" ht="14.25" customHeight="1">
      <c r="D794" s="72"/>
    </row>
    <row r="795" spans="4:4" ht="14.25" customHeight="1">
      <c r="D795" s="72"/>
    </row>
    <row r="796" spans="4:4" ht="14.25" customHeight="1">
      <c r="D796" s="72"/>
    </row>
    <row r="797" spans="4:4" ht="14.25" customHeight="1">
      <c r="D797" s="72"/>
    </row>
    <row r="798" spans="4:4" ht="14.25" customHeight="1">
      <c r="D798" s="72"/>
    </row>
    <row r="799" spans="4:4" ht="14.25" customHeight="1">
      <c r="D799" s="72"/>
    </row>
    <row r="800" spans="4:4" ht="14.25" customHeight="1">
      <c r="D800" s="72"/>
    </row>
    <row r="801" spans="4:4" ht="14.25" customHeight="1">
      <c r="D801" s="72"/>
    </row>
    <row r="802" spans="4:4" ht="14.25" customHeight="1">
      <c r="D802" s="72"/>
    </row>
    <row r="803" spans="4:4" ht="14.25" customHeight="1">
      <c r="D803" s="72"/>
    </row>
    <row r="804" spans="4:4" ht="14.25" customHeight="1">
      <c r="D804" s="72"/>
    </row>
    <row r="805" spans="4:4" ht="14.25" customHeight="1">
      <c r="D805" s="72"/>
    </row>
    <row r="806" spans="4:4" ht="14.25" customHeight="1">
      <c r="D806" s="72"/>
    </row>
    <row r="807" spans="4:4" ht="14.25" customHeight="1">
      <c r="D807" s="72"/>
    </row>
    <row r="808" spans="4:4" ht="14.25" customHeight="1">
      <c r="D808" s="72"/>
    </row>
    <row r="809" spans="4:4" ht="14.25" customHeight="1">
      <c r="D809" s="72"/>
    </row>
    <row r="810" spans="4:4" ht="14.25" customHeight="1">
      <c r="D810" s="72"/>
    </row>
    <row r="811" spans="4:4" ht="14.25" customHeight="1">
      <c r="D811" s="72"/>
    </row>
    <row r="812" spans="4:4" ht="14.25" customHeight="1">
      <c r="D812" s="72"/>
    </row>
    <row r="813" spans="4:4" ht="14.25" customHeight="1">
      <c r="D813" s="72"/>
    </row>
    <row r="814" spans="4:4" ht="14.25" customHeight="1">
      <c r="D814" s="72"/>
    </row>
    <row r="815" spans="4:4" ht="14.25" customHeight="1">
      <c r="D815" s="72"/>
    </row>
    <row r="816" spans="4:4" ht="14.25" customHeight="1">
      <c r="D816" s="72"/>
    </row>
    <row r="817" spans="4:4" ht="14.25" customHeight="1">
      <c r="D817" s="72"/>
    </row>
    <row r="818" spans="4:4" ht="14.25" customHeight="1">
      <c r="D818" s="72"/>
    </row>
    <row r="819" spans="4:4" ht="14.25" customHeight="1">
      <c r="D819" s="72"/>
    </row>
    <row r="820" spans="4:4" ht="14.25" customHeight="1">
      <c r="D820" s="72"/>
    </row>
    <row r="821" spans="4:4" ht="14.25" customHeight="1">
      <c r="D821" s="72"/>
    </row>
    <row r="822" spans="4:4" ht="14.25" customHeight="1">
      <c r="D822" s="72"/>
    </row>
    <row r="823" spans="4:4" ht="14.25" customHeight="1">
      <c r="D823" s="72"/>
    </row>
    <row r="824" spans="4:4" ht="14.25" customHeight="1">
      <c r="D824" s="72"/>
    </row>
    <row r="825" spans="4:4" ht="14.25" customHeight="1">
      <c r="D825" s="72"/>
    </row>
    <row r="826" spans="4:4" ht="14.25" customHeight="1">
      <c r="D826" s="72"/>
    </row>
    <row r="827" spans="4:4" ht="14.25" customHeight="1">
      <c r="D827" s="72"/>
    </row>
    <row r="828" spans="4:4" ht="14.25" customHeight="1">
      <c r="D828" s="72"/>
    </row>
    <row r="829" spans="4:4" ht="14.25" customHeight="1">
      <c r="D829" s="72"/>
    </row>
    <row r="830" spans="4:4" ht="14.25" customHeight="1">
      <c r="D830" s="72"/>
    </row>
    <row r="831" spans="4:4" ht="14.25" customHeight="1">
      <c r="D831" s="72"/>
    </row>
    <row r="832" spans="4:4" ht="14.25" customHeight="1">
      <c r="D832" s="72"/>
    </row>
    <row r="833" spans="4:4" ht="14.25" customHeight="1">
      <c r="D833" s="72"/>
    </row>
    <row r="834" spans="4:4" ht="14.25" customHeight="1">
      <c r="D834" s="72"/>
    </row>
    <row r="835" spans="4:4" ht="14.25" customHeight="1">
      <c r="D835" s="72"/>
    </row>
    <row r="836" spans="4:4" ht="14.25" customHeight="1">
      <c r="D836" s="72"/>
    </row>
    <row r="837" spans="4:4" ht="14.25" customHeight="1">
      <c r="D837" s="72"/>
    </row>
    <row r="838" spans="4:4" ht="14.25" customHeight="1">
      <c r="D838" s="72"/>
    </row>
    <row r="839" spans="4:4" ht="14.25" customHeight="1">
      <c r="D839" s="72"/>
    </row>
    <row r="840" spans="4:4" ht="14.25" customHeight="1">
      <c r="D840" s="72"/>
    </row>
    <row r="841" spans="4:4" ht="14.25" customHeight="1">
      <c r="D841" s="72"/>
    </row>
    <row r="842" spans="4:4" ht="14.25" customHeight="1">
      <c r="D842" s="72"/>
    </row>
    <row r="843" spans="4:4" ht="14.25" customHeight="1">
      <c r="D843" s="72"/>
    </row>
    <row r="844" spans="4:4" ht="14.25" customHeight="1">
      <c r="D844" s="72"/>
    </row>
    <row r="845" spans="4:4" ht="14.25" customHeight="1">
      <c r="D845" s="72"/>
    </row>
    <row r="846" spans="4:4" ht="14.25" customHeight="1">
      <c r="D846" s="72"/>
    </row>
    <row r="847" spans="4:4" ht="14.25" customHeight="1">
      <c r="D847" s="72"/>
    </row>
    <row r="848" spans="4:4" ht="14.25" customHeight="1">
      <c r="D848" s="72"/>
    </row>
    <row r="849" spans="4:4" ht="14.25" customHeight="1">
      <c r="D849" s="72"/>
    </row>
    <row r="850" spans="4:4" ht="14.25" customHeight="1">
      <c r="D850" s="72"/>
    </row>
    <row r="851" spans="4:4" ht="14.25" customHeight="1">
      <c r="D851" s="72"/>
    </row>
    <row r="852" spans="4:4" ht="14.25" customHeight="1">
      <c r="D852" s="72"/>
    </row>
    <row r="853" spans="4:4" ht="14.25" customHeight="1">
      <c r="D853" s="72"/>
    </row>
    <row r="854" spans="4:4" ht="14.25" customHeight="1">
      <c r="D854" s="72"/>
    </row>
    <row r="855" spans="4:4" ht="14.25" customHeight="1">
      <c r="D855" s="72"/>
    </row>
    <row r="856" spans="4:4" ht="14.25" customHeight="1">
      <c r="D856" s="72"/>
    </row>
    <row r="857" spans="4:4" ht="14.25" customHeight="1">
      <c r="D857" s="72"/>
    </row>
    <row r="858" spans="4:4" ht="14.25" customHeight="1">
      <c r="D858" s="72"/>
    </row>
    <row r="859" spans="4:4" ht="14.25" customHeight="1">
      <c r="D859" s="72"/>
    </row>
    <row r="860" spans="4:4" ht="14.25" customHeight="1">
      <c r="D860" s="72"/>
    </row>
    <row r="861" spans="4:4" ht="14.25" customHeight="1">
      <c r="D861" s="72"/>
    </row>
    <row r="862" spans="4:4" ht="14.25" customHeight="1">
      <c r="D862" s="72"/>
    </row>
    <row r="863" spans="4:4" ht="14.25" customHeight="1">
      <c r="D863" s="72"/>
    </row>
    <row r="864" spans="4:4" ht="14.25" customHeight="1">
      <c r="D864" s="72"/>
    </row>
    <row r="865" spans="4:4" ht="14.25" customHeight="1">
      <c r="D865" s="72"/>
    </row>
    <row r="866" spans="4:4" ht="14.25" customHeight="1">
      <c r="D866" s="72"/>
    </row>
    <row r="867" spans="4:4" ht="14.25" customHeight="1">
      <c r="D867" s="72"/>
    </row>
    <row r="868" spans="4:4" ht="14.25" customHeight="1">
      <c r="D868" s="72"/>
    </row>
    <row r="869" spans="4:4" ht="14.25" customHeight="1">
      <c r="D869" s="72"/>
    </row>
    <row r="870" spans="4:4" ht="14.25" customHeight="1">
      <c r="D870" s="72"/>
    </row>
    <row r="871" spans="4:4" ht="14.25" customHeight="1">
      <c r="D871" s="72"/>
    </row>
    <row r="872" spans="4:4" ht="14.25" customHeight="1">
      <c r="D872" s="72"/>
    </row>
    <row r="873" spans="4:4" ht="14.25" customHeight="1">
      <c r="D873" s="72"/>
    </row>
    <row r="874" spans="4:4" ht="14.25" customHeight="1">
      <c r="D874" s="72"/>
    </row>
    <row r="875" spans="4:4" ht="14.25" customHeight="1">
      <c r="D875" s="72"/>
    </row>
    <row r="876" spans="4:4" ht="14.25" customHeight="1">
      <c r="D876" s="72"/>
    </row>
    <row r="877" spans="4:4" ht="14.25" customHeight="1">
      <c r="D877" s="72"/>
    </row>
    <row r="878" spans="4:4" ht="14.25" customHeight="1">
      <c r="D878" s="72"/>
    </row>
    <row r="879" spans="4:4" ht="14.25" customHeight="1">
      <c r="D879" s="72"/>
    </row>
    <row r="880" spans="4:4" ht="14.25" customHeight="1">
      <c r="D880" s="72"/>
    </row>
    <row r="881" spans="4:4" ht="14.25" customHeight="1">
      <c r="D881" s="72"/>
    </row>
    <row r="882" spans="4:4" ht="14.25" customHeight="1">
      <c r="D882" s="72"/>
    </row>
    <row r="883" spans="4:4" ht="14.25" customHeight="1">
      <c r="D883" s="72"/>
    </row>
    <row r="884" spans="4:4" ht="14.25" customHeight="1">
      <c r="D884" s="72"/>
    </row>
    <row r="885" spans="4:4" ht="14.25" customHeight="1">
      <c r="D885" s="72"/>
    </row>
    <row r="886" spans="4:4" ht="14.25" customHeight="1">
      <c r="D886" s="72"/>
    </row>
    <row r="887" spans="4:4" ht="14.25" customHeight="1">
      <c r="D887" s="72"/>
    </row>
    <row r="888" spans="4:4" ht="14.25" customHeight="1">
      <c r="D888" s="72"/>
    </row>
    <row r="889" spans="4:4" ht="14.25" customHeight="1">
      <c r="D889" s="72"/>
    </row>
    <row r="890" spans="4:4" ht="14.25" customHeight="1">
      <c r="D890" s="72"/>
    </row>
    <row r="891" spans="4:4" ht="14.25" customHeight="1">
      <c r="D891" s="72"/>
    </row>
    <row r="892" spans="4:4" ht="14.25" customHeight="1">
      <c r="D892" s="72"/>
    </row>
    <row r="893" spans="4:4" ht="14.25" customHeight="1">
      <c r="D893" s="72"/>
    </row>
    <row r="894" spans="4:4" ht="14.25" customHeight="1">
      <c r="D894" s="72"/>
    </row>
    <row r="895" spans="4:4" ht="14.25" customHeight="1">
      <c r="D895" s="72"/>
    </row>
    <row r="896" spans="4:4" ht="14.25" customHeight="1">
      <c r="D896" s="72"/>
    </row>
    <row r="897" spans="4:4" ht="14.25" customHeight="1">
      <c r="D897" s="72"/>
    </row>
    <row r="898" spans="4:4" ht="14.25" customHeight="1">
      <c r="D898" s="72"/>
    </row>
    <row r="899" spans="4:4" ht="14.25" customHeight="1">
      <c r="D899" s="72"/>
    </row>
    <row r="900" spans="4:4" ht="14.25" customHeight="1">
      <c r="D900" s="72"/>
    </row>
    <row r="901" spans="4:4" ht="14.25" customHeight="1">
      <c r="D901" s="72"/>
    </row>
    <row r="902" spans="4:4" ht="14.25" customHeight="1">
      <c r="D902" s="72"/>
    </row>
    <row r="903" spans="4:4" ht="14.25" customHeight="1">
      <c r="D903" s="72"/>
    </row>
    <row r="904" spans="4:4" ht="14.25" customHeight="1">
      <c r="D904" s="72"/>
    </row>
    <row r="905" spans="4:4" ht="14.25" customHeight="1">
      <c r="D905" s="72"/>
    </row>
    <row r="906" spans="4:4" ht="14.25" customHeight="1">
      <c r="D906" s="72"/>
    </row>
    <row r="907" spans="4:4" ht="14.25" customHeight="1">
      <c r="D907" s="72"/>
    </row>
    <row r="908" spans="4:4" ht="14.25" customHeight="1">
      <c r="D908" s="72"/>
    </row>
    <row r="909" spans="4:4" ht="14.25" customHeight="1">
      <c r="D909" s="72"/>
    </row>
    <row r="910" spans="4:4" ht="14.25" customHeight="1">
      <c r="D910" s="72"/>
    </row>
    <row r="911" spans="4:4" ht="14.25" customHeight="1">
      <c r="D911" s="72"/>
    </row>
    <row r="912" spans="4:4" ht="14.25" customHeight="1">
      <c r="D912" s="72"/>
    </row>
    <row r="913" spans="4:4" ht="14.25" customHeight="1">
      <c r="D913" s="72"/>
    </row>
    <row r="914" spans="4:4" ht="14.25" customHeight="1">
      <c r="D914" s="72"/>
    </row>
    <row r="915" spans="4:4" ht="14.25" customHeight="1">
      <c r="D915" s="72"/>
    </row>
    <row r="916" spans="4:4" ht="14.25" customHeight="1">
      <c r="D916" s="72"/>
    </row>
    <row r="917" spans="4:4" ht="14.25" customHeight="1">
      <c r="D917" s="72"/>
    </row>
    <row r="918" spans="4:4" ht="14.25" customHeight="1">
      <c r="D918" s="72"/>
    </row>
    <row r="919" spans="4:4" ht="14.25" customHeight="1">
      <c r="D919" s="72"/>
    </row>
    <row r="920" spans="4:4" ht="14.25" customHeight="1">
      <c r="D920" s="72"/>
    </row>
    <row r="921" spans="4:4" ht="14.25" customHeight="1">
      <c r="D921" s="72"/>
    </row>
    <row r="922" spans="4:4" ht="14.25" customHeight="1">
      <c r="D922" s="72"/>
    </row>
    <row r="923" spans="4:4" ht="14.25" customHeight="1">
      <c r="D923" s="72"/>
    </row>
    <row r="924" spans="4:4" ht="14.25" customHeight="1">
      <c r="D924" s="72"/>
    </row>
    <row r="925" spans="4:4" ht="14.25" customHeight="1">
      <c r="D925" s="72"/>
    </row>
    <row r="926" spans="4:4" ht="14.25" customHeight="1">
      <c r="D926" s="72"/>
    </row>
    <row r="927" spans="4:4" ht="14.25" customHeight="1">
      <c r="D927" s="72"/>
    </row>
    <row r="928" spans="4:4" ht="14.25" customHeight="1">
      <c r="D928" s="72"/>
    </row>
    <row r="929" spans="4:4" ht="14.25" customHeight="1">
      <c r="D929" s="72"/>
    </row>
    <row r="930" spans="4:4" ht="14.25" customHeight="1">
      <c r="D930" s="72"/>
    </row>
    <row r="931" spans="4:4" ht="14.25" customHeight="1">
      <c r="D931" s="72"/>
    </row>
    <row r="932" spans="4:4" ht="14.25" customHeight="1">
      <c r="D932" s="72"/>
    </row>
    <row r="933" spans="4:4" ht="14.25" customHeight="1">
      <c r="D933" s="72"/>
    </row>
    <row r="934" spans="4:4" ht="14.25" customHeight="1">
      <c r="D934" s="72"/>
    </row>
    <row r="935" spans="4:4" ht="14.25" customHeight="1">
      <c r="D935" s="72"/>
    </row>
    <row r="936" spans="4:4" ht="14.25" customHeight="1">
      <c r="D936" s="72"/>
    </row>
    <row r="937" spans="4:4" ht="14.25" customHeight="1">
      <c r="D937" s="72"/>
    </row>
    <row r="938" spans="4:4" ht="14.25" customHeight="1">
      <c r="D938" s="72"/>
    </row>
    <row r="939" spans="4:4" ht="14.25" customHeight="1">
      <c r="D939" s="72"/>
    </row>
    <row r="940" spans="4:4" ht="14.25" customHeight="1">
      <c r="D940" s="72"/>
    </row>
    <row r="941" spans="4:4" ht="14.25" customHeight="1">
      <c r="D941" s="72"/>
    </row>
    <row r="942" spans="4:4" ht="14.25" customHeight="1">
      <c r="D942" s="72"/>
    </row>
    <row r="943" spans="4:4" ht="14.25" customHeight="1">
      <c r="D943" s="72"/>
    </row>
    <row r="944" spans="4:4" ht="14.25" customHeight="1">
      <c r="D944" s="72"/>
    </row>
    <row r="945" spans="4:4" ht="14.25" customHeight="1">
      <c r="D945" s="72"/>
    </row>
    <row r="946" spans="4:4" ht="14.25" customHeight="1">
      <c r="D946" s="72"/>
    </row>
    <row r="947" spans="4:4" ht="14.25" customHeight="1">
      <c r="D947" s="72"/>
    </row>
    <row r="948" spans="4:4" ht="14.25" customHeight="1">
      <c r="D948" s="72"/>
    </row>
    <row r="949" spans="4:4" ht="14.25" customHeight="1">
      <c r="D949" s="72"/>
    </row>
    <row r="950" spans="4:4" ht="14.25" customHeight="1">
      <c r="D950" s="72"/>
    </row>
    <row r="951" spans="4:4" ht="14.25" customHeight="1">
      <c r="D951" s="72"/>
    </row>
    <row r="952" spans="4:4" ht="14.25" customHeight="1">
      <c r="D952" s="72"/>
    </row>
    <row r="953" spans="4:4" ht="14.25" customHeight="1">
      <c r="D953" s="72"/>
    </row>
    <row r="954" spans="4:4" ht="14.25" customHeight="1">
      <c r="D954" s="72"/>
    </row>
    <row r="955" spans="4:4" ht="14.25" customHeight="1">
      <c r="D955" s="72"/>
    </row>
    <row r="956" spans="4:4" ht="14.25" customHeight="1">
      <c r="D956" s="72"/>
    </row>
    <row r="957" spans="4:4" ht="14.25" customHeight="1">
      <c r="D957" s="72"/>
    </row>
    <row r="958" spans="4:4" ht="14.25" customHeight="1">
      <c r="D958" s="72"/>
    </row>
    <row r="959" spans="4:4" ht="14.25" customHeight="1">
      <c r="D959" s="72"/>
    </row>
    <row r="960" spans="4:4" ht="14.25" customHeight="1">
      <c r="D960" s="72"/>
    </row>
    <row r="961" spans="4:4" ht="14.25" customHeight="1">
      <c r="D961" s="72"/>
    </row>
    <row r="962" spans="4:4" ht="14.25" customHeight="1">
      <c r="D962" s="72"/>
    </row>
    <row r="963" spans="4:4" ht="14.25" customHeight="1">
      <c r="D963" s="72"/>
    </row>
    <row r="964" spans="4:4" ht="14.25" customHeight="1">
      <c r="D964" s="72"/>
    </row>
    <row r="965" spans="4:4" ht="14.25" customHeight="1">
      <c r="D965" s="72"/>
    </row>
    <row r="966" spans="4:4" ht="14.25" customHeight="1">
      <c r="D966" s="72"/>
    </row>
    <row r="967" spans="4:4" ht="14.25" customHeight="1">
      <c r="D967" s="72"/>
    </row>
    <row r="968" spans="4:4" ht="14.25" customHeight="1">
      <c r="D968" s="72"/>
    </row>
    <row r="969" spans="4:4" ht="14.25" customHeight="1">
      <c r="D969" s="72"/>
    </row>
    <row r="970" spans="4:4" ht="14.25" customHeight="1">
      <c r="D970" s="72"/>
    </row>
    <row r="971" spans="4:4" ht="14.25" customHeight="1">
      <c r="D971" s="72"/>
    </row>
    <row r="972" spans="4:4" ht="14.25" customHeight="1">
      <c r="D972" s="72"/>
    </row>
    <row r="973" spans="4:4" ht="14.25" customHeight="1">
      <c r="D973" s="72"/>
    </row>
    <row r="974" spans="4:4" ht="14.25" customHeight="1">
      <c r="D974" s="72"/>
    </row>
    <row r="975" spans="4:4" ht="14.25" customHeight="1">
      <c r="D975" s="72"/>
    </row>
    <row r="976" spans="4:4" ht="14.25" customHeight="1">
      <c r="D976" s="72"/>
    </row>
    <row r="977" spans="4:4" ht="14.25" customHeight="1">
      <c r="D977" s="72"/>
    </row>
    <row r="978" spans="4:4" ht="14.25" customHeight="1">
      <c r="D978" s="72"/>
    </row>
    <row r="979" spans="4:4" ht="14.25" customHeight="1">
      <c r="D979" s="72"/>
    </row>
    <row r="980" spans="4:4" ht="14.25" customHeight="1">
      <c r="D980" s="72"/>
    </row>
    <row r="981" spans="4:4" ht="14.25" customHeight="1">
      <c r="D981" s="72"/>
    </row>
    <row r="982" spans="4:4" ht="14.25" customHeight="1">
      <c r="D982" s="72"/>
    </row>
    <row r="983" spans="4:4" ht="14.25" customHeight="1">
      <c r="D983" s="72"/>
    </row>
    <row r="984" spans="4:4" ht="14.25" customHeight="1">
      <c r="D984" s="72"/>
    </row>
    <row r="985" spans="4:4" ht="14.25" customHeight="1">
      <c r="D985" s="72"/>
    </row>
    <row r="986" spans="4:4" ht="14.25" customHeight="1">
      <c r="D986" s="72"/>
    </row>
    <row r="987" spans="4:4" ht="14.25" customHeight="1">
      <c r="D987" s="72"/>
    </row>
    <row r="988" spans="4:4" ht="14.25" customHeight="1">
      <c r="D988" s="72"/>
    </row>
    <row r="989" spans="4:4" ht="14.25" customHeight="1">
      <c r="D989" s="72"/>
    </row>
    <row r="990" spans="4:4" ht="14.25" customHeight="1">
      <c r="D990" s="72"/>
    </row>
    <row r="991" spans="4:4" ht="14.25" customHeight="1">
      <c r="D991" s="72"/>
    </row>
    <row r="992" spans="4:4" ht="14.25" customHeight="1">
      <c r="D992" s="72"/>
    </row>
    <row r="993" spans="4:4" ht="14.25" customHeight="1">
      <c r="D993" s="72"/>
    </row>
    <row r="994" spans="4:4" ht="14.25" customHeight="1">
      <c r="D994" s="72"/>
    </row>
    <row r="995" spans="4:4" ht="14.25" customHeight="1">
      <c r="D995" s="72"/>
    </row>
    <row r="996" spans="4:4" ht="14.25" customHeight="1">
      <c r="D996" s="72"/>
    </row>
    <row r="997" spans="4:4" ht="14.25" customHeight="1">
      <c r="D997" s="72"/>
    </row>
    <row r="998" spans="4:4" ht="14.25" customHeight="1">
      <c r="D998" s="72"/>
    </row>
    <row r="999" spans="4:4" ht="14.25" customHeight="1">
      <c r="D999" s="72"/>
    </row>
    <row r="1000" spans="4:4" ht="14.25" customHeight="1">
      <c r="D1000" s="72"/>
    </row>
  </sheetData>
  <mergeCells count="5">
    <mergeCell ref="A2:A9"/>
    <mergeCell ref="A10:A14"/>
    <mergeCell ref="A16:A18"/>
    <mergeCell ref="A19:A21"/>
    <mergeCell ref="A22:A23"/>
  </mergeCells>
  <pageMargins left="0.7" right="0.7"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5623"/>
    <pageSetUpPr fitToPage="1"/>
  </sheetPr>
  <dimension ref="A1:Z1000"/>
  <sheetViews>
    <sheetView workbookViewId="0"/>
  </sheetViews>
  <sheetFormatPr defaultColWidth="14.42578125" defaultRowHeight="15" customHeight="1"/>
  <cols>
    <col min="1" max="1" width="4.42578125" customWidth="1"/>
    <col min="2" max="2" width="2.85546875" customWidth="1"/>
    <col min="3" max="3" width="13.42578125" customWidth="1"/>
    <col min="4" max="4" width="36.85546875" customWidth="1"/>
    <col min="5" max="5" width="17.140625" customWidth="1"/>
    <col min="6" max="6" width="20.85546875" customWidth="1"/>
    <col min="7" max="8" width="15.85546875" customWidth="1"/>
    <col min="9" max="9" width="16.140625" customWidth="1"/>
    <col min="10" max="10" width="2.85546875" customWidth="1"/>
    <col min="11" max="11" width="4.140625" customWidth="1"/>
    <col min="12" max="12" width="2.140625" customWidth="1"/>
    <col min="15" max="15" width="16.42578125" customWidth="1"/>
    <col min="16" max="25" width="9.140625" customWidth="1"/>
  </cols>
  <sheetData>
    <row r="1" spans="1:26" ht="16.5" customHeight="1">
      <c r="A1" s="671"/>
      <c r="B1" s="672" t="s">
        <v>810</v>
      </c>
      <c r="C1" s="366"/>
      <c r="D1" s="366"/>
      <c r="E1" s="366"/>
      <c r="F1" s="366"/>
      <c r="G1" s="366"/>
      <c r="H1" s="366"/>
      <c r="I1" s="366"/>
      <c r="J1" s="367"/>
      <c r="K1" s="671"/>
      <c r="L1" s="671"/>
      <c r="M1" s="671"/>
      <c r="N1" s="671"/>
      <c r="O1" s="671"/>
      <c r="P1" s="671"/>
      <c r="Q1" s="671"/>
      <c r="R1" s="671"/>
      <c r="S1" s="671"/>
      <c r="T1" s="671"/>
      <c r="U1" s="671"/>
      <c r="V1" s="671"/>
      <c r="W1" s="671"/>
      <c r="X1" s="671"/>
      <c r="Y1" s="671"/>
      <c r="Z1" s="105"/>
    </row>
    <row r="2" spans="1:26" ht="36" customHeight="1">
      <c r="A2" s="671"/>
      <c r="B2" s="673"/>
      <c r="C2" s="674" t="s">
        <v>811</v>
      </c>
      <c r="D2" s="361"/>
      <c r="E2" s="361"/>
      <c r="F2" s="361"/>
      <c r="G2" s="361"/>
      <c r="H2" s="361"/>
      <c r="I2" s="362"/>
      <c r="J2" s="675"/>
      <c r="K2" s="671"/>
      <c r="L2" s="671"/>
      <c r="M2" s="671"/>
      <c r="N2" s="671"/>
      <c r="O2" s="671"/>
      <c r="P2" s="671"/>
      <c r="Q2" s="671"/>
      <c r="R2" s="671"/>
      <c r="S2" s="671"/>
      <c r="T2" s="671"/>
      <c r="U2" s="671"/>
      <c r="V2" s="671"/>
      <c r="W2" s="671"/>
      <c r="X2" s="671"/>
      <c r="Y2" s="671"/>
      <c r="Z2" s="105"/>
    </row>
    <row r="3" spans="1:26" ht="6" customHeight="1">
      <c r="A3" s="671"/>
      <c r="B3" s="676"/>
      <c r="C3" s="353"/>
      <c r="D3" s="353"/>
      <c r="E3" s="353"/>
      <c r="F3" s="353"/>
      <c r="G3" s="353"/>
      <c r="H3" s="353"/>
      <c r="I3" s="353"/>
      <c r="J3" s="419"/>
      <c r="K3" s="671"/>
      <c r="L3" s="671"/>
      <c r="M3" s="671"/>
      <c r="N3" s="671"/>
      <c r="O3" s="671"/>
      <c r="P3" s="671"/>
      <c r="Q3" s="671"/>
      <c r="R3" s="671"/>
      <c r="S3" s="671"/>
      <c r="T3" s="671"/>
      <c r="U3" s="671"/>
      <c r="V3" s="671"/>
      <c r="W3" s="671"/>
      <c r="X3" s="671"/>
      <c r="Y3" s="671"/>
      <c r="Z3" s="105"/>
    </row>
    <row r="4" spans="1:26" ht="7.5" customHeight="1">
      <c r="A4" s="671"/>
      <c r="B4" s="677"/>
      <c r="C4" s="353"/>
      <c r="D4" s="353"/>
      <c r="E4" s="353"/>
      <c r="F4" s="353"/>
      <c r="G4" s="353"/>
      <c r="H4" s="353"/>
      <c r="I4" s="353"/>
      <c r="J4" s="419"/>
      <c r="K4" s="671"/>
      <c r="L4" s="671"/>
      <c r="M4" s="671"/>
      <c r="N4" s="671"/>
      <c r="O4" s="671"/>
      <c r="P4" s="671"/>
      <c r="Q4" s="671"/>
      <c r="R4" s="671"/>
      <c r="S4" s="671"/>
      <c r="T4" s="671"/>
      <c r="U4" s="671"/>
      <c r="V4" s="671"/>
      <c r="W4" s="671"/>
      <c r="X4" s="671"/>
      <c r="Y4" s="671"/>
      <c r="Z4" s="105"/>
    </row>
    <row r="5" spans="1:26" ht="18.75" customHeight="1">
      <c r="A5" s="671"/>
      <c r="B5" s="678"/>
      <c r="C5" s="340" t="s">
        <v>812</v>
      </c>
      <c r="D5" s="367"/>
      <c r="E5" s="679" t="s">
        <v>16</v>
      </c>
      <c r="F5" s="679" t="s">
        <v>813</v>
      </c>
      <c r="G5" s="340" t="s">
        <v>814</v>
      </c>
      <c r="H5" s="680" t="s">
        <v>815</v>
      </c>
      <c r="I5" s="362"/>
      <c r="J5" s="681"/>
      <c r="K5" s="671"/>
      <c r="L5" s="671"/>
      <c r="M5" s="682" t="s">
        <v>816</v>
      </c>
      <c r="N5" s="366"/>
      <c r="O5" s="367"/>
      <c r="P5" s="671"/>
      <c r="Q5" s="671"/>
      <c r="R5" s="671"/>
      <c r="S5" s="671"/>
      <c r="T5" s="671"/>
      <c r="U5" s="671"/>
      <c r="V5" s="671"/>
      <c r="W5" s="671"/>
      <c r="X5" s="671"/>
      <c r="Y5" s="671"/>
      <c r="Z5" s="105"/>
    </row>
    <row r="6" spans="1:26" ht="35.25" customHeight="1">
      <c r="A6" s="671"/>
      <c r="B6" s="673"/>
      <c r="C6" s="420"/>
      <c r="D6" s="421"/>
      <c r="E6" s="422"/>
      <c r="F6" s="422"/>
      <c r="G6" s="420"/>
      <c r="H6" s="108" t="s">
        <v>666</v>
      </c>
      <c r="I6" s="108" t="s">
        <v>667</v>
      </c>
      <c r="J6" s="675"/>
      <c r="K6" s="671"/>
      <c r="L6" s="671"/>
      <c r="M6" s="109" t="s">
        <v>817</v>
      </c>
      <c r="N6" s="109" t="s">
        <v>666</v>
      </c>
      <c r="O6" s="110" t="s">
        <v>667</v>
      </c>
      <c r="P6" s="671"/>
      <c r="Q6" s="671"/>
      <c r="R6" s="671"/>
      <c r="S6" s="671"/>
      <c r="T6" s="671"/>
      <c r="U6" s="671"/>
      <c r="V6" s="671"/>
      <c r="W6" s="671"/>
      <c r="X6" s="671"/>
      <c r="Y6" s="671"/>
      <c r="Z6" s="105"/>
    </row>
    <row r="7" spans="1:26" ht="47.25" customHeight="1">
      <c r="A7" s="671"/>
      <c r="B7" s="673"/>
      <c r="C7" s="683" t="s">
        <v>818</v>
      </c>
      <c r="D7" s="111" t="s">
        <v>819</v>
      </c>
      <c r="E7" s="112">
        <v>0.6</v>
      </c>
      <c r="F7" s="684">
        <f>'PART I (CY 2025&amp;SY2025-2026)'!U85</f>
        <v>2.4816666666666665</v>
      </c>
      <c r="G7" s="685">
        <f>SUM(F$7:F$11)</f>
        <v>4.4466666666666663</v>
      </c>
      <c r="H7" s="686">
        <f>G7</f>
        <v>4.4466666666666663</v>
      </c>
      <c r="I7" s="687" t="str">
        <f>IF(G7&gt;=4.5, "Outstanding", IF(G7&gt;=3.5, "Very Satisfactory", IF(G7&gt;=2.5, "Satisfactory", IF(G7&gt;=1.5, "Unsatisfactory", "Poor"))))</f>
        <v>Very Satisfactory</v>
      </c>
      <c r="J7" s="675"/>
      <c r="K7" s="671"/>
      <c r="L7" s="671"/>
      <c r="M7" s="113" t="s">
        <v>820</v>
      </c>
      <c r="N7" s="113">
        <v>5</v>
      </c>
      <c r="O7" s="114" t="s">
        <v>821</v>
      </c>
      <c r="P7" s="671"/>
      <c r="Q7" s="671"/>
      <c r="R7" s="671"/>
      <c r="S7" s="671"/>
      <c r="T7" s="671"/>
      <c r="U7" s="671"/>
      <c r="V7" s="671"/>
      <c r="W7" s="671"/>
      <c r="X7" s="671"/>
      <c r="Y7" s="671"/>
      <c r="Z7" s="105"/>
    </row>
    <row r="8" spans="1:26" ht="47.25" customHeight="1">
      <c r="A8" s="671"/>
      <c r="B8" s="673"/>
      <c r="C8" s="414"/>
      <c r="D8" s="115" t="s">
        <v>822</v>
      </c>
      <c r="E8" s="116">
        <v>0.2</v>
      </c>
      <c r="F8" s="117">
        <f>'PART I (CY 2025&amp;SY2025-2026)'!U110</f>
        <v>1</v>
      </c>
      <c r="G8" s="418"/>
      <c r="H8" s="414"/>
      <c r="I8" s="414"/>
      <c r="J8" s="675"/>
      <c r="K8" s="671"/>
      <c r="L8" s="671"/>
      <c r="M8" s="113" t="s">
        <v>823</v>
      </c>
      <c r="N8" s="113">
        <v>4</v>
      </c>
      <c r="O8" s="114" t="s">
        <v>824</v>
      </c>
      <c r="P8" s="671"/>
      <c r="Q8" s="671"/>
      <c r="R8" s="671"/>
      <c r="S8" s="671"/>
      <c r="T8" s="671"/>
      <c r="U8" s="671"/>
      <c r="V8" s="671"/>
      <c r="W8" s="671"/>
      <c r="X8" s="671"/>
      <c r="Y8" s="671"/>
      <c r="Z8" s="105"/>
    </row>
    <row r="9" spans="1:26" ht="47.25" customHeight="1">
      <c r="A9" s="671"/>
      <c r="B9" s="673"/>
      <c r="C9" s="422"/>
      <c r="D9" s="115" t="s">
        <v>825</v>
      </c>
      <c r="E9" s="120">
        <v>0.15</v>
      </c>
      <c r="F9" s="688">
        <f>'PART I (CY 2025&amp;SY2025-2026)'!U125</f>
        <v>0.75</v>
      </c>
      <c r="G9" s="418"/>
      <c r="H9" s="414"/>
      <c r="I9" s="414"/>
      <c r="J9" s="675"/>
      <c r="K9" s="671"/>
      <c r="L9" s="671"/>
      <c r="M9" s="113" t="s">
        <v>826</v>
      </c>
      <c r="N9" s="113">
        <v>3</v>
      </c>
      <c r="O9" s="114" t="s">
        <v>827</v>
      </c>
      <c r="P9" s="671"/>
      <c r="Q9" s="671"/>
      <c r="R9" s="671"/>
      <c r="S9" s="671"/>
      <c r="T9" s="671"/>
      <c r="U9" s="671"/>
      <c r="V9" s="671"/>
      <c r="W9" s="671"/>
      <c r="X9" s="671"/>
      <c r="Y9" s="671"/>
      <c r="Z9" s="105"/>
    </row>
    <row r="10" spans="1:26" ht="47.25" customHeight="1">
      <c r="A10" s="671"/>
      <c r="B10" s="673"/>
      <c r="C10" s="683" t="s">
        <v>828</v>
      </c>
      <c r="D10" s="115" t="s">
        <v>829</v>
      </c>
      <c r="E10" s="121" t="s">
        <v>830</v>
      </c>
      <c r="F10" s="688">
        <f>'PART II'!J21</f>
        <v>0.10666666666666667</v>
      </c>
      <c r="G10" s="418"/>
      <c r="H10" s="414"/>
      <c r="I10" s="414"/>
      <c r="J10" s="675"/>
      <c r="K10" s="671"/>
      <c r="L10" s="671"/>
      <c r="M10" s="113" t="s">
        <v>831</v>
      </c>
      <c r="N10" s="113">
        <v>2</v>
      </c>
      <c r="O10" s="114" t="s">
        <v>832</v>
      </c>
      <c r="P10" s="671"/>
      <c r="Q10" s="671"/>
      <c r="R10" s="671"/>
      <c r="S10" s="671"/>
      <c r="T10" s="671"/>
      <c r="U10" s="671"/>
      <c r="V10" s="671"/>
      <c r="W10" s="671"/>
      <c r="X10" s="671"/>
      <c r="Y10" s="671"/>
      <c r="Z10" s="105"/>
    </row>
    <row r="11" spans="1:26" ht="47.25" customHeight="1">
      <c r="A11" s="671"/>
      <c r="B11" s="673"/>
      <c r="C11" s="422"/>
      <c r="D11" s="115" t="s">
        <v>833</v>
      </c>
      <c r="E11" s="121" t="s">
        <v>830</v>
      </c>
      <c r="F11" s="688">
        <f>'PART II'!J55</f>
        <v>0.10833333333333334</v>
      </c>
      <c r="G11" s="420"/>
      <c r="H11" s="422"/>
      <c r="I11" s="422"/>
      <c r="J11" s="675"/>
      <c r="K11" s="671"/>
      <c r="L11" s="671"/>
      <c r="M11" s="113" t="s">
        <v>834</v>
      </c>
      <c r="N11" s="113">
        <v>1</v>
      </c>
      <c r="O11" s="114" t="s">
        <v>835</v>
      </c>
      <c r="P11" s="671"/>
      <c r="Q11" s="671"/>
      <c r="R11" s="671"/>
      <c r="S11" s="671"/>
      <c r="T11" s="671"/>
      <c r="U11" s="671"/>
      <c r="V11" s="671"/>
      <c r="W11" s="671"/>
      <c r="X11" s="671"/>
      <c r="Y11" s="671"/>
      <c r="Z11" s="105"/>
    </row>
    <row r="12" spans="1:26" ht="6" customHeight="1">
      <c r="A12" s="671"/>
      <c r="B12" s="689"/>
      <c r="C12" s="353"/>
      <c r="D12" s="353"/>
      <c r="E12" s="353"/>
      <c r="F12" s="353"/>
      <c r="G12" s="353"/>
      <c r="H12" s="353"/>
      <c r="I12" s="353"/>
      <c r="J12" s="419"/>
      <c r="K12" s="671"/>
      <c r="L12" s="671"/>
      <c r="M12" s="671"/>
      <c r="N12" s="671"/>
      <c r="O12" s="671"/>
      <c r="P12" s="671"/>
      <c r="Q12" s="671"/>
      <c r="R12" s="671"/>
      <c r="S12" s="671"/>
      <c r="T12" s="671"/>
      <c r="U12" s="671"/>
      <c r="V12" s="671"/>
      <c r="W12" s="671"/>
      <c r="X12" s="671"/>
      <c r="Y12" s="671"/>
      <c r="Z12" s="105"/>
    </row>
    <row r="13" spans="1:26" ht="15.75" customHeight="1">
      <c r="A13" s="671"/>
      <c r="B13" s="690"/>
      <c r="C13" s="691" t="s">
        <v>836</v>
      </c>
      <c r="D13" s="692"/>
      <c r="E13" s="692"/>
      <c r="F13" s="692"/>
      <c r="G13" s="692"/>
      <c r="H13" s="692"/>
      <c r="I13" s="692"/>
      <c r="J13" s="693"/>
      <c r="K13" s="671"/>
      <c r="L13" s="671"/>
      <c r="M13" s="671"/>
      <c r="N13" s="671"/>
      <c r="O13" s="671"/>
      <c r="P13" s="671"/>
      <c r="Q13" s="671"/>
      <c r="R13" s="671"/>
      <c r="S13" s="671"/>
      <c r="T13" s="671"/>
      <c r="U13" s="671"/>
      <c r="V13" s="671"/>
      <c r="W13" s="671"/>
      <c r="X13" s="671"/>
      <c r="Y13" s="671"/>
      <c r="Z13" s="105"/>
    </row>
    <row r="14" spans="1:26" ht="4.5" customHeight="1">
      <c r="A14" s="671"/>
      <c r="B14" s="694"/>
      <c r="C14" s="695"/>
      <c r="D14" s="695"/>
      <c r="E14" s="695"/>
      <c r="F14" s="695"/>
      <c r="G14" s="695"/>
      <c r="H14" s="695"/>
      <c r="I14" s="695"/>
      <c r="J14" s="696"/>
      <c r="K14" s="671"/>
      <c r="L14" s="671"/>
      <c r="M14" s="671"/>
      <c r="N14" s="671"/>
      <c r="O14" s="671"/>
      <c r="P14" s="671"/>
      <c r="Q14" s="671"/>
      <c r="R14" s="671"/>
      <c r="S14" s="671"/>
      <c r="T14" s="671"/>
      <c r="U14" s="671"/>
      <c r="V14" s="671"/>
      <c r="W14" s="671"/>
      <c r="X14" s="671"/>
      <c r="Y14" s="671"/>
      <c r="Z14" s="105"/>
    </row>
    <row r="15" spans="1:26" ht="45" customHeight="1">
      <c r="A15" s="671"/>
      <c r="B15" s="673"/>
      <c r="C15" s="697" t="s">
        <v>837</v>
      </c>
      <c r="D15" s="353"/>
      <c r="E15" s="353"/>
      <c r="F15" s="353"/>
      <c r="G15" s="353"/>
      <c r="H15" s="353"/>
      <c r="I15" s="353"/>
      <c r="J15" s="696"/>
      <c r="K15" s="671"/>
      <c r="L15" s="671"/>
      <c r="M15" s="671"/>
      <c r="N15" s="671"/>
      <c r="O15" s="671"/>
      <c r="P15" s="671"/>
      <c r="Q15" s="671"/>
      <c r="R15" s="671"/>
      <c r="S15" s="671"/>
      <c r="T15" s="671"/>
      <c r="U15" s="671"/>
      <c r="V15" s="671"/>
      <c r="W15" s="671"/>
      <c r="X15" s="671"/>
      <c r="Y15" s="671"/>
      <c r="Z15" s="105"/>
    </row>
    <row r="16" spans="1:26" ht="14.25" customHeight="1">
      <c r="A16" s="671"/>
      <c r="B16" s="698"/>
      <c r="C16" s="353"/>
      <c r="D16" s="353"/>
      <c r="E16" s="353"/>
      <c r="F16" s="353"/>
      <c r="G16" s="353"/>
      <c r="H16" s="353"/>
      <c r="I16" s="353"/>
      <c r="J16" s="419"/>
      <c r="K16" s="671"/>
      <c r="L16" s="671"/>
      <c r="M16" s="671"/>
      <c r="N16" s="671"/>
      <c r="O16" s="671"/>
      <c r="P16" s="671"/>
      <c r="Q16" s="671"/>
      <c r="R16" s="671"/>
      <c r="S16" s="671"/>
      <c r="T16" s="671"/>
      <c r="U16" s="671"/>
      <c r="V16" s="671"/>
      <c r="W16" s="671"/>
      <c r="X16" s="671"/>
      <c r="Y16" s="671"/>
      <c r="Z16" s="105"/>
    </row>
    <row r="17" spans="1:26" ht="24" customHeight="1">
      <c r="A17" s="671"/>
      <c r="B17" s="673"/>
      <c r="C17" s="699" t="s">
        <v>838</v>
      </c>
      <c r="D17" s="339" t="str">
        <f>'PART I (CY 2025&amp;SY2025-2026)'!E4</f>
        <v>MC WELSON C. SOLOMON</v>
      </c>
      <c r="E17" s="700"/>
      <c r="F17" s="699" t="s">
        <v>839</v>
      </c>
      <c r="G17" s="366"/>
      <c r="H17" s="366"/>
      <c r="I17" s="367"/>
      <c r="J17" s="675"/>
      <c r="K17" s="671"/>
      <c r="L17" s="671"/>
      <c r="M17" s="671"/>
      <c r="N17" s="671"/>
      <c r="O17" s="671"/>
      <c r="P17" s="671"/>
      <c r="Q17" s="671"/>
      <c r="R17" s="671"/>
      <c r="S17" s="671"/>
      <c r="T17" s="671"/>
      <c r="U17" s="671"/>
      <c r="V17" s="671"/>
      <c r="W17" s="671"/>
      <c r="X17" s="671"/>
      <c r="Y17" s="671"/>
      <c r="Z17" s="105"/>
    </row>
    <row r="18" spans="1:26" ht="24" customHeight="1">
      <c r="A18" s="671"/>
      <c r="B18" s="673"/>
      <c r="C18" s="420"/>
      <c r="D18" s="421"/>
      <c r="E18" s="701"/>
      <c r="F18" s="420"/>
      <c r="G18" s="494"/>
      <c r="H18" s="494"/>
      <c r="I18" s="421"/>
      <c r="J18" s="675"/>
      <c r="K18" s="671"/>
      <c r="L18" s="671"/>
      <c r="M18" s="671"/>
      <c r="N18" s="671"/>
      <c r="O18" s="671"/>
      <c r="P18" s="671"/>
      <c r="Q18" s="671"/>
      <c r="R18" s="671"/>
      <c r="S18" s="671"/>
      <c r="T18" s="671"/>
      <c r="U18" s="671"/>
      <c r="V18" s="671"/>
      <c r="W18" s="671"/>
      <c r="X18" s="671"/>
      <c r="Y18" s="671"/>
      <c r="Z18" s="105"/>
    </row>
    <row r="19" spans="1:26" ht="24" customHeight="1">
      <c r="A19" s="671"/>
      <c r="B19" s="673"/>
      <c r="C19" s="699" t="s">
        <v>840</v>
      </c>
      <c r="D19" s="367"/>
      <c r="E19" s="700"/>
      <c r="F19" s="699" t="s">
        <v>841</v>
      </c>
      <c r="G19" s="366"/>
      <c r="H19" s="366"/>
      <c r="I19" s="367"/>
      <c r="J19" s="675"/>
      <c r="K19" s="671"/>
      <c r="L19" s="671"/>
      <c r="M19" s="671"/>
      <c r="N19" s="671"/>
      <c r="O19" s="671"/>
      <c r="P19" s="671"/>
      <c r="Q19" s="671"/>
      <c r="R19" s="671"/>
      <c r="S19" s="671"/>
      <c r="T19" s="671"/>
      <c r="U19" s="671"/>
      <c r="V19" s="671"/>
      <c r="W19" s="671"/>
      <c r="X19" s="671"/>
      <c r="Y19" s="671"/>
      <c r="Z19" s="105"/>
    </row>
    <row r="20" spans="1:26" ht="24" customHeight="1">
      <c r="A20" s="671"/>
      <c r="B20" s="673"/>
      <c r="C20" s="420"/>
      <c r="D20" s="421"/>
      <c r="E20" s="700"/>
      <c r="F20" s="420"/>
      <c r="G20" s="494"/>
      <c r="H20" s="494"/>
      <c r="I20" s="421"/>
      <c r="J20" s="675"/>
      <c r="K20" s="671"/>
      <c r="L20" s="671"/>
      <c r="M20" s="671"/>
      <c r="N20" s="671"/>
      <c r="O20" s="671"/>
      <c r="P20" s="671"/>
      <c r="Q20" s="671"/>
      <c r="R20" s="671"/>
      <c r="S20" s="671"/>
      <c r="T20" s="671"/>
      <c r="U20" s="671"/>
      <c r="V20" s="671"/>
      <c r="W20" s="671"/>
      <c r="X20" s="671"/>
      <c r="Y20" s="671"/>
      <c r="Z20" s="105"/>
    </row>
    <row r="21" spans="1:26" ht="24" customHeight="1">
      <c r="A21" s="671"/>
      <c r="B21" s="673"/>
      <c r="C21" s="699" t="s">
        <v>842</v>
      </c>
      <c r="D21" s="367"/>
      <c r="E21" s="700"/>
      <c r="F21" s="699" t="s">
        <v>843</v>
      </c>
      <c r="G21" s="366"/>
      <c r="H21" s="366"/>
      <c r="I21" s="367"/>
      <c r="J21" s="675"/>
      <c r="K21" s="671"/>
      <c r="L21" s="671"/>
      <c r="M21" s="671"/>
      <c r="N21" s="671"/>
      <c r="O21" s="671"/>
      <c r="P21" s="671"/>
      <c r="Q21" s="671"/>
      <c r="R21" s="671"/>
      <c r="S21" s="671"/>
      <c r="T21" s="671"/>
      <c r="U21" s="671"/>
      <c r="V21" s="671"/>
      <c r="W21" s="671"/>
      <c r="X21" s="671"/>
      <c r="Y21" s="671"/>
      <c r="Z21" s="105"/>
    </row>
    <row r="22" spans="1:26" ht="24" customHeight="1">
      <c r="A22" s="671"/>
      <c r="B22" s="673"/>
      <c r="C22" s="420"/>
      <c r="D22" s="421"/>
      <c r="E22" s="702"/>
      <c r="F22" s="420"/>
      <c r="G22" s="494"/>
      <c r="H22" s="494"/>
      <c r="I22" s="421"/>
      <c r="J22" s="675"/>
      <c r="K22" s="671"/>
      <c r="L22" s="671"/>
      <c r="M22" s="671"/>
      <c r="N22" s="671"/>
      <c r="O22" s="671"/>
      <c r="P22" s="671"/>
      <c r="Q22" s="671"/>
      <c r="R22" s="671"/>
      <c r="S22" s="671"/>
      <c r="T22" s="671"/>
      <c r="U22" s="671"/>
      <c r="V22" s="671"/>
      <c r="W22" s="671"/>
      <c r="X22" s="671"/>
      <c r="Y22" s="671"/>
      <c r="Z22" s="105"/>
    </row>
    <row r="23" spans="1:26" ht="24" customHeight="1">
      <c r="A23" s="671"/>
      <c r="B23" s="694"/>
      <c r="C23" s="695"/>
      <c r="D23" s="695"/>
      <c r="E23" s="695"/>
      <c r="F23" s="695"/>
      <c r="G23" s="695"/>
      <c r="H23" s="695"/>
      <c r="I23" s="695"/>
      <c r="J23" s="696"/>
      <c r="K23" s="671"/>
      <c r="L23" s="671"/>
      <c r="M23" s="671"/>
      <c r="N23" s="671"/>
      <c r="O23" s="671"/>
      <c r="P23" s="671"/>
      <c r="Q23" s="671"/>
      <c r="R23" s="671"/>
      <c r="S23" s="671"/>
      <c r="T23" s="671"/>
      <c r="U23" s="671"/>
      <c r="V23" s="671"/>
      <c r="W23" s="671"/>
      <c r="X23" s="671"/>
      <c r="Y23" s="671"/>
      <c r="Z23" s="105"/>
    </row>
    <row r="24" spans="1:26" ht="24" customHeight="1">
      <c r="A24" s="671"/>
      <c r="B24" s="128"/>
      <c r="C24" s="130"/>
      <c r="D24" s="130"/>
      <c r="E24" s="130"/>
      <c r="F24" s="130"/>
      <c r="G24" s="130"/>
      <c r="H24" s="130"/>
      <c r="I24" s="130"/>
      <c r="J24" s="703"/>
      <c r="K24" s="671"/>
      <c r="L24" s="671"/>
      <c r="M24" s="671"/>
      <c r="N24" s="671"/>
      <c r="O24" s="671"/>
      <c r="P24" s="671"/>
      <c r="Q24" s="671"/>
      <c r="R24" s="671"/>
      <c r="S24" s="671"/>
      <c r="T24" s="671"/>
      <c r="U24" s="671"/>
      <c r="V24" s="671"/>
      <c r="W24" s="671"/>
      <c r="X24" s="671"/>
      <c r="Y24" s="671"/>
      <c r="Z24" s="105"/>
    </row>
    <row r="25" spans="1:26" ht="14.25" customHeight="1">
      <c r="A25" s="671"/>
      <c r="B25" s="671"/>
      <c r="C25" s="671"/>
      <c r="D25" s="671"/>
      <c r="E25" s="671"/>
      <c r="F25" s="671"/>
      <c r="G25" s="671"/>
      <c r="H25" s="671"/>
      <c r="I25" s="671"/>
      <c r="J25" s="671"/>
      <c r="K25" s="671"/>
      <c r="L25" s="671"/>
      <c r="M25" s="671"/>
      <c r="N25" s="671"/>
      <c r="O25" s="671"/>
      <c r="P25" s="671"/>
      <c r="Q25" s="671"/>
      <c r="R25" s="671"/>
      <c r="S25" s="671"/>
      <c r="T25" s="671"/>
      <c r="U25" s="671"/>
      <c r="V25" s="671"/>
      <c r="W25" s="671"/>
      <c r="X25" s="671"/>
      <c r="Y25" s="671"/>
      <c r="Z25" s="105"/>
    </row>
    <row r="26" spans="1:26" ht="14.25" customHeight="1">
      <c r="A26" s="671"/>
      <c r="B26" s="671"/>
      <c r="C26" s="671"/>
      <c r="D26" s="671"/>
      <c r="E26" s="671"/>
      <c r="F26" s="671"/>
      <c r="G26" s="671"/>
      <c r="H26" s="671"/>
      <c r="I26" s="671"/>
      <c r="J26" s="671"/>
      <c r="K26" s="671"/>
      <c r="L26" s="671"/>
      <c r="M26" s="671"/>
      <c r="N26" s="671"/>
      <c r="O26" s="671"/>
      <c r="P26" s="671"/>
      <c r="Q26" s="671"/>
      <c r="R26" s="671"/>
      <c r="S26" s="671"/>
      <c r="T26" s="671"/>
      <c r="U26" s="671"/>
      <c r="V26" s="671"/>
      <c r="W26" s="671"/>
      <c r="X26" s="671"/>
      <c r="Y26" s="671"/>
      <c r="Z26" s="105"/>
    </row>
    <row r="27" spans="1:26" ht="14.25" customHeight="1">
      <c r="A27" s="671"/>
      <c r="B27" s="671"/>
      <c r="C27" s="671"/>
      <c r="D27" s="671"/>
      <c r="E27" s="671"/>
      <c r="F27" s="671"/>
      <c r="G27" s="671"/>
      <c r="H27" s="671"/>
      <c r="I27" s="671"/>
      <c r="J27" s="671"/>
      <c r="K27" s="671"/>
      <c r="L27" s="671"/>
      <c r="M27" s="671"/>
      <c r="N27" s="671"/>
      <c r="O27" s="671"/>
      <c r="P27" s="671"/>
      <c r="Q27" s="671"/>
      <c r="R27" s="671"/>
      <c r="S27" s="671"/>
      <c r="T27" s="671"/>
      <c r="U27" s="671"/>
      <c r="V27" s="671"/>
      <c r="W27" s="671"/>
      <c r="X27" s="671"/>
      <c r="Y27" s="671"/>
      <c r="Z27" s="105"/>
    </row>
    <row r="28" spans="1:26" ht="14.25" customHeight="1">
      <c r="A28" s="671"/>
      <c r="B28" s="671"/>
      <c r="C28" s="671"/>
      <c r="D28" s="671"/>
      <c r="E28" s="671"/>
      <c r="F28" s="671"/>
      <c r="G28" s="671"/>
      <c r="H28" s="671"/>
      <c r="I28" s="671"/>
      <c r="J28" s="671"/>
      <c r="K28" s="671"/>
      <c r="L28" s="671"/>
      <c r="M28" s="671"/>
      <c r="N28" s="671"/>
      <c r="O28" s="671"/>
      <c r="P28" s="671"/>
      <c r="Q28" s="671"/>
      <c r="R28" s="671"/>
      <c r="S28" s="671"/>
      <c r="T28" s="671"/>
      <c r="U28" s="671"/>
      <c r="V28" s="671"/>
      <c r="W28" s="671"/>
      <c r="X28" s="671"/>
      <c r="Y28" s="671"/>
      <c r="Z28" s="105"/>
    </row>
    <row r="29" spans="1:26" ht="14.25" customHeight="1">
      <c r="A29" s="671"/>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105"/>
    </row>
    <row r="30" spans="1:26" ht="14.25" customHeight="1">
      <c r="A30" s="671"/>
      <c r="B30" s="671"/>
      <c r="C30" s="671"/>
      <c r="D30" s="671"/>
      <c r="E30" s="671"/>
      <c r="F30" s="671"/>
      <c r="G30" s="671"/>
      <c r="H30" s="671"/>
      <c r="I30" s="671"/>
      <c r="J30" s="671"/>
      <c r="K30" s="671"/>
      <c r="L30" s="671"/>
      <c r="M30" s="671"/>
      <c r="N30" s="671"/>
      <c r="O30" s="671"/>
      <c r="P30" s="671"/>
      <c r="Q30" s="671"/>
      <c r="R30" s="671"/>
      <c r="S30" s="671"/>
      <c r="T30" s="671"/>
      <c r="U30" s="671"/>
      <c r="V30" s="671"/>
      <c r="W30" s="671"/>
      <c r="X30" s="671"/>
      <c r="Y30" s="671"/>
      <c r="Z30" s="105"/>
    </row>
    <row r="31" spans="1:26" ht="14.25" customHeight="1">
      <c r="A31" s="671"/>
      <c r="B31" s="671"/>
      <c r="C31" s="671"/>
      <c r="D31" s="671"/>
      <c r="E31" s="671"/>
      <c r="F31" s="671"/>
      <c r="G31" s="671"/>
      <c r="H31" s="671"/>
      <c r="I31" s="671"/>
      <c r="J31" s="671"/>
      <c r="K31" s="671"/>
      <c r="L31" s="671"/>
      <c r="M31" s="671"/>
      <c r="N31" s="671"/>
      <c r="O31" s="671"/>
      <c r="P31" s="671"/>
      <c r="Q31" s="671"/>
      <c r="R31" s="671"/>
      <c r="S31" s="671"/>
      <c r="T31" s="671"/>
      <c r="U31" s="671"/>
      <c r="V31" s="671"/>
      <c r="W31" s="671"/>
      <c r="X31" s="671"/>
      <c r="Y31" s="671"/>
      <c r="Z31" s="105"/>
    </row>
    <row r="32" spans="1:26" ht="14.25" customHeight="1">
      <c r="A32" s="671"/>
      <c r="B32" s="671"/>
      <c r="C32" s="671"/>
      <c r="D32" s="671"/>
      <c r="E32" s="671"/>
      <c r="F32" s="671"/>
      <c r="G32" s="671"/>
      <c r="H32" s="671"/>
      <c r="I32" s="671"/>
      <c r="J32" s="671"/>
      <c r="K32" s="671"/>
      <c r="L32" s="671"/>
      <c r="M32" s="671"/>
      <c r="N32" s="671"/>
      <c r="O32" s="671"/>
      <c r="P32" s="671"/>
      <c r="Q32" s="671"/>
      <c r="R32" s="671"/>
      <c r="S32" s="671"/>
      <c r="T32" s="671"/>
      <c r="U32" s="671"/>
      <c r="V32" s="671"/>
      <c r="W32" s="671"/>
      <c r="X32" s="671"/>
      <c r="Y32" s="671"/>
      <c r="Z32" s="105"/>
    </row>
    <row r="33" spans="1:26" ht="14.25" customHeight="1">
      <c r="A33" s="671"/>
      <c r="B33" s="671"/>
      <c r="C33" s="671"/>
      <c r="D33" s="671"/>
      <c r="E33" s="671"/>
      <c r="F33" s="671"/>
      <c r="G33" s="671"/>
      <c r="H33" s="671"/>
      <c r="I33" s="671"/>
      <c r="J33" s="671"/>
      <c r="K33" s="671"/>
      <c r="L33" s="671"/>
      <c r="M33" s="671"/>
      <c r="N33" s="671"/>
      <c r="O33" s="671"/>
      <c r="P33" s="671"/>
      <c r="Q33" s="671"/>
      <c r="R33" s="671"/>
      <c r="S33" s="671"/>
      <c r="T33" s="671"/>
      <c r="U33" s="671"/>
      <c r="V33" s="671"/>
      <c r="W33" s="671"/>
      <c r="X33" s="671"/>
      <c r="Y33" s="671"/>
      <c r="Z33" s="105"/>
    </row>
    <row r="34" spans="1:26" ht="14.25" customHeight="1">
      <c r="A34" s="671"/>
      <c r="B34" s="671"/>
      <c r="C34" s="671"/>
      <c r="D34" s="671"/>
      <c r="E34" s="671"/>
      <c r="F34" s="671"/>
      <c r="G34" s="671"/>
      <c r="H34" s="671"/>
      <c r="I34" s="671"/>
      <c r="J34" s="671"/>
      <c r="K34" s="671"/>
      <c r="L34" s="671"/>
      <c r="M34" s="671"/>
      <c r="N34" s="671"/>
      <c r="O34" s="671"/>
      <c r="P34" s="671"/>
      <c r="Q34" s="671"/>
      <c r="R34" s="671"/>
      <c r="S34" s="671"/>
      <c r="T34" s="671"/>
      <c r="U34" s="671"/>
      <c r="V34" s="671"/>
      <c r="W34" s="671"/>
      <c r="X34" s="671"/>
      <c r="Y34" s="671"/>
      <c r="Z34" s="105"/>
    </row>
    <row r="35" spans="1:26" ht="14.25" customHeight="1">
      <c r="A35" s="671"/>
      <c r="B35" s="671"/>
      <c r="C35" s="671"/>
      <c r="D35" s="671"/>
      <c r="E35" s="671"/>
      <c r="F35" s="671"/>
      <c r="G35" s="671"/>
      <c r="H35" s="671"/>
      <c r="I35" s="671"/>
      <c r="J35" s="671"/>
      <c r="K35" s="671"/>
      <c r="L35" s="671"/>
      <c r="M35" s="671"/>
      <c r="N35" s="671"/>
      <c r="O35" s="671"/>
      <c r="P35" s="671"/>
      <c r="Q35" s="671"/>
      <c r="R35" s="671"/>
      <c r="S35" s="671"/>
      <c r="T35" s="671"/>
      <c r="U35" s="671"/>
      <c r="V35" s="671"/>
      <c r="W35" s="671"/>
      <c r="X35" s="671"/>
      <c r="Y35" s="671"/>
      <c r="Z35" s="105"/>
    </row>
    <row r="36" spans="1:26" ht="14.25" customHeight="1">
      <c r="A36" s="671"/>
      <c r="B36" s="671"/>
      <c r="C36" s="671"/>
      <c r="D36" s="671"/>
      <c r="E36" s="671"/>
      <c r="F36" s="671"/>
      <c r="G36" s="671"/>
      <c r="H36" s="671"/>
      <c r="I36" s="671"/>
      <c r="J36" s="671"/>
      <c r="K36" s="671"/>
      <c r="L36" s="671"/>
      <c r="M36" s="671"/>
      <c r="N36" s="671"/>
      <c r="O36" s="671"/>
      <c r="P36" s="671"/>
      <c r="Q36" s="671"/>
      <c r="R36" s="671"/>
      <c r="S36" s="671"/>
      <c r="T36" s="671"/>
      <c r="U36" s="671"/>
      <c r="V36" s="671"/>
      <c r="W36" s="671"/>
      <c r="X36" s="671"/>
      <c r="Y36" s="671"/>
      <c r="Z36" s="105"/>
    </row>
    <row r="37" spans="1:26" ht="14.25" customHeight="1">
      <c r="A37" s="671"/>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105"/>
    </row>
    <row r="38" spans="1:26" ht="14.25" customHeight="1">
      <c r="A38" s="671"/>
      <c r="B38" s="671"/>
      <c r="C38" s="671"/>
      <c r="D38" s="671"/>
      <c r="E38" s="671"/>
      <c r="F38" s="671"/>
      <c r="G38" s="671"/>
      <c r="H38" s="671"/>
      <c r="I38" s="671"/>
      <c r="J38" s="671"/>
      <c r="K38" s="671"/>
      <c r="L38" s="671"/>
      <c r="M38" s="671"/>
      <c r="N38" s="671"/>
      <c r="O38" s="671"/>
      <c r="P38" s="671"/>
      <c r="Q38" s="671"/>
      <c r="R38" s="671"/>
      <c r="S38" s="671"/>
      <c r="T38" s="671"/>
      <c r="U38" s="671"/>
      <c r="V38" s="671"/>
      <c r="W38" s="671"/>
      <c r="X38" s="671"/>
      <c r="Y38" s="671"/>
      <c r="Z38" s="105"/>
    </row>
    <row r="39" spans="1:26" ht="14.25" customHeight="1">
      <c r="A39" s="671"/>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105"/>
    </row>
    <row r="40" spans="1:26" ht="14.25" customHeight="1">
      <c r="A40" s="671"/>
      <c r="B40" s="671"/>
      <c r="C40" s="671"/>
      <c r="D40" s="671"/>
      <c r="E40" s="671"/>
      <c r="F40" s="671"/>
      <c r="G40" s="671"/>
      <c r="H40" s="671"/>
      <c r="I40" s="671"/>
      <c r="J40" s="671"/>
      <c r="K40" s="671"/>
      <c r="L40" s="671"/>
      <c r="M40" s="671"/>
      <c r="N40" s="671"/>
      <c r="O40" s="671"/>
      <c r="P40" s="671"/>
      <c r="Q40" s="671"/>
      <c r="R40" s="671"/>
      <c r="S40" s="671"/>
      <c r="T40" s="671"/>
      <c r="U40" s="671"/>
      <c r="V40" s="671"/>
      <c r="W40" s="671"/>
      <c r="X40" s="671"/>
      <c r="Y40" s="671"/>
      <c r="Z40" s="105"/>
    </row>
    <row r="41" spans="1:26" ht="14.25" customHeight="1">
      <c r="A41" s="671"/>
      <c r="B41" s="671"/>
      <c r="C41" s="671"/>
      <c r="D41" s="671"/>
      <c r="E41" s="671"/>
      <c r="F41" s="671"/>
      <c r="G41" s="671"/>
      <c r="H41" s="671"/>
      <c r="I41" s="671"/>
      <c r="J41" s="671"/>
      <c r="K41" s="671"/>
      <c r="L41" s="671"/>
      <c r="M41" s="671"/>
      <c r="N41" s="671"/>
      <c r="O41" s="671"/>
      <c r="P41" s="671"/>
      <c r="Q41" s="671"/>
      <c r="R41" s="671"/>
      <c r="S41" s="671"/>
      <c r="T41" s="671"/>
      <c r="U41" s="671"/>
      <c r="V41" s="671"/>
      <c r="W41" s="671"/>
      <c r="X41" s="671"/>
      <c r="Y41" s="671"/>
      <c r="Z41" s="105"/>
    </row>
    <row r="42" spans="1:26" ht="14.25" customHeight="1">
      <c r="A42" s="671"/>
      <c r="B42" s="671"/>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105"/>
    </row>
    <row r="43" spans="1:26" ht="14.25" customHeight="1">
      <c r="A43" s="671"/>
      <c r="B43" s="671"/>
      <c r="C43" s="671"/>
      <c r="D43" s="671"/>
      <c r="E43" s="671"/>
      <c r="F43" s="671"/>
      <c r="G43" s="671"/>
      <c r="H43" s="671"/>
      <c r="I43" s="671"/>
      <c r="J43" s="671"/>
      <c r="K43" s="671"/>
      <c r="L43" s="671"/>
      <c r="M43" s="671"/>
      <c r="N43" s="671"/>
      <c r="O43" s="671"/>
      <c r="P43" s="671"/>
      <c r="Q43" s="671"/>
      <c r="R43" s="671"/>
      <c r="S43" s="671"/>
      <c r="T43" s="671"/>
      <c r="U43" s="671"/>
      <c r="V43" s="671"/>
      <c r="W43" s="671"/>
      <c r="X43" s="671"/>
      <c r="Y43" s="671"/>
      <c r="Z43" s="105"/>
    </row>
    <row r="44" spans="1:26" ht="14.25" customHeight="1">
      <c r="A44" s="671"/>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105"/>
    </row>
    <row r="45" spans="1:26" ht="14.25" customHeight="1">
      <c r="A45" s="671"/>
      <c r="B45" s="671"/>
      <c r="C45" s="671"/>
      <c r="D45" s="671"/>
      <c r="E45" s="671"/>
      <c r="F45" s="671"/>
      <c r="G45" s="671"/>
      <c r="H45" s="671"/>
      <c r="I45" s="671"/>
      <c r="J45" s="671"/>
      <c r="K45" s="671"/>
      <c r="L45" s="671"/>
      <c r="M45" s="671"/>
      <c r="N45" s="671"/>
      <c r="O45" s="671"/>
      <c r="P45" s="671"/>
      <c r="Q45" s="671"/>
      <c r="R45" s="671"/>
      <c r="S45" s="671"/>
      <c r="T45" s="671"/>
      <c r="U45" s="671"/>
      <c r="V45" s="671"/>
      <c r="W45" s="671"/>
      <c r="X45" s="671"/>
      <c r="Y45" s="671"/>
      <c r="Z45" s="105"/>
    </row>
    <row r="46" spans="1:26" ht="14.25" customHeight="1">
      <c r="A46" s="671"/>
      <c r="B46" s="671"/>
      <c r="C46" s="671"/>
      <c r="D46" s="671"/>
      <c r="E46" s="671"/>
      <c r="F46" s="671"/>
      <c r="G46" s="671"/>
      <c r="H46" s="671"/>
      <c r="I46" s="671"/>
      <c r="J46" s="671"/>
      <c r="K46" s="671"/>
      <c r="L46" s="671"/>
      <c r="M46" s="671"/>
      <c r="N46" s="671"/>
      <c r="O46" s="671"/>
      <c r="P46" s="671"/>
      <c r="Q46" s="671"/>
      <c r="R46" s="671"/>
      <c r="S46" s="671"/>
      <c r="T46" s="671"/>
      <c r="U46" s="671"/>
      <c r="V46" s="671"/>
      <c r="W46" s="671"/>
      <c r="X46" s="671"/>
      <c r="Y46" s="671"/>
      <c r="Z46" s="105"/>
    </row>
    <row r="47" spans="1:26" ht="14.25" customHeight="1">
      <c r="A47" s="671"/>
      <c r="B47" s="671"/>
      <c r="C47" s="671"/>
      <c r="D47" s="671"/>
      <c r="E47" s="671"/>
      <c r="F47" s="671"/>
      <c r="G47" s="671"/>
      <c r="H47" s="671"/>
      <c r="I47" s="671"/>
      <c r="J47" s="671"/>
      <c r="K47" s="671"/>
      <c r="L47" s="671"/>
      <c r="M47" s="671"/>
      <c r="N47" s="671"/>
      <c r="O47" s="671"/>
      <c r="P47" s="671"/>
      <c r="Q47" s="671"/>
      <c r="R47" s="671"/>
      <c r="S47" s="671"/>
      <c r="T47" s="671"/>
      <c r="U47" s="671"/>
      <c r="V47" s="671"/>
      <c r="W47" s="671"/>
      <c r="X47" s="671"/>
      <c r="Y47" s="671"/>
      <c r="Z47" s="105"/>
    </row>
    <row r="48" spans="1:26" ht="14.25" customHeight="1">
      <c r="A48" s="671"/>
      <c r="B48" s="671"/>
      <c r="C48" s="671"/>
      <c r="D48" s="671"/>
      <c r="E48" s="671"/>
      <c r="F48" s="671"/>
      <c r="G48" s="671"/>
      <c r="H48" s="671"/>
      <c r="I48" s="671"/>
      <c r="J48" s="671"/>
      <c r="K48" s="671"/>
      <c r="L48" s="671"/>
      <c r="M48" s="671"/>
      <c r="N48" s="671"/>
      <c r="O48" s="671"/>
      <c r="P48" s="671"/>
      <c r="Q48" s="671"/>
      <c r="R48" s="671"/>
      <c r="S48" s="671"/>
      <c r="T48" s="671"/>
      <c r="U48" s="671"/>
      <c r="V48" s="671"/>
      <c r="W48" s="671"/>
      <c r="X48" s="671"/>
      <c r="Y48" s="671"/>
      <c r="Z48" s="10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M5:O5"/>
    <mergeCell ref="F5:F6"/>
    <mergeCell ref="G7:G11"/>
    <mergeCell ref="H7:H11"/>
    <mergeCell ref="I7:I11"/>
    <mergeCell ref="B1:J1"/>
    <mergeCell ref="C2:I2"/>
    <mergeCell ref="B3:J3"/>
    <mergeCell ref="B4:J4"/>
    <mergeCell ref="C5:D6"/>
    <mergeCell ref="E5:E6"/>
    <mergeCell ref="G5:G6"/>
    <mergeCell ref="H5:I5"/>
    <mergeCell ref="C7:C9"/>
    <mergeCell ref="C19:D20"/>
    <mergeCell ref="C21:D22"/>
    <mergeCell ref="C17:C18"/>
    <mergeCell ref="D17:D18"/>
    <mergeCell ref="C10:C11"/>
    <mergeCell ref="B12:J12"/>
    <mergeCell ref="C15:I15"/>
    <mergeCell ref="B16:J16"/>
    <mergeCell ref="F17:I18"/>
    <mergeCell ref="F19:I20"/>
    <mergeCell ref="F21:I22"/>
  </mergeCells>
  <pageMargins left="0.70866141732283472" right="0.70866141732283472" top="0.74803149606299213" bottom="0.74803149606299213" header="0" footer="0"/>
  <pageSetup paperSize="14"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1:A1000"/>
  <sheetViews>
    <sheetView workbookViewId="0"/>
  </sheetViews>
  <sheetFormatPr defaultColWidth="14.42578125" defaultRowHeight="15" customHeight="1"/>
  <cols>
    <col min="1" max="6" width="14.42578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1:A1000"/>
  <sheetViews>
    <sheetView workbookViewId="0"/>
  </sheetViews>
  <sheetFormatPr defaultColWidth="14.42578125" defaultRowHeight="15" customHeight="1"/>
  <cols>
    <col min="1" max="6" width="14.42578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1:A1000"/>
  <sheetViews>
    <sheetView workbookViewId="0"/>
  </sheetViews>
  <sheetFormatPr defaultColWidth="14.42578125" defaultRowHeight="15" customHeight="1"/>
  <cols>
    <col min="1" max="6" width="14.42578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1:A1000"/>
  <sheetViews>
    <sheetView workbookViewId="0"/>
  </sheetViews>
  <sheetFormatPr defaultColWidth="14.42578125" defaultRowHeight="15" customHeight="1"/>
  <cols>
    <col min="1" max="6" width="14.42578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2EFD9"/>
    <pageSetUpPr fitToPage="1"/>
  </sheetPr>
  <dimension ref="A1:AG1000"/>
  <sheetViews>
    <sheetView workbookViewId="0"/>
  </sheetViews>
  <sheetFormatPr defaultColWidth="14.42578125" defaultRowHeight="15" customHeight="1"/>
  <cols>
    <col min="1" max="1" width="1.42578125" customWidth="1"/>
    <col min="2" max="2" width="22" customWidth="1"/>
    <col min="3" max="3" width="21.85546875" customWidth="1"/>
    <col min="4" max="4" width="19.85546875" customWidth="1"/>
    <col min="5" max="5" width="25.140625" customWidth="1"/>
    <col min="6" max="6" width="24.85546875" customWidth="1"/>
    <col min="7" max="7" width="11" customWidth="1"/>
    <col min="8" max="8" width="14.85546875" customWidth="1"/>
    <col min="9" max="9" width="15.42578125" customWidth="1"/>
    <col min="10" max="11" width="16.42578125" customWidth="1"/>
    <col min="12" max="12" width="18.85546875" customWidth="1"/>
    <col min="13" max="13" width="34.140625" customWidth="1"/>
    <col min="14" max="14" width="37.7109375" customWidth="1"/>
    <col min="15" max="15" width="39.140625" customWidth="1"/>
    <col min="16" max="16" width="35.85546875" customWidth="1"/>
    <col min="17" max="17" width="36.42578125" customWidth="1"/>
    <col min="18" max="18" width="24.42578125" customWidth="1"/>
    <col min="19" max="19" width="22.140625" customWidth="1"/>
    <col min="20" max="20" width="15.140625" customWidth="1"/>
    <col min="21" max="21" width="15.28515625" customWidth="1"/>
    <col min="22" max="22" width="20.42578125" customWidth="1"/>
    <col min="23" max="23" width="62.42578125" customWidth="1"/>
    <col min="24" max="32" width="9.140625" customWidth="1"/>
  </cols>
  <sheetData>
    <row r="1" spans="1:33" ht="229.5" customHeight="1">
      <c r="A1" s="351"/>
      <c r="B1" s="352"/>
      <c r="C1" s="353"/>
      <c r="D1" s="353"/>
      <c r="E1" s="353"/>
      <c r="F1" s="353"/>
      <c r="G1" s="353"/>
      <c r="H1" s="353"/>
      <c r="I1" s="353"/>
      <c r="J1" s="353"/>
      <c r="K1" s="353"/>
      <c r="L1" s="353"/>
      <c r="M1" s="353"/>
      <c r="N1" s="353"/>
      <c r="O1" s="353"/>
      <c r="P1" s="353"/>
      <c r="Q1" s="353"/>
      <c r="R1" s="353"/>
      <c r="S1" s="353"/>
      <c r="T1" s="353"/>
      <c r="U1" s="353"/>
      <c r="V1" s="353"/>
      <c r="W1" s="354"/>
      <c r="X1" s="351"/>
      <c r="Y1" s="351"/>
      <c r="Z1" s="351"/>
      <c r="AA1" s="351"/>
      <c r="AB1" s="351"/>
      <c r="AC1" s="351"/>
      <c r="AD1" s="351"/>
      <c r="AE1" s="351"/>
      <c r="AF1" s="351"/>
      <c r="AG1" s="2"/>
    </row>
    <row r="2" spans="1:33" ht="42.75" customHeight="1">
      <c r="A2" s="351"/>
      <c r="B2" s="355" t="s">
        <v>844</v>
      </c>
      <c r="C2" s="353"/>
      <c r="D2" s="353"/>
      <c r="E2" s="353"/>
      <c r="F2" s="353"/>
      <c r="G2" s="353"/>
      <c r="H2" s="353"/>
      <c r="I2" s="353"/>
      <c r="J2" s="353"/>
      <c r="K2" s="353"/>
      <c r="L2" s="353"/>
      <c r="M2" s="353"/>
      <c r="N2" s="353"/>
      <c r="O2" s="353"/>
      <c r="P2" s="353"/>
      <c r="Q2" s="353"/>
      <c r="R2" s="353"/>
      <c r="S2" s="353"/>
      <c r="T2" s="353"/>
      <c r="U2" s="353"/>
      <c r="V2" s="353"/>
      <c r="W2" s="354"/>
      <c r="X2" s="351"/>
      <c r="Y2" s="351"/>
      <c r="Z2" s="351"/>
      <c r="AA2" s="351"/>
      <c r="AB2" s="351"/>
      <c r="AC2" s="351"/>
      <c r="AD2" s="351"/>
      <c r="AE2" s="351"/>
      <c r="AF2" s="351"/>
      <c r="AG2" s="2"/>
    </row>
    <row r="3" spans="1:33" ht="33.75" customHeight="1">
      <c r="A3" s="351"/>
      <c r="B3" s="356"/>
      <c r="C3" s="357"/>
      <c r="D3" s="357"/>
      <c r="E3" s="357"/>
      <c r="F3" s="357"/>
      <c r="G3" s="357"/>
      <c r="H3" s="357"/>
      <c r="I3" s="357"/>
      <c r="J3" s="357"/>
      <c r="K3" s="357"/>
      <c r="L3" s="357"/>
      <c r="M3" s="357"/>
      <c r="N3" s="357"/>
      <c r="O3" s="357"/>
      <c r="P3" s="357"/>
      <c r="Q3" s="357"/>
      <c r="R3" s="357"/>
      <c r="S3" s="357"/>
      <c r="T3" s="357"/>
      <c r="U3" s="357"/>
      <c r="V3" s="357"/>
      <c r="W3" s="354"/>
      <c r="X3" s="351"/>
      <c r="Y3" s="351"/>
      <c r="Z3" s="351"/>
      <c r="AA3" s="351"/>
      <c r="AB3" s="351"/>
      <c r="AC3" s="351"/>
      <c r="AD3" s="351"/>
      <c r="AE3" s="351"/>
      <c r="AF3" s="351"/>
      <c r="AG3" s="2"/>
    </row>
    <row r="4" spans="1:33" ht="15.75" customHeight="1">
      <c r="A4" s="351"/>
      <c r="B4" s="299" t="s">
        <v>845</v>
      </c>
      <c r="C4" s="358"/>
      <c r="D4" s="358"/>
      <c r="E4" s="359"/>
      <c r="F4" s="300"/>
      <c r="G4" s="358"/>
      <c r="H4" s="358"/>
      <c r="I4" s="358"/>
      <c r="J4" s="358"/>
      <c r="K4" s="358"/>
      <c r="L4" s="358"/>
      <c r="M4" s="359"/>
      <c r="N4" s="6" t="s">
        <v>2</v>
      </c>
      <c r="O4" s="300" t="s">
        <v>846</v>
      </c>
      <c r="P4" s="358"/>
      <c r="Q4" s="358"/>
      <c r="R4" s="358"/>
      <c r="S4" s="358"/>
      <c r="T4" s="358"/>
      <c r="U4" s="358"/>
      <c r="V4" s="360"/>
      <c r="W4" s="354"/>
      <c r="X4" s="351"/>
      <c r="Y4" s="351"/>
      <c r="Z4" s="351"/>
      <c r="AA4" s="351"/>
      <c r="AB4" s="351"/>
      <c r="AC4" s="351"/>
      <c r="AD4" s="351"/>
      <c r="AE4" s="351"/>
      <c r="AF4" s="351"/>
      <c r="AG4" s="7"/>
    </row>
    <row r="5" spans="1:33" ht="16.5" customHeight="1">
      <c r="A5" s="351"/>
      <c r="B5" s="301" t="s">
        <v>847</v>
      </c>
      <c r="C5" s="361"/>
      <c r="D5" s="361"/>
      <c r="E5" s="362"/>
      <c r="F5" s="363"/>
      <c r="G5" s="361"/>
      <c r="H5" s="361"/>
      <c r="I5" s="361"/>
      <c r="J5" s="361"/>
      <c r="K5" s="361"/>
      <c r="L5" s="361"/>
      <c r="M5" s="362"/>
      <c r="N5" s="10" t="s">
        <v>4</v>
      </c>
      <c r="O5" s="363" t="s">
        <v>848</v>
      </c>
      <c r="P5" s="361"/>
      <c r="Q5" s="361"/>
      <c r="R5" s="361"/>
      <c r="S5" s="361"/>
      <c r="T5" s="361"/>
      <c r="U5" s="361"/>
      <c r="V5" s="364"/>
      <c r="W5" s="354"/>
      <c r="X5" s="351"/>
      <c r="Y5" s="351"/>
      <c r="Z5" s="351"/>
      <c r="AA5" s="351"/>
      <c r="AB5" s="351"/>
      <c r="AC5" s="351"/>
      <c r="AD5" s="351"/>
      <c r="AE5" s="351"/>
      <c r="AF5" s="351"/>
      <c r="AG5" s="7"/>
    </row>
    <row r="6" spans="1:33" ht="15.75" customHeight="1">
      <c r="A6" s="351"/>
      <c r="B6" s="301" t="s">
        <v>849</v>
      </c>
      <c r="C6" s="361"/>
      <c r="D6" s="361"/>
      <c r="E6" s="362"/>
      <c r="F6" s="363"/>
      <c r="G6" s="361"/>
      <c r="H6" s="361"/>
      <c r="I6" s="361"/>
      <c r="J6" s="361"/>
      <c r="K6" s="361"/>
      <c r="L6" s="361"/>
      <c r="M6" s="362"/>
      <c r="N6" s="10" t="s">
        <v>6</v>
      </c>
      <c r="O6" s="363" t="s">
        <v>850</v>
      </c>
      <c r="P6" s="361"/>
      <c r="Q6" s="361"/>
      <c r="R6" s="361"/>
      <c r="S6" s="361"/>
      <c r="T6" s="361"/>
      <c r="U6" s="361"/>
      <c r="V6" s="364"/>
      <c r="W6" s="354"/>
      <c r="X6" s="351"/>
      <c r="Y6" s="351"/>
      <c r="Z6" s="351"/>
      <c r="AA6" s="351"/>
      <c r="AB6" s="351"/>
      <c r="AC6" s="351"/>
      <c r="AD6" s="351"/>
      <c r="AE6" s="351"/>
      <c r="AF6" s="351"/>
      <c r="AG6" s="7"/>
    </row>
    <row r="7" spans="1:33" ht="16.5" customHeight="1">
      <c r="A7" s="351"/>
      <c r="B7" s="301" t="s">
        <v>851</v>
      </c>
      <c r="C7" s="361"/>
      <c r="D7" s="361"/>
      <c r="E7" s="362"/>
      <c r="F7" s="365"/>
      <c r="G7" s="366"/>
      <c r="H7" s="366"/>
      <c r="I7" s="366"/>
      <c r="J7" s="366"/>
      <c r="K7" s="366"/>
      <c r="L7" s="366"/>
      <c r="M7" s="367"/>
      <c r="N7" s="10" t="s">
        <v>852</v>
      </c>
      <c r="O7" s="704">
        <v>45828</v>
      </c>
      <c r="P7" s="368"/>
      <c r="Q7" s="368"/>
      <c r="R7" s="368"/>
      <c r="S7" s="368"/>
      <c r="T7" s="368"/>
      <c r="U7" s="368"/>
      <c r="V7" s="369"/>
      <c r="W7" s="354"/>
      <c r="X7" s="351"/>
      <c r="Y7" s="351"/>
      <c r="Z7" s="351"/>
      <c r="AA7" s="351"/>
      <c r="AB7" s="351"/>
      <c r="AC7" s="351"/>
      <c r="AD7" s="351"/>
      <c r="AE7" s="351"/>
      <c r="AF7" s="351"/>
      <c r="AG7" s="7"/>
    </row>
    <row r="8" spans="1:33" ht="45.75" customHeight="1">
      <c r="A8" s="351"/>
      <c r="B8" s="304" t="s">
        <v>853</v>
      </c>
      <c r="C8" s="370"/>
      <c r="D8" s="370"/>
      <c r="E8" s="371"/>
      <c r="F8" s="305"/>
      <c r="G8" s="370"/>
      <c r="H8" s="370"/>
      <c r="I8" s="370"/>
      <c r="J8" s="370"/>
      <c r="K8" s="370"/>
      <c r="L8" s="370"/>
      <c r="M8" s="370"/>
      <c r="N8" s="370"/>
      <c r="O8" s="370"/>
      <c r="P8" s="370"/>
      <c r="Q8" s="370"/>
      <c r="R8" s="370"/>
      <c r="S8" s="370"/>
      <c r="T8" s="370"/>
      <c r="U8" s="370"/>
      <c r="V8" s="372"/>
      <c r="W8" s="354"/>
      <c r="X8" s="351"/>
      <c r="Y8" s="351"/>
      <c r="Z8" s="351"/>
      <c r="AA8" s="351"/>
      <c r="AB8" s="351"/>
      <c r="AC8" s="351"/>
      <c r="AD8" s="351"/>
      <c r="AE8" s="351"/>
      <c r="AF8" s="351"/>
      <c r="AG8" s="7"/>
    </row>
    <row r="9" spans="1:33" ht="19.5" customHeight="1">
      <c r="A9" s="351"/>
      <c r="B9" s="373"/>
      <c r="C9" s="374"/>
      <c r="D9" s="374"/>
      <c r="E9" s="374"/>
      <c r="F9" s="374"/>
      <c r="G9" s="374"/>
      <c r="H9" s="374"/>
      <c r="I9" s="374"/>
      <c r="J9" s="374"/>
      <c r="K9" s="374"/>
      <c r="L9" s="374"/>
      <c r="M9" s="374"/>
      <c r="N9" s="374"/>
      <c r="O9" s="374"/>
      <c r="P9" s="374"/>
      <c r="Q9" s="374"/>
      <c r="R9" s="374"/>
      <c r="S9" s="374"/>
      <c r="T9" s="374"/>
      <c r="U9" s="374"/>
      <c r="V9" s="374"/>
      <c r="W9" s="354"/>
      <c r="X9" s="351"/>
      <c r="Y9" s="351"/>
      <c r="Z9" s="351"/>
      <c r="AA9" s="351"/>
      <c r="AB9" s="351"/>
      <c r="AC9" s="351"/>
      <c r="AD9" s="351"/>
      <c r="AE9" s="351"/>
      <c r="AF9" s="351"/>
      <c r="AG9" s="2"/>
    </row>
    <row r="10" spans="1:33" ht="72" customHeight="1">
      <c r="A10" s="351"/>
      <c r="B10" s="297" t="s">
        <v>854</v>
      </c>
      <c r="C10" s="375"/>
      <c r="D10" s="375"/>
      <c r="E10" s="375"/>
      <c r="F10" s="375"/>
      <c r="G10" s="375"/>
      <c r="H10" s="375"/>
      <c r="I10" s="375"/>
      <c r="J10" s="375"/>
      <c r="K10" s="375"/>
      <c r="L10" s="375"/>
      <c r="M10" s="375"/>
      <c r="N10" s="375"/>
      <c r="O10" s="375"/>
      <c r="P10" s="375"/>
      <c r="Q10" s="375"/>
      <c r="R10" s="375"/>
      <c r="S10" s="375"/>
      <c r="T10" s="375"/>
      <c r="U10" s="375"/>
      <c r="V10" s="375"/>
      <c r="W10" s="354"/>
      <c r="X10" s="351"/>
      <c r="Y10" s="351"/>
      <c r="Z10" s="351"/>
      <c r="AA10" s="351"/>
      <c r="AB10" s="351"/>
      <c r="AC10" s="351"/>
      <c r="AD10" s="351"/>
      <c r="AE10" s="351"/>
      <c r="AF10" s="351"/>
      <c r="AG10" s="2"/>
    </row>
    <row r="11" spans="1:33" ht="4.5" hidden="1"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ht="21.75" customHeight="1">
      <c r="A12" s="2"/>
      <c r="B12" s="320" t="s">
        <v>11</v>
      </c>
      <c r="C12" s="376"/>
      <c r="D12" s="376"/>
      <c r="E12" s="376"/>
      <c r="F12" s="376"/>
      <c r="G12" s="376"/>
      <c r="H12" s="376"/>
      <c r="I12" s="376"/>
      <c r="J12" s="376"/>
      <c r="K12" s="376"/>
      <c r="L12" s="376"/>
      <c r="M12" s="376"/>
      <c r="N12" s="376"/>
      <c r="O12" s="376"/>
      <c r="P12" s="376"/>
      <c r="Q12" s="376"/>
      <c r="R12" s="377"/>
      <c r="S12" s="378" t="s">
        <v>12</v>
      </c>
      <c r="T12" s="376"/>
      <c r="U12" s="376"/>
      <c r="V12" s="377"/>
      <c r="W12" s="2"/>
      <c r="X12" s="2"/>
      <c r="Y12" s="2"/>
      <c r="Z12" s="2"/>
      <c r="AA12" s="2"/>
      <c r="AB12" s="2"/>
      <c r="AC12" s="2"/>
      <c r="AD12" s="2"/>
      <c r="AE12" s="2"/>
      <c r="AF12" s="2"/>
      <c r="AG12" s="2"/>
    </row>
    <row r="13" spans="1:33" ht="117" customHeight="1">
      <c r="A13" s="2"/>
      <c r="B13" s="379" t="s">
        <v>13</v>
      </c>
      <c r="C13" s="357"/>
      <c r="D13" s="357"/>
      <c r="E13" s="380"/>
      <c r="F13" s="381" t="s">
        <v>14</v>
      </c>
      <c r="G13" s="382"/>
      <c r="H13" s="383" t="s">
        <v>15</v>
      </c>
      <c r="I13" s="383" t="s">
        <v>16</v>
      </c>
      <c r="J13" s="379" t="s">
        <v>17</v>
      </c>
      <c r="K13" s="357"/>
      <c r="L13" s="384" t="s">
        <v>18</v>
      </c>
      <c r="M13" s="385" t="s">
        <v>19</v>
      </c>
      <c r="N13" s="374"/>
      <c r="O13" s="374"/>
      <c r="P13" s="374"/>
      <c r="Q13" s="386"/>
      <c r="R13" s="387" t="s">
        <v>20</v>
      </c>
      <c r="S13" s="311" t="s">
        <v>21</v>
      </c>
      <c r="T13" s="388" t="s">
        <v>22</v>
      </c>
      <c r="U13" s="384" t="s">
        <v>23</v>
      </c>
      <c r="V13" s="311" t="s">
        <v>24</v>
      </c>
      <c r="W13" s="2"/>
      <c r="X13" s="2"/>
      <c r="Y13" s="2"/>
      <c r="Z13" s="2"/>
      <c r="AA13" s="2"/>
      <c r="AB13" s="2"/>
      <c r="AC13" s="2"/>
      <c r="AD13" s="2"/>
      <c r="AE13" s="2"/>
      <c r="AF13" s="2"/>
      <c r="AG13" s="2"/>
    </row>
    <row r="14" spans="1:33" ht="45" customHeight="1">
      <c r="A14" s="2"/>
      <c r="B14" s="384" t="s">
        <v>25</v>
      </c>
      <c r="C14" s="317" t="s">
        <v>26</v>
      </c>
      <c r="D14" s="376"/>
      <c r="E14" s="377"/>
      <c r="F14" s="353"/>
      <c r="G14" s="382"/>
      <c r="H14" s="389"/>
      <c r="I14" s="389"/>
      <c r="J14" s="316" t="s">
        <v>27</v>
      </c>
      <c r="K14" s="390" t="s">
        <v>28</v>
      </c>
      <c r="L14" s="389"/>
      <c r="M14" s="319" t="s">
        <v>29</v>
      </c>
      <c r="N14" s="391" t="s">
        <v>30</v>
      </c>
      <c r="O14" s="391" t="s">
        <v>31</v>
      </c>
      <c r="P14" s="391" t="s">
        <v>32</v>
      </c>
      <c r="Q14" s="392" t="s">
        <v>33</v>
      </c>
      <c r="R14" s="382"/>
      <c r="S14" s="382"/>
      <c r="T14" s="393"/>
      <c r="U14" s="389"/>
      <c r="V14" s="382"/>
      <c r="W14" s="2"/>
      <c r="X14" s="2"/>
      <c r="Y14" s="2"/>
      <c r="Z14" s="2"/>
      <c r="AA14" s="2"/>
      <c r="AB14" s="2"/>
      <c r="AC14" s="2"/>
      <c r="AD14" s="2"/>
      <c r="AE14" s="2"/>
      <c r="AF14" s="2"/>
      <c r="AG14" s="2"/>
    </row>
    <row r="15" spans="1:33" ht="70.5" customHeight="1">
      <c r="A15" s="394"/>
      <c r="B15" s="395"/>
      <c r="C15" s="396" t="s">
        <v>34</v>
      </c>
      <c r="D15" s="396" t="s">
        <v>35</v>
      </c>
      <c r="E15" s="396" t="s">
        <v>148</v>
      </c>
      <c r="F15" s="357"/>
      <c r="G15" s="380"/>
      <c r="H15" s="395"/>
      <c r="I15" s="395"/>
      <c r="J15" s="397"/>
      <c r="K15" s="357"/>
      <c r="L15" s="395"/>
      <c r="M15" s="398"/>
      <c r="N15" s="399"/>
      <c r="O15" s="399"/>
      <c r="P15" s="399"/>
      <c r="Q15" s="400"/>
      <c r="R15" s="382"/>
      <c r="S15" s="380"/>
      <c r="T15" s="397"/>
      <c r="U15" s="395"/>
      <c r="V15" s="380"/>
      <c r="W15" s="401"/>
      <c r="X15" s="394"/>
      <c r="Y15" s="394"/>
      <c r="Z15" s="394"/>
      <c r="AA15" s="394"/>
      <c r="AB15" s="394"/>
      <c r="AC15" s="394"/>
      <c r="AD15" s="394"/>
      <c r="AE15" s="394"/>
      <c r="AF15" s="394"/>
      <c r="AG15" s="2"/>
    </row>
    <row r="16" spans="1:33" ht="90" hidden="1" customHeight="1">
      <c r="A16" s="351"/>
      <c r="B16" s="402" t="s">
        <v>37</v>
      </c>
      <c r="C16" s="403"/>
      <c r="D16" s="403"/>
      <c r="E16" s="318" t="s">
        <v>38</v>
      </c>
      <c r="F16" s="404" t="s">
        <v>39</v>
      </c>
      <c r="G16" s="405" t="s">
        <v>40</v>
      </c>
      <c r="H16" s="406" t="s">
        <v>41</v>
      </c>
      <c r="I16" s="407">
        <v>0.35</v>
      </c>
      <c r="J16" s="408"/>
      <c r="K16" s="408"/>
      <c r="L16" s="25" t="s">
        <v>42</v>
      </c>
      <c r="M16" s="26" t="s">
        <v>43</v>
      </c>
      <c r="N16" s="27" t="s">
        <v>44</v>
      </c>
      <c r="O16" s="27" t="s">
        <v>45</v>
      </c>
      <c r="P16" s="27" t="s">
        <v>46</v>
      </c>
      <c r="Q16" s="27" t="s">
        <v>47</v>
      </c>
      <c r="R16" s="380"/>
      <c r="S16" s="409" t="s">
        <v>48</v>
      </c>
      <c r="T16" s="28">
        <v>5</v>
      </c>
      <c r="U16" s="410">
        <f>AVERAGE(T16:T18)</f>
        <v>4.666666666666667</v>
      </c>
      <c r="V16" s="411"/>
      <c r="W16" s="354"/>
      <c r="X16" s="351"/>
      <c r="Y16" s="351"/>
      <c r="Z16" s="351"/>
      <c r="AA16" s="351"/>
      <c r="AB16" s="351"/>
      <c r="AC16" s="351"/>
      <c r="AD16" s="351"/>
      <c r="AE16" s="351"/>
      <c r="AF16" s="351"/>
      <c r="AG16" s="29"/>
    </row>
    <row r="17" spans="1:33" ht="102.75" hidden="1" customHeight="1">
      <c r="A17" s="351"/>
      <c r="B17" s="412"/>
      <c r="C17" s="413"/>
      <c r="D17" s="413"/>
      <c r="E17" s="414"/>
      <c r="F17" s="414"/>
      <c r="G17" s="414"/>
      <c r="H17" s="414"/>
      <c r="I17" s="414"/>
      <c r="J17" s="31"/>
      <c r="K17" s="31"/>
      <c r="L17" s="32" t="s">
        <v>49</v>
      </c>
      <c r="M17" s="33" t="s">
        <v>50</v>
      </c>
      <c r="N17" s="33" t="s">
        <v>51</v>
      </c>
      <c r="O17" s="33" t="s">
        <v>52</v>
      </c>
      <c r="P17" s="33" t="s">
        <v>53</v>
      </c>
      <c r="Q17" s="33" t="s">
        <v>54</v>
      </c>
      <c r="R17" s="34"/>
      <c r="S17" s="35" t="s">
        <v>55</v>
      </c>
      <c r="T17" s="36">
        <v>4</v>
      </c>
      <c r="U17" s="414"/>
      <c r="V17" s="415"/>
      <c r="W17" s="354"/>
      <c r="X17" s="351"/>
      <c r="Y17" s="351"/>
      <c r="Z17" s="351"/>
      <c r="AA17" s="351"/>
      <c r="AB17" s="351"/>
      <c r="AC17" s="351"/>
      <c r="AD17" s="351"/>
      <c r="AE17" s="351"/>
      <c r="AF17" s="351"/>
      <c r="AG17" s="7"/>
    </row>
    <row r="18" spans="1:33" ht="18" hidden="1" customHeight="1">
      <c r="A18" s="351"/>
      <c r="B18" s="412"/>
      <c r="C18" s="413"/>
      <c r="D18" s="413"/>
      <c r="E18" s="399"/>
      <c r="F18" s="414"/>
      <c r="G18" s="414"/>
      <c r="H18" s="414"/>
      <c r="I18" s="414"/>
      <c r="J18" s="31"/>
      <c r="K18" s="31"/>
      <c r="L18" s="31" t="s">
        <v>56</v>
      </c>
      <c r="M18" s="37" t="s">
        <v>57</v>
      </c>
      <c r="N18" s="37" t="s">
        <v>58</v>
      </c>
      <c r="O18" s="37" t="s">
        <v>59</v>
      </c>
      <c r="P18" s="37" t="s">
        <v>60</v>
      </c>
      <c r="Q18" s="37" t="s">
        <v>61</v>
      </c>
      <c r="R18" s="38"/>
      <c r="S18" s="416" t="s">
        <v>62</v>
      </c>
      <c r="T18" s="39">
        <v>5</v>
      </c>
      <c r="U18" s="414"/>
      <c r="V18" s="415"/>
      <c r="W18" s="354"/>
      <c r="X18" s="351"/>
      <c r="Y18" s="351"/>
      <c r="Z18" s="351"/>
      <c r="AA18" s="351"/>
      <c r="AB18" s="351"/>
      <c r="AC18" s="351"/>
      <c r="AD18" s="351"/>
      <c r="AE18" s="351"/>
      <c r="AF18" s="351"/>
      <c r="AG18" s="7"/>
    </row>
    <row r="19" spans="1:33" ht="24.75" customHeight="1">
      <c r="A19" s="351"/>
      <c r="B19" s="298"/>
      <c r="C19" s="287" t="s">
        <v>63</v>
      </c>
      <c r="D19" s="287" t="s">
        <v>63</v>
      </c>
      <c r="E19" s="287" t="s">
        <v>855</v>
      </c>
      <c r="F19" s="289"/>
      <c r="G19" s="417"/>
      <c r="H19" s="290"/>
      <c r="I19" s="291">
        <v>0.2</v>
      </c>
      <c r="J19" s="288"/>
      <c r="K19" s="290"/>
      <c r="L19" s="41" t="s">
        <v>42</v>
      </c>
      <c r="M19" s="42"/>
      <c r="N19" s="43"/>
      <c r="O19" s="43"/>
      <c r="P19" s="43"/>
      <c r="Q19" s="43"/>
      <c r="R19" s="306"/>
      <c r="S19" s="307"/>
      <c r="T19" s="44">
        <v>5</v>
      </c>
      <c r="U19" s="309">
        <f>AVERAGE(T19:T21)</f>
        <v>5</v>
      </c>
      <c r="V19" s="310">
        <f>U19*I19</f>
        <v>1</v>
      </c>
      <c r="W19" s="354"/>
      <c r="X19" s="351"/>
      <c r="Y19" s="351"/>
      <c r="Z19" s="351"/>
      <c r="AA19" s="351"/>
      <c r="AB19" s="351"/>
      <c r="AC19" s="351"/>
      <c r="AD19" s="351"/>
      <c r="AE19" s="351"/>
      <c r="AF19" s="351"/>
      <c r="AG19" s="7"/>
    </row>
    <row r="20" spans="1:33" ht="24.75" customHeight="1">
      <c r="A20" s="351"/>
      <c r="B20" s="412"/>
      <c r="C20" s="414"/>
      <c r="D20" s="414"/>
      <c r="E20" s="414"/>
      <c r="F20" s="418"/>
      <c r="G20" s="419"/>
      <c r="H20" s="414"/>
      <c r="I20" s="414"/>
      <c r="J20" s="414"/>
      <c r="K20" s="414"/>
      <c r="L20" s="48" t="s">
        <v>49</v>
      </c>
      <c r="M20" s="49"/>
      <c r="N20" s="49"/>
      <c r="O20" s="49"/>
      <c r="P20" s="49"/>
      <c r="Q20" s="49"/>
      <c r="R20" s="415"/>
      <c r="S20" s="412"/>
      <c r="T20" s="44">
        <v>5</v>
      </c>
      <c r="U20" s="419"/>
      <c r="V20" s="415"/>
      <c r="W20" s="354"/>
      <c r="X20" s="351"/>
      <c r="Y20" s="351"/>
      <c r="Z20" s="351"/>
      <c r="AA20" s="351"/>
      <c r="AB20" s="351"/>
      <c r="AC20" s="351"/>
      <c r="AD20" s="351"/>
      <c r="AE20" s="351"/>
      <c r="AF20" s="351"/>
      <c r="AG20" s="7"/>
    </row>
    <row r="21" spans="1:33" ht="24.75" customHeight="1">
      <c r="A21" s="351"/>
      <c r="B21" s="412"/>
      <c r="C21" s="414"/>
      <c r="D21" s="414"/>
      <c r="E21" s="414"/>
      <c r="F21" s="420"/>
      <c r="G21" s="421"/>
      <c r="H21" s="422"/>
      <c r="I21" s="422"/>
      <c r="J21" s="422"/>
      <c r="K21" s="422"/>
      <c r="L21" s="48" t="s">
        <v>56</v>
      </c>
      <c r="M21" s="51"/>
      <c r="N21" s="51"/>
      <c r="O21" s="51"/>
      <c r="P21" s="51"/>
      <c r="Q21" s="51"/>
      <c r="R21" s="423"/>
      <c r="S21" s="424"/>
      <c r="T21" s="44">
        <v>5</v>
      </c>
      <c r="U21" s="421"/>
      <c r="V21" s="423"/>
      <c r="W21" s="354"/>
      <c r="X21" s="351"/>
      <c r="Y21" s="351"/>
      <c r="Z21" s="351"/>
      <c r="AA21" s="351"/>
      <c r="AB21" s="351"/>
      <c r="AC21" s="351"/>
      <c r="AD21" s="351"/>
      <c r="AE21" s="351"/>
      <c r="AF21" s="351"/>
      <c r="AG21" s="7"/>
    </row>
    <row r="22" spans="1:33" ht="24.75" customHeight="1">
      <c r="A22" s="351"/>
      <c r="B22" s="412"/>
      <c r="C22" s="414"/>
      <c r="D22" s="414"/>
      <c r="E22" s="414"/>
      <c r="F22" s="425"/>
      <c r="G22" s="367"/>
      <c r="H22" s="426"/>
      <c r="I22" s="427">
        <v>0.2</v>
      </c>
      <c r="J22" s="428"/>
      <c r="K22" s="426"/>
      <c r="L22" s="41" t="s">
        <v>42</v>
      </c>
      <c r="M22" s="52"/>
      <c r="N22" s="53"/>
      <c r="O22" s="53"/>
      <c r="P22" s="53"/>
      <c r="Q22" s="53"/>
      <c r="R22" s="429"/>
      <c r="S22" s="312"/>
      <c r="T22" s="44">
        <v>5</v>
      </c>
      <c r="U22" s="309">
        <f>AVERAGE(T22:T24)</f>
        <v>5</v>
      </c>
      <c r="V22" s="310">
        <f>U22*I22</f>
        <v>1</v>
      </c>
      <c r="W22" s="354"/>
      <c r="X22" s="351"/>
      <c r="Y22" s="351"/>
      <c r="Z22" s="351"/>
      <c r="AA22" s="351"/>
      <c r="AB22" s="351"/>
      <c r="AC22" s="351"/>
      <c r="AD22" s="351"/>
      <c r="AE22" s="351"/>
      <c r="AF22" s="351"/>
      <c r="AG22" s="7"/>
    </row>
    <row r="23" spans="1:33" ht="24.75" customHeight="1">
      <c r="A23" s="351"/>
      <c r="B23" s="412"/>
      <c r="C23" s="414"/>
      <c r="D23" s="414"/>
      <c r="E23" s="414"/>
      <c r="F23" s="418"/>
      <c r="G23" s="419"/>
      <c r="H23" s="414"/>
      <c r="I23" s="414"/>
      <c r="J23" s="414"/>
      <c r="K23" s="414"/>
      <c r="L23" s="48" t="s">
        <v>49</v>
      </c>
      <c r="M23" s="49"/>
      <c r="N23" s="49"/>
      <c r="O23" s="49"/>
      <c r="P23" s="49"/>
      <c r="Q23" s="49"/>
      <c r="R23" s="415"/>
      <c r="S23" s="412"/>
      <c r="T23" s="44">
        <v>5</v>
      </c>
      <c r="U23" s="419"/>
      <c r="V23" s="415"/>
      <c r="W23" s="354"/>
      <c r="X23" s="351"/>
      <c r="Y23" s="351"/>
      <c r="Z23" s="351"/>
      <c r="AA23" s="351"/>
      <c r="AB23" s="351"/>
      <c r="AC23" s="351"/>
      <c r="AD23" s="351"/>
      <c r="AE23" s="351"/>
      <c r="AF23" s="351"/>
      <c r="AG23" s="7"/>
    </row>
    <row r="24" spans="1:33" ht="24.75" customHeight="1">
      <c r="A24" s="351"/>
      <c r="B24" s="412"/>
      <c r="C24" s="414"/>
      <c r="D24" s="414"/>
      <c r="E24" s="414"/>
      <c r="F24" s="420"/>
      <c r="G24" s="421"/>
      <c r="H24" s="422"/>
      <c r="I24" s="422"/>
      <c r="J24" s="422"/>
      <c r="K24" s="422"/>
      <c r="L24" s="48" t="s">
        <v>56</v>
      </c>
      <c r="M24" s="51"/>
      <c r="N24" s="51"/>
      <c r="O24" s="51"/>
      <c r="P24" s="51"/>
      <c r="Q24" s="51"/>
      <c r="R24" s="423"/>
      <c r="S24" s="424"/>
      <c r="T24" s="44">
        <v>5</v>
      </c>
      <c r="U24" s="421"/>
      <c r="V24" s="423"/>
      <c r="W24" s="354"/>
      <c r="X24" s="351"/>
      <c r="Y24" s="351"/>
      <c r="Z24" s="351"/>
      <c r="AA24" s="351"/>
      <c r="AB24" s="351"/>
      <c r="AC24" s="351"/>
      <c r="AD24" s="351"/>
      <c r="AE24" s="351"/>
      <c r="AF24" s="351"/>
      <c r="AG24" s="7"/>
    </row>
    <row r="25" spans="1:33" ht="24.75" customHeight="1">
      <c r="A25" s="351"/>
      <c r="B25" s="412"/>
      <c r="C25" s="414"/>
      <c r="D25" s="414"/>
      <c r="E25" s="414"/>
      <c r="F25" s="425"/>
      <c r="G25" s="367"/>
      <c r="H25" s="426"/>
      <c r="I25" s="427">
        <v>0.2</v>
      </c>
      <c r="J25" s="428"/>
      <c r="K25" s="426"/>
      <c r="L25" s="59" t="s">
        <v>42</v>
      </c>
      <c r="M25" s="52"/>
      <c r="N25" s="53"/>
      <c r="O25" s="53"/>
      <c r="P25" s="53"/>
      <c r="Q25" s="53"/>
      <c r="R25" s="429"/>
      <c r="S25" s="312"/>
      <c r="T25" s="44">
        <v>5</v>
      </c>
      <c r="U25" s="309">
        <f>AVERAGE(T25:T27)</f>
        <v>5</v>
      </c>
      <c r="V25" s="310">
        <f>U25*I25</f>
        <v>1</v>
      </c>
      <c r="W25" s="354"/>
      <c r="X25" s="351"/>
      <c r="Y25" s="351"/>
      <c r="Z25" s="351"/>
      <c r="AA25" s="351"/>
      <c r="AB25" s="351"/>
      <c r="AC25" s="351"/>
      <c r="AD25" s="351"/>
      <c r="AE25" s="351"/>
      <c r="AF25" s="351"/>
      <c r="AG25" s="7"/>
    </row>
    <row r="26" spans="1:33" ht="24.75" customHeight="1">
      <c r="A26" s="351"/>
      <c r="B26" s="412"/>
      <c r="C26" s="414"/>
      <c r="D26" s="414"/>
      <c r="E26" s="414"/>
      <c r="F26" s="418"/>
      <c r="G26" s="419"/>
      <c r="H26" s="414"/>
      <c r="I26" s="414"/>
      <c r="J26" s="414"/>
      <c r="K26" s="414"/>
      <c r="L26" s="48" t="s">
        <v>49</v>
      </c>
      <c r="M26" s="49"/>
      <c r="N26" s="49"/>
      <c r="O26" s="49"/>
      <c r="P26" s="49"/>
      <c r="Q26" s="49"/>
      <c r="R26" s="415"/>
      <c r="S26" s="412"/>
      <c r="T26" s="44">
        <v>5</v>
      </c>
      <c r="U26" s="419"/>
      <c r="V26" s="415"/>
      <c r="W26" s="354"/>
      <c r="X26" s="351"/>
      <c r="Y26" s="351"/>
      <c r="Z26" s="351"/>
      <c r="AA26" s="351"/>
      <c r="AB26" s="351"/>
      <c r="AC26" s="351"/>
      <c r="AD26" s="351"/>
      <c r="AE26" s="351"/>
      <c r="AF26" s="351"/>
      <c r="AG26" s="7"/>
    </row>
    <row r="27" spans="1:33" ht="24.75" customHeight="1">
      <c r="A27" s="351"/>
      <c r="B27" s="398"/>
      <c r="C27" s="399"/>
      <c r="D27" s="399"/>
      <c r="E27" s="399"/>
      <c r="F27" s="430"/>
      <c r="G27" s="431"/>
      <c r="H27" s="399"/>
      <c r="I27" s="399"/>
      <c r="J27" s="399"/>
      <c r="K27" s="399"/>
      <c r="L27" s="61" t="s">
        <v>56</v>
      </c>
      <c r="M27" s="62"/>
      <c r="N27" s="62"/>
      <c r="O27" s="62"/>
      <c r="P27" s="62"/>
      <c r="Q27" s="62"/>
      <c r="R27" s="400"/>
      <c r="S27" s="398"/>
      <c r="T27" s="44">
        <v>5</v>
      </c>
      <c r="U27" s="421"/>
      <c r="V27" s="423"/>
      <c r="W27" s="354"/>
      <c r="X27" s="351"/>
      <c r="Y27" s="351"/>
      <c r="Z27" s="351"/>
      <c r="AA27" s="351"/>
      <c r="AB27" s="351"/>
      <c r="AC27" s="351"/>
      <c r="AD27" s="351"/>
      <c r="AE27" s="351"/>
      <c r="AF27" s="351"/>
      <c r="AG27" s="7"/>
    </row>
    <row r="28" spans="1:33" ht="24.75" hidden="1" customHeight="1">
      <c r="A28" s="351"/>
      <c r="B28" s="298"/>
      <c r="C28" s="432"/>
      <c r="D28" s="432"/>
      <c r="E28" s="288"/>
      <c r="F28" s="289"/>
      <c r="G28" s="417"/>
      <c r="H28" s="290"/>
      <c r="I28" s="291"/>
      <c r="J28" s="292"/>
      <c r="K28" s="290"/>
      <c r="L28" s="41"/>
      <c r="M28" s="42"/>
      <c r="N28" s="43"/>
      <c r="O28" s="43"/>
      <c r="P28" s="43"/>
      <c r="Q28" s="43"/>
      <c r="R28" s="63"/>
      <c r="S28" s="64"/>
      <c r="T28" s="65"/>
      <c r="U28" s="293"/>
      <c r="V28" s="294"/>
      <c r="W28" s="354"/>
      <c r="X28" s="351"/>
      <c r="Y28" s="351"/>
      <c r="Z28" s="351"/>
      <c r="AA28" s="351"/>
      <c r="AB28" s="351"/>
      <c r="AC28" s="351"/>
      <c r="AD28" s="351"/>
      <c r="AE28" s="351"/>
      <c r="AF28" s="351"/>
      <c r="AG28" s="7"/>
    </row>
    <row r="29" spans="1:33" ht="24.75" hidden="1" customHeight="1">
      <c r="A29" s="351"/>
      <c r="B29" s="412"/>
      <c r="C29" s="433"/>
      <c r="D29" s="433"/>
      <c r="E29" s="414"/>
      <c r="F29" s="418"/>
      <c r="G29" s="419"/>
      <c r="H29" s="414"/>
      <c r="I29" s="414"/>
      <c r="J29" s="414"/>
      <c r="K29" s="414"/>
      <c r="L29" s="48"/>
      <c r="M29" s="49"/>
      <c r="N29" s="49"/>
      <c r="O29" s="49"/>
      <c r="P29" s="49"/>
      <c r="Q29" s="49"/>
      <c r="R29" s="66"/>
      <c r="S29" s="68"/>
      <c r="T29" s="69"/>
      <c r="U29" s="414"/>
      <c r="V29" s="415"/>
      <c r="W29" s="354"/>
      <c r="X29" s="351"/>
      <c r="Y29" s="351"/>
      <c r="Z29" s="351"/>
      <c r="AA29" s="351"/>
      <c r="AB29" s="351"/>
      <c r="AC29" s="351"/>
      <c r="AD29" s="351"/>
      <c r="AE29" s="351"/>
      <c r="AF29" s="351"/>
      <c r="AG29" s="7"/>
    </row>
    <row r="30" spans="1:33" ht="24.75" hidden="1" customHeight="1">
      <c r="A30" s="351"/>
      <c r="B30" s="412"/>
      <c r="C30" s="433"/>
      <c r="D30" s="433"/>
      <c r="E30" s="414"/>
      <c r="F30" s="420"/>
      <c r="G30" s="421"/>
      <c r="H30" s="422"/>
      <c r="I30" s="422"/>
      <c r="J30" s="422"/>
      <c r="K30" s="422"/>
      <c r="L30" s="48"/>
      <c r="M30" s="51"/>
      <c r="N30" s="51"/>
      <c r="O30" s="51"/>
      <c r="P30" s="51"/>
      <c r="Q30" s="51"/>
      <c r="R30" s="66"/>
      <c r="S30" s="68"/>
      <c r="T30" s="69"/>
      <c r="U30" s="422"/>
      <c r="V30" s="423"/>
      <c r="W30" s="354"/>
      <c r="X30" s="351"/>
      <c r="Y30" s="351"/>
      <c r="Z30" s="351"/>
      <c r="AA30" s="351"/>
      <c r="AB30" s="351"/>
      <c r="AC30" s="351"/>
      <c r="AD30" s="351"/>
      <c r="AE30" s="351"/>
      <c r="AF30" s="351"/>
      <c r="AG30" s="7"/>
    </row>
    <row r="31" spans="1:33" ht="24.75" hidden="1" customHeight="1">
      <c r="A31" s="351"/>
      <c r="B31" s="412"/>
      <c r="C31" s="433"/>
      <c r="D31" s="433"/>
      <c r="E31" s="414"/>
      <c r="F31" s="425"/>
      <c r="G31" s="367"/>
      <c r="H31" s="426"/>
      <c r="I31" s="427"/>
      <c r="J31" s="428"/>
      <c r="K31" s="426"/>
      <c r="L31" s="59"/>
      <c r="M31" s="52"/>
      <c r="N31" s="53"/>
      <c r="O31" s="53"/>
      <c r="P31" s="53"/>
      <c r="Q31" s="53"/>
      <c r="R31" s="66"/>
      <c r="S31" s="68"/>
      <c r="T31" s="70"/>
      <c r="U31" s="434"/>
      <c r="V31" s="435"/>
      <c r="W31" s="354"/>
      <c r="X31" s="351"/>
      <c r="Y31" s="351"/>
      <c r="Z31" s="351"/>
      <c r="AA31" s="351"/>
      <c r="AB31" s="351"/>
      <c r="AC31" s="351"/>
      <c r="AD31" s="351"/>
      <c r="AE31" s="351"/>
      <c r="AF31" s="351"/>
      <c r="AG31" s="7"/>
    </row>
    <row r="32" spans="1:33" ht="24.75" hidden="1" customHeight="1">
      <c r="A32" s="351"/>
      <c r="B32" s="412"/>
      <c r="C32" s="433"/>
      <c r="D32" s="433"/>
      <c r="E32" s="414"/>
      <c r="F32" s="418"/>
      <c r="G32" s="419"/>
      <c r="H32" s="414"/>
      <c r="I32" s="414"/>
      <c r="J32" s="414"/>
      <c r="K32" s="414"/>
      <c r="L32" s="48"/>
      <c r="M32" s="49"/>
      <c r="N32" s="49"/>
      <c r="O32" s="49"/>
      <c r="P32" s="49"/>
      <c r="Q32" s="49"/>
      <c r="R32" s="66"/>
      <c r="S32" s="68"/>
      <c r="T32" s="69"/>
      <c r="U32" s="414"/>
      <c r="V32" s="415"/>
      <c r="W32" s="354"/>
      <c r="X32" s="351"/>
      <c r="Y32" s="351"/>
      <c r="Z32" s="351"/>
      <c r="AA32" s="351"/>
      <c r="AB32" s="351"/>
      <c r="AC32" s="351"/>
      <c r="AD32" s="351"/>
      <c r="AE32" s="351"/>
      <c r="AF32" s="351"/>
      <c r="AG32" s="7"/>
    </row>
    <row r="33" spans="1:33" ht="24.75" hidden="1" customHeight="1">
      <c r="A33" s="351"/>
      <c r="B33" s="412"/>
      <c r="C33" s="433"/>
      <c r="D33" s="433"/>
      <c r="E33" s="414"/>
      <c r="F33" s="420"/>
      <c r="G33" s="421"/>
      <c r="H33" s="422"/>
      <c r="I33" s="422"/>
      <c r="J33" s="422"/>
      <c r="K33" s="422"/>
      <c r="L33" s="48"/>
      <c r="M33" s="51"/>
      <c r="N33" s="51"/>
      <c r="O33" s="51"/>
      <c r="P33" s="51"/>
      <c r="Q33" s="51"/>
      <c r="R33" s="66"/>
      <c r="S33" s="68"/>
      <c r="T33" s="69"/>
      <c r="U33" s="422"/>
      <c r="V33" s="423"/>
      <c r="W33" s="354"/>
      <c r="X33" s="351"/>
      <c r="Y33" s="351"/>
      <c r="Z33" s="351"/>
      <c r="AA33" s="351"/>
      <c r="AB33" s="351"/>
      <c r="AC33" s="351"/>
      <c r="AD33" s="351"/>
      <c r="AE33" s="351"/>
      <c r="AF33" s="351"/>
      <c r="AG33" s="7"/>
    </row>
    <row r="34" spans="1:33" ht="24.75" hidden="1" customHeight="1">
      <c r="A34" s="351"/>
      <c r="B34" s="412"/>
      <c r="C34" s="433"/>
      <c r="D34" s="433"/>
      <c r="E34" s="414"/>
      <c r="F34" s="425"/>
      <c r="G34" s="367"/>
      <c r="H34" s="426"/>
      <c r="I34" s="427"/>
      <c r="J34" s="428"/>
      <c r="K34" s="426"/>
      <c r="L34" s="59"/>
      <c r="M34" s="52"/>
      <c r="N34" s="53"/>
      <c r="O34" s="53"/>
      <c r="P34" s="53"/>
      <c r="Q34" s="53"/>
      <c r="R34" s="66"/>
      <c r="S34" s="68"/>
      <c r="T34" s="70"/>
      <c r="U34" s="434"/>
      <c r="V34" s="435"/>
      <c r="W34" s="354"/>
      <c r="X34" s="351"/>
      <c r="Y34" s="351"/>
      <c r="Z34" s="351"/>
      <c r="AA34" s="351"/>
      <c r="AB34" s="351"/>
      <c r="AC34" s="351"/>
      <c r="AD34" s="351"/>
      <c r="AE34" s="351"/>
      <c r="AF34" s="351"/>
      <c r="AG34" s="7"/>
    </row>
    <row r="35" spans="1:33" ht="24.75" hidden="1" customHeight="1">
      <c r="A35" s="351"/>
      <c r="B35" s="412"/>
      <c r="C35" s="433"/>
      <c r="D35" s="433"/>
      <c r="E35" s="414"/>
      <c r="F35" s="418"/>
      <c r="G35" s="419"/>
      <c r="H35" s="414"/>
      <c r="I35" s="414"/>
      <c r="J35" s="414"/>
      <c r="K35" s="414"/>
      <c r="L35" s="48"/>
      <c r="M35" s="49"/>
      <c r="N35" s="49"/>
      <c r="O35" s="49"/>
      <c r="P35" s="49"/>
      <c r="Q35" s="49"/>
      <c r="R35" s="66"/>
      <c r="S35" s="68"/>
      <c r="T35" s="69"/>
      <c r="U35" s="414"/>
      <c r="V35" s="415"/>
      <c r="W35" s="354"/>
      <c r="X35" s="351"/>
      <c r="Y35" s="351"/>
      <c r="Z35" s="351"/>
      <c r="AA35" s="351"/>
      <c r="AB35" s="351"/>
      <c r="AC35" s="351"/>
      <c r="AD35" s="351"/>
      <c r="AE35" s="351"/>
      <c r="AF35" s="351"/>
      <c r="AG35" s="7"/>
    </row>
    <row r="36" spans="1:33" ht="24.75" hidden="1" customHeight="1">
      <c r="A36" s="351"/>
      <c r="B36" s="398"/>
      <c r="C36" s="436"/>
      <c r="D36" s="436"/>
      <c r="E36" s="399"/>
      <c r="F36" s="430"/>
      <c r="G36" s="431"/>
      <c r="H36" s="399"/>
      <c r="I36" s="399"/>
      <c r="J36" s="399"/>
      <c r="K36" s="399"/>
      <c r="L36" s="61"/>
      <c r="M36" s="62"/>
      <c r="N36" s="62"/>
      <c r="O36" s="62"/>
      <c r="P36" s="62"/>
      <c r="Q36" s="62"/>
      <c r="R36" s="437"/>
      <c r="S36" s="438"/>
      <c r="T36" s="74"/>
      <c r="U36" s="422"/>
      <c r="V36" s="423"/>
      <c r="W36" s="354"/>
      <c r="X36" s="351"/>
      <c r="Y36" s="351"/>
      <c r="Z36" s="351"/>
      <c r="AA36" s="351"/>
      <c r="AB36" s="351"/>
      <c r="AC36" s="351"/>
      <c r="AD36" s="351"/>
      <c r="AE36" s="351"/>
      <c r="AF36" s="351"/>
      <c r="AG36" s="7"/>
    </row>
    <row r="37" spans="1:33" ht="36" customHeight="1">
      <c r="A37" s="351"/>
      <c r="B37" s="295"/>
      <c r="C37" s="375"/>
      <c r="D37" s="375"/>
      <c r="E37" s="375"/>
      <c r="F37" s="375"/>
      <c r="G37" s="375"/>
      <c r="H37" s="375"/>
      <c r="I37" s="375"/>
      <c r="J37" s="375"/>
      <c r="K37" s="375"/>
      <c r="L37" s="375"/>
      <c r="M37" s="375"/>
      <c r="N37" s="375"/>
      <c r="O37" s="375"/>
      <c r="P37" s="375"/>
      <c r="Q37" s="375"/>
      <c r="R37" s="296" t="s">
        <v>65</v>
      </c>
      <c r="S37" s="376"/>
      <c r="T37" s="376"/>
      <c r="U37" s="377"/>
      <c r="V37" s="76">
        <f>SUM(V19:V27)</f>
        <v>3</v>
      </c>
      <c r="W37" s="354"/>
      <c r="X37" s="351"/>
      <c r="Y37" s="351"/>
      <c r="Z37" s="351"/>
      <c r="AA37" s="351"/>
      <c r="AB37" s="351"/>
      <c r="AC37" s="351"/>
      <c r="AD37" s="351"/>
      <c r="AE37" s="351"/>
      <c r="AF37" s="351"/>
      <c r="AG37" s="7"/>
    </row>
    <row r="38" spans="1:33" ht="20.25" customHeight="1">
      <c r="A38" s="351"/>
      <c r="B38" s="2"/>
      <c r="C38" s="2"/>
      <c r="D38" s="2"/>
      <c r="E38" s="439"/>
      <c r="F38" s="439"/>
      <c r="G38" s="439"/>
      <c r="H38" s="439"/>
      <c r="I38" s="439"/>
      <c r="J38" s="439"/>
      <c r="K38" s="439"/>
      <c r="L38" s="439"/>
      <c r="M38" s="439"/>
      <c r="N38" s="439"/>
      <c r="O38" s="439"/>
      <c r="P38" s="439"/>
      <c r="Q38" s="439"/>
      <c r="R38" s="439"/>
      <c r="S38" s="2"/>
      <c r="T38" s="2"/>
      <c r="U38" s="440"/>
      <c r="V38" s="440"/>
      <c r="W38" s="354"/>
      <c r="X38" s="351"/>
      <c r="Y38" s="351"/>
      <c r="Z38" s="351"/>
      <c r="AA38" s="351"/>
      <c r="AB38" s="351"/>
      <c r="AC38" s="351"/>
      <c r="AD38" s="351"/>
      <c r="AE38" s="351"/>
      <c r="AF38" s="351"/>
      <c r="AG38" s="7"/>
    </row>
    <row r="39" spans="1:33" ht="20.25" customHeight="1">
      <c r="A39" s="351"/>
      <c r="B39" s="441"/>
      <c r="C39" s="441"/>
      <c r="D39" s="441"/>
      <c r="E39" s="2"/>
      <c r="F39" s="2"/>
      <c r="G39" s="441"/>
      <c r="H39" s="441"/>
      <c r="I39" s="441"/>
      <c r="J39" s="441"/>
      <c r="K39" s="441"/>
      <c r="L39" s="441"/>
      <c r="M39" s="441"/>
      <c r="N39" s="441"/>
      <c r="O39" s="441"/>
      <c r="P39" s="441"/>
      <c r="Q39" s="441"/>
      <c r="R39" s="441"/>
      <c r="S39" s="441"/>
      <c r="T39" s="441"/>
      <c r="U39" s="440"/>
      <c r="V39" s="440"/>
      <c r="W39" s="354"/>
      <c r="X39" s="351"/>
      <c r="Y39" s="351"/>
      <c r="Z39" s="351"/>
      <c r="AA39" s="351"/>
      <c r="AB39" s="351"/>
      <c r="AC39" s="351"/>
      <c r="AD39" s="351"/>
      <c r="AE39" s="351"/>
      <c r="AF39" s="351"/>
      <c r="AG39" s="7"/>
    </row>
    <row r="40" spans="1:33" ht="48" customHeight="1">
      <c r="A40" s="351"/>
      <c r="B40" s="297" t="s">
        <v>66</v>
      </c>
      <c r="C40" s="375"/>
      <c r="D40" s="375"/>
      <c r="E40" s="375"/>
      <c r="F40" s="375"/>
      <c r="G40" s="375"/>
      <c r="H40" s="375"/>
      <c r="I40" s="375"/>
      <c r="J40" s="375"/>
      <c r="K40" s="375"/>
      <c r="L40" s="375"/>
      <c r="M40" s="375"/>
      <c r="N40" s="375"/>
      <c r="O40" s="375"/>
      <c r="P40" s="375"/>
      <c r="Q40" s="375"/>
      <c r="R40" s="375"/>
      <c r="S40" s="375"/>
      <c r="T40" s="375"/>
      <c r="U40" s="375"/>
      <c r="V40" s="375"/>
      <c r="W40" s="354"/>
      <c r="X40" s="351"/>
      <c r="Y40" s="351"/>
      <c r="Z40" s="351"/>
      <c r="AA40" s="351"/>
      <c r="AB40" s="351"/>
      <c r="AC40" s="351"/>
      <c r="AD40" s="351"/>
      <c r="AE40" s="351"/>
      <c r="AF40" s="351"/>
      <c r="AG40" s="7"/>
    </row>
    <row r="41" spans="1:33" ht="21.75" customHeight="1">
      <c r="A41" s="351"/>
      <c r="B41" s="442" t="s">
        <v>67</v>
      </c>
      <c r="C41" s="374"/>
      <c r="D41" s="374"/>
      <c r="E41" s="374"/>
      <c r="F41" s="374"/>
      <c r="G41" s="374"/>
      <c r="H41" s="374"/>
      <c r="I41" s="374"/>
      <c r="J41" s="374"/>
      <c r="K41" s="374"/>
      <c r="L41" s="374"/>
      <c r="M41" s="374"/>
      <c r="N41" s="374"/>
      <c r="O41" s="374"/>
      <c r="P41" s="374"/>
      <c r="Q41" s="374"/>
      <c r="R41" s="386"/>
      <c r="S41" s="442" t="s">
        <v>12</v>
      </c>
      <c r="T41" s="374"/>
      <c r="U41" s="374"/>
      <c r="V41" s="386"/>
      <c r="W41" s="354"/>
      <c r="X41" s="351"/>
      <c r="Y41" s="351"/>
      <c r="Z41" s="351"/>
      <c r="AA41" s="351"/>
      <c r="AB41" s="351"/>
      <c r="AC41" s="351"/>
      <c r="AD41" s="351"/>
      <c r="AE41" s="351"/>
      <c r="AF41" s="351"/>
      <c r="AG41" s="7"/>
    </row>
    <row r="42" spans="1:33" ht="102" customHeight="1">
      <c r="A42" s="394"/>
      <c r="B42" s="443" t="s">
        <v>68</v>
      </c>
      <c r="C42" s="374"/>
      <c r="D42" s="374"/>
      <c r="E42" s="386"/>
      <c r="F42" s="443" t="s">
        <v>69</v>
      </c>
      <c r="G42" s="386"/>
      <c r="H42" s="444" t="s">
        <v>15</v>
      </c>
      <c r="I42" s="444" t="s">
        <v>16</v>
      </c>
      <c r="J42" s="302" t="s">
        <v>70</v>
      </c>
      <c r="K42" s="377"/>
      <c r="L42" s="384" t="s">
        <v>18</v>
      </c>
      <c r="M42" s="303" t="s">
        <v>71</v>
      </c>
      <c r="N42" s="376"/>
      <c r="O42" s="376"/>
      <c r="P42" s="376"/>
      <c r="Q42" s="377"/>
      <c r="R42" s="315" t="s">
        <v>20</v>
      </c>
      <c r="S42" s="316" t="s">
        <v>72</v>
      </c>
      <c r="T42" s="316" t="s">
        <v>22</v>
      </c>
      <c r="U42" s="384" t="s">
        <v>23</v>
      </c>
      <c r="V42" s="384" t="s">
        <v>24</v>
      </c>
      <c r="W42" s="401"/>
      <c r="X42" s="394"/>
      <c r="Y42" s="394"/>
      <c r="Z42" s="394"/>
      <c r="AA42" s="394"/>
      <c r="AB42" s="394"/>
      <c r="AC42" s="394"/>
      <c r="AD42" s="394"/>
      <c r="AE42" s="394"/>
      <c r="AF42" s="394"/>
      <c r="AG42" s="80"/>
    </row>
    <row r="43" spans="1:33" ht="33" customHeight="1">
      <c r="A43" s="351"/>
      <c r="B43" s="393"/>
      <c r="C43" s="353"/>
      <c r="D43" s="353"/>
      <c r="E43" s="382"/>
      <c r="F43" s="393"/>
      <c r="G43" s="382"/>
      <c r="H43" s="389"/>
      <c r="I43" s="389"/>
      <c r="J43" s="83" t="s">
        <v>73</v>
      </c>
      <c r="K43" s="83" t="s">
        <v>28</v>
      </c>
      <c r="L43" s="389"/>
      <c r="M43" s="83" t="s">
        <v>29</v>
      </c>
      <c r="N43" s="83" t="s">
        <v>30</v>
      </c>
      <c r="O43" s="83" t="s">
        <v>31</v>
      </c>
      <c r="P43" s="83" t="s">
        <v>32</v>
      </c>
      <c r="Q43" s="83" t="s">
        <v>33</v>
      </c>
      <c r="R43" s="382"/>
      <c r="S43" s="393"/>
      <c r="T43" s="397"/>
      <c r="U43" s="395"/>
      <c r="V43" s="395"/>
      <c r="W43" s="354"/>
      <c r="X43" s="351"/>
      <c r="Y43" s="351"/>
      <c r="Z43" s="351"/>
      <c r="AA43" s="351"/>
      <c r="AB43" s="351"/>
      <c r="AC43" s="351"/>
      <c r="AD43" s="351"/>
      <c r="AE43" s="351"/>
      <c r="AF43" s="351"/>
      <c r="AG43" s="7"/>
    </row>
    <row r="44" spans="1:33" ht="16.5" customHeight="1">
      <c r="A44" s="445"/>
      <c r="B44" s="279" t="s">
        <v>856</v>
      </c>
      <c r="C44" s="446"/>
      <c r="D44" s="446"/>
      <c r="E44" s="447"/>
      <c r="F44" s="164" t="s">
        <v>857</v>
      </c>
      <c r="G44" s="165"/>
      <c r="H44" s="281" t="s">
        <v>858</v>
      </c>
      <c r="I44" s="282">
        <v>0.05</v>
      </c>
      <c r="J44" s="282">
        <v>0.01</v>
      </c>
      <c r="K44" s="166" t="s">
        <v>562</v>
      </c>
      <c r="L44" s="85" t="s">
        <v>42</v>
      </c>
      <c r="M44" s="166" t="s">
        <v>859</v>
      </c>
      <c r="N44" s="167" t="s">
        <v>860</v>
      </c>
      <c r="O44" s="166" t="s">
        <v>861</v>
      </c>
      <c r="P44" s="166" t="s">
        <v>862</v>
      </c>
      <c r="Q44" s="167" t="s">
        <v>863</v>
      </c>
      <c r="R44" s="168" t="s">
        <v>864</v>
      </c>
      <c r="S44" s="314"/>
      <c r="T44" s="448">
        <v>5</v>
      </c>
      <c r="U44" s="308">
        <f>AVERAGE(T44:T46)</f>
        <v>5</v>
      </c>
      <c r="V44" s="449">
        <f>U44*I44</f>
        <v>0.25</v>
      </c>
      <c r="W44" s="450"/>
      <c r="X44" s="445"/>
      <c r="Y44" s="445"/>
      <c r="Z44" s="445"/>
      <c r="AA44" s="445"/>
      <c r="AB44" s="445"/>
      <c r="AC44" s="445"/>
      <c r="AD44" s="445"/>
      <c r="AE44" s="445"/>
      <c r="AF44" s="445"/>
      <c r="AG44" s="87"/>
    </row>
    <row r="45" spans="1:33" ht="16.5" customHeight="1">
      <c r="A45" s="445"/>
      <c r="B45" s="393"/>
      <c r="C45" s="375"/>
      <c r="D45" s="375"/>
      <c r="E45" s="419"/>
      <c r="F45" s="164"/>
      <c r="G45" s="681"/>
      <c r="H45" s="414"/>
      <c r="I45" s="414"/>
      <c r="J45" s="414"/>
      <c r="K45" s="169"/>
      <c r="L45" s="88" t="s">
        <v>49</v>
      </c>
      <c r="M45" s="167" t="s">
        <v>865</v>
      </c>
      <c r="N45" s="166" t="s">
        <v>866</v>
      </c>
      <c r="O45" s="167" t="s">
        <v>867</v>
      </c>
      <c r="P45" s="166" t="s">
        <v>868</v>
      </c>
      <c r="Q45" s="167" t="s">
        <v>869</v>
      </c>
      <c r="R45" s="164"/>
      <c r="S45" s="414"/>
      <c r="T45" s="90">
        <v>5</v>
      </c>
      <c r="U45" s="414"/>
      <c r="V45" s="415"/>
      <c r="W45" s="450"/>
      <c r="X45" s="445"/>
      <c r="Y45" s="445"/>
      <c r="Z45" s="445"/>
      <c r="AA45" s="445"/>
      <c r="AB45" s="445"/>
      <c r="AC45" s="445"/>
      <c r="AD45" s="445"/>
      <c r="AE45" s="445"/>
      <c r="AF45" s="445"/>
      <c r="AG45" s="87"/>
    </row>
    <row r="46" spans="1:33" ht="15" customHeight="1">
      <c r="A46" s="445"/>
      <c r="B46" s="393"/>
      <c r="C46" s="375"/>
      <c r="D46" s="375"/>
      <c r="E46" s="419"/>
      <c r="F46" s="164" t="s">
        <v>870</v>
      </c>
      <c r="G46" s="705"/>
      <c r="H46" s="422"/>
      <c r="I46" s="422"/>
      <c r="J46" s="422"/>
      <c r="K46" s="706"/>
      <c r="L46" s="88" t="s">
        <v>56</v>
      </c>
      <c r="M46" s="164" t="s">
        <v>871</v>
      </c>
      <c r="N46" s="166"/>
      <c r="O46" s="167"/>
      <c r="P46" s="167"/>
      <c r="Q46" s="166"/>
      <c r="R46" s="168" t="s">
        <v>872</v>
      </c>
      <c r="S46" s="422"/>
      <c r="T46" s="90">
        <v>5</v>
      </c>
      <c r="U46" s="422"/>
      <c r="V46" s="423"/>
      <c r="W46" s="450"/>
      <c r="X46" s="445"/>
      <c r="Y46" s="445"/>
      <c r="Z46" s="445"/>
      <c r="AA46" s="445"/>
      <c r="AB46" s="445"/>
      <c r="AC46" s="445"/>
      <c r="AD46" s="445"/>
      <c r="AE46" s="445"/>
      <c r="AF46" s="445"/>
      <c r="AG46" s="87"/>
    </row>
    <row r="47" spans="1:33" ht="15" customHeight="1">
      <c r="A47" s="451"/>
      <c r="B47" s="393"/>
      <c r="C47" s="375"/>
      <c r="D47" s="375"/>
      <c r="E47" s="419"/>
      <c r="F47" s="164"/>
      <c r="G47" s="170"/>
      <c r="H47" s="453"/>
      <c r="I47" s="454">
        <v>0.05</v>
      </c>
      <c r="J47" s="455"/>
      <c r="K47" s="456"/>
      <c r="L47" s="88" t="s">
        <v>42</v>
      </c>
      <c r="M47" s="89"/>
      <c r="N47" s="89"/>
      <c r="O47" s="89"/>
      <c r="P47" s="89"/>
      <c r="Q47" s="89"/>
      <c r="R47" s="164"/>
      <c r="S47" s="458"/>
      <c r="T47" s="90">
        <v>5</v>
      </c>
      <c r="U47" s="459">
        <f>AVERAGE(T47:T49)</f>
        <v>5</v>
      </c>
      <c r="V47" s="460">
        <f>U47*I47</f>
        <v>0.25</v>
      </c>
      <c r="W47" s="450"/>
      <c r="X47" s="445"/>
      <c r="Y47" s="445"/>
      <c r="Z47" s="445"/>
      <c r="AA47" s="445"/>
      <c r="AB47" s="445"/>
      <c r="AC47" s="445"/>
      <c r="AD47" s="445"/>
      <c r="AE47" s="445"/>
      <c r="AF47" s="445"/>
      <c r="AG47" s="87"/>
    </row>
    <row r="48" spans="1:33" ht="12.75" customHeight="1">
      <c r="A48" s="445"/>
      <c r="B48" s="393"/>
      <c r="C48" s="375"/>
      <c r="D48" s="375"/>
      <c r="E48" s="419"/>
      <c r="F48" s="164" t="s">
        <v>873</v>
      </c>
      <c r="G48" s="707"/>
      <c r="H48" s="414"/>
      <c r="I48" s="414"/>
      <c r="J48" s="414"/>
      <c r="K48" s="414"/>
      <c r="L48" s="88" t="s">
        <v>49</v>
      </c>
      <c r="M48" s="89"/>
      <c r="N48" s="89"/>
      <c r="O48" s="89"/>
      <c r="P48" s="89"/>
      <c r="Q48" s="89"/>
      <c r="R48" s="168" t="s">
        <v>874</v>
      </c>
      <c r="S48" s="414"/>
      <c r="T48" s="90">
        <v>5</v>
      </c>
      <c r="U48" s="414"/>
      <c r="V48" s="415"/>
      <c r="W48" s="450"/>
      <c r="X48" s="445"/>
      <c r="Y48" s="445"/>
      <c r="Z48" s="445"/>
      <c r="AA48" s="445"/>
      <c r="AB48" s="445"/>
      <c r="AC48" s="445"/>
      <c r="AD48" s="445"/>
      <c r="AE48" s="445"/>
      <c r="AF48" s="445"/>
      <c r="AG48" s="87"/>
    </row>
    <row r="49" spans="1:33" ht="12.75" customHeight="1">
      <c r="A49" s="445"/>
      <c r="B49" s="393"/>
      <c r="C49" s="375"/>
      <c r="D49" s="375"/>
      <c r="E49" s="419"/>
      <c r="F49" s="164"/>
      <c r="G49" s="708"/>
      <c r="H49" s="422"/>
      <c r="I49" s="422"/>
      <c r="J49" s="422"/>
      <c r="K49" s="422"/>
      <c r="L49" s="88" t="s">
        <v>56</v>
      </c>
      <c r="M49" s="89"/>
      <c r="N49" s="89"/>
      <c r="O49" s="89"/>
      <c r="P49" s="89"/>
      <c r="Q49" s="89"/>
      <c r="R49" s="164"/>
      <c r="S49" s="422"/>
      <c r="T49" s="90">
        <v>5</v>
      </c>
      <c r="U49" s="422"/>
      <c r="V49" s="423"/>
      <c r="W49" s="450"/>
      <c r="X49" s="445"/>
      <c r="Y49" s="445"/>
      <c r="Z49" s="445"/>
      <c r="AA49" s="445"/>
      <c r="AB49" s="445"/>
      <c r="AC49" s="445"/>
      <c r="AD49" s="445"/>
      <c r="AE49" s="445"/>
      <c r="AF49" s="445"/>
      <c r="AG49" s="87"/>
    </row>
    <row r="50" spans="1:33" ht="15" customHeight="1">
      <c r="A50" s="445"/>
      <c r="B50" s="393"/>
      <c r="C50" s="375"/>
      <c r="D50" s="375"/>
      <c r="E50" s="419"/>
      <c r="F50" s="164" t="s">
        <v>875</v>
      </c>
      <c r="G50" s="170"/>
      <c r="H50" s="453"/>
      <c r="I50" s="454">
        <v>0.1</v>
      </c>
      <c r="J50" s="455"/>
      <c r="K50" s="456"/>
      <c r="L50" s="88" t="s">
        <v>42</v>
      </c>
      <c r="M50" s="89"/>
      <c r="N50" s="89"/>
      <c r="O50" s="89"/>
      <c r="P50" s="89"/>
      <c r="Q50" s="89"/>
      <c r="R50" s="168" t="s">
        <v>876</v>
      </c>
      <c r="S50" s="458"/>
      <c r="T50" s="90">
        <v>5</v>
      </c>
      <c r="U50" s="459">
        <f>AVERAGE(T50:T52)</f>
        <v>5</v>
      </c>
      <c r="V50" s="460">
        <f>U50*I50</f>
        <v>0.5</v>
      </c>
      <c r="W50" s="450"/>
      <c r="X50" s="445"/>
      <c r="Y50" s="445"/>
      <c r="Z50" s="445"/>
      <c r="AA50" s="445"/>
      <c r="AB50" s="445"/>
      <c r="AC50" s="445"/>
      <c r="AD50" s="445"/>
      <c r="AE50" s="445"/>
      <c r="AF50" s="445"/>
      <c r="AG50" s="87"/>
    </row>
    <row r="51" spans="1:33" ht="12.75" customHeight="1">
      <c r="A51" s="445"/>
      <c r="B51" s="393"/>
      <c r="C51" s="375"/>
      <c r="D51" s="375"/>
      <c r="E51" s="419"/>
      <c r="F51" s="164"/>
      <c r="G51" s="707"/>
      <c r="H51" s="414"/>
      <c r="I51" s="414"/>
      <c r="J51" s="414"/>
      <c r="K51" s="414"/>
      <c r="L51" s="88" t="s">
        <v>49</v>
      </c>
      <c r="M51" s="89"/>
      <c r="N51" s="89"/>
      <c r="O51" s="89"/>
      <c r="P51" s="89"/>
      <c r="Q51" s="89"/>
      <c r="R51" s="164"/>
      <c r="S51" s="414"/>
      <c r="T51" s="90">
        <v>5</v>
      </c>
      <c r="U51" s="414"/>
      <c r="V51" s="415"/>
      <c r="W51" s="450"/>
      <c r="X51" s="445"/>
      <c r="Y51" s="445"/>
      <c r="Z51" s="445"/>
      <c r="AA51" s="445"/>
      <c r="AB51" s="445"/>
      <c r="AC51" s="445"/>
      <c r="AD51" s="445"/>
      <c r="AE51" s="445"/>
      <c r="AF51" s="445"/>
      <c r="AG51" s="87"/>
    </row>
    <row r="52" spans="1:33" ht="16.5" customHeight="1">
      <c r="A52" s="445"/>
      <c r="B52" s="397"/>
      <c r="C52" s="357"/>
      <c r="D52" s="357"/>
      <c r="E52" s="431"/>
      <c r="F52" s="164" t="s">
        <v>877</v>
      </c>
      <c r="G52" s="709"/>
      <c r="H52" s="399"/>
      <c r="I52" s="399"/>
      <c r="J52" s="399"/>
      <c r="K52" s="399"/>
      <c r="L52" s="96" t="s">
        <v>56</v>
      </c>
      <c r="M52" s="97"/>
      <c r="N52" s="97"/>
      <c r="O52" s="97"/>
      <c r="P52" s="97"/>
      <c r="Q52" s="97"/>
      <c r="R52" s="168" t="s">
        <v>878</v>
      </c>
      <c r="S52" s="399"/>
      <c r="T52" s="90">
        <v>5</v>
      </c>
      <c r="U52" s="422"/>
      <c r="V52" s="423"/>
      <c r="W52" s="450"/>
      <c r="X52" s="445"/>
      <c r="Y52" s="445"/>
      <c r="Z52" s="445"/>
      <c r="AA52" s="445"/>
      <c r="AB52" s="445"/>
      <c r="AC52" s="445"/>
      <c r="AD52" s="445"/>
      <c r="AE52" s="445"/>
      <c r="AF52" s="445"/>
      <c r="AG52" s="87"/>
    </row>
    <row r="53" spans="1:33" ht="24.75" hidden="1" customHeight="1">
      <c r="A53" s="351"/>
      <c r="B53" s="461"/>
      <c r="C53" s="374"/>
      <c r="D53" s="374"/>
      <c r="E53" s="417"/>
      <c r="F53" s="274"/>
      <c r="G53" s="417"/>
      <c r="H53" s="275"/>
      <c r="I53" s="276"/>
      <c r="J53" s="285"/>
      <c r="K53" s="286"/>
      <c r="L53" s="98"/>
      <c r="M53" s="99"/>
      <c r="N53" s="99"/>
      <c r="O53" s="99"/>
      <c r="P53" s="99"/>
      <c r="Q53" s="99"/>
      <c r="R53" s="164"/>
      <c r="S53" s="101"/>
      <c r="T53" s="462"/>
      <c r="U53" s="463"/>
      <c r="V53" s="464"/>
      <c r="W53" s="354"/>
      <c r="X53" s="351"/>
      <c r="Y53" s="351"/>
      <c r="Z53" s="351"/>
      <c r="AA53" s="351"/>
      <c r="AB53" s="351"/>
      <c r="AC53" s="351"/>
      <c r="AD53" s="351"/>
      <c r="AE53" s="351"/>
      <c r="AF53" s="351"/>
      <c r="AG53" s="7"/>
    </row>
    <row r="54" spans="1:33" ht="24.75" hidden="1" customHeight="1">
      <c r="A54" s="351"/>
      <c r="B54" s="393"/>
      <c r="C54" s="375"/>
      <c r="D54" s="375"/>
      <c r="E54" s="419"/>
      <c r="F54" s="418"/>
      <c r="G54" s="419"/>
      <c r="H54" s="414"/>
      <c r="I54" s="414"/>
      <c r="J54" s="414"/>
      <c r="K54" s="414"/>
      <c r="L54" s="102"/>
      <c r="M54" s="49"/>
      <c r="N54" s="49"/>
      <c r="O54" s="49"/>
      <c r="P54" s="49"/>
      <c r="Q54" s="49"/>
      <c r="R54" s="168" t="s">
        <v>879</v>
      </c>
      <c r="S54" s="104"/>
      <c r="T54" s="103"/>
      <c r="U54" s="414"/>
      <c r="V54" s="415"/>
      <c r="W54" s="354"/>
      <c r="X54" s="351"/>
      <c r="Y54" s="351"/>
      <c r="Z54" s="351"/>
      <c r="AA54" s="351"/>
      <c r="AB54" s="351"/>
      <c r="AC54" s="351"/>
      <c r="AD54" s="351"/>
      <c r="AE54" s="351"/>
      <c r="AF54" s="351"/>
      <c r="AG54" s="7"/>
    </row>
    <row r="55" spans="1:33" ht="24.75" hidden="1" customHeight="1">
      <c r="A55" s="351"/>
      <c r="B55" s="393"/>
      <c r="C55" s="375"/>
      <c r="D55" s="375"/>
      <c r="E55" s="419"/>
      <c r="F55" s="420"/>
      <c r="G55" s="421"/>
      <c r="H55" s="422"/>
      <c r="I55" s="422"/>
      <c r="J55" s="422"/>
      <c r="K55" s="422"/>
      <c r="L55" s="102"/>
      <c r="M55" s="49"/>
      <c r="N55" s="49"/>
      <c r="O55" s="49"/>
      <c r="P55" s="49"/>
      <c r="Q55" s="49"/>
      <c r="R55" s="164"/>
      <c r="S55" s="104"/>
      <c r="T55" s="103"/>
      <c r="U55" s="422"/>
      <c r="V55" s="423"/>
      <c r="W55" s="354"/>
      <c r="X55" s="351"/>
      <c r="Y55" s="351"/>
      <c r="Z55" s="351"/>
      <c r="AA55" s="351"/>
      <c r="AB55" s="351"/>
      <c r="AC55" s="351"/>
      <c r="AD55" s="351"/>
      <c r="AE55" s="351"/>
      <c r="AF55" s="351"/>
      <c r="AG55" s="7"/>
    </row>
    <row r="56" spans="1:33" ht="24.75" hidden="1" customHeight="1">
      <c r="A56" s="351"/>
      <c r="B56" s="393"/>
      <c r="C56" s="375"/>
      <c r="D56" s="375"/>
      <c r="E56" s="419"/>
      <c r="F56" s="465"/>
      <c r="G56" s="367"/>
      <c r="H56" s="466"/>
      <c r="I56" s="467"/>
      <c r="J56" s="468"/>
      <c r="K56" s="469"/>
      <c r="L56" s="102"/>
      <c r="M56" s="103"/>
      <c r="N56" s="103"/>
      <c r="O56" s="103"/>
      <c r="P56" s="103"/>
      <c r="Q56" s="103"/>
      <c r="R56" s="103"/>
      <c r="S56" s="104"/>
      <c r="T56" s="103"/>
      <c r="U56" s="463"/>
      <c r="V56" s="470"/>
      <c r="W56" s="354"/>
      <c r="X56" s="351"/>
      <c r="Y56" s="351"/>
      <c r="Z56" s="351"/>
      <c r="AA56" s="351"/>
      <c r="AB56" s="351"/>
      <c r="AC56" s="351"/>
      <c r="AD56" s="351"/>
      <c r="AE56" s="351"/>
      <c r="AF56" s="351"/>
      <c r="AG56" s="7"/>
    </row>
    <row r="57" spans="1:33" ht="24.75" hidden="1" customHeight="1">
      <c r="A57" s="351"/>
      <c r="B57" s="393"/>
      <c r="C57" s="375"/>
      <c r="D57" s="375"/>
      <c r="E57" s="419"/>
      <c r="F57" s="418"/>
      <c r="G57" s="419"/>
      <c r="H57" s="414"/>
      <c r="I57" s="414"/>
      <c r="J57" s="414"/>
      <c r="K57" s="414"/>
      <c r="L57" s="102"/>
      <c r="M57" s="103"/>
      <c r="N57" s="103"/>
      <c r="O57" s="103"/>
      <c r="P57" s="103"/>
      <c r="Q57" s="103"/>
      <c r="R57" s="103"/>
      <c r="S57" s="104"/>
      <c r="T57" s="103"/>
      <c r="U57" s="414"/>
      <c r="V57" s="415"/>
      <c r="W57" s="354"/>
      <c r="X57" s="351"/>
      <c r="Y57" s="351"/>
      <c r="Z57" s="351"/>
      <c r="AA57" s="351"/>
      <c r="AB57" s="351"/>
      <c r="AC57" s="351"/>
      <c r="AD57" s="351"/>
      <c r="AE57" s="351"/>
      <c r="AF57" s="351"/>
      <c r="AG57" s="7"/>
    </row>
    <row r="58" spans="1:33" ht="24.75" hidden="1" customHeight="1">
      <c r="A58" s="351"/>
      <c r="B58" s="393"/>
      <c r="C58" s="375"/>
      <c r="D58" s="375"/>
      <c r="E58" s="419"/>
      <c r="F58" s="420"/>
      <c r="G58" s="421"/>
      <c r="H58" s="422"/>
      <c r="I58" s="422"/>
      <c r="J58" s="422"/>
      <c r="K58" s="422"/>
      <c r="L58" s="102"/>
      <c r="M58" s="103"/>
      <c r="N58" s="103"/>
      <c r="O58" s="103"/>
      <c r="P58" s="103"/>
      <c r="Q58" s="103"/>
      <c r="R58" s="103"/>
      <c r="S58" s="104"/>
      <c r="T58" s="103"/>
      <c r="U58" s="422"/>
      <c r="V58" s="423"/>
      <c r="W58" s="354"/>
      <c r="X58" s="351"/>
      <c r="Y58" s="351"/>
      <c r="Z58" s="351"/>
      <c r="AA58" s="351"/>
      <c r="AB58" s="351"/>
      <c r="AC58" s="351"/>
      <c r="AD58" s="351"/>
      <c r="AE58" s="351"/>
      <c r="AF58" s="351"/>
      <c r="AG58" s="7"/>
    </row>
    <row r="59" spans="1:33" ht="24.75" hidden="1" customHeight="1">
      <c r="A59" s="351"/>
      <c r="B59" s="393"/>
      <c r="C59" s="375"/>
      <c r="D59" s="375"/>
      <c r="E59" s="419"/>
      <c r="F59" s="465"/>
      <c r="G59" s="367"/>
      <c r="H59" s="466"/>
      <c r="I59" s="467"/>
      <c r="J59" s="468"/>
      <c r="K59" s="469"/>
      <c r="L59" s="102"/>
      <c r="M59" s="103"/>
      <c r="N59" s="103"/>
      <c r="O59" s="103"/>
      <c r="P59" s="103"/>
      <c r="Q59" s="103"/>
      <c r="R59" s="103"/>
      <c r="S59" s="104"/>
      <c r="T59" s="103"/>
      <c r="U59" s="463"/>
      <c r="V59" s="470"/>
      <c r="W59" s="354"/>
      <c r="X59" s="351"/>
      <c r="Y59" s="351"/>
      <c r="Z59" s="351"/>
      <c r="AA59" s="351"/>
      <c r="AB59" s="351"/>
      <c r="AC59" s="351"/>
      <c r="AD59" s="351"/>
      <c r="AE59" s="351"/>
      <c r="AF59" s="351"/>
      <c r="AG59" s="7"/>
    </row>
    <row r="60" spans="1:33" ht="24.75" hidden="1" customHeight="1">
      <c r="A60" s="351"/>
      <c r="B60" s="393"/>
      <c r="C60" s="375"/>
      <c r="D60" s="375"/>
      <c r="E60" s="419"/>
      <c r="F60" s="418"/>
      <c r="G60" s="419"/>
      <c r="H60" s="414"/>
      <c r="I60" s="414"/>
      <c r="J60" s="414"/>
      <c r="K60" s="414"/>
      <c r="L60" s="102"/>
      <c r="M60" s="103"/>
      <c r="N60" s="103"/>
      <c r="O60" s="103"/>
      <c r="P60" s="103"/>
      <c r="Q60" s="103"/>
      <c r="R60" s="103"/>
      <c r="S60" s="104"/>
      <c r="T60" s="103"/>
      <c r="U60" s="414"/>
      <c r="V60" s="415"/>
      <c r="W60" s="354"/>
      <c r="X60" s="351"/>
      <c r="Y60" s="351"/>
      <c r="Z60" s="351"/>
      <c r="AA60" s="351"/>
      <c r="AB60" s="351"/>
      <c r="AC60" s="351"/>
      <c r="AD60" s="351"/>
      <c r="AE60" s="351"/>
      <c r="AF60" s="351"/>
      <c r="AG60" s="7"/>
    </row>
    <row r="61" spans="1:33" ht="24.75" hidden="1" customHeight="1">
      <c r="A61" s="351"/>
      <c r="B61" s="397"/>
      <c r="C61" s="357"/>
      <c r="D61" s="357"/>
      <c r="E61" s="431"/>
      <c r="F61" s="430"/>
      <c r="G61" s="431"/>
      <c r="H61" s="399"/>
      <c r="I61" s="399"/>
      <c r="J61" s="399"/>
      <c r="K61" s="399"/>
      <c r="L61" s="471"/>
      <c r="M61" s="472"/>
      <c r="N61" s="472"/>
      <c r="O61" s="472"/>
      <c r="P61" s="472"/>
      <c r="Q61" s="472"/>
      <c r="R61" s="472"/>
      <c r="S61" s="473"/>
      <c r="T61" s="472"/>
      <c r="U61" s="399"/>
      <c r="V61" s="415"/>
      <c r="W61" s="354"/>
      <c r="X61" s="351"/>
      <c r="Y61" s="351"/>
      <c r="Z61" s="351"/>
      <c r="AA61" s="351"/>
      <c r="AB61" s="351"/>
      <c r="AC61" s="351"/>
      <c r="AD61" s="351"/>
      <c r="AE61" s="351"/>
      <c r="AF61" s="351"/>
      <c r="AG61" s="7"/>
    </row>
    <row r="62" spans="1:33" ht="24.75" hidden="1" customHeight="1">
      <c r="A62" s="351"/>
      <c r="B62" s="474"/>
      <c r="C62" s="374"/>
      <c r="D62" s="374"/>
      <c r="E62" s="417"/>
      <c r="F62" s="274"/>
      <c r="G62" s="417"/>
      <c r="H62" s="277"/>
      <c r="I62" s="276"/>
      <c r="J62" s="277"/>
      <c r="K62" s="278"/>
      <c r="L62" s="98"/>
      <c r="M62" s="100"/>
      <c r="N62" s="100"/>
      <c r="O62" s="100"/>
      <c r="P62" s="100"/>
      <c r="Q62" s="100"/>
      <c r="R62" s="100"/>
      <c r="S62" s="101"/>
      <c r="T62" s="100"/>
      <c r="U62" s="101"/>
      <c r="V62" s="106"/>
      <c r="W62" s="354"/>
      <c r="X62" s="351"/>
      <c r="Y62" s="351"/>
      <c r="Z62" s="351"/>
      <c r="AA62" s="351"/>
      <c r="AB62" s="351"/>
      <c r="AC62" s="351"/>
      <c r="AD62" s="351"/>
      <c r="AE62" s="351"/>
      <c r="AF62" s="351"/>
      <c r="AG62" s="7"/>
    </row>
    <row r="63" spans="1:33" ht="24.75" hidden="1" customHeight="1">
      <c r="A63" s="351"/>
      <c r="B63" s="393"/>
      <c r="C63" s="375"/>
      <c r="D63" s="375"/>
      <c r="E63" s="419"/>
      <c r="F63" s="418"/>
      <c r="G63" s="419"/>
      <c r="H63" s="414"/>
      <c r="I63" s="414"/>
      <c r="J63" s="414"/>
      <c r="K63" s="414"/>
      <c r="L63" s="102"/>
      <c r="M63" s="103"/>
      <c r="N63" s="103"/>
      <c r="O63" s="103"/>
      <c r="P63" s="103"/>
      <c r="Q63" s="103"/>
      <c r="R63" s="103"/>
      <c r="S63" s="104"/>
      <c r="T63" s="103"/>
      <c r="U63" s="104"/>
      <c r="V63" s="107"/>
      <c r="W63" s="354"/>
      <c r="X63" s="351"/>
      <c r="Y63" s="351"/>
      <c r="Z63" s="351"/>
      <c r="AA63" s="351"/>
      <c r="AB63" s="351"/>
      <c r="AC63" s="351"/>
      <c r="AD63" s="351"/>
      <c r="AE63" s="351"/>
      <c r="AF63" s="351"/>
      <c r="AG63" s="7"/>
    </row>
    <row r="64" spans="1:33" ht="24.75" hidden="1" customHeight="1">
      <c r="A64" s="351"/>
      <c r="B64" s="393"/>
      <c r="C64" s="375"/>
      <c r="D64" s="375"/>
      <c r="E64" s="419"/>
      <c r="F64" s="420"/>
      <c r="G64" s="421"/>
      <c r="H64" s="422"/>
      <c r="I64" s="422"/>
      <c r="J64" s="422"/>
      <c r="K64" s="422"/>
      <c r="L64" s="102"/>
      <c r="M64" s="103"/>
      <c r="N64" s="103"/>
      <c r="O64" s="103"/>
      <c r="P64" s="103"/>
      <c r="Q64" s="103"/>
      <c r="R64" s="103"/>
      <c r="S64" s="104"/>
      <c r="T64" s="103"/>
      <c r="U64" s="104"/>
      <c r="V64" s="107"/>
      <c r="W64" s="354"/>
      <c r="X64" s="351"/>
      <c r="Y64" s="351"/>
      <c r="Z64" s="351"/>
      <c r="AA64" s="351"/>
      <c r="AB64" s="351"/>
      <c r="AC64" s="351"/>
      <c r="AD64" s="351"/>
      <c r="AE64" s="351"/>
      <c r="AF64" s="351"/>
      <c r="AG64" s="7"/>
    </row>
    <row r="65" spans="1:33" ht="24.75" hidden="1" customHeight="1">
      <c r="A65" s="351"/>
      <c r="B65" s="393"/>
      <c r="C65" s="375"/>
      <c r="D65" s="375"/>
      <c r="E65" s="419"/>
      <c r="F65" s="465"/>
      <c r="G65" s="367"/>
      <c r="H65" s="468"/>
      <c r="I65" s="467"/>
      <c r="J65" s="468"/>
      <c r="K65" s="469"/>
      <c r="L65" s="102"/>
      <c r="M65" s="103"/>
      <c r="N65" s="103"/>
      <c r="O65" s="103"/>
      <c r="P65" s="103"/>
      <c r="Q65" s="103"/>
      <c r="R65" s="103"/>
      <c r="S65" s="104"/>
      <c r="T65" s="103"/>
      <c r="U65" s="104"/>
      <c r="V65" s="107"/>
      <c r="W65" s="354"/>
      <c r="X65" s="351"/>
      <c r="Y65" s="351"/>
      <c r="Z65" s="351"/>
      <c r="AA65" s="351"/>
      <c r="AB65" s="351"/>
      <c r="AC65" s="351"/>
      <c r="AD65" s="351"/>
      <c r="AE65" s="351"/>
      <c r="AF65" s="351"/>
      <c r="AG65" s="7"/>
    </row>
    <row r="66" spans="1:33" ht="24.75" hidden="1" customHeight="1">
      <c r="A66" s="351"/>
      <c r="B66" s="393"/>
      <c r="C66" s="375"/>
      <c r="D66" s="375"/>
      <c r="E66" s="419"/>
      <c r="F66" s="418"/>
      <c r="G66" s="419"/>
      <c r="H66" s="414"/>
      <c r="I66" s="414"/>
      <c r="J66" s="414"/>
      <c r="K66" s="414"/>
      <c r="L66" s="102"/>
      <c r="M66" s="103"/>
      <c r="N66" s="103"/>
      <c r="O66" s="103"/>
      <c r="P66" s="103"/>
      <c r="Q66" s="103"/>
      <c r="R66" s="103"/>
      <c r="S66" s="104"/>
      <c r="T66" s="103"/>
      <c r="U66" s="104"/>
      <c r="V66" s="107"/>
      <c r="W66" s="354"/>
      <c r="X66" s="351"/>
      <c r="Y66" s="351"/>
      <c r="Z66" s="351"/>
      <c r="AA66" s="351"/>
      <c r="AB66" s="351"/>
      <c r="AC66" s="351"/>
      <c r="AD66" s="351"/>
      <c r="AE66" s="351"/>
      <c r="AF66" s="351"/>
      <c r="AG66" s="7"/>
    </row>
    <row r="67" spans="1:33" ht="24.75" hidden="1" customHeight="1">
      <c r="A67" s="351"/>
      <c r="B67" s="393"/>
      <c r="C67" s="375"/>
      <c r="D67" s="375"/>
      <c r="E67" s="419"/>
      <c r="F67" s="420"/>
      <c r="G67" s="421"/>
      <c r="H67" s="422"/>
      <c r="I67" s="422"/>
      <c r="J67" s="422"/>
      <c r="K67" s="422"/>
      <c r="L67" s="102"/>
      <c r="M67" s="103"/>
      <c r="N67" s="103"/>
      <c r="O67" s="103"/>
      <c r="P67" s="103"/>
      <c r="Q67" s="103"/>
      <c r="R67" s="103"/>
      <c r="S67" s="104"/>
      <c r="T67" s="103"/>
      <c r="U67" s="104"/>
      <c r="V67" s="107"/>
      <c r="W67" s="354"/>
      <c r="X67" s="351"/>
      <c r="Y67" s="351"/>
      <c r="Z67" s="351"/>
      <c r="AA67" s="351"/>
      <c r="AB67" s="351"/>
      <c r="AC67" s="351"/>
      <c r="AD67" s="351"/>
      <c r="AE67" s="351"/>
      <c r="AF67" s="351"/>
      <c r="AG67" s="7"/>
    </row>
    <row r="68" spans="1:33" ht="24.75" hidden="1" customHeight="1">
      <c r="A68" s="351"/>
      <c r="B68" s="393"/>
      <c r="C68" s="375"/>
      <c r="D68" s="375"/>
      <c r="E68" s="419"/>
      <c r="F68" s="465"/>
      <c r="G68" s="367"/>
      <c r="H68" s="468"/>
      <c r="I68" s="467"/>
      <c r="J68" s="468"/>
      <c r="K68" s="469"/>
      <c r="L68" s="102"/>
      <c r="M68" s="103"/>
      <c r="N68" s="103"/>
      <c r="O68" s="103"/>
      <c r="P68" s="103"/>
      <c r="Q68" s="103"/>
      <c r="R68" s="103"/>
      <c r="S68" s="104"/>
      <c r="T68" s="103"/>
      <c r="U68" s="104"/>
      <c r="V68" s="107"/>
      <c r="W68" s="354"/>
      <c r="X68" s="351"/>
      <c r="Y68" s="351"/>
      <c r="Z68" s="351"/>
      <c r="AA68" s="351"/>
      <c r="AB68" s="351"/>
      <c r="AC68" s="351"/>
      <c r="AD68" s="351"/>
      <c r="AE68" s="351"/>
      <c r="AF68" s="351"/>
      <c r="AG68" s="7"/>
    </row>
    <row r="69" spans="1:33" ht="24.75" hidden="1" customHeight="1">
      <c r="A69" s="351"/>
      <c r="B69" s="393"/>
      <c r="C69" s="375"/>
      <c r="D69" s="375"/>
      <c r="E69" s="419"/>
      <c r="F69" s="418"/>
      <c r="G69" s="419"/>
      <c r="H69" s="414"/>
      <c r="I69" s="414"/>
      <c r="J69" s="414"/>
      <c r="K69" s="414"/>
      <c r="L69" s="102"/>
      <c r="M69" s="103"/>
      <c r="N69" s="103"/>
      <c r="O69" s="103"/>
      <c r="P69" s="103"/>
      <c r="Q69" s="103"/>
      <c r="R69" s="103"/>
      <c r="S69" s="104"/>
      <c r="T69" s="103"/>
      <c r="U69" s="104"/>
      <c r="V69" s="107"/>
      <c r="W69" s="354"/>
      <c r="X69" s="351"/>
      <c r="Y69" s="351"/>
      <c r="Z69" s="351"/>
      <c r="AA69" s="351"/>
      <c r="AB69" s="351"/>
      <c r="AC69" s="351"/>
      <c r="AD69" s="351"/>
      <c r="AE69" s="351"/>
      <c r="AF69" s="351"/>
      <c r="AG69" s="7"/>
    </row>
    <row r="70" spans="1:33" ht="24.75" hidden="1" customHeight="1">
      <c r="A70" s="351"/>
      <c r="B70" s="397"/>
      <c r="C70" s="357"/>
      <c r="D70" s="357"/>
      <c r="E70" s="431"/>
      <c r="F70" s="430"/>
      <c r="G70" s="431"/>
      <c r="H70" s="399"/>
      <c r="I70" s="399"/>
      <c r="J70" s="399"/>
      <c r="K70" s="399"/>
      <c r="L70" s="471"/>
      <c r="M70" s="472"/>
      <c r="N70" s="472"/>
      <c r="O70" s="472"/>
      <c r="P70" s="472"/>
      <c r="Q70" s="472"/>
      <c r="R70" s="472"/>
      <c r="S70" s="473"/>
      <c r="T70" s="472"/>
      <c r="U70" s="473"/>
      <c r="V70" s="475"/>
      <c r="W70" s="354"/>
      <c r="X70" s="351"/>
      <c r="Y70" s="351"/>
      <c r="Z70" s="351"/>
      <c r="AA70" s="351"/>
      <c r="AB70" s="351"/>
      <c r="AC70" s="351"/>
      <c r="AD70" s="351"/>
      <c r="AE70" s="351"/>
      <c r="AF70" s="351"/>
      <c r="AG70" s="7"/>
    </row>
    <row r="71" spans="1:33" ht="27" customHeight="1">
      <c r="A71" s="351"/>
      <c r="B71" s="296" t="s">
        <v>74</v>
      </c>
      <c r="C71" s="376"/>
      <c r="D71" s="376"/>
      <c r="E71" s="376"/>
      <c r="F71" s="376"/>
      <c r="G71" s="376"/>
      <c r="H71" s="376"/>
      <c r="I71" s="376"/>
      <c r="J71" s="376"/>
      <c r="K71" s="376"/>
      <c r="L71" s="376"/>
      <c r="M71" s="376"/>
      <c r="N71" s="376"/>
      <c r="O71" s="376"/>
      <c r="P71" s="376"/>
      <c r="Q71" s="376"/>
      <c r="R71" s="376"/>
      <c r="S71" s="376"/>
      <c r="T71" s="376"/>
      <c r="U71" s="476"/>
      <c r="V71" s="118">
        <f>SUM(V44:V52)</f>
        <v>1</v>
      </c>
      <c r="W71" s="354"/>
      <c r="X71" s="351"/>
      <c r="Y71" s="351"/>
      <c r="Z71" s="351"/>
      <c r="AA71" s="351"/>
      <c r="AB71" s="351"/>
      <c r="AC71" s="351"/>
      <c r="AD71" s="351"/>
      <c r="AE71" s="351"/>
      <c r="AF71" s="351"/>
      <c r="AG71" s="7"/>
    </row>
    <row r="72" spans="1:33" ht="27" customHeight="1">
      <c r="A72" s="351"/>
      <c r="B72" s="441"/>
      <c r="C72" s="441"/>
      <c r="D72" s="441"/>
      <c r="E72" s="119"/>
      <c r="F72" s="119"/>
      <c r="G72" s="119"/>
      <c r="H72" s="119"/>
      <c r="I72" s="119"/>
      <c r="J72" s="119"/>
      <c r="K72" s="119"/>
      <c r="L72" s="119"/>
      <c r="M72" s="119"/>
      <c r="N72" s="119"/>
      <c r="O72" s="119"/>
      <c r="P72" s="119"/>
      <c r="Q72" s="119"/>
      <c r="R72" s="119"/>
      <c r="S72" s="119"/>
      <c r="T72" s="119"/>
      <c r="U72" s="119"/>
      <c r="V72" s="440"/>
      <c r="W72" s="354"/>
      <c r="X72" s="351"/>
      <c r="Y72" s="351"/>
      <c r="Z72" s="351"/>
      <c r="AA72" s="351"/>
      <c r="AB72" s="351"/>
      <c r="AC72" s="351"/>
      <c r="AD72" s="351"/>
      <c r="AE72" s="351"/>
      <c r="AF72" s="351"/>
      <c r="AG72" s="7"/>
    </row>
    <row r="73" spans="1:33" ht="39.75" customHeight="1">
      <c r="A73" s="351"/>
      <c r="B73" s="297" t="s">
        <v>75</v>
      </c>
      <c r="C73" s="375"/>
      <c r="D73" s="375"/>
      <c r="E73" s="375"/>
      <c r="F73" s="375"/>
      <c r="G73" s="375"/>
      <c r="H73" s="375"/>
      <c r="I73" s="375"/>
      <c r="J73" s="375"/>
      <c r="K73" s="375"/>
      <c r="L73" s="375"/>
      <c r="M73" s="375"/>
      <c r="N73" s="375"/>
      <c r="O73" s="375"/>
      <c r="P73" s="375"/>
      <c r="Q73" s="375"/>
      <c r="R73" s="375"/>
      <c r="S73" s="354"/>
      <c r="T73" s="351"/>
      <c r="U73" s="351"/>
      <c r="V73" s="351"/>
      <c r="W73" s="351"/>
      <c r="X73" s="351"/>
      <c r="Y73" s="351"/>
      <c r="Z73" s="351"/>
      <c r="AA73" s="351"/>
      <c r="AB73" s="351"/>
      <c r="AC73" s="2"/>
      <c r="AD73" s="2"/>
      <c r="AE73" s="2"/>
      <c r="AF73" s="2"/>
      <c r="AG73" s="2"/>
    </row>
    <row r="74" spans="1:33" ht="13.5" customHeight="1">
      <c r="A74" s="351"/>
      <c r="B74" s="441"/>
      <c r="C74" s="441"/>
      <c r="D74" s="441"/>
      <c r="E74" s="2"/>
      <c r="F74" s="2"/>
      <c r="G74" s="441"/>
      <c r="H74" s="441"/>
      <c r="I74" s="441"/>
      <c r="J74" s="441"/>
      <c r="K74" s="441"/>
      <c r="L74" s="441"/>
      <c r="M74" s="441"/>
      <c r="N74" s="441"/>
      <c r="O74" s="441"/>
      <c r="P74" s="441"/>
      <c r="Q74" s="441"/>
      <c r="R74" s="441"/>
      <c r="S74" s="441"/>
      <c r="T74" s="441"/>
      <c r="U74" s="440"/>
      <c r="V74" s="440"/>
      <c r="W74" s="354"/>
      <c r="X74" s="351"/>
      <c r="Y74" s="351"/>
      <c r="Z74" s="351"/>
      <c r="AA74" s="351"/>
      <c r="AB74" s="351"/>
      <c r="AC74" s="351"/>
      <c r="AD74" s="351"/>
      <c r="AE74" s="351"/>
      <c r="AF74" s="351"/>
      <c r="AG74" s="7"/>
    </row>
    <row r="75" spans="1:33" ht="21.75" customHeight="1">
      <c r="A75" s="351"/>
      <c r="B75" s="320" t="s">
        <v>67</v>
      </c>
      <c r="C75" s="376"/>
      <c r="D75" s="376"/>
      <c r="E75" s="376"/>
      <c r="F75" s="376"/>
      <c r="G75" s="376"/>
      <c r="H75" s="376"/>
      <c r="I75" s="376"/>
      <c r="J75" s="376"/>
      <c r="K75" s="376"/>
      <c r="L75" s="376"/>
      <c r="M75" s="376"/>
      <c r="N75" s="376"/>
      <c r="O75" s="376"/>
      <c r="P75" s="376"/>
      <c r="Q75" s="376"/>
      <c r="R75" s="377"/>
      <c r="S75" s="320" t="s">
        <v>12</v>
      </c>
      <c r="T75" s="376"/>
      <c r="U75" s="376"/>
      <c r="V75" s="377"/>
      <c r="W75" s="354"/>
      <c r="X75" s="351"/>
      <c r="Y75" s="351"/>
      <c r="Z75" s="351"/>
      <c r="AA75" s="351"/>
      <c r="AB75" s="351"/>
      <c r="AC75" s="351"/>
      <c r="AD75" s="351"/>
      <c r="AE75" s="351"/>
      <c r="AF75" s="351"/>
      <c r="AG75" s="7"/>
    </row>
    <row r="76" spans="1:33" ht="62.25" customHeight="1">
      <c r="A76" s="394"/>
      <c r="B76" s="443" t="s">
        <v>76</v>
      </c>
      <c r="C76" s="374"/>
      <c r="D76" s="374"/>
      <c r="E76" s="374"/>
      <c r="F76" s="443" t="s">
        <v>69</v>
      </c>
      <c r="G76" s="374"/>
      <c r="H76" s="374"/>
      <c r="I76" s="386"/>
      <c r="J76" s="477" t="s">
        <v>15</v>
      </c>
      <c r="K76" s="311" t="s">
        <v>16</v>
      </c>
      <c r="L76" s="383" t="s">
        <v>18</v>
      </c>
      <c r="M76" s="478" t="s">
        <v>71</v>
      </c>
      <c r="N76" s="357"/>
      <c r="O76" s="357"/>
      <c r="P76" s="357"/>
      <c r="Q76" s="380"/>
      <c r="R76" s="477" t="s">
        <v>20</v>
      </c>
      <c r="S76" s="479" t="s">
        <v>72</v>
      </c>
      <c r="T76" s="316" t="s">
        <v>22</v>
      </c>
      <c r="U76" s="384" t="s">
        <v>23</v>
      </c>
      <c r="V76" s="311" t="s">
        <v>24</v>
      </c>
      <c r="W76" s="401"/>
      <c r="X76" s="394"/>
      <c r="Y76" s="394"/>
      <c r="Z76" s="394"/>
      <c r="AA76" s="394"/>
      <c r="AB76" s="394"/>
      <c r="AC76" s="394"/>
      <c r="AD76" s="394"/>
      <c r="AE76" s="394"/>
      <c r="AF76" s="394"/>
      <c r="AG76" s="80"/>
    </row>
    <row r="77" spans="1:33" ht="51" customHeight="1">
      <c r="A77" s="351"/>
      <c r="B77" s="393"/>
      <c r="C77" s="353"/>
      <c r="D77" s="353"/>
      <c r="E77" s="353"/>
      <c r="F77" s="393"/>
      <c r="G77" s="353"/>
      <c r="H77" s="353"/>
      <c r="I77" s="382"/>
      <c r="J77" s="382"/>
      <c r="K77" s="382"/>
      <c r="L77" s="389"/>
      <c r="M77" s="83" t="s">
        <v>29</v>
      </c>
      <c r="N77" s="83" t="s">
        <v>30</v>
      </c>
      <c r="O77" s="83" t="s">
        <v>31</v>
      </c>
      <c r="P77" s="83" t="s">
        <v>32</v>
      </c>
      <c r="Q77" s="83" t="s">
        <v>33</v>
      </c>
      <c r="R77" s="382"/>
      <c r="S77" s="389"/>
      <c r="T77" s="393"/>
      <c r="U77" s="389"/>
      <c r="V77" s="382"/>
      <c r="W77" s="354"/>
      <c r="X77" s="351"/>
      <c r="Y77" s="351"/>
      <c r="Z77" s="351"/>
      <c r="AA77" s="351"/>
      <c r="AB77" s="351"/>
      <c r="AC77" s="351"/>
      <c r="AD77" s="351"/>
      <c r="AE77" s="351"/>
      <c r="AF77" s="351"/>
      <c r="AG77" s="7"/>
    </row>
    <row r="78" spans="1:33" ht="121.5" customHeight="1">
      <c r="A78" s="351"/>
      <c r="B78" s="480" t="s">
        <v>77</v>
      </c>
      <c r="C78" s="374"/>
      <c r="D78" s="374"/>
      <c r="E78" s="417"/>
      <c r="F78" s="321" t="s">
        <v>78</v>
      </c>
      <c r="G78" s="374"/>
      <c r="H78" s="374"/>
      <c r="I78" s="417"/>
      <c r="J78" s="278" t="s">
        <v>79</v>
      </c>
      <c r="K78" s="276">
        <v>0.05</v>
      </c>
      <c r="L78" s="98" t="s">
        <v>42</v>
      </c>
      <c r="M78" s="123" t="s">
        <v>80</v>
      </c>
      <c r="N78" s="124" t="s">
        <v>81</v>
      </c>
      <c r="O78" s="124" t="s">
        <v>82</v>
      </c>
      <c r="P78" s="124" t="s">
        <v>83</v>
      </c>
      <c r="Q78" s="124" t="s">
        <v>84</v>
      </c>
      <c r="R78" s="325"/>
      <c r="S78" s="326"/>
      <c r="T78" s="125"/>
      <c r="U78" s="308" t="e">
        <f>AVERAGE(T78:T80)</f>
        <v>#DIV/0!</v>
      </c>
      <c r="V78" s="327" t="e">
        <f>U78*K78</f>
        <v>#DIV/0!</v>
      </c>
      <c r="W78" s="354"/>
      <c r="X78" s="351"/>
      <c r="Y78" s="351"/>
      <c r="Z78" s="351"/>
      <c r="AA78" s="351"/>
      <c r="AB78" s="351"/>
      <c r="AC78" s="351"/>
      <c r="AD78" s="351"/>
      <c r="AE78" s="351"/>
      <c r="AF78" s="351"/>
      <c r="AG78" s="7"/>
    </row>
    <row r="79" spans="1:33" ht="118.5" customHeight="1">
      <c r="A79" s="351"/>
      <c r="B79" s="393"/>
      <c r="C79" s="375"/>
      <c r="D79" s="375"/>
      <c r="E79" s="419"/>
      <c r="F79" s="418"/>
      <c r="G79" s="375"/>
      <c r="H79" s="375"/>
      <c r="I79" s="419"/>
      <c r="J79" s="414"/>
      <c r="K79" s="414"/>
      <c r="L79" s="102" t="s">
        <v>49</v>
      </c>
      <c r="M79" s="481" t="s">
        <v>85</v>
      </c>
      <c r="N79" s="482" t="s">
        <v>86</v>
      </c>
      <c r="O79" s="482" t="s">
        <v>87</v>
      </c>
      <c r="P79" s="482" t="s">
        <v>88</v>
      </c>
      <c r="Q79" s="482" t="s">
        <v>89</v>
      </c>
      <c r="R79" s="414"/>
      <c r="S79" s="414"/>
      <c r="T79" s="90"/>
      <c r="U79" s="414"/>
      <c r="V79" s="415"/>
      <c r="W79" s="354"/>
      <c r="X79" s="351"/>
      <c r="Y79" s="351"/>
      <c r="Z79" s="351"/>
      <c r="AA79" s="351"/>
      <c r="AB79" s="351"/>
      <c r="AC79" s="351"/>
      <c r="AD79" s="351"/>
      <c r="AE79" s="351"/>
      <c r="AF79" s="351"/>
      <c r="AG79" s="7"/>
    </row>
    <row r="80" spans="1:33" ht="143.25" customHeight="1">
      <c r="A80" s="351"/>
      <c r="B80" s="397"/>
      <c r="C80" s="357"/>
      <c r="D80" s="357"/>
      <c r="E80" s="431"/>
      <c r="F80" s="430"/>
      <c r="G80" s="357"/>
      <c r="H80" s="357"/>
      <c r="I80" s="431"/>
      <c r="J80" s="399"/>
      <c r="K80" s="399"/>
      <c r="L80" s="126" t="s">
        <v>56</v>
      </c>
      <c r="M80" s="127" t="s">
        <v>90</v>
      </c>
      <c r="N80" s="127" t="s">
        <v>91</v>
      </c>
      <c r="O80" s="127" t="s">
        <v>92</v>
      </c>
      <c r="P80" s="127" t="s">
        <v>93</v>
      </c>
      <c r="Q80" s="127" t="s">
        <v>94</v>
      </c>
      <c r="R80" s="399"/>
      <c r="S80" s="399"/>
      <c r="T80" s="129"/>
      <c r="U80" s="399"/>
      <c r="V80" s="400"/>
      <c r="W80" s="354"/>
      <c r="X80" s="351"/>
      <c r="Y80" s="351"/>
      <c r="Z80" s="351"/>
      <c r="AA80" s="351"/>
      <c r="AB80" s="351"/>
      <c r="AC80" s="351"/>
      <c r="AD80" s="351"/>
      <c r="AE80" s="351"/>
      <c r="AF80" s="351"/>
      <c r="AG80" s="7"/>
    </row>
    <row r="81" spans="1:33" ht="132" customHeight="1">
      <c r="A81" s="483"/>
      <c r="B81" s="484" t="s">
        <v>95</v>
      </c>
      <c r="C81" s="374"/>
      <c r="D81" s="374"/>
      <c r="E81" s="417"/>
      <c r="F81" s="321" t="s">
        <v>96</v>
      </c>
      <c r="G81" s="374"/>
      <c r="H81" s="374"/>
      <c r="I81" s="417"/>
      <c r="J81" s="278" t="s">
        <v>79</v>
      </c>
      <c r="K81" s="276">
        <v>0.05</v>
      </c>
      <c r="L81" s="98" t="s">
        <v>42</v>
      </c>
      <c r="M81" s="124" t="s">
        <v>97</v>
      </c>
      <c r="N81" s="131" t="s">
        <v>98</v>
      </c>
      <c r="O81" s="124" t="s">
        <v>99</v>
      </c>
      <c r="P81" s="124" t="s">
        <v>100</v>
      </c>
      <c r="Q81" s="124" t="s">
        <v>101</v>
      </c>
      <c r="R81" s="325"/>
      <c r="S81" s="326"/>
      <c r="T81" s="192">
        <v>5</v>
      </c>
      <c r="U81" s="308">
        <f>AVERAGE(T81:T83)</f>
        <v>5</v>
      </c>
      <c r="V81" s="327">
        <f>U81*K81</f>
        <v>0.25</v>
      </c>
      <c r="W81" s="354"/>
      <c r="X81" s="351"/>
      <c r="Y81" s="351"/>
      <c r="Z81" s="351"/>
      <c r="AA81" s="351"/>
      <c r="AB81" s="351"/>
      <c r="AC81" s="351"/>
      <c r="AD81" s="351"/>
      <c r="AE81" s="351"/>
      <c r="AF81" s="351"/>
      <c r="AG81" s="7"/>
    </row>
    <row r="82" spans="1:33" ht="72.75" customHeight="1">
      <c r="A82" s="351"/>
      <c r="B82" s="393"/>
      <c r="C82" s="375"/>
      <c r="D82" s="375"/>
      <c r="E82" s="419"/>
      <c r="F82" s="418"/>
      <c r="G82" s="375"/>
      <c r="H82" s="375"/>
      <c r="I82" s="419"/>
      <c r="J82" s="414"/>
      <c r="K82" s="414"/>
      <c r="L82" s="102" t="s">
        <v>49</v>
      </c>
      <c r="M82" s="132" t="s">
        <v>102</v>
      </c>
      <c r="N82" s="132" t="s">
        <v>103</v>
      </c>
      <c r="O82" s="132" t="s">
        <v>104</v>
      </c>
      <c r="P82" s="132" t="s">
        <v>105</v>
      </c>
      <c r="Q82" s="132" t="s">
        <v>106</v>
      </c>
      <c r="R82" s="414"/>
      <c r="S82" s="414"/>
      <c r="T82" s="48">
        <v>5</v>
      </c>
      <c r="U82" s="414"/>
      <c r="V82" s="415"/>
      <c r="W82" s="354"/>
      <c r="X82" s="351"/>
      <c r="Y82" s="351"/>
      <c r="Z82" s="351"/>
      <c r="AA82" s="351"/>
      <c r="AB82" s="351"/>
      <c r="AC82" s="351"/>
      <c r="AD82" s="351"/>
      <c r="AE82" s="351"/>
      <c r="AF82" s="351"/>
      <c r="AG82" s="7"/>
    </row>
    <row r="83" spans="1:33" ht="31.5" customHeight="1">
      <c r="A83" s="351"/>
      <c r="B83" s="397"/>
      <c r="C83" s="357"/>
      <c r="D83" s="357"/>
      <c r="E83" s="431"/>
      <c r="F83" s="430"/>
      <c r="G83" s="357"/>
      <c r="H83" s="357"/>
      <c r="I83" s="431"/>
      <c r="J83" s="399"/>
      <c r="K83" s="399"/>
      <c r="L83" s="126" t="s">
        <v>56</v>
      </c>
      <c r="M83" s="133"/>
      <c r="N83" s="133"/>
      <c r="O83" s="133"/>
      <c r="P83" s="133"/>
      <c r="Q83" s="133"/>
      <c r="R83" s="399"/>
      <c r="S83" s="399"/>
      <c r="T83" s="61">
        <v>5</v>
      </c>
      <c r="U83" s="399"/>
      <c r="V83" s="400"/>
      <c r="W83" s="354"/>
      <c r="X83" s="351"/>
      <c r="Y83" s="351"/>
      <c r="Z83" s="351"/>
      <c r="AA83" s="351"/>
      <c r="AB83" s="351"/>
      <c r="AC83" s="351"/>
      <c r="AD83" s="351"/>
      <c r="AE83" s="351"/>
      <c r="AF83" s="351"/>
      <c r="AG83" s="7"/>
    </row>
    <row r="84" spans="1:33" ht="64.5" customHeight="1">
      <c r="A84" s="351"/>
      <c r="B84" s="484" t="s">
        <v>107</v>
      </c>
      <c r="C84" s="374"/>
      <c r="D84" s="374"/>
      <c r="E84" s="417"/>
      <c r="F84" s="321" t="s">
        <v>108</v>
      </c>
      <c r="G84" s="374"/>
      <c r="H84" s="374"/>
      <c r="I84" s="417"/>
      <c r="J84" s="278" t="s">
        <v>79</v>
      </c>
      <c r="K84" s="276">
        <v>0.05</v>
      </c>
      <c r="L84" s="98" t="s">
        <v>42</v>
      </c>
      <c r="M84" s="124" t="s">
        <v>109</v>
      </c>
      <c r="N84" s="124" t="s">
        <v>110</v>
      </c>
      <c r="O84" s="124" t="s">
        <v>111</v>
      </c>
      <c r="P84" s="124" t="s">
        <v>112</v>
      </c>
      <c r="Q84" s="124" t="s">
        <v>113</v>
      </c>
      <c r="R84" s="325"/>
      <c r="S84" s="326"/>
      <c r="T84" s="192">
        <v>5</v>
      </c>
      <c r="U84" s="308">
        <f>AVERAGE(T84:T86)</f>
        <v>5</v>
      </c>
      <c r="V84" s="327">
        <f>U84*K84</f>
        <v>0.25</v>
      </c>
      <c r="W84" s="354"/>
      <c r="X84" s="351"/>
      <c r="Y84" s="351"/>
      <c r="Z84" s="351"/>
      <c r="AA84" s="351"/>
      <c r="AB84" s="351"/>
      <c r="AC84" s="351"/>
      <c r="AD84" s="351"/>
      <c r="AE84" s="351"/>
      <c r="AF84" s="351"/>
      <c r="AG84" s="7"/>
    </row>
    <row r="85" spans="1:33" ht="48" customHeight="1">
      <c r="A85" s="351"/>
      <c r="B85" s="393"/>
      <c r="C85" s="375"/>
      <c r="D85" s="375"/>
      <c r="E85" s="419"/>
      <c r="F85" s="418"/>
      <c r="G85" s="375"/>
      <c r="H85" s="375"/>
      <c r="I85" s="419"/>
      <c r="J85" s="414"/>
      <c r="K85" s="414"/>
      <c r="L85" s="102" t="s">
        <v>49</v>
      </c>
      <c r="M85" s="132" t="s">
        <v>114</v>
      </c>
      <c r="N85" s="132" t="s">
        <v>115</v>
      </c>
      <c r="O85" s="132" t="s">
        <v>116</v>
      </c>
      <c r="P85" s="132" t="s">
        <v>117</v>
      </c>
      <c r="Q85" s="132" t="s">
        <v>118</v>
      </c>
      <c r="R85" s="414"/>
      <c r="S85" s="414"/>
      <c r="T85" s="48">
        <v>5</v>
      </c>
      <c r="U85" s="414"/>
      <c r="V85" s="415"/>
      <c r="W85" s="354"/>
      <c r="X85" s="351"/>
      <c r="Y85" s="351"/>
      <c r="Z85" s="351"/>
      <c r="AA85" s="351"/>
      <c r="AB85" s="351"/>
      <c r="AC85" s="351"/>
      <c r="AD85" s="351"/>
      <c r="AE85" s="351"/>
      <c r="AF85" s="351"/>
      <c r="AG85" s="7"/>
    </row>
    <row r="86" spans="1:33" ht="108" customHeight="1">
      <c r="A86" s="351"/>
      <c r="B86" s="397"/>
      <c r="C86" s="357"/>
      <c r="D86" s="357"/>
      <c r="E86" s="431"/>
      <c r="F86" s="430"/>
      <c r="G86" s="357"/>
      <c r="H86" s="357"/>
      <c r="I86" s="431"/>
      <c r="J86" s="399"/>
      <c r="K86" s="399"/>
      <c r="L86" s="126" t="s">
        <v>56</v>
      </c>
      <c r="M86" s="135" t="s">
        <v>119</v>
      </c>
      <c r="N86" s="136"/>
      <c r="O86" s="135" t="s">
        <v>120</v>
      </c>
      <c r="P86" s="136"/>
      <c r="Q86" s="135" t="s">
        <v>121</v>
      </c>
      <c r="R86" s="399"/>
      <c r="S86" s="399"/>
      <c r="T86" s="61">
        <v>5</v>
      </c>
      <c r="U86" s="399"/>
      <c r="V86" s="400"/>
      <c r="W86" s="354"/>
      <c r="X86" s="351"/>
      <c r="Y86" s="351"/>
      <c r="Z86" s="351"/>
      <c r="AA86" s="351"/>
      <c r="AB86" s="351"/>
      <c r="AC86" s="351"/>
      <c r="AD86" s="351"/>
      <c r="AE86" s="351"/>
      <c r="AF86" s="351"/>
      <c r="AG86" s="7"/>
    </row>
    <row r="87" spans="1:33" ht="24.75" hidden="1" customHeight="1">
      <c r="A87" s="351"/>
      <c r="B87" s="485"/>
      <c r="C87" s="375"/>
      <c r="D87" s="375"/>
      <c r="E87" s="419"/>
      <c r="F87" s="486"/>
      <c r="G87" s="419"/>
      <c r="H87" s="487"/>
      <c r="I87" s="322"/>
      <c r="J87" s="323"/>
      <c r="K87" s="324"/>
      <c r="L87" s="488"/>
      <c r="M87" s="489"/>
      <c r="N87" s="489"/>
      <c r="O87" s="489"/>
      <c r="P87" s="489"/>
      <c r="Q87" s="489"/>
      <c r="R87" s="462"/>
      <c r="S87" s="490"/>
      <c r="T87" s="462"/>
      <c r="U87" s="328"/>
      <c r="V87" s="491"/>
      <c r="W87" s="354"/>
      <c r="X87" s="351"/>
      <c r="Y87" s="351"/>
      <c r="Z87" s="351"/>
      <c r="AA87" s="351"/>
      <c r="AB87" s="351"/>
      <c r="AC87" s="351"/>
      <c r="AD87" s="351"/>
      <c r="AE87" s="351"/>
      <c r="AF87" s="351"/>
      <c r="AG87" s="7"/>
    </row>
    <row r="88" spans="1:33" ht="24.75" hidden="1" customHeight="1">
      <c r="A88" s="351"/>
      <c r="B88" s="393"/>
      <c r="C88" s="375"/>
      <c r="D88" s="375"/>
      <c r="E88" s="419"/>
      <c r="F88" s="418"/>
      <c r="G88" s="419"/>
      <c r="H88" s="414"/>
      <c r="I88" s="414"/>
      <c r="J88" s="414"/>
      <c r="K88" s="414"/>
      <c r="L88" s="102"/>
      <c r="M88" s="49"/>
      <c r="N88" s="49"/>
      <c r="O88" s="49"/>
      <c r="P88" s="49"/>
      <c r="Q88" s="49"/>
      <c r="R88" s="103"/>
      <c r="S88" s="104"/>
      <c r="T88" s="103"/>
      <c r="U88" s="414"/>
      <c r="V88" s="415"/>
      <c r="W88" s="354"/>
      <c r="X88" s="351"/>
      <c r="Y88" s="351"/>
      <c r="Z88" s="351"/>
      <c r="AA88" s="351"/>
      <c r="AB88" s="351"/>
      <c r="AC88" s="351"/>
      <c r="AD88" s="351"/>
      <c r="AE88" s="351"/>
      <c r="AF88" s="351"/>
      <c r="AG88" s="7"/>
    </row>
    <row r="89" spans="1:33" ht="24.75" hidden="1" customHeight="1">
      <c r="A89" s="351"/>
      <c r="B89" s="393"/>
      <c r="C89" s="375"/>
      <c r="D89" s="375"/>
      <c r="E89" s="419"/>
      <c r="F89" s="420"/>
      <c r="G89" s="421"/>
      <c r="H89" s="422"/>
      <c r="I89" s="422"/>
      <c r="J89" s="422"/>
      <c r="K89" s="422"/>
      <c r="L89" s="102"/>
      <c r="M89" s="49"/>
      <c r="N89" s="49"/>
      <c r="O89" s="49"/>
      <c r="P89" s="49"/>
      <c r="Q89" s="49"/>
      <c r="R89" s="103"/>
      <c r="S89" s="104"/>
      <c r="T89" s="103"/>
      <c r="U89" s="422"/>
      <c r="V89" s="423"/>
      <c r="W89" s="354"/>
      <c r="X89" s="351"/>
      <c r="Y89" s="351"/>
      <c r="Z89" s="351"/>
      <c r="AA89" s="351"/>
      <c r="AB89" s="351"/>
      <c r="AC89" s="351"/>
      <c r="AD89" s="351"/>
      <c r="AE89" s="351"/>
      <c r="AF89" s="351"/>
      <c r="AG89" s="7"/>
    </row>
    <row r="90" spans="1:33" ht="24.75" hidden="1" customHeight="1">
      <c r="A90" s="351"/>
      <c r="B90" s="393"/>
      <c r="C90" s="375"/>
      <c r="D90" s="375"/>
      <c r="E90" s="419"/>
      <c r="F90" s="465"/>
      <c r="G90" s="367"/>
      <c r="H90" s="466"/>
      <c r="I90" s="467"/>
      <c r="J90" s="468"/>
      <c r="K90" s="469"/>
      <c r="L90" s="102"/>
      <c r="M90" s="103"/>
      <c r="N90" s="103"/>
      <c r="O90" s="103"/>
      <c r="P90" s="103"/>
      <c r="Q90" s="103"/>
      <c r="R90" s="103"/>
      <c r="S90" s="104"/>
      <c r="T90" s="103"/>
      <c r="U90" s="463"/>
      <c r="V90" s="492"/>
      <c r="W90" s="354"/>
      <c r="X90" s="351"/>
      <c r="Y90" s="351"/>
      <c r="Z90" s="351"/>
      <c r="AA90" s="351"/>
      <c r="AB90" s="351"/>
      <c r="AC90" s="351"/>
      <c r="AD90" s="351"/>
      <c r="AE90" s="351"/>
      <c r="AF90" s="351"/>
      <c r="AG90" s="7"/>
    </row>
    <row r="91" spans="1:33" ht="24.75" hidden="1" customHeight="1">
      <c r="A91" s="351"/>
      <c r="B91" s="393"/>
      <c r="C91" s="375"/>
      <c r="D91" s="375"/>
      <c r="E91" s="419"/>
      <c r="F91" s="418"/>
      <c r="G91" s="419"/>
      <c r="H91" s="414"/>
      <c r="I91" s="414"/>
      <c r="J91" s="414"/>
      <c r="K91" s="414"/>
      <c r="L91" s="102"/>
      <c r="M91" s="103"/>
      <c r="N91" s="103"/>
      <c r="O91" s="103"/>
      <c r="P91" s="103"/>
      <c r="Q91" s="103"/>
      <c r="R91" s="103"/>
      <c r="S91" s="104"/>
      <c r="T91" s="103"/>
      <c r="U91" s="414"/>
      <c r="V91" s="415"/>
      <c r="W91" s="354"/>
      <c r="X91" s="351"/>
      <c r="Y91" s="351"/>
      <c r="Z91" s="351"/>
      <c r="AA91" s="351"/>
      <c r="AB91" s="351"/>
      <c r="AC91" s="351"/>
      <c r="AD91" s="351"/>
      <c r="AE91" s="351"/>
      <c r="AF91" s="351"/>
      <c r="AG91" s="7"/>
    </row>
    <row r="92" spans="1:33" ht="24.75" hidden="1" customHeight="1">
      <c r="A92" s="351"/>
      <c r="B92" s="393"/>
      <c r="C92" s="375"/>
      <c r="D92" s="375"/>
      <c r="E92" s="419"/>
      <c r="F92" s="420"/>
      <c r="G92" s="421"/>
      <c r="H92" s="422"/>
      <c r="I92" s="422"/>
      <c r="J92" s="422"/>
      <c r="K92" s="422"/>
      <c r="L92" s="102"/>
      <c r="M92" s="103"/>
      <c r="N92" s="103"/>
      <c r="O92" s="103"/>
      <c r="P92" s="103"/>
      <c r="Q92" s="103"/>
      <c r="R92" s="103"/>
      <c r="S92" s="104"/>
      <c r="T92" s="103"/>
      <c r="U92" s="422"/>
      <c r="V92" s="423"/>
      <c r="W92" s="354"/>
      <c r="X92" s="351"/>
      <c r="Y92" s="351"/>
      <c r="Z92" s="351"/>
      <c r="AA92" s="351"/>
      <c r="AB92" s="351"/>
      <c r="AC92" s="351"/>
      <c r="AD92" s="351"/>
      <c r="AE92" s="351"/>
      <c r="AF92" s="351"/>
      <c r="AG92" s="7"/>
    </row>
    <row r="93" spans="1:33" ht="24.75" hidden="1" customHeight="1">
      <c r="A93" s="351"/>
      <c r="B93" s="393"/>
      <c r="C93" s="375"/>
      <c r="D93" s="375"/>
      <c r="E93" s="419"/>
      <c r="F93" s="465"/>
      <c r="G93" s="367"/>
      <c r="H93" s="466"/>
      <c r="I93" s="467"/>
      <c r="J93" s="468"/>
      <c r="K93" s="469"/>
      <c r="L93" s="102"/>
      <c r="M93" s="103"/>
      <c r="N93" s="103"/>
      <c r="O93" s="103"/>
      <c r="P93" s="103"/>
      <c r="Q93" s="103"/>
      <c r="R93" s="103"/>
      <c r="S93" s="104"/>
      <c r="T93" s="103"/>
      <c r="U93" s="463"/>
      <c r="V93" s="492"/>
      <c r="W93" s="354"/>
      <c r="X93" s="351"/>
      <c r="Y93" s="351"/>
      <c r="Z93" s="351"/>
      <c r="AA93" s="351"/>
      <c r="AB93" s="351"/>
      <c r="AC93" s="351"/>
      <c r="AD93" s="351"/>
      <c r="AE93" s="351"/>
      <c r="AF93" s="351"/>
      <c r="AG93" s="7"/>
    </row>
    <row r="94" spans="1:33" ht="24.75" hidden="1" customHeight="1">
      <c r="A94" s="351"/>
      <c r="B94" s="393"/>
      <c r="C94" s="375"/>
      <c r="D94" s="375"/>
      <c r="E94" s="419"/>
      <c r="F94" s="418"/>
      <c r="G94" s="419"/>
      <c r="H94" s="414"/>
      <c r="I94" s="414"/>
      <c r="J94" s="414"/>
      <c r="K94" s="414"/>
      <c r="L94" s="102"/>
      <c r="M94" s="103"/>
      <c r="N94" s="103"/>
      <c r="O94" s="103"/>
      <c r="P94" s="103"/>
      <c r="Q94" s="103"/>
      <c r="R94" s="103"/>
      <c r="S94" s="104"/>
      <c r="T94" s="103"/>
      <c r="U94" s="414"/>
      <c r="V94" s="415"/>
      <c r="W94" s="354"/>
      <c r="X94" s="351"/>
      <c r="Y94" s="351"/>
      <c r="Z94" s="351"/>
      <c r="AA94" s="351"/>
      <c r="AB94" s="351"/>
      <c r="AC94" s="351"/>
      <c r="AD94" s="351"/>
      <c r="AE94" s="351"/>
      <c r="AF94" s="351"/>
      <c r="AG94" s="7"/>
    </row>
    <row r="95" spans="1:33" ht="24.75" hidden="1" customHeight="1">
      <c r="A95" s="351"/>
      <c r="B95" s="393"/>
      <c r="C95" s="375"/>
      <c r="D95" s="375"/>
      <c r="E95" s="419"/>
      <c r="F95" s="420"/>
      <c r="G95" s="421"/>
      <c r="H95" s="422"/>
      <c r="I95" s="422"/>
      <c r="J95" s="422"/>
      <c r="K95" s="422"/>
      <c r="L95" s="471"/>
      <c r="M95" s="472"/>
      <c r="N95" s="472"/>
      <c r="O95" s="472"/>
      <c r="P95" s="472"/>
      <c r="Q95" s="472"/>
      <c r="R95" s="472"/>
      <c r="S95" s="473"/>
      <c r="T95" s="472"/>
      <c r="U95" s="414"/>
      <c r="V95" s="415"/>
      <c r="W95" s="354"/>
      <c r="X95" s="351"/>
      <c r="Y95" s="351"/>
      <c r="Z95" s="351"/>
      <c r="AA95" s="351"/>
      <c r="AB95" s="351"/>
      <c r="AC95" s="351"/>
      <c r="AD95" s="351"/>
      <c r="AE95" s="351"/>
      <c r="AF95" s="351"/>
      <c r="AG95" s="7"/>
    </row>
    <row r="96" spans="1:33" ht="24.75" hidden="1" customHeight="1">
      <c r="A96" s="351"/>
      <c r="B96" s="474"/>
      <c r="C96" s="374"/>
      <c r="D96" s="374"/>
      <c r="E96" s="417"/>
      <c r="F96" s="274"/>
      <c r="G96" s="417"/>
      <c r="H96" s="277"/>
      <c r="I96" s="276"/>
      <c r="J96" s="277"/>
      <c r="K96" s="278"/>
      <c r="L96" s="98"/>
      <c r="M96" s="100"/>
      <c r="N96" s="100"/>
      <c r="O96" s="100"/>
      <c r="P96" s="100"/>
      <c r="Q96" s="100"/>
      <c r="R96" s="100"/>
      <c r="S96" s="101"/>
      <c r="T96" s="100"/>
      <c r="U96" s="101"/>
      <c r="V96" s="141"/>
      <c r="W96" s="354"/>
      <c r="X96" s="351"/>
      <c r="Y96" s="351"/>
      <c r="Z96" s="351"/>
      <c r="AA96" s="351"/>
      <c r="AB96" s="351"/>
      <c r="AC96" s="351"/>
      <c r="AD96" s="351"/>
      <c r="AE96" s="351"/>
      <c r="AF96" s="351"/>
      <c r="AG96" s="7"/>
    </row>
    <row r="97" spans="1:33" ht="24.75" hidden="1" customHeight="1">
      <c r="A97" s="351"/>
      <c r="B97" s="393"/>
      <c r="C97" s="375"/>
      <c r="D97" s="375"/>
      <c r="E97" s="419"/>
      <c r="F97" s="418"/>
      <c r="G97" s="419"/>
      <c r="H97" s="414"/>
      <c r="I97" s="414"/>
      <c r="J97" s="414"/>
      <c r="K97" s="414"/>
      <c r="L97" s="102"/>
      <c r="M97" s="103"/>
      <c r="N97" s="103"/>
      <c r="O97" s="103"/>
      <c r="P97" s="103"/>
      <c r="Q97" s="103"/>
      <c r="R97" s="103"/>
      <c r="S97" s="104"/>
      <c r="T97" s="103"/>
      <c r="U97" s="104"/>
      <c r="V97" s="142"/>
      <c r="W97" s="354"/>
      <c r="X97" s="351"/>
      <c r="Y97" s="351"/>
      <c r="Z97" s="351"/>
      <c r="AA97" s="351"/>
      <c r="AB97" s="351"/>
      <c r="AC97" s="351"/>
      <c r="AD97" s="351"/>
      <c r="AE97" s="351"/>
      <c r="AF97" s="351"/>
      <c r="AG97" s="7"/>
    </row>
    <row r="98" spans="1:33" ht="24.75" hidden="1" customHeight="1">
      <c r="A98" s="351"/>
      <c r="B98" s="393"/>
      <c r="C98" s="375"/>
      <c r="D98" s="375"/>
      <c r="E98" s="419"/>
      <c r="F98" s="420"/>
      <c r="G98" s="421"/>
      <c r="H98" s="422"/>
      <c r="I98" s="422"/>
      <c r="J98" s="422"/>
      <c r="K98" s="422"/>
      <c r="L98" s="102"/>
      <c r="M98" s="103"/>
      <c r="N98" s="103"/>
      <c r="O98" s="103"/>
      <c r="P98" s="103"/>
      <c r="Q98" s="103"/>
      <c r="R98" s="103"/>
      <c r="S98" s="104"/>
      <c r="T98" s="103"/>
      <c r="U98" s="104"/>
      <c r="V98" s="142"/>
      <c r="W98" s="354"/>
      <c r="X98" s="351"/>
      <c r="Y98" s="351"/>
      <c r="Z98" s="351"/>
      <c r="AA98" s="351"/>
      <c r="AB98" s="351"/>
      <c r="AC98" s="351"/>
      <c r="AD98" s="351"/>
      <c r="AE98" s="351"/>
      <c r="AF98" s="351"/>
      <c r="AG98" s="7"/>
    </row>
    <row r="99" spans="1:33" ht="24.75" hidden="1" customHeight="1">
      <c r="A99" s="351"/>
      <c r="B99" s="393"/>
      <c r="C99" s="375"/>
      <c r="D99" s="375"/>
      <c r="E99" s="419"/>
      <c r="F99" s="465"/>
      <c r="G99" s="367"/>
      <c r="H99" s="468"/>
      <c r="I99" s="467"/>
      <c r="J99" s="468"/>
      <c r="K99" s="469"/>
      <c r="L99" s="102"/>
      <c r="M99" s="103"/>
      <c r="N99" s="103"/>
      <c r="O99" s="103"/>
      <c r="P99" s="103"/>
      <c r="Q99" s="103"/>
      <c r="R99" s="103"/>
      <c r="S99" s="104"/>
      <c r="T99" s="103"/>
      <c r="U99" s="104"/>
      <c r="V99" s="142"/>
      <c r="W99" s="354"/>
      <c r="X99" s="351"/>
      <c r="Y99" s="351"/>
      <c r="Z99" s="351"/>
      <c r="AA99" s="351"/>
      <c r="AB99" s="351"/>
      <c r="AC99" s="351"/>
      <c r="AD99" s="351"/>
      <c r="AE99" s="351"/>
      <c r="AF99" s="351"/>
      <c r="AG99" s="7"/>
    </row>
    <row r="100" spans="1:33" ht="24.75" hidden="1" customHeight="1">
      <c r="A100" s="351"/>
      <c r="B100" s="393"/>
      <c r="C100" s="375"/>
      <c r="D100" s="375"/>
      <c r="E100" s="419"/>
      <c r="F100" s="418"/>
      <c r="G100" s="419"/>
      <c r="H100" s="414"/>
      <c r="I100" s="414"/>
      <c r="J100" s="414"/>
      <c r="K100" s="414"/>
      <c r="L100" s="102"/>
      <c r="M100" s="103"/>
      <c r="N100" s="103"/>
      <c r="O100" s="103"/>
      <c r="P100" s="103"/>
      <c r="Q100" s="103"/>
      <c r="R100" s="103"/>
      <c r="S100" s="104"/>
      <c r="T100" s="103"/>
      <c r="U100" s="104"/>
      <c r="V100" s="142"/>
      <c r="W100" s="354"/>
      <c r="X100" s="351"/>
      <c r="Y100" s="351"/>
      <c r="Z100" s="351"/>
      <c r="AA100" s="351"/>
      <c r="AB100" s="351"/>
      <c r="AC100" s="351"/>
      <c r="AD100" s="351"/>
      <c r="AE100" s="351"/>
      <c r="AF100" s="351"/>
      <c r="AG100" s="7"/>
    </row>
    <row r="101" spans="1:33" ht="24.75" hidden="1" customHeight="1">
      <c r="A101" s="351"/>
      <c r="B101" s="393"/>
      <c r="C101" s="375"/>
      <c r="D101" s="375"/>
      <c r="E101" s="419"/>
      <c r="F101" s="420"/>
      <c r="G101" s="421"/>
      <c r="H101" s="422"/>
      <c r="I101" s="422"/>
      <c r="J101" s="422"/>
      <c r="K101" s="422"/>
      <c r="L101" s="102"/>
      <c r="M101" s="103"/>
      <c r="N101" s="103"/>
      <c r="O101" s="103"/>
      <c r="P101" s="103"/>
      <c r="Q101" s="103"/>
      <c r="R101" s="103"/>
      <c r="S101" s="104"/>
      <c r="T101" s="103"/>
      <c r="U101" s="104"/>
      <c r="V101" s="142"/>
      <c r="W101" s="354"/>
      <c r="X101" s="351"/>
      <c r="Y101" s="351"/>
      <c r="Z101" s="351"/>
      <c r="AA101" s="351"/>
      <c r="AB101" s="351"/>
      <c r="AC101" s="351"/>
      <c r="AD101" s="351"/>
      <c r="AE101" s="351"/>
      <c r="AF101" s="351"/>
      <c r="AG101" s="7"/>
    </row>
    <row r="102" spans="1:33" ht="24.75" hidden="1" customHeight="1">
      <c r="A102" s="351"/>
      <c r="B102" s="393"/>
      <c r="C102" s="375"/>
      <c r="D102" s="375"/>
      <c r="E102" s="419"/>
      <c r="F102" s="465"/>
      <c r="G102" s="367"/>
      <c r="H102" s="468"/>
      <c r="I102" s="467"/>
      <c r="J102" s="468"/>
      <c r="K102" s="469"/>
      <c r="L102" s="102"/>
      <c r="M102" s="103"/>
      <c r="N102" s="103"/>
      <c r="O102" s="103"/>
      <c r="P102" s="103"/>
      <c r="Q102" s="103"/>
      <c r="R102" s="103"/>
      <c r="S102" s="104"/>
      <c r="T102" s="103"/>
      <c r="U102" s="104"/>
      <c r="V102" s="142"/>
      <c r="W102" s="354"/>
      <c r="X102" s="351"/>
      <c r="Y102" s="351"/>
      <c r="Z102" s="351"/>
      <c r="AA102" s="351"/>
      <c r="AB102" s="351"/>
      <c r="AC102" s="351"/>
      <c r="AD102" s="351"/>
      <c r="AE102" s="351"/>
      <c r="AF102" s="351"/>
      <c r="AG102" s="7"/>
    </row>
    <row r="103" spans="1:33" ht="24.75" hidden="1" customHeight="1">
      <c r="A103" s="351"/>
      <c r="B103" s="393"/>
      <c r="C103" s="375"/>
      <c r="D103" s="375"/>
      <c r="E103" s="419"/>
      <c r="F103" s="418"/>
      <c r="G103" s="419"/>
      <c r="H103" s="414"/>
      <c r="I103" s="414"/>
      <c r="J103" s="414"/>
      <c r="K103" s="414"/>
      <c r="L103" s="102"/>
      <c r="M103" s="103"/>
      <c r="N103" s="103"/>
      <c r="O103" s="103"/>
      <c r="P103" s="103"/>
      <c r="Q103" s="103"/>
      <c r="R103" s="103"/>
      <c r="S103" s="104"/>
      <c r="T103" s="103"/>
      <c r="U103" s="104"/>
      <c r="V103" s="142"/>
      <c r="W103" s="354"/>
      <c r="X103" s="351"/>
      <c r="Y103" s="351"/>
      <c r="Z103" s="351"/>
      <c r="AA103" s="351"/>
      <c r="AB103" s="351"/>
      <c r="AC103" s="351"/>
      <c r="AD103" s="351"/>
      <c r="AE103" s="351"/>
      <c r="AF103" s="351"/>
      <c r="AG103" s="7"/>
    </row>
    <row r="104" spans="1:33" ht="24.75" hidden="1" customHeight="1">
      <c r="A104" s="351"/>
      <c r="B104" s="493"/>
      <c r="C104" s="494"/>
      <c r="D104" s="494"/>
      <c r="E104" s="421"/>
      <c r="F104" s="420"/>
      <c r="G104" s="421"/>
      <c r="H104" s="422"/>
      <c r="I104" s="422"/>
      <c r="J104" s="422"/>
      <c r="K104" s="422"/>
      <c r="L104" s="471"/>
      <c r="M104" s="472"/>
      <c r="N104" s="472"/>
      <c r="O104" s="472"/>
      <c r="P104" s="472"/>
      <c r="Q104" s="472"/>
      <c r="R104" s="472"/>
      <c r="S104" s="473"/>
      <c r="T104" s="472"/>
      <c r="U104" s="473"/>
      <c r="V104" s="143"/>
      <c r="W104" s="354"/>
      <c r="X104" s="351"/>
      <c r="Y104" s="351"/>
      <c r="Z104" s="351"/>
      <c r="AA104" s="351"/>
      <c r="AB104" s="351"/>
      <c r="AC104" s="351"/>
      <c r="AD104" s="351"/>
      <c r="AE104" s="351"/>
      <c r="AF104" s="351"/>
      <c r="AG104" s="7"/>
    </row>
    <row r="105" spans="1:33" ht="27" customHeight="1">
      <c r="A105" s="351"/>
      <c r="B105" s="296" t="s">
        <v>122</v>
      </c>
      <c r="C105" s="376"/>
      <c r="D105" s="376"/>
      <c r="E105" s="376"/>
      <c r="F105" s="376"/>
      <c r="G105" s="376"/>
      <c r="H105" s="376"/>
      <c r="I105" s="376"/>
      <c r="J105" s="376"/>
      <c r="K105" s="376"/>
      <c r="L105" s="376"/>
      <c r="M105" s="376"/>
      <c r="N105" s="376"/>
      <c r="O105" s="376"/>
      <c r="P105" s="376"/>
      <c r="Q105" s="376"/>
      <c r="R105" s="376"/>
      <c r="S105" s="376"/>
      <c r="T105" s="376"/>
      <c r="U105" s="377"/>
      <c r="V105" s="495" t="e">
        <f>SUM(V78:V86)</f>
        <v>#DIV/0!</v>
      </c>
      <c r="W105" s="354"/>
      <c r="X105" s="351"/>
      <c r="Y105" s="351"/>
      <c r="Z105" s="351"/>
      <c r="AA105" s="351"/>
      <c r="AB105" s="351"/>
      <c r="AC105" s="351"/>
      <c r="AD105" s="351"/>
      <c r="AE105" s="351"/>
      <c r="AF105" s="351"/>
      <c r="AG105" s="7"/>
    </row>
    <row r="106" spans="1:33" ht="15" customHeight="1">
      <c r="A106" s="351"/>
      <c r="B106" s="496"/>
      <c r="C106" s="496"/>
      <c r="D106" s="496"/>
      <c r="E106" s="497"/>
      <c r="F106" s="497"/>
      <c r="G106" s="368"/>
      <c r="H106" s="498"/>
      <c r="I106" s="499"/>
      <c r="J106" s="499"/>
      <c r="K106" s="499"/>
      <c r="L106" s="499"/>
      <c r="M106" s="500"/>
      <c r="N106" s="500"/>
      <c r="O106" s="496"/>
      <c r="P106" s="496"/>
      <c r="Q106" s="496"/>
      <c r="R106" s="496"/>
      <c r="S106" s="496"/>
      <c r="T106" s="501"/>
      <c r="U106" s="501"/>
      <c r="V106" s="501"/>
      <c r="W106" s="354"/>
      <c r="X106" s="351"/>
      <c r="Y106" s="351"/>
      <c r="Z106" s="351"/>
      <c r="AA106" s="351"/>
      <c r="AB106" s="351"/>
      <c r="AC106" s="351"/>
      <c r="AD106" s="351"/>
      <c r="AE106" s="351"/>
      <c r="AF106" s="351"/>
      <c r="AG106" s="2"/>
    </row>
    <row r="107" spans="1:33" ht="18" customHeight="1">
      <c r="A107" s="351"/>
      <c r="B107" s="500"/>
      <c r="C107" s="500"/>
      <c r="D107" s="500"/>
      <c r="E107" s="502"/>
      <c r="F107" s="502"/>
      <c r="G107" s="368"/>
      <c r="H107" s="368"/>
      <c r="I107" s="503"/>
      <c r="J107" s="503"/>
      <c r="K107" s="503"/>
      <c r="L107" s="503"/>
      <c r="M107" s="500"/>
      <c r="N107" s="500"/>
      <c r="O107" s="500"/>
      <c r="P107" s="500"/>
      <c r="Q107" s="500"/>
      <c r="R107" s="500"/>
      <c r="S107" s="500"/>
      <c r="T107" s="2"/>
      <c r="U107" s="354"/>
      <c r="V107" s="354"/>
      <c r="W107" s="354"/>
      <c r="X107" s="351"/>
      <c r="Y107" s="351"/>
      <c r="Z107" s="351"/>
      <c r="AA107" s="351"/>
      <c r="AB107" s="351"/>
      <c r="AC107" s="351"/>
      <c r="AD107" s="351"/>
      <c r="AE107" s="351"/>
      <c r="AF107" s="351"/>
      <c r="AG107" s="2"/>
    </row>
    <row r="108" spans="1:33" ht="16.5" customHeight="1">
      <c r="A108" s="351"/>
      <c r="B108" s="500"/>
      <c r="C108" s="500"/>
      <c r="D108" s="500"/>
      <c r="E108" s="502"/>
      <c r="F108" s="502"/>
      <c r="G108" s="368"/>
      <c r="H108" s="368"/>
      <c r="I108" s="503"/>
      <c r="J108" s="503"/>
      <c r="K108" s="503"/>
      <c r="U108" s="354"/>
      <c r="V108" s="354"/>
      <c r="W108" s="354"/>
      <c r="X108" s="351"/>
      <c r="Y108" s="351"/>
      <c r="Z108" s="351"/>
      <c r="AA108" s="351"/>
      <c r="AB108" s="351"/>
      <c r="AC108" s="351"/>
      <c r="AD108" s="351"/>
      <c r="AE108" s="351"/>
      <c r="AF108" s="351"/>
      <c r="AG108" s="2"/>
    </row>
    <row r="109" spans="1:33" ht="15.75" customHeight="1">
      <c r="A109" s="351"/>
      <c r="B109" s="500"/>
      <c r="C109" s="500"/>
      <c r="D109" s="500"/>
      <c r="E109" s="502"/>
      <c r="F109" s="502"/>
      <c r="G109" s="368"/>
      <c r="H109" s="500"/>
      <c r="I109" s="503"/>
      <c r="J109" s="503"/>
      <c r="K109" s="503"/>
      <c r="U109" s="354"/>
      <c r="V109" s="354"/>
      <c r="W109" s="354"/>
      <c r="X109" s="351"/>
      <c r="Y109" s="351"/>
      <c r="Z109" s="351"/>
      <c r="AA109" s="351"/>
      <c r="AB109" s="351"/>
      <c r="AC109" s="351"/>
      <c r="AD109" s="351"/>
      <c r="AE109" s="351"/>
      <c r="AF109" s="351"/>
      <c r="AG109" s="2"/>
    </row>
    <row r="110" spans="1:33" ht="13.5" customHeight="1">
      <c r="A110" s="351"/>
      <c r="B110" s="500"/>
      <c r="C110" s="500"/>
      <c r="D110" s="504"/>
      <c r="E110" s="366"/>
      <c r="F110" s="367"/>
      <c r="G110" s="500"/>
      <c r="H110" s="500"/>
      <c r="I110" s="505"/>
      <c r="J110" s="366"/>
      <c r="K110" s="366"/>
      <c r="L110" s="367"/>
      <c r="N110" s="505"/>
      <c r="O110" s="367"/>
      <c r="P110" s="82"/>
      <c r="U110" s="354"/>
      <c r="V110" s="354"/>
      <c r="W110" s="354"/>
      <c r="X110" s="351"/>
      <c r="Y110" s="351"/>
      <c r="Z110" s="351"/>
      <c r="AA110" s="351"/>
      <c r="AB110" s="351"/>
      <c r="AC110" s="351"/>
      <c r="AD110" s="351"/>
      <c r="AE110" s="351"/>
      <c r="AF110" s="351"/>
      <c r="AG110" s="2"/>
    </row>
    <row r="111" spans="1:33" ht="13.5" customHeight="1">
      <c r="A111" s="351"/>
      <c r="B111" s="500"/>
      <c r="C111" s="500"/>
      <c r="D111" s="420"/>
      <c r="E111" s="494"/>
      <c r="F111" s="421"/>
      <c r="G111" s="500"/>
      <c r="H111" s="500"/>
      <c r="I111" s="420"/>
      <c r="J111" s="494"/>
      <c r="K111" s="494"/>
      <c r="L111" s="421"/>
      <c r="N111" s="420"/>
      <c r="O111" s="421"/>
      <c r="P111" s="82"/>
      <c r="U111" s="354"/>
      <c r="V111" s="354"/>
      <c r="W111" s="354"/>
      <c r="X111" s="351"/>
      <c r="Y111" s="351"/>
      <c r="Z111" s="351"/>
      <c r="AA111" s="351"/>
      <c r="AB111" s="351"/>
      <c r="AC111" s="351"/>
      <c r="AD111" s="351"/>
      <c r="AE111" s="351"/>
      <c r="AF111" s="351"/>
      <c r="AG111" s="2"/>
    </row>
    <row r="112" spans="1:33" ht="13.5" customHeight="1">
      <c r="A112" s="351"/>
      <c r="B112" s="500"/>
      <c r="C112" s="500"/>
      <c r="D112" s="506" t="s">
        <v>123</v>
      </c>
      <c r="E112" s="361"/>
      <c r="F112" s="362"/>
      <c r="G112" s="500"/>
      <c r="H112" s="500"/>
      <c r="I112" s="507" t="s">
        <v>124</v>
      </c>
      <c r="J112" s="361"/>
      <c r="K112" s="361"/>
      <c r="L112" s="362"/>
      <c r="M112" s="500"/>
      <c r="N112" s="507" t="s">
        <v>125</v>
      </c>
      <c r="O112" s="362"/>
      <c r="P112" s="82"/>
      <c r="R112" s="500"/>
      <c r="S112" s="500"/>
      <c r="T112" s="500"/>
      <c r="U112" s="354"/>
      <c r="V112" s="354"/>
      <c r="W112" s="354"/>
      <c r="X112" s="351"/>
      <c r="Y112" s="351"/>
      <c r="Z112" s="351"/>
      <c r="AA112" s="351"/>
      <c r="AB112" s="351"/>
      <c r="AC112" s="351"/>
      <c r="AD112" s="351"/>
      <c r="AE112" s="351"/>
      <c r="AF112" s="351"/>
      <c r="AG112" s="2"/>
    </row>
    <row r="113" spans="1:33" ht="13.5" customHeight="1">
      <c r="A113" s="351"/>
      <c r="B113" s="500"/>
      <c r="C113" s="500"/>
      <c r="D113" s="508"/>
      <c r="E113" s="500"/>
      <c r="F113" s="500"/>
      <c r="G113" s="500"/>
      <c r="H113" s="500"/>
      <c r="I113" s="500"/>
      <c r="J113" s="500"/>
      <c r="K113" s="500"/>
      <c r="L113" s="500"/>
      <c r="M113" s="500"/>
      <c r="N113" s="500"/>
      <c r="R113" s="500"/>
      <c r="S113" s="500"/>
      <c r="T113" s="500"/>
      <c r="U113" s="500"/>
      <c r="V113" s="500"/>
      <c r="W113" s="354"/>
      <c r="X113" s="351"/>
      <c r="Y113" s="351"/>
      <c r="Z113" s="351"/>
      <c r="AA113" s="351"/>
      <c r="AB113" s="351"/>
      <c r="AC113" s="351"/>
      <c r="AD113" s="351"/>
      <c r="AE113" s="351"/>
      <c r="AF113" s="351"/>
      <c r="AG113" s="2"/>
    </row>
    <row r="114" spans="1:33" ht="13.5" customHeight="1">
      <c r="A114" s="351"/>
      <c r="B114" s="500"/>
      <c r="C114" s="500"/>
      <c r="D114" s="500"/>
      <c r="E114" s="500"/>
      <c r="F114" s="500"/>
      <c r="G114" s="509"/>
      <c r="H114" s="500"/>
      <c r="I114" s="508"/>
      <c r="J114" s="508"/>
      <c r="K114" s="508"/>
      <c r="L114" s="508"/>
      <c r="M114" s="500"/>
      <c r="N114" s="500"/>
      <c r="O114" s="500"/>
      <c r="P114" s="500"/>
      <c r="Q114" s="500"/>
      <c r="R114" s="500"/>
      <c r="S114" s="500"/>
      <c r="T114" s="500"/>
      <c r="U114" s="500"/>
      <c r="V114" s="500"/>
      <c r="W114" s="354"/>
      <c r="X114" s="351"/>
      <c r="Y114" s="351"/>
      <c r="Z114" s="351"/>
      <c r="AA114" s="351"/>
      <c r="AB114" s="351"/>
      <c r="AC114" s="351"/>
      <c r="AD114" s="351"/>
      <c r="AE114" s="351"/>
      <c r="AF114" s="351"/>
      <c r="AG114" s="2"/>
    </row>
    <row r="115" spans="1:33" ht="13.5" customHeight="1">
      <c r="A115" s="351"/>
      <c r="B115" s="500"/>
      <c r="C115" s="500"/>
      <c r="D115" s="500"/>
      <c r="E115" s="500"/>
      <c r="F115" s="500"/>
      <c r="G115" s="509"/>
      <c r="H115" s="500"/>
      <c r="I115" s="508"/>
      <c r="J115" s="508"/>
      <c r="K115" s="508"/>
      <c r="L115" s="508"/>
      <c r="M115" s="500"/>
      <c r="N115" s="500"/>
      <c r="O115" s="500"/>
      <c r="P115" s="500"/>
      <c r="Q115" s="500"/>
      <c r="R115" s="500"/>
      <c r="S115" s="500"/>
      <c r="T115" s="500"/>
      <c r="U115" s="500"/>
      <c r="V115" s="500"/>
      <c r="W115" s="354"/>
      <c r="X115" s="351"/>
      <c r="Y115" s="351"/>
      <c r="Z115" s="351"/>
      <c r="AA115" s="351"/>
      <c r="AB115" s="351"/>
      <c r="AC115" s="351"/>
      <c r="AD115" s="351"/>
      <c r="AE115" s="351"/>
      <c r="AF115" s="351"/>
      <c r="AG115" s="2"/>
    </row>
    <row r="116" spans="1:33" ht="13.5" customHeight="1">
      <c r="A116" s="351"/>
      <c r="B116" s="500"/>
      <c r="C116" s="500"/>
      <c r="D116" s="500"/>
      <c r="E116" s="500"/>
      <c r="F116" s="500"/>
      <c r="G116" s="509"/>
      <c r="H116" s="500"/>
      <c r="I116" s="508"/>
      <c r="J116" s="508"/>
      <c r="K116" s="508"/>
      <c r="L116" s="508"/>
      <c r="M116" s="500"/>
      <c r="N116" s="500"/>
      <c r="O116" s="500"/>
      <c r="P116" s="500"/>
      <c r="Q116" s="500"/>
      <c r="R116" s="500"/>
      <c r="S116" s="500"/>
      <c r="T116" s="500"/>
      <c r="U116" s="500"/>
      <c r="V116" s="500"/>
      <c r="W116" s="354"/>
      <c r="X116" s="351"/>
      <c r="Y116" s="351"/>
      <c r="Z116" s="351"/>
      <c r="AA116" s="351"/>
      <c r="AB116" s="351"/>
      <c r="AC116" s="351"/>
      <c r="AD116" s="351"/>
      <c r="AE116" s="351"/>
      <c r="AF116" s="351"/>
      <c r="AG116" s="2"/>
    </row>
    <row r="117" spans="1:33" ht="13.5" customHeight="1">
      <c r="A117" s="351"/>
      <c r="B117" s="500"/>
      <c r="C117" s="500"/>
      <c r="D117" s="500"/>
      <c r="E117" s="500"/>
      <c r="F117" s="500"/>
      <c r="G117" s="509"/>
      <c r="H117" s="500"/>
      <c r="I117" s="508"/>
      <c r="J117" s="508"/>
      <c r="K117" s="508"/>
      <c r="L117" s="508"/>
      <c r="M117" s="500"/>
      <c r="N117" s="500"/>
      <c r="O117" s="500"/>
      <c r="P117" s="500"/>
      <c r="Q117" s="500"/>
      <c r="R117" s="500"/>
      <c r="S117" s="500"/>
      <c r="T117" s="500"/>
      <c r="U117" s="500"/>
      <c r="V117" s="500"/>
      <c r="W117" s="354"/>
      <c r="X117" s="351"/>
      <c r="Y117" s="351"/>
      <c r="Z117" s="351"/>
      <c r="AA117" s="351"/>
      <c r="AB117" s="351"/>
      <c r="AC117" s="351"/>
      <c r="AD117" s="351"/>
      <c r="AE117" s="351"/>
      <c r="AF117" s="351"/>
      <c r="AG117" s="2"/>
    </row>
    <row r="118" spans="1:33" ht="13.5" customHeight="1">
      <c r="A118" s="351"/>
      <c r="B118" s="500"/>
      <c r="C118" s="500"/>
      <c r="D118" s="500"/>
      <c r="E118" s="500"/>
      <c r="F118" s="500"/>
      <c r="G118" s="509"/>
      <c r="H118" s="500"/>
      <c r="I118" s="508"/>
      <c r="J118" s="508"/>
      <c r="K118" s="508"/>
      <c r="L118" s="508"/>
      <c r="M118" s="500"/>
      <c r="N118" s="500"/>
      <c r="O118" s="500"/>
      <c r="P118" s="500"/>
      <c r="Q118" s="500"/>
      <c r="R118" s="500"/>
      <c r="S118" s="500"/>
      <c r="T118" s="500"/>
      <c r="U118" s="500"/>
      <c r="V118" s="500"/>
      <c r="W118" s="354"/>
      <c r="X118" s="351"/>
      <c r="Y118" s="351"/>
      <c r="Z118" s="351"/>
      <c r="AA118" s="351"/>
      <c r="AB118" s="351"/>
      <c r="AC118" s="351"/>
      <c r="AD118" s="351"/>
      <c r="AE118" s="351"/>
      <c r="AF118" s="351"/>
      <c r="AG118" s="2"/>
    </row>
    <row r="119" spans="1:33" ht="13.5" customHeight="1">
      <c r="A119" s="351"/>
      <c r="B119" s="500"/>
      <c r="C119" s="500"/>
      <c r="D119" s="500"/>
      <c r="E119" s="500"/>
      <c r="F119" s="500"/>
      <c r="G119" s="509"/>
      <c r="H119" s="500"/>
      <c r="I119" s="508"/>
      <c r="J119" s="508"/>
      <c r="K119" s="508"/>
      <c r="L119" s="508"/>
      <c r="M119" s="500"/>
      <c r="N119" s="500"/>
      <c r="O119" s="500"/>
      <c r="P119" s="500"/>
      <c r="Q119" s="500"/>
      <c r="R119" s="500"/>
      <c r="S119" s="500"/>
      <c r="T119" s="500"/>
      <c r="U119" s="500"/>
      <c r="V119" s="500"/>
      <c r="W119" s="354"/>
      <c r="X119" s="351"/>
      <c r="Y119" s="351"/>
      <c r="Z119" s="351"/>
      <c r="AA119" s="351"/>
      <c r="AB119" s="351"/>
      <c r="AC119" s="351"/>
      <c r="AD119" s="351"/>
      <c r="AE119" s="351"/>
      <c r="AF119" s="351"/>
      <c r="AG119" s="2"/>
    </row>
    <row r="120" spans="1:33" ht="13.5" customHeight="1">
      <c r="A120" s="351"/>
      <c r="B120" s="500"/>
      <c r="C120" s="500"/>
      <c r="D120" s="500"/>
      <c r="E120" s="500"/>
      <c r="F120" s="500"/>
      <c r="G120" s="509"/>
      <c r="H120" s="500"/>
      <c r="I120" s="508"/>
      <c r="J120" s="508"/>
      <c r="K120" s="508"/>
      <c r="L120" s="508"/>
      <c r="M120" s="500"/>
      <c r="N120" s="500"/>
      <c r="O120" s="500"/>
      <c r="P120" s="500"/>
      <c r="Q120" s="500"/>
      <c r="R120" s="500"/>
      <c r="S120" s="500"/>
      <c r="T120" s="500"/>
      <c r="U120" s="500"/>
      <c r="V120" s="500"/>
      <c r="W120" s="354"/>
      <c r="X120" s="351"/>
      <c r="Y120" s="351"/>
      <c r="Z120" s="351"/>
      <c r="AA120" s="351"/>
      <c r="AB120" s="351"/>
      <c r="AC120" s="351"/>
      <c r="AD120" s="351"/>
      <c r="AE120" s="351"/>
      <c r="AF120" s="351"/>
      <c r="AG120" s="2"/>
    </row>
    <row r="121" spans="1:33" ht="13.5" customHeight="1">
      <c r="A121" s="351"/>
      <c r="B121" s="500"/>
      <c r="C121" s="500"/>
      <c r="D121" s="500"/>
      <c r="E121" s="500"/>
      <c r="F121" s="500"/>
      <c r="G121" s="509"/>
      <c r="H121" s="500"/>
      <c r="I121" s="508"/>
      <c r="J121" s="508"/>
      <c r="K121" s="508"/>
      <c r="L121" s="508"/>
      <c r="M121" s="500"/>
      <c r="N121" s="500"/>
      <c r="O121" s="500"/>
      <c r="P121" s="500"/>
      <c r="Q121" s="500"/>
      <c r="R121" s="500"/>
      <c r="S121" s="500"/>
      <c r="T121" s="500"/>
      <c r="U121" s="500"/>
      <c r="V121" s="500"/>
      <c r="W121" s="354"/>
      <c r="X121" s="351"/>
      <c r="Y121" s="351"/>
      <c r="Z121" s="351"/>
      <c r="AA121" s="351"/>
      <c r="AB121" s="351"/>
      <c r="AC121" s="351"/>
      <c r="AD121" s="351"/>
      <c r="AE121" s="351"/>
      <c r="AF121" s="351"/>
      <c r="AG121" s="2"/>
    </row>
    <row r="122" spans="1:33" ht="13.5" customHeight="1">
      <c r="A122" s="351"/>
      <c r="B122" s="500"/>
      <c r="C122" s="500"/>
      <c r="D122" s="500"/>
      <c r="E122" s="500"/>
      <c r="F122" s="500"/>
      <c r="G122" s="509"/>
      <c r="H122" s="500"/>
      <c r="I122" s="508"/>
      <c r="J122" s="508"/>
      <c r="K122" s="508"/>
      <c r="L122" s="508"/>
      <c r="M122" s="500"/>
      <c r="N122" s="500"/>
      <c r="O122" s="500"/>
      <c r="P122" s="500"/>
      <c r="Q122" s="500"/>
      <c r="R122" s="500"/>
      <c r="S122" s="500"/>
      <c r="T122" s="500"/>
      <c r="U122" s="500"/>
      <c r="V122" s="500"/>
      <c r="W122" s="354"/>
      <c r="X122" s="351"/>
      <c r="Y122" s="351"/>
      <c r="Z122" s="351"/>
      <c r="AA122" s="351"/>
      <c r="AB122" s="351"/>
      <c r="AC122" s="351"/>
      <c r="AD122" s="351"/>
      <c r="AE122" s="351"/>
      <c r="AF122" s="351"/>
      <c r="AG122" s="2"/>
    </row>
    <row r="123" spans="1:33" ht="13.5" customHeight="1">
      <c r="A123" s="351"/>
      <c r="B123" s="500"/>
      <c r="C123" s="500"/>
      <c r="D123" s="500"/>
      <c r="E123" s="500"/>
      <c r="F123" s="500"/>
      <c r="G123" s="509"/>
      <c r="H123" s="500"/>
      <c r="I123" s="508"/>
      <c r="J123" s="508"/>
      <c r="K123" s="508"/>
      <c r="L123" s="508"/>
      <c r="M123" s="500"/>
      <c r="N123" s="500"/>
      <c r="O123" s="500"/>
      <c r="P123" s="500"/>
      <c r="Q123" s="500"/>
      <c r="R123" s="500"/>
      <c r="S123" s="500"/>
      <c r="T123" s="500"/>
      <c r="U123" s="500"/>
      <c r="V123" s="500"/>
      <c r="W123" s="354"/>
      <c r="X123" s="351"/>
      <c r="Y123" s="351"/>
      <c r="Z123" s="351"/>
      <c r="AA123" s="351"/>
      <c r="AB123" s="351"/>
      <c r="AC123" s="351"/>
      <c r="AD123" s="351"/>
      <c r="AE123" s="351"/>
      <c r="AF123" s="351"/>
      <c r="AG123" s="2"/>
    </row>
    <row r="124" spans="1:33" ht="13.5" customHeight="1">
      <c r="A124" s="351"/>
      <c r="B124" s="500"/>
      <c r="C124" s="500"/>
      <c r="D124" s="500"/>
      <c r="E124" s="500"/>
      <c r="F124" s="500"/>
      <c r="G124" s="509"/>
      <c r="H124" s="500"/>
      <c r="I124" s="508"/>
      <c r="J124" s="508"/>
      <c r="K124" s="508"/>
      <c r="L124" s="508"/>
      <c r="M124" s="500"/>
      <c r="N124" s="500"/>
      <c r="O124" s="500"/>
      <c r="P124" s="500"/>
      <c r="Q124" s="500"/>
      <c r="R124" s="500"/>
      <c r="S124" s="500"/>
      <c r="T124" s="500"/>
      <c r="U124" s="500"/>
      <c r="V124" s="500"/>
      <c r="W124" s="354"/>
      <c r="X124" s="351"/>
      <c r="Y124" s="351"/>
      <c r="Z124" s="351"/>
      <c r="AA124" s="351"/>
      <c r="AB124" s="351"/>
      <c r="AC124" s="351"/>
      <c r="AD124" s="351"/>
      <c r="AE124" s="351"/>
      <c r="AF124" s="351"/>
      <c r="AG124" s="2"/>
    </row>
    <row r="125" spans="1:33" ht="13.5" customHeight="1">
      <c r="A125" s="351"/>
      <c r="B125" s="500"/>
      <c r="C125" s="500"/>
      <c r="D125" s="500"/>
      <c r="E125" s="500"/>
      <c r="F125" s="500"/>
      <c r="G125" s="509"/>
      <c r="H125" s="500"/>
      <c r="I125" s="508"/>
      <c r="J125" s="508"/>
      <c r="K125" s="508"/>
      <c r="L125" s="508"/>
      <c r="M125" s="500"/>
      <c r="N125" s="500"/>
      <c r="O125" s="500"/>
      <c r="P125" s="500"/>
      <c r="Q125" s="500"/>
      <c r="R125" s="500"/>
      <c r="S125" s="500"/>
      <c r="T125" s="500"/>
      <c r="U125" s="500"/>
      <c r="V125" s="500"/>
      <c r="W125" s="354"/>
      <c r="X125" s="351"/>
      <c r="Y125" s="351"/>
      <c r="Z125" s="351"/>
      <c r="AA125" s="351"/>
      <c r="AB125" s="351"/>
      <c r="AC125" s="351"/>
      <c r="AD125" s="351"/>
      <c r="AE125" s="351"/>
      <c r="AF125" s="351"/>
      <c r="AG125" s="2"/>
    </row>
    <row r="126" spans="1:33" ht="13.5" customHeight="1">
      <c r="A126" s="351"/>
      <c r="B126" s="500"/>
      <c r="C126" s="500"/>
      <c r="D126" s="500"/>
      <c r="E126" s="500"/>
      <c r="F126" s="500"/>
      <c r="G126" s="509"/>
      <c r="H126" s="500"/>
      <c r="I126" s="508"/>
      <c r="J126" s="508"/>
      <c r="K126" s="508"/>
      <c r="L126" s="508"/>
      <c r="M126" s="500"/>
      <c r="N126" s="500"/>
      <c r="O126" s="500"/>
      <c r="P126" s="500"/>
      <c r="Q126" s="500"/>
      <c r="R126" s="500"/>
      <c r="S126" s="500"/>
      <c r="T126" s="500"/>
      <c r="U126" s="500"/>
      <c r="V126" s="500"/>
      <c r="W126" s="354"/>
      <c r="X126" s="351"/>
      <c r="Y126" s="351"/>
      <c r="Z126" s="351"/>
      <c r="AA126" s="351"/>
      <c r="AB126" s="351"/>
      <c r="AC126" s="351"/>
      <c r="AD126" s="351"/>
      <c r="AE126" s="351"/>
      <c r="AF126" s="351"/>
      <c r="AG126" s="2"/>
    </row>
    <row r="127" spans="1:33" ht="13.5" customHeight="1">
      <c r="A127" s="351"/>
      <c r="B127" s="500"/>
      <c r="C127" s="500"/>
      <c r="D127" s="500"/>
      <c r="E127" s="500"/>
      <c r="F127" s="500"/>
      <c r="G127" s="509"/>
      <c r="H127" s="500"/>
      <c r="I127" s="508"/>
      <c r="J127" s="508"/>
      <c r="K127" s="508"/>
      <c r="L127" s="508"/>
      <c r="M127" s="500"/>
      <c r="N127" s="500"/>
      <c r="O127" s="500"/>
      <c r="P127" s="500"/>
      <c r="Q127" s="500"/>
      <c r="R127" s="500"/>
      <c r="S127" s="500"/>
      <c r="T127" s="500"/>
      <c r="U127" s="500"/>
      <c r="V127" s="500"/>
      <c r="W127" s="354"/>
      <c r="X127" s="351"/>
      <c r="Y127" s="351"/>
      <c r="Z127" s="351"/>
      <c r="AA127" s="351"/>
      <c r="AB127" s="351"/>
      <c r="AC127" s="351"/>
      <c r="AD127" s="351"/>
      <c r="AE127" s="351"/>
      <c r="AF127" s="351"/>
      <c r="AG127" s="2"/>
    </row>
    <row r="128" spans="1:33" ht="13.5" customHeight="1">
      <c r="A128" s="351"/>
      <c r="B128" s="500"/>
      <c r="C128" s="500"/>
      <c r="D128" s="500"/>
      <c r="E128" s="500"/>
      <c r="F128" s="500"/>
      <c r="G128" s="509"/>
      <c r="H128" s="500"/>
      <c r="I128" s="508"/>
      <c r="J128" s="508"/>
      <c r="K128" s="508"/>
      <c r="L128" s="508"/>
      <c r="M128" s="500"/>
      <c r="N128" s="500"/>
      <c r="O128" s="500"/>
      <c r="P128" s="500"/>
      <c r="Q128" s="500"/>
      <c r="R128" s="500"/>
      <c r="S128" s="500"/>
      <c r="T128" s="500"/>
      <c r="U128" s="500"/>
      <c r="V128" s="500"/>
      <c r="W128" s="354"/>
      <c r="X128" s="351"/>
      <c r="Y128" s="351"/>
      <c r="Z128" s="351"/>
      <c r="AA128" s="351"/>
      <c r="AB128" s="351"/>
      <c r="AC128" s="351"/>
      <c r="AD128" s="351"/>
      <c r="AE128" s="351"/>
      <c r="AF128" s="351"/>
      <c r="AG128" s="2"/>
    </row>
    <row r="129" spans="1:33" ht="13.5" customHeight="1">
      <c r="A129" s="351"/>
      <c r="B129" s="500"/>
      <c r="C129" s="500"/>
      <c r="D129" s="500"/>
      <c r="E129" s="500"/>
      <c r="F129" s="500"/>
      <c r="G129" s="509"/>
      <c r="H129" s="500"/>
      <c r="I129" s="508"/>
      <c r="J129" s="508"/>
      <c r="K129" s="508"/>
      <c r="L129" s="508"/>
      <c r="M129" s="500"/>
      <c r="N129" s="500"/>
      <c r="O129" s="500"/>
      <c r="P129" s="500"/>
      <c r="Q129" s="500"/>
      <c r="R129" s="500"/>
      <c r="S129" s="500"/>
      <c r="T129" s="500"/>
      <c r="U129" s="500"/>
      <c r="V129" s="500"/>
      <c r="W129" s="354"/>
      <c r="X129" s="351"/>
      <c r="Y129" s="351"/>
      <c r="Z129" s="351"/>
      <c r="AA129" s="351"/>
      <c r="AB129" s="351"/>
      <c r="AC129" s="351"/>
      <c r="AD129" s="351"/>
      <c r="AE129" s="351"/>
      <c r="AF129" s="351"/>
      <c r="AG129" s="2"/>
    </row>
    <row r="130" spans="1:33" ht="13.5" customHeight="1">
      <c r="A130" s="351"/>
      <c r="B130" s="500"/>
      <c r="C130" s="500"/>
      <c r="D130" s="500"/>
      <c r="E130" s="500"/>
      <c r="F130" s="500"/>
      <c r="G130" s="509"/>
      <c r="H130" s="500"/>
      <c r="I130" s="508"/>
      <c r="J130" s="508"/>
      <c r="K130" s="508"/>
      <c r="L130" s="508"/>
      <c r="M130" s="500"/>
      <c r="N130" s="500"/>
      <c r="O130" s="500"/>
      <c r="P130" s="500"/>
      <c r="Q130" s="500"/>
      <c r="R130" s="500"/>
      <c r="S130" s="500"/>
      <c r="T130" s="500"/>
      <c r="U130" s="500"/>
      <c r="V130" s="500"/>
      <c r="W130" s="354"/>
      <c r="X130" s="351"/>
      <c r="Y130" s="351"/>
      <c r="Z130" s="351"/>
      <c r="AA130" s="351"/>
      <c r="AB130" s="351"/>
      <c r="AC130" s="351"/>
      <c r="AD130" s="351"/>
      <c r="AE130" s="351"/>
      <c r="AF130" s="351"/>
      <c r="AG130" s="2"/>
    </row>
    <row r="131" spans="1:33" ht="13.5" customHeight="1">
      <c r="A131" s="351"/>
      <c r="B131" s="500"/>
      <c r="C131" s="500"/>
      <c r="D131" s="500"/>
      <c r="E131" s="500"/>
      <c r="F131" s="500"/>
      <c r="G131" s="509"/>
      <c r="H131" s="500"/>
      <c r="I131" s="508"/>
      <c r="J131" s="508"/>
      <c r="K131" s="508"/>
      <c r="L131" s="508"/>
      <c r="M131" s="500"/>
      <c r="N131" s="500"/>
      <c r="O131" s="500"/>
      <c r="P131" s="500"/>
      <c r="Q131" s="500"/>
      <c r="R131" s="500"/>
      <c r="S131" s="500"/>
      <c r="T131" s="500"/>
      <c r="U131" s="500"/>
      <c r="V131" s="500"/>
      <c r="W131" s="354"/>
      <c r="X131" s="351"/>
      <c r="Y131" s="351"/>
      <c r="Z131" s="351"/>
      <c r="AA131" s="351"/>
      <c r="AB131" s="351"/>
      <c r="AC131" s="351"/>
      <c r="AD131" s="351"/>
      <c r="AE131" s="351"/>
      <c r="AF131" s="351"/>
      <c r="AG131" s="2"/>
    </row>
    <row r="132" spans="1:33" ht="13.5" customHeight="1">
      <c r="A132" s="351"/>
      <c r="B132" s="500"/>
      <c r="C132" s="500"/>
      <c r="D132" s="500"/>
      <c r="E132" s="500"/>
      <c r="F132" s="500"/>
      <c r="G132" s="509"/>
      <c r="H132" s="500"/>
      <c r="I132" s="508"/>
      <c r="J132" s="508"/>
      <c r="K132" s="508"/>
      <c r="L132" s="508"/>
      <c r="M132" s="500"/>
      <c r="N132" s="500"/>
      <c r="O132" s="500"/>
      <c r="P132" s="500"/>
      <c r="Q132" s="500"/>
      <c r="R132" s="500"/>
      <c r="S132" s="500"/>
      <c r="T132" s="500"/>
      <c r="U132" s="500"/>
      <c r="V132" s="500"/>
      <c r="W132" s="354"/>
      <c r="X132" s="351"/>
      <c r="Y132" s="351"/>
      <c r="Z132" s="351"/>
      <c r="AA132" s="351"/>
      <c r="AB132" s="351"/>
      <c r="AC132" s="351"/>
      <c r="AD132" s="351"/>
      <c r="AE132" s="351"/>
      <c r="AF132" s="351"/>
      <c r="AG132" s="2"/>
    </row>
    <row r="133" spans="1:33" ht="13.5" customHeight="1">
      <c r="A133" s="351"/>
      <c r="B133" s="500"/>
      <c r="C133" s="500"/>
      <c r="D133" s="500"/>
      <c r="E133" s="500"/>
      <c r="F133" s="500"/>
      <c r="G133" s="509"/>
      <c r="H133" s="500"/>
      <c r="I133" s="508"/>
      <c r="J133" s="508"/>
      <c r="K133" s="508"/>
      <c r="L133" s="508"/>
      <c r="M133" s="500"/>
      <c r="N133" s="500"/>
      <c r="O133" s="500"/>
      <c r="P133" s="500"/>
      <c r="Q133" s="500"/>
      <c r="R133" s="500"/>
      <c r="S133" s="500"/>
      <c r="T133" s="500"/>
      <c r="U133" s="500"/>
      <c r="V133" s="500"/>
      <c r="W133" s="354"/>
      <c r="X133" s="351"/>
      <c r="Y133" s="351"/>
      <c r="Z133" s="351"/>
      <c r="AA133" s="351"/>
      <c r="AB133" s="351"/>
      <c r="AC133" s="351"/>
      <c r="AD133" s="351"/>
      <c r="AE133" s="351"/>
      <c r="AF133" s="351"/>
      <c r="AG133" s="2"/>
    </row>
    <row r="134" spans="1:33" ht="13.5" customHeight="1">
      <c r="A134" s="351"/>
      <c r="B134" s="500"/>
      <c r="C134" s="500"/>
      <c r="D134" s="500"/>
      <c r="E134" s="500"/>
      <c r="F134" s="500"/>
      <c r="G134" s="509"/>
      <c r="H134" s="500"/>
      <c r="I134" s="508"/>
      <c r="J134" s="508"/>
      <c r="K134" s="508"/>
      <c r="L134" s="508"/>
      <c r="M134" s="500"/>
      <c r="N134" s="500"/>
      <c r="O134" s="500"/>
      <c r="P134" s="500"/>
      <c r="Q134" s="500"/>
      <c r="R134" s="500"/>
      <c r="S134" s="500"/>
      <c r="T134" s="500"/>
      <c r="U134" s="500"/>
      <c r="V134" s="500"/>
      <c r="W134" s="354"/>
      <c r="X134" s="351"/>
      <c r="Y134" s="351"/>
      <c r="Z134" s="351"/>
      <c r="AA134" s="351"/>
      <c r="AB134" s="351"/>
      <c r="AC134" s="351"/>
      <c r="AD134" s="351"/>
      <c r="AE134" s="351"/>
      <c r="AF134" s="351"/>
      <c r="AG134" s="2"/>
    </row>
    <row r="135" spans="1:33" ht="13.5" customHeight="1">
      <c r="A135" s="351"/>
      <c r="B135" s="500"/>
      <c r="C135" s="500"/>
      <c r="D135" s="500"/>
      <c r="E135" s="500"/>
      <c r="F135" s="500"/>
      <c r="G135" s="509"/>
      <c r="H135" s="500"/>
      <c r="I135" s="508"/>
      <c r="J135" s="508"/>
      <c r="K135" s="508"/>
      <c r="L135" s="508"/>
      <c r="M135" s="500"/>
      <c r="N135" s="500"/>
      <c r="O135" s="500"/>
      <c r="P135" s="500"/>
      <c r="Q135" s="500"/>
      <c r="R135" s="500"/>
      <c r="S135" s="500"/>
      <c r="T135" s="500"/>
      <c r="U135" s="500"/>
      <c r="V135" s="500"/>
      <c r="W135" s="354"/>
      <c r="X135" s="351"/>
      <c r="Y135" s="351"/>
      <c r="Z135" s="351"/>
      <c r="AA135" s="351"/>
      <c r="AB135" s="351"/>
      <c r="AC135" s="351"/>
      <c r="AD135" s="351"/>
      <c r="AE135" s="351"/>
      <c r="AF135" s="351"/>
      <c r="AG135" s="2"/>
    </row>
    <row r="136" spans="1:33" ht="13.5" customHeight="1">
      <c r="A136" s="351"/>
      <c r="B136" s="500"/>
      <c r="C136" s="500"/>
      <c r="D136" s="500"/>
      <c r="E136" s="500"/>
      <c r="F136" s="500"/>
      <c r="G136" s="509"/>
      <c r="H136" s="500"/>
      <c r="I136" s="508"/>
      <c r="J136" s="508"/>
      <c r="K136" s="508"/>
      <c r="L136" s="508"/>
      <c r="M136" s="500"/>
      <c r="N136" s="500"/>
      <c r="O136" s="500"/>
      <c r="P136" s="500"/>
      <c r="Q136" s="500"/>
      <c r="R136" s="500"/>
      <c r="S136" s="500"/>
      <c r="T136" s="500"/>
      <c r="U136" s="500"/>
      <c r="V136" s="500"/>
      <c r="W136" s="354"/>
      <c r="X136" s="351"/>
      <c r="Y136" s="351"/>
      <c r="Z136" s="351"/>
      <c r="AA136" s="351"/>
      <c r="AB136" s="351"/>
      <c r="AC136" s="351"/>
      <c r="AD136" s="351"/>
      <c r="AE136" s="351"/>
      <c r="AF136" s="351"/>
      <c r="AG136" s="2"/>
    </row>
    <row r="137" spans="1:33" ht="13.5" customHeight="1">
      <c r="A137" s="351"/>
      <c r="B137" s="500"/>
      <c r="C137" s="500"/>
      <c r="D137" s="500"/>
      <c r="E137" s="500"/>
      <c r="F137" s="500"/>
      <c r="G137" s="509"/>
      <c r="H137" s="500"/>
      <c r="I137" s="508"/>
      <c r="J137" s="508"/>
      <c r="K137" s="508"/>
      <c r="L137" s="508"/>
      <c r="M137" s="500"/>
      <c r="N137" s="500"/>
      <c r="O137" s="500"/>
      <c r="P137" s="500"/>
      <c r="Q137" s="500"/>
      <c r="R137" s="500"/>
      <c r="S137" s="500"/>
      <c r="T137" s="500"/>
      <c r="U137" s="500"/>
      <c r="V137" s="500"/>
      <c r="W137" s="354"/>
      <c r="X137" s="351"/>
      <c r="Y137" s="351"/>
      <c r="Z137" s="351"/>
      <c r="AA137" s="351"/>
      <c r="AB137" s="351"/>
      <c r="AC137" s="351"/>
      <c r="AD137" s="351"/>
      <c r="AE137" s="351"/>
      <c r="AF137" s="351"/>
      <c r="AG137" s="2"/>
    </row>
    <row r="138" spans="1:33" ht="13.5" customHeight="1">
      <c r="A138" s="351"/>
      <c r="B138" s="500"/>
      <c r="C138" s="500"/>
      <c r="D138" s="500"/>
      <c r="E138" s="500"/>
      <c r="F138" s="500"/>
      <c r="G138" s="509"/>
      <c r="H138" s="500"/>
      <c r="I138" s="508"/>
      <c r="J138" s="508"/>
      <c r="K138" s="508"/>
      <c r="L138" s="508"/>
      <c r="M138" s="500"/>
      <c r="N138" s="500"/>
      <c r="O138" s="500"/>
      <c r="P138" s="500"/>
      <c r="Q138" s="500"/>
      <c r="R138" s="500"/>
      <c r="S138" s="500"/>
      <c r="T138" s="500"/>
      <c r="U138" s="500"/>
      <c r="V138" s="500"/>
      <c r="W138" s="354"/>
      <c r="X138" s="351"/>
      <c r="Y138" s="351"/>
      <c r="Z138" s="351"/>
      <c r="AA138" s="351"/>
      <c r="AB138" s="351"/>
      <c r="AC138" s="351"/>
      <c r="AD138" s="351"/>
      <c r="AE138" s="351"/>
      <c r="AF138" s="351"/>
      <c r="AG138" s="2"/>
    </row>
    <row r="139" spans="1:33" ht="13.5" customHeight="1">
      <c r="A139" s="351"/>
      <c r="B139" s="500"/>
      <c r="C139" s="500"/>
      <c r="D139" s="500"/>
      <c r="E139" s="500"/>
      <c r="F139" s="500"/>
      <c r="G139" s="509"/>
      <c r="H139" s="500"/>
      <c r="I139" s="508"/>
      <c r="J139" s="508"/>
      <c r="K139" s="508"/>
      <c r="L139" s="508"/>
      <c r="M139" s="500"/>
      <c r="N139" s="500"/>
      <c r="O139" s="500"/>
      <c r="P139" s="500"/>
      <c r="Q139" s="500"/>
      <c r="R139" s="500"/>
      <c r="S139" s="500"/>
      <c r="T139" s="500"/>
      <c r="U139" s="500"/>
      <c r="V139" s="500"/>
      <c r="W139" s="354"/>
      <c r="X139" s="351"/>
      <c r="Y139" s="351"/>
      <c r="Z139" s="351"/>
      <c r="AA139" s="351"/>
      <c r="AB139" s="351"/>
      <c r="AC139" s="351"/>
      <c r="AD139" s="351"/>
      <c r="AE139" s="351"/>
      <c r="AF139" s="351"/>
      <c r="AG139" s="2"/>
    </row>
    <row r="140" spans="1:33" ht="13.5" customHeight="1">
      <c r="A140" s="351"/>
      <c r="B140" s="500"/>
      <c r="C140" s="500"/>
      <c r="D140" s="500"/>
      <c r="E140" s="500"/>
      <c r="F140" s="500"/>
      <c r="G140" s="509"/>
      <c r="H140" s="500"/>
      <c r="I140" s="508"/>
      <c r="J140" s="508"/>
      <c r="K140" s="508"/>
      <c r="L140" s="508"/>
      <c r="M140" s="500"/>
      <c r="N140" s="500"/>
      <c r="O140" s="500"/>
      <c r="P140" s="500"/>
      <c r="Q140" s="500"/>
      <c r="R140" s="500"/>
      <c r="S140" s="500"/>
      <c r="T140" s="500"/>
      <c r="U140" s="500"/>
      <c r="V140" s="500"/>
      <c r="W140" s="354"/>
      <c r="X140" s="351"/>
      <c r="Y140" s="351"/>
      <c r="Z140" s="351"/>
      <c r="AA140" s="351"/>
      <c r="AB140" s="351"/>
      <c r="AC140" s="351"/>
      <c r="AD140" s="351"/>
      <c r="AE140" s="351"/>
      <c r="AF140" s="351"/>
      <c r="AG140" s="2"/>
    </row>
    <row r="141" spans="1:33" ht="13.5" customHeight="1">
      <c r="A141" s="351"/>
      <c r="B141" s="500"/>
      <c r="C141" s="500"/>
      <c r="D141" s="500"/>
      <c r="E141" s="500"/>
      <c r="F141" s="500"/>
      <c r="G141" s="509"/>
      <c r="H141" s="500"/>
      <c r="I141" s="508"/>
      <c r="J141" s="508"/>
      <c r="K141" s="508"/>
      <c r="L141" s="508"/>
      <c r="M141" s="500"/>
      <c r="N141" s="500"/>
      <c r="O141" s="500"/>
      <c r="P141" s="500"/>
      <c r="Q141" s="500"/>
      <c r="R141" s="500"/>
      <c r="S141" s="500"/>
      <c r="T141" s="500"/>
      <c r="U141" s="500"/>
      <c r="V141" s="500"/>
      <c r="W141" s="354"/>
      <c r="X141" s="351"/>
      <c r="Y141" s="351"/>
      <c r="Z141" s="351"/>
      <c r="AA141" s="351"/>
      <c r="AB141" s="351"/>
      <c r="AC141" s="351"/>
      <c r="AD141" s="351"/>
      <c r="AE141" s="351"/>
      <c r="AF141" s="351"/>
      <c r="AG141" s="2"/>
    </row>
    <row r="142" spans="1:33" ht="13.5" customHeight="1">
      <c r="A142" s="351"/>
      <c r="B142" s="500"/>
      <c r="C142" s="500"/>
      <c r="D142" s="500"/>
      <c r="E142" s="500"/>
      <c r="F142" s="500"/>
      <c r="G142" s="509"/>
      <c r="H142" s="500"/>
      <c r="I142" s="508"/>
      <c r="J142" s="508"/>
      <c r="K142" s="508"/>
      <c r="L142" s="508"/>
      <c r="M142" s="500"/>
      <c r="N142" s="500"/>
      <c r="O142" s="500"/>
      <c r="P142" s="500"/>
      <c r="Q142" s="500"/>
      <c r="R142" s="500"/>
      <c r="S142" s="500"/>
      <c r="T142" s="500"/>
      <c r="U142" s="500"/>
      <c r="V142" s="500"/>
      <c r="W142" s="354"/>
      <c r="X142" s="351"/>
      <c r="Y142" s="351"/>
      <c r="Z142" s="351"/>
      <c r="AA142" s="351"/>
      <c r="AB142" s="351"/>
      <c r="AC142" s="351"/>
      <c r="AD142" s="351"/>
      <c r="AE142" s="351"/>
      <c r="AF142" s="351"/>
      <c r="AG142" s="2"/>
    </row>
    <row r="143" spans="1:33" ht="13.5" customHeight="1">
      <c r="A143" s="351"/>
      <c r="B143" s="500"/>
      <c r="C143" s="500"/>
      <c r="D143" s="500"/>
      <c r="E143" s="500"/>
      <c r="F143" s="500"/>
      <c r="G143" s="509"/>
      <c r="H143" s="500"/>
      <c r="I143" s="508"/>
      <c r="J143" s="508"/>
      <c r="K143" s="508"/>
      <c r="L143" s="508"/>
      <c r="M143" s="500"/>
      <c r="N143" s="500"/>
      <c r="O143" s="500"/>
      <c r="P143" s="500"/>
      <c r="Q143" s="500"/>
      <c r="R143" s="500"/>
      <c r="S143" s="500"/>
      <c r="T143" s="500"/>
      <c r="U143" s="500"/>
      <c r="V143" s="500"/>
      <c r="W143" s="354"/>
      <c r="X143" s="351"/>
      <c r="Y143" s="351"/>
      <c r="Z143" s="351"/>
      <c r="AA143" s="351"/>
      <c r="AB143" s="351"/>
      <c r="AC143" s="351"/>
      <c r="AD143" s="351"/>
      <c r="AE143" s="351"/>
      <c r="AF143" s="351"/>
      <c r="AG143" s="2"/>
    </row>
    <row r="144" spans="1:33" ht="13.5" customHeight="1">
      <c r="A144" s="351"/>
      <c r="B144" s="500"/>
      <c r="C144" s="500"/>
      <c r="D144" s="500"/>
      <c r="E144" s="500"/>
      <c r="F144" s="500"/>
      <c r="G144" s="509"/>
      <c r="H144" s="500"/>
      <c r="I144" s="508"/>
      <c r="J144" s="508"/>
      <c r="K144" s="508"/>
      <c r="L144" s="508"/>
      <c r="M144" s="500"/>
      <c r="N144" s="500"/>
      <c r="O144" s="500"/>
      <c r="P144" s="500"/>
      <c r="Q144" s="500"/>
      <c r="R144" s="500"/>
      <c r="S144" s="500"/>
      <c r="T144" s="500"/>
      <c r="U144" s="500"/>
      <c r="V144" s="500"/>
      <c r="W144" s="354"/>
      <c r="X144" s="351"/>
      <c r="Y144" s="351"/>
      <c r="Z144" s="351"/>
      <c r="AA144" s="351"/>
      <c r="AB144" s="351"/>
      <c r="AC144" s="351"/>
      <c r="AD144" s="351"/>
      <c r="AE144" s="351"/>
      <c r="AF144" s="351"/>
      <c r="AG144" s="2"/>
    </row>
    <row r="145" spans="1:33" ht="13.5" customHeight="1">
      <c r="A145" s="351"/>
      <c r="B145" s="500"/>
      <c r="C145" s="500"/>
      <c r="D145" s="500"/>
      <c r="E145" s="500"/>
      <c r="F145" s="500"/>
      <c r="G145" s="509"/>
      <c r="H145" s="500"/>
      <c r="I145" s="508"/>
      <c r="J145" s="508"/>
      <c r="K145" s="508"/>
      <c r="L145" s="508"/>
      <c r="M145" s="500"/>
      <c r="N145" s="500"/>
      <c r="O145" s="500"/>
      <c r="P145" s="500"/>
      <c r="Q145" s="500"/>
      <c r="R145" s="500"/>
      <c r="S145" s="500"/>
      <c r="T145" s="500"/>
      <c r="U145" s="500"/>
      <c r="V145" s="500"/>
      <c r="W145" s="354"/>
      <c r="X145" s="351"/>
      <c r="Y145" s="351"/>
      <c r="Z145" s="351"/>
      <c r="AA145" s="351"/>
      <c r="AB145" s="351"/>
      <c r="AC145" s="351"/>
      <c r="AD145" s="351"/>
      <c r="AE145" s="351"/>
      <c r="AF145" s="351"/>
      <c r="AG145" s="2"/>
    </row>
    <row r="146" spans="1:33" ht="13.5" customHeight="1">
      <c r="A146" s="351"/>
      <c r="B146" s="500"/>
      <c r="C146" s="500"/>
      <c r="D146" s="500"/>
      <c r="E146" s="500"/>
      <c r="F146" s="500"/>
      <c r="G146" s="509"/>
      <c r="H146" s="500"/>
      <c r="I146" s="508"/>
      <c r="J146" s="508"/>
      <c r="K146" s="508"/>
      <c r="L146" s="508"/>
      <c r="M146" s="500"/>
      <c r="N146" s="500"/>
      <c r="O146" s="500"/>
      <c r="P146" s="500"/>
      <c r="Q146" s="500"/>
      <c r="R146" s="500"/>
      <c r="S146" s="500"/>
      <c r="T146" s="500"/>
      <c r="U146" s="500"/>
      <c r="V146" s="500"/>
      <c r="W146" s="354"/>
      <c r="X146" s="351"/>
      <c r="Y146" s="351"/>
      <c r="Z146" s="351"/>
      <c r="AA146" s="351"/>
      <c r="AB146" s="351"/>
      <c r="AC146" s="351"/>
      <c r="AD146" s="351"/>
      <c r="AE146" s="351"/>
      <c r="AF146" s="351"/>
      <c r="AG146" s="2"/>
    </row>
    <row r="147" spans="1:33" ht="13.5" customHeight="1">
      <c r="A147" s="351"/>
      <c r="B147" s="500"/>
      <c r="C147" s="500"/>
      <c r="D147" s="500"/>
      <c r="E147" s="500"/>
      <c r="F147" s="500"/>
      <c r="G147" s="509"/>
      <c r="H147" s="500"/>
      <c r="I147" s="508"/>
      <c r="J147" s="508"/>
      <c r="K147" s="508"/>
      <c r="L147" s="508"/>
      <c r="M147" s="500"/>
      <c r="N147" s="500"/>
      <c r="O147" s="500"/>
      <c r="P147" s="500"/>
      <c r="Q147" s="500"/>
      <c r="R147" s="500"/>
      <c r="S147" s="500"/>
      <c r="T147" s="500"/>
      <c r="U147" s="500"/>
      <c r="V147" s="500"/>
      <c r="W147" s="354"/>
      <c r="X147" s="351"/>
      <c r="Y147" s="351"/>
      <c r="Z147" s="351"/>
      <c r="AA147" s="351"/>
      <c r="AB147" s="351"/>
      <c r="AC147" s="351"/>
      <c r="AD147" s="351"/>
      <c r="AE147" s="351"/>
      <c r="AF147" s="351"/>
      <c r="AG147" s="2"/>
    </row>
    <row r="148" spans="1:33" ht="13.5" customHeight="1">
      <c r="A148" s="351"/>
      <c r="B148" s="500"/>
      <c r="C148" s="500"/>
      <c r="D148" s="500"/>
      <c r="E148" s="500"/>
      <c r="F148" s="500"/>
      <c r="G148" s="509"/>
      <c r="H148" s="500"/>
      <c r="I148" s="508"/>
      <c r="J148" s="508"/>
      <c r="K148" s="508"/>
      <c r="L148" s="508"/>
      <c r="M148" s="500"/>
      <c r="N148" s="500"/>
      <c r="O148" s="500"/>
      <c r="P148" s="500"/>
      <c r="Q148" s="500"/>
      <c r="R148" s="500"/>
      <c r="S148" s="500"/>
      <c r="T148" s="500"/>
      <c r="U148" s="500"/>
      <c r="V148" s="500"/>
      <c r="W148" s="354"/>
      <c r="X148" s="351"/>
      <c r="Y148" s="351"/>
      <c r="Z148" s="351"/>
      <c r="AA148" s="351"/>
      <c r="AB148" s="351"/>
      <c r="AC148" s="351"/>
      <c r="AD148" s="351"/>
      <c r="AE148" s="351"/>
      <c r="AF148" s="351"/>
      <c r="AG148" s="2"/>
    </row>
    <row r="149" spans="1:33" ht="13.5" customHeight="1">
      <c r="A149" s="351"/>
      <c r="B149" s="500"/>
      <c r="C149" s="500"/>
      <c r="D149" s="500"/>
      <c r="E149" s="500"/>
      <c r="F149" s="500"/>
      <c r="G149" s="509"/>
      <c r="H149" s="500"/>
      <c r="I149" s="508"/>
      <c r="J149" s="508"/>
      <c r="K149" s="508"/>
      <c r="L149" s="508"/>
      <c r="M149" s="500"/>
      <c r="N149" s="500"/>
      <c r="O149" s="500"/>
      <c r="P149" s="500"/>
      <c r="Q149" s="500"/>
      <c r="R149" s="500"/>
      <c r="S149" s="500"/>
      <c r="T149" s="500"/>
      <c r="U149" s="500"/>
      <c r="V149" s="500"/>
      <c r="W149" s="354"/>
      <c r="X149" s="351"/>
      <c r="Y149" s="351"/>
      <c r="Z149" s="351"/>
      <c r="AA149" s="351"/>
      <c r="AB149" s="351"/>
      <c r="AC149" s="351"/>
      <c r="AD149" s="351"/>
      <c r="AE149" s="351"/>
      <c r="AF149" s="351"/>
      <c r="AG149" s="2"/>
    </row>
    <row r="150" spans="1:33" ht="13.5" customHeight="1">
      <c r="A150" s="351"/>
      <c r="B150" s="500"/>
      <c r="C150" s="500"/>
      <c r="D150" s="500"/>
      <c r="E150" s="500"/>
      <c r="F150" s="500"/>
      <c r="G150" s="509"/>
      <c r="H150" s="500"/>
      <c r="I150" s="508"/>
      <c r="J150" s="508"/>
      <c r="K150" s="508"/>
      <c r="L150" s="508"/>
      <c r="M150" s="500"/>
      <c r="N150" s="500"/>
      <c r="O150" s="500"/>
      <c r="P150" s="500"/>
      <c r="Q150" s="500"/>
      <c r="R150" s="500"/>
      <c r="S150" s="500"/>
      <c r="T150" s="500"/>
      <c r="U150" s="500"/>
      <c r="V150" s="500"/>
      <c r="W150" s="354"/>
      <c r="X150" s="351"/>
      <c r="Y150" s="351"/>
      <c r="Z150" s="351"/>
      <c r="AA150" s="351"/>
      <c r="AB150" s="351"/>
      <c r="AC150" s="351"/>
      <c r="AD150" s="351"/>
      <c r="AE150" s="351"/>
      <c r="AF150" s="351"/>
      <c r="AG150" s="2"/>
    </row>
    <row r="151" spans="1:33" ht="13.5" customHeight="1">
      <c r="A151" s="351"/>
      <c r="B151" s="500"/>
      <c r="C151" s="500"/>
      <c r="D151" s="500"/>
      <c r="E151" s="500"/>
      <c r="F151" s="500"/>
      <c r="G151" s="509"/>
      <c r="H151" s="500"/>
      <c r="I151" s="508"/>
      <c r="J151" s="508"/>
      <c r="K151" s="508"/>
      <c r="L151" s="508"/>
      <c r="M151" s="500"/>
      <c r="N151" s="500"/>
      <c r="O151" s="500"/>
      <c r="P151" s="500"/>
      <c r="Q151" s="500"/>
      <c r="R151" s="500"/>
      <c r="S151" s="500"/>
      <c r="T151" s="500"/>
      <c r="U151" s="500"/>
      <c r="V151" s="500"/>
      <c r="W151" s="354"/>
      <c r="X151" s="351"/>
      <c r="Y151" s="351"/>
      <c r="Z151" s="351"/>
      <c r="AA151" s="351"/>
      <c r="AB151" s="351"/>
      <c r="AC151" s="351"/>
      <c r="AD151" s="351"/>
      <c r="AE151" s="351"/>
      <c r="AF151" s="351"/>
      <c r="AG151" s="2"/>
    </row>
    <row r="152" spans="1:33" ht="13.5" customHeight="1">
      <c r="A152" s="351"/>
      <c r="B152" s="500"/>
      <c r="C152" s="500"/>
      <c r="D152" s="500"/>
      <c r="E152" s="500"/>
      <c r="F152" s="500"/>
      <c r="G152" s="509"/>
      <c r="H152" s="500"/>
      <c r="I152" s="508"/>
      <c r="J152" s="508"/>
      <c r="K152" s="508"/>
      <c r="L152" s="508"/>
      <c r="M152" s="500"/>
      <c r="N152" s="500"/>
      <c r="O152" s="500"/>
      <c r="P152" s="500"/>
      <c r="Q152" s="500"/>
      <c r="R152" s="500"/>
      <c r="S152" s="500"/>
      <c r="T152" s="500"/>
      <c r="U152" s="500"/>
      <c r="V152" s="500"/>
      <c r="W152" s="354"/>
      <c r="X152" s="351"/>
      <c r="Y152" s="351"/>
      <c r="Z152" s="351"/>
      <c r="AA152" s="351"/>
      <c r="AB152" s="351"/>
      <c r="AC152" s="351"/>
      <c r="AD152" s="351"/>
      <c r="AE152" s="351"/>
      <c r="AF152" s="351"/>
      <c r="AG152" s="2"/>
    </row>
    <row r="153" spans="1:33" ht="13.5" customHeight="1">
      <c r="A153" s="351"/>
      <c r="B153" s="500"/>
      <c r="C153" s="500"/>
      <c r="D153" s="500"/>
      <c r="E153" s="500"/>
      <c r="F153" s="500"/>
      <c r="G153" s="509"/>
      <c r="H153" s="500"/>
      <c r="I153" s="508"/>
      <c r="J153" s="508"/>
      <c r="K153" s="508"/>
      <c r="L153" s="508"/>
      <c r="M153" s="500"/>
      <c r="N153" s="500"/>
      <c r="O153" s="500"/>
      <c r="P153" s="500"/>
      <c r="Q153" s="500"/>
      <c r="R153" s="500"/>
      <c r="S153" s="500"/>
      <c r="T153" s="500"/>
      <c r="U153" s="500"/>
      <c r="V153" s="500"/>
      <c r="W153" s="354"/>
      <c r="X153" s="351"/>
      <c r="Y153" s="351"/>
      <c r="Z153" s="351"/>
      <c r="AA153" s="351"/>
      <c r="AB153" s="351"/>
      <c r="AC153" s="351"/>
      <c r="AD153" s="351"/>
      <c r="AE153" s="351"/>
      <c r="AF153" s="351"/>
      <c r="AG153" s="2"/>
    </row>
    <row r="154" spans="1:33" ht="13.5" customHeight="1">
      <c r="A154" s="351"/>
      <c r="B154" s="500"/>
      <c r="C154" s="500"/>
      <c r="D154" s="500"/>
      <c r="E154" s="500"/>
      <c r="F154" s="500"/>
      <c r="G154" s="509"/>
      <c r="H154" s="500"/>
      <c r="I154" s="508"/>
      <c r="J154" s="508"/>
      <c r="K154" s="508"/>
      <c r="L154" s="508"/>
      <c r="M154" s="500"/>
      <c r="N154" s="500"/>
      <c r="O154" s="500"/>
      <c r="P154" s="500"/>
      <c r="Q154" s="500"/>
      <c r="R154" s="500"/>
      <c r="S154" s="500"/>
      <c r="T154" s="500"/>
      <c r="U154" s="500"/>
      <c r="V154" s="500"/>
      <c r="W154" s="354"/>
      <c r="X154" s="351"/>
      <c r="Y154" s="351"/>
      <c r="Z154" s="351"/>
      <c r="AA154" s="351"/>
      <c r="AB154" s="351"/>
      <c r="AC154" s="351"/>
      <c r="AD154" s="351"/>
      <c r="AE154" s="351"/>
      <c r="AF154" s="351"/>
      <c r="AG154" s="2"/>
    </row>
    <row r="155" spans="1:33" ht="13.5" customHeight="1">
      <c r="A155" s="351"/>
      <c r="B155" s="500"/>
      <c r="C155" s="500"/>
      <c r="D155" s="500"/>
      <c r="E155" s="500"/>
      <c r="F155" s="500"/>
      <c r="G155" s="509"/>
      <c r="H155" s="500"/>
      <c r="I155" s="508"/>
      <c r="J155" s="508"/>
      <c r="K155" s="508"/>
      <c r="L155" s="508"/>
      <c r="M155" s="500"/>
      <c r="N155" s="500"/>
      <c r="O155" s="500"/>
      <c r="P155" s="500"/>
      <c r="Q155" s="500"/>
      <c r="R155" s="500"/>
      <c r="S155" s="500"/>
      <c r="T155" s="500"/>
      <c r="U155" s="500"/>
      <c r="V155" s="500"/>
      <c r="W155" s="354"/>
      <c r="X155" s="351"/>
      <c r="Y155" s="351"/>
      <c r="Z155" s="351"/>
      <c r="AA155" s="351"/>
      <c r="AB155" s="351"/>
      <c r="AC155" s="351"/>
      <c r="AD155" s="351"/>
      <c r="AE155" s="351"/>
      <c r="AF155" s="351"/>
      <c r="AG155" s="2"/>
    </row>
    <row r="156" spans="1:33" ht="13.5" customHeight="1">
      <c r="A156" s="351"/>
      <c r="B156" s="500"/>
      <c r="C156" s="500"/>
      <c r="D156" s="500"/>
      <c r="E156" s="500"/>
      <c r="F156" s="500"/>
      <c r="G156" s="509"/>
      <c r="H156" s="500"/>
      <c r="I156" s="508"/>
      <c r="J156" s="508"/>
      <c r="K156" s="508"/>
      <c r="L156" s="508"/>
      <c r="M156" s="500"/>
      <c r="N156" s="500"/>
      <c r="O156" s="500"/>
      <c r="P156" s="500"/>
      <c r="Q156" s="500"/>
      <c r="R156" s="500"/>
      <c r="S156" s="500"/>
      <c r="T156" s="500"/>
      <c r="U156" s="500"/>
      <c r="V156" s="500"/>
      <c r="W156" s="354"/>
      <c r="X156" s="351"/>
      <c r="Y156" s="351"/>
      <c r="Z156" s="351"/>
      <c r="AA156" s="351"/>
      <c r="AB156" s="351"/>
      <c r="AC156" s="351"/>
      <c r="AD156" s="351"/>
      <c r="AE156" s="351"/>
      <c r="AF156" s="351"/>
      <c r="AG156" s="2"/>
    </row>
    <row r="157" spans="1:33" ht="13.5" customHeight="1">
      <c r="A157" s="351"/>
      <c r="B157" s="500"/>
      <c r="C157" s="500"/>
      <c r="D157" s="500"/>
      <c r="E157" s="500"/>
      <c r="F157" s="500"/>
      <c r="G157" s="509"/>
      <c r="H157" s="500"/>
      <c r="I157" s="508"/>
      <c r="J157" s="508"/>
      <c r="K157" s="508"/>
      <c r="L157" s="508"/>
      <c r="M157" s="500"/>
      <c r="N157" s="500"/>
      <c r="O157" s="500"/>
      <c r="P157" s="500"/>
      <c r="Q157" s="500"/>
      <c r="R157" s="500"/>
      <c r="S157" s="500"/>
      <c r="T157" s="500"/>
      <c r="U157" s="500"/>
      <c r="V157" s="500"/>
      <c r="W157" s="354"/>
      <c r="X157" s="351"/>
      <c r="Y157" s="351"/>
      <c r="Z157" s="351"/>
      <c r="AA157" s="351"/>
      <c r="AB157" s="351"/>
      <c r="AC157" s="351"/>
      <c r="AD157" s="351"/>
      <c r="AE157" s="351"/>
      <c r="AF157" s="351"/>
      <c r="AG157" s="2"/>
    </row>
    <row r="158" spans="1:33" ht="13.5" customHeight="1">
      <c r="A158" s="351"/>
      <c r="B158" s="500"/>
      <c r="C158" s="500"/>
      <c r="D158" s="500"/>
      <c r="E158" s="500"/>
      <c r="F158" s="500"/>
      <c r="G158" s="509"/>
      <c r="H158" s="500"/>
      <c r="I158" s="508"/>
      <c r="J158" s="508"/>
      <c r="K158" s="508"/>
      <c r="L158" s="508"/>
      <c r="M158" s="500"/>
      <c r="N158" s="500"/>
      <c r="O158" s="500"/>
      <c r="P158" s="500"/>
      <c r="Q158" s="500"/>
      <c r="R158" s="500"/>
      <c r="S158" s="500"/>
      <c r="T158" s="500"/>
      <c r="U158" s="500"/>
      <c r="V158" s="500"/>
      <c r="W158" s="354"/>
      <c r="X158" s="351"/>
      <c r="Y158" s="351"/>
      <c r="Z158" s="351"/>
      <c r="AA158" s="351"/>
      <c r="AB158" s="351"/>
      <c r="AC158" s="351"/>
      <c r="AD158" s="351"/>
      <c r="AE158" s="351"/>
      <c r="AF158" s="351"/>
      <c r="AG158" s="2"/>
    </row>
    <row r="159" spans="1:33" ht="13.5" customHeight="1">
      <c r="A159" s="351"/>
      <c r="B159" s="500"/>
      <c r="C159" s="500"/>
      <c r="D159" s="500"/>
      <c r="E159" s="500"/>
      <c r="F159" s="500"/>
      <c r="G159" s="509"/>
      <c r="H159" s="500"/>
      <c r="I159" s="508"/>
      <c r="J159" s="508"/>
      <c r="K159" s="508"/>
      <c r="L159" s="508"/>
      <c r="M159" s="500"/>
      <c r="N159" s="500"/>
      <c r="O159" s="500"/>
      <c r="P159" s="500"/>
      <c r="Q159" s="500"/>
      <c r="R159" s="500"/>
      <c r="S159" s="500"/>
      <c r="T159" s="500"/>
      <c r="U159" s="500"/>
      <c r="V159" s="500"/>
      <c r="W159" s="354"/>
      <c r="X159" s="351"/>
      <c r="Y159" s="351"/>
      <c r="Z159" s="351"/>
      <c r="AA159" s="351"/>
      <c r="AB159" s="351"/>
      <c r="AC159" s="351"/>
      <c r="AD159" s="351"/>
      <c r="AE159" s="351"/>
      <c r="AF159" s="351"/>
      <c r="AG159" s="2"/>
    </row>
    <row r="160" spans="1:33" ht="13.5" customHeight="1">
      <c r="A160" s="351"/>
      <c r="B160" s="500"/>
      <c r="C160" s="500"/>
      <c r="D160" s="500"/>
      <c r="E160" s="500"/>
      <c r="F160" s="500"/>
      <c r="G160" s="509"/>
      <c r="H160" s="500"/>
      <c r="I160" s="508"/>
      <c r="J160" s="508"/>
      <c r="K160" s="508"/>
      <c r="L160" s="508"/>
      <c r="M160" s="500"/>
      <c r="N160" s="500"/>
      <c r="O160" s="500"/>
      <c r="P160" s="500"/>
      <c r="Q160" s="500"/>
      <c r="R160" s="500"/>
      <c r="S160" s="500"/>
      <c r="T160" s="500"/>
      <c r="U160" s="500"/>
      <c r="V160" s="500"/>
      <c r="W160" s="354"/>
      <c r="X160" s="351"/>
      <c r="Y160" s="351"/>
      <c r="Z160" s="351"/>
      <c r="AA160" s="351"/>
      <c r="AB160" s="351"/>
      <c r="AC160" s="351"/>
      <c r="AD160" s="351"/>
      <c r="AE160" s="351"/>
      <c r="AF160" s="351"/>
      <c r="AG160" s="2"/>
    </row>
    <row r="161" spans="1:33" ht="13.5" customHeight="1">
      <c r="A161" s="351"/>
      <c r="B161" s="500"/>
      <c r="C161" s="500"/>
      <c r="D161" s="500"/>
      <c r="E161" s="500"/>
      <c r="F161" s="500"/>
      <c r="G161" s="509"/>
      <c r="H161" s="500"/>
      <c r="I161" s="508"/>
      <c r="J161" s="508"/>
      <c r="K161" s="508"/>
      <c r="L161" s="508"/>
      <c r="M161" s="500"/>
      <c r="N161" s="500"/>
      <c r="O161" s="500"/>
      <c r="P161" s="500"/>
      <c r="Q161" s="500"/>
      <c r="R161" s="500"/>
      <c r="S161" s="500"/>
      <c r="T161" s="500"/>
      <c r="U161" s="500"/>
      <c r="V161" s="500"/>
      <c r="W161" s="354"/>
      <c r="X161" s="351"/>
      <c r="Y161" s="351"/>
      <c r="Z161" s="351"/>
      <c r="AA161" s="351"/>
      <c r="AB161" s="351"/>
      <c r="AC161" s="351"/>
      <c r="AD161" s="351"/>
      <c r="AE161" s="351"/>
      <c r="AF161" s="351"/>
      <c r="AG161" s="2"/>
    </row>
    <row r="162" spans="1:33" ht="13.5" customHeight="1">
      <c r="A162" s="351"/>
      <c r="B162" s="500"/>
      <c r="C162" s="500"/>
      <c r="D162" s="500"/>
      <c r="E162" s="500"/>
      <c r="F162" s="500"/>
      <c r="G162" s="509"/>
      <c r="H162" s="500"/>
      <c r="I162" s="508"/>
      <c r="J162" s="508"/>
      <c r="K162" s="508"/>
      <c r="L162" s="508"/>
      <c r="M162" s="500"/>
      <c r="N162" s="500"/>
      <c r="O162" s="500"/>
      <c r="P162" s="500"/>
      <c r="Q162" s="500"/>
      <c r="R162" s="500"/>
      <c r="S162" s="500"/>
      <c r="T162" s="500"/>
      <c r="U162" s="500"/>
      <c r="V162" s="500"/>
      <c r="W162" s="354"/>
      <c r="X162" s="351"/>
      <c r="Y162" s="351"/>
      <c r="Z162" s="351"/>
      <c r="AA162" s="351"/>
      <c r="AB162" s="351"/>
      <c r="AC162" s="351"/>
      <c r="AD162" s="351"/>
      <c r="AE162" s="351"/>
      <c r="AF162" s="351"/>
      <c r="AG162" s="2"/>
    </row>
    <row r="163" spans="1:33" ht="13.5" customHeight="1">
      <c r="A163" s="351"/>
      <c r="B163" s="500"/>
      <c r="C163" s="500"/>
      <c r="D163" s="500"/>
      <c r="E163" s="500"/>
      <c r="F163" s="500"/>
      <c r="G163" s="509"/>
      <c r="H163" s="500"/>
      <c r="I163" s="508"/>
      <c r="J163" s="508"/>
      <c r="K163" s="508"/>
      <c r="L163" s="508"/>
      <c r="M163" s="500"/>
      <c r="N163" s="500"/>
      <c r="O163" s="500"/>
      <c r="P163" s="500"/>
      <c r="Q163" s="500"/>
      <c r="R163" s="500"/>
      <c r="S163" s="500"/>
      <c r="T163" s="500"/>
      <c r="U163" s="500"/>
      <c r="V163" s="500"/>
      <c r="W163" s="354"/>
      <c r="X163" s="351"/>
      <c r="Y163" s="351"/>
      <c r="Z163" s="351"/>
      <c r="AA163" s="351"/>
      <c r="AB163" s="351"/>
      <c r="AC163" s="351"/>
      <c r="AD163" s="351"/>
      <c r="AE163" s="351"/>
      <c r="AF163" s="351"/>
      <c r="AG163" s="2"/>
    </row>
    <row r="164" spans="1:33" ht="13.5" customHeight="1">
      <c r="A164" s="351"/>
      <c r="B164" s="500"/>
      <c r="C164" s="500"/>
      <c r="D164" s="500"/>
      <c r="E164" s="500"/>
      <c r="F164" s="500"/>
      <c r="G164" s="509"/>
      <c r="H164" s="500"/>
      <c r="I164" s="508"/>
      <c r="J164" s="508"/>
      <c r="K164" s="508"/>
      <c r="L164" s="508"/>
      <c r="M164" s="500"/>
      <c r="N164" s="500"/>
      <c r="O164" s="500"/>
      <c r="P164" s="500"/>
      <c r="Q164" s="500"/>
      <c r="R164" s="500"/>
      <c r="S164" s="500"/>
      <c r="T164" s="500"/>
      <c r="U164" s="500"/>
      <c r="V164" s="500"/>
      <c r="W164" s="354"/>
      <c r="X164" s="351"/>
      <c r="Y164" s="351"/>
      <c r="Z164" s="351"/>
      <c r="AA164" s="351"/>
      <c r="AB164" s="351"/>
      <c r="AC164" s="351"/>
      <c r="AD164" s="351"/>
      <c r="AE164" s="351"/>
      <c r="AF164" s="351"/>
      <c r="AG164" s="2"/>
    </row>
    <row r="165" spans="1:33" ht="13.5" customHeight="1">
      <c r="A165" s="351"/>
      <c r="B165" s="500"/>
      <c r="C165" s="500"/>
      <c r="D165" s="500"/>
      <c r="E165" s="500"/>
      <c r="F165" s="500"/>
      <c r="G165" s="509"/>
      <c r="H165" s="500"/>
      <c r="I165" s="508"/>
      <c r="J165" s="508"/>
      <c r="K165" s="508"/>
      <c r="L165" s="508"/>
      <c r="M165" s="500"/>
      <c r="N165" s="500"/>
      <c r="O165" s="500"/>
      <c r="P165" s="500"/>
      <c r="Q165" s="500"/>
      <c r="R165" s="500"/>
      <c r="S165" s="500"/>
      <c r="T165" s="500"/>
      <c r="U165" s="500"/>
      <c r="V165" s="500"/>
      <c r="W165" s="354"/>
      <c r="X165" s="351"/>
      <c r="Y165" s="351"/>
      <c r="Z165" s="351"/>
      <c r="AA165" s="351"/>
      <c r="AB165" s="351"/>
      <c r="AC165" s="351"/>
      <c r="AD165" s="351"/>
      <c r="AE165" s="351"/>
      <c r="AF165" s="351"/>
      <c r="AG165" s="2"/>
    </row>
    <row r="166" spans="1:33" ht="13.5" customHeight="1">
      <c r="A166" s="351"/>
      <c r="B166" s="500"/>
      <c r="C166" s="500"/>
      <c r="D166" s="500"/>
      <c r="E166" s="500"/>
      <c r="F166" s="500"/>
      <c r="G166" s="509"/>
      <c r="H166" s="500"/>
      <c r="I166" s="508"/>
      <c r="J166" s="508"/>
      <c r="K166" s="508"/>
      <c r="L166" s="508"/>
      <c r="M166" s="500"/>
      <c r="N166" s="500"/>
      <c r="O166" s="500"/>
      <c r="P166" s="500"/>
      <c r="Q166" s="500"/>
      <c r="R166" s="500"/>
      <c r="S166" s="500"/>
      <c r="T166" s="500"/>
      <c r="U166" s="500"/>
      <c r="V166" s="500"/>
      <c r="W166" s="354"/>
      <c r="X166" s="351"/>
      <c r="Y166" s="351"/>
      <c r="Z166" s="351"/>
      <c r="AA166" s="351"/>
      <c r="AB166" s="351"/>
      <c r="AC166" s="351"/>
      <c r="AD166" s="351"/>
      <c r="AE166" s="351"/>
      <c r="AF166" s="351"/>
      <c r="AG166" s="2"/>
    </row>
    <row r="167" spans="1:33" ht="13.5" customHeight="1">
      <c r="A167" s="351"/>
      <c r="B167" s="500"/>
      <c r="C167" s="500"/>
      <c r="D167" s="500"/>
      <c r="E167" s="500"/>
      <c r="F167" s="500"/>
      <c r="G167" s="509"/>
      <c r="H167" s="500"/>
      <c r="I167" s="508"/>
      <c r="J167" s="508"/>
      <c r="K167" s="508"/>
      <c r="L167" s="508"/>
      <c r="M167" s="500"/>
      <c r="N167" s="500"/>
      <c r="O167" s="500"/>
      <c r="P167" s="500"/>
      <c r="Q167" s="500"/>
      <c r="R167" s="500"/>
      <c r="S167" s="500"/>
      <c r="T167" s="500"/>
      <c r="U167" s="500"/>
      <c r="V167" s="500"/>
      <c r="W167" s="354"/>
      <c r="X167" s="351"/>
      <c r="Y167" s="351"/>
      <c r="Z167" s="351"/>
      <c r="AA167" s="351"/>
      <c r="AB167" s="351"/>
      <c r="AC167" s="351"/>
      <c r="AD167" s="351"/>
      <c r="AE167" s="351"/>
      <c r="AF167" s="351"/>
      <c r="AG167" s="2"/>
    </row>
    <row r="168" spans="1:33" ht="13.5" customHeight="1">
      <c r="A168" s="351"/>
      <c r="B168" s="500"/>
      <c r="C168" s="500"/>
      <c r="D168" s="500"/>
      <c r="E168" s="500"/>
      <c r="F168" s="500"/>
      <c r="G168" s="509"/>
      <c r="H168" s="500"/>
      <c r="I168" s="508"/>
      <c r="J168" s="508"/>
      <c r="K168" s="508"/>
      <c r="L168" s="508"/>
      <c r="M168" s="500"/>
      <c r="N168" s="500"/>
      <c r="O168" s="500"/>
      <c r="P168" s="500"/>
      <c r="Q168" s="500"/>
      <c r="R168" s="500"/>
      <c r="S168" s="500"/>
      <c r="T168" s="500"/>
      <c r="U168" s="500"/>
      <c r="V168" s="500"/>
      <c r="W168" s="354"/>
      <c r="X168" s="351"/>
      <c r="Y168" s="351"/>
      <c r="Z168" s="351"/>
      <c r="AA168" s="351"/>
      <c r="AB168" s="351"/>
      <c r="AC168" s="351"/>
      <c r="AD168" s="351"/>
      <c r="AE168" s="351"/>
      <c r="AF168" s="351"/>
      <c r="AG168" s="2"/>
    </row>
    <row r="169" spans="1:33" ht="13.5" customHeight="1">
      <c r="A169" s="351"/>
      <c r="B169" s="500"/>
      <c r="C169" s="500"/>
      <c r="D169" s="500"/>
      <c r="E169" s="500"/>
      <c r="F169" s="500"/>
      <c r="G169" s="509"/>
      <c r="H169" s="500"/>
      <c r="I169" s="508"/>
      <c r="J169" s="508"/>
      <c r="K169" s="508"/>
      <c r="L169" s="508"/>
      <c r="M169" s="500"/>
      <c r="N169" s="500"/>
      <c r="O169" s="500"/>
      <c r="P169" s="500"/>
      <c r="Q169" s="500"/>
      <c r="R169" s="500"/>
      <c r="S169" s="500"/>
      <c r="T169" s="500"/>
      <c r="U169" s="500"/>
      <c r="V169" s="500"/>
      <c r="W169" s="354"/>
      <c r="X169" s="351"/>
      <c r="Y169" s="351"/>
      <c r="Z169" s="351"/>
      <c r="AA169" s="351"/>
      <c r="AB169" s="351"/>
      <c r="AC169" s="351"/>
      <c r="AD169" s="351"/>
      <c r="AE169" s="351"/>
      <c r="AF169" s="351"/>
      <c r="AG169" s="2"/>
    </row>
    <row r="170" spans="1:33" ht="13.5" customHeight="1">
      <c r="A170" s="351"/>
      <c r="B170" s="500"/>
      <c r="C170" s="500"/>
      <c r="D170" s="500"/>
      <c r="E170" s="500"/>
      <c r="F170" s="500"/>
      <c r="G170" s="509"/>
      <c r="H170" s="500"/>
      <c r="I170" s="508"/>
      <c r="J170" s="508"/>
      <c r="K170" s="508"/>
      <c r="L170" s="508"/>
      <c r="M170" s="500"/>
      <c r="N170" s="500"/>
      <c r="O170" s="500"/>
      <c r="P170" s="500"/>
      <c r="Q170" s="500"/>
      <c r="R170" s="500"/>
      <c r="S170" s="500"/>
      <c r="T170" s="500"/>
      <c r="U170" s="500"/>
      <c r="V170" s="500"/>
      <c r="W170" s="354"/>
      <c r="X170" s="351"/>
      <c r="Y170" s="351"/>
      <c r="Z170" s="351"/>
      <c r="AA170" s="351"/>
      <c r="AB170" s="351"/>
      <c r="AC170" s="351"/>
      <c r="AD170" s="351"/>
      <c r="AE170" s="351"/>
      <c r="AF170" s="351"/>
      <c r="AG170" s="2"/>
    </row>
    <row r="171" spans="1:33" ht="13.5" customHeight="1">
      <c r="A171" s="351"/>
      <c r="B171" s="500"/>
      <c r="C171" s="500"/>
      <c r="D171" s="500"/>
      <c r="E171" s="500"/>
      <c r="F171" s="500"/>
      <c r="G171" s="509"/>
      <c r="H171" s="500"/>
      <c r="I171" s="508"/>
      <c r="J171" s="508"/>
      <c r="K171" s="508"/>
      <c r="L171" s="508"/>
      <c r="M171" s="500"/>
      <c r="N171" s="500"/>
      <c r="O171" s="500"/>
      <c r="P171" s="500"/>
      <c r="Q171" s="500"/>
      <c r="R171" s="500"/>
      <c r="S171" s="500"/>
      <c r="T171" s="500"/>
      <c r="U171" s="500"/>
      <c r="V171" s="500"/>
      <c r="W171" s="354"/>
      <c r="X171" s="351"/>
      <c r="Y171" s="351"/>
      <c r="Z171" s="351"/>
      <c r="AA171" s="351"/>
      <c r="AB171" s="351"/>
      <c r="AC171" s="351"/>
      <c r="AD171" s="351"/>
      <c r="AE171" s="351"/>
      <c r="AF171" s="351"/>
      <c r="AG171" s="2"/>
    </row>
    <row r="172" spans="1:33" ht="13.5" customHeight="1">
      <c r="A172" s="351"/>
      <c r="B172" s="500"/>
      <c r="C172" s="500"/>
      <c r="D172" s="500"/>
      <c r="E172" s="500"/>
      <c r="F172" s="500"/>
      <c r="G172" s="509"/>
      <c r="H172" s="500"/>
      <c r="I172" s="508"/>
      <c r="J172" s="508"/>
      <c r="K172" s="508"/>
      <c r="L172" s="508"/>
      <c r="M172" s="500"/>
      <c r="N172" s="500"/>
      <c r="O172" s="500"/>
      <c r="P172" s="500"/>
      <c r="Q172" s="500"/>
      <c r="R172" s="500"/>
      <c r="S172" s="500"/>
      <c r="T172" s="500"/>
      <c r="U172" s="500"/>
      <c r="V172" s="500"/>
      <c r="W172" s="354"/>
      <c r="X172" s="351"/>
      <c r="Y172" s="351"/>
      <c r="Z172" s="351"/>
      <c r="AA172" s="351"/>
      <c r="AB172" s="351"/>
      <c r="AC172" s="351"/>
      <c r="AD172" s="351"/>
      <c r="AE172" s="351"/>
      <c r="AF172" s="351"/>
      <c r="AG172" s="2"/>
    </row>
    <row r="173" spans="1:33" ht="13.5" customHeight="1">
      <c r="A173" s="351"/>
      <c r="B173" s="500"/>
      <c r="C173" s="500"/>
      <c r="D173" s="500"/>
      <c r="E173" s="500"/>
      <c r="F173" s="500"/>
      <c r="G173" s="509"/>
      <c r="H173" s="500"/>
      <c r="I173" s="508"/>
      <c r="J173" s="508"/>
      <c r="K173" s="508"/>
      <c r="L173" s="508"/>
      <c r="M173" s="500"/>
      <c r="N173" s="500"/>
      <c r="O173" s="500"/>
      <c r="P173" s="500"/>
      <c r="Q173" s="500"/>
      <c r="R173" s="500"/>
      <c r="S173" s="500"/>
      <c r="T173" s="500"/>
      <c r="U173" s="500"/>
      <c r="V173" s="500"/>
      <c r="W173" s="354"/>
      <c r="X173" s="351"/>
      <c r="Y173" s="351"/>
      <c r="Z173" s="351"/>
      <c r="AA173" s="351"/>
      <c r="AB173" s="351"/>
      <c r="AC173" s="351"/>
      <c r="AD173" s="351"/>
      <c r="AE173" s="351"/>
      <c r="AF173" s="351"/>
      <c r="AG173" s="2"/>
    </row>
    <row r="174" spans="1:33" ht="13.5" customHeight="1">
      <c r="A174" s="351"/>
      <c r="B174" s="500"/>
      <c r="C174" s="500"/>
      <c r="D174" s="500"/>
      <c r="E174" s="500"/>
      <c r="F174" s="500"/>
      <c r="G174" s="509"/>
      <c r="H174" s="500"/>
      <c r="I174" s="508"/>
      <c r="J174" s="508"/>
      <c r="K174" s="508"/>
      <c r="L174" s="508"/>
      <c r="M174" s="500"/>
      <c r="N174" s="500"/>
      <c r="O174" s="500"/>
      <c r="P174" s="500"/>
      <c r="Q174" s="500"/>
      <c r="R174" s="500"/>
      <c r="S174" s="500"/>
      <c r="T174" s="500"/>
      <c r="U174" s="500"/>
      <c r="V174" s="500"/>
      <c r="W174" s="354"/>
      <c r="X174" s="351"/>
      <c r="Y174" s="351"/>
      <c r="Z174" s="351"/>
      <c r="AA174" s="351"/>
      <c r="AB174" s="351"/>
      <c r="AC174" s="351"/>
      <c r="AD174" s="351"/>
      <c r="AE174" s="351"/>
      <c r="AF174" s="351"/>
      <c r="AG174" s="2"/>
    </row>
    <row r="175" spans="1:33" ht="13.5" customHeight="1">
      <c r="A175" s="351"/>
      <c r="B175" s="500"/>
      <c r="C175" s="500"/>
      <c r="D175" s="500"/>
      <c r="E175" s="500"/>
      <c r="F175" s="500"/>
      <c r="G175" s="509"/>
      <c r="H175" s="500"/>
      <c r="I175" s="508"/>
      <c r="J175" s="508"/>
      <c r="K175" s="508"/>
      <c r="L175" s="508"/>
      <c r="M175" s="500"/>
      <c r="N175" s="500"/>
      <c r="O175" s="500"/>
      <c r="P175" s="500"/>
      <c r="Q175" s="500"/>
      <c r="R175" s="500"/>
      <c r="S175" s="500"/>
      <c r="T175" s="500"/>
      <c r="U175" s="500"/>
      <c r="V175" s="500"/>
      <c r="W175" s="354"/>
      <c r="X175" s="351"/>
      <c r="Y175" s="351"/>
      <c r="Z175" s="351"/>
      <c r="AA175" s="351"/>
      <c r="AB175" s="351"/>
      <c r="AC175" s="351"/>
      <c r="AD175" s="351"/>
      <c r="AE175" s="351"/>
      <c r="AF175" s="351"/>
      <c r="AG175" s="2"/>
    </row>
    <row r="176" spans="1:33" ht="13.5" customHeight="1">
      <c r="A176" s="351"/>
      <c r="B176" s="500"/>
      <c r="C176" s="500"/>
      <c r="D176" s="500"/>
      <c r="E176" s="500"/>
      <c r="F176" s="500"/>
      <c r="G176" s="509"/>
      <c r="H176" s="500"/>
      <c r="I176" s="508"/>
      <c r="J176" s="508"/>
      <c r="K176" s="508"/>
      <c r="L176" s="508"/>
      <c r="M176" s="500"/>
      <c r="N176" s="500"/>
      <c r="O176" s="500"/>
      <c r="P176" s="500"/>
      <c r="Q176" s="500"/>
      <c r="R176" s="500"/>
      <c r="S176" s="500"/>
      <c r="T176" s="500"/>
      <c r="U176" s="500"/>
      <c r="V176" s="500"/>
      <c r="W176" s="354"/>
      <c r="X176" s="351"/>
      <c r="Y176" s="351"/>
      <c r="Z176" s="351"/>
      <c r="AA176" s="351"/>
      <c r="AB176" s="351"/>
      <c r="AC176" s="351"/>
      <c r="AD176" s="351"/>
      <c r="AE176" s="351"/>
      <c r="AF176" s="351"/>
      <c r="AG176" s="2"/>
    </row>
    <row r="177" spans="1:33" ht="13.5" customHeight="1">
      <c r="A177" s="351"/>
      <c r="B177" s="500"/>
      <c r="C177" s="500"/>
      <c r="D177" s="500"/>
      <c r="E177" s="500"/>
      <c r="F177" s="500"/>
      <c r="G177" s="509"/>
      <c r="H177" s="500"/>
      <c r="I177" s="508"/>
      <c r="J177" s="508"/>
      <c r="K177" s="508"/>
      <c r="L177" s="508"/>
      <c r="M177" s="500"/>
      <c r="N177" s="500"/>
      <c r="O177" s="500"/>
      <c r="P177" s="500"/>
      <c r="Q177" s="500"/>
      <c r="R177" s="500"/>
      <c r="S177" s="500"/>
      <c r="T177" s="500"/>
      <c r="U177" s="500"/>
      <c r="V177" s="500"/>
      <c r="W177" s="354"/>
      <c r="X177" s="351"/>
      <c r="Y177" s="351"/>
      <c r="Z177" s="351"/>
      <c r="AA177" s="351"/>
      <c r="AB177" s="351"/>
      <c r="AC177" s="351"/>
      <c r="AD177" s="351"/>
      <c r="AE177" s="351"/>
      <c r="AF177" s="351"/>
      <c r="AG177" s="2"/>
    </row>
    <row r="178" spans="1:33" ht="13.5" customHeight="1">
      <c r="A178" s="351"/>
      <c r="B178" s="500"/>
      <c r="C178" s="500"/>
      <c r="D178" s="500"/>
      <c r="E178" s="500"/>
      <c r="F178" s="500"/>
      <c r="G178" s="509"/>
      <c r="H178" s="500"/>
      <c r="I178" s="508"/>
      <c r="J178" s="508"/>
      <c r="K178" s="508"/>
      <c r="L178" s="508"/>
      <c r="M178" s="500"/>
      <c r="N178" s="500"/>
      <c r="O178" s="500"/>
      <c r="P178" s="500"/>
      <c r="Q178" s="500"/>
      <c r="R178" s="500"/>
      <c r="S178" s="500"/>
      <c r="T178" s="500"/>
      <c r="U178" s="500"/>
      <c r="V178" s="500"/>
      <c r="W178" s="354"/>
      <c r="X178" s="351"/>
      <c r="Y178" s="351"/>
      <c r="Z178" s="351"/>
      <c r="AA178" s="351"/>
      <c r="AB178" s="351"/>
      <c r="AC178" s="351"/>
      <c r="AD178" s="351"/>
      <c r="AE178" s="351"/>
      <c r="AF178" s="351"/>
      <c r="AG178" s="2"/>
    </row>
    <row r="179" spans="1:33" ht="13.5" customHeight="1">
      <c r="A179" s="351"/>
      <c r="B179" s="500"/>
      <c r="C179" s="500"/>
      <c r="D179" s="500"/>
      <c r="E179" s="500"/>
      <c r="F179" s="500"/>
      <c r="G179" s="509"/>
      <c r="H179" s="500"/>
      <c r="I179" s="508"/>
      <c r="J179" s="508"/>
      <c r="K179" s="508"/>
      <c r="L179" s="508"/>
      <c r="M179" s="500"/>
      <c r="N179" s="500"/>
      <c r="O179" s="500"/>
      <c r="P179" s="500"/>
      <c r="Q179" s="500"/>
      <c r="R179" s="500"/>
      <c r="S179" s="500"/>
      <c r="T179" s="500"/>
      <c r="U179" s="500"/>
      <c r="V179" s="500"/>
      <c r="W179" s="354"/>
      <c r="X179" s="351"/>
      <c r="Y179" s="351"/>
      <c r="Z179" s="351"/>
      <c r="AA179" s="351"/>
      <c r="AB179" s="351"/>
      <c r="AC179" s="351"/>
      <c r="AD179" s="351"/>
      <c r="AE179" s="351"/>
      <c r="AF179" s="351"/>
      <c r="AG179" s="2"/>
    </row>
    <row r="180" spans="1:33" ht="13.5" customHeight="1">
      <c r="A180" s="351"/>
      <c r="B180" s="500"/>
      <c r="C180" s="500"/>
      <c r="D180" s="500"/>
      <c r="E180" s="500"/>
      <c r="F180" s="500"/>
      <c r="G180" s="509"/>
      <c r="H180" s="500"/>
      <c r="I180" s="508"/>
      <c r="J180" s="508"/>
      <c r="K180" s="508"/>
      <c r="L180" s="508"/>
      <c r="M180" s="500"/>
      <c r="N180" s="500"/>
      <c r="O180" s="500"/>
      <c r="P180" s="500"/>
      <c r="Q180" s="500"/>
      <c r="R180" s="500"/>
      <c r="S180" s="500"/>
      <c r="T180" s="500"/>
      <c r="U180" s="500"/>
      <c r="V180" s="500"/>
      <c r="W180" s="354"/>
      <c r="X180" s="351"/>
      <c r="Y180" s="351"/>
      <c r="Z180" s="351"/>
      <c r="AA180" s="351"/>
      <c r="AB180" s="351"/>
      <c r="AC180" s="351"/>
      <c r="AD180" s="351"/>
      <c r="AE180" s="351"/>
      <c r="AF180" s="351"/>
      <c r="AG180" s="2"/>
    </row>
    <row r="181" spans="1:33" ht="13.5" customHeight="1">
      <c r="A181" s="351"/>
      <c r="B181" s="500"/>
      <c r="C181" s="500"/>
      <c r="D181" s="500"/>
      <c r="E181" s="500"/>
      <c r="F181" s="500"/>
      <c r="G181" s="509"/>
      <c r="H181" s="500"/>
      <c r="I181" s="508"/>
      <c r="J181" s="508"/>
      <c r="K181" s="508"/>
      <c r="L181" s="508"/>
      <c r="M181" s="500"/>
      <c r="N181" s="500"/>
      <c r="O181" s="500"/>
      <c r="P181" s="500"/>
      <c r="Q181" s="500"/>
      <c r="R181" s="500"/>
      <c r="S181" s="500"/>
      <c r="T181" s="500"/>
      <c r="U181" s="500"/>
      <c r="V181" s="500"/>
      <c r="W181" s="354"/>
      <c r="X181" s="351"/>
      <c r="Y181" s="351"/>
      <c r="Z181" s="351"/>
      <c r="AA181" s="351"/>
      <c r="AB181" s="351"/>
      <c r="AC181" s="351"/>
      <c r="AD181" s="351"/>
      <c r="AE181" s="351"/>
      <c r="AF181" s="351"/>
      <c r="AG181" s="2"/>
    </row>
    <row r="182" spans="1:33" ht="13.5" customHeight="1">
      <c r="A182" s="351"/>
      <c r="B182" s="500"/>
      <c r="C182" s="500"/>
      <c r="D182" s="500"/>
      <c r="E182" s="500"/>
      <c r="F182" s="500"/>
      <c r="G182" s="509"/>
      <c r="H182" s="500"/>
      <c r="I182" s="508"/>
      <c r="J182" s="508"/>
      <c r="K182" s="508"/>
      <c r="L182" s="508"/>
      <c r="M182" s="500"/>
      <c r="N182" s="500"/>
      <c r="O182" s="500"/>
      <c r="P182" s="500"/>
      <c r="Q182" s="500"/>
      <c r="R182" s="500"/>
      <c r="S182" s="500"/>
      <c r="T182" s="500"/>
      <c r="U182" s="500"/>
      <c r="V182" s="500"/>
      <c r="W182" s="354"/>
      <c r="X182" s="351"/>
      <c r="Y182" s="351"/>
      <c r="Z182" s="351"/>
      <c r="AA182" s="351"/>
      <c r="AB182" s="351"/>
      <c r="AC182" s="351"/>
      <c r="AD182" s="351"/>
      <c r="AE182" s="351"/>
      <c r="AF182" s="351"/>
      <c r="AG182" s="2"/>
    </row>
    <row r="183" spans="1:33" ht="13.5" customHeight="1">
      <c r="A183" s="351"/>
      <c r="B183" s="500"/>
      <c r="C183" s="500"/>
      <c r="D183" s="500"/>
      <c r="E183" s="500"/>
      <c r="F183" s="500"/>
      <c r="G183" s="509"/>
      <c r="H183" s="500"/>
      <c r="I183" s="508"/>
      <c r="J183" s="508"/>
      <c r="K183" s="508"/>
      <c r="L183" s="508"/>
      <c r="M183" s="500"/>
      <c r="N183" s="500"/>
      <c r="O183" s="500"/>
      <c r="P183" s="500"/>
      <c r="Q183" s="500"/>
      <c r="R183" s="500"/>
      <c r="S183" s="500"/>
      <c r="T183" s="500"/>
      <c r="U183" s="500"/>
      <c r="V183" s="500"/>
      <c r="W183" s="354"/>
      <c r="X183" s="351"/>
      <c r="Y183" s="351"/>
      <c r="Z183" s="351"/>
      <c r="AA183" s="351"/>
      <c r="AB183" s="351"/>
      <c r="AC183" s="351"/>
      <c r="AD183" s="351"/>
      <c r="AE183" s="351"/>
      <c r="AF183" s="351"/>
      <c r="AG183" s="2"/>
    </row>
    <row r="184" spans="1:33" ht="13.5" customHeight="1">
      <c r="A184" s="351"/>
      <c r="B184" s="500"/>
      <c r="C184" s="500"/>
      <c r="D184" s="500"/>
      <c r="E184" s="500"/>
      <c r="F184" s="500"/>
      <c r="G184" s="509"/>
      <c r="H184" s="500"/>
      <c r="I184" s="508"/>
      <c r="J184" s="508"/>
      <c r="K184" s="508"/>
      <c r="L184" s="508"/>
      <c r="M184" s="500"/>
      <c r="N184" s="500"/>
      <c r="O184" s="500"/>
      <c r="P184" s="500"/>
      <c r="Q184" s="500"/>
      <c r="R184" s="500"/>
      <c r="S184" s="500"/>
      <c r="T184" s="500"/>
      <c r="U184" s="500"/>
      <c r="V184" s="500"/>
      <c r="W184" s="354"/>
      <c r="X184" s="351"/>
      <c r="Y184" s="351"/>
      <c r="Z184" s="351"/>
      <c r="AA184" s="351"/>
      <c r="AB184" s="351"/>
      <c r="AC184" s="351"/>
      <c r="AD184" s="351"/>
      <c r="AE184" s="351"/>
      <c r="AF184" s="351"/>
      <c r="AG184" s="2"/>
    </row>
    <row r="185" spans="1:33" ht="13.5" customHeight="1">
      <c r="A185" s="351"/>
      <c r="B185" s="500"/>
      <c r="C185" s="500"/>
      <c r="D185" s="500"/>
      <c r="E185" s="500"/>
      <c r="F185" s="500"/>
      <c r="G185" s="509"/>
      <c r="H185" s="500"/>
      <c r="I185" s="508"/>
      <c r="J185" s="508"/>
      <c r="K185" s="508"/>
      <c r="L185" s="508"/>
      <c r="M185" s="500"/>
      <c r="N185" s="500"/>
      <c r="O185" s="500"/>
      <c r="P185" s="500"/>
      <c r="Q185" s="500"/>
      <c r="R185" s="500"/>
      <c r="S185" s="500"/>
      <c r="T185" s="500"/>
      <c r="U185" s="500"/>
      <c r="V185" s="500"/>
      <c r="W185" s="354"/>
      <c r="X185" s="351"/>
      <c r="Y185" s="351"/>
      <c r="Z185" s="351"/>
      <c r="AA185" s="351"/>
      <c r="AB185" s="351"/>
      <c r="AC185" s="351"/>
      <c r="AD185" s="351"/>
      <c r="AE185" s="351"/>
      <c r="AF185" s="351"/>
      <c r="AG185" s="2"/>
    </row>
    <row r="186" spans="1:33" ht="13.5" customHeight="1">
      <c r="A186" s="351"/>
      <c r="B186" s="500"/>
      <c r="C186" s="500"/>
      <c r="D186" s="500"/>
      <c r="E186" s="500"/>
      <c r="F186" s="500"/>
      <c r="G186" s="509"/>
      <c r="H186" s="500"/>
      <c r="I186" s="508"/>
      <c r="J186" s="508"/>
      <c r="K186" s="508"/>
      <c r="L186" s="508"/>
      <c r="M186" s="500"/>
      <c r="N186" s="500"/>
      <c r="O186" s="500"/>
      <c r="P186" s="500"/>
      <c r="Q186" s="500"/>
      <c r="R186" s="500"/>
      <c r="S186" s="500"/>
      <c r="T186" s="500"/>
      <c r="U186" s="500"/>
      <c r="V186" s="500"/>
      <c r="W186" s="354"/>
      <c r="X186" s="351"/>
      <c r="Y186" s="351"/>
      <c r="Z186" s="351"/>
      <c r="AA186" s="351"/>
      <c r="AB186" s="351"/>
      <c r="AC186" s="351"/>
      <c r="AD186" s="351"/>
      <c r="AE186" s="351"/>
      <c r="AF186" s="351"/>
      <c r="AG186" s="2"/>
    </row>
    <row r="187" spans="1:33" ht="13.5" customHeight="1">
      <c r="A187" s="351"/>
      <c r="B187" s="500"/>
      <c r="C187" s="500"/>
      <c r="D187" s="500"/>
      <c r="E187" s="500"/>
      <c r="F187" s="500"/>
      <c r="G187" s="509"/>
      <c r="H187" s="500"/>
      <c r="I187" s="508"/>
      <c r="J187" s="508"/>
      <c r="K187" s="508"/>
      <c r="L187" s="508"/>
      <c r="M187" s="500"/>
      <c r="N187" s="500"/>
      <c r="O187" s="500"/>
      <c r="P187" s="500"/>
      <c r="Q187" s="500"/>
      <c r="R187" s="500"/>
      <c r="S187" s="500"/>
      <c r="T187" s="500"/>
      <c r="U187" s="500"/>
      <c r="V187" s="500"/>
      <c r="W187" s="354"/>
      <c r="X187" s="351"/>
      <c r="Y187" s="351"/>
      <c r="Z187" s="351"/>
      <c r="AA187" s="351"/>
      <c r="AB187" s="351"/>
      <c r="AC187" s="351"/>
      <c r="AD187" s="351"/>
      <c r="AE187" s="351"/>
      <c r="AF187" s="351"/>
      <c r="AG187" s="2"/>
    </row>
    <row r="188" spans="1:33" ht="13.5" customHeight="1">
      <c r="A188" s="351"/>
      <c r="B188" s="500"/>
      <c r="C188" s="500"/>
      <c r="D188" s="500"/>
      <c r="E188" s="500"/>
      <c r="F188" s="500"/>
      <c r="G188" s="509"/>
      <c r="H188" s="500"/>
      <c r="I188" s="508"/>
      <c r="J188" s="508"/>
      <c r="K188" s="508"/>
      <c r="L188" s="508"/>
      <c r="M188" s="500"/>
      <c r="N188" s="500"/>
      <c r="O188" s="500"/>
      <c r="P188" s="500"/>
      <c r="Q188" s="500"/>
      <c r="R188" s="500"/>
      <c r="S188" s="500"/>
      <c r="T188" s="500"/>
      <c r="U188" s="500"/>
      <c r="V188" s="500"/>
      <c r="W188" s="354"/>
      <c r="X188" s="351"/>
      <c r="Y188" s="351"/>
      <c r="Z188" s="351"/>
      <c r="AA188" s="351"/>
      <c r="AB188" s="351"/>
      <c r="AC188" s="351"/>
      <c r="AD188" s="351"/>
      <c r="AE188" s="351"/>
      <c r="AF188" s="351"/>
      <c r="AG188" s="2"/>
    </row>
    <row r="189" spans="1:33" ht="13.5" customHeight="1">
      <c r="A189" s="351"/>
      <c r="B189" s="500"/>
      <c r="C189" s="500"/>
      <c r="D189" s="500"/>
      <c r="E189" s="500"/>
      <c r="F189" s="500"/>
      <c r="G189" s="509"/>
      <c r="H189" s="500"/>
      <c r="I189" s="508"/>
      <c r="J189" s="508"/>
      <c r="K189" s="508"/>
      <c r="L189" s="508"/>
      <c r="M189" s="500"/>
      <c r="N189" s="500"/>
      <c r="O189" s="500"/>
      <c r="P189" s="500"/>
      <c r="Q189" s="500"/>
      <c r="R189" s="500"/>
      <c r="S189" s="500"/>
      <c r="T189" s="500"/>
      <c r="U189" s="500"/>
      <c r="V189" s="500"/>
      <c r="W189" s="354"/>
      <c r="X189" s="351"/>
      <c r="Y189" s="351"/>
      <c r="Z189" s="351"/>
      <c r="AA189" s="351"/>
      <c r="AB189" s="351"/>
      <c r="AC189" s="351"/>
      <c r="AD189" s="351"/>
      <c r="AE189" s="351"/>
      <c r="AF189" s="351"/>
      <c r="AG189" s="2"/>
    </row>
    <row r="190" spans="1:33" ht="13.5" customHeight="1">
      <c r="A190" s="351"/>
      <c r="B190" s="500"/>
      <c r="C190" s="500"/>
      <c r="D190" s="500"/>
      <c r="E190" s="500"/>
      <c r="F190" s="500"/>
      <c r="G190" s="509"/>
      <c r="H190" s="500"/>
      <c r="I190" s="508"/>
      <c r="J190" s="508"/>
      <c r="K190" s="508"/>
      <c r="L190" s="508"/>
      <c r="M190" s="500"/>
      <c r="N190" s="500"/>
      <c r="O190" s="500"/>
      <c r="P190" s="500"/>
      <c r="Q190" s="500"/>
      <c r="R190" s="500"/>
      <c r="S190" s="500"/>
      <c r="T190" s="500"/>
      <c r="U190" s="500"/>
      <c r="V190" s="500"/>
      <c r="W190" s="354"/>
      <c r="X190" s="351"/>
      <c r="Y190" s="351"/>
      <c r="Z190" s="351"/>
      <c r="AA190" s="351"/>
      <c r="AB190" s="351"/>
      <c r="AC190" s="351"/>
      <c r="AD190" s="351"/>
      <c r="AE190" s="351"/>
      <c r="AF190" s="351"/>
      <c r="AG190" s="2"/>
    </row>
    <row r="191" spans="1:33" ht="13.5" customHeight="1">
      <c r="A191" s="351"/>
      <c r="B191" s="500"/>
      <c r="C191" s="500"/>
      <c r="D191" s="500"/>
      <c r="E191" s="500"/>
      <c r="F191" s="500"/>
      <c r="G191" s="509"/>
      <c r="H191" s="500"/>
      <c r="I191" s="508"/>
      <c r="J191" s="508"/>
      <c r="K191" s="508"/>
      <c r="L191" s="508"/>
      <c r="M191" s="500"/>
      <c r="N191" s="500"/>
      <c r="O191" s="500"/>
      <c r="P191" s="500"/>
      <c r="Q191" s="500"/>
      <c r="R191" s="500"/>
      <c r="S191" s="500"/>
      <c r="T191" s="500"/>
      <c r="U191" s="500"/>
      <c r="V191" s="500"/>
      <c r="W191" s="354"/>
      <c r="X191" s="351"/>
      <c r="Y191" s="351"/>
      <c r="Z191" s="351"/>
      <c r="AA191" s="351"/>
      <c r="AB191" s="351"/>
      <c r="AC191" s="351"/>
      <c r="AD191" s="351"/>
      <c r="AE191" s="351"/>
      <c r="AF191" s="351"/>
      <c r="AG191" s="2"/>
    </row>
    <row r="192" spans="1:33" ht="13.5" customHeight="1">
      <c r="A192" s="351"/>
      <c r="B192" s="500"/>
      <c r="C192" s="500"/>
      <c r="D192" s="500"/>
      <c r="E192" s="500"/>
      <c r="F192" s="500"/>
      <c r="G192" s="509"/>
      <c r="H192" s="500"/>
      <c r="I192" s="508"/>
      <c r="J192" s="508"/>
      <c r="K192" s="508"/>
      <c r="L192" s="508"/>
      <c r="M192" s="500"/>
      <c r="N192" s="500"/>
      <c r="O192" s="500"/>
      <c r="P192" s="500"/>
      <c r="Q192" s="500"/>
      <c r="R192" s="500"/>
      <c r="S192" s="500"/>
      <c r="T192" s="500"/>
      <c r="U192" s="500"/>
      <c r="V192" s="500"/>
      <c r="W192" s="354"/>
      <c r="X192" s="351"/>
      <c r="Y192" s="351"/>
      <c r="Z192" s="351"/>
      <c r="AA192" s="351"/>
      <c r="AB192" s="351"/>
      <c r="AC192" s="351"/>
      <c r="AD192" s="351"/>
      <c r="AE192" s="351"/>
      <c r="AF192" s="351"/>
      <c r="AG192" s="2"/>
    </row>
    <row r="193" spans="1:33" ht="13.5" customHeight="1">
      <c r="A193" s="351"/>
      <c r="B193" s="500"/>
      <c r="C193" s="500"/>
      <c r="D193" s="500"/>
      <c r="E193" s="500"/>
      <c r="F193" s="500"/>
      <c r="G193" s="509"/>
      <c r="H193" s="500"/>
      <c r="I193" s="508"/>
      <c r="J193" s="508"/>
      <c r="K193" s="508"/>
      <c r="L193" s="508"/>
      <c r="M193" s="500"/>
      <c r="N193" s="500"/>
      <c r="O193" s="500"/>
      <c r="P193" s="500"/>
      <c r="Q193" s="500"/>
      <c r="R193" s="500"/>
      <c r="S193" s="500"/>
      <c r="T193" s="500"/>
      <c r="U193" s="500"/>
      <c r="V193" s="500"/>
      <c r="W193" s="354"/>
      <c r="X193" s="351"/>
      <c r="Y193" s="351"/>
      <c r="Z193" s="351"/>
      <c r="AA193" s="351"/>
      <c r="AB193" s="351"/>
      <c r="AC193" s="351"/>
      <c r="AD193" s="351"/>
      <c r="AE193" s="351"/>
      <c r="AF193" s="351"/>
      <c r="AG193" s="2"/>
    </row>
    <row r="194" spans="1:33" ht="13.5" customHeight="1">
      <c r="A194" s="351"/>
      <c r="B194" s="500"/>
      <c r="C194" s="500"/>
      <c r="D194" s="500"/>
      <c r="E194" s="500"/>
      <c r="F194" s="500"/>
      <c r="G194" s="509"/>
      <c r="H194" s="500"/>
      <c r="I194" s="508"/>
      <c r="J194" s="508"/>
      <c r="K194" s="508"/>
      <c r="L194" s="508"/>
      <c r="M194" s="500"/>
      <c r="N194" s="500"/>
      <c r="O194" s="500"/>
      <c r="P194" s="500"/>
      <c r="Q194" s="500"/>
      <c r="R194" s="500"/>
      <c r="S194" s="500"/>
      <c r="T194" s="500"/>
      <c r="U194" s="500"/>
      <c r="V194" s="500"/>
      <c r="W194" s="354"/>
      <c r="X194" s="351"/>
      <c r="Y194" s="351"/>
      <c r="Z194" s="351"/>
      <c r="AA194" s="351"/>
      <c r="AB194" s="351"/>
      <c r="AC194" s="351"/>
      <c r="AD194" s="351"/>
      <c r="AE194" s="351"/>
      <c r="AF194" s="351"/>
      <c r="AG194" s="2"/>
    </row>
    <row r="195" spans="1:33" ht="13.5" customHeight="1">
      <c r="A195" s="351"/>
      <c r="B195" s="500"/>
      <c r="C195" s="500"/>
      <c r="D195" s="500"/>
      <c r="E195" s="500"/>
      <c r="F195" s="500"/>
      <c r="G195" s="509"/>
      <c r="H195" s="500"/>
      <c r="I195" s="508"/>
      <c r="J195" s="508"/>
      <c r="K195" s="508"/>
      <c r="L195" s="508"/>
      <c r="M195" s="500"/>
      <c r="N195" s="500"/>
      <c r="O195" s="500"/>
      <c r="P195" s="500"/>
      <c r="Q195" s="500"/>
      <c r="R195" s="500"/>
      <c r="S195" s="500"/>
      <c r="T195" s="500"/>
      <c r="U195" s="500"/>
      <c r="V195" s="500"/>
      <c r="W195" s="354"/>
      <c r="X195" s="351"/>
      <c r="Y195" s="351"/>
      <c r="Z195" s="351"/>
      <c r="AA195" s="351"/>
      <c r="AB195" s="351"/>
      <c r="AC195" s="351"/>
      <c r="AD195" s="351"/>
      <c r="AE195" s="351"/>
      <c r="AF195" s="351"/>
      <c r="AG195" s="2"/>
    </row>
    <row r="196" spans="1:33" ht="13.5" customHeight="1">
      <c r="A196" s="351"/>
      <c r="B196" s="500"/>
      <c r="C196" s="500"/>
      <c r="D196" s="500"/>
      <c r="E196" s="500"/>
      <c r="F196" s="500"/>
      <c r="G196" s="509"/>
      <c r="H196" s="500"/>
      <c r="I196" s="508"/>
      <c r="J196" s="508"/>
      <c r="K196" s="508"/>
      <c r="L196" s="508"/>
      <c r="M196" s="500"/>
      <c r="N196" s="500"/>
      <c r="O196" s="500"/>
      <c r="P196" s="500"/>
      <c r="Q196" s="500"/>
      <c r="R196" s="500"/>
      <c r="S196" s="500"/>
      <c r="T196" s="500"/>
      <c r="U196" s="500"/>
      <c r="V196" s="500"/>
      <c r="W196" s="354"/>
      <c r="X196" s="351"/>
      <c r="Y196" s="351"/>
      <c r="Z196" s="351"/>
      <c r="AA196" s="351"/>
      <c r="AB196" s="351"/>
      <c r="AC196" s="351"/>
      <c r="AD196" s="351"/>
      <c r="AE196" s="351"/>
      <c r="AF196" s="351"/>
      <c r="AG196" s="2"/>
    </row>
    <row r="197" spans="1:33" ht="13.5" customHeight="1">
      <c r="A197" s="351"/>
      <c r="B197" s="500"/>
      <c r="C197" s="500"/>
      <c r="D197" s="500"/>
      <c r="E197" s="500"/>
      <c r="F197" s="500"/>
      <c r="G197" s="509"/>
      <c r="H197" s="500"/>
      <c r="I197" s="508"/>
      <c r="J197" s="508"/>
      <c r="K197" s="508"/>
      <c r="L197" s="508"/>
      <c r="M197" s="500"/>
      <c r="N197" s="500"/>
      <c r="O197" s="500"/>
      <c r="P197" s="500"/>
      <c r="Q197" s="500"/>
      <c r="R197" s="500"/>
      <c r="S197" s="500"/>
      <c r="T197" s="500"/>
      <c r="U197" s="500"/>
      <c r="V197" s="500"/>
      <c r="W197" s="354"/>
      <c r="X197" s="351"/>
      <c r="Y197" s="351"/>
      <c r="Z197" s="351"/>
      <c r="AA197" s="351"/>
      <c r="AB197" s="351"/>
      <c r="AC197" s="351"/>
      <c r="AD197" s="351"/>
      <c r="AE197" s="351"/>
      <c r="AF197" s="351"/>
      <c r="AG197" s="2"/>
    </row>
    <row r="198" spans="1:33" ht="13.5" customHeight="1">
      <c r="A198" s="351"/>
      <c r="B198" s="500"/>
      <c r="C198" s="500"/>
      <c r="D198" s="500"/>
      <c r="E198" s="500"/>
      <c r="F198" s="500"/>
      <c r="G198" s="509"/>
      <c r="H198" s="500"/>
      <c r="I198" s="508"/>
      <c r="J198" s="508"/>
      <c r="K198" s="508"/>
      <c r="L198" s="508"/>
      <c r="M198" s="500"/>
      <c r="N198" s="500"/>
      <c r="O198" s="500"/>
      <c r="P198" s="500"/>
      <c r="Q198" s="500"/>
      <c r="R198" s="500"/>
      <c r="S198" s="500"/>
      <c r="T198" s="500"/>
      <c r="U198" s="500"/>
      <c r="V198" s="500"/>
      <c r="W198" s="354"/>
      <c r="X198" s="351"/>
      <c r="Y198" s="351"/>
      <c r="Z198" s="351"/>
      <c r="AA198" s="351"/>
      <c r="AB198" s="351"/>
      <c r="AC198" s="351"/>
      <c r="AD198" s="351"/>
      <c r="AE198" s="351"/>
      <c r="AF198" s="351"/>
      <c r="AG198" s="2"/>
    </row>
    <row r="199" spans="1:33" ht="13.5" customHeight="1">
      <c r="A199" s="351"/>
      <c r="B199" s="500"/>
      <c r="C199" s="500"/>
      <c r="D199" s="500"/>
      <c r="E199" s="500"/>
      <c r="F199" s="500"/>
      <c r="G199" s="509"/>
      <c r="H199" s="500"/>
      <c r="I199" s="508"/>
      <c r="J199" s="508"/>
      <c r="K199" s="508"/>
      <c r="L199" s="508"/>
      <c r="M199" s="500"/>
      <c r="N199" s="500"/>
      <c r="O199" s="500"/>
      <c r="P199" s="500"/>
      <c r="Q199" s="500"/>
      <c r="R199" s="500"/>
      <c r="S199" s="500"/>
      <c r="T199" s="500"/>
      <c r="U199" s="500"/>
      <c r="V199" s="500"/>
      <c r="W199" s="354"/>
      <c r="X199" s="351"/>
      <c r="Y199" s="351"/>
      <c r="Z199" s="351"/>
      <c r="AA199" s="351"/>
      <c r="AB199" s="351"/>
      <c r="AC199" s="351"/>
      <c r="AD199" s="351"/>
      <c r="AE199" s="351"/>
      <c r="AF199" s="351"/>
      <c r="AG199" s="2"/>
    </row>
    <row r="200" spans="1:33" ht="13.5" customHeight="1">
      <c r="A200" s="351"/>
      <c r="B200" s="500"/>
      <c r="C200" s="500"/>
      <c r="D200" s="500"/>
      <c r="E200" s="500"/>
      <c r="F200" s="500"/>
      <c r="G200" s="509"/>
      <c r="H200" s="500"/>
      <c r="I200" s="508"/>
      <c r="J200" s="508"/>
      <c r="K200" s="508"/>
      <c r="L200" s="508"/>
      <c r="M200" s="500"/>
      <c r="N200" s="500"/>
      <c r="O200" s="500"/>
      <c r="P200" s="500"/>
      <c r="Q200" s="500"/>
      <c r="R200" s="500"/>
      <c r="S200" s="500"/>
      <c r="T200" s="500"/>
      <c r="U200" s="500"/>
      <c r="V200" s="500"/>
      <c r="W200" s="354"/>
      <c r="X200" s="351"/>
      <c r="Y200" s="351"/>
      <c r="Z200" s="351"/>
      <c r="AA200" s="351"/>
      <c r="AB200" s="351"/>
      <c r="AC200" s="351"/>
      <c r="AD200" s="351"/>
      <c r="AE200" s="351"/>
      <c r="AF200" s="351"/>
      <c r="AG200" s="2"/>
    </row>
    <row r="201" spans="1:33" ht="13.5" customHeight="1">
      <c r="A201" s="351"/>
      <c r="B201" s="500"/>
      <c r="C201" s="500"/>
      <c r="D201" s="500"/>
      <c r="E201" s="500"/>
      <c r="F201" s="500"/>
      <c r="G201" s="509"/>
      <c r="H201" s="500"/>
      <c r="I201" s="508"/>
      <c r="J201" s="508"/>
      <c r="K201" s="508"/>
      <c r="L201" s="508"/>
      <c r="M201" s="500"/>
      <c r="N201" s="500"/>
      <c r="O201" s="500"/>
      <c r="P201" s="500"/>
      <c r="Q201" s="500"/>
      <c r="R201" s="500"/>
      <c r="S201" s="500"/>
      <c r="T201" s="500"/>
      <c r="U201" s="500"/>
      <c r="V201" s="500"/>
      <c r="W201" s="354"/>
      <c r="X201" s="351"/>
      <c r="Y201" s="351"/>
      <c r="Z201" s="351"/>
      <c r="AA201" s="351"/>
      <c r="AB201" s="351"/>
      <c r="AC201" s="351"/>
      <c r="AD201" s="351"/>
      <c r="AE201" s="351"/>
      <c r="AF201" s="351"/>
      <c r="AG201" s="2"/>
    </row>
    <row r="202" spans="1:33" ht="13.5" customHeight="1">
      <c r="A202" s="351"/>
      <c r="B202" s="500"/>
      <c r="C202" s="500"/>
      <c r="D202" s="500"/>
      <c r="E202" s="500"/>
      <c r="F202" s="500"/>
      <c r="G202" s="509"/>
      <c r="H202" s="500"/>
      <c r="I202" s="508"/>
      <c r="J202" s="508"/>
      <c r="K202" s="508"/>
      <c r="L202" s="508"/>
      <c r="M202" s="500"/>
      <c r="N202" s="500"/>
      <c r="O202" s="500"/>
      <c r="P202" s="500"/>
      <c r="Q202" s="500"/>
      <c r="R202" s="500"/>
      <c r="S202" s="500"/>
      <c r="T202" s="500"/>
      <c r="U202" s="500"/>
      <c r="V202" s="500"/>
      <c r="W202" s="354"/>
      <c r="X202" s="351"/>
      <c r="Y202" s="351"/>
      <c r="Z202" s="351"/>
      <c r="AA202" s="351"/>
      <c r="AB202" s="351"/>
      <c r="AC202" s="351"/>
      <c r="AD202" s="351"/>
      <c r="AE202" s="351"/>
      <c r="AF202" s="351"/>
      <c r="AG202" s="2"/>
    </row>
    <row r="203" spans="1:33" ht="13.5" customHeight="1">
      <c r="A203" s="351"/>
      <c r="B203" s="500"/>
      <c r="C203" s="500"/>
      <c r="D203" s="500"/>
      <c r="E203" s="500"/>
      <c r="F203" s="500"/>
      <c r="G203" s="509"/>
      <c r="H203" s="500"/>
      <c r="I203" s="508"/>
      <c r="J203" s="508"/>
      <c r="K203" s="508"/>
      <c r="L203" s="508"/>
      <c r="M203" s="500"/>
      <c r="N203" s="500"/>
      <c r="O203" s="500"/>
      <c r="P203" s="500"/>
      <c r="Q203" s="500"/>
      <c r="R203" s="500"/>
      <c r="S203" s="500"/>
      <c r="T203" s="500"/>
      <c r="U203" s="500"/>
      <c r="V203" s="500"/>
      <c r="W203" s="354"/>
      <c r="X203" s="351"/>
      <c r="Y203" s="351"/>
      <c r="Z203" s="351"/>
      <c r="AA203" s="351"/>
      <c r="AB203" s="351"/>
      <c r="AC203" s="351"/>
      <c r="AD203" s="351"/>
      <c r="AE203" s="351"/>
      <c r="AF203" s="351"/>
      <c r="AG203" s="2"/>
    </row>
    <row r="204" spans="1:33" ht="13.5" customHeight="1">
      <c r="A204" s="351"/>
      <c r="B204" s="500"/>
      <c r="C204" s="500"/>
      <c r="D204" s="500"/>
      <c r="E204" s="500"/>
      <c r="F204" s="500"/>
      <c r="G204" s="509"/>
      <c r="H204" s="500"/>
      <c r="I204" s="508"/>
      <c r="J204" s="508"/>
      <c r="K204" s="508"/>
      <c r="L204" s="508"/>
      <c r="M204" s="500"/>
      <c r="N204" s="500"/>
      <c r="O204" s="500"/>
      <c r="P204" s="500"/>
      <c r="Q204" s="500"/>
      <c r="R204" s="500"/>
      <c r="S204" s="500"/>
      <c r="T204" s="500"/>
      <c r="U204" s="500"/>
      <c r="V204" s="500"/>
      <c r="W204" s="354"/>
      <c r="X204" s="351"/>
      <c r="Y204" s="351"/>
      <c r="Z204" s="351"/>
      <c r="AA204" s="351"/>
      <c r="AB204" s="351"/>
      <c r="AC204" s="351"/>
      <c r="AD204" s="351"/>
      <c r="AE204" s="351"/>
      <c r="AF204" s="351"/>
      <c r="AG204" s="2"/>
    </row>
    <row r="205" spans="1:33" ht="13.5" customHeight="1">
      <c r="A205" s="351"/>
      <c r="B205" s="500"/>
      <c r="C205" s="500"/>
      <c r="D205" s="500"/>
      <c r="E205" s="500"/>
      <c r="F205" s="500"/>
      <c r="G205" s="509"/>
      <c r="H205" s="500"/>
      <c r="I205" s="508"/>
      <c r="J205" s="508"/>
      <c r="K205" s="508"/>
      <c r="L205" s="508"/>
      <c r="M205" s="500"/>
      <c r="N205" s="500"/>
      <c r="O205" s="500"/>
      <c r="P205" s="500"/>
      <c r="Q205" s="500"/>
      <c r="R205" s="500"/>
      <c r="S205" s="500"/>
      <c r="T205" s="500"/>
      <c r="U205" s="500"/>
      <c r="V205" s="500"/>
      <c r="W205" s="354"/>
      <c r="X205" s="351"/>
      <c r="Y205" s="351"/>
      <c r="Z205" s="351"/>
      <c r="AA205" s="351"/>
      <c r="AB205" s="351"/>
      <c r="AC205" s="351"/>
      <c r="AD205" s="351"/>
      <c r="AE205" s="351"/>
      <c r="AF205" s="351"/>
      <c r="AG205" s="2"/>
    </row>
    <row r="206" spans="1:33" ht="13.5" customHeight="1">
      <c r="A206" s="351"/>
      <c r="B206" s="500"/>
      <c r="C206" s="500"/>
      <c r="D206" s="500"/>
      <c r="E206" s="500"/>
      <c r="F206" s="500"/>
      <c r="G206" s="509"/>
      <c r="H206" s="500"/>
      <c r="I206" s="508"/>
      <c r="J206" s="508"/>
      <c r="K206" s="508"/>
      <c r="L206" s="508"/>
      <c r="M206" s="500"/>
      <c r="N206" s="500"/>
      <c r="O206" s="500"/>
      <c r="P206" s="500"/>
      <c r="Q206" s="500"/>
      <c r="R206" s="500"/>
      <c r="S206" s="500"/>
      <c r="T206" s="500"/>
      <c r="U206" s="500"/>
      <c r="V206" s="500"/>
      <c r="W206" s="354"/>
      <c r="X206" s="351"/>
      <c r="Y206" s="351"/>
      <c r="Z206" s="351"/>
      <c r="AA206" s="351"/>
      <c r="AB206" s="351"/>
      <c r="AC206" s="351"/>
      <c r="AD206" s="351"/>
      <c r="AE206" s="351"/>
      <c r="AF206" s="351"/>
      <c r="AG206" s="2"/>
    </row>
    <row r="207" spans="1:33" ht="13.5" customHeight="1">
      <c r="A207" s="351"/>
      <c r="B207" s="500"/>
      <c r="C207" s="500"/>
      <c r="D207" s="500"/>
      <c r="E207" s="500"/>
      <c r="F207" s="500"/>
      <c r="G207" s="509"/>
      <c r="H207" s="500"/>
      <c r="I207" s="508"/>
      <c r="J207" s="508"/>
      <c r="K207" s="508"/>
      <c r="L207" s="508"/>
      <c r="M207" s="500"/>
      <c r="N207" s="500"/>
      <c r="O207" s="500"/>
      <c r="P207" s="500"/>
      <c r="Q207" s="500"/>
      <c r="R207" s="500"/>
      <c r="S207" s="500"/>
      <c r="T207" s="500"/>
      <c r="U207" s="500"/>
      <c r="V207" s="500"/>
      <c r="W207" s="354"/>
      <c r="X207" s="351"/>
      <c r="Y207" s="351"/>
      <c r="Z207" s="351"/>
      <c r="AA207" s="351"/>
      <c r="AB207" s="351"/>
      <c r="AC207" s="351"/>
      <c r="AD207" s="351"/>
      <c r="AE207" s="351"/>
      <c r="AF207" s="351"/>
      <c r="AG207" s="2"/>
    </row>
    <row r="208" spans="1:33" ht="13.5" customHeight="1">
      <c r="A208" s="351"/>
      <c r="B208" s="500"/>
      <c r="C208" s="500"/>
      <c r="D208" s="500"/>
      <c r="E208" s="500"/>
      <c r="F208" s="500"/>
      <c r="G208" s="509"/>
      <c r="H208" s="500"/>
      <c r="I208" s="508"/>
      <c r="J208" s="508"/>
      <c r="K208" s="508"/>
      <c r="L208" s="508"/>
      <c r="M208" s="500"/>
      <c r="N208" s="500"/>
      <c r="O208" s="500"/>
      <c r="P208" s="500"/>
      <c r="Q208" s="500"/>
      <c r="R208" s="500"/>
      <c r="S208" s="500"/>
      <c r="T208" s="500"/>
      <c r="U208" s="500"/>
      <c r="V208" s="500"/>
      <c r="W208" s="354"/>
      <c r="X208" s="351"/>
      <c r="Y208" s="351"/>
      <c r="Z208" s="351"/>
      <c r="AA208" s="351"/>
      <c r="AB208" s="351"/>
      <c r="AC208" s="351"/>
      <c r="AD208" s="351"/>
      <c r="AE208" s="351"/>
      <c r="AF208" s="351"/>
      <c r="AG208" s="2"/>
    </row>
    <row r="209" spans="1:33" ht="13.5" customHeight="1">
      <c r="A209" s="351"/>
      <c r="B209" s="500"/>
      <c r="C209" s="500"/>
      <c r="D209" s="500"/>
      <c r="E209" s="500"/>
      <c r="F209" s="500"/>
      <c r="G209" s="509"/>
      <c r="H209" s="500"/>
      <c r="I209" s="508"/>
      <c r="J209" s="508"/>
      <c r="K209" s="508"/>
      <c r="L209" s="508"/>
      <c r="M209" s="500"/>
      <c r="N209" s="500"/>
      <c r="O209" s="500"/>
      <c r="P209" s="500"/>
      <c r="Q209" s="500"/>
      <c r="R209" s="500"/>
      <c r="S209" s="500"/>
      <c r="T209" s="500"/>
      <c r="U209" s="500"/>
      <c r="V209" s="500"/>
      <c r="W209" s="354"/>
      <c r="X209" s="351"/>
      <c r="Y209" s="351"/>
      <c r="Z209" s="351"/>
      <c r="AA209" s="351"/>
      <c r="AB209" s="351"/>
      <c r="AC209" s="351"/>
      <c r="AD209" s="351"/>
      <c r="AE209" s="351"/>
      <c r="AF209" s="351"/>
      <c r="AG209" s="2"/>
    </row>
    <row r="210" spans="1:33" ht="13.5" customHeight="1">
      <c r="A210" s="351"/>
      <c r="B210" s="500"/>
      <c r="C210" s="500"/>
      <c r="D210" s="500"/>
      <c r="E210" s="500"/>
      <c r="F210" s="500"/>
      <c r="G210" s="509"/>
      <c r="H210" s="500"/>
      <c r="I210" s="508"/>
      <c r="J210" s="508"/>
      <c r="K210" s="508"/>
      <c r="L210" s="508"/>
      <c r="M210" s="500"/>
      <c r="N210" s="500"/>
      <c r="O210" s="500"/>
      <c r="P210" s="500"/>
      <c r="Q210" s="500"/>
      <c r="R210" s="500"/>
      <c r="S210" s="500"/>
      <c r="T210" s="500"/>
      <c r="U210" s="500"/>
      <c r="V210" s="500"/>
      <c r="W210" s="354"/>
      <c r="X210" s="351"/>
      <c r="Y210" s="351"/>
      <c r="Z210" s="351"/>
      <c r="AA210" s="351"/>
      <c r="AB210" s="351"/>
      <c r="AC210" s="351"/>
      <c r="AD210" s="351"/>
      <c r="AE210" s="351"/>
      <c r="AF210" s="351"/>
      <c r="AG210" s="2"/>
    </row>
    <row r="211" spans="1:33" ht="13.5" customHeight="1">
      <c r="A211" s="351"/>
      <c r="B211" s="500"/>
      <c r="C211" s="500"/>
      <c r="D211" s="500"/>
      <c r="E211" s="500"/>
      <c r="F211" s="500"/>
      <c r="G211" s="509"/>
      <c r="H211" s="500"/>
      <c r="I211" s="508"/>
      <c r="J211" s="508"/>
      <c r="K211" s="508"/>
      <c r="L211" s="508"/>
      <c r="M211" s="500"/>
      <c r="N211" s="500"/>
      <c r="O211" s="500"/>
      <c r="P211" s="500"/>
      <c r="Q211" s="500"/>
      <c r="R211" s="500"/>
      <c r="S211" s="500"/>
      <c r="T211" s="500"/>
      <c r="U211" s="500"/>
      <c r="V211" s="500"/>
      <c r="W211" s="354"/>
      <c r="X211" s="351"/>
      <c r="Y211" s="351"/>
      <c r="Z211" s="351"/>
      <c r="AA211" s="351"/>
      <c r="AB211" s="351"/>
      <c r="AC211" s="351"/>
      <c r="AD211" s="351"/>
      <c r="AE211" s="351"/>
      <c r="AF211" s="351"/>
      <c r="AG211" s="2"/>
    </row>
    <row r="212" spans="1:33" ht="13.5" customHeight="1">
      <c r="A212" s="351"/>
      <c r="B212" s="500"/>
      <c r="C212" s="500"/>
      <c r="D212" s="500"/>
      <c r="E212" s="500"/>
      <c r="F212" s="500"/>
      <c r="G212" s="509"/>
      <c r="H212" s="500"/>
      <c r="I212" s="508"/>
      <c r="J212" s="508"/>
      <c r="K212" s="508"/>
      <c r="L212" s="508"/>
      <c r="M212" s="500"/>
      <c r="N212" s="500"/>
      <c r="O212" s="500"/>
      <c r="P212" s="500"/>
      <c r="Q212" s="500"/>
      <c r="R212" s="500"/>
      <c r="S212" s="500"/>
      <c r="T212" s="500"/>
      <c r="U212" s="500"/>
      <c r="V212" s="500"/>
      <c r="W212" s="354"/>
      <c r="X212" s="351"/>
      <c r="Y212" s="351"/>
      <c r="Z212" s="351"/>
      <c r="AA212" s="351"/>
      <c r="AB212" s="351"/>
      <c r="AC212" s="351"/>
      <c r="AD212" s="351"/>
      <c r="AE212" s="351"/>
      <c r="AF212" s="351"/>
      <c r="AG212" s="2"/>
    </row>
    <row r="213" spans="1:33" ht="13.5" customHeight="1">
      <c r="A213" s="351"/>
      <c r="B213" s="500"/>
      <c r="C213" s="500"/>
      <c r="D213" s="500"/>
      <c r="E213" s="500"/>
      <c r="F213" s="500"/>
      <c r="G213" s="509"/>
      <c r="H213" s="500"/>
      <c r="I213" s="508"/>
      <c r="J213" s="508"/>
      <c r="K213" s="508"/>
      <c r="L213" s="508"/>
      <c r="M213" s="500"/>
      <c r="N213" s="500"/>
      <c r="O213" s="500"/>
      <c r="P213" s="500"/>
      <c r="Q213" s="500"/>
      <c r="R213" s="500"/>
      <c r="S213" s="500"/>
      <c r="T213" s="500"/>
      <c r="U213" s="500"/>
      <c r="V213" s="500"/>
      <c r="W213" s="354"/>
      <c r="X213" s="351"/>
      <c r="Y213" s="351"/>
      <c r="Z213" s="351"/>
      <c r="AA213" s="351"/>
      <c r="AB213" s="351"/>
      <c r="AC213" s="351"/>
      <c r="AD213" s="351"/>
      <c r="AE213" s="351"/>
      <c r="AF213" s="351"/>
      <c r="AG213" s="2"/>
    </row>
    <row r="214" spans="1:33" ht="13.5" customHeight="1">
      <c r="A214" s="351"/>
      <c r="B214" s="500"/>
      <c r="C214" s="500"/>
      <c r="D214" s="500"/>
      <c r="E214" s="500"/>
      <c r="F214" s="500"/>
      <c r="G214" s="509"/>
      <c r="H214" s="500"/>
      <c r="I214" s="508"/>
      <c r="J214" s="508"/>
      <c r="K214" s="508"/>
      <c r="L214" s="508"/>
      <c r="M214" s="500"/>
      <c r="N214" s="500"/>
      <c r="O214" s="500"/>
      <c r="P214" s="500"/>
      <c r="Q214" s="500"/>
      <c r="R214" s="500"/>
      <c r="S214" s="500"/>
      <c r="T214" s="500"/>
      <c r="U214" s="500"/>
      <c r="V214" s="500"/>
      <c r="W214" s="354"/>
      <c r="X214" s="351"/>
      <c r="Y214" s="351"/>
      <c r="Z214" s="351"/>
      <c r="AA214" s="351"/>
      <c r="AB214" s="351"/>
      <c r="AC214" s="351"/>
      <c r="AD214" s="351"/>
      <c r="AE214" s="351"/>
      <c r="AF214" s="351"/>
      <c r="AG214" s="2"/>
    </row>
    <row r="215" spans="1:33" ht="13.5" customHeight="1">
      <c r="A215" s="351"/>
      <c r="B215" s="500"/>
      <c r="C215" s="500"/>
      <c r="D215" s="500"/>
      <c r="E215" s="500"/>
      <c r="F215" s="500"/>
      <c r="G215" s="509"/>
      <c r="H215" s="500"/>
      <c r="I215" s="508"/>
      <c r="J215" s="508"/>
      <c r="K215" s="508"/>
      <c r="L215" s="508"/>
      <c r="M215" s="500"/>
      <c r="N215" s="500"/>
      <c r="O215" s="500"/>
      <c r="P215" s="500"/>
      <c r="Q215" s="500"/>
      <c r="R215" s="500"/>
      <c r="S215" s="500"/>
      <c r="T215" s="500"/>
      <c r="U215" s="500"/>
      <c r="V215" s="500"/>
      <c r="W215" s="354"/>
      <c r="X215" s="351"/>
      <c r="Y215" s="351"/>
      <c r="Z215" s="351"/>
      <c r="AA215" s="351"/>
      <c r="AB215" s="351"/>
      <c r="AC215" s="351"/>
      <c r="AD215" s="351"/>
      <c r="AE215" s="351"/>
      <c r="AF215" s="351"/>
      <c r="AG215" s="2"/>
    </row>
    <row r="216" spans="1:33" ht="13.5" customHeight="1">
      <c r="A216" s="351"/>
      <c r="B216" s="500"/>
      <c r="C216" s="500"/>
      <c r="D216" s="500"/>
      <c r="E216" s="500"/>
      <c r="F216" s="500"/>
      <c r="G216" s="509"/>
      <c r="H216" s="500"/>
      <c r="I216" s="508"/>
      <c r="J216" s="508"/>
      <c r="K216" s="508"/>
      <c r="L216" s="508"/>
      <c r="M216" s="500"/>
      <c r="N216" s="500"/>
      <c r="O216" s="500"/>
      <c r="P216" s="500"/>
      <c r="Q216" s="500"/>
      <c r="R216" s="500"/>
      <c r="S216" s="500"/>
      <c r="T216" s="500"/>
      <c r="U216" s="500"/>
      <c r="V216" s="500"/>
      <c r="W216" s="354"/>
      <c r="X216" s="351"/>
      <c r="Y216" s="351"/>
      <c r="Z216" s="351"/>
      <c r="AA216" s="351"/>
      <c r="AB216" s="351"/>
      <c r="AC216" s="351"/>
      <c r="AD216" s="351"/>
      <c r="AE216" s="351"/>
      <c r="AF216" s="351"/>
      <c r="AG216" s="2"/>
    </row>
    <row r="217" spans="1:33" ht="13.5" customHeight="1">
      <c r="A217" s="351"/>
      <c r="B217" s="500"/>
      <c r="C217" s="500"/>
      <c r="D217" s="500"/>
      <c r="E217" s="500"/>
      <c r="F217" s="500"/>
      <c r="G217" s="509"/>
      <c r="H217" s="500"/>
      <c r="I217" s="508"/>
      <c r="J217" s="508"/>
      <c r="K217" s="508"/>
      <c r="L217" s="508"/>
      <c r="M217" s="500"/>
      <c r="N217" s="500"/>
      <c r="O217" s="500"/>
      <c r="P217" s="500"/>
      <c r="Q217" s="500"/>
      <c r="R217" s="500"/>
      <c r="S217" s="500"/>
      <c r="T217" s="500"/>
      <c r="U217" s="500"/>
      <c r="V217" s="500"/>
      <c r="W217" s="354"/>
      <c r="X217" s="351"/>
      <c r="Y217" s="351"/>
      <c r="Z217" s="351"/>
      <c r="AA217" s="351"/>
      <c r="AB217" s="351"/>
      <c r="AC217" s="351"/>
      <c r="AD217" s="351"/>
      <c r="AE217" s="351"/>
      <c r="AF217" s="351"/>
      <c r="AG217" s="2"/>
    </row>
    <row r="218" spans="1:33" ht="13.5" customHeight="1">
      <c r="A218" s="351"/>
      <c r="B218" s="500"/>
      <c r="C218" s="500"/>
      <c r="D218" s="500"/>
      <c r="E218" s="500"/>
      <c r="F218" s="500"/>
      <c r="G218" s="509"/>
      <c r="H218" s="500"/>
      <c r="I218" s="508"/>
      <c r="J218" s="508"/>
      <c r="K218" s="508"/>
      <c r="L218" s="508"/>
      <c r="M218" s="500"/>
      <c r="N218" s="500"/>
      <c r="O218" s="500"/>
      <c r="P218" s="500"/>
      <c r="Q218" s="500"/>
      <c r="R218" s="500"/>
      <c r="S218" s="500"/>
      <c r="T218" s="500"/>
      <c r="U218" s="500"/>
      <c r="V218" s="500"/>
      <c r="W218" s="354"/>
      <c r="X218" s="351"/>
      <c r="Y218" s="351"/>
      <c r="Z218" s="351"/>
      <c r="AA218" s="351"/>
      <c r="AB218" s="351"/>
      <c r="AC218" s="351"/>
      <c r="AD218" s="351"/>
      <c r="AE218" s="351"/>
      <c r="AF218" s="351"/>
      <c r="AG218" s="2"/>
    </row>
    <row r="219" spans="1:33" ht="13.5" customHeight="1">
      <c r="A219" s="351"/>
      <c r="B219" s="500"/>
      <c r="C219" s="500"/>
      <c r="D219" s="500"/>
      <c r="E219" s="500"/>
      <c r="F219" s="500"/>
      <c r="G219" s="509"/>
      <c r="H219" s="500"/>
      <c r="I219" s="508"/>
      <c r="J219" s="508"/>
      <c r="K219" s="508"/>
      <c r="L219" s="508"/>
      <c r="M219" s="500"/>
      <c r="N219" s="500"/>
      <c r="O219" s="500"/>
      <c r="P219" s="500"/>
      <c r="Q219" s="500"/>
      <c r="R219" s="500"/>
      <c r="S219" s="500"/>
      <c r="T219" s="500"/>
      <c r="U219" s="500"/>
      <c r="V219" s="500"/>
      <c r="W219" s="354"/>
      <c r="X219" s="351"/>
      <c r="Y219" s="351"/>
      <c r="Z219" s="351"/>
      <c r="AA219" s="351"/>
      <c r="AB219" s="351"/>
      <c r="AC219" s="351"/>
      <c r="AD219" s="351"/>
      <c r="AE219" s="351"/>
      <c r="AF219" s="351"/>
      <c r="AG219" s="2"/>
    </row>
    <row r="220" spans="1:33" ht="13.5" customHeight="1">
      <c r="A220" s="351"/>
      <c r="B220" s="500"/>
      <c r="C220" s="500"/>
      <c r="D220" s="500"/>
      <c r="E220" s="500"/>
      <c r="F220" s="500"/>
      <c r="G220" s="509"/>
      <c r="H220" s="500"/>
      <c r="I220" s="508"/>
      <c r="J220" s="508"/>
      <c r="K220" s="508"/>
      <c r="L220" s="508"/>
      <c r="M220" s="500"/>
      <c r="N220" s="500"/>
      <c r="O220" s="500"/>
      <c r="P220" s="500"/>
      <c r="Q220" s="500"/>
      <c r="R220" s="500"/>
      <c r="S220" s="500"/>
      <c r="T220" s="500"/>
      <c r="U220" s="500"/>
      <c r="V220" s="500"/>
      <c r="W220" s="354"/>
      <c r="X220" s="351"/>
      <c r="Y220" s="351"/>
      <c r="Z220" s="351"/>
      <c r="AA220" s="351"/>
      <c r="AB220" s="351"/>
      <c r="AC220" s="351"/>
      <c r="AD220" s="351"/>
      <c r="AE220" s="351"/>
      <c r="AF220" s="351"/>
      <c r="AG220" s="2"/>
    </row>
    <row r="221" spans="1:33" ht="13.5" customHeight="1">
      <c r="A221" s="351"/>
      <c r="B221" s="500"/>
      <c r="C221" s="500"/>
      <c r="D221" s="500"/>
      <c r="E221" s="500"/>
      <c r="F221" s="500"/>
      <c r="G221" s="509"/>
      <c r="H221" s="500"/>
      <c r="I221" s="508"/>
      <c r="J221" s="508"/>
      <c r="K221" s="508"/>
      <c r="L221" s="508"/>
      <c r="M221" s="500"/>
      <c r="N221" s="500"/>
      <c r="O221" s="500"/>
      <c r="P221" s="500"/>
      <c r="Q221" s="500"/>
      <c r="R221" s="500"/>
      <c r="S221" s="500"/>
      <c r="T221" s="500"/>
      <c r="U221" s="500"/>
      <c r="V221" s="500"/>
      <c r="W221" s="354"/>
      <c r="X221" s="351"/>
      <c r="Y221" s="351"/>
      <c r="Z221" s="351"/>
      <c r="AA221" s="351"/>
      <c r="AB221" s="351"/>
      <c r="AC221" s="351"/>
      <c r="AD221" s="351"/>
      <c r="AE221" s="351"/>
      <c r="AF221" s="351"/>
      <c r="AG221" s="2"/>
    </row>
    <row r="222" spans="1:33" ht="13.5" customHeight="1">
      <c r="A222" s="351"/>
      <c r="B222" s="500"/>
      <c r="C222" s="500"/>
      <c r="D222" s="500"/>
      <c r="E222" s="500"/>
      <c r="F222" s="500"/>
      <c r="G222" s="509"/>
      <c r="H222" s="500"/>
      <c r="I222" s="508"/>
      <c r="J222" s="508"/>
      <c r="K222" s="508"/>
      <c r="L222" s="508"/>
      <c r="M222" s="500"/>
      <c r="N222" s="500"/>
      <c r="O222" s="500"/>
      <c r="P222" s="500"/>
      <c r="Q222" s="500"/>
      <c r="R222" s="500"/>
      <c r="S222" s="500"/>
      <c r="T222" s="500"/>
      <c r="U222" s="500"/>
      <c r="V222" s="500"/>
      <c r="W222" s="354"/>
      <c r="X222" s="351"/>
      <c r="Y222" s="351"/>
      <c r="Z222" s="351"/>
      <c r="AA222" s="351"/>
      <c r="AB222" s="351"/>
      <c r="AC222" s="351"/>
      <c r="AD222" s="351"/>
      <c r="AE222" s="351"/>
      <c r="AF222" s="351"/>
      <c r="AG222" s="2"/>
    </row>
    <row r="223" spans="1:33" ht="13.5" customHeight="1">
      <c r="A223" s="351"/>
      <c r="B223" s="500"/>
      <c r="C223" s="500"/>
      <c r="D223" s="500"/>
      <c r="E223" s="500"/>
      <c r="F223" s="500"/>
      <c r="G223" s="509"/>
      <c r="H223" s="500"/>
      <c r="I223" s="508"/>
      <c r="J223" s="508"/>
      <c r="K223" s="508"/>
      <c r="L223" s="508"/>
      <c r="M223" s="500"/>
      <c r="N223" s="500"/>
      <c r="O223" s="500"/>
      <c r="P223" s="500"/>
      <c r="Q223" s="500"/>
      <c r="R223" s="500"/>
      <c r="S223" s="500"/>
      <c r="T223" s="500"/>
      <c r="U223" s="500"/>
      <c r="V223" s="500"/>
      <c r="W223" s="354"/>
      <c r="X223" s="351"/>
      <c r="Y223" s="351"/>
      <c r="Z223" s="351"/>
      <c r="AA223" s="351"/>
      <c r="AB223" s="351"/>
      <c r="AC223" s="351"/>
      <c r="AD223" s="351"/>
      <c r="AE223" s="351"/>
      <c r="AF223" s="351"/>
      <c r="AG223" s="2"/>
    </row>
    <row r="224" spans="1:33" ht="13.5" customHeight="1">
      <c r="A224" s="351"/>
      <c r="B224" s="500"/>
      <c r="C224" s="500"/>
      <c r="D224" s="500"/>
      <c r="E224" s="500"/>
      <c r="F224" s="500"/>
      <c r="G224" s="509"/>
      <c r="H224" s="500"/>
      <c r="I224" s="508"/>
      <c r="J224" s="508"/>
      <c r="K224" s="508"/>
      <c r="L224" s="508"/>
      <c r="M224" s="500"/>
      <c r="N224" s="500"/>
      <c r="O224" s="500"/>
      <c r="P224" s="500"/>
      <c r="Q224" s="500"/>
      <c r="R224" s="500"/>
      <c r="S224" s="500"/>
      <c r="T224" s="500"/>
      <c r="U224" s="500"/>
      <c r="V224" s="500"/>
      <c r="W224" s="354"/>
      <c r="X224" s="351"/>
      <c r="Y224" s="351"/>
      <c r="Z224" s="351"/>
      <c r="AA224" s="351"/>
      <c r="AB224" s="351"/>
      <c r="AC224" s="351"/>
      <c r="AD224" s="351"/>
      <c r="AE224" s="351"/>
      <c r="AF224" s="351"/>
      <c r="AG224" s="2"/>
    </row>
    <row r="225" spans="1:33" ht="13.5" customHeight="1">
      <c r="A225" s="351"/>
      <c r="B225" s="500"/>
      <c r="C225" s="500"/>
      <c r="D225" s="500"/>
      <c r="E225" s="500"/>
      <c r="F225" s="500"/>
      <c r="G225" s="509"/>
      <c r="H225" s="500"/>
      <c r="I225" s="508"/>
      <c r="J225" s="508"/>
      <c r="K225" s="508"/>
      <c r="L225" s="508"/>
      <c r="M225" s="500"/>
      <c r="N225" s="500"/>
      <c r="O225" s="500"/>
      <c r="P225" s="500"/>
      <c r="Q225" s="500"/>
      <c r="R225" s="500"/>
      <c r="S225" s="500"/>
      <c r="T225" s="500"/>
      <c r="U225" s="500"/>
      <c r="V225" s="500"/>
      <c r="W225" s="354"/>
      <c r="X225" s="351"/>
      <c r="Y225" s="351"/>
      <c r="Z225" s="351"/>
      <c r="AA225" s="351"/>
      <c r="AB225" s="351"/>
      <c r="AC225" s="351"/>
      <c r="AD225" s="351"/>
      <c r="AE225" s="351"/>
      <c r="AF225" s="351"/>
      <c r="AG225" s="2"/>
    </row>
    <row r="226" spans="1:33" ht="13.5" customHeight="1">
      <c r="A226" s="351"/>
      <c r="B226" s="500"/>
      <c r="C226" s="500"/>
      <c r="D226" s="500"/>
      <c r="E226" s="500"/>
      <c r="F226" s="500"/>
      <c r="G226" s="509"/>
      <c r="H226" s="500"/>
      <c r="I226" s="508"/>
      <c r="J226" s="508"/>
      <c r="K226" s="508"/>
      <c r="L226" s="508"/>
      <c r="M226" s="500"/>
      <c r="N226" s="500"/>
      <c r="O226" s="500"/>
      <c r="P226" s="500"/>
      <c r="Q226" s="500"/>
      <c r="R226" s="500"/>
      <c r="S226" s="500"/>
      <c r="T226" s="500"/>
      <c r="U226" s="500"/>
      <c r="V226" s="500"/>
      <c r="W226" s="354"/>
      <c r="X226" s="351"/>
      <c r="Y226" s="351"/>
      <c r="Z226" s="351"/>
      <c r="AA226" s="351"/>
      <c r="AB226" s="351"/>
      <c r="AC226" s="351"/>
      <c r="AD226" s="351"/>
      <c r="AE226" s="351"/>
      <c r="AF226" s="351"/>
      <c r="AG226" s="2"/>
    </row>
    <row r="227" spans="1:33" ht="13.5" customHeight="1">
      <c r="A227" s="351"/>
      <c r="B227" s="500"/>
      <c r="C227" s="500"/>
      <c r="D227" s="500"/>
      <c r="E227" s="500"/>
      <c r="F227" s="500"/>
      <c r="G227" s="509"/>
      <c r="H227" s="500"/>
      <c r="I227" s="508"/>
      <c r="J227" s="508"/>
      <c r="K227" s="508"/>
      <c r="L227" s="508"/>
      <c r="M227" s="500"/>
      <c r="N227" s="500"/>
      <c r="O227" s="500"/>
      <c r="P227" s="500"/>
      <c r="Q227" s="500"/>
      <c r="R227" s="500"/>
      <c r="S227" s="500"/>
      <c r="T227" s="500"/>
      <c r="U227" s="500"/>
      <c r="V227" s="500"/>
      <c r="W227" s="354"/>
      <c r="X227" s="351"/>
      <c r="Y227" s="351"/>
      <c r="Z227" s="351"/>
      <c r="AA227" s="351"/>
      <c r="AB227" s="351"/>
      <c r="AC227" s="351"/>
      <c r="AD227" s="351"/>
      <c r="AE227" s="351"/>
      <c r="AF227" s="351"/>
      <c r="AG227" s="2"/>
    </row>
    <row r="228" spans="1:33" ht="13.5" customHeight="1">
      <c r="A228" s="351"/>
      <c r="B228" s="500"/>
      <c r="C228" s="500"/>
      <c r="D228" s="500"/>
      <c r="E228" s="500"/>
      <c r="F228" s="500"/>
      <c r="G228" s="509"/>
      <c r="H228" s="500"/>
      <c r="I228" s="508"/>
      <c r="J228" s="508"/>
      <c r="K228" s="508"/>
      <c r="L228" s="508"/>
      <c r="M228" s="500"/>
      <c r="N228" s="500"/>
      <c r="O228" s="500"/>
      <c r="P228" s="500"/>
      <c r="Q228" s="500"/>
      <c r="R228" s="500"/>
      <c r="S228" s="500"/>
      <c r="T228" s="500"/>
      <c r="U228" s="500"/>
      <c r="V228" s="500"/>
      <c r="W228" s="354"/>
      <c r="X228" s="351"/>
      <c r="Y228" s="351"/>
      <c r="Z228" s="351"/>
      <c r="AA228" s="351"/>
      <c r="AB228" s="351"/>
      <c r="AC228" s="351"/>
      <c r="AD228" s="351"/>
      <c r="AE228" s="351"/>
      <c r="AF228" s="351"/>
      <c r="AG228" s="2"/>
    </row>
    <row r="229" spans="1:33" ht="13.5" customHeight="1">
      <c r="A229" s="351"/>
      <c r="B229" s="500"/>
      <c r="C229" s="500"/>
      <c r="D229" s="500"/>
      <c r="E229" s="500"/>
      <c r="F229" s="500"/>
      <c r="G229" s="509"/>
      <c r="H229" s="500"/>
      <c r="I229" s="508"/>
      <c r="J229" s="508"/>
      <c r="K229" s="508"/>
      <c r="L229" s="508"/>
      <c r="M229" s="500"/>
      <c r="N229" s="500"/>
      <c r="O229" s="500"/>
      <c r="P229" s="500"/>
      <c r="Q229" s="500"/>
      <c r="R229" s="500"/>
      <c r="S229" s="500"/>
      <c r="T229" s="500"/>
      <c r="U229" s="500"/>
      <c r="V229" s="500"/>
      <c r="W229" s="354"/>
      <c r="X229" s="351"/>
      <c r="Y229" s="351"/>
      <c r="Z229" s="351"/>
      <c r="AA229" s="351"/>
      <c r="AB229" s="351"/>
      <c r="AC229" s="351"/>
      <c r="AD229" s="351"/>
      <c r="AE229" s="351"/>
      <c r="AF229" s="351"/>
      <c r="AG229" s="2"/>
    </row>
    <row r="230" spans="1:33" ht="13.5" customHeight="1">
      <c r="A230" s="351"/>
      <c r="B230" s="500"/>
      <c r="C230" s="500"/>
      <c r="D230" s="500"/>
      <c r="E230" s="500"/>
      <c r="F230" s="500"/>
      <c r="G230" s="509"/>
      <c r="H230" s="500"/>
      <c r="I230" s="508"/>
      <c r="J230" s="508"/>
      <c r="K230" s="508"/>
      <c r="L230" s="508"/>
      <c r="M230" s="500"/>
      <c r="N230" s="500"/>
      <c r="O230" s="500"/>
      <c r="P230" s="500"/>
      <c r="Q230" s="500"/>
      <c r="R230" s="500"/>
      <c r="S230" s="500"/>
      <c r="T230" s="500"/>
      <c r="U230" s="500"/>
      <c r="V230" s="500"/>
      <c r="W230" s="354"/>
      <c r="X230" s="351"/>
      <c r="Y230" s="351"/>
      <c r="Z230" s="351"/>
      <c r="AA230" s="351"/>
      <c r="AB230" s="351"/>
      <c r="AC230" s="351"/>
      <c r="AD230" s="351"/>
      <c r="AE230" s="351"/>
      <c r="AF230" s="351"/>
      <c r="AG230" s="2"/>
    </row>
    <row r="231" spans="1:33" ht="13.5" customHeight="1">
      <c r="A231" s="351"/>
      <c r="B231" s="500"/>
      <c r="C231" s="500"/>
      <c r="D231" s="500"/>
      <c r="E231" s="500"/>
      <c r="F231" s="500"/>
      <c r="G231" s="509"/>
      <c r="H231" s="500"/>
      <c r="I231" s="508"/>
      <c r="J231" s="508"/>
      <c r="K231" s="508"/>
      <c r="L231" s="508"/>
      <c r="M231" s="500"/>
      <c r="N231" s="500"/>
      <c r="O231" s="500"/>
      <c r="P231" s="500"/>
      <c r="Q231" s="500"/>
      <c r="R231" s="500"/>
      <c r="S231" s="500"/>
      <c r="T231" s="500"/>
      <c r="U231" s="500"/>
      <c r="V231" s="500"/>
      <c r="W231" s="354"/>
      <c r="X231" s="351"/>
      <c r="Y231" s="351"/>
      <c r="Z231" s="351"/>
      <c r="AA231" s="351"/>
      <c r="AB231" s="351"/>
      <c r="AC231" s="351"/>
      <c r="AD231" s="351"/>
      <c r="AE231" s="351"/>
      <c r="AF231" s="351"/>
      <c r="AG231" s="2"/>
    </row>
    <row r="232" spans="1:33" ht="13.5" customHeight="1">
      <c r="A232" s="351"/>
      <c r="B232" s="500"/>
      <c r="C232" s="500"/>
      <c r="D232" s="500"/>
      <c r="E232" s="500"/>
      <c r="F232" s="500"/>
      <c r="G232" s="509"/>
      <c r="H232" s="500"/>
      <c r="I232" s="508"/>
      <c r="J232" s="508"/>
      <c r="K232" s="508"/>
      <c r="L232" s="508"/>
      <c r="M232" s="500"/>
      <c r="N232" s="500"/>
      <c r="O232" s="500"/>
      <c r="P232" s="500"/>
      <c r="Q232" s="500"/>
      <c r="R232" s="500"/>
      <c r="S232" s="500"/>
      <c r="T232" s="500"/>
      <c r="U232" s="500"/>
      <c r="V232" s="500"/>
      <c r="W232" s="354"/>
      <c r="X232" s="351"/>
      <c r="Y232" s="351"/>
      <c r="Z232" s="351"/>
      <c r="AA232" s="351"/>
      <c r="AB232" s="351"/>
      <c r="AC232" s="351"/>
      <c r="AD232" s="351"/>
      <c r="AE232" s="351"/>
      <c r="AF232" s="351"/>
      <c r="AG232" s="2"/>
    </row>
    <row r="233" spans="1:33" ht="13.5" customHeight="1">
      <c r="A233" s="351"/>
      <c r="B233" s="500"/>
      <c r="C233" s="500"/>
      <c r="D233" s="500"/>
      <c r="E233" s="500"/>
      <c r="F233" s="500"/>
      <c r="G233" s="509"/>
      <c r="H233" s="500"/>
      <c r="I233" s="508"/>
      <c r="J233" s="508"/>
      <c r="K233" s="508"/>
      <c r="L233" s="508"/>
      <c r="M233" s="500"/>
      <c r="N233" s="500"/>
      <c r="O233" s="500"/>
      <c r="P233" s="500"/>
      <c r="Q233" s="500"/>
      <c r="R233" s="500"/>
      <c r="S233" s="500"/>
      <c r="T233" s="500"/>
      <c r="U233" s="500"/>
      <c r="V233" s="500"/>
      <c r="W233" s="354"/>
      <c r="X233" s="351"/>
      <c r="Y233" s="351"/>
      <c r="Z233" s="351"/>
      <c r="AA233" s="351"/>
      <c r="AB233" s="351"/>
      <c r="AC233" s="351"/>
      <c r="AD233" s="351"/>
      <c r="AE233" s="351"/>
      <c r="AF233" s="351"/>
      <c r="AG233" s="2"/>
    </row>
    <row r="234" spans="1:33" ht="13.5" customHeight="1">
      <c r="A234" s="351"/>
      <c r="B234" s="500"/>
      <c r="C234" s="500"/>
      <c r="D234" s="500"/>
      <c r="E234" s="500"/>
      <c r="F234" s="500"/>
      <c r="G234" s="509"/>
      <c r="H234" s="500"/>
      <c r="I234" s="508"/>
      <c r="J234" s="508"/>
      <c r="K234" s="508"/>
      <c r="L234" s="508"/>
      <c r="M234" s="500"/>
      <c r="N234" s="500"/>
      <c r="O234" s="500"/>
      <c r="P234" s="500"/>
      <c r="Q234" s="500"/>
      <c r="R234" s="500"/>
      <c r="S234" s="500"/>
      <c r="T234" s="500"/>
      <c r="U234" s="500"/>
      <c r="V234" s="500"/>
      <c r="W234" s="354"/>
      <c r="X234" s="351"/>
      <c r="Y234" s="351"/>
      <c r="Z234" s="351"/>
      <c r="AA234" s="351"/>
      <c r="AB234" s="351"/>
      <c r="AC234" s="351"/>
      <c r="AD234" s="351"/>
      <c r="AE234" s="351"/>
      <c r="AF234" s="351"/>
      <c r="AG234" s="2"/>
    </row>
    <row r="235" spans="1:33" ht="13.5" customHeight="1">
      <c r="A235" s="351"/>
      <c r="B235" s="500"/>
      <c r="C235" s="500"/>
      <c r="D235" s="500"/>
      <c r="E235" s="500"/>
      <c r="F235" s="500"/>
      <c r="G235" s="509"/>
      <c r="H235" s="500"/>
      <c r="I235" s="508"/>
      <c r="J235" s="508"/>
      <c r="K235" s="508"/>
      <c r="L235" s="508"/>
      <c r="M235" s="500"/>
      <c r="N235" s="500"/>
      <c r="O235" s="500"/>
      <c r="P235" s="500"/>
      <c r="Q235" s="500"/>
      <c r="R235" s="500"/>
      <c r="S235" s="500"/>
      <c r="T235" s="500"/>
      <c r="U235" s="500"/>
      <c r="V235" s="500"/>
      <c r="W235" s="354"/>
      <c r="X235" s="351"/>
      <c r="Y235" s="351"/>
      <c r="Z235" s="351"/>
      <c r="AA235" s="351"/>
      <c r="AB235" s="351"/>
      <c r="AC235" s="351"/>
      <c r="AD235" s="351"/>
      <c r="AE235" s="351"/>
      <c r="AF235" s="351"/>
      <c r="AG235" s="2"/>
    </row>
    <row r="236" spans="1:33" ht="13.5" customHeight="1">
      <c r="A236" s="351"/>
      <c r="B236" s="500"/>
      <c r="C236" s="500"/>
      <c r="D236" s="500"/>
      <c r="E236" s="500"/>
      <c r="F236" s="500"/>
      <c r="G236" s="509"/>
      <c r="H236" s="500"/>
      <c r="I236" s="508"/>
      <c r="J236" s="508"/>
      <c r="K236" s="508"/>
      <c r="L236" s="508"/>
      <c r="M236" s="500"/>
      <c r="N236" s="500"/>
      <c r="O236" s="500"/>
      <c r="P236" s="500"/>
      <c r="Q236" s="500"/>
      <c r="R236" s="500"/>
      <c r="S236" s="500"/>
      <c r="T236" s="500"/>
      <c r="U236" s="500"/>
      <c r="V236" s="500"/>
      <c r="W236" s="354"/>
      <c r="X236" s="351"/>
      <c r="Y236" s="351"/>
      <c r="Z236" s="351"/>
      <c r="AA236" s="351"/>
      <c r="AB236" s="351"/>
      <c r="AC236" s="351"/>
      <c r="AD236" s="351"/>
      <c r="AE236" s="351"/>
      <c r="AF236" s="351"/>
      <c r="AG236" s="2"/>
    </row>
    <row r="237" spans="1:33" ht="13.5" customHeight="1">
      <c r="A237" s="351"/>
      <c r="B237" s="500"/>
      <c r="C237" s="500"/>
      <c r="D237" s="500"/>
      <c r="E237" s="500"/>
      <c r="F237" s="500"/>
      <c r="G237" s="509"/>
      <c r="H237" s="500"/>
      <c r="I237" s="508"/>
      <c r="J237" s="508"/>
      <c r="K237" s="508"/>
      <c r="L237" s="508"/>
      <c r="M237" s="500"/>
      <c r="N237" s="500"/>
      <c r="O237" s="500"/>
      <c r="P237" s="500"/>
      <c r="Q237" s="500"/>
      <c r="R237" s="500"/>
      <c r="S237" s="500"/>
      <c r="T237" s="500"/>
      <c r="U237" s="500"/>
      <c r="V237" s="500"/>
      <c r="W237" s="354"/>
      <c r="X237" s="351"/>
      <c r="Y237" s="351"/>
      <c r="Z237" s="351"/>
      <c r="AA237" s="351"/>
      <c r="AB237" s="351"/>
      <c r="AC237" s="351"/>
      <c r="AD237" s="351"/>
      <c r="AE237" s="351"/>
      <c r="AF237" s="351"/>
      <c r="AG237" s="2"/>
    </row>
    <row r="238" spans="1:33" ht="13.5" customHeight="1">
      <c r="A238" s="351"/>
      <c r="B238" s="500"/>
      <c r="C238" s="500"/>
      <c r="D238" s="500"/>
      <c r="E238" s="500"/>
      <c r="F238" s="500"/>
      <c r="G238" s="509"/>
      <c r="H238" s="500"/>
      <c r="I238" s="508"/>
      <c r="J238" s="508"/>
      <c r="K238" s="508"/>
      <c r="L238" s="508"/>
      <c r="M238" s="500"/>
      <c r="N238" s="500"/>
      <c r="O238" s="500"/>
      <c r="P238" s="500"/>
      <c r="Q238" s="500"/>
      <c r="R238" s="500"/>
      <c r="S238" s="500"/>
      <c r="T238" s="500"/>
      <c r="U238" s="500"/>
      <c r="V238" s="500"/>
      <c r="W238" s="354"/>
      <c r="X238" s="351"/>
      <c r="Y238" s="351"/>
      <c r="Z238" s="351"/>
      <c r="AA238" s="351"/>
      <c r="AB238" s="351"/>
      <c r="AC238" s="351"/>
      <c r="AD238" s="351"/>
      <c r="AE238" s="351"/>
      <c r="AF238" s="351"/>
      <c r="AG238" s="2"/>
    </row>
    <row r="239" spans="1:33" ht="13.5" customHeight="1">
      <c r="A239" s="351"/>
      <c r="B239" s="500"/>
      <c r="C239" s="500"/>
      <c r="D239" s="500"/>
      <c r="E239" s="500"/>
      <c r="F239" s="500"/>
      <c r="G239" s="509"/>
      <c r="H239" s="500"/>
      <c r="I239" s="508"/>
      <c r="J239" s="508"/>
      <c r="K239" s="508"/>
      <c r="L239" s="508"/>
      <c r="M239" s="500"/>
      <c r="N239" s="500"/>
      <c r="O239" s="500"/>
      <c r="P239" s="500"/>
      <c r="Q239" s="500"/>
      <c r="R239" s="500"/>
      <c r="S239" s="500"/>
      <c r="T239" s="500"/>
      <c r="U239" s="500"/>
      <c r="V239" s="500"/>
      <c r="W239" s="354"/>
      <c r="X239" s="351"/>
      <c r="Y239" s="351"/>
      <c r="Z239" s="351"/>
      <c r="AA239" s="351"/>
      <c r="AB239" s="351"/>
      <c r="AC239" s="351"/>
      <c r="AD239" s="351"/>
      <c r="AE239" s="351"/>
      <c r="AF239" s="351"/>
      <c r="AG239" s="2"/>
    </row>
    <row r="240" spans="1:33" ht="13.5" customHeight="1">
      <c r="A240" s="351"/>
      <c r="B240" s="500"/>
      <c r="C240" s="500"/>
      <c r="D240" s="500"/>
      <c r="E240" s="500"/>
      <c r="F240" s="500"/>
      <c r="G240" s="509"/>
      <c r="H240" s="500"/>
      <c r="I240" s="508"/>
      <c r="J240" s="508"/>
      <c r="K240" s="508"/>
      <c r="L240" s="508"/>
      <c r="M240" s="500"/>
      <c r="N240" s="500"/>
      <c r="O240" s="500"/>
      <c r="P240" s="500"/>
      <c r="Q240" s="500"/>
      <c r="R240" s="500"/>
      <c r="S240" s="500"/>
      <c r="T240" s="500"/>
      <c r="U240" s="500"/>
      <c r="V240" s="500"/>
      <c r="W240" s="354"/>
      <c r="X240" s="351"/>
      <c r="Y240" s="351"/>
      <c r="Z240" s="351"/>
      <c r="AA240" s="351"/>
      <c r="AB240" s="351"/>
      <c r="AC240" s="351"/>
      <c r="AD240" s="351"/>
      <c r="AE240" s="351"/>
      <c r="AF240" s="351"/>
      <c r="AG240" s="2"/>
    </row>
    <row r="241" spans="1:33" ht="13.5" customHeight="1">
      <c r="A241" s="351"/>
      <c r="B241" s="500"/>
      <c r="C241" s="500"/>
      <c r="D241" s="500"/>
      <c r="E241" s="500"/>
      <c r="F241" s="500"/>
      <c r="G241" s="509"/>
      <c r="H241" s="500"/>
      <c r="I241" s="508"/>
      <c r="J241" s="508"/>
      <c r="K241" s="508"/>
      <c r="L241" s="508"/>
      <c r="M241" s="500"/>
      <c r="N241" s="500"/>
      <c r="O241" s="500"/>
      <c r="P241" s="500"/>
      <c r="Q241" s="500"/>
      <c r="R241" s="500"/>
      <c r="S241" s="500"/>
      <c r="T241" s="500"/>
      <c r="U241" s="500"/>
      <c r="V241" s="500"/>
      <c r="W241" s="354"/>
      <c r="X241" s="351"/>
      <c r="Y241" s="351"/>
      <c r="Z241" s="351"/>
      <c r="AA241" s="351"/>
      <c r="AB241" s="351"/>
      <c r="AC241" s="351"/>
      <c r="AD241" s="351"/>
      <c r="AE241" s="351"/>
      <c r="AF241" s="351"/>
      <c r="AG241" s="2"/>
    </row>
    <row r="242" spans="1:33" ht="13.5" customHeight="1">
      <c r="A242" s="351"/>
      <c r="B242" s="500"/>
      <c r="C242" s="500"/>
      <c r="D242" s="500"/>
      <c r="E242" s="500"/>
      <c r="F242" s="500"/>
      <c r="G242" s="509"/>
      <c r="H242" s="500"/>
      <c r="I242" s="508"/>
      <c r="J242" s="508"/>
      <c r="K242" s="508"/>
      <c r="L242" s="508"/>
      <c r="M242" s="500"/>
      <c r="N242" s="500"/>
      <c r="O242" s="500"/>
      <c r="P242" s="500"/>
      <c r="Q242" s="500"/>
      <c r="R242" s="500"/>
      <c r="S242" s="500"/>
      <c r="T242" s="500"/>
      <c r="U242" s="500"/>
      <c r="V242" s="500"/>
      <c r="W242" s="354"/>
      <c r="X242" s="351"/>
      <c r="Y242" s="351"/>
      <c r="Z242" s="351"/>
      <c r="AA242" s="351"/>
      <c r="AB242" s="351"/>
      <c r="AC242" s="351"/>
      <c r="AD242" s="351"/>
      <c r="AE242" s="351"/>
      <c r="AF242" s="351"/>
      <c r="AG242" s="2"/>
    </row>
    <row r="243" spans="1:33" ht="13.5" customHeight="1">
      <c r="A243" s="351"/>
      <c r="B243" s="500"/>
      <c r="C243" s="500"/>
      <c r="D243" s="500"/>
      <c r="E243" s="500"/>
      <c r="F243" s="500"/>
      <c r="G243" s="509"/>
      <c r="H243" s="500"/>
      <c r="I243" s="508"/>
      <c r="J243" s="508"/>
      <c r="K243" s="508"/>
      <c r="L243" s="508"/>
      <c r="M243" s="500"/>
      <c r="N243" s="500"/>
      <c r="O243" s="500"/>
      <c r="P243" s="500"/>
      <c r="Q243" s="500"/>
      <c r="R243" s="500"/>
      <c r="S243" s="500"/>
      <c r="T243" s="500"/>
      <c r="U243" s="500"/>
      <c r="V243" s="500"/>
      <c r="W243" s="354"/>
      <c r="X243" s="351"/>
      <c r="Y243" s="351"/>
      <c r="Z243" s="351"/>
      <c r="AA243" s="351"/>
      <c r="AB243" s="351"/>
      <c r="AC243" s="351"/>
      <c r="AD243" s="351"/>
      <c r="AE243" s="351"/>
      <c r="AF243" s="351"/>
      <c r="AG243" s="2"/>
    </row>
    <row r="244" spans="1:33" ht="13.5" customHeight="1">
      <c r="A244" s="351"/>
      <c r="B244" s="500"/>
      <c r="C244" s="500"/>
      <c r="D244" s="500"/>
      <c r="E244" s="500"/>
      <c r="F244" s="500"/>
      <c r="G244" s="509"/>
      <c r="H244" s="500"/>
      <c r="I244" s="508"/>
      <c r="J244" s="508"/>
      <c r="K244" s="508"/>
      <c r="L244" s="508"/>
      <c r="M244" s="500"/>
      <c r="N244" s="500"/>
      <c r="O244" s="500"/>
      <c r="P244" s="500"/>
      <c r="Q244" s="500"/>
      <c r="R244" s="500"/>
      <c r="S244" s="500"/>
      <c r="T244" s="500"/>
      <c r="U244" s="500"/>
      <c r="V244" s="500"/>
      <c r="W244" s="354"/>
      <c r="X244" s="351"/>
      <c r="Y244" s="351"/>
      <c r="Z244" s="351"/>
      <c r="AA244" s="351"/>
      <c r="AB244" s="351"/>
      <c r="AC244" s="351"/>
      <c r="AD244" s="351"/>
      <c r="AE244" s="351"/>
      <c r="AF244" s="351"/>
      <c r="AG244" s="2"/>
    </row>
    <row r="245" spans="1:33" ht="13.5" customHeight="1">
      <c r="A245" s="351"/>
      <c r="B245" s="500"/>
      <c r="C245" s="500"/>
      <c r="D245" s="500"/>
      <c r="E245" s="500"/>
      <c r="F245" s="500"/>
      <c r="G245" s="509"/>
      <c r="H245" s="500"/>
      <c r="I245" s="508"/>
      <c r="J245" s="508"/>
      <c r="K245" s="508"/>
      <c r="L245" s="508"/>
      <c r="M245" s="500"/>
      <c r="N245" s="500"/>
      <c r="O245" s="500"/>
      <c r="P245" s="500"/>
      <c r="Q245" s="500"/>
      <c r="R245" s="500"/>
      <c r="S245" s="500"/>
      <c r="T245" s="500"/>
      <c r="U245" s="500"/>
      <c r="V245" s="500"/>
      <c r="W245" s="354"/>
      <c r="X245" s="351"/>
      <c r="Y245" s="351"/>
      <c r="Z245" s="351"/>
      <c r="AA245" s="351"/>
      <c r="AB245" s="351"/>
      <c r="AC245" s="351"/>
      <c r="AD245" s="351"/>
      <c r="AE245" s="351"/>
      <c r="AF245" s="351"/>
      <c r="AG245" s="2"/>
    </row>
    <row r="246" spans="1:33" ht="13.5" customHeight="1">
      <c r="A246" s="351"/>
      <c r="B246" s="500"/>
      <c r="C246" s="500"/>
      <c r="D246" s="500"/>
      <c r="E246" s="500"/>
      <c r="F246" s="500"/>
      <c r="G246" s="509"/>
      <c r="H246" s="500"/>
      <c r="I246" s="508"/>
      <c r="J246" s="508"/>
      <c r="K246" s="508"/>
      <c r="L246" s="508"/>
      <c r="M246" s="500"/>
      <c r="N246" s="500"/>
      <c r="O246" s="500"/>
      <c r="P246" s="500"/>
      <c r="Q246" s="500"/>
      <c r="R246" s="500"/>
      <c r="S246" s="500"/>
      <c r="T246" s="500"/>
      <c r="U246" s="500"/>
      <c r="V246" s="500"/>
      <c r="W246" s="354"/>
      <c r="X246" s="351"/>
      <c r="Y246" s="351"/>
      <c r="Z246" s="351"/>
      <c r="AA246" s="351"/>
      <c r="AB246" s="351"/>
      <c r="AC246" s="351"/>
      <c r="AD246" s="351"/>
      <c r="AE246" s="351"/>
      <c r="AF246" s="351"/>
      <c r="AG246" s="2"/>
    </row>
    <row r="247" spans="1:33" ht="13.5" customHeight="1">
      <c r="A247" s="351"/>
      <c r="B247" s="500"/>
      <c r="C247" s="500"/>
      <c r="D247" s="500"/>
      <c r="E247" s="500"/>
      <c r="F247" s="500"/>
      <c r="G247" s="509"/>
      <c r="H247" s="500"/>
      <c r="I247" s="508"/>
      <c r="J247" s="508"/>
      <c r="K247" s="508"/>
      <c r="L247" s="508"/>
      <c r="M247" s="500"/>
      <c r="N247" s="500"/>
      <c r="O247" s="500"/>
      <c r="P247" s="500"/>
      <c r="Q247" s="500"/>
      <c r="R247" s="500"/>
      <c r="S247" s="500"/>
      <c r="T247" s="500"/>
      <c r="U247" s="500"/>
      <c r="V247" s="500"/>
      <c r="W247" s="354"/>
      <c r="X247" s="351"/>
      <c r="Y247" s="351"/>
      <c r="Z247" s="351"/>
      <c r="AA247" s="351"/>
      <c r="AB247" s="351"/>
      <c r="AC247" s="351"/>
      <c r="AD247" s="351"/>
      <c r="AE247" s="351"/>
      <c r="AF247" s="351"/>
      <c r="AG247" s="2"/>
    </row>
    <row r="248" spans="1:33" ht="13.5" customHeight="1">
      <c r="A248" s="351"/>
      <c r="B248" s="500"/>
      <c r="C248" s="500"/>
      <c r="D248" s="500"/>
      <c r="E248" s="500"/>
      <c r="F248" s="500"/>
      <c r="G248" s="509"/>
      <c r="H248" s="500"/>
      <c r="I248" s="508"/>
      <c r="J248" s="508"/>
      <c r="K248" s="508"/>
      <c r="L248" s="508"/>
      <c r="M248" s="500"/>
      <c r="N248" s="500"/>
      <c r="O248" s="500"/>
      <c r="P248" s="500"/>
      <c r="Q248" s="500"/>
      <c r="R248" s="500"/>
      <c r="S248" s="500"/>
      <c r="T248" s="500"/>
      <c r="U248" s="500"/>
      <c r="V248" s="500"/>
      <c r="W248" s="354"/>
      <c r="X248" s="351"/>
      <c r="Y248" s="351"/>
      <c r="Z248" s="351"/>
      <c r="AA248" s="351"/>
      <c r="AB248" s="351"/>
      <c r="AC248" s="351"/>
      <c r="AD248" s="351"/>
      <c r="AE248" s="351"/>
      <c r="AF248" s="351"/>
      <c r="AG248" s="2"/>
    </row>
    <row r="249" spans="1:33" ht="13.5" customHeight="1">
      <c r="A249" s="351"/>
      <c r="B249" s="500"/>
      <c r="C249" s="500"/>
      <c r="D249" s="500"/>
      <c r="E249" s="500"/>
      <c r="F249" s="500"/>
      <c r="G249" s="509"/>
      <c r="H249" s="500"/>
      <c r="I249" s="508"/>
      <c r="J249" s="508"/>
      <c r="K249" s="508"/>
      <c r="L249" s="508"/>
      <c r="M249" s="500"/>
      <c r="N249" s="500"/>
      <c r="O249" s="500"/>
      <c r="P249" s="500"/>
      <c r="Q249" s="500"/>
      <c r="R249" s="500"/>
      <c r="S249" s="500"/>
      <c r="T249" s="500"/>
      <c r="U249" s="500"/>
      <c r="V249" s="500"/>
      <c r="W249" s="354"/>
      <c r="X249" s="351"/>
      <c r="Y249" s="351"/>
      <c r="Z249" s="351"/>
      <c r="AA249" s="351"/>
      <c r="AB249" s="351"/>
      <c r="AC249" s="351"/>
      <c r="AD249" s="351"/>
      <c r="AE249" s="351"/>
      <c r="AF249" s="351"/>
      <c r="AG249" s="2"/>
    </row>
    <row r="250" spans="1:33" ht="13.5" customHeight="1">
      <c r="A250" s="351"/>
      <c r="B250" s="500"/>
      <c r="C250" s="500"/>
      <c r="D250" s="500"/>
      <c r="E250" s="500"/>
      <c r="F250" s="500"/>
      <c r="G250" s="509"/>
      <c r="H250" s="500"/>
      <c r="I250" s="508"/>
      <c r="J250" s="508"/>
      <c r="K250" s="508"/>
      <c r="L250" s="508"/>
      <c r="M250" s="500"/>
      <c r="N250" s="500"/>
      <c r="O250" s="500"/>
      <c r="P250" s="500"/>
      <c r="Q250" s="500"/>
      <c r="R250" s="500"/>
      <c r="S250" s="500"/>
      <c r="T250" s="500"/>
      <c r="U250" s="500"/>
      <c r="V250" s="500"/>
      <c r="W250" s="354"/>
      <c r="X250" s="351"/>
      <c r="Y250" s="351"/>
      <c r="Z250" s="351"/>
      <c r="AA250" s="351"/>
      <c r="AB250" s="351"/>
      <c r="AC250" s="351"/>
      <c r="AD250" s="351"/>
      <c r="AE250" s="351"/>
      <c r="AF250" s="351"/>
      <c r="AG250" s="2"/>
    </row>
    <row r="251" spans="1:33" ht="13.5" customHeight="1">
      <c r="A251" s="351"/>
      <c r="B251" s="500"/>
      <c r="C251" s="500"/>
      <c r="D251" s="500"/>
      <c r="E251" s="500"/>
      <c r="F251" s="500"/>
      <c r="G251" s="509"/>
      <c r="H251" s="500"/>
      <c r="I251" s="508"/>
      <c r="J251" s="508"/>
      <c r="K251" s="508"/>
      <c r="L251" s="508"/>
      <c r="M251" s="500"/>
      <c r="N251" s="500"/>
      <c r="O251" s="500"/>
      <c r="P251" s="500"/>
      <c r="Q251" s="500"/>
      <c r="R251" s="500"/>
      <c r="S251" s="500"/>
      <c r="T251" s="500"/>
      <c r="U251" s="500"/>
      <c r="V251" s="500"/>
      <c r="W251" s="354"/>
      <c r="X251" s="351"/>
      <c r="Y251" s="351"/>
      <c r="Z251" s="351"/>
      <c r="AA251" s="351"/>
      <c r="AB251" s="351"/>
      <c r="AC251" s="351"/>
      <c r="AD251" s="351"/>
      <c r="AE251" s="351"/>
      <c r="AF251" s="351"/>
      <c r="AG251" s="2"/>
    </row>
    <row r="252" spans="1:33" ht="13.5" customHeight="1">
      <c r="A252" s="351"/>
      <c r="B252" s="500"/>
      <c r="C252" s="500"/>
      <c r="D252" s="500"/>
      <c r="E252" s="500"/>
      <c r="F252" s="500"/>
      <c r="G252" s="509"/>
      <c r="H252" s="500"/>
      <c r="I252" s="508"/>
      <c r="J252" s="508"/>
      <c r="K252" s="508"/>
      <c r="L252" s="508"/>
      <c r="M252" s="500"/>
      <c r="N252" s="500"/>
      <c r="O252" s="500"/>
      <c r="P252" s="500"/>
      <c r="Q252" s="500"/>
      <c r="R252" s="500"/>
      <c r="S252" s="500"/>
      <c r="T252" s="500"/>
      <c r="U252" s="500"/>
      <c r="V252" s="500"/>
      <c r="W252" s="354"/>
      <c r="X252" s="351"/>
      <c r="Y252" s="351"/>
      <c r="Z252" s="351"/>
      <c r="AA252" s="351"/>
      <c r="AB252" s="351"/>
      <c r="AC252" s="351"/>
      <c r="AD252" s="351"/>
      <c r="AE252" s="351"/>
      <c r="AF252" s="351"/>
      <c r="AG252" s="2"/>
    </row>
    <row r="253" spans="1:33" ht="13.5" customHeight="1">
      <c r="A253" s="351"/>
      <c r="B253" s="500"/>
      <c r="C253" s="500"/>
      <c r="D253" s="500"/>
      <c r="E253" s="500"/>
      <c r="F253" s="500"/>
      <c r="G253" s="509"/>
      <c r="H253" s="500"/>
      <c r="I253" s="508"/>
      <c r="J253" s="508"/>
      <c r="K253" s="508"/>
      <c r="L253" s="508"/>
      <c r="M253" s="500"/>
      <c r="N253" s="500"/>
      <c r="O253" s="500"/>
      <c r="P253" s="500"/>
      <c r="Q253" s="500"/>
      <c r="R253" s="500"/>
      <c r="S253" s="500"/>
      <c r="T253" s="500"/>
      <c r="U253" s="500"/>
      <c r="V253" s="500"/>
      <c r="W253" s="354"/>
      <c r="X253" s="351"/>
      <c r="Y253" s="351"/>
      <c r="Z253" s="351"/>
      <c r="AA253" s="351"/>
      <c r="AB253" s="351"/>
      <c r="AC253" s="351"/>
      <c r="AD253" s="351"/>
      <c r="AE253" s="351"/>
      <c r="AF253" s="351"/>
      <c r="AG253" s="2"/>
    </row>
    <row r="254" spans="1:33" ht="13.5" customHeight="1">
      <c r="A254" s="351"/>
      <c r="B254" s="500"/>
      <c r="C254" s="500"/>
      <c r="D254" s="500"/>
      <c r="E254" s="500"/>
      <c r="F254" s="500"/>
      <c r="G254" s="509"/>
      <c r="H254" s="500"/>
      <c r="I254" s="508"/>
      <c r="J254" s="508"/>
      <c r="K254" s="508"/>
      <c r="L254" s="508"/>
      <c r="M254" s="500"/>
      <c r="N254" s="500"/>
      <c r="O254" s="500"/>
      <c r="P254" s="500"/>
      <c r="Q254" s="500"/>
      <c r="R254" s="500"/>
      <c r="S254" s="500"/>
      <c r="T254" s="500"/>
      <c r="U254" s="500"/>
      <c r="V254" s="500"/>
      <c r="W254" s="354"/>
      <c r="X254" s="351"/>
      <c r="Y254" s="351"/>
      <c r="Z254" s="351"/>
      <c r="AA254" s="351"/>
      <c r="AB254" s="351"/>
      <c r="AC254" s="351"/>
      <c r="AD254" s="351"/>
      <c r="AE254" s="351"/>
      <c r="AF254" s="351"/>
      <c r="AG254" s="2"/>
    </row>
    <row r="255" spans="1:33" ht="13.5" customHeight="1">
      <c r="A255" s="351"/>
      <c r="B255" s="500"/>
      <c r="C255" s="500"/>
      <c r="D255" s="500"/>
      <c r="E255" s="500"/>
      <c r="F255" s="500"/>
      <c r="G255" s="509"/>
      <c r="H255" s="500"/>
      <c r="I255" s="508"/>
      <c r="J255" s="508"/>
      <c r="K255" s="508"/>
      <c r="L255" s="508"/>
      <c r="M255" s="500"/>
      <c r="N255" s="500"/>
      <c r="O255" s="500"/>
      <c r="P255" s="500"/>
      <c r="Q255" s="500"/>
      <c r="R255" s="500"/>
      <c r="S255" s="500"/>
      <c r="T255" s="500"/>
      <c r="U255" s="500"/>
      <c r="V255" s="500"/>
      <c r="W255" s="354"/>
      <c r="X255" s="351"/>
      <c r="Y255" s="351"/>
      <c r="Z255" s="351"/>
      <c r="AA255" s="351"/>
      <c r="AB255" s="351"/>
      <c r="AC255" s="351"/>
      <c r="AD255" s="351"/>
      <c r="AE255" s="351"/>
      <c r="AF255" s="351"/>
      <c r="AG255" s="2"/>
    </row>
    <row r="256" spans="1:33" ht="13.5" customHeight="1">
      <c r="A256" s="351"/>
      <c r="B256" s="500"/>
      <c r="C256" s="500"/>
      <c r="D256" s="500"/>
      <c r="E256" s="500"/>
      <c r="F256" s="500"/>
      <c r="G256" s="509"/>
      <c r="H256" s="500"/>
      <c r="I256" s="508"/>
      <c r="J256" s="508"/>
      <c r="K256" s="508"/>
      <c r="L256" s="508"/>
      <c r="M256" s="500"/>
      <c r="N256" s="500"/>
      <c r="O256" s="500"/>
      <c r="P256" s="500"/>
      <c r="Q256" s="500"/>
      <c r="R256" s="500"/>
      <c r="S256" s="500"/>
      <c r="T256" s="500"/>
      <c r="U256" s="500"/>
      <c r="V256" s="500"/>
      <c r="W256" s="354"/>
      <c r="X256" s="351"/>
      <c r="Y256" s="351"/>
      <c r="Z256" s="351"/>
      <c r="AA256" s="351"/>
      <c r="AB256" s="351"/>
      <c r="AC256" s="351"/>
      <c r="AD256" s="351"/>
      <c r="AE256" s="351"/>
      <c r="AF256" s="351"/>
      <c r="AG256" s="2"/>
    </row>
    <row r="257" spans="1:33" ht="13.5" customHeight="1">
      <c r="A257" s="351"/>
      <c r="B257" s="500"/>
      <c r="C257" s="500"/>
      <c r="D257" s="500"/>
      <c r="E257" s="500"/>
      <c r="F257" s="500"/>
      <c r="G257" s="509"/>
      <c r="H257" s="500"/>
      <c r="I257" s="508"/>
      <c r="J257" s="508"/>
      <c r="K257" s="508"/>
      <c r="L257" s="508"/>
      <c r="M257" s="500"/>
      <c r="N257" s="500"/>
      <c r="O257" s="500"/>
      <c r="P257" s="500"/>
      <c r="Q257" s="500"/>
      <c r="R257" s="500"/>
      <c r="S257" s="500"/>
      <c r="T257" s="500"/>
      <c r="U257" s="500"/>
      <c r="V257" s="500"/>
      <c r="W257" s="354"/>
      <c r="X257" s="351"/>
      <c r="Y257" s="351"/>
      <c r="Z257" s="351"/>
      <c r="AA257" s="351"/>
      <c r="AB257" s="351"/>
      <c r="AC257" s="351"/>
      <c r="AD257" s="351"/>
      <c r="AE257" s="351"/>
      <c r="AF257" s="351"/>
      <c r="AG257" s="2"/>
    </row>
    <row r="258" spans="1:33" ht="13.5" customHeight="1">
      <c r="A258" s="351"/>
      <c r="B258" s="500"/>
      <c r="C258" s="500"/>
      <c r="D258" s="500"/>
      <c r="E258" s="500"/>
      <c r="F258" s="500"/>
      <c r="G258" s="509"/>
      <c r="H258" s="500"/>
      <c r="I258" s="508"/>
      <c r="J258" s="508"/>
      <c r="K258" s="508"/>
      <c r="L258" s="508"/>
      <c r="M258" s="500"/>
      <c r="N258" s="500"/>
      <c r="O258" s="500"/>
      <c r="P258" s="500"/>
      <c r="Q258" s="500"/>
      <c r="R258" s="500"/>
      <c r="S258" s="500"/>
      <c r="T258" s="500"/>
      <c r="U258" s="500"/>
      <c r="V258" s="500"/>
      <c r="W258" s="354"/>
      <c r="X258" s="351"/>
      <c r="Y258" s="351"/>
      <c r="Z258" s="351"/>
      <c r="AA258" s="351"/>
      <c r="AB258" s="351"/>
      <c r="AC258" s="351"/>
      <c r="AD258" s="351"/>
      <c r="AE258" s="351"/>
      <c r="AF258" s="351"/>
      <c r="AG258" s="2"/>
    </row>
    <row r="259" spans="1:33" ht="13.5" customHeight="1">
      <c r="A259" s="351"/>
      <c r="B259" s="500"/>
      <c r="C259" s="500"/>
      <c r="D259" s="500"/>
      <c r="E259" s="500"/>
      <c r="F259" s="500"/>
      <c r="G259" s="509"/>
      <c r="H259" s="500"/>
      <c r="I259" s="508"/>
      <c r="J259" s="508"/>
      <c r="K259" s="508"/>
      <c r="L259" s="508"/>
      <c r="M259" s="500"/>
      <c r="N259" s="500"/>
      <c r="O259" s="500"/>
      <c r="P259" s="500"/>
      <c r="Q259" s="500"/>
      <c r="R259" s="500"/>
      <c r="S259" s="500"/>
      <c r="T259" s="500"/>
      <c r="U259" s="500"/>
      <c r="V259" s="500"/>
      <c r="W259" s="354"/>
      <c r="X259" s="351"/>
      <c r="Y259" s="351"/>
      <c r="Z259" s="351"/>
      <c r="AA259" s="351"/>
      <c r="AB259" s="351"/>
      <c r="AC259" s="351"/>
      <c r="AD259" s="351"/>
      <c r="AE259" s="351"/>
      <c r="AF259" s="351"/>
      <c r="AG259" s="2"/>
    </row>
    <row r="260" spans="1:33" ht="13.5" customHeight="1">
      <c r="A260" s="351"/>
      <c r="B260" s="500"/>
      <c r="C260" s="500"/>
      <c r="D260" s="500"/>
      <c r="E260" s="500"/>
      <c r="F260" s="500"/>
      <c r="G260" s="509"/>
      <c r="H260" s="500"/>
      <c r="I260" s="508"/>
      <c r="J260" s="508"/>
      <c r="K260" s="508"/>
      <c r="L260" s="508"/>
      <c r="M260" s="500"/>
      <c r="N260" s="500"/>
      <c r="O260" s="500"/>
      <c r="P260" s="500"/>
      <c r="Q260" s="500"/>
      <c r="R260" s="500"/>
      <c r="S260" s="500"/>
      <c r="T260" s="500"/>
      <c r="U260" s="500"/>
      <c r="V260" s="500"/>
      <c r="W260" s="354"/>
      <c r="X260" s="351"/>
      <c r="Y260" s="351"/>
      <c r="Z260" s="351"/>
      <c r="AA260" s="351"/>
      <c r="AB260" s="351"/>
      <c r="AC260" s="351"/>
      <c r="AD260" s="351"/>
      <c r="AE260" s="351"/>
      <c r="AF260" s="351"/>
      <c r="AG260" s="2"/>
    </row>
    <row r="261" spans="1:33" ht="13.5" customHeight="1">
      <c r="A261" s="351"/>
      <c r="B261" s="500"/>
      <c r="C261" s="500"/>
      <c r="D261" s="500"/>
      <c r="E261" s="500"/>
      <c r="F261" s="500"/>
      <c r="G261" s="509"/>
      <c r="H261" s="500"/>
      <c r="I261" s="508"/>
      <c r="J261" s="508"/>
      <c r="K261" s="508"/>
      <c r="L261" s="508"/>
      <c r="M261" s="500"/>
      <c r="N261" s="500"/>
      <c r="O261" s="500"/>
      <c r="P261" s="500"/>
      <c r="Q261" s="500"/>
      <c r="R261" s="500"/>
      <c r="S261" s="500"/>
      <c r="T261" s="500"/>
      <c r="U261" s="500"/>
      <c r="V261" s="500"/>
      <c r="W261" s="354"/>
      <c r="X261" s="351"/>
      <c r="Y261" s="351"/>
      <c r="Z261" s="351"/>
      <c r="AA261" s="351"/>
      <c r="AB261" s="351"/>
      <c r="AC261" s="351"/>
      <c r="AD261" s="351"/>
      <c r="AE261" s="351"/>
      <c r="AF261" s="351"/>
      <c r="AG261" s="2"/>
    </row>
    <row r="262" spans="1:33" ht="13.5" customHeight="1">
      <c r="A262" s="351"/>
      <c r="B262" s="500"/>
      <c r="C262" s="500"/>
      <c r="D262" s="500"/>
      <c r="E262" s="500"/>
      <c r="F262" s="500"/>
      <c r="G262" s="509"/>
      <c r="H262" s="500"/>
      <c r="I262" s="508"/>
      <c r="J262" s="508"/>
      <c r="K262" s="508"/>
      <c r="L262" s="508"/>
      <c r="M262" s="500"/>
      <c r="N262" s="500"/>
      <c r="O262" s="500"/>
      <c r="P262" s="500"/>
      <c r="Q262" s="500"/>
      <c r="R262" s="500"/>
      <c r="S262" s="500"/>
      <c r="T262" s="500"/>
      <c r="U262" s="500"/>
      <c r="V262" s="500"/>
      <c r="W262" s="354"/>
      <c r="X262" s="351"/>
      <c r="Y262" s="351"/>
      <c r="Z262" s="351"/>
      <c r="AA262" s="351"/>
      <c r="AB262" s="351"/>
      <c r="AC262" s="351"/>
      <c r="AD262" s="351"/>
      <c r="AE262" s="351"/>
      <c r="AF262" s="351"/>
      <c r="AG262" s="2"/>
    </row>
    <row r="263" spans="1:33" ht="13.5" customHeight="1">
      <c r="A263" s="351"/>
      <c r="B263" s="500"/>
      <c r="C263" s="500"/>
      <c r="D263" s="500"/>
      <c r="E263" s="500"/>
      <c r="F263" s="500"/>
      <c r="G263" s="509"/>
      <c r="H263" s="500"/>
      <c r="I263" s="508"/>
      <c r="J263" s="508"/>
      <c r="K263" s="508"/>
      <c r="L263" s="508"/>
      <c r="M263" s="500"/>
      <c r="N263" s="500"/>
      <c r="O263" s="500"/>
      <c r="P263" s="500"/>
      <c r="Q263" s="500"/>
      <c r="R263" s="500"/>
      <c r="S263" s="500"/>
      <c r="T263" s="500"/>
      <c r="U263" s="500"/>
      <c r="V263" s="500"/>
      <c r="W263" s="354"/>
      <c r="X263" s="351"/>
      <c r="Y263" s="351"/>
      <c r="Z263" s="351"/>
      <c r="AA263" s="351"/>
      <c r="AB263" s="351"/>
      <c r="AC263" s="351"/>
      <c r="AD263" s="351"/>
      <c r="AE263" s="351"/>
      <c r="AF263" s="351"/>
      <c r="AG263" s="2"/>
    </row>
    <row r="264" spans="1:33" ht="13.5" customHeight="1">
      <c r="A264" s="351"/>
      <c r="B264" s="500"/>
      <c r="C264" s="500"/>
      <c r="D264" s="500"/>
      <c r="E264" s="500"/>
      <c r="F264" s="500"/>
      <c r="G264" s="509"/>
      <c r="H264" s="500"/>
      <c r="I264" s="508"/>
      <c r="J264" s="508"/>
      <c r="K264" s="508"/>
      <c r="L264" s="508"/>
      <c r="M264" s="500"/>
      <c r="N264" s="500"/>
      <c r="O264" s="500"/>
      <c r="P264" s="500"/>
      <c r="Q264" s="500"/>
      <c r="R264" s="500"/>
      <c r="S264" s="500"/>
      <c r="T264" s="500"/>
      <c r="U264" s="500"/>
      <c r="V264" s="500"/>
      <c r="W264" s="354"/>
      <c r="X264" s="351"/>
      <c r="Y264" s="351"/>
      <c r="Z264" s="351"/>
      <c r="AA264" s="351"/>
      <c r="AB264" s="351"/>
      <c r="AC264" s="351"/>
      <c r="AD264" s="351"/>
      <c r="AE264" s="351"/>
      <c r="AF264" s="351"/>
      <c r="AG264" s="2"/>
    </row>
    <row r="265" spans="1:33" ht="13.5" customHeight="1">
      <c r="A265" s="351"/>
      <c r="B265" s="500"/>
      <c r="C265" s="500"/>
      <c r="D265" s="500"/>
      <c r="E265" s="500"/>
      <c r="F265" s="500"/>
      <c r="G265" s="509"/>
      <c r="H265" s="500"/>
      <c r="I265" s="508"/>
      <c r="J265" s="508"/>
      <c r="K265" s="508"/>
      <c r="L265" s="508"/>
      <c r="M265" s="500"/>
      <c r="N265" s="500"/>
      <c r="O265" s="500"/>
      <c r="P265" s="500"/>
      <c r="Q265" s="500"/>
      <c r="R265" s="500"/>
      <c r="S265" s="500"/>
      <c r="T265" s="500"/>
      <c r="U265" s="500"/>
      <c r="V265" s="500"/>
      <c r="W265" s="354"/>
      <c r="X265" s="351"/>
      <c r="Y265" s="351"/>
      <c r="Z265" s="351"/>
      <c r="AA265" s="351"/>
      <c r="AB265" s="351"/>
      <c r="AC265" s="351"/>
      <c r="AD265" s="351"/>
      <c r="AE265" s="351"/>
      <c r="AF265" s="351"/>
      <c r="AG265" s="2"/>
    </row>
    <row r="266" spans="1:33" ht="13.5" customHeight="1">
      <c r="A266" s="351"/>
      <c r="B266" s="500"/>
      <c r="C266" s="500"/>
      <c r="D266" s="500"/>
      <c r="E266" s="500"/>
      <c r="F266" s="500"/>
      <c r="G266" s="509"/>
      <c r="H266" s="500"/>
      <c r="I266" s="508"/>
      <c r="J266" s="508"/>
      <c r="K266" s="508"/>
      <c r="L266" s="508"/>
      <c r="M266" s="500"/>
      <c r="N266" s="500"/>
      <c r="O266" s="500"/>
      <c r="P266" s="500"/>
      <c r="Q266" s="500"/>
      <c r="R266" s="500"/>
      <c r="S266" s="500"/>
      <c r="T266" s="500"/>
      <c r="U266" s="500"/>
      <c r="V266" s="500"/>
      <c r="W266" s="354"/>
      <c r="X266" s="351"/>
      <c r="Y266" s="351"/>
      <c r="Z266" s="351"/>
      <c r="AA266" s="351"/>
      <c r="AB266" s="351"/>
      <c r="AC266" s="351"/>
      <c r="AD266" s="351"/>
      <c r="AE266" s="351"/>
      <c r="AF266" s="351"/>
      <c r="AG266" s="2"/>
    </row>
    <row r="267" spans="1:33" ht="13.5" customHeight="1">
      <c r="A267" s="351"/>
      <c r="B267" s="500"/>
      <c r="C267" s="500"/>
      <c r="D267" s="500"/>
      <c r="E267" s="500"/>
      <c r="F267" s="500"/>
      <c r="G267" s="509"/>
      <c r="H267" s="500"/>
      <c r="I267" s="508"/>
      <c r="J267" s="508"/>
      <c r="K267" s="508"/>
      <c r="L267" s="508"/>
      <c r="M267" s="500"/>
      <c r="N267" s="500"/>
      <c r="O267" s="500"/>
      <c r="P267" s="500"/>
      <c r="Q267" s="500"/>
      <c r="R267" s="500"/>
      <c r="S267" s="500"/>
      <c r="T267" s="500"/>
      <c r="U267" s="500"/>
      <c r="V267" s="500"/>
      <c r="W267" s="354"/>
      <c r="X267" s="351"/>
      <c r="Y267" s="351"/>
      <c r="Z267" s="351"/>
      <c r="AA267" s="351"/>
      <c r="AB267" s="351"/>
      <c r="AC267" s="351"/>
      <c r="AD267" s="351"/>
      <c r="AE267" s="351"/>
      <c r="AF267" s="351"/>
      <c r="AG267" s="2"/>
    </row>
    <row r="268" spans="1:33" ht="13.5" customHeight="1">
      <c r="A268" s="351"/>
      <c r="B268" s="500"/>
      <c r="C268" s="500"/>
      <c r="D268" s="500"/>
      <c r="E268" s="500"/>
      <c r="F268" s="500"/>
      <c r="G268" s="509"/>
      <c r="H268" s="500"/>
      <c r="I268" s="508"/>
      <c r="J268" s="508"/>
      <c r="K268" s="508"/>
      <c r="L268" s="508"/>
      <c r="M268" s="500"/>
      <c r="N268" s="500"/>
      <c r="O268" s="500"/>
      <c r="P268" s="500"/>
      <c r="Q268" s="500"/>
      <c r="R268" s="500"/>
      <c r="S268" s="500"/>
      <c r="T268" s="500"/>
      <c r="U268" s="500"/>
      <c r="V268" s="500"/>
      <c r="W268" s="354"/>
      <c r="X268" s="351"/>
      <c r="Y268" s="351"/>
      <c r="Z268" s="351"/>
      <c r="AA268" s="351"/>
      <c r="AB268" s="351"/>
      <c r="AC268" s="351"/>
      <c r="AD268" s="351"/>
      <c r="AE268" s="351"/>
      <c r="AF268" s="351"/>
      <c r="AG268" s="2"/>
    </row>
    <row r="269" spans="1:33" ht="13.5" customHeight="1">
      <c r="A269" s="351"/>
      <c r="B269" s="500"/>
      <c r="C269" s="500"/>
      <c r="D269" s="500"/>
      <c r="E269" s="500"/>
      <c r="F269" s="500"/>
      <c r="G269" s="509"/>
      <c r="H269" s="500"/>
      <c r="I269" s="508"/>
      <c r="J269" s="508"/>
      <c r="K269" s="508"/>
      <c r="L269" s="508"/>
      <c r="M269" s="500"/>
      <c r="N269" s="500"/>
      <c r="O269" s="500"/>
      <c r="P269" s="500"/>
      <c r="Q269" s="500"/>
      <c r="R269" s="500"/>
      <c r="S269" s="500"/>
      <c r="T269" s="500"/>
      <c r="U269" s="500"/>
      <c r="V269" s="500"/>
      <c r="W269" s="354"/>
      <c r="X269" s="351"/>
      <c r="Y269" s="351"/>
      <c r="Z269" s="351"/>
      <c r="AA269" s="351"/>
      <c r="AB269" s="351"/>
      <c r="AC269" s="351"/>
      <c r="AD269" s="351"/>
      <c r="AE269" s="351"/>
      <c r="AF269" s="351"/>
      <c r="AG269" s="2"/>
    </row>
    <row r="270" spans="1:33" ht="13.5" customHeight="1">
      <c r="A270" s="351"/>
      <c r="B270" s="500"/>
      <c r="C270" s="500"/>
      <c r="D270" s="500"/>
      <c r="E270" s="500"/>
      <c r="F270" s="500"/>
      <c r="G270" s="509"/>
      <c r="H270" s="500"/>
      <c r="I270" s="508"/>
      <c r="J270" s="508"/>
      <c r="K270" s="508"/>
      <c r="L270" s="508"/>
      <c r="M270" s="500"/>
      <c r="N270" s="500"/>
      <c r="O270" s="500"/>
      <c r="P270" s="500"/>
      <c r="Q270" s="500"/>
      <c r="R270" s="500"/>
      <c r="S270" s="500"/>
      <c r="T270" s="500"/>
      <c r="U270" s="500"/>
      <c r="V270" s="500"/>
      <c r="W270" s="354"/>
      <c r="X270" s="351"/>
      <c r="Y270" s="351"/>
      <c r="Z270" s="351"/>
      <c r="AA270" s="351"/>
      <c r="AB270" s="351"/>
      <c r="AC270" s="351"/>
      <c r="AD270" s="351"/>
      <c r="AE270" s="351"/>
      <c r="AF270" s="351"/>
      <c r="AG270" s="2"/>
    </row>
    <row r="271" spans="1:33" ht="13.5" customHeight="1">
      <c r="A271" s="351"/>
      <c r="B271" s="500"/>
      <c r="C271" s="500"/>
      <c r="D271" s="500"/>
      <c r="E271" s="500"/>
      <c r="F271" s="500"/>
      <c r="G271" s="509"/>
      <c r="H271" s="500"/>
      <c r="I271" s="508"/>
      <c r="J271" s="508"/>
      <c r="K271" s="508"/>
      <c r="L271" s="508"/>
      <c r="M271" s="500"/>
      <c r="N271" s="500"/>
      <c r="O271" s="500"/>
      <c r="P271" s="500"/>
      <c r="Q271" s="500"/>
      <c r="R271" s="500"/>
      <c r="S271" s="500"/>
      <c r="T271" s="500"/>
      <c r="U271" s="500"/>
      <c r="V271" s="500"/>
      <c r="W271" s="354"/>
      <c r="X271" s="351"/>
      <c r="Y271" s="351"/>
      <c r="Z271" s="351"/>
      <c r="AA271" s="351"/>
      <c r="AB271" s="351"/>
      <c r="AC271" s="351"/>
      <c r="AD271" s="351"/>
      <c r="AE271" s="351"/>
      <c r="AF271" s="351"/>
      <c r="AG271" s="2"/>
    </row>
    <row r="272" spans="1:33" ht="13.5" customHeight="1">
      <c r="A272" s="351"/>
      <c r="B272" s="500"/>
      <c r="C272" s="500"/>
      <c r="D272" s="500"/>
      <c r="E272" s="500"/>
      <c r="F272" s="500"/>
      <c r="G272" s="509"/>
      <c r="H272" s="500"/>
      <c r="I272" s="508"/>
      <c r="J272" s="508"/>
      <c r="K272" s="508"/>
      <c r="L272" s="508"/>
      <c r="M272" s="500"/>
      <c r="N272" s="500"/>
      <c r="O272" s="500"/>
      <c r="P272" s="500"/>
      <c r="Q272" s="500"/>
      <c r="R272" s="500"/>
      <c r="S272" s="500"/>
      <c r="T272" s="500"/>
      <c r="U272" s="500"/>
      <c r="V272" s="500"/>
      <c r="W272" s="354"/>
      <c r="X272" s="351"/>
      <c r="Y272" s="351"/>
      <c r="Z272" s="351"/>
      <c r="AA272" s="351"/>
      <c r="AB272" s="351"/>
      <c r="AC272" s="351"/>
      <c r="AD272" s="351"/>
      <c r="AE272" s="351"/>
      <c r="AF272" s="351"/>
      <c r="AG272" s="2"/>
    </row>
    <row r="273" spans="1:33" ht="13.5" customHeight="1">
      <c r="A273" s="351"/>
      <c r="B273" s="500"/>
      <c r="C273" s="500"/>
      <c r="D273" s="500"/>
      <c r="E273" s="500"/>
      <c r="F273" s="500"/>
      <c r="G273" s="509"/>
      <c r="H273" s="500"/>
      <c r="I273" s="508"/>
      <c r="J273" s="508"/>
      <c r="K273" s="508"/>
      <c r="L273" s="508"/>
      <c r="M273" s="500"/>
      <c r="N273" s="500"/>
      <c r="O273" s="500"/>
      <c r="P273" s="500"/>
      <c r="Q273" s="500"/>
      <c r="R273" s="500"/>
      <c r="S273" s="500"/>
      <c r="T273" s="500"/>
      <c r="U273" s="500"/>
      <c r="V273" s="500"/>
      <c r="W273" s="354"/>
      <c r="X273" s="351"/>
      <c r="Y273" s="351"/>
      <c r="Z273" s="351"/>
      <c r="AA273" s="351"/>
      <c r="AB273" s="351"/>
      <c r="AC273" s="351"/>
      <c r="AD273" s="351"/>
      <c r="AE273" s="351"/>
      <c r="AF273" s="351"/>
      <c r="AG273" s="2"/>
    </row>
    <row r="274" spans="1:33" ht="13.5" customHeight="1">
      <c r="A274" s="351"/>
      <c r="B274" s="500"/>
      <c r="C274" s="500"/>
      <c r="D274" s="500"/>
      <c r="E274" s="500"/>
      <c r="F274" s="500"/>
      <c r="G274" s="509"/>
      <c r="H274" s="500"/>
      <c r="I274" s="508"/>
      <c r="J274" s="508"/>
      <c r="K274" s="508"/>
      <c r="L274" s="508"/>
      <c r="M274" s="500"/>
      <c r="N274" s="500"/>
      <c r="O274" s="500"/>
      <c r="P274" s="500"/>
      <c r="Q274" s="500"/>
      <c r="R274" s="500"/>
      <c r="S274" s="500"/>
      <c r="T274" s="500"/>
      <c r="U274" s="500"/>
      <c r="V274" s="500"/>
      <c r="W274" s="354"/>
      <c r="X274" s="351"/>
      <c r="Y274" s="351"/>
      <c r="Z274" s="351"/>
      <c r="AA274" s="351"/>
      <c r="AB274" s="351"/>
      <c r="AC274" s="351"/>
      <c r="AD274" s="351"/>
      <c r="AE274" s="351"/>
      <c r="AF274" s="351"/>
      <c r="AG274" s="2"/>
    </row>
    <row r="275" spans="1:33" ht="13.5" customHeight="1">
      <c r="A275" s="351"/>
      <c r="B275" s="500"/>
      <c r="C275" s="500"/>
      <c r="D275" s="500"/>
      <c r="E275" s="500"/>
      <c r="F275" s="500"/>
      <c r="G275" s="509"/>
      <c r="H275" s="500"/>
      <c r="I275" s="508"/>
      <c r="J275" s="508"/>
      <c r="K275" s="508"/>
      <c r="L275" s="508"/>
      <c r="M275" s="500"/>
      <c r="N275" s="500"/>
      <c r="O275" s="500"/>
      <c r="P275" s="500"/>
      <c r="Q275" s="500"/>
      <c r="R275" s="500"/>
      <c r="S275" s="500"/>
      <c r="T275" s="500"/>
      <c r="U275" s="500"/>
      <c r="V275" s="500"/>
      <c r="W275" s="354"/>
      <c r="X275" s="351"/>
      <c r="Y275" s="351"/>
      <c r="Z275" s="351"/>
      <c r="AA275" s="351"/>
      <c r="AB275" s="351"/>
      <c r="AC275" s="351"/>
      <c r="AD275" s="351"/>
      <c r="AE275" s="351"/>
      <c r="AF275" s="351"/>
      <c r="AG275" s="2"/>
    </row>
    <row r="276" spans="1:33" ht="13.5" customHeight="1">
      <c r="A276" s="351"/>
      <c r="B276" s="500"/>
      <c r="C276" s="500"/>
      <c r="D276" s="500"/>
      <c r="E276" s="500"/>
      <c r="F276" s="500"/>
      <c r="G276" s="509"/>
      <c r="H276" s="500"/>
      <c r="I276" s="508"/>
      <c r="J276" s="508"/>
      <c r="K276" s="508"/>
      <c r="L276" s="508"/>
      <c r="M276" s="500"/>
      <c r="N276" s="500"/>
      <c r="O276" s="500"/>
      <c r="P276" s="500"/>
      <c r="Q276" s="500"/>
      <c r="R276" s="500"/>
      <c r="S276" s="500"/>
      <c r="T276" s="500"/>
      <c r="U276" s="500"/>
      <c r="V276" s="500"/>
      <c r="W276" s="354"/>
      <c r="X276" s="351"/>
      <c r="Y276" s="351"/>
      <c r="Z276" s="351"/>
      <c r="AA276" s="351"/>
      <c r="AB276" s="351"/>
      <c r="AC276" s="351"/>
      <c r="AD276" s="351"/>
      <c r="AE276" s="351"/>
      <c r="AF276" s="351"/>
      <c r="AG276" s="2"/>
    </row>
    <row r="277" spans="1:33" ht="13.5" customHeight="1">
      <c r="A277" s="351"/>
      <c r="B277" s="500"/>
      <c r="C277" s="500"/>
      <c r="D277" s="500"/>
      <c r="E277" s="500"/>
      <c r="F277" s="500"/>
      <c r="G277" s="509"/>
      <c r="H277" s="500"/>
      <c r="I277" s="508"/>
      <c r="J277" s="508"/>
      <c r="K277" s="508"/>
      <c r="L277" s="508"/>
      <c r="M277" s="500"/>
      <c r="N277" s="500"/>
      <c r="O277" s="500"/>
      <c r="P277" s="500"/>
      <c r="Q277" s="500"/>
      <c r="R277" s="500"/>
      <c r="S277" s="500"/>
      <c r="T277" s="500"/>
      <c r="U277" s="500"/>
      <c r="V277" s="500"/>
      <c r="W277" s="354"/>
      <c r="X277" s="351"/>
      <c r="Y277" s="351"/>
      <c r="Z277" s="351"/>
      <c r="AA277" s="351"/>
      <c r="AB277" s="351"/>
      <c r="AC277" s="351"/>
      <c r="AD277" s="351"/>
      <c r="AE277" s="351"/>
      <c r="AF277" s="351"/>
      <c r="AG277" s="2"/>
    </row>
    <row r="278" spans="1:33" ht="13.5" customHeight="1">
      <c r="A278" s="351"/>
      <c r="B278" s="500"/>
      <c r="C278" s="500"/>
      <c r="D278" s="500"/>
      <c r="E278" s="500"/>
      <c r="F278" s="500"/>
      <c r="G278" s="509"/>
      <c r="H278" s="500"/>
      <c r="I278" s="508"/>
      <c r="J278" s="508"/>
      <c r="K278" s="508"/>
      <c r="L278" s="508"/>
      <c r="M278" s="500"/>
      <c r="N278" s="500"/>
      <c r="O278" s="500"/>
      <c r="P278" s="500"/>
      <c r="Q278" s="500"/>
      <c r="R278" s="500"/>
      <c r="S278" s="500"/>
      <c r="T278" s="500"/>
      <c r="U278" s="500"/>
      <c r="V278" s="500"/>
      <c r="W278" s="354"/>
      <c r="X278" s="351"/>
      <c r="Y278" s="351"/>
      <c r="Z278" s="351"/>
      <c r="AA278" s="351"/>
      <c r="AB278" s="351"/>
      <c r="AC278" s="351"/>
      <c r="AD278" s="351"/>
      <c r="AE278" s="351"/>
      <c r="AF278" s="351"/>
      <c r="AG278" s="2"/>
    </row>
    <row r="279" spans="1:33" ht="13.5" customHeight="1">
      <c r="A279" s="351"/>
      <c r="B279" s="500"/>
      <c r="C279" s="500"/>
      <c r="D279" s="500"/>
      <c r="E279" s="500"/>
      <c r="F279" s="500"/>
      <c r="G279" s="509"/>
      <c r="H279" s="500"/>
      <c r="I279" s="508"/>
      <c r="J279" s="508"/>
      <c r="K279" s="508"/>
      <c r="L279" s="508"/>
      <c r="M279" s="500"/>
      <c r="N279" s="500"/>
      <c r="O279" s="500"/>
      <c r="P279" s="500"/>
      <c r="Q279" s="500"/>
      <c r="R279" s="500"/>
      <c r="S279" s="500"/>
      <c r="T279" s="500"/>
      <c r="U279" s="500"/>
      <c r="V279" s="500"/>
      <c r="W279" s="354"/>
      <c r="X279" s="351"/>
      <c r="Y279" s="351"/>
      <c r="Z279" s="351"/>
      <c r="AA279" s="351"/>
      <c r="AB279" s="351"/>
      <c r="AC279" s="351"/>
      <c r="AD279" s="351"/>
      <c r="AE279" s="351"/>
      <c r="AF279" s="351"/>
      <c r="AG279" s="2"/>
    </row>
    <row r="280" spans="1:33" ht="13.5" customHeight="1">
      <c r="A280" s="351"/>
      <c r="B280" s="500"/>
      <c r="C280" s="500"/>
      <c r="D280" s="500"/>
      <c r="E280" s="500"/>
      <c r="F280" s="500"/>
      <c r="G280" s="509"/>
      <c r="H280" s="500"/>
      <c r="I280" s="508"/>
      <c r="J280" s="508"/>
      <c r="K280" s="508"/>
      <c r="L280" s="508"/>
      <c r="M280" s="500"/>
      <c r="N280" s="500"/>
      <c r="O280" s="500"/>
      <c r="P280" s="500"/>
      <c r="Q280" s="500"/>
      <c r="R280" s="500"/>
      <c r="S280" s="500"/>
      <c r="T280" s="500"/>
      <c r="U280" s="500"/>
      <c r="V280" s="500"/>
      <c r="W280" s="354"/>
      <c r="X280" s="351"/>
      <c r="Y280" s="351"/>
      <c r="Z280" s="351"/>
      <c r="AA280" s="351"/>
      <c r="AB280" s="351"/>
      <c r="AC280" s="351"/>
      <c r="AD280" s="351"/>
      <c r="AE280" s="351"/>
      <c r="AF280" s="351"/>
      <c r="AG280" s="2"/>
    </row>
    <row r="281" spans="1:33" ht="13.5" customHeight="1">
      <c r="A281" s="351"/>
      <c r="B281" s="500"/>
      <c r="C281" s="500"/>
      <c r="D281" s="500"/>
      <c r="E281" s="500"/>
      <c r="F281" s="500"/>
      <c r="G281" s="509"/>
      <c r="H281" s="500"/>
      <c r="I281" s="508"/>
      <c r="J281" s="508"/>
      <c r="K281" s="508"/>
      <c r="L281" s="508"/>
      <c r="M281" s="500"/>
      <c r="N281" s="500"/>
      <c r="O281" s="500"/>
      <c r="P281" s="500"/>
      <c r="Q281" s="500"/>
      <c r="R281" s="500"/>
      <c r="S281" s="500"/>
      <c r="T281" s="500"/>
      <c r="U281" s="500"/>
      <c r="V281" s="500"/>
      <c r="W281" s="354"/>
      <c r="X281" s="351"/>
      <c r="Y281" s="351"/>
      <c r="Z281" s="351"/>
      <c r="AA281" s="351"/>
      <c r="AB281" s="351"/>
      <c r="AC281" s="351"/>
      <c r="AD281" s="351"/>
      <c r="AE281" s="351"/>
      <c r="AF281" s="351"/>
      <c r="AG281" s="2"/>
    </row>
    <row r="282" spans="1:33" ht="13.5" customHeight="1">
      <c r="A282" s="351"/>
      <c r="B282" s="500"/>
      <c r="C282" s="500"/>
      <c r="D282" s="500"/>
      <c r="E282" s="500"/>
      <c r="F282" s="500"/>
      <c r="G282" s="509"/>
      <c r="H282" s="500"/>
      <c r="I282" s="508"/>
      <c r="J282" s="508"/>
      <c r="K282" s="508"/>
      <c r="L282" s="508"/>
      <c r="M282" s="500"/>
      <c r="N282" s="500"/>
      <c r="O282" s="500"/>
      <c r="P282" s="500"/>
      <c r="Q282" s="500"/>
      <c r="R282" s="500"/>
      <c r="S282" s="500"/>
      <c r="T282" s="500"/>
      <c r="U282" s="500"/>
      <c r="V282" s="500"/>
      <c r="W282" s="354"/>
      <c r="X282" s="351"/>
      <c r="Y282" s="351"/>
      <c r="Z282" s="351"/>
      <c r="AA282" s="351"/>
      <c r="AB282" s="351"/>
      <c r="AC282" s="351"/>
      <c r="AD282" s="351"/>
      <c r="AE282" s="351"/>
      <c r="AF282" s="351"/>
      <c r="AG282" s="2"/>
    </row>
    <row r="283" spans="1:33" ht="13.5" customHeight="1">
      <c r="A283" s="351"/>
      <c r="B283" s="500"/>
      <c r="C283" s="500"/>
      <c r="D283" s="500"/>
      <c r="E283" s="500"/>
      <c r="F283" s="500"/>
      <c r="G283" s="509"/>
      <c r="H283" s="500"/>
      <c r="I283" s="508"/>
      <c r="J283" s="508"/>
      <c r="K283" s="508"/>
      <c r="L283" s="508"/>
      <c r="M283" s="500"/>
      <c r="N283" s="500"/>
      <c r="O283" s="500"/>
      <c r="P283" s="500"/>
      <c r="Q283" s="500"/>
      <c r="R283" s="500"/>
      <c r="S283" s="500"/>
      <c r="T283" s="500"/>
      <c r="U283" s="500"/>
      <c r="V283" s="500"/>
      <c r="W283" s="354"/>
      <c r="X283" s="351"/>
      <c r="Y283" s="351"/>
      <c r="Z283" s="351"/>
      <c r="AA283" s="351"/>
      <c r="AB283" s="351"/>
      <c r="AC283" s="351"/>
      <c r="AD283" s="351"/>
      <c r="AE283" s="351"/>
      <c r="AF283" s="351"/>
      <c r="AG283" s="2"/>
    </row>
    <row r="284" spans="1:33" ht="13.5" customHeight="1">
      <c r="A284" s="351"/>
      <c r="B284" s="500"/>
      <c r="C284" s="500"/>
      <c r="D284" s="500"/>
      <c r="E284" s="500"/>
      <c r="F284" s="500"/>
      <c r="G284" s="509"/>
      <c r="H284" s="500"/>
      <c r="I284" s="508"/>
      <c r="J284" s="508"/>
      <c r="K284" s="508"/>
      <c r="L284" s="508"/>
      <c r="M284" s="500"/>
      <c r="N284" s="500"/>
      <c r="O284" s="500"/>
      <c r="P284" s="500"/>
      <c r="Q284" s="500"/>
      <c r="R284" s="500"/>
      <c r="S284" s="500"/>
      <c r="T284" s="500"/>
      <c r="U284" s="500"/>
      <c r="V284" s="500"/>
      <c r="W284" s="354"/>
      <c r="X284" s="351"/>
      <c r="Y284" s="351"/>
      <c r="Z284" s="351"/>
      <c r="AA284" s="351"/>
      <c r="AB284" s="351"/>
      <c r="AC284" s="351"/>
      <c r="AD284" s="351"/>
      <c r="AE284" s="351"/>
      <c r="AF284" s="351"/>
      <c r="AG284" s="2"/>
    </row>
    <row r="285" spans="1:33" ht="13.5" customHeight="1">
      <c r="A285" s="351"/>
      <c r="B285" s="500"/>
      <c r="C285" s="500"/>
      <c r="D285" s="500"/>
      <c r="E285" s="500"/>
      <c r="F285" s="500"/>
      <c r="G285" s="509"/>
      <c r="H285" s="500"/>
      <c r="I285" s="508"/>
      <c r="J285" s="508"/>
      <c r="K285" s="508"/>
      <c r="L285" s="508"/>
      <c r="M285" s="500"/>
      <c r="N285" s="500"/>
      <c r="O285" s="500"/>
      <c r="P285" s="500"/>
      <c r="Q285" s="500"/>
      <c r="R285" s="500"/>
      <c r="S285" s="500"/>
      <c r="T285" s="500"/>
      <c r="U285" s="500"/>
      <c r="V285" s="500"/>
      <c r="W285" s="354"/>
      <c r="X285" s="351"/>
      <c r="Y285" s="351"/>
      <c r="Z285" s="351"/>
      <c r="AA285" s="351"/>
      <c r="AB285" s="351"/>
      <c r="AC285" s="351"/>
      <c r="AD285" s="351"/>
      <c r="AE285" s="351"/>
      <c r="AF285" s="351"/>
      <c r="AG285" s="2"/>
    </row>
    <row r="286" spans="1:33" ht="13.5" customHeight="1">
      <c r="A286" s="351"/>
      <c r="B286" s="500"/>
      <c r="C286" s="500"/>
      <c r="D286" s="500"/>
      <c r="E286" s="500"/>
      <c r="F286" s="500"/>
      <c r="G286" s="509"/>
      <c r="H286" s="500"/>
      <c r="I286" s="508"/>
      <c r="J286" s="508"/>
      <c r="K286" s="508"/>
      <c r="L286" s="508"/>
      <c r="M286" s="500"/>
      <c r="N286" s="500"/>
      <c r="O286" s="500"/>
      <c r="P286" s="500"/>
      <c r="Q286" s="500"/>
      <c r="R286" s="500"/>
      <c r="S286" s="500"/>
      <c r="T286" s="500"/>
      <c r="U286" s="500"/>
      <c r="V286" s="500"/>
      <c r="W286" s="354"/>
      <c r="X286" s="351"/>
      <c r="Y286" s="351"/>
      <c r="Z286" s="351"/>
      <c r="AA286" s="351"/>
      <c r="AB286" s="351"/>
      <c r="AC286" s="351"/>
      <c r="AD286" s="351"/>
      <c r="AE286" s="351"/>
      <c r="AF286" s="351"/>
      <c r="AG286" s="2"/>
    </row>
    <row r="287" spans="1:33" ht="13.5" customHeight="1">
      <c r="A287" s="351"/>
      <c r="B287" s="500"/>
      <c r="C287" s="500"/>
      <c r="D287" s="500"/>
      <c r="E287" s="500"/>
      <c r="F287" s="500"/>
      <c r="G287" s="509"/>
      <c r="H287" s="500"/>
      <c r="I287" s="508"/>
      <c r="J287" s="508"/>
      <c r="K287" s="508"/>
      <c r="L287" s="508"/>
      <c r="M287" s="500"/>
      <c r="N287" s="500"/>
      <c r="O287" s="500"/>
      <c r="P287" s="500"/>
      <c r="Q287" s="500"/>
      <c r="R287" s="500"/>
      <c r="S287" s="500"/>
      <c r="T287" s="500"/>
      <c r="U287" s="500"/>
      <c r="V287" s="500"/>
      <c r="W287" s="354"/>
      <c r="X287" s="351"/>
      <c r="Y287" s="351"/>
      <c r="Z287" s="351"/>
      <c r="AA287" s="351"/>
      <c r="AB287" s="351"/>
      <c r="AC287" s="351"/>
      <c r="AD287" s="351"/>
      <c r="AE287" s="351"/>
      <c r="AF287" s="351"/>
      <c r="AG287" s="2"/>
    </row>
    <row r="288" spans="1:33" ht="13.5" customHeight="1">
      <c r="A288" s="351"/>
      <c r="B288" s="500"/>
      <c r="C288" s="500"/>
      <c r="D288" s="500"/>
      <c r="E288" s="500"/>
      <c r="F288" s="500"/>
      <c r="G288" s="509"/>
      <c r="H288" s="500"/>
      <c r="I288" s="508"/>
      <c r="J288" s="508"/>
      <c r="K288" s="508"/>
      <c r="L288" s="508"/>
      <c r="M288" s="500"/>
      <c r="N288" s="500"/>
      <c r="O288" s="500"/>
      <c r="P288" s="500"/>
      <c r="Q288" s="500"/>
      <c r="R288" s="500"/>
      <c r="S288" s="500"/>
      <c r="T288" s="500"/>
      <c r="U288" s="500"/>
      <c r="V288" s="500"/>
      <c r="W288" s="354"/>
      <c r="X288" s="351"/>
      <c r="Y288" s="351"/>
      <c r="Z288" s="351"/>
      <c r="AA288" s="351"/>
      <c r="AB288" s="351"/>
      <c r="AC288" s="351"/>
      <c r="AD288" s="351"/>
      <c r="AE288" s="351"/>
      <c r="AF288" s="351"/>
      <c r="AG288" s="2"/>
    </row>
    <row r="289" spans="1:33" ht="13.5" customHeight="1">
      <c r="A289" s="351"/>
      <c r="B289" s="500"/>
      <c r="C289" s="500"/>
      <c r="D289" s="500"/>
      <c r="E289" s="500"/>
      <c r="F289" s="500"/>
      <c r="G289" s="509"/>
      <c r="H289" s="500"/>
      <c r="I289" s="508"/>
      <c r="J289" s="508"/>
      <c r="K289" s="508"/>
      <c r="L289" s="508"/>
      <c r="M289" s="500"/>
      <c r="N289" s="500"/>
      <c r="O289" s="500"/>
      <c r="P289" s="500"/>
      <c r="Q289" s="500"/>
      <c r="R289" s="500"/>
      <c r="S289" s="500"/>
      <c r="T289" s="500"/>
      <c r="U289" s="500"/>
      <c r="V289" s="500"/>
      <c r="W289" s="354"/>
      <c r="X289" s="351"/>
      <c r="Y289" s="351"/>
      <c r="Z289" s="351"/>
      <c r="AA289" s="351"/>
      <c r="AB289" s="351"/>
      <c r="AC289" s="351"/>
      <c r="AD289" s="351"/>
      <c r="AE289" s="351"/>
      <c r="AF289" s="351"/>
      <c r="AG289" s="2"/>
    </row>
    <row r="290" spans="1:33" ht="13.5" customHeight="1">
      <c r="A290" s="351"/>
      <c r="B290" s="500"/>
      <c r="C290" s="500"/>
      <c r="D290" s="500"/>
      <c r="E290" s="500"/>
      <c r="F290" s="500"/>
      <c r="G290" s="509"/>
      <c r="H290" s="500"/>
      <c r="I290" s="508"/>
      <c r="J290" s="508"/>
      <c r="K290" s="508"/>
      <c r="L290" s="508"/>
      <c r="M290" s="500"/>
      <c r="N290" s="500"/>
      <c r="O290" s="500"/>
      <c r="P290" s="500"/>
      <c r="Q290" s="500"/>
      <c r="R290" s="500"/>
      <c r="S290" s="500"/>
      <c r="T290" s="500"/>
      <c r="U290" s="500"/>
      <c r="V290" s="500"/>
      <c r="W290" s="354"/>
      <c r="X290" s="351"/>
      <c r="Y290" s="351"/>
      <c r="Z290" s="351"/>
      <c r="AA290" s="351"/>
      <c r="AB290" s="351"/>
      <c r="AC290" s="351"/>
      <c r="AD290" s="351"/>
      <c r="AE290" s="351"/>
      <c r="AF290" s="351"/>
      <c r="AG290" s="2"/>
    </row>
    <row r="291" spans="1:33" ht="13.5" customHeight="1">
      <c r="A291" s="351"/>
      <c r="B291" s="500"/>
      <c r="C291" s="500"/>
      <c r="D291" s="500"/>
      <c r="E291" s="500"/>
      <c r="F291" s="500"/>
      <c r="G291" s="509"/>
      <c r="H291" s="500"/>
      <c r="I291" s="508"/>
      <c r="J291" s="508"/>
      <c r="K291" s="508"/>
      <c r="L291" s="508"/>
      <c r="M291" s="500"/>
      <c r="N291" s="500"/>
      <c r="O291" s="500"/>
      <c r="P291" s="500"/>
      <c r="Q291" s="500"/>
      <c r="R291" s="500"/>
      <c r="S291" s="500"/>
      <c r="T291" s="500"/>
      <c r="U291" s="500"/>
      <c r="V291" s="500"/>
      <c r="W291" s="354"/>
      <c r="X291" s="351"/>
      <c r="Y291" s="351"/>
      <c r="Z291" s="351"/>
      <c r="AA291" s="351"/>
      <c r="AB291" s="351"/>
      <c r="AC291" s="351"/>
      <c r="AD291" s="351"/>
      <c r="AE291" s="351"/>
      <c r="AF291" s="351"/>
      <c r="AG291" s="2"/>
    </row>
    <row r="292" spans="1:33" ht="13.5" customHeight="1">
      <c r="A292" s="351"/>
      <c r="B292" s="500"/>
      <c r="C292" s="500"/>
      <c r="D292" s="500"/>
      <c r="E292" s="500"/>
      <c r="F292" s="500"/>
      <c r="G292" s="509"/>
      <c r="H292" s="500"/>
      <c r="I292" s="508"/>
      <c r="J292" s="508"/>
      <c r="K292" s="508"/>
      <c r="L292" s="508"/>
      <c r="M292" s="500"/>
      <c r="N292" s="500"/>
      <c r="O292" s="500"/>
      <c r="P292" s="500"/>
      <c r="Q292" s="500"/>
      <c r="R292" s="500"/>
      <c r="S292" s="500"/>
      <c r="T292" s="500"/>
      <c r="U292" s="500"/>
      <c r="V292" s="500"/>
      <c r="W292" s="354"/>
      <c r="X292" s="351"/>
      <c r="Y292" s="351"/>
      <c r="Z292" s="351"/>
      <c r="AA292" s="351"/>
      <c r="AB292" s="351"/>
      <c r="AC292" s="351"/>
      <c r="AD292" s="351"/>
      <c r="AE292" s="351"/>
      <c r="AF292" s="351"/>
      <c r="AG292" s="2"/>
    </row>
    <row r="293" spans="1:33" ht="13.5" customHeight="1">
      <c r="A293" s="351"/>
      <c r="B293" s="500"/>
      <c r="C293" s="500"/>
      <c r="D293" s="500"/>
      <c r="E293" s="500"/>
      <c r="F293" s="500"/>
      <c r="G293" s="509"/>
      <c r="H293" s="500"/>
      <c r="I293" s="508"/>
      <c r="J293" s="508"/>
      <c r="K293" s="508"/>
      <c r="L293" s="508"/>
      <c r="M293" s="500"/>
      <c r="N293" s="500"/>
      <c r="O293" s="500"/>
      <c r="P293" s="500"/>
      <c r="Q293" s="500"/>
      <c r="R293" s="500"/>
      <c r="S293" s="500"/>
      <c r="T293" s="500"/>
      <c r="U293" s="500"/>
      <c r="V293" s="500"/>
      <c r="W293" s="354"/>
      <c r="X293" s="351"/>
      <c r="Y293" s="351"/>
      <c r="Z293" s="351"/>
      <c r="AA293" s="351"/>
      <c r="AB293" s="351"/>
      <c r="AC293" s="351"/>
      <c r="AD293" s="351"/>
      <c r="AE293" s="351"/>
      <c r="AF293" s="351"/>
      <c r="AG293" s="2"/>
    </row>
    <row r="294" spans="1:33" ht="13.5" customHeight="1">
      <c r="A294" s="351"/>
      <c r="B294" s="500"/>
      <c r="C294" s="500"/>
      <c r="D294" s="500"/>
      <c r="E294" s="500"/>
      <c r="F294" s="500"/>
      <c r="G294" s="509"/>
      <c r="H294" s="500"/>
      <c r="I294" s="508"/>
      <c r="J294" s="508"/>
      <c r="K294" s="508"/>
      <c r="L294" s="508"/>
      <c r="M294" s="500"/>
      <c r="N294" s="500"/>
      <c r="O294" s="500"/>
      <c r="P294" s="500"/>
      <c r="Q294" s="500"/>
      <c r="R294" s="500"/>
      <c r="S294" s="500"/>
      <c r="T294" s="500"/>
      <c r="U294" s="500"/>
      <c r="V294" s="500"/>
      <c r="W294" s="354"/>
      <c r="X294" s="351"/>
      <c r="Y294" s="351"/>
      <c r="Z294" s="351"/>
      <c r="AA294" s="351"/>
      <c r="AB294" s="351"/>
      <c r="AC294" s="351"/>
      <c r="AD294" s="351"/>
      <c r="AE294" s="351"/>
      <c r="AF294" s="351"/>
      <c r="AG294" s="2"/>
    </row>
    <row r="295" spans="1:33" ht="13.5" customHeight="1">
      <c r="A295" s="351"/>
      <c r="B295" s="500"/>
      <c r="C295" s="500"/>
      <c r="D295" s="500"/>
      <c r="E295" s="500"/>
      <c r="F295" s="500"/>
      <c r="G295" s="509"/>
      <c r="H295" s="500"/>
      <c r="I295" s="508"/>
      <c r="J295" s="508"/>
      <c r="K295" s="508"/>
      <c r="L295" s="508"/>
      <c r="M295" s="500"/>
      <c r="N295" s="500"/>
      <c r="O295" s="500"/>
      <c r="P295" s="500"/>
      <c r="Q295" s="500"/>
      <c r="R295" s="500"/>
      <c r="S295" s="500"/>
      <c r="T295" s="500"/>
      <c r="U295" s="500"/>
      <c r="V295" s="500"/>
      <c r="W295" s="354"/>
      <c r="X295" s="351"/>
      <c r="Y295" s="351"/>
      <c r="Z295" s="351"/>
      <c r="AA295" s="351"/>
      <c r="AB295" s="351"/>
      <c r="AC295" s="351"/>
      <c r="AD295" s="351"/>
      <c r="AE295" s="351"/>
      <c r="AF295" s="351"/>
      <c r="AG295" s="2"/>
    </row>
    <row r="296" spans="1:33" ht="13.5" customHeight="1">
      <c r="A296" s="351"/>
      <c r="B296" s="500"/>
      <c r="C296" s="500"/>
      <c r="D296" s="500"/>
      <c r="E296" s="500"/>
      <c r="F296" s="500"/>
      <c r="G296" s="509"/>
      <c r="H296" s="500"/>
      <c r="I296" s="508"/>
      <c r="J296" s="508"/>
      <c r="K296" s="508"/>
      <c r="L296" s="508"/>
      <c r="M296" s="500"/>
      <c r="N296" s="500"/>
      <c r="O296" s="500"/>
      <c r="P296" s="500"/>
      <c r="Q296" s="500"/>
      <c r="R296" s="500"/>
      <c r="S296" s="500"/>
      <c r="T296" s="500"/>
      <c r="U296" s="500"/>
      <c r="V296" s="500"/>
      <c r="W296" s="354"/>
      <c r="X296" s="351"/>
      <c r="Y296" s="351"/>
      <c r="Z296" s="351"/>
      <c r="AA296" s="351"/>
      <c r="AB296" s="351"/>
      <c r="AC296" s="351"/>
      <c r="AD296" s="351"/>
      <c r="AE296" s="351"/>
      <c r="AF296" s="351"/>
      <c r="AG296" s="2"/>
    </row>
    <row r="297" spans="1:33" ht="13.5" customHeight="1">
      <c r="A297" s="351"/>
      <c r="B297" s="500"/>
      <c r="C297" s="500"/>
      <c r="D297" s="500"/>
      <c r="E297" s="500"/>
      <c r="F297" s="500"/>
      <c r="G297" s="509"/>
      <c r="H297" s="500"/>
      <c r="I297" s="508"/>
      <c r="J297" s="508"/>
      <c r="K297" s="508"/>
      <c r="L297" s="508"/>
      <c r="M297" s="500"/>
      <c r="N297" s="500"/>
      <c r="O297" s="500"/>
      <c r="P297" s="500"/>
      <c r="Q297" s="500"/>
      <c r="R297" s="500"/>
      <c r="S297" s="500"/>
      <c r="T297" s="500"/>
      <c r="U297" s="500"/>
      <c r="V297" s="500"/>
      <c r="W297" s="354"/>
      <c r="X297" s="351"/>
      <c r="Y297" s="351"/>
      <c r="Z297" s="351"/>
      <c r="AA297" s="351"/>
      <c r="AB297" s="351"/>
      <c r="AC297" s="351"/>
      <c r="AD297" s="351"/>
      <c r="AE297" s="351"/>
      <c r="AF297" s="351"/>
      <c r="AG297" s="2"/>
    </row>
    <row r="298" spans="1:33" ht="13.5" customHeight="1">
      <c r="A298" s="351"/>
      <c r="B298" s="500"/>
      <c r="C298" s="500"/>
      <c r="D298" s="500"/>
      <c r="E298" s="500"/>
      <c r="F298" s="500"/>
      <c r="G298" s="509"/>
      <c r="H298" s="500"/>
      <c r="I298" s="508"/>
      <c r="J298" s="508"/>
      <c r="K298" s="508"/>
      <c r="L298" s="508"/>
      <c r="M298" s="500"/>
      <c r="N298" s="500"/>
      <c r="O298" s="500"/>
      <c r="P298" s="500"/>
      <c r="Q298" s="500"/>
      <c r="R298" s="500"/>
      <c r="S298" s="500"/>
      <c r="T298" s="500"/>
      <c r="U298" s="500"/>
      <c r="V298" s="500"/>
      <c r="W298" s="354"/>
      <c r="X298" s="351"/>
      <c r="Y298" s="351"/>
      <c r="Z298" s="351"/>
      <c r="AA298" s="351"/>
      <c r="AB298" s="351"/>
      <c r="AC298" s="351"/>
      <c r="AD298" s="351"/>
      <c r="AE298" s="351"/>
      <c r="AF298" s="351"/>
      <c r="AG298" s="2"/>
    </row>
    <row r="299" spans="1:33" ht="13.5" customHeight="1">
      <c r="A299" s="351"/>
      <c r="B299" s="500"/>
      <c r="C299" s="500"/>
      <c r="D299" s="500"/>
      <c r="E299" s="500"/>
      <c r="F299" s="500"/>
      <c r="G299" s="509"/>
      <c r="H299" s="500"/>
      <c r="I299" s="508"/>
      <c r="J299" s="508"/>
      <c r="K299" s="508"/>
      <c r="L299" s="508"/>
      <c r="M299" s="500"/>
      <c r="N299" s="500"/>
      <c r="O299" s="500"/>
      <c r="P299" s="500"/>
      <c r="Q299" s="500"/>
      <c r="R299" s="500"/>
      <c r="S299" s="500"/>
      <c r="T299" s="500"/>
      <c r="U299" s="500"/>
      <c r="V299" s="500"/>
      <c r="W299" s="354"/>
      <c r="X299" s="351"/>
      <c r="Y299" s="351"/>
      <c r="Z299" s="351"/>
      <c r="AA299" s="351"/>
      <c r="AB299" s="351"/>
      <c r="AC299" s="351"/>
      <c r="AD299" s="351"/>
      <c r="AE299" s="351"/>
      <c r="AF299" s="351"/>
      <c r="AG299" s="2"/>
    </row>
    <row r="300" spans="1:33" ht="13.5" customHeight="1">
      <c r="A300" s="351"/>
      <c r="B300" s="500"/>
      <c r="C300" s="500"/>
      <c r="D300" s="500"/>
      <c r="E300" s="500"/>
      <c r="F300" s="500"/>
      <c r="G300" s="509"/>
      <c r="H300" s="500"/>
      <c r="I300" s="508"/>
      <c r="J300" s="508"/>
      <c r="K300" s="508"/>
      <c r="L300" s="508"/>
      <c r="M300" s="500"/>
      <c r="N300" s="500"/>
      <c r="O300" s="500"/>
      <c r="P300" s="500"/>
      <c r="Q300" s="500"/>
      <c r="R300" s="500"/>
      <c r="S300" s="500"/>
      <c r="T300" s="500"/>
      <c r="U300" s="500"/>
      <c r="V300" s="500"/>
      <c r="W300" s="354"/>
      <c r="X300" s="351"/>
      <c r="Y300" s="351"/>
      <c r="Z300" s="351"/>
      <c r="AA300" s="351"/>
      <c r="AB300" s="351"/>
      <c r="AC300" s="351"/>
      <c r="AD300" s="351"/>
      <c r="AE300" s="351"/>
      <c r="AF300" s="351"/>
      <c r="AG300" s="2"/>
    </row>
    <row r="301" spans="1:33" ht="13.5" customHeight="1">
      <c r="A301" s="351"/>
      <c r="B301" s="500"/>
      <c r="C301" s="500"/>
      <c r="D301" s="500"/>
      <c r="E301" s="500"/>
      <c r="F301" s="500"/>
      <c r="G301" s="509"/>
      <c r="H301" s="500"/>
      <c r="I301" s="508"/>
      <c r="J301" s="508"/>
      <c r="K301" s="508"/>
      <c r="L301" s="508"/>
      <c r="M301" s="500"/>
      <c r="N301" s="500"/>
      <c r="O301" s="500"/>
      <c r="P301" s="500"/>
      <c r="Q301" s="500"/>
      <c r="R301" s="500"/>
      <c r="S301" s="500"/>
      <c r="T301" s="500"/>
      <c r="U301" s="500"/>
      <c r="V301" s="500"/>
      <c r="W301" s="354"/>
      <c r="X301" s="351"/>
      <c r="Y301" s="351"/>
      <c r="Z301" s="351"/>
      <c r="AA301" s="351"/>
      <c r="AB301" s="351"/>
      <c r="AC301" s="351"/>
      <c r="AD301" s="351"/>
      <c r="AE301" s="351"/>
      <c r="AF301" s="351"/>
      <c r="AG301" s="2"/>
    </row>
    <row r="302" spans="1:33" ht="13.5" customHeight="1">
      <c r="A302" s="351"/>
      <c r="B302" s="500"/>
      <c r="C302" s="500"/>
      <c r="D302" s="500"/>
      <c r="E302" s="500"/>
      <c r="F302" s="500"/>
      <c r="G302" s="509"/>
      <c r="H302" s="500"/>
      <c r="I302" s="508"/>
      <c r="J302" s="508"/>
      <c r="K302" s="508"/>
      <c r="L302" s="508"/>
      <c r="M302" s="500"/>
      <c r="N302" s="500"/>
      <c r="O302" s="500"/>
      <c r="P302" s="500"/>
      <c r="Q302" s="500"/>
      <c r="R302" s="500"/>
      <c r="S302" s="500"/>
      <c r="T302" s="500"/>
      <c r="U302" s="500"/>
      <c r="V302" s="500"/>
      <c r="W302" s="354"/>
      <c r="X302" s="351"/>
      <c r="Y302" s="351"/>
      <c r="Z302" s="351"/>
      <c r="AA302" s="351"/>
      <c r="AB302" s="351"/>
      <c r="AC302" s="351"/>
      <c r="AD302" s="351"/>
      <c r="AE302" s="351"/>
      <c r="AF302" s="351"/>
      <c r="AG302" s="2"/>
    </row>
    <row r="303" spans="1:33" ht="13.5" customHeight="1">
      <c r="A303" s="351"/>
      <c r="B303" s="500"/>
      <c r="C303" s="500"/>
      <c r="D303" s="500"/>
      <c r="E303" s="500"/>
      <c r="F303" s="500"/>
      <c r="G303" s="509"/>
      <c r="H303" s="500"/>
      <c r="I303" s="508"/>
      <c r="J303" s="508"/>
      <c r="K303" s="508"/>
      <c r="L303" s="508"/>
      <c r="M303" s="500"/>
      <c r="N303" s="500"/>
      <c r="O303" s="500"/>
      <c r="P303" s="500"/>
      <c r="Q303" s="500"/>
      <c r="R303" s="500"/>
      <c r="S303" s="500"/>
      <c r="T303" s="500"/>
      <c r="U303" s="500"/>
      <c r="V303" s="500"/>
      <c r="W303" s="354"/>
      <c r="X303" s="351"/>
      <c r="Y303" s="351"/>
      <c r="Z303" s="351"/>
      <c r="AA303" s="351"/>
      <c r="AB303" s="351"/>
      <c r="AC303" s="351"/>
      <c r="AD303" s="351"/>
      <c r="AE303" s="351"/>
      <c r="AF303" s="351"/>
      <c r="AG303" s="2"/>
    </row>
    <row r="304" spans="1:33" ht="13.5" customHeight="1">
      <c r="A304" s="351"/>
      <c r="B304" s="500"/>
      <c r="C304" s="500"/>
      <c r="D304" s="500"/>
      <c r="E304" s="500"/>
      <c r="F304" s="500"/>
      <c r="G304" s="509"/>
      <c r="H304" s="500"/>
      <c r="I304" s="508"/>
      <c r="J304" s="508"/>
      <c r="K304" s="508"/>
      <c r="L304" s="508"/>
      <c r="M304" s="500"/>
      <c r="N304" s="500"/>
      <c r="O304" s="500"/>
      <c r="P304" s="500"/>
      <c r="Q304" s="500"/>
      <c r="R304" s="500"/>
      <c r="S304" s="500"/>
      <c r="T304" s="500"/>
      <c r="U304" s="500"/>
      <c r="V304" s="500"/>
      <c r="W304" s="354"/>
      <c r="X304" s="351"/>
      <c r="Y304" s="351"/>
      <c r="Z304" s="351"/>
      <c r="AA304" s="351"/>
      <c r="AB304" s="351"/>
      <c r="AC304" s="351"/>
      <c r="AD304" s="351"/>
      <c r="AE304" s="351"/>
      <c r="AF304" s="351"/>
      <c r="AG304" s="2"/>
    </row>
    <row r="305" spans="1:33" ht="13.5" customHeight="1">
      <c r="A305" s="351"/>
      <c r="B305" s="500"/>
      <c r="C305" s="500"/>
      <c r="D305" s="500"/>
      <c r="E305" s="500"/>
      <c r="F305" s="500"/>
      <c r="G305" s="509"/>
      <c r="H305" s="500"/>
      <c r="I305" s="508"/>
      <c r="J305" s="508"/>
      <c r="K305" s="508"/>
      <c r="L305" s="508"/>
      <c r="M305" s="500"/>
      <c r="N305" s="500"/>
      <c r="O305" s="500"/>
      <c r="P305" s="500"/>
      <c r="Q305" s="500"/>
      <c r="R305" s="500"/>
      <c r="S305" s="500"/>
      <c r="T305" s="500"/>
      <c r="U305" s="500"/>
      <c r="V305" s="500"/>
      <c r="W305" s="354"/>
      <c r="X305" s="351"/>
      <c r="Y305" s="351"/>
      <c r="Z305" s="351"/>
      <c r="AA305" s="351"/>
      <c r="AB305" s="351"/>
      <c r="AC305" s="351"/>
      <c r="AD305" s="351"/>
      <c r="AE305" s="351"/>
      <c r="AF305" s="351"/>
      <c r="AG305" s="2"/>
    </row>
    <row r="306" spans="1:33" ht="13.5" customHeight="1">
      <c r="A306" s="351"/>
      <c r="B306" s="500"/>
      <c r="C306" s="500"/>
      <c r="D306" s="500"/>
      <c r="E306" s="500"/>
      <c r="F306" s="500"/>
      <c r="G306" s="509"/>
      <c r="H306" s="500"/>
      <c r="I306" s="508"/>
      <c r="J306" s="508"/>
      <c r="K306" s="508"/>
      <c r="L306" s="508"/>
      <c r="M306" s="500"/>
      <c r="N306" s="500"/>
      <c r="O306" s="500"/>
      <c r="P306" s="500"/>
      <c r="Q306" s="500"/>
      <c r="R306" s="500"/>
      <c r="S306" s="500"/>
      <c r="T306" s="500"/>
      <c r="U306" s="500"/>
      <c r="V306" s="500"/>
      <c r="W306" s="354"/>
      <c r="X306" s="351"/>
      <c r="Y306" s="351"/>
      <c r="Z306" s="351"/>
      <c r="AA306" s="351"/>
      <c r="AB306" s="351"/>
      <c r="AC306" s="351"/>
      <c r="AD306" s="351"/>
      <c r="AE306" s="351"/>
      <c r="AF306" s="351"/>
      <c r="AG306" s="2"/>
    </row>
    <row r="307" spans="1:33" ht="13.5" customHeight="1">
      <c r="A307" s="351"/>
      <c r="B307" s="500"/>
      <c r="C307" s="500"/>
      <c r="D307" s="500"/>
      <c r="E307" s="500"/>
      <c r="F307" s="500"/>
      <c r="G307" s="509"/>
      <c r="H307" s="500"/>
      <c r="I307" s="508"/>
      <c r="J307" s="508"/>
      <c r="K307" s="508"/>
      <c r="L307" s="508"/>
      <c r="M307" s="500"/>
      <c r="N307" s="500"/>
      <c r="O307" s="500"/>
      <c r="P307" s="500"/>
      <c r="Q307" s="500"/>
      <c r="R307" s="500"/>
      <c r="S307" s="500"/>
      <c r="T307" s="500"/>
      <c r="U307" s="500"/>
      <c r="V307" s="500"/>
      <c r="W307" s="354"/>
      <c r="X307" s="351"/>
      <c r="Y307" s="351"/>
      <c r="Z307" s="351"/>
      <c r="AA307" s="351"/>
      <c r="AB307" s="351"/>
      <c r="AC307" s="351"/>
      <c r="AD307" s="351"/>
      <c r="AE307" s="351"/>
      <c r="AF307" s="351"/>
      <c r="AG307" s="2"/>
    </row>
    <row r="308" spans="1:33" ht="13.5" customHeight="1">
      <c r="A308" s="351"/>
      <c r="B308" s="500"/>
      <c r="C308" s="500"/>
      <c r="D308" s="500"/>
      <c r="E308" s="500"/>
      <c r="F308" s="500"/>
      <c r="G308" s="509"/>
      <c r="H308" s="500"/>
      <c r="I308" s="508"/>
      <c r="J308" s="508"/>
      <c r="K308" s="508"/>
      <c r="L308" s="508"/>
      <c r="M308" s="500"/>
      <c r="N308" s="500"/>
      <c r="O308" s="500"/>
      <c r="P308" s="500"/>
      <c r="Q308" s="500"/>
      <c r="R308" s="500"/>
      <c r="S308" s="500"/>
      <c r="T308" s="500"/>
      <c r="U308" s="500"/>
      <c r="V308" s="500"/>
      <c r="W308" s="354"/>
      <c r="X308" s="351"/>
      <c r="Y308" s="351"/>
      <c r="Z308" s="351"/>
      <c r="AA308" s="351"/>
      <c r="AB308" s="351"/>
      <c r="AC308" s="351"/>
      <c r="AD308" s="351"/>
      <c r="AE308" s="351"/>
      <c r="AF308" s="351"/>
      <c r="AG308" s="2"/>
    </row>
    <row r="309" spans="1:33" ht="13.5" customHeight="1">
      <c r="A309" s="351"/>
      <c r="B309" s="500"/>
      <c r="C309" s="500"/>
      <c r="D309" s="500"/>
      <c r="E309" s="500"/>
      <c r="F309" s="500"/>
      <c r="G309" s="509"/>
      <c r="H309" s="500"/>
      <c r="I309" s="508"/>
      <c r="J309" s="508"/>
      <c r="K309" s="508"/>
      <c r="L309" s="508"/>
      <c r="M309" s="500"/>
      <c r="N309" s="500"/>
      <c r="O309" s="500"/>
      <c r="P309" s="500"/>
      <c r="Q309" s="500"/>
      <c r="R309" s="500"/>
      <c r="S309" s="500"/>
      <c r="T309" s="500"/>
      <c r="U309" s="500"/>
      <c r="V309" s="500"/>
      <c r="W309" s="354"/>
      <c r="X309" s="351"/>
      <c r="Y309" s="351"/>
      <c r="Z309" s="351"/>
      <c r="AA309" s="351"/>
      <c r="AB309" s="351"/>
      <c r="AC309" s="351"/>
      <c r="AD309" s="351"/>
      <c r="AE309" s="351"/>
      <c r="AF309" s="351"/>
      <c r="AG309" s="2"/>
    </row>
    <row r="310" spans="1:33" ht="15.75" customHeight="1">
      <c r="A310" s="2"/>
      <c r="B310" s="510"/>
      <c r="C310" s="510"/>
      <c r="D310" s="510"/>
      <c r="E310" s="510"/>
      <c r="F310" s="510"/>
      <c r="G310" s="510"/>
      <c r="H310" s="510"/>
      <c r="I310" s="510"/>
      <c r="J310" s="510"/>
      <c r="K310" s="510"/>
      <c r="L310" s="510"/>
      <c r="M310" s="510"/>
      <c r="N310" s="510"/>
      <c r="O310" s="510"/>
      <c r="P310" s="510"/>
      <c r="Q310" s="510"/>
      <c r="R310" s="510"/>
      <c r="S310" s="510"/>
      <c r="T310" s="510"/>
      <c r="U310" s="510"/>
      <c r="V310" s="510"/>
      <c r="W310" s="176"/>
      <c r="X310" s="2"/>
      <c r="Y310" s="2"/>
      <c r="Z310" s="2"/>
      <c r="AA310" s="2"/>
      <c r="AB310" s="2"/>
      <c r="AC310" s="2"/>
      <c r="AD310" s="2"/>
      <c r="AE310" s="2"/>
      <c r="AF310" s="2"/>
      <c r="AG310" s="2"/>
    </row>
    <row r="311" spans="1:33"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5.75" customHeight="1"/>
    <row r="314" spans="1:33" ht="15.75" customHeight="1"/>
    <row r="315" spans="1:33" ht="15.75" customHeight="1"/>
    <row r="316" spans="1:33" ht="15.75" customHeight="1"/>
    <row r="317" spans="1:33" ht="15.75" customHeight="1"/>
    <row r="318" spans="1:33" ht="15.75" customHeight="1"/>
    <row r="319" spans="1:33" ht="15.75" customHeight="1"/>
    <row r="320" spans="1:3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3">
    <mergeCell ref="S75:V75"/>
    <mergeCell ref="B76:E77"/>
    <mergeCell ref="F76:I77"/>
    <mergeCell ref="J76:J77"/>
    <mergeCell ref="K76:K77"/>
    <mergeCell ref="L76:L77"/>
    <mergeCell ref="U87:U89"/>
    <mergeCell ref="V87:V89"/>
    <mergeCell ref="U90:U92"/>
    <mergeCell ref="V90:V92"/>
    <mergeCell ref="U93:U95"/>
    <mergeCell ref="V93:V95"/>
    <mergeCell ref="S76:S77"/>
    <mergeCell ref="T76:T77"/>
    <mergeCell ref="U84:U86"/>
    <mergeCell ref="V84:V86"/>
    <mergeCell ref="V78:V80"/>
    <mergeCell ref="R81:R83"/>
    <mergeCell ref="S81:S83"/>
    <mergeCell ref="V81:V83"/>
    <mergeCell ref="J56:J58"/>
    <mergeCell ref="K56:K58"/>
    <mergeCell ref="I59:I61"/>
    <mergeCell ref="J59:J61"/>
    <mergeCell ref="I62:I64"/>
    <mergeCell ref="J62:J64"/>
    <mergeCell ref="K62:K64"/>
    <mergeCell ref="I65:I67"/>
    <mergeCell ref="J65:J67"/>
    <mergeCell ref="K65:K67"/>
    <mergeCell ref="B71:U71"/>
    <mergeCell ref="B73:R73"/>
    <mergeCell ref="U76:U77"/>
    <mergeCell ref="V76:V77"/>
    <mergeCell ref="B81:E83"/>
    <mergeCell ref="U78:U80"/>
    <mergeCell ref="U81:U83"/>
    <mergeCell ref="M76:Q76"/>
    <mergeCell ref="R76:R77"/>
    <mergeCell ref="B75:R75"/>
    <mergeCell ref="B53:E61"/>
    <mergeCell ref="F53:G55"/>
    <mergeCell ref="H53:H55"/>
    <mergeCell ref="I53:I55"/>
    <mergeCell ref="J53:J55"/>
    <mergeCell ref="K53:K55"/>
    <mergeCell ref="F56:G58"/>
    <mergeCell ref="K59:K61"/>
    <mergeCell ref="F68:G70"/>
    <mergeCell ref="H68:H70"/>
    <mergeCell ref="I68:I70"/>
    <mergeCell ref="J68:J70"/>
    <mergeCell ref="K68:K70"/>
    <mergeCell ref="F59:G61"/>
    <mergeCell ref="H59:H61"/>
    <mergeCell ref="B62:E70"/>
    <mergeCell ref="F62:G64"/>
    <mergeCell ref="H62:H64"/>
    <mergeCell ref="F65:G67"/>
    <mergeCell ref="H65:H67"/>
    <mergeCell ref="H56:H58"/>
    <mergeCell ref="I56:I58"/>
    <mergeCell ref="B84:E86"/>
    <mergeCell ref="F84:I86"/>
    <mergeCell ref="J84:J86"/>
    <mergeCell ref="K84:K86"/>
    <mergeCell ref="R84:R86"/>
    <mergeCell ref="S84:S86"/>
    <mergeCell ref="B78:E80"/>
    <mergeCell ref="F78:I80"/>
    <mergeCell ref="J78:J80"/>
    <mergeCell ref="K78:K80"/>
    <mergeCell ref="F81:I83"/>
    <mergeCell ref="J81:J83"/>
    <mergeCell ref="K81:K83"/>
    <mergeCell ref="R78:R80"/>
    <mergeCell ref="S78:S80"/>
    <mergeCell ref="H90:H92"/>
    <mergeCell ref="I90:I92"/>
    <mergeCell ref="J90:J92"/>
    <mergeCell ref="K90:K92"/>
    <mergeCell ref="B87:E95"/>
    <mergeCell ref="F87:G89"/>
    <mergeCell ref="H87:H89"/>
    <mergeCell ref="I87:I89"/>
    <mergeCell ref="J87:J89"/>
    <mergeCell ref="K87:K89"/>
    <mergeCell ref="F90:G92"/>
    <mergeCell ref="K93:K95"/>
    <mergeCell ref="F93:G95"/>
    <mergeCell ref="H93:H95"/>
    <mergeCell ref="I93:I95"/>
    <mergeCell ref="J93:J95"/>
    <mergeCell ref="F102:G104"/>
    <mergeCell ref="H102:H104"/>
    <mergeCell ref="I102:I104"/>
    <mergeCell ref="J102:J104"/>
    <mergeCell ref="K102:K104"/>
    <mergeCell ref="B105:U105"/>
    <mergeCell ref="N110:O111"/>
    <mergeCell ref="D110:F111"/>
    <mergeCell ref="D112:F112"/>
    <mergeCell ref="I112:L112"/>
    <mergeCell ref="N112:O112"/>
    <mergeCell ref="B96:E104"/>
    <mergeCell ref="F96:G98"/>
    <mergeCell ref="H96:H98"/>
    <mergeCell ref="F99:G101"/>
    <mergeCell ref="H99:H101"/>
    <mergeCell ref="K99:K101"/>
    <mergeCell ref="I110:L111"/>
    <mergeCell ref="I96:I98"/>
    <mergeCell ref="J96:J98"/>
    <mergeCell ref="K96:K98"/>
    <mergeCell ref="I99:I101"/>
    <mergeCell ref="J99:J101"/>
    <mergeCell ref="J13:K13"/>
    <mergeCell ref="L13:L15"/>
    <mergeCell ref="J14:J15"/>
    <mergeCell ref="K14:K15"/>
    <mergeCell ref="M14:M15"/>
    <mergeCell ref="N14:N15"/>
    <mergeCell ref="O14:O15"/>
    <mergeCell ref="P14:P15"/>
    <mergeCell ref="B10:V10"/>
    <mergeCell ref="B12:R12"/>
    <mergeCell ref="S12:V12"/>
    <mergeCell ref="F13:G15"/>
    <mergeCell ref="H13:H15"/>
    <mergeCell ref="I13:I15"/>
    <mergeCell ref="B14:B15"/>
    <mergeCell ref="Q14:Q15"/>
    <mergeCell ref="S13:S15"/>
    <mergeCell ref="T13:T15"/>
    <mergeCell ref="F19:G21"/>
    <mergeCell ref="H19:H21"/>
    <mergeCell ref="I19:I21"/>
    <mergeCell ref="B13:E13"/>
    <mergeCell ref="C14:E14"/>
    <mergeCell ref="E16:E18"/>
    <mergeCell ref="F16:F18"/>
    <mergeCell ref="G16:G18"/>
    <mergeCell ref="H16:H18"/>
    <mergeCell ref="I16:I18"/>
    <mergeCell ref="E19:E27"/>
    <mergeCell ref="B16:B18"/>
    <mergeCell ref="B19:B27"/>
    <mergeCell ref="C19:C27"/>
    <mergeCell ref="D19:D27"/>
    <mergeCell ref="F22:G24"/>
    <mergeCell ref="R25:R27"/>
    <mergeCell ref="S25:S27"/>
    <mergeCell ref="U13:U15"/>
    <mergeCell ref="V13:V15"/>
    <mergeCell ref="U16:U18"/>
    <mergeCell ref="V16:V18"/>
    <mergeCell ref="U19:U21"/>
    <mergeCell ref="V19:V21"/>
    <mergeCell ref="V25:V27"/>
    <mergeCell ref="R22:R24"/>
    <mergeCell ref="S22:S24"/>
    <mergeCell ref="U22:U24"/>
    <mergeCell ref="V22:V24"/>
    <mergeCell ref="U25:U27"/>
    <mergeCell ref="S50:S52"/>
    <mergeCell ref="U50:U52"/>
    <mergeCell ref="V50:V52"/>
    <mergeCell ref="U53:U55"/>
    <mergeCell ref="V53:V55"/>
    <mergeCell ref="U56:U58"/>
    <mergeCell ref="V56:V58"/>
    <mergeCell ref="U59:U61"/>
    <mergeCell ref="V59:V61"/>
    <mergeCell ref="S44:S46"/>
    <mergeCell ref="U44:U46"/>
    <mergeCell ref="V44:V46"/>
    <mergeCell ref="U47:U49"/>
    <mergeCell ref="V47:V49"/>
    <mergeCell ref="R42:R43"/>
    <mergeCell ref="S42:S43"/>
    <mergeCell ref="T42:T43"/>
    <mergeCell ref="U42:U43"/>
    <mergeCell ref="V42:V43"/>
    <mergeCell ref="S47:S49"/>
    <mergeCell ref="B42:E43"/>
    <mergeCell ref="F42:G43"/>
    <mergeCell ref="H42:H43"/>
    <mergeCell ref="I42:I43"/>
    <mergeCell ref="J42:K42"/>
    <mergeCell ref="L42:L43"/>
    <mergeCell ref="M42:Q42"/>
    <mergeCell ref="O4:V4"/>
    <mergeCell ref="O5:V5"/>
    <mergeCell ref="O6:V6"/>
    <mergeCell ref="B7:E7"/>
    <mergeCell ref="F7:M7"/>
    <mergeCell ref="B8:E8"/>
    <mergeCell ref="F8:V8"/>
    <mergeCell ref="B9:V9"/>
    <mergeCell ref="M13:Q13"/>
    <mergeCell ref="R13:R16"/>
    <mergeCell ref="J19:J21"/>
    <mergeCell ref="K19:K21"/>
    <mergeCell ref="R19:R21"/>
    <mergeCell ref="S19:S21"/>
    <mergeCell ref="I22:I24"/>
    <mergeCell ref="J22:J24"/>
    <mergeCell ref="K22:K24"/>
    <mergeCell ref="B1:V1"/>
    <mergeCell ref="B2:V2"/>
    <mergeCell ref="B3:V3"/>
    <mergeCell ref="B4:E4"/>
    <mergeCell ref="F4:M4"/>
    <mergeCell ref="B5:E5"/>
    <mergeCell ref="F5:M5"/>
    <mergeCell ref="B6:E6"/>
    <mergeCell ref="F6:M6"/>
    <mergeCell ref="U28:U30"/>
    <mergeCell ref="U31:U33"/>
    <mergeCell ref="V28:V30"/>
    <mergeCell ref="V31:V33"/>
    <mergeCell ref="B37:Q37"/>
    <mergeCell ref="R37:U37"/>
    <mergeCell ref="B40:V40"/>
    <mergeCell ref="B41:R41"/>
    <mergeCell ref="S41:V41"/>
    <mergeCell ref="E28:E36"/>
    <mergeCell ref="B28:B36"/>
    <mergeCell ref="U34:U36"/>
    <mergeCell ref="V34:V36"/>
    <mergeCell ref="B44:E52"/>
    <mergeCell ref="F25:G27"/>
    <mergeCell ref="H25:H27"/>
    <mergeCell ref="I25:I27"/>
    <mergeCell ref="J25:J27"/>
    <mergeCell ref="K25:K27"/>
    <mergeCell ref="F28:G30"/>
    <mergeCell ref="H28:H30"/>
    <mergeCell ref="I28:I30"/>
    <mergeCell ref="J28:J30"/>
    <mergeCell ref="K28:K30"/>
    <mergeCell ref="F31:G33"/>
    <mergeCell ref="H31:H33"/>
    <mergeCell ref="I31:I33"/>
    <mergeCell ref="J31:J33"/>
    <mergeCell ref="K31:K33"/>
    <mergeCell ref="F34:G36"/>
    <mergeCell ref="H34:H36"/>
    <mergeCell ref="I34:I36"/>
    <mergeCell ref="J34:J36"/>
    <mergeCell ref="K34:K36"/>
    <mergeCell ref="H47:H49"/>
    <mergeCell ref="H50:H52"/>
    <mergeCell ref="I50:I52"/>
    <mergeCell ref="J50:J52"/>
    <mergeCell ref="K50:K52"/>
    <mergeCell ref="H22:H24"/>
    <mergeCell ref="H44:H46"/>
    <mergeCell ref="I44:I46"/>
    <mergeCell ref="J44:J46"/>
    <mergeCell ref="I47:I49"/>
    <mergeCell ref="J47:J49"/>
    <mergeCell ref="K47:K49"/>
  </mergeCells>
  <printOptions horizontalCentered="1"/>
  <pageMargins left="0" right="0" top="0.99803149599999996" bottom="0.49803149600000002" header="0" footer="0"/>
  <pageSetup paperSize="9" fitToHeight="0" orientation="landscape"/>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2EFD9"/>
    <pageSetUpPr fitToPage="1"/>
  </sheetPr>
  <dimension ref="A1:U1000"/>
  <sheetViews>
    <sheetView workbookViewId="0"/>
  </sheetViews>
  <sheetFormatPr defaultColWidth="14.42578125" defaultRowHeight="15" customHeight="1"/>
  <cols>
    <col min="1" max="1" width="1.42578125" customWidth="1"/>
    <col min="2" max="2" width="22.42578125" customWidth="1"/>
    <col min="3" max="3" width="47.28515625" customWidth="1"/>
    <col min="4" max="4" width="29.28515625" customWidth="1"/>
    <col min="5" max="5" width="14.140625" customWidth="1"/>
    <col min="6" max="6" width="30.85546875" customWidth="1"/>
    <col min="7" max="7" width="34" customWidth="1"/>
    <col min="8" max="8" width="55.42578125" customWidth="1"/>
    <col min="9" max="9" width="13.85546875" customWidth="1"/>
    <col min="10" max="10" width="21.42578125" customWidth="1"/>
    <col min="11" max="11" width="24.42578125" customWidth="1"/>
    <col min="12" max="12" width="19" customWidth="1"/>
    <col min="13" max="13" width="30.85546875" customWidth="1"/>
    <col min="14" max="14" width="44.42578125" customWidth="1"/>
    <col min="15" max="20" width="9.140625" customWidth="1"/>
  </cols>
  <sheetData>
    <row r="1" spans="1:21" ht="0.75" customHeight="1">
      <c r="A1" s="633"/>
      <c r="B1" s="352"/>
      <c r="C1" s="353"/>
      <c r="D1" s="353"/>
      <c r="E1" s="353"/>
      <c r="F1" s="353"/>
      <c r="G1" s="353"/>
      <c r="H1" s="353"/>
      <c r="I1" s="353"/>
      <c r="J1" s="353"/>
      <c r="K1" s="632"/>
      <c r="L1" s="633"/>
      <c r="M1" s="633"/>
      <c r="N1" s="633"/>
      <c r="O1" s="633"/>
      <c r="P1" s="633"/>
      <c r="Q1" s="633"/>
      <c r="R1" s="633"/>
      <c r="S1" s="633"/>
      <c r="T1" s="633"/>
    </row>
    <row r="2" spans="1:21" ht="20.25" customHeight="1">
      <c r="A2" s="633"/>
      <c r="B2" s="154" t="s">
        <v>658</v>
      </c>
      <c r="C2" s="77"/>
      <c r="D2" s="77"/>
      <c r="E2" s="77"/>
      <c r="F2" s="77"/>
      <c r="G2" s="77"/>
      <c r="H2" s="441"/>
      <c r="I2" s="77"/>
      <c r="J2" s="77"/>
      <c r="K2" s="632"/>
      <c r="L2" s="633"/>
      <c r="M2" s="633"/>
      <c r="N2" s="633"/>
      <c r="O2" s="633"/>
      <c r="P2" s="633"/>
      <c r="Q2" s="633"/>
      <c r="R2" s="633"/>
      <c r="S2" s="633"/>
      <c r="T2" s="633"/>
      <c r="U2" s="105"/>
    </row>
    <row r="3" spans="1:21" ht="54" customHeight="1">
      <c r="A3" s="633"/>
      <c r="B3" s="710" t="s">
        <v>880</v>
      </c>
      <c r="C3" s="374"/>
      <c r="D3" s="374"/>
      <c r="E3" s="374"/>
      <c r="F3" s="374"/>
      <c r="G3" s="374"/>
      <c r="H3" s="374"/>
      <c r="I3" s="374"/>
      <c r="J3" s="386"/>
      <c r="K3" s="632"/>
      <c r="L3" s="633"/>
      <c r="M3" s="633"/>
      <c r="N3" s="633"/>
      <c r="O3" s="633"/>
      <c r="P3" s="633"/>
      <c r="Q3" s="633"/>
      <c r="R3" s="633"/>
      <c r="S3" s="633"/>
      <c r="T3" s="633"/>
      <c r="U3" s="105"/>
    </row>
    <row r="4" spans="1:21" ht="23.25" customHeight="1">
      <c r="A4" s="633"/>
      <c r="B4" s="347" t="s">
        <v>660</v>
      </c>
      <c r="C4" s="345" t="s">
        <v>661</v>
      </c>
      <c r="D4" s="374"/>
      <c r="E4" s="374"/>
      <c r="F4" s="417"/>
      <c r="G4" s="345" t="s">
        <v>662</v>
      </c>
      <c r="H4" s="417"/>
      <c r="I4" s="350" t="s">
        <v>663</v>
      </c>
      <c r="J4" s="344" t="s">
        <v>664</v>
      </c>
      <c r="K4" s="636"/>
      <c r="L4" s="637" t="s">
        <v>665</v>
      </c>
      <c r="M4" s="357"/>
      <c r="N4" s="357"/>
      <c r="O4" s="633"/>
      <c r="P4" s="633"/>
      <c r="Q4" s="633"/>
      <c r="R4" s="633"/>
      <c r="S4" s="633"/>
      <c r="T4" s="633"/>
      <c r="U4" s="105"/>
    </row>
    <row r="5" spans="1:21" ht="39" customHeight="1">
      <c r="A5" s="633"/>
      <c r="B5" s="424"/>
      <c r="C5" s="420"/>
      <c r="D5" s="494"/>
      <c r="E5" s="494"/>
      <c r="F5" s="421"/>
      <c r="G5" s="420"/>
      <c r="H5" s="421"/>
      <c r="I5" s="414"/>
      <c r="J5" s="423"/>
      <c r="K5" s="632"/>
      <c r="L5" s="11" t="s">
        <v>666</v>
      </c>
      <c r="M5" s="638" t="s">
        <v>667</v>
      </c>
      <c r="N5" s="638" t="s">
        <v>668</v>
      </c>
      <c r="O5" s="633"/>
      <c r="P5" s="633"/>
      <c r="Q5" s="633"/>
      <c r="R5" s="633"/>
      <c r="S5" s="633"/>
      <c r="T5" s="633"/>
      <c r="U5" s="105"/>
    </row>
    <row r="6" spans="1:21" ht="27" customHeight="1">
      <c r="A6" s="633"/>
      <c r="B6" s="348" t="s">
        <v>669</v>
      </c>
      <c r="C6" s="711" t="s">
        <v>881</v>
      </c>
      <c r="D6" s="361"/>
      <c r="E6" s="361"/>
      <c r="F6" s="362"/>
      <c r="G6" s="712"/>
      <c r="H6" s="361"/>
      <c r="I6" s="162">
        <v>5</v>
      </c>
      <c r="J6" s="346">
        <f>AVERAGE(I6:I10)</f>
        <v>5</v>
      </c>
      <c r="K6" s="632"/>
      <c r="L6" s="15">
        <v>5</v>
      </c>
      <c r="M6" s="643" t="s">
        <v>671</v>
      </c>
      <c r="N6" s="643" t="s">
        <v>672</v>
      </c>
      <c r="O6" s="633"/>
      <c r="P6" s="633"/>
      <c r="Q6" s="633"/>
      <c r="R6" s="633"/>
      <c r="S6" s="633"/>
      <c r="T6" s="633"/>
      <c r="U6" s="105"/>
    </row>
    <row r="7" spans="1:21" ht="27.75" customHeight="1">
      <c r="A7" s="633"/>
      <c r="B7" s="412"/>
      <c r="C7" s="711" t="s">
        <v>673</v>
      </c>
      <c r="D7" s="361"/>
      <c r="E7" s="361"/>
      <c r="F7" s="362"/>
      <c r="G7" s="712"/>
      <c r="H7" s="361"/>
      <c r="I7" s="162">
        <v>5</v>
      </c>
      <c r="J7" s="382"/>
      <c r="K7" s="632"/>
      <c r="L7" s="15">
        <v>4</v>
      </c>
      <c r="M7" s="643" t="s">
        <v>674</v>
      </c>
      <c r="N7" s="643" t="s">
        <v>675</v>
      </c>
      <c r="O7" s="633"/>
      <c r="P7" s="633"/>
      <c r="Q7" s="633"/>
      <c r="R7" s="633"/>
      <c r="S7" s="633"/>
      <c r="T7" s="633"/>
      <c r="U7" s="105"/>
    </row>
    <row r="8" spans="1:21" ht="30" customHeight="1">
      <c r="A8" s="633"/>
      <c r="B8" s="412"/>
      <c r="C8" s="711" t="s">
        <v>676</v>
      </c>
      <c r="D8" s="361"/>
      <c r="E8" s="361"/>
      <c r="F8" s="362"/>
      <c r="G8" s="712"/>
      <c r="H8" s="361"/>
      <c r="I8" s="162">
        <v>5</v>
      </c>
      <c r="J8" s="382"/>
      <c r="K8" s="632"/>
      <c r="L8" s="15">
        <v>3</v>
      </c>
      <c r="M8" s="643" t="s">
        <v>677</v>
      </c>
      <c r="N8" s="643" t="s">
        <v>678</v>
      </c>
      <c r="O8" s="633"/>
      <c r="P8" s="633"/>
      <c r="Q8" s="633"/>
      <c r="R8" s="633"/>
      <c r="S8" s="633"/>
      <c r="T8" s="633"/>
      <c r="U8" s="105"/>
    </row>
    <row r="9" spans="1:21" ht="24.75" customHeight="1">
      <c r="A9" s="633"/>
      <c r="B9" s="412"/>
      <c r="C9" s="711" t="s">
        <v>679</v>
      </c>
      <c r="D9" s="361"/>
      <c r="E9" s="361"/>
      <c r="F9" s="362"/>
      <c r="G9" s="712"/>
      <c r="H9" s="361"/>
      <c r="I9" s="162">
        <v>5</v>
      </c>
      <c r="J9" s="382"/>
      <c r="K9" s="632"/>
      <c r="L9" s="15">
        <v>2</v>
      </c>
      <c r="M9" s="643" t="s">
        <v>680</v>
      </c>
      <c r="N9" s="643" t="s">
        <v>681</v>
      </c>
      <c r="O9" s="633"/>
      <c r="P9" s="633"/>
      <c r="Q9" s="633"/>
      <c r="R9" s="633"/>
      <c r="S9" s="633"/>
      <c r="T9" s="633"/>
      <c r="U9" s="105"/>
    </row>
    <row r="10" spans="1:21" ht="31.5" customHeight="1">
      <c r="A10" s="633"/>
      <c r="B10" s="424"/>
      <c r="C10" s="713" t="s">
        <v>682</v>
      </c>
      <c r="D10" s="361"/>
      <c r="E10" s="361"/>
      <c r="F10" s="362"/>
      <c r="G10" s="712"/>
      <c r="H10" s="361"/>
      <c r="I10" s="162">
        <v>5</v>
      </c>
      <c r="J10" s="645"/>
      <c r="K10" s="632"/>
      <c r="L10" s="15">
        <v>1</v>
      </c>
      <c r="M10" s="643" t="s">
        <v>683</v>
      </c>
      <c r="N10" s="643" t="s">
        <v>684</v>
      </c>
      <c r="O10" s="633"/>
      <c r="P10" s="633"/>
      <c r="Q10" s="633"/>
      <c r="R10" s="633"/>
      <c r="S10" s="633"/>
      <c r="T10" s="633"/>
      <c r="U10" s="105"/>
    </row>
    <row r="11" spans="1:21" ht="45" customHeight="1">
      <c r="A11" s="633"/>
      <c r="B11" s="349" t="s">
        <v>685</v>
      </c>
      <c r="C11" s="714" t="s">
        <v>686</v>
      </c>
      <c r="D11" s="361"/>
      <c r="E11" s="361"/>
      <c r="F11" s="362"/>
      <c r="G11" s="712"/>
      <c r="H11" s="361"/>
      <c r="I11" s="162">
        <v>5</v>
      </c>
      <c r="J11" s="346">
        <f>AVERAGE(I11:I15)</f>
        <v>5</v>
      </c>
      <c r="K11" s="632"/>
      <c r="L11" s="650"/>
      <c r="M11" s="650"/>
      <c r="N11" s="650"/>
      <c r="O11" s="633"/>
      <c r="P11" s="633"/>
      <c r="Q11" s="633"/>
      <c r="R11" s="633"/>
      <c r="S11" s="633"/>
      <c r="T11" s="633"/>
      <c r="U11" s="105"/>
    </row>
    <row r="12" spans="1:21" ht="30" customHeight="1">
      <c r="A12" s="633"/>
      <c r="B12" s="412"/>
      <c r="C12" s="714" t="s">
        <v>687</v>
      </c>
      <c r="D12" s="361"/>
      <c r="E12" s="361"/>
      <c r="F12" s="362"/>
      <c r="G12" s="712"/>
      <c r="H12" s="361"/>
      <c r="I12" s="162">
        <v>5</v>
      </c>
      <c r="J12" s="382"/>
      <c r="K12" s="632"/>
      <c r="L12" s="650"/>
      <c r="M12" s="650"/>
      <c r="N12" s="650"/>
      <c r="O12" s="633"/>
      <c r="P12" s="633"/>
      <c r="Q12" s="633"/>
      <c r="R12" s="633"/>
      <c r="S12" s="633"/>
      <c r="T12" s="633"/>
      <c r="U12" s="105"/>
    </row>
    <row r="13" spans="1:21" ht="30" customHeight="1">
      <c r="A13" s="633"/>
      <c r="B13" s="412"/>
      <c r="C13" s="714" t="s">
        <v>688</v>
      </c>
      <c r="D13" s="361"/>
      <c r="E13" s="361"/>
      <c r="F13" s="362"/>
      <c r="G13" s="712"/>
      <c r="H13" s="361"/>
      <c r="I13" s="162">
        <v>5</v>
      </c>
      <c r="J13" s="382"/>
      <c r="K13" s="632"/>
      <c r="L13" s="650"/>
      <c r="M13" s="650"/>
      <c r="N13" s="650"/>
      <c r="O13" s="633"/>
      <c r="P13" s="633"/>
      <c r="Q13" s="633"/>
      <c r="R13" s="633"/>
      <c r="S13" s="633"/>
      <c r="T13" s="633"/>
      <c r="U13" s="105"/>
    </row>
    <row r="14" spans="1:21" ht="30" customHeight="1">
      <c r="A14" s="633"/>
      <c r="B14" s="412"/>
      <c r="C14" s="714" t="s">
        <v>689</v>
      </c>
      <c r="D14" s="361"/>
      <c r="E14" s="361"/>
      <c r="F14" s="362"/>
      <c r="G14" s="712"/>
      <c r="H14" s="361"/>
      <c r="I14" s="162">
        <v>5</v>
      </c>
      <c r="J14" s="382"/>
      <c r="K14" s="632"/>
      <c r="L14" s="650"/>
      <c r="M14" s="650"/>
      <c r="N14" s="650"/>
      <c r="O14" s="633"/>
      <c r="P14" s="633"/>
      <c r="Q14" s="633"/>
      <c r="R14" s="633"/>
      <c r="S14" s="633"/>
      <c r="T14" s="633"/>
      <c r="U14" s="105"/>
    </row>
    <row r="15" spans="1:21" ht="33.75" customHeight="1">
      <c r="A15" s="633"/>
      <c r="B15" s="424"/>
      <c r="C15" s="715" t="s">
        <v>690</v>
      </c>
      <c r="D15" s="361"/>
      <c r="E15" s="361"/>
      <c r="F15" s="362"/>
      <c r="G15" s="712"/>
      <c r="H15" s="361"/>
      <c r="I15" s="162">
        <v>5</v>
      </c>
      <c r="J15" s="645"/>
      <c r="K15" s="632"/>
      <c r="L15" s="650"/>
      <c r="M15" s="650"/>
      <c r="N15" s="650"/>
      <c r="O15" s="633"/>
      <c r="P15" s="633"/>
      <c r="Q15" s="633"/>
      <c r="R15" s="633"/>
      <c r="S15" s="633"/>
      <c r="T15" s="633"/>
      <c r="U15" s="105"/>
    </row>
    <row r="16" spans="1:21" ht="28.5" customHeight="1">
      <c r="A16" s="633"/>
      <c r="B16" s="348" t="s">
        <v>691</v>
      </c>
      <c r="C16" s="715" t="s">
        <v>692</v>
      </c>
      <c r="D16" s="361"/>
      <c r="E16" s="361"/>
      <c r="F16" s="362"/>
      <c r="G16" s="712"/>
      <c r="H16" s="361"/>
      <c r="I16" s="162">
        <v>5</v>
      </c>
      <c r="J16" s="346">
        <f>AVERAGE(I16:I20)</f>
        <v>5</v>
      </c>
      <c r="K16" s="632"/>
      <c r="L16" s="650"/>
      <c r="M16" s="650"/>
      <c r="N16" s="650"/>
      <c r="O16" s="633"/>
      <c r="P16" s="633"/>
      <c r="Q16" s="633"/>
      <c r="R16" s="633"/>
      <c r="S16" s="633"/>
      <c r="T16" s="633"/>
      <c r="U16" s="105"/>
    </row>
    <row r="17" spans="1:21" ht="37.5" customHeight="1">
      <c r="A17" s="633"/>
      <c r="B17" s="412"/>
      <c r="C17" s="715" t="s">
        <v>693</v>
      </c>
      <c r="D17" s="361"/>
      <c r="E17" s="361"/>
      <c r="F17" s="362"/>
      <c r="G17" s="712"/>
      <c r="H17" s="361"/>
      <c r="I17" s="162">
        <v>5</v>
      </c>
      <c r="J17" s="382"/>
      <c r="K17" s="632"/>
      <c r="L17" s="650"/>
      <c r="M17" s="650"/>
      <c r="N17" s="650"/>
      <c r="O17" s="633"/>
      <c r="P17" s="633"/>
      <c r="Q17" s="633"/>
      <c r="R17" s="633"/>
      <c r="S17" s="633"/>
      <c r="T17" s="633"/>
      <c r="U17" s="105"/>
    </row>
    <row r="18" spans="1:21" ht="26.25" customHeight="1">
      <c r="A18" s="633"/>
      <c r="B18" s="412"/>
      <c r="C18" s="715" t="s">
        <v>694</v>
      </c>
      <c r="D18" s="361"/>
      <c r="E18" s="361"/>
      <c r="F18" s="362"/>
      <c r="G18" s="712"/>
      <c r="H18" s="361"/>
      <c r="I18" s="162">
        <v>5</v>
      </c>
      <c r="J18" s="382"/>
      <c r="K18" s="632"/>
      <c r="L18" s="650"/>
      <c r="M18" s="650"/>
      <c r="N18" s="650"/>
      <c r="O18" s="633"/>
      <c r="P18" s="633"/>
      <c r="Q18" s="633"/>
      <c r="R18" s="633"/>
      <c r="S18" s="633"/>
      <c r="T18" s="633"/>
      <c r="U18" s="105"/>
    </row>
    <row r="19" spans="1:21" ht="33.75" customHeight="1">
      <c r="A19" s="633"/>
      <c r="B19" s="412"/>
      <c r="C19" s="715" t="s">
        <v>695</v>
      </c>
      <c r="D19" s="361"/>
      <c r="E19" s="361"/>
      <c r="F19" s="362"/>
      <c r="G19" s="712"/>
      <c r="H19" s="361"/>
      <c r="I19" s="162">
        <v>5</v>
      </c>
      <c r="J19" s="382"/>
      <c r="K19" s="632"/>
      <c r="L19" s="650"/>
      <c r="M19" s="650"/>
      <c r="N19" s="650"/>
      <c r="O19" s="633"/>
      <c r="P19" s="633"/>
      <c r="Q19" s="633"/>
      <c r="R19" s="633"/>
      <c r="S19" s="633"/>
      <c r="T19" s="633"/>
      <c r="U19" s="105"/>
    </row>
    <row r="20" spans="1:21" ht="28.5" customHeight="1">
      <c r="A20" s="633"/>
      <c r="B20" s="424"/>
      <c r="C20" s="715" t="s">
        <v>696</v>
      </c>
      <c r="D20" s="361"/>
      <c r="E20" s="361"/>
      <c r="F20" s="362"/>
      <c r="G20" s="712"/>
      <c r="H20" s="361"/>
      <c r="I20" s="162">
        <v>5</v>
      </c>
      <c r="J20" s="645"/>
      <c r="K20" s="632"/>
      <c r="L20" s="650"/>
      <c r="M20" s="650"/>
      <c r="N20" s="650"/>
      <c r="O20" s="633"/>
      <c r="P20" s="633"/>
      <c r="Q20" s="633"/>
      <c r="R20" s="633"/>
      <c r="S20" s="633"/>
      <c r="T20" s="633"/>
      <c r="U20" s="105"/>
    </row>
    <row r="21" spans="1:21" ht="25.5" customHeight="1">
      <c r="A21" s="633"/>
      <c r="B21" s="341" t="s">
        <v>882</v>
      </c>
      <c r="C21" s="370"/>
      <c r="D21" s="370"/>
      <c r="E21" s="370"/>
      <c r="F21" s="370"/>
      <c r="G21" s="370"/>
      <c r="H21" s="370"/>
      <c r="I21" s="371"/>
      <c r="J21" s="163">
        <f>AVERAGE(J6:J20)*0.025</f>
        <v>0.125</v>
      </c>
      <c r="K21" s="649"/>
      <c r="L21" s="650"/>
      <c r="M21" s="650"/>
      <c r="N21" s="650"/>
      <c r="O21" s="633"/>
      <c r="P21" s="633"/>
      <c r="Q21" s="633"/>
      <c r="R21" s="633"/>
      <c r="S21" s="633"/>
      <c r="T21" s="633"/>
      <c r="U21" s="105"/>
    </row>
    <row r="22" spans="1:21" ht="49.5" customHeight="1">
      <c r="A22" s="633"/>
      <c r="B22" s="716" t="s">
        <v>883</v>
      </c>
      <c r="C22" s="375"/>
      <c r="D22" s="375"/>
      <c r="E22" s="375"/>
      <c r="F22" s="375"/>
      <c r="G22" s="375"/>
      <c r="H22" s="375"/>
      <c r="I22" s="375"/>
      <c r="J22" s="375"/>
      <c r="K22" s="632"/>
      <c r="L22" s="650"/>
      <c r="M22" s="650"/>
      <c r="N22" s="650"/>
      <c r="O22" s="633"/>
      <c r="P22" s="633"/>
      <c r="Q22" s="633"/>
      <c r="R22" s="633"/>
      <c r="S22" s="633"/>
      <c r="T22" s="633"/>
      <c r="U22" s="105"/>
    </row>
    <row r="23" spans="1:21" ht="25.5" customHeight="1">
      <c r="A23" s="633"/>
      <c r="B23" s="347" t="s">
        <v>660</v>
      </c>
      <c r="C23" s="345" t="s">
        <v>661</v>
      </c>
      <c r="D23" s="374"/>
      <c r="E23" s="374"/>
      <c r="F23" s="417"/>
      <c r="G23" s="345" t="s">
        <v>662</v>
      </c>
      <c r="H23" s="417"/>
      <c r="I23" s="350" t="s">
        <v>699</v>
      </c>
      <c r="J23" s="344" t="s">
        <v>664</v>
      </c>
      <c r="K23" s="632"/>
      <c r="L23" s="633"/>
      <c r="M23" s="633"/>
      <c r="N23" s="633"/>
      <c r="O23" s="633"/>
      <c r="P23" s="633"/>
      <c r="Q23" s="633"/>
      <c r="R23" s="633"/>
      <c r="S23" s="633"/>
      <c r="T23" s="633"/>
      <c r="U23" s="105"/>
    </row>
    <row r="24" spans="1:21" ht="39.75" customHeight="1">
      <c r="A24" s="633"/>
      <c r="B24" s="424"/>
      <c r="C24" s="420"/>
      <c r="D24" s="494"/>
      <c r="E24" s="494"/>
      <c r="F24" s="421"/>
      <c r="G24" s="420"/>
      <c r="H24" s="421"/>
      <c r="I24" s="422"/>
      <c r="J24" s="423"/>
      <c r="K24" s="632"/>
      <c r="L24" s="633"/>
      <c r="M24" s="633"/>
      <c r="N24" s="633"/>
      <c r="O24" s="633"/>
      <c r="P24" s="633"/>
      <c r="Q24" s="633"/>
      <c r="R24" s="633"/>
      <c r="S24" s="633"/>
      <c r="T24" s="633"/>
      <c r="U24" s="105"/>
    </row>
    <row r="25" spans="1:21" ht="25.5" customHeight="1">
      <c r="A25" s="633"/>
      <c r="B25" s="342" t="s">
        <v>700</v>
      </c>
      <c r="C25" s="717" t="s">
        <v>701</v>
      </c>
      <c r="D25" s="361"/>
      <c r="E25" s="361"/>
      <c r="F25" s="362"/>
      <c r="G25" s="718"/>
      <c r="H25" s="362"/>
      <c r="I25" s="162">
        <v>5</v>
      </c>
      <c r="J25" s="719">
        <f>AVERAGE(I25:I29)</f>
        <v>5</v>
      </c>
      <c r="K25" s="632"/>
      <c r="L25" s="633"/>
      <c r="M25" s="633"/>
      <c r="N25" s="633"/>
      <c r="O25" s="633"/>
      <c r="P25" s="633"/>
      <c r="Q25" s="633"/>
      <c r="R25" s="633"/>
      <c r="S25" s="633"/>
      <c r="T25" s="633"/>
      <c r="U25" s="105"/>
    </row>
    <row r="26" spans="1:21" ht="25.5" customHeight="1">
      <c r="A26" s="633"/>
      <c r="B26" s="412"/>
      <c r="C26" s="717" t="s">
        <v>702</v>
      </c>
      <c r="D26" s="361"/>
      <c r="E26" s="361"/>
      <c r="F26" s="362"/>
      <c r="G26" s="718"/>
      <c r="H26" s="362"/>
      <c r="I26" s="162">
        <v>5</v>
      </c>
      <c r="J26" s="415"/>
      <c r="K26" s="632"/>
      <c r="L26" s="633"/>
      <c r="M26" s="633"/>
      <c r="N26" s="633"/>
      <c r="O26" s="633"/>
      <c r="P26" s="633"/>
      <c r="Q26" s="633"/>
      <c r="R26" s="633"/>
      <c r="S26" s="633"/>
      <c r="T26" s="633"/>
      <c r="U26" s="105"/>
    </row>
    <row r="27" spans="1:21" ht="25.5" customHeight="1">
      <c r="A27" s="633"/>
      <c r="B27" s="412"/>
      <c r="C27" s="717" t="s">
        <v>703</v>
      </c>
      <c r="D27" s="361"/>
      <c r="E27" s="361"/>
      <c r="F27" s="362"/>
      <c r="G27" s="718"/>
      <c r="H27" s="362"/>
      <c r="I27" s="162">
        <v>5</v>
      </c>
      <c r="J27" s="415"/>
      <c r="K27" s="632"/>
      <c r="L27" s="633"/>
      <c r="M27" s="633"/>
      <c r="N27" s="633"/>
      <c r="O27" s="633"/>
      <c r="P27" s="633"/>
      <c r="Q27" s="633"/>
      <c r="R27" s="633"/>
      <c r="S27" s="633"/>
      <c r="T27" s="633"/>
      <c r="U27" s="105"/>
    </row>
    <row r="28" spans="1:21" ht="25.5" customHeight="1">
      <c r="A28" s="633"/>
      <c r="B28" s="412"/>
      <c r="C28" s="717" t="s">
        <v>704</v>
      </c>
      <c r="D28" s="361"/>
      <c r="E28" s="361"/>
      <c r="F28" s="362"/>
      <c r="G28" s="718"/>
      <c r="H28" s="362"/>
      <c r="I28" s="162">
        <v>5</v>
      </c>
      <c r="J28" s="415"/>
      <c r="K28" s="632"/>
      <c r="L28" s="633"/>
      <c r="M28" s="633"/>
      <c r="N28" s="633"/>
      <c r="O28" s="633"/>
      <c r="P28" s="633"/>
      <c r="Q28" s="633"/>
      <c r="R28" s="633"/>
      <c r="S28" s="633"/>
      <c r="T28" s="633"/>
      <c r="U28" s="105"/>
    </row>
    <row r="29" spans="1:21" ht="25.5" customHeight="1">
      <c r="A29" s="633"/>
      <c r="B29" s="424"/>
      <c r="C29" s="717" t="s">
        <v>705</v>
      </c>
      <c r="D29" s="361"/>
      <c r="E29" s="361"/>
      <c r="F29" s="362"/>
      <c r="G29" s="718"/>
      <c r="H29" s="362"/>
      <c r="I29" s="162">
        <v>5</v>
      </c>
      <c r="J29" s="423"/>
      <c r="K29" s="632"/>
      <c r="L29" s="633"/>
      <c r="M29" s="633"/>
      <c r="N29" s="633"/>
      <c r="O29" s="633"/>
      <c r="P29" s="633"/>
      <c r="Q29" s="633"/>
      <c r="R29" s="633"/>
      <c r="S29" s="633"/>
      <c r="T29" s="633"/>
      <c r="U29" s="105"/>
    </row>
    <row r="30" spans="1:21" ht="25.5" customHeight="1">
      <c r="A30" s="633"/>
      <c r="B30" s="343" t="s">
        <v>706</v>
      </c>
      <c r="C30" s="717" t="s">
        <v>707</v>
      </c>
      <c r="D30" s="361"/>
      <c r="E30" s="361"/>
      <c r="F30" s="362"/>
      <c r="G30" s="718"/>
      <c r="H30" s="362"/>
      <c r="I30" s="162">
        <v>5</v>
      </c>
      <c r="J30" s="719">
        <f>AVERAGE(I30:I34)</f>
        <v>5</v>
      </c>
      <c r="K30" s="632"/>
      <c r="L30" s="633"/>
      <c r="M30" s="633"/>
      <c r="N30" s="633"/>
      <c r="O30" s="633"/>
      <c r="P30" s="633"/>
      <c r="Q30" s="633"/>
      <c r="R30" s="633"/>
      <c r="S30" s="633"/>
      <c r="T30" s="633"/>
      <c r="U30" s="105"/>
    </row>
    <row r="31" spans="1:21" ht="25.5" customHeight="1">
      <c r="A31" s="633"/>
      <c r="B31" s="412"/>
      <c r="C31" s="717" t="s">
        <v>708</v>
      </c>
      <c r="D31" s="361"/>
      <c r="E31" s="361"/>
      <c r="F31" s="362"/>
      <c r="G31" s="718"/>
      <c r="H31" s="362"/>
      <c r="I31" s="162">
        <v>5</v>
      </c>
      <c r="J31" s="415"/>
      <c r="K31" s="632"/>
      <c r="L31" s="633"/>
      <c r="M31" s="633"/>
      <c r="N31" s="633"/>
      <c r="O31" s="633"/>
      <c r="P31" s="633"/>
      <c r="Q31" s="633"/>
      <c r="R31" s="633"/>
      <c r="S31" s="633"/>
      <c r="T31" s="633"/>
      <c r="U31" s="105"/>
    </row>
    <row r="32" spans="1:21" ht="25.5" customHeight="1">
      <c r="A32" s="633"/>
      <c r="B32" s="412"/>
      <c r="C32" s="717" t="s">
        <v>709</v>
      </c>
      <c r="D32" s="361"/>
      <c r="E32" s="361"/>
      <c r="F32" s="362"/>
      <c r="G32" s="718"/>
      <c r="H32" s="362"/>
      <c r="I32" s="162">
        <v>5</v>
      </c>
      <c r="J32" s="415"/>
      <c r="K32" s="632"/>
      <c r="L32" s="633"/>
      <c r="M32" s="633"/>
      <c r="N32" s="633"/>
      <c r="O32" s="633"/>
      <c r="P32" s="633"/>
      <c r="Q32" s="633"/>
      <c r="R32" s="633"/>
      <c r="S32" s="633"/>
      <c r="T32" s="633"/>
      <c r="U32" s="105"/>
    </row>
    <row r="33" spans="1:21" ht="25.5" customHeight="1">
      <c r="A33" s="633"/>
      <c r="B33" s="412"/>
      <c r="C33" s="717" t="s">
        <v>710</v>
      </c>
      <c r="D33" s="361"/>
      <c r="E33" s="361"/>
      <c r="F33" s="362"/>
      <c r="G33" s="718"/>
      <c r="H33" s="362"/>
      <c r="I33" s="162">
        <v>5</v>
      </c>
      <c r="J33" s="415"/>
      <c r="K33" s="632"/>
      <c r="L33" s="633"/>
      <c r="M33" s="633"/>
      <c r="N33" s="633"/>
      <c r="O33" s="633"/>
      <c r="P33" s="633"/>
      <c r="Q33" s="633"/>
      <c r="R33" s="633"/>
      <c r="S33" s="633"/>
      <c r="T33" s="633"/>
      <c r="U33" s="105"/>
    </row>
    <row r="34" spans="1:21" ht="25.5" customHeight="1">
      <c r="A34" s="633"/>
      <c r="B34" s="424"/>
      <c r="C34" s="717" t="s">
        <v>711</v>
      </c>
      <c r="D34" s="361"/>
      <c r="E34" s="361"/>
      <c r="F34" s="362"/>
      <c r="G34" s="718"/>
      <c r="H34" s="362"/>
      <c r="I34" s="162">
        <v>5</v>
      </c>
      <c r="J34" s="423"/>
      <c r="K34" s="632"/>
      <c r="L34" s="633"/>
      <c r="M34" s="633"/>
      <c r="N34" s="633"/>
      <c r="O34" s="633"/>
      <c r="P34" s="633"/>
      <c r="Q34" s="633"/>
      <c r="R34" s="633"/>
      <c r="S34" s="633"/>
      <c r="T34" s="633"/>
      <c r="U34" s="105"/>
    </row>
    <row r="35" spans="1:21" ht="25.5" customHeight="1">
      <c r="A35" s="633"/>
      <c r="B35" s="342" t="s">
        <v>712</v>
      </c>
      <c r="C35" s="717" t="s">
        <v>713</v>
      </c>
      <c r="D35" s="361"/>
      <c r="E35" s="361"/>
      <c r="F35" s="362"/>
      <c r="G35" s="718"/>
      <c r="H35" s="362"/>
      <c r="I35" s="162">
        <v>5</v>
      </c>
      <c r="J35" s="719">
        <f>AVERAGE(I35:I39)</f>
        <v>5</v>
      </c>
      <c r="K35" s="632"/>
      <c r="L35" s="633"/>
      <c r="M35" s="633"/>
      <c r="N35" s="633"/>
      <c r="O35" s="633"/>
      <c r="P35" s="633"/>
      <c r="Q35" s="633"/>
      <c r="R35" s="633"/>
      <c r="S35" s="633"/>
      <c r="T35" s="633"/>
      <c r="U35" s="105"/>
    </row>
    <row r="36" spans="1:21" ht="25.5" customHeight="1">
      <c r="A36" s="633"/>
      <c r="B36" s="412"/>
      <c r="C36" s="717" t="s">
        <v>714</v>
      </c>
      <c r="D36" s="361"/>
      <c r="E36" s="361"/>
      <c r="F36" s="362"/>
      <c r="G36" s="718"/>
      <c r="H36" s="362"/>
      <c r="I36" s="162">
        <v>5</v>
      </c>
      <c r="J36" s="415"/>
      <c r="K36" s="632"/>
      <c r="L36" s="633"/>
      <c r="M36" s="633"/>
      <c r="N36" s="633"/>
      <c r="O36" s="633"/>
      <c r="P36" s="633"/>
      <c r="Q36" s="633"/>
      <c r="R36" s="633"/>
      <c r="S36" s="633"/>
      <c r="T36" s="633"/>
      <c r="U36" s="105"/>
    </row>
    <row r="37" spans="1:21" ht="34.5" customHeight="1">
      <c r="A37" s="633"/>
      <c r="B37" s="412"/>
      <c r="C37" s="714" t="s">
        <v>715</v>
      </c>
      <c r="D37" s="361"/>
      <c r="E37" s="361"/>
      <c r="F37" s="362"/>
      <c r="G37" s="718"/>
      <c r="H37" s="362"/>
      <c r="I37" s="162">
        <v>5</v>
      </c>
      <c r="J37" s="415"/>
      <c r="K37" s="632"/>
      <c r="L37" s="633"/>
      <c r="M37" s="633"/>
      <c r="N37" s="633"/>
      <c r="O37" s="633"/>
      <c r="P37" s="633"/>
      <c r="Q37" s="633"/>
      <c r="R37" s="633"/>
      <c r="S37" s="633"/>
      <c r="T37" s="633"/>
      <c r="U37" s="105"/>
    </row>
    <row r="38" spans="1:21" ht="25.5" customHeight="1">
      <c r="A38" s="633"/>
      <c r="B38" s="412"/>
      <c r="C38" s="717" t="s">
        <v>716</v>
      </c>
      <c r="D38" s="361"/>
      <c r="E38" s="361"/>
      <c r="F38" s="362"/>
      <c r="G38" s="718"/>
      <c r="H38" s="362"/>
      <c r="I38" s="162">
        <v>5</v>
      </c>
      <c r="J38" s="415"/>
      <c r="K38" s="632"/>
      <c r="L38" s="633"/>
      <c r="M38" s="633"/>
      <c r="N38" s="633"/>
      <c r="O38" s="633"/>
      <c r="P38" s="633"/>
      <c r="Q38" s="633"/>
      <c r="R38" s="633"/>
      <c r="S38" s="633"/>
      <c r="T38" s="633"/>
      <c r="U38" s="105"/>
    </row>
    <row r="39" spans="1:21" ht="42.75" customHeight="1">
      <c r="A39" s="633"/>
      <c r="B39" s="424"/>
      <c r="C39" s="715" t="s">
        <v>717</v>
      </c>
      <c r="D39" s="361"/>
      <c r="E39" s="361"/>
      <c r="F39" s="362"/>
      <c r="G39" s="718"/>
      <c r="H39" s="362"/>
      <c r="I39" s="162">
        <v>5</v>
      </c>
      <c r="J39" s="423"/>
      <c r="K39" s="632"/>
      <c r="L39" s="633"/>
      <c r="M39" s="633"/>
      <c r="N39" s="633"/>
      <c r="O39" s="633"/>
      <c r="P39" s="633"/>
      <c r="Q39" s="633"/>
      <c r="R39" s="633"/>
      <c r="S39" s="633"/>
      <c r="T39" s="633"/>
      <c r="U39" s="105"/>
    </row>
    <row r="40" spans="1:21" ht="25.5" customHeight="1">
      <c r="A40" s="633"/>
      <c r="B40" s="342" t="s">
        <v>718</v>
      </c>
      <c r="C40" s="717" t="s">
        <v>719</v>
      </c>
      <c r="D40" s="361"/>
      <c r="E40" s="361"/>
      <c r="F40" s="362"/>
      <c r="G40" s="718"/>
      <c r="H40" s="362"/>
      <c r="I40" s="162">
        <v>5</v>
      </c>
      <c r="J40" s="719">
        <f>AVERAGE(I40:I44)</f>
        <v>5</v>
      </c>
      <c r="K40" s="632"/>
      <c r="L40" s="633"/>
      <c r="M40" s="633"/>
      <c r="N40" s="633"/>
      <c r="O40" s="633"/>
      <c r="P40" s="633"/>
      <c r="Q40" s="633"/>
      <c r="R40" s="633"/>
      <c r="S40" s="633"/>
      <c r="T40" s="633"/>
      <c r="U40" s="105"/>
    </row>
    <row r="41" spans="1:21" ht="25.5" customHeight="1">
      <c r="A41" s="633"/>
      <c r="B41" s="412"/>
      <c r="C41" s="717" t="s">
        <v>720</v>
      </c>
      <c r="D41" s="361"/>
      <c r="E41" s="361"/>
      <c r="F41" s="362"/>
      <c r="G41" s="718"/>
      <c r="H41" s="362"/>
      <c r="I41" s="162">
        <v>5</v>
      </c>
      <c r="J41" s="415"/>
      <c r="K41" s="632"/>
      <c r="L41" s="633"/>
      <c r="M41" s="633"/>
      <c r="N41" s="633"/>
      <c r="O41" s="633"/>
      <c r="P41" s="633"/>
      <c r="Q41" s="633"/>
      <c r="R41" s="633"/>
      <c r="S41" s="633"/>
      <c r="T41" s="633"/>
      <c r="U41" s="105"/>
    </row>
    <row r="42" spans="1:21" ht="25.5" customHeight="1">
      <c r="A42" s="633"/>
      <c r="B42" s="412"/>
      <c r="C42" s="717" t="s">
        <v>721</v>
      </c>
      <c r="D42" s="361"/>
      <c r="E42" s="361"/>
      <c r="F42" s="362"/>
      <c r="G42" s="718"/>
      <c r="H42" s="362"/>
      <c r="I42" s="162">
        <v>5</v>
      </c>
      <c r="J42" s="415"/>
      <c r="K42" s="632"/>
      <c r="L42" s="633"/>
      <c r="M42" s="633"/>
      <c r="N42" s="633"/>
      <c r="O42" s="633"/>
      <c r="P42" s="633"/>
      <c r="Q42" s="633"/>
      <c r="R42" s="633"/>
      <c r="S42" s="633"/>
      <c r="T42" s="633"/>
      <c r="U42" s="105"/>
    </row>
    <row r="43" spans="1:21" ht="25.5" customHeight="1">
      <c r="A43" s="633"/>
      <c r="B43" s="412"/>
      <c r="C43" s="717" t="s">
        <v>722</v>
      </c>
      <c r="D43" s="361"/>
      <c r="E43" s="361"/>
      <c r="F43" s="362"/>
      <c r="G43" s="718"/>
      <c r="H43" s="362"/>
      <c r="I43" s="162">
        <v>5</v>
      </c>
      <c r="J43" s="415"/>
      <c r="K43" s="632"/>
      <c r="L43" s="633"/>
      <c r="M43" s="633"/>
      <c r="N43" s="633"/>
      <c r="O43" s="633"/>
      <c r="P43" s="633"/>
      <c r="Q43" s="633"/>
      <c r="R43" s="633"/>
      <c r="S43" s="633"/>
      <c r="T43" s="633"/>
      <c r="U43" s="105"/>
    </row>
    <row r="44" spans="1:21" ht="25.5" customHeight="1">
      <c r="A44" s="633"/>
      <c r="B44" s="424"/>
      <c r="C44" s="715" t="s">
        <v>723</v>
      </c>
      <c r="D44" s="361"/>
      <c r="E44" s="361"/>
      <c r="F44" s="362"/>
      <c r="G44" s="718"/>
      <c r="H44" s="362"/>
      <c r="I44" s="162">
        <v>5</v>
      </c>
      <c r="J44" s="423"/>
      <c r="K44" s="632"/>
      <c r="L44" s="633"/>
      <c r="M44" s="633"/>
      <c r="N44" s="633"/>
      <c r="O44" s="633"/>
      <c r="P44" s="633"/>
      <c r="Q44" s="633"/>
      <c r="R44" s="633"/>
      <c r="S44" s="633"/>
      <c r="T44" s="633"/>
      <c r="U44" s="105"/>
    </row>
    <row r="45" spans="1:21" ht="25.5" customHeight="1">
      <c r="A45" s="633"/>
      <c r="B45" s="342" t="s">
        <v>724</v>
      </c>
      <c r="C45" s="717" t="s">
        <v>725</v>
      </c>
      <c r="D45" s="361"/>
      <c r="E45" s="361"/>
      <c r="F45" s="362"/>
      <c r="G45" s="718"/>
      <c r="H45" s="362"/>
      <c r="I45" s="162">
        <v>5</v>
      </c>
      <c r="J45" s="719">
        <f>AVERAGE(I45:I49)</f>
        <v>5</v>
      </c>
      <c r="K45" s="632"/>
      <c r="L45" s="633"/>
      <c r="M45" s="633"/>
      <c r="N45" s="633"/>
      <c r="O45" s="633"/>
      <c r="P45" s="633"/>
      <c r="Q45" s="633"/>
      <c r="R45" s="633"/>
      <c r="S45" s="633"/>
      <c r="T45" s="633"/>
      <c r="U45" s="105"/>
    </row>
    <row r="46" spans="1:21" ht="25.5" customHeight="1">
      <c r="A46" s="633"/>
      <c r="B46" s="412"/>
      <c r="C46" s="717" t="s">
        <v>726</v>
      </c>
      <c r="D46" s="361"/>
      <c r="E46" s="361"/>
      <c r="F46" s="362"/>
      <c r="G46" s="718"/>
      <c r="H46" s="362"/>
      <c r="I46" s="162">
        <v>5</v>
      </c>
      <c r="J46" s="415"/>
      <c r="K46" s="632"/>
      <c r="L46" s="633"/>
      <c r="M46" s="633"/>
      <c r="N46" s="633"/>
      <c r="O46" s="633"/>
      <c r="P46" s="633"/>
      <c r="Q46" s="633"/>
      <c r="R46" s="633"/>
      <c r="S46" s="633"/>
      <c r="T46" s="633"/>
      <c r="U46" s="105"/>
    </row>
    <row r="47" spans="1:21" ht="25.5" customHeight="1">
      <c r="A47" s="633"/>
      <c r="B47" s="412"/>
      <c r="C47" s="717" t="s">
        <v>727</v>
      </c>
      <c r="D47" s="361"/>
      <c r="E47" s="361"/>
      <c r="F47" s="362"/>
      <c r="G47" s="718"/>
      <c r="H47" s="362"/>
      <c r="I47" s="162">
        <v>5</v>
      </c>
      <c r="J47" s="415"/>
      <c r="K47" s="632"/>
      <c r="L47" s="633"/>
      <c r="M47" s="633"/>
      <c r="N47" s="633"/>
      <c r="O47" s="633"/>
      <c r="P47" s="633"/>
      <c r="Q47" s="633"/>
      <c r="R47" s="633"/>
      <c r="S47" s="633"/>
      <c r="T47" s="633"/>
      <c r="U47" s="105"/>
    </row>
    <row r="48" spans="1:21" ht="25.5" customHeight="1">
      <c r="A48" s="633"/>
      <c r="B48" s="412"/>
      <c r="C48" s="717" t="s">
        <v>728</v>
      </c>
      <c r="D48" s="361"/>
      <c r="E48" s="361"/>
      <c r="F48" s="362"/>
      <c r="G48" s="718"/>
      <c r="H48" s="362"/>
      <c r="I48" s="162">
        <v>5</v>
      </c>
      <c r="J48" s="415"/>
      <c r="K48" s="632"/>
      <c r="L48" s="633"/>
      <c r="M48" s="633"/>
      <c r="N48" s="633"/>
      <c r="O48" s="633"/>
      <c r="P48" s="633"/>
      <c r="Q48" s="633"/>
      <c r="R48" s="633"/>
      <c r="S48" s="633"/>
      <c r="T48" s="633"/>
      <c r="U48" s="105"/>
    </row>
    <row r="49" spans="1:21" ht="25.5" customHeight="1">
      <c r="A49" s="633"/>
      <c r="B49" s="424"/>
      <c r="C49" s="717" t="s">
        <v>729</v>
      </c>
      <c r="D49" s="361"/>
      <c r="E49" s="361"/>
      <c r="F49" s="362"/>
      <c r="G49" s="718"/>
      <c r="H49" s="362"/>
      <c r="I49" s="162">
        <v>5</v>
      </c>
      <c r="J49" s="423"/>
      <c r="K49" s="632"/>
      <c r="L49" s="633"/>
      <c r="M49" s="633"/>
      <c r="N49" s="633"/>
      <c r="O49" s="633"/>
      <c r="P49" s="633"/>
      <c r="Q49" s="633"/>
      <c r="R49" s="633"/>
      <c r="S49" s="633"/>
      <c r="T49" s="633"/>
      <c r="U49" s="105"/>
    </row>
    <row r="50" spans="1:21" ht="34.5" customHeight="1">
      <c r="A50" s="633"/>
      <c r="B50" s="342" t="s">
        <v>730</v>
      </c>
      <c r="C50" s="715" t="s">
        <v>731</v>
      </c>
      <c r="D50" s="361"/>
      <c r="E50" s="361"/>
      <c r="F50" s="362"/>
      <c r="G50" s="718"/>
      <c r="H50" s="362"/>
      <c r="I50" s="162">
        <v>5</v>
      </c>
      <c r="J50" s="719">
        <f>AVERAGE(I50:I54)</f>
        <v>5</v>
      </c>
      <c r="K50" s="632"/>
      <c r="L50" s="633"/>
      <c r="M50" s="633"/>
      <c r="N50" s="633"/>
      <c r="O50" s="633"/>
      <c r="P50" s="633"/>
      <c r="Q50" s="633"/>
      <c r="R50" s="633"/>
      <c r="S50" s="633"/>
      <c r="T50" s="633"/>
      <c r="U50" s="105"/>
    </row>
    <row r="51" spans="1:21" ht="25.5" customHeight="1">
      <c r="A51" s="633"/>
      <c r="B51" s="412"/>
      <c r="C51" s="714" t="s">
        <v>732</v>
      </c>
      <c r="D51" s="361"/>
      <c r="E51" s="361"/>
      <c r="F51" s="362"/>
      <c r="G51" s="718"/>
      <c r="H51" s="362"/>
      <c r="I51" s="162">
        <v>5</v>
      </c>
      <c r="J51" s="415"/>
      <c r="K51" s="632"/>
      <c r="L51" s="633"/>
      <c r="M51" s="633"/>
      <c r="N51" s="633"/>
      <c r="O51" s="633"/>
      <c r="P51" s="633"/>
      <c r="Q51" s="633"/>
      <c r="R51" s="633"/>
      <c r="S51" s="633"/>
      <c r="T51" s="633"/>
      <c r="U51" s="105"/>
    </row>
    <row r="52" spans="1:21" ht="24.75" customHeight="1">
      <c r="A52" s="633"/>
      <c r="B52" s="412"/>
      <c r="C52" s="714" t="s">
        <v>733</v>
      </c>
      <c r="D52" s="361"/>
      <c r="E52" s="361"/>
      <c r="F52" s="362"/>
      <c r="G52" s="718"/>
      <c r="H52" s="362"/>
      <c r="I52" s="162">
        <v>5</v>
      </c>
      <c r="J52" s="415"/>
      <c r="K52" s="632"/>
      <c r="L52" s="633"/>
      <c r="M52" s="633"/>
      <c r="N52" s="633"/>
      <c r="O52" s="633"/>
      <c r="P52" s="633"/>
      <c r="Q52" s="633"/>
      <c r="R52" s="633"/>
      <c r="S52" s="633"/>
      <c r="T52" s="633"/>
      <c r="U52" s="105"/>
    </row>
    <row r="53" spans="1:21" ht="27" customHeight="1">
      <c r="A53" s="633"/>
      <c r="B53" s="412"/>
      <c r="C53" s="714" t="s">
        <v>734</v>
      </c>
      <c r="D53" s="361"/>
      <c r="E53" s="361"/>
      <c r="F53" s="362"/>
      <c r="G53" s="718"/>
      <c r="H53" s="362"/>
      <c r="I53" s="162">
        <v>5</v>
      </c>
      <c r="J53" s="415"/>
      <c r="K53" s="632"/>
      <c r="L53" s="633"/>
      <c r="M53" s="633"/>
      <c r="N53" s="633"/>
      <c r="O53" s="633"/>
      <c r="P53" s="633"/>
      <c r="Q53" s="633"/>
      <c r="R53" s="633"/>
      <c r="S53" s="633"/>
      <c r="T53" s="633"/>
      <c r="U53" s="105"/>
    </row>
    <row r="54" spans="1:21" ht="22.5" customHeight="1">
      <c r="A54" s="633"/>
      <c r="B54" s="424"/>
      <c r="C54" s="714" t="s">
        <v>735</v>
      </c>
      <c r="D54" s="361"/>
      <c r="E54" s="361"/>
      <c r="F54" s="362"/>
      <c r="G54" s="718"/>
      <c r="H54" s="362"/>
      <c r="I54" s="162">
        <v>5</v>
      </c>
      <c r="J54" s="423"/>
      <c r="K54" s="632"/>
      <c r="L54" s="633"/>
      <c r="M54" s="633"/>
      <c r="N54" s="633"/>
      <c r="O54" s="633"/>
      <c r="P54" s="633"/>
      <c r="Q54" s="633"/>
      <c r="R54" s="633"/>
      <c r="S54" s="633"/>
      <c r="T54" s="633"/>
      <c r="U54" s="105"/>
    </row>
    <row r="55" spans="1:21" ht="27" customHeight="1">
      <c r="A55" s="633"/>
      <c r="B55" s="341" t="s">
        <v>884</v>
      </c>
      <c r="C55" s="370"/>
      <c r="D55" s="370"/>
      <c r="E55" s="370"/>
      <c r="F55" s="370"/>
      <c r="G55" s="370"/>
      <c r="H55" s="370"/>
      <c r="I55" s="371"/>
      <c r="J55" s="163">
        <f>AVERAGE(J25:J54)*0.025</f>
        <v>0.125</v>
      </c>
      <c r="K55" s="649"/>
      <c r="L55" s="633"/>
      <c r="M55" s="633"/>
      <c r="N55" s="633"/>
      <c r="O55" s="633"/>
      <c r="P55" s="633"/>
      <c r="Q55" s="633"/>
      <c r="R55" s="633"/>
      <c r="S55" s="633"/>
      <c r="T55" s="633"/>
      <c r="U55" s="105"/>
    </row>
    <row r="56" spans="1:21" ht="15" customHeight="1">
      <c r="A56" s="633"/>
      <c r="B56" s="496"/>
      <c r="C56" s="368"/>
      <c r="D56" s="498"/>
      <c r="E56" s="499"/>
      <c r="F56" s="499"/>
      <c r="G56" s="657"/>
      <c r="H56" s="657"/>
      <c r="I56" s="501"/>
      <c r="J56" s="501"/>
      <c r="K56" s="632"/>
      <c r="L56" s="633"/>
      <c r="M56" s="633"/>
      <c r="N56" s="633"/>
      <c r="O56" s="633"/>
      <c r="P56" s="633"/>
      <c r="Q56" s="633"/>
      <c r="R56" s="633"/>
      <c r="S56" s="633"/>
      <c r="T56" s="633"/>
    </row>
    <row r="57" spans="1:21" ht="15" customHeight="1">
      <c r="A57" s="633"/>
      <c r="B57" s="496"/>
      <c r="C57" s="77"/>
      <c r="D57" s="658"/>
      <c r="E57" s="499"/>
      <c r="F57" s="499"/>
      <c r="G57" s="657"/>
      <c r="H57" s="657"/>
      <c r="I57" s="501"/>
      <c r="J57" s="501"/>
      <c r="K57" s="632"/>
      <c r="L57" s="633"/>
      <c r="M57" s="633"/>
      <c r="N57" s="633"/>
      <c r="O57" s="633"/>
      <c r="P57" s="633"/>
      <c r="Q57" s="633"/>
      <c r="R57" s="633"/>
      <c r="S57" s="633"/>
      <c r="T57" s="633"/>
    </row>
    <row r="58" spans="1:21" ht="43.5" customHeight="1">
      <c r="A58" s="633"/>
      <c r="B58" s="659"/>
      <c r="C58" s="720"/>
      <c r="D58" s="366"/>
      <c r="E58" s="367"/>
      <c r="G58" s="721"/>
      <c r="H58" s="366"/>
      <c r="I58" s="367"/>
      <c r="J58" s="77"/>
      <c r="K58" s="632"/>
      <c r="L58" s="633"/>
      <c r="M58" s="633"/>
      <c r="N58" s="633"/>
      <c r="O58" s="633"/>
      <c r="P58" s="633"/>
      <c r="Q58" s="633"/>
      <c r="R58" s="633"/>
      <c r="S58" s="633"/>
      <c r="T58" s="633"/>
    </row>
    <row r="59" spans="1:21" ht="15" customHeight="1">
      <c r="A59" s="633"/>
      <c r="B59" s="659"/>
      <c r="C59" s="420"/>
      <c r="D59" s="494"/>
      <c r="E59" s="421"/>
      <c r="G59" s="420"/>
      <c r="H59" s="494"/>
      <c r="I59" s="421"/>
      <c r="J59" s="77"/>
      <c r="K59" s="632"/>
      <c r="L59" s="633"/>
      <c r="M59" s="633"/>
      <c r="N59" s="633"/>
      <c r="O59" s="633"/>
      <c r="P59" s="633"/>
      <c r="Q59" s="633"/>
      <c r="R59" s="633"/>
      <c r="S59" s="633"/>
      <c r="T59" s="633"/>
    </row>
    <row r="60" spans="1:21" ht="18" customHeight="1">
      <c r="A60" s="633"/>
      <c r="B60" s="659"/>
      <c r="C60" s="506" t="s">
        <v>123</v>
      </c>
      <c r="D60" s="361"/>
      <c r="E60" s="362"/>
      <c r="G60" s="722" t="s">
        <v>124</v>
      </c>
      <c r="H60" s="361"/>
      <c r="I60" s="362"/>
      <c r="J60" s="77"/>
      <c r="K60" s="632"/>
      <c r="L60" s="633"/>
      <c r="M60" s="633"/>
      <c r="N60" s="633"/>
      <c r="O60" s="633"/>
      <c r="P60" s="633"/>
      <c r="Q60" s="633"/>
      <c r="R60" s="633"/>
      <c r="S60" s="633"/>
      <c r="T60" s="633"/>
    </row>
    <row r="61" spans="1:21" ht="16.5" customHeight="1">
      <c r="A61" s="633"/>
      <c r="B61" s="659"/>
      <c r="C61" s="658"/>
      <c r="D61" s="658"/>
      <c r="E61" s="503"/>
      <c r="F61" s="503"/>
      <c r="G61" s="662"/>
      <c r="H61" s="375"/>
      <c r="I61" s="375"/>
      <c r="J61" s="375"/>
      <c r="K61" s="632"/>
      <c r="L61" s="633"/>
      <c r="M61" s="633"/>
      <c r="N61" s="633"/>
      <c r="O61" s="633"/>
      <c r="P61" s="633"/>
      <c r="Q61" s="633"/>
      <c r="R61" s="633"/>
      <c r="S61" s="633"/>
      <c r="T61" s="633"/>
    </row>
    <row r="62" spans="1:21" ht="13.5" customHeight="1">
      <c r="A62" s="633"/>
      <c r="B62" s="659"/>
      <c r="C62" s="658"/>
      <c r="D62" s="659"/>
      <c r="E62" s="503"/>
      <c r="F62" s="503"/>
      <c r="G62" s="663"/>
      <c r="H62" s="375"/>
      <c r="I62" s="375"/>
      <c r="J62" s="375"/>
      <c r="K62" s="632"/>
      <c r="L62" s="633"/>
      <c r="M62" s="633"/>
      <c r="N62" s="633"/>
      <c r="O62" s="633"/>
      <c r="P62" s="633"/>
      <c r="Q62" s="633"/>
      <c r="R62" s="633"/>
      <c r="S62" s="633"/>
      <c r="T62" s="633"/>
    </row>
    <row r="63" spans="1:21" ht="6.75" hidden="1" customHeight="1">
      <c r="A63" s="633"/>
      <c r="B63" s="659"/>
      <c r="C63" s="664"/>
      <c r="D63" s="659"/>
      <c r="E63" s="665"/>
      <c r="F63" s="665"/>
      <c r="G63" s="659"/>
      <c r="H63" s="659"/>
      <c r="I63" s="659"/>
      <c r="J63" s="659"/>
      <c r="K63" s="632"/>
      <c r="L63" s="633"/>
      <c r="M63" s="633"/>
      <c r="N63" s="633"/>
      <c r="O63" s="633"/>
      <c r="P63" s="633"/>
      <c r="Q63" s="633"/>
      <c r="R63" s="633"/>
      <c r="S63" s="633"/>
      <c r="T63" s="633"/>
    </row>
    <row r="64" spans="1:21" ht="12.75" hidden="1" customHeight="1">
      <c r="A64" s="633"/>
      <c r="B64" s="659"/>
      <c r="C64" s="664"/>
      <c r="D64" s="659"/>
      <c r="E64" s="665"/>
      <c r="F64" s="665"/>
      <c r="G64" s="659"/>
      <c r="H64" s="659"/>
      <c r="I64" s="659"/>
      <c r="J64" s="659"/>
      <c r="K64" s="632"/>
      <c r="L64" s="633"/>
      <c r="M64" s="633"/>
      <c r="N64" s="633"/>
      <c r="O64" s="633"/>
      <c r="P64" s="633"/>
      <c r="Q64" s="633"/>
      <c r="R64" s="633"/>
      <c r="S64" s="633"/>
      <c r="T64" s="633"/>
    </row>
    <row r="65" spans="1:20" ht="33.75" customHeight="1">
      <c r="A65" s="633"/>
      <c r="B65" s="659"/>
      <c r="C65" s="664"/>
      <c r="D65" s="505"/>
      <c r="E65" s="366"/>
      <c r="F65" s="366"/>
      <c r="G65" s="367"/>
      <c r="H65" s="659"/>
      <c r="I65" s="659"/>
      <c r="J65" s="659"/>
      <c r="K65" s="632"/>
      <c r="L65" s="633"/>
      <c r="M65" s="633"/>
      <c r="N65" s="633"/>
      <c r="O65" s="633"/>
      <c r="P65" s="633"/>
      <c r="Q65" s="633"/>
      <c r="R65" s="633"/>
      <c r="S65" s="633"/>
      <c r="T65" s="633"/>
    </row>
    <row r="66" spans="1:20" ht="13.5" customHeight="1">
      <c r="A66" s="633"/>
      <c r="B66" s="659"/>
      <c r="C66" s="664"/>
      <c r="D66" s="420"/>
      <c r="E66" s="494"/>
      <c r="F66" s="494"/>
      <c r="G66" s="421"/>
      <c r="H66" s="659"/>
      <c r="I66" s="659"/>
      <c r="J66" s="659"/>
      <c r="K66" s="632"/>
      <c r="L66" s="633"/>
      <c r="M66" s="633"/>
      <c r="N66" s="633"/>
      <c r="O66" s="633"/>
      <c r="P66" s="633"/>
      <c r="Q66" s="633"/>
      <c r="R66" s="633"/>
      <c r="S66" s="633"/>
      <c r="T66" s="633"/>
    </row>
    <row r="67" spans="1:20" ht="21.75" customHeight="1">
      <c r="A67" s="633"/>
      <c r="B67" s="659"/>
      <c r="C67" s="664"/>
      <c r="D67" s="507" t="s">
        <v>125</v>
      </c>
      <c r="E67" s="361"/>
      <c r="F67" s="361"/>
      <c r="G67" s="362"/>
      <c r="H67" s="659"/>
      <c r="I67" s="659"/>
      <c r="J67" s="659"/>
      <c r="K67" s="632"/>
      <c r="L67" s="633"/>
      <c r="M67" s="633"/>
      <c r="N67" s="633"/>
      <c r="O67" s="633"/>
      <c r="P67" s="633"/>
      <c r="Q67" s="633"/>
      <c r="R67" s="633"/>
      <c r="S67" s="633"/>
      <c r="T67" s="633"/>
    </row>
    <row r="68" spans="1:20" ht="13.5" customHeight="1">
      <c r="A68" s="633"/>
      <c r="B68" s="659"/>
      <c r="C68" s="664"/>
      <c r="D68" s="659"/>
      <c r="E68" s="665"/>
      <c r="F68" s="665"/>
      <c r="G68" s="659"/>
      <c r="H68" s="659"/>
      <c r="I68" s="659"/>
      <c r="J68" s="659"/>
      <c r="K68" s="632"/>
      <c r="L68" s="633"/>
      <c r="M68" s="633"/>
      <c r="N68" s="633"/>
      <c r="O68" s="633"/>
      <c r="P68" s="633"/>
      <c r="Q68" s="633"/>
      <c r="R68" s="633"/>
      <c r="S68" s="633"/>
      <c r="T68" s="633"/>
    </row>
    <row r="69" spans="1:20" ht="13.5" customHeight="1">
      <c r="A69" s="633"/>
      <c r="B69" s="659"/>
      <c r="C69" s="664"/>
      <c r="D69" s="659"/>
      <c r="E69" s="665"/>
      <c r="F69" s="665"/>
      <c r="G69" s="659"/>
      <c r="H69" s="659"/>
      <c r="I69" s="659"/>
      <c r="J69" s="659"/>
      <c r="K69" s="632"/>
      <c r="L69" s="633"/>
      <c r="M69" s="633"/>
      <c r="N69" s="633"/>
      <c r="O69" s="633"/>
      <c r="P69" s="633"/>
      <c r="Q69" s="633"/>
      <c r="R69" s="633"/>
      <c r="S69" s="633"/>
      <c r="T69" s="633"/>
    </row>
    <row r="70" spans="1:20" ht="13.5" customHeight="1">
      <c r="A70" s="633"/>
      <c r="B70" s="659"/>
      <c r="C70" s="664"/>
      <c r="D70" s="659"/>
      <c r="E70" s="665"/>
      <c r="F70" s="665"/>
      <c r="G70" s="659"/>
      <c r="H70" s="659"/>
      <c r="I70" s="659"/>
      <c r="J70" s="659"/>
      <c r="K70" s="632"/>
      <c r="L70" s="633"/>
      <c r="M70" s="633"/>
      <c r="N70" s="633"/>
      <c r="O70" s="633"/>
      <c r="P70" s="633"/>
      <c r="Q70" s="633"/>
      <c r="R70" s="633"/>
      <c r="S70" s="633"/>
      <c r="T70" s="633"/>
    </row>
    <row r="71" spans="1:20" ht="13.5" customHeight="1">
      <c r="A71" s="633"/>
      <c r="B71" s="659"/>
      <c r="C71" s="664"/>
      <c r="D71" s="659"/>
      <c r="E71" s="665"/>
      <c r="F71" s="665"/>
      <c r="G71" s="659"/>
      <c r="H71" s="659"/>
      <c r="I71" s="659"/>
      <c r="J71" s="659"/>
      <c r="K71" s="632"/>
      <c r="L71" s="633"/>
      <c r="M71" s="633"/>
      <c r="N71" s="633"/>
      <c r="O71" s="633"/>
      <c r="P71" s="633"/>
      <c r="Q71" s="633"/>
      <c r="R71" s="633"/>
      <c r="S71" s="633"/>
      <c r="T71" s="633"/>
    </row>
    <row r="72" spans="1:20" ht="13.5" customHeight="1">
      <c r="A72" s="633"/>
      <c r="B72" s="659"/>
      <c r="C72" s="664"/>
      <c r="D72" s="659"/>
      <c r="E72" s="665"/>
      <c r="F72" s="665"/>
      <c r="G72" s="659"/>
      <c r="H72" s="659"/>
      <c r="I72" s="659"/>
      <c r="J72" s="659"/>
      <c r="K72" s="632"/>
      <c r="L72" s="633"/>
      <c r="M72" s="633"/>
      <c r="N72" s="633"/>
      <c r="O72" s="633"/>
      <c r="P72" s="633"/>
      <c r="Q72" s="633"/>
      <c r="R72" s="633"/>
      <c r="S72" s="633"/>
      <c r="T72" s="633"/>
    </row>
    <row r="73" spans="1:20" ht="13.5" customHeight="1">
      <c r="A73" s="633"/>
      <c r="B73" s="659"/>
      <c r="C73" s="664"/>
      <c r="D73" s="659"/>
      <c r="E73" s="665"/>
      <c r="F73" s="665"/>
      <c r="G73" s="659"/>
      <c r="H73" s="659"/>
      <c r="I73" s="659"/>
      <c r="J73" s="659"/>
      <c r="K73" s="632"/>
      <c r="L73" s="633"/>
      <c r="M73" s="633"/>
      <c r="N73" s="633"/>
      <c r="O73" s="633"/>
      <c r="P73" s="633"/>
      <c r="Q73" s="633"/>
      <c r="R73" s="633"/>
      <c r="S73" s="633"/>
      <c r="T73" s="633"/>
    </row>
    <row r="74" spans="1:20" ht="13.5" customHeight="1">
      <c r="A74" s="633"/>
      <c r="B74" s="659"/>
      <c r="C74" s="664"/>
      <c r="D74" s="659"/>
      <c r="E74" s="665"/>
      <c r="F74" s="665"/>
      <c r="G74" s="659"/>
      <c r="H74" s="659"/>
      <c r="I74" s="659"/>
      <c r="J74" s="659"/>
      <c r="K74" s="632"/>
      <c r="L74" s="633"/>
      <c r="M74" s="633"/>
      <c r="N74" s="633"/>
      <c r="O74" s="633"/>
      <c r="P74" s="633"/>
      <c r="Q74" s="633"/>
      <c r="R74" s="633"/>
      <c r="S74" s="633"/>
      <c r="T74" s="633"/>
    </row>
    <row r="75" spans="1:20" ht="13.5" customHeight="1">
      <c r="A75" s="633"/>
      <c r="B75" s="659"/>
      <c r="C75" s="664"/>
      <c r="D75" s="659"/>
      <c r="E75" s="665"/>
      <c r="F75" s="665"/>
      <c r="G75" s="659"/>
      <c r="H75" s="659"/>
      <c r="I75" s="659"/>
      <c r="J75" s="659"/>
      <c r="K75" s="632"/>
      <c r="L75" s="633"/>
      <c r="M75" s="633"/>
      <c r="N75" s="633"/>
      <c r="O75" s="633"/>
      <c r="P75" s="633"/>
      <c r="Q75" s="633"/>
      <c r="R75" s="633"/>
      <c r="S75" s="633"/>
      <c r="T75" s="633"/>
    </row>
    <row r="76" spans="1:20" ht="13.5" customHeight="1">
      <c r="A76" s="633"/>
      <c r="B76" s="659"/>
      <c r="C76" s="664"/>
      <c r="D76" s="659"/>
      <c r="E76" s="665"/>
      <c r="F76" s="665"/>
      <c r="G76" s="659"/>
      <c r="H76" s="659"/>
      <c r="I76" s="659"/>
      <c r="J76" s="659"/>
      <c r="K76" s="632"/>
      <c r="L76" s="633"/>
      <c r="M76" s="633"/>
      <c r="N76" s="633"/>
      <c r="O76" s="633"/>
      <c r="P76" s="633"/>
      <c r="Q76" s="633"/>
      <c r="R76" s="633"/>
      <c r="S76" s="633"/>
      <c r="T76" s="633"/>
    </row>
    <row r="77" spans="1:20" ht="13.5" customHeight="1">
      <c r="A77" s="633"/>
      <c r="B77" s="659"/>
      <c r="C77" s="664"/>
      <c r="D77" s="659"/>
      <c r="E77" s="665"/>
      <c r="F77" s="665"/>
      <c r="G77" s="659"/>
      <c r="H77" s="659"/>
      <c r="I77" s="659"/>
      <c r="J77" s="659"/>
      <c r="K77" s="632"/>
      <c r="L77" s="633"/>
      <c r="M77" s="633"/>
      <c r="N77" s="633"/>
      <c r="O77" s="633"/>
      <c r="P77" s="633"/>
      <c r="Q77" s="633"/>
      <c r="R77" s="633"/>
      <c r="S77" s="633"/>
      <c r="T77" s="633"/>
    </row>
    <row r="78" spans="1:20" ht="13.5" customHeight="1">
      <c r="A78" s="633"/>
      <c r="B78" s="659"/>
      <c r="C78" s="664"/>
      <c r="D78" s="659"/>
      <c r="E78" s="665"/>
      <c r="F78" s="665"/>
      <c r="G78" s="659"/>
      <c r="H78" s="659"/>
      <c r="I78" s="659"/>
      <c r="J78" s="659"/>
      <c r="K78" s="632"/>
      <c r="L78" s="633"/>
      <c r="M78" s="633"/>
      <c r="N78" s="633"/>
      <c r="O78" s="633"/>
      <c r="P78" s="633"/>
      <c r="Q78" s="633"/>
      <c r="R78" s="633"/>
      <c r="S78" s="633"/>
      <c r="T78" s="633"/>
    </row>
    <row r="79" spans="1:20" ht="13.5" customHeight="1">
      <c r="A79" s="633"/>
      <c r="B79" s="659"/>
      <c r="C79" s="664"/>
      <c r="D79" s="659"/>
      <c r="E79" s="665"/>
      <c r="F79" s="665"/>
      <c r="G79" s="659"/>
      <c r="H79" s="659"/>
      <c r="I79" s="659"/>
      <c r="J79" s="659"/>
      <c r="K79" s="632"/>
      <c r="L79" s="633"/>
      <c r="M79" s="633"/>
      <c r="N79" s="633"/>
      <c r="O79" s="633"/>
      <c r="P79" s="633"/>
      <c r="Q79" s="633"/>
      <c r="R79" s="633"/>
      <c r="S79" s="633"/>
      <c r="T79" s="633"/>
    </row>
    <row r="80" spans="1:20" ht="13.5" customHeight="1">
      <c r="A80" s="633"/>
      <c r="B80" s="659"/>
      <c r="C80" s="664"/>
      <c r="D80" s="659"/>
      <c r="E80" s="665"/>
      <c r="F80" s="665"/>
      <c r="G80" s="659"/>
      <c r="H80" s="659"/>
      <c r="I80" s="659"/>
      <c r="J80" s="659"/>
      <c r="K80" s="632"/>
      <c r="L80" s="633"/>
      <c r="M80" s="633"/>
      <c r="N80" s="633"/>
      <c r="O80" s="633"/>
      <c r="P80" s="633"/>
      <c r="Q80" s="633"/>
      <c r="R80" s="633"/>
      <c r="S80" s="633"/>
      <c r="T80" s="633"/>
    </row>
    <row r="81" spans="1:20" ht="13.5" customHeight="1">
      <c r="A81" s="633"/>
      <c r="B81" s="659"/>
      <c r="C81" s="664"/>
      <c r="D81" s="659"/>
      <c r="E81" s="665"/>
      <c r="F81" s="665"/>
      <c r="G81" s="659"/>
      <c r="H81" s="659"/>
      <c r="I81" s="659"/>
      <c r="J81" s="659"/>
      <c r="K81" s="632"/>
      <c r="L81" s="633"/>
      <c r="M81" s="633"/>
      <c r="N81" s="633"/>
      <c r="O81" s="633"/>
      <c r="P81" s="633"/>
      <c r="Q81" s="633"/>
      <c r="R81" s="633"/>
      <c r="S81" s="633"/>
      <c r="T81" s="633"/>
    </row>
    <row r="82" spans="1:20" ht="13.5" customHeight="1">
      <c r="A82" s="633"/>
      <c r="B82" s="659"/>
      <c r="C82" s="664"/>
      <c r="D82" s="659"/>
      <c r="E82" s="665"/>
      <c r="F82" s="665"/>
      <c r="G82" s="659"/>
      <c r="H82" s="659"/>
      <c r="I82" s="659"/>
      <c r="J82" s="659"/>
      <c r="K82" s="632"/>
      <c r="L82" s="633"/>
      <c r="M82" s="633"/>
      <c r="N82" s="633"/>
      <c r="O82" s="633"/>
      <c r="P82" s="633"/>
      <c r="Q82" s="633"/>
      <c r="R82" s="633"/>
      <c r="S82" s="633"/>
      <c r="T82" s="633"/>
    </row>
    <row r="83" spans="1:20" ht="13.5" customHeight="1">
      <c r="A83" s="633"/>
      <c r="B83" s="659"/>
      <c r="C83" s="664"/>
      <c r="D83" s="659"/>
      <c r="E83" s="665"/>
      <c r="F83" s="665"/>
      <c r="G83" s="659"/>
      <c r="H83" s="659"/>
      <c r="I83" s="659"/>
      <c r="J83" s="659"/>
      <c r="K83" s="632"/>
      <c r="L83" s="633"/>
      <c r="M83" s="633"/>
      <c r="N83" s="633"/>
      <c r="O83" s="633"/>
      <c r="P83" s="633"/>
      <c r="Q83" s="633"/>
      <c r="R83" s="633"/>
      <c r="S83" s="633"/>
      <c r="T83" s="633"/>
    </row>
    <row r="84" spans="1:20" ht="13.5" customHeight="1">
      <c r="A84" s="633"/>
      <c r="B84" s="659"/>
      <c r="C84" s="664"/>
      <c r="D84" s="659"/>
      <c r="E84" s="665"/>
      <c r="F84" s="665"/>
      <c r="G84" s="659"/>
      <c r="H84" s="659"/>
      <c r="I84" s="659"/>
      <c r="J84" s="659"/>
      <c r="K84" s="632"/>
      <c r="L84" s="633"/>
      <c r="M84" s="633"/>
      <c r="N84" s="633"/>
      <c r="O84" s="633"/>
      <c r="P84" s="633"/>
      <c r="Q84" s="633"/>
      <c r="R84" s="633"/>
      <c r="S84" s="633"/>
      <c r="T84" s="633"/>
    </row>
    <row r="85" spans="1:20" ht="13.5" customHeight="1">
      <c r="A85" s="633"/>
      <c r="B85" s="659"/>
      <c r="C85" s="664"/>
      <c r="D85" s="659"/>
      <c r="E85" s="665"/>
      <c r="F85" s="665"/>
      <c r="G85" s="659"/>
      <c r="H85" s="659"/>
      <c r="I85" s="659"/>
      <c r="J85" s="659"/>
      <c r="K85" s="632"/>
      <c r="L85" s="633"/>
      <c r="M85" s="633"/>
      <c r="N85" s="633"/>
      <c r="O85" s="633"/>
      <c r="P85" s="633"/>
      <c r="Q85" s="633"/>
      <c r="R85" s="633"/>
      <c r="S85" s="633"/>
      <c r="T85" s="633"/>
    </row>
    <row r="86" spans="1:20" ht="13.5" customHeight="1">
      <c r="A86" s="633"/>
      <c r="B86" s="659"/>
      <c r="C86" s="664"/>
      <c r="D86" s="659"/>
      <c r="E86" s="665"/>
      <c r="F86" s="665"/>
      <c r="G86" s="659"/>
      <c r="H86" s="659"/>
      <c r="I86" s="659"/>
      <c r="J86" s="659"/>
      <c r="K86" s="632"/>
      <c r="L86" s="633"/>
      <c r="M86" s="633"/>
      <c r="N86" s="633"/>
      <c r="O86" s="633"/>
      <c r="P86" s="633"/>
      <c r="Q86" s="633"/>
      <c r="R86" s="633"/>
      <c r="S86" s="633"/>
      <c r="T86" s="633"/>
    </row>
    <row r="87" spans="1:20" ht="13.5" customHeight="1">
      <c r="A87" s="633"/>
      <c r="B87" s="659"/>
      <c r="C87" s="664"/>
      <c r="D87" s="659"/>
      <c r="E87" s="665"/>
      <c r="F87" s="665"/>
      <c r="G87" s="659"/>
      <c r="H87" s="659"/>
      <c r="I87" s="659"/>
      <c r="J87" s="659"/>
      <c r="K87" s="632"/>
      <c r="L87" s="633"/>
      <c r="M87" s="633"/>
      <c r="N87" s="633"/>
      <c r="O87" s="633"/>
      <c r="P87" s="633"/>
      <c r="Q87" s="633"/>
      <c r="R87" s="633"/>
      <c r="S87" s="633"/>
      <c r="T87" s="633"/>
    </row>
    <row r="88" spans="1:20" ht="13.5" customHeight="1">
      <c r="A88" s="633"/>
      <c r="B88" s="659"/>
      <c r="C88" s="664"/>
      <c r="D88" s="659"/>
      <c r="E88" s="665"/>
      <c r="F88" s="665"/>
      <c r="G88" s="659"/>
      <c r="H88" s="659"/>
      <c r="I88" s="659"/>
      <c r="J88" s="659"/>
      <c r="K88" s="632"/>
      <c r="L88" s="633"/>
      <c r="M88" s="633"/>
      <c r="N88" s="633"/>
      <c r="O88" s="633"/>
      <c r="P88" s="633"/>
      <c r="Q88" s="633"/>
      <c r="R88" s="633"/>
      <c r="S88" s="633"/>
      <c r="T88" s="633"/>
    </row>
    <row r="89" spans="1:20" ht="13.5" customHeight="1">
      <c r="A89" s="633"/>
      <c r="B89" s="659"/>
      <c r="C89" s="664"/>
      <c r="D89" s="659"/>
      <c r="E89" s="665"/>
      <c r="F89" s="665"/>
      <c r="G89" s="659"/>
      <c r="H89" s="659"/>
      <c r="I89" s="659"/>
      <c r="J89" s="659"/>
      <c r="K89" s="632"/>
      <c r="L89" s="633"/>
      <c r="M89" s="633"/>
      <c r="N89" s="633"/>
      <c r="O89" s="633"/>
      <c r="P89" s="633"/>
      <c r="Q89" s="633"/>
      <c r="R89" s="633"/>
      <c r="S89" s="633"/>
      <c r="T89" s="633"/>
    </row>
    <row r="90" spans="1:20" ht="13.5" customHeight="1">
      <c r="A90" s="633"/>
      <c r="B90" s="659"/>
      <c r="C90" s="664"/>
      <c r="D90" s="659"/>
      <c r="E90" s="665"/>
      <c r="F90" s="665"/>
      <c r="G90" s="659"/>
      <c r="H90" s="659"/>
      <c r="I90" s="659"/>
      <c r="J90" s="659"/>
      <c r="K90" s="632"/>
      <c r="L90" s="633"/>
      <c r="M90" s="633"/>
      <c r="N90" s="633"/>
      <c r="O90" s="633"/>
      <c r="P90" s="633"/>
      <c r="Q90" s="633"/>
      <c r="R90" s="633"/>
      <c r="S90" s="633"/>
      <c r="T90" s="633"/>
    </row>
    <row r="91" spans="1:20" ht="13.5" customHeight="1">
      <c r="A91" s="633"/>
      <c r="B91" s="659"/>
      <c r="C91" s="664"/>
      <c r="D91" s="659"/>
      <c r="E91" s="665"/>
      <c r="F91" s="665"/>
      <c r="G91" s="659"/>
      <c r="H91" s="659"/>
      <c r="I91" s="659"/>
      <c r="J91" s="659"/>
      <c r="K91" s="632"/>
      <c r="L91" s="633"/>
      <c r="M91" s="633"/>
      <c r="N91" s="633"/>
      <c r="O91" s="633"/>
      <c r="P91" s="633"/>
      <c r="Q91" s="633"/>
      <c r="R91" s="633"/>
      <c r="S91" s="633"/>
      <c r="T91" s="633"/>
    </row>
    <row r="92" spans="1:20" ht="13.5" customHeight="1">
      <c r="A92" s="633"/>
      <c r="B92" s="659"/>
      <c r="C92" s="664"/>
      <c r="D92" s="659"/>
      <c r="E92" s="665"/>
      <c r="F92" s="665"/>
      <c r="G92" s="659"/>
      <c r="H92" s="659"/>
      <c r="I92" s="659"/>
      <c r="J92" s="659"/>
      <c r="K92" s="632"/>
      <c r="L92" s="633"/>
      <c r="M92" s="633"/>
      <c r="N92" s="633"/>
      <c r="O92" s="633"/>
      <c r="P92" s="633"/>
      <c r="Q92" s="633"/>
      <c r="R92" s="633"/>
      <c r="S92" s="633"/>
      <c r="T92" s="633"/>
    </row>
    <row r="93" spans="1:20" ht="13.5" customHeight="1">
      <c r="A93" s="633"/>
      <c r="B93" s="659"/>
      <c r="C93" s="664"/>
      <c r="D93" s="659"/>
      <c r="E93" s="665"/>
      <c r="F93" s="665"/>
      <c r="G93" s="659"/>
      <c r="H93" s="659"/>
      <c r="I93" s="659"/>
      <c r="J93" s="659"/>
      <c r="K93" s="632"/>
      <c r="L93" s="633"/>
      <c r="M93" s="633"/>
      <c r="N93" s="633"/>
      <c r="O93" s="633"/>
      <c r="P93" s="633"/>
      <c r="Q93" s="633"/>
      <c r="R93" s="633"/>
      <c r="S93" s="633"/>
      <c r="T93" s="633"/>
    </row>
    <row r="94" spans="1:20" ht="13.5" customHeight="1">
      <c r="A94" s="633"/>
      <c r="B94" s="659"/>
      <c r="C94" s="664"/>
      <c r="D94" s="659"/>
      <c r="E94" s="665"/>
      <c r="F94" s="665"/>
      <c r="G94" s="659"/>
      <c r="H94" s="659"/>
      <c r="I94" s="659"/>
      <c r="J94" s="659"/>
      <c r="K94" s="632"/>
      <c r="L94" s="633"/>
      <c r="M94" s="633"/>
      <c r="N94" s="633"/>
      <c r="O94" s="633"/>
      <c r="P94" s="633"/>
      <c r="Q94" s="633"/>
      <c r="R94" s="633"/>
      <c r="S94" s="633"/>
      <c r="T94" s="633"/>
    </row>
    <row r="95" spans="1:20" ht="13.5" customHeight="1">
      <c r="A95" s="633"/>
      <c r="B95" s="659"/>
      <c r="C95" s="664"/>
      <c r="D95" s="659"/>
      <c r="E95" s="665"/>
      <c r="F95" s="665"/>
      <c r="G95" s="659"/>
      <c r="H95" s="659"/>
      <c r="I95" s="659"/>
      <c r="J95" s="659"/>
      <c r="K95" s="632"/>
      <c r="L95" s="633"/>
      <c r="M95" s="633"/>
      <c r="N95" s="633"/>
      <c r="O95" s="633"/>
      <c r="P95" s="633"/>
      <c r="Q95" s="633"/>
      <c r="R95" s="633"/>
      <c r="S95" s="633"/>
      <c r="T95" s="633"/>
    </row>
    <row r="96" spans="1:20" ht="13.5" customHeight="1">
      <c r="A96" s="633"/>
      <c r="B96" s="659"/>
      <c r="C96" s="664"/>
      <c r="D96" s="659"/>
      <c r="E96" s="665"/>
      <c r="F96" s="665"/>
      <c r="G96" s="659"/>
      <c r="H96" s="659"/>
      <c r="I96" s="659"/>
      <c r="J96" s="659"/>
      <c r="K96" s="632"/>
      <c r="L96" s="633"/>
      <c r="M96" s="633"/>
      <c r="N96" s="633"/>
      <c r="O96" s="633"/>
      <c r="P96" s="633"/>
      <c r="Q96" s="633"/>
      <c r="R96" s="633"/>
      <c r="S96" s="633"/>
      <c r="T96" s="633"/>
    </row>
    <row r="97" spans="1:20" ht="13.5" customHeight="1">
      <c r="A97" s="633"/>
      <c r="B97" s="659"/>
      <c r="C97" s="664"/>
      <c r="D97" s="659"/>
      <c r="E97" s="665"/>
      <c r="F97" s="665"/>
      <c r="G97" s="659"/>
      <c r="H97" s="659"/>
      <c r="I97" s="659"/>
      <c r="J97" s="659"/>
      <c r="K97" s="632"/>
      <c r="L97" s="633"/>
      <c r="M97" s="633"/>
      <c r="N97" s="633"/>
      <c r="O97" s="633"/>
      <c r="P97" s="633"/>
      <c r="Q97" s="633"/>
      <c r="R97" s="633"/>
      <c r="S97" s="633"/>
      <c r="T97" s="633"/>
    </row>
    <row r="98" spans="1:20" ht="13.5" customHeight="1">
      <c r="A98" s="633"/>
      <c r="B98" s="659"/>
      <c r="C98" s="664"/>
      <c r="D98" s="659"/>
      <c r="E98" s="665"/>
      <c r="F98" s="665"/>
      <c r="G98" s="659"/>
      <c r="H98" s="659"/>
      <c r="I98" s="659"/>
      <c r="J98" s="659"/>
      <c r="K98" s="632"/>
      <c r="L98" s="633"/>
      <c r="M98" s="633"/>
      <c r="N98" s="633"/>
      <c r="O98" s="633"/>
      <c r="P98" s="633"/>
      <c r="Q98" s="633"/>
      <c r="R98" s="633"/>
      <c r="S98" s="633"/>
      <c r="T98" s="633"/>
    </row>
    <row r="99" spans="1:20" ht="13.5" customHeight="1">
      <c r="A99" s="633"/>
      <c r="B99" s="659"/>
      <c r="C99" s="664"/>
      <c r="D99" s="659"/>
      <c r="E99" s="665"/>
      <c r="F99" s="665"/>
      <c r="G99" s="659"/>
      <c r="H99" s="659"/>
      <c r="I99" s="659"/>
      <c r="J99" s="659"/>
      <c r="K99" s="632"/>
      <c r="L99" s="633"/>
      <c r="M99" s="633"/>
      <c r="N99" s="633"/>
      <c r="O99" s="633"/>
      <c r="P99" s="633"/>
      <c r="Q99" s="633"/>
      <c r="R99" s="633"/>
      <c r="S99" s="633"/>
      <c r="T99" s="633"/>
    </row>
    <row r="100" spans="1:20" ht="13.5" customHeight="1">
      <c r="A100" s="633"/>
      <c r="B100" s="659"/>
      <c r="C100" s="664"/>
      <c r="D100" s="659"/>
      <c r="E100" s="665"/>
      <c r="F100" s="665"/>
      <c r="G100" s="659"/>
      <c r="H100" s="659"/>
      <c r="I100" s="659"/>
      <c r="J100" s="659"/>
      <c r="K100" s="632"/>
      <c r="L100" s="633"/>
      <c r="M100" s="633"/>
      <c r="N100" s="633"/>
      <c r="O100" s="633"/>
      <c r="P100" s="633"/>
      <c r="Q100" s="633"/>
      <c r="R100" s="633"/>
      <c r="S100" s="633"/>
      <c r="T100" s="633"/>
    </row>
    <row r="101" spans="1:20" ht="13.5" customHeight="1">
      <c r="A101" s="633"/>
      <c r="B101" s="659"/>
      <c r="C101" s="664"/>
      <c r="D101" s="659"/>
      <c r="E101" s="665"/>
      <c r="F101" s="665"/>
      <c r="G101" s="659"/>
      <c r="H101" s="659"/>
      <c r="I101" s="659"/>
      <c r="J101" s="659"/>
      <c r="K101" s="632"/>
      <c r="L101" s="633"/>
      <c r="M101" s="633"/>
      <c r="N101" s="633"/>
      <c r="O101" s="633"/>
      <c r="P101" s="633"/>
      <c r="Q101" s="633"/>
      <c r="R101" s="633"/>
      <c r="S101" s="633"/>
      <c r="T101" s="633"/>
    </row>
    <row r="102" spans="1:20" ht="13.5" customHeight="1">
      <c r="A102" s="633"/>
      <c r="B102" s="659"/>
      <c r="C102" s="664"/>
      <c r="D102" s="659"/>
      <c r="E102" s="665"/>
      <c r="F102" s="665"/>
      <c r="G102" s="659"/>
      <c r="H102" s="659"/>
      <c r="I102" s="659"/>
      <c r="J102" s="659"/>
      <c r="K102" s="632"/>
      <c r="L102" s="633"/>
      <c r="M102" s="633"/>
      <c r="N102" s="633"/>
      <c r="O102" s="633"/>
      <c r="P102" s="633"/>
      <c r="Q102" s="633"/>
      <c r="R102" s="633"/>
      <c r="S102" s="633"/>
      <c r="T102" s="633"/>
    </row>
    <row r="103" spans="1:20" ht="13.5" customHeight="1">
      <c r="A103" s="633"/>
      <c r="B103" s="659"/>
      <c r="C103" s="664"/>
      <c r="D103" s="659"/>
      <c r="E103" s="665"/>
      <c r="F103" s="665"/>
      <c r="G103" s="659"/>
      <c r="H103" s="659"/>
      <c r="I103" s="659"/>
      <c r="J103" s="659"/>
      <c r="K103" s="632"/>
      <c r="L103" s="633"/>
      <c r="M103" s="633"/>
      <c r="N103" s="633"/>
      <c r="O103" s="633"/>
      <c r="P103" s="633"/>
      <c r="Q103" s="633"/>
      <c r="R103" s="633"/>
      <c r="S103" s="633"/>
      <c r="T103" s="633"/>
    </row>
    <row r="104" spans="1:20" ht="13.5" customHeight="1">
      <c r="A104" s="633"/>
      <c r="B104" s="659"/>
      <c r="C104" s="664"/>
      <c r="D104" s="659"/>
      <c r="E104" s="665"/>
      <c r="F104" s="665"/>
      <c r="G104" s="659"/>
      <c r="H104" s="659"/>
      <c r="I104" s="659"/>
      <c r="J104" s="659"/>
      <c r="K104" s="632"/>
      <c r="L104" s="633"/>
      <c r="M104" s="633"/>
      <c r="N104" s="633"/>
      <c r="O104" s="633"/>
      <c r="P104" s="633"/>
      <c r="Q104" s="633"/>
      <c r="R104" s="633"/>
      <c r="S104" s="633"/>
      <c r="T104" s="633"/>
    </row>
    <row r="105" spans="1:20" ht="13.5" customHeight="1">
      <c r="A105" s="633"/>
      <c r="B105" s="659"/>
      <c r="C105" s="664"/>
      <c r="D105" s="659"/>
      <c r="E105" s="665"/>
      <c r="F105" s="665"/>
      <c r="G105" s="659"/>
      <c r="H105" s="659"/>
      <c r="I105" s="659"/>
      <c r="J105" s="659"/>
      <c r="K105" s="632"/>
      <c r="L105" s="633"/>
      <c r="M105" s="633"/>
      <c r="N105" s="633"/>
      <c r="O105" s="633"/>
      <c r="P105" s="633"/>
      <c r="Q105" s="633"/>
      <c r="R105" s="633"/>
      <c r="S105" s="633"/>
      <c r="T105" s="633"/>
    </row>
    <row r="106" spans="1:20" ht="13.5" customHeight="1">
      <c r="A106" s="633"/>
      <c r="B106" s="659"/>
      <c r="C106" s="664"/>
      <c r="D106" s="659"/>
      <c r="E106" s="665"/>
      <c r="F106" s="665"/>
      <c r="G106" s="659"/>
      <c r="H106" s="659"/>
      <c r="I106" s="659"/>
      <c r="J106" s="659"/>
      <c r="K106" s="632"/>
      <c r="L106" s="633"/>
      <c r="M106" s="633"/>
      <c r="N106" s="633"/>
      <c r="O106" s="633"/>
      <c r="P106" s="633"/>
      <c r="Q106" s="633"/>
      <c r="R106" s="633"/>
      <c r="S106" s="633"/>
      <c r="T106" s="633"/>
    </row>
    <row r="107" spans="1:20" ht="13.5" customHeight="1">
      <c r="A107" s="633"/>
      <c r="B107" s="659"/>
      <c r="C107" s="664"/>
      <c r="D107" s="659"/>
      <c r="E107" s="665"/>
      <c r="F107" s="665"/>
      <c r="G107" s="659"/>
      <c r="H107" s="659"/>
      <c r="I107" s="659"/>
      <c r="J107" s="659"/>
      <c r="K107" s="632"/>
      <c r="L107" s="633"/>
      <c r="M107" s="633"/>
      <c r="N107" s="633"/>
      <c r="O107" s="633"/>
      <c r="P107" s="633"/>
      <c r="Q107" s="633"/>
      <c r="R107" s="633"/>
      <c r="S107" s="633"/>
      <c r="T107" s="633"/>
    </row>
    <row r="108" spans="1:20" ht="13.5" customHeight="1">
      <c r="A108" s="633"/>
      <c r="B108" s="659"/>
      <c r="C108" s="664"/>
      <c r="D108" s="659"/>
      <c r="E108" s="665"/>
      <c r="F108" s="665"/>
      <c r="G108" s="659"/>
      <c r="H108" s="659"/>
      <c r="I108" s="659"/>
      <c r="J108" s="659"/>
      <c r="K108" s="632"/>
      <c r="L108" s="633"/>
      <c r="M108" s="633"/>
      <c r="N108" s="633"/>
      <c r="O108" s="633"/>
      <c r="P108" s="633"/>
      <c r="Q108" s="633"/>
      <c r="R108" s="633"/>
      <c r="S108" s="633"/>
      <c r="T108" s="633"/>
    </row>
    <row r="109" spans="1:20" ht="13.5" customHeight="1">
      <c r="A109" s="633"/>
      <c r="B109" s="659"/>
      <c r="C109" s="664"/>
      <c r="D109" s="659"/>
      <c r="E109" s="665"/>
      <c r="F109" s="665"/>
      <c r="G109" s="659"/>
      <c r="H109" s="659"/>
      <c r="I109" s="659"/>
      <c r="J109" s="659"/>
      <c r="K109" s="632"/>
      <c r="L109" s="633"/>
      <c r="M109" s="633"/>
      <c r="N109" s="633"/>
      <c r="O109" s="633"/>
      <c r="P109" s="633"/>
      <c r="Q109" s="633"/>
      <c r="R109" s="633"/>
      <c r="S109" s="633"/>
      <c r="T109" s="633"/>
    </row>
    <row r="110" spans="1:20" ht="13.5" customHeight="1">
      <c r="A110" s="633"/>
      <c r="B110" s="659"/>
      <c r="C110" s="664"/>
      <c r="D110" s="659"/>
      <c r="E110" s="665"/>
      <c r="F110" s="665"/>
      <c r="G110" s="659"/>
      <c r="H110" s="659"/>
      <c r="I110" s="659"/>
      <c r="J110" s="659"/>
      <c r="K110" s="632"/>
      <c r="L110" s="633"/>
      <c r="M110" s="633"/>
      <c r="N110" s="633"/>
      <c r="O110" s="633"/>
      <c r="P110" s="633"/>
      <c r="Q110" s="633"/>
      <c r="R110" s="633"/>
      <c r="S110" s="633"/>
      <c r="T110" s="633"/>
    </row>
    <row r="111" spans="1:20" ht="13.5" customHeight="1">
      <c r="A111" s="633"/>
      <c r="B111" s="659"/>
      <c r="C111" s="664"/>
      <c r="D111" s="659"/>
      <c r="E111" s="665"/>
      <c r="F111" s="665"/>
      <c r="G111" s="659"/>
      <c r="H111" s="659"/>
      <c r="I111" s="659"/>
      <c r="J111" s="659"/>
      <c r="K111" s="632"/>
      <c r="L111" s="633"/>
      <c r="M111" s="633"/>
      <c r="N111" s="633"/>
      <c r="O111" s="633"/>
      <c r="P111" s="633"/>
      <c r="Q111" s="633"/>
      <c r="R111" s="633"/>
      <c r="S111" s="633"/>
      <c r="T111" s="633"/>
    </row>
    <row r="112" spans="1:20" ht="13.5" customHeight="1">
      <c r="A112" s="633"/>
      <c r="B112" s="659"/>
      <c r="C112" s="664"/>
      <c r="D112" s="659"/>
      <c r="E112" s="665"/>
      <c r="F112" s="665"/>
      <c r="G112" s="659"/>
      <c r="H112" s="659"/>
      <c r="I112" s="659"/>
      <c r="J112" s="659"/>
      <c r="K112" s="632"/>
      <c r="L112" s="633"/>
      <c r="M112" s="633"/>
      <c r="N112" s="633"/>
      <c r="O112" s="633"/>
      <c r="P112" s="633"/>
      <c r="Q112" s="633"/>
      <c r="R112" s="633"/>
      <c r="S112" s="633"/>
      <c r="T112" s="633"/>
    </row>
    <row r="113" spans="1:20" ht="13.5" customHeight="1">
      <c r="A113" s="633"/>
      <c r="B113" s="659"/>
      <c r="C113" s="664"/>
      <c r="D113" s="659"/>
      <c r="E113" s="665"/>
      <c r="F113" s="665"/>
      <c r="G113" s="659"/>
      <c r="H113" s="659"/>
      <c r="I113" s="659"/>
      <c r="J113" s="659"/>
      <c r="K113" s="632"/>
      <c r="L113" s="633"/>
      <c r="M113" s="633"/>
      <c r="N113" s="633"/>
      <c r="O113" s="633"/>
      <c r="P113" s="633"/>
      <c r="Q113" s="633"/>
      <c r="R113" s="633"/>
      <c r="S113" s="633"/>
      <c r="T113" s="633"/>
    </row>
    <row r="114" spans="1:20" ht="13.5" customHeight="1">
      <c r="A114" s="633"/>
      <c r="B114" s="659"/>
      <c r="C114" s="664"/>
      <c r="D114" s="659"/>
      <c r="E114" s="665"/>
      <c r="F114" s="665"/>
      <c r="G114" s="659"/>
      <c r="H114" s="659"/>
      <c r="I114" s="659"/>
      <c r="J114" s="659"/>
      <c r="K114" s="632"/>
      <c r="L114" s="633"/>
      <c r="M114" s="633"/>
      <c r="N114" s="633"/>
      <c r="O114" s="633"/>
      <c r="P114" s="633"/>
      <c r="Q114" s="633"/>
      <c r="R114" s="633"/>
      <c r="S114" s="633"/>
      <c r="T114" s="633"/>
    </row>
    <row r="115" spans="1:20" ht="13.5" customHeight="1">
      <c r="A115" s="633"/>
      <c r="B115" s="659"/>
      <c r="C115" s="664"/>
      <c r="D115" s="659"/>
      <c r="E115" s="665"/>
      <c r="F115" s="665"/>
      <c r="G115" s="659"/>
      <c r="H115" s="659"/>
      <c r="I115" s="659"/>
      <c r="J115" s="659"/>
      <c r="K115" s="632"/>
      <c r="L115" s="633"/>
      <c r="M115" s="633"/>
      <c r="N115" s="633"/>
      <c r="O115" s="633"/>
      <c r="P115" s="633"/>
      <c r="Q115" s="633"/>
      <c r="R115" s="633"/>
      <c r="S115" s="633"/>
      <c r="T115" s="633"/>
    </row>
    <row r="116" spans="1:20" ht="13.5" customHeight="1">
      <c r="A116" s="633"/>
      <c r="B116" s="659"/>
      <c r="C116" s="664"/>
      <c r="D116" s="659"/>
      <c r="E116" s="665"/>
      <c r="F116" s="665"/>
      <c r="G116" s="659"/>
      <c r="H116" s="659"/>
      <c r="I116" s="659"/>
      <c r="J116" s="659"/>
      <c r="K116" s="632"/>
      <c r="L116" s="633"/>
      <c r="M116" s="633"/>
      <c r="N116" s="633"/>
      <c r="O116" s="633"/>
      <c r="P116" s="633"/>
      <c r="Q116" s="633"/>
      <c r="R116" s="633"/>
      <c r="S116" s="633"/>
      <c r="T116" s="633"/>
    </row>
    <row r="117" spans="1:20" ht="13.5" customHeight="1">
      <c r="A117" s="633"/>
      <c r="B117" s="659"/>
      <c r="C117" s="664"/>
      <c r="D117" s="659"/>
      <c r="E117" s="665"/>
      <c r="F117" s="665"/>
      <c r="G117" s="659"/>
      <c r="H117" s="659"/>
      <c r="I117" s="659"/>
      <c r="J117" s="659"/>
      <c r="K117" s="632"/>
      <c r="L117" s="633"/>
      <c r="M117" s="633"/>
      <c r="N117" s="633"/>
      <c r="O117" s="633"/>
      <c r="P117" s="633"/>
      <c r="Q117" s="633"/>
      <c r="R117" s="633"/>
      <c r="S117" s="633"/>
      <c r="T117" s="633"/>
    </row>
    <row r="118" spans="1:20" ht="13.5" customHeight="1">
      <c r="A118" s="633"/>
      <c r="B118" s="659"/>
      <c r="C118" s="664"/>
      <c r="D118" s="659"/>
      <c r="E118" s="665"/>
      <c r="F118" s="665"/>
      <c r="G118" s="659"/>
      <c r="H118" s="659"/>
      <c r="I118" s="659"/>
      <c r="J118" s="659"/>
      <c r="K118" s="632"/>
      <c r="L118" s="633"/>
      <c r="M118" s="633"/>
      <c r="N118" s="633"/>
      <c r="O118" s="633"/>
      <c r="P118" s="633"/>
      <c r="Q118" s="633"/>
      <c r="R118" s="633"/>
      <c r="S118" s="633"/>
      <c r="T118" s="633"/>
    </row>
    <row r="119" spans="1:20" ht="13.5" customHeight="1">
      <c r="A119" s="633"/>
      <c r="B119" s="659"/>
      <c r="C119" s="664"/>
      <c r="D119" s="659"/>
      <c r="E119" s="665"/>
      <c r="F119" s="665"/>
      <c r="G119" s="659"/>
      <c r="H119" s="659"/>
      <c r="I119" s="659"/>
      <c r="J119" s="659"/>
      <c r="K119" s="632"/>
      <c r="L119" s="633"/>
      <c r="M119" s="633"/>
      <c r="N119" s="633"/>
      <c r="O119" s="633"/>
      <c r="P119" s="633"/>
      <c r="Q119" s="633"/>
      <c r="R119" s="633"/>
      <c r="S119" s="633"/>
      <c r="T119" s="633"/>
    </row>
    <row r="120" spans="1:20" ht="13.5" customHeight="1">
      <c r="A120" s="633"/>
      <c r="B120" s="659"/>
      <c r="C120" s="664"/>
      <c r="D120" s="659"/>
      <c r="E120" s="665"/>
      <c r="F120" s="665"/>
      <c r="G120" s="659"/>
      <c r="H120" s="659"/>
      <c r="I120" s="659"/>
      <c r="J120" s="659"/>
      <c r="K120" s="632"/>
      <c r="L120" s="633"/>
      <c r="M120" s="633"/>
      <c r="N120" s="633"/>
      <c r="O120" s="633"/>
      <c r="P120" s="633"/>
      <c r="Q120" s="633"/>
      <c r="R120" s="633"/>
      <c r="S120" s="633"/>
      <c r="T120" s="633"/>
    </row>
    <row r="121" spans="1:20" ht="13.5" customHeight="1">
      <c r="A121" s="633"/>
      <c r="B121" s="659"/>
      <c r="C121" s="664"/>
      <c r="D121" s="659"/>
      <c r="E121" s="665"/>
      <c r="F121" s="665"/>
      <c r="G121" s="659"/>
      <c r="H121" s="659"/>
      <c r="I121" s="659"/>
      <c r="J121" s="659"/>
      <c r="K121" s="632"/>
      <c r="L121" s="633"/>
      <c r="M121" s="633"/>
      <c r="N121" s="633"/>
      <c r="O121" s="633"/>
      <c r="P121" s="633"/>
      <c r="Q121" s="633"/>
      <c r="R121" s="633"/>
      <c r="S121" s="633"/>
      <c r="T121" s="633"/>
    </row>
    <row r="122" spans="1:20" ht="13.5" customHeight="1">
      <c r="A122" s="633"/>
      <c r="B122" s="659"/>
      <c r="C122" s="664"/>
      <c r="D122" s="659"/>
      <c r="E122" s="665"/>
      <c r="F122" s="665"/>
      <c r="G122" s="659"/>
      <c r="H122" s="659"/>
      <c r="I122" s="659"/>
      <c r="J122" s="659"/>
      <c r="K122" s="632"/>
      <c r="L122" s="633"/>
      <c r="M122" s="633"/>
      <c r="N122" s="633"/>
      <c r="O122" s="633"/>
      <c r="P122" s="633"/>
      <c r="Q122" s="633"/>
      <c r="R122" s="633"/>
      <c r="S122" s="633"/>
      <c r="T122" s="633"/>
    </row>
    <row r="123" spans="1:20" ht="13.5" customHeight="1">
      <c r="A123" s="633"/>
      <c r="B123" s="659"/>
      <c r="C123" s="664"/>
      <c r="D123" s="659"/>
      <c r="E123" s="665"/>
      <c r="F123" s="665"/>
      <c r="G123" s="659"/>
      <c r="H123" s="659"/>
      <c r="I123" s="659"/>
      <c r="J123" s="659"/>
      <c r="K123" s="632"/>
      <c r="L123" s="633"/>
      <c r="M123" s="633"/>
      <c r="N123" s="633"/>
      <c r="O123" s="633"/>
      <c r="P123" s="633"/>
      <c r="Q123" s="633"/>
      <c r="R123" s="633"/>
      <c r="S123" s="633"/>
      <c r="T123" s="633"/>
    </row>
    <row r="124" spans="1:20" ht="13.5" customHeight="1">
      <c r="A124" s="633"/>
      <c r="B124" s="659"/>
      <c r="C124" s="664"/>
      <c r="D124" s="659"/>
      <c r="E124" s="665"/>
      <c r="F124" s="665"/>
      <c r="G124" s="659"/>
      <c r="H124" s="659"/>
      <c r="I124" s="659"/>
      <c r="J124" s="659"/>
      <c r="K124" s="632"/>
      <c r="L124" s="633"/>
      <c r="M124" s="633"/>
      <c r="N124" s="633"/>
      <c r="O124" s="633"/>
      <c r="P124" s="633"/>
      <c r="Q124" s="633"/>
      <c r="R124" s="633"/>
      <c r="S124" s="633"/>
      <c r="T124" s="633"/>
    </row>
    <row r="125" spans="1:20" ht="13.5" customHeight="1">
      <c r="A125" s="633"/>
      <c r="B125" s="659"/>
      <c r="C125" s="664"/>
      <c r="D125" s="659"/>
      <c r="E125" s="665"/>
      <c r="F125" s="665"/>
      <c r="G125" s="659"/>
      <c r="H125" s="659"/>
      <c r="I125" s="659"/>
      <c r="J125" s="659"/>
      <c r="K125" s="632"/>
      <c r="L125" s="633"/>
      <c r="M125" s="633"/>
      <c r="N125" s="633"/>
      <c r="O125" s="633"/>
      <c r="P125" s="633"/>
      <c r="Q125" s="633"/>
      <c r="R125" s="633"/>
      <c r="S125" s="633"/>
      <c r="T125" s="633"/>
    </row>
    <row r="126" spans="1:20" ht="13.5" customHeight="1">
      <c r="A126" s="633"/>
      <c r="B126" s="659"/>
      <c r="C126" s="664"/>
      <c r="D126" s="659"/>
      <c r="E126" s="665"/>
      <c r="F126" s="665"/>
      <c r="G126" s="659"/>
      <c r="H126" s="659"/>
      <c r="I126" s="659"/>
      <c r="J126" s="659"/>
      <c r="K126" s="632"/>
      <c r="L126" s="633"/>
      <c r="M126" s="633"/>
      <c r="N126" s="633"/>
      <c r="O126" s="633"/>
      <c r="P126" s="633"/>
      <c r="Q126" s="633"/>
      <c r="R126" s="633"/>
      <c r="S126" s="633"/>
      <c r="T126" s="633"/>
    </row>
    <row r="127" spans="1:20" ht="13.5" customHeight="1">
      <c r="A127" s="633"/>
      <c r="B127" s="659"/>
      <c r="C127" s="664"/>
      <c r="D127" s="659"/>
      <c r="E127" s="665"/>
      <c r="F127" s="665"/>
      <c r="G127" s="659"/>
      <c r="H127" s="659"/>
      <c r="I127" s="659"/>
      <c r="J127" s="659"/>
      <c r="K127" s="632"/>
      <c r="L127" s="633"/>
      <c r="M127" s="633"/>
      <c r="N127" s="633"/>
      <c r="O127" s="633"/>
      <c r="P127" s="633"/>
      <c r="Q127" s="633"/>
      <c r="R127" s="633"/>
      <c r="S127" s="633"/>
      <c r="T127" s="633"/>
    </row>
    <row r="128" spans="1:20" ht="13.5" customHeight="1">
      <c r="A128" s="633"/>
      <c r="B128" s="659"/>
      <c r="C128" s="664"/>
      <c r="D128" s="659"/>
      <c r="E128" s="665"/>
      <c r="F128" s="665"/>
      <c r="G128" s="659"/>
      <c r="H128" s="659"/>
      <c r="I128" s="659"/>
      <c r="J128" s="659"/>
      <c r="K128" s="632"/>
      <c r="L128" s="633"/>
      <c r="M128" s="633"/>
      <c r="N128" s="633"/>
      <c r="O128" s="633"/>
      <c r="P128" s="633"/>
      <c r="Q128" s="633"/>
      <c r="R128" s="633"/>
      <c r="S128" s="633"/>
      <c r="T128" s="633"/>
    </row>
    <row r="129" spans="1:20" ht="13.5" customHeight="1">
      <c r="A129" s="633"/>
      <c r="B129" s="659"/>
      <c r="C129" s="664"/>
      <c r="D129" s="659"/>
      <c r="E129" s="665"/>
      <c r="F129" s="665"/>
      <c r="G129" s="659"/>
      <c r="H129" s="659"/>
      <c r="I129" s="659"/>
      <c r="J129" s="659"/>
      <c r="K129" s="632"/>
      <c r="L129" s="633"/>
      <c r="M129" s="633"/>
      <c r="N129" s="633"/>
      <c r="O129" s="633"/>
      <c r="P129" s="633"/>
      <c r="Q129" s="633"/>
      <c r="R129" s="633"/>
      <c r="S129" s="633"/>
      <c r="T129" s="633"/>
    </row>
    <row r="130" spans="1:20" ht="13.5" customHeight="1">
      <c r="A130" s="633"/>
      <c r="B130" s="659"/>
      <c r="C130" s="664"/>
      <c r="D130" s="659"/>
      <c r="E130" s="665"/>
      <c r="F130" s="665"/>
      <c r="G130" s="659"/>
      <c r="H130" s="659"/>
      <c r="I130" s="659"/>
      <c r="J130" s="659"/>
      <c r="K130" s="632"/>
      <c r="L130" s="633"/>
      <c r="M130" s="633"/>
      <c r="N130" s="633"/>
      <c r="O130" s="633"/>
      <c r="P130" s="633"/>
      <c r="Q130" s="633"/>
      <c r="R130" s="633"/>
      <c r="S130" s="633"/>
      <c r="T130" s="633"/>
    </row>
    <row r="131" spans="1:20" ht="13.5" customHeight="1">
      <c r="A131" s="633"/>
      <c r="B131" s="659"/>
      <c r="C131" s="664"/>
      <c r="D131" s="659"/>
      <c r="E131" s="665"/>
      <c r="F131" s="665"/>
      <c r="G131" s="659"/>
      <c r="H131" s="659"/>
      <c r="I131" s="659"/>
      <c r="J131" s="659"/>
      <c r="K131" s="632"/>
      <c r="L131" s="633"/>
      <c r="M131" s="633"/>
      <c r="N131" s="633"/>
      <c r="O131" s="633"/>
      <c r="P131" s="633"/>
      <c r="Q131" s="633"/>
      <c r="R131" s="633"/>
      <c r="S131" s="633"/>
      <c r="T131" s="633"/>
    </row>
    <row r="132" spans="1:20" ht="13.5" customHeight="1">
      <c r="A132" s="633"/>
      <c r="B132" s="659"/>
      <c r="C132" s="664"/>
      <c r="D132" s="659"/>
      <c r="E132" s="665"/>
      <c r="F132" s="665"/>
      <c r="G132" s="659"/>
      <c r="H132" s="659"/>
      <c r="I132" s="659"/>
      <c r="J132" s="659"/>
      <c r="K132" s="632"/>
      <c r="L132" s="633"/>
      <c r="M132" s="633"/>
      <c r="N132" s="633"/>
      <c r="O132" s="633"/>
      <c r="P132" s="633"/>
      <c r="Q132" s="633"/>
      <c r="R132" s="633"/>
      <c r="S132" s="633"/>
      <c r="T132" s="633"/>
    </row>
    <row r="133" spans="1:20" ht="13.5" customHeight="1">
      <c r="A133" s="633"/>
      <c r="B133" s="659"/>
      <c r="C133" s="664"/>
      <c r="D133" s="659"/>
      <c r="E133" s="665"/>
      <c r="F133" s="665"/>
      <c r="G133" s="659"/>
      <c r="H133" s="659"/>
      <c r="I133" s="659"/>
      <c r="J133" s="659"/>
      <c r="K133" s="632"/>
      <c r="L133" s="633"/>
      <c r="M133" s="633"/>
      <c r="N133" s="633"/>
      <c r="O133" s="633"/>
      <c r="P133" s="633"/>
      <c r="Q133" s="633"/>
      <c r="R133" s="633"/>
      <c r="S133" s="633"/>
      <c r="T133" s="633"/>
    </row>
    <row r="134" spans="1:20" ht="13.5" customHeight="1">
      <c r="A134" s="633"/>
      <c r="B134" s="659"/>
      <c r="C134" s="664"/>
      <c r="D134" s="659"/>
      <c r="E134" s="665"/>
      <c r="F134" s="665"/>
      <c r="G134" s="659"/>
      <c r="H134" s="659"/>
      <c r="I134" s="659"/>
      <c r="J134" s="659"/>
      <c r="K134" s="632"/>
      <c r="L134" s="633"/>
      <c r="M134" s="633"/>
      <c r="N134" s="633"/>
      <c r="O134" s="633"/>
      <c r="P134" s="633"/>
      <c r="Q134" s="633"/>
      <c r="R134" s="633"/>
      <c r="S134" s="633"/>
      <c r="T134" s="633"/>
    </row>
    <row r="135" spans="1:20" ht="13.5" customHeight="1">
      <c r="A135" s="633"/>
      <c r="B135" s="659"/>
      <c r="C135" s="664"/>
      <c r="D135" s="659"/>
      <c r="E135" s="665"/>
      <c r="F135" s="665"/>
      <c r="G135" s="659"/>
      <c r="H135" s="659"/>
      <c r="I135" s="659"/>
      <c r="J135" s="659"/>
      <c r="K135" s="632"/>
      <c r="L135" s="633"/>
      <c r="M135" s="633"/>
      <c r="N135" s="633"/>
      <c r="O135" s="633"/>
      <c r="P135" s="633"/>
      <c r="Q135" s="633"/>
      <c r="R135" s="633"/>
      <c r="S135" s="633"/>
      <c r="T135" s="633"/>
    </row>
    <row r="136" spans="1:20" ht="13.5" customHeight="1">
      <c r="A136" s="633"/>
      <c r="B136" s="659"/>
      <c r="C136" s="664"/>
      <c r="D136" s="659"/>
      <c r="E136" s="665"/>
      <c r="F136" s="665"/>
      <c r="G136" s="659"/>
      <c r="H136" s="659"/>
      <c r="I136" s="659"/>
      <c r="J136" s="659"/>
      <c r="K136" s="632"/>
      <c r="L136" s="633"/>
      <c r="M136" s="633"/>
      <c r="N136" s="633"/>
      <c r="O136" s="633"/>
      <c r="P136" s="633"/>
      <c r="Q136" s="633"/>
      <c r="R136" s="633"/>
      <c r="S136" s="633"/>
      <c r="T136" s="633"/>
    </row>
    <row r="137" spans="1:20" ht="13.5" customHeight="1">
      <c r="A137" s="633"/>
      <c r="B137" s="659"/>
      <c r="C137" s="664"/>
      <c r="D137" s="659"/>
      <c r="E137" s="665"/>
      <c r="F137" s="665"/>
      <c r="G137" s="659"/>
      <c r="H137" s="659"/>
      <c r="I137" s="659"/>
      <c r="J137" s="659"/>
      <c r="K137" s="632"/>
      <c r="L137" s="633"/>
      <c r="M137" s="633"/>
      <c r="N137" s="633"/>
      <c r="O137" s="633"/>
      <c r="P137" s="633"/>
      <c r="Q137" s="633"/>
      <c r="R137" s="633"/>
      <c r="S137" s="633"/>
      <c r="T137" s="633"/>
    </row>
    <row r="138" spans="1:20" ht="13.5" customHeight="1">
      <c r="A138" s="633"/>
      <c r="B138" s="659"/>
      <c r="C138" s="664"/>
      <c r="D138" s="659"/>
      <c r="E138" s="665"/>
      <c r="F138" s="665"/>
      <c r="G138" s="659"/>
      <c r="H138" s="659"/>
      <c r="I138" s="659"/>
      <c r="J138" s="659"/>
      <c r="K138" s="632"/>
      <c r="L138" s="633"/>
      <c r="M138" s="633"/>
      <c r="N138" s="633"/>
      <c r="O138" s="633"/>
      <c r="P138" s="633"/>
      <c r="Q138" s="633"/>
      <c r="R138" s="633"/>
      <c r="S138" s="633"/>
      <c r="T138" s="633"/>
    </row>
    <row r="139" spans="1:20" ht="13.5" customHeight="1">
      <c r="A139" s="633"/>
      <c r="B139" s="659"/>
      <c r="C139" s="664"/>
      <c r="D139" s="659"/>
      <c r="E139" s="665"/>
      <c r="F139" s="665"/>
      <c r="G139" s="659"/>
      <c r="H139" s="659"/>
      <c r="I139" s="659"/>
      <c r="J139" s="659"/>
      <c r="K139" s="632"/>
      <c r="L139" s="633"/>
      <c r="M139" s="633"/>
      <c r="N139" s="633"/>
      <c r="O139" s="633"/>
      <c r="P139" s="633"/>
      <c r="Q139" s="633"/>
      <c r="R139" s="633"/>
      <c r="S139" s="633"/>
      <c r="T139" s="633"/>
    </row>
    <row r="140" spans="1:20" ht="13.5" customHeight="1">
      <c r="A140" s="633"/>
      <c r="B140" s="659"/>
      <c r="C140" s="664"/>
      <c r="D140" s="659"/>
      <c r="E140" s="665"/>
      <c r="F140" s="665"/>
      <c r="G140" s="659"/>
      <c r="H140" s="659"/>
      <c r="I140" s="659"/>
      <c r="J140" s="659"/>
      <c r="K140" s="632"/>
      <c r="L140" s="633"/>
      <c r="M140" s="633"/>
      <c r="N140" s="633"/>
      <c r="O140" s="633"/>
      <c r="P140" s="633"/>
      <c r="Q140" s="633"/>
      <c r="R140" s="633"/>
      <c r="S140" s="633"/>
      <c r="T140" s="633"/>
    </row>
    <row r="141" spans="1:20" ht="13.5" customHeight="1">
      <c r="A141" s="633"/>
      <c r="B141" s="659"/>
      <c r="C141" s="664"/>
      <c r="D141" s="659"/>
      <c r="E141" s="665"/>
      <c r="F141" s="665"/>
      <c r="G141" s="659"/>
      <c r="H141" s="659"/>
      <c r="I141" s="659"/>
      <c r="J141" s="659"/>
      <c r="K141" s="632"/>
      <c r="L141" s="633"/>
      <c r="M141" s="633"/>
      <c r="N141" s="633"/>
      <c r="O141" s="633"/>
      <c r="P141" s="633"/>
      <c r="Q141" s="633"/>
      <c r="R141" s="633"/>
      <c r="S141" s="633"/>
      <c r="T141" s="633"/>
    </row>
    <row r="142" spans="1:20" ht="13.5" customHeight="1">
      <c r="A142" s="633"/>
      <c r="B142" s="659"/>
      <c r="C142" s="664"/>
      <c r="D142" s="659"/>
      <c r="E142" s="665"/>
      <c r="F142" s="665"/>
      <c r="G142" s="659"/>
      <c r="H142" s="659"/>
      <c r="I142" s="659"/>
      <c r="J142" s="659"/>
      <c r="K142" s="632"/>
      <c r="L142" s="633"/>
      <c r="M142" s="633"/>
      <c r="N142" s="633"/>
      <c r="O142" s="633"/>
      <c r="P142" s="633"/>
      <c r="Q142" s="633"/>
      <c r="R142" s="633"/>
      <c r="S142" s="633"/>
      <c r="T142" s="633"/>
    </row>
    <row r="143" spans="1:20" ht="13.5" customHeight="1">
      <c r="A143" s="633"/>
      <c r="B143" s="659"/>
      <c r="C143" s="664"/>
      <c r="D143" s="659"/>
      <c r="E143" s="665"/>
      <c r="F143" s="665"/>
      <c r="G143" s="659"/>
      <c r="H143" s="659"/>
      <c r="I143" s="659"/>
      <c r="J143" s="659"/>
      <c r="K143" s="632"/>
      <c r="L143" s="633"/>
      <c r="M143" s="633"/>
      <c r="N143" s="633"/>
      <c r="O143" s="633"/>
      <c r="P143" s="633"/>
      <c r="Q143" s="633"/>
      <c r="R143" s="633"/>
      <c r="S143" s="633"/>
      <c r="T143" s="633"/>
    </row>
    <row r="144" spans="1:20" ht="13.5" customHeight="1">
      <c r="A144" s="633"/>
      <c r="B144" s="659"/>
      <c r="C144" s="664"/>
      <c r="D144" s="659"/>
      <c r="E144" s="665"/>
      <c r="F144" s="665"/>
      <c r="G144" s="659"/>
      <c r="H144" s="659"/>
      <c r="I144" s="659"/>
      <c r="J144" s="659"/>
      <c r="K144" s="632"/>
      <c r="L144" s="633"/>
      <c r="M144" s="633"/>
      <c r="N144" s="633"/>
      <c r="O144" s="633"/>
      <c r="P144" s="633"/>
      <c r="Q144" s="633"/>
      <c r="R144" s="633"/>
      <c r="S144" s="633"/>
      <c r="T144" s="633"/>
    </row>
    <row r="145" spans="1:20" ht="13.5" customHeight="1">
      <c r="A145" s="633"/>
      <c r="B145" s="659"/>
      <c r="C145" s="664"/>
      <c r="D145" s="659"/>
      <c r="E145" s="665"/>
      <c r="F145" s="665"/>
      <c r="G145" s="659"/>
      <c r="H145" s="659"/>
      <c r="I145" s="659"/>
      <c r="J145" s="659"/>
      <c r="K145" s="632"/>
      <c r="L145" s="633"/>
      <c r="M145" s="633"/>
      <c r="N145" s="633"/>
      <c r="O145" s="633"/>
      <c r="P145" s="633"/>
      <c r="Q145" s="633"/>
      <c r="R145" s="633"/>
      <c r="S145" s="633"/>
      <c r="T145" s="633"/>
    </row>
    <row r="146" spans="1:20" ht="13.5" customHeight="1">
      <c r="A146" s="633"/>
      <c r="B146" s="659"/>
      <c r="C146" s="664"/>
      <c r="D146" s="659"/>
      <c r="E146" s="665"/>
      <c r="F146" s="665"/>
      <c r="G146" s="659"/>
      <c r="H146" s="659"/>
      <c r="I146" s="659"/>
      <c r="J146" s="659"/>
      <c r="K146" s="632"/>
      <c r="L146" s="633"/>
      <c r="M146" s="633"/>
      <c r="N146" s="633"/>
      <c r="O146" s="633"/>
      <c r="P146" s="633"/>
      <c r="Q146" s="633"/>
      <c r="R146" s="633"/>
      <c r="S146" s="633"/>
      <c r="T146" s="633"/>
    </row>
    <row r="147" spans="1:20" ht="13.5" customHeight="1">
      <c r="A147" s="633"/>
      <c r="B147" s="659"/>
      <c r="C147" s="664"/>
      <c r="D147" s="659"/>
      <c r="E147" s="665"/>
      <c r="F147" s="665"/>
      <c r="G147" s="659"/>
      <c r="H147" s="659"/>
      <c r="I147" s="659"/>
      <c r="J147" s="659"/>
      <c r="K147" s="632"/>
      <c r="L147" s="633"/>
      <c r="M147" s="633"/>
      <c r="N147" s="633"/>
      <c r="O147" s="633"/>
      <c r="P147" s="633"/>
      <c r="Q147" s="633"/>
      <c r="R147" s="633"/>
      <c r="S147" s="633"/>
      <c r="T147" s="633"/>
    </row>
    <row r="148" spans="1:20" ht="13.5" customHeight="1">
      <c r="A148" s="633"/>
      <c r="B148" s="659"/>
      <c r="C148" s="664"/>
      <c r="D148" s="659"/>
      <c r="E148" s="665"/>
      <c r="F148" s="665"/>
      <c r="G148" s="659"/>
      <c r="H148" s="659"/>
      <c r="I148" s="659"/>
      <c r="J148" s="659"/>
      <c r="K148" s="632"/>
      <c r="L148" s="633"/>
      <c r="M148" s="633"/>
      <c r="N148" s="633"/>
      <c r="O148" s="633"/>
      <c r="P148" s="633"/>
      <c r="Q148" s="633"/>
      <c r="R148" s="633"/>
      <c r="S148" s="633"/>
      <c r="T148" s="633"/>
    </row>
    <row r="149" spans="1:20" ht="13.5" customHeight="1">
      <c r="A149" s="633"/>
      <c r="B149" s="659"/>
      <c r="C149" s="664"/>
      <c r="D149" s="659"/>
      <c r="E149" s="665"/>
      <c r="F149" s="665"/>
      <c r="G149" s="659"/>
      <c r="H149" s="659"/>
      <c r="I149" s="659"/>
      <c r="J149" s="659"/>
      <c r="K149" s="632"/>
      <c r="L149" s="633"/>
      <c r="M149" s="633"/>
      <c r="N149" s="633"/>
      <c r="O149" s="633"/>
      <c r="P149" s="633"/>
      <c r="Q149" s="633"/>
      <c r="R149" s="633"/>
      <c r="S149" s="633"/>
      <c r="T149" s="633"/>
    </row>
    <row r="150" spans="1:20" ht="13.5" customHeight="1">
      <c r="A150" s="633"/>
      <c r="B150" s="659"/>
      <c r="C150" s="664"/>
      <c r="D150" s="659"/>
      <c r="E150" s="665"/>
      <c r="F150" s="665"/>
      <c r="G150" s="659"/>
      <c r="H150" s="659"/>
      <c r="I150" s="659"/>
      <c r="J150" s="659"/>
      <c r="K150" s="632"/>
      <c r="L150" s="633"/>
      <c r="M150" s="633"/>
      <c r="N150" s="633"/>
      <c r="O150" s="633"/>
      <c r="P150" s="633"/>
      <c r="Q150" s="633"/>
      <c r="R150" s="633"/>
      <c r="S150" s="633"/>
      <c r="T150" s="633"/>
    </row>
    <row r="151" spans="1:20" ht="13.5" customHeight="1">
      <c r="A151" s="633"/>
      <c r="B151" s="659"/>
      <c r="C151" s="664"/>
      <c r="D151" s="659"/>
      <c r="E151" s="665"/>
      <c r="F151" s="665"/>
      <c r="G151" s="659"/>
      <c r="H151" s="659"/>
      <c r="I151" s="659"/>
      <c r="J151" s="659"/>
      <c r="K151" s="632"/>
      <c r="L151" s="633"/>
      <c r="M151" s="633"/>
      <c r="N151" s="633"/>
      <c r="O151" s="633"/>
      <c r="P151" s="633"/>
      <c r="Q151" s="633"/>
      <c r="R151" s="633"/>
      <c r="S151" s="633"/>
      <c r="T151" s="633"/>
    </row>
    <row r="152" spans="1:20" ht="13.5" customHeight="1">
      <c r="A152" s="633"/>
      <c r="B152" s="659"/>
      <c r="C152" s="664"/>
      <c r="D152" s="659"/>
      <c r="E152" s="665"/>
      <c r="F152" s="665"/>
      <c r="G152" s="659"/>
      <c r="H152" s="659"/>
      <c r="I152" s="659"/>
      <c r="J152" s="659"/>
      <c r="K152" s="632"/>
      <c r="L152" s="633"/>
      <c r="M152" s="633"/>
      <c r="N152" s="633"/>
      <c r="O152" s="633"/>
      <c r="P152" s="633"/>
      <c r="Q152" s="633"/>
      <c r="R152" s="633"/>
      <c r="S152" s="633"/>
      <c r="T152" s="633"/>
    </row>
    <row r="153" spans="1:20" ht="13.5" customHeight="1">
      <c r="A153" s="633"/>
      <c r="B153" s="659"/>
      <c r="C153" s="664"/>
      <c r="D153" s="659"/>
      <c r="E153" s="665"/>
      <c r="F153" s="665"/>
      <c r="G153" s="659"/>
      <c r="H153" s="659"/>
      <c r="I153" s="659"/>
      <c r="J153" s="659"/>
      <c r="K153" s="632"/>
      <c r="L153" s="633"/>
      <c r="M153" s="633"/>
      <c r="N153" s="633"/>
      <c r="O153" s="633"/>
      <c r="P153" s="633"/>
      <c r="Q153" s="633"/>
      <c r="R153" s="633"/>
      <c r="S153" s="633"/>
      <c r="T153" s="633"/>
    </row>
    <row r="154" spans="1:20" ht="13.5" customHeight="1">
      <c r="A154" s="633"/>
      <c r="B154" s="659"/>
      <c r="C154" s="664"/>
      <c r="D154" s="659"/>
      <c r="E154" s="665"/>
      <c r="F154" s="665"/>
      <c r="G154" s="659"/>
      <c r="H154" s="659"/>
      <c r="I154" s="659"/>
      <c r="J154" s="659"/>
      <c r="K154" s="632"/>
      <c r="L154" s="633"/>
      <c r="M154" s="633"/>
      <c r="N154" s="633"/>
      <c r="O154" s="633"/>
      <c r="P154" s="633"/>
      <c r="Q154" s="633"/>
      <c r="R154" s="633"/>
      <c r="S154" s="633"/>
      <c r="T154" s="633"/>
    </row>
    <row r="155" spans="1:20" ht="13.5" customHeight="1">
      <c r="A155" s="633"/>
      <c r="B155" s="659"/>
      <c r="C155" s="664"/>
      <c r="D155" s="659"/>
      <c r="E155" s="665"/>
      <c r="F155" s="665"/>
      <c r="G155" s="659"/>
      <c r="H155" s="659"/>
      <c r="I155" s="659"/>
      <c r="J155" s="659"/>
      <c r="K155" s="632"/>
      <c r="L155" s="633"/>
      <c r="M155" s="633"/>
      <c r="N155" s="633"/>
      <c r="O155" s="633"/>
      <c r="P155" s="633"/>
      <c r="Q155" s="633"/>
      <c r="R155" s="633"/>
      <c r="S155" s="633"/>
      <c r="T155" s="633"/>
    </row>
    <row r="156" spans="1:20" ht="13.5" customHeight="1">
      <c r="A156" s="633"/>
      <c r="B156" s="659"/>
      <c r="C156" s="664"/>
      <c r="D156" s="659"/>
      <c r="E156" s="665"/>
      <c r="F156" s="665"/>
      <c r="G156" s="659"/>
      <c r="H156" s="659"/>
      <c r="I156" s="659"/>
      <c r="J156" s="659"/>
      <c r="K156" s="632"/>
      <c r="L156" s="633"/>
      <c r="M156" s="633"/>
      <c r="N156" s="633"/>
      <c r="O156" s="633"/>
      <c r="P156" s="633"/>
      <c r="Q156" s="633"/>
      <c r="R156" s="633"/>
      <c r="S156" s="633"/>
      <c r="T156" s="633"/>
    </row>
    <row r="157" spans="1:20" ht="13.5" customHeight="1">
      <c r="A157" s="633"/>
      <c r="B157" s="659"/>
      <c r="C157" s="664"/>
      <c r="D157" s="659"/>
      <c r="E157" s="665"/>
      <c r="F157" s="665"/>
      <c r="G157" s="659"/>
      <c r="H157" s="659"/>
      <c r="I157" s="659"/>
      <c r="J157" s="659"/>
      <c r="K157" s="632"/>
      <c r="L157" s="633"/>
      <c r="M157" s="633"/>
      <c r="N157" s="633"/>
      <c r="O157" s="633"/>
      <c r="P157" s="633"/>
      <c r="Q157" s="633"/>
      <c r="R157" s="633"/>
      <c r="S157" s="633"/>
      <c r="T157" s="633"/>
    </row>
    <row r="158" spans="1:20" ht="13.5" customHeight="1">
      <c r="A158" s="633"/>
      <c r="B158" s="659"/>
      <c r="C158" s="664"/>
      <c r="D158" s="659"/>
      <c r="E158" s="665"/>
      <c r="F158" s="665"/>
      <c r="G158" s="659"/>
      <c r="H158" s="659"/>
      <c r="I158" s="659"/>
      <c r="J158" s="659"/>
      <c r="K158" s="632"/>
      <c r="L158" s="633"/>
      <c r="M158" s="633"/>
      <c r="N158" s="633"/>
      <c r="O158" s="633"/>
      <c r="P158" s="633"/>
      <c r="Q158" s="633"/>
      <c r="R158" s="633"/>
      <c r="S158" s="633"/>
      <c r="T158" s="633"/>
    </row>
    <row r="159" spans="1:20" ht="13.5" customHeight="1">
      <c r="A159" s="633"/>
      <c r="B159" s="659"/>
      <c r="C159" s="664"/>
      <c r="D159" s="659"/>
      <c r="E159" s="665"/>
      <c r="F159" s="665"/>
      <c r="G159" s="659"/>
      <c r="H159" s="659"/>
      <c r="I159" s="659"/>
      <c r="J159" s="659"/>
      <c r="K159" s="632"/>
      <c r="L159" s="633"/>
      <c r="M159" s="633"/>
      <c r="N159" s="633"/>
      <c r="O159" s="633"/>
      <c r="P159" s="633"/>
      <c r="Q159" s="633"/>
      <c r="R159" s="633"/>
      <c r="S159" s="633"/>
      <c r="T159" s="633"/>
    </row>
    <row r="160" spans="1:20" ht="13.5" customHeight="1">
      <c r="A160" s="633"/>
      <c r="B160" s="659"/>
      <c r="C160" s="664"/>
      <c r="D160" s="659"/>
      <c r="E160" s="665"/>
      <c r="F160" s="665"/>
      <c r="G160" s="659"/>
      <c r="H160" s="659"/>
      <c r="I160" s="659"/>
      <c r="J160" s="659"/>
      <c r="K160" s="632"/>
      <c r="L160" s="633"/>
      <c r="M160" s="633"/>
      <c r="N160" s="633"/>
      <c r="O160" s="633"/>
      <c r="P160" s="633"/>
      <c r="Q160" s="633"/>
      <c r="R160" s="633"/>
      <c r="S160" s="633"/>
      <c r="T160" s="633"/>
    </row>
    <row r="161" spans="1:20" ht="13.5" customHeight="1">
      <c r="A161" s="633"/>
      <c r="B161" s="659"/>
      <c r="C161" s="664"/>
      <c r="D161" s="659"/>
      <c r="E161" s="665"/>
      <c r="F161" s="665"/>
      <c r="G161" s="659"/>
      <c r="H161" s="659"/>
      <c r="I161" s="659"/>
      <c r="J161" s="659"/>
      <c r="K161" s="632"/>
      <c r="L161" s="633"/>
      <c r="M161" s="633"/>
      <c r="N161" s="633"/>
      <c r="O161" s="633"/>
      <c r="P161" s="633"/>
      <c r="Q161" s="633"/>
      <c r="R161" s="633"/>
      <c r="S161" s="633"/>
      <c r="T161" s="633"/>
    </row>
    <row r="162" spans="1:20" ht="13.5" customHeight="1">
      <c r="A162" s="633"/>
      <c r="B162" s="659"/>
      <c r="C162" s="664"/>
      <c r="D162" s="659"/>
      <c r="E162" s="665"/>
      <c r="F162" s="665"/>
      <c r="G162" s="659"/>
      <c r="H162" s="659"/>
      <c r="I162" s="659"/>
      <c r="J162" s="659"/>
      <c r="K162" s="632"/>
      <c r="L162" s="633"/>
      <c r="M162" s="633"/>
      <c r="N162" s="633"/>
      <c r="O162" s="633"/>
      <c r="P162" s="633"/>
      <c r="Q162" s="633"/>
      <c r="R162" s="633"/>
      <c r="S162" s="633"/>
      <c r="T162" s="633"/>
    </row>
    <row r="163" spans="1:20" ht="13.5" customHeight="1">
      <c r="A163" s="633"/>
      <c r="B163" s="659"/>
      <c r="C163" s="664"/>
      <c r="D163" s="659"/>
      <c r="E163" s="665"/>
      <c r="F163" s="665"/>
      <c r="G163" s="659"/>
      <c r="H163" s="659"/>
      <c r="I163" s="659"/>
      <c r="J163" s="659"/>
      <c r="K163" s="632"/>
      <c r="L163" s="633"/>
      <c r="M163" s="633"/>
      <c r="N163" s="633"/>
      <c r="O163" s="633"/>
      <c r="P163" s="633"/>
      <c r="Q163" s="633"/>
      <c r="R163" s="633"/>
      <c r="S163" s="633"/>
      <c r="T163" s="633"/>
    </row>
    <row r="164" spans="1:20" ht="13.5" customHeight="1">
      <c r="A164" s="633"/>
      <c r="B164" s="659"/>
      <c r="C164" s="664"/>
      <c r="D164" s="659"/>
      <c r="E164" s="665"/>
      <c r="F164" s="665"/>
      <c r="G164" s="659"/>
      <c r="H164" s="659"/>
      <c r="I164" s="659"/>
      <c r="J164" s="659"/>
      <c r="K164" s="632"/>
      <c r="L164" s="633"/>
      <c r="M164" s="633"/>
      <c r="N164" s="633"/>
      <c r="O164" s="633"/>
      <c r="P164" s="633"/>
      <c r="Q164" s="633"/>
      <c r="R164" s="633"/>
      <c r="S164" s="633"/>
      <c r="T164" s="633"/>
    </row>
    <row r="165" spans="1:20" ht="13.5" customHeight="1">
      <c r="A165" s="633"/>
      <c r="B165" s="659"/>
      <c r="C165" s="664"/>
      <c r="D165" s="659"/>
      <c r="E165" s="665"/>
      <c r="F165" s="665"/>
      <c r="G165" s="659"/>
      <c r="H165" s="659"/>
      <c r="I165" s="659"/>
      <c r="J165" s="659"/>
      <c r="K165" s="632"/>
      <c r="L165" s="633"/>
      <c r="M165" s="633"/>
      <c r="N165" s="633"/>
      <c r="O165" s="633"/>
      <c r="P165" s="633"/>
      <c r="Q165" s="633"/>
      <c r="R165" s="633"/>
      <c r="S165" s="633"/>
      <c r="T165" s="633"/>
    </row>
    <row r="166" spans="1:20" ht="13.5" customHeight="1">
      <c r="A166" s="633"/>
      <c r="B166" s="659"/>
      <c r="C166" s="664"/>
      <c r="D166" s="659"/>
      <c r="E166" s="665"/>
      <c r="F166" s="665"/>
      <c r="G166" s="659"/>
      <c r="H166" s="659"/>
      <c r="I166" s="659"/>
      <c r="J166" s="659"/>
      <c r="K166" s="632"/>
      <c r="L166" s="633"/>
      <c r="M166" s="633"/>
      <c r="N166" s="633"/>
      <c r="O166" s="633"/>
      <c r="P166" s="633"/>
      <c r="Q166" s="633"/>
      <c r="R166" s="633"/>
      <c r="S166" s="633"/>
      <c r="T166" s="633"/>
    </row>
    <row r="167" spans="1:20" ht="13.5" customHeight="1">
      <c r="A167" s="633"/>
      <c r="B167" s="659"/>
      <c r="C167" s="664"/>
      <c r="D167" s="659"/>
      <c r="E167" s="665"/>
      <c r="F167" s="665"/>
      <c r="G167" s="659"/>
      <c r="H167" s="659"/>
      <c r="I167" s="659"/>
      <c r="J167" s="659"/>
      <c r="K167" s="632"/>
      <c r="L167" s="633"/>
      <c r="M167" s="633"/>
      <c r="N167" s="633"/>
      <c r="O167" s="633"/>
      <c r="P167" s="633"/>
      <c r="Q167" s="633"/>
      <c r="R167" s="633"/>
      <c r="S167" s="633"/>
      <c r="T167" s="633"/>
    </row>
    <row r="168" spans="1:20" ht="13.5" customHeight="1">
      <c r="A168" s="633"/>
      <c r="B168" s="659"/>
      <c r="C168" s="664"/>
      <c r="D168" s="659"/>
      <c r="E168" s="665"/>
      <c r="F168" s="665"/>
      <c r="G168" s="659"/>
      <c r="H168" s="659"/>
      <c r="I168" s="659"/>
      <c r="J168" s="659"/>
      <c r="K168" s="632"/>
      <c r="L168" s="633"/>
      <c r="M168" s="633"/>
      <c r="N168" s="633"/>
      <c r="O168" s="633"/>
      <c r="P168" s="633"/>
      <c r="Q168" s="633"/>
      <c r="R168" s="633"/>
      <c r="S168" s="633"/>
      <c r="T168" s="633"/>
    </row>
    <row r="169" spans="1:20" ht="13.5" customHeight="1">
      <c r="A169" s="633"/>
      <c r="B169" s="659"/>
      <c r="C169" s="664"/>
      <c r="D169" s="659"/>
      <c r="E169" s="665"/>
      <c r="F169" s="665"/>
      <c r="G169" s="659"/>
      <c r="H169" s="659"/>
      <c r="I169" s="659"/>
      <c r="J169" s="659"/>
      <c r="K169" s="632"/>
      <c r="L169" s="633"/>
      <c r="M169" s="633"/>
      <c r="N169" s="633"/>
      <c r="O169" s="633"/>
      <c r="P169" s="633"/>
      <c r="Q169" s="633"/>
      <c r="R169" s="633"/>
      <c r="S169" s="633"/>
      <c r="T169" s="633"/>
    </row>
    <row r="170" spans="1:20" ht="13.5" customHeight="1">
      <c r="A170" s="633"/>
      <c r="B170" s="659"/>
      <c r="C170" s="664"/>
      <c r="D170" s="659"/>
      <c r="E170" s="665"/>
      <c r="F170" s="665"/>
      <c r="G170" s="659"/>
      <c r="H170" s="659"/>
      <c r="I170" s="659"/>
      <c r="J170" s="659"/>
      <c r="K170" s="632"/>
      <c r="L170" s="633"/>
      <c r="M170" s="633"/>
      <c r="N170" s="633"/>
      <c r="O170" s="633"/>
      <c r="P170" s="633"/>
      <c r="Q170" s="633"/>
      <c r="R170" s="633"/>
      <c r="S170" s="633"/>
      <c r="T170" s="633"/>
    </row>
    <row r="171" spans="1:20" ht="13.5" customHeight="1">
      <c r="A171" s="633"/>
      <c r="B171" s="659"/>
      <c r="C171" s="664"/>
      <c r="D171" s="659"/>
      <c r="E171" s="665"/>
      <c r="F171" s="665"/>
      <c r="G171" s="659"/>
      <c r="H171" s="659"/>
      <c r="I171" s="659"/>
      <c r="J171" s="659"/>
      <c r="K171" s="632"/>
      <c r="L171" s="633"/>
      <c r="M171" s="633"/>
      <c r="N171" s="633"/>
      <c r="O171" s="633"/>
      <c r="P171" s="633"/>
      <c r="Q171" s="633"/>
      <c r="R171" s="633"/>
      <c r="S171" s="633"/>
      <c r="T171" s="633"/>
    </row>
    <row r="172" spans="1:20" ht="13.5" customHeight="1">
      <c r="A172" s="633"/>
      <c r="B172" s="659"/>
      <c r="C172" s="664"/>
      <c r="D172" s="659"/>
      <c r="E172" s="665"/>
      <c r="F172" s="665"/>
      <c r="G172" s="659"/>
      <c r="H172" s="659"/>
      <c r="I172" s="659"/>
      <c r="J172" s="659"/>
      <c r="K172" s="632"/>
      <c r="L172" s="633"/>
      <c r="M172" s="633"/>
      <c r="N172" s="633"/>
      <c r="O172" s="633"/>
      <c r="P172" s="633"/>
      <c r="Q172" s="633"/>
      <c r="R172" s="633"/>
      <c r="S172" s="633"/>
      <c r="T172" s="633"/>
    </row>
    <row r="173" spans="1:20" ht="13.5" customHeight="1">
      <c r="A173" s="633"/>
      <c r="B173" s="659"/>
      <c r="C173" s="664"/>
      <c r="D173" s="659"/>
      <c r="E173" s="665"/>
      <c r="F173" s="665"/>
      <c r="G173" s="659"/>
      <c r="H173" s="659"/>
      <c r="I173" s="659"/>
      <c r="J173" s="659"/>
      <c r="K173" s="632"/>
      <c r="L173" s="633"/>
      <c r="M173" s="633"/>
      <c r="N173" s="633"/>
      <c r="O173" s="633"/>
      <c r="P173" s="633"/>
      <c r="Q173" s="633"/>
      <c r="R173" s="633"/>
      <c r="S173" s="633"/>
      <c r="T173" s="633"/>
    </row>
    <row r="174" spans="1:20" ht="13.5" customHeight="1">
      <c r="A174" s="633"/>
      <c r="B174" s="659"/>
      <c r="C174" s="664"/>
      <c r="D174" s="659"/>
      <c r="E174" s="665"/>
      <c r="F174" s="665"/>
      <c r="G174" s="659"/>
      <c r="H174" s="659"/>
      <c r="I174" s="659"/>
      <c r="J174" s="659"/>
      <c r="K174" s="632"/>
      <c r="L174" s="633"/>
      <c r="M174" s="633"/>
      <c r="N174" s="633"/>
      <c r="O174" s="633"/>
      <c r="P174" s="633"/>
      <c r="Q174" s="633"/>
      <c r="R174" s="633"/>
      <c r="S174" s="633"/>
      <c r="T174" s="633"/>
    </row>
    <row r="175" spans="1:20" ht="13.5" customHeight="1">
      <c r="A175" s="633"/>
      <c r="B175" s="659"/>
      <c r="C175" s="664"/>
      <c r="D175" s="659"/>
      <c r="E175" s="665"/>
      <c r="F175" s="665"/>
      <c r="G175" s="659"/>
      <c r="H175" s="659"/>
      <c r="I175" s="659"/>
      <c r="J175" s="659"/>
      <c r="K175" s="632"/>
      <c r="L175" s="633"/>
      <c r="M175" s="633"/>
      <c r="N175" s="633"/>
      <c r="O175" s="633"/>
      <c r="P175" s="633"/>
      <c r="Q175" s="633"/>
      <c r="R175" s="633"/>
      <c r="S175" s="633"/>
      <c r="T175" s="633"/>
    </row>
    <row r="176" spans="1:20" ht="13.5" customHeight="1">
      <c r="A176" s="633"/>
      <c r="B176" s="659"/>
      <c r="C176" s="664"/>
      <c r="D176" s="659"/>
      <c r="E176" s="665"/>
      <c r="F176" s="665"/>
      <c r="G176" s="659"/>
      <c r="H176" s="659"/>
      <c r="I176" s="659"/>
      <c r="J176" s="659"/>
      <c r="K176" s="632"/>
      <c r="L176" s="633"/>
      <c r="M176" s="633"/>
      <c r="N176" s="633"/>
      <c r="O176" s="633"/>
      <c r="P176" s="633"/>
      <c r="Q176" s="633"/>
      <c r="R176" s="633"/>
      <c r="S176" s="633"/>
      <c r="T176" s="633"/>
    </row>
    <row r="177" spans="1:20" ht="13.5" customHeight="1">
      <c r="A177" s="633"/>
      <c r="B177" s="659"/>
      <c r="C177" s="664"/>
      <c r="D177" s="659"/>
      <c r="E177" s="665"/>
      <c r="F177" s="665"/>
      <c r="G177" s="659"/>
      <c r="H177" s="659"/>
      <c r="I177" s="659"/>
      <c r="J177" s="659"/>
      <c r="K177" s="632"/>
      <c r="L177" s="633"/>
      <c r="M177" s="633"/>
      <c r="N177" s="633"/>
      <c r="O177" s="633"/>
      <c r="P177" s="633"/>
      <c r="Q177" s="633"/>
      <c r="R177" s="633"/>
      <c r="S177" s="633"/>
      <c r="T177" s="633"/>
    </row>
    <row r="178" spans="1:20" ht="13.5" customHeight="1">
      <c r="A178" s="633"/>
      <c r="B178" s="659"/>
      <c r="C178" s="664"/>
      <c r="D178" s="659"/>
      <c r="E178" s="665"/>
      <c r="F178" s="665"/>
      <c r="G178" s="659"/>
      <c r="H178" s="659"/>
      <c r="I178" s="659"/>
      <c r="J178" s="659"/>
      <c r="K178" s="632"/>
      <c r="L178" s="633"/>
      <c r="M178" s="633"/>
      <c r="N178" s="633"/>
      <c r="O178" s="633"/>
      <c r="P178" s="633"/>
      <c r="Q178" s="633"/>
      <c r="R178" s="633"/>
      <c r="S178" s="633"/>
      <c r="T178" s="633"/>
    </row>
    <row r="179" spans="1:20" ht="13.5" customHeight="1">
      <c r="A179" s="633"/>
      <c r="B179" s="659"/>
      <c r="C179" s="664"/>
      <c r="D179" s="659"/>
      <c r="E179" s="665"/>
      <c r="F179" s="665"/>
      <c r="G179" s="659"/>
      <c r="H179" s="659"/>
      <c r="I179" s="659"/>
      <c r="J179" s="659"/>
      <c r="K179" s="632"/>
      <c r="L179" s="633"/>
      <c r="M179" s="633"/>
      <c r="N179" s="633"/>
      <c r="O179" s="633"/>
      <c r="P179" s="633"/>
      <c r="Q179" s="633"/>
      <c r="R179" s="633"/>
      <c r="S179" s="633"/>
      <c r="T179" s="633"/>
    </row>
    <row r="180" spans="1:20" ht="13.5" customHeight="1">
      <c r="A180" s="633"/>
      <c r="B180" s="659"/>
      <c r="C180" s="664"/>
      <c r="D180" s="659"/>
      <c r="E180" s="665"/>
      <c r="F180" s="665"/>
      <c r="G180" s="659"/>
      <c r="H180" s="659"/>
      <c r="I180" s="659"/>
      <c r="J180" s="659"/>
      <c r="K180" s="632"/>
      <c r="L180" s="633"/>
      <c r="M180" s="633"/>
      <c r="N180" s="633"/>
      <c r="O180" s="633"/>
      <c r="P180" s="633"/>
      <c r="Q180" s="633"/>
      <c r="R180" s="633"/>
      <c r="S180" s="633"/>
      <c r="T180" s="633"/>
    </row>
    <row r="181" spans="1:20" ht="13.5" customHeight="1">
      <c r="A181" s="633"/>
      <c r="B181" s="659"/>
      <c r="C181" s="664"/>
      <c r="D181" s="659"/>
      <c r="E181" s="665"/>
      <c r="F181" s="665"/>
      <c r="G181" s="659"/>
      <c r="H181" s="659"/>
      <c r="I181" s="659"/>
      <c r="J181" s="659"/>
      <c r="K181" s="632"/>
      <c r="L181" s="633"/>
      <c r="M181" s="633"/>
      <c r="N181" s="633"/>
      <c r="O181" s="633"/>
      <c r="P181" s="633"/>
      <c r="Q181" s="633"/>
      <c r="R181" s="633"/>
      <c r="S181" s="633"/>
      <c r="T181" s="633"/>
    </row>
    <row r="182" spans="1:20" ht="13.5" customHeight="1">
      <c r="A182" s="633"/>
      <c r="B182" s="659"/>
      <c r="C182" s="664"/>
      <c r="D182" s="659"/>
      <c r="E182" s="665"/>
      <c r="F182" s="665"/>
      <c r="G182" s="659"/>
      <c r="H182" s="659"/>
      <c r="I182" s="659"/>
      <c r="J182" s="659"/>
      <c r="K182" s="632"/>
      <c r="L182" s="633"/>
      <c r="M182" s="633"/>
      <c r="N182" s="633"/>
      <c r="O182" s="633"/>
      <c r="P182" s="633"/>
      <c r="Q182" s="633"/>
      <c r="R182" s="633"/>
      <c r="S182" s="633"/>
      <c r="T182" s="633"/>
    </row>
    <row r="183" spans="1:20" ht="13.5" customHeight="1">
      <c r="A183" s="633"/>
      <c r="B183" s="659"/>
      <c r="C183" s="664"/>
      <c r="D183" s="659"/>
      <c r="E183" s="665"/>
      <c r="F183" s="665"/>
      <c r="G183" s="659"/>
      <c r="H183" s="659"/>
      <c r="I183" s="659"/>
      <c r="J183" s="659"/>
      <c r="K183" s="632"/>
      <c r="L183" s="633"/>
      <c r="M183" s="633"/>
      <c r="N183" s="633"/>
      <c r="O183" s="633"/>
      <c r="P183" s="633"/>
      <c r="Q183" s="633"/>
      <c r="R183" s="633"/>
      <c r="S183" s="633"/>
      <c r="T183" s="633"/>
    </row>
    <row r="184" spans="1:20" ht="13.5" customHeight="1">
      <c r="A184" s="633"/>
      <c r="B184" s="659"/>
      <c r="C184" s="664"/>
      <c r="D184" s="659"/>
      <c r="E184" s="665"/>
      <c r="F184" s="665"/>
      <c r="G184" s="659"/>
      <c r="H184" s="659"/>
      <c r="I184" s="659"/>
      <c r="J184" s="659"/>
      <c r="K184" s="632"/>
      <c r="L184" s="633"/>
      <c r="M184" s="633"/>
      <c r="N184" s="633"/>
      <c r="O184" s="633"/>
      <c r="P184" s="633"/>
      <c r="Q184" s="633"/>
      <c r="R184" s="633"/>
      <c r="S184" s="633"/>
      <c r="T184" s="633"/>
    </row>
    <row r="185" spans="1:20" ht="13.5" customHeight="1">
      <c r="A185" s="633"/>
      <c r="B185" s="659"/>
      <c r="C185" s="664"/>
      <c r="D185" s="659"/>
      <c r="E185" s="665"/>
      <c r="F185" s="665"/>
      <c r="G185" s="659"/>
      <c r="H185" s="659"/>
      <c r="I185" s="659"/>
      <c r="J185" s="659"/>
      <c r="K185" s="632"/>
      <c r="L185" s="633"/>
      <c r="M185" s="633"/>
      <c r="N185" s="633"/>
      <c r="O185" s="633"/>
      <c r="P185" s="633"/>
      <c r="Q185" s="633"/>
      <c r="R185" s="633"/>
      <c r="S185" s="633"/>
      <c r="T185" s="633"/>
    </row>
    <row r="186" spans="1:20" ht="13.5" customHeight="1">
      <c r="A186" s="633"/>
      <c r="B186" s="659"/>
      <c r="C186" s="664"/>
      <c r="D186" s="659"/>
      <c r="E186" s="665"/>
      <c r="F186" s="665"/>
      <c r="G186" s="659"/>
      <c r="H186" s="659"/>
      <c r="I186" s="659"/>
      <c r="J186" s="659"/>
      <c r="K186" s="632"/>
      <c r="L186" s="633"/>
      <c r="M186" s="633"/>
      <c r="N186" s="633"/>
      <c r="O186" s="633"/>
      <c r="P186" s="633"/>
      <c r="Q186" s="633"/>
      <c r="R186" s="633"/>
      <c r="S186" s="633"/>
      <c r="T186" s="633"/>
    </row>
    <row r="187" spans="1:20" ht="13.5" customHeight="1">
      <c r="A187" s="633"/>
      <c r="B187" s="659"/>
      <c r="C187" s="664"/>
      <c r="D187" s="659"/>
      <c r="E187" s="665"/>
      <c r="F187" s="665"/>
      <c r="G187" s="659"/>
      <c r="H187" s="659"/>
      <c r="I187" s="659"/>
      <c r="J187" s="659"/>
      <c r="K187" s="632"/>
      <c r="L187" s="633"/>
      <c r="M187" s="633"/>
      <c r="N187" s="633"/>
      <c r="O187" s="633"/>
      <c r="P187" s="633"/>
      <c r="Q187" s="633"/>
      <c r="R187" s="633"/>
      <c r="S187" s="633"/>
      <c r="T187" s="633"/>
    </row>
    <row r="188" spans="1:20" ht="13.5" customHeight="1">
      <c r="A188" s="633"/>
      <c r="B188" s="659"/>
      <c r="C188" s="664"/>
      <c r="D188" s="659"/>
      <c r="E188" s="665"/>
      <c r="F188" s="665"/>
      <c r="G188" s="659"/>
      <c r="H188" s="659"/>
      <c r="I188" s="659"/>
      <c r="J188" s="659"/>
      <c r="K188" s="632"/>
      <c r="L188" s="633"/>
      <c r="M188" s="633"/>
      <c r="N188" s="633"/>
      <c r="O188" s="633"/>
      <c r="P188" s="633"/>
      <c r="Q188" s="633"/>
      <c r="R188" s="633"/>
      <c r="S188" s="633"/>
      <c r="T188" s="633"/>
    </row>
    <row r="189" spans="1:20" ht="13.5" customHeight="1">
      <c r="A189" s="633"/>
      <c r="B189" s="659"/>
      <c r="C189" s="664"/>
      <c r="D189" s="659"/>
      <c r="E189" s="665"/>
      <c r="F189" s="665"/>
      <c r="G189" s="659"/>
      <c r="H189" s="659"/>
      <c r="I189" s="659"/>
      <c r="J189" s="659"/>
      <c r="K189" s="632"/>
      <c r="L189" s="633"/>
      <c r="M189" s="633"/>
      <c r="N189" s="633"/>
      <c r="O189" s="633"/>
      <c r="P189" s="633"/>
      <c r="Q189" s="633"/>
      <c r="R189" s="633"/>
      <c r="S189" s="633"/>
      <c r="T189" s="633"/>
    </row>
    <row r="190" spans="1:20" ht="13.5" customHeight="1">
      <c r="A190" s="633"/>
      <c r="B190" s="659"/>
      <c r="C190" s="664"/>
      <c r="D190" s="659"/>
      <c r="E190" s="665"/>
      <c r="F190" s="665"/>
      <c r="G190" s="659"/>
      <c r="H190" s="659"/>
      <c r="I190" s="659"/>
      <c r="J190" s="659"/>
      <c r="K190" s="632"/>
      <c r="L190" s="633"/>
      <c r="M190" s="633"/>
      <c r="N190" s="633"/>
      <c r="O190" s="633"/>
      <c r="P190" s="633"/>
      <c r="Q190" s="633"/>
      <c r="R190" s="633"/>
      <c r="S190" s="633"/>
      <c r="T190" s="633"/>
    </row>
    <row r="191" spans="1:20" ht="13.5" customHeight="1">
      <c r="A191" s="633"/>
      <c r="B191" s="659"/>
      <c r="C191" s="664"/>
      <c r="D191" s="659"/>
      <c r="E191" s="665"/>
      <c r="F191" s="665"/>
      <c r="G191" s="659"/>
      <c r="H191" s="659"/>
      <c r="I191" s="659"/>
      <c r="J191" s="659"/>
      <c r="K191" s="632"/>
      <c r="L191" s="633"/>
      <c r="M191" s="633"/>
      <c r="N191" s="633"/>
      <c r="O191" s="633"/>
      <c r="P191" s="633"/>
      <c r="Q191" s="633"/>
      <c r="R191" s="633"/>
      <c r="S191" s="633"/>
      <c r="T191" s="633"/>
    </row>
    <row r="192" spans="1:20" ht="13.5" customHeight="1">
      <c r="A192" s="633"/>
      <c r="B192" s="659"/>
      <c r="C192" s="664"/>
      <c r="D192" s="659"/>
      <c r="E192" s="665"/>
      <c r="F192" s="665"/>
      <c r="G192" s="659"/>
      <c r="H192" s="659"/>
      <c r="I192" s="659"/>
      <c r="J192" s="659"/>
      <c r="K192" s="632"/>
      <c r="L192" s="633"/>
      <c r="M192" s="633"/>
      <c r="N192" s="633"/>
      <c r="O192" s="633"/>
      <c r="P192" s="633"/>
      <c r="Q192" s="633"/>
      <c r="R192" s="633"/>
      <c r="S192" s="633"/>
      <c r="T192" s="633"/>
    </row>
    <row r="193" spans="1:20" ht="13.5" customHeight="1">
      <c r="A193" s="633"/>
      <c r="B193" s="659"/>
      <c r="C193" s="664"/>
      <c r="D193" s="659"/>
      <c r="E193" s="665"/>
      <c r="F193" s="665"/>
      <c r="G193" s="659"/>
      <c r="H193" s="659"/>
      <c r="I193" s="659"/>
      <c r="J193" s="659"/>
      <c r="K193" s="632"/>
      <c r="L193" s="633"/>
      <c r="M193" s="633"/>
      <c r="N193" s="633"/>
      <c r="O193" s="633"/>
      <c r="P193" s="633"/>
      <c r="Q193" s="633"/>
      <c r="R193" s="633"/>
      <c r="S193" s="633"/>
      <c r="T193" s="633"/>
    </row>
    <row r="194" spans="1:20" ht="13.5" customHeight="1">
      <c r="A194" s="633"/>
      <c r="B194" s="659"/>
      <c r="C194" s="664"/>
      <c r="D194" s="659"/>
      <c r="E194" s="665"/>
      <c r="F194" s="665"/>
      <c r="G194" s="659"/>
      <c r="H194" s="659"/>
      <c r="I194" s="659"/>
      <c r="J194" s="659"/>
      <c r="K194" s="632"/>
      <c r="L194" s="633"/>
      <c r="M194" s="633"/>
      <c r="N194" s="633"/>
      <c r="O194" s="633"/>
      <c r="P194" s="633"/>
      <c r="Q194" s="633"/>
      <c r="R194" s="633"/>
      <c r="S194" s="633"/>
      <c r="T194" s="633"/>
    </row>
    <row r="195" spans="1:20" ht="13.5" customHeight="1">
      <c r="A195" s="633"/>
      <c r="B195" s="659"/>
      <c r="C195" s="664"/>
      <c r="D195" s="659"/>
      <c r="E195" s="665"/>
      <c r="F195" s="665"/>
      <c r="G195" s="659"/>
      <c r="H195" s="659"/>
      <c r="I195" s="659"/>
      <c r="J195" s="659"/>
      <c r="K195" s="632"/>
      <c r="L195" s="633"/>
      <c r="M195" s="633"/>
      <c r="N195" s="633"/>
      <c r="O195" s="633"/>
      <c r="P195" s="633"/>
      <c r="Q195" s="633"/>
      <c r="R195" s="633"/>
      <c r="S195" s="633"/>
      <c r="T195" s="633"/>
    </row>
    <row r="196" spans="1:20" ht="13.5" customHeight="1">
      <c r="A196" s="633"/>
      <c r="B196" s="659"/>
      <c r="C196" s="664"/>
      <c r="D196" s="659"/>
      <c r="E196" s="665"/>
      <c r="F196" s="665"/>
      <c r="G196" s="659"/>
      <c r="H196" s="659"/>
      <c r="I196" s="659"/>
      <c r="J196" s="659"/>
      <c r="K196" s="632"/>
      <c r="L196" s="633"/>
      <c r="M196" s="633"/>
      <c r="N196" s="633"/>
      <c r="O196" s="633"/>
      <c r="P196" s="633"/>
      <c r="Q196" s="633"/>
      <c r="R196" s="633"/>
      <c r="S196" s="633"/>
      <c r="T196" s="633"/>
    </row>
    <row r="197" spans="1:20" ht="13.5" customHeight="1">
      <c r="A197" s="633"/>
      <c r="B197" s="659"/>
      <c r="C197" s="664"/>
      <c r="D197" s="659"/>
      <c r="E197" s="665"/>
      <c r="F197" s="665"/>
      <c r="G197" s="659"/>
      <c r="H197" s="659"/>
      <c r="I197" s="659"/>
      <c r="J197" s="659"/>
      <c r="K197" s="632"/>
      <c r="L197" s="633"/>
      <c r="M197" s="633"/>
      <c r="N197" s="633"/>
      <c r="O197" s="633"/>
      <c r="P197" s="633"/>
      <c r="Q197" s="633"/>
      <c r="R197" s="633"/>
      <c r="S197" s="633"/>
      <c r="T197" s="633"/>
    </row>
    <row r="198" spans="1:20" ht="13.5" customHeight="1">
      <c r="A198" s="633"/>
      <c r="B198" s="659"/>
      <c r="C198" s="664"/>
      <c r="D198" s="659"/>
      <c r="E198" s="665"/>
      <c r="F198" s="665"/>
      <c r="G198" s="659"/>
      <c r="H198" s="659"/>
      <c r="I198" s="659"/>
      <c r="J198" s="659"/>
      <c r="K198" s="632"/>
      <c r="L198" s="633"/>
      <c r="M198" s="633"/>
      <c r="N198" s="633"/>
      <c r="O198" s="633"/>
      <c r="P198" s="633"/>
      <c r="Q198" s="633"/>
      <c r="R198" s="633"/>
      <c r="S198" s="633"/>
      <c r="T198" s="633"/>
    </row>
    <row r="199" spans="1:20" ht="13.5" customHeight="1">
      <c r="A199" s="633"/>
      <c r="B199" s="659"/>
      <c r="C199" s="664"/>
      <c r="D199" s="659"/>
      <c r="E199" s="665"/>
      <c r="F199" s="665"/>
      <c r="G199" s="659"/>
      <c r="H199" s="659"/>
      <c r="I199" s="659"/>
      <c r="J199" s="659"/>
      <c r="K199" s="632"/>
      <c r="L199" s="633"/>
      <c r="M199" s="633"/>
      <c r="N199" s="633"/>
      <c r="O199" s="633"/>
      <c r="P199" s="633"/>
      <c r="Q199" s="633"/>
      <c r="R199" s="633"/>
      <c r="S199" s="633"/>
      <c r="T199" s="633"/>
    </row>
    <row r="200" spans="1:20" ht="13.5" customHeight="1">
      <c r="A200" s="633"/>
      <c r="B200" s="659"/>
      <c r="C200" s="664"/>
      <c r="D200" s="659"/>
      <c r="E200" s="665"/>
      <c r="F200" s="665"/>
      <c r="G200" s="659"/>
      <c r="H200" s="659"/>
      <c r="I200" s="659"/>
      <c r="J200" s="659"/>
      <c r="K200" s="632"/>
      <c r="L200" s="633"/>
      <c r="M200" s="633"/>
      <c r="N200" s="633"/>
      <c r="O200" s="633"/>
      <c r="P200" s="633"/>
      <c r="Q200" s="633"/>
      <c r="R200" s="633"/>
      <c r="S200" s="633"/>
      <c r="T200" s="633"/>
    </row>
    <row r="201" spans="1:20" ht="13.5" customHeight="1">
      <c r="A201" s="633"/>
      <c r="B201" s="659"/>
      <c r="C201" s="664"/>
      <c r="D201" s="659"/>
      <c r="E201" s="665"/>
      <c r="F201" s="665"/>
      <c r="G201" s="659"/>
      <c r="H201" s="659"/>
      <c r="I201" s="659"/>
      <c r="J201" s="659"/>
      <c r="K201" s="632"/>
      <c r="L201" s="633"/>
      <c r="M201" s="633"/>
      <c r="N201" s="633"/>
      <c r="O201" s="633"/>
      <c r="P201" s="633"/>
      <c r="Q201" s="633"/>
      <c r="R201" s="633"/>
      <c r="S201" s="633"/>
      <c r="T201" s="633"/>
    </row>
    <row r="202" spans="1:20" ht="13.5" customHeight="1">
      <c r="A202" s="633"/>
      <c r="B202" s="659"/>
      <c r="C202" s="664"/>
      <c r="D202" s="659"/>
      <c r="E202" s="665"/>
      <c r="F202" s="665"/>
      <c r="G202" s="659"/>
      <c r="H202" s="659"/>
      <c r="I202" s="659"/>
      <c r="J202" s="659"/>
      <c r="K202" s="632"/>
      <c r="L202" s="633"/>
      <c r="M202" s="633"/>
      <c r="N202" s="633"/>
      <c r="O202" s="633"/>
      <c r="P202" s="633"/>
      <c r="Q202" s="633"/>
      <c r="R202" s="633"/>
      <c r="S202" s="633"/>
      <c r="T202" s="633"/>
    </row>
    <row r="203" spans="1:20" ht="13.5" customHeight="1">
      <c r="A203" s="633"/>
      <c r="B203" s="659"/>
      <c r="C203" s="664"/>
      <c r="D203" s="659"/>
      <c r="E203" s="665"/>
      <c r="F203" s="665"/>
      <c r="G203" s="659"/>
      <c r="H203" s="659"/>
      <c r="I203" s="659"/>
      <c r="J203" s="659"/>
      <c r="K203" s="632"/>
      <c r="L203" s="633"/>
      <c r="M203" s="633"/>
      <c r="N203" s="633"/>
      <c r="O203" s="633"/>
      <c r="P203" s="633"/>
      <c r="Q203" s="633"/>
      <c r="R203" s="633"/>
      <c r="S203" s="633"/>
      <c r="T203" s="633"/>
    </row>
    <row r="204" spans="1:20" ht="13.5" customHeight="1">
      <c r="A204" s="633"/>
      <c r="B204" s="659"/>
      <c r="C204" s="664"/>
      <c r="D204" s="659"/>
      <c r="E204" s="665"/>
      <c r="F204" s="665"/>
      <c r="G204" s="659"/>
      <c r="H204" s="659"/>
      <c r="I204" s="659"/>
      <c r="J204" s="659"/>
      <c r="K204" s="632"/>
      <c r="L204" s="633"/>
      <c r="M204" s="633"/>
      <c r="N204" s="633"/>
      <c r="O204" s="633"/>
      <c r="P204" s="633"/>
      <c r="Q204" s="633"/>
      <c r="R204" s="633"/>
      <c r="S204" s="633"/>
      <c r="T204" s="633"/>
    </row>
    <row r="205" spans="1:20" ht="13.5" customHeight="1">
      <c r="A205" s="633"/>
      <c r="B205" s="659"/>
      <c r="C205" s="664"/>
      <c r="D205" s="659"/>
      <c r="E205" s="665"/>
      <c r="F205" s="665"/>
      <c r="G205" s="659"/>
      <c r="H205" s="659"/>
      <c r="I205" s="659"/>
      <c r="J205" s="659"/>
      <c r="K205" s="632"/>
      <c r="L205" s="633"/>
      <c r="M205" s="633"/>
      <c r="N205" s="633"/>
      <c r="O205" s="633"/>
      <c r="P205" s="633"/>
      <c r="Q205" s="633"/>
      <c r="R205" s="633"/>
      <c r="S205" s="633"/>
      <c r="T205" s="633"/>
    </row>
    <row r="206" spans="1:20" ht="13.5" customHeight="1">
      <c r="A206" s="633"/>
      <c r="B206" s="659"/>
      <c r="C206" s="664"/>
      <c r="D206" s="659"/>
      <c r="E206" s="665"/>
      <c r="F206" s="665"/>
      <c r="G206" s="659"/>
      <c r="H206" s="659"/>
      <c r="I206" s="659"/>
      <c r="J206" s="659"/>
      <c r="K206" s="632"/>
      <c r="L206" s="633"/>
      <c r="M206" s="633"/>
      <c r="N206" s="633"/>
      <c r="O206" s="633"/>
      <c r="P206" s="633"/>
      <c r="Q206" s="633"/>
      <c r="R206" s="633"/>
      <c r="S206" s="633"/>
      <c r="T206" s="633"/>
    </row>
    <row r="207" spans="1:20" ht="13.5" customHeight="1">
      <c r="A207" s="633"/>
      <c r="B207" s="659"/>
      <c r="C207" s="664"/>
      <c r="D207" s="659"/>
      <c r="E207" s="665"/>
      <c r="F207" s="665"/>
      <c r="G207" s="659"/>
      <c r="H207" s="659"/>
      <c r="I207" s="659"/>
      <c r="J207" s="659"/>
      <c r="K207" s="632"/>
      <c r="L207" s="633"/>
      <c r="M207" s="633"/>
      <c r="N207" s="633"/>
      <c r="O207" s="633"/>
      <c r="P207" s="633"/>
      <c r="Q207" s="633"/>
      <c r="R207" s="633"/>
      <c r="S207" s="633"/>
      <c r="T207" s="633"/>
    </row>
    <row r="208" spans="1:20" ht="13.5" customHeight="1">
      <c r="A208" s="633"/>
      <c r="B208" s="659"/>
      <c r="C208" s="664"/>
      <c r="D208" s="659"/>
      <c r="E208" s="665"/>
      <c r="F208" s="665"/>
      <c r="G208" s="659"/>
      <c r="H208" s="659"/>
      <c r="I208" s="659"/>
      <c r="J208" s="659"/>
      <c r="K208" s="632"/>
      <c r="L208" s="633"/>
      <c r="M208" s="633"/>
      <c r="N208" s="633"/>
      <c r="O208" s="633"/>
      <c r="P208" s="633"/>
      <c r="Q208" s="633"/>
      <c r="R208" s="633"/>
      <c r="S208" s="633"/>
      <c r="T208" s="633"/>
    </row>
    <row r="209" spans="1:20" ht="13.5" customHeight="1">
      <c r="A209" s="633"/>
      <c r="B209" s="659"/>
      <c r="C209" s="664"/>
      <c r="D209" s="659"/>
      <c r="E209" s="665"/>
      <c r="F209" s="665"/>
      <c r="G209" s="659"/>
      <c r="H209" s="659"/>
      <c r="I209" s="659"/>
      <c r="J209" s="659"/>
      <c r="K209" s="632"/>
      <c r="L209" s="633"/>
      <c r="M209" s="633"/>
      <c r="N209" s="633"/>
      <c r="O209" s="633"/>
      <c r="P209" s="633"/>
      <c r="Q209" s="633"/>
      <c r="R209" s="633"/>
      <c r="S209" s="633"/>
      <c r="T209" s="633"/>
    </row>
    <row r="210" spans="1:20" ht="13.5" customHeight="1">
      <c r="A210" s="633"/>
      <c r="B210" s="659"/>
      <c r="C210" s="664"/>
      <c r="D210" s="659"/>
      <c r="E210" s="665"/>
      <c r="F210" s="665"/>
      <c r="G210" s="659"/>
      <c r="H210" s="659"/>
      <c r="I210" s="659"/>
      <c r="J210" s="659"/>
      <c r="K210" s="632"/>
      <c r="L210" s="633"/>
      <c r="M210" s="633"/>
      <c r="N210" s="633"/>
      <c r="O210" s="633"/>
      <c r="P210" s="633"/>
      <c r="Q210" s="633"/>
      <c r="R210" s="633"/>
      <c r="S210" s="633"/>
      <c r="T210" s="633"/>
    </row>
    <row r="211" spans="1:20" ht="13.5" customHeight="1">
      <c r="A211" s="633"/>
      <c r="B211" s="659"/>
      <c r="C211" s="664"/>
      <c r="D211" s="659"/>
      <c r="E211" s="665"/>
      <c r="F211" s="665"/>
      <c r="G211" s="659"/>
      <c r="H211" s="659"/>
      <c r="I211" s="659"/>
      <c r="J211" s="659"/>
      <c r="K211" s="632"/>
      <c r="L211" s="633"/>
      <c r="M211" s="633"/>
      <c r="N211" s="633"/>
      <c r="O211" s="633"/>
      <c r="P211" s="633"/>
      <c r="Q211" s="633"/>
      <c r="R211" s="633"/>
      <c r="S211" s="633"/>
      <c r="T211" s="633"/>
    </row>
    <row r="212" spans="1:20" ht="13.5" customHeight="1">
      <c r="A212" s="633"/>
      <c r="B212" s="659"/>
      <c r="C212" s="664"/>
      <c r="D212" s="659"/>
      <c r="E212" s="665"/>
      <c r="F212" s="665"/>
      <c r="G212" s="659"/>
      <c r="H212" s="659"/>
      <c r="I212" s="659"/>
      <c r="J212" s="659"/>
      <c r="K212" s="632"/>
      <c r="L212" s="633"/>
      <c r="M212" s="633"/>
      <c r="N212" s="633"/>
      <c r="O212" s="633"/>
      <c r="P212" s="633"/>
      <c r="Q212" s="633"/>
      <c r="R212" s="633"/>
      <c r="S212" s="633"/>
      <c r="T212" s="633"/>
    </row>
    <row r="213" spans="1:20" ht="13.5" customHeight="1">
      <c r="A213" s="633"/>
      <c r="B213" s="659"/>
      <c r="C213" s="664"/>
      <c r="D213" s="659"/>
      <c r="E213" s="665"/>
      <c r="F213" s="665"/>
      <c r="G213" s="659"/>
      <c r="H213" s="659"/>
      <c r="I213" s="659"/>
      <c r="J213" s="659"/>
      <c r="K213" s="632"/>
      <c r="L213" s="633"/>
      <c r="M213" s="633"/>
      <c r="N213" s="633"/>
      <c r="O213" s="633"/>
      <c r="P213" s="633"/>
      <c r="Q213" s="633"/>
      <c r="R213" s="633"/>
      <c r="S213" s="633"/>
      <c r="T213" s="633"/>
    </row>
    <row r="214" spans="1:20" ht="13.5" customHeight="1">
      <c r="A214" s="633"/>
      <c r="B214" s="659"/>
      <c r="C214" s="664"/>
      <c r="D214" s="659"/>
      <c r="E214" s="665"/>
      <c r="F214" s="665"/>
      <c r="G214" s="659"/>
      <c r="H214" s="659"/>
      <c r="I214" s="659"/>
      <c r="J214" s="659"/>
      <c r="K214" s="632"/>
      <c r="L214" s="633"/>
      <c r="M214" s="633"/>
      <c r="N214" s="633"/>
      <c r="O214" s="633"/>
      <c r="P214" s="633"/>
      <c r="Q214" s="633"/>
      <c r="R214" s="633"/>
      <c r="S214" s="633"/>
      <c r="T214" s="633"/>
    </row>
    <row r="215" spans="1:20" ht="13.5" customHeight="1">
      <c r="A215" s="633"/>
      <c r="B215" s="659"/>
      <c r="C215" s="664"/>
      <c r="D215" s="659"/>
      <c r="E215" s="665"/>
      <c r="F215" s="665"/>
      <c r="G215" s="659"/>
      <c r="H215" s="659"/>
      <c r="I215" s="659"/>
      <c r="J215" s="659"/>
      <c r="K215" s="632"/>
      <c r="L215" s="633"/>
      <c r="M215" s="633"/>
      <c r="N215" s="633"/>
      <c r="O215" s="633"/>
      <c r="P215" s="633"/>
      <c r="Q215" s="633"/>
      <c r="R215" s="633"/>
      <c r="S215" s="633"/>
      <c r="T215" s="633"/>
    </row>
    <row r="216" spans="1:20" ht="13.5" customHeight="1">
      <c r="A216" s="633"/>
      <c r="B216" s="659"/>
      <c r="C216" s="664"/>
      <c r="D216" s="659"/>
      <c r="E216" s="665"/>
      <c r="F216" s="665"/>
      <c r="G216" s="659"/>
      <c r="H216" s="659"/>
      <c r="I216" s="659"/>
      <c r="J216" s="659"/>
      <c r="K216" s="632"/>
      <c r="L216" s="633"/>
      <c r="M216" s="633"/>
      <c r="N216" s="633"/>
      <c r="O216" s="633"/>
      <c r="P216" s="633"/>
      <c r="Q216" s="633"/>
      <c r="R216" s="633"/>
      <c r="S216" s="633"/>
      <c r="T216" s="633"/>
    </row>
    <row r="217" spans="1:20" ht="13.5" customHeight="1">
      <c r="A217" s="633"/>
      <c r="B217" s="659"/>
      <c r="C217" s="664"/>
      <c r="D217" s="659"/>
      <c r="E217" s="665"/>
      <c r="F217" s="665"/>
      <c r="G217" s="659"/>
      <c r="H217" s="659"/>
      <c r="I217" s="659"/>
      <c r="J217" s="659"/>
      <c r="K217" s="632"/>
      <c r="L217" s="633"/>
      <c r="M217" s="633"/>
      <c r="N217" s="633"/>
      <c r="O217" s="633"/>
      <c r="P217" s="633"/>
      <c r="Q217" s="633"/>
      <c r="R217" s="633"/>
      <c r="S217" s="633"/>
      <c r="T217" s="633"/>
    </row>
    <row r="218" spans="1:20" ht="13.5" customHeight="1">
      <c r="A218" s="633"/>
      <c r="B218" s="659"/>
      <c r="C218" s="664"/>
      <c r="D218" s="659"/>
      <c r="E218" s="665"/>
      <c r="F218" s="665"/>
      <c r="G218" s="659"/>
      <c r="H218" s="659"/>
      <c r="I218" s="659"/>
      <c r="J218" s="659"/>
      <c r="K218" s="632"/>
      <c r="L218" s="633"/>
      <c r="M218" s="633"/>
      <c r="N218" s="633"/>
      <c r="O218" s="633"/>
      <c r="P218" s="633"/>
      <c r="Q218" s="633"/>
      <c r="R218" s="633"/>
      <c r="S218" s="633"/>
      <c r="T218" s="633"/>
    </row>
    <row r="219" spans="1:20" ht="13.5" customHeight="1">
      <c r="A219" s="633"/>
      <c r="B219" s="659"/>
      <c r="C219" s="664"/>
      <c r="D219" s="659"/>
      <c r="E219" s="665"/>
      <c r="F219" s="665"/>
      <c r="G219" s="659"/>
      <c r="H219" s="659"/>
      <c r="I219" s="659"/>
      <c r="J219" s="659"/>
      <c r="K219" s="632"/>
      <c r="L219" s="633"/>
      <c r="M219" s="633"/>
      <c r="N219" s="633"/>
      <c r="O219" s="633"/>
      <c r="P219" s="633"/>
      <c r="Q219" s="633"/>
      <c r="R219" s="633"/>
      <c r="S219" s="633"/>
      <c r="T219" s="633"/>
    </row>
    <row r="220" spans="1:20" ht="13.5" customHeight="1">
      <c r="A220" s="633"/>
      <c r="B220" s="659"/>
      <c r="C220" s="664"/>
      <c r="D220" s="659"/>
      <c r="E220" s="665"/>
      <c r="F220" s="665"/>
      <c r="G220" s="659"/>
      <c r="H220" s="659"/>
      <c r="I220" s="659"/>
      <c r="J220" s="659"/>
      <c r="K220" s="632"/>
      <c r="L220" s="633"/>
      <c r="M220" s="633"/>
      <c r="N220" s="633"/>
      <c r="O220" s="633"/>
      <c r="P220" s="633"/>
      <c r="Q220" s="633"/>
      <c r="R220" s="633"/>
      <c r="S220" s="633"/>
      <c r="T220" s="633"/>
    </row>
    <row r="221" spans="1:20" ht="13.5" customHeight="1">
      <c r="A221" s="633"/>
      <c r="B221" s="659"/>
      <c r="C221" s="664"/>
      <c r="D221" s="659"/>
      <c r="E221" s="665"/>
      <c r="F221" s="665"/>
      <c r="G221" s="659"/>
      <c r="H221" s="659"/>
      <c r="I221" s="659"/>
      <c r="J221" s="659"/>
      <c r="K221" s="632"/>
      <c r="L221" s="633"/>
      <c r="M221" s="633"/>
      <c r="N221" s="633"/>
      <c r="O221" s="633"/>
      <c r="P221" s="633"/>
      <c r="Q221" s="633"/>
      <c r="R221" s="633"/>
      <c r="S221" s="633"/>
      <c r="T221" s="633"/>
    </row>
    <row r="222" spans="1:20" ht="13.5" customHeight="1">
      <c r="A222" s="633"/>
      <c r="B222" s="659"/>
      <c r="C222" s="664"/>
      <c r="D222" s="659"/>
      <c r="E222" s="665"/>
      <c r="F222" s="665"/>
      <c r="G222" s="659"/>
      <c r="H222" s="659"/>
      <c r="I222" s="659"/>
      <c r="J222" s="659"/>
      <c r="K222" s="632"/>
      <c r="L222" s="633"/>
      <c r="M222" s="633"/>
      <c r="N222" s="633"/>
      <c r="O222" s="633"/>
      <c r="P222" s="633"/>
      <c r="Q222" s="633"/>
      <c r="R222" s="633"/>
      <c r="S222" s="633"/>
      <c r="T222" s="633"/>
    </row>
    <row r="223" spans="1:20" ht="13.5" customHeight="1">
      <c r="A223" s="633"/>
      <c r="B223" s="659"/>
      <c r="C223" s="664"/>
      <c r="D223" s="659"/>
      <c r="E223" s="665"/>
      <c r="F223" s="665"/>
      <c r="G223" s="659"/>
      <c r="H223" s="659"/>
      <c r="I223" s="659"/>
      <c r="J223" s="659"/>
      <c r="K223" s="632"/>
      <c r="L223" s="633"/>
      <c r="M223" s="633"/>
      <c r="N223" s="633"/>
      <c r="O223" s="633"/>
      <c r="P223" s="633"/>
      <c r="Q223" s="633"/>
      <c r="R223" s="633"/>
      <c r="S223" s="633"/>
      <c r="T223" s="633"/>
    </row>
    <row r="224" spans="1:20" ht="13.5" customHeight="1">
      <c r="A224" s="633"/>
      <c r="B224" s="659"/>
      <c r="C224" s="664"/>
      <c r="D224" s="659"/>
      <c r="E224" s="665"/>
      <c r="F224" s="665"/>
      <c r="G224" s="659"/>
      <c r="H224" s="659"/>
      <c r="I224" s="659"/>
      <c r="J224" s="659"/>
      <c r="K224" s="632"/>
      <c r="L224" s="633"/>
      <c r="M224" s="633"/>
      <c r="N224" s="633"/>
      <c r="O224" s="633"/>
      <c r="P224" s="633"/>
      <c r="Q224" s="633"/>
      <c r="R224" s="633"/>
      <c r="S224" s="633"/>
      <c r="T224" s="633"/>
    </row>
    <row r="225" spans="1:20" ht="13.5" customHeight="1">
      <c r="A225" s="633"/>
      <c r="B225" s="659"/>
      <c r="C225" s="664"/>
      <c r="D225" s="659"/>
      <c r="E225" s="665"/>
      <c r="F225" s="665"/>
      <c r="G225" s="659"/>
      <c r="H225" s="659"/>
      <c r="I225" s="659"/>
      <c r="J225" s="659"/>
      <c r="K225" s="632"/>
      <c r="L225" s="633"/>
      <c r="M225" s="633"/>
      <c r="N225" s="633"/>
      <c r="O225" s="633"/>
      <c r="P225" s="633"/>
      <c r="Q225" s="633"/>
      <c r="R225" s="633"/>
      <c r="S225" s="633"/>
      <c r="T225" s="633"/>
    </row>
    <row r="226" spans="1:20" ht="13.5" customHeight="1">
      <c r="A226" s="633"/>
      <c r="B226" s="659"/>
      <c r="C226" s="664"/>
      <c r="D226" s="659"/>
      <c r="E226" s="665"/>
      <c r="F226" s="665"/>
      <c r="G226" s="659"/>
      <c r="H226" s="659"/>
      <c r="I226" s="659"/>
      <c r="J226" s="659"/>
      <c r="K226" s="632"/>
      <c r="L226" s="633"/>
      <c r="M226" s="633"/>
      <c r="N226" s="633"/>
      <c r="O226" s="633"/>
      <c r="P226" s="633"/>
      <c r="Q226" s="633"/>
      <c r="R226" s="633"/>
      <c r="S226" s="633"/>
      <c r="T226" s="633"/>
    </row>
    <row r="227" spans="1:20" ht="13.5" customHeight="1">
      <c r="A227" s="633"/>
      <c r="B227" s="659"/>
      <c r="C227" s="664"/>
      <c r="D227" s="659"/>
      <c r="E227" s="665"/>
      <c r="F227" s="665"/>
      <c r="G227" s="659"/>
      <c r="H227" s="659"/>
      <c r="I227" s="659"/>
      <c r="J227" s="659"/>
      <c r="K227" s="632"/>
      <c r="L227" s="633"/>
      <c r="M227" s="633"/>
      <c r="N227" s="633"/>
      <c r="O227" s="633"/>
      <c r="P227" s="633"/>
      <c r="Q227" s="633"/>
      <c r="R227" s="633"/>
      <c r="S227" s="633"/>
      <c r="T227" s="633"/>
    </row>
    <row r="228" spans="1:20" ht="13.5" customHeight="1">
      <c r="A228" s="633"/>
      <c r="B228" s="659"/>
      <c r="C228" s="664"/>
      <c r="D228" s="659"/>
      <c r="E228" s="665"/>
      <c r="F228" s="665"/>
      <c r="G228" s="659"/>
      <c r="H228" s="659"/>
      <c r="I228" s="659"/>
      <c r="J228" s="659"/>
      <c r="K228" s="632"/>
      <c r="L228" s="633"/>
      <c r="M228" s="633"/>
      <c r="N228" s="633"/>
      <c r="O228" s="633"/>
      <c r="P228" s="633"/>
      <c r="Q228" s="633"/>
      <c r="R228" s="633"/>
      <c r="S228" s="633"/>
      <c r="T228" s="633"/>
    </row>
    <row r="229" spans="1:20" ht="13.5" customHeight="1">
      <c r="A229" s="633"/>
      <c r="B229" s="659"/>
      <c r="C229" s="664"/>
      <c r="D229" s="659"/>
      <c r="E229" s="665"/>
      <c r="F229" s="665"/>
      <c r="G229" s="659"/>
      <c r="H229" s="659"/>
      <c r="I229" s="659"/>
      <c r="J229" s="659"/>
      <c r="K229" s="632"/>
      <c r="L229" s="633"/>
      <c r="M229" s="633"/>
      <c r="N229" s="633"/>
      <c r="O229" s="633"/>
      <c r="P229" s="633"/>
      <c r="Q229" s="633"/>
      <c r="R229" s="633"/>
      <c r="S229" s="633"/>
      <c r="T229" s="633"/>
    </row>
    <row r="230" spans="1:20" ht="13.5" customHeight="1">
      <c r="A230" s="633"/>
      <c r="B230" s="659"/>
      <c r="C230" s="664"/>
      <c r="D230" s="659"/>
      <c r="E230" s="665"/>
      <c r="F230" s="665"/>
      <c r="G230" s="659"/>
      <c r="H230" s="659"/>
      <c r="I230" s="659"/>
      <c r="J230" s="659"/>
      <c r="K230" s="632"/>
      <c r="L230" s="633"/>
      <c r="M230" s="633"/>
      <c r="N230" s="633"/>
      <c r="O230" s="633"/>
      <c r="P230" s="633"/>
      <c r="Q230" s="633"/>
      <c r="R230" s="633"/>
      <c r="S230" s="633"/>
      <c r="T230" s="633"/>
    </row>
    <row r="231" spans="1:20" ht="13.5" customHeight="1">
      <c r="A231" s="633"/>
      <c r="B231" s="659"/>
      <c r="C231" s="664"/>
      <c r="D231" s="659"/>
      <c r="E231" s="665"/>
      <c r="F231" s="665"/>
      <c r="G231" s="659"/>
      <c r="H231" s="659"/>
      <c r="I231" s="659"/>
      <c r="J231" s="659"/>
      <c r="K231" s="632"/>
      <c r="L231" s="633"/>
      <c r="M231" s="633"/>
      <c r="N231" s="633"/>
      <c r="O231" s="633"/>
      <c r="P231" s="633"/>
      <c r="Q231" s="633"/>
      <c r="R231" s="633"/>
      <c r="S231" s="633"/>
      <c r="T231" s="633"/>
    </row>
    <row r="232" spans="1:20" ht="13.5" customHeight="1">
      <c r="A232" s="633"/>
      <c r="B232" s="659"/>
      <c r="C232" s="664"/>
      <c r="D232" s="659"/>
      <c r="E232" s="665"/>
      <c r="F232" s="665"/>
      <c r="G232" s="659"/>
      <c r="H232" s="659"/>
      <c r="I232" s="659"/>
      <c r="J232" s="659"/>
      <c r="K232" s="632"/>
      <c r="L232" s="633"/>
      <c r="M232" s="633"/>
      <c r="N232" s="633"/>
      <c r="O232" s="633"/>
      <c r="P232" s="633"/>
      <c r="Q232" s="633"/>
      <c r="R232" s="633"/>
      <c r="S232" s="633"/>
      <c r="T232" s="633"/>
    </row>
    <row r="233" spans="1:20" ht="13.5" customHeight="1">
      <c r="A233" s="633"/>
      <c r="B233" s="659"/>
      <c r="C233" s="664"/>
      <c r="D233" s="659"/>
      <c r="E233" s="665"/>
      <c r="F233" s="665"/>
      <c r="G233" s="659"/>
      <c r="H233" s="659"/>
      <c r="I233" s="659"/>
      <c r="J233" s="659"/>
      <c r="K233" s="632"/>
      <c r="L233" s="633"/>
      <c r="M233" s="633"/>
      <c r="N233" s="633"/>
      <c r="O233" s="633"/>
      <c r="P233" s="633"/>
      <c r="Q233" s="633"/>
      <c r="R233" s="633"/>
      <c r="S233" s="633"/>
      <c r="T233" s="633"/>
    </row>
    <row r="234" spans="1:20" ht="13.5" customHeight="1">
      <c r="A234" s="633"/>
      <c r="B234" s="659"/>
      <c r="C234" s="664"/>
      <c r="D234" s="659"/>
      <c r="E234" s="665"/>
      <c r="F234" s="665"/>
      <c r="G234" s="659"/>
      <c r="H234" s="659"/>
      <c r="I234" s="659"/>
      <c r="J234" s="659"/>
      <c r="K234" s="632"/>
      <c r="L234" s="633"/>
      <c r="M234" s="633"/>
      <c r="N234" s="633"/>
      <c r="O234" s="633"/>
      <c r="P234" s="633"/>
      <c r="Q234" s="633"/>
      <c r="R234" s="633"/>
      <c r="S234" s="633"/>
      <c r="T234" s="633"/>
    </row>
    <row r="235" spans="1:20" ht="13.5" customHeight="1">
      <c r="A235" s="633"/>
      <c r="B235" s="659"/>
      <c r="C235" s="664"/>
      <c r="D235" s="659"/>
      <c r="E235" s="665"/>
      <c r="F235" s="665"/>
      <c r="G235" s="659"/>
      <c r="H235" s="659"/>
      <c r="I235" s="659"/>
      <c r="J235" s="659"/>
      <c r="K235" s="632"/>
      <c r="L235" s="633"/>
      <c r="M235" s="633"/>
      <c r="N235" s="633"/>
      <c r="O235" s="633"/>
      <c r="P235" s="633"/>
      <c r="Q235" s="633"/>
      <c r="R235" s="633"/>
      <c r="S235" s="633"/>
      <c r="T235" s="633"/>
    </row>
    <row r="236" spans="1:20" ht="13.5" customHeight="1">
      <c r="A236" s="633"/>
      <c r="B236" s="659"/>
      <c r="C236" s="664"/>
      <c r="D236" s="659"/>
      <c r="E236" s="665"/>
      <c r="F236" s="665"/>
      <c r="G236" s="659"/>
      <c r="H236" s="659"/>
      <c r="I236" s="659"/>
      <c r="J236" s="659"/>
      <c r="K236" s="632"/>
      <c r="L236" s="633"/>
      <c r="M236" s="633"/>
      <c r="N236" s="633"/>
      <c r="O236" s="633"/>
      <c r="P236" s="633"/>
      <c r="Q236" s="633"/>
      <c r="R236" s="633"/>
      <c r="S236" s="633"/>
      <c r="T236" s="633"/>
    </row>
    <row r="237" spans="1:20" ht="13.5" customHeight="1">
      <c r="A237" s="633"/>
      <c r="B237" s="659"/>
      <c r="C237" s="664"/>
      <c r="D237" s="659"/>
      <c r="E237" s="665"/>
      <c r="F237" s="665"/>
      <c r="G237" s="659"/>
      <c r="H237" s="659"/>
      <c r="I237" s="659"/>
      <c r="J237" s="659"/>
      <c r="K237" s="632"/>
      <c r="L237" s="633"/>
      <c r="M237" s="633"/>
      <c r="N237" s="633"/>
      <c r="O237" s="633"/>
      <c r="P237" s="633"/>
      <c r="Q237" s="633"/>
      <c r="R237" s="633"/>
      <c r="S237" s="633"/>
      <c r="T237" s="633"/>
    </row>
    <row r="238" spans="1:20" ht="13.5" customHeight="1">
      <c r="A238" s="633"/>
      <c r="B238" s="659"/>
      <c r="C238" s="664"/>
      <c r="D238" s="659"/>
      <c r="E238" s="665"/>
      <c r="F238" s="665"/>
      <c r="G238" s="659"/>
      <c r="H238" s="659"/>
      <c r="I238" s="659"/>
      <c r="J238" s="659"/>
      <c r="K238" s="632"/>
      <c r="L238" s="633"/>
      <c r="M238" s="633"/>
      <c r="N238" s="633"/>
      <c r="O238" s="633"/>
      <c r="P238" s="633"/>
      <c r="Q238" s="633"/>
      <c r="R238" s="633"/>
      <c r="S238" s="633"/>
      <c r="T238" s="633"/>
    </row>
    <row r="239" spans="1:20" ht="13.5" customHeight="1">
      <c r="A239" s="633"/>
      <c r="B239" s="659"/>
      <c r="C239" s="664"/>
      <c r="D239" s="659"/>
      <c r="E239" s="665"/>
      <c r="F239" s="665"/>
      <c r="G239" s="659"/>
      <c r="H239" s="659"/>
      <c r="I239" s="659"/>
      <c r="J239" s="659"/>
      <c r="K239" s="632"/>
      <c r="L239" s="633"/>
      <c r="M239" s="633"/>
      <c r="N239" s="633"/>
      <c r="O239" s="633"/>
      <c r="P239" s="633"/>
      <c r="Q239" s="633"/>
      <c r="R239" s="633"/>
      <c r="S239" s="633"/>
      <c r="T239" s="633"/>
    </row>
    <row r="240" spans="1:20" ht="13.5" customHeight="1">
      <c r="A240" s="633"/>
      <c r="B240" s="659"/>
      <c r="C240" s="664"/>
      <c r="D240" s="659"/>
      <c r="E240" s="665"/>
      <c r="F240" s="665"/>
      <c r="G240" s="659"/>
      <c r="H240" s="659"/>
      <c r="I240" s="659"/>
      <c r="J240" s="659"/>
      <c r="K240" s="632"/>
      <c r="L240" s="633"/>
      <c r="M240" s="633"/>
      <c r="N240" s="633"/>
      <c r="O240" s="633"/>
      <c r="P240" s="633"/>
      <c r="Q240" s="633"/>
      <c r="R240" s="633"/>
      <c r="S240" s="633"/>
      <c r="T240" s="633"/>
    </row>
    <row r="241" spans="1:20" ht="13.5" customHeight="1">
      <c r="A241" s="633"/>
      <c r="B241" s="659"/>
      <c r="C241" s="664"/>
      <c r="D241" s="659"/>
      <c r="E241" s="665"/>
      <c r="F241" s="665"/>
      <c r="G241" s="659"/>
      <c r="H241" s="659"/>
      <c r="I241" s="659"/>
      <c r="J241" s="659"/>
      <c r="K241" s="632"/>
      <c r="L241" s="633"/>
      <c r="M241" s="633"/>
      <c r="N241" s="633"/>
      <c r="O241" s="633"/>
      <c r="P241" s="633"/>
      <c r="Q241" s="633"/>
      <c r="R241" s="633"/>
      <c r="S241" s="633"/>
      <c r="T241" s="633"/>
    </row>
    <row r="242" spans="1:20" ht="13.5" customHeight="1">
      <c r="A242" s="633"/>
      <c r="B242" s="659"/>
      <c r="C242" s="664"/>
      <c r="D242" s="659"/>
      <c r="E242" s="665"/>
      <c r="F242" s="665"/>
      <c r="G242" s="659"/>
      <c r="H242" s="659"/>
      <c r="I242" s="659"/>
      <c r="J242" s="659"/>
      <c r="K242" s="632"/>
      <c r="L242" s="633"/>
      <c r="M242" s="633"/>
      <c r="N242" s="633"/>
      <c r="O242" s="633"/>
      <c r="P242" s="633"/>
      <c r="Q242" s="633"/>
      <c r="R242" s="633"/>
      <c r="S242" s="633"/>
      <c r="T242" s="633"/>
    </row>
    <row r="243" spans="1:20" ht="13.5" customHeight="1">
      <c r="A243" s="633"/>
      <c r="B243" s="659"/>
      <c r="C243" s="664"/>
      <c r="D243" s="659"/>
      <c r="E243" s="665"/>
      <c r="F243" s="665"/>
      <c r="G243" s="659"/>
      <c r="H243" s="659"/>
      <c r="I243" s="659"/>
      <c r="J243" s="659"/>
      <c r="K243" s="632"/>
      <c r="L243" s="633"/>
      <c r="M243" s="633"/>
      <c r="N243" s="633"/>
      <c r="O243" s="633"/>
      <c r="P243" s="633"/>
      <c r="Q243" s="633"/>
      <c r="R243" s="633"/>
      <c r="S243" s="633"/>
      <c r="T243" s="633"/>
    </row>
    <row r="244" spans="1:20" ht="13.5" customHeight="1">
      <c r="A244" s="633"/>
      <c r="B244" s="659"/>
      <c r="C244" s="664"/>
      <c r="D244" s="659"/>
      <c r="E244" s="665"/>
      <c r="F244" s="665"/>
      <c r="G244" s="659"/>
      <c r="H244" s="659"/>
      <c r="I244" s="659"/>
      <c r="J244" s="659"/>
      <c r="K244" s="632"/>
      <c r="L244" s="633"/>
      <c r="M244" s="633"/>
      <c r="N244" s="633"/>
      <c r="O244" s="633"/>
      <c r="P244" s="633"/>
      <c r="Q244" s="633"/>
      <c r="R244" s="633"/>
      <c r="S244" s="633"/>
      <c r="T244" s="633"/>
    </row>
    <row r="245" spans="1:20" ht="13.5" customHeight="1">
      <c r="A245" s="633"/>
      <c r="B245" s="659"/>
      <c r="C245" s="664"/>
      <c r="D245" s="659"/>
      <c r="E245" s="665"/>
      <c r="F245" s="665"/>
      <c r="G245" s="659"/>
      <c r="H245" s="659"/>
      <c r="I245" s="659"/>
      <c r="J245" s="659"/>
      <c r="K245" s="632"/>
      <c r="L245" s="633"/>
      <c r="M245" s="633"/>
      <c r="N245" s="633"/>
      <c r="O245" s="633"/>
      <c r="P245" s="633"/>
      <c r="Q245" s="633"/>
      <c r="R245" s="633"/>
      <c r="S245" s="633"/>
      <c r="T245" s="633"/>
    </row>
    <row r="246" spans="1:20" ht="13.5" customHeight="1">
      <c r="A246" s="633"/>
      <c r="B246" s="659"/>
      <c r="C246" s="664"/>
      <c r="D246" s="659"/>
      <c r="E246" s="665"/>
      <c r="F246" s="665"/>
      <c r="G246" s="659"/>
      <c r="H246" s="659"/>
      <c r="I246" s="659"/>
      <c r="J246" s="659"/>
      <c r="K246" s="632"/>
      <c r="L246" s="633"/>
      <c r="M246" s="633"/>
      <c r="N246" s="633"/>
      <c r="O246" s="633"/>
      <c r="P246" s="633"/>
      <c r="Q246" s="633"/>
      <c r="R246" s="633"/>
      <c r="S246" s="633"/>
      <c r="T246" s="633"/>
    </row>
    <row r="247" spans="1:20" ht="13.5" customHeight="1">
      <c r="A247" s="633"/>
      <c r="B247" s="659"/>
      <c r="C247" s="664"/>
      <c r="D247" s="659"/>
      <c r="E247" s="665"/>
      <c r="F247" s="665"/>
      <c r="G247" s="659"/>
      <c r="H247" s="659"/>
      <c r="I247" s="659"/>
      <c r="J247" s="659"/>
      <c r="K247" s="632"/>
      <c r="L247" s="633"/>
      <c r="M247" s="633"/>
      <c r="N247" s="633"/>
      <c r="O247" s="633"/>
      <c r="P247" s="633"/>
      <c r="Q247" s="633"/>
      <c r="R247" s="633"/>
      <c r="S247" s="633"/>
      <c r="T247" s="633"/>
    </row>
    <row r="248" spans="1:20" ht="13.5" customHeight="1">
      <c r="A248" s="633"/>
      <c r="B248" s="659"/>
      <c r="C248" s="664"/>
      <c r="D248" s="659"/>
      <c r="E248" s="665"/>
      <c r="F248" s="665"/>
      <c r="G248" s="659"/>
      <c r="H248" s="659"/>
      <c r="I248" s="659"/>
      <c r="J248" s="659"/>
      <c r="K248" s="632"/>
      <c r="L248" s="633"/>
      <c r="M248" s="633"/>
      <c r="N248" s="633"/>
      <c r="O248" s="633"/>
      <c r="P248" s="633"/>
      <c r="Q248" s="633"/>
      <c r="R248" s="633"/>
      <c r="S248" s="633"/>
      <c r="T248" s="633"/>
    </row>
    <row r="249" spans="1:20" ht="13.5" customHeight="1">
      <c r="A249" s="633"/>
      <c r="B249" s="659"/>
      <c r="C249" s="664"/>
      <c r="D249" s="659"/>
      <c r="E249" s="665"/>
      <c r="F249" s="665"/>
      <c r="G249" s="659"/>
      <c r="H249" s="659"/>
      <c r="I249" s="659"/>
      <c r="J249" s="659"/>
      <c r="K249" s="632"/>
      <c r="L249" s="633"/>
      <c r="M249" s="633"/>
      <c r="N249" s="633"/>
      <c r="O249" s="633"/>
      <c r="P249" s="633"/>
      <c r="Q249" s="633"/>
      <c r="R249" s="633"/>
      <c r="S249" s="633"/>
      <c r="T249" s="633"/>
    </row>
    <row r="250" spans="1:20" ht="13.5" customHeight="1">
      <c r="A250" s="633"/>
      <c r="B250" s="659"/>
      <c r="C250" s="664"/>
      <c r="D250" s="659"/>
      <c r="E250" s="665"/>
      <c r="F250" s="665"/>
      <c r="G250" s="659"/>
      <c r="H250" s="659"/>
      <c r="I250" s="659"/>
      <c r="J250" s="659"/>
      <c r="K250" s="632"/>
      <c r="L250" s="633"/>
      <c r="M250" s="633"/>
      <c r="N250" s="633"/>
      <c r="O250" s="633"/>
      <c r="P250" s="633"/>
      <c r="Q250" s="633"/>
      <c r="R250" s="633"/>
      <c r="S250" s="633"/>
      <c r="T250" s="633"/>
    </row>
    <row r="251" spans="1:20" ht="13.5" customHeight="1">
      <c r="A251" s="633"/>
      <c r="B251" s="659"/>
      <c r="C251" s="664"/>
      <c r="D251" s="659"/>
      <c r="E251" s="665"/>
      <c r="F251" s="665"/>
      <c r="G251" s="659"/>
      <c r="H251" s="659"/>
      <c r="I251" s="659"/>
      <c r="J251" s="659"/>
      <c r="K251" s="632"/>
      <c r="L251" s="633"/>
      <c r="M251" s="633"/>
      <c r="N251" s="633"/>
      <c r="O251" s="633"/>
      <c r="P251" s="633"/>
      <c r="Q251" s="633"/>
      <c r="R251" s="633"/>
      <c r="S251" s="633"/>
      <c r="T251" s="633"/>
    </row>
    <row r="252" spans="1:20" ht="13.5" customHeight="1">
      <c r="A252" s="633"/>
      <c r="B252" s="659"/>
      <c r="C252" s="664"/>
      <c r="D252" s="659"/>
      <c r="E252" s="665"/>
      <c r="F252" s="665"/>
      <c r="G252" s="659"/>
      <c r="H252" s="659"/>
      <c r="I252" s="659"/>
      <c r="J252" s="659"/>
      <c r="K252" s="632"/>
      <c r="L252" s="633"/>
      <c r="M252" s="633"/>
      <c r="N252" s="633"/>
      <c r="O252" s="633"/>
      <c r="P252" s="633"/>
      <c r="Q252" s="633"/>
      <c r="R252" s="633"/>
      <c r="S252" s="633"/>
      <c r="T252" s="633"/>
    </row>
    <row r="253" spans="1:20" ht="13.5" customHeight="1">
      <c r="A253" s="633"/>
      <c r="B253" s="659"/>
      <c r="C253" s="664"/>
      <c r="D253" s="659"/>
      <c r="E253" s="665"/>
      <c r="F253" s="665"/>
      <c r="G253" s="659"/>
      <c r="H253" s="659"/>
      <c r="I253" s="659"/>
      <c r="J253" s="659"/>
      <c r="K253" s="632"/>
      <c r="L253" s="633"/>
      <c r="M253" s="633"/>
      <c r="N253" s="633"/>
      <c r="O253" s="633"/>
      <c r="P253" s="633"/>
      <c r="Q253" s="633"/>
      <c r="R253" s="633"/>
      <c r="S253" s="633"/>
      <c r="T253" s="633"/>
    </row>
    <row r="254" spans="1:20" ht="13.5" customHeight="1">
      <c r="A254" s="633"/>
      <c r="B254" s="659"/>
      <c r="C254" s="664"/>
      <c r="D254" s="659"/>
      <c r="E254" s="665"/>
      <c r="F254" s="665"/>
      <c r="G254" s="659"/>
      <c r="H254" s="659"/>
      <c r="I254" s="659"/>
      <c r="J254" s="659"/>
      <c r="K254" s="632"/>
      <c r="L254" s="633"/>
      <c r="M254" s="633"/>
      <c r="N254" s="633"/>
      <c r="O254" s="633"/>
      <c r="P254" s="633"/>
      <c r="Q254" s="633"/>
      <c r="R254" s="633"/>
      <c r="S254" s="633"/>
      <c r="T254" s="633"/>
    </row>
    <row r="255" spans="1:20" ht="13.5" customHeight="1">
      <c r="A255" s="633"/>
      <c r="B255" s="659"/>
      <c r="C255" s="664"/>
      <c r="D255" s="659"/>
      <c r="E255" s="665"/>
      <c r="F255" s="665"/>
      <c r="G255" s="659"/>
      <c r="H255" s="659"/>
      <c r="I255" s="659"/>
      <c r="J255" s="659"/>
      <c r="K255" s="632"/>
      <c r="L255" s="633"/>
      <c r="M255" s="633"/>
      <c r="N255" s="633"/>
      <c r="O255" s="633"/>
      <c r="P255" s="633"/>
      <c r="Q255" s="633"/>
      <c r="R255" s="633"/>
      <c r="S255" s="633"/>
      <c r="T255" s="633"/>
    </row>
    <row r="256" spans="1:20" ht="13.5" customHeight="1">
      <c r="A256" s="633"/>
      <c r="B256" s="659"/>
      <c r="C256" s="664"/>
      <c r="D256" s="659"/>
      <c r="E256" s="665"/>
      <c r="F256" s="665"/>
      <c r="G256" s="659"/>
      <c r="H256" s="659"/>
      <c r="I256" s="659"/>
      <c r="J256" s="659"/>
      <c r="K256" s="632"/>
      <c r="L256" s="633"/>
      <c r="M256" s="633"/>
      <c r="N256" s="633"/>
      <c r="O256" s="633"/>
      <c r="P256" s="633"/>
      <c r="Q256" s="633"/>
      <c r="R256" s="633"/>
      <c r="S256" s="633"/>
      <c r="T256" s="633"/>
    </row>
    <row r="257" spans="1:20" ht="13.5" customHeight="1">
      <c r="A257" s="633"/>
      <c r="B257" s="659"/>
      <c r="C257" s="664"/>
      <c r="D257" s="659"/>
      <c r="E257" s="665"/>
      <c r="F257" s="665"/>
      <c r="G257" s="659"/>
      <c r="H257" s="659"/>
      <c r="I257" s="659"/>
      <c r="J257" s="659"/>
      <c r="K257" s="632"/>
      <c r="L257" s="633"/>
      <c r="M257" s="633"/>
      <c r="N257" s="633"/>
      <c r="O257" s="633"/>
      <c r="P257" s="633"/>
      <c r="Q257" s="633"/>
      <c r="R257" s="633"/>
      <c r="S257" s="633"/>
      <c r="T257" s="633"/>
    </row>
    <row r="258" spans="1:20" ht="13.5" customHeight="1">
      <c r="A258" s="633"/>
      <c r="B258" s="659"/>
      <c r="C258" s="664"/>
      <c r="D258" s="659"/>
      <c r="E258" s="665"/>
      <c r="F258" s="665"/>
      <c r="G258" s="659"/>
      <c r="H258" s="659"/>
      <c r="I258" s="659"/>
      <c r="J258" s="659"/>
      <c r="K258" s="632"/>
      <c r="L258" s="633"/>
      <c r="M258" s="633"/>
      <c r="N258" s="633"/>
      <c r="O258" s="633"/>
      <c r="P258" s="633"/>
      <c r="Q258" s="633"/>
      <c r="R258" s="633"/>
      <c r="S258" s="633"/>
      <c r="T258" s="633"/>
    </row>
    <row r="259" spans="1:20" ht="13.5" customHeight="1">
      <c r="A259" s="633"/>
      <c r="B259" s="659"/>
      <c r="C259" s="664"/>
      <c r="D259" s="659"/>
      <c r="E259" s="665"/>
      <c r="F259" s="665"/>
      <c r="G259" s="659"/>
      <c r="H259" s="659"/>
      <c r="I259" s="659"/>
      <c r="J259" s="659"/>
      <c r="K259" s="632"/>
      <c r="L259" s="633"/>
      <c r="M259" s="633"/>
      <c r="N259" s="633"/>
      <c r="O259" s="633"/>
      <c r="P259" s="633"/>
      <c r="Q259" s="633"/>
      <c r="R259" s="633"/>
      <c r="S259" s="633"/>
      <c r="T259" s="633"/>
    </row>
    <row r="260" spans="1:20" ht="13.5" customHeight="1">
      <c r="A260" s="633"/>
      <c r="B260" s="659"/>
      <c r="C260" s="664"/>
      <c r="D260" s="659"/>
      <c r="E260" s="665"/>
      <c r="F260" s="665"/>
      <c r="G260" s="659"/>
      <c r="H260" s="659"/>
      <c r="I260" s="659"/>
      <c r="J260" s="659"/>
      <c r="K260" s="632"/>
      <c r="L260" s="633"/>
      <c r="M260" s="633"/>
      <c r="N260" s="633"/>
      <c r="O260" s="633"/>
      <c r="P260" s="633"/>
      <c r="Q260" s="633"/>
      <c r="R260" s="633"/>
      <c r="S260" s="633"/>
      <c r="T260" s="633"/>
    </row>
    <row r="261" spans="1:20" ht="15.75" customHeight="1"/>
    <row r="262" spans="1:20" ht="15.75" customHeight="1"/>
    <row r="263" spans="1:20" ht="15.75" customHeight="1"/>
    <row r="264" spans="1:20" ht="15.75" customHeight="1"/>
    <row r="265" spans="1:20" ht="15.75" customHeight="1"/>
    <row r="266" spans="1:20" ht="15.75" customHeight="1"/>
    <row r="267" spans="1:20" ht="15.75" customHeight="1"/>
    <row r="268" spans="1:20" ht="15.75" customHeight="1"/>
    <row r="269" spans="1:20" ht="15.75" customHeight="1"/>
    <row r="270" spans="1:20" ht="15.75" customHeight="1"/>
    <row r="271" spans="1:20" ht="15.75" customHeight="1"/>
    <row r="272" spans="1:2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2">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L4:N4"/>
    <mergeCell ref="C9:F9"/>
    <mergeCell ref="G9:H9"/>
    <mergeCell ref="C6:F6"/>
    <mergeCell ref="G6:H6"/>
    <mergeCell ref="J6:J10"/>
    <mergeCell ref="C7:F7"/>
    <mergeCell ref="G7:H7"/>
    <mergeCell ref="C8:F8"/>
    <mergeCell ref="G8:H8"/>
    <mergeCell ref="C10:F10"/>
    <mergeCell ref="G10:H10"/>
    <mergeCell ref="J23:J24"/>
    <mergeCell ref="C23:F24"/>
    <mergeCell ref="C25:F25"/>
    <mergeCell ref="G25:H25"/>
    <mergeCell ref="J25:J29"/>
    <mergeCell ref="C26:F26"/>
    <mergeCell ref="G26:H26"/>
    <mergeCell ref="G27:H27"/>
    <mergeCell ref="C31:F31"/>
    <mergeCell ref="G31:H31"/>
    <mergeCell ref="J30:J34"/>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45:J49"/>
    <mergeCell ref="G46:H46"/>
    <mergeCell ref="G52:H52"/>
    <mergeCell ref="C53:F53"/>
    <mergeCell ref="G53:H53"/>
    <mergeCell ref="C49:F49"/>
    <mergeCell ref="G49:H49"/>
    <mergeCell ref="B50:B54"/>
    <mergeCell ref="C50:F50"/>
    <mergeCell ref="G50:H50"/>
    <mergeCell ref="J50:J54"/>
    <mergeCell ref="G51:H51"/>
    <mergeCell ref="C46:F46"/>
    <mergeCell ref="C47:F47"/>
    <mergeCell ref="C51:F51"/>
    <mergeCell ref="C52:F52"/>
    <mergeCell ref="G47:H47"/>
    <mergeCell ref="C48:F48"/>
    <mergeCell ref="G48:H48"/>
    <mergeCell ref="B45:B49"/>
    <mergeCell ref="C45:F45"/>
    <mergeCell ref="G45:H45"/>
    <mergeCell ref="B55:I55"/>
    <mergeCell ref="G62:J62"/>
    <mergeCell ref="D65:G66"/>
    <mergeCell ref="D67:G67"/>
    <mergeCell ref="C54:F54"/>
    <mergeCell ref="G54:H54"/>
    <mergeCell ref="C58:E59"/>
    <mergeCell ref="G58:I59"/>
    <mergeCell ref="C60:E60"/>
    <mergeCell ref="G60:I60"/>
    <mergeCell ref="G61:J61"/>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s>
  <conditionalFormatting sqref="J6:J21">
    <cfRule type="cellIs" dxfId="11" priority="1" operator="greaterThanOrEqual">
      <formula>5</formula>
    </cfRule>
    <cfRule type="cellIs" dxfId="10" priority="2" operator="greaterThanOrEqual">
      <formula>4</formula>
    </cfRule>
    <cfRule type="cellIs" dxfId="9" priority="3" operator="greaterThanOrEqual">
      <formula>3</formula>
    </cfRule>
    <cfRule type="cellIs" dxfId="8" priority="4" operator="greaterThanOrEqual">
      <formula>2</formula>
    </cfRule>
    <cfRule type="cellIs" dxfId="7" priority="5" operator="greaterThanOrEqual">
      <formula>1</formula>
    </cfRule>
    <cfRule type="cellIs" dxfId="6" priority="6" operator="greaterThanOrEqual">
      <formula>0.1</formula>
    </cfRule>
  </conditionalFormatting>
  <conditionalFormatting sqref="J25:J54">
    <cfRule type="cellIs" dxfId="5" priority="7" operator="greaterThanOrEqual">
      <formula>5</formula>
    </cfRule>
  </conditionalFormatting>
  <conditionalFormatting sqref="J25:J55">
    <cfRule type="cellIs" dxfId="4" priority="8" operator="greaterThanOrEqual">
      <formula>3</formula>
    </cfRule>
    <cfRule type="cellIs" dxfId="3" priority="9" operator="greaterThanOrEqual">
      <formula>2</formula>
    </cfRule>
    <cfRule type="cellIs" dxfId="2" priority="10" operator="greaterThanOrEqual">
      <formula>1</formula>
    </cfRule>
    <cfRule type="cellIs" dxfId="1" priority="11" operator="greaterThanOrEqual">
      <formula>0.1</formula>
    </cfRule>
    <cfRule type="cellIs" dxfId="0" priority="12" operator="greaterThanOrEqual">
      <formula>4</formula>
    </cfRule>
  </conditionalFormatting>
  <printOptions horizontalCentered="1"/>
  <pageMargins left="0" right="0" top="0.99803149599999996" bottom="0.49803149600000002"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2EFD9"/>
    <pageSetUpPr fitToPage="1"/>
  </sheetPr>
  <dimension ref="A1:Z1000"/>
  <sheetViews>
    <sheetView workbookViewId="0"/>
  </sheetViews>
  <sheetFormatPr defaultColWidth="14.42578125" defaultRowHeight="15" customHeight="1"/>
  <cols>
    <col min="1" max="1" width="4.42578125" customWidth="1"/>
    <col min="2" max="2" width="2.85546875" customWidth="1"/>
    <col min="3" max="3" width="13.42578125" customWidth="1"/>
    <col min="4" max="4" width="36.85546875" customWidth="1"/>
    <col min="5" max="5" width="17.140625" customWidth="1"/>
    <col min="6" max="6" width="20.85546875" customWidth="1"/>
    <col min="7" max="8" width="15.85546875" customWidth="1"/>
    <col min="9" max="9" width="16.140625" customWidth="1"/>
    <col min="10" max="10" width="2.85546875" customWidth="1"/>
    <col min="11" max="11" width="4.140625" customWidth="1"/>
    <col min="12" max="12" width="2.140625" customWidth="1"/>
    <col min="15" max="15" width="16.42578125" customWidth="1"/>
    <col min="16" max="25" width="9.140625" customWidth="1"/>
  </cols>
  <sheetData>
    <row r="1" spans="1:26" ht="16.5" customHeight="1">
      <c r="A1" s="671"/>
      <c r="B1" s="672" t="s">
        <v>810</v>
      </c>
      <c r="C1" s="366"/>
      <c r="D1" s="366"/>
      <c r="E1" s="366"/>
      <c r="F1" s="366"/>
      <c r="G1" s="366"/>
      <c r="H1" s="366"/>
      <c r="I1" s="366"/>
      <c r="J1" s="367"/>
      <c r="K1" s="671"/>
      <c r="L1" s="671"/>
      <c r="M1" s="671"/>
      <c r="N1" s="671"/>
      <c r="O1" s="671"/>
      <c r="P1" s="671"/>
      <c r="Q1" s="671"/>
      <c r="R1" s="671"/>
      <c r="S1" s="671"/>
      <c r="T1" s="671"/>
      <c r="U1" s="671"/>
      <c r="V1" s="671"/>
      <c r="W1" s="671"/>
      <c r="X1" s="671"/>
      <c r="Y1" s="671"/>
      <c r="Z1" s="105"/>
    </row>
    <row r="2" spans="1:26" ht="24.75" customHeight="1">
      <c r="A2" s="671"/>
      <c r="B2" s="673"/>
      <c r="C2" s="674" t="s">
        <v>811</v>
      </c>
      <c r="D2" s="361"/>
      <c r="E2" s="361"/>
      <c r="F2" s="361"/>
      <c r="G2" s="361"/>
      <c r="H2" s="361"/>
      <c r="I2" s="362"/>
      <c r="J2" s="675"/>
      <c r="K2" s="671"/>
      <c r="L2" s="671"/>
      <c r="M2" s="671"/>
      <c r="N2" s="671"/>
      <c r="O2" s="671"/>
      <c r="P2" s="671"/>
      <c r="Q2" s="671"/>
      <c r="R2" s="671"/>
      <c r="S2" s="671"/>
      <c r="T2" s="671"/>
      <c r="U2" s="671"/>
      <c r="V2" s="671"/>
      <c r="W2" s="671"/>
      <c r="X2" s="671"/>
      <c r="Y2" s="671"/>
      <c r="Z2" s="105"/>
    </row>
    <row r="3" spans="1:26" ht="6" customHeight="1">
      <c r="A3" s="671"/>
      <c r="B3" s="676"/>
      <c r="C3" s="353"/>
      <c r="D3" s="353"/>
      <c r="E3" s="353"/>
      <c r="F3" s="353"/>
      <c r="G3" s="353"/>
      <c r="H3" s="353"/>
      <c r="I3" s="353"/>
      <c r="J3" s="419"/>
      <c r="K3" s="671"/>
      <c r="L3" s="671"/>
      <c r="M3" s="671"/>
      <c r="N3" s="671"/>
      <c r="O3" s="671"/>
      <c r="P3" s="671"/>
      <c r="Q3" s="671"/>
      <c r="R3" s="671"/>
      <c r="S3" s="671"/>
      <c r="T3" s="671"/>
      <c r="U3" s="671"/>
      <c r="V3" s="671"/>
      <c r="W3" s="671"/>
      <c r="X3" s="671"/>
      <c r="Y3" s="671"/>
      <c r="Z3" s="105"/>
    </row>
    <row r="4" spans="1:26" ht="7.5" customHeight="1">
      <c r="A4" s="671"/>
      <c r="B4" s="677"/>
      <c r="C4" s="353"/>
      <c r="D4" s="353"/>
      <c r="E4" s="353"/>
      <c r="F4" s="353"/>
      <c r="G4" s="353"/>
      <c r="H4" s="353"/>
      <c r="I4" s="353"/>
      <c r="J4" s="419"/>
      <c r="K4" s="671"/>
      <c r="L4" s="671"/>
      <c r="M4" s="671"/>
      <c r="N4" s="671"/>
      <c r="O4" s="671"/>
      <c r="P4" s="671"/>
      <c r="Q4" s="671"/>
      <c r="R4" s="671"/>
      <c r="S4" s="671"/>
      <c r="T4" s="671"/>
      <c r="U4" s="671"/>
      <c r="V4" s="671"/>
      <c r="W4" s="671"/>
      <c r="X4" s="671"/>
      <c r="Y4" s="671"/>
      <c r="Z4" s="105"/>
    </row>
    <row r="5" spans="1:26" ht="18.75" customHeight="1">
      <c r="A5" s="671"/>
      <c r="B5" s="678"/>
      <c r="C5" s="340" t="s">
        <v>812</v>
      </c>
      <c r="D5" s="367"/>
      <c r="E5" s="679" t="s">
        <v>16</v>
      </c>
      <c r="F5" s="679" t="s">
        <v>813</v>
      </c>
      <c r="G5" s="340" t="s">
        <v>814</v>
      </c>
      <c r="H5" s="680" t="s">
        <v>815</v>
      </c>
      <c r="I5" s="362"/>
      <c r="J5" s="681"/>
      <c r="K5" s="671"/>
      <c r="L5" s="671"/>
      <c r="M5" s="682" t="s">
        <v>816</v>
      </c>
      <c r="N5" s="366"/>
      <c r="O5" s="367"/>
      <c r="P5" s="671"/>
      <c r="Q5" s="671"/>
      <c r="R5" s="671"/>
      <c r="S5" s="671"/>
      <c r="T5" s="671"/>
      <c r="U5" s="671"/>
      <c r="V5" s="671"/>
      <c r="W5" s="671"/>
      <c r="X5" s="671"/>
      <c r="Y5" s="671"/>
      <c r="Z5" s="105"/>
    </row>
    <row r="6" spans="1:26" ht="35.25" customHeight="1">
      <c r="A6" s="671"/>
      <c r="B6" s="673"/>
      <c r="C6" s="420"/>
      <c r="D6" s="421"/>
      <c r="E6" s="422"/>
      <c r="F6" s="422"/>
      <c r="G6" s="420"/>
      <c r="H6" s="108" t="s">
        <v>666</v>
      </c>
      <c r="I6" s="108" t="s">
        <v>667</v>
      </c>
      <c r="J6" s="675"/>
      <c r="K6" s="671"/>
      <c r="L6" s="671"/>
      <c r="M6" s="109" t="s">
        <v>817</v>
      </c>
      <c r="N6" s="109" t="s">
        <v>666</v>
      </c>
      <c r="O6" s="110" t="s">
        <v>667</v>
      </c>
      <c r="P6" s="671"/>
      <c r="Q6" s="671"/>
      <c r="R6" s="671"/>
      <c r="S6" s="671"/>
      <c r="T6" s="671"/>
      <c r="U6" s="671"/>
      <c r="V6" s="671"/>
      <c r="W6" s="671"/>
      <c r="X6" s="671"/>
      <c r="Y6" s="671"/>
      <c r="Z6" s="105"/>
    </row>
    <row r="7" spans="1:26" ht="27.75" customHeight="1">
      <c r="A7" s="671"/>
      <c r="B7" s="673"/>
      <c r="C7" s="683" t="s">
        <v>818</v>
      </c>
      <c r="D7" s="111" t="s">
        <v>819</v>
      </c>
      <c r="E7" s="112">
        <v>0.6</v>
      </c>
      <c r="F7" s="684">
        <f>'PART I (CY 2025&amp;SY2025-2026)'!U40</f>
        <v>0.2</v>
      </c>
      <c r="G7" s="685" t="e">
        <f>SUM(F$7:F$11)</f>
        <v>#REF!</v>
      </c>
      <c r="H7" s="723"/>
      <c r="I7" s="723"/>
      <c r="J7" s="675"/>
      <c r="K7" s="671"/>
      <c r="L7" s="671"/>
      <c r="M7" s="113" t="s">
        <v>820</v>
      </c>
      <c r="N7" s="113">
        <v>5</v>
      </c>
      <c r="O7" s="114" t="s">
        <v>821</v>
      </c>
      <c r="P7" s="671"/>
      <c r="Q7" s="671"/>
      <c r="R7" s="671"/>
      <c r="S7" s="671"/>
      <c r="T7" s="671"/>
      <c r="U7" s="671"/>
      <c r="V7" s="671"/>
      <c r="W7" s="671"/>
      <c r="X7" s="671"/>
      <c r="Y7" s="671"/>
      <c r="Z7" s="105"/>
    </row>
    <row r="8" spans="1:26" ht="33.75" customHeight="1">
      <c r="A8" s="671"/>
      <c r="B8" s="673"/>
      <c r="C8" s="414"/>
      <c r="D8" s="115" t="s">
        <v>822</v>
      </c>
      <c r="E8" s="116">
        <v>0.2</v>
      </c>
      <c r="F8" s="117" t="e">
        <f t="shared" ref="F8:F9" si="0">#REF!</f>
        <v>#REF!</v>
      </c>
      <c r="G8" s="418"/>
      <c r="H8" s="414"/>
      <c r="I8" s="414"/>
      <c r="J8" s="675"/>
      <c r="K8" s="671"/>
      <c r="L8" s="671"/>
      <c r="M8" s="113" t="s">
        <v>823</v>
      </c>
      <c r="N8" s="113">
        <v>4</v>
      </c>
      <c r="O8" s="114" t="s">
        <v>824</v>
      </c>
      <c r="P8" s="671"/>
      <c r="Q8" s="671"/>
      <c r="R8" s="671"/>
      <c r="S8" s="671"/>
      <c r="T8" s="671"/>
      <c r="U8" s="671"/>
      <c r="V8" s="671"/>
      <c r="W8" s="671"/>
      <c r="X8" s="671"/>
      <c r="Y8" s="671"/>
      <c r="Z8" s="105"/>
    </row>
    <row r="9" spans="1:26" ht="21" customHeight="1">
      <c r="A9" s="671"/>
      <c r="B9" s="673"/>
      <c r="C9" s="422"/>
      <c r="D9" s="115" t="s">
        <v>825</v>
      </c>
      <c r="E9" s="120">
        <v>0.15</v>
      </c>
      <c r="F9" s="724" t="e">
        <f t="shared" si="0"/>
        <v>#REF!</v>
      </c>
      <c r="G9" s="418"/>
      <c r="H9" s="414"/>
      <c r="I9" s="414"/>
      <c r="J9" s="675"/>
      <c r="K9" s="671"/>
      <c r="L9" s="671"/>
      <c r="M9" s="113" t="s">
        <v>826</v>
      </c>
      <c r="N9" s="113">
        <v>3</v>
      </c>
      <c r="O9" s="114" t="s">
        <v>827</v>
      </c>
      <c r="P9" s="671"/>
      <c r="Q9" s="671"/>
      <c r="R9" s="671"/>
      <c r="S9" s="671"/>
      <c r="T9" s="671"/>
      <c r="U9" s="671"/>
      <c r="V9" s="671"/>
      <c r="W9" s="671"/>
      <c r="X9" s="671"/>
      <c r="Y9" s="671"/>
      <c r="Z9" s="105"/>
    </row>
    <row r="10" spans="1:26" ht="21.75" customHeight="1">
      <c r="A10" s="671"/>
      <c r="B10" s="673"/>
      <c r="C10" s="683" t="s">
        <v>828</v>
      </c>
      <c r="D10" s="115" t="s">
        <v>829</v>
      </c>
      <c r="E10" s="121" t="s">
        <v>830</v>
      </c>
      <c r="F10" s="724">
        <f>'PART II'!J21</f>
        <v>0.10666666666666667</v>
      </c>
      <c r="G10" s="418"/>
      <c r="H10" s="414"/>
      <c r="I10" s="414"/>
      <c r="J10" s="675"/>
      <c r="K10" s="671"/>
      <c r="L10" s="671"/>
      <c r="M10" s="113" t="s">
        <v>831</v>
      </c>
      <c r="N10" s="113">
        <v>2</v>
      </c>
      <c r="O10" s="114" t="s">
        <v>832</v>
      </c>
      <c r="P10" s="671"/>
      <c r="Q10" s="671"/>
      <c r="R10" s="671"/>
      <c r="S10" s="671"/>
      <c r="T10" s="671"/>
      <c r="U10" s="671"/>
      <c r="V10" s="671"/>
      <c r="W10" s="671"/>
      <c r="X10" s="671"/>
      <c r="Y10" s="671"/>
      <c r="Z10" s="105"/>
    </row>
    <row r="11" spans="1:26" ht="19.5" customHeight="1">
      <c r="A11" s="671"/>
      <c r="B11" s="673"/>
      <c r="C11" s="422"/>
      <c r="D11" s="115" t="s">
        <v>833</v>
      </c>
      <c r="E11" s="121" t="s">
        <v>830</v>
      </c>
      <c r="F11" s="724">
        <f>'PART II'!J55</f>
        <v>0.10833333333333334</v>
      </c>
      <c r="G11" s="420"/>
      <c r="H11" s="422"/>
      <c r="I11" s="422"/>
      <c r="J11" s="675"/>
      <c r="K11" s="671"/>
      <c r="L11" s="671"/>
      <c r="M11" s="113" t="s">
        <v>834</v>
      </c>
      <c r="N11" s="113">
        <v>1</v>
      </c>
      <c r="O11" s="114" t="s">
        <v>835</v>
      </c>
      <c r="P11" s="671"/>
      <c r="Q11" s="671"/>
      <c r="R11" s="671"/>
      <c r="S11" s="671"/>
      <c r="T11" s="671"/>
      <c r="U11" s="671"/>
      <c r="V11" s="671"/>
      <c r="W11" s="671"/>
      <c r="X11" s="671"/>
      <c r="Y11" s="671"/>
      <c r="Z11" s="105"/>
    </row>
    <row r="12" spans="1:26" ht="6" customHeight="1">
      <c r="A12" s="671"/>
      <c r="B12" s="689"/>
      <c r="C12" s="353"/>
      <c r="D12" s="353"/>
      <c r="E12" s="353"/>
      <c r="F12" s="353"/>
      <c r="G12" s="353"/>
      <c r="H12" s="353"/>
      <c r="I12" s="353"/>
      <c r="J12" s="419"/>
      <c r="K12" s="671"/>
      <c r="L12" s="671"/>
      <c r="M12" s="671"/>
      <c r="N12" s="671"/>
      <c r="O12" s="671"/>
      <c r="P12" s="671"/>
      <c r="Q12" s="671"/>
      <c r="R12" s="671"/>
      <c r="S12" s="671"/>
      <c r="T12" s="671"/>
      <c r="U12" s="671"/>
      <c r="V12" s="671"/>
      <c r="W12" s="671"/>
      <c r="X12" s="671"/>
      <c r="Y12" s="671"/>
      <c r="Z12" s="105"/>
    </row>
    <row r="13" spans="1:26" ht="15.75" customHeight="1">
      <c r="A13" s="671"/>
      <c r="B13" s="690"/>
      <c r="C13" s="691" t="s">
        <v>836</v>
      </c>
      <c r="D13" s="692"/>
      <c r="E13" s="692"/>
      <c r="F13" s="692"/>
      <c r="G13" s="692"/>
      <c r="H13" s="692"/>
      <c r="I13" s="692"/>
      <c r="J13" s="693"/>
      <c r="K13" s="671"/>
      <c r="L13" s="671"/>
      <c r="M13" s="671"/>
      <c r="N13" s="671"/>
      <c r="O13" s="671"/>
      <c r="P13" s="671"/>
      <c r="Q13" s="671"/>
      <c r="R13" s="671"/>
      <c r="S13" s="671"/>
      <c r="T13" s="671"/>
      <c r="U13" s="671"/>
      <c r="V13" s="671"/>
      <c r="W13" s="671"/>
      <c r="X13" s="671"/>
      <c r="Y13" s="671"/>
      <c r="Z13" s="105"/>
    </row>
    <row r="14" spans="1:26" ht="4.5" customHeight="1">
      <c r="A14" s="671"/>
      <c r="B14" s="694"/>
      <c r="C14" s="695"/>
      <c r="D14" s="695"/>
      <c r="E14" s="695"/>
      <c r="F14" s="695"/>
      <c r="G14" s="695"/>
      <c r="H14" s="695"/>
      <c r="I14" s="695"/>
      <c r="J14" s="696"/>
      <c r="K14" s="671"/>
      <c r="L14" s="671"/>
      <c r="M14" s="671"/>
      <c r="N14" s="671"/>
      <c r="O14" s="671"/>
      <c r="P14" s="671"/>
      <c r="Q14" s="671"/>
      <c r="R14" s="671"/>
      <c r="S14" s="671"/>
      <c r="T14" s="671"/>
      <c r="U14" s="671"/>
      <c r="V14" s="671"/>
      <c r="W14" s="671"/>
      <c r="X14" s="671"/>
      <c r="Y14" s="671"/>
      <c r="Z14" s="105"/>
    </row>
    <row r="15" spans="1:26" ht="45" customHeight="1">
      <c r="A15" s="671"/>
      <c r="B15" s="673"/>
      <c r="C15" s="697" t="s">
        <v>837</v>
      </c>
      <c r="D15" s="353"/>
      <c r="E15" s="353"/>
      <c r="F15" s="353"/>
      <c r="G15" s="353"/>
      <c r="H15" s="353"/>
      <c r="I15" s="353"/>
      <c r="J15" s="696"/>
      <c r="K15" s="671"/>
      <c r="L15" s="671"/>
      <c r="M15" s="671"/>
      <c r="N15" s="671"/>
      <c r="O15" s="671"/>
      <c r="P15" s="671"/>
      <c r="Q15" s="671"/>
      <c r="R15" s="671"/>
      <c r="S15" s="671"/>
      <c r="T15" s="671"/>
      <c r="U15" s="671"/>
      <c r="V15" s="671"/>
      <c r="W15" s="671"/>
      <c r="X15" s="671"/>
      <c r="Y15" s="671"/>
      <c r="Z15" s="105"/>
    </row>
    <row r="16" spans="1:26" ht="14.25" customHeight="1">
      <c r="A16" s="671"/>
      <c r="B16" s="698"/>
      <c r="C16" s="353"/>
      <c r="D16" s="353"/>
      <c r="E16" s="353"/>
      <c r="F16" s="353"/>
      <c r="G16" s="353"/>
      <c r="H16" s="353"/>
      <c r="I16" s="353"/>
      <c r="J16" s="419"/>
      <c r="K16" s="671"/>
      <c r="L16" s="671"/>
      <c r="M16" s="671"/>
      <c r="N16" s="671"/>
      <c r="O16" s="671"/>
      <c r="P16" s="671"/>
      <c r="Q16" s="671"/>
      <c r="R16" s="671"/>
      <c r="S16" s="671"/>
      <c r="T16" s="671"/>
      <c r="U16" s="671"/>
      <c r="V16" s="671"/>
      <c r="W16" s="671"/>
      <c r="X16" s="671"/>
      <c r="Y16" s="671"/>
      <c r="Z16" s="105"/>
    </row>
    <row r="17" spans="1:26" ht="14.25" customHeight="1">
      <c r="A17" s="671"/>
      <c r="B17" s="673"/>
      <c r="C17" s="725" t="s">
        <v>1</v>
      </c>
      <c r="D17" s="367"/>
      <c r="E17" s="700"/>
      <c r="F17" s="725" t="s">
        <v>885</v>
      </c>
      <c r="G17" s="366"/>
      <c r="H17" s="366"/>
      <c r="I17" s="367"/>
      <c r="J17" s="675"/>
      <c r="K17" s="671"/>
      <c r="L17" s="671"/>
      <c r="M17" s="671"/>
      <c r="N17" s="671"/>
      <c r="O17" s="671"/>
      <c r="P17" s="671"/>
      <c r="Q17" s="671"/>
      <c r="R17" s="671"/>
      <c r="S17" s="671"/>
      <c r="T17" s="671"/>
      <c r="U17" s="671"/>
      <c r="V17" s="671"/>
      <c r="W17" s="671"/>
      <c r="X17" s="671"/>
      <c r="Y17" s="671"/>
      <c r="Z17" s="105"/>
    </row>
    <row r="18" spans="1:26" ht="14.25" customHeight="1">
      <c r="A18" s="671"/>
      <c r="B18" s="673"/>
      <c r="C18" s="420"/>
      <c r="D18" s="421"/>
      <c r="E18" s="701"/>
      <c r="F18" s="420"/>
      <c r="G18" s="494"/>
      <c r="H18" s="494"/>
      <c r="I18" s="421"/>
      <c r="J18" s="675"/>
      <c r="K18" s="671"/>
      <c r="L18" s="671"/>
      <c r="M18" s="671"/>
      <c r="N18" s="671"/>
      <c r="O18" s="671"/>
      <c r="P18" s="671"/>
      <c r="Q18" s="671"/>
      <c r="R18" s="671"/>
      <c r="S18" s="671"/>
      <c r="T18" s="671"/>
      <c r="U18" s="671"/>
      <c r="V18" s="671"/>
      <c r="W18" s="671"/>
      <c r="X18" s="671"/>
      <c r="Y18" s="671"/>
      <c r="Z18" s="105"/>
    </row>
    <row r="19" spans="1:26" ht="15.75" customHeight="1">
      <c r="A19" s="671"/>
      <c r="B19" s="673"/>
      <c r="C19" s="725" t="s">
        <v>840</v>
      </c>
      <c r="D19" s="367"/>
      <c r="E19" s="726"/>
      <c r="F19" s="725" t="s">
        <v>841</v>
      </c>
      <c r="G19" s="366"/>
      <c r="H19" s="366"/>
      <c r="I19" s="367"/>
      <c r="J19" s="675"/>
      <c r="K19" s="671"/>
      <c r="L19" s="671"/>
      <c r="M19" s="671"/>
      <c r="N19" s="671"/>
      <c r="O19" s="671"/>
      <c r="P19" s="671"/>
      <c r="Q19" s="671"/>
      <c r="R19" s="671"/>
      <c r="S19" s="671"/>
      <c r="T19" s="671"/>
      <c r="U19" s="671"/>
      <c r="V19" s="671"/>
      <c r="W19" s="671"/>
      <c r="X19" s="671"/>
      <c r="Y19" s="671"/>
      <c r="Z19" s="105"/>
    </row>
    <row r="20" spans="1:26" ht="15.75" customHeight="1">
      <c r="A20" s="671"/>
      <c r="B20" s="673"/>
      <c r="C20" s="420"/>
      <c r="D20" s="421"/>
      <c r="E20" s="726"/>
      <c r="F20" s="420"/>
      <c r="G20" s="494"/>
      <c r="H20" s="494"/>
      <c r="I20" s="421"/>
      <c r="J20" s="675"/>
      <c r="K20" s="671"/>
      <c r="L20" s="671"/>
      <c r="M20" s="671"/>
      <c r="N20" s="671"/>
      <c r="O20" s="671"/>
      <c r="P20" s="671"/>
      <c r="Q20" s="671"/>
      <c r="R20" s="671"/>
      <c r="S20" s="671"/>
      <c r="T20" s="671"/>
      <c r="U20" s="671"/>
      <c r="V20" s="671"/>
      <c r="W20" s="671"/>
      <c r="X20" s="671"/>
      <c r="Y20" s="671"/>
      <c r="Z20" s="105"/>
    </row>
    <row r="21" spans="1:26" ht="14.25" customHeight="1">
      <c r="A21" s="671"/>
      <c r="B21" s="673"/>
      <c r="C21" s="699" t="s">
        <v>842</v>
      </c>
      <c r="D21" s="367"/>
      <c r="E21" s="700"/>
      <c r="F21" s="725" t="s">
        <v>843</v>
      </c>
      <c r="G21" s="366"/>
      <c r="H21" s="366"/>
      <c r="I21" s="367"/>
      <c r="J21" s="675"/>
      <c r="K21" s="671"/>
      <c r="L21" s="671"/>
      <c r="M21" s="671"/>
      <c r="N21" s="671"/>
      <c r="O21" s="671"/>
      <c r="P21" s="671"/>
      <c r="Q21" s="671"/>
      <c r="R21" s="671"/>
      <c r="S21" s="671"/>
      <c r="T21" s="671"/>
      <c r="U21" s="671"/>
      <c r="V21" s="671"/>
      <c r="W21" s="671"/>
      <c r="X21" s="671"/>
      <c r="Y21" s="671"/>
      <c r="Z21" s="105"/>
    </row>
    <row r="22" spans="1:26" ht="14.25" customHeight="1">
      <c r="A22" s="671"/>
      <c r="B22" s="673"/>
      <c r="C22" s="420"/>
      <c r="D22" s="421"/>
      <c r="E22" s="727"/>
      <c r="F22" s="420"/>
      <c r="G22" s="494"/>
      <c r="H22" s="494"/>
      <c r="I22" s="421"/>
      <c r="J22" s="675"/>
      <c r="K22" s="671"/>
      <c r="L22" s="671"/>
      <c r="M22" s="671"/>
      <c r="N22" s="671"/>
      <c r="O22" s="671"/>
      <c r="P22" s="671"/>
      <c r="Q22" s="671"/>
      <c r="R22" s="671"/>
      <c r="S22" s="671"/>
      <c r="T22" s="671"/>
      <c r="U22" s="671"/>
      <c r="V22" s="671"/>
      <c r="W22" s="671"/>
      <c r="X22" s="671"/>
      <c r="Y22" s="671"/>
      <c r="Z22" s="105"/>
    </row>
    <row r="23" spans="1:26" ht="14.25" customHeight="1">
      <c r="A23" s="671"/>
      <c r="B23" s="694"/>
      <c r="C23" s="695"/>
      <c r="D23" s="695"/>
      <c r="E23" s="695"/>
      <c r="F23" s="695"/>
      <c r="G23" s="695"/>
      <c r="H23" s="695"/>
      <c r="I23" s="695"/>
      <c r="J23" s="696"/>
      <c r="K23" s="671"/>
      <c r="L23" s="671"/>
      <c r="M23" s="671"/>
      <c r="N23" s="671"/>
      <c r="O23" s="671"/>
      <c r="P23" s="671"/>
      <c r="Q23" s="671"/>
      <c r="R23" s="671"/>
      <c r="S23" s="671"/>
      <c r="T23" s="671"/>
      <c r="U23" s="671"/>
      <c r="V23" s="671"/>
      <c r="W23" s="671"/>
      <c r="X23" s="671"/>
      <c r="Y23" s="671"/>
      <c r="Z23" s="105"/>
    </row>
    <row r="24" spans="1:26" ht="14.25" customHeight="1">
      <c r="A24" s="671"/>
      <c r="B24" s="128"/>
      <c r="C24" s="130"/>
      <c r="D24" s="130"/>
      <c r="E24" s="130"/>
      <c r="F24" s="130"/>
      <c r="G24" s="130"/>
      <c r="H24" s="130"/>
      <c r="I24" s="130"/>
      <c r="J24" s="703"/>
      <c r="K24" s="671"/>
      <c r="L24" s="671"/>
      <c r="M24" s="671"/>
      <c r="N24" s="671"/>
      <c r="O24" s="671"/>
      <c r="P24" s="671"/>
      <c r="Q24" s="671"/>
      <c r="R24" s="671"/>
      <c r="S24" s="671"/>
      <c r="T24" s="671"/>
      <c r="U24" s="671"/>
      <c r="V24" s="671"/>
      <c r="W24" s="671"/>
      <c r="X24" s="671"/>
      <c r="Y24" s="671"/>
      <c r="Z24" s="105"/>
    </row>
    <row r="25" spans="1:26" ht="14.25" customHeight="1">
      <c r="A25" s="671"/>
      <c r="B25" s="671"/>
      <c r="C25" s="671"/>
      <c r="D25" s="671"/>
      <c r="E25" s="671"/>
      <c r="F25" s="671"/>
      <c r="G25" s="671"/>
      <c r="H25" s="671"/>
      <c r="I25" s="671"/>
      <c r="J25" s="671"/>
      <c r="K25" s="671"/>
      <c r="L25" s="671"/>
      <c r="M25" s="671"/>
      <c r="N25" s="671"/>
      <c r="O25" s="671"/>
      <c r="P25" s="671"/>
      <c r="Q25" s="671"/>
      <c r="R25" s="671"/>
      <c r="S25" s="671"/>
      <c r="T25" s="671"/>
      <c r="U25" s="671"/>
      <c r="V25" s="671"/>
      <c r="W25" s="671"/>
      <c r="X25" s="671"/>
      <c r="Y25" s="671"/>
      <c r="Z25" s="105"/>
    </row>
    <row r="26" spans="1:26" ht="14.25" customHeight="1">
      <c r="A26" s="671"/>
      <c r="B26" s="671"/>
      <c r="C26" s="671"/>
      <c r="D26" s="671"/>
      <c r="E26" s="671"/>
      <c r="F26" s="671"/>
      <c r="G26" s="671"/>
      <c r="H26" s="671"/>
      <c r="I26" s="671"/>
      <c r="J26" s="671"/>
      <c r="K26" s="671"/>
      <c r="L26" s="671"/>
      <c r="M26" s="671"/>
      <c r="N26" s="671"/>
      <c r="O26" s="671"/>
      <c r="P26" s="671"/>
      <c r="Q26" s="671"/>
      <c r="R26" s="671"/>
      <c r="S26" s="671"/>
      <c r="T26" s="671"/>
      <c r="U26" s="671"/>
      <c r="V26" s="671"/>
      <c r="W26" s="671"/>
      <c r="X26" s="671"/>
      <c r="Y26" s="671"/>
      <c r="Z26" s="105"/>
    </row>
    <row r="27" spans="1:26" ht="14.25" customHeight="1">
      <c r="A27" s="671"/>
      <c r="B27" s="671"/>
      <c r="C27" s="671"/>
      <c r="D27" s="671"/>
      <c r="E27" s="671"/>
      <c r="F27" s="671"/>
      <c r="G27" s="671"/>
      <c r="H27" s="671"/>
      <c r="I27" s="671"/>
      <c r="J27" s="671"/>
      <c r="K27" s="671"/>
      <c r="L27" s="671"/>
      <c r="M27" s="671"/>
      <c r="N27" s="671"/>
      <c r="O27" s="671"/>
      <c r="P27" s="671"/>
      <c r="Q27" s="671"/>
      <c r="R27" s="671"/>
      <c r="S27" s="671"/>
      <c r="T27" s="671"/>
      <c r="U27" s="671"/>
      <c r="V27" s="671"/>
      <c r="W27" s="671"/>
      <c r="X27" s="671"/>
      <c r="Y27" s="671"/>
      <c r="Z27" s="105"/>
    </row>
    <row r="28" spans="1:26" ht="14.25" customHeight="1">
      <c r="A28" s="671"/>
      <c r="B28" s="671"/>
      <c r="C28" s="671"/>
      <c r="D28" s="671"/>
      <c r="E28" s="671"/>
      <c r="F28" s="671"/>
      <c r="G28" s="671"/>
      <c r="H28" s="671"/>
      <c r="I28" s="671"/>
      <c r="J28" s="671"/>
      <c r="K28" s="671"/>
      <c r="L28" s="671"/>
      <c r="M28" s="671"/>
      <c r="N28" s="671"/>
      <c r="O28" s="671"/>
      <c r="P28" s="671"/>
      <c r="Q28" s="671"/>
      <c r="R28" s="671"/>
      <c r="S28" s="671"/>
      <c r="T28" s="671"/>
      <c r="U28" s="671"/>
      <c r="V28" s="671"/>
      <c r="W28" s="671"/>
      <c r="X28" s="671"/>
      <c r="Y28" s="671"/>
      <c r="Z28" s="105"/>
    </row>
    <row r="29" spans="1:26" ht="14.25" customHeight="1">
      <c r="A29" s="671"/>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105"/>
    </row>
    <row r="30" spans="1:26" ht="14.25" customHeight="1">
      <c r="A30" s="671"/>
      <c r="B30" s="671"/>
      <c r="C30" s="671"/>
      <c r="D30" s="671"/>
      <c r="E30" s="671"/>
      <c r="F30" s="671"/>
      <c r="G30" s="671"/>
      <c r="H30" s="671"/>
      <c r="I30" s="671"/>
      <c r="J30" s="671"/>
      <c r="K30" s="671"/>
      <c r="L30" s="671"/>
      <c r="M30" s="671"/>
      <c r="N30" s="671"/>
      <c r="O30" s="671"/>
      <c r="P30" s="671"/>
      <c r="Q30" s="671"/>
      <c r="R30" s="671"/>
      <c r="S30" s="671"/>
      <c r="T30" s="671"/>
      <c r="U30" s="671"/>
      <c r="V30" s="671"/>
      <c r="W30" s="671"/>
      <c r="X30" s="671"/>
      <c r="Y30" s="671"/>
      <c r="Z30" s="105"/>
    </row>
    <row r="31" spans="1:26" ht="14.25" customHeight="1">
      <c r="A31" s="671"/>
      <c r="B31" s="671"/>
      <c r="C31" s="671"/>
      <c r="D31" s="671"/>
      <c r="E31" s="671"/>
      <c r="F31" s="671"/>
      <c r="G31" s="671"/>
      <c r="H31" s="671"/>
      <c r="I31" s="671"/>
      <c r="J31" s="671"/>
      <c r="K31" s="671"/>
      <c r="L31" s="671"/>
      <c r="M31" s="671"/>
      <c r="N31" s="671"/>
      <c r="O31" s="671"/>
      <c r="P31" s="671"/>
      <c r="Q31" s="671"/>
      <c r="R31" s="671"/>
      <c r="S31" s="671"/>
      <c r="T31" s="671"/>
      <c r="U31" s="671"/>
      <c r="V31" s="671"/>
      <c r="W31" s="671"/>
      <c r="X31" s="671"/>
      <c r="Y31" s="671"/>
      <c r="Z31" s="105"/>
    </row>
    <row r="32" spans="1:26" ht="14.25" customHeight="1">
      <c r="A32" s="671"/>
      <c r="B32" s="671"/>
      <c r="C32" s="671"/>
      <c r="D32" s="671"/>
      <c r="E32" s="671"/>
      <c r="F32" s="671"/>
      <c r="G32" s="671"/>
      <c r="H32" s="671"/>
      <c r="I32" s="671"/>
      <c r="J32" s="671"/>
      <c r="K32" s="671"/>
      <c r="L32" s="671"/>
      <c r="M32" s="671"/>
      <c r="N32" s="671"/>
      <c r="O32" s="671"/>
      <c r="P32" s="671"/>
      <c r="Q32" s="671"/>
      <c r="R32" s="671"/>
      <c r="S32" s="671"/>
      <c r="T32" s="671"/>
      <c r="U32" s="671"/>
      <c r="V32" s="671"/>
      <c r="W32" s="671"/>
      <c r="X32" s="671"/>
      <c r="Y32" s="671"/>
      <c r="Z32" s="105"/>
    </row>
    <row r="33" spans="1:26" ht="14.25" customHeight="1">
      <c r="A33" s="671"/>
      <c r="B33" s="671"/>
      <c r="C33" s="671"/>
      <c r="D33" s="671"/>
      <c r="E33" s="671"/>
      <c r="F33" s="671"/>
      <c r="G33" s="671"/>
      <c r="H33" s="671"/>
      <c r="I33" s="671"/>
      <c r="J33" s="671"/>
      <c r="K33" s="671"/>
      <c r="L33" s="671"/>
      <c r="M33" s="671"/>
      <c r="N33" s="671"/>
      <c r="O33" s="671"/>
      <c r="P33" s="671"/>
      <c r="Q33" s="671"/>
      <c r="R33" s="671"/>
      <c r="S33" s="671"/>
      <c r="T33" s="671"/>
      <c r="U33" s="671"/>
      <c r="V33" s="671"/>
      <c r="W33" s="671"/>
      <c r="X33" s="671"/>
      <c r="Y33" s="671"/>
      <c r="Z33" s="105"/>
    </row>
    <row r="34" spans="1:26" ht="14.25" customHeight="1">
      <c r="A34" s="671"/>
      <c r="B34" s="671"/>
      <c r="C34" s="671"/>
      <c r="D34" s="671"/>
      <c r="E34" s="671"/>
      <c r="F34" s="671"/>
      <c r="G34" s="671"/>
      <c r="H34" s="671"/>
      <c r="I34" s="671"/>
      <c r="J34" s="671"/>
      <c r="K34" s="671"/>
      <c r="L34" s="671"/>
      <c r="M34" s="671"/>
      <c r="N34" s="671"/>
      <c r="O34" s="671"/>
      <c r="P34" s="671"/>
      <c r="Q34" s="671"/>
      <c r="R34" s="671"/>
      <c r="S34" s="671"/>
      <c r="T34" s="671"/>
      <c r="U34" s="671"/>
      <c r="V34" s="671"/>
      <c r="W34" s="671"/>
      <c r="X34" s="671"/>
      <c r="Y34" s="671"/>
      <c r="Z34" s="105"/>
    </row>
    <row r="35" spans="1:26" ht="14.25" customHeight="1">
      <c r="A35" s="671"/>
      <c r="B35" s="671"/>
      <c r="C35" s="671"/>
      <c r="D35" s="671"/>
      <c r="E35" s="671"/>
      <c r="F35" s="671"/>
      <c r="G35" s="671"/>
      <c r="H35" s="671"/>
      <c r="I35" s="671"/>
      <c r="J35" s="671"/>
      <c r="K35" s="671"/>
      <c r="L35" s="671"/>
      <c r="M35" s="671"/>
      <c r="N35" s="671"/>
      <c r="O35" s="671"/>
      <c r="P35" s="671"/>
      <c r="Q35" s="671"/>
      <c r="R35" s="671"/>
      <c r="S35" s="671"/>
      <c r="T35" s="671"/>
      <c r="U35" s="671"/>
      <c r="V35" s="671"/>
      <c r="W35" s="671"/>
      <c r="X35" s="671"/>
      <c r="Y35" s="671"/>
      <c r="Z35" s="105"/>
    </row>
    <row r="36" spans="1:26" ht="14.25" customHeight="1">
      <c r="A36" s="671"/>
      <c r="B36" s="671"/>
      <c r="C36" s="671"/>
      <c r="D36" s="671"/>
      <c r="E36" s="671"/>
      <c r="F36" s="671"/>
      <c r="G36" s="671"/>
      <c r="H36" s="671"/>
      <c r="I36" s="671"/>
      <c r="J36" s="671"/>
      <c r="K36" s="671"/>
      <c r="L36" s="671"/>
      <c r="M36" s="671"/>
      <c r="N36" s="671"/>
      <c r="O36" s="671"/>
      <c r="P36" s="671"/>
      <c r="Q36" s="671"/>
      <c r="R36" s="671"/>
      <c r="S36" s="671"/>
      <c r="T36" s="671"/>
      <c r="U36" s="671"/>
      <c r="V36" s="671"/>
      <c r="W36" s="671"/>
      <c r="X36" s="671"/>
      <c r="Y36" s="671"/>
      <c r="Z36" s="105"/>
    </row>
    <row r="37" spans="1:26" ht="14.25" customHeight="1">
      <c r="A37" s="671"/>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105"/>
    </row>
    <row r="38" spans="1:26" ht="14.25" customHeight="1">
      <c r="A38" s="671"/>
      <c r="B38" s="671"/>
      <c r="C38" s="671"/>
      <c r="D38" s="671"/>
      <c r="E38" s="671"/>
      <c r="F38" s="671"/>
      <c r="G38" s="671"/>
      <c r="H38" s="671"/>
      <c r="I38" s="671"/>
      <c r="J38" s="671"/>
      <c r="K38" s="671"/>
      <c r="L38" s="671"/>
      <c r="M38" s="671"/>
      <c r="N38" s="671"/>
      <c r="O38" s="671"/>
      <c r="P38" s="671"/>
      <c r="Q38" s="671"/>
      <c r="R38" s="671"/>
      <c r="S38" s="671"/>
      <c r="T38" s="671"/>
      <c r="U38" s="671"/>
      <c r="V38" s="671"/>
      <c r="W38" s="671"/>
      <c r="X38" s="671"/>
      <c r="Y38" s="671"/>
      <c r="Z38" s="105"/>
    </row>
    <row r="39" spans="1:26" ht="14.25" customHeight="1">
      <c r="A39" s="671"/>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105"/>
    </row>
    <row r="40" spans="1:26" ht="14.25" customHeight="1">
      <c r="A40" s="671"/>
      <c r="B40" s="671"/>
      <c r="C40" s="671"/>
      <c r="D40" s="671"/>
      <c r="E40" s="671"/>
      <c r="F40" s="671"/>
      <c r="G40" s="671"/>
      <c r="H40" s="671"/>
      <c r="I40" s="671"/>
      <c r="J40" s="671"/>
      <c r="K40" s="671"/>
      <c r="L40" s="671"/>
      <c r="M40" s="671"/>
      <c r="N40" s="671"/>
      <c r="O40" s="671"/>
      <c r="P40" s="671"/>
      <c r="Q40" s="671"/>
      <c r="R40" s="671"/>
      <c r="S40" s="671"/>
      <c r="T40" s="671"/>
      <c r="U40" s="671"/>
      <c r="V40" s="671"/>
      <c r="W40" s="671"/>
      <c r="X40" s="671"/>
      <c r="Y40" s="671"/>
      <c r="Z40" s="105"/>
    </row>
    <row r="41" spans="1:26" ht="14.25" customHeight="1">
      <c r="A41" s="671"/>
      <c r="B41" s="671"/>
      <c r="C41" s="671"/>
      <c r="D41" s="671"/>
      <c r="E41" s="671"/>
      <c r="F41" s="671"/>
      <c r="G41" s="671"/>
      <c r="H41" s="671"/>
      <c r="I41" s="671"/>
      <c r="J41" s="671"/>
      <c r="K41" s="671"/>
      <c r="L41" s="671"/>
      <c r="M41" s="671"/>
      <c r="N41" s="671"/>
      <c r="O41" s="671"/>
      <c r="P41" s="671"/>
      <c r="Q41" s="671"/>
      <c r="R41" s="671"/>
      <c r="S41" s="671"/>
      <c r="T41" s="671"/>
      <c r="U41" s="671"/>
      <c r="V41" s="671"/>
      <c r="W41" s="671"/>
      <c r="X41" s="671"/>
      <c r="Y41" s="671"/>
      <c r="Z41" s="105"/>
    </row>
    <row r="42" spans="1:26" ht="14.25" customHeight="1">
      <c r="A42" s="671"/>
      <c r="B42" s="671"/>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105"/>
    </row>
    <row r="43" spans="1:26" ht="14.25" customHeight="1">
      <c r="A43" s="671"/>
      <c r="B43" s="671"/>
      <c r="C43" s="671"/>
      <c r="D43" s="671"/>
      <c r="E43" s="671"/>
      <c r="F43" s="671"/>
      <c r="G43" s="671"/>
      <c r="H43" s="671"/>
      <c r="I43" s="671"/>
      <c r="J43" s="671"/>
      <c r="K43" s="671"/>
      <c r="L43" s="671"/>
      <c r="M43" s="671"/>
      <c r="N43" s="671"/>
      <c r="O43" s="671"/>
      <c r="P43" s="671"/>
      <c r="Q43" s="671"/>
      <c r="R43" s="671"/>
      <c r="S43" s="671"/>
      <c r="T43" s="671"/>
      <c r="U43" s="671"/>
      <c r="V43" s="671"/>
      <c r="W43" s="671"/>
      <c r="X43" s="671"/>
      <c r="Y43" s="671"/>
      <c r="Z43" s="105"/>
    </row>
    <row r="44" spans="1:26" ht="14.25" customHeight="1">
      <c r="A44" s="671"/>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105"/>
    </row>
    <row r="45" spans="1:26" ht="14.25" customHeight="1">
      <c r="A45" s="671"/>
      <c r="B45" s="671"/>
      <c r="C45" s="671"/>
      <c r="D45" s="671"/>
      <c r="E45" s="671"/>
      <c r="F45" s="671"/>
      <c r="G45" s="671"/>
      <c r="H45" s="671"/>
      <c r="I45" s="671"/>
      <c r="J45" s="671"/>
      <c r="K45" s="671"/>
      <c r="L45" s="671"/>
      <c r="M45" s="671"/>
      <c r="N45" s="671"/>
      <c r="O45" s="671"/>
      <c r="P45" s="671"/>
      <c r="Q45" s="671"/>
      <c r="R45" s="671"/>
      <c r="S45" s="671"/>
      <c r="T45" s="671"/>
      <c r="U45" s="671"/>
      <c r="V45" s="671"/>
      <c r="W45" s="671"/>
      <c r="X45" s="671"/>
      <c r="Y45" s="671"/>
      <c r="Z45" s="105"/>
    </row>
    <row r="46" spans="1:26" ht="14.25" customHeight="1">
      <c r="A46" s="671"/>
      <c r="B46" s="671"/>
      <c r="C46" s="671"/>
      <c r="D46" s="671"/>
      <c r="E46" s="671"/>
      <c r="F46" s="671"/>
      <c r="G46" s="671"/>
      <c r="H46" s="671"/>
      <c r="I46" s="671"/>
      <c r="J46" s="671"/>
      <c r="K46" s="671"/>
      <c r="L46" s="671"/>
      <c r="M46" s="671"/>
      <c r="N46" s="671"/>
      <c r="O46" s="671"/>
      <c r="P46" s="671"/>
      <c r="Q46" s="671"/>
      <c r="R46" s="671"/>
      <c r="S46" s="671"/>
      <c r="T46" s="671"/>
      <c r="U46" s="671"/>
      <c r="V46" s="671"/>
      <c r="W46" s="671"/>
      <c r="X46" s="671"/>
      <c r="Y46" s="671"/>
      <c r="Z46" s="105"/>
    </row>
    <row r="47" spans="1:26" ht="14.25" customHeight="1">
      <c r="A47" s="671"/>
      <c r="B47" s="671"/>
      <c r="C47" s="671"/>
      <c r="D47" s="671"/>
      <c r="E47" s="671"/>
      <c r="F47" s="671"/>
      <c r="G47" s="671"/>
      <c r="H47" s="671"/>
      <c r="I47" s="671"/>
      <c r="J47" s="671"/>
      <c r="K47" s="671"/>
      <c r="L47" s="671"/>
      <c r="M47" s="671"/>
      <c r="N47" s="671"/>
      <c r="O47" s="671"/>
      <c r="P47" s="671"/>
      <c r="Q47" s="671"/>
      <c r="R47" s="671"/>
      <c r="S47" s="671"/>
      <c r="T47" s="671"/>
      <c r="U47" s="671"/>
      <c r="V47" s="671"/>
      <c r="W47" s="671"/>
      <c r="X47" s="671"/>
      <c r="Y47" s="671"/>
      <c r="Z47" s="105"/>
    </row>
    <row r="48" spans="1:26" ht="14.25" customHeight="1">
      <c r="A48" s="671"/>
      <c r="B48" s="671"/>
      <c r="C48" s="671"/>
      <c r="D48" s="671"/>
      <c r="E48" s="671"/>
      <c r="F48" s="671"/>
      <c r="G48" s="671"/>
      <c r="H48" s="671"/>
      <c r="I48" s="671"/>
      <c r="J48" s="671"/>
      <c r="K48" s="671"/>
      <c r="L48" s="671"/>
      <c r="M48" s="671"/>
      <c r="N48" s="671"/>
      <c r="O48" s="671"/>
      <c r="P48" s="671"/>
      <c r="Q48" s="671"/>
      <c r="R48" s="671"/>
      <c r="S48" s="671"/>
      <c r="T48" s="671"/>
      <c r="U48" s="671"/>
      <c r="V48" s="671"/>
      <c r="W48" s="671"/>
      <c r="X48" s="671"/>
      <c r="Y48" s="671"/>
      <c r="Z48" s="105"/>
    </row>
    <row r="49" spans="1:26" ht="14.25" customHeight="1">
      <c r="A49" s="671"/>
      <c r="B49" s="671"/>
      <c r="C49" s="671"/>
      <c r="D49" s="671"/>
      <c r="E49" s="671"/>
      <c r="F49" s="671"/>
      <c r="G49" s="671"/>
      <c r="H49" s="671"/>
      <c r="I49" s="671"/>
      <c r="J49" s="671"/>
      <c r="K49" s="671"/>
      <c r="L49" s="671"/>
      <c r="M49" s="671"/>
      <c r="N49" s="671"/>
      <c r="O49" s="671"/>
      <c r="P49" s="671"/>
      <c r="Q49" s="671"/>
      <c r="R49" s="671"/>
      <c r="S49" s="671"/>
      <c r="T49" s="671"/>
      <c r="U49" s="671"/>
      <c r="V49" s="671"/>
      <c r="W49" s="671"/>
      <c r="X49" s="671"/>
      <c r="Y49" s="671"/>
      <c r="Z49" s="105"/>
    </row>
    <row r="50" spans="1:26" ht="14.25" customHeight="1">
      <c r="A50" s="671"/>
      <c r="B50" s="671"/>
      <c r="C50" s="671"/>
      <c r="D50" s="671"/>
      <c r="E50" s="671"/>
      <c r="F50" s="671"/>
      <c r="G50" s="671"/>
      <c r="H50" s="671"/>
      <c r="I50" s="671"/>
      <c r="J50" s="671"/>
      <c r="K50" s="671"/>
      <c r="L50" s="671"/>
      <c r="M50" s="671"/>
      <c r="N50" s="671"/>
      <c r="O50" s="671"/>
      <c r="P50" s="671"/>
      <c r="Q50" s="671"/>
      <c r="R50" s="671"/>
      <c r="S50" s="671"/>
      <c r="T50" s="671"/>
      <c r="U50" s="671"/>
      <c r="V50" s="671"/>
      <c r="W50" s="671"/>
      <c r="X50" s="671"/>
      <c r="Y50" s="671"/>
      <c r="Z50" s="105"/>
    </row>
    <row r="51" spans="1:26" ht="14.25" customHeight="1">
      <c r="A51" s="671"/>
      <c r="B51" s="671"/>
      <c r="C51" s="671"/>
      <c r="D51" s="671"/>
      <c r="E51" s="671"/>
      <c r="F51" s="671"/>
      <c r="G51" s="671"/>
      <c r="H51" s="671"/>
      <c r="I51" s="671"/>
      <c r="J51" s="671"/>
      <c r="K51" s="671"/>
      <c r="L51" s="671"/>
      <c r="M51" s="671"/>
      <c r="N51" s="671"/>
      <c r="O51" s="671"/>
      <c r="P51" s="671"/>
      <c r="Q51" s="671"/>
      <c r="R51" s="671"/>
      <c r="S51" s="671"/>
      <c r="T51" s="671"/>
      <c r="U51" s="671"/>
      <c r="V51" s="671"/>
      <c r="W51" s="671"/>
      <c r="X51" s="671"/>
      <c r="Y51" s="671"/>
      <c r="Z51" s="105"/>
    </row>
    <row r="52" spans="1:26" ht="14.25" customHeight="1">
      <c r="A52" s="671"/>
      <c r="B52" s="671"/>
      <c r="C52" s="671"/>
      <c r="D52" s="671"/>
      <c r="E52" s="671"/>
      <c r="F52" s="671"/>
      <c r="G52" s="671"/>
      <c r="H52" s="671"/>
      <c r="I52" s="671"/>
      <c r="J52" s="671"/>
      <c r="K52" s="671"/>
      <c r="L52" s="671"/>
      <c r="M52" s="671"/>
      <c r="N52" s="671"/>
      <c r="O52" s="671"/>
      <c r="P52" s="671"/>
      <c r="Q52" s="671"/>
      <c r="R52" s="671"/>
      <c r="S52" s="671"/>
      <c r="T52" s="671"/>
      <c r="U52" s="671"/>
      <c r="V52" s="671"/>
      <c r="W52" s="671"/>
      <c r="X52" s="671"/>
      <c r="Y52" s="671"/>
      <c r="Z52" s="105"/>
    </row>
    <row r="53" spans="1:26" ht="14.25" customHeight="1">
      <c r="A53" s="671"/>
      <c r="B53" s="671"/>
      <c r="C53" s="671"/>
      <c r="D53" s="671"/>
      <c r="E53" s="671"/>
      <c r="F53" s="671"/>
      <c r="G53" s="671"/>
      <c r="H53" s="671"/>
      <c r="I53" s="671"/>
      <c r="J53" s="671"/>
      <c r="K53" s="671"/>
      <c r="L53" s="671"/>
      <c r="M53" s="671"/>
      <c r="N53" s="671"/>
      <c r="O53" s="671"/>
      <c r="P53" s="671"/>
      <c r="Q53" s="671"/>
      <c r="R53" s="671"/>
      <c r="S53" s="671"/>
      <c r="T53" s="671"/>
      <c r="U53" s="671"/>
      <c r="V53" s="671"/>
      <c r="W53" s="671"/>
      <c r="X53" s="671"/>
      <c r="Y53" s="671"/>
      <c r="Z53" s="105"/>
    </row>
    <row r="54" spans="1:26" ht="14.25" customHeight="1">
      <c r="A54" s="671"/>
      <c r="B54" s="671"/>
      <c r="C54" s="671"/>
      <c r="D54" s="671"/>
      <c r="E54" s="671"/>
      <c r="F54" s="671"/>
      <c r="G54" s="671"/>
      <c r="H54" s="671"/>
      <c r="I54" s="671"/>
      <c r="J54" s="671"/>
      <c r="K54" s="671"/>
      <c r="L54" s="671"/>
      <c r="M54" s="671"/>
      <c r="N54" s="671"/>
      <c r="O54" s="671"/>
      <c r="P54" s="671"/>
      <c r="Q54" s="671"/>
      <c r="R54" s="671"/>
      <c r="S54" s="671"/>
      <c r="T54" s="671"/>
      <c r="U54" s="671"/>
      <c r="V54" s="671"/>
      <c r="W54" s="671"/>
      <c r="X54" s="671"/>
      <c r="Y54" s="671"/>
      <c r="Z54" s="105"/>
    </row>
    <row r="55" spans="1:26" ht="14.25" customHeight="1">
      <c r="A55" s="671"/>
      <c r="B55" s="671"/>
      <c r="C55" s="671"/>
      <c r="D55" s="671"/>
      <c r="E55" s="671"/>
      <c r="F55" s="671"/>
      <c r="G55" s="671"/>
      <c r="H55" s="671"/>
      <c r="I55" s="671"/>
      <c r="J55" s="671"/>
      <c r="K55" s="671"/>
      <c r="L55" s="671"/>
      <c r="M55" s="671"/>
      <c r="N55" s="671"/>
      <c r="O55" s="671"/>
      <c r="P55" s="671"/>
      <c r="Q55" s="671"/>
      <c r="R55" s="671"/>
      <c r="S55" s="671"/>
      <c r="T55" s="671"/>
      <c r="U55" s="671"/>
      <c r="V55" s="671"/>
      <c r="W55" s="671"/>
      <c r="X55" s="671"/>
      <c r="Y55" s="671"/>
      <c r="Z55" s="105"/>
    </row>
    <row r="56" spans="1:26" ht="14.25" customHeight="1">
      <c r="A56" s="671"/>
      <c r="B56" s="671"/>
      <c r="C56" s="671"/>
      <c r="D56" s="671"/>
      <c r="E56" s="671"/>
      <c r="F56" s="671"/>
      <c r="G56" s="671"/>
      <c r="H56" s="671"/>
      <c r="I56" s="671"/>
      <c r="J56" s="671"/>
      <c r="K56" s="671"/>
      <c r="L56" s="671"/>
      <c r="M56" s="671"/>
      <c r="N56" s="671"/>
      <c r="O56" s="671"/>
      <c r="P56" s="671"/>
      <c r="Q56" s="671"/>
      <c r="R56" s="671"/>
      <c r="S56" s="671"/>
      <c r="T56" s="671"/>
      <c r="U56" s="671"/>
      <c r="V56" s="671"/>
      <c r="W56" s="671"/>
      <c r="X56" s="671"/>
      <c r="Y56" s="671"/>
      <c r="Z56" s="105"/>
    </row>
    <row r="57" spans="1:26" ht="14.25" customHeight="1">
      <c r="A57" s="671"/>
      <c r="B57" s="671"/>
      <c r="C57" s="671"/>
      <c r="D57" s="671"/>
      <c r="E57" s="671"/>
      <c r="F57" s="671"/>
      <c r="G57" s="671"/>
      <c r="H57" s="671"/>
      <c r="I57" s="671"/>
      <c r="J57" s="671"/>
      <c r="K57" s="671"/>
      <c r="L57" s="671"/>
      <c r="M57" s="671"/>
      <c r="N57" s="671"/>
      <c r="O57" s="671"/>
      <c r="P57" s="671"/>
      <c r="Q57" s="671"/>
      <c r="R57" s="671"/>
      <c r="S57" s="671"/>
      <c r="T57" s="671"/>
      <c r="U57" s="671"/>
      <c r="V57" s="671"/>
      <c r="W57" s="671"/>
      <c r="X57" s="671"/>
      <c r="Y57" s="671"/>
      <c r="Z57" s="105"/>
    </row>
    <row r="58" spans="1:26" ht="14.25" customHeight="1">
      <c r="A58" s="671"/>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105"/>
    </row>
    <row r="59" spans="1:26" ht="14.25" customHeight="1">
      <c r="A59" s="671"/>
      <c r="B59" s="671"/>
      <c r="C59" s="671"/>
      <c r="D59" s="671"/>
      <c r="E59" s="671"/>
      <c r="F59" s="671"/>
      <c r="G59" s="671"/>
      <c r="H59" s="671"/>
      <c r="I59" s="671"/>
      <c r="J59" s="671"/>
      <c r="K59" s="671"/>
      <c r="L59" s="671"/>
      <c r="M59" s="671"/>
      <c r="N59" s="671"/>
      <c r="O59" s="671"/>
      <c r="P59" s="671"/>
      <c r="Q59" s="671"/>
      <c r="R59" s="671"/>
      <c r="S59" s="671"/>
      <c r="T59" s="671"/>
      <c r="U59" s="671"/>
      <c r="V59" s="671"/>
      <c r="W59" s="671"/>
      <c r="X59" s="671"/>
      <c r="Y59" s="671"/>
      <c r="Z59" s="105"/>
    </row>
    <row r="60" spans="1:26" ht="14.25" customHeight="1">
      <c r="A60" s="671"/>
      <c r="B60" s="671"/>
      <c r="C60" s="671"/>
      <c r="D60" s="671"/>
      <c r="E60" s="671"/>
      <c r="F60" s="671"/>
      <c r="G60" s="671"/>
      <c r="H60" s="671"/>
      <c r="I60" s="671"/>
      <c r="J60" s="671"/>
      <c r="K60" s="671"/>
      <c r="L60" s="671"/>
      <c r="M60" s="671"/>
      <c r="N60" s="671"/>
      <c r="O60" s="671"/>
      <c r="P60" s="671"/>
      <c r="Q60" s="671"/>
      <c r="R60" s="671"/>
      <c r="S60" s="671"/>
      <c r="T60" s="671"/>
      <c r="U60" s="671"/>
      <c r="V60" s="671"/>
      <c r="W60" s="671"/>
      <c r="X60" s="671"/>
      <c r="Y60" s="671"/>
      <c r="Z60" s="105"/>
    </row>
    <row r="61" spans="1:26" ht="14.25" customHeight="1">
      <c r="A61" s="671"/>
      <c r="B61" s="671"/>
      <c r="C61" s="671"/>
      <c r="D61" s="671"/>
      <c r="E61" s="671"/>
      <c r="F61" s="671"/>
      <c r="G61" s="671"/>
      <c r="H61" s="671"/>
      <c r="I61" s="671"/>
      <c r="J61" s="671"/>
      <c r="K61" s="671"/>
      <c r="L61" s="671"/>
      <c r="M61" s="671"/>
      <c r="N61" s="671"/>
      <c r="O61" s="671"/>
      <c r="P61" s="671"/>
      <c r="Q61" s="671"/>
      <c r="R61" s="671"/>
      <c r="S61" s="671"/>
      <c r="T61" s="671"/>
      <c r="U61" s="671"/>
      <c r="V61" s="671"/>
      <c r="W61" s="671"/>
      <c r="X61" s="671"/>
      <c r="Y61" s="671"/>
      <c r="Z61" s="105"/>
    </row>
    <row r="62" spans="1:26" ht="14.25" customHeight="1">
      <c r="A62" s="671"/>
      <c r="B62" s="671"/>
      <c r="C62" s="671"/>
      <c r="D62" s="671"/>
      <c r="E62" s="671"/>
      <c r="F62" s="671"/>
      <c r="G62" s="671"/>
      <c r="H62" s="671"/>
      <c r="I62" s="671"/>
      <c r="J62" s="671"/>
      <c r="K62" s="671"/>
      <c r="L62" s="671"/>
      <c r="M62" s="671"/>
      <c r="N62" s="671"/>
      <c r="O62" s="671"/>
      <c r="P62" s="671"/>
      <c r="Q62" s="671"/>
      <c r="R62" s="671"/>
      <c r="S62" s="671"/>
      <c r="T62" s="671"/>
      <c r="U62" s="671"/>
      <c r="V62" s="671"/>
      <c r="W62" s="671"/>
      <c r="X62" s="671"/>
      <c r="Y62" s="671"/>
      <c r="Z62" s="105"/>
    </row>
    <row r="63" spans="1:26" ht="14.25" customHeight="1">
      <c r="A63" s="671"/>
      <c r="B63" s="671"/>
      <c r="C63" s="671"/>
      <c r="D63" s="671"/>
      <c r="E63" s="671"/>
      <c r="F63" s="671"/>
      <c r="G63" s="671"/>
      <c r="H63" s="671"/>
      <c r="I63" s="671"/>
      <c r="J63" s="671"/>
      <c r="K63" s="671"/>
      <c r="L63" s="671"/>
      <c r="M63" s="671"/>
      <c r="N63" s="671"/>
      <c r="O63" s="671"/>
      <c r="P63" s="671"/>
      <c r="Q63" s="671"/>
      <c r="R63" s="671"/>
      <c r="S63" s="671"/>
      <c r="T63" s="671"/>
      <c r="U63" s="671"/>
      <c r="V63" s="671"/>
      <c r="W63" s="671"/>
      <c r="X63" s="671"/>
      <c r="Y63" s="671"/>
      <c r="Z63" s="105"/>
    </row>
    <row r="64" spans="1:26" ht="14.25" customHeight="1">
      <c r="A64" s="671"/>
      <c r="B64" s="671"/>
      <c r="C64" s="671"/>
      <c r="D64" s="671"/>
      <c r="E64" s="671"/>
      <c r="F64" s="671"/>
      <c r="G64" s="671"/>
      <c r="H64" s="671"/>
      <c r="I64" s="671"/>
      <c r="J64" s="671"/>
      <c r="K64" s="671"/>
      <c r="L64" s="671"/>
      <c r="M64" s="671"/>
      <c r="N64" s="671"/>
      <c r="O64" s="671"/>
      <c r="P64" s="671"/>
      <c r="Q64" s="671"/>
      <c r="R64" s="671"/>
      <c r="S64" s="671"/>
      <c r="T64" s="671"/>
      <c r="U64" s="671"/>
      <c r="V64" s="671"/>
      <c r="W64" s="671"/>
      <c r="X64" s="671"/>
      <c r="Y64" s="671"/>
      <c r="Z64" s="105"/>
    </row>
    <row r="65" spans="1:26" ht="14.25" customHeight="1">
      <c r="A65" s="671"/>
      <c r="B65" s="671"/>
      <c r="C65" s="671"/>
      <c r="D65" s="671"/>
      <c r="E65" s="671"/>
      <c r="F65" s="671"/>
      <c r="G65" s="671"/>
      <c r="H65" s="671"/>
      <c r="I65" s="671"/>
      <c r="J65" s="671"/>
      <c r="K65" s="671"/>
      <c r="L65" s="671"/>
      <c r="M65" s="671"/>
      <c r="N65" s="671"/>
      <c r="O65" s="671"/>
      <c r="P65" s="671"/>
      <c r="Q65" s="671"/>
      <c r="R65" s="671"/>
      <c r="S65" s="671"/>
      <c r="T65" s="671"/>
      <c r="U65" s="671"/>
      <c r="V65" s="671"/>
      <c r="W65" s="671"/>
      <c r="X65" s="671"/>
      <c r="Y65" s="671"/>
      <c r="Z65" s="105"/>
    </row>
    <row r="66" spans="1:26" ht="14.25" customHeight="1">
      <c r="A66" s="671"/>
      <c r="B66" s="671"/>
      <c r="C66" s="671"/>
      <c r="D66" s="671"/>
      <c r="E66" s="671"/>
      <c r="F66" s="671"/>
      <c r="G66" s="671"/>
      <c r="H66" s="671"/>
      <c r="I66" s="671"/>
      <c r="J66" s="671"/>
      <c r="K66" s="671"/>
      <c r="L66" s="671"/>
      <c r="M66" s="671"/>
      <c r="N66" s="671"/>
      <c r="O66" s="671"/>
      <c r="P66" s="671"/>
      <c r="Q66" s="671"/>
      <c r="R66" s="671"/>
      <c r="S66" s="671"/>
      <c r="T66" s="671"/>
      <c r="U66" s="671"/>
      <c r="V66" s="671"/>
      <c r="W66" s="671"/>
      <c r="X66" s="671"/>
      <c r="Y66" s="671"/>
      <c r="Z66" s="105"/>
    </row>
    <row r="67" spans="1:26" ht="14.25" customHeight="1">
      <c r="A67" s="671"/>
      <c r="B67" s="671"/>
      <c r="C67" s="671"/>
      <c r="D67" s="671"/>
      <c r="E67" s="671"/>
      <c r="F67" s="671"/>
      <c r="G67" s="671"/>
      <c r="H67" s="671"/>
      <c r="I67" s="671"/>
      <c r="J67" s="671"/>
      <c r="K67" s="671"/>
      <c r="L67" s="671"/>
      <c r="M67" s="671"/>
      <c r="N67" s="671"/>
      <c r="O67" s="671"/>
      <c r="P67" s="671"/>
      <c r="Q67" s="671"/>
      <c r="R67" s="671"/>
      <c r="S67" s="671"/>
      <c r="T67" s="671"/>
      <c r="U67" s="671"/>
      <c r="V67" s="671"/>
      <c r="W67" s="671"/>
      <c r="X67" s="671"/>
      <c r="Y67" s="671"/>
      <c r="Z67" s="105"/>
    </row>
    <row r="68" spans="1:26" ht="14.25" customHeight="1">
      <c r="A68" s="671"/>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105"/>
    </row>
    <row r="69" spans="1:26" ht="14.25" customHeight="1">
      <c r="A69" s="671"/>
      <c r="B69" s="671"/>
      <c r="C69" s="671"/>
      <c r="D69" s="671"/>
      <c r="E69" s="671"/>
      <c r="F69" s="671"/>
      <c r="G69" s="671"/>
      <c r="H69" s="671"/>
      <c r="I69" s="671"/>
      <c r="J69" s="671"/>
      <c r="K69" s="671"/>
      <c r="L69" s="671"/>
      <c r="M69" s="671"/>
      <c r="N69" s="671"/>
      <c r="O69" s="671"/>
      <c r="P69" s="671"/>
      <c r="Q69" s="671"/>
      <c r="R69" s="671"/>
      <c r="S69" s="671"/>
      <c r="T69" s="671"/>
      <c r="U69" s="671"/>
      <c r="V69" s="671"/>
      <c r="W69" s="671"/>
      <c r="X69" s="671"/>
      <c r="Y69" s="671"/>
      <c r="Z69" s="105"/>
    </row>
    <row r="70" spans="1:26" ht="14.25" customHeight="1">
      <c r="A70" s="671"/>
      <c r="B70" s="671"/>
      <c r="C70" s="671"/>
      <c r="D70" s="671"/>
      <c r="E70" s="671"/>
      <c r="F70" s="671"/>
      <c r="G70" s="671"/>
      <c r="H70" s="671"/>
      <c r="I70" s="671"/>
      <c r="J70" s="671"/>
      <c r="K70" s="671"/>
      <c r="L70" s="671"/>
      <c r="M70" s="671"/>
      <c r="N70" s="671"/>
      <c r="O70" s="671"/>
      <c r="P70" s="671"/>
      <c r="Q70" s="671"/>
      <c r="R70" s="671"/>
      <c r="S70" s="671"/>
      <c r="T70" s="671"/>
      <c r="U70" s="671"/>
      <c r="V70" s="671"/>
      <c r="W70" s="671"/>
      <c r="X70" s="671"/>
      <c r="Y70" s="671"/>
      <c r="Z70" s="105"/>
    </row>
    <row r="71" spans="1:26" ht="14.25" customHeight="1">
      <c r="A71" s="671"/>
      <c r="B71" s="671"/>
      <c r="C71" s="671"/>
      <c r="D71" s="671"/>
      <c r="E71" s="671"/>
      <c r="F71" s="671"/>
      <c r="G71" s="671"/>
      <c r="H71" s="671"/>
      <c r="I71" s="671"/>
      <c r="J71" s="671"/>
      <c r="K71" s="671"/>
      <c r="L71" s="671"/>
      <c r="M71" s="671"/>
      <c r="N71" s="671"/>
      <c r="O71" s="671"/>
      <c r="P71" s="671"/>
      <c r="Q71" s="671"/>
      <c r="R71" s="671"/>
      <c r="S71" s="671"/>
      <c r="T71" s="671"/>
      <c r="U71" s="671"/>
      <c r="V71" s="671"/>
      <c r="W71" s="671"/>
      <c r="X71" s="671"/>
      <c r="Y71" s="671"/>
      <c r="Z71" s="105"/>
    </row>
    <row r="72" spans="1:26" ht="14.25" customHeight="1">
      <c r="A72" s="671"/>
      <c r="B72" s="671"/>
      <c r="C72" s="671"/>
      <c r="D72" s="671"/>
      <c r="E72" s="671"/>
      <c r="F72" s="671"/>
      <c r="G72" s="671"/>
      <c r="H72" s="671"/>
      <c r="I72" s="671"/>
      <c r="J72" s="671"/>
      <c r="K72" s="671"/>
      <c r="L72" s="671"/>
      <c r="M72" s="671"/>
      <c r="N72" s="671"/>
      <c r="O72" s="671"/>
      <c r="P72" s="671"/>
      <c r="Q72" s="671"/>
      <c r="R72" s="671"/>
      <c r="S72" s="671"/>
      <c r="T72" s="671"/>
      <c r="U72" s="671"/>
      <c r="V72" s="671"/>
      <c r="W72" s="671"/>
      <c r="X72" s="671"/>
      <c r="Y72" s="671"/>
      <c r="Z72" s="105"/>
    </row>
    <row r="73" spans="1:26" ht="14.25" customHeight="1">
      <c r="A73" s="671"/>
      <c r="B73" s="671"/>
      <c r="C73" s="671"/>
      <c r="D73" s="671"/>
      <c r="E73" s="671"/>
      <c r="F73" s="671"/>
      <c r="G73" s="671"/>
      <c r="H73" s="671"/>
      <c r="I73" s="671"/>
      <c r="J73" s="671"/>
      <c r="K73" s="671"/>
      <c r="L73" s="671"/>
      <c r="M73" s="671"/>
      <c r="N73" s="671"/>
      <c r="O73" s="671"/>
      <c r="P73" s="671"/>
      <c r="Q73" s="671"/>
      <c r="R73" s="671"/>
      <c r="S73" s="671"/>
      <c r="T73" s="671"/>
      <c r="U73" s="671"/>
      <c r="V73" s="671"/>
      <c r="W73" s="671"/>
      <c r="X73" s="671"/>
      <c r="Y73" s="671"/>
      <c r="Z73" s="105"/>
    </row>
    <row r="74" spans="1:26" ht="14.25" customHeight="1">
      <c r="A74" s="671"/>
      <c r="B74" s="671"/>
      <c r="C74" s="671"/>
      <c r="D74" s="671"/>
      <c r="E74" s="671"/>
      <c r="F74" s="671"/>
      <c r="G74" s="671"/>
      <c r="H74" s="671"/>
      <c r="I74" s="671"/>
      <c r="J74" s="671"/>
      <c r="K74" s="671"/>
      <c r="L74" s="671"/>
      <c r="M74" s="671"/>
      <c r="N74" s="671"/>
      <c r="O74" s="671"/>
      <c r="P74" s="671"/>
      <c r="Q74" s="671"/>
      <c r="R74" s="671"/>
      <c r="S74" s="671"/>
      <c r="T74" s="671"/>
      <c r="U74" s="671"/>
      <c r="V74" s="671"/>
      <c r="W74" s="671"/>
      <c r="X74" s="671"/>
      <c r="Y74" s="671"/>
      <c r="Z74" s="105"/>
    </row>
    <row r="75" spans="1:26" ht="14.25" customHeight="1">
      <c r="A75" s="671"/>
      <c r="B75" s="671"/>
      <c r="C75" s="671"/>
      <c r="D75" s="671"/>
      <c r="E75" s="671"/>
      <c r="F75" s="671"/>
      <c r="G75" s="671"/>
      <c r="H75" s="671"/>
      <c r="I75" s="671"/>
      <c r="J75" s="671"/>
      <c r="K75" s="671"/>
      <c r="L75" s="671"/>
      <c r="M75" s="671"/>
      <c r="N75" s="671"/>
      <c r="O75" s="671"/>
      <c r="P75" s="671"/>
      <c r="Q75" s="671"/>
      <c r="R75" s="671"/>
      <c r="S75" s="671"/>
      <c r="T75" s="671"/>
      <c r="U75" s="671"/>
      <c r="V75" s="671"/>
      <c r="W75" s="671"/>
      <c r="X75" s="671"/>
      <c r="Y75" s="671"/>
      <c r="Z75" s="105"/>
    </row>
    <row r="76" spans="1:26" ht="14.25" customHeight="1">
      <c r="A76" s="671"/>
      <c r="B76" s="671"/>
      <c r="C76" s="671"/>
      <c r="D76" s="671"/>
      <c r="E76" s="671"/>
      <c r="F76" s="671"/>
      <c r="G76" s="671"/>
      <c r="H76" s="671"/>
      <c r="I76" s="671"/>
      <c r="J76" s="671"/>
      <c r="K76" s="671"/>
      <c r="L76" s="671"/>
      <c r="M76" s="671"/>
      <c r="N76" s="671"/>
      <c r="O76" s="671"/>
      <c r="P76" s="671"/>
      <c r="Q76" s="671"/>
      <c r="R76" s="671"/>
      <c r="S76" s="671"/>
      <c r="T76" s="671"/>
      <c r="U76" s="671"/>
      <c r="V76" s="671"/>
      <c r="W76" s="671"/>
      <c r="X76" s="671"/>
      <c r="Y76" s="671"/>
      <c r="Z76" s="105"/>
    </row>
    <row r="77" spans="1:26" ht="14.25" customHeight="1">
      <c r="A77" s="671"/>
      <c r="B77" s="671"/>
      <c r="C77" s="671"/>
      <c r="D77" s="671"/>
      <c r="E77" s="671"/>
      <c r="F77" s="671"/>
      <c r="G77" s="671"/>
      <c r="H77" s="671"/>
      <c r="I77" s="671"/>
      <c r="J77" s="671"/>
      <c r="K77" s="671"/>
      <c r="L77" s="671"/>
      <c r="M77" s="671"/>
      <c r="N77" s="671"/>
      <c r="O77" s="671"/>
      <c r="P77" s="671"/>
      <c r="Q77" s="671"/>
      <c r="R77" s="671"/>
      <c r="S77" s="671"/>
      <c r="T77" s="671"/>
      <c r="U77" s="671"/>
      <c r="V77" s="671"/>
      <c r="W77" s="671"/>
      <c r="X77" s="671"/>
      <c r="Y77" s="671"/>
      <c r="Z77" s="105"/>
    </row>
    <row r="78" spans="1:26" ht="14.25" customHeight="1">
      <c r="A78" s="671"/>
      <c r="B78" s="671"/>
      <c r="C78" s="671"/>
      <c r="D78" s="671"/>
      <c r="E78" s="671"/>
      <c r="F78" s="671"/>
      <c r="G78" s="671"/>
      <c r="H78" s="671"/>
      <c r="I78" s="671"/>
      <c r="J78" s="671"/>
      <c r="K78" s="671"/>
      <c r="L78" s="671"/>
      <c r="M78" s="671"/>
      <c r="N78" s="671"/>
      <c r="O78" s="671"/>
      <c r="P78" s="671"/>
      <c r="Q78" s="671"/>
      <c r="R78" s="671"/>
      <c r="S78" s="671"/>
      <c r="T78" s="671"/>
      <c r="U78" s="671"/>
      <c r="V78" s="671"/>
      <c r="W78" s="671"/>
      <c r="X78" s="671"/>
      <c r="Y78" s="671"/>
      <c r="Z78" s="105"/>
    </row>
    <row r="79" spans="1:26" ht="14.25" customHeight="1">
      <c r="A79" s="671"/>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105"/>
    </row>
    <row r="80" spans="1:26" ht="14.25" customHeight="1">
      <c r="A80" s="671"/>
      <c r="B80" s="671"/>
      <c r="C80" s="671"/>
      <c r="D80" s="671"/>
      <c r="E80" s="671"/>
      <c r="F80" s="671"/>
      <c r="G80" s="671"/>
      <c r="H80" s="671"/>
      <c r="I80" s="671"/>
      <c r="J80" s="671"/>
      <c r="K80" s="671"/>
      <c r="L80" s="671"/>
      <c r="M80" s="671"/>
      <c r="N80" s="671"/>
      <c r="O80" s="671"/>
      <c r="P80" s="671"/>
      <c r="Q80" s="671"/>
      <c r="R80" s="671"/>
      <c r="S80" s="671"/>
      <c r="T80" s="671"/>
      <c r="U80" s="671"/>
      <c r="V80" s="671"/>
      <c r="W80" s="671"/>
      <c r="X80" s="671"/>
      <c r="Y80" s="671"/>
      <c r="Z80" s="105"/>
    </row>
    <row r="81" spans="1:26" ht="14.25" customHeight="1">
      <c r="A81" s="671"/>
      <c r="B81" s="671"/>
      <c r="C81" s="671"/>
      <c r="D81" s="671"/>
      <c r="E81" s="671"/>
      <c r="F81" s="671"/>
      <c r="G81" s="671"/>
      <c r="H81" s="671"/>
      <c r="I81" s="671"/>
      <c r="J81" s="671"/>
      <c r="K81" s="671"/>
      <c r="L81" s="671"/>
      <c r="M81" s="671"/>
      <c r="N81" s="671"/>
      <c r="O81" s="671"/>
      <c r="P81" s="671"/>
      <c r="Q81" s="671"/>
      <c r="R81" s="671"/>
      <c r="S81" s="671"/>
      <c r="T81" s="671"/>
      <c r="U81" s="671"/>
      <c r="V81" s="671"/>
      <c r="W81" s="671"/>
      <c r="X81" s="671"/>
      <c r="Y81" s="671"/>
      <c r="Z81" s="105"/>
    </row>
    <row r="82" spans="1:26" ht="14.25" customHeight="1">
      <c r="A82" s="671"/>
      <c r="B82" s="671"/>
      <c r="C82" s="671"/>
      <c r="D82" s="671"/>
      <c r="E82" s="671"/>
      <c r="F82" s="671"/>
      <c r="G82" s="671"/>
      <c r="H82" s="671"/>
      <c r="I82" s="671"/>
      <c r="J82" s="671"/>
      <c r="K82" s="671"/>
      <c r="L82" s="671"/>
      <c r="M82" s="671"/>
      <c r="N82" s="671"/>
      <c r="O82" s="671"/>
      <c r="P82" s="671"/>
      <c r="Q82" s="671"/>
      <c r="R82" s="671"/>
      <c r="S82" s="671"/>
      <c r="T82" s="671"/>
      <c r="U82" s="671"/>
      <c r="V82" s="671"/>
      <c r="W82" s="671"/>
      <c r="X82" s="671"/>
      <c r="Y82" s="671"/>
      <c r="Z82" s="105"/>
    </row>
    <row r="83" spans="1:26" ht="14.25" customHeight="1">
      <c r="A83" s="671"/>
      <c r="B83" s="671"/>
      <c r="C83" s="671"/>
      <c r="D83" s="671"/>
      <c r="E83" s="671"/>
      <c r="F83" s="671"/>
      <c r="G83" s="671"/>
      <c r="H83" s="671"/>
      <c r="I83" s="671"/>
      <c r="J83" s="671"/>
      <c r="K83" s="671"/>
      <c r="L83" s="671"/>
      <c r="M83" s="671"/>
      <c r="N83" s="671"/>
      <c r="O83" s="671"/>
      <c r="P83" s="671"/>
      <c r="Q83" s="671"/>
      <c r="R83" s="671"/>
      <c r="S83" s="671"/>
      <c r="T83" s="671"/>
      <c r="U83" s="671"/>
      <c r="V83" s="671"/>
      <c r="W83" s="671"/>
      <c r="X83" s="671"/>
      <c r="Y83" s="671"/>
      <c r="Z83" s="105"/>
    </row>
    <row r="84" spans="1:26" ht="14.25" customHeight="1">
      <c r="A84" s="671"/>
      <c r="B84" s="671"/>
      <c r="C84" s="671"/>
      <c r="D84" s="671"/>
      <c r="E84" s="671"/>
      <c r="F84" s="671"/>
      <c r="G84" s="671"/>
      <c r="H84" s="671"/>
      <c r="I84" s="671"/>
      <c r="J84" s="671"/>
      <c r="K84" s="671"/>
      <c r="L84" s="671"/>
      <c r="M84" s="671"/>
      <c r="N84" s="671"/>
      <c r="O84" s="671"/>
      <c r="P84" s="671"/>
      <c r="Q84" s="671"/>
      <c r="R84" s="671"/>
      <c r="S84" s="671"/>
      <c r="T84" s="671"/>
      <c r="U84" s="671"/>
      <c r="V84" s="671"/>
      <c r="W84" s="671"/>
      <c r="X84" s="671"/>
      <c r="Y84" s="671"/>
      <c r="Z84" s="105"/>
    </row>
    <row r="85" spans="1:26" ht="14.25" customHeight="1">
      <c r="A85" s="671"/>
      <c r="B85" s="671"/>
      <c r="C85" s="671"/>
      <c r="D85" s="671"/>
      <c r="E85" s="671"/>
      <c r="F85" s="671"/>
      <c r="G85" s="671"/>
      <c r="H85" s="671"/>
      <c r="I85" s="671"/>
      <c r="J85" s="671"/>
      <c r="K85" s="671"/>
      <c r="L85" s="671"/>
      <c r="M85" s="671"/>
      <c r="N85" s="671"/>
      <c r="O85" s="671"/>
      <c r="P85" s="671"/>
      <c r="Q85" s="671"/>
      <c r="R85" s="671"/>
      <c r="S85" s="671"/>
      <c r="T85" s="671"/>
      <c r="U85" s="671"/>
      <c r="V85" s="671"/>
      <c r="W85" s="671"/>
      <c r="X85" s="671"/>
      <c r="Y85" s="671"/>
      <c r="Z85" s="105"/>
    </row>
    <row r="86" spans="1:26" ht="14.25" customHeight="1">
      <c r="A86" s="671"/>
      <c r="B86" s="671"/>
      <c r="C86" s="671"/>
      <c r="D86" s="671"/>
      <c r="E86" s="671"/>
      <c r="F86" s="671"/>
      <c r="G86" s="671"/>
      <c r="H86" s="671"/>
      <c r="I86" s="671"/>
      <c r="J86" s="671"/>
      <c r="K86" s="671"/>
      <c r="L86" s="671"/>
      <c r="M86" s="671"/>
      <c r="N86" s="671"/>
      <c r="O86" s="671"/>
      <c r="P86" s="671"/>
      <c r="Q86" s="671"/>
      <c r="R86" s="671"/>
      <c r="S86" s="671"/>
      <c r="T86" s="671"/>
      <c r="U86" s="671"/>
      <c r="V86" s="671"/>
      <c r="W86" s="671"/>
      <c r="X86" s="671"/>
      <c r="Y86" s="671"/>
      <c r="Z86" s="105"/>
    </row>
    <row r="87" spans="1:26" ht="14.25" customHeight="1">
      <c r="A87" s="671"/>
      <c r="B87" s="671"/>
      <c r="C87" s="671"/>
      <c r="D87" s="671"/>
      <c r="E87" s="671"/>
      <c r="F87" s="671"/>
      <c r="G87" s="671"/>
      <c r="H87" s="671"/>
      <c r="I87" s="671"/>
      <c r="J87" s="671"/>
      <c r="K87" s="671"/>
      <c r="L87" s="671"/>
      <c r="M87" s="671"/>
      <c r="N87" s="671"/>
      <c r="O87" s="671"/>
      <c r="P87" s="671"/>
      <c r="Q87" s="671"/>
      <c r="R87" s="671"/>
      <c r="S87" s="671"/>
      <c r="T87" s="671"/>
      <c r="U87" s="671"/>
      <c r="V87" s="671"/>
      <c r="W87" s="671"/>
      <c r="X87" s="671"/>
      <c r="Y87" s="671"/>
      <c r="Z87" s="105"/>
    </row>
    <row r="88" spans="1:26" ht="14.25" customHeight="1">
      <c r="A88" s="671"/>
      <c r="B88" s="671"/>
      <c r="C88" s="671"/>
      <c r="D88" s="671"/>
      <c r="E88" s="671"/>
      <c r="F88" s="671"/>
      <c r="G88" s="671"/>
      <c r="H88" s="671"/>
      <c r="I88" s="671"/>
      <c r="J88" s="671"/>
      <c r="K88" s="671"/>
      <c r="L88" s="671"/>
      <c r="M88" s="671"/>
      <c r="N88" s="671"/>
      <c r="O88" s="671"/>
      <c r="P88" s="671"/>
      <c r="Q88" s="671"/>
      <c r="R88" s="671"/>
      <c r="S88" s="671"/>
      <c r="T88" s="671"/>
      <c r="U88" s="671"/>
      <c r="V88" s="671"/>
      <c r="W88" s="671"/>
      <c r="X88" s="671"/>
      <c r="Y88" s="671"/>
      <c r="Z88" s="105"/>
    </row>
    <row r="89" spans="1:26" ht="14.25" customHeight="1">
      <c r="A89" s="671"/>
      <c r="B89" s="671"/>
      <c r="C89" s="671"/>
      <c r="D89" s="671"/>
      <c r="E89" s="671"/>
      <c r="F89" s="671"/>
      <c r="G89" s="671"/>
      <c r="H89" s="671"/>
      <c r="I89" s="671"/>
      <c r="J89" s="671"/>
      <c r="K89" s="671"/>
      <c r="L89" s="671"/>
      <c r="M89" s="671"/>
      <c r="N89" s="671"/>
      <c r="O89" s="671"/>
      <c r="P89" s="671"/>
      <c r="Q89" s="671"/>
      <c r="R89" s="671"/>
      <c r="S89" s="671"/>
      <c r="T89" s="671"/>
      <c r="U89" s="671"/>
      <c r="V89" s="671"/>
      <c r="W89" s="671"/>
      <c r="X89" s="671"/>
      <c r="Y89" s="671"/>
      <c r="Z89" s="105"/>
    </row>
    <row r="90" spans="1:26" ht="14.25" customHeight="1">
      <c r="A90" s="671"/>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105"/>
    </row>
    <row r="91" spans="1:26" ht="14.25" customHeight="1">
      <c r="A91" s="671"/>
      <c r="B91" s="671"/>
      <c r="C91" s="671"/>
      <c r="D91" s="671"/>
      <c r="E91" s="671"/>
      <c r="F91" s="671"/>
      <c r="G91" s="671"/>
      <c r="H91" s="671"/>
      <c r="I91" s="671"/>
      <c r="J91" s="671"/>
      <c r="K91" s="671"/>
      <c r="L91" s="671"/>
      <c r="M91" s="671"/>
      <c r="N91" s="671"/>
      <c r="O91" s="671"/>
      <c r="P91" s="671"/>
      <c r="Q91" s="671"/>
      <c r="R91" s="671"/>
      <c r="S91" s="671"/>
      <c r="T91" s="671"/>
      <c r="U91" s="671"/>
      <c r="V91" s="671"/>
      <c r="W91" s="671"/>
      <c r="X91" s="671"/>
      <c r="Y91" s="671"/>
      <c r="Z91" s="105"/>
    </row>
    <row r="92" spans="1:26" ht="14.25" customHeight="1">
      <c r="A92" s="671"/>
      <c r="B92" s="671"/>
      <c r="C92" s="671"/>
      <c r="D92" s="671"/>
      <c r="E92" s="671"/>
      <c r="F92" s="671"/>
      <c r="G92" s="671"/>
      <c r="H92" s="671"/>
      <c r="I92" s="671"/>
      <c r="J92" s="671"/>
      <c r="K92" s="671"/>
      <c r="L92" s="671"/>
      <c r="M92" s="671"/>
      <c r="N92" s="671"/>
      <c r="O92" s="671"/>
      <c r="P92" s="671"/>
      <c r="Q92" s="671"/>
      <c r="R92" s="671"/>
      <c r="S92" s="671"/>
      <c r="T92" s="671"/>
      <c r="U92" s="671"/>
      <c r="V92" s="671"/>
      <c r="W92" s="671"/>
      <c r="X92" s="671"/>
      <c r="Y92" s="671"/>
      <c r="Z92" s="105"/>
    </row>
    <row r="93" spans="1:26" ht="14.25" customHeight="1">
      <c r="A93" s="671"/>
      <c r="B93" s="671"/>
      <c r="C93" s="671"/>
      <c r="D93" s="671"/>
      <c r="E93" s="671"/>
      <c r="F93" s="671"/>
      <c r="G93" s="671"/>
      <c r="H93" s="671"/>
      <c r="I93" s="671"/>
      <c r="J93" s="671"/>
      <c r="K93" s="671"/>
      <c r="L93" s="671"/>
      <c r="M93" s="671"/>
      <c r="N93" s="671"/>
      <c r="O93" s="671"/>
      <c r="P93" s="671"/>
      <c r="Q93" s="671"/>
      <c r="R93" s="671"/>
      <c r="S93" s="671"/>
      <c r="T93" s="671"/>
      <c r="U93" s="671"/>
      <c r="V93" s="671"/>
      <c r="W93" s="671"/>
      <c r="X93" s="671"/>
      <c r="Y93" s="671"/>
      <c r="Z93" s="105"/>
    </row>
    <row r="94" spans="1:26" ht="14.25" customHeight="1">
      <c r="A94" s="671"/>
      <c r="B94" s="671"/>
      <c r="C94" s="671"/>
      <c r="D94" s="671"/>
      <c r="E94" s="671"/>
      <c r="F94" s="671"/>
      <c r="G94" s="671"/>
      <c r="H94" s="671"/>
      <c r="I94" s="671"/>
      <c r="J94" s="671"/>
      <c r="K94" s="671"/>
      <c r="L94" s="671"/>
      <c r="M94" s="671"/>
      <c r="N94" s="671"/>
      <c r="O94" s="671"/>
      <c r="P94" s="671"/>
      <c r="Q94" s="671"/>
      <c r="R94" s="671"/>
      <c r="S94" s="671"/>
      <c r="T94" s="671"/>
      <c r="U94" s="671"/>
      <c r="V94" s="671"/>
      <c r="W94" s="671"/>
      <c r="X94" s="671"/>
      <c r="Y94" s="671"/>
      <c r="Z94" s="105"/>
    </row>
    <row r="95" spans="1:26" ht="14.25" customHeight="1">
      <c r="A95" s="671"/>
      <c r="B95" s="671"/>
      <c r="C95" s="671"/>
      <c r="D95" s="671"/>
      <c r="E95" s="671"/>
      <c r="F95" s="671"/>
      <c r="G95" s="671"/>
      <c r="H95" s="671"/>
      <c r="I95" s="671"/>
      <c r="J95" s="671"/>
      <c r="K95" s="671"/>
      <c r="L95" s="671"/>
      <c r="M95" s="671"/>
      <c r="N95" s="671"/>
      <c r="O95" s="671"/>
      <c r="P95" s="671"/>
      <c r="Q95" s="671"/>
      <c r="R95" s="671"/>
      <c r="S95" s="671"/>
      <c r="T95" s="671"/>
      <c r="U95" s="671"/>
      <c r="V95" s="671"/>
      <c r="W95" s="671"/>
      <c r="X95" s="671"/>
      <c r="Y95" s="671"/>
      <c r="Z95" s="105"/>
    </row>
    <row r="96" spans="1:26" ht="14.25" customHeight="1">
      <c r="A96" s="671"/>
      <c r="B96" s="671"/>
      <c r="C96" s="671"/>
      <c r="D96" s="671"/>
      <c r="E96" s="671"/>
      <c r="F96" s="671"/>
      <c r="G96" s="671"/>
      <c r="H96" s="671"/>
      <c r="I96" s="671"/>
      <c r="J96" s="671"/>
      <c r="K96" s="671"/>
      <c r="L96" s="671"/>
      <c r="M96" s="671"/>
      <c r="N96" s="671"/>
      <c r="O96" s="671"/>
      <c r="P96" s="671"/>
      <c r="Q96" s="671"/>
      <c r="R96" s="671"/>
      <c r="S96" s="671"/>
      <c r="T96" s="671"/>
      <c r="U96" s="671"/>
      <c r="V96" s="671"/>
      <c r="W96" s="671"/>
      <c r="X96" s="671"/>
      <c r="Y96" s="671"/>
      <c r="Z96" s="105"/>
    </row>
    <row r="97" spans="1:26" ht="14.25" customHeight="1">
      <c r="A97" s="671"/>
      <c r="B97" s="671"/>
      <c r="C97" s="671"/>
      <c r="D97" s="671"/>
      <c r="E97" s="671"/>
      <c r="F97" s="671"/>
      <c r="G97" s="671"/>
      <c r="H97" s="671"/>
      <c r="I97" s="671"/>
      <c r="J97" s="671"/>
      <c r="K97" s="671"/>
      <c r="L97" s="671"/>
      <c r="M97" s="671"/>
      <c r="N97" s="671"/>
      <c r="O97" s="671"/>
      <c r="P97" s="671"/>
      <c r="Q97" s="671"/>
      <c r="R97" s="671"/>
      <c r="S97" s="671"/>
      <c r="T97" s="671"/>
      <c r="U97" s="671"/>
      <c r="V97" s="671"/>
      <c r="W97" s="671"/>
      <c r="X97" s="671"/>
      <c r="Y97" s="671"/>
      <c r="Z97" s="105"/>
    </row>
    <row r="98" spans="1:26" ht="14.25" customHeight="1">
      <c r="A98" s="671"/>
      <c r="B98" s="671"/>
      <c r="C98" s="671"/>
      <c r="D98" s="671"/>
      <c r="E98" s="671"/>
      <c r="F98" s="671"/>
      <c r="G98" s="671"/>
      <c r="H98" s="671"/>
      <c r="I98" s="671"/>
      <c r="J98" s="671"/>
      <c r="K98" s="671"/>
      <c r="L98" s="671"/>
      <c r="M98" s="671"/>
      <c r="N98" s="671"/>
      <c r="O98" s="671"/>
      <c r="P98" s="671"/>
      <c r="Q98" s="671"/>
      <c r="R98" s="671"/>
      <c r="S98" s="671"/>
      <c r="T98" s="671"/>
      <c r="U98" s="671"/>
      <c r="V98" s="671"/>
      <c r="W98" s="671"/>
      <c r="X98" s="671"/>
      <c r="Y98" s="671"/>
      <c r="Z98" s="105"/>
    </row>
    <row r="99" spans="1:26" ht="14.25" customHeight="1">
      <c r="A99" s="671"/>
      <c r="B99" s="671"/>
      <c r="C99" s="671"/>
      <c r="D99" s="671"/>
      <c r="E99" s="671"/>
      <c r="F99" s="671"/>
      <c r="G99" s="671"/>
      <c r="H99" s="671"/>
      <c r="I99" s="671"/>
      <c r="J99" s="671"/>
      <c r="K99" s="671"/>
      <c r="L99" s="671"/>
      <c r="M99" s="671"/>
      <c r="N99" s="671"/>
      <c r="O99" s="671"/>
      <c r="P99" s="671"/>
      <c r="Q99" s="671"/>
      <c r="R99" s="671"/>
      <c r="S99" s="671"/>
      <c r="T99" s="671"/>
      <c r="U99" s="671"/>
      <c r="V99" s="671"/>
      <c r="W99" s="671"/>
      <c r="X99" s="671"/>
      <c r="Y99" s="671"/>
      <c r="Z99" s="105"/>
    </row>
    <row r="100" spans="1:26" ht="14.25" customHeight="1">
      <c r="A100" s="671"/>
      <c r="B100" s="671"/>
      <c r="C100" s="671"/>
      <c r="D100" s="671"/>
      <c r="E100" s="671"/>
      <c r="F100" s="671"/>
      <c r="G100" s="671"/>
      <c r="H100" s="671"/>
      <c r="I100" s="671"/>
      <c r="J100" s="671"/>
      <c r="K100" s="671"/>
      <c r="L100" s="671"/>
      <c r="M100" s="671"/>
      <c r="N100" s="671"/>
      <c r="O100" s="671"/>
      <c r="P100" s="671"/>
      <c r="Q100" s="671"/>
      <c r="R100" s="671"/>
      <c r="S100" s="671"/>
      <c r="T100" s="671"/>
      <c r="U100" s="671"/>
      <c r="V100" s="671"/>
      <c r="W100" s="671"/>
      <c r="X100" s="671"/>
      <c r="Y100" s="671"/>
      <c r="Z100" s="105"/>
    </row>
    <row r="101" spans="1:26" ht="14.25" customHeight="1">
      <c r="A101" s="671"/>
      <c r="B101" s="671"/>
      <c r="C101" s="671"/>
      <c r="D101" s="671"/>
      <c r="E101" s="671"/>
      <c r="F101" s="671"/>
      <c r="G101" s="671"/>
      <c r="H101" s="671"/>
      <c r="I101" s="671"/>
      <c r="J101" s="671"/>
      <c r="K101" s="671"/>
      <c r="L101" s="671"/>
      <c r="M101" s="671"/>
      <c r="N101" s="671"/>
      <c r="O101" s="671"/>
      <c r="P101" s="671"/>
      <c r="Q101" s="671"/>
      <c r="R101" s="671"/>
      <c r="S101" s="671"/>
      <c r="T101" s="671"/>
      <c r="U101" s="671"/>
      <c r="V101" s="671"/>
      <c r="W101" s="671"/>
      <c r="X101" s="671"/>
      <c r="Y101" s="671"/>
      <c r="Z101" s="105"/>
    </row>
    <row r="102" spans="1:26" ht="14.25" customHeight="1">
      <c r="A102" s="671"/>
      <c r="B102" s="671"/>
      <c r="C102" s="671"/>
      <c r="D102" s="671"/>
      <c r="E102" s="671"/>
      <c r="F102" s="671"/>
      <c r="G102" s="671"/>
      <c r="H102" s="671"/>
      <c r="I102" s="671"/>
      <c r="J102" s="671"/>
      <c r="K102" s="671"/>
      <c r="L102" s="671"/>
      <c r="M102" s="671"/>
      <c r="N102" s="671"/>
      <c r="O102" s="671"/>
      <c r="P102" s="671"/>
      <c r="Q102" s="671"/>
      <c r="R102" s="671"/>
      <c r="S102" s="671"/>
      <c r="T102" s="671"/>
      <c r="U102" s="671"/>
      <c r="V102" s="671"/>
      <c r="W102" s="671"/>
      <c r="X102" s="671"/>
      <c r="Y102" s="671"/>
      <c r="Z102" s="105"/>
    </row>
    <row r="103" spans="1:26" ht="14.25" customHeight="1">
      <c r="A103" s="671"/>
      <c r="B103" s="671"/>
      <c r="C103" s="671"/>
      <c r="D103" s="671"/>
      <c r="E103" s="671"/>
      <c r="F103" s="671"/>
      <c r="G103" s="671"/>
      <c r="H103" s="671"/>
      <c r="I103" s="671"/>
      <c r="J103" s="671"/>
      <c r="K103" s="671"/>
      <c r="L103" s="671"/>
      <c r="M103" s="671"/>
      <c r="N103" s="671"/>
      <c r="O103" s="671"/>
      <c r="P103" s="671"/>
      <c r="Q103" s="671"/>
      <c r="R103" s="671"/>
      <c r="S103" s="671"/>
      <c r="T103" s="671"/>
      <c r="U103" s="671"/>
      <c r="V103" s="671"/>
      <c r="W103" s="671"/>
      <c r="X103" s="671"/>
      <c r="Y103" s="671"/>
      <c r="Z103" s="105"/>
    </row>
    <row r="104" spans="1:26" ht="14.25" customHeight="1">
      <c r="A104" s="671"/>
      <c r="B104" s="671"/>
      <c r="C104" s="671"/>
      <c r="D104" s="671"/>
      <c r="E104" s="671"/>
      <c r="F104" s="671"/>
      <c r="G104" s="671"/>
      <c r="H104" s="671"/>
      <c r="I104" s="671"/>
      <c r="J104" s="671"/>
      <c r="K104" s="671"/>
      <c r="L104" s="671"/>
      <c r="M104" s="671"/>
      <c r="N104" s="671"/>
      <c r="O104" s="671"/>
      <c r="P104" s="671"/>
      <c r="Q104" s="671"/>
      <c r="R104" s="671"/>
      <c r="S104" s="671"/>
      <c r="T104" s="671"/>
      <c r="U104" s="671"/>
      <c r="V104" s="671"/>
      <c r="W104" s="671"/>
      <c r="X104" s="671"/>
      <c r="Y104" s="671"/>
      <c r="Z104" s="105"/>
    </row>
    <row r="105" spans="1:26" ht="14.25" customHeight="1">
      <c r="A105" s="671"/>
      <c r="B105" s="671"/>
      <c r="C105" s="671"/>
      <c r="D105" s="671"/>
      <c r="E105" s="671"/>
      <c r="F105" s="671"/>
      <c r="G105" s="671"/>
      <c r="H105" s="671"/>
      <c r="I105" s="671"/>
      <c r="J105" s="671"/>
      <c r="K105" s="671"/>
      <c r="L105" s="671"/>
      <c r="M105" s="671"/>
      <c r="N105" s="671"/>
      <c r="O105" s="671"/>
      <c r="P105" s="671"/>
      <c r="Q105" s="671"/>
      <c r="R105" s="671"/>
      <c r="S105" s="671"/>
      <c r="T105" s="671"/>
      <c r="U105" s="671"/>
      <c r="V105" s="671"/>
      <c r="W105" s="671"/>
      <c r="X105" s="671"/>
      <c r="Y105" s="671"/>
      <c r="Z105" s="105"/>
    </row>
    <row r="106" spans="1:26" ht="14.25" customHeight="1">
      <c r="A106" s="671"/>
      <c r="B106" s="671"/>
      <c r="C106" s="671"/>
      <c r="D106" s="671"/>
      <c r="E106" s="671"/>
      <c r="F106" s="671"/>
      <c r="G106" s="671"/>
      <c r="H106" s="671"/>
      <c r="I106" s="671"/>
      <c r="J106" s="671"/>
      <c r="K106" s="671"/>
      <c r="L106" s="671"/>
      <c r="M106" s="671"/>
      <c r="N106" s="671"/>
      <c r="O106" s="671"/>
      <c r="P106" s="671"/>
      <c r="Q106" s="671"/>
      <c r="R106" s="671"/>
      <c r="S106" s="671"/>
      <c r="T106" s="671"/>
      <c r="U106" s="671"/>
      <c r="V106" s="671"/>
      <c r="W106" s="671"/>
      <c r="X106" s="671"/>
      <c r="Y106" s="671"/>
      <c r="Z106" s="105"/>
    </row>
    <row r="107" spans="1:26" ht="14.25" customHeight="1">
      <c r="A107" s="671"/>
      <c r="B107" s="671"/>
      <c r="C107" s="671"/>
      <c r="D107" s="671"/>
      <c r="E107" s="671"/>
      <c r="F107" s="671"/>
      <c r="G107" s="671"/>
      <c r="H107" s="671"/>
      <c r="I107" s="671"/>
      <c r="J107" s="671"/>
      <c r="K107" s="671"/>
      <c r="L107" s="671"/>
      <c r="M107" s="671"/>
      <c r="N107" s="671"/>
      <c r="O107" s="671"/>
      <c r="P107" s="671"/>
      <c r="Q107" s="671"/>
      <c r="R107" s="671"/>
      <c r="S107" s="671"/>
      <c r="T107" s="671"/>
      <c r="U107" s="671"/>
      <c r="V107" s="671"/>
      <c r="W107" s="671"/>
      <c r="X107" s="671"/>
      <c r="Y107" s="671"/>
      <c r="Z107" s="105"/>
    </row>
    <row r="108" spans="1:26" ht="14.25" customHeight="1">
      <c r="A108" s="671"/>
      <c r="B108" s="671"/>
      <c r="C108" s="671"/>
      <c r="D108" s="671"/>
      <c r="E108" s="671"/>
      <c r="F108" s="671"/>
      <c r="G108" s="671"/>
      <c r="H108" s="671"/>
      <c r="I108" s="671"/>
      <c r="J108" s="671"/>
      <c r="K108" s="671"/>
      <c r="L108" s="671"/>
      <c r="M108" s="671"/>
      <c r="N108" s="671"/>
      <c r="O108" s="671"/>
      <c r="P108" s="671"/>
      <c r="Q108" s="671"/>
      <c r="R108" s="671"/>
      <c r="S108" s="671"/>
      <c r="T108" s="671"/>
      <c r="U108" s="671"/>
      <c r="V108" s="671"/>
      <c r="W108" s="671"/>
      <c r="X108" s="671"/>
      <c r="Y108" s="671"/>
      <c r="Z108" s="105"/>
    </row>
    <row r="109" spans="1:26" ht="14.25" customHeight="1">
      <c r="A109" s="671"/>
      <c r="B109" s="671"/>
      <c r="C109" s="671"/>
      <c r="D109" s="671"/>
      <c r="E109" s="671"/>
      <c r="F109" s="671"/>
      <c r="G109" s="671"/>
      <c r="H109" s="671"/>
      <c r="I109" s="671"/>
      <c r="J109" s="671"/>
      <c r="K109" s="671"/>
      <c r="L109" s="671"/>
      <c r="M109" s="671"/>
      <c r="N109" s="671"/>
      <c r="O109" s="671"/>
      <c r="P109" s="671"/>
      <c r="Q109" s="671"/>
      <c r="R109" s="671"/>
      <c r="S109" s="671"/>
      <c r="T109" s="671"/>
      <c r="U109" s="671"/>
      <c r="V109" s="671"/>
      <c r="W109" s="671"/>
      <c r="X109" s="671"/>
      <c r="Y109" s="671"/>
      <c r="Z109" s="105"/>
    </row>
    <row r="110" spans="1:26" ht="14.25" customHeight="1">
      <c r="A110" s="671"/>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105"/>
    </row>
    <row r="111" spans="1:26" ht="14.25" customHeight="1">
      <c r="A111" s="671"/>
      <c r="B111" s="671"/>
      <c r="C111" s="671"/>
      <c r="D111" s="671"/>
      <c r="E111" s="671"/>
      <c r="F111" s="671"/>
      <c r="G111" s="671"/>
      <c r="H111" s="671"/>
      <c r="I111" s="671"/>
      <c r="J111" s="671"/>
      <c r="K111" s="671"/>
      <c r="L111" s="671"/>
      <c r="M111" s="671"/>
      <c r="N111" s="671"/>
      <c r="O111" s="671"/>
      <c r="P111" s="671"/>
      <c r="Q111" s="671"/>
      <c r="R111" s="671"/>
      <c r="S111" s="671"/>
      <c r="T111" s="671"/>
      <c r="U111" s="671"/>
      <c r="V111" s="671"/>
      <c r="W111" s="671"/>
      <c r="X111" s="671"/>
      <c r="Y111" s="671"/>
      <c r="Z111" s="105"/>
    </row>
    <row r="112" spans="1:26" ht="14.25" customHeight="1">
      <c r="A112" s="671"/>
      <c r="B112" s="671"/>
      <c r="C112" s="671"/>
      <c r="D112" s="671"/>
      <c r="E112" s="671"/>
      <c r="F112" s="671"/>
      <c r="G112" s="671"/>
      <c r="H112" s="671"/>
      <c r="I112" s="671"/>
      <c r="J112" s="671"/>
      <c r="K112" s="671"/>
      <c r="L112" s="671"/>
      <c r="M112" s="671"/>
      <c r="N112" s="671"/>
      <c r="O112" s="671"/>
      <c r="P112" s="671"/>
      <c r="Q112" s="671"/>
      <c r="R112" s="671"/>
      <c r="S112" s="671"/>
      <c r="T112" s="671"/>
      <c r="U112" s="671"/>
      <c r="V112" s="671"/>
      <c r="W112" s="671"/>
      <c r="X112" s="671"/>
      <c r="Y112" s="671"/>
      <c r="Z112" s="105"/>
    </row>
    <row r="113" spans="1:26" ht="14.25" customHeight="1">
      <c r="A113" s="671"/>
      <c r="B113" s="671"/>
      <c r="C113" s="671"/>
      <c r="D113" s="671"/>
      <c r="E113" s="671"/>
      <c r="F113" s="671"/>
      <c r="G113" s="671"/>
      <c r="H113" s="671"/>
      <c r="I113" s="671"/>
      <c r="J113" s="671"/>
      <c r="K113" s="671"/>
      <c r="L113" s="671"/>
      <c r="M113" s="671"/>
      <c r="N113" s="671"/>
      <c r="O113" s="671"/>
      <c r="P113" s="671"/>
      <c r="Q113" s="671"/>
      <c r="R113" s="671"/>
      <c r="S113" s="671"/>
      <c r="T113" s="671"/>
      <c r="U113" s="671"/>
      <c r="V113" s="671"/>
      <c r="W113" s="671"/>
      <c r="X113" s="671"/>
      <c r="Y113" s="671"/>
      <c r="Z113" s="105"/>
    </row>
    <row r="114" spans="1:26" ht="14.25" customHeight="1">
      <c r="A114" s="671"/>
      <c r="B114" s="671"/>
      <c r="C114" s="671"/>
      <c r="D114" s="671"/>
      <c r="E114" s="671"/>
      <c r="F114" s="671"/>
      <c r="G114" s="671"/>
      <c r="H114" s="671"/>
      <c r="I114" s="671"/>
      <c r="J114" s="671"/>
      <c r="K114" s="671"/>
      <c r="L114" s="671"/>
      <c r="M114" s="671"/>
      <c r="N114" s="671"/>
      <c r="O114" s="671"/>
      <c r="P114" s="671"/>
      <c r="Q114" s="671"/>
      <c r="R114" s="671"/>
      <c r="S114" s="671"/>
      <c r="T114" s="671"/>
      <c r="U114" s="671"/>
      <c r="V114" s="671"/>
      <c r="W114" s="671"/>
      <c r="X114" s="671"/>
      <c r="Y114" s="671"/>
      <c r="Z114" s="105"/>
    </row>
    <row r="115" spans="1:26" ht="14.25" customHeight="1">
      <c r="A115" s="671"/>
      <c r="B115" s="671"/>
      <c r="C115" s="671"/>
      <c r="D115" s="671"/>
      <c r="E115" s="671"/>
      <c r="F115" s="671"/>
      <c r="G115" s="671"/>
      <c r="H115" s="671"/>
      <c r="I115" s="671"/>
      <c r="J115" s="671"/>
      <c r="K115" s="671"/>
      <c r="L115" s="671"/>
      <c r="M115" s="671"/>
      <c r="N115" s="671"/>
      <c r="O115" s="671"/>
      <c r="P115" s="671"/>
      <c r="Q115" s="671"/>
      <c r="R115" s="671"/>
      <c r="S115" s="671"/>
      <c r="T115" s="671"/>
      <c r="U115" s="671"/>
      <c r="V115" s="671"/>
      <c r="W115" s="671"/>
      <c r="X115" s="671"/>
      <c r="Y115" s="671"/>
      <c r="Z115" s="105"/>
    </row>
    <row r="116" spans="1:26" ht="14.25" customHeight="1">
      <c r="A116" s="671"/>
      <c r="B116" s="671"/>
      <c r="C116" s="671"/>
      <c r="D116" s="671"/>
      <c r="E116" s="671"/>
      <c r="F116" s="671"/>
      <c r="G116" s="671"/>
      <c r="H116" s="671"/>
      <c r="I116" s="671"/>
      <c r="J116" s="671"/>
      <c r="K116" s="671"/>
      <c r="L116" s="671"/>
      <c r="M116" s="671"/>
      <c r="N116" s="671"/>
      <c r="O116" s="671"/>
      <c r="P116" s="671"/>
      <c r="Q116" s="671"/>
      <c r="R116" s="671"/>
      <c r="S116" s="671"/>
      <c r="T116" s="671"/>
      <c r="U116" s="671"/>
      <c r="V116" s="671"/>
      <c r="W116" s="671"/>
      <c r="X116" s="671"/>
      <c r="Y116" s="671"/>
      <c r="Z116" s="105"/>
    </row>
    <row r="117" spans="1:26" ht="14.25" customHeight="1">
      <c r="A117" s="671"/>
      <c r="B117" s="671"/>
      <c r="C117" s="671"/>
      <c r="D117" s="671"/>
      <c r="E117" s="671"/>
      <c r="F117" s="671"/>
      <c r="G117" s="671"/>
      <c r="H117" s="671"/>
      <c r="I117" s="671"/>
      <c r="J117" s="671"/>
      <c r="K117" s="671"/>
      <c r="L117" s="671"/>
      <c r="M117" s="671"/>
      <c r="N117" s="671"/>
      <c r="O117" s="671"/>
      <c r="P117" s="671"/>
      <c r="Q117" s="671"/>
      <c r="R117" s="671"/>
      <c r="S117" s="671"/>
      <c r="T117" s="671"/>
      <c r="U117" s="671"/>
      <c r="V117" s="671"/>
      <c r="W117" s="671"/>
      <c r="X117" s="671"/>
      <c r="Y117" s="671"/>
      <c r="Z117" s="105"/>
    </row>
    <row r="118" spans="1:26" ht="14.25" customHeight="1">
      <c r="A118" s="671"/>
      <c r="B118" s="671"/>
      <c r="C118" s="671"/>
      <c r="D118" s="671"/>
      <c r="E118" s="671"/>
      <c r="F118" s="671"/>
      <c r="G118" s="671"/>
      <c r="H118" s="671"/>
      <c r="I118" s="671"/>
      <c r="J118" s="671"/>
      <c r="K118" s="671"/>
      <c r="L118" s="671"/>
      <c r="M118" s="671"/>
      <c r="N118" s="671"/>
      <c r="O118" s="671"/>
      <c r="P118" s="671"/>
      <c r="Q118" s="671"/>
      <c r="R118" s="671"/>
      <c r="S118" s="671"/>
      <c r="T118" s="671"/>
      <c r="U118" s="671"/>
      <c r="V118" s="671"/>
      <c r="W118" s="671"/>
      <c r="X118" s="671"/>
      <c r="Y118" s="671"/>
      <c r="Z118" s="105"/>
    </row>
    <row r="119" spans="1:26" ht="14.25" customHeight="1">
      <c r="A119" s="671"/>
      <c r="B119" s="671"/>
      <c r="C119" s="671"/>
      <c r="D119" s="671"/>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105"/>
    </row>
    <row r="120" spans="1:26" ht="14.25" customHeight="1">
      <c r="A120" s="671"/>
      <c r="B120" s="671"/>
      <c r="C120" s="671"/>
      <c r="D120" s="671"/>
      <c r="E120" s="671"/>
      <c r="F120" s="671"/>
      <c r="G120" s="671"/>
      <c r="H120" s="671"/>
      <c r="I120" s="671"/>
      <c r="J120" s="671"/>
      <c r="K120" s="671"/>
      <c r="L120" s="671"/>
      <c r="M120" s="671"/>
      <c r="N120" s="671"/>
      <c r="O120" s="671"/>
      <c r="P120" s="671"/>
      <c r="Q120" s="671"/>
      <c r="R120" s="671"/>
      <c r="S120" s="671"/>
      <c r="T120" s="671"/>
      <c r="U120" s="671"/>
      <c r="V120" s="671"/>
      <c r="W120" s="671"/>
      <c r="X120" s="671"/>
      <c r="Y120" s="671"/>
      <c r="Z120" s="105"/>
    </row>
    <row r="121" spans="1:26" ht="14.25" customHeight="1">
      <c r="A121" s="671"/>
      <c r="B121" s="671"/>
      <c r="C121" s="671"/>
      <c r="D121" s="671"/>
      <c r="E121" s="671"/>
      <c r="F121" s="671"/>
      <c r="G121" s="671"/>
      <c r="H121" s="671"/>
      <c r="I121" s="671"/>
      <c r="J121" s="671"/>
      <c r="K121" s="671"/>
      <c r="L121" s="671"/>
      <c r="M121" s="671"/>
      <c r="N121" s="671"/>
      <c r="O121" s="671"/>
      <c r="P121" s="671"/>
      <c r="Q121" s="671"/>
      <c r="R121" s="671"/>
      <c r="S121" s="671"/>
      <c r="T121" s="671"/>
      <c r="U121" s="671"/>
      <c r="V121" s="671"/>
      <c r="W121" s="671"/>
      <c r="X121" s="671"/>
      <c r="Y121" s="671"/>
      <c r="Z121" s="105"/>
    </row>
    <row r="122" spans="1:26" ht="14.25" customHeight="1">
      <c r="A122" s="671"/>
      <c r="B122" s="671"/>
      <c r="C122" s="671"/>
      <c r="D122" s="671"/>
      <c r="E122" s="671"/>
      <c r="F122" s="671"/>
      <c r="G122" s="671"/>
      <c r="H122" s="671"/>
      <c r="I122" s="671"/>
      <c r="J122" s="671"/>
      <c r="K122" s="671"/>
      <c r="L122" s="671"/>
      <c r="M122" s="671"/>
      <c r="N122" s="671"/>
      <c r="O122" s="671"/>
      <c r="P122" s="671"/>
      <c r="Q122" s="671"/>
      <c r="R122" s="671"/>
      <c r="S122" s="671"/>
      <c r="T122" s="671"/>
      <c r="U122" s="671"/>
      <c r="V122" s="671"/>
      <c r="W122" s="671"/>
      <c r="X122" s="671"/>
      <c r="Y122" s="671"/>
      <c r="Z122" s="105"/>
    </row>
    <row r="123" spans="1:26" ht="14.25" customHeight="1">
      <c r="A123" s="671"/>
      <c r="B123" s="671"/>
      <c r="C123" s="671"/>
      <c r="D123" s="671"/>
      <c r="E123" s="671"/>
      <c r="F123" s="671"/>
      <c r="G123" s="671"/>
      <c r="H123" s="671"/>
      <c r="I123" s="671"/>
      <c r="J123" s="671"/>
      <c r="K123" s="671"/>
      <c r="L123" s="671"/>
      <c r="M123" s="671"/>
      <c r="N123" s="671"/>
      <c r="O123" s="671"/>
      <c r="P123" s="671"/>
      <c r="Q123" s="671"/>
      <c r="R123" s="671"/>
      <c r="S123" s="671"/>
      <c r="T123" s="671"/>
      <c r="U123" s="671"/>
      <c r="V123" s="671"/>
      <c r="W123" s="671"/>
      <c r="X123" s="671"/>
      <c r="Y123" s="671"/>
      <c r="Z123" s="105"/>
    </row>
    <row r="124" spans="1:26" ht="14.25" customHeight="1">
      <c r="A124" s="671"/>
      <c r="B124" s="671"/>
      <c r="C124" s="671"/>
      <c r="D124" s="671"/>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105"/>
    </row>
    <row r="125" spans="1:26" ht="14.25" customHeight="1">
      <c r="A125" s="671"/>
      <c r="B125" s="671"/>
      <c r="C125" s="671"/>
      <c r="D125" s="671"/>
      <c r="E125" s="671"/>
      <c r="F125" s="671"/>
      <c r="G125" s="671"/>
      <c r="H125" s="671"/>
      <c r="I125" s="671"/>
      <c r="J125" s="671"/>
      <c r="K125" s="671"/>
      <c r="L125" s="671"/>
      <c r="M125" s="671"/>
      <c r="N125" s="671"/>
      <c r="O125" s="671"/>
      <c r="P125" s="671"/>
      <c r="Q125" s="671"/>
      <c r="R125" s="671"/>
      <c r="S125" s="671"/>
      <c r="T125" s="671"/>
      <c r="U125" s="671"/>
      <c r="V125" s="671"/>
      <c r="W125" s="671"/>
      <c r="X125" s="671"/>
      <c r="Y125" s="671"/>
      <c r="Z125" s="105"/>
    </row>
    <row r="126" spans="1:26" ht="14.25" customHeight="1">
      <c r="A126" s="671"/>
      <c r="B126" s="671"/>
      <c r="C126" s="671"/>
      <c r="D126" s="671"/>
      <c r="E126" s="671"/>
      <c r="F126" s="671"/>
      <c r="G126" s="671"/>
      <c r="H126" s="671"/>
      <c r="I126" s="671"/>
      <c r="J126" s="671"/>
      <c r="K126" s="671"/>
      <c r="L126" s="671"/>
      <c r="M126" s="671"/>
      <c r="N126" s="671"/>
      <c r="O126" s="671"/>
      <c r="P126" s="671"/>
      <c r="Q126" s="671"/>
      <c r="R126" s="671"/>
      <c r="S126" s="671"/>
      <c r="T126" s="671"/>
      <c r="U126" s="671"/>
      <c r="V126" s="671"/>
      <c r="W126" s="671"/>
      <c r="X126" s="671"/>
      <c r="Y126" s="671"/>
      <c r="Z126" s="105"/>
    </row>
    <row r="127" spans="1:26" ht="14.25" customHeight="1">
      <c r="A127" s="671"/>
      <c r="B127" s="671"/>
      <c r="C127" s="671"/>
      <c r="D127" s="671"/>
      <c r="E127" s="671"/>
      <c r="F127" s="671"/>
      <c r="G127" s="671"/>
      <c r="H127" s="671"/>
      <c r="I127" s="671"/>
      <c r="J127" s="671"/>
      <c r="K127" s="671"/>
      <c r="L127" s="671"/>
      <c r="M127" s="671"/>
      <c r="N127" s="671"/>
      <c r="O127" s="671"/>
      <c r="P127" s="671"/>
      <c r="Q127" s="671"/>
      <c r="R127" s="671"/>
      <c r="S127" s="671"/>
      <c r="T127" s="671"/>
      <c r="U127" s="671"/>
      <c r="V127" s="671"/>
      <c r="W127" s="671"/>
      <c r="X127" s="671"/>
      <c r="Y127" s="671"/>
      <c r="Z127" s="105"/>
    </row>
    <row r="128" spans="1:26" ht="14.25" customHeight="1">
      <c r="A128" s="671"/>
      <c r="B128" s="671"/>
      <c r="C128" s="671"/>
      <c r="D128" s="671"/>
      <c r="E128" s="671"/>
      <c r="F128" s="671"/>
      <c r="G128" s="671"/>
      <c r="H128" s="671"/>
      <c r="I128" s="671"/>
      <c r="J128" s="671"/>
      <c r="K128" s="671"/>
      <c r="L128" s="671"/>
      <c r="M128" s="671"/>
      <c r="N128" s="671"/>
      <c r="O128" s="671"/>
      <c r="P128" s="671"/>
      <c r="Q128" s="671"/>
      <c r="R128" s="671"/>
      <c r="S128" s="671"/>
      <c r="T128" s="671"/>
      <c r="U128" s="671"/>
      <c r="V128" s="671"/>
      <c r="W128" s="671"/>
      <c r="X128" s="671"/>
      <c r="Y128" s="671"/>
      <c r="Z128" s="105"/>
    </row>
    <row r="129" spans="1:26" ht="14.25" customHeight="1">
      <c r="A129" s="671"/>
      <c r="B129" s="671"/>
      <c r="C129" s="671"/>
      <c r="D129" s="671"/>
      <c r="E129" s="671"/>
      <c r="F129" s="671"/>
      <c r="G129" s="671"/>
      <c r="H129" s="671"/>
      <c r="I129" s="671"/>
      <c r="J129" s="671"/>
      <c r="K129" s="671"/>
      <c r="L129" s="671"/>
      <c r="M129" s="671"/>
      <c r="N129" s="671"/>
      <c r="O129" s="671"/>
      <c r="P129" s="671"/>
      <c r="Q129" s="671"/>
      <c r="R129" s="671"/>
      <c r="S129" s="671"/>
      <c r="T129" s="671"/>
      <c r="U129" s="671"/>
      <c r="V129" s="671"/>
      <c r="W129" s="671"/>
      <c r="X129" s="671"/>
      <c r="Y129" s="671"/>
      <c r="Z129" s="105"/>
    </row>
    <row r="130" spans="1:26" ht="14.25" customHeight="1">
      <c r="A130" s="671"/>
      <c r="B130" s="671"/>
      <c r="C130" s="671"/>
      <c r="D130" s="671"/>
      <c r="E130" s="671"/>
      <c r="F130" s="671"/>
      <c r="G130" s="671"/>
      <c r="H130" s="671"/>
      <c r="I130" s="671"/>
      <c r="J130" s="671"/>
      <c r="K130" s="671"/>
      <c r="L130" s="671"/>
      <c r="M130" s="671"/>
      <c r="N130" s="671"/>
      <c r="O130" s="671"/>
      <c r="P130" s="671"/>
      <c r="Q130" s="671"/>
      <c r="R130" s="671"/>
      <c r="S130" s="671"/>
      <c r="T130" s="671"/>
      <c r="U130" s="671"/>
      <c r="V130" s="671"/>
      <c r="W130" s="671"/>
      <c r="X130" s="671"/>
      <c r="Y130" s="671"/>
      <c r="Z130" s="105"/>
    </row>
    <row r="131" spans="1:26" ht="14.25" customHeight="1">
      <c r="A131" s="671"/>
      <c r="B131" s="671"/>
      <c r="C131" s="671"/>
      <c r="D131" s="671"/>
      <c r="E131" s="671"/>
      <c r="F131" s="671"/>
      <c r="G131" s="671"/>
      <c r="H131" s="671"/>
      <c r="I131" s="671"/>
      <c r="J131" s="671"/>
      <c r="K131" s="671"/>
      <c r="L131" s="671"/>
      <c r="M131" s="671"/>
      <c r="N131" s="671"/>
      <c r="O131" s="671"/>
      <c r="P131" s="671"/>
      <c r="Q131" s="671"/>
      <c r="R131" s="671"/>
      <c r="S131" s="671"/>
      <c r="T131" s="671"/>
      <c r="U131" s="671"/>
      <c r="V131" s="671"/>
      <c r="W131" s="671"/>
      <c r="X131" s="671"/>
      <c r="Y131" s="671"/>
      <c r="Z131" s="105"/>
    </row>
    <row r="132" spans="1:26" ht="14.25" customHeight="1">
      <c r="A132" s="671"/>
      <c r="B132" s="671"/>
      <c r="C132" s="671"/>
      <c r="D132" s="671"/>
      <c r="E132" s="671"/>
      <c r="F132" s="671"/>
      <c r="G132" s="671"/>
      <c r="H132" s="671"/>
      <c r="I132" s="671"/>
      <c r="J132" s="671"/>
      <c r="K132" s="671"/>
      <c r="L132" s="671"/>
      <c r="M132" s="671"/>
      <c r="N132" s="671"/>
      <c r="O132" s="671"/>
      <c r="P132" s="671"/>
      <c r="Q132" s="671"/>
      <c r="R132" s="671"/>
      <c r="S132" s="671"/>
      <c r="T132" s="671"/>
      <c r="U132" s="671"/>
      <c r="V132" s="671"/>
      <c r="W132" s="671"/>
      <c r="X132" s="671"/>
      <c r="Y132" s="671"/>
      <c r="Z132" s="105"/>
    </row>
    <row r="133" spans="1:26" ht="14.25" customHeight="1">
      <c r="A133" s="671"/>
      <c r="B133" s="671"/>
      <c r="C133" s="671"/>
      <c r="D133" s="671"/>
      <c r="E133" s="671"/>
      <c r="F133" s="671"/>
      <c r="G133" s="671"/>
      <c r="H133" s="671"/>
      <c r="I133" s="671"/>
      <c r="J133" s="671"/>
      <c r="K133" s="671"/>
      <c r="L133" s="671"/>
      <c r="M133" s="671"/>
      <c r="N133" s="671"/>
      <c r="O133" s="671"/>
      <c r="P133" s="671"/>
      <c r="Q133" s="671"/>
      <c r="R133" s="671"/>
      <c r="S133" s="671"/>
      <c r="T133" s="671"/>
      <c r="U133" s="671"/>
      <c r="V133" s="671"/>
      <c r="W133" s="671"/>
      <c r="X133" s="671"/>
      <c r="Y133" s="671"/>
      <c r="Z133" s="105"/>
    </row>
    <row r="134" spans="1:26" ht="14.25" customHeight="1">
      <c r="A134" s="671"/>
      <c r="B134" s="671"/>
      <c r="C134" s="671"/>
      <c r="D134" s="671"/>
      <c r="E134" s="671"/>
      <c r="F134" s="671"/>
      <c r="G134" s="671"/>
      <c r="H134" s="671"/>
      <c r="I134" s="671"/>
      <c r="J134" s="671"/>
      <c r="K134" s="671"/>
      <c r="L134" s="671"/>
      <c r="M134" s="671"/>
      <c r="N134" s="671"/>
      <c r="O134" s="671"/>
      <c r="P134" s="671"/>
      <c r="Q134" s="671"/>
      <c r="R134" s="671"/>
      <c r="S134" s="671"/>
      <c r="T134" s="671"/>
      <c r="U134" s="671"/>
      <c r="V134" s="671"/>
      <c r="W134" s="671"/>
      <c r="X134" s="671"/>
      <c r="Y134" s="671"/>
      <c r="Z134" s="105"/>
    </row>
    <row r="135" spans="1:26" ht="14.25" customHeight="1">
      <c r="A135" s="671"/>
      <c r="B135" s="671"/>
      <c r="C135" s="671"/>
      <c r="D135" s="671"/>
      <c r="E135" s="671"/>
      <c r="F135" s="671"/>
      <c r="G135" s="671"/>
      <c r="H135" s="671"/>
      <c r="I135" s="671"/>
      <c r="J135" s="671"/>
      <c r="K135" s="671"/>
      <c r="L135" s="671"/>
      <c r="M135" s="671"/>
      <c r="N135" s="671"/>
      <c r="O135" s="671"/>
      <c r="P135" s="671"/>
      <c r="Q135" s="671"/>
      <c r="R135" s="671"/>
      <c r="S135" s="671"/>
      <c r="T135" s="671"/>
      <c r="U135" s="671"/>
      <c r="V135" s="671"/>
      <c r="W135" s="671"/>
      <c r="X135" s="671"/>
      <c r="Y135" s="671"/>
      <c r="Z135" s="105"/>
    </row>
    <row r="136" spans="1:26" ht="14.25" customHeight="1">
      <c r="A136" s="671"/>
      <c r="B136" s="671"/>
      <c r="C136" s="671"/>
      <c r="D136" s="671"/>
      <c r="E136" s="671"/>
      <c r="F136" s="671"/>
      <c r="G136" s="671"/>
      <c r="H136" s="671"/>
      <c r="I136" s="671"/>
      <c r="J136" s="671"/>
      <c r="K136" s="671"/>
      <c r="L136" s="671"/>
      <c r="M136" s="671"/>
      <c r="N136" s="671"/>
      <c r="O136" s="671"/>
      <c r="P136" s="671"/>
      <c r="Q136" s="671"/>
      <c r="R136" s="671"/>
      <c r="S136" s="671"/>
      <c r="T136" s="671"/>
      <c r="U136" s="671"/>
      <c r="V136" s="671"/>
      <c r="W136" s="671"/>
      <c r="X136" s="671"/>
      <c r="Y136" s="671"/>
      <c r="Z136" s="105"/>
    </row>
    <row r="137" spans="1:26" ht="14.25" customHeight="1">
      <c r="A137" s="671"/>
      <c r="B137" s="671"/>
      <c r="C137" s="671"/>
      <c r="D137" s="671"/>
      <c r="E137" s="671"/>
      <c r="F137" s="671"/>
      <c r="G137" s="671"/>
      <c r="H137" s="671"/>
      <c r="I137" s="671"/>
      <c r="J137" s="671"/>
      <c r="K137" s="671"/>
      <c r="L137" s="671"/>
      <c r="M137" s="671"/>
      <c r="N137" s="671"/>
      <c r="O137" s="671"/>
      <c r="P137" s="671"/>
      <c r="Q137" s="671"/>
      <c r="R137" s="671"/>
      <c r="S137" s="671"/>
      <c r="T137" s="671"/>
      <c r="U137" s="671"/>
      <c r="V137" s="671"/>
      <c r="W137" s="671"/>
      <c r="X137" s="671"/>
      <c r="Y137" s="671"/>
      <c r="Z137" s="105"/>
    </row>
    <row r="138" spans="1:26" ht="14.25" customHeight="1">
      <c r="A138" s="671"/>
      <c r="B138" s="671"/>
      <c r="C138" s="671"/>
      <c r="D138" s="671"/>
      <c r="E138" s="671"/>
      <c r="F138" s="671"/>
      <c r="G138" s="671"/>
      <c r="H138" s="671"/>
      <c r="I138" s="671"/>
      <c r="J138" s="671"/>
      <c r="K138" s="671"/>
      <c r="L138" s="671"/>
      <c r="M138" s="671"/>
      <c r="N138" s="671"/>
      <c r="O138" s="671"/>
      <c r="P138" s="671"/>
      <c r="Q138" s="671"/>
      <c r="R138" s="671"/>
      <c r="S138" s="671"/>
      <c r="T138" s="671"/>
      <c r="U138" s="671"/>
      <c r="V138" s="671"/>
      <c r="W138" s="671"/>
      <c r="X138" s="671"/>
      <c r="Y138" s="671"/>
      <c r="Z138" s="105"/>
    </row>
    <row r="139" spans="1:26" ht="14.25" customHeight="1">
      <c r="A139" s="671"/>
      <c r="B139" s="671"/>
      <c r="C139" s="671"/>
      <c r="D139" s="671"/>
      <c r="E139" s="671"/>
      <c r="F139" s="671"/>
      <c r="G139" s="671"/>
      <c r="H139" s="671"/>
      <c r="I139" s="671"/>
      <c r="J139" s="671"/>
      <c r="K139" s="671"/>
      <c r="L139" s="671"/>
      <c r="M139" s="671"/>
      <c r="N139" s="671"/>
      <c r="O139" s="671"/>
      <c r="P139" s="671"/>
      <c r="Q139" s="671"/>
      <c r="R139" s="671"/>
      <c r="S139" s="671"/>
      <c r="T139" s="671"/>
      <c r="U139" s="671"/>
      <c r="V139" s="671"/>
      <c r="W139" s="671"/>
      <c r="X139" s="671"/>
      <c r="Y139" s="671"/>
      <c r="Z139" s="105"/>
    </row>
    <row r="140" spans="1:26" ht="14.25" customHeight="1">
      <c r="A140" s="671"/>
      <c r="B140" s="671"/>
      <c r="C140" s="671"/>
      <c r="D140" s="671"/>
      <c r="E140" s="671"/>
      <c r="F140" s="671"/>
      <c r="G140" s="671"/>
      <c r="H140" s="671"/>
      <c r="I140" s="671"/>
      <c r="J140" s="671"/>
      <c r="K140" s="671"/>
      <c r="L140" s="671"/>
      <c r="M140" s="671"/>
      <c r="N140" s="671"/>
      <c r="O140" s="671"/>
      <c r="P140" s="671"/>
      <c r="Q140" s="671"/>
      <c r="R140" s="671"/>
      <c r="S140" s="671"/>
      <c r="T140" s="671"/>
      <c r="U140" s="671"/>
      <c r="V140" s="671"/>
      <c r="W140" s="671"/>
      <c r="X140" s="671"/>
      <c r="Y140" s="671"/>
      <c r="Z140" s="105"/>
    </row>
    <row r="141" spans="1:26" ht="14.25" customHeight="1">
      <c r="A141" s="671"/>
      <c r="B141" s="671"/>
      <c r="C141" s="671"/>
      <c r="D141" s="671"/>
      <c r="E141" s="671"/>
      <c r="F141" s="671"/>
      <c r="G141" s="671"/>
      <c r="H141" s="671"/>
      <c r="I141" s="671"/>
      <c r="J141" s="671"/>
      <c r="K141" s="671"/>
      <c r="L141" s="671"/>
      <c r="M141" s="671"/>
      <c r="N141" s="671"/>
      <c r="O141" s="671"/>
      <c r="P141" s="671"/>
      <c r="Q141" s="671"/>
      <c r="R141" s="671"/>
      <c r="S141" s="671"/>
      <c r="T141" s="671"/>
      <c r="U141" s="671"/>
      <c r="V141" s="671"/>
      <c r="W141" s="671"/>
      <c r="X141" s="671"/>
      <c r="Y141" s="671"/>
      <c r="Z141" s="105"/>
    </row>
    <row r="142" spans="1:26" ht="14.25" customHeight="1">
      <c r="A142" s="671"/>
      <c r="B142" s="671"/>
      <c r="C142" s="671"/>
      <c r="D142" s="671"/>
      <c r="E142" s="671"/>
      <c r="F142" s="671"/>
      <c r="G142" s="671"/>
      <c r="H142" s="671"/>
      <c r="I142" s="671"/>
      <c r="J142" s="671"/>
      <c r="K142" s="671"/>
      <c r="L142" s="671"/>
      <c r="M142" s="671"/>
      <c r="N142" s="671"/>
      <c r="O142" s="671"/>
      <c r="P142" s="671"/>
      <c r="Q142" s="671"/>
      <c r="R142" s="671"/>
      <c r="S142" s="671"/>
      <c r="T142" s="671"/>
      <c r="U142" s="671"/>
      <c r="V142" s="671"/>
      <c r="W142" s="671"/>
      <c r="X142" s="671"/>
      <c r="Y142" s="671"/>
      <c r="Z142" s="105"/>
    </row>
    <row r="143" spans="1:26" ht="14.25" customHeight="1">
      <c r="A143" s="671"/>
      <c r="B143" s="671"/>
      <c r="C143" s="671"/>
      <c r="D143" s="671"/>
      <c r="E143" s="671"/>
      <c r="F143" s="671"/>
      <c r="G143" s="671"/>
      <c r="H143" s="671"/>
      <c r="I143" s="671"/>
      <c r="J143" s="671"/>
      <c r="K143" s="671"/>
      <c r="L143" s="671"/>
      <c r="M143" s="671"/>
      <c r="N143" s="671"/>
      <c r="O143" s="671"/>
      <c r="P143" s="671"/>
      <c r="Q143" s="671"/>
      <c r="R143" s="671"/>
      <c r="S143" s="671"/>
      <c r="T143" s="671"/>
      <c r="U143" s="671"/>
      <c r="V143" s="671"/>
      <c r="W143" s="671"/>
      <c r="X143" s="671"/>
      <c r="Y143" s="671"/>
      <c r="Z143" s="105"/>
    </row>
    <row r="144" spans="1:26" ht="14.25" customHeight="1">
      <c r="A144" s="671"/>
      <c r="B144" s="671"/>
      <c r="C144" s="671"/>
      <c r="D144" s="671"/>
      <c r="E144" s="671"/>
      <c r="F144" s="671"/>
      <c r="G144" s="671"/>
      <c r="H144" s="671"/>
      <c r="I144" s="671"/>
      <c r="J144" s="671"/>
      <c r="K144" s="671"/>
      <c r="L144" s="671"/>
      <c r="M144" s="671"/>
      <c r="N144" s="671"/>
      <c r="O144" s="671"/>
      <c r="P144" s="671"/>
      <c r="Q144" s="671"/>
      <c r="R144" s="671"/>
      <c r="S144" s="671"/>
      <c r="T144" s="671"/>
      <c r="U144" s="671"/>
      <c r="V144" s="671"/>
      <c r="W144" s="671"/>
      <c r="X144" s="671"/>
      <c r="Y144" s="671"/>
      <c r="Z144" s="105"/>
    </row>
    <row r="145" spans="1:26" ht="14.25" customHeight="1">
      <c r="A145" s="671"/>
      <c r="B145" s="671"/>
      <c r="C145" s="671"/>
      <c r="D145" s="671"/>
      <c r="E145" s="671"/>
      <c r="F145" s="671"/>
      <c r="G145" s="671"/>
      <c r="H145" s="671"/>
      <c r="I145" s="671"/>
      <c r="J145" s="671"/>
      <c r="K145" s="671"/>
      <c r="L145" s="671"/>
      <c r="M145" s="671"/>
      <c r="N145" s="671"/>
      <c r="O145" s="671"/>
      <c r="P145" s="671"/>
      <c r="Q145" s="671"/>
      <c r="R145" s="671"/>
      <c r="S145" s="671"/>
      <c r="T145" s="671"/>
      <c r="U145" s="671"/>
      <c r="V145" s="671"/>
      <c r="W145" s="671"/>
      <c r="X145" s="671"/>
      <c r="Y145" s="671"/>
      <c r="Z145" s="105"/>
    </row>
    <row r="146" spans="1:26" ht="14.25" customHeight="1">
      <c r="A146" s="671"/>
      <c r="B146" s="671"/>
      <c r="C146" s="671"/>
      <c r="D146" s="671"/>
      <c r="E146" s="671"/>
      <c r="F146" s="671"/>
      <c r="G146" s="671"/>
      <c r="H146" s="671"/>
      <c r="I146" s="671"/>
      <c r="J146" s="671"/>
      <c r="K146" s="671"/>
      <c r="L146" s="671"/>
      <c r="M146" s="671"/>
      <c r="N146" s="671"/>
      <c r="O146" s="671"/>
      <c r="P146" s="671"/>
      <c r="Q146" s="671"/>
      <c r="R146" s="671"/>
      <c r="S146" s="671"/>
      <c r="T146" s="671"/>
      <c r="U146" s="671"/>
      <c r="V146" s="671"/>
      <c r="W146" s="671"/>
      <c r="X146" s="671"/>
      <c r="Y146" s="671"/>
      <c r="Z146" s="105"/>
    </row>
    <row r="147" spans="1:26" ht="14.25" customHeight="1">
      <c r="A147" s="671"/>
      <c r="B147" s="671"/>
      <c r="C147" s="671"/>
      <c r="D147" s="671"/>
      <c r="E147" s="671"/>
      <c r="F147" s="671"/>
      <c r="G147" s="671"/>
      <c r="H147" s="671"/>
      <c r="I147" s="671"/>
      <c r="J147" s="671"/>
      <c r="K147" s="671"/>
      <c r="L147" s="671"/>
      <c r="M147" s="671"/>
      <c r="N147" s="671"/>
      <c r="O147" s="671"/>
      <c r="P147" s="671"/>
      <c r="Q147" s="671"/>
      <c r="R147" s="671"/>
      <c r="S147" s="671"/>
      <c r="T147" s="671"/>
      <c r="U147" s="671"/>
      <c r="V147" s="671"/>
      <c r="W147" s="671"/>
      <c r="X147" s="671"/>
      <c r="Y147" s="671"/>
      <c r="Z147" s="105"/>
    </row>
    <row r="148" spans="1:26" ht="14.25" customHeight="1">
      <c r="A148" s="671"/>
      <c r="B148" s="671"/>
      <c r="C148" s="671"/>
      <c r="D148" s="671"/>
      <c r="E148" s="671"/>
      <c r="F148" s="671"/>
      <c r="G148" s="671"/>
      <c r="H148" s="671"/>
      <c r="I148" s="671"/>
      <c r="J148" s="671"/>
      <c r="K148" s="671"/>
      <c r="L148" s="671"/>
      <c r="M148" s="671"/>
      <c r="N148" s="671"/>
      <c r="O148" s="671"/>
      <c r="P148" s="671"/>
      <c r="Q148" s="671"/>
      <c r="R148" s="671"/>
      <c r="S148" s="671"/>
      <c r="T148" s="671"/>
      <c r="U148" s="671"/>
      <c r="V148" s="671"/>
      <c r="W148" s="671"/>
      <c r="X148" s="671"/>
      <c r="Y148" s="671"/>
      <c r="Z148" s="105"/>
    </row>
    <row r="149" spans="1:26" ht="14.25" customHeight="1">
      <c r="A149" s="671"/>
      <c r="B149" s="671"/>
      <c r="C149" s="671"/>
      <c r="D149" s="671"/>
      <c r="E149" s="671"/>
      <c r="F149" s="671"/>
      <c r="G149" s="671"/>
      <c r="H149" s="671"/>
      <c r="I149" s="671"/>
      <c r="J149" s="671"/>
      <c r="K149" s="671"/>
      <c r="L149" s="671"/>
      <c r="M149" s="671"/>
      <c r="N149" s="671"/>
      <c r="O149" s="671"/>
      <c r="P149" s="671"/>
      <c r="Q149" s="671"/>
      <c r="R149" s="671"/>
      <c r="S149" s="671"/>
      <c r="T149" s="671"/>
      <c r="U149" s="671"/>
      <c r="V149" s="671"/>
      <c r="W149" s="671"/>
      <c r="X149" s="671"/>
      <c r="Y149" s="671"/>
      <c r="Z149" s="105"/>
    </row>
    <row r="150" spans="1:26" ht="14.25" customHeight="1">
      <c r="A150" s="671"/>
      <c r="B150" s="671"/>
      <c r="C150" s="671"/>
      <c r="D150" s="671"/>
      <c r="E150" s="671"/>
      <c r="F150" s="671"/>
      <c r="G150" s="671"/>
      <c r="H150" s="671"/>
      <c r="I150" s="671"/>
      <c r="J150" s="671"/>
      <c r="K150" s="671"/>
      <c r="L150" s="671"/>
      <c r="M150" s="671"/>
      <c r="N150" s="671"/>
      <c r="O150" s="671"/>
      <c r="P150" s="671"/>
      <c r="Q150" s="671"/>
      <c r="R150" s="671"/>
      <c r="S150" s="671"/>
      <c r="T150" s="671"/>
      <c r="U150" s="671"/>
      <c r="V150" s="671"/>
      <c r="W150" s="671"/>
      <c r="X150" s="671"/>
      <c r="Y150" s="671"/>
      <c r="Z150" s="105"/>
    </row>
    <row r="151" spans="1:26" ht="14.25" customHeight="1">
      <c r="A151" s="671"/>
      <c r="B151" s="671"/>
      <c r="C151" s="671"/>
      <c r="D151" s="671"/>
      <c r="E151" s="671"/>
      <c r="F151" s="671"/>
      <c r="G151" s="671"/>
      <c r="H151" s="671"/>
      <c r="I151" s="671"/>
      <c r="J151" s="671"/>
      <c r="K151" s="671"/>
      <c r="L151" s="671"/>
      <c r="M151" s="671"/>
      <c r="N151" s="671"/>
      <c r="O151" s="671"/>
      <c r="P151" s="671"/>
      <c r="Q151" s="671"/>
      <c r="R151" s="671"/>
      <c r="S151" s="671"/>
      <c r="T151" s="671"/>
      <c r="U151" s="671"/>
      <c r="V151" s="671"/>
      <c r="W151" s="671"/>
      <c r="X151" s="671"/>
      <c r="Y151" s="671"/>
      <c r="Z151" s="105"/>
    </row>
    <row r="152" spans="1:26" ht="14.25" customHeight="1">
      <c r="A152" s="671"/>
      <c r="B152" s="671"/>
      <c r="C152" s="671"/>
      <c r="D152" s="671"/>
      <c r="E152" s="671"/>
      <c r="F152" s="671"/>
      <c r="G152" s="671"/>
      <c r="H152" s="671"/>
      <c r="I152" s="671"/>
      <c r="J152" s="671"/>
      <c r="K152" s="671"/>
      <c r="L152" s="671"/>
      <c r="M152" s="671"/>
      <c r="N152" s="671"/>
      <c r="O152" s="671"/>
      <c r="P152" s="671"/>
      <c r="Q152" s="671"/>
      <c r="R152" s="671"/>
      <c r="S152" s="671"/>
      <c r="T152" s="671"/>
      <c r="U152" s="671"/>
      <c r="V152" s="671"/>
      <c r="W152" s="671"/>
      <c r="X152" s="671"/>
      <c r="Y152" s="671"/>
      <c r="Z152" s="105"/>
    </row>
    <row r="153" spans="1:26" ht="14.25" customHeight="1">
      <c r="A153" s="671"/>
      <c r="B153" s="671"/>
      <c r="C153" s="671"/>
      <c r="D153" s="671"/>
      <c r="E153" s="671"/>
      <c r="F153" s="671"/>
      <c r="G153" s="671"/>
      <c r="H153" s="671"/>
      <c r="I153" s="671"/>
      <c r="J153" s="671"/>
      <c r="K153" s="671"/>
      <c r="L153" s="671"/>
      <c r="M153" s="671"/>
      <c r="N153" s="671"/>
      <c r="O153" s="671"/>
      <c r="P153" s="671"/>
      <c r="Q153" s="671"/>
      <c r="R153" s="671"/>
      <c r="S153" s="671"/>
      <c r="T153" s="671"/>
      <c r="U153" s="671"/>
      <c r="V153" s="671"/>
      <c r="W153" s="671"/>
      <c r="X153" s="671"/>
      <c r="Y153" s="671"/>
      <c r="Z153" s="105"/>
    </row>
    <row r="154" spans="1:26" ht="14.25" customHeight="1">
      <c r="A154" s="671"/>
      <c r="B154" s="671"/>
      <c r="C154" s="671"/>
      <c r="D154" s="671"/>
      <c r="E154" s="671"/>
      <c r="F154" s="671"/>
      <c r="G154" s="671"/>
      <c r="H154" s="671"/>
      <c r="I154" s="671"/>
      <c r="J154" s="671"/>
      <c r="K154" s="671"/>
      <c r="L154" s="671"/>
      <c r="M154" s="671"/>
      <c r="N154" s="671"/>
      <c r="O154" s="671"/>
      <c r="P154" s="671"/>
      <c r="Q154" s="671"/>
      <c r="R154" s="671"/>
      <c r="S154" s="671"/>
      <c r="T154" s="671"/>
      <c r="U154" s="671"/>
      <c r="V154" s="671"/>
      <c r="W154" s="671"/>
      <c r="X154" s="671"/>
      <c r="Y154" s="671"/>
      <c r="Z154" s="105"/>
    </row>
    <row r="155" spans="1:26" ht="14.25" customHeight="1">
      <c r="A155" s="671"/>
      <c r="B155" s="671"/>
      <c r="C155" s="671"/>
      <c r="D155" s="671"/>
      <c r="E155" s="671"/>
      <c r="F155" s="671"/>
      <c r="G155" s="671"/>
      <c r="H155" s="671"/>
      <c r="I155" s="671"/>
      <c r="J155" s="671"/>
      <c r="K155" s="671"/>
      <c r="L155" s="671"/>
      <c r="M155" s="671"/>
      <c r="N155" s="671"/>
      <c r="O155" s="671"/>
      <c r="P155" s="671"/>
      <c r="Q155" s="671"/>
      <c r="R155" s="671"/>
      <c r="S155" s="671"/>
      <c r="T155" s="671"/>
      <c r="U155" s="671"/>
      <c r="V155" s="671"/>
      <c r="W155" s="671"/>
      <c r="X155" s="671"/>
      <c r="Y155" s="671"/>
      <c r="Z155" s="105"/>
    </row>
    <row r="156" spans="1:26" ht="14.25" customHeight="1">
      <c r="A156" s="671"/>
      <c r="B156" s="671"/>
      <c r="C156" s="671"/>
      <c r="D156" s="671"/>
      <c r="E156" s="671"/>
      <c r="F156" s="671"/>
      <c r="G156" s="671"/>
      <c r="H156" s="671"/>
      <c r="I156" s="671"/>
      <c r="J156" s="671"/>
      <c r="K156" s="671"/>
      <c r="L156" s="671"/>
      <c r="M156" s="671"/>
      <c r="N156" s="671"/>
      <c r="O156" s="671"/>
      <c r="P156" s="671"/>
      <c r="Q156" s="671"/>
      <c r="R156" s="671"/>
      <c r="S156" s="671"/>
      <c r="T156" s="671"/>
      <c r="U156" s="671"/>
      <c r="V156" s="671"/>
      <c r="W156" s="671"/>
      <c r="X156" s="671"/>
      <c r="Y156" s="671"/>
      <c r="Z156" s="105"/>
    </row>
    <row r="157" spans="1:26" ht="14.25" customHeight="1">
      <c r="A157" s="671"/>
      <c r="B157" s="671"/>
      <c r="C157" s="671"/>
      <c r="D157" s="671"/>
      <c r="E157" s="671"/>
      <c r="F157" s="671"/>
      <c r="G157" s="671"/>
      <c r="H157" s="671"/>
      <c r="I157" s="671"/>
      <c r="J157" s="671"/>
      <c r="K157" s="671"/>
      <c r="L157" s="671"/>
      <c r="M157" s="671"/>
      <c r="N157" s="671"/>
      <c r="O157" s="671"/>
      <c r="P157" s="671"/>
      <c r="Q157" s="671"/>
      <c r="R157" s="671"/>
      <c r="S157" s="671"/>
      <c r="T157" s="671"/>
      <c r="U157" s="671"/>
      <c r="V157" s="671"/>
      <c r="W157" s="671"/>
      <c r="X157" s="671"/>
      <c r="Y157" s="671"/>
      <c r="Z157" s="105"/>
    </row>
    <row r="158" spans="1:26" ht="14.25" customHeight="1">
      <c r="A158" s="671"/>
      <c r="B158" s="671"/>
      <c r="C158" s="671"/>
      <c r="D158" s="671"/>
      <c r="E158" s="671"/>
      <c r="F158" s="671"/>
      <c r="G158" s="671"/>
      <c r="H158" s="671"/>
      <c r="I158" s="671"/>
      <c r="J158" s="671"/>
      <c r="K158" s="671"/>
      <c r="L158" s="671"/>
      <c r="M158" s="671"/>
      <c r="N158" s="671"/>
      <c r="O158" s="671"/>
      <c r="P158" s="671"/>
      <c r="Q158" s="671"/>
      <c r="R158" s="671"/>
      <c r="S158" s="671"/>
      <c r="T158" s="671"/>
      <c r="U158" s="671"/>
      <c r="V158" s="671"/>
      <c r="W158" s="671"/>
      <c r="X158" s="671"/>
      <c r="Y158" s="671"/>
      <c r="Z158" s="105"/>
    </row>
    <row r="159" spans="1:26" ht="14.25" customHeight="1">
      <c r="A159" s="671"/>
      <c r="B159" s="671"/>
      <c r="C159" s="671"/>
      <c r="D159" s="671"/>
      <c r="E159" s="671"/>
      <c r="F159" s="671"/>
      <c r="G159" s="671"/>
      <c r="H159" s="671"/>
      <c r="I159" s="671"/>
      <c r="J159" s="671"/>
      <c r="K159" s="671"/>
      <c r="L159" s="671"/>
      <c r="M159" s="671"/>
      <c r="N159" s="671"/>
      <c r="O159" s="671"/>
      <c r="P159" s="671"/>
      <c r="Q159" s="671"/>
      <c r="R159" s="671"/>
      <c r="S159" s="671"/>
      <c r="T159" s="671"/>
      <c r="U159" s="671"/>
      <c r="V159" s="671"/>
      <c r="W159" s="671"/>
      <c r="X159" s="671"/>
      <c r="Y159" s="671"/>
      <c r="Z159" s="105"/>
    </row>
    <row r="160" spans="1:26" ht="14.25" customHeight="1">
      <c r="A160" s="671"/>
      <c r="B160" s="671"/>
      <c r="C160" s="671"/>
      <c r="D160" s="671"/>
      <c r="E160" s="671"/>
      <c r="F160" s="671"/>
      <c r="G160" s="671"/>
      <c r="H160" s="671"/>
      <c r="I160" s="671"/>
      <c r="J160" s="671"/>
      <c r="K160" s="671"/>
      <c r="L160" s="671"/>
      <c r="M160" s="671"/>
      <c r="N160" s="671"/>
      <c r="O160" s="671"/>
      <c r="P160" s="671"/>
      <c r="Q160" s="671"/>
      <c r="R160" s="671"/>
      <c r="S160" s="671"/>
      <c r="T160" s="671"/>
      <c r="U160" s="671"/>
      <c r="V160" s="671"/>
      <c r="W160" s="671"/>
      <c r="X160" s="671"/>
      <c r="Y160" s="671"/>
      <c r="Z160" s="105"/>
    </row>
    <row r="161" spans="1:26" ht="14.25" customHeight="1">
      <c r="A161" s="671"/>
      <c r="B161" s="671"/>
      <c r="C161" s="671"/>
      <c r="D161" s="671"/>
      <c r="E161" s="671"/>
      <c r="F161" s="671"/>
      <c r="G161" s="671"/>
      <c r="H161" s="671"/>
      <c r="I161" s="671"/>
      <c r="J161" s="671"/>
      <c r="K161" s="671"/>
      <c r="L161" s="671"/>
      <c r="M161" s="671"/>
      <c r="N161" s="671"/>
      <c r="O161" s="671"/>
      <c r="P161" s="671"/>
      <c r="Q161" s="671"/>
      <c r="R161" s="671"/>
      <c r="S161" s="671"/>
      <c r="T161" s="671"/>
      <c r="U161" s="671"/>
      <c r="V161" s="671"/>
      <c r="W161" s="671"/>
      <c r="X161" s="671"/>
      <c r="Y161" s="671"/>
      <c r="Z161" s="105"/>
    </row>
    <row r="162" spans="1:26" ht="14.25" customHeight="1">
      <c r="A162" s="671"/>
      <c r="B162" s="671"/>
      <c r="C162" s="671"/>
      <c r="D162" s="671"/>
      <c r="E162" s="671"/>
      <c r="F162" s="671"/>
      <c r="G162" s="671"/>
      <c r="H162" s="671"/>
      <c r="I162" s="671"/>
      <c r="J162" s="671"/>
      <c r="K162" s="671"/>
      <c r="L162" s="671"/>
      <c r="M162" s="671"/>
      <c r="N162" s="671"/>
      <c r="O162" s="671"/>
      <c r="P162" s="671"/>
      <c r="Q162" s="671"/>
      <c r="R162" s="671"/>
      <c r="S162" s="671"/>
      <c r="T162" s="671"/>
      <c r="U162" s="671"/>
      <c r="V162" s="671"/>
      <c r="W162" s="671"/>
      <c r="X162" s="671"/>
      <c r="Y162" s="671"/>
      <c r="Z162" s="105"/>
    </row>
    <row r="163" spans="1:26" ht="14.25" customHeight="1">
      <c r="A163" s="671"/>
      <c r="B163" s="671"/>
      <c r="C163" s="671"/>
      <c r="D163" s="671"/>
      <c r="E163" s="671"/>
      <c r="F163" s="671"/>
      <c r="G163" s="671"/>
      <c r="H163" s="671"/>
      <c r="I163" s="671"/>
      <c r="J163" s="671"/>
      <c r="K163" s="671"/>
      <c r="L163" s="671"/>
      <c r="M163" s="671"/>
      <c r="N163" s="671"/>
      <c r="O163" s="671"/>
      <c r="P163" s="671"/>
      <c r="Q163" s="671"/>
      <c r="R163" s="671"/>
      <c r="S163" s="671"/>
      <c r="T163" s="671"/>
      <c r="U163" s="671"/>
      <c r="V163" s="671"/>
      <c r="W163" s="671"/>
      <c r="X163" s="671"/>
      <c r="Y163" s="671"/>
      <c r="Z163" s="105"/>
    </row>
    <row r="164" spans="1:26" ht="14.25" customHeight="1">
      <c r="A164" s="671"/>
      <c r="B164" s="671"/>
      <c r="C164" s="671"/>
      <c r="D164" s="671"/>
      <c r="E164" s="671"/>
      <c r="F164" s="671"/>
      <c r="G164" s="671"/>
      <c r="H164" s="671"/>
      <c r="I164" s="671"/>
      <c r="J164" s="671"/>
      <c r="K164" s="671"/>
      <c r="L164" s="671"/>
      <c r="M164" s="671"/>
      <c r="N164" s="671"/>
      <c r="O164" s="671"/>
      <c r="P164" s="671"/>
      <c r="Q164" s="671"/>
      <c r="R164" s="671"/>
      <c r="S164" s="671"/>
      <c r="T164" s="671"/>
      <c r="U164" s="671"/>
      <c r="V164" s="671"/>
      <c r="W164" s="671"/>
      <c r="X164" s="671"/>
      <c r="Y164" s="671"/>
      <c r="Z164" s="105"/>
    </row>
    <row r="165" spans="1:26" ht="14.25" customHeight="1">
      <c r="A165" s="671"/>
      <c r="B165" s="671"/>
      <c r="C165" s="671"/>
      <c r="D165" s="671"/>
      <c r="E165" s="671"/>
      <c r="F165" s="671"/>
      <c r="G165" s="671"/>
      <c r="H165" s="671"/>
      <c r="I165" s="671"/>
      <c r="J165" s="671"/>
      <c r="K165" s="671"/>
      <c r="L165" s="671"/>
      <c r="M165" s="671"/>
      <c r="N165" s="671"/>
      <c r="O165" s="671"/>
      <c r="P165" s="671"/>
      <c r="Q165" s="671"/>
      <c r="R165" s="671"/>
      <c r="S165" s="671"/>
      <c r="T165" s="671"/>
      <c r="U165" s="671"/>
      <c r="V165" s="671"/>
      <c r="W165" s="671"/>
      <c r="X165" s="671"/>
      <c r="Y165" s="671"/>
      <c r="Z165" s="105"/>
    </row>
    <row r="166" spans="1:26" ht="14.25" customHeight="1">
      <c r="A166" s="671"/>
      <c r="B166" s="671"/>
      <c r="C166" s="671"/>
      <c r="D166" s="671"/>
      <c r="E166" s="671"/>
      <c r="F166" s="671"/>
      <c r="G166" s="671"/>
      <c r="H166" s="671"/>
      <c r="I166" s="671"/>
      <c r="J166" s="671"/>
      <c r="K166" s="671"/>
      <c r="L166" s="671"/>
      <c r="M166" s="671"/>
      <c r="N166" s="671"/>
      <c r="O166" s="671"/>
      <c r="P166" s="671"/>
      <c r="Q166" s="671"/>
      <c r="R166" s="671"/>
      <c r="S166" s="671"/>
      <c r="T166" s="671"/>
      <c r="U166" s="671"/>
      <c r="V166" s="671"/>
      <c r="W166" s="671"/>
      <c r="X166" s="671"/>
      <c r="Y166" s="671"/>
      <c r="Z166" s="105"/>
    </row>
    <row r="167" spans="1:26" ht="14.25" customHeight="1">
      <c r="A167" s="671"/>
      <c r="B167" s="671"/>
      <c r="C167" s="671"/>
      <c r="D167" s="671"/>
      <c r="E167" s="671"/>
      <c r="F167" s="671"/>
      <c r="G167" s="671"/>
      <c r="H167" s="671"/>
      <c r="I167" s="671"/>
      <c r="J167" s="671"/>
      <c r="K167" s="671"/>
      <c r="L167" s="671"/>
      <c r="M167" s="671"/>
      <c r="N167" s="671"/>
      <c r="O167" s="671"/>
      <c r="P167" s="671"/>
      <c r="Q167" s="671"/>
      <c r="R167" s="671"/>
      <c r="S167" s="671"/>
      <c r="T167" s="671"/>
      <c r="U167" s="671"/>
      <c r="V167" s="671"/>
      <c r="W167" s="671"/>
      <c r="X167" s="671"/>
      <c r="Y167" s="671"/>
      <c r="Z167" s="105"/>
    </row>
    <row r="168" spans="1:26" ht="14.25" customHeight="1">
      <c r="A168" s="671"/>
      <c r="B168" s="671"/>
      <c r="C168" s="671"/>
      <c r="D168" s="671"/>
      <c r="E168" s="671"/>
      <c r="F168" s="671"/>
      <c r="G168" s="671"/>
      <c r="H168" s="671"/>
      <c r="I168" s="671"/>
      <c r="J168" s="671"/>
      <c r="K168" s="671"/>
      <c r="L168" s="671"/>
      <c r="M168" s="671"/>
      <c r="N168" s="671"/>
      <c r="O168" s="671"/>
      <c r="P168" s="671"/>
      <c r="Q168" s="671"/>
      <c r="R168" s="671"/>
      <c r="S168" s="671"/>
      <c r="T168" s="671"/>
      <c r="U168" s="671"/>
      <c r="V168" s="671"/>
      <c r="W168" s="671"/>
      <c r="X168" s="671"/>
      <c r="Y168" s="671"/>
      <c r="Z168" s="105"/>
    </row>
    <row r="169" spans="1:26" ht="14.25" customHeight="1">
      <c r="A169" s="671"/>
      <c r="B169" s="671"/>
      <c r="C169" s="671"/>
      <c r="D169" s="671"/>
      <c r="E169" s="671"/>
      <c r="F169" s="671"/>
      <c r="G169" s="671"/>
      <c r="H169" s="671"/>
      <c r="I169" s="671"/>
      <c r="J169" s="671"/>
      <c r="K169" s="671"/>
      <c r="L169" s="671"/>
      <c r="M169" s="671"/>
      <c r="N169" s="671"/>
      <c r="O169" s="671"/>
      <c r="P169" s="671"/>
      <c r="Q169" s="671"/>
      <c r="R169" s="671"/>
      <c r="S169" s="671"/>
      <c r="T169" s="671"/>
      <c r="U169" s="671"/>
      <c r="V169" s="671"/>
      <c r="W169" s="671"/>
      <c r="X169" s="671"/>
      <c r="Y169" s="671"/>
      <c r="Z169" s="105"/>
    </row>
    <row r="170" spans="1:26" ht="14.25" customHeight="1">
      <c r="A170" s="671"/>
      <c r="B170" s="671"/>
      <c r="C170" s="671"/>
      <c r="D170" s="671"/>
      <c r="E170" s="671"/>
      <c r="F170" s="671"/>
      <c r="G170" s="671"/>
      <c r="H170" s="671"/>
      <c r="I170" s="671"/>
      <c r="J170" s="671"/>
      <c r="K170" s="671"/>
      <c r="L170" s="671"/>
      <c r="M170" s="671"/>
      <c r="N170" s="671"/>
      <c r="O170" s="671"/>
      <c r="P170" s="671"/>
      <c r="Q170" s="671"/>
      <c r="R170" s="671"/>
      <c r="S170" s="671"/>
      <c r="T170" s="671"/>
      <c r="U170" s="671"/>
      <c r="V170" s="671"/>
      <c r="W170" s="671"/>
      <c r="X170" s="671"/>
      <c r="Y170" s="671"/>
      <c r="Z170" s="105"/>
    </row>
    <row r="171" spans="1:26" ht="14.25" customHeight="1">
      <c r="A171" s="671"/>
      <c r="B171" s="671"/>
      <c r="C171" s="671"/>
      <c r="D171" s="671"/>
      <c r="E171" s="671"/>
      <c r="F171" s="671"/>
      <c r="G171" s="671"/>
      <c r="H171" s="671"/>
      <c r="I171" s="671"/>
      <c r="J171" s="671"/>
      <c r="K171" s="671"/>
      <c r="L171" s="671"/>
      <c r="M171" s="671"/>
      <c r="N171" s="671"/>
      <c r="O171" s="671"/>
      <c r="P171" s="671"/>
      <c r="Q171" s="671"/>
      <c r="R171" s="671"/>
      <c r="S171" s="671"/>
      <c r="T171" s="671"/>
      <c r="U171" s="671"/>
      <c r="V171" s="671"/>
      <c r="W171" s="671"/>
      <c r="X171" s="671"/>
      <c r="Y171" s="671"/>
      <c r="Z171" s="105"/>
    </row>
    <row r="172" spans="1:26" ht="14.25" customHeight="1">
      <c r="A172" s="671"/>
      <c r="B172" s="671"/>
      <c r="C172" s="671"/>
      <c r="D172" s="671"/>
      <c r="E172" s="671"/>
      <c r="F172" s="671"/>
      <c r="G172" s="671"/>
      <c r="H172" s="671"/>
      <c r="I172" s="671"/>
      <c r="J172" s="671"/>
      <c r="K172" s="671"/>
      <c r="L172" s="671"/>
      <c r="M172" s="671"/>
      <c r="N172" s="671"/>
      <c r="O172" s="671"/>
      <c r="P172" s="671"/>
      <c r="Q172" s="671"/>
      <c r="R172" s="671"/>
      <c r="S172" s="671"/>
      <c r="T172" s="671"/>
      <c r="U172" s="671"/>
      <c r="V172" s="671"/>
      <c r="W172" s="671"/>
      <c r="X172" s="671"/>
      <c r="Y172" s="671"/>
      <c r="Z172" s="105"/>
    </row>
    <row r="173" spans="1:26" ht="14.25" customHeight="1">
      <c r="A173" s="671"/>
      <c r="B173" s="671"/>
      <c r="C173" s="671"/>
      <c r="D173" s="671"/>
      <c r="E173" s="671"/>
      <c r="F173" s="671"/>
      <c r="G173" s="671"/>
      <c r="H173" s="671"/>
      <c r="I173" s="671"/>
      <c r="J173" s="671"/>
      <c r="K173" s="671"/>
      <c r="L173" s="671"/>
      <c r="M173" s="671"/>
      <c r="N173" s="671"/>
      <c r="O173" s="671"/>
      <c r="P173" s="671"/>
      <c r="Q173" s="671"/>
      <c r="R173" s="671"/>
      <c r="S173" s="671"/>
      <c r="T173" s="671"/>
      <c r="U173" s="671"/>
      <c r="V173" s="671"/>
      <c r="W173" s="671"/>
      <c r="X173" s="671"/>
      <c r="Y173" s="671"/>
      <c r="Z173" s="105"/>
    </row>
    <row r="174" spans="1:26" ht="14.25" customHeight="1">
      <c r="A174" s="671"/>
      <c r="B174" s="671"/>
      <c r="C174" s="671"/>
      <c r="D174" s="671"/>
      <c r="E174" s="671"/>
      <c r="F174" s="671"/>
      <c r="G174" s="671"/>
      <c r="H174" s="671"/>
      <c r="I174" s="671"/>
      <c r="J174" s="671"/>
      <c r="K174" s="671"/>
      <c r="L174" s="671"/>
      <c r="M174" s="671"/>
      <c r="N174" s="671"/>
      <c r="O174" s="671"/>
      <c r="P174" s="671"/>
      <c r="Q174" s="671"/>
      <c r="R174" s="671"/>
      <c r="S174" s="671"/>
      <c r="T174" s="671"/>
      <c r="U174" s="671"/>
      <c r="V174" s="671"/>
      <c r="W174" s="671"/>
      <c r="X174" s="671"/>
      <c r="Y174" s="671"/>
      <c r="Z174" s="105"/>
    </row>
    <row r="175" spans="1:26" ht="14.25" customHeight="1">
      <c r="A175" s="671"/>
      <c r="B175" s="671"/>
      <c r="C175" s="671"/>
      <c r="D175" s="671"/>
      <c r="E175" s="671"/>
      <c r="F175" s="671"/>
      <c r="G175" s="671"/>
      <c r="H175" s="671"/>
      <c r="I175" s="671"/>
      <c r="J175" s="671"/>
      <c r="K175" s="671"/>
      <c r="L175" s="671"/>
      <c r="M175" s="671"/>
      <c r="N175" s="671"/>
      <c r="O175" s="671"/>
      <c r="P175" s="671"/>
      <c r="Q175" s="671"/>
      <c r="R175" s="671"/>
      <c r="S175" s="671"/>
      <c r="T175" s="671"/>
      <c r="U175" s="671"/>
      <c r="V175" s="671"/>
      <c r="W175" s="671"/>
      <c r="X175" s="671"/>
      <c r="Y175" s="671"/>
      <c r="Z175" s="105"/>
    </row>
    <row r="176" spans="1:26" ht="14.25" customHeight="1">
      <c r="A176" s="671"/>
      <c r="B176" s="671"/>
      <c r="C176" s="671"/>
      <c r="D176" s="671"/>
      <c r="E176" s="671"/>
      <c r="F176" s="671"/>
      <c r="G176" s="671"/>
      <c r="H176" s="671"/>
      <c r="I176" s="671"/>
      <c r="J176" s="671"/>
      <c r="K176" s="671"/>
      <c r="L176" s="671"/>
      <c r="M176" s="671"/>
      <c r="N176" s="671"/>
      <c r="O176" s="671"/>
      <c r="P176" s="671"/>
      <c r="Q176" s="671"/>
      <c r="R176" s="671"/>
      <c r="S176" s="671"/>
      <c r="T176" s="671"/>
      <c r="U176" s="671"/>
      <c r="V176" s="671"/>
      <c r="W176" s="671"/>
      <c r="X176" s="671"/>
      <c r="Y176" s="671"/>
      <c r="Z176" s="105"/>
    </row>
    <row r="177" spans="1:26" ht="14.25" customHeight="1">
      <c r="A177" s="671"/>
      <c r="B177" s="671"/>
      <c r="C177" s="671"/>
      <c r="D177" s="671"/>
      <c r="E177" s="671"/>
      <c r="F177" s="671"/>
      <c r="G177" s="671"/>
      <c r="H177" s="671"/>
      <c r="I177" s="671"/>
      <c r="J177" s="671"/>
      <c r="K177" s="671"/>
      <c r="L177" s="671"/>
      <c r="M177" s="671"/>
      <c r="N177" s="671"/>
      <c r="O177" s="671"/>
      <c r="P177" s="671"/>
      <c r="Q177" s="671"/>
      <c r="R177" s="671"/>
      <c r="S177" s="671"/>
      <c r="T177" s="671"/>
      <c r="U177" s="671"/>
      <c r="V177" s="671"/>
      <c r="W177" s="671"/>
      <c r="X177" s="671"/>
      <c r="Y177" s="671"/>
      <c r="Z177" s="105"/>
    </row>
    <row r="178" spans="1:26" ht="14.25" customHeight="1">
      <c r="A178" s="671"/>
      <c r="B178" s="671"/>
      <c r="C178" s="671"/>
      <c r="D178" s="671"/>
      <c r="E178" s="671"/>
      <c r="F178" s="671"/>
      <c r="G178" s="671"/>
      <c r="H178" s="671"/>
      <c r="I178" s="671"/>
      <c r="J178" s="671"/>
      <c r="K178" s="671"/>
      <c r="L178" s="671"/>
      <c r="M178" s="671"/>
      <c r="N178" s="671"/>
      <c r="O178" s="671"/>
      <c r="P178" s="671"/>
      <c r="Q178" s="671"/>
      <c r="R178" s="671"/>
      <c r="S178" s="671"/>
      <c r="T178" s="671"/>
      <c r="U178" s="671"/>
      <c r="V178" s="671"/>
      <c r="W178" s="671"/>
      <c r="X178" s="671"/>
      <c r="Y178" s="671"/>
      <c r="Z178" s="105"/>
    </row>
    <row r="179" spans="1:26" ht="14.25" customHeight="1">
      <c r="A179" s="671"/>
      <c r="B179" s="671"/>
      <c r="C179" s="671"/>
      <c r="D179" s="671"/>
      <c r="E179" s="671"/>
      <c r="F179" s="671"/>
      <c r="G179" s="671"/>
      <c r="H179" s="671"/>
      <c r="I179" s="671"/>
      <c r="J179" s="671"/>
      <c r="K179" s="671"/>
      <c r="L179" s="671"/>
      <c r="M179" s="671"/>
      <c r="N179" s="671"/>
      <c r="O179" s="671"/>
      <c r="P179" s="671"/>
      <c r="Q179" s="671"/>
      <c r="R179" s="671"/>
      <c r="S179" s="671"/>
      <c r="T179" s="671"/>
      <c r="U179" s="671"/>
      <c r="V179" s="671"/>
      <c r="W179" s="671"/>
      <c r="X179" s="671"/>
      <c r="Y179" s="671"/>
      <c r="Z179" s="105"/>
    </row>
    <row r="180" spans="1:26" ht="14.25" customHeight="1">
      <c r="A180" s="671"/>
      <c r="B180" s="671"/>
      <c r="C180" s="671"/>
      <c r="D180" s="671"/>
      <c r="E180" s="671"/>
      <c r="F180" s="671"/>
      <c r="G180" s="671"/>
      <c r="H180" s="671"/>
      <c r="I180" s="671"/>
      <c r="J180" s="671"/>
      <c r="K180" s="671"/>
      <c r="L180" s="671"/>
      <c r="M180" s="671"/>
      <c r="N180" s="671"/>
      <c r="O180" s="671"/>
      <c r="P180" s="671"/>
      <c r="Q180" s="671"/>
      <c r="R180" s="671"/>
      <c r="S180" s="671"/>
      <c r="T180" s="671"/>
      <c r="U180" s="671"/>
      <c r="V180" s="671"/>
      <c r="W180" s="671"/>
      <c r="X180" s="671"/>
      <c r="Y180" s="671"/>
      <c r="Z180" s="105"/>
    </row>
    <row r="181" spans="1:26" ht="14.25" customHeight="1">
      <c r="A181" s="671"/>
      <c r="B181" s="671"/>
      <c r="C181" s="671"/>
      <c r="D181" s="671"/>
      <c r="E181" s="671"/>
      <c r="F181" s="671"/>
      <c r="G181" s="671"/>
      <c r="H181" s="671"/>
      <c r="I181" s="671"/>
      <c r="J181" s="671"/>
      <c r="K181" s="671"/>
      <c r="L181" s="671"/>
      <c r="M181" s="671"/>
      <c r="N181" s="671"/>
      <c r="O181" s="671"/>
      <c r="P181" s="671"/>
      <c r="Q181" s="671"/>
      <c r="R181" s="671"/>
      <c r="S181" s="671"/>
      <c r="T181" s="671"/>
      <c r="U181" s="671"/>
      <c r="V181" s="671"/>
      <c r="W181" s="671"/>
      <c r="X181" s="671"/>
      <c r="Y181" s="671"/>
      <c r="Z181" s="105"/>
    </row>
    <row r="182" spans="1:26" ht="14.25" customHeight="1">
      <c r="A182" s="671"/>
      <c r="B182" s="671"/>
      <c r="C182" s="671"/>
      <c r="D182" s="671"/>
      <c r="E182" s="671"/>
      <c r="F182" s="671"/>
      <c r="G182" s="671"/>
      <c r="H182" s="671"/>
      <c r="I182" s="671"/>
      <c r="J182" s="671"/>
      <c r="K182" s="671"/>
      <c r="L182" s="671"/>
      <c r="M182" s="671"/>
      <c r="N182" s="671"/>
      <c r="O182" s="671"/>
      <c r="P182" s="671"/>
      <c r="Q182" s="671"/>
      <c r="R182" s="671"/>
      <c r="S182" s="671"/>
      <c r="T182" s="671"/>
      <c r="U182" s="671"/>
      <c r="V182" s="671"/>
      <c r="W182" s="671"/>
      <c r="X182" s="671"/>
      <c r="Y182" s="671"/>
      <c r="Z182" s="105"/>
    </row>
    <row r="183" spans="1:26" ht="14.25" customHeight="1">
      <c r="A183" s="671"/>
      <c r="B183" s="671"/>
      <c r="C183" s="671"/>
      <c r="D183" s="671"/>
      <c r="E183" s="671"/>
      <c r="F183" s="671"/>
      <c r="G183" s="671"/>
      <c r="H183" s="671"/>
      <c r="I183" s="671"/>
      <c r="J183" s="671"/>
      <c r="K183" s="671"/>
      <c r="L183" s="671"/>
      <c r="M183" s="671"/>
      <c r="N183" s="671"/>
      <c r="O183" s="671"/>
      <c r="P183" s="671"/>
      <c r="Q183" s="671"/>
      <c r="R183" s="671"/>
      <c r="S183" s="671"/>
      <c r="T183" s="671"/>
      <c r="U183" s="671"/>
      <c r="V183" s="671"/>
      <c r="W183" s="671"/>
      <c r="X183" s="671"/>
      <c r="Y183" s="671"/>
      <c r="Z183" s="105"/>
    </row>
    <row r="184" spans="1:26" ht="14.25" customHeight="1">
      <c r="A184" s="671"/>
      <c r="B184" s="671"/>
      <c r="C184" s="671"/>
      <c r="D184" s="671"/>
      <c r="E184" s="671"/>
      <c r="F184" s="671"/>
      <c r="G184" s="671"/>
      <c r="H184" s="671"/>
      <c r="I184" s="671"/>
      <c r="J184" s="671"/>
      <c r="K184" s="671"/>
      <c r="L184" s="671"/>
      <c r="M184" s="671"/>
      <c r="N184" s="671"/>
      <c r="O184" s="671"/>
      <c r="P184" s="671"/>
      <c r="Q184" s="671"/>
      <c r="R184" s="671"/>
      <c r="S184" s="671"/>
      <c r="T184" s="671"/>
      <c r="U184" s="671"/>
      <c r="V184" s="671"/>
      <c r="W184" s="671"/>
      <c r="X184" s="671"/>
      <c r="Y184" s="671"/>
      <c r="Z184" s="105"/>
    </row>
    <row r="185" spans="1:26" ht="14.25" customHeight="1">
      <c r="A185" s="671"/>
      <c r="B185" s="671"/>
      <c r="C185" s="671"/>
      <c r="D185" s="671"/>
      <c r="E185" s="671"/>
      <c r="F185" s="671"/>
      <c r="G185" s="671"/>
      <c r="H185" s="671"/>
      <c r="I185" s="671"/>
      <c r="J185" s="671"/>
      <c r="K185" s="671"/>
      <c r="L185" s="671"/>
      <c r="M185" s="671"/>
      <c r="N185" s="671"/>
      <c r="O185" s="671"/>
      <c r="P185" s="671"/>
      <c r="Q185" s="671"/>
      <c r="R185" s="671"/>
      <c r="S185" s="671"/>
      <c r="T185" s="671"/>
      <c r="U185" s="671"/>
      <c r="V185" s="671"/>
      <c r="W185" s="671"/>
      <c r="X185" s="671"/>
      <c r="Y185" s="671"/>
      <c r="Z185" s="105"/>
    </row>
    <row r="186" spans="1:26" ht="14.25" customHeight="1">
      <c r="A186" s="671"/>
      <c r="B186" s="671"/>
      <c r="C186" s="671"/>
      <c r="D186" s="671"/>
      <c r="E186" s="671"/>
      <c r="F186" s="671"/>
      <c r="G186" s="671"/>
      <c r="H186" s="671"/>
      <c r="I186" s="671"/>
      <c r="J186" s="671"/>
      <c r="K186" s="671"/>
      <c r="L186" s="671"/>
      <c r="M186" s="671"/>
      <c r="N186" s="671"/>
      <c r="O186" s="671"/>
      <c r="P186" s="671"/>
      <c r="Q186" s="671"/>
      <c r="R186" s="671"/>
      <c r="S186" s="671"/>
      <c r="T186" s="671"/>
      <c r="U186" s="671"/>
      <c r="V186" s="671"/>
      <c r="W186" s="671"/>
      <c r="X186" s="671"/>
      <c r="Y186" s="671"/>
      <c r="Z186" s="105"/>
    </row>
    <row r="187" spans="1:26" ht="14.25" customHeight="1">
      <c r="A187" s="671"/>
      <c r="B187" s="671"/>
      <c r="C187" s="671"/>
      <c r="D187" s="671"/>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105"/>
    </row>
    <row r="188" spans="1:26" ht="14.25" customHeight="1">
      <c r="A188" s="671"/>
      <c r="B188" s="671"/>
      <c r="C188" s="671"/>
      <c r="D188" s="671"/>
      <c r="E188" s="671"/>
      <c r="F188" s="671"/>
      <c r="G188" s="671"/>
      <c r="H188" s="671"/>
      <c r="I188" s="671"/>
      <c r="J188" s="671"/>
      <c r="K188" s="671"/>
      <c r="L188" s="671"/>
      <c r="M188" s="671"/>
      <c r="N188" s="671"/>
      <c r="O188" s="671"/>
      <c r="P188" s="671"/>
      <c r="Q188" s="671"/>
      <c r="R188" s="671"/>
      <c r="S188" s="671"/>
      <c r="T188" s="671"/>
      <c r="U188" s="671"/>
      <c r="V188" s="671"/>
      <c r="W188" s="671"/>
      <c r="X188" s="671"/>
      <c r="Y188" s="671"/>
      <c r="Z188" s="105"/>
    </row>
    <row r="189" spans="1:26" ht="14.25" customHeight="1">
      <c r="A189" s="671"/>
      <c r="B189" s="671"/>
      <c r="C189" s="671"/>
      <c r="D189" s="671"/>
      <c r="E189" s="671"/>
      <c r="F189" s="671"/>
      <c r="G189" s="671"/>
      <c r="H189" s="671"/>
      <c r="I189" s="671"/>
      <c r="J189" s="671"/>
      <c r="K189" s="671"/>
      <c r="L189" s="671"/>
      <c r="M189" s="671"/>
      <c r="N189" s="671"/>
      <c r="O189" s="671"/>
      <c r="P189" s="671"/>
      <c r="Q189" s="671"/>
      <c r="R189" s="671"/>
      <c r="S189" s="671"/>
      <c r="T189" s="671"/>
      <c r="U189" s="671"/>
      <c r="V189" s="671"/>
      <c r="W189" s="671"/>
      <c r="X189" s="671"/>
      <c r="Y189" s="671"/>
      <c r="Z189" s="105"/>
    </row>
    <row r="190" spans="1:26" ht="14.25" customHeight="1">
      <c r="A190" s="671"/>
      <c r="B190" s="671"/>
      <c r="C190" s="671"/>
      <c r="D190" s="671"/>
      <c r="E190" s="671"/>
      <c r="F190" s="671"/>
      <c r="G190" s="671"/>
      <c r="H190" s="671"/>
      <c r="I190" s="671"/>
      <c r="J190" s="671"/>
      <c r="K190" s="671"/>
      <c r="L190" s="671"/>
      <c r="M190" s="671"/>
      <c r="N190" s="671"/>
      <c r="O190" s="671"/>
      <c r="P190" s="671"/>
      <c r="Q190" s="671"/>
      <c r="R190" s="671"/>
      <c r="S190" s="671"/>
      <c r="T190" s="671"/>
      <c r="U190" s="671"/>
      <c r="V190" s="671"/>
      <c r="W190" s="671"/>
      <c r="X190" s="671"/>
      <c r="Y190" s="671"/>
      <c r="Z190" s="105"/>
    </row>
    <row r="191" spans="1:26" ht="14.25" customHeight="1">
      <c r="A191" s="671"/>
      <c r="B191" s="671"/>
      <c r="C191" s="671"/>
      <c r="D191" s="671"/>
      <c r="E191" s="671"/>
      <c r="F191" s="671"/>
      <c r="G191" s="671"/>
      <c r="H191" s="671"/>
      <c r="I191" s="671"/>
      <c r="J191" s="671"/>
      <c r="K191" s="671"/>
      <c r="L191" s="671"/>
      <c r="M191" s="671"/>
      <c r="N191" s="671"/>
      <c r="O191" s="671"/>
      <c r="P191" s="671"/>
      <c r="Q191" s="671"/>
      <c r="R191" s="671"/>
      <c r="S191" s="671"/>
      <c r="T191" s="671"/>
      <c r="U191" s="671"/>
      <c r="V191" s="671"/>
      <c r="W191" s="671"/>
      <c r="X191" s="671"/>
      <c r="Y191" s="671"/>
      <c r="Z191" s="105"/>
    </row>
    <row r="192" spans="1:26" ht="14.25" customHeight="1">
      <c r="A192" s="671"/>
      <c r="B192" s="671"/>
      <c r="C192" s="671"/>
      <c r="D192" s="671"/>
      <c r="E192" s="671"/>
      <c r="F192" s="671"/>
      <c r="G192" s="671"/>
      <c r="H192" s="671"/>
      <c r="I192" s="671"/>
      <c r="J192" s="671"/>
      <c r="K192" s="671"/>
      <c r="L192" s="671"/>
      <c r="M192" s="671"/>
      <c r="N192" s="671"/>
      <c r="O192" s="671"/>
      <c r="P192" s="671"/>
      <c r="Q192" s="671"/>
      <c r="R192" s="671"/>
      <c r="S192" s="671"/>
      <c r="T192" s="671"/>
      <c r="U192" s="671"/>
      <c r="V192" s="671"/>
      <c r="W192" s="671"/>
      <c r="X192" s="671"/>
      <c r="Y192" s="671"/>
      <c r="Z192" s="105"/>
    </row>
    <row r="193" spans="1:26" ht="14.25" customHeight="1">
      <c r="A193" s="671"/>
      <c r="B193" s="671"/>
      <c r="C193" s="671"/>
      <c r="D193" s="671"/>
      <c r="E193" s="671"/>
      <c r="F193" s="671"/>
      <c r="G193" s="671"/>
      <c r="H193" s="671"/>
      <c r="I193" s="671"/>
      <c r="J193" s="671"/>
      <c r="K193" s="671"/>
      <c r="L193" s="671"/>
      <c r="M193" s="671"/>
      <c r="N193" s="671"/>
      <c r="O193" s="671"/>
      <c r="P193" s="671"/>
      <c r="Q193" s="671"/>
      <c r="R193" s="671"/>
      <c r="S193" s="671"/>
      <c r="T193" s="671"/>
      <c r="U193" s="671"/>
      <c r="V193" s="671"/>
      <c r="W193" s="671"/>
      <c r="X193" s="671"/>
      <c r="Y193" s="671"/>
      <c r="Z193" s="105"/>
    </row>
    <row r="194" spans="1:26" ht="14.25" customHeight="1">
      <c r="A194" s="671"/>
      <c r="B194" s="671"/>
      <c r="C194" s="671"/>
      <c r="D194" s="671"/>
      <c r="E194" s="671"/>
      <c r="F194" s="671"/>
      <c r="G194" s="671"/>
      <c r="H194" s="671"/>
      <c r="I194" s="671"/>
      <c r="J194" s="671"/>
      <c r="K194" s="671"/>
      <c r="L194" s="671"/>
      <c r="M194" s="671"/>
      <c r="N194" s="671"/>
      <c r="O194" s="671"/>
      <c r="P194" s="671"/>
      <c r="Q194" s="671"/>
      <c r="R194" s="671"/>
      <c r="S194" s="671"/>
      <c r="T194" s="671"/>
      <c r="U194" s="671"/>
      <c r="V194" s="671"/>
      <c r="W194" s="671"/>
      <c r="X194" s="671"/>
      <c r="Y194" s="671"/>
      <c r="Z194" s="105"/>
    </row>
    <row r="195" spans="1:26" ht="14.25" customHeight="1">
      <c r="A195" s="671"/>
      <c r="B195" s="671"/>
      <c r="C195" s="671"/>
      <c r="D195" s="671"/>
      <c r="E195" s="671"/>
      <c r="F195" s="671"/>
      <c r="G195" s="671"/>
      <c r="H195" s="671"/>
      <c r="I195" s="671"/>
      <c r="J195" s="671"/>
      <c r="K195" s="671"/>
      <c r="L195" s="671"/>
      <c r="M195" s="671"/>
      <c r="N195" s="671"/>
      <c r="O195" s="671"/>
      <c r="P195" s="671"/>
      <c r="Q195" s="671"/>
      <c r="R195" s="671"/>
      <c r="S195" s="671"/>
      <c r="T195" s="671"/>
      <c r="U195" s="671"/>
      <c r="V195" s="671"/>
      <c r="W195" s="671"/>
      <c r="X195" s="671"/>
      <c r="Y195" s="671"/>
      <c r="Z195" s="105"/>
    </row>
    <row r="196" spans="1:26" ht="14.25" customHeight="1">
      <c r="A196" s="671"/>
      <c r="B196" s="671"/>
      <c r="C196" s="671"/>
      <c r="D196" s="671"/>
      <c r="E196" s="671"/>
      <c r="F196" s="671"/>
      <c r="G196" s="671"/>
      <c r="H196" s="671"/>
      <c r="I196" s="671"/>
      <c r="J196" s="671"/>
      <c r="K196" s="671"/>
      <c r="L196" s="671"/>
      <c r="M196" s="671"/>
      <c r="N196" s="671"/>
      <c r="O196" s="671"/>
      <c r="P196" s="671"/>
      <c r="Q196" s="671"/>
      <c r="R196" s="671"/>
      <c r="S196" s="671"/>
      <c r="T196" s="671"/>
      <c r="U196" s="671"/>
      <c r="V196" s="671"/>
      <c r="W196" s="671"/>
      <c r="X196" s="671"/>
      <c r="Y196" s="671"/>
      <c r="Z196" s="105"/>
    </row>
    <row r="197" spans="1:26" ht="14.25" customHeight="1">
      <c r="A197" s="671"/>
      <c r="B197" s="671"/>
      <c r="C197" s="671"/>
      <c r="D197" s="671"/>
      <c r="E197" s="671"/>
      <c r="F197" s="671"/>
      <c r="G197" s="671"/>
      <c r="H197" s="671"/>
      <c r="I197" s="671"/>
      <c r="J197" s="671"/>
      <c r="K197" s="671"/>
      <c r="L197" s="671"/>
      <c r="M197" s="671"/>
      <c r="N197" s="671"/>
      <c r="O197" s="671"/>
      <c r="P197" s="671"/>
      <c r="Q197" s="671"/>
      <c r="R197" s="671"/>
      <c r="S197" s="671"/>
      <c r="T197" s="671"/>
      <c r="U197" s="671"/>
      <c r="V197" s="671"/>
      <c r="W197" s="671"/>
      <c r="X197" s="671"/>
      <c r="Y197" s="671"/>
      <c r="Z197" s="105"/>
    </row>
    <row r="198" spans="1:26" ht="14.25" customHeight="1">
      <c r="A198" s="671"/>
      <c r="B198" s="671"/>
      <c r="C198" s="671"/>
      <c r="D198" s="671"/>
      <c r="E198" s="671"/>
      <c r="F198" s="671"/>
      <c r="G198" s="671"/>
      <c r="H198" s="671"/>
      <c r="I198" s="671"/>
      <c r="J198" s="671"/>
      <c r="K198" s="671"/>
      <c r="L198" s="671"/>
      <c r="M198" s="671"/>
      <c r="N198" s="671"/>
      <c r="O198" s="671"/>
      <c r="P198" s="671"/>
      <c r="Q198" s="671"/>
      <c r="R198" s="671"/>
      <c r="S198" s="671"/>
      <c r="T198" s="671"/>
      <c r="U198" s="671"/>
      <c r="V198" s="671"/>
      <c r="W198" s="671"/>
      <c r="X198" s="671"/>
      <c r="Y198" s="671"/>
      <c r="Z198" s="105"/>
    </row>
    <row r="199" spans="1:26" ht="14.25" customHeight="1">
      <c r="A199" s="671"/>
      <c r="B199" s="671"/>
      <c r="C199" s="671"/>
      <c r="D199" s="671"/>
      <c r="E199" s="671"/>
      <c r="F199" s="671"/>
      <c r="G199" s="671"/>
      <c r="H199" s="671"/>
      <c r="I199" s="671"/>
      <c r="J199" s="671"/>
      <c r="K199" s="671"/>
      <c r="L199" s="671"/>
      <c r="M199" s="671"/>
      <c r="N199" s="671"/>
      <c r="O199" s="671"/>
      <c r="P199" s="671"/>
      <c r="Q199" s="671"/>
      <c r="R199" s="671"/>
      <c r="S199" s="671"/>
      <c r="T199" s="671"/>
      <c r="U199" s="671"/>
      <c r="V199" s="671"/>
      <c r="W199" s="671"/>
      <c r="X199" s="671"/>
      <c r="Y199" s="671"/>
      <c r="Z199" s="105"/>
    </row>
    <row r="200" spans="1:26" ht="14.25" customHeight="1">
      <c r="A200" s="671"/>
      <c r="B200" s="671"/>
      <c r="C200" s="671"/>
      <c r="D200" s="671"/>
      <c r="E200" s="671"/>
      <c r="F200" s="671"/>
      <c r="G200" s="671"/>
      <c r="H200" s="671"/>
      <c r="I200" s="671"/>
      <c r="J200" s="671"/>
      <c r="K200" s="671"/>
      <c r="L200" s="671"/>
      <c r="M200" s="671"/>
      <c r="N200" s="671"/>
      <c r="O200" s="671"/>
      <c r="P200" s="671"/>
      <c r="Q200" s="671"/>
      <c r="R200" s="671"/>
      <c r="S200" s="671"/>
      <c r="T200" s="671"/>
      <c r="U200" s="671"/>
      <c r="V200" s="671"/>
      <c r="W200" s="671"/>
      <c r="X200" s="671"/>
      <c r="Y200" s="671"/>
      <c r="Z200" s="105"/>
    </row>
    <row r="201" spans="1:26" ht="14.25" customHeight="1">
      <c r="A201" s="671"/>
      <c r="B201" s="671"/>
      <c r="C201" s="671"/>
      <c r="D201" s="671"/>
      <c r="E201" s="671"/>
      <c r="F201" s="671"/>
      <c r="G201" s="671"/>
      <c r="H201" s="671"/>
      <c r="I201" s="671"/>
      <c r="J201" s="671"/>
      <c r="K201" s="671"/>
      <c r="L201" s="671"/>
      <c r="M201" s="671"/>
      <c r="N201" s="671"/>
      <c r="O201" s="671"/>
      <c r="P201" s="671"/>
      <c r="Q201" s="671"/>
      <c r="R201" s="671"/>
      <c r="S201" s="671"/>
      <c r="T201" s="671"/>
      <c r="U201" s="671"/>
      <c r="V201" s="671"/>
      <c r="W201" s="671"/>
      <c r="X201" s="671"/>
      <c r="Y201" s="671"/>
      <c r="Z201" s="105"/>
    </row>
    <row r="202" spans="1:26" ht="14.25" customHeight="1">
      <c r="A202" s="671"/>
      <c r="B202" s="671"/>
      <c r="C202" s="671"/>
      <c r="D202" s="671"/>
      <c r="E202" s="671"/>
      <c r="F202" s="671"/>
      <c r="G202" s="671"/>
      <c r="H202" s="671"/>
      <c r="I202" s="671"/>
      <c r="J202" s="671"/>
      <c r="K202" s="671"/>
      <c r="L202" s="671"/>
      <c r="M202" s="671"/>
      <c r="N202" s="671"/>
      <c r="O202" s="671"/>
      <c r="P202" s="671"/>
      <c r="Q202" s="671"/>
      <c r="R202" s="671"/>
      <c r="S202" s="671"/>
      <c r="T202" s="671"/>
      <c r="U202" s="671"/>
      <c r="V202" s="671"/>
      <c r="W202" s="671"/>
      <c r="X202" s="671"/>
      <c r="Y202" s="671"/>
      <c r="Z202" s="105"/>
    </row>
    <row r="203" spans="1:26" ht="14.25" customHeight="1">
      <c r="A203" s="671"/>
      <c r="B203" s="671"/>
      <c r="C203" s="671"/>
      <c r="D203" s="671"/>
      <c r="E203" s="671"/>
      <c r="F203" s="671"/>
      <c r="G203" s="671"/>
      <c r="H203" s="671"/>
      <c r="I203" s="671"/>
      <c r="J203" s="671"/>
      <c r="K203" s="671"/>
      <c r="L203" s="671"/>
      <c r="M203" s="671"/>
      <c r="N203" s="671"/>
      <c r="O203" s="671"/>
      <c r="P203" s="671"/>
      <c r="Q203" s="671"/>
      <c r="R203" s="671"/>
      <c r="S203" s="671"/>
      <c r="T203" s="671"/>
      <c r="U203" s="671"/>
      <c r="V203" s="671"/>
      <c r="W203" s="671"/>
      <c r="X203" s="671"/>
      <c r="Y203" s="671"/>
      <c r="Z203" s="105"/>
    </row>
    <row r="204" spans="1:26" ht="14.25" customHeight="1">
      <c r="A204" s="671"/>
      <c r="B204" s="671"/>
      <c r="C204" s="671"/>
      <c r="D204" s="671"/>
      <c r="E204" s="671"/>
      <c r="F204" s="671"/>
      <c r="G204" s="671"/>
      <c r="H204" s="671"/>
      <c r="I204" s="671"/>
      <c r="J204" s="671"/>
      <c r="K204" s="671"/>
      <c r="L204" s="671"/>
      <c r="M204" s="671"/>
      <c r="N204" s="671"/>
      <c r="O204" s="671"/>
      <c r="P204" s="671"/>
      <c r="Q204" s="671"/>
      <c r="R204" s="671"/>
      <c r="S204" s="671"/>
      <c r="T204" s="671"/>
      <c r="U204" s="671"/>
      <c r="V204" s="671"/>
      <c r="W204" s="671"/>
      <c r="X204" s="671"/>
      <c r="Y204" s="671"/>
      <c r="Z204" s="105"/>
    </row>
    <row r="205" spans="1:26" ht="14.25" customHeight="1">
      <c r="A205" s="671"/>
      <c r="B205" s="671"/>
      <c r="C205" s="671"/>
      <c r="D205" s="671"/>
      <c r="E205" s="671"/>
      <c r="F205" s="671"/>
      <c r="G205" s="671"/>
      <c r="H205" s="671"/>
      <c r="I205" s="671"/>
      <c r="J205" s="671"/>
      <c r="K205" s="671"/>
      <c r="L205" s="671"/>
      <c r="M205" s="671"/>
      <c r="N205" s="671"/>
      <c r="O205" s="671"/>
      <c r="P205" s="671"/>
      <c r="Q205" s="671"/>
      <c r="R205" s="671"/>
      <c r="S205" s="671"/>
      <c r="T205" s="671"/>
      <c r="U205" s="671"/>
      <c r="V205" s="671"/>
      <c r="W205" s="671"/>
      <c r="X205" s="671"/>
      <c r="Y205" s="671"/>
      <c r="Z205" s="105"/>
    </row>
    <row r="206" spans="1:26" ht="14.25" customHeight="1">
      <c r="A206" s="671"/>
      <c r="B206" s="671"/>
      <c r="C206" s="671"/>
      <c r="D206" s="671"/>
      <c r="E206" s="671"/>
      <c r="F206" s="671"/>
      <c r="G206" s="671"/>
      <c r="H206" s="671"/>
      <c r="I206" s="671"/>
      <c r="J206" s="671"/>
      <c r="K206" s="671"/>
      <c r="L206" s="671"/>
      <c r="M206" s="671"/>
      <c r="N206" s="671"/>
      <c r="O206" s="671"/>
      <c r="P206" s="671"/>
      <c r="Q206" s="671"/>
      <c r="R206" s="671"/>
      <c r="S206" s="671"/>
      <c r="T206" s="671"/>
      <c r="U206" s="671"/>
      <c r="V206" s="671"/>
      <c r="W206" s="671"/>
      <c r="X206" s="671"/>
      <c r="Y206" s="671"/>
      <c r="Z206" s="105"/>
    </row>
    <row r="207" spans="1:26" ht="14.25" customHeight="1">
      <c r="A207" s="671"/>
      <c r="B207" s="671"/>
      <c r="C207" s="671"/>
      <c r="D207" s="671"/>
      <c r="E207" s="671"/>
      <c r="F207" s="671"/>
      <c r="G207" s="671"/>
      <c r="H207" s="671"/>
      <c r="I207" s="671"/>
      <c r="J207" s="671"/>
      <c r="K207" s="671"/>
      <c r="L207" s="671"/>
      <c r="M207" s="671"/>
      <c r="N207" s="671"/>
      <c r="O207" s="671"/>
      <c r="P207" s="671"/>
      <c r="Q207" s="671"/>
      <c r="R207" s="671"/>
      <c r="S207" s="671"/>
      <c r="T207" s="671"/>
      <c r="U207" s="671"/>
      <c r="V207" s="671"/>
      <c r="W207" s="671"/>
      <c r="X207" s="671"/>
      <c r="Y207" s="671"/>
      <c r="Z207" s="105"/>
    </row>
    <row r="208" spans="1:26" ht="14.25" customHeight="1">
      <c r="A208" s="671"/>
      <c r="B208" s="671"/>
      <c r="C208" s="671"/>
      <c r="D208" s="671"/>
      <c r="E208" s="671"/>
      <c r="F208" s="671"/>
      <c r="G208" s="671"/>
      <c r="H208" s="671"/>
      <c r="I208" s="671"/>
      <c r="J208" s="671"/>
      <c r="K208" s="671"/>
      <c r="L208" s="671"/>
      <c r="M208" s="671"/>
      <c r="N208" s="671"/>
      <c r="O208" s="671"/>
      <c r="P208" s="671"/>
      <c r="Q208" s="671"/>
      <c r="R208" s="671"/>
      <c r="S208" s="671"/>
      <c r="T208" s="671"/>
      <c r="U208" s="671"/>
      <c r="V208" s="671"/>
      <c r="W208" s="671"/>
      <c r="X208" s="671"/>
      <c r="Y208" s="671"/>
      <c r="Z208" s="105"/>
    </row>
    <row r="209" spans="1:26" ht="14.25" customHeight="1">
      <c r="A209" s="671"/>
      <c r="B209" s="671"/>
      <c r="C209" s="671"/>
      <c r="D209" s="671"/>
      <c r="E209" s="671"/>
      <c r="F209" s="671"/>
      <c r="G209" s="671"/>
      <c r="H209" s="671"/>
      <c r="I209" s="671"/>
      <c r="J209" s="671"/>
      <c r="K209" s="671"/>
      <c r="L209" s="671"/>
      <c r="M209" s="671"/>
      <c r="N209" s="671"/>
      <c r="O209" s="671"/>
      <c r="P209" s="671"/>
      <c r="Q209" s="671"/>
      <c r="R209" s="671"/>
      <c r="S209" s="671"/>
      <c r="T209" s="671"/>
      <c r="U209" s="671"/>
      <c r="V209" s="671"/>
      <c r="W209" s="671"/>
      <c r="X209" s="671"/>
      <c r="Y209" s="671"/>
      <c r="Z209" s="105"/>
    </row>
    <row r="210" spans="1:26" ht="14.25" customHeight="1">
      <c r="A210" s="671"/>
      <c r="B210" s="671"/>
      <c r="C210" s="671"/>
      <c r="D210" s="671"/>
      <c r="E210" s="671"/>
      <c r="F210" s="671"/>
      <c r="G210" s="671"/>
      <c r="H210" s="671"/>
      <c r="I210" s="671"/>
      <c r="J210" s="671"/>
      <c r="K210" s="671"/>
      <c r="L210" s="671"/>
      <c r="M210" s="671"/>
      <c r="N210" s="671"/>
      <c r="O210" s="671"/>
      <c r="P210" s="671"/>
      <c r="Q210" s="671"/>
      <c r="R210" s="671"/>
      <c r="S210" s="671"/>
      <c r="T210" s="671"/>
      <c r="U210" s="671"/>
      <c r="V210" s="671"/>
      <c r="W210" s="671"/>
      <c r="X210" s="671"/>
      <c r="Y210" s="671"/>
      <c r="Z210" s="105"/>
    </row>
    <row r="211" spans="1:26" ht="14.25" customHeight="1">
      <c r="A211" s="671"/>
      <c r="B211" s="671"/>
      <c r="C211" s="671"/>
      <c r="D211" s="671"/>
      <c r="E211" s="671"/>
      <c r="F211" s="671"/>
      <c r="G211" s="671"/>
      <c r="H211" s="671"/>
      <c r="I211" s="671"/>
      <c r="J211" s="671"/>
      <c r="K211" s="671"/>
      <c r="L211" s="671"/>
      <c r="M211" s="671"/>
      <c r="N211" s="671"/>
      <c r="O211" s="671"/>
      <c r="P211" s="671"/>
      <c r="Q211" s="671"/>
      <c r="R211" s="671"/>
      <c r="S211" s="671"/>
      <c r="T211" s="671"/>
      <c r="U211" s="671"/>
      <c r="V211" s="671"/>
      <c r="W211" s="671"/>
      <c r="X211" s="671"/>
      <c r="Y211" s="671"/>
      <c r="Z211" s="105"/>
    </row>
    <row r="212" spans="1:26" ht="14.25" customHeight="1">
      <c r="A212" s="671"/>
      <c r="B212" s="671"/>
      <c r="C212" s="671"/>
      <c r="D212" s="671"/>
      <c r="E212" s="671"/>
      <c r="F212" s="671"/>
      <c r="G212" s="671"/>
      <c r="H212" s="671"/>
      <c r="I212" s="671"/>
      <c r="J212" s="671"/>
      <c r="K212" s="671"/>
      <c r="L212" s="671"/>
      <c r="M212" s="671"/>
      <c r="N212" s="671"/>
      <c r="O212" s="671"/>
      <c r="P212" s="671"/>
      <c r="Q212" s="671"/>
      <c r="R212" s="671"/>
      <c r="S212" s="671"/>
      <c r="T212" s="671"/>
      <c r="U212" s="671"/>
      <c r="V212" s="671"/>
      <c r="W212" s="671"/>
      <c r="X212" s="671"/>
      <c r="Y212" s="671"/>
      <c r="Z212" s="105"/>
    </row>
    <row r="213" spans="1:26" ht="14.25" customHeight="1">
      <c r="A213" s="671"/>
      <c r="B213" s="671"/>
      <c r="C213" s="671"/>
      <c r="D213" s="671"/>
      <c r="E213" s="671"/>
      <c r="F213" s="671"/>
      <c r="G213" s="671"/>
      <c r="H213" s="671"/>
      <c r="I213" s="671"/>
      <c r="J213" s="671"/>
      <c r="K213" s="671"/>
      <c r="L213" s="671"/>
      <c r="M213" s="671"/>
      <c r="N213" s="671"/>
      <c r="O213" s="671"/>
      <c r="P213" s="671"/>
      <c r="Q213" s="671"/>
      <c r="R213" s="671"/>
      <c r="S213" s="671"/>
      <c r="T213" s="671"/>
      <c r="U213" s="671"/>
      <c r="V213" s="671"/>
      <c r="W213" s="671"/>
      <c r="X213" s="671"/>
      <c r="Y213" s="671"/>
      <c r="Z213" s="105"/>
    </row>
    <row r="214" spans="1:26" ht="14.25" customHeight="1">
      <c r="A214" s="671"/>
      <c r="B214" s="671"/>
      <c r="C214" s="671"/>
      <c r="D214" s="671"/>
      <c r="E214" s="671"/>
      <c r="F214" s="671"/>
      <c r="G214" s="671"/>
      <c r="H214" s="671"/>
      <c r="I214" s="671"/>
      <c r="J214" s="671"/>
      <c r="K214" s="671"/>
      <c r="L214" s="671"/>
      <c r="M214" s="671"/>
      <c r="N214" s="671"/>
      <c r="O214" s="671"/>
      <c r="P214" s="671"/>
      <c r="Q214" s="671"/>
      <c r="R214" s="671"/>
      <c r="S214" s="671"/>
      <c r="T214" s="671"/>
      <c r="U214" s="671"/>
      <c r="V214" s="671"/>
      <c r="W214" s="671"/>
      <c r="X214" s="671"/>
      <c r="Y214" s="671"/>
      <c r="Z214" s="105"/>
    </row>
    <row r="215" spans="1:26" ht="14.25" customHeight="1">
      <c r="A215" s="671"/>
      <c r="B215" s="671"/>
      <c r="C215" s="671"/>
      <c r="D215" s="671"/>
      <c r="E215" s="671"/>
      <c r="F215" s="671"/>
      <c r="G215" s="671"/>
      <c r="H215" s="671"/>
      <c r="I215" s="671"/>
      <c r="J215" s="671"/>
      <c r="K215" s="671"/>
      <c r="L215" s="671"/>
      <c r="M215" s="671"/>
      <c r="N215" s="671"/>
      <c r="O215" s="671"/>
      <c r="P215" s="671"/>
      <c r="Q215" s="671"/>
      <c r="R215" s="671"/>
      <c r="S215" s="671"/>
      <c r="T215" s="671"/>
      <c r="U215" s="671"/>
      <c r="V215" s="671"/>
      <c r="W215" s="671"/>
      <c r="X215" s="671"/>
      <c r="Y215" s="671"/>
      <c r="Z215" s="105"/>
    </row>
    <row r="216" spans="1:26" ht="14.25" customHeight="1">
      <c r="A216" s="671"/>
      <c r="B216" s="671"/>
      <c r="C216" s="671"/>
      <c r="D216" s="671"/>
      <c r="E216" s="671"/>
      <c r="F216" s="671"/>
      <c r="G216" s="671"/>
      <c r="H216" s="671"/>
      <c r="I216" s="671"/>
      <c r="J216" s="671"/>
      <c r="K216" s="671"/>
      <c r="L216" s="671"/>
      <c r="M216" s="671"/>
      <c r="N216" s="671"/>
      <c r="O216" s="671"/>
      <c r="P216" s="671"/>
      <c r="Q216" s="671"/>
      <c r="R216" s="671"/>
      <c r="S216" s="671"/>
      <c r="T216" s="671"/>
      <c r="U216" s="671"/>
      <c r="V216" s="671"/>
      <c r="W216" s="671"/>
      <c r="X216" s="671"/>
      <c r="Y216" s="671"/>
      <c r="Z216" s="105"/>
    </row>
    <row r="217" spans="1:26" ht="14.25" customHeight="1">
      <c r="A217" s="671"/>
      <c r="B217" s="671"/>
      <c r="C217" s="671"/>
      <c r="D217" s="671"/>
      <c r="E217" s="671"/>
      <c r="F217" s="671"/>
      <c r="G217" s="671"/>
      <c r="H217" s="671"/>
      <c r="I217" s="671"/>
      <c r="J217" s="671"/>
      <c r="K217" s="671"/>
      <c r="L217" s="671"/>
      <c r="M217" s="671"/>
      <c r="N217" s="671"/>
      <c r="O217" s="671"/>
      <c r="P217" s="671"/>
      <c r="Q217" s="671"/>
      <c r="R217" s="671"/>
      <c r="S217" s="671"/>
      <c r="T217" s="671"/>
      <c r="U217" s="671"/>
      <c r="V217" s="671"/>
      <c r="W217" s="671"/>
      <c r="X217" s="671"/>
      <c r="Y217" s="671"/>
      <c r="Z217" s="105"/>
    </row>
    <row r="218" spans="1:26" ht="14.25" customHeight="1">
      <c r="A218" s="671"/>
      <c r="B218" s="671"/>
      <c r="C218" s="671"/>
      <c r="D218" s="671"/>
      <c r="E218" s="671"/>
      <c r="F218" s="671"/>
      <c r="G218" s="671"/>
      <c r="H218" s="671"/>
      <c r="I218" s="671"/>
      <c r="J218" s="671"/>
      <c r="K218" s="671"/>
      <c r="L218" s="671"/>
      <c r="M218" s="671"/>
      <c r="N218" s="671"/>
      <c r="O218" s="671"/>
      <c r="P218" s="671"/>
      <c r="Q218" s="671"/>
      <c r="R218" s="671"/>
      <c r="S218" s="671"/>
      <c r="T218" s="671"/>
      <c r="U218" s="671"/>
      <c r="V218" s="671"/>
      <c r="W218" s="671"/>
      <c r="X218" s="671"/>
      <c r="Y218" s="671"/>
      <c r="Z218" s="105"/>
    </row>
    <row r="219" spans="1:26" ht="14.25" customHeight="1">
      <c r="A219" s="671"/>
      <c r="B219" s="671"/>
      <c r="C219" s="671"/>
      <c r="D219" s="671"/>
      <c r="E219" s="671"/>
      <c r="F219" s="671"/>
      <c r="G219" s="671"/>
      <c r="H219" s="671"/>
      <c r="I219" s="671"/>
      <c r="J219" s="671"/>
      <c r="K219" s="671"/>
      <c r="L219" s="671"/>
      <c r="M219" s="671"/>
      <c r="N219" s="671"/>
      <c r="O219" s="671"/>
      <c r="P219" s="671"/>
      <c r="Q219" s="671"/>
      <c r="R219" s="671"/>
      <c r="S219" s="671"/>
      <c r="T219" s="671"/>
      <c r="U219" s="671"/>
      <c r="V219" s="671"/>
      <c r="W219" s="671"/>
      <c r="X219" s="671"/>
      <c r="Y219" s="671"/>
      <c r="Z219" s="105"/>
    </row>
    <row r="220" spans="1:26" ht="14.25" customHeight="1">
      <c r="A220" s="671"/>
      <c r="B220" s="671"/>
      <c r="C220" s="671"/>
      <c r="D220" s="671"/>
      <c r="E220" s="671"/>
      <c r="F220" s="671"/>
      <c r="G220" s="671"/>
      <c r="H220" s="671"/>
      <c r="I220" s="671"/>
      <c r="J220" s="671"/>
      <c r="K220" s="671"/>
      <c r="L220" s="671"/>
      <c r="M220" s="671"/>
      <c r="N220" s="671"/>
      <c r="O220" s="671"/>
      <c r="P220" s="671"/>
      <c r="Q220" s="671"/>
      <c r="R220" s="671"/>
      <c r="S220" s="671"/>
      <c r="T220" s="671"/>
      <c r="U220" s="671"/>
      <c r="V220" s="671"/>
      <c r="W220" s="671"/>
      <c r="X220" s="671"/>
      <c r="Y220" s="671"/>
      <c r="Z220" s="105"/>
    </row>
    <row r="221" spans="1:26" ht="14.25" customHeight="1">
      <c r="A221" s="671"/>
      <c r="B221" s="671"/>
      <c r="C221" s="671"/>
      <c r="D221" s="671"/>
      <c r="E221" s="671"/>
      <c r="F221" s="671"/>
      <c r="G221" s="671"/>
      <c r="H221" s="671"/>
      <c r="I221" s="671"/>
      <c r="J221" s="671"/>
      <c r="K221" s="671"/>
      <c r="L221" s="671"/>
      <c r="M221" s="671"/>
      <c r="N221" s="671"/>
      <c r="O221" s="671"/>
      <c r="P221" s="671"/>
      <c r="Q221" s="671"/>
      <c r="R221" s="671"/>
      <c r="S221" s="671"/>
      <c r="T221" s="671"/>
      <c r="U221" s="671"/>
      <c r="V221" s="671"/>
      <c r="W221" s="671"/>
      <c r="X221" s="671"/>
      <c r="Y221" s="671"/>
      <c r="Z221" s="105"/>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M5:O5"/>
    <mergeCell ref="F5:F6"/>
    <mergeCell ref="G7:G11"/>
    <mergeCell ref="H7:H11"/>
    <mergeCell ref="I7:I11"/>
    <mergeCell ref="B1:J1"/>
    <mergeCell ref="C2:I2"/>
    <mergeCell ref="B3:J3"/>
    <mergeCell ref="B4:J4"/>
    <mergeCell ref="C5:D6"/>
    <mergeCell ref="E5:E6"/>
    <mergeCell ref="G5:G6"/>
    <mergeCell ref="H5:I5"/>
    <mergeCell ref="C7:C9"/>
    <mergeCell ref="C19:D20"/>
    <mergeCell ref="C21:D22"/>
    <mergeCell ref="C10:C11"/>
    <mergeCell ref="B12:J12"/>
    <mergeCell ref="C15:I15"/>
    <mergeCell ref="B16:J16"/>
    <mergeCell ref="C17:D18"/>
    <mergeCell ref="F17:I18"/>
    <mergeCell ref="F19:I20"/>
    <mergeCell ref="F21:I22"/>
  </mergeCells>
  <pageMargins left="0.70866141732283472" right="0.70866141732283472" top="0.74803149606299213" bottom="0.74803149606299213" header="0" footer="0"/>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85623"/>
  </sheetPr>
  <dimension ref="A1:AB1000"/>
  <sheetViews>
    <sheetView workbookViewId="0"/>
  </sheetViews>
  <sheetFormatPr defaultColWidth="14.42578125" defaultRowHeight="15" customHeight="1"/>
  <cols>
    <col min="1" max="1" width="3.42578125" customWidth="1"/>
    <col min="2" max="2" width="5.140625" customWidth="1"/>
    <col min="3" max="3" width="59.140625" customWidth="1"/>
    <col min="4" max="4" width="57.42578125" customWidth="1"/>
    <col min="5" max="5" width="1.85546875" customWidth="1"/>
    <col min="6" max="6" width="57" customWidth="1"/>
    <col min="7" max="7" width="52.7109375" customWidth="1"/>
    <col min="8" max="8" width="1" customWidth="1"/>
    <col min="9" max="9" width="55" customWidth="1"/>
    <col min="10" max="10" width="43.85546875" customWidth="1"/>
    <col min="11" max="28" width="9.140625" customWidth="1"/>
  </cols>
  <sheetData>
    <row r="1" spans="1:28" ht="7.5" customHeight="1">
      <c r="A1" s="671"/>
      <c r="B1" s="728"/>
      <c r="C1" s="366"/>
      <c r="D1" s="366"/>
      <c r="E1" s="366"/>
      <c r="F1" s="366"/>
      <c r="G1" s="366"/>
      <c r="H1" s="366"/>
      <c r="I1" s="366"/>
      <c r="J1" s="366"/>
      <c r="K1" s="367"/>
      <c r="L1" s="671"/>
      <c r="M1" s="671"/>
      <c r="N1" s="671"/>
      <c r="O1" s="671"/>
      <c r="P1" s="671"/>
      <c r="Q1" s="671"/>
      <c r="R1" s="671"/>
      <c r="S1" s="671"/>
      <c r="T1" s="671"/>
      <c r="U1" s="671"/>
      <c r="V1" s="671"/>
      <c r="W1" s="671"/>
      <c r="X1" s="671"/>
      <c r="Y1" s="671"/>
      <c r="Z1" s="671"/>
      <c r="AA1" s="671"/>
      <c r="AB1" s="671"/>
    </row>
    <row r="2" spans="1:28" ht="12" customHeight="1">
      <c r="A2" s="671"/>
      <c r="B2" s="694"/>
      <c r="C2" s="154" t="s">
        <v>886</v>
      </c>
      <c r="D2" s="695"/>
      <c r="E2" s="695"/>
      <c r="F2" s="695"/>
      <c r="G2" s="695"/>
      <c r="H2" s="695"/>
      <c r="I2" s="695"/>
      <c r="J2" s="695"/>
      <c r="K2" s="696"/>
      <c r="L2" s="671"/>
      <c r="M2" s="671"/>
      <c r="N2" s="671"/>
      <c r="O2" s="671"/>
      <c r="P2" s="671"/>
      <c r="Q2" s="671"/>
      <c r="R2" s="671"/>
      <c r="S2" s="671"/>
      <c r="T2" s="671"/>
      <c r="U2" s="671"/>
      <c r="V2" s="671"/>
      <c r="W2" s="671"/>
      <c r="X2" s="671"/>
      <c r="Y2" s="671"/>
      <c r="Z2" s="671"/>
      <c r="AA2" s="671"/>
      <c r="AB2" s="671"/>
    </row>
    <row r="3" spans="1:28" ht="1.5" customHeight="1">
      <c r="A3" s="671"/>
      <c r="B3" s="694"/>
      <c r="C3" s="695"/>
      <c r="D3" s="695"/>
      <c r="E3" s="695"/>
      <c r="F3" s="695"/>
      <c r="G3" s="695"/>
      <c r="H3" s="695"/>
      <c r="I3" s="695"/>
      <c r="J3" s="695"/>
      <c r="K3" s="696"/>
      <c r="L3" s="671"/>
      <c r="M3" s="671"/>
      <c r="N3" s="671"/>
      <c r="O3" s="671"/>
      <c r="P3" s="671"/>
      <c r="Q3" s="671"/>
      <c r="R3" s="671"/>
      <c r="S3" s="671"/>
      <c r="T3" s="671"/>
      <c r="U3" s="671"/>
      <c r="V3" s="671"/>
      <c r="W3" s="671"/>
      <c r="X3" s="671"/>
      <c r="Y3" s="671"/>
      <c r="Z3" s="671"/>
      <c r="AA3" s="671"/>
      <c r="AB3" s="671"/>
    </row>
    <row r="4" spans="1:28" ht="19.5" customHeight="1">
      <c r="A4" s="671"/>
      <c r="B4" s="673"/>
      <c r="C4" s="729" t="s">
        <v>887</v>
      </c>
      <c r="D4" s="353"/>
      <c r="E4" s="353"/>
      <c r="F4" s="353"/>
      <c r="G4" s="353"/>
      <c r="H4" s="353"/>
      <c r="I4" s="353"/>
      <c r="J4" s="353"/>
      <c r="K4" s="675"/>
      <c r="L4" s="671"/>
      <c r="M4" s="671"/>
      <c r="N4" s="671"/>
      <c r="O4" s="671"/>
      <c r="P4" s="671"/>
      <c r="Q4" s="671"/>
      <c r="R4" s="671"/>
      <c r="S4" s="671"/>
      <c r="T4" s="671"/>
      <c r="U4" s="671"/>
      <c r="V4" s="671"/>
      <c r="W4" s="671"/>
      <c r="X4" s="671"/>
      <c r="Y4" s="671"/>
      <c r="Z4" s="671"/>
      <c r="AA4" s="671"/>
      <c r="AB4" s="671"/>
    </row>
    <row r="5" spans="1:28" ht="19.5" customHeight="1">
      <c r="A5" s="671"/>
      <c r="B5" s="673"/>
      <c r="C5" s="730"/>
      <c r="D5" s="730"/>
      <c r="E5" s="730"/>
      <c r="F5" s="730"/>
      <c r="G5" s="730"/>
      <c r="H5" s="730"/>
      <c r="I5" s="730"/>
      <c r="J5" s="730"/>
      <c r="K5" s="675"/>
      <c r="L5" s="671"/>
      <c r="M5" s="671"/>
      <c r="N5" s="671"/>
      <c r="O5" s="671"/>
      <c r="P5" s="671"/>
      <c r="Q5" s="671"/>
      <c r="R5" s="671"/>
      <c r="S5" s="671"/>
      <c r="T5" s="671"/>
      <c r="U5" s="671"/>
      <c r="V5" s="671"/>
      <c r="W5" s="671"/>
      <c r="X5" s="671"/>
      <c r="Y5" s="671"/>
      <c r="Z5" s="671"/>
      <c r="AA5" s="671"/>
      <c r="AB5" s="671"/>
    </row>
    <row r="6" spans="1:28" ht="18" customHeight="1">
      <c r="A6" s="671"/>
      <c r="B6" s="731"/>
      <c r="C6" s="730" t="s">
        <v>888</v>
      </c>
      <c r="D6" s="730"/>
      <c r="E6" s="730"/>
      <c r="F6" s="730"/>
      <c r="G6" s="730"/>
      <c r="H6" s="730"/>
      <c r="I6" s="730"/>
      <c r="J6" s="730"/>
      <c r="K6" s="681"/>
      <c r="L6" s="671"/>
      <c r="M6" s="671"/>
      <c r="N6" s="671"/>
      <c r="O6" s="671"/>
      <c r="P6" s="671"/>
      <c r="Q6" s="671"/>
      <c r="R6" s="671"/>
      <c r="S6" s="671"/>
      <c r="T6" s="671"/>
      <c r="U6" s="671"/>
      <c r="V6" s="671"/>
      <c r="W6" s="671"/>
      <c r="X6" s="671"/>
      <c r="Y6" s="671"/>
      <c r="Z6" s="671"/>
      <c r="AA6" s="671"/>
      <c r="AB6" s="671"/>
    </row>
    <row r="7" spans="1:28" ht="14.25" customHeight="1">
      <c r="A7" s="671"/>
      <c r="B7" s="673"/>
      <c r="C7" s="205"/>
      <c r="D7" s="205"/>
      <c r="E7" s="732" t="s">
        <v>889</v>
      </c>
      <c r="F7" s="361"/>
      <c r="G7" s="361"/>
      <c r="H7" s="362"/>
      <c r="I7" s="205"/>
      <c r="J7" s="205"/>
      <c r="K7" s="733"/>
      <c r="L7" s="671"/>
      <c r="M7" s="671"/>
      <c r="N7" s="671"/>
      <c r="O7" s="671"/>
      <c r="P7" s="671"/>
      <c r="Q7" s="671"/>
      <c r="R7" s="671"/>
      <c r="S7" s="671"/>
      <c r="T7" s="671"/>
      <c r="U7" s="671"/>
      <c r="V7" s="671"/>
      <c r="W7" s="671"/>
      <c r="X7" s="671"/>
      <c r="Y7" s="671"/>
      <c r="Z7" s="671"/>
      <c r="AA7" s="671"/>
      <c r="AB7" s="671"/>
    </row>
    <row r="8" spans="1:28" ht="27.95">
      <c r="A8" s="671"/>
      <c r="B8" s="673"/>
      <c r="C8" s="206" t="s">
        <v>890</v>
      </c>
      <c r="D8" s="206" t="s">
        <v>891</v>
      </c>
      <c r="E8" s="732" t="s">
        <v>892</v>
      </c>
      <c r="F8" s="362"/>
      <c r="G8" s="732" t="s">
        <v>893</v>
      </c>
      <c r="H8" s="362"/>
      <c r="I8" s="206" t="s">
        <v>15</v>
      </c>
      <c r="J8" s="206" t="s">
        <v>894</v>
      </c>
      <c r="K8" s="675"/>
      <c r="L8" s="671"/>
      <c r="M8" s="671"/>
      <c r="N8" s="671"/>
      <c r="O8" s="671"/>
      <c r="P8" s="671"/>
      <c r="Q8" s="671"/>
      <c r="R8" s="671"/>
      <c r="S8" s="671"/>
      <c r="T8" s="671"/>
      <c r="U8" s="671"/>
      <c r="V8" s="671"/>
      <c r="W8" s="671"/>
      <c r="X8" s="671"/>
      <c r="Y8" s="671"/>
      <c r="Z8" s="671"/>
      <c r="AA8" s="671"/>
      <c r="AB8" s="671"/>
    </row>
    <row r="9" spans="1:28" ht="220.5" customHeight="1">
      <c r="A9" s="671"/>
      <c r="B9" s="673"/>
      <c r="C9" s="207"/>
      <c r="D9" s="208"/>
      <c r="E9" s="734"/>
      <c r="F9" s="362"/>
      <c r="G9" s="734"/>
      <c r="H9" s="362"/>
      <c r="I9" s="209"/>
      <c r="J9" s="210"/>
      <c r="K9" s="675"/>
      <c r="L9" s="671"/>
      <c r="M9" s="671"/>
      <c r="N9" s="671"/>
      <c r="O9" s="671"/>
      <c r="P9" s="671"/>
      <c r="Q9" s="671"/>
      <c r="R9" s="671"/>
      <c r="S9" s="671"/>
      <c r="T9" s="671"/>
      <c r="U9" s="671"/>
      <c r="V9" s="671"/>
      <c r="W9" s="671"/>
      <c r="X9" s="671"/>
      <c r="Y9" s="671"/>
      <c r="Z9" s="671"/>
      <c r="AA9" s="671"/>
      <c r="AB9" s="671"/>
    </row>
    <row r="10" spans="1:28" ht="289.5" customHeight="1">
      <c r="A10" s="671"/>
      <c r="B10" s="673"/>
      <c r="C10" s="207"/>
      <c r="D10" s="208"/>
      <c r="E10" s="734"/>
      <c r="F10" s="362"/>
      <c r="G10" s="734"/>
      <c r="H10" s="362"/>
      <c r="I10" s="211"/>
      <c r="J10" s="212"/>
      <c r="K10" s="675"/>
      <c r="L10" s="671"/>
      <c r="M10" s="671"/>
      <c r="N10" s="671"/>
      <c r="O10" s="671"/>
      <c r="P10" s="671"/>
      <c r="Q10" s="671"/>
      <c r="R10" s="671"/>
      <c r="S10" s="671"/>
      <c r="T10" s="671"/>
      <c r="U10" s="671"/>
      <c r="V10" s="671"/>
      <c r="W10" s="671"/>
      <c r="X10" s="671"/>
      <c r="Y10" s="671"/>
      <c r="Z10" s="671"/>
      <c r="AA10" s="671"/>
      <c r="AB10" s="671"/>
    </row>
    <row r="11" spans="1:28" ht="14.25" customHeight="1">
      <c r="A11" s="671"/>
      <c r="B11" s="731"/>
      <c r="C11" s="735"/>
      <c r="D11" s="735"/>
      <c r="E11" s="735"/>
      <c r="F11" s="735"/>
      <c r="G11" s="735"/>
      <c r="H11" s="735"/>
      <c r="I11" s="735"/>
      <c r="J11" s="735"/>
      <c r="K11" s="736"/>
      <c r="L11" s="671"/>
      <c r="M11" s="671"/>
      <c r="N11" s="671"/>
      <c r="O11" s="671"/>
      <c r="P11" s="671"/>
      <c r="Q11" s="671"/>
      <c r="R11" s="671"/>
      <c r="S11" s="671"/>
      <c r="T11" s="671"/>
      <c r="U11" s="671"/>
      <c r="V11" s="671"/>
      <c r="W11" s="671"/>
      <c r="X11" s="671"/>
      <c r="Y11" s="671"/>
      <c r="Z11" s="671"/>
      <c r="AA11" s="671"/>
      <c r="AB11" s="671"/>
    </row>
    <row r="12" spans="1:28" ht="102.75" customHeight="1">
      <c r="A12" s="671"/>
      <c r="B12" s="731"/>
      <c r="C12" s="737" t="s">
        <v>895</v>
      </c>
      <c r="D12" s="361"/>
      <c r="E12" s="361"/>
      <c r="F12" s="361"/>
      <c r="G12" s="361"/>
      <c r="H12" s="361"/>
      <c r="I12" s="361"/>
      <c r="J12" s="362"/>
      <c r="K12" s="736"/>
      <c r="L12" s="671"/>
      <c r="M12" s="671"/>
      <c r="N12" s="671"/>
      <c r="O12" s="671"/>
      <c r="P12" s="671"/>
      <c r="Q12" s="671"/>
      <c r="R12" s="671"/>
      <c r="S12" s="671"/>
      <c r="T12" s="671"/>
      <c r="U12" s="671"/>
      <c r="V12" s="671"/>
      <c r="W12" s="671"/>
      <c r="X12" s="671"/>
      <c r="Y12" s="671"/>
      <c r="Z12" s="671"/>
      <c r="AA12" s="671"/>
      <c r="AB12" s="671"/>
    </row>
    <row r="13" spans="1:28" ht="21.75" customHeight="1">
      <c r="A13" s="671"/>
      <c r="B13" s="731"/>
      <c r="C13" s="735"/>
      <c r="D13" s="735"/>
      <c r="E13" s="735"/>
      <c r="F13" s="735"/>
      <c r="G13" s="735"/>
      <c r="H13" s="735"/>
      <c r="I13" s="735"/>
      <c r="J13" s="735"/>
      <c r="K13" s="736"/>
      <c r="L13" s="671"/>
      <c r="M13" s="671"/>
      <c r="N13" s="671"/>
      <c r="O13" s="671"/>
      <c r="P13" s="671"/>
      <c r="Q13" s="671"/>
      <c r="R13" s="671"/>
      <c r="S13" s="671"/>
      <c r="T13" s="671"/>
      <c r="U13" s="671"/>
      <c r="V13" s="671"/>
      <c r="W13" s="671"/>
      <c r="X13" s="671"/>
      <c r="Y13" s="671"/>
      <c r="Z13" s="671"/>
      <c r="AA13" s="671"/>
      <c r="AB13" s="671"/>
    </row>
    <row r="14" spans="1:28" ht="18.75" customHeight="1">
      <c r="A14" s="671"/>
      <c r="B14" s="731"/>
      <c r="C14" s="738" t="s">
        <v>896</v>
      </c>
      <c r="D14" s="739"/>
      <c r="E14" s="739"/>
      <c r="F14" s="739"/>
      <c r="G14" s="739"/>
      <c r="H14" s="739"/>
      <c r="I14" s="739"/>
      <c r="J14" s="735"/>
      <c r="K14" s="681"/>
      <c r="L14" s="671"/>
      <c r="M14" s="671"/>
      <c r="N14" s="671"/>
      <c r="O14" s="671"/>
      <c r="P14" s="671"/>
      <c r="Q14" s="671"/>
      <c r="R14" s="671"/>
      <c r="S14" s="671"/>
      <c r="T14" s="671"/>
      <c r="U14" s="671"/>
      <c r="V14" s="671"/>
      <c r="W14" s="671"/>
      <c r="X14" s="671"/>
      <c r="Y14" s="671"/>
      <c r="Z14" s="671"/>
      <c r="AA14" s="671"/>
      <c r="AB14" s="671"/>
    </row>
    <row r="15" spans="1:28" ht="14.25" customHeight="1">
      <c r="A15" s="671"/>
      <c r="B15" s="673"/>
      <c r="C15" s="205"/>
      <c r="D15" s="205"/>
      <c r="E15" s="732" t="s">
        <v>889</v>
      </c>
      <c r="F15" s="361"/>
      <c r="G15" s="361"/>
      <c r="H15" s="362"/>
      <c r="I15" s="205"/>
      <c r="J15" s="213"/>
      <c r="K15" s="733"/>
      <c r="L15" s="671"/>
      <c r="M15" s="671"/>
      <c r="N15" s="671"/>
      <c r="O15" s="671"/>
      <c r="P15" s="671"/>
      <c r="Q15" s="671"/>
      <c r="R15" s="671"/>
      <c r="S15" s="671"/>
      <c r="T15" s="671"/>
      <c r="U15" s="671"/>
      <c r="V15" s="671"/>
      <c r="W15" s="671"/>
      <c r="X15" s="671"/>
      <c r="Y15" s="671"/>
      <c r="Z15" s="671"/>
      <c r="AA15" s="671"/>
      <c r="AB15" s="671"/>
    </row>
    <row r="16" spans="1:28" ht="47.25" customHeight="1">
      <c r="A16" s="671"/>
      <c r="B16" s="673"/>
      <c r="C16" s="205" t="s">
        <v>897</v>
      </c>
      <c r="D16" s="205" t="s">
        <v>898</v>
      </c>
      <c r="E16" s="732" t="s">
        <v>899</v>
      </c>
      <c r="F16" s="362"/>
      <c r="G16" s="732" t="s">
        <v>900</v>
      </c>
      <c r="H16" s="362"/>
      <c r="I16" s="205" t="s">
        <v>15</v>
      </c>
      <c r="J16" s="205" t="s">
        <v>894</v>
      </c>
      <c r="K16" s="675"/>
      <c r="L16" s="671"/>
      <c r="M16" s="671"/>
      <c r="N16" s="671"/>
      <c r="O16" s="671"/>
      <c r="P16" s="671"/>
      <c r="Q16" s="671"/>
      <c r="R16" s="671"/>
      <c r="S16" s="671"/>
      <c r="T16" s="671"/>
      <c r="U16" s="671"/>
      <c r="V16" s="671"/>
      <c r="W16" s="671"/>
      <c r="X16" s="671"/>
      <c r="Y16" s="671"/>
      <c r="Z16" s="671"/>
      <c r="AA16" s="671"/>
      <c r="AB16" s="671"/>
    </row>
    <row r="17" spans="1:28" ht="108" customHeight="1">
      <c r="A17" s="671"/>
      <c r="B17" s="673"/>
      <c r="C17" s="214"/>
      <c r="D17" s="215"/>
      <c r="E17" s="740"/>
      <c r="F17" s="362"/>
      <c r="G17" s="741"/>
      <c r="H17" s="362"/>
      <c r="I17" s="209" t="s">
        <v>901</v>
      </c>
      <c r="J17" s="209" t="s">
        <v>902</v>
      </c>
      <c r="K17" s="675"/>
      <c r="L17" s="671"/>
      <c r="M17" s="671"/>
      <c r="N17" s="671"/>
      <c r="O17" s="671"/>
      <c r="P17" s="671"/>
      <c r="Q17" s="671"/>
      <c r="R17" s="671"/>
      <c r="S17" s="671"/>
      <c r="T17" s="671"/>
      <c r="U17" s="671"/>
      <c r="V17" s="671"/>
      <c r="W17" s="671"/>
      <c r="X17" s="671"/>
      <c r="Y17" s="671"/>
      <c r="Z17" s="671"/>
      <c r="AA17" s="671"/>
      <c r="AB17" s="671"/>
    </row>
    <row r="18" spans="1:28" ht="14.25" customHeight="1">
      <c r="A18" s="671"/>
      <c r="B18" s="731"/>
      <c r="C18" s="735"/>
      <c r="D18" s="735"/>
      <c r="E18" s="735"/>
      <c r="F18" s="735"/>
      <c r="G18" s="735"/>
      <c r="H18" s="735"/>
      <c r="I18" s="735"/>
      <c r="J18" s="735"/>
      <c r="K18" s="736"/>
      <c r="L18" s="671"/>
      <c r="M18" s="671"/>
      <c r="N18" s="671"/>
      <c r="O18" s="671"/>
      <c r="P18" s="671"/>
      <c r="Q18" s="671"/>
      <c r="R18" s="671"/>
      <c r="S18" s="671"/>
      <c r="T18" s="671"/>
      <c r="U18" s="671"/>
      <c r="V18" s="671"/>
      <c r="W18" s="671"/>
      <c r="X18" s="671"/>
      <c r="Y18" s="671"/>
      <c r="Z18" s="671"/>
      <c r="AA18" s="671"/>
      <c r="AB18" s="671"/>
    </row>
    <row r="19" spans="1:28" ht="14.25" customHeight="1">
      <c r="A19" s="671"/>
      <c r="B19" s="731"/>
      <c r="C19" s="735"/>
      <c r="D19" s="735"/>
      <c r="E19" s="735"/>
      <c r="F19" s="735"/>
      <c r="G19" s="735"/>
      <c r="H19" s="735"/>
      <c r="I19" s="735"/>
      <c r="J19" s="735"/>
      <c r="K19" s="736"/>
      <c r="L19" s="671"/>
      <c r="M19" s="671"/>
      <c r="N19" s="671"/>
      <c r="O19" s="671"/>
      <c r="P19" s="671"/>
      <c r="Q19" s="671"/>
      <c r="R19" s="671"/>
      <c r="S19" s="671"/>
      <c r="T19" s="671"/>
      <c r="U19" s="671"/>
      <c r="V19" s="671"/>
      <c r="W19" s="671"/>
      <c r="X19" s="671"/>
      <c r="Y19" s="671"/>
      <c r="Z19" s="671"/>
      <c r="AA19" s="671"/>
      <c r="AB19" s="671"/>
    </row>
    <row r="20" spans="1:28" ht="58.5" customHeight="1">
      <c r="A20" s="671"/>
      <c r="B20" s="731"/>
      <c r="C20" s="737" t="s">
        <v>895</v>
      </c>
      <c r="D20" s="361"/>
      <c r="E20" s="361"/>
      <c r="F20" s="361"/>
      <c r="G20" s="361"/>
      <c r="H20" s="361"/>
      <c r="I20" s="361"/>
      <c r="J20" s="362"/>
      <c r="K20" s="742"/>
      <c r="L20" s="671"/>
      <c r="M20" s="671"/>
      <c r="N20" s="671"/>
      <c r="O20" s="671"/>
      <c r="P20" s="671"/>
      <c r="Q20" s="671"/>
      <c r="R20" s="671"/>
      <c r="S20" s="671"/>
      <c r="T20" s="671"/>
      <c r="U20" s="671"/>
      <c r="V20" s="671"/>
      <c r="W20" s="671"/>
      <c r="X20" s="671"/>
      <c r="Y20" s="671"/>
      <c r="Z20" s="671"/>
      <c r="AA20" s="671"/>
      <c r="AB20" s="671"/>
    </row>
    <row r="21" spans="1:28" ht="51.75" customHeight="1">
      <c r="A21" s="671"/>
      <c r="B21" s="676"/>
      <c r="C21" s="353"/>
      <c r="D21" s="353"/>
      <c r="E21" s="353"/>
      <c r="F21" s="353"/>
      <c r="G21" s="353"/>
      <c r="H21" s="353"/>
      <c r="I21" s="353"/>
      <c r="J21" s="353"/>
      <c r="K21" s="419"/>
      <c r="L21" s="671"/>
      <c r="M21" s="671"/>
      <c r="N21" s="671"/>
      <c r="O21" s="671"/>
      <c r="P21" s="671"/>
      <c r="Q21" s="671"/>
      <c r="R21" s="671"/>
      <c r="S21" s="671"/>
      <c r="T21" s="671"/>
      <c r="U21" s="671"/>
      <c r="V21" s="671"/>
      <c r="W21" s="671"/>
      <c r="X21" s="671"/>
      <c r="Y21" s="671"/>
      <c r="Z21" s="671"/>
      <c r="AA21" s="671"/>
      <c r="AB21" s="671"/>
    </row>
    <row r="22" spans="1:28" ht="30" customHeight="1">
      <c r="A22" s="671"/>
      <c r="B22" s="743"/>
      <c r="C22" s="680" t="str">
        <f>'PART I (CY 2025&amp;SY2025-2026)'!E4</f>
        <v>MC WELSON C. SOLOMON</v>
      </c>
      <c r="D22" s="362"/>
      <c r="E22" s="82"/>
      <c r="F22" s="680" t="s">
        <v>130</v>
      </c>
      <c r="G22" s="362"/>
      <c r="H22" s="82"/>
      <c r="I22" s="744" t="s">
        <v>134</v>
      </c>
      <c r="J22" s="362"/>
      <c r="K22" s="745"/>
      <c r="L22" s="671"/>
      <c r="M22" s="671"/>
      <c r="N22" s="671"/>
      <c r="O22" s="671"/>
      <c r="P22" s="671"/>
      <c r="Q22" s="671"/>
      <c r="R22" s="671"/>
      <c r="S22" s="671"/>
      <c r="T22" s="671"/>
      <c r="U22" s="671"/>
      <c r="V22" s="671"/>
      <c r="W22" s="671"/>
      <c r="X22" s="671"/>
      <c r="Y22" s="671"/>
      <c r="Z22" s="671"/>
      <c r="AA22" s="671"/>
      <c r="AB22" s="671"/>
    </row>
    <row r="23" spans="1:28" ht="14.25" customHeight="1">
      <c r="A23" s="671"/>
      <c r="B23" s="731"/>
      <c r="C23" s="746" t="s">
        <v>123</v>
      </c>
      <c r="D23" s="362"/>
      <c r="E23" s="82"/>
      <c r="F23" s="746" t="s">
        <v>124</v>
      </c>
      <c r="G23" s="362"/>
      <c r="H23" s="82"/>
      <c r="I23" s="746" t="s">
        <v>125</v>
      </c>
      <c r="J23" s="362"/>
      <c r="K23" s="742"/>
      <c r="L23" s="671"/>
      <c r="M23" s="671"/>
      <c r="N23" s="671"/>
      <c r="O23" s="671"/>
      <c r="P23" s="671"/>
      <c r="Q23" s="671"/>
      <c r="R23" s="671"/>
      <c r="S23" s="671"/>
      <c r="T23" s="671"/>
      <c r="U23" s="671"/>
      <c r="V23" s="671"/>
      <c r="W23" s="671"/>
      <c r="X23" s="671"/>
      <c r="Y23" s="671"/>
      <c r="Z23" s="671"/>
      <c r="AA23" s="671"/>
      <c r="AB23" s="671"/>
    </row>
    <row r="24" spans="1:28" ht="14.25" customHeight="1">
      <c r="A24" s="671"/>
      <c r="B24" s="216"/>
      <c r="C24" s="217"/>
      <c r="D24" s="217"/>
      <c r="E24" s="217"/>
      <c r="F24" s="217"/>
      <c r="G24" s="217"/>
      <c r="H24" s="217"/>
      <c r="I24" s="217"/>
      <c r="J24" s="217"/>
      <c r="K24" s="747"/>
      <c r="L24" s="671"/>
      <c r="M24" s="671"/>
      <c r="N24" s="671"/>
      <c r="O24" s="671"/>
      <c r="P24" s="671"/>
      <c r="Q24" s="671"/>
      <c r="R24" s="671"/>
      <c r="S24" s="671"/>
      <c r="T24" s="671"/>
      <c r="U24" s="671"/>
      <c r="V24" s="671"/>
      <c r="W24" s="671"/>
      <c r="X24" s="671"/>
      <c r="Y24" s="671"/>
      <c r="Z24" s="671"/>
      <c r="AA24" s="671"/>
      <c r="AB24" s="671"/>
    </row>
    <row r="25" spans="1:28" ht="14.25" customHeight="1">
      <c r="A25" s="671"/>
      <c r="B25" s="671"/>
      <c r="C25" s="671"/>
      <c r="D25" s="671"/>
      <c r="E25" s="671"/>
      <c r="F25" s="671"/>
      <c r="G25" s="671"/>
      <c r="H25" s="671"/>
      <c r="I25" s="671"/>
      <c r="J25" s="671"/>
      <c r="K25" s="671"/>
      <c r="L25" s="671"/>
      <c r="M25" s="671"/>
      <c r="N25" s="671"/>
      <c r="O25" s="671"/>
      <c r="P25" s="671"/>
      <c r="Q25" s="671"/>
      <c r="R25" s="671"/>
      <c r="S25" s="671"/>
      <c r="T25" s="671"/>
      <c r="U25" s="671"/>
      <c r="V25" s="671"/>
      <c r="W25" s="671"/>
      <c r="X25" s="671"/>
      <c r="Y25" s="671"/>
      <c r="Z25" s="671"/>
      <c r="AA25" s="671"/>
      <c r="AB25" s="671"/>
    </row>
    <row r="26" spans="1:28" ht="14.25" customHeight="1">
      <c r="A26" s="671"/>
      <c r="B26" s="671"/>
      <c r="C26" s="671"/>
      <c r="D26" s="671"/>
      <c r="E26" s="671"/>
      <c r="F26" s="671"/>
      <c r="G26" s="671"/>
      <c r="H26" s="671"/>
      <c r="I26" s="671"/>
      <c r="J26" s="671"/>
      <c r="K26" s="671"/>
      <c r="L26" s="671"/>
      <c r="M26" s="671"/>
      <c r="N26" s="671"/>
      <c r="O26" s="671"/>
      <c r="P26" s="671"/>
      <c r="Q26" s="671"/>
      <c r="R26" s="671"/>
      <c r="S26" s="671"/>
      <c r="T26" s="671"/>
      <c r="U26" s="671"/>
      <c r="V26" s="671"/>
      <c r="W26" s="671"/>
      <c r="X26" s="671"/>
      <c r="Y26" s="671"/>
      <c r="Z26" s="671"/>
      <c r="AA26" s="671"/>
      <c r="AB26" s="671"/>
    </row>
    <row r="27" spans="1:28" ht="14.25" customHeight="1">
      <c r="A27" s="671"/>
      <c r="B27" s="671"/>
      <c r="C27" s="671"/>
      <c r="D27" s="671"/>
      <c r="E27" s="671"/>
      <c r="F27" s="671"/>
      <c r="I27" s="671"/>
      <c r="J27" s="671"/>
      <c r="K27" s="671"/>
      <c r="L27" s="671"/>
      <c r="M27" s="671"/>
      <c r="N27" s="671"/>
      <c r="O27" s="671"/>
      <c r="P27" s="671"/>
      <c r="Q27" s="671"/>
      <c r="R27" s="671"/>
      <c r="S27" s="671"/>
      <c r="T27" s="671"/>
      <c r="U27" s="671"/>
      <c r="V27" s="671"/>
      <c r="W27" s="671"/>
      <c r="X27" s="671"/>
      <c r="Y27" s="671"/>
      <c r="Z27" s="671"/>
      <c r="AA27" s="671"/>
      <c r="AB27" s="671"/>
    </row>
    <row r="28" spans="1:28" ht="14.25" customHeight="1">
      <c r="A28" s="671"/>
      <c r="B28" s="671"/>
      <c r="C28" s="671"/>
      <c r="D28" s="671"/>
      <c r="E28" s="671"/>
      <c r="F28" s="671"/>
      <c r="G28" s="671"/>
      <c r="H28" s="671"/>
      <c r="I28" s="671"/>
      <c r="J28" s="671"/>
      <c r="K28" s="671"/>
      <c r="L28" s="671"/>
      <c r="M28" s="671"/>
      <c r="N28" s="671"/>
      <c r="O28" s="671"/>
      <c r="P28" s="671"/>
      <c r="Q28" s="671"/>
      <c r="R28" s="671"/>
      <c r="S28" s="671"/>
      <c r="T28" s="671"/>
      <c r="U28" s="671"/>
      <c r="V28" s="671"/>
      <c r="W28" s="671"/>
      <c r="X28" s="671"/>
      <c r="Y28" s="671"/>
      <c r="Z28" s="671"/>
      <c r="AA28" s="671"/>
      <c r="AB28" s="671"/>
    </row>
    <row r="29" spans="1:28" ht="14.25" customHeight="1">
      <c r="A29" s="671"/>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671"/>
      <c r="AA29" s="671"/>
      <c r="AB29" s="671"/>
    </row>
    <row r="30" spans="1:28" ht="14.25" customHeight="1">
      <c r="A30" s="671"/>
      <c r="B30" s="671"/>
      <c r="C30" s="671"/>
      <c r="D30" s="671"/>
      <c r="E30" s="671"/>
      <c r="F30" s="671"/>
      <c r="G30" s="671"/>
      <c r="H30" s="671"/>
      <c r="I30" s="671"/>
      <c r="J30" s="671"/>
      <c r="K30" s="671"/>
      <c r="L30" s="671"/>
      <c r="M30" s="671"/>
      <c r="N30" s="671"/>
      <c r="O30" s="671"/>
      <c r="P30" s="671"/>
      <c r="Q30" s="671"/>
      <c r="R30" s="671"/>
      <c r="S30" s="671"/>
      <c r="T30" s="671"/>
      <c r="U30" s="671"/>
      <c r="V30" s="671"/>
      <c r="W30" s="671"/>
      <c r="X30" s="671"/>
      <c r="Y30" s="671"/>
      <c r="Z30" s="671"/>
      <c r="AA30" s="671"/>
      <c r="AB30" s="671"/>
    </row>
    <row r="31" spans="1:28" ht="14.25" customHeight="1">
      <c r="A31" s="671"/>
      <c r="B31" s="671"/>
      <c r="C31" s="671"/>
      <c r="D31" s="671"/>
      <c r="E31" s="671"/>
      <c r="F31" s="671"/>
      <c r="G31" s="671"/>
      <c r="H31" s="671"/>
      <c r="I31" s="671"/>
      <c r="J31" s="671"/>
      <c r="K31" s="671"/>
      <c r="L31" s="671"/>
      <c r="M31" s="671"/>
      <c r="N31" s="671"/>
      <c r="O31" s="671"/>
      <c r="P31" s="671"/>
      <c r="Q31" s="671"/>
      <c r="R31" s="671"/>
      <c r="S31" s="671"/>
      <c r="T31" s="671"/>
      <c r="U31" s="671"/>
      <c r="V31" s="671"/>
      <c r="W31" s="671"/>
      <c r="X31" s="671"/>
      <c r="Y31" s="671"/>
      <c r="Z31" s="671"/>
      <c r="AA31" s="671"/>
      <c r="AB31" s="671"/>
    </row>
    <row r="32" spans="1:28" ht="14.25" customHeight="1">
      <c r="A32" s="671"/>
      <c r="B32" s="671"/>
      <c r="C32" s="671"/>
      <c r="D32" s="671"/>
      <c r="E32" s="671"/>
      <c r="F32" s="671"/>
      <c r="G32" s="671"/>
      <c r="H32" s="671"/>
      <c r="I32" s="671"/>
      <c r="J32" s="671"/>
      <c r="K32" s="671"/>
      <c r="L32" s="671"/>
      <c r="M32" s="671"/>
      <c r="N32" s="671"/>
      <c r="O32" s="671"/>
      <c r="P32" s="671"/>
      <c r="Q32" s="671"/>
      <c r="R32" s="671"/>
      <c r="S32" s="671"/>
      <c r="T32" s="671"/>
      <c r="U32" s="671"/>
      <c r="V32" s="671"/>
      <c r="W32" s="671"/>
      <c r="X32" s="671"/>
      <c r="Y32" s="671"/>
      <c r="Z32" s="671"/>
      <c r="AA32" s="671"/>
      <c r="AB32" s="671"/>
    </row>
    <row r="33" spans="1:28" ht="14.25" customHeight="1">
      <c r="A33" s="671"/>
      <c r="B33" s="671"/>
      <c r="C33" s="671"/>
      <c r="D33" s="671"/>
      <c r="E33" s="671"/>
      <c r="F33" s="671"/>
      <c r="G33" s="671"/>
      <c r="H33" s="671"/>
      <c r="I33" s="671"/>
      <c r="J33" s="671"/>
      <c r="K33" s="671"/>
      <c r="L33" s="671"/>
      <c r="M33" s="671"/>
      <c r="N33" s="671"/>
      <c r="O33" s="671"/>
      <c r="P33" s="671"/>
      <c r="Q33" s="671"/>
      <c r="R33" s="671"/>
      <c r="S33" s="671"/>
      <c r="T33" s="671"/>
      <c r="U33" s="671"/>
      <c r="V33" s="671"/>
      <c r="W33" s="671"/>
      <c r="X33" s="671"/>
      <c r="Y33" s="671"/>
      <c r="Z33" s="671"/>
      <c r="AA33" s="671"/>
      <c r="AB33" s="671"/>
    </row>
    <row r="34" spans="1:28" ht="14.25" customHeight="1">
      <c r="A34" s="671"/>
      <c r="B34" s="671"/>
      <c r="C34" s="671"/>
      <c r="D34" s="671"/>
      <c r="E34" s="671"/>
      <c r="F34" s="671"/>
      <c r="G34" s="671"/>
      <c r="H34" s="671"/>
      <c r="I34" s="671"/>
      <c r="J34" s="671"/>
      <c r="K34" s="671"/>
      <c r="L34" s="671"/>
      <c r="M34" s="671"/>
      <c r="N34" s="671"/>
      <c r="O34" s="671"/>
      <c r="P34" s="671"/>
      <c r="Q34" s="671"/>
      <c r="R34" s="671"/>
      <c r="S34" s="671"/>
      <c r="T34" s="671"/>
      <c r="U34" s="671"/>
      <c r="V34" s="671"/>
      <c r="W34" s="671"/>
      <c r="X34" s="671"/>
      <c r="Y34" s="671"/>
      <c r="Z34" s="671"/>
      <c r="AA34" s="671"/>
      <c r="AB34" s="671"/>
    </row>
    <row r="35" spans="1:28" ht="14.25" customHeight="1">
      <c r="A35" s="671"/>
      <c r="B35" s="671"/>
      <c r="C35" s="671"/>
      <c r="D35" s="671"/>
      <c r="E35" s="671"/>
      <c r="F35" s="671"/>
      <c r="G35" s="671"/>
      <c r="H35" s="671"/>
      <c r="I35" s="671"/>
      <c r="J35" s="671"/>
      <c r="K35" s="671"/>
      <c r="L35" s="671"/>
      <c r="M35" s="671"/>
      <c r="N35" s="671"/>
      <c r="O35" s="671"/>
      <c r="P35" s="671"/>
      <c r="Q35" s="671"/>
      <c r="R35" s="671"/>
      <c r="S35" s="671"/>
      <c r="T35" s="671"/>
      <c r="U35" s="671"/>
      <c r="V35" s="671"/>
      <c r="W35" s="671"/>
      <c r="X35" s="671"/>
      <c r="Y35" s="671"/>
      <c r="Z35" s="671"/>
      <c r="AA35" s="671"/>
      <c r="AB35" s="671"/>
    </row>
    <row r="36" spans="1:28" ht="14.25" customHeight="1">
      <c r="A36" s="671"/>
      <c r="B36" s="671"/>
      <c r="C36" s="671"/>
      <c r="D36" s="671"/>
      <c r="E36" s="671"/>
      <c r="F36" s="671"/>
      <c r="G36" s="671"/>
      <c r="H36" s="671"/>
      <c r="I36" s="671"/>
      <c r="J36" s="671"/>
      <c r="K36" s="671"/>
      <c r="L36" s="671"/>
      <c r="M36" s="671"/>
      <c r="N36" s="671"/>
      <c r="O36" s="671"/>
      <c r="P36" s="671"/>
      <c r="Q36" s="671"/>
      <c r="R36" s="671"/>
      <c r="S36" s="671"/>
      <c r="T36" s="671"/>
      <c r="U36" s="671"/>
      <c r="V36" s="671"/>
      <c r="W36" s="671"/>
      <c r="X36" s="671"/>
      <c r="Y36" s="671"/>
      <c r="Z36" s="671"/>
      <c r="AA36" s="671"/>
      <c r="AB36" s="671"/>
    </row>
    <row r="37" spans="1:28" ht="14.25" customHeight="1">
      <c r="A37" s="671"/>
      <c r="B37" s="671"/>
      <c r="C37" s="671"/>
      <c r="D37" s="671"/>
      <c r="E37" s="671"/>
      <c r="F37" s="671"/>
      <c r="G37" s="671"/>
      <c r="H37" s="671"/>
      <c r="I37" s="671"/>
      <c r="J37" s="671"/>
      <c r="K37" s="671"/>
      <c r="L37" s="671"/>
      <c r="M37" s="671"/>
      <c r="N37" s="671"/>
      <c r="O37" s="671"/>
      <c r="P37" s="671"/>
      <c r="Q37" s="671"/>
      <c r="R37" s="671"/>
      <c r="S37" s="671"/>
      <c r="T37" s="671"/>
      <c r="U37" s="671"/>
      <c r="V37" s="671"/>
      <c r="W37" s="671"/>
      <c r="X37" s="671"/>
      <c r="Y37" s="671"/>
      <c r="Z37" s="671"/>
      <c r="AA37" s="671"/>
      <c r="AB37" s="671"/>
    </row>
    <row r="38" spans="1:28" ht="14.25" customHeight="1">
      <c r="A38" s="671"/>
      <c r="B38" s="671"/>
      <c r="C38" s="671"/>
      <c r="D38" s="671"/>
      <c r="E38" s="671"/>
      <c r="F38" s="671"/>
      <c r="G38" s="671"/>
      <c r="H38" s="671"/>
      <c r="I38" s="671"/>
      <c r="J38" s="671"/>
      <c r="K38" s="671"/>
      <c r="L38" s="671"/>
      <c r="M38" s="671"/>
      <c r="N38" s="671"/>
      <c r="O38" s="671"/>
      <c r="P38" s="671"/>
      <c r="Q38" s="671"/>
      <c r="R38" s="671"/>
      <c r="S38" s="671"/>
      <c r="T38" s="671"/>
      <c r="U38" s="671"/>
      <c r="V38" s="671"/>
      <c r="W38" s="671"/>
      <c r="X38" s="671"/>
      <c r="Y38" s="671"/>
      <c r="Z38" s="671"/>
      <c r="AA38" s="671"/>
      <c r="AB38" s="671"/>
    </row>
    <row r="39" spans="1:28" ht="14.25" customHeight="1">
      <c r="A39" s="671"/>
      <c r="B39" s="671"/>
      <c r="C39" s="671"/>
      <c r="D39" s="671"/>
      <c r="E39" s="671"/>
      <c r="F39" s="671"/>
      <c r="G39" s="671"/>
      <c r="H39" s="671"/>
      <c r="I39" s="671"/>
      <c r="J39" s="671"/>
      <c r="K39" s="671"/>
      <c r="L39" s="671"/>
      <c r="M39" s="671"/>
      <c r="N39" s="671"/>
      <c r="O39" s="671"/>
      <c r="P39" s="671"/>
      <c r="Q39" s="671"/>
      <c r="R39" s="671"/>
      <c r="S39" s="671"/>
      <c r="T39" s="671"/>
      <c r="U39" s="671"/>
      <c r="V39" s="671"/>
      <c r="W39" s="671"/>
      <c r="X39" s="671"/>
      <c r="Y39" s="671"/>
      <c r="Z39" s="671"/>
      <c r="AA39" s="671"/>
      <c r="AB39" s="671"/>
    </row>
    <row r="40" spans="1:28" ht="14.25" customHeight="1">
      <c r="A40" s="671"/>
      <c r="B40" s="671"/>
      <c r="C40" s="671"/>
      <c r="D40" s="671"/>
      <c r="E40" s="671"/>
      <c r="F40" s="671"/>
      <c r="G40" s="671"/>
      <c r="H40" s="671"/>
      <c r="I40" s="671"/>
      <c r="J40" s="671"/>
      <c r="K40" s="671"/>
      <c r="L40" s="671"/>
      <c r="M40" s="671"/>
      <c r="N40" s="671"/>
      <c r="O40" s="671"/>
      <c r="P40" s="671"/>
      <c r="Q40" s="671"/>
      <c r="R40" s="671"/>
      <c r="S40" s="671"/>
      <c r="T40" s="671"/>
      <c r="U40" s="671"/>
      <c r="V40" s="671"/>
      <c r="W40" s="671"/>
      <c r="X40" s="671"/>
      <c r="Y40" s="671"/>
      <c r="Z40" s="671"/>
      <c r="AA40" s="671"/>
      <c r="AB40" s="671"/>
    </row>
    <row r="41" spans="1:28" ht="14.25" customHeight="1">
      <c r="A41" s="671"/>
      <c r="B41" s="671"/>
      <c r="C41" s="671"/>
      <c r="D41" s="671"/>
      <c r="E41" s="671"/>
      <c r="F41" s="671"/>
      <c r="G41" s="671"/>
      <c r="H41" s="671"/>
      <c r="I41" s="671"/>
      <c r="J41" s="671"/>
      <c r="K41" s="671"/>
      <c r="L41" s="671"/>
      <c r="M41" s="671"/>
      <c r="N41" s="671"/>
      <c r="O41" s="671"/>
      <c r="P41" s="671"/>
      <c r="Q41" s="671"/>
      <c r="R41" s="671"/>
      <c r="S41" s="671"/>
      <c r="T41" s="671"/>
      <c r="U41" s="671"/>
      <c r="V41" s="671"/>
      <c r="W41" s="671"/>
      <c r="X41" s="671"/>
      <c r="Y41" s="671"/>
      <c r="Z41" s="671"/>
      <c r="AA41" s="671"/>
      <c r="AB41" s="671"/>
    </row>
    <row r="42" spans="1:28" ht="14.25" customHeight="1">
      <c r="A42" s="671"/>
      <c r="B42" s="671"/>
      <c r="C42" s="671"/>
      <c r="D42" s="671"/>
      <c r="E42" s="671"/>
      <c r="F42" s="671"/>
      <c r="G42" s="671"/>
      <c r="H42" s="671"/>
      <c r="I42" s="671"/>
      <c r="J42" s="671"/>
      <c r="K42" s="671"/>
      <c r="L42" s="671"/>
      <c r="M42" s="671"/>
      <c r="N42" s="671"/>
      <c r="O42" s="671"/>
      <c r="P42" s="671"/>
      <c r="Q42" s="671"/>
      <c r="R42" s="671"/>
      <c r="S42" s="671"/>
      <c r="T42" s="671"/>
      <c r="U42" s="671"/>
      <c r="V42" s="671"/>
      <c r="W42" s="671"/>
      <c r="X42" s="671"/>
      <c r="Y42" s="671"/>
      <c r="Z42" s="671"/>
      <c r="AA42" s="671"/>
      <c r="AB42" s="671"/>
    </row>
    <row r="43" spans="1:28" ht="14.25" customHeight="1">
      <c r="A43" s="671"/>
      <c r="B43" s="671"/>
      <c r="C43" s="671"/>
      <c r="D43" s="671"/>
      <c r="E43" s="671"/>
      <c r="F43" s="671"/>
      <c r="G43" s="671"/>
      <c r="H43" s="671"/>
      <c r="I43" s="671"/>
      <c r="J43" s="671"/>
      <c r="K43" s="671"/>
      <c r="L43" s="671"/>
      <c r="M43" s="671"/>
      <c r="N43" s="671"/>
      <c r="O43" s="671"/>
      <c r="P43" s="671"/>
      <c r="Q43" s="671"/>
      <c r="R43" s="671"/>
      <c r="S43" s="671"/>
      <c r="T43" s="671"/>
      <c r="U43" s="671"/>
      <c r="V43" s="671"/>
      <c r="W43" s="671"/>
      <c r="X43" s="671"/>
      <c r="Y43" s="671"/>
      <c r="Z43" s="671"/>
      <c r="AA43" s="671"/>
      <c r="AB43" s="671"/>
    </row>
    <row r="44" spans="1:28" ht="14.25" customHeight="1">
      <c r="A44" s="671"/>
      <c r="B44" s="671"/>
      <c r="C44" s="671"/>
      <c r="D44" s="671"/>
      <c r="E44" s="671"/>
      <c r="F44" s="671"/>
      <c r="G44" s="671"/>
      <c r="H44" s="671"/>
      <c r="I44" s="671"/>
      <c r="J44" s="671"/>
      <c r="K44" s="671"/>
      <c r="L44" s="671"/>
      <c r="M44" s="671"/>
      <c r="N44" s="671"/>
      <c r="O44" s="671"/>
      <c r="P44" s="671"/>
      <c r="Q44" s="671"/>
      <c r="R44" s="671"/>
      <c r="S44" s="671"/>
      <c r="T44" s="671"/>
      <c r="U44" s="671"/>
      <c r="V44" s="671"/>
      <c r="W44" s="671"/>
      <c r="X44" s="671"/>
      <c r="Y44" s="671"/>
      <c r="Z44" s="671"/>
      <c r="AA44" s="671"/>
      <c r="AB44" s="671"/>
    </row>
    <row r="45" spans="1:28" ht="14.25" customHeight="1">
      <c r="A45" s="671"/>
      <c r="B45" s="671"/>
      <c r="C45" s="671"/>
      <c r="D45" s="671"/>
      <c r="E45" s="671"/>
      <c r="F45" s="671"/>
      <c r="G45" s="671"/>
      <c r="H45" s="671"/>
      <c r="I45" s="671"/>
      <c r="J45" s="671"/>
      <c r="K45" s="671"/>
      <c r="L45" s="671"/>
      <c r="M45" s="671"/>
      <c r="N45" s="671"/>
      <c r="O45" s="671"/>
      <c r="P45" s="671"/>
      <c r="Q45" s="671"/>
      <c r="R45" s="671"/>
      <c r="S45" s="671"/>
      <c r="T45" s="671"/>
      <c r="U45" s="671"/>
      <c r="V45" s="671"/>
      <c r="W45" s="671"/>
      <c r="X45" s="671"/>
      <c r="Y45" s="671"/>
      <c r="Z45" s="671"/>
      <c r="AA45" s="671"/>
      <c r="AB45" s="671"/>
    </row>
    <row r="46" spans="1:28" ht="14.25" customHeight="1">
      <c r="A46" s="671"/>
      <c r="B46" s="671"/>
      <c r="C46" s="671"/>
      <c r="D46" s="671"/>
      <c r="E46" s="671"/>
      <c r="F46" s="671"/>
      <c r="G46" s="671"/>
      <c r="H46" s="671"/>
      <c r="I46" s="671"/>
      <c r="J46" s="671"/>
      <c r="K46" s="671"/>
      <c r="L46" s="671"/>
      <c r="M46" s="671"/>
      <c r="N46" s="671"/>
      <c r="O46" s="671"/>
      <c r="P46" s="671"/>
      <c r="Q46" s="671"/>
      <c r="R46" s="671"/>
      <c r="S46" s="671"/>
      <c r="T46" s="671"/>
      <c r="U46" s="671"/>
      <c r="V46" s="671"/>
      <c r="W46" s="671"/>
      <c r="X46" s="671"/>
      <c r="Y46" s="671"/>
      <c r="Z46" s="671"/>
      <c r="AA46" s="671"/>
      <c r="AB46" s="671"/>
    </row>
    <row r="47" spans="1:28" ht="14.25" customHeight="1">
      <c r="A47" s="671"/>
      <c r="B47" s="671"/>
      <c r="C47" s="671"/>
      <c r="D47" s="671"/>
      <c r="E47" s="671"/>
      <c r="F47" s="671"/>
      <c r="G47" s="671"/>
      <c r="H47" s="671"/>
      <c r="I47" s="671"/>
      <c r="J47" s="671"/>
      <c r="K47" s="671"/>
      <c r="L47" s="671"/>
      <c r="M47" s="671"/>
      <c r="N47" s="671"/>
      <c r="O47" s="671"/>
      <c r="P47" s="671"/>
      <c r="Q47" s="671"/>
      <c r="R47" s="671"/>
      <c r="S47" s="671"/>
      <c r="T47" s="671"/>
      <c r="U47" s="671"/>
      <c r="V47" s="671"/>
      <c r="W47" s="671"/>
      <c r="X47" s="671"/>
      <c r="Y47" s="671"/>
      <c r="Z47" s="671"/>
      <c r="AA47" s="671"/>
      <c r="AB47" s="671"/>
    </row>
    <row r="48" spans="1:28" ht="14.25" customHeight="1">
      <c r="A48" s="671"/>
      <c r="B48" s="671"/>
      <c r="C48" s="671"/>
      <c r="D48" s="671"/>
      <c r="E48" s="671"/>
      <c r="F48" s="671"/>
      <c r="G48" s="671"/>
      <c r="H48" s="671"/>
      <c r="I48" s="671"/>
      <c r="J48" s="671"/>
      <c r="K48" s="671"/>
      <c r="L48" s="671"/>
      <c r="M48" s="671"/>
      <c r="N48" s="671"/>
      <c r="O48" s="671"/>
      <c r="P48" s="671"/>
      <c r="Q48" s="671"/>
      <c r="R48" s="671"/>
      <c r="S48" s="671"/>
      <c r="T48" s="671"/>
      <c r="U48" s="671"/>
      <c r="V48" s="671"/>
      <c r="W48" s="671"/>
      <c r="X48" s="671"/>
      <c r="Y48" s="671"/>
      <c r="Z48" s="671"/>
      <c r="AA48" s="671"/>
      <c r="AB48" s="671"/>
    </row>
    <row r="49" spans="1:28" ht="14.25" customHeight="1">
      <c r="A49" s="671"/>
      <c r="B49" s="671"/>
      <c r="C49" s="671"/>
      <c r="D49" s="671"/>
      <c r="E49" s="671"/>
      <c r="F49" s="671"/>
      <c r="G49" s="671"/>
      <c r="H49" s="671"/>
      <c r="I49" s="671"/>
      <c r="J49" s="671"/>
      <c r="K49" s="671"/>
      <c r="L49" s="671"/>
      <c r="M49" s="671"/>
      <c r="N49" s="671"/>
      <c r="O49" s="671"/>
      <c r="P49" s="671"/>
      <c r="Q49" s="671"/>
      <c r="R49" s="671"/>
      <c r="S49" s="671"/>
      <c r="T49" s="671"/>
      <c r="U49" s="671"/>
      <c r="V49" s="671"/>
      <c r="W49" s="671"/>
      <c r="X49" s="671"/>
      <c r="Y49" s="671"/>
      <c r="Z49" s="671"/>
      <c r="AA49" s="671"/>
      <c r="AB49" s="671"/>
    </row>
    <row r="50" spans="1:28" ht="14.25" customHeight="1">
      <c r="A50" s="671"/>
      <c r="B50" s="671"/>
      <c r="C50" s="671"/>
      <c r="D50" s="671"/>
      <c r="E50" s="671"/>
      <c r="F50" s="671"/>
      <c r="G50" s="671"/>
      <c r="H50" s="671"/>
      <c r="I50" s="671"/>
      <c r="J50" s="671"/>
      <c r="K50" s="671"/>
      <c r="L50" s="671"/>
      <c r="M50" s="671"/>
      <c r="N50" s="671"/>
      <c r="O50" s="671"/>
      <c r="P50" s="671"/>
      <c r="Q50" s="671"/>
      <c r="R50" s="671"/>
      <c r="S50" s="671"/>
      <c r="T50" s="671"/>
      <c r="U50" s="671"/>
      <c r="V50" s="671"/>
      <c r="W50" s="671"/>
      <c r="X50" s="671"/>
      <c r="Y50" s="671"/>
      <c r="Z50" s="671"/>
      <c r="AA50" s="671"/>
      <c r="AB50" s="671"/>
    </row>
    <row r="51" spans="1:28" ht="14.25" customHeight="1">
      <c r="A51" s="671"/>
      <c r="B51" s="671"/>
      <c r="C51" s="671"/>
      <c r="D51" s="671"/>
      <c r="E51" s="671"/>
      <c r="F51" s="671"/>
      <c r="G51" s="671"/>
      <c r="H51" s="671"/>
      <c r="I51" s="671"/>
      <c r="J51" s="671"/>
      <c r="K51" s="671"/>
      <c r="L51" s="671"/>
      <c r="M51" s="671"/>
      <c r="N51" s="671"/>
      <c r="O51" s="671"/>
      <c r="P51" s="671"/>
      <c r="Q51" s="671"/>
      <c r="R51" s="671"/>
      <c r="S51" s="671"/>
      <c r="T51" s="671"/>
      <c r="U51" s="671"/>
      <c r="V51" s="671"/>
      <c r="W51" s="671"/>
      <c r="X51" s="671"/>
      <c r="Y51" s="671"/>
      <c r="Z51" s="671"/>
      <c r="AA51" s="671"/>
      <c r="AB51" s="671"/>
    </row>
    <row r="52" spans="1:28" ht="14.25" customHeight="1">
      <c r="A52" s="671"/>
      <c r="B52" s="671"/>
      <c r="C52" s="671"/>
      <c r="D52" s="671"/>
      <c r="E52" s="671"/>
      <c r="F52" s="671"/>
      <c r="G52" s="671"/>
      <c r="H52" s="671"/>
      <c r="I52" s="671"/>
      <c r="J52" s="671"/>
      <c r="K52" s="671"/>
      <c r="L52" s="671"/>
      <c r="M52" s="671"/>
      <c r="N52" s="671"/>
      <c r="O52" s="671"/>
      <c r="P52" s="671"/>
      <c r="Q52" s="671"/>
      <c r="R52" s="671"/>
      <c r="S52" s="671"/>
      <c r="T52" s="671"/>
      <c r="U52" s="671"/>
      <c r="V52" s="671"/>
      <c r="W52" s="671"/>
      <c r="X52" s="671"/>
      <c r="Y52" s="671"/>
      <c r="Z52" s="671"/>
      <c r="AA52" s="671"/>
      <c r="AB52" s="671"/>
    </row>
    <row r="53" spans="1:28" ht="14.25" customHeight="1">
      <c r="A53" s="671"/>
      <c r="B53" s="671"/>
      <c r="C53" s="671"/>
      <c r="D53" s="671"/>
      <c r="E53" s="671"/>
      <c r="F53" s="671"/>
      <c r="G53" s="671"/>
      <c r="H53" s="671"/>
      <c r="I53" s="671"/>
      <c r="J53" s="671"/>
      <c r="K53" s="671"/>
      <c r="L53" s="671"/>
      <c r="M53" s="671"/>
      <c r="N53" s="671"/>
      <c r="O53" s="671"/>
      <c r="P53" s="671"/>
      <c r="Q53" s="671"/>
      <c r="R53" s="671"/>
      <c r="S53" s="671"/>
      <c r="T53" s="671"/>
      <c r="U53" s="671"/>
      <c r="V53" s="671"/>
      <c r="W53" s="671"/>
      <c r="X53" s="671"/>
      <c r="Y53" s="671"/>
      <c r="Z53" s="671"/>
      <c r="AA53" s="671"/>
      <c r="AB53" s="671"/>
    </row>
    <row r="54" spans="1:28" ht="14.25" customHeight="1">
      <c r="A54" s="671"/>
      <c r="B54" s="671"/>
      <c r="C54" s="671"/>
      <c r="D54" s="671"/>
      <c r="E54" s="671"/>
      <c r="F54" s="671"/>
      <c r="G54" s="671"/>
      <c r="H54" s="671"/>
      <c r="I54" s="671"/>
      <c r="J54" s="671"/>
      <c r="K54" s="671"/>
      <c r="L54" s="671"/>
      <c r="M54" s="671"/>
      <c r="N54" s="671"/>
      <c r="O54" s="671"/>
      <c r="P54" s="671"/>
      <c r="Q54" s="671"/>
      <c r="R54" s="671"/>
      <c r="S54" s="671"/>
      <c r="T54" s="671"/>
      <c r="U54" s="671"/>
      <c r="V54" s="671"/>
      <c r="W54" s="671"/>
      <c r="X54" s="671"/>
      <c r="Y54" s="671"/>
      <c r="Z54" s="671"/>
      <c r="AA54" s="671"/>
      <c r="AB54" s="671"/>
    </row>
    <row r="55" spans="1:28" ht="14.25" customHeight="1">
      <c r="A55" s="671"/>
      <c r="B55" s="671"/>
      <c r="C55" s="671"/>
      <c r="D55" s="671"/>
      <c r="E55" s="671"/>
      <c r="F55" s="671"/>
      <c r="G55" s="671"/>
      <c r="H55" s="671"/>
      <c r="I55" s="671"/>
      <c r="J55" s="671"/>
      <c r="K55" s="671"/>
      <c r="L55" s="671"/>
      <c r="M55" s="671"/>
      <c r="N55" s="671"/>
      <c r="O55" s="671"/>
      <c r="P55" s="671"/>
      <c r="Q55" s="671"/>
      <c r="R55" s="671"/>
      <c r="S55" s="671"/>
      <c r="T55" s="671"/>
      <c r="U55" s="671"/>
      <c r="V55" s="671"/>
      <c r="W55" s="671"/>
      <c r="X55" s="671"/>
      <c r="Y55" s="671"/>
      <c r="Z55" s="671"/>
      <c r="AA55" s="671"/>
      <c r="AB55" s="671"/>
    </row>
    <row r="56" spans="1:28" ht="14.25" customHeight="1">
      <c r="A56" s="671"/>
      <c r="B56" s="671"/>
      <c r="C56" s="671"/>
      <c r="D56" s="671"/>
      <c r="E56" s="671"/>
      <c r="F56" s="671"/>
      <c r="G56" s="671"/>
      <c r="H56" s="671"/>
      <c r="I56" s="671"/>
      <c r="J56" s="671"/>
      <c r="K56" s="671"/>
      <c r="L56" s="671"/>
      <c r="M56" s="671"/>
      <c r="N56" s="671"/>
      <c r="O56" s="671"/>
      <c r="P56" s="671"/>
      <c r="Q56" s="671"/>
      <c r="R56" s="671"/>
      <c r="S56" s="671"/>
      <c r="T56" s="671"/>
      <c r="U56" s="671"/>
      <c r="V56" s="671"/>
      <c r="W56" s="671"/>
      <c r="X56" s="671"/>
      <c r="Y56" s="671"/>
      <c r="Z56" s="671"/>
      <c r="AA56" s="671"/>
      <c r="AB56" s="671"/>
    </row>
    <row r="57" spans="1:28" ht="14.25" customHeight="1">
      <c r="A57" s="671"/>
      <c r="B57" s="671"/>
      <c r="C57" s="671"/>
      <c r="D57" s="671"/>
      <c r="E57" s="671"/>
      <c r="F57" s="671"/>
      <c r="G57" s="671"/>
      <c r="H57" s="671"/>
      <c r="I57" s="671"/>
      <c r="J57" s="671"/>
      <c r="K57" s="671"/>
      <c r="L57" s="671"/>
      <c r="M57" s="671"/>
      <c r="N57" s="671"/>
      <c r="O57" s="671"/>
      <c r="P57" s="671"/>
      <c r="Q57" s="671"/>
      <c r="R57" s="671"/>
      <c r="S57" s="671"/>
      <c r="T57" s="671"/>
      <c r="U57" s="671"/>
      <c r="V57" s="671"/>
      <c r="W57" s="671"/>
      <c r="X57" s="671"/>
      <c r="Y57" s="671"/>
      <c r="Z57" s="671"/>
      <c r="AA57" s="671"/>
      <c r="AB57" s="671"/>
    </row>
    <row r="58" spans="1:28" ht="14.25" customHeight="1">
      <c r="A58" s="671"/>
      <c r="B58" s="671"/>
      <c r="C58" s="671"/>
      <c r="D58" s="671"/>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row>
    <row r="59" spans="1:28" ht="14.25" customHeight="1">
      <c r="A59" s="671"/>
      <c r="B59" s="671"/>
      <c r="C59" s="671"/>
      <c r="D59" s="671"/>
      <c r="E59" s="671"/>
      <c r="F59" s="671"/>
      <c r="G59" s="671"/>
      <c r="H59" s="671"/>
      <c r="I59" s="671"/>
      <c r="J59" s="671"/>
      <c r="K59" s="671"/>
      <c r="L59" s="671"/>
      <c r="M59" s="671"/>
      <c r="N59" s="671"/>
      <c r="O59" s="671"/>
      <c r="P59" s="671"/>
      <c r="Q59" s="671"/>
      <c r="R59" s="671"/>
      <c r="S59" s="671"/>
      <c r="T59" s="671"/>
      <c r="U59" s="671"/>
      <c r="V59" s="671"/>
      <c r="W59" s="671"/>
      <c r="X59" s="671"/>
      <c r="Y59" s="671"/>
      <c r="Z59" s="671"/>
      <c r="AA59" s="671"/>
      <c r="AB59" s="671"/>
    </row>
    <row r="60" spans="1:28" ht="14.25" customHeight="1">
      <c r="A60" s="671"/>
      <c r="B60" s="671"/>
      <c r="C60" s="671"/>
      <c r="D60" s="671"/>
      <c r="E60" s="671"/>
      <c r="F60" s="671"/>
      <c r="G60" s="671"/>
      <c r="H60" s="671"/>
      <c r="I60" s="671"/>
      <c r="J60" s="671"/>
      <c r="K60" s="671"/>
      <c r="L60" s="671"/>
      <c r="M60" s="671"/>
      <c r="N60" s="671"/>
      <c r="O60" s="671"/>
      <c r="P60" s="671"/>
      <c r="Q60" s="671"/>
      <c r="R60" s="671"/>
      <c r="S60" s="671"/>
      <c r="T60" s="671"/>
      <c r="U60" s="671"/>
      <c r="V60" s="671"/>
      <c r="W60" s="671"/>
      <c r="X60" s="671"/>
      <c r="Y60" s="671"/>
      <c r="Z60" s="671"/>
      <c r="AA60" s="671"/>
      <c r="AB60" s="671"/>
    </row>
    <row r="61" spans="1:28" ht="14.25" customHeight="1">
      <c r="A61" s="671"/>
      <c r="B61" s="671"/>
      <c r="C61" s="671"/>
      <c r="D61" s="671"/>
      <c r="E61" s="671"/>
      <c r="F61" s="671"/>
      <c r="G61" s="671"/>
      <c r="H61" s="671"/>
      <c r="I61" s="671"/>
      <c r="J61" s="671"/>
      <c r="K61" s="671"/>
      <c r="L61" s="671"/>
      <c r="M61" s="671"/>
      <c r="N61" s="671"/>
      <c r="O61" s="671"/>
      <c r="P61" s="671"/>
      <c r="Q61" s="671"/>
      <c r="R61" s="671"/>
      <c r="S61" s="671"/>
      <c r="T61" s="671"/>
      <c r="U61" s="671"/>
      <c r="V61" s="671"/>
      <c r="W61" s="671"/>
      <c r="X61" s="671"/>
      <c r="Y61" s="671"/>
      <c r="Z61" s="671"/>
      <c r="AA61" s="671"/>
      <c r="AB61" s="671"/>
    </row>
    <row r="62" spans="1:28" ht="14.25" customHeight="1">
      <c r="A62" s="671"/>
      <c r="B62" s="671"/>
      <c r="C62" s="671"/>
      <c r="D62" s="671"/>
      <c r="E62" s="671"/>
      <c r="F62" s="671"/>
      <c r="G62" s="671"/>
      <c r="H62" s="671"/>
      <c r="I62" s="671"/>
      <c r="J62" s="671"/>
      <c r="K62" s="671"/>
      <c r="L62" s="671"/>
      <c r="M62" s="671"/>
      <c r="N62" s="671"/>
      <c r="O62" s="671"/>
      <c r="P62" s="671"/>
      <c r="Q62" s="671"/>
      <c r="R62" s="671"/>
      <c r="S62" s="671"/>
      <c r="T62" s="671"/>
      <c r="U62" s="671"/>
      <c r="V62" s="671"/>
      <c r="W62" s="671"/>
      <c r="X62" s="671"/>
      <c r="Y62" s="671"/>
      <c r="Z62" s="671"/>
      <c r="AA62" s="671"/>
      <c r="AB62" s="671"/>
    </row>
    <row r="63" spans="1:28" ht="14.25" customHeight="1">
      <c r="A63" s="671"/>
      <c r="B63" s="671"/>
      <c r="C63" s="671"/>
      <c r="D63" s="671"/>
      <c r="E63" s="671"/>
      <c r="F63" s="671"/>
      <c r="G63" s="671"/>
      <c r="H63" s="671"/>
      <c r="I63" s="671"/>
      <c r="J63" s="671"/>
      <c r="K63" s="671"/>
      <c r="L63" s="671"/>
      <c r="M63" s="671"/>
      <c r="N63" s="671"/>
      <c r="O63" s="671"/>
      <c r="P63" s="671"/>
      <c r="Q63" s="671"/>
      <c r="R63" s="671"/>
      <c r="S63" s="671"/>
      <c r="T63" s="671"/>
      <c r="U63" s="671"/>
      <c r="V63" s="671"/>
      <c r="W63" s="671"/>
      <c r="X63" s="671"/>
      <c r="Y63" s="671"/>
      <c r="Z63" s="671"/>
      <c r="AA63" s="671"/>
      <c r="AB63" s="671"/>
    </row>
    <row r="64" spans="1:28" ht="14.25" customHeight="1">
      <c r="A64" s="671"/>
      <c r="B64" s="671"/>
      <c r="C64" s="671"/>
      <c r="D64" s="671"/>
      <c r="E64" s="671"/>
      <c r="F64" s="671"/>
      <c r="G64" s="671"/>
      <c r="H64" s="671"/>
      <c r="I64" s="671"/>
      <c r="J64" s="671"/>
      <c r="K64" s="671"/>
      <c r="L64" s="671"/>
      <c r="M64" s="671"/>
      <c r="N64" s="671"/>
      <c r="O64" s="671"/>
      <c r="P64" s="671"/>
      <c r="Q64" s="671"/>
      <c r="R64" s="671"/>
      <c r="S64" s="671"/>
      <c r="T64" s="671"/>
      <c r="U64" s="671"/>
      <c r="V64" s="671"/>
      <c r="W64" s="671"/>
      <c r="X64" s="671"/>
      <c r="Y64" s="671"/>
      <c r="Z64" s="671"/>
      <c r="AA64" s="671"/>
      <c r="AB64" s="671"/>
    </row>
    <row r="65" spans="1:28" ht="14.25" customHeight="1">
      <c r="A65" s="671"/>
      <c r="B65" s="671"/>
      <c r="C65" s="671"/>
      <c r="D65" s="671"/>
      <c r="E65" s="671"/>
      <c r="F65" s="671"/>
      <c r="G65" s="671"/>
      <c r="H65" s="671"/>
      <c r="I65" s="671"/>
      <c r="J65" s="671"/>
      <c r="K65" s="671"/>
      <c r="L65" s="671"/>
      <c r="M65" s="671"/>
      <c r="N65" s="671"/>
      <c r="O65" s="671"/>
      <c r="P65" s="671"/>
      <c r="Q65" s="671"/>
      <c r="R65" s="671"/>
      <c r="S65" s="671"/>
      <c r="T65" s="671"/>
      <c r="U65" s="671"/>
      <c r="V65" s="671"/>
      <c r="W65" s="671"/>
      <c r="X65" s="671"/>
      <c r="Y65" s="671"/>
      <c r="Z65" s="671"/>
      <c r="AA65" s="671"/>
      <c r="AB65" s="671"/>
    </row>
    <row r="66" spans="1:28" ht="14.25" customHeight="1">
      <c r="A66" s="671"/>
      <c r="B66" s="671"/>
      <c r="C66" s="671"/>
      <c r="D66" s="671"/>
      <c r="E66" s="671"/>
      <c r="F66" s="671"/>
      <c r="G66" s="671"/>
      <c r="H66" s="671"/>
      <c r="I66" s="671"/>
      <c r="J66" s="671"/>
      <c r="K66" s="671"/>
      <c r="L66" s="671"/>
      <c r="M66" s="671"/>
      <c r="N66" s="671"/>
      <c r="O66" s="671"/>
      <c r="P66" s="671"/>
      <c r="Q66" s="671"/>
      <c r="R66" s="671"/>
      <c r="S66" s="671"/>
      <c r="T66" s="671"/>
      <c r="U66" s="671"/>
      <c r="V66" s="671"/>
      <c r="W66" s="671"/>
      <c r="X66" s="671"/>
      <c r="Y66" s="671"/>
      <c r="Z66" s="671"/>
      <c r="AA66" s="671"/>
      <c r="AB66" s="671"/>
    </row>
    <row r="67" spans="1:28" ht="14.25" customHeight="1">
      <c r="A67" s="671"/>
      <c r="B67" s="671"/>
      <c r="C67" s="671"/>
      <c r="D67" s="671"/>
      <c r="E67" s="671"/>
      <c r="F67" s="671"/>
      <c r="G67" s="671"/>
      <c r="H67" s="671"/>
      <c r="I67" s="671"/>
      <c r="J67" s="671"/>
      <c r="K67" s="671"/>
      <c r="L67" s="671"/>
      <c r="M67" s="671"/>
      <c r="N67" s="671"/>
      <c r="O67" s="671"/>
      <c r="P67" s="671"/>
      <c r="Q67" s="671"/>
      <c r="R67" s="671"/>
      <c r="S67" s="671"/>
      <c r="T67" s="671"/>
      <c r="U67" s="671"/>
      <c r="V67" s="671"/>
      <c r="W67" s="671"/>
      <c r="X67" s="671"/>
      <c r="Y67" s="671"/>
      <c r="Z67" s="671"/>
      <c r="AA67" s="671"/>
      <c r="AB67" s="671"/>
    </row>
    <row r="68" spans="1:28" ht="14.25" customHeight="1">
      <c r="A68" s="671"/>
      <c r="B68" s="671"/>
      <c r="C68" s="671"/>
      <c r="D68" s="671"/>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row>
    <row r="69" spans="1:28" ht="14.25" customHeight="1">
      <c r="A69" s="671"/>
      <c r="B69" s="671"/>
      <c r="C69" s="671"/>
      <c r="D69" s="671"/>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1"/>
    </row>
    <row r="70" spans="1:28" ht="14.25" customHeight="1">
      <c r="A70" s="671"/>
      <c r="B70" s="671"/>
      <c r="C70" s="671"/>
      <c r="D70" s="671"/>
      <c r="E70" s="671"/>
      <c r="F70" s="671"/>
      <c r="G70" s="671"/>
      <c r="H70" s="671"/>
      <c r="I70" s="671"/>
      <c r="J70" s="671"/>
      <c r="K70" s="671"/>
      <c r="L70" s="671"/>
      <c r="M70" s="671"/>
      <c r="N70" s="671"/>
      <c r="O70" s="671"/>
      <c r="P70" s="671"/>
      <c r="Q70" s="671"/>
      <c r="R70" s="671"/>
      <c r="S70" s="671"/>
      <c r="T70" s="671"/>
      <c r="U70" s="671"/>
      <c r="V70" s="671"/>
      <c r="W70" s="671"/>
      <c r="X70" s="671"/>
      <c r="Y70" s="671"/>
      <c r="Z70" s="671"/>
      <c r="AA70" s="671"/>
      <c r="AB70" s="671"/>
    </row>
    <row r="71" spans="1:28" ht="14.25" customHeight="1">
      <c r="A71" s="671"/>
      <c r="B71" s="671"/>
      <c r="C71" s="671"/>
      <c r="D71" s="671"/>
      <c r="E71" s="671"/>
      <c r="F71" s="671"/>
      <c r="G71" s="671"/>
      <c r="H71" s="671"/>
      <c r="I71" s="671"/>
      <c r="J71" s="671"/>
      <c r="K71" s="671"/>
      <c r="L71" s="671"/>
      <c r="M71" s="671"/>
      <c r="N71" s="671"/>
      <c r="O71" s="671"/>
      <c r="P71" s="671"/>
      <c r="Q71" s="671"/>
      <c r="R71" s="671"/>
      <c r="S71" s="671"/>
      <c r="T71" s="671"/>
      <c r="U71" s="671"/>
      <c r="V71" s="671"/>
      <c r="W71" s="671"/>
      <c r="X71" s="671"/>
      <c r="Y71" s="671"/>
      <c r="Z71" s="671"/>
      <c r="AA71" s="671"/>
      <c r="AB71" s="671"/>
    </row>
    <row r="72" spans="1:28" ht="14.25" customHeight="1">
      <c r="A72" s="671"/>
      <c r="B72" s="671"/>
      <c r="C72" s="671"/>
      <c r="D72" s="671"/>
      <c r="E72" s="671"/>
      <c r="F72" s="671"/>
      <c r="G72" s="671"/>
      <c r="H72" s="671"/>
      <c r="I72" s="671"/>
      <c r="J72" s="671"/>
      <c r="K72" s="671"/>
      <c r="L72" s="671"/>
      <c r="M72" s="671"/>
      <c r="N72" s="671"/>
      <c r="O72" s="671"/>
      <c r="P72" s="671"/>
      <c r="Q72" s="671"/>
      <c r="R72" s="671"/>
      <c r="S72" s="671"/>
      <c r="T72" s="671"/>
      <c r="U72" s="671"/>
      <c r="V72" s="671"/>
      <c r="W72" s="671"/>
      <c r="X72" s="671"/>
      <c r="Y72" s="671"/>
      <c r="Z72" s="671"/>
      <c r="AA72" s="671"/>
      <c r="AB72" s="671"/>
    </row>
    <row r="73" spans="1:28" ht="14.25" customHeight="1">
      <c r="A73" s="671"/>
      <c r="B73" s="671"/>
      <c r="C73" s="671"/>
      <c r="D73" s="671"/>
      <c r="E73" s="671"/>
      <c r="F73" s="671"/>
      <c r="G73" s="671"/>
      <c r="H73" s="671"/>
      <c r="I73" s="671"/>
      <c r="J73" s="671"/>
      <c r="K73" s="671"/>
      <c r="L73" s="671"/>
      <c r="M73" s="671"/>
      <c r="N73" s="671"/>
      <c r="O73" s="671"/>
      <c r="P73" s="671"/>
      <c r="Q73" s="671"/>
      <c r="R73" s="671"/>
      <c r="S73" s="671"/>
      <c r="T73" s="671"/>
      <c r="U73" s="671"/>
      <c r="V73" s="671"/>
      <c r="W73" s="671"/>
      <c r="X73" s="671"/>
      <c r="Y73" s="671"/>
      <c r="Z73" s="671"/>
      <c r="AA73" s="671"/>
      <c r="AB73" s="671"/>
    </row>
    <row r="74" spans="1:28" ht="14.25" customHeight="1">
      <c r="A74" s="671"/>
      <c r="B74" s="671"/>
      <c r="C74" s="671"/>
      <c r="D74" s="671"/>
      <c r="E74" s="671"/>
      <c r="F74" s="671"/>
      <c r="G74" s="671"/>
      <c r="H74" s="671"/>
      <c r="I74" s="671"/>
      <c r="J74" s="671"/>
      <c r="K74" s="671"/>
      <c r="L74" s="671"/>
      <c r="M74" s="671"/>
      <c r="N74" s="671"/>
      <c r="O74" s="671"/>
      <c r="P74" s="671"/>
      <c r="Q74" s="671"/>
      <c r="R74" s="671"/>
      <c r="S74" s="671"/>
      <c r="T74" s="671"/>
      <c r="U74" s="671"/>
      <c r="V74" s="671"/>
      <c r="W74" s="671"/>
      <c r="X74" s="671"/>
      <c r="Y74" s="671"/>
      <c r="Z74" s="671"/>
      <c r="AA74" s="671"/>
      <c r="AB74" s="671"/>
    </row>
    <row r="75" spans="1:28" ht="14.25" customHeight="1">
      <c r="A75" s="671"/>
      <c r="B75" s="671"/>
      <c r="C75" s="671"/>
      <c r="D75" s="671"/>
      <c r="E75" s="671"/>
      <c r="F75" s="671"/>
      <c r="G75" s="671"/>
      <c r="H75" s="671"/>
      <c r="I75" s="671"/>
      <c r="J75" s="671"/>
      <c r="K75" s="671"/>
      <c r="L75" s="671"/>
      <c r="M75" s="671"/>
      <c r="N75" s="671"/>
      <c r="O75" s="671"/>
      <c r="P75" s="671"/>
      <c r="Q75" s="671"/>
      <c r="R75" s="671"/>
      <c r="S75" s="671"/>
      <c r="T75" s="671"/>
      <c r="U75" s="671"/>
      <c r="V75" s="671"/>
      <c r="W75" s="671"/>
      <c r="X75" s="671"/>
      <c r="Y75" s="671"/>
      <c r="Z75" s="671"/>
      <c r="AA75" s="671"/>
      <c r="AB75" s="671"/>
    </row>
    <row r="76" spans="1:28" ht="14.25" customHeight="1">
      <c r="A76" s="671"/>
      <c r="B76" s="671"/>
      <c r="C76" s="671"/>
      <c r="D76" s="671"/>
      <c r="E76" s="671"/>
      <c r="F76" s="671"/>
      <c r="G76" s="671"/>
      <c r="H76" s="671"/>
      <c r="I76" s="671"/>
      <c r="J76" s="671"/>
      <c r="K76" s="671"/>
      <c r="L76" s="671"/>
      <c r="M76" s="671"/>
      <c r="N76" s="671"/>
      <c r="O76" s="671"/>
      <c r="P76" s="671"/>
      <c r="Q76" s="671"/>
      <c r="R76" s="671"/>
      <c r="S76" s="671"/>
      <c r="T76" s="671"/>
      <c r="U76" s="671"/>
      <c r="V76" s="671"/>
      <c r="W76" s="671"/>
      <c r="X76" s="671"/>
      <c r="Y76" s="671"/>
      <c r="Z76" s="671"/>
      <c r="AA76" s="671"/>
      <c r="AB76" s="671"/>
    </row>
    <row r="77" spans="1:28" ht="14.25" customHeight="1">
      <c r="A77" s="671"/>
      <c r="B77" s="671"/>
      <c r="C77" s="671"/>
      <c r="D77" s="671"/>
      <c r="E77" s="671"/>
      <c r="F77" s="671"/>
      <c r="G77" s="671"/>
      <c r="H77" s="671"/>
      <c r="I77" s="671"/>
      <c r="J77" s="671"/>
      <c r="K77" s="671"/>
      <c r="L77" s="671"/>
      <c r="M77" s="671"/>
      <c r="N77" s="671"/>
      <c r="O77" s="671"/>
      <c r="P77" s="671"/>
      <c r="Q77" s="671"/>
      <c r="R77" s="671"/>
      <c r="S77" s="671"/>
      <c r="T77" s="671"/>
      <c r="U77" s="671"/>
      <c r="V77" s="671"/>
      <c r="W77" s="671"/>
      <c r="X77" s="671"/>
      <c r="Y77" s="671"/>
      <c r="Z77" s="671"/>
      <c r="AA77" s="671"/>
      <c r="AB77" s="671"/>
    </row>
    <row r="78" spans="1:28" ht="14.25" customHeight="1">
      <c r="A78" s="671"/>
      <c r="B78" s="671"/>
      <c r="C78" s="671"/>
      <c r="D78" s="671"/>
      <c r="E78" s="671"/>
      <c r="F78" s="671"/>
      <c r="G78" s="671"/>
      <c r="H78" s="671"/>
      <c r="I78" s="671"/>
      <c r="J78" s="671"/>
      <c r="K78" s="671"/>
      <c r="L78" s="671"/>
      <c r="M78" s="671"/>
      <c r="N78" s="671"/>
      <c r="O78" s="671"/>
      <c r="P78" s="671"/>
      <c r="Q78" s="671"/>
      <c r="R78" s="671"/>
      <c r="S78" s="671"/>
      <c r="T78" s="671"/>
      <c r="U78" s="671"/>
      <c r="V78" s="671"/>
      <c r="W78" s="671"/>
      <c r="X78" s="671"/>
      <c r="Y78" s="671"/>
      <c r="Z78" s="671"/>
      <c r="AA78" s="671"/>
      <c r="AB78" s="671"/>
    </row>
    <row r="79" spans="1:28" ht="14.25" customHeight="1">
      <c r="A79" s="671"/>
      <c r="B79" s="671"/>
      <c r="C79" s="671"/>
      <c r="D79" s="671"/>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row>
    <row r="80" spans="1:28" ht="14.25" customHeight="1">
      <c r="A80" s="671"/>
      <c r="B80" s="671"/>
      <c r="C80" s="671"/>
      <c r="D80" s="671"/>
      <c r="E80" s="671"/>
      <c r="F80" s="671"/>
      <c r="G80" s="671"/>
      <c r="H80" s="671"/>
      <c r="I80" s="671"/>
      <c r="J80" s="671"/>
      <c r="K80" s="671"/>
      <c r="L80" s="671"/>
      <c r="M80" s="671"/>
      <c r="N80" s="671"/>
      <c r="O80" s="671"/>
      <c r="P80" s="671"/>
      <c r="Q80" s="671"/>
      <c r="R80" s="671"/>
      <c r="S80" s="671"/>
      <c r="T80" s="671"/>
      <c r="U80" s="671"/>
      <c r="V80" s="671"/>
      <c r="W80" s="671"/>
      <c r="X80" s="671"/>
      <c r="Y80" s="671"/>
      <c r="Z80" s="671"/>
      <c r="AA80" s="671"/>
      <c r="AB80" s="671"/>
    </row>
    <row r="81" spans="1:28" ht="14.25" customHeight="1">
      <c r="A81" s="671"/>
      <c r="B81" s="671"/>
      <c r="C81" s="671"/>
      <c r="D81" s="671"/>
      <c r="E81" s="671"/>
      <c r="F81" s="671"/>
      <c r="G81" s="671"/>
      <c r="H81" s="671"/>
      <c r="I81" s="671"/>
      <c r="J81" s="671"/>
      <c r="K81" s="671"/>
      <c r="L81" s="671"/>
      <c r="M81" s="671"/>
      <c r="N81" s="671"/>
      <c r="O81" s="671"/>
      <c r="P81" s="671"/>
      <c r="Q81" s="671"/>
      <c r="R81" s="671"/>
      <c r="S81" s="671"/>
      <c r="T81" s="671"/>
      <c r="U81" s="671"/>
      <c r="V81" s="671"/>
      <c r="W81" s="671"/>
      <c r="X81" s="671"/>
      <c r="Y81" s="671"/>
      <c r="Z81" s="671"/>
      <c r="AA81" s="671"/>
      <c r="AB81" s="671"/>
    </row>
    <row r="82" spans="1:28" ht="14.25" customHeight="1">
      <c r="A82" s="671"/>
      <c r="B82" s="671"/>
      <c r="C82" s="671"/>
      <c r="D82" s="671"/>
      <c r="E82" s="671"/>
      <c r="F82" s="671"/>
      <c r="G82" s="671"/>
      <c r="H82" s="671"/>
      <c r="I82" s="671"/>
      <c r="J82" s="671"/>
      <c r="K82" s="671"/>
      <c r="L82" s="671"/>
      <c r="M82" s="671"/>
      <c r="N82" s="671"/>
      <c r="O82" s="671"/>
      <c r="P82" s="671"/>
      <c r="Q82" s="671"/>
      <c r="R82" s="671"/>
      <c r="S82" s="671"/>
      <c r="T82" s="671"/>
      <c r="U82" s="671"/>
      <c r="V82" s="671"/>
      <c r="W82" s="671"/>
      <c r="X82" s="671"/>
      <c r="Y82" s="671"/>
      <c r="Z82" s="671"/>
      <c r="AA82" s="671"/>
      <c r="AB82" s="671"/>
    </row>
    <row r="83" spans="1:28" ht="14.25" customHeight="1">
      <c r="A83" s="671"/>
      <c r="B83" s="671"/>
      <c r="C83" s="671"/>
      <c r="D83" s="671"/>
      <c r="E83" s="671"/>
      <c r="F83" s="671"/>
      <c r="G83" s="671"/>
      <c r="H83" s="671"/>
      <c r="I83" s="671"/>
      <c r="J83" s="671"/>
      <c r="K83" s="671"/>
      <c r="L83" s="671"/>
      <c r="M83" s="671"/>
      <c r="N83" s="671"/>
      <c r="O83" s="671"/>
      <c r="P83" s="671"/>
      <c r="Q83" s="671"/>
      <c r="R83" s="671"/>
      <c r="S83" s="671"/>
      <c r="T83" s="671"/>
      <c r="U83" s="671"/>
      <c r="V83" s="671"/>
      <c r="W83" s="671"/>
      <c r="X83" s="671"/>
      <c r="Y83" s="671"/>
      <c r="Z83" s="671"/>
      <c r="AA83" s="671"/>
      <c r="AB83" s="671"/>
    </row>
    <row r="84" spans="1:28" ht="14.25" customHeight="1">
      <c r="A84" s="671"/>
      <c r="B84" s="671"/>
      <c r="C84" s="671"/>
      <c r="D84" s="671"/>
      <c r="E84" s="671"/>
      <c r="F84" s="671"/>
      <c r="G84" s="671"/>
      <c r="H84" s="671"/>
      <c r="I84" s="671"/>
      <c r="J84" s="671"/>
      <c r="K84" s="671"/>
      <c r="L84" s="671"/>
      <c r="M84" s="671"/>
      <c r="N84" s="671"/>
      <c r="O84" s="671"/>
      <c r="P84" s="671"/>
      <c r="Q84" s="671"/>
      <c r="R84" s="671"/>
      <c r="S84" s="671"/>
      <c r="T84" s="671"/>
      <c r="U84" s="671"/>
      <c r="V84" s="671"/>
      <c r="W84" s="671"/>
      <c r="X84" s="671"/>
      <c r="Y84" s="671"/>
      <c r="Z84" s="671"/>
      <c r="AA84" s="671"/>
      <c r="AB84" s="671"/>
    </row>
    <row r="85" spans="1:28" ht="14.25" customHeight="1">
      <c r="A85" s="671"/>
      <c r="B85" s="671"/>
      <c r="C85" s="671"/>
      <c r="D85" s="671"/>
      <c r="E85" s="671"/>
      <c r="F85" s="671"/>
      <c r="G85" s="671"/>
      <c r="H85" s="671"/>
      <c r="I85" s="671"/>
      <c r="J85" s="671"/>
      <c r="K85" s="671"/>
      <c r="L85" s="671"/>
      <c r="M85" s="671"/>
      <c r="N85" s="671"/>
      <c r="O85" s="671"/>
      <c r="P85" s="671"/>
      <c r="Q85" s="671"/>
      <c r="R85" s="671"/>
      <c r="S85" s="671"/>
      <c r="T85" s="671"/>
      <c r="U85" s="671"/>
      <c r="V85" s="671"/>
      <c r="W85" s="671"/>
      <c r="X85" s="671"/>
      <c r="Y85" s="671"/>
      <c r="Z85" s="671"/>
      <c r="AA85" s="671"/>
      <c r="AB85" s="671"/>
    </row>
    <row r="86" spans="1:28" ht="14.25" customHeight="1">
      <c r="A86" s="671"/>
      <c r="B86" s="671"/>
      <c r="C86" s="671"/>
      <c r="D86" s="671"/>
      <c r="E86" s="671"/>
      <c r="F86" s="671"/>
      <c r="G86" s="671"/>
      <c r="H86" s="671"/>
      <c r="I86" s="671"/>
      <c r="J86" s="671"/>
      <c r="K86" s="671"/>
      <c r="L86" s="671"/>
      <c r="M86" s="671"/>
      <c r="N86" s="671"/>
      <c r="O86" s="671"/>
      <c r="P86" s="671"/>
      <c r="Q86" s="671"/>
      <c r="R86" s="671"/>
      <c r="S86" s="671"/>
      <c r="T86" s="671"/>
      <c r="U86" s="671"/>
      <c r="V86" s="671"/>
      <c r="W86" s="671"/>
      <c r="X86" s="671"/>
      <c r="Y86" s="671"/>
      <c r="Z86" s="671"/>
      <c r="AA86" s="671"/>
      <c r="AB86" s="671"/>
    </row>
    <row r="87" spans="1:28" ht="14.25" customHeight="1">
      <c r="A87" s="671"/>
      <c r="B87" s="671"/>
      <c r="C87" s="671"/>
      <c r="D87" s="671"/>
      <c r="E87" s="671"/>
      <c r="F87" s="671"/>
      <c r="G87" s="671"/>
      <c r="H87" s="671"/>
      <c r="I87" s="671"/>
      <c r="J87" s="671"/>
      <c r="K87" s="671"/>
      <c r="L87" s="671"/>
      <c r="M87" s="671"/>
      <c r="N87" s="671"/>
      <c r="O87" s="671"/>
      <c r="P87" s="671"/>
      <c r="Q87" s="671"/>
      <c r="R87" s="671"/>
      <c r="S87" s="671"/>
      <c r="T87" s="671"/>
      <c r="U87" s="671"/>
      <c r="V87" s="671"/>
      <c r="W87" s="671"/>
      <c r="X87" s="671"/>
      <c r="Y87" s="671"/>
      <c r="Z87" s="671"/>
      <c r="AA87" s="671"/>
      <c r="AB87" s="671"/>
    </row>
    <row r="88" spans="1:28" ht="14.25" customHeight="1">
      <c r="A88" s="671"/>
      <c r="B88" s="671"/>
      <c r="C88" s="671"/>
      <c r="D88" s="671"/>
      <c r="E88" s="671"/>
      <c r="F88" s="671"/>
      <c r="G88" s="671"/>
      <c r="H88" s="671"/>
      <c r="I88" s="671"/>
      <c r="J88" s="671"/>
      <c r="K88" s="671"/>
      <c r="L88" s="671"/>
      <c r="M88" s="671"/>
      <c r="N88" s="671"/>
      <c r="O88" s="671"/>
      <c r="P88" s="671"/>
      <c r="Q88" s="671"/>
      <c r="R88" s="671"/>
      <c r="S88" s="671"/>
      <c r="T88" s="671"/>
      <c r="U88" s="671"/>
      <c r="V88" s="671"/>
      <c r="W88" s="671"/>
      <c r="X88" s="671"/>
      <c r="Y88" s="671"/>
      <c r="Z88" s="671"/>
      <c r="AA88" s="671"/>
      <c r="AB88" s="671"/>
    </row>
    <row r="89" spans="1:28" ht="14.25" customHeight="1">
      <c r="A89" s="671"/>
      <c r="B89" s="671"/>
      <c r="C89" s="671"/>
      <c r="D89" s="671"/>
      <c r="E89" s="671"/>
      <c r="F89" s="671"/>
      <c r="G89" s="671"/>
      <c r="H89" s="671"/>
      <c r="I89" s="671"/>
      <c r="J89" s="671"/>
      <c r="K89" s="671"/>
      <c r="L89" s="671"/>
      <c r="M89" s="671"/>
      <c r="N89" s="671"/>
      <c r="O89" s="671"/>
      <c r="P89" s="671"/>
      <c r="Q89" s="671"/>
      <c r="R89" s="671"/>
      <c r="S89" s="671"/>
      <c r="T89" s="671"/>
      <c r="U89" s="671"/>
      <c r="V89" s="671"/>
      <c r="W89" s="671"/>
      <c r="X89" s="671"/>
      <c r="Y89" s="671"/>
      <c r="Z89" s="671"/>
      <c r="AA89" s="671"/>
      <c r="AB89" s="671"/>
    </row>
    <row r="90" spans="1:28" ht="14.25" customHeight="1">
      <c r="A90" s="671"/>
      <c r="B90" s="671"/>
      <c r="C90" s="671"/>
      <c r="D90" s="671"/>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row>
    <row r="91" spans="1:28" ht="14.25" customHeight="1">
      <c r="A91" s="671"/>
      <c r="B91" s="671"/>
      <c r="C91" s="671"/>
      <c r="D91" s="671"/>
      <c r="E91" s="671"/>
      <c r="F91" s="671"/>
      <c r="G91" s="671"/>
      <c r="H91" s="671"/>
      <c r="I91" s="671"/>
      <c r="J91" s="671"/>
      <c r="K91" s="671"/>
      <c r="L91" s="671"/>
      <c r="M91" s="671"/>
      <c r="N91" s="671"/>
      <c r="O91" s="671"/>
      <c r="P91" s="671"/>
      <c r="Q91" s="671"/>
      <c r="R91" s="671"/>
      <c r="S91" s="671"/>
      <c r="T91" s="671"/>
      <c r="U91" s="671"/>
      <c r="V91" s="671"/>
      <c r="W91" s="671"/>
      <c r="X91" s="671"/>
      <c r="Y91" s="671"/>
      <c r="Z91" s="671"/>
      <c r="AA91" s="671"/>
      <c r="AB91" s="671"/>
    </row>
    <row r="92" spans="1:28" ht="14.25" customHeight="1">
      <c r="A92" s="671"/>
      <c r="B92" s="671"/>
      <c r="C92" s="671"/>
      <c r="D92" s="671"/>
      <c r="E92" s="671"/>
      <c r="F92" s="671"/>
      <c r="G92" s="671"/>
      <c r="H92" s="671"/>
      <c r="I92" s="671"/>
      <c r="J92" s="671"/>
      <c r="K92" s="671"/>
      <c r="L92" s="671"/>
      <c r="M92" s="671"/>
      <c r="N92" s="671"/>
      <c r="O92" s="671"/>
      <c r="P92" s="671"/>
      <c r="Q92" s="671"/>
      <c r="R92" s="671"/>
      <c r="S92" s="671"/>
      <c r="T92" s="671"/>
      <c r="U92" s="671"/>
      <c r="V92" s="671"/>
      <c r="W92" s="671"/>
      <c r="X92" s="671"/>
      <c r="Y92" s="671"/>
      <c r="Z92" s="671"/>
      <c r="AA92" s="671"/>
      <c r="AB92" s="671"/>
    </row>
    <row r="93" spans="1:28" ht="14.25" customHeight="1">
      <c r="A93" s="671"/>
      <c r="B93" s="671"/>
      <c r="C93" s="671"/>
      <c r="D93" s="671"/>
      <c r="E93" s="671"/>
      <c r="F93" s="671"/>
      <c r="G93" s="671"/>
      <c r="H93" s="671"/>
      <c r="I93" s="671"/>
      <c r="J93" s="671"/>
      <c r="K93" s="671"/>
      <c r="L93" s="671"/>
      <c r="M93" s="671"/>
      <c r="N93" s="671"/>
      <c r="O93" s="671"/>
      <c r="P93" s="671"/>
      <c r="Q93" s="671"/>
      <c r="R93" s="671"/>
      <c r="S93" s="671"/>
      <c r="T93" s="671"/>
      <c r="U93" s="671"/>
      <c r="V93" s="671"/>
      <c r="W93" s="671"/>
      <c r="X93" s="671"/>
      <c r="Y93" s="671"/>
      <c r="Z93" s="671"/>
      <c r="AA93" s="671"/>
      <c r="AB93" s="671"/>
    </row>
    <row r="94" spans="1:28" ht="14.25" customHeight="1">
      <c r="A94" s="671"/>
      <c r="B94" s="671"/>
      <c r="C94" s="671"/>
      <c r="D94" s="671"/>
      <c r="E94" s="671"/>
      <c r="F94" s="671"/>
      <c r="G94" s="671"/>
      <c r="H94" s="671"/>
      <c r="I94" s="671"/>
      <c r="J94" s="671"/>
      <c r="K94" s="671"/>
      <c r="L94" s="671"/>
      <c r="M94" s="671"/>
      <c r="N94" s="671"/>
      <c r="O94" s="671"/>
      <c r="P94" s="671"/>
      <c r="Q94" s="671"/>
      <c r="R94" s="671"/>
      <c r="S94" s="671"/>
      <c r="T94" s="671"/>
      <c r="U94" s="671"/>
      <c r="V94" s="671"/>
      <c r="W94" s="671"/>
      <c r="X94" s="671"/>
      <c r="Y94" s="671"/>
      <c r="Z94" s="671"/>
      <c r="AA94" s="671"/>
      <c r="AB94" s="671"/>
    </row>
    <row r="95" spans="1:28" ht="14.25" customHeight="1">
      <c r="A95" s="671"/>
      <c r="B95" s="671"/>
      <c r="C95" s="671"/>
      <c r="D95" s="671"/>
      <c r="E95" s="671"/>
      <c r="F95" s="671"/>
      <c r="G95" s="671"/>
      <c r="H95" s="671"/>
      <c r="I95" s="671"/>
      <c r="J95" s="671"/>
      <c r="K95" s="671"/>
      <c r="L95" s="671"/>
      <c r="M95" s="671"/>
      <c r="N95" s="671"/>
      <c r="O95" s="671"/>
      <c r="P95" s="671"/>
      <c r="Q95" s="671"/>
      <c r="R95" s="671"/>
      <c r="S95" s="671"/>
      <c r="T95" s="671"/>
      <c r="U95" s="671"/>
      <c r="V95" s="671"/>
      <c r="W95" s="671"/>
      <c r="X95" s="671"/>
      <c r="Y95" s="671"/>
      <c r="Z95" s="671"/>
      <c r="AA95" s="671"/>
      <c r="AB95" s="671"/>
    </row>
    <row r="96" spans="1:28" ht="14.25" customHeight="1">
      <c r="A96" s="671"/>
      <c r="B96" s="671"/>
      <c r="C96" s="671"/>
      <c r="D96" s="671"/>
      <c r="E96" s="671"/>
      <c r="F96" s="671"/>
      <c r="G96" s="671"/>
      <c r="H96" s="671"/>
      <c r="I96" s="671"/>
      <c r="J96" s="671"/>
      <c r="K96" s="671"/>
      <c r="L96" s="671"/>
      <c r="M96" s="671"/>
      <c r="N96" s="671"/>
      <c r="O96" s="671"/>
      <c r="P96" s="671"/>
      <c r="Q96" s="671"/>
      <c r="R96" s="671"/>
      <c r="S96" s="671"/>
      <c r="T96" s="671"/>
      <c r="U96" s="671"/>
      <c r="V96" s="671"/>
      <c r="W96" s="671"/>
      <c r="X96" s="671"/>
      <c r="Y96" s="671"/>
      <c r="Z96" s="671"/>
      <c r="AA96" s="671"/>
      <c r="AB96" s="671"/>
    </row>
    <row r="97" spans="1:28" ht="14.25" customHeight="1">
      <c r="A97" s="671"/>
      <c r="B97" s="671"/>
      <c r="C97" s="671"/>
      <c r="D97" s="671"/>
      <c r="E97" s="671"/>
      <c r="F97" s="671"/>
      <c r="G97" s="671"/>
      <c r="H97" s="671"/>
      <c r="I97" s="671"/>
      <c r="J97" s="671"/>
      <c r="K97" s="671"/>
      <c r="L97" s="671"/>
      <c r="M97" s="671"/>
      <c r="N97" s="671"/>
      <c r="O97" s="671"/>
      <c r="P97" s="671"/>
      <c r="Q97" s="671"/>
      <c r="R97" s="671"/>
      <c r="S97" s="671"/>
      <c r="T97" s="671"/>
      <c r="U97" s="671"/>
      <c r="V97" s="671"/>
      <c r="W97" s="671"/>
      <c r="X97" s="671"/>
      <c r="Y97" s="671"/>
      <c r="Z97" s="671"/>
      <c r="AA97" s="671"/>
      <c r="AB97" s="671"/>
    </row>
    <row r="98" spans="1:28" ht="14.25" customHeight="1">
      <c r="A98" s="671"/>
      <c r="B98" s="671"/>
      <c r="C98" s="671"/>
      <c r="D98" s="671"/>
      <c r="E98" s="671"/>
      <c r="F98" s="671"/>
      <c r="G98" s="671"/>
      <c r="H98" s="671"/>
      <c r="I98" s="671"/>
      <c r="J98" s="671"/>
      <c r="K98" s="671"/>
      <c r="L98" s="671"/>
      <c r="M98" s="671"/>
      <c r="N98" s="671"/>
      <c r="O98" s="671"/>
      <c r="P98" s="671"/>
      <c r="Q98" s="671"/>
      <c r="R98" s="671"/>
      <c r="S98" s="671"/>
      <c r="T98" s="671"/>
      <c r="U98" s="671"/>
      <c r="V98" s="671"/>
      <c r="W98" s="671"/>
      <c r="X98" s="671"/>
      <c r="Y98" s="671"/>
      <c r="Z98" s="671"/>
      <c r="AA98" s="671"/>
      <c r="AB98" s="671"/>
    </row>
    <row r="99" spans="1:28" ht="14.25" customHeight="1">
      <c r="A99" s="671"/>
      <c r="B99" s="671"/>
      <c r="C99" s="671"/>
      <c r="D99" s="671"/>
      <c r="E99" s="671"/>
      <c r="F99" s="671"/>
      <c r="G99" s="671"/>
      <c r="H99" s="671"/>
      <c r="I99" s="671"/>
      <c r="J99" s="671"/>
      <c r="K99" s="671"/>
      <c r="L99" s="671"/>
      <c r="M99" s="671"/>
      <c r="N99" s="671"/>
      <c r="O99" s="671"/>
      <c r="P99" s="671"/>
      <c r="Q99" s="671"/>
      <c r="R99" s="671"/>
      <c r="S99" s="671"/>
      <c r="T99" s="671"/>
      <c r="U99" s="671"/>
      <c r="V99" s="671"/>
      <c r="W99" s="671"/>
      <c r="X99" s="671"/>
      <c r="Y99" s="671"/>
      <c r="Z99" s="671"/>
      <c r="AA99" s="671"/>
      <c r="AB99" s="671"/>
    </row>
    <row r="100" spans="1:28" ht="14.25" customHeight="1">
      <c r="A100" s="671"/>
      <c r="B100" s="671"/>
      <c r="C100" s="671"/>
      <c r="D100" s="671"/>
      <c r="E100" s="671"/>
      <c r="F100" s="671"/>
      <c r="G100" s="671"/>
      <c r="H100" s="671"/>
      <c r="I100" s="671"/>
      <c r="J100" s="671"/>
      <c r="K100" s="671"/>
      <c r="L100" s="671"/>
      <c r="M100" s="671"/>
      <c r="N100" s="671"/>
      <c r="O100" s="671"/>
      <c r="P100" s="671"/>
      <c r="Q100" s="671"/>
      <c r="R100" s="671"/>
      <c r="S100" s="671"/>
      <c r="T100" s="671"/>
      <c r="U100" s="671"/>
      <c r="V100" s="671"/>
      <c r="W100" s="671"/>
      <c r="X100" s="671"/>
      <c r="Y100" s="671"/>
      <c r="Z100" s="671"/>
      <c r="AA100" s="671"/>
      <c r="AB100" s="671"/>
    </row>
    <row r="101" spans="1:28" ht="14.25" customHeight="1">
      <c r="A101" s="671"/>
      <c r="B101" s="671"/>
      <c r="C101" s="671"/>
      <c r="D101" s="671"/>
      <c r="E101" s="671"/>
      <c r="F101" s="671"/>
      <c r="G101" s="671"/>
      <c r="H101" s="671"/>
      <c r="I101" s="671"/>
      <c r="J101" s="671"/>
      <c r="K101" s="671"/>
      <c r="L101" s="671"/>
      <c r="M101" s="671"/>
      <c r="N101" s="671"/>
      <c r="O101" s="671"/>
      <c r="P101" s="671"/>
      <c r="Q101" s="671"/>
      <c r="R101" s="671"/>
      <c r="S101" s="671"/>
      <c r="T101" s="671"/>
      <c r="U101" s="671"/>
      <c r="V101" s="671"/>
      <c r="W101" s="671"/>
      <c r="X101" s="671"/>
      <c r="Y101" s="671"/>
      <c r="Z101" s="671"/>
      <c r="AA101" s="671"/>
      <c r="AB101" s="671"/>
    </row>
    <row r="102" spans="1:28" ht="14.25" customHeight="1">
      <c r="A102" s="671"/>
      <c r="B102" s="671"/>
      <c r="C102" s="671"/>
      <c r="D102" s="671"/>
      <c r="E102" s="671"/>
      <c r="F102" s="671"/>
      <c r="G102" s="671"/>
      <c r="H102" s="671"/>
      <c r="I102" s="671"/>
      <c r="J102" s="671"/>
      <c r="K102" s="671"/>
      <c r="L102" s="671"/>
      <c r="M102" s="671"/>
      <c r="N102" s="671"/>
      <c r="O102" s="671"/>
      <c r="P102" s="671"/>
      <c r="Q102" s="671"/>
      <c r="R102" s="671"/>
      <c r="S102" s="671"/>
      <c r="T102" s="671"/>
      <c r="U102" s="671"/>
      <c r="V102" s="671"/>
      <c r="W102" s="671"/>
      <c r="X102" s="671"/>
      <c r="Y102" s="671"/>
      <c r="Z102" s="671"/>
      <c r="AA102" s="671"/>
      <c r="AB102" s="671"/>
    </row>
    <row r="103" spans="1:28" ht="14.25" customHeight="1">
      <c r="A103" s="671"/>
      <c r="B103" s="671"/>
      <c r="C103" s="671"/>
      <c r="D103" s="671"/>
      <c r="E103" s="671"/>
      <c r="F103" s="671"/>
      <c r="G103" s="671"/>
      <c r="H103" s="671"/>
      <c r="I103" s="671"/>
      <c r="J103" s="671"/>
      <c r="K103" s="671"/>
      <c r="L103" s="671"/>
      <c r="M103" s="671"/>
      <c r="N103" s="671"/>
      <c r="O103" s="671"/>
      <c r="P103" s="671"/>
      <c r="Q103" s="671"/>
      <c r="R103" s="671"/>
      <c r="S103" s="671"/>
      <c r="T103" s="671"/>
      <c r="U103" s="671"/>
      <c r="V103" s="671"/>
      <c r="W103" s="671"/>
      <c r="X103" s="671"/>
      <c r="Y103" s="671"/>
      <c r="Z103" s="671"/>
      <c r="AA103" s="671"/>
      <c r="AB103" s="671"/>
    </row>
    <row r="104" spans="1:28" ht="14.25" customHeight="1">
      <c r="A104" s="671"/>
      <c r="B104" s="671"/>
      <c r="C104" s="671"/>
      <c r="D104" s="671"/>
      <c r="E104" s="671"/>
      <c r="F104" s="671"/>
      <c r="G104" s="671"/>
      <c r="H104" s="671"/>
      <c r="I104" s="671"/>
      <c r="J104" s="671"/>
      <c r="K104" s="671"/>
      <c r="L104" s="671"/>
      <c r="M104" s="671"/>
      <c r="N104" s="671"/>
      <c r="O104" s="671"/>
      <c r="P104" s="671"/>
      <c r="Q104" s="671"/>
      <c r="R104" s="671"/>
      <c r="S104" s="671"/>
      <c r="T104" s="671"/>
      <c r="U104" s="671"/>
      <c r="V104" s="671"/>
      <c r="W104" s="671"/>
      <c r="X104" s="671"/>
      <c r="Y104" s="671"/>
      <c r="Z104" s="671"/>
      <c r="AA104" s="671"/>
      <c r="AB104" s="671"/>
    </row>
    <row r="105" spans="1:28" ht="14.25" customHeight="1">
      <c r="A105" s="671"/>
      <c r="B105" s="671"/>
      <c r="C105" s="671"/>
      <c r="D105" s="671"/>
      <c r="E105" s="671"/>
      <c r="F105" s="671"/>
      <c r="G105" s="671"/>
      <c r="H105" s="671"/>
      <c r="I105" s="671"/>
      <c r="J105" s="671"/>
      <c r="K105" s="671"/>
      <c r="L105" s="671"/>
      <c r="M105" s="671"/>
      <c r="N105" s="671"/>
      <c r="O105" s="671"/>
      <c r="P105" s="671"/>
      <c r="Q105" s="671"/>
      <c r="R105" s="671"/>
      <c r="S105" s="671"/>
      <c r="T105" s="671"/>
      <c r="U105" s="671"/>
      <c r="V105" s="671"/>
      <c r="W105" s="671"/>
      <c r="X105" s="671"/>
      <c r="Y105" s="671"/>
      <c r="Z105" s="671"/>
      <c r="AA105" s="671"/>
      <c r="AB105" s="671"/>
    </row>
    <row r="106" spans="1:28" ht="14.25" customHeight="1">
      <c r="A106" s="671"/>
      <c r="B106" s="671"/>
      <c r="C106" s="671"/>
      <c r="D106" s="671"/>
      <c r="E106" s="671"/>
      <c r="F106" s="671"/>
      <c r="G106" s="671"/>
      <c r="H106" s="671"/>
      <c r="I106" s="671"/>
      <c r="J106" s="671"/>
      <c r="K106" s="671"/>
      <c r="L106" s="671"/>
      <c r="M106" s="671"/>
      <c r="N106" s="671"/>
      <c r="O106" s="671"/>
      <c r="P106" s="671"/>
      <c r="Q106" s="671"/>
      <c r="R106" s="671"/>
      <c r="S106" s="671"/>
      <c r="T106" s="671"/>
      <c r="U106" s="671"/>
      <c r="V106" s="671"/>
      <c r="W106" s="671"/>
      <c r="X106" s="671"/>
      <c r="Y106" s="671"/>
      <c r="Z106" s="671"/>
      <c r="AA106" s="671"/>
      <c r="AB106" s="671"/>
    </row>
    <row r="107" spans="1:28" ht="14.25" customHeight="1">
      <c r="A107" s="671"/>
      <c r="B107" s="671"/>
      <c r="C107" s="671"/>
      <c r="D107" s="671"/>
      <c r="E107" s="671"/>
      <c r="F107" s="671"/>
      <c r="G107" s="671"/>
      <c r="H107" s="671"/>
      <c r="I107" s="671"/>
      <c r="J107" s="671"/>
      <c r="K107" s="671"/>
      <c r="L107" s="671"/>
      <c r="M107" s="671"/>
      <c r="N107" s="671"/>
      <c r="O107" s="671"/>
      <c r="P107" s="671"/>
      <c r="Q107" s="671"/>
      <c r="R107" s="671"/>
      <c r="S107" s="671"/>
      <c r="T107" s="671"/>
      <c r="U107" s="671"/>
      <c r="V107" s="671"/>
      <c r="W107" s="671"/>
      <c r="X107" s="671"/>
      <c r="Y107" s="671"/>
      <c r="Z107" s="671"/>
      <c r="AA107" s="671"/>
      <c r="AB107" s="671"/>
    </row>
    <row r="108" spans="1:28" ht="14.25" customHeight="1">
      <c r="A108" s="671"/>
      <c r="B108" s="671"/>
      <c r="C108" s="671"/>
      <c r="D108" s="671"/>
      <c r="E108" s="671"/>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row>
    <row r="109" spans="1:28" ht="14.25" customHeight="1">
      <c r="A109" s="671"/>
      <c r="B109" s="671"/>
      <c r="C109" s="671"/>
      <c r="D109" s="671"/>
      <c r="E109" s="671"/>
      <c r="F109" s="671"/>
      <c r="G109" s="671"/>
      <c r="H109" s="671"/>
      <c r="I109" s="671"/>
      <c r="J109" s="671"/>
      <c r="K109" s="671"/>
      <c r="L109" s="671"/>
      <c r="M109" s="671"/>
      <c r="N109" s="671"/>
      <c r="O109" s="671"/>
      <c r="P109" s="671"/>
      <c r="Q109" s="671"/>
      <c r="R109" s="671"/>
      <c r="S109" s="671"/>
      <c r="T109" s="671"/>
      <c r="U109" s="671"/>
      <c r="V109" s="671"/>
      <c r="W109" s="671"/>
      <c r="X109" s="671"/>
      <c r="Y109" s="671"/>
      <c r="Z109" s="671"/>
      <c r="AA109" s="671"/>
      <c r="AB109" s="671"/>
    </row>
    <row r="110" spans="1:28" ht="14.25" customHeight="1">
      <c r="A110" s="671"/>
      <c r="B110" s="671"/>
      <c r="C110" s="671"/>
      <c r="D110" s="671"/>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row>
    <row r="111" spans="1:28" ht="14.25" customHeight="1">
      <c r="A111" s="671"/>
      <c r="B111" s="671"/>
      <c r="C111" s="671"/>
      <c r="D111" s="671"/>
      <c r="E111" s="671"/>
      <c r="F111" s="671"/>
      <c r="G111" s="671"/>
      <c r="H111" s="671"/>
      <c r="I111" s="671"/>
      <c r="J111" s="671"/>
      <c r="K111" s="671"/>
      <c r="L111" s="671"/>
      <c r="M111" s="671"/>
      <c r="N111" s="671"/>
      <c r="O111" s="671"/>
      <c r="P111" s="671"/>
      <c r="Q111" s="671"/>
      <c r="R111" s="671"/>
      <c r="S111" s="671"/>
      <c r="T111" s="671"/>
      <c r="U111" s="671"/>
      <c r="V111" s="671"/>
      <c r="W111" s="671"/>
      <c r="X111" s="671"/>
      <c r="Y111" s="671"/>
      <c r="Z111" s="671"/>
      <c r="AA111" s="671"/>
      <c r="AB111" s="671"/>
    </row>
    <row r="112" spans="1:28" ht="14.25" customHeight="1">
      <c r="A112" s="671"/>
      <c r="B112" s="671"/>
      <c r="C112" s="671"/>
      <c r="D112" s="671"/>
      <c r="E112" s="671"/>
      <c r="F112" s="671"/>
      <c r="G112" s="671"/>
      <c r="H112" s="671"/>
      <c r="I112" s="671"/>
      <c r="J112" s="671"/>
      <c r="K112" s="671"/>
      <c r="L112" s="671"/>
      <c r="M112" s="671"/>
      <c r="N112" s="671"/>
      <c r="O112" s="671"/>
      <c r="P112" s="671"/>
      <c r="Q112" s="671"/>
      <c r="R112" s="671"/>
      <c r="S112" s="671"/>
      <c r="T112" s="671"/>
      <c r="U112" s="671"/>
      <c r="V112" s="671"/>
      <c r="W112" s="671"/>
      <c r="X112" s="671"/>
      <c r="Y112" s="671"/>
      <c r="Z112" s="671"/>
      <c r="AA112" s="671"/>
      <c r="AB112" s="671"/>
    </row>
    <row r="113" spans="1:28" ht="14.25" customHeight="1">
      <c r="A113" s="671"/>
      <c r="B113" s="671"/>
      <c r="C113" s="671"/>
      <c r="D113" s="671"/>
      <c r="E113" s="671"/>
      <c r="F113" s="671"/>
      <c r="G113" s="671"/>
      <c r="H113" s="671"/>
      <c r="I113" s="671"/>
      <c r="J113" s="671"/>
      <c r="K113" s="671"/>
      <c r="L113" s="671"/>
      <c r="M113" s="671"/>
      <c r="N113" s="671"/>
      <c r="O113" s="671"/>
      <c r="P113" s="671"/>
      <c r="Q113" s="671"/>
      <c r="R113" s="671"/>
      <c r="S113" s="671"/>
      <c r="T113" s="671"/>
      <c r="U113" s="671"/>
      <c r="V113" s="671"/>
      <c r="W113" s="671"/>
      <c r="X113" s="671"/>
      <c r="Y113" s="671"/>
      <c r="Z113" s="671"/>
      <c r="AA113" s="671"/>
      <c r="AB113" s="671"/>
    </row>
    <row r="114" spans="1:28" ht="14.25" customHeight="1">
      <c r="A114" s="671"/>
      <c r="B114" s="671"/>
      <c r="C114" s="671"/>
      <c r="D114" s="671"/>
      <c r="E114" s="671"/>
      <c r="F114" s="671"/>
      <c r="G114" s="671"/>
      <c r="H114" s="671"/>
      <c r="I114" s="671"/>
      <c r="J114" s="671"/>
      <c r="K114" s="671"/>
      <c r="L114" s="671"/>
      <c r="M114" s="671"/>
      <c r="N114" s="671"/>
      <c r="O114" s="671"/>
      <c r="P114" s="671"/>
      <c r="Q114" s="671"/>
      <c r="R114" s="671"/>
      <c r="S114" s="671"/>
      <c r="T114" s="671"/>
      <c r="U114" s="671"/>
      <c r="V114" s="671"/>
      <c r="W114" s="671"/>
      <c r="X114" s="671"/>
      <c r="Y114" s="671"/>
      <c r="Z114" s="671"/>
      <c r="AA114" s="671"/>
      <c r="AB114" s="671"/>
    </row>
    <row r="115" spans="1:28" ht="14.25" customHeight="1">
      <c r="A115" s="671"/>
      <c r="B115" s="671"/>
      <c r="C115" s="671"/>
      <c r="D115" s="671"/>
      <c r="E115" s="671"/>
      <c r="F115" s="671"/>
      <c r="G115" s="671"/>
      <c r="H115" s="671"/>
      <c r="I115" s="671"/>
      <c r="J115" s="671"/>
      <c r="K115" s="671"/>
      <c r="L115" s="671"/>
      <c r="M115" s="671"/>
      <c r="N115" s="671"/>
      <c r="O115" s="671"/>
      <c r="P115" s="671"/>
      <c r="Q115" s="671"/>
      <c r="R115" s="671"/>
      <c r="S115" s="671"/>
      <c r="T115" s="671"/>
      <c r="U115" s="671"/>
      <c r="V115" s="671"/>
      <c r="W115" s="671"/>
      <c r="X115" s="671"/>
      <c r="Y115" s="671"/>
      <c r="Z115" s="671"/>
      <c r="AA115" s="671"/>
      <c r="AB115" s="671"/>
    </row>
    <row r="116" spans="1:28" ht="14.25" customHeight="1">
      <c r="A116" s="671"/>
      <c r="B116" s="671"/>
      <c r="C116" s="671"/>
      <c r="D116" s="671"/>
      <c r="E116" s="671"/>
      <c r="F116" s="671"/>
      <c r="G116" s="671"/>
      <c r="H116" s="671"/>
      <c r="I116" s="671"/>
      <c r="J116" s="671"/>
      <c r="K116" s="671"/>
      <c r="L116" s="671"/>
      <c r="M116" s="671"/>
      <c r="N116" s="671"/>
      <c r="O116" s="671"/>
      <c r="P116" s="671"/>
      <c r="Q116" s="671"/>
      <c r="R116" s="671"/>
      <c r="S116" s="671"/>
      <c r="T116" s="671"/>
      <c r="U116" s="671"/>
      <c r="V116" s="671"/>
      <c r="W116" s="671"/>
      <c r="X116" s="671"/>
      <c r="Y116" s="671"/>
      <c r="Z116" s="671"/>
      <c r="AA116" s="671"/>
      <c r="AB116" s="671"/>
    </row>
    <row r="117" spans="1:28" ht="14.25" customHeight="1">
      <c r="A117" s="671"/>
      <c r="B117" s="671"/>
      <c r="C117" s="671"/>
      <c r="D117" s="671"/>
      <c r="E117" s="671"/>
      <c r="F117" s="671"/>
      <c r="G117" s="671"/>
      <c r="H117" s="671"/>
      <c r="I117" s="671"/>
      <c r="J117" s="671"/>
      <c r="K117" s="671"/>
      <c r="L117" s="671"/>
      <c r="M117" s="671"/>
      <c r="N117" s="671"/>
      <c r="O117" s="671"/>
      <c r="P117" s="671"/>
      <c r="Q117" s="671"/>
      <c r="R117" s="671"/>
      <c r="S117" s="671"/>
      <c r="T117" s="671"/>
      <c r="U117" s="671"/>
      <c r="V117" s="671"/>
      <c r="W117" s="671"/>
      <c r="X117" s="671"/>
      <c r="Y117" s="671"/>
      <c r="Z117" s="671"/>
      <c r="AA117" s="671"/>
      <c r="AB117" s="671"/>
    </row>
    <row r="118" spans="1:28" ht="14.25" customHeight="1">
      <c r="A118" s="671"/>
      <c r="B118" s="671"/>
      <c r="C118" s="671"/>
      <c r="D118" s="671"/>
      <c r="E118" s="671"/>
      <c r="F118" s="671"/>
      <c r="G118" s="671"/>
      <c r="H118" s="671"/>
      <c r="I118" s="671"/>
      <c r="J118" s="671"/>
      <c r="K118" s="671"/>
      <c r="L118" s="671"/>
      <c r="M118" s="671"/>
      <c r="N118" s="671"/>
      <c r="O118" s="671"/>
      <c r="P118" s="671"/>
      <c r="Q118" s="671"/>
      <c r="R118" s="671"/>
      <c r="S118" s="671"/>
      <c r="T118" s="671"/>
      <c r="U118" s="671"/>
      <c r="V118" s="671"/>
      <c r="W118" s="671"/>
      <c r="X118" s="671"/>
      <c r="Y118" s="671"/>
      <c r="Z118" s="671"/>
      <c r="AA118" s="671"/>
      <c r="AB118" s="671"/>
    </row>
    <row r="119" spans="1:28" ht="14.25" customHeight="1">
      <c r="A119" s="671"/>
      <c r="B119" s="671"/>
      <c r="C119" s="671"/>
      <c r="D119" s="671"/>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671"/>
      <c r="AA119" s="671"/>
      <c r="AB119" s="671"/>
    </row>
    <row r="120" spans="1:28" ht="14.25" customHeight="1">
      <c r="A120" s="671"/>
      <c r="B120" s="671"/>
      <c r="C120" s="671"/>
      <c r="D120" s="671"/>
      <c r="E120" s="671"/>
      <c r="F120" s="671"/>
      <c r="G120" s="671"/>
      <c r="H120" s="671"/>
      <c r="I120" s="671"/>
      <c r="J120" s="671"/>
      <c r="K120" s="671"/>
      <c r="L120" s="671"/>
      <c r="M120" s="671"/>
      <c r="N120" s="671"/>
      <c r="O120" s="671"/>
      <c r="P120" s="671"/>
      <c r="Q120" s="671"/>
      <c r="R120" s="671"/>
      <c r="S120" s="671"/>
      <c r="T120" s="671"/>
      <c r="U120" s="671"/>
      <c r="V120" s="671"/>
      <c r="W120" s="671"/>
      <c r="X120" s="671"/>
      <c r="Y120" s="671"/>
      <c r="Z120" s="671"/>
      <c r="AA120" s="671"/>
      <c r="AB120" s="671"/>
    </row>
    <row r="121" spans="1:28" ht="14.25" customHeight="1">
      <c r="A121" s="671"/>
      <c r="B121" s="671"/>
      <c r="C121" s="671"/>
      <c r="D121" s="671"/>
      <c r="E121" s="671"/>
      <c r="F121" s="671"/>
      <c r="G121" s="671"/>
      <c r="H121" s="671"/>
      <c r="I121" s="671"/>
      <c r="J121" s="671"/>
      <c r="K121" s="671"/>
      <c r="L121" s="671"/>
      <c r="M121" s="671"/>
      <c r="N121" s="671"/>
      <c r="O121" s="671"/>
      <c r="P121" s="671"/>
      <c r="Q121" s="671"/>
      <c r="R121" s="671"/>
      <c r="S121" s="671"/>
      <c r="T121" s="671"/>
      <c r="U121" s="671"/>
      <c r="V121" s="671"/>
      <c r="W121" s="671"/>
      <c r="X121" s="671"/>
      <c r="Y121" s="671"/>
      <c r="Z121" s="671"/>
      <c r="AA121" s="671"/>
      <c r="AB121" s="671"/>
    </row>
    <row r="122" spans="1:28" ht="14.25" customHeight="1">
      <c r="A122" s="671"/>
      <c r="B122" s="671"/>
      <c r="C122" s="671"/>
      <c r="D122" s="671"/>
      <c r="E122" s="671"/>
      <c r="F122" s="671"/>
      <c r="G122" s="671"/>
      <c r="H122" s="671"/>
      <c r="I122" s="671"/>
      <c r="J122" s="671"/>
      <c r="K122" s="671"/>
      <c r="L122" s="671"/>
      <c r="M122" s="671"/>
      <c r="N122" s="671"/>
      <c r="O122" s="671"/>
      <c r="P122" s="671"/>
      <c r="Q122" s="671"/>
      <c r="R122" s="671"/>
      <c r="S122" s="671"/>
      <c r="T122" s="671"/>
      <c r="U122" s="671"/>
      <c r="V122" s="671"/>
      <c r="W122" s="671"/>
      <c r="X122" s="671"/>
      <c r="Y122" s="671"/>
      <c r="Z122" s="671"/>
      <c r="AA122" s="671"/>
      <c r="AB122" s="671"/>
    </row>
    <row r="123" spans="1:28" ht="14.25" customHeight="1">
      <c r="A123" s="671"/>
      <c r="B123" s="671"/>
      <c r="C123" s="671"/>
      <c r="D123" s="671"/>
      <c r="E123" s="671"/>
      <c r="F123" s="671"/>
      <c r="G123" s="671"/>
      <c r="H123" s="671"/>
      <c r="I123" s="671"/>
      <c r="J123" s="671"/>
      <c r="K123" s="671"/>
      <c r="L123" s="671"/>
      <c r="M123" s="671"/>
      <c r="N123" s="671"/>
      <c r="O123" s="671"/>
      <c r="P123" s="671"/>
      <c r="Q123" s="671"/>
      <c r="R123" s="671"/>
      <c r="S123" s="671"/>
      <c r="T123" s="671"/>
      <c r="U123" s="671"/>
      <c r="V123" s="671"/>
      <c r="W123" s="671"/>
      <c r="X123" s="671"/>
      <c r="Y123" s="671"/>
      <c r="Z123" s="671"/>
      <c r="AA123" s="671"/>
      <c r="AB123" s="671"/>
    </row>
    <row r="124" spans="1:28" ht="14.25" customHeight="1">
      <c r="A124" s="671"/>
      <c r="B124" s="671"/>
      <c r="C124" s="671"/>
      <c r="D124" s="671"/>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671"/>
      <c r="AA124" s="671"/>
      <c r="AB124" s="671"/>
    </row>
    <row r="125" spans="1:28" ht="14.25" customHeight="1">
      <c r="A125" s="671"/>
      <c r="B125" s="671"/>
      <c r="C125" s="671"/>
      <c r="D125" s="671"/>
      <c r="E125" s="671"/>
      <c r="F125" s="671"/>
      <c r="G125" s="671"/>
      <c r="H125" s="671"/>
      <c r="I125" s="671"/>
      <c r="J125" s="671"/>
      <c r="K125" s="671"/>
      <c r="L125" s="671"/>
      <c r="M125" s="671"/>
      <c r="N125" s="671"/>
      <c r="O125" s="671"/>
      <c r="P125" s="671"/>
      <c r="Q125" s="671"/>
      <c r="R125" s="671"/>
      <c r="S125" s="671"/>
      <c r="T125" s="671"/>
      <c r="U125" s="671"/>
      <c r="V125" s="671"/>
      <c r="W125" s="671"/>
      <c r="X125" s="671"/>
      <c r="Y125" s="671"/>
      <c r="Z125" s="671"/>
      <c r="AA125" s="671"/>
      <c r="AB125" s="671"/>
    </row>
    <row r="126" spans="1:28" ht="14.25" customHeight="1">
      <c r="A126" s="671"/>
      <c r="B126" s="671"/>
      <c r="C126" s="671"/>
      <c r="D126" s="671"/>
      <c r="E126" s="671"/>
      <c r="F126" s="671"/>
      <c r="G126" s="671"/>
      <c r="H126" s="671"/>
      <c r="I126" s="671"/>
      <c r="J126" s="671"/>
      <c r="K126" s="671"/>
      <c r="L126" s="671"/>
      <c r="M126" s="671"/>
      <c r="N126" s="671"/>
      <c r="O126" s="671"/>
      <c r="P126" s="671"/>
      <c r="Q126" s="671"/>
      <c r="R126" s="671"/>
      <c r="S126" s="671"/>
      <c r="T126" s="671"/>
      <c r="U126" s="671"/>
      <c r="V126" s="671"/>
      <c r="W126" s="671"/>
      <c r="X126" s="671"/>
      <c r="Y126" s="671"/>
      <c r="Z126" s="671"/>
      <c r="AA126" s="671"/>
      <c r="AB126" s="671"/>
    </row>
    <row r="127" spans="1:28" ht="14.25" customHeight="1">
      <c r="A127" s="671"/>
      <c r="B127" s="671"/>
      <c r="C127" s="671"/>
      <c r="D127" s="671"/>
      <c r="E127" s="671"/>
      <c r="F127" s="671"/>
      <c r="G127" s="671"/>
      <c r="H127" s="671"/>
      <c r="I127" s="671"/>
      <c r="J127" s="671"/>
      <c r="K127" s="671"/>
      <c r="L127" s="671"/>
      <c r="M127" s="671"/>
      <c r="N127" s="671"/>
      <c r="O127" s="671"/>
      <c r="P127" s="671"/>
      <c r="Q127" s="671"/>
      <c r="R127" s="671"/>
      <c r="S127" s="671"/>
      <c r="T127" s="671"/>
      <c r="U127" s="671"/>
      <c r="V127" s="671"/>
      <c r="W127" s="671"/>
      <c r="X127" s="671"/>
      <c r="Y127" s="671"/>
      <c r="Z127" s="671"/>
      <c r="AA127" s="671"/>
      <c r="AB127" s="671"/>
    </row>
    <row r="128" spans="1:28" ht="14.25" customHeight="1">
      <c r="A128" s="671"/>
      <c r="B128" s="671"/>
      <c r="C128" s="671"/>
      <c r="D128" s="671"/>
      <c r="E128" s="671"/>
      <c r="F128" s="671"/>
      <c r="G128" s="671"/>
      <c r="H128" s="671"/>
      <c r="I128" s="671"/>
      <c r="J128" s="671"/>
      <c r="K128" s="671"/>
      <c r="L128" s="671"/>
      <c r="M128" s="671"/>
      <c r="N128" s="671"/>
      <c r="O128" s="671"/>
      <c r="P128" s="671"/>
      <c r="Q128" s="671"/>
      <c r="R128" s="671"/>
      <c r="S128" s="671"/>
      <c r="T128" s="671"/>
      <c r="U128" s="671"/>
      <c r="V128" s="671"/>
      <c r="W128" s="671"/>
      <c r="X128" s="671"/>
      <c r="Y128" s="671"/>
      <c r="Z128" s="671"/>
      <c r="AA128" s="671"/>
      <c r="AB128" s="671"/>
    </row>
    <row r="129" spans="1:28" ht="14.25" customHeight="1">
      <c r="A129" s="671"/>
      <c r="B129" s="671"/>
      <c r="C129" s="671"/>
      <c r="D129" s="671"/>
      <c r="E129" s="671"/>
      <c r="F129" s="671"/>
      <c r="G129" s="671"/>
      <c r="H129" s="671"/>
      <c r="I129" s="671"/>
      <c r="J129" s="671"/>
      <c r="K129" s="671"/>
      <c r="L129" s="671"/>
      <c r="M129" s="671"/>
      <c r="N129" s="671"/>
      <c r="O129" s="671"/>
      <c r="P129" s="671"/>
      <c r="Q129" s="671"/>
      <c r="R129" s="671"/>
      <c r="S129" s="671"/>
      <c r="T129" s="671"/>
      <c r="U129" s="671"/>
      <c r="V129" s="671"/>
      <c r="W129" s="671"/>
      <c r="X129" s="671"/>
      <c r="Y129" s="671"/>
      <c r="Z129" s="671"/>
      <c r="AA129" s="671"/>
      <c r="AB129" s="671"/>
    </row>
    <row r="130" spans="1:28" ht="14.25" customHeight="1">
      <c r="A130" s="671"/>
      <c r="B130" s="671"/>
      <c r="C130" s="671"/>
      <c r="D130" s="671"/>
      <c r="E130" s="671"/>
      <c r="F130" s="671"/>
      <c r="G130" s="671"/>
      <c r="H130" s="671"/>
      <c r="I130" s="671"/>
      <c r="J130" s="671"/>
      <c r="K130" s="671"/>
      <c r="L130" s="671"/>
      <c r="M130" s="671"/>
      <c r="N130" s="671"/>
      <c r="O130" s="671"/>
      <c r="P130" s="671"/>
      <c r="Q130" s="671"/>
      <c r="R130" s="671"/>
      <c r="S130" s="671"/>
      <c r="T130" s="671"/>
      <c r="U130" s="671"/>
      <c r="V130" s="671"/>
      <c r="W130" s="671"/>
      <c r="X130" s="671"/>
      <c r="Y130" s="671"/>
      <c r="Z130" s="671"/>
      <c r="AA130" s="671"/>
      <c r="AB130" s="671"/>
    </row>
    <row r="131" spans="1:28" ht="14.25" customHeight="1">
      <c r="A131" s="671"/>
      <c r="B131" s="671"/>
      <c r="C131" s="671"/>
      <c r="D131" s="671"/>
      <c r="E131" s="671"/>
      <c r="F131" s="671"/>
      <c r="G131" s="671"/>
      <c r="H131" s="671"/>
      <c r="I131" s="671"/>
      <c r="J131" s="671"/>
      <c r="K131" s="671"/>
      <c r="L131" s="671"/>
      <c r="M131" s="671"/>
      <c r="N131" s="671"/>
      <c r="O131" s="671"/>
      <c r="P131" s="671"/>
      <c r="Q131" s="671"/>
      <c r="R131" s="671"/>
      <c r="S131" s="671"/>
      <c r="T131" s="671"/>
      <c r="U131" s="671"/>
      <c r="V131" s="671"/>
      <c r="W131" s="671"/>
      <c r="X131" s="671"/>
      <c r="Y131" s="671"/>
      <c r="Z131" s="671"/>
      <c r="AA131" s="671"/>
      <c r="AB131" s="671"/>
    </row>
    <row r="132" spans="1:28" ht="14.25" customHeight="1">
      <c r="A132" s="671"/>
      <c r="B132" s="671"/>
      <c r="C132" s="671"/>
      <c r="D132" s="671"/>
      <c r="E132" s="671"/>
      <c r="F132" s="671"/>
      <c r="G132" s="671"/>
      <c r="H132" s="671"/>
      <c r="I132" s="671"/>
      <c r="J132" s="671"/>
      <c r="K132" s="671"/>
      <c r="L132" s="671"/>
      <c r="M132" s="671"/>
      <c r="N132" s="671"/>
      <c r="O132" s="671"/>
      <c r="P132" s="671"/>
      <c r="Q132" s="671"/>
      <c r="R132" s="671"/>
      <c r="S132" s="671"/>
      <c r="T132" s="671"/>
      <c r="U132" s="671"/>
      <c r="V132" s="671"/>
      <c r="W132" s="671"/>
      <c r="X132" s="671"/>
      <c r="Y132" s="671"/>
      <c r="Z132" s="671"/>
      <c r="AA132" s="671"/>
      <c r="AB132" s="671"/>
    </row>
    <row r="133" spans="1:28" ht="14.25" customHeight="1">
      <c r="A133" s="671"/>
      <c r="B133" s="671"/>
      <c r="C133" s="671"/>
      <c r="D133" s="671"/>
      <c r="E133" s="671"/>
      <c r="F133" s="671"/>
      <c r="G133" s="671"/>
      <c r="H133" s="671"/>
      <c r="I133" s="671"/>
      <c r="J133" s="671"/>
      <c r="K133" s="671"/>
      <c r="L133" s="671"/>
      <c r="M133" s="671"/>
      <c r="N133" s="671"/>
      <c r="O133" s="671"/>
      <c r="P133" s="671"/>
      <c r="Q133" s="671"/>
      <c r="R133" s="671"/>
      <c r="S133" s="671"/>
      <c r="T133" s="671"/>
      <c r="U133" s="671"/>
      <c r="V133" s="671"/>
      <c r="W133" s="671"/>
      <c r="X133" s="671"/>
      <c r="Y133" s="671"/>
      <c r="Z133" s="671"/>
      <c r="AA133" s="671"/>
      <c r="AB133" s="671"/>
    </row>
    <row r="134" spans="1:28" ht="14.25" customHeight="1">
      <c r="A134" s="671"/>
      <c r="B134" s="671"/>
      <c r="C134" s="671"/>
      <c r="D134" s="671"/>
      <c r="E134" s="671"/>
      <c r="F134" s="671"/>
      <c r="G134" s="671"/>
      <c r="H134" s="671"/>
      <c r="I134" s="671"/>
      <c r="J134" s="671"/>
      <c r="K134" s="671"/>
      <c r="L134" s="671"/>
      <c r="M134" s="671"/>
      <c r="N134" s="671"/>
      <c r="O134" s="671"/>
      <c r="P134" s="671"/>
      <c r="Q134" s="671"/>
      <c r="R134" s="671"/>
      <c r="S134" s="671"/>
      <c r="T134" s="671"/>
      <c r="U134" s="671"/>
      <c r="V134" s="671"/>
      <c r="W134" s="671"/>
      <c r="X134" s="671"/>
      <c r="Y134" s="671"/>
      <c r="Z134" s="671"/>
      <c r="AA134" s="671"/>
      <c r="AB134" s="671"/>
    </row>
    <row r="135" spans="1:28" ht="14.25" customHeight="1">
      <c r="A135" s="671"/>
      <c r="B135" s="671"/>
      <c r="C135" s="671"/>
      <c r="D135" s="671"/>
      <c r="E135" s="671"/>
      <c r="F135" s="671"/>
      <c r="G135" s="671"/>
      <c r="H135" s="671"/>
      <c r="I135" s="671"/>
      <c r="J135" s="671"/>
      <c r="K135" s="671"/>
      <c r="L135" s="671"/>
      <c r="M135" s="671"/>
      <c r="N135" s="671"/>
      <c r="O135" s="671"/>
      <c r="P135" s="671"/>
      <c r="Q135" s="671"/>
      <c r="R135" s="671"/>
      <c r="S135" s="671"/>
      <c r="T135" s="671"/>
      <c r="U135" s="671"/>
      <c r="V135" s="671"/>
      <c r="W135" s="671"/>
      <c r="X135" s="671"/>
      <c r="Y135" s="671"/>
      <c r="Z135" s="671"/>
      <c r="AA135" s="671"/>
      <c r="AB135" s="671"/>
    </row>
    <row r="136" spans="1:28" ht="14.25" customHeight="1">
      <c r="A136" s="671"/>
      <c r="B136" s="671"/>
      <c r="C136" s="671"/>
      <c r="D136" s="671"/>
      <c r="E136" s="671"/>
      <c r="F136" s="671"/>
      <c r="G136" s="671"/>
      <c r="H136" s="671"/>
      <c r="I136" s="671"/>
      <c r="J136" s="671"/>
      <c r="K136" s="671"/>
      <c r="L136" s="671"/>
      <c r="M136" s="671"/>
      <c r="N136" s="671"/>
      <c r="O136" s="671"/>
      <c r="P136" s="671"/>
      <c r="Q136" s="671"/>
      <c r="R136" s="671"/>
      <c r="S136" s="671"/>
      <c r="T136" s="671"/>
      <c r="U136" s="671"/>
      <c r="V136" s="671"/>
      <c r="W136" s="671"/>
      <c r="X136" s="671"/>
      <c r="Y136" s="671"/>
      <c r="Z136" s="671"/>
      <c r="AA136" s="671"/>
      <c r="AB136" s="671"/>
    </row>
    <row r="137" spans="1:28" ht="14.25" customHeight="1">
      <c r="A137" s="671"/>
      <c r="B137" s="671"/>
      <c r="C137" s="671"/>
      <c r="D137" s="671"/>
      <c r="E137" s="671"/>
      <c r="F137" s="671"/>
      <c r="G137" s="671"/>
      <c r="H137" s="671"/>
      <c r="I137" s="671"/>
      <c r="J137" s="671"/>
      <c r="K137" s="671"/>
      <c r="L137" s="671"/>
      <c r="M137" s="671"/>
      <c r="N137" s="671"/>
      <c r="O137" s="671"/>
      <c r="P137" s="671"/>
      <c r="Q137" s="671"/>
      <c r="R137" s="671"/>
      <c r="S137" s="671"/>
      <c r="T137" s="671"/>
      <c r="U137" s="671"/>
      <c r="V137" s="671"/>
      <c r="W137" s="671"/>
      <c r="X137" s="671"/>
      <c r="Y137" s="671"/>
      <c r="Z137" s="671"/>
      <c r="AA137" s="671"/>
      <c r="AB137" s="671"/>
    </row>
    <row r="138" spans="1:28" ht="14.25" customHeight="1">
      <c r="A138" s="671"/>
      <c r="B138" s="671"/>
      <c r="C138" s="671"/>
      <c r="D138" s="671"/>
      <c r="E138" s="671"/>
      <c r="F138" s="671"/>
      <c r="G138" s="671"/>
      <c r="H138" s="671"/>
      <c r="I138" s="671"/>
      <c r="J138" s="671"/>
      <c r="K138" s="671"/>
      <c r="L138" s="671"/>
      <c r="M138" s="671"/>
      <c r="N138" s="671"/>
      <c r="O138" s="671"/>
      <c r="P138" s="671"/>
      <c r="Q138" s="671"/>
      <c r="R138" s="671"/>
      <c r="S138" s="671"/>
      <c r="T138" s="671"/>
      <c r="U138" s="671"/>
      <c r="V138" s="671"/>
      <c r="W138" s="671"/>
      <c r="X138" s="671"/>
      <c r="Y138" s="671"/>
      <c r="Z138" s="671"/>
      <c r="AA138" s="671"/>
      <c r="AB138" s="671"/>
    </row>
    <row r="139" spans="1:28" ht="14.25" customHeight="1">
      <c r="A139" s="671"/>
      <c r="B139" s="671"/>
      <c r="C139" s="671"/>
      <c r="D139" s="671"/>
      <c r="E139" s="671"/>
      <c r="F139" s="671"/>
      <c r="G139" s="671"/>
      <c r="H139" s="671"/>
      <c r="I139" s="671"/>
      <c r="J139" s="671"/>
      <c r="K139" s="671"/>
      <c r="L139" s="671"/>
      <c r="M139" s="671"/>
      <c r="N139" s="671"/>
      <c r="O139" s="671"/>
      <c r="P139" s="671"/>
      <c r="Q139" s="671"/>
      <c r="R139" s="671"/>
      <c r="S139" s="671"/>
      <c r="T139" s="671"/>
      <c r="U139" s="671"/>
      <c r="V139" s="671"/>
      <c r="W139" s="671"/>
      <c r="X139" s="671"/>
      <c r="Y139" s="671"/>
      <c r="Z139" s="671"/>
      <c r="AA139" s="671"/>
      <c r="AB139" s="671"/>
    </row>
    <row r="140" spans="1:28" ht="14.25" customHeight="1">
      <c r="A140" s="671"/>
      <c r="B140" s="671"/>
      <c r="C140" s="671"/>
      <c r="D140" s="671"/>
      <c r="E140" s="671"/>
      <c r="F140" s="671"/>
      <c r="G140" s="671"/>
      <c r="H140" s="671"/>
      <c r="I140" s="671"/>
      <c r="J140" s="671"/>
      <c r="K140" s="671"/>
      <c r="L140" s="671"/>
      <c r="M140" s="671"/>
      <c r="N140" s="671"/>
      <c r="O140" s="671"/>
      <c r="P140" s="671"/>
      <c r="Q140" s="671"/>
      <c r="R140" s="671"/>
      <c r="S140" s="671"/>
      <c r="T140" s="671"/>
      <c r="U140" s="671"/>
      <c r="V140" s="671"/>
      <c r="W140" s="671"/>
      <c r="X140" s="671"/>
      <c r="Y140" s="671"/>
      <c r="Z140" s="671"/>
      <c r="AA140" s="671"/>
      <c r="AB140" s="671"/>
    </row>
    <row r="141" spans="1:28" ht="14.25" customHeight="1">
      <c r="A141" s="671"/>
      <c r="B141" s="671"/>
      <c r="C141" s="671"/>
      <c r="D141" s="671"/>
      <c r="E141" s="671"/>
      <c r="F141" s="671"/>
      <c r="G141" s="671"/>
      <c r="H141" s="671"/>
      <c r="I141" s="671"/>
      <c r="J141" s="671"/>
      <c r="K141" s="671"/>
      <c r="L141" s="671"/>
      <c r="M141" s="671"/>
      <c r="N141" s="671"/>
      <c r="O141" s="671"/>
      <c r="P141" s="671"/>
      <c r="Q141" s="671"/>
      <c r="R141" s="671"/>
      <c r="S141" s="671"/>
      <c r="T141" s="671"/>
      <c r="U141" s="671"/>
      <c r="V141" s="671"/>
      <c r="W141" s="671"/>
      <c r="X141" s="671"/>
      <c r="Y141" s="671"/>
      <c r="Z141" s="671"/>
      <c r="AA141" s="671"/>
      <c r="AB141" s="671"/>
    </row>
    <row r="142" spans="1:28" ht="14.25" customHeight="1">
      <c r="A142" s="671"/>
      <c r="B142" s="671"/>
      <c r="C142" s="671"/>
      <c r="D142" s="671"/>
      <c r="E142" s="671"/>
      <c r="F142" s="671"/>
      <c r="G142" s="671"/>
      <c r="H142" s="671"/>
      <c r="I142" s="671"/>
      <c r="J142" s="671"/>
      <c r="K142" s="671"/>
      <c r="L142" s="671"/>
      <c r="M142" s="671"/>
      <c r="N142" s="671"/>
      <c r="O142" s="671"/>
      <c r="P142" s="671"/>
      <c r="Q142" s="671"/>
      <c r="R142" s="671"/>
      <c r="S142" s="671"/>
      <c r="T142" s="671"/>
      <c r="U142" s="671"/>
      <c r="V142" s="671"/>
      <c r="W142" s="671"/>
      <c r="X142" s="671"/>
      <c r="Y142" s="671"/>
      <c r="Z142" s="671"/>
      <c r="AA142" s="671"/>
      <c r="AB142" s="671"/>
    </row>
    <row r="143" spans="1:28" ht="14.25" customHeight="1">
      <c r="A143" s="671"/>
      <c r="B143" s="671"/>
      <c r="C143" s="671"/>
      <c r="D143" s="671"/>
      <c r="E143" s="671"/>
      <c r="F143" s="671"/>
      <c r="G143" s="671"/>
      <c r="H143" s="671"/>
      <c r="I143" s="671"/>
      <c r="J143" s="671"/>
      <c r="K143" s="671"/>
      <c r="L143" s="671"/>
      <c r="M143" s="671"/>
      <c r="N143" s="671"/>
      <c r="O143" s="671"/>
      <c r="P143" s="671"/>
      <c r="Q143" s="671"/>
      <c r="R143" s="671"/>
      <c r="S143" s="671"/>
      <c r="T143" s="671"/>
      <c r="U143" s="671"/>
      <c r="V143" s="671"/>
      <c r="W143" s="671"/>
      <c r="X143" s="671"/>
      <c r="Y143" s="671"/>
      <c r="Z143" s="671"/>
      <c r="AA143" s="671"/>
      <c r="AB143" s="671"/>
    </row>
    <row r="144" spans="1:28" ht="14.25" customHeight="1">
      <c r="A144" s="671"/>
      <c r="B144" s="671"/>
      <c r="C144" s="671"/>
      <c r="D144" s="671"/>
      <c r="E144" s="671"/>
      <c r="F144" s="671"/>
      <c r="G144" s="671"/>
      <c r="H144" s="671"/>
      <c r="I144" s="671"/>
      <c r="J144" s="671"/>
      <c r="K144" s="671"/>
      <c r="L144" s="671"/>
      <c r="M144" s="671"/>
      <c r="N144" s="671"/>
      <c r="O144" s="671"/>
      <c r="P144" s="671"/>
      <c r="Q144" s="671"/>
      <c r="R144" s="671"/>
      <c r="S144" s="671"/>
      <c r="T144" s="671"/>
      <c r="U144" s="671"/>
      <c r="V144" s="671"/>
      <c r="W144" s="671"/>
      <c r="X144" s="671"/>
      <c r="Y144" s="671"/>
      <c r="Z144" s="671"/>
      <c r="AA144" s="671"/>
      <c r="AB144" s="671"/>
    </row>
    <row r="145" spans="1:28" ht="14.25" customHeight="1">
      <c r="A145" s="671"/>
      <c r="B145" s="671"/>
      <c r="C145" s="671"/>
      <c r="D145" s="671"/>
      <c r="E145" s="671"/>
      <c r="F145" s="671"/>
      <c r="G145" s="671"/>
      <c r="H145" s="671"/>
      <c r="I145" s="671"/>
      <c r="J145" s="671"/>
      <c r="K145" s="671"/>
      <c r="L145" s="671"/>
      <c r="M145" s="671"/>
      <c r="N145" s="671"/>
      <c r="O145" s="671"/>
      <c r="P145" s="671"/>
      <c r="Q145" s="671"/>
      <c r="R145" s="671"/>
      <c r="S145" s="671"/>
      <c r="T145" s="671"/>
      <c r="U145" s="671"/>
      <c r="V145" s="671"/>
      <c r="W145" s="671"/>
      <c r="X145" s="671"/>
      <c r="Y145" s="671"/>
      <c r="Z145" s="671"/>
      <c r="AA145" s="671"/>
      <c r="AB145" s="671"/>
    </row>
    <row r="146" spans="1:28" ht="14.25" customHeight="1">
      <c r="A146" s="671"/>
      <c r="B146" s="671"/>
      <c r="C146" s="671"/>
      <c r="D146" s="671"/>
      <c r="E146" s="671"/>
      <c r="F146" s="671"/>
      <c r="G146" s="671"/>
      <c r="H146" s="671"/>
      <c r="I146" s="671"/>
      <c r="J146" s="671"/>
      <c r="K146" s="671"/>
      <c r="L146" s="671"/>
      <c r="M146" s="671"/>
      <c r="N146" s="671"/>
      <c r="O146" s="671"/>
      <c r="P146" s="671"/>
      <c r="Q146" s="671"/>
      <c r="R146" s="671"/>
      <c r="S146" s="671"/>
      <c r="T146" s="671"/>
      <c r="U146" s="671"/>
      <c r="V146" s="671"/>
      <c r="W146" s="671"/>
      <c r="X146" s="671"/>
      <c r="Y146" s="671"/>
      <c r="Z146" s="671"/>
      <c r="AA146" s="671"/>
      <c r="AB146" s="671"/>
    </row>
    <row r="147" spans="1:28" ht="14.25" customHeight="1">
      <c r="A147" s="671"/>
      <c r="B147" s="671"/>
      <c r="C147" s="671"/>
      <c r="D147" s="671"/>
      <c r="E147" s="671"/>
      <c r="F147" s="671"/>
      <c r="G147" s="671"/>
      <c r="H147" s="671"/>
      <c r="I147" s="671"/>
      <c r="J147" s="671"/>
      <c r="K147" s="671"/>
      <c r="L147" s="671"/>
      <c r="M147" s="671"/>
      <c r="N147" s="671"/>
      <c r="O147" s="671"/>
      <c r="P147" s="671"/>
      <c r="Q147" s="671"/>
      <c r="R147" s="671"/>
      <c r="S147" s="671"/>
      <c r="T147" s="671"/>
      <c r="U147" s="671"/>
      <c r="V147" s="671"/>
      <c r="W147" s="671"/>
      <c r="X147" s="671"/>
      <c r="Y147" s="671"/>
      <c r="Z147" s="671"/>
      <c r="AA147" s="671"/>
      <c r="AB147" s="671"/>
    </row>
    <row r="148" spans="1:28" ht="14.25" customHeight="1">
      <c r="A148" s="671"/>
      <c r="B148" s="671"/>
      <c r="C148" s="671"/>
      <c r="D148" s="671"/>
      <c r="E148" s="671"/>
      <c r="F148" s="671"/>
      <c r="G148" s="671"/>
      <c r="H148" s="671"/>
      <c r="I148" s="671"/>
      <c r="J148" s="671"/>
      <c r="K148" s="671"/>
      <c r="L148" s="671"/>
      <c r="M148" s="671"/>
      <c r="N148" s="671"/>
      <c r="O148" s="671"/>
      <c r="P148" s="671"/>
      <c r="Q148" s="671"/>
      <c r="R148" s="671"/>
      <c r="S148" s="671"/>
      <c r="T148" s="671"/>
      <c r="U148" s="671"/>
      <c r="V148" s="671"/>
      <c r="W148" s="671"/>
      <c r="X148" s="671"/>
      <c r="Y148" s="671"/>
      <c r="Z148" s="671"/>
      <c r="AA148" s="671"/>
      <c r="AB148" s="671"/>
    </row>
    <row r="149" spans="1:28" ht="14.25" customHeight="1">
      <c r="A149" s="671"/>
      <c r="B149" s="671"/>
      <c r="C149" s="671"/>
      <c r="D149" s="671"/>
      <c r="E149" s="671"/>
      <c r="F149" s="671"/>
      <c r="G149" s="671"/>
      <c r="H149" s="671"/>
      <c r="I149" s="671"/>
      <c r="J149" s="671"/>
      <c r="K149" s="671"/>
      <c r="L149" s="671"/>
      <c r="M149" s="671"/>
      <c r="N149" s="671"/>
      <c r="O149" s="671"/>
      <c r="P149" s="671"/>
      <c r="Q149" s="671"/>
      <c r="R149" s="671"/>
      <c r="S149" s="671"/>
      <c r="T149" s="671"/>
      <c r="U149" s="671"/>
      <c r="V149" s="671"/>
      <c r="W149" s="671"/>
      <c r="X149" s="671"/>
      <c r="Y149" s="671"/>
      <c r="Z149" s="671"/>
      <c r="AA149" s="671"/>
      <c r="AB149" s="671"/>
    </row>
    <row r="150" spans="1:28" ht="14.25" customHeight="1">
      <c r="A150" s="671"/>
      <c r="B150" s="671"/>
      <c r="C150" s="671"/>
      <c r="D150" s="671"/>
      <c r="E150" s="671"/>
      <c r="F150" s="671"/>
      <c r="G150" s="671"/>
      <c r="H150" s="671"/>
      <c r="I150" s="671"/>
      <c r="J150" s="671"/>
      <c r="K150" s="671"/>
      <c r="L150" s="671"/>
      <c r="M150" s="671"/>
      <c r="N150" s="671"/>
      <c r="O150" s="671"/>
      <c r="P150" s="671"/>
      <c r="Q150" s="671"/>
      <c r="R150" s="671"/>
      <c r="S150" s="671"/>
      <c r="T150" s="671"/>
      <c r="U150" s="671"/>
      <c r="V150" s="671"/>
      <c r="W150" s="671"/>
      <c r="X150" s="671"/>
      <c r="Y150" s="671"/>
      <c r="Z150" s="671"/>
      <c r="AA150" s="671"/>
      <c r="AB150" s="671"/>
    </row>
    <row r="151" spans="1:28" ht="14.25" customHeight="1">
      <c r="A151" s="671"/>
      <c r="B151" s="671"/>
      <c r="C151" s="671"/>
      <c r="D151" s="671"/>
      <c r="E151" s="671"/>
      <c r="F151" s="671"/>
      <c r="G151" s="671"/>
      <c r="H151" s="671"/>
      <c r="I151" s="671"/>
      <c r="J151" s="671"/>
      <c r="K151" s="671"/>
      <c r="L151" s="671"/>
      <c r="M151" s="671"/>
      <c r="N151" s="671"/>
      <c r="O151" s="671"/>
      <c r="P151" s="671"/>
      <c r="Q151" s="671"/>
      <c r="R151" s="671"/>
      <c r="S151" s="671"/>
      <c r="T151" s="671"/>
      <c r="U151" s="671"/>
      <c r="V151" s="671"/>
      <c r="W151" s="671"/>
      <c r="X151" s="671"/>
      <c r="Y151" s="671"/>
      <c r="Z151" s="671"/>
      <c r="AA151" s="671"/>
      <c r="AB151" s="671"/>
    </row>
    <row r="152" spans="1:28" ht="14.25" customHeight="1">
      <c r="A152" s="671"/>
      <c r="B152" s="671"/>
      <c r="C152" s="671"/>
      <c r="D152" s="671"/>
      <c r="E152" s="671"/>
      <c r="F152" s="671"/>
      <c r="G152" s="671"/>
      <c r="H152" s="671"/>
      <c r="I152" s="671"/>
      <c r="J152" s="671"/>
      <c r="K152" s="671"/>
      <c r="L152" s="671"/>
      <c r="M152" s="671"/>
      <c r="N152" s="671"/>
      <c r="O152" s="671"/>
      <c r="P152" s="671"/>
      <c r="Q152" s="671"/>
      <c r="R152" s="671"/>
      <c r="S152" s="671"/>
      <c r="T152" s="671"/>
      <c r="U152" s="671"/>
      <c r="V152" s="671"/>
      <c r="W152" s="671"/>
      <c r="X152" s="671"/>
      <c r="Y152" s="671"/>
      <c r="Z152" s="671"/>
      <c r="AA152" s="671"/>
      <c r="AB152" s="671"/>
    </row>
    <row r="153" spans="1:28" ht="14.25" customHeight="1">
      <c r="A153" s="671"/>
      <c r="B153" s="671"/>
      <c r="C153" s="671"/>
      <c r="D153" s="671"/>
      <c r="E153" s="671"/>
      <c r="F153" s="671"/>
      <c r="G153" s="671"/>
      <c r="H153" s="671"/>
      <c r="I153" s="671"/>
      <c r="J153" s="671"/>
      <c r="K153" s="671"/>
      <c r="L153" s="671"/>
      <c r="M153" s="671"/>
      <c r="N153" s="671"/>
      <c r="O153" s="671"/>
      <c r="P153" s="671"/>
      <c r="Q153" s="671"/>
      <c r="R153" s="671"/>
      <c r="S153" s="671"/>
      <c r="T153" s="671"/>
      <c r="U153" s="671"/>
      <c r="V153" s="671"/>
      <c r="W153" s="671"/>
      <c r="X153" s="671"/>
      <c r="Y153" s="671"/>
      <c r="Z153" s="671"/>
      <c r="AA153" s="671"/>
      <c r="AB153" s="671"/>
    </row>
    <row r="154" spans="1:28" ht="14.25" customHeight="1">
      <c r="A154" s="671"/>
      <c r="B154" s="671"/>
      <c r="C154" s="671"/>
      <c r="D154" s="671"/>
      <c r="E154" s="671"/>
      <c r="F154" s="671"/>
      <c r="G154" s="671"/>
      <c r="H154" s="671"/>
      <c r="I154" s="671"/>
      <c r="J154" s="671"/>
      <c r="K154" s="671"/>
      <c r="L154" s="671"/>
      <c r="M154" s="671"/>
      <c r="N154" s="671"/>
      <c r="O154" s="671"/>
      <c r="P154" s="671"/>
      <c r="Q154" s="671"/>
      <c r="R154" s="671"/>
      <c r="S154" s="671"/>
      <c r="T154" s="671"/>
      <c r="U154" s="671"/>
      <c r="V154" s="671"/>
      <c r="W154" s="671"/>
      <c r="X154" s="671"/>
      <c r="Y154" s="671"/>
      <c r="Z154" s="671"/>
      <c r="AA154" s="671"/>
      <c r="AB154" s="671"/>
    </row>
    <row r="155" spans="1:28" ht="14.25" customHeight="1">
      <c r="A155" s="671"/>
      <c r="B155" s="671"/>
      <c r="C155" s="671"/>
      <c r="D155" s="671"/>
      <c r="E155" s="671"/>
      <c r="F155" s="671"/>
      <c r="G155" s="671"/>
      <c r="H155" s="671"/>
      <c r="I155" s="671"/>
      <c r="J155" s="671"/>
      <c r="K155" s="671"/>
      <c r="L155" s="671"/>
      <c r="M155" s="671"/>
      <c r="N155" s="671"/>
      <c r="O155" s="671"/>
      <c r="P155" s="671"/>
      <c r="Q155" s="671"/>
      <c r="R155" s="671"/>
      <c r="S155" s="671"/>
      <c r="T155" s="671"/>
      <c r="U155" s="671"/>
      <c r="V155" s="671"/>
      <c r="W155" s="671"/>
      <c r="X155" s="671"/>
      <c r="Y155" s="671"/>
      <c r="Z155" s="671"/>
      <c r="AA155" s="671"/>
      <c r="AB155" s="671"/>
    </row>
    <row r="156" spans="1:28" ht="14.25" customHeight="1">
      <c r="A156" s="671"/>
      <c r="B156" s="671"/>
      <c r="C156" s="671"/>
      <c r="D156" s="671"/>
      <c r="E156" s="671"/>
      <c r="F156" s="671"/>
      <c r="G156" s="671"/>
      <c r="H156" s="671"/>
      <c r="I156" s="671"/>
      <c r="J156" s="671"/>
      <c r="K156" s="671"/>
      <c r="L156" s="671"/>
      <c r="M156" s="671"/>
      <c r="N156" s="671"/>
      <c r="O156" s="671"/>
      <c r="P156" s="671"/>
      <c r="Q156" s="671"/>
      <c r="R156" s="671"/>
      <c r="S156" s="671"/>
      <c r="T156" s="671"/>
      <c r="U156" s="671"/>
      <c r="V156" s="671"/>
      <c r="W156" s="671"/>
      <c r="X156" s="671"/>
      <c r="Y156" s="671"/>
      <c r="Z156" s="671"/>
      <c r="AA156" s="671"/>
      <c r="AB156" s="671"/>
    </row>
    <row r="157" spans="1:28" ht="14.25" customHeight="1">
      <c r="A157" s="671"/>
      <c r="B157" s="671"/>
      <c r="C157" s="671"/>
      <c r="D157" s="671"/>
      <c r="E157" s="671"/>
      <c r="F157" s="671"/>
      <c r="G157" s="671"/>
      <c r="H157" s="671"/>
      <c r="I157" s="671"/>
      <c r="J157" s="671"/>
      <c r="K157" s="671"/>
      <c r="L157" s="671"/>
      <c r="M157" s="671"/>
      <c r="N157" s="671"/>
      <c r="O157" s="671"/>
      <c r="P157" s="671"/>
      <c r="Q157" s="671"/>
      <c r="R157" s="671"/>
      <c r="S157" s="671"/>
      <c r="T157" s="671"/>
      <c r="U157" s="671"/>
      <c r="V157" s="671"/>
      <c r="W157" s="671"/>
      <c r="X157" s="671"/>
      <c r="Y157" s="671"/>
      <c r="Z157" s="671"/>
      <c r="AA157" s="671"/>
      <c r="AB157" s="671"/>
    </row>
    <row r="158" spans="1:28" ht="14.25" customHeight="1">
      <c r="A158" s="671"/>
      <c r="B158" s="671"/>
      <c r="C158" s="671"/>
      <c r="D158" s="671"/>
      <c r="E158" s="671"/>
      <c r="F158" s="671"/>
      <c r="G158" s="671"/>
      <c r="H158" s="671"/>
      <c r="I158" s="671"/>
      <c r="J158" s="671"/>
      <c r="K158" s="671"/>
      <c r="L158" s="671"/>
      <c r="M158" s="671"/>
      <c r="N158" s="671"/>
      <c r="O158" s="671"/>
      <c r="P158" s="671"/>
      <c r="Q158" s="671"/>
      <c r="R158" s="671"/>
      <c r="S158" s="671"/>
      <c r="T158" s="671"/>
      <c r="U158" s="671"/>
      <c r="V158" s="671"/>
      <c r="W158" s="671"/>
      <c r="X158" s="671"/>
      <c r="Y158" s="671"/>
      <c r="Z158" s="671"/>
      <c r="AA158" s="671"/>
      <c r="AB158" s="671"/>
    </row>
    <row r="159" spans="1:28" ht="14.25" customHeight="1">
      <c r="A159" s="671"/>
      <c r="B159" s="671"/>
      <c r="C159" s="671"/>
      <c r="D159" s="671"/>
      <c r="E159" s="671"/>
      <c r="F159" s="671"/>
      <c r="G159" s="671"/>
      <c r="H159" s="671"/>
      <c r="I159" s="671"/>
      <c r="J159" s="671"/>
      <c r="K159" s="671"/>
      <c r="L159" s="671"/>
      <c r="M159" s="671"/>
      <c r="N159" s="671"/>
      <c r="O159" s="671"/>
      <c r="P159" s="671"/>
      <c r="Q159" s="671"/>
      <c r="R159" s="671"/>
      <c r="S159" s="671"/>
      <c r="T159" s="671"/>
      <c r="U159" s="671"/>
      <c r="V159" s="671"/>
      <c r="W159" s="671"/>
      <c r="X159" s="671"/>
      <c r="Y159" s="671"/>
      <c r="Z159" s="671"/>
      <c r="AA159" s="671"/>
      <c r="AB159" s="671"/>
    </row>
    <row r="160" spans="1:28" ht="14.25" customHeight="1">
      <c r="A160" s="671"/>
      <c r="B160" s="671"/>
      <c r="C160" s="671"/>
      <c r="D160" s="671"/>
      <c r="E160" s="671"/>
      <c r="F160" s="671"/>
      <c r="G160" s="671"/>
      <c r="H160" s="671"/>
      <c r="I160" s="671"/>
      <c r="J160" s="671"/>
      <c r="K160" s="671"/>
      <c r="L160" s="671"/>
      <c r="M160" s="671"/>
      <c r="N160" s="671"/>
      <c r="O160" s="671"/>
      <c r="P160" s="671"/>
      <c r="Q160" s="671"/>
      <c r="R160" s="671"/>
      <c r="S160" s="671"/>
      <c r="T160" s="671"/>
      <c r="U160" s="671"/>
      <c r="V160" s="671"/>
      <c r="W160" s="671"/>
      <c r="X160" s="671"/>
      <c r="Y160" s="671"/>
      <c r="Z160" s="671"/>
      <c r="AA160" s="671"/>
      <c r="AB160" s="671"/>
    </row>
    <row r="161" spans="1:28" ht="14.25" customHeight="1">
      <c r="A161" s="671"/>
      <c r="B161" s="671"/>
      <c r="C161" s="671"/>
      <c r="D161" s="671"/>
      <c r="E161" s="671"/>
      <c r="F161" s="671"/>
      <c r="G161" s="671"/>
      <c r="H161" s="671"/>
      <c r="I161" s="671"/>
      <c r="J161" s="671"/>
      <c r="K161" s="671"/>
      <c r="L161" s="671"/>
      <c r="M161" s="671"/>
      <c r="N161" s="671"/>
      <c r="O161" s="671"/>
      <c r="P161" s="671"/>
      <c r="Q161" s="671"/>
      <c r="R161" s="671"/>
      <c r="S161" s="671"/>
      <c r="T161" s="671"/>
      <c r="U161" s="671"/>
      <c r="V161" s="671"/>
      <c r="W161" s="671"/>
      <c r="X161" s="671"/>
      <c r="Y161" s="671"/>
      <c r="Z161" s="671"/>
      <c r="AA161" s="671"/>
      <c r="AB161" s="671"/>
    </row>
    <row r="162" spans="1:28" ht="14.25" customHeight="1">
      <c r="A162" s="671"/>
      <c r="B162" s="671"/>
      <c r="C162" s="671"/>
      <c r="D162" s="671"/>
      <c r="E162" s="671"/>
      <c r="F162" s="671"/>
      <c r="G162" s="671"/>
      <c r="H162" s="671"/>
      <c r="I162" s="671"/>
      <c r="J162" s="671"/>
      <c r="K162" s="671"/>
      <c r="L162" s="671"/>
      <c r="M162" s="671"/>
      <c r="N162" s="671"/>
      <c r="O162" s="671"/>
      <c r="P162" s="671"/>
      <c r="Q162" s="671"/>
      <c r="R162" s="671"/>
      <c r="S162" s="671"/>
      <c r="T162" s="671"/>
      <c r="U162" s="671"/>
      <c r="V162" s="671"/>
      <c r="W162" s="671"/>
      <c r="X162" s="671"/>
      <c r="Y162" s="671"/>
      <c r="Z162" s="671"/>
      <c r="AA162" s="671"/>
      <c r="AB162" s="671"/>
    </row>
    <row r="163" spans="1:28" ht="14.25" customHeight="1">
      <c r="A163" s="671"/>
      <c r="B163" s="671"/>
      <c r="C163" s="671"/>
      <c r="D163" s="671"/>
      <c r="E163" s="671"/>
      <c r="F163" s="671"/>
      <c r="G163" s="671"/>
      <c r="H163" s="671"/>
      <c r="I163" s="671"/>
      <c r="J163" s="671"/>
      <c r="K163" s="671"/>
      <c r="L163" s="671"/>
      <c r="M163" s="671"/>
      <c r="N163" s="671"/>
      <c r="O163" s="671"/>
      <c r="P163" s="671"/>
      <c r="Q163" s="671"/>
      <c r="R163" s="671"/>
      <c r="S163" s="671"/>
      <c r="T163" s="671"/>
      <c r="U163" s="671"/>
      <c r="V163" s="671"/>
      <c r="W163" s="671"/>
      <c r="X163" s="671"/>
      <c r="Y163" s="671"/>
      <c r="Z163" s="671"/>
      <c r="AA163" s="671"/>
      <c r="AB163" s="671"/>
    </row>
    <row r="164" spans="1:28" ht="14.25" customHeight="1">
      <c r="A164" s="671"/>
      <c r="B164" s="671"/>
      <c r="C164" s="671"/>
      <c r="D164" s="671"/>
      <c r="E164" s="671"/>
      <c r="F164" s="671"/>
      <c r="G164" s="671"/>
      <c r="H164" s="671"/>
      <c r="I164" s="671"/>
      <c r="J164" s="671"/>
      <c r="K164" s="671"/>
      <c r="L164" s="671"/>
      <c r="M164" s="671"/>
      <c r="N164" s="671"/>
      <c r="O164" s="671"/>
      <c r="P164" s="671"/>
      <c r="Q164" s="671"/>
      <c r="R164" s="671"/>
      <c r="S164" s="671"/>
      <c r="T164" s="671"/>
      <c r="U164" s="671"/>
      <c r="V164" s="671"/>
      <c r="W164" s="671"/>
      <c r="X164" s="671"/>
      <c r="Y164" s="671"/>
      <c r="Z164" s="671"/>
      <c r="AA164" s="671"/>
      <c r="AB164" s="671"/>
    </row>
    <row r="165" spans="1:28" ht="14.25" customHeight="1">
      <c r="A165" s="671"/>
      <c r="B165" s="671"/>
      <c r="C165" s="671"/>
      <c r="D165" s="671"/>
      <c r="E165" s="671"/>
      <c r="F165" s="671"/>
      <c r="G165" s="671"/>
      <c r="H165" s="671"/>
      <c r="I165" s="671"/>
      <c r="J165" s="671"/>
      <c r="K165" s="671"/>
      <c r="L165" s="671"/>
      <c r="M165" s="671"/>
      <c r="N165" s="671"/>
      <c r="O165" s="671"/>
      <c r="P165" s="671"/>
      <c r="Q165" s="671"/>
      <c r="R165" s="671"/>
      <c r="S165" s="671"/>
      <c r="T165" s="671"/>
      <c r="U165" s="671"/>
      <c r="V165" s="671"/>
      <c r="W165" s="671"/>
      <c r="X165" s="671"/>
      <c r="Y165" s="671"/>
      <c r="Z165" s="671"/>
      <c r="AA165" s="671"/>
      <c r="AB165" s="671"/>
    </row>
    <row r="166" spans="1:28" ht="14.25" customHeight="1">
      <c r="A166" s="671"/>
      <c r="B166" s="671"/>
      <c r="C166" s="671"/>
      <c r="D166" s="671"/>
      <c r="E166" s="671"/>
      <c r="F166" s="671"/>
      <c r="G166" s="671"/>
      <c r="H166" s="671"/>
      <c r="I166" s="671"/>
      <c r="J166" s="671"/>
      <c r="K166" s="671"/>
      <c r="L166" s="671"/>
      <c r="M166" s="671"/>
      <c r="N166" s="671"/>
      <c r="O166" s="671"/>
      <c r="P166" s="671"/>
      <c r="Q166" s="671"/>
      <c r="R166" s="671"/>
      <c r="S166" s="671"/>
      <c r="T166" s="671"/>
      <c r="U166" s="671"/>
      <c r="V166" s="671"/>
      <c r="W166" s="671"/>
      <c r="X166" s="671"/>
      <c r="Y166" s="671"/>
      <c r="Z166" s="671"/>
      <c r="AA166" s="671"/>
      <c r="AB166" s="671"/>
    </row>
    <row r="167" spans="1:28" ht="14.25" customHeight="1">
      <c r="A167" s="671"/>
      <c r="B167" s="671"/>
      <c r="C167" s="671"/>
      <c r="D167" s="671"/>
      <c r="E167" s="671"/>
      <c r="F167" s="671"/>
      <c r="G167" s="671"/>
      <c r="H167" s="671"/>
      <c r="I167" s="671"/>
      <c r="J167" s="671"/>
      <c r="K167" s="671"/>
      <c r="L167" s="671"/>
      <c r="M167" s="671"/>
      <c r="N167" s="671"/>
      <c r="O167" s="671"/>
      <c r="P167" s="671"/>
      <c r="Q167" s="671"/>
      <c r="R167" s="671"/>
      <c r="S167" s="671"/>
      <c r="T167" s="671"/>
      <c r="U167" s="671"/>
      <c r="V167" s="671"/>
      <c r="W167" s="671"/>
      <c r="X167" s="671"/>
      <c r="Y167" s="671"/>
      <c r="Z167" s="671"/>
      <c r="AA167" s="671"/>
      <c r="AB167" s="671"/>
    </row>
    <row r="168" spans="1:28" ht="14.25" customHeight="1">
      <c r="A168" s="671"/>
      <c r="B168" s="671"/>
      <c r="C168" s="671"/>
      <c r="D168" s="671"/>
      <c r="E168" s="671"/>
      <c r="F168" s="671"/>
      <c r="G168" s="671"/>
      <c r="H168" s="671"/>
      <c r="I168" s="671"/>
      <c r="J168" s="671"/>
      <c r="K168" s="671"/>
      <c r="L168" s="671"/>
      <c r="M168" s="671"/>
      <c r="N168" s="671"/>
      <c r="O168" s="671"/>
      <c r="P168" s="671"/>
      <c r="Q168" s="671"/>
      <c r="R168" s="671"/>
      <c r="S168" s="671"/>
      <c r="T168" s="671"/>
      <c r="U168" s="671"/>
      <c r="V168" s="671"/>
      <c r="W168" s="671"/>
      <c r="X168" s="671"/>
      <c r="Y168" s="671"/>
      <c r="Z168" s="671"/>
      <c r="AA168" s="671"/>
      <c r="AB168" s="671"/>
    </row>
    <row r="169" spans="1:28" ht="14.25" customHeight="1">
      <c r="A169" s="671"/>
      <c r="B169" s="671"/>
      <c r="C169" s="671"/>
      <c r="D169" s="671"/>
      <c r="E169" s="671"/>
      <c r="F169" s="671"/>
      <c r="G169" s="671"/>
      <c r="H169" s="671"/>
      <c r="I169" s="671"/>
      <c r="J169" s="671"/>
      <c r="K169" s="671"/>
      <c r="L169" s="671"/>
      <c r="M169" s="671"/>
      <c r="N169" s="671"/>
      <c r="O169" s="671"/>
      <c r="P169" s="671"/>
      <c r="Q169" s="671"/>
      <c r="R169" s="671"/>
      <c r="S169" s="671"/>
      <c r="T169" s="671"/>
      <c r="U169" s="671"/>
      <c r="V169" s="671"/>
      <c r="W169" s="671"/>
      <c r="X169" s="671"/>
      <c r="Y169" s="671"/>
      <c r="Z169" s="671"/>
      <c r="AA169" s="671"/>
      <c r="AB169" s="671"/>
    </row>
    <row r="170" spans="1:28" ht="14.25" customHeight="1">
      <c r="A170" s="671"/>
      <c r="B170" s="671"/>
      <c r="C170" s="671"/>
      <c r="D170" s="671"/>
      <c r="E170" s="671"/>
      <c r="F170" s="671"/>
      <c r="G170" s="671"/>
      <c r="H170" s="671"/>
      <c r="I170" s="671"/>
      <c r="J170" s="671"/>
      <c r="K170" s="671"/>
      <c r="L170" s="671"/>
      <c r="M170" s="671"/>
      <c r="N170" s="671"/>
      <c r="O170" s="671"/>
      <c r="P170" s="671"/>
      <c r="Q170" s="671"/>
      <c r="R170" s="671"/>
      <c r="S170" s="671"/>
      <c r="T170" s="671"/>
      <c r="U170" s="671"/>
      <c r="V170" s="671"/>
      <c r="W170" s="671"/>
      <c r="X170" s="671"/>
      <c r="Y170" s="671"/>
      <c r="Z170" s="671"/>
      <c r="AA170" s="671"/>
      <c r="AB170" s="671"/>
    </row>
    <row r="171" spans="1:28" ht="14.25" customHeight="1">
      <c r="A171" s="671"/>
      <c r="B171" s="671"/>
      <c r="C171" s="671"/>
      <c r="D171" s="671"/>
      <c r="E171" s="671"/>
      <c r="F171" s="671"/>
      <c r="G171" s="671"/>
      <c r="H171" s="671"/>
      <c r="I171" s="671"/>
      <c r="J171" s="671"/>
      <c r="K171" s="671"/>
      <c r="L171" s="671"/>
      <c r="M171" s="671"/>
      <c r="N171" s="671"/>
      <c r="O171" s="671"/>
      <c r="P171" s="671"/>
      <c r="Q171" s="671"/>
      <c r="R171" s="671"/>
      <c r="S171" s="671"/>
      <c r="T171" s="671"/>
      <c r="U171" s="671"/>
      <c r="V171" s="671"/>
      <c r="W171" s="671"/>
      <c r="X171" s="671"/>
      <c r="Y171" s="671"/>
      <c r="Z171" s="671"/>
      <c r="AA171" s="671"/>
      <c r="AB171" s="671"/>
    </row>
    <row r="172" spans="1:28" ht="14.25" customHeight="1">
      <c r="A172" s="671"/>
      <c r="B172" s="671"/>
      <c r="C172" s="671"/>
      <c r="D172" s="671"/>
      <c r="E172" s="671"/>
      <c r="F172" s="671"/>
      <c r="G172" s="671"/>
      <c r="H172" s="671"/>
      <c r="I172" s="671"/>
      <c r="J172" s="671"/>
      <c r="K172" s="671"/>
      <c r="L172" s="671"/>
      <c r="M172" s="671"/>
      <c r="N172" s="671"/>
      <c r="O172" s="671"/>
      <c r="P172" s="671"/>
      <c r="Q172" s="671"/>
      <c r="R172" s="671"/>
      <c r="S172" s="671"/>
      <c r="T172" s="671"/>
      <c r="U172" s="671"/>
      <c r="V172" s="671"/>
      <c r="W172" s="671"/>
      <c r="X172" s="671"/>
      <c r="Y172" s="671"/>
      <c r="Z172" s="671"/>
      <c r="AA172" s="671"/>
      <c r="AB172" s="671"/>
    </row>
    <row r="173" spans="1:28" ht="14.25" customHeight="1">
      <c r="A173" s="671"/>
      <c r="B173" s="671"/>
      <c r="C173" s="671"/>
      <c r="D173" s="671"/>
      <c r="E173" s="671"/>
      <c r="F173" s="671"/>
      <c r="G173" s="671"/>
      <c r="H173" s="671"/>
      <c r="I173" s="671"/>
      <c r="J173" s="671"/>
      <c r="K173" s="671"/>
      <c r="L173" s="671"/>
      <c r="M173" s="671"/>
      <c r="N173" s="671"/>
      <c r="O173" s="671"/>
      <c r="P173" s="671"/>
      <c r="Q173" s="671"/>
      <c r="R173" s="671"/>
      <c r="S173" s="671"/>
      <c r="T173" s="671"/>
      <c r="U173" s="671"/>
      <c r="V173" s="671"/>
      <c r="W173" s="671"/>
      <c r="X173" s="671"/>
      <c r="Y173" s="671"/>
      <c r="Z173" s="671"/>
      <c r="AA173" s="671"/>
      <c r="AB173" s="671"/>
    </row>
    <row r="174" spans="1:28" ht="14.25" customHeight="1">
      <c r="A174" s="671"/>
      <c r="B174" s="671"/>
      <c r="C174" s="671"/>
      <c r="D174" s="671"/>
      <c r="E174" s="671"/>
      <c r="F174" s="671"/>
      <c r="G174" s="671"/>
      <c r="H174" s="671"/>
      <c r="I174" s="671"/>
      <c r="J174" s="671"/>
      <c r="K174" s="671"/>
      <c r="L174" s="671"/>
      <c r="M174" s="671"/>
      <c r="N174" s="671"/>
      <c r="O174" s="671"/>
      <c r="P174" s="671"/>
      <c r="Q174" s="671"/>
      <c r="R174" s="671"/>
      <c r="S174" s="671"/>
      <c r="T174" s="671"/>
      <c r="U174" s="671"/>
      <c r="V174" s="671"/>
      <c r="W174" s="671"/>
      <c r="X174" s="671"/>
      <c r="Y174" s="671"/>
      <c r="Z174" s="671"/>
      <c r="AA174" s="671"/>
      <c r="AB174" s="671"/>
    </row>
    <row r="175" spans="1:28" ht="14.25" customHeight="1">
      <c r="A175" s="671"/>
      <c r="B175" s="671"/>
      <c r="C175" s="671"/>
      <c r="D175" s="671"/>
      <c r="E175" s="671"/>
      <c r="F175" s="671"/>
      <c r="G175" s="671"/>
      <c r="H175" s="671"/>
      <c r="I175" s="671"/>
      <c r="J175" s="671"/>
      <c r="K175" s="671"/>
      <c r="L175" s="671"/>
      <c r="M175" s="671"/>
      <c r="N175" s="671"/>
      <c r="O175" s="671"/>
      <c r="P175" s="671"/>
      <c r="Q175" s="671"/>
      <c r="R175" s="671"/>
      <c r="S175" s="671"/>
      <c r="T175" s="671"/>
      <c r="U175" s="671"/>
      <c r="V175" s="671"/>
      <c r="W175" s="671"/>
      <c r="X175" s="671"/>
      <c r="Y175" s="671"/>
      <c r="Z175" s="671"/>
      <c r="AA175" s="671"/>
      <c r="AB175" s="671"/>
    </row>
    <row r="176" spans="1:28" ht="14.25" customHeight="1">
      <c r="A176" s="671"/>
      <c r="B176" s="671"/>
      <c r="C176" s="671"/>
      <c r="D176" s="671"/>
      <c r="E176" s="671"/>
      <c r="F176" s="671"/>
      <c r="G176" s="671"/>
      <c r="H176" s="671"/>
      <c r="I176" s="671"/>
      <c r="J176" s="671"/>
      <c r="K176" s="671"/>
      <c r="L176" s="671"/>
      <c r="M176" s="671"/>
      <c r="N176" s="671"/>
      <c r="O176" s="671"/>
      <c r="P176" s="671"/>
      <c r="Q176" s="671"/>
      <c r="R176" s="671"/>
      <c r="S176" s="671"/>
      <c r="T176" s="671"/>
      <c r="U176" s="671"/>
      <c r="V176" s="671"/>
      <c r="W176" s="671"/>
      <c r="X176" s="671"/>
      <c r="Y176" s="671"/>
      <c r="Z176" s="671"/>
      <c r="AA176" s="671"/>
      <c r="AB176" s="671"/>
    </row>
    <row r="177" spans="1:28" ht="14.25" customHeight="1">
      <c r="A177" s="671"/>
      <c r="B177" s="671"/>
      <c r="C177" s="671"/>
      <c r="D177" s="671"/>
      <c r="E177" s="671"/>
      <c r="F177" s="671"/>
      <c r="G177" s="671"/>
      <c r="H177" s="671"/>
      <c r="I177" s="671"/>
      <c r="J177" s="671"/>
      <c r="K177" s="671"/>
      <c r="L177" s="671"/>
      <c r="M177" s="671"/>
      <c r="N177" s="671"/>
      <c r="O177" s="671"/>
      <c r="P177" s="671"/>
      <c r="Q177" s="671"/>
      <c r="R177" s="671"/>
      <c r="S177" s="671"/>
      <c r="T177" s="671"/>
      <c r="U177" s="671"/>
      <c r="V177" s="671"/>
      <c r="W177" s="671"/>
      <c r="X177" s="671"/>
      <c r="Y177" s="671"/>
      <c r="Z177" s="671"/>
      <c r="AA177" s="671"/>
      <c r="AB177" s="671"/>
    </row>
    <row r="178" spans="1:28" ht="14.25" customHeight="1">
      <c r="A178" s="671"/>
      <c r="B178" s="671"/>
      <c r="C178" s="671"/>
      <c r="D178" s="671"/>
      <c r="E178" s="671"/>
      <c r="F178" s="671"/>
      <c r="G178" s="671"/>
      <c r="H178" s="671"/>
      <c r="I178" s="671"/>
      <c r="J178" s="671"/>
      <c r="K178" s="671"/>
      <c r="L178" s="671"/>
      <c r="M178" s="671"/>
      <c r="N178" s="671"/>
      <c r="O178" s="671"/>
      <c r="P178" s="671"/>
      <c r="Q178" s="671"/>
      <c r="R178" s="671"/>
      <c r="S178" s="671"/>
      <c r="T178" s="671"/>
      <c r="U178" s="671"/>
      <c r="V178" s="671"/>
      <c r="W178" s="671"/>
      <c r="X178" s="671"/>
      <c r="Y178" s="671"/>
      <c r="Z178" s="671"/>
      <c r="AA178" s="671"/>
      <c r="AB178" s="671"/>
    </row>
    <row r="179" spans="1:28" ht="14.25" customHeight="1">
      <c r="A179" s="671"/>
      <c r="B179" s="671"/>
      <c r="C179" s="671"/>
      <c r="D179" s="671"/>
      <c r="E179" s="671"/>
      <c r="F179" s="671"/>
      <c r="G179" s="671"/>
      <c r="H179" s="671"/>
      <c r="I179" s="671"/>
      <c r="J179" s="671"/>
      <c r="K179" s="671"/>
      <c r="L179" s="671"/>
      <c r="M179" s="671"/>
      <c r="N179" s="671"/>
      <c r="O179" s="671"/>
      <c r="P179" s="671"/>
      <c r="Q179" s="671"/>
      <c r="R179" s="671"/>
      <c r="S179" s="671"/>
      <c r="T179" s="671"/>
      <c r="U179" s="671"/>
      <c r="V179" s="671"/>
      <c r="W179" s="671"/>
      <c r="X179" s="671"/>
      <c r="Y179" s="671"/>
      <c r="Z179" s="671"/>
      <c r="AA179" s="671"/>
      <c r="AB179" s="671"/>
    </row>
    <row r="180" spans="1:28" ht="14.25" customHeight="1">
      <c r="A180" s="671"/>
      <c r="B180" s="671"/>
      <c r="C180" s="671"/>
      <c r="D180" s="671"/>
      <c r="E180" s="671"/>
      <c r="F180" s="671"/>
      <c r="G180" s="671"/>
      <c r="H180" s="671"/>
      <c r="I180" s="671"/>
      <c r="J180" s="671"/>
      <c r="K180" s="671"/>
      <c r="L180" s="671"/>
      <c r="M180" s="671"/>
      <c r="N180" s="671"/>
      <c r="O180" s="671"/>
      <c r="P180" s="671"/>
      <c r="Q180" s="671"/>
      <c r="R180" s="671"/>
      <c r="S180" s="671"/>
      <c r="T180" s="671"/>
      <c r="U180" s="671"/>
      <c r="V180" s="671"/>
      <c r="W180" s="671"/>
      <c r="X180" s="671"/>
      <c r="Y180" s="671"/>
      <c r="Z180" s="671"/>
      <c r="AA180" s="671"/>
      <c r="AB180" s="671"/>
    </row>
    <row r="181" spans="1:28" ht="14.25" customHeight="1">
      <c r="A181" s="671"/>
      <c r="B181" s="671"/>
      <c r="C181" s="671"/>
      <c r="D181" s="671"/>
      <c r="E181" s="671"/>
      <c r="F181" s="671"/>
      <c r="G181" s="671"/>
      <c r="H181" s="671"/>
      <c r="I181" s="671"/>
      <c r="J181" s="671"/>
      <c r="K181" s="671"/>
      <c r="L181" s="671"/>
      <c r="M181" s="671"/>
      <c r="N181" s="671"/>
      <c r="O181" s="671"/>
      <c r="P181" s="671"/>
      <c r="Q181" s="671"/>
      <c r="R181" s="671"/>
      <c r="S181" s="671"/>
      <c r="T181" s="671"/>
      <c r="U181" s="671"/>
      <c r="V181" s="671"/>
      <c r="W181" s="671"/>
      <c r="X181" s="671"/>
      <c r="Y181" s="671"/>
      <c r="Z181" s="671"/>
      <c r="AA181" s="671"/>
      <c r="AB181" s="671"/>
    </row>
    <row r="182" spans="1:28" ht="14.25" customHeight="1">
      <c r="A182" s="671"/>
      <c r="B182" s="671"/>
      <c r="C182" s="671"/>
      <c r="D182" s="671"/>
      <c r="E182" s="671"/>
      <c r="F182" s="671"/>
      <c r="G182" s="671"/>
      <c r="H182" s="671"/>
      <c r="I182" s="671"/>
      <c r="J182" s="671"/>
      <c r="K182" s="671"/>
      <c r="L182" s="671"/>
      <c r="M182" s="671"/>
      <c r="N182" s="671"/>
      <c r="O182" s="671"/>
      <c r="P182" s="671"/>
      <c r="Q182" s="671"/>
      <c r="R182" s="671"/>
      <c r="S182" s="671"/>
      <c r="T182" s="671"/>
      <c r="U182" s="671"/>
      <c r="V182" s="671"/>
      <c r="W182" s="671"/>
      <c r="X182" s="671"/>
      <c r="Y182" s="671"/>
      <c r="Z182" s="671"/>
      <c r="AA182" s="671"/>
      <c r="AB182" s="671"/>
    </row>
    <row r="183" spans="1:28" ht="14.25" customHeight="1">
      <c r="A183" s="671"/>
      <c r="B183" s="671"/>
      <c r="C183" s="671"/>
      <c r="D183" s="671"/>
      <c r="E183" s="671"/>
      <c r="F183" s="671"/>
      <c r="G183" s="671"/>
      <c r="H183" s="671"/>
      <c r="I183" s="671"/>
      <c r="J183" s="671"/>
      <c r="K183" s="671"/>
      <c r="L183" s="671"/>
      <c r="M183" s="671"/>
      <c r="N183" s="671"/>
      <c r="O183" s="671"/>
      <c r="P183" s="671"/>
      <c r="Q183" s="671"/>
      <c r="R183" s="671"/>
      <c r="S183" s="671"/>
      <c r="T183" s="671"/>
      <c r="U183" s="671"/>
      <c r="V183" s="671"/>
      <c r="W183" s="671"/>
      <c r="X183" s="671"/>
      <c r="Y183" s="671"/>
      <c r="Z183" s="671"/>
      <c r="AA183" s="671"/>
      <c r="AB183" s="671"/>
    </row>
    <row r="184" spans="1:28" ht="14.25" customHeight="1">
      <c r="A184" s="671"/>
      <c r="B184" s="671"/>
      <c r="C184" s="671"/>
      <c r="D184" s="671"/>
      <c r="E184" s="671"/>
      <c r="F184" s="671"/>
      <c r="G184" s="671"/>
      <c r="H184" s="671"/>
      <c r="I184" s="671"/>
      <c r="J184" s="671"/>
      <c r="K184" s="671"/>
      <c r="L184" s="671"/>
      <c r="M184" s="671"/>
      <c r="N184" s="671"/>
      <c r="O184" s="671"/>
      <c r="P184" s="671"/>
      <c r="Q184" s="671"/>
      <c r="R184" s="671"/>
      <c r="S184" s="671"/>
      <c r="T184" s="671"/>
      <c r="U184" s="671"/>
      <c r="V184" s="671"/>
      <c r="W184" s="671"/>
      <c r="X184" s="671"/>
      <c r="Y184" s="671"/>
      <c r="Z184" s="671"/>
      <c r="AA184" s="671"/>
      <c r="AB184" s="671"/>
    </row>
    <row r="185" spans="1:28" ht="14.25" customHeight="1">
      <c r="A185" s="671"/>
      <c r="B185" s="671"/>
      <c r="C185" s="671"/>
      <c r="D185" s="671"/>
      <c r="E185" s="671"/>
      <c r="F185" s="671"/>
      <c r="G185" s="671"/>
      <c r="H185" s="671"/>
      <c r="I185" s="671"/>
      <c r="J185" s="671"/>
      <c r="K185" s="671"/>
      <c r="L185" s="671"/>
      <c r="M185" s="671"/>
      <c r="N185" s="671"/>
      <c r="O185" s="671"/>
      <c r="P185" s="671"/>
      <c r="Q185" s="671"/>
      <c r="R185" s="671"/>
      <c r="S185" s="671"/>
      <c r="T185" s="671"/>
      <c r="U185" s="671"/>
      <c r="V185" s="671"/>
      <c r="W185" s="671"/>
      <c r="X185" s="671"/>
      <c r="Y185" s="671"/>
      <c r="Z185" s="671"/>
      <c r="AA185" s="671"/>
      <c r="AB185" s="671"/>
    </row>
    <row r="186" spans="1:28" ht="14.25" customHeight="1">
      <c r="A186" s="671"/>
      <c r="B186" s="671"/>
      <c r="C186" s="671"/>
      <c r="D186" s="671"/>
      <c r="E186" s="671"/>
      <c r="F186" s="671"/>
      <c r="G186" s="671"/>
      <c r="H186" s="671"/>
      <c r="I186" s="671"/>
      <c r="J186" s="671"/>
      <c r="K186" s="671"/>
      <c r="L186" s="671"/>
      <c r="M186" s="671"/>
      <c r="N186" s="671"/>
      <c r="O186" s="671"/>
      <c r="P186" s="671"/>
      <c r="Q186" s="671"/>
      <c r="R186" s="671"/>
      <c r="S186" s="671"/>
      <c r="T186" s="671"/>
      <c r="U186" s="671"/>
      <c r="V186" s="671"/>
      <c r="W186" s="671"/>
      <c r="X186" s="671"/>
      <c r="Y186" s="671"/>
      <c r="Z186" s="671"/>
      <c r="AA186" s="671"/>
      <c r="AB186" s="671"/>
    </row>
    <row r="187" spans="1:28" ht="14.25" customHeight="1">
      <c r="A187" s="671"/>
      <c r="B187" s="671"/>
      <c r="C187" s="671"/>
      <c r="D187" s="671"/>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671"/>
      <c r="AA187" s="671"/>
      <c r="AB187" s="671"/>
    </row>
    <row r="188" spans="1:28" ht="14.25" customHeight="1">
      <c r="A188" s="671"/>
      <c r="B188" s="671"/>
      <c r="C188" s="671"/>
      <c r="D188" s="671"/>
      <c r="E188" s="671"/>
      <c r="F188" s="671"/>
      <c r="G188" s="671"/>
      <c r="H188" s="671"/>
      <c r="I188" s="671"/>
      <c r="J188" s="671"/>
      <c r="K188" s="671"/>
      <c r="L188" s="671"/>
      <c r="M188" s="671"/>
      <c r="N188" s="671"/>
      <c r="O188" s="671"/>
      <c r="P188" s="671"/>
      <c r="Q188" s="671"/>
      <c r="R188" s="671"/>
      <c r="S188" s="671"/>
      <c r="T188" s="671"/>
      <c r="U188" s="671"/>
      <c r="V188" s="671"/>
      <c r="W188" s="671"/>
      <c r="X188" s="671"/>
      <c r="Y188" s="671"/>
      <c r="Z188" s="671"/>
      <c r="AA188" s="671"/>
      <c r="AB188" s="671"/>
    </row>
    <row r="189" spans="1:28" ht="14.25" customHeight="1">
      <c r="A189" s="671"/>
      <c r="B189" s="671"/>
      <c r="C189" s="671"/>
      <c r="D189" s="671"/>
      <c r="E189" s="671"/>
      <c r="F189" s="671"/>
      <c r="G189" s="671"/>
      <c r="H189" s="671"/>
      <c r="I189" s="671"/>
      <c r="J189" s="671"/>
      <c r="K189" s="671"/>
      <c r="L189" s="671"/>
      <c r="M189" s="671"/>
      <c r="N189" s="671"/>
      <c r="O189" s="671"/>
      <c r="P189" s="671"/>
      <c r="Q189" s="671"/>
      <c r="R189" s="671"/>
      <c r="S189" s="671"/>
      <c r="T189" s="671"/>
      <c r="U189" s="671"/>
      <c r="V189" s="671"/>
      <c r="W189" s="671"/>
      <c r="X189" s="671"/>
      <c r="Y189" s="671"/>
      <c r="Z189" s="671"/>
      <c r="AA189" s="671"/>
      <c r="AB189" s="671"/>
    </row>
    <row r="190" spans="1:28" ht="14.25" customHeight="1">
      <c r="A190" s="671"/>
      <c r="B190" s="671"/>
      <c r="C190" s="671"/>
      <c r="D190" s="671"/>
      <c r="E190" s="671"/>
      <c r="F190" s="671"/>
      <c r="G190" s="671"/>
      <c r="H190" s="671"/>
      <c r="I190" s="671"/>
      <c r="J190" s="671"/>
      <c r="K190" s="671"/>
      <c r="L190" s="671"/>
      <c r="M190" s="671"/>
      <c r="N190" s="671"/>
      <c r="O190" s="671"/>
      <c r="P190" s="671"/>
      <c r="Q190" s="671"/>
      <c r="R190" s="671"/>
      <c r="S190" s="671"/>
      <c r="T190" s="671"/>
      <c r="U190" s="671"/>
      <c r="V190" s="671"/>
      <c r="W190" s="671"/>
      <c r="X190" s="671"/>
      <c r="Y190" s="671"/>
      <c r="Z190" s="671"/>
      <c r="AA190" s="671"/>
      <c r="AB190" s="671"/>
    </row>
    <row r="191" spans="1:28" ht="14.25" customHeight="1">
      <c r="A191" s="671"/>
      <c r="B191" s="671"/>
      <c r="C191" s="671"/>
      <c r="D191" s="671"/>
      <c r="E191" s="671"/>
      <c r="F191" s="671"/>
      <c r="G191" s="671"/>
      <c r="H191" s="671"/>
      <c r="I191" s="671"/>
      <c r="J191" s="671"/>
      <c r="K191" s="671"/>
      <c r="L191" s="671"/>
      <c r="M191" s="671"/>
      <c r="N191" s="671"/>
      <c r="O191" s="671"/>
      <c r="P191" s="671"/>
      <c r="Q191" s="671"/>
      <c r="R191" s="671"/>
      <c r="S191" s="671"/>
      <c r="T191" s="671"/>
      <c r="U191" s="671"/>
      <c r="V191" s="671"/>
      <c r="W191" s="671"/>
      <c r="X191" s="671"/>
      <c r="Y191" s="671"/>
      <c r="Z191" s="671"/>
      <c r="AA191" s="671"/>
      <c r="AB191" s="671"/>
    </row>
    <row r="192" spans="1:28" ht="14.25" customHeight="1">
      <c r="A192" s="671"/>
      <c r="B192" s="671"/>
      <c r="C192" s="671"/>
      <c r="D192" s="671"/>
      <c r="E192" s="671"/>
      <c r="F192" s="671"/>
      <c r="G192" s="671"/>
      <c r="H192" s="671"/>
      <c r="I192" s="671"/>
      <c r="J192" s="671"/>
      <c r="K192" s="671"/>
      <c r="L192" s="671"/>
      <c r="M192" s="671"/>
      <c r="N192" s="671"/>
      <c r="O192" s="671"/>
      <c r="P192" s="671"/>
      <c r="Q192" s="671"/>
      <c r="R192" s="671"/>
      <c r="S192" s="671"/>
      <c r="T192" s="671"/>
      <c r="U192" s="671"/>
      <c r="V192" s="671"/>
      <c r="W192" s="671"/>
      <c r="X192" s="671"/>
      <c r="Y192" s="671"/>
      <c r="Z192" s="671"/>
      <c r="AA192" s="671"/>
      <c r="AB192" s="671"/>
    </row>
    <row r="193" spans="1:28" ht="14.25" customHeight="1">
      <c r="A193" s="671"/>
      <c r="B193" s="671"/>
      <c r="C193" s="671"/>
      <c r="D193" s="671"/>
      <c r="E193" s="671"/>
      <c r="F193" s="671"/>
      <c r="G193" s="671"/>
      <c r="H193" s="671"/>
      <c r="I193" s="671"/>
      <c r="J193" s="671"/>
      <c r="K193" s="671"/>
      <c r="L193" s="671"/>
      <c r="M193" s="671"/>
      <c r="N193" s="671"/>
      <c r="O193" s="671"/>
      <c r="P193" s="671"/>
      <c r="Q193" s="671"/>
      <c r="R193" s="671"/>
      <c r="S193" s="671"/>
      <c r="T193" s="671"/>
      <c r="U193" s="671"/>
      <c r="V193" s="671"/>
      <c r="W193" s="671"/>
      <c r="X193" s="671"/>
      <c r="Y193" s="671"/>
      <c r="Z193" s="671"/>
      <c r="AA193" s="671"/>
      <c r="AB193" s="671"/>
    </row>
    <row r="194" spans="1:28" ht="14.25" customHeight="1">
      <c r="A194" s="671"/>
      <c r="B194" s="671"/>
      <c r="C194" s="671"/>
      <c r="D194" s="671"/>
      <c r="E194" s="671"/>
      <c r="F194" s="671"/>
      <c r="G194" s="671"/>
      <c r="H194" s="671"/>
      <c r="I194" s="671"/>
      <c r="J194" s="671"/>
      <c r="K194" s="671"/>
      <c r="L194" s="671"/>
      <c r="M194" s="671"/>
      <c r="N194" s="671"/>
      <c r="O194" s="671"/>
      <c r="P194" s="671"/>
      <c r="Q194" s="671"/>
      <c r="R194" s="671"/>
      <c r="S194" s="671"/>
      <c r="T194" s="671"/>
      <c r="U194" s="671"/>
      <c r="V194" s="671"/>
      <c r="W194" s="671"/>
      <c r="X194" s="671"/>
      <c r="Y194" s="671"/>
      <c r="Z194" s="671"/>
      <c r="AA194" s="671"/>
      <c r="AB194" s="671"/>
    </row>
    <row r="195" spans="1:28" ht="14.25" customHeight="1">
      <c r="A195" s="671"/>
      <c r="B195" s="671"/>
      <c r="C195" s="671"/>
      <c r="D195" s="671"/>
      <c r="E195" s="671"/>
      <c r="F195" s="671"/>
      <c r="G195" s="671"/>
      <c r="H195" s="671"/>
      <c r="I195" s="671"/>
      <c r="J195" s="671"/>
      <c r="K195" s="671"/>
      <c r="L195" s="671"/>
      <c r="M195" s="671"/>
      <c r="N195" s="671"/>
      <c r="O195" s="671"/>
      <c r="P195" s="671"/>
      <c r="Q195" s="671"/>
      <c r="R195" s="671"/>
      <c r="S195" s="671"/>
      <c r="T195" s="671"/>
      <c r="U195" s="671"/>
      <c r="V195" s="671"/>
      <c r="W195" s="671"/>
      <c r="X195" s="671"/>
      <c r="Y195" s="671"/>
      <c r="Z195" s="671"/>
      <c r="AA195" s="671"/>
      <c r="AB195" s="671"/>
    </row>
    <row r="196" spans="1:28" ht="14.25" customHeight="1">
      <c r="A196" s="671"/>
      <c r="B196" s="671"/>
      <c r="C196" s="671"/>
      <c r="D196" s="671"/>
      <c r="E196" s="671"/>
      <c r="F196" s="671"/>
      <c r="G196" s="671"/>
      <c r="H196" s="671"/>
      <c r="I196" s="671"/>
      <c r="J196" s="671"/>
      <c r="K196" s="671"/>
      <c r="L196" s="671"/>
      <c r="M196" s="671"/>
      <c r="N196" s="671"/>
      <c r="O196" s="671"/>
      <c r="P196" s="671"/>
      <c r="Q196" s="671"/>
      <c r="R196" s="671"/>
      <c r="S196" s="671"/>
      <c r="T196" s="671"/>
      <c r="U196" s="671"/>
      <c r="V196" s="671"/>
      <c r="W196" s="671"/>
      <c r="X196" s="671"/>
      <c r="Y196" s="671"/>
      <c r="Z196" s="671"/>
      <c r="AA196" s="671"/>
      <c r="AB196" s="671"/>
    </row>
    <row r="197" spans="1:28" ht="14.25" customHeight="1">
      <c r="A197" s="671"/>
      <c r="B197" s="671"/>
      <c r="C197" s="671"/>
      <c r="D197" s="671"/>
      <c r="E197" s="671"/>
      <c r="F197" s="671"/>
      <c r="G197" s="671"/>
      <c r="H197" s="671"/>
      <c r="I197" s="671"/>
      <c r="J197" s="671"/>
      <c r="K197" s="671"/>
      <c r="L197" s="671"/>
      <c r="M197" s="671"/>
      <c r="N197" s="671"/>
      <c r="O197" s="671"/>
      <c r="P197" s="671"/>
      <c r="Q197" s="671"/>
      <c r="R197" s="671"/>
      <c r="S197" s="671"/>
      <c r="T197" s="671"/>
      <c r="U197" s="671"/>
      <c r="V197" s="671"/>
      <c r="W197" s="671"/>
      <c r="X197" s="671"/>
      <c r="Y197" s="671"/>
      <c r="Z197" s="671"/>
      <c r="AA197" s="671"/>
      <c r="AB197" s="671"/>
    </row>
    <row r="198" spans="1:28" ht="14.25" customHeight="1">
      <c r="A198" s="671"/>
      <c r="B198" s="671"/>
      <c r="C198" s="671"/>
      <c r="D198" s="671"/>
      <c r="E198" s="671"/>
      <c r="F198" s="671"/>
      <c r="G198" s="671"/>
      <c r="H198" s="671"/>
      <c r="I198" s="671"/>
      <c r="J198" s="671"/>
      <c r="K198" s="671"/>
      <c r="L198" s="671"/>
      <c r="M198" s="671"/>
      <c r="N198" s="671"/>
      <c r="O198" s="671"/>
      <c r="P198" s="671"/>
      <c r="Q198" s="671"/>
      <c r="R198" s="671"/>
      <c r="S198" s="671"/>
      <c r="T198" s="671"/>
      <c r="U198" s="671"/>
      <c r="V198" s="671"/>
      <c r="W198" s="671"/>
      <c r="X198" s="671"/>
      <c r="Y198" s="671"/>
      <c r="Z198" s="671"/>
      <c r="AA198" s="671"/>
      <c r="AB198" s="671"/>
    </row>
    <row r="199" spans="1:28" ht="14.25" customHeight="1">
      <c r="A199" s="671"/>
      <c r="B199" s="671"/>
      <c r="C199" s="671"/>
      <c r="D199" s="671"/>
      <c r="E199" s="671"/>
      <c r="F199" s="671"/>
      <c r="G199" s="671"/>
      <c r="H199" s="671"/>
      <c r="I199" s="671"/>
      <c r="J199" s="671"/>
      <c r="K199" s="671"/>
      <c r="L199" s="671"/>
      <c r="M199" s="671"/>
      <c r="N199" s="671"/>
      <c r="O199" s="671"/>
      <c r="P199" s="671"/>
      <c r="Q199" s="671"/>
      <c r="R199" s="671"/>
      <c r="S199" s="671"/>
      <c r="T199" s="671"/>
      <c r="U199" s="671"/>
      <c r="V199" s="671"/>
      <c r="W199" s="671"/>
      <c r="X199" s="671"/>
      <c r="Y199" s="671"/>
      <c r="Z199" s="671"/>
      <c r="AA199" s="671"/>
      <c r="AB199" s="671"/>
    </row>
    <row r="200" spans="1:28" ht="14.25" customHeight="1">
      <c r="A200" s="671"/>
      <c r="B200" s="671"/>
      <c r="C200" s="671"/>
      <c r="D200" s="671"/>
      <c r="E200" s="671"/>
      <c r="F200" s="671"/>
      <c r="G200" s="671"/>
      <c r="H200" s="671"/>
      <c r="I200" s="671"/>
      <c r="J200" s="671"/>
      <c r="K200" s="671"/>
      <c r="L200" s="671"/>
      <c r="M200" s="671"/>
      <c r="N200" s="671"/>
      <c r="O200" s="671"/>
      <c r="P200" s="671"/>
      <c r="Q200" s="671"/>
      <c r="R200" s="671"/>
      <c r="S200" s="671"/>
      <c r="T200" s="671"/>
      <c r="U200" s="671"/>
      <c r="V200" s="671"/>
      <c r="W200" s="671"/>
      <c r="X200" s="671"/>
      <c r="Y200" s="671"/>
      <c r="Z200" s="671"/>
      <c r="AA200" s="671"/>
      <c r="AB200" s="671"/>
    </row>
    <row r="201" spans="1:28" ht="14.25" customHeight="1">
      <c r="A201" s="671"/>
      <c r="B201" s="671"/>
      <c r="C201" s="671"/>
      <c r="D201" s="671"/>
      <c r="E201" s="671"/>
      <c r="F201" s="671"/>
      <c r="G201" s="671"/>
      <c r="H201" s="671"/>
      <c r="I201" s="671"/>
      <c r="J201" s="671"/>
      <c r="K201" s="671"/>
      <c r="L201" s="671"/>
      <c r="M201" s="671"/>
      <c r="N201" s="671"/>
      <c r="O201" s="671"/>
      <c r="P201" s="671"/>
      <c r="Q201" s="671"/>
      <c r="R201" s="671"/>
      <c r="S201" s="671"/>
      <c r="T201" s="671"/>
      <c r="U201" s="671"/>
      <c r="V201" s="671"/>
      <c r="W201" s="671"/>
      <c r="X201" s="671"/>
      <c r="Y201" s="671"/>
      <c r="Z201" s="671"/>
      <c r="AA201" s="671"/>
      <c r="AB201" s="671"/>
    </row>
    <row r="202" spans="1:28" ht="14.25" customHeight="1">
      <c r="A202" s="671"/>
      <c r="B202" s="671"/>
      <c r="C202" s="671"/>
      <c r="D202" s="671"/>
      <c r="E202" s="671"/>
      <c r="F202" s="671"/>
      <c r="G202" s="671"/>
      <c r="H202" s="671"/>
      <c r="I202" s="671"/>
      <c r="J202" s="671"/>
      <c r="K202" s="671"/>
      <c r="L202" s="671"/>
      <c r="M202" s="671"/>
      <c r="N202" s="671"/>
      <c r="O202" s="671"/>
      <c r="P202" s="671"/>
      <c r="Q202" s="671"/>
      <c r="R202" s="671"/>
      <c r="S202" s="671"/>
      <c r="T202" s="671"/>
      <c r="U202" s="671"/>
      <c r="V202" s="671"/>
      <c r="W202" s="671"/>
      <c r="X202" s="671"/>
      <c r="Y202" s="671"/>
      <c r="Z202" s="671"/>
      <c r="AA202" s="671"/>
      <c r="AB202" s="671"/>
    </row>
    <row r="203" spans="1:28" ht="14.25" customHeight="1">
      <c r="A203" s="671"/>
      <c r="B203" s="671"/>
      <c r="C203" s="671"/>
      <c r="D203" s="671"/>
      <c r="E203" s="671"/>
      <c r="F203" s="671"/>
      <c r="G203" s="671"/>
      <c r="H203" s="671"/>
      <c r="I203" s="671"/>
      <c r="J203" s="671"/>
      <c r="K203" s="671"/>
      <c r="L203" s="671"/>
      <c r="M203" s="671"/>
      <c r="N203" s="671"/>
      <c r="O203" s="671"/>
      <c r="P203" s="671"/>
      <c r="Q203" s="671"/>
      <c r="R203" s="671"/>
      <c r="S203" s="671"/>
      <c r="T203" s="671"/>
      <c r="U203" s="671"/>
      <c r="V203" s="671"/>
      <c r="W203" s="671"/>
      <c r="X203" s="671"/>
      <c r="Y203" s="671"/>
      <c r="Z203" s="671"/>
      <c r="AA203" s="671"/>
      <c r="AB203" s="671"/>
    </row>
    <row r="204" spans="1:28" ht="14.25" customHeight="1">
      <c r="A204" s="671"/>
      <c r="B204" s="671"/>
      <c r="C204" s="671"/>
      <c r="D204" s="671"/>
      <c r="E204" s="671"/>
      <c r="F204" s="671"/>
      <c r="G204" s="671"/>
      <c r="H204" s="671"/>
      <c r="I204" s="671"/>
      <c r="J204" s="671"/>
      <c r="K204" s="671"/>
      <c r="L204" s="671"/>
      <c r="M204" s="671"/>
      <c r="N204" s="671"/>
      <c r="O204" s="671"/>
      <c r="P204" s="671"/>
      <c r="Q204" s="671"/>
      <c r="R204" s="671"/>
      <c r="S204" s="671"/>
      <c r="T204" s="671"/>
      <c r="U204" s="671"/>
      <c r="V204" s="671"/>
      <c r="W204" s="671"/>
      <c r="X204" s="671"/>
      <c r="Y204" s="671"/>
      <c r="Z204" s="671"/>
      <c r="AA204" s="671"/>
      <c r="AB204" s="671"/>
    </row>
    <row r="205" spans="1:28" ht="14.25" customHeight="1">
      <c r="A205" s="671"/>
      <c r="B205" s="671"/>
      <c r="C205" s="671"/>
      <c r="D205" s="671"/>
      <c r="E205" s="671"/>
      <c r="F205" s="671"/>
      <c r="G205" s="671"/>
      <c r="H205" s="671"/>
      <c r="I205" s="671"/>
      <c r="J205" s="671"/>
      <c r="K205" s="671"/>
      <c r="L205" s="671"/>
      <c r="M205" s="671"/>
      <c r="N205" s="671"/>
      <c r="O205" s="671"/>
      <c r="P205" s="671"/>
      <c r="Q205" s="671"/>
      <c r="R205" s="671"/>
      <c r="S205" s="671"/>
      <c r="T205" s="671"/>
      <c r="U205" s="671"/>
      <c r="V205" s="671"/>
      <c r="W205" s="671"/>
      <c r="X205" s="671"/>
      <c r="Y205" s="671"/>
      <c r="Z205" s="671"/>
      <c r="AA205" s="671"/>
      <c r="AB205" s="671"/>
    </row>
    <row r="206" spans="1:28" ht="14.25" customHeight="1">
      <c r="A206" s="671"/>
      <c r="B206" s="671"/>
      <c r="C206" s="671"/>
      <c r="D206" s="671"/>
      <c r="E206" s="671"/>
      <c r="F206" s="671"/>
      <c r="G206" s="671"/>
      <c r="H206" s="671"/>
      <c r="I206" s="671"/>
      <c r="J206" s="671"/>
      <c r="K206" s="671"/>
      <c r="L206" s="671"/>
      <c r="M206" s="671"/>
      <c r="N206" s="671"/>
      <c r="O206" s="671"/>
      <c r="P206" s="671"/>
      <c r="Q206" s="671"/>
      <c r="R206" s="671"/>
      <c r="S206" s="671"/>
      <c r="T206" s="671"/>
      <c r="U206" s="671"/>
      <c r="V206" s="671"/>
      <c r="W206" s="671"/>
      <c r="X206" s="671"/>
      <c r="Y206" s="671"/>
      <c r="Z206" s="671"/>
      <c r="AA206" s="671"/>
      <c r="AB206" s="671"/>
    </row>
    <row r="207" spans="1:28" ht="14.25" customHeight="1">
      <c r="A207" s="671"/>
      <c r="B207" s="671"/>
      <c r="C207" s="671"/>
      <c r="D207" s="671"/>
      <c r="E207" s="671"/>
      <c r="F207" s="671"/>
      <c r="G207" s="671"/>
      <c r="H207" s="671"/>
      <c r="I207" s="671"/>
      <c r="J207" s="671"/>
      <c r="K207" s="671"/>
      <c r="L207" s="671"/>
      <c r="M207" s="671"/>
      <c r="N207" s="671"/>
      <c r="O207" s="671"/>
      <c r="P207" s="671"/>
      <c r="Q207" s="671"/>
      <c r="R207" s="671"/>
      <c r="S207" s="671"/>
      <c r="T207" s="671"/>
      <c r="U207" s="671"/>
      <c r="V207" s="671"/>
      <c r="W207" s="671"/>
      <c r="X207" s="671"/>
      <c r="Y207" s="671"/>
      <c r="Z207" s="671"/>
      <c r="AA207" s="671"/>
      <c r="AB207" s="671"/>
    </row>
    <row r="208" spans="1:28" ht="14.25" customHeight="1">
      <c r="A208" s="671"/>
      <c r="B208" s="671"/>
      <c r="C208" s="671"/>
      <c r="D208" s="671"/>
      <c r="E208" s="671"/>
      <c r="F208" s="671"/>
      <c r="G208" s="671"/>
      <c r="H208" s="671"/>
      <c r="I208" s="671"/>
      <c r="J208" s="671"/>
      <c r="K208" s="671"/>
      <c r="L208" s="671"/>
      <c r="M208" s="671"/>
      <c r="N208" s="671"/>
      <c r="O208" s="671"/>
      <c r="P208" s="671"/>
      <c r="Q208" s="671"/>
      <c r="R208" s="671"/>
      <c r="S208" s="671"/>
      <c r="T208" s="671"/>
      <c r="U208" s="671"/>
      <c r="V208" s="671"/>
      <c r="W208" s="671"/>
      <c r="X208" s="671"/>
      <c r="Y208" s="671"/>
      <c r="Z208" s="671"/>
      <c r="AA208" s="671"/>
      <c r="AB208" s="671"/>
    </row>
    <row r="209" spans="1:28" ht="14.25" customHeight="1">
      <c r="A209" s="671"/>
      <c r="B209" s="671"/>
      <c r="C209" s="671"/>
      <c r="D209" s="671"/>
      <c r="E209" s="671"/>
      <c r="F209" s="671"/>
      <c r="G209" s="671"/>
      <c r="H209" s="671"/>
      <c r="I209" s="671"/>
      <c r="J209" s="671"/>
      <c r="K209" s="671"/>
      <c r="L209" s="671"/>
      <c r="M209" s="671"/>
      <c r="N209" s="671"/>
      <c r="O209" s="671"/>
      <c r="P209" s="671"/>
      <c r="Q209" s="671"/>
      <c r="R209" s="671"/>
      <c r="S209" s="671"/>
      <c r="T209" s="671"/>
      <c r="U209" s="671"/>
      <c r="V209" s="671"/>
      <c r="W209" s="671"/>
      <c r="X209" s="671"/>
      <c r="Y209" s="671"/>
      <c r="Z209" s="671"/>
      <c r="AA209" s="671"/>
      <c r="AB209" s="671"/>
    </row>
    <row r="210" spans="1:28"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spans="1:28"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spans="1:28"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spans="1:28"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spans="1:28"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spans="1:28"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spans="1:28"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spans="1:28"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spans="1:28"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spans="1:28"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spans="1:28"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spans="1:28"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spans="1:28"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spans="1:28"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1:K1"/>
    <mergeCell ref="C4:J4"/>
    <mergeCell ref="E7:H7"/>
    <mergeCell ref="E8:F8"/>
    <mergeCell ref="G8:H8"/>
    <mergeCell ref="E9:F9"/>
    <mergeCell ref="G9:H9"/>
    <mergeCell ref="E10:F10"/>
    <mergeCell ref="G10:H10"/>
    <mergeCell ref="C12:J12"/>
    <mergeCell ref="E15:H15"/>
    <mergeCell ref="E16:F16"/>
    <mergeCell ref="G16:H16"/>
    <mergeCell ref="E17:F17"/>
    <mergeCell ref="I22:J22"/>
    <mergeCell ref="I23:J23"/>
    <mergeCell ref="G17:H17"/>
    <mergeCell ref="C20:J20"/>
    <mergeCell ref="B21:K21"/>
    <mergeCell ref="C22:D22"/>
    <mergeCell ref="F22:G22"/>
    <mergeCell ref="C23:D23"/>
    <mergeCell ref="F23:G23"/>
  </mergeCells>
  <printOptions gridLines="1"/>
  <pageMargins left="0.42" right="0.28999999999999998" top="0.64" bottom="0.33" header="0" footer="0"/>
  <pageSetup paperSize="14" scale="4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364960-6A75-4620-86A8-1FCF5AAD3608}"/>
</file>

<file path=customXml/itemProps2.xml><?xml version="1.0" encoding="utf-8"?>
<ds:datastoreItem xmlns:ds="http://schemas.openxmlformats.org/officeDocument/2006/customXml" ds:itemID="{BB6CFCE6-B041-41E1-8963-6E81D1BDFCEE}"/>
</file>

<file path=customXml/itemProps3.xml><?xml version="1.0" encoding="utf-8"?>
<ds:datastoreItem xmlns:ds="http://schemas.openxmlformats.org/officeDocument/2006/customXml" ds:itemID="{3520AC50-0B57-4851-AE03-3B56E28D74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Mae Dacayo</dc:creator>
  <cp:keywords/>
  <dc:description/>
  <cp:lastModifiedBy>MC WELSON SOLOMON</cp:lastModifiedBy>
  <cp:revision/>
  <dcterms:created xsi:type="dcterms:W3CDTF">2025-08-20T03:19:34Z</dcterms:created>
  <dcterms:modified xsi:type="dcterms:W3CDTF">2026-09-22T11:11:24Z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