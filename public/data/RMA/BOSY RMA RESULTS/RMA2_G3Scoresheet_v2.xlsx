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charts/colors3.xml" ContentType="application/vnd.ms-office.chartcolorstyle+xml"/>
  <Override PartName="/xl/charts/style3.xml" ContentType="application/vnd.ms-office.chartstyle+xml"/>
  <Override PartName="/xl/charts/chart3.xml" ContentType="application/vnd.openxmlformats-officedocument.drawingml.chart+xml"/>
  <Override PartName="/xl/worksheets/sheet1.xml" ContentType="application/vnd.openxmlformats-officedocument.spreadsheetml.worksheet+xml"/>
  <Override PartName="/xl/worksheets/sheet2.xml" ContentType="application/vnd.openxmlformats-officedocument.spreadsheetml.worksheet+xml"/>
  <Override PartName="/xl/charts/style2.xml" ContentType="application/vnd.ms-office.chartstyle+xml"/>
  <Override PartName="/xl/charts/colors2.xml" ContentType="application/vnd.ms-office.chartcolorstyle+xml"/>
  <Override PartName="/xl/charts/colors1.xml" ContentType="application/vnd.ms-office.chartcolor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charts/chart2.xml" ContentType="application/vnd.openxmlformats-officedocument.drawingml.chart+xml"/>
  <Override PartName="/xl/charts/style1.xml" ContentType="application/vnd.ms-office.chartstyle+xml"/>
  <Override PartName="/xl/drawings/drawing2.xml" ContentType="application/vnd.openxmlformats-officedocument.drawing+xml"/>
  <Override PartName="/xl/charts/chart1.xml" ContentType="application/vnd.openxmlformats-officedocument.drawingml.chart+xml"/>
  <Override PartName="/xl/metadata.xml" ContentType="application/vnd.openxmlformats-officedocument.spreadsheetml.sheetMetadata+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User\OneDrive\Desktop\"/>
    </mc:Choice>
  </mc:AlternateContent>
  <workbookProtection workbookAlgorithmName="SHA-512" workbookHashValue="GQG43wjyxFD3yn7lO6P0iH/Khn1nccknyA6jhsXweN5Z1mQv706IrqBjalEz/d9nN8qNx7RmX+gxOoZ15dkk9Q==" workbookSaltValue="UsytMW+NBAho3Diyz3Z+RA==" workbookSpinCount="100000" lockStructure="1"/>
  <bookViews>
    <workbookView xWindow="0" yWindow="0" windowWidth="19200" windowHeight="6350"/>
  </bookViews>
  <sheets>
    <sheet name="G3 RMA Scoresheet" sheetId="1" r:id="rId1"/>
    <sheet name="List" sheetId="4" state="hidden" r:id="rId2"/>
    <sheet name="Class Summary" sheetId="2"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09" i="1" l="1"/>
  <c r="AE109" i="1"/>
  <c r="AD109" i="1"/>
  <c r="AC109" i="1"/>
  <c r="AB109" i="1"/>
  <c r="AA109" i="1"/>
  <c r="Z109" i="1"/>
  <c r="Y109" i="1"/>
  <c r="AF108" i="1"/>
  <c r="AE108" i="1"/>
  <c r="AD108" i="1"/>
  <c r="AC108" i="1"/>
  <c r="AB108" i="1"/>
  <c r="AA108" i="1"/>
  <c r="Z108" i="1"/>
  <c r="Y108" i="1"/>
  <c r="AF107" i="1"/>
  <c r="AE107" i="1"/>
  <c r="AD107" i="1"/>
  <c r="AC107" i="1"/>
  <c r="AB107" i="1"/>
  <c r="AA107" i="1"/>
  <c r="Z107" i="1"/>
  <c r="Y107" i="1"/>
  <c r="AF106" i="1"/>
  <c r="AE106" i="1"/>
  <c r="AD106" i="1"/>
  <c r="AC106" i="1"/>
  <c r="AB106" i="1"/>
  <c r="AA106" i="1"/>
  <c r="Z106" i="1"/>
  <c r="Y106" i="1"/>
  <c r="AF105" i="1"/>
  <c r="AE105" i="1"/>
  <c r="AD105" i="1"/>
  <c r="AC105" i="1"/>
  <c r="AB105" i="1"/>
  <c r="AA105" i="1"/>
  <c r="Z105" i="1"/>
  <c r="Y105" i="1"/>
  <c r="AF104" i="1"/>
  <c r="AE104" i="1"/>
  <c r="AD104" i="1"/>
  <c r="AC104" i="1"/>
  <c r="AB104" i="1"/>
  <c r="AA104" i="1"/>
  <c r="Z104" i="1"/>
  <c r="Y104" i="1"/>
  <c r="AF103" i="1"/>
  <c r="AE103" i="1"/>
  <c r="AD103" i="1"/>
  <c r="AC103" i="1"/>
  <c r="AB103" i="1"/>
  <c r="AA103" i="1"/>
  <c r="Z103" i="1"/>
  <c r="Y103" i="1"/>
  <c r="AF102" i="1"/>
  <c r="AE102" i="1"/>
  <c r="AD102" i="1"/>
  <c r="AC102" i="1"/>
  <c r="AB102" i="1"/>
  <c r="AA102" i="1"/>
  <c r="Z102" i="1"/>
  <c r="Y102" i="1"/>
  <c r="AF101" i="1"/>
  <c r="AE101" i="1"/>
  <c r="AD101" i="1"/>
  <c r="AC101" i="1"/>
  <c r="AB101" i="1"/>
  <c r="AA101" i="1"/>
  <c r="Z101" i="1"/>
  <c r="Y101" i="1"/>
  <c r="AF100" i="1"/>
  <c r="AE100" i="1"/>
  <c r="AD100" i="1"/>
  <c r="AC100" i="1"/>
  <c r="AB100" i="1"/>
  <c r="AA100" i="1"/>
  <c r="Z100" i="1"/>
  <c r="Y100" i="1"/>
  <c r="AF99" i="1"/>
  <c r="AE99" i="1"/>
  <c r="AD99" i="1"/>
  <c r="AC99" i="1"/>
  <c r="AB99" i="1"/>
  <c r="AA99" i="1"/>
  <c r="Z99" i="1"/>
  <c r="Y99" i="1"/>
  <c r="AF98" i="1"/>
  <c r="AE98" i="1"/>
  <c r="AD98" i="1"/>
  <c r="AC98" i="1"/>
  <c r="AB98" i="1"/>
  <c r="AA98" i="1"/>
  <c r="Z98" i="1"/>
  <c r="Y98" i="1"/>
  <c r="AF97" i="1"/>
  <c r="AE97" i="1"/>
  <c r="AD97" i="1"/>
  <c r="AC97" i="1"/>
  <c r="AB97" i="1"/>
  <c r="AA97" i="1"/>
  <c r="Z97" i="1"/>
  <c r="Y97" i="1"/>
  <c r="AF96" i="1"/>
  <c r="AE96" i="1"/>
  <c r="AD96" i="1"/>
  <c r="AC96" i="1"/>
  <c r="AB96" i="1"/>
  <c r="AA96" i="1"/>
  <c r="Z96" i="1"/>
  <c r="Y96" i="1"/>
  <c r="AF95" i="1"/>
  <c r="AE95" i="1"/>
  <c r="AD95" i="1"/>
  <c r="AC95" i="1"/>
  <c r="AB95" i="1"/>
  <c r="AA95" i="1"/>
  <c r="Z95" i="1"/>
  <c r="Y95" i="1"/>
  <c r="AF94" i="1"/>
  <c r="AE94" i="1"/>
  <c r="AD94" i="1"/>
  <c r="AC94" i="1"/>
  <c r="AB94" i="1"/>
  <c r="AA94" i="1"/>
  <c r="Z94" i="1"/>
  <c r="Y94" i="1"/>
  <c r="AF93" i="1"/>
  <c r="AE93" i="1"/>
  <c r="AD93" i="1"/>
  <c r="AC93" i="1"/>
  <c r="AB93" i="1"/>
  <c r="AA93" i="1"/>
  <c r="Z93" i="1"/>
  <c r="Y93" i="1"/>
  <c r="AF92" i="1"/>
  <c r="AE92" i="1"/>
  <c r="AD92" i="1"/>
  <c r="AC92" i="1"/>
  <c r="AB92" i="1"/>
  <c r="AA92" i="1"/>
  <c r="Z92" i="1"/>
  <c r="Y92" i="1"/>
  <c r="AF91" i="1"/>
  <c r="AE91" i="1"/>
  <c r="AD91" i="1"/>
  <c r="AC91" i="1"/>
  <c r="AB91" i="1"/>
  <c r="AA91" i="1"/>
  <c r="Z91" i="1"/>
  <c r="Y91" i="1"/>
  <c r="AF90" i="1"/>
  <c r="AE90" i="1"/>
  <c r="AD90" i="1"/>
  <c r="AC90" i="1"/>
  <c r="AB90" i="1"/>
  <c r="AA90" i="1"/>
  <c r="Z90" i="1"/>
  <c r="Y90" i="1"/>
  <c r="AF89" i="1"/>
  <c r="AE89" i="1"/>
  <c r="AD89" i="1"/>
  <c r="AC89" i="1"/>
  <c r="AB89" i="1"/>
  <c r="AA89" i="1"/>
  <c r="Z89" i="1"/>
  <c r="Y89" i="1"/>
  <c r="AF88" i="1"/>
  <c r="AE88" i="1"/>
  <c r="AD88" i="1"/>
  <c r="AC88" i="1"/>
  <c r="AB88" i="1"/>
  <c r="AA88" i="1"/>
  <c r="Z88" i="1"/>
  <c r="Y88" i="1"/>
  <c r="AF87" i="1"/>
  <c r="AE87" i="1"/>
  <c r="AD87" i="1"/>
  <c r="AC87" i="1"/>
  <c r="AB87" i="1"/>
  <c r="AA87" i="1"/>
  <c r="Z87" i="1"/>
  <c r="Y87" i="1"/>
  <c r="AF86" i="1"/>
  <c r="AE86" i="1"/>
  <c r="AD86" i="1"/>
  <c r="AC86" i="1"/>
  <c r="AB86" i="1"/>
  <c r="AA86" i="1"/>
  <c r="Z86" i="1"/>
  <c r="Y86" i="1"/>
  <c r="AF85" i="1"/>
  <c r="AE85" i="1"/>
  <c r="AD85" i="1"/>
  <c r="AC85" i="1"/>
  <c r="AB85" i="1"/>
  <c r="AA85" i="1"/>
  <c r="Z85" i="1"/>
  <c r="Y85" i="1"/>
  <c r="AF84" i="1"/>
  <c r="AE84" i="1"/>
  <c r="AD84" i="1"/>
  <c r="AC84" i="1"/>
  <c r="AB84" i="1"/>
  <c r="AA84" i="1"/>
  <c r="Z84" i="1"/>
  <c r="Y84" i="1"/>
  <c r="AF83" i="1"/>
  <c r="AE83" i="1"/>
  <c r="AD83" i="1"/>
  <c r="AC83" i="1"/>
  <c r="AB83" i="1"/>
  <c r="AA83" i="1"/>
  <c r="Z83" i="1"/>
  <c r="Y83" i="1"/>
  <c r="AF82" i="1"/>
  <c r="AE82" i="1"/>
  <c r="AD82" i="1"/>
  <c r="AC82" i="1"/>
  <c r="AB82" i="1"/>
  <c r="AA82" i="1"/>
  <c r="Z82" i="1"/>
  <c r="Y82" i="1"/>
  <c r="AF81" i="1"/>
  <c r="AE81" i="1"/>
  <c r="AD81" i="1"/>
  <c r="AC81" i="1"/>
  <c r="AB81" i="1"/>
  <c r="AA81" i="1"/>
  <c r="Z81" i="1"/>
  <c r="Y81" i="1"/>
  <c r="AF80" i="1"/>
  <c r="AE80" i="1"/>
  <c r="AD80" i="1"/>
  <c r="AC80" i="1"/>
  <c r="AB80" i="1"/>
  <c r="AA80" i="1"/>
  <c r="Z80" i="1"/>
  <c r="Y80" i="1"/>
  <c r="AF79" i="1"/>
  <c r="AE79" i="1"/>
  <c r="AD79" i="1"/>
  <c r="AC79" i="1"/>
  <c r="AB79" i="1"/>
  <c r="AA79" i="1"/>
  <c r="Z79" i="1"/>
  <c r="Y79" i="1"/>
  <c r="AF78" i="1"/>
  <c r="AE78" i="1"/>
  <c r="AD78" i="1"/>
  <c r="AC78" i="1"/>
  <c r="AB78" i="1"/>
  <c r="AA78" i="1"/>
  <c r="Z78" i="1"/>
  <c r="Y78" i="1"/>
  <c r="AF77" i="1"/>
  <c r="AE77" i="1"/>
  <c r="AD77" i="1"/>
  <c r="AC77" i="1"/>
  <c r="AB77" i="1"/>
  <c r="AA77" i="1"/>
  <c r="Z77" i="1"/>
  <c r="Y77" i="1"/>
  <c r="AF76" i="1"/>
  <c r="AE76" i="1"/>
  <c r="AD76" i="1"/>
  <c r="AC76" i="1"/>
  <c r="AB76" i="1"/>
  <c r="AA76" i="1"/>
  <c r="Z76" i="1"/>
  <c r="Y76" i="1"/>
  <c r="AF75" i="1"/>
  <c r="AE75" i="1"/>
  <c r="AD75" i="1"/>
  <c r="AC75" i="1"/>
  <c r="AB75" i="1"/>
  <c r="AA75" i="1"/>
  <c r="Z75" i="1"/>
  <c r="Y75" i="1"/>
  <c r="AF74" i="1"/>
  <c r="AE74" i="1"/>
  <c r="AD74" i="1"/>
  <c r="AC74" i="1"/>
  <c r="AB74" i="1"/>
  <c r="AA74" i="1"/>
  <c r="Z74" i="1"/>
  <c r="Y74" i="1"/>
  <c r="AF73" i="1"/>
  <c r="AE73" i="1"/>
  <c r="AD73" i="1"/>
  <c r="AC73" i="1"/>
  <c r="AB73" i="1"/>
  <c r="AA73" i="1"/>
  <c r="Z73" i="1"/>
  <c r="Y73" i="1"/>
  <c r="AF72" i="1"/>
  <c r="AE72" i="1"/>
  <c r="AD72" i="1"/>
  <c r="AC72" i="1"/>
  <c r="AB72" i="1"/>
  <c r="AA72" i="1"/>
  <c r="Z72" i="1"/>
  <c r="Y72" i="1"/>
  <c r="AF71" i="1"/>
  <c r="AE71" i="1"/>
  <c r="AD71" i="1"/>
  <c r="AC71" i="1"/>
  <c r="AB71" i="1"/>
  <c r="AA71" i="1"/>
  <c r="Z71" i="1"/>
  <c r="Y71" i="1"/>
  <c r="AF70" i="1"/>
  <c r="AE70" i="1"/>
  <c r="AD70" i="1"/>
  <c r="AC70" i="1"/>
  <c r="AB70" i="1"/>
  <c r="AA70" i="1"/>
  <c r="Z70" i="1"/>
  <c r="Y70" i="1"/>
  <c r="AF69" i="1"/>
  <c r="AE69" i="1"/>
  <c r="AD69" i="1"/>
  <c r="AC69" i="1"/>
  <c r="AB69" i="1"/>
  <c r="AA69" i="1"/>
  <c r="Z69" i="1"/>
  <c r="Y69" i="1"/>
  <c r="AF68" i="1"/>
  <c r="AE68" i="1"/>
  <c r="AD68" i="1"/>
  <c r="AC68" i="1"/>
  <c r="AB68" i="1"/>
  <c r="AA68" i="1"/>
  <c r="Z68" i="1"/>
  <c r="Y68" i="1"/>
  <c r="AF67" i="1"/>
  <c r="AE67" i="1"/>
  <c r="AD67" i="1"/>
  <c r="AC67" i="1"/>
  <c r="AB67" i="1"/>
  <c r="AA67" i="1"/>
  <c r="Z67" i="1"/>
  <c r="Y67" i="1"/>
  <c r="AF66" i="1"/>
  <c r="AE66" i="1"/>
  <c r="AD66" i="1"/>
  <c r="AC66" i="1"/>
  <c r="AB66" i="1"/>
  <c r="AA66" i="1"/>
  <c r="Z66" i="1"/>
  <c r="Y66" i="1"/>
  <c r="AF65" i="1"/>
  <c r="AE65" i="1"/>
  <c r="AD65" i="1"/>
  <c r="AC65" i="1"/>
  <c r="AB65" i="1"/>
  <c r="AA65" i="1"/>
  <c r="Z65" i="1"/>
  <c r="Y65" i="1"/>
  <c r="AF64" i="1"/>
  <c r="AE64" i="1"/>
  <c r="AD64" i="1"/>
  <c r="AC64" i="1"/>
  <c r="AB64" i="1"/>
  <c r="AA64" i="1"/>
  <c r="Z64" i="1"/>
  <c r="Y64" i="1"/>
  <c r="AF63" i="1"/>
  <c r="AE63" i="1"/>
  <c r="AD63" i="1"/>
  <c r="AC63" i="1"/>
  <c r="AB63" i="1"/>
  <c r="AA63" i="1"/>
  <c r="Z63" i="1"/>
  <c r="Y63" i="1"/>
  <c r="AF62" i="1"/>
  <c r="AE62" i="1"/>
  <c r="AD62" i="1"/>
  <c r="AC62" i="1"/>
  <c r="AB62" i="1"/>
  <c r="AA62" i="1"/>
  <c r="Z62" i="1"/>
  <c r="Y62" i="1"/>
  <c r="AF61" i="1"/>
  <c r="AE61" i="1"/>
  <c r="AD61" i="1"/>
  <c r="AC61" i="1"/>
  <c r="AB61" i="1"/>
  <c r="AA61" i="1"/>
  <c r="Z61" i="1"/>
  <c r="Y61" i="1"/>
  <c r="AF60" i="1"/>
  <c r="AE60" i="1"/>
  <c r="AD60" i="1"/>
  <c r="AC60" i="1"/>
  <c r="AB60" i="1"/>
  <c r="AA60" i="1"/>
  <c r="Z60" i="1"/>
  <c r="Y60" i="1"/>
  <c r="AF59" i="1"/>
  <c r="AE59" i="1"/>
  <c r="AD59" i="1"/>
  <c r="AC59" i="1"/>
  <c r="AB59" i="1"/>
  <c r="AA59" i="1"/>
  <c r="Z59" i="1"/>
  <c r="Y59" i="1"/>
  <c r="AF58" i="1"/>
  <c r="AE58" i="1"/>
  <c r="AD58" i="1"/>
  <c r="AC58" i="1"/>
  <c r="AB58" i="1"/>
  <c r="AA58" i="1"/>
  <c r="Z58" i="1"/>
  <c r="Y58" i="1"/>
  <c r="AF57" i="1"/>
  <c r="AE57" i="1"/>
  <c r="AD57" i="1"/>
  <c r="AC57" i="1"/>
  <c r="AB57" i="1"/>
  <c r="AA57" i="1"/>
  <c r="Z57" i="1"/>
  <c r="Y57" i="1"/>
  <c r="AF56" i="1"/>
  <c r="AE56" i="1"/>
  <c r="AD56" i="1"/>
  <c r="AC56" i="1"/>
  <c r="AB56" i="1"/>
  <c r="AA56" i="1"/>
  <c r="Z56" i="1"/>
  <c r="Y56" i="1"/>
  <c r="AF55" i="1"/>
  <c r="AE55" i="1"/>
  <c r="AD55" i="1"/>
  <c r="AC55" i="1"/>
  <c r="AB55" i="1"/>
  <c r="AA55" i="1"/>
  <c r="Z55" i="1"/>
  <c r="Y55" i="1"/>
  <c r="AF54" i="1"/>
  <c r="AE54" i="1"/>
  <c r="AD54" i="1"/>
  <c r="AC54" i="1"/>
  <c r="AB54" i="1"/>
  <c r="AA54" i="1"/>
  <c r="Z54" i="1"/>
  <c r="Y54" i="1"/>
  <c r="AF53" i="1"/>
  <c r="AE53" i="1"/>
  <c r="AD53" i="1"/>
  <c r="AC53" i="1"/>
  <c r="AB53" i="1"/>
  <c r="AA53" i="1"/>
  <c r="Z53" i="1"/>
  <c r="Y53" i="1"/>
  <c r="AF52" i="1"/>
  <c r="AE52" i="1"/>
  <c r="AD52" i="1"/>
  <c r="AC52" i="1"/>
  <c r="AB52" i="1"/>
  <c r="AA52" i="1"/>
  <c r="Z52" i="1"/>
  <c r="Y52" i="1"/>
  <c r="AF51" i="1"/>
  <c r="AE51" i="1"/>
  <c r="AD51" i="1"/>
  <c r="AC51" i="1"/>
  <c r="AB51" i="1"/>
  <c r="AA51" i="1"/>
  <c r="Z51" i="1"/>
  <c r="Y51" i="1"/>
  <c r="AF50" i="1"/>
  <c r="AE50" i="1"/>
  <c r="AD50" i="1"/>
  <c r="AC50" i="1"/>
  <c r="AB50" i="1"/>
  <c r="AA50" i="1"/>
  <c r="Z50" i="1"/>
  <c r="Y50" i="1"/>
  <c r="AF49" i="1"/>
  <c r="AE49" i="1"/>
  <c r="AD49" i="1"/>
  <c r="AC49" i="1"/>
  <c r="AB49" i="1"/>
  <c r="AA49" i="1"/>
  <c r="Z49" i="1"/>
  <c r="Y49" i="1"/>
  <c r="AF48" i="1"/>
  <c r="AE48" i="1"/>
  <c r="AD48" i="1"/>
  <c r="AC48" i="1"/>
  <c r="AB48" i="1"/>
  <c r="AA48" i="1"/>
  <c r="Z48" i="1"/>
  <c r="Y48" i="1"/>
  <c r="AF47" i="1"/>
  <c r="AE47" i="1"/>
  <c r="AD47" i="1"/>
  <c r="AC47" i="1"/>
  <c r="AB47" i="1"/>
  <c r="AA47" i="1"/>
  <c r="Z47" i="1"/>
  <c r="Y47" i="1"/>
  <c r="AF46" i="1"/>
  <c r="AE46" i="1"/>
  <c r="AD46" i="1"/>
  <c r="AC46" i="1"/>
  <c r="AB46" i="1"/>
  <c r="AA46" i="1"/>
  <c r="Z46" i="1"/>
  <c r="Y46" i="1"/>
  <c r="AF45" i="1"/>
  <c r="AE45" i="1"/>
  <c r="AD45" i="1"/>
  <c r="AC45" i="1"/>
  <c r="AB45" i="1"/>
  <c r="AA45" i="1"/>
  <c r="Z45" i="1"/>
  <c r="Y45" i="1"/>
  <c r="AF44" i="1"/>
  <c r="AE44" i="1"/>
  <c r="AD44" i="1"/>
  <c r="AC44" i="1"/>
  <c r="AB44" i="1"/>
  <c r="AA44" i="1"/>
  <c r="Z44" i="1"/>
  <c r="Y44" i="1"/>
  <c r="AF43" i="1"/>
  <c r="AE43" i="1"/>
  <c r="AD43" i="1"/>
  <c r="AC43" i="1"/>
  <c r="AB43" i="1"/>
  <c r="AA43" i="1"/>
  <c r="Z43" i="1"/>
  <c r="Y43" i="1"/>
  <c r="AF42" i="1"/>
  <c r="AE42" i="1"/>
  <c r="AD42" i="1"/>
  <c r="AC42" i="1"/>
  <c r="AB42" i="1"/>
  <c r="AA42" i="1"/>
  <c r="Z42" i="1"/>
  <c r="Y42" i="1"/>
  <c r="AF41" i="1"/>
  <c r="AE41" i="1"/>
  <c r="AD41" i="1"/>
  <c r="AC41" i="1"/>
  <c r="AB41" i="1"/>
  <c r="AA41" i="1"/>
  <c r="Z41" i="1"/>
  <c r="Y41" i="1"/>
  <c r="AF40" i="1"/>
  <c r="AE40" i="1"/>
  <c r="AD40" i="1"/>
  <c r="AC40" i="1"/>
  <c r="AB40" i="1"/>
  <c r="AA40" i="1"/>
  <c r="Z40" i="1"/>
  <c r="Y40" i="1"/>
  <c r="AF39" i="1"/>
  <c r="AE39" i="1"/>
  <c r="AD39" i="1"/>
  <c r="AC39" i="1"/>
  <c r="AB39" i="1"/>
  <c r="AA39" i="1"/>
  <c r="Z39" i="1"/>
  <c r="Y39" i="1"/>
  <c r="AF38" i="1"/>
  <c r="AE38" i="1"/>
  <c r="AD38" i="1"/>
  <c r="AC38" i="1"/>
  <c r="AB38" i="1"/>
  <c r="AA38" i="1"/>
  <c r="Z38" i="1"/>
  <c r="Y38" i="1"/>
  <c r="AF37" i="1"/>
  <c r="AE37" i="1"/>
  <c r="AD37" i="1"/>
  <c r="AC37" i="1"/>
  <c r="AB37" i="1"/>
  <c r="AA37" i="1"/>
  <c r="Z37" i="1"/>
  <c r="Y37" i="1"/>
  <c r="AF36" i="1"/>
  <c r="AE36" i="1"/>
  <c r="AD36" i="1"/>
  <c r="AC36" i="1"/>
  <c r="AB36" i="1"/>
  <c r="AA36" i="1"/>
  <c r="Z36" i="1"/>
  <c r="Y36" i="1"/>
  <c r="AF35" i="1"/>
  <c r="AE35" i="1"/>
  <c r="AD35" i="1"/>
  <c r="AC35" i="1"/>
  <c r="AB35" i="1"/>
  <c r="AA35" i="1"/>
  <c r="Z35" i="1"/>
  <c r="Y35" i="1"/>
  <c r="AF34" i="1"/>
  <c r="AE34" i="1"/>
  <c r="AD34" i="1"/>
  <c r="AC34" i="1"/>
  <c r="AB34" i="1"/>
  <c r="AA34" i="1"/>
  <c r="Z34" i="1"/>
  <c r="Y34" i="1"/>
  <c r="AF33" i="1"/>
  <c r="AE33" i="1"/>
  <c r="AD33" i="1"/>
  <c r="AC33" i="1"/>
  <c r="AB33" i="1"/>
  <c r="AA33" i="1"/>
  <c r="Z33" i="1"/>
  <c r="Y33" i="1"/>
  <c r="AF32" i="1"/>
  <c r="AE32" i="1"/>
  <c r="AD32" i="1"/>
  <c r="AC32" i="1"/>
  <c r="AB32" i="1"/>
  <c r="AA32" i="1"/>
  <c r="Z32" i="1"/>
  <c r="Y32" i="1"/>
  <c r="AF31" i="1"/>
  <c r="AE31" i="1"/>
  <c r="AD31" i="1"/>
  <c r="AC31" i="1"/>
  <c r="AB31" i="1"/>
  <c r="AA31" i="1"/>
  <c r="Z31" i="1"/>
  <c r="Y31" i="1"/>
  <c r="AF30" i="1"/>
  <c r="AE30" i="1"/>
  <c r="AD30" i="1"/>
  <c r="AC30" i="1"/>
  <c r="AB30" i="1"/>
  <c r="AA30" i="1"/>
  <c r="Z30" i="1"/>
  <c r="Y30" i="1"/>
  <c r="AF29" i="1"/>
  <c r="AE29" i="1"/>
  <c r="AD29" i="1"/>
  <c r="AC29" i="1"/>
  <c r="AB29" i="1"/>
  <c r="AA29" i="1"/>
  <c r="Z29" i="1"/>
  <c r="Y29" i="1"/>
  <c r="AF28" i="1"/>
  <c r="AE28" i="1"/>
  <c r="AD28" i="1"/>
  <c r="AC28" i="1"/>
  <c r="AB28" i="1"/>
  <c r="AA28" i="1"/>
  <c r="Z28" i="1"/>
  <c r="Y28" i="1"/>
  <c r="AF27" i="1"/>
  <c r="AE27" i="1"/>
  <c r="AD27" i="1"/>
  <c r="AC27" i="1"/>
  <c r="AB27" i="1"/>
  <c r="AA27" i="1"/>
  <c r="Z27" i="1"/>
  <c r="Y27" i="1"/>
  <c r="AF26" i="1"/>
  <c r="AE26" i="1"/>
  <c r="AD26" i="1"/>
  <c r="AC26" i="1"/>
  <c r="AB26" i="1"/>
  <c r="AA26" i="1"/>
  <c r="Z26" i="1"/>
  <c r="Y26" i="1"/>
  <c r="AF25" i="1"/>
  <c r="AE25" i="1"/>
  <c r="AD25" i="1"/>
  <c r="AC25" i="1"/>
  <c r="AB25" i="1"/>
  <c r="AA25" i="1"/>
  <c r="Z25" i="1"/>
  <c r="Y25" i="1"/>
  <c r="AF24" i="1"/>
  <c r="AE24" i="1"/>
  <c r="AD24" i="1"/>
  <c r="AC24" i="1"/>
  <c r="AB24" i="1"/>
  <c r="AA24" i="1"/>
  <c r="Z24" i="1"/>
  <c r="Y24" i="1"/>
  <c r="AF23" i="1"/>
  <c r="AE23" i="1"/>
  <c r="AD23" i="1"/>
  <c r="AC23" i="1"/>
  <c r="AB23" i="1"/>
  <c r="AA23" i="1"/>
  <c r="Z23" i="1"/>
  <c r="Y23" i="1"/>
  <c r="AF22" i="1"/>
  <c r="AE22" i="1"/>
  <c r="AD22" i="1"/>
  <c r="AC22" i="1"/>
  <c r="AB22" i="1"/>
  <c r="AA22" i="1"/>
  <c r="Z22" i="1"/>
  <c r="Y22" i="1"/>
  <c r="AF21" i="1"/>
  <c r="AE21" i="1"/>
  <c r="AD21" i="1"/>
  <c r="AC21" i="1"/>
  <c r="AB21" i="1"/>
  <c r="AA21" i="1"/>
  <c r="Z21" i="1"/>
  <c r="M12" i="2" s="1"/>
  <c r="Y21" i="1"/>
  <c r="AF20" i="1"/>
  <c r="AE20" i="1"/>
  <c r="AD20" i="1"/>
  <c r="AC20" i="1"/>
  <c r="AB20" i="1"/>
  <c r="AA20" i="1"/>
  <c r="Z20" i="1"/>
  <c r="Y20" i="1"/>
  <c r="AF19" i="1"/>
  <c r="AE19" i="1"/>
  <c r="AD19" i="1"/>
  <c r="AC19" i="1"/>
  <c r="AB19" i="1"/>
  <c r="AA19" i="1"/>
  <c r="Z19" i="1"/>
  <c r="Y19" i="1"/>
  <c r="AF18" i="1"/>
  <c r="AE18" i="1"/>
  <c r="AD18" i="1"/>
  <c r="AC18" i="1"/>
  <c r="AB18" i="1"/>
  <c r="AA18" i="1"/>
  <c r="Z18" i="1"/>
  <c r="Y18" i="1"/>
  <c r="AF17" i="1"/>
  <c r="AE17" i="1"/>
  <c r="AD17" i="1"/>
  <c r="AC17" i="1"/>
  <c r="AB17" i="1"/>
  <c r="AA17" i="1"/>
  <c r="Z17" i="1"/>
  <c r="Y17" i="1"/>
  <c r="AF16" i="1"/>
  <c r="AE16" i="1"/>
  <c r="AD16" i="1"/>
  <c r="AC16" i="1"/>
  <c r="AB16" i="1"/>
  <c r="AA16" i="1"/>
  <c r="Z16" i="1"/>
  <c r="Y16" i="1"/>
  <c r="AF15" i="1"/>
  <c r="AE15" i="1"/>
  <c r="AD15" i="1"/>
  <c r="AC15" i="1"/>
  <c r="AB15" i="1"/>
  <c r="AA15" i="1"/>
  <c r="Z15" i="1"/>
  <c r="Y15" i="1"/>
  <c r="AF14" i="1"/>
  <c r="AE14" i="1"/>
  <c r="AD14" i="1"/>
  <c r="AC14" i="1"/>
  <c r="AB14" i="1"/>
  <c r="AA14" i="1"/>
  <c r="Z14" i="1"/>
  <c r="Y14" i="1"/>
  <c r="AF13" i="1"/>
  <c r="AE13" i="1"/>
  <c r="AD13" i="1"/>
  <c r="AC13" i="1"/>
  <c r="AB13" i="1"/>
  <c r="AA13" i="1"/>
  <c r="Z13" i="1"/>
  <c r="Y13" i="1"/>
  <c r="AF12" i="1"/>
  <c r="AE12" i="1"/>
  <c r="AD12" i="1"/>
  <c r="AC12" i="1"/>
  <c r="AB12" i="1"/>
  <c r="AA12" i="1"/>
  <c r="Z12" i="1"/>
  <c r="Y12" i="1"/>
  <c r="AF11" i="1"/>
  <c r="S12" i="2" s="1"/>
  <c r="AE11" i="1"/>
  <c r="R12" i="2" s="1"/>
  <c r="AD11" i="1"/>
  <c r="Q12" i="2" s="1"/>
  <c r="AC11" i="1"/>
  <c r="P12" i="2" s="1"/>
  <c r="AB11" i="1"/>
  <c r="AA11" i="1"/>
  <c r="N12" i="2" s="1"/>
  <c r="Z11" i="1"/>
  <c r="Y11" i="1"/>
  <c r="AF10" i="1"/>
  <c r="S11" i="2" s="1"/>
  <c r="AE10" i="1"/>
  <c r="R11" i="2" s="1"/>
  <c r="AD10" i="1"/>
  <c r="Q11" i="2" s="1"/>
  <c r="AC10" i="1"/>
  <c r="AB10" i="1"/>
  <c r="O11" i="2" s="1"/>
  <c r="AA10" i="1"/>
  <c r="N11" i="2" s="1"/>
  <c r="Z10" i="1"/>
  <c r="AF198" i="1"/>
  <c r="AE198" i="1"/>
  <c r="AD198" i="1"/>
  <c r="AC198" i="1"/>
  <c r="AB198" i="1"/>
  <c r="AA198" i="1"/>
  <c r="Z198" i="1"/>
  <c r="AF197" i="1"/>
  <c r="AE197" i="1"/>
  <c r="AD197" i="1"/>
  <c r="AC197" i="1"/>
  <c r="AB197" i="1"/>
  <c r="AA197" i="1"/>
  <c r="Z197" i="1"/>
  <c r="AF196" i="1"/>
  <c r="AE196" i="1"/>
  <c r="AD196" i="1"/>
  <c r="AC196" i="1"/>
  <c r="AB196" i="1"/>
  <c r="AA196" i="1"/>
  <c r="Z196" i="1"/>
  <c r="AF195" i="1"/>
  <c r="AE195" i="1"/>
  <c r="AD195" i="1"/>
  <c r="AC195" i="1"/>
  <c r="AB195" i="1"/>
  <c r="AA195" i="1"/>
  <c r="Z195" i="1"/>
  <c r="AF194" i="1"/>
  <c r="AE194" i="1"/>
  <c r="AD194" i="1"/>
  <c r="AC194" i="1"/>
  <c r="AB194" i="1"/>
  <c r="AA194" i="1"/>
  <c r="Z194" i="1"/>
  <c r="AF193" i="1"/>
  <c r="AE193" i="1"/>
  <c r="AD193" i="1"/>
  <c r="AC193" i="1"/>
  <c r="AB193" i="1"/>
  <c r="AA193" i="1"/>
  <c r="Z193" i="1"/>
  <c r="AF192" i="1"/>
  <c r="AE192" i="1"/>
  <c r="AD192" i="1"/>
  <c r="AC192" i="1"/>
  <c r="AB192" i="1"/>
  <c r="AA192" i="1"/>
  <c r="Z192" i="1"/>
  <c r="AF191" i="1"/>
  <c r="AE191" i="1"/>
  <c r="AD191" i="1"/>
  <c r="AC191" i="1"/>
  <c r="AB191" i="1"/>
  <c r="AA191" i="1"/>
  <c r="Z191" i="1"/>
  <c r="AF190" i="1"/>
  <c r="AE190" i="1"/>
  <c r="AD190" i="1"/>
  <c r="AC190" i="1"/>
  <c r="AB190" i="1"/>
  <c r="AA190" i="1"/>
  <c r="Z190" i="1"/>
  <c r="AF189" i="1"/>
  <c r="AE189" i="1"/>
  <c r="AD189" i="1"/>
  <c r="AC189" i="1"/>
  <c r="AB189" i="1"/>
  <c r="AA189" i="1"/>
  <c r="Z189" i="1"/>
  <c r="AF188" i="1"/>
  <c r="AE188" i="1"/>
  <c r="AD188" i="1"/>
  <c r="AC188" i="1"/>
  <c r="AB188" i="1"/>
  <c r="AA188" i="1"/>
  <c r="Z188" i="1"/>
  <c r="AF187" i="1"/>
  <c r="AE187" i="1"/>
  <c r="AD187" i="1"/>
  <c r="AC187" i="1"/>
  <c r="AB187" i="1"/>
  <c r="AA187" i="1"/>
  <c r="Z187" i="1"/>
  <c r="AF186" i="1"/>
  <c r="AE186" i="1"/>
  <c r="AD186" i="1"/>
  <c r="AC186" i="1"/>
  <c r="AB186" i="1"/>
  <c r="AA186" i="1"/>
  <c r="Z186" i="1"/>
  <c r="AF185" i="1"/>
  <c r="AE185" i="1"/>
  <c r="AD185" i="1"/>
  <c r="AC185" i="1"/>
  <c r="AB185" i="1"/>
  <c r="AA185" i="1"/>
  <c r="Z185" i="1"/>
  <c r="AF184" i="1"/>
  <c r="AE184" i="1"/>
  <c r="AD184" i="1"/>
  <c r="AC184" i="1"/>
  <c r="AB184" i="1"/>
  <c r="AA184" i="1"/>
  <c r="Z184" i="1"/>
  <c r="AF183" i="1"/>
  <c r="AE183" i="1"/>
  <c r="AD183" i="1"/>
  <c r="AC183" i="1"/>
  <c r="AB183" i="1"/>
  <c r="AA183" i="1"/>
  <c r="Z183" i="1"/>
  <c r="AF182" i="1"/>
  <c r="AE182" i="1"/>
  <c r="AD182" i="1"/>
  <c r="AC182" i="1"/>
  <c r="AB182" i="1"/>
  <c r="AA182" i="1"/>
  <c r="Z182" i="1"/>
  <c r="AF181" i="1"/>
  <c r="AE181" i="1"/>
  <c r="AD181" i="1"/>
  <c r="AC181" i="1"/>
  <c r="AB181" i="1"/>
  <c r="AA181" i="1"/>
  <c r="Z181" i="1"/>
  <c r="AF180" i="1"/>
  <c r="AE180" i="1"/>
  <c r="AD180" i="1"/>
  <c r="AC180" i="1"/>
  <c r="AB180" i="1"/>
  <c r="AA180" i="1"/>
  <c r="Z180" i="1"/>
  <c r="AF179" i="1"/>
  <c r="AE179" i="1"/>
  <c r="AD179" i="1"/>
  <c r="AC179" i="1"/>
  <c r="AB179" i="1"/>
  <c r="AA179" i="1"/>
  <c r="Z179" i="1"/>
  <c r="AF178" i="1"/>
  <c r="AE178" i="1"/>
  <c r="AD178" i="1"/>
  <c r="AC178" i="1"/>
  <c r="AB178" i="1"/>
  <c r="AA178" i="1"/>
  <c r="Z178" i="1"/>
  <c r="AF177" i="1"/>
  <c r="AE177" i="1"/>
  <c r="AD177" i="1"/>
  <c r="AC177" i="1"/>
  <c r="AB177" i="1"/>
  <c r="AA177" i="1"/>
  <c r="Z177" i="1"/>
  <c r="AF176" i="1"/>
  <c r="AE176" i="1"/>
  <c r="AD176" i="1"/>
  <c r="AC176" i="1"/>
  <c r="AB176" i="1"/>
  <c r="AA176" i="1"/>
  <c r="Z176" i="1"/>
  <c r="AF175" i="1"/>
  <c r="AE175" i="1"/>
  <c r="AD175" i="1"/>
  <c r="AC175" i="1"/>
  <c r="AB175" i="1"/>
  <c r="AA175" i="1"/>
  <c r="Z175" i="1"/>
  <c r="AF174" i="1"/>
  <c r="AE174" i="1"/>
  <c r="AD174" i="1"/>
  <c r="AC174" i="1"/>
  <c r="AB174" i="1"/>
  <c r="AA174" i="1"/>
  <c r="Z174" i="1"/>
  <c r="AF173" i="1"/>
  <c r="AE173" i="1"/>
  <c r="AD173" i="1"/>
  <c r="AC173" i="1"/>
  <c r="AB173" i="1"/>
  <c r="AA173" i="1"/>
  <c r="Z173" i="1"/>
  <c r="AF172" i="1"/>
  <c r="AE172" i="1"/>
  <c r="AD172" i="1"/>
  <c r="AC172" i="1"/>
  <c r="AB172" i="1"/>
  <c r="AA172" i="1"/>
  <c r="Z172" i="1"/>
  <c r="AF171" i="1"/>
  <c r="AE171" i="1"/>
  <c r="AD171" i="1"/>
  <c r="AC171" i="1"/>
  <c r="AB171" i="1"/>
  <c r="AA171" i="1"/>
  <c r="Z171" i="1"/>
  <c r="AF170" i="1"/>
  <c r="AE170" i="1"/>
  <c r="AD170" i="1"/>
  <c r="AC170" i="1"/>
  <c r="AB170" i="1"/>
  <c r="AA170" i="1"/>
  <c r="Z170" i="1"/>
  <c r="AF169" i="1"/>
  <c r="AE169" i="1"/>
  <c r="AD169" i="1"/>
  <c r="AC169" i="1"/>
  <c r="AB169" i="1"/>
  <c r="AA169" i="1"/>
  <c r="Z169" i="1"/>
  <c r="AF168" i="1"/>
  <c r="AE168" i="1"/>
  <c r="AD168" i="1"/>
  <c r="AC168" i="1"/>
  <c r="AB168" i="1"/>
  <c r="AA168" i="1"/>
  <c r="Z168" i="1"/>
  <c r="AF167" i="1"/>
  <c r="AE167" i="1"/>
  <c r="AD167" i="1"/>
  <c r="AC167" i="1"/>
  <c r="AB167" i="1"/>
  <c r="AA167" i="1"/>
  <c r="Z167" i="1"/>
  <c r="AF166" i="1"/>
  <c r="AE166" i="1"/>
  <c r="AD166" i="1"/>
  <c r="AC166" i="1"/>
  <c r="AB166" i="1"/>
  <c r="AA166" i="1"/>
  <c r="Z166" i="1"/>
  <c r="AF165" i="1"/>
  <c r="AE165" i="1"/>
  <c r="AD165" i="1"/>
  <c r="AC165" i="1"/>
  <c r="AB165" i="1"/>
  <c r="AA165" i="1"/>
  <c r="Z165" i="1"/>
  <c r="AF164" i="1"/>
  <c r="AE164" i="1"/>
  <c r="AD164" i="1"/>
  <c r="AC164" i="1"/>
  <c r="AB164" i="1"/>
  <c r="AA164" i="1"/>
  <c r="Z164" i="1"/>
  <c r="AF163" i="1"/>
  <c r="AE163" i="1"/>
  <c r="AD163" i="1"/>
  <c r="AC163" i="1"/>
  <c r="AB163" i="1"/>
  <c r="AA163" i="1"/>
  <c r="Z163" i="1"/>
  <c r="AF162" i="1"/>
  <c r="AE162" i="1"/>
  <c r="AD162" i="1"/>
  <c r="AC162" i="1"/>
  <c r="AB162" i="1"/>
  <c r="AA162" i="1"/>
  <c r="Z162" i="1"/>
  <c r="AF161" i="1"/>
  <c r="AE161" i="1"/>
  <c r="AD161" i="1"/>
  <c r="AC161" i="1"/>
  <c r="AB161" i="1"/>
  <c r="AA161" i="1"/>
  <c r="Z161" i="1"/>
  <c r="AF160" i="1"/>
  <c r="AE160" i="1"/>
  <c r="AD160" i="1"/>
  <c r="AC160" i="1"/>
  <c r="AB160" i="1"/>
  <c r="AA160" i="1"/>
  <c r="Z160" i="1"/>
  <c r="AF159" i="1"/>
  <c r="AE159" i="1"/>
  <c r="AD159" i="1"/>
  <c r="AC159" i="1"/>
  <c r="AB159" i="1"/>
  <c r="AA159" i="1"/>
  <c r="Z159" i="1"/>
  <c r="AF158" i="1"/>
  <c r="AE158" i="1"/>
  <c r="AD158" i="1"/>
  <c r="AC158" i="1"/>
  <c r="AB158" i="1"/>
  <c r="AA158" i="1"/>
  <c r="Z158" i="1"/>
  <c r="AF157" i="1"/>
  <c r="AE157" i="1"/>
  <c r="AD157" i="1"/>
  <c r="AC157" i="1"/>
  <c r="AB157" i="1"/>
  <c r="AA157" i="1"/>
  <c r="Z157" i="1"/>
  <c r="AF156" i="1"/>
  <c r="AE156" i="1"/>
  <c r="AD156" i="1"/>
  <c r="AC156" i="1"/>
  <c r="AB156" i="1"/>
  <c r="AA156" i="1"/>
  <c r="Z156" i="1"/>
  <c r="AF155" i="1"/>
  <c r="AE155" i="1"/>
  <c r="AD155" i="1"/>
  <c r="AC155" i="1"/>
  <c r="AB155" i="1"/>
  <c r="AA155" i="1"/>
  <c r="Z155" i="1"/>
  <c r="AF154" i="1"/>
  <c r="AE154" i="1"/>
  <c r="AD154" i="1"/>
  <c r="AC154" i="1"/>
  <c r="AB154" i="1"/>
  <c r="AA154" i="1"/>
  <c r="Z154" i="1"/>
  <c r="AF153" i="1"/>
  <c r="AE153" i="1"/>
  <c r="AD153" i="1"/>
  <c r="AC153" i="1"/>
  <c r="AB153" i="1"/>
  <c r="AA153" i="1"/>
  <c r="Z153" i="1"/>
  <c r="AF152" i="1"/>
  <c r="AE152" i="1"/>
  <c r="AD152" i="1"/>
  <c r="AC152" i="1"/>
  <c r="AB152" i="1"/>
  <c r="AA152" i="1"/>
  <c r="Z152" i="1"/>
  <c r="AF151" i="1"/>
  <c r="AE151" i="1"/>
  <c r="AD151" i="1"/>
  <c r="AC151" i="1"/>
  <c r="AB151" i="1"/>
  <c r="AA151" i="1"/>
  <c r="Z151" i="1"/>
  <c r="AF150" i="1"/>
  <c r="AE150" i="1"/>
  <c r="AD150" i="1"/>
  <c r="AC150" i="1"/>
  <c r="AB150" i="1"/>
  <c r="AA150" i="1"/>
  <c r="Z150" i="1"/>
  <c r="AF149" i="1"/>
  <c r="AE149" i="1"/>
  <c r="AD149" i="1"/>
  <c r="AC149" i="1"/>
  <c r="AB149" i="1"/>
  <c r="AA149" i="1"/>
  <c r="Z149" i="1"/>
  <c r="AF148" i="1"/>
  <c r="AE148" i="1"/>
  <c r="AD148" i="1"/>
  <c r="AC148" i="1"/>
  <c r="AB148" i="1"/>
  <c r="AA148" i="1"/>
  <c r="Z148" i="1"/>
  <c r="AF147" i="1"/>
  <c r="AE147" i="1"/>
  <c r="AD147" i="1"/>
  <c r="AC147" i="1"/>
  <c r="AB147" i="1"/>
  <c r="AA147" i="1"/>
  <c r="Z147" i="1"/>
  <c r="AF146" i="1"/>
  <c r="AE146" i="1"/>
  <c r="AD146" i="1"/>
  <c r="AC146" i="1"/>
  <c r="AB146" i="1"/>
  <c r="AA146" i="1"/>
  <c r="Z146" i="1"/>
  <c r="AF145" i="1"/>
  <c r="AE145" i="1"/>
  <c r="AD145" i="1"/>
  <c r="AC145" i="1"/>
  <c r="AB145" i="1"/>
  <c r="AA145" i="1"/>
  <c r="Z145" i="1"/>
  <c r="AF144" i="1"/>
  <c r="AE144" i="1"/>
  <c r="AD144" i="1"/>
  <c r="AC144" i="1"/>
  <c r="AB144" i="1"/>
  <c r="AA144" i="1"/>
  <c r="Z144" i="1"/>
  <c r="AF143" i="1"/>
  <c r="AE143" i="1"/>
  <c r="AD143" i="1"/>
  <c r="AC143" i="1"/>
  <c r="AB143" i="1"/>
  <c r="AA143" i="1"/>
  <c r="Z143" i="1"/>
  <c r="AF142" i="1"/>
  <c r="AE142" i="1"/>
  <c r="AD142" i="1"/>
  <c r="AC142" i="1"/>
  <c r="AB142" i="1"/>
  <c r="AA142" i="1"/>
  <c r="Z142" i="1"/>
  <c r="AF141" i="1"/>
  <c r="AE141" i="1"/>
  <c r="AD141" i="1"/>
  <c r="AC141" i="1"/>
  <c r="AB141" i="1"/>
  <c r="AA141" i="1"/>
  <c r="Z141" i="1"/>
  <c r="AF140" i="1"/>
  <c r="AE140" i="1"/>
  <c r="AD140" i="1"/>
  <c r="AC140" i="1"/>
  <c r="AB140" i="1"/>
  <c r="AA140" i="1"/>
  <c r="Z140" i="1"/>
  <c r="AF139" i="1"/>
  <c r="AE139" i="1"/>
  <c r="AD139" i="1"/>
  <c r="AC139" i="1"/>
  <c r="AB139" i="1"/>
  <c r="AA139" i="1"/>
  <c r="Z139" i="1"/>
  <c r="AF138" i="1"/>
  <c r="AE138" i="1"/>
  <c r="AD138" i="1"/>
  <c r="AC138" i="1"/>
  <c r="AB138" i="1"/>
  <c r="AA138" i="1"/>
  <c r="Z138" i="1"/>
  <c r="AF137" i="1"/>
  <c r="AE137" i="1"/>
  <c r="AD137" i="1"/>
  <c r="AC137" i="1"/>
  <c r="AB137" i="1"/>
  <c r="AA137" i="1"/>
  <c r="Z137" i="1"/>
  <c r="AF136" i="1"/>
  <c r="AE136" i="1"/>
  <c r="AD136" i="1"/>
  <c r="AC136" i="1"/>
  <c r="AB136" i="1"/>
  <c r="AA136" i="1"/>
  <c r="Z136" i="1"/>
  <c r="AF135" i="1"/>
  <c r="AE135" i="1"/>
  <c r="AD135" i="1"/>
  <c r="AC135" i="1"/>
  <c r="AB135" i="1"/>
  <c r="AA135" i="1"/>
  <c r="Z135" i="1"/>
  <c r="AF134" i="1"/>
  <c r="AE134" i="1"/>
  <c r="AD134" i="1"/>
  <c r="AC134" i="1"/>
  <c r="AB134" i="1"/>
  <c r="AA134" i="1"/>
  <c r="Z134" i="1"/>
  <c r="AF133" i="1"/>
  <c r="AE133" i="1"/>
  <c r="AD133" i="1"/>
  <c r="AC133" i="1"/>
  <c r="AB133" i="1"/>
  <c r="AA133" i="1"/>
  <c r="Z133" i="1"/>
  <c r="AF132" i="1"/>
  <c r="AE132" i="1"/>
  <c r="AD132" i="1"/>
  <c r="AC132" i="1"/>
  <c r="AB132" i="1"/>
  <c r="AA132" i="1"/>
  <c r="Z132" i="1"/>
  <c r="AF131" i="1"/>
  <c r="AE131" i="1"/>
  <c r="AD131" i="1"/>
  <c r="AC131" i="1"/>
  <c r="AB131" i="1"/>
  <c r="AA131" i="1"/>
  <c r="Z131" i="1"/>
  <c r="AF130" i="1"/>
  <c r="AE130" i="1"/>
  <c r="AD130" i="1"/>
  <c r="AC130" i="1"/>
  <c r="AB130" i="1"/>
  <c r="AA130" i="1"/>
  <c r="Z130" i="1"/>
  <c r="AF129" i="1"/>
  <c r="AE129" i="1"/>
  <c r="AD129" i="1"/>
  <c r="AC129" i="1"/>
  <c r="AB129" i="1"/>
  <c r="AA129" i="1"/>
  <c r="Z129" i="1"/>
  <c r="AF128" i="1"/>
  <c r="AE128" i="1"/>
  <c r="AD128" i="1"/>
  <c r="AC128" i="1"/>
  <c r="AB128" i="1"/>
  <c r="AA128" i="1"/>
  <c r="Z128" i="1"/>
  <c r="AF127" i="1"/>
  <c r="AE127" i="1"/>
  <c r="AD127" i="1"/>
  <c r="AC127" i="1"/>
  <c r="AB127" i="1"/>
  <c r="AA127" i="1"/>
  <c r="Z127" i="1"/>
  <c r="AF126" i="1"/>
  <c r="AE126" i="1"/>
  <c r="AD126" i="1"/>
  <c r="AC126" i="1"/>
  <c r="AB126" i="1"/>
  <c r="AA126" i="1"/>
  <c r="Z126" i="1"/>
  <c r="AF125" i="1"/>
  <c r="AE125" i="1"/>
  <c r="AD125" i="1"/>
  <c r="AC125" i="1"/>
  <c r="AB125" i="1"/>
  <c r="AA125" i="1"/>
  <c r="Z125" i="1"/>
  <c r="AF124" i="1"/>
  <c r="AE124" i="1"/>
  <c r="AD124" i="1"/>
  <c r="AC124" i="1"/>
  <c r="AB124" i="1"/>
  <c r="AA124" i="1"/>
  <c r="Z124" i="1"/>
  <c r="AF123" i="1"/>
  <c r="AE123" i="1"/>
  <c r="AD123" i="1"/>
  <c r="AC123" i="1"/>
  <c r="AB123" i="1"/>
  <c r="AA123" i="1"/>
  <c r="Z123" i="1"/>
  <c r="AF122" i="1"/>
  <c r="AE122" i="1"/>
  <c r="AD122" i="1"/>
  <c r="AC122" i="1"/>
  <c r="AB122" i="1"/>
  <c r="AA122" i="1"/>
  <c r="Z122" i="1"/>
  <c r="AF121" i="1"/>
  <c r="AE121" i="1"/>
  <c r="AD121" i="1"/>
  <c r="AC121" i="1"/>
  <c r="AB121" i="1"/>
  <c r="AA121" i="1"/>
  <c r="Z121" i="1"/>
  <c r="AF120" i="1"/>
  <c r="AE120" i="1"/>
  <c r="AD120" i="1"/>
  <c r="AC120" i="1"/>
  <c r="AB120" i="1"/>
  <c r="AA120" i="1"/>
  <c r="Z120" i="1"/>
  <c r="AF119" i="1"/>
  <c r="AE119" i="1"/>
  <c r="AD119" i="1"/>
  <c r="AC119" i="1"/>
  <c r="AB119" i="1"/>
  <c r="AA119" i="1"/>
  <c r="Z119" i="1"/>
  <c r="AF118" i="1"/>
  <c r="AE118" i="1"/>
  <c r="AD118" i="1"/>
  <c r="AC118" i="1"/>
  <c r="AB118" i="1"/>
  <c r="AA118" i="1"/>
  <c r="Z118" i="1"/>
  <c r="AF117" i="1"/>
  <c r="AE117" i="1"/>
  <c r="AD117" i="1"/>
  <c r="AC117" i="1"/>
  <c r="AB117" i="1"/>
  <c r="AA117" i="1"/>
  <c r="Z117" i="1"/>
  <c r="AF116" i="1"/>
  <c r="AE116" i="1"/>
  <c r="AD116" i="1"/>
  <c r="AC116" i="1"/>
  <c r="AB116" i="1"/>
  <c r="AA116" i="1"/>
  <c r="Z116" i="1"/>
  <c r="AF115" i="1"/>
  <c r="AE115" i="1"/>
  <c r="AD115" i="1"/>
  <c r="AC115" i="1"/>
  <c r="AB115" i="1"/>
  <c r="AA115" i="1"/>
  <c r="Z115" i="1"/>
  <c r="AF114" i="1"/>
  <c r="AE114" i="1"/>
  <c r="AD114" i="1"/>
  <c r="AC114" i="1"/>
  <c r="AB114" i="1"/>
  <c r="AA114" i="1"/>
  <c r="Z114" i="1"/>
  <c r="AF113" i="1"/>
  <c r="AE113" i="1"/>
  <c r="AD113" i="1"/>
  <c r="AC113" i="1"/>
  <c r="AB113" i="1"/>
  <c r="AA113" i="1"/>
  <c r="Z113" i="1"/>
  <c r="AF112" i="1"/>
  <c r="AE112" i="1"/>
  <c r="AD112" i="1"/>
  <c r="AC112" i="1"/>
  <c r="AB112" i="1"/>
  <c r="AA112" i="1"/>
  <c r="Z112" i="1"/>
  <c r="AF111" i="1"/>
  <c r="AE111" i="1"/>
  <c r="AD111" i="1"/>
  <c r="AC111" i="1"/>
  <c r="AB111" i="1"/>
  <c r="AA111" i="1"/>
  <c r="Z111" i="1"/>
  <c r="AF110" i="1"/>
  <c r="AE110" i="1"/>
  <c r="AD110" i="1"/>
  <c r="AC110" i="1"/>
  <c r="AB110" i="1"/>
  <c r="AA110" i="1"/>
  <c r="Z110" i="1"/>
  <c r="Y10" i="1"/>
  <c r="O12" i="2" l="1"/>
  <c r="O14" i="2" s="1"/>
  <c r="M11" i="2"/>
  <c r="M14" i="2" s="1"/>
  <c r="P11" i="2"/>
  <c r="P14" i="2" s="1"/>
  <c r="Q14" i="2"/>
  <c r="S14" i="2"/>
  <c r="L12" i="2"/>
  <c r="L11" i="2"/>
  <c r="N14" i="2"/>
  <c r="R14" i="2"/>
  <c r="R6" i="1"/>
  <c r="F12" i="2"/>
  <c r="F11" i="2"/>
  <c r="Y19" i="2"/>
  <c r="Y20" i="2"/>
  <c r="X21" i="2"/>
  <c r="Y21" i="2"/>
  <c r="X19" i="2"/>
  <c r="X20" i="2"/>
  <c r="L10" i="2"/>
  <c r="M10" i="2"/>
  <c r="N10" i="2"/>
  <c r="O10" i="2"/>
  <c r="P10" i="2"/>
  <c r="Q10" i="2"/>
  <c r="R10" i="2"/>
  <c r="S10" i="2"/>
  <c r="Q18" i="1"/>
  <c r="Q9" i="1"/>
  <c r="W10" i="2" s="1"/>
  <c r="Q109" i="1"/>
  <c r="Q108" i="1"/>
  <c r="Q107" i="1"/>
  <c r="Q106" i="1"/>
  <c r="Q105" i="1"/>
  <c r="Q104" i="1"/>
  <c r="Q103" i="1"/>
  <c r="Q102" i="1"/>
  <c r="R102" i="1" s="1"/>
  <c r="S102" i="1" s="1"/>
  <c r="Q101" i="1"/>
  <c r="Q100" i="1"/>
  <c r="R100" i="1" s="1"/>
  <c r="S100" i="1" s="1"/>
  <c r="Q99" i="1"/>
  <c r="Q98" i="1"/>
  <c r="Q97" i="1"/>
  <c r="Q96" i="1"/>
  <c r="R96" i="1" s="1"/>
  <c r="S96" i="1" s="1"/>
  <c r="Q95" i="1"/>
  <c r="Q94" i="1"/>
  <c r="R94" i="1" s="1"/>
  <c r="S94" i="1" s="1"/>
  <c r="Q93" i="1"/>
  <c r="Q92" i="1"/>
  <c r="R92" i="1" s="1"/>
  <c r="S92" i="1" s="1"/>
  <c r="Q91" i="1"/>
  <c r="Q90" i="1"/>
  <c r="Q89" i="1"/>
  <c r="R89" i="1" s="1"/>
  <c r="S89" i="1" s="1"/>
  <c r="Q88" i="1"/>
  <c r="R88" i="1" s="1"/>
  <c r="S88" i="1" s="1"/>
  <c r="Q87" i="1"/>
  <c r="Q86" i="1"/>
  <c r="R86" i="1" s="1"/>
  <c r="S86" i="1" s="1"/>
  <c r="Q85" i="1"/>
  <c r="Q84" i="1"/>
  <c r="R84" i="1" s="1"/>
  <c r="S84" i="1" s="1"/>
  <c r="Q83" i="1"/>
  <c r="Q82" i="1"/>
  <c r="Q81" i="1"/>
  <c r="Q80" i="1"/>
  <c r="R80" i="1" s="1"/>
  <c r="S80" i="1" s="1"/>
  <c r="Q79" i="1"/>
  <c r="Q78" i="1"/>
  <c r="R78" i="1" s="1"/>
  <c r="S78" i="1" s="1"/>
  <c r="Q77" i="1"/>
  <c r="Q76" i="1"/>
  <c r="R76" i="1" s="1"/>
  <c r="S76" i="1" s="1"/>
  <c r="Q75" i="1"/>
  <c r="Q74" i="1"/>
  <c r="Q73" i="1"/>
  <c r="R73" i="1" s="1"/>
  <c r="S73" i="1" s="1"/>
  <c r="Q72" i="1"/>
  <c r="Q71" i="1"/>
  <c r="Q70" i="1"/>
  <c r="R70" i="1" s="1"/>
  <c r="S70" i="1" s="1"/>
  <c r="Q69" i="1"/>
  <c r="Q68" i="1"/>
  <c r="R68" i="1" s="1"/>
  <c r="S68" i="1" s="1"/>
  <c r="Q67" i="1"/>
  <c r="Q66" i="1"/>
  <c r="Q65" i="1"/>
  <c r="Q64" i="1"/>
  <c r="R64" i="1" s="1"/>
  <c r="S64" i="1" s="1"/>
  <c r="Q63" i="1"/>
  <c r="Q62" i="1"/>
  <c r="R62" i="1" s="1"/>
  <c r="S62" i="1" s="1"/>
  <c r="Q61" i="1"/>
  <c r="Q60" i="1"/>
  <c r="Q59" i="1"/>
  <c r="Q58" i="1"/>
  <c r="Q57" i="1"/>
  <c r="R57" i="1" s="1"/>
  <c r="S57" i="1" s="1"/>
  <c r="Q56" i="1"/>
  <c r="R56" i="1" s="1"/>
  <c r="S56" i="1" s="1"/>
  <c r="Q55" i="1"/>
  <c r="Q54" i="1"/>
  <c r="R54" i="1" s="1"/>
  <c r="S54" i="1" s="1"/>
  <c r="Q53" i="1"/>
  <c r="Q52" i="1"/>
  <c r="R52" i="1" s="1"/>
  <c r="S52" i="1" s="1"/>
  <c r="Q51" i="1"/>
  <c r="Q50" i="1"/>
  <c r="Q49" i="1"/>
  <c r="R49" i="1" s="1"/>
  <c r="S49" i="1" s="1"/>
  <c r="Q48" i="1"/>
  <c r="R48" i="1" s="1"/>
  <c r="S48" i="1" s="1"/>
  <c r="Q47" i="1"/>
  <c r="Q46" i="1"/>
  <c r="R46" i="1" s="1"/>
  <c r="S46" i="1" s="1"/>
  <c r="Q45" i="1"/>
  <c r="R45" i="1" s="1"/>
  <c r="S45" i="1" s="1"/>
  <c r="Q44" i="1"/>
  <c r="R44" i="1" s="1"/>
  <c r="S44" i="1" s="1"/>
  <c r="Q43" i="1"/>
  <c r="R43" i="1" s="1"/>
  <c r="S43" i="1" s="1"/>
  <c r="Q42" i="1"/>
  <c r="Q41" i="1"/>
  <c r="Q40" i="1"/>
  <c r="R40" i="1" s="1"/>
  <c r="S40" i="1" s="1"/>
  <c r="Q39" i="1"/>
  <c r="Q38" i="1"/>
  <c r="Q37" i="1"/>
  <c r="R37" i="1" s="1"/>
  <c r="S37" i="1" s="1"/>
  <c r="Q36" i="1"/>
  <c r="R36" i="1" s="1"/>
  <c r="S36" i="1" s="1"/>
  <c r="Q35" i="1"/>
  <c r="Q34" i="1"/>
  <c r="Q33" i="1"/>
  <c r="Q32" i="1"/>
  <c r="R32" i="1" s="1"/>
  <c r="S32" i="1" s="1"/>
  <c r="Q31" i="1"/>
  <c r="Q30" i="1"/>
  <c r="Q29" i="1"/>
  <c r="R29" i="1" s="1"/>
  <c r="S29" i="1" s="1"/>
  <c r="Q28" i="1"/>
  <c r="R28" i="1" s="1"/>
  <c r="S28" i="1" s="1"/>
  <c r="Q27" i="1"/>
  <c r="R27" i="1" s="1"/>
  <c r="S27" i="1" s="1"/>
  <c r="Q26" i="1"/>
  <c r="Q25" i="1"/>
  <c r="Q24" i="1"/>
  <c r="R24" i="1" s="1"/>
  <c r="S24" i="1" s="1"/>
  <c r="Q23" i="1"/>
  <c r="Q22" i="1"/>
  <c r="Q21" i="1"/>
  <c r="R21" i="1" s="1"/>
  <c r="S21" i="1" s="1"/>
  <c r="Q20" i="1"/>
  <c r="R20" i="1" s="1"/>
  <c r="S20" i="1" s="1"/>
  <c r="Q19" i="1"/>
  <c r="Q17" i="1"/>
  <c r="Q16" i="1"/>
  <c r="Q15" i="1"/>
  <c r="Q14" i="1"/>
  <c r="Q13" i="1"/>
  <c r="Q12" i="1"/>
  <c r="Q11" i="1"/>
  <c r="Q10" i="1"/>
  <c r="E6" i="2" a="1"/>
  <c r="E6" i="2" s="1"/>
  <c r="D12" i="2" s="1"/>
  <c r="E12" i="2"/>
  <c r="E11" i="2"/>
  <c r="B11" i="2"/>
  <c r="B12" i="2" s="1"/>
  <c r="B14" i="2" s="1"/>
  <c r="A12" i="2"/>
  <c r="A14" i="2" s="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R97" i="1"/>
  <c r="S97" i="1" s="1"/>
  <c r="R81" i="1"/>
  <c r="S81" i="1" s="1"/>
  <c r="R67" i="1"/>
  <c r="S67" i="1" s="1"/>
  <c r="R59" i="1"/>
  <c r="S59" i="1" s="1"/>
  <c r="R51" i="1"/>
  <c r="S51" i="1" s="1"/>
  <c r="L14" i="2" l="1"/>
  <c r="P19" i="2"/>
  <c r="L20" i="2"/>
  <c r="R19" i="2"/>
  <c r="O19" i="2"/>
  <c r="O20" i="2"/>
  <c r="P20" i="2"/>
  <c r="R20" i="2"/>
  <c r="M20" i="2"/>
  <c r="Q19" i="2"/>
  <c r="S20" i="2"/>
  <c r="N19" i="2"/>
  <c r="M19" i="2"/>
  <c r="L19" i="2"/>
  <c r="N20" i="2"/>
  <c r="Q20" i="2"/>
  <c r="S19" i="2"/>
  <c r="W11" i="2"/>
  <c r="W19" i="2" s="1"/>
  <c r="W12" i="2"/>
  <c r="W20" i="2" s="1"/>
  <c r="W14" i="2"/>
  <c r="W21" i="2" s="1"/>
  <c r="F14" i="2"/>
  <c r="E5" i="2" s="1"/>
  <c r="B19" i="2" s="1"/>
  <c r="D11" i="2"/>
  <c r="D14" i="2" s="1"/>
  <c r="E14" i="2"/>
  <c r="R21" i="2" s="1"/>
  <c r="R72" i="1"/>
  <c r="S72" i="1" s="1"/>
  <c r="R98" i="1"/>
  <c r="S98" i="1" s="1"/>
  <c r="R33" i="1"/>
  <c r="S33" i="1" s="1"/>
  <c r="R83" i="1"/>
  <c r="S83" i="1" s="1"/>
  <c r="R99" i="1"/>
  <c r="S99" i="1" s="1"/>
  <c r="R105" i="1"/>
  <c r="S105" i="1" s="1"/>
  <c r="R35" i="1"/>
  <c r="S35" i="1" s="1"/>
  <c r="R41" i="1"/>
  <c r="S41" i="1" s="1"/>
  <c r="R65" i="1"/>
  <c r="S65" i="1" s="1"/>
  <c r="R75" i="1"/>
  <c r="S75" i="1" s="1"/>
  <c r="R25" i="1"/>
  <c r="S25" i="1" s="1"/>
  <c r="R106" i="1"/>
  <c r="S106" i="1" s="1"/>
  <c r="R34" i="1"/>
  <c r="S34" i="1" s="1"/>
  <c r="R42" i="1"/>
  <c r="S42" i="1" s="1"/>
  <c r="R50" i="1"/>
  <c r="S50" i="1" s="1"/>
  <c r="R58" i="1"/>
  <c r="S58" i="1" s="1"/>
  <c r="R66" i="1"/>
  <c r="S66" i="1" s="1"/>
  <c r="R74" i="1"/>
  <c r="S74" i="1" s="1"/>
  <c r="R82" i="1"/>
  <c r="S82" i="1" s="1"/>
  <c r="R90" i="1"/>
  <c r="S90" i="1" s="1"/>
  <c r="R104" i="1"/>
  <c r="S104" i="1" s="1"/>
  <c r="R107" i="1"/>
  <c r="S107" i="1" s="1"/>
  <c r="R26" i="1"/>
  <c r="S26" i="1" s="1"/>
  <c r="R91" i="1"/>
  <c r="S91" i="1" s="1"/>
  <c r="R22" i="1"/>
  <c r="S22" i="1" s="1"/>
  <c r="R30" i="1"/>
  <c r="S30" i="1" s="1"/>
  <c r="R38" i="1"/>
  <c r="S38" i="1" s="1"/>
  <c r="R60" i="1"/>
  <c r="S60" i="1" s="1"/>
  <c r="R108" i="1"/>
  <c r="S108" i="1" s="1"/>
  <c r="R23" i="1"/>
  <c r="S23" i="1" s="1"/>
  <c r="R31" i="1"/>
  <c r="S31" i="1" s="1"/>
  <c r="R39" i="1"/>
  <c r="S39" i="1" s="1"/>
  <c r="R47" i="1"/>
  <c r="S47" i="1" s="1"/>
  <c r="R55" i="1"/>
  <c r="S55" i="1" s="1"/>
  <c r="R63" i="1"/>
  <c r="S63" i="1" s="1"/>
  <c r="R71" i="1"/>
  <c r="S71" i="1" s="1"/>
  <c r="R79" i="1"/>
  <c r="S79" i="1" s="1"/>
  <c r="R87" i="1"/>
  <c r="S87" i="1" s="1"/>
  <c r="R95" i="1"/>
  <c r="S95" i="1" s="1"/>
  <c r="R103" i="1"/>
  <c r="S103" i="1" s="1"/>
  <c r="R53" i="1"/>
  <c r="S53" i="1" s="1"/>
  <c r="R61" i="1"/>
  <c r="S61" i="1" s="1"/>
  <c r="R69" i="1"/>
  <c r="S69" i="1" s="1"/>
  <c r="R77" i="1"/>
  <c r="S77" i="1" s="1"/>
  <c r="R85" i="1"/>
  <c r="S85" i="1" s="1"/>
  <c r="R93" i="1"/>
  <c r="S93" i="1" s="1"/>
  <c r="R101" i="1"/>
  <c r="S101" i="1" s="1"/>
  <c r="R109" i="1"/>
  <c r="S109" i="1" s="1"/>
  <c r="K12" i="2" l="1"/>
  <c r="G20" i="2" s="1"/>
  <c r="J12" i="2"/>
  <c r="F20" i="2" s="1"/>
  <c r="G12" i="2"/>
  <c r="C20" i="2" s="1"/>
  <c r="H12" i="2"/>
  <c r="D20" i="2" s="1"/>
  <c r="I12" i="2"/>
  <c r="E20" i="2" s="1"/>
  <c r="O21" i="2"/>
  <c r="N21" i="2"/>
  <c r="L21" i="2"/>
  <c r="H5" i="2"/>
  <c r="S21" i="2"/>
  <c r="Q21" i="2"/>
  <c r="M21" i="2"/>
  <c r="P21" i="2"/>
  <c r="B20" i="2"/>
  <c r="B21" i="2" s="1"/>
  <c r="G10" i="1"/>
  <c r="A69" i="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B6" i="2"/>
  <c r="B5" i="2"/>
  <c r="R18" i="1" l="1"/>
  <c r="S18" i="1" s="1"/>
  <c r="R16" i="1"/>
  <c r="S16" i="1" s="1"/>
  <c r="R15" i="1"/>
  <c r="S15" i="1" s="1"/>
  <c r="R19" i="1"/>
  <c r="S19" i="1" s="1"/>
  <c r="R17" i="1"/>
  <c r="S17" i="1" s="1"/>
  <c r="R12" i="1"/>
  <c r="S12" i="1" s="1"/>
  <c r="R11" i="1"/>
  <c r="S11" i="1" s="1"/>
  <c r="R14" i="1"/>
  <c r="S14" i="1" s="1"/>
  <c r="R13" i="1"/>
  <c r="S13" i="1" s="1"/>
  <c r="R10" i="1"/>
  <c r="S10" i="1" s="1"/>
  <c r="J11" i="2" l="1"/>
  <c r="F19" i="2" s="1"/>
  <c r="H11" i="2"/>
  <c r="D19" i="2" s="1"/>
  <c r="G11" i="2"/>
  <c r="C19" i="2" s="1"/>
  <c r="K11" i="2"/>
  <c r="G19" i="2" s="1"/>
  <c r="I11" i="2"/>
  <c r="E19" i="2" s="1"/>
  <c r="G14" i="2" l="1"/>
  <c r="C21" i="2" s="1"/>
  <c r="H14" i="2"/>
  <c r="D21" i="2" s="1"/>
  <c r="I14" i="2"/>
  <c r="E21" i="2" s="1"/>
  <c r="J14" i="2" l="1"/>
  <c r="F21" i="2" s="1"/>
  <c r="K14" i="2"/>
  <c r="G21" i="2" s="1"/>
  <c r="I19"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<sst xmlns="http://schemas.openxmlformats.org/spreadsheetml/2006/main" count="275" uniqueCount="174">
  <si>
    <t>Grade:</t>
  </si>
  <si>
    <t>School ID:</t>
  </si>
  <si>
    <t>Remarks</t>
  </si>
  <si>
    <t>S/N</t>
  </si>
  <si>
    <t>Name of Learner</t>
  </si>
  <si>
    <t>Date of Asessment</t>
  </si>
  <si>
    <t xml:space="preserve"> </t>
  </si>
  <si>
    <t>Hiligaynon</t>
  </si>
  <si>
    <t>Central Bikol</t>
  </si>
  <si>
    <t>Minasbate</t>
  </si>
  <si>
    <t>Rinconada</t>
  </si>
  <si>
    <t>Tagalog</t>
  </si>
  <si>
    <t>Section</t>
  </si>
  <si>
    <t>Section:</t>
  </si>
  <si>
    <t>Grade</t>
  </si>
  <si>
    <t>Language</t>
  </si>
  <si>
    <t>SCHOOL ID :</t>
  </si>
  <si>
    <t>SCHOOL NAME:</t>
  </si>
  <si>
    <t>Number of Learners Assessed</t>
  </si>
  <si>
    <t>Sex</t>
  </si>
  <si>
    <t>Dashboard</t>
  </si>
  <si>
    <t>Percent (%) of Learners at each proficiency level</t>
  </si>
  <si>
    <t>Percent of Learners assessed</t>
  </si>
  <si>
    <t>LRN</t>
  </si>
  <si>
    <t>Region</t>
  </si>
  <si>
    <t xml:space="preserve">Region </t>
  </si>
  <si>
    <t>NCR</t>
  </si>
  <si>
    <t>Akeanon</t>
  </si>
  <si>
    <t>CAR</t>
  </si>
  <si>
    <t>Bahasa Sug</t>
  </si>
  <si>
    <t>Region I</t>
  </si>
  <si>
    <t>Region II</t>
  </si>
  <si>
    <t>Chavacano</t>
  </si>
  <si>
    <t>Region III</t>
  </si>
  <si>
    <t>Region IV-A</t>
  </si>
  <si>
    <t>Ibanag</t>
  </si>
  <si>
    <t xml:space="preserve">Region IV-B </t>
  </si>
  <si>
    <t>Ilocano</t>
  </si>
  <si>
    <t xml:space="preserve">Region V </t>
  </si>
  <si>
    <t>Inabaknon</t>
  </si>
  <si>
    <t>Region VI</t>
  </si>
  <si>
    <t>Ivatan</t>
  </si>
  <si>
    <t xml:space="preserve">Region VII </t>
  </si>
  <si>
    <t>Kapampangan</t>
  </si>
  <si>
    <t xml:space="preserve">Region VIII </t>
  </si>
  <si>
    <t>Region IX</t>
  </si>
  <si>
    <t>Magindanawn</t>
  </si>
  <si>
    <t xml:space="preserve">Region X </t>
  </si>
  <si>
    <t xml:space="preserve">Meranaw </t>
  </si>
  <si>
    <t xml:space="preserve">Region XI </t>
  </si>
  <si>
    <t xml:space="preserve">Region XII </t>
  </si>
  <si>
    <t>Miraya</t>
  </si>
  <si>
    <t xml:space="preserve">Region XIII </t>
  </si>
  <si>
    <t>Pangasinan</t>
  </si>
  <si>
    <t>BARMM</t>
  </si>
  <si>
    <t xml:space="preserve">Sambal </t>
  </si>
  <si>
    <t>Sinugbuanong Binisaya</t>
  </si>
  <si>
    <t>Southern Sorsoganon</t>
  </si>
  <si>
    <t>Surigaonon</t>
  </si>
  <si>
    <t>Waray</t>
  </si>
  <si>
    <t>Yakan</t>
  </si>
  <si>
    <t>Bikol Libon</t>
  </si>
  <si>
    <t>Buhi-non</t>
  </si>
  <si>
    <t>Caluyanen</t>
  </si>
  <si>
    <t>Cuyonon</t>
  </si>
  <si>
    <t>Northern Catanduanes</t>
  </si>
  <si>
    <t>Southern Catanduanes</t>
  </si>
  <si>
    <t>Northern Sorsoganon</t>
  </si>
  <si>
    <t>West Albay Bikol</t>
  </si>
  <si>
    <t>Other MT</t>
  </si>
  <si>
    <t>LOI/MOI</t>
  </si>
  <si>
    <t>Birthdate</t>
  </si>
  <si>
    <t>Age</t>
  </si>
  <si>
    <t>Mother Tongue</t>
  </si>
  <si>
    <t>Teacher :</t>
  </si>
  <si>
    <t>Number Assessed</t>
  </si>
  <si>
    <t>School Name:</t>
  </si>
  <si>
    <t>Female</t>
  </si>
  <si>
    <t>% of Correct Answer</t>
  </si>
  <si>
    <t>Levelling of Learners</t>
  </si>
  <si>
    <t>Male</t>
  </si>
  <si>
    <t>English</t>
  </si>
  <si>
    <t>Task A</t>
  </si>
  <si>
    <t>Task B</t>
  </si>
  <si>
    <t>Task C</t>
  </si>
  <si>
    <t>Task D</t>
  </si>
  <si>
    <t>Task E</t>
  </si>
  <si>
    <t>Task F</t>
  </si>
  <si>
    <t>Task G</t>
  </si>
  <si>
    <t>Task H</t>
  </si>
  <si>
    <t>Total</t>
  </si>
  <si>
    <t>Total Enrolment</t>
  </si>
  <si>
    <t>Language Matched
( LOI vs Learners)</t>
  </si>
  <si>
    <t>LOI / MOI</t>
  </si>
  <si>
    <t>GRADE 3  Rapid Mathematics Scoresheets</t>
  </si>
  <si>
    <t>Grade 3</t>
  </si>
  <si>
    <t xml:space="preserve"> Enrolment (Male):</t>
  </si>
  <si>
    <t xml:space="preserve"> Enrolment (Female):</t>
  </si>
  <si>
    <t>Total Assessed :</t>
  </si>
  <si>
    <t>Total Enrolment :</t>
  </si>
  <si>
    <t>GRADE 3 Assessment Scoresheet (CLASS SUMMARY)</t>
  </si>
  <si>
    <t>Overall Score Average</t>
  </si>
  <si>
    <t>Overall Score</t>
  </si>
  <si>
    <t>Agta</t>
  </si>
  <si>
    <t>Kinaray-a</t>
  </si>
  <si>
    <t>Ifugao</t>
  </si>
  <si>
    <t>Iranun</t>
  </si>
  <si>
    <t>Kankanaey</t>
  </si>
  <si>
    <t>Sinama</t>
  </si>
  <si>
    <t>Assessment Type</t>
  </si>
  <si>
    <t>Task A: Fractions
 (2)</t>
  </si>
  <si>
    <t>Task B: Mass Measurement 
(1)</t>
  </si>
  <si>
    <t>Task C: Missing Number in Patterns
(2)</t>
  </si>
  <si>
    <t>Task D: Addition
(3)</t>
  </si>
  <si>
    <t>Task E: Subtraction 
(3)</t>
  </si>
  <si>
    <t>Task F: Multiplication
 (2)</t>
  </si>
  <si>
    <t>Task G: Division
(3)</t>
  </si>
  <si>
    <t>Task H: Geometric Representation
 (4)</t>
  </si>
  <si>
    <t>TOTAL SCORE (20)</t>
  </si>
  <si>
    <t>Number of Learners with Percentage  Score &gt;=75%</t>
  </si>
  <si>
    <t>Emerging (Not Proficient)</t>
  </si>
  <si>
    <t>Emerging (Low Proficient)</t>
  </si>
  <si>
    <t>Developing (Nearly Proficient)</t>
  </si>
  <si>
    <t>Transitioning (Proficient)</t>
  </si>
  <si>
    <t>At Grade Level (Highly Proficient)</t>
  </si>
  <si>
    <t>Percentage of Learners Who Passed 75% (Proficient) by Grade Level</t>
  </si>
  <si>
    <t>RMA2v2</t>
  </si>
  <si>
    <t>ROMANA ELEMENTARY SCHOOL</t>
  </si>
  <si>
    <t>03-23-2016</t>
  </si>
  <si>
    <t>10-28-2015</t>
  </si>
  <si>
    <t>10-13-2015</t>
  </si>
  <si>
    <t>05-20-2016</t>
  </si>
  <si>
    <t>11-06-2015</t>
  </si>
  <si>
    <t>02-19-2015</t>
  </si>
  <si>
    <t>02-07-2016</t>
  </si>
  <si>
    <t>03-30-2016</t>
  </si>
  <si>
    <t>11-17-2015</t>
  </si>
  <si>
    <t>09-25-2016</t>
  </si>
  <si>
    <t>01-22-2016</t>
  </si>
  <si>
    <t>04-07-2014</t>
  </si>
  <si>
    <t>01-14-2016</t>
  </si>
  <si>
    <t>01-04-2016</t>
  </si>
  <si>
    <t>12-05-2015</t>
  </si>
  <si>
    <t>02-18-2016</t>
  </si>
  <si>
    <t>02-27-2016</t>
  </si>
  <si>
    <t>08-30-2016</t>
  </si>
  <si>
    <t>02-23-2016</t>
  </si>
  <si>
    <t>05-02-2016</t>
  </si>
  <si>
    <t>KEMBERLY G. BELMIS</t>
  </si>
  <si>
    <t>ABAY, KENNETH ALEXANDER, NALONAN</t>
  </si>
  <si>
    <t>BANARIA, KEEPER, ABAY</t>
  </si>
  <si>
    <t>BARGASA, EDSEL JOHN. P</t>
  </si>
  <si>
    <t>DUMANIEL, KEVIN JOHN ALVAREZ</t>
  </si>
  <si>
    <t>ESTOCADA, JOEMARIE III, OMPAD</t>
  </si>
  <si>
    <t>GO, NEAL XANDRIE, DOMANIEL</t>
  </si>
  <si>
    <t>GREGORIO, JOHN MARK, ABELLAR</t>
  </si>
  <si>
    <t>JUMBAS, CYREL JAY, BARILLO</t>
  </si>
  <si>
    <t>LEMORINAS, ARTHUR, BAYLON</t>
  </si>
  <si>
    <t>MARASIGAN,ZHENKIE NATHAN, DELA CRUZ</t>
  </si>
  <si>
    <t>ABRINILLO, VERONICA, SIASAT</t>
  </si>
  <si>
    <t>CARDINAL, KISHIA, -</t>
  </si>
  <si>
    <t>Cardinal, LEXIE, SUNDAYON</t>
  </si>
  <si>
    <t>DIONSON, AIRA, BAUTISTA</t>
  </si>
  <si>
    <t>ESTOCADA, ANGEL, B.</t>
  </si>
  <si>
    <t>ESTOCADA, GENYZA, BACARO</t>
  </si>
  <si>
    <t>ESTOCADA, JERCEL JANE, SIASET</t>
  </si>
  <si>
    <t>ESTOCAD, REANNA, LLAGOSA</t>
  </si>
  <si>
    <t>ESTOCADA, RHEAN SHAN, DEMAFILES</t>
  </si>
  <si>
    <t>LABANZA, HOPE ANGELAINE, -</t>
  </si>
  <si>
    <t>LABANZA, JESEL, PARBA</t>
  </si>
  <si>
    <t>LANOJAN, JASHLYN KATE, JADIA</t>
  </si>
  <si>
    <t>MANGUBAT, AMARAH DENISE, LABANZA</t>
  </si>
  <si>
    <t>SUMOLAY, GRACE ANN, ESPARTERO</t>
  </si>
  <si>
    <t>TAPIC, KYZYL ZYNN 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</si>
</sst>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17" x14ac:knownFonts="1">
    <font>
      <sz val="11"/>
      <color theme="1"/>
      <name val="Calibri"/>
      <family val="2"/>
      <scheme val="minor"/>
    </font>
    <font>
      <b/>
      <sz val="11"/>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b/>
      <sz val="9"/>
      <color theme="1"/>
      <name val="Arial"/>
      <family val="2"/>
    </font>
    <font>
      <sz val="9"/>
      <color theme="1"/>
      <name val="Arial"/>
      <family val="2"/>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b/>
      <sz val="8"/>
      <color theme="1"/>
      <name val="Calibri"/>
      <family val="2"/>
      <scheme val="minor"/>
    </font>
    <font>
      <b/>
      <sz val="16"/>
      <color theme="0"/>
      <name val="Calibri"/>
      <family val="2"/>
      <scheme val="minor"/>
    </font>
    <font>
      <sz val="9"/>
      <color theme="1"/>
      <name val="Calibri"/>
      <family val="2"/>
      <scheme val="minor"/>
    </font>
    <font>
      <b/>
      <sz val="8"/>
      <color theme="1"/>
      <name val="Arial"/>
      <family val="2"/>
    </font>
    <font>
      <sz val="14"/>
      <color theme="1"/>
      <name val="Calibri"/>
      <family val="2"/>
      <scheme val="minor"/>
    </font>
  </fonts>
  <fills count="12">
    <fill>
      <patternFill patternType="none"/>
    </fill>
    <fill>
      <patternFill patternType="gray125"/>
    </fill>
    <fill>
      <patternFill patternType="solid">
        <fgColor theme="2" tint="-0.249977111117893"/>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bgColor indexed="64"/>
      </patternFill>
    </fill>
  </fills>
  <borders count="45">
    <border>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bottom/>
      <diagonal/>
    </border>
    <border>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medium">
        <color auto="1"/>
      </left>
      <right/>
      <top/>
      <bottom/>
      <diagonal/>
    </border>
    <border>
      <left/>
      <right style="thin">
        <color auto="1"/>
      </right>
      <top style="medium">
        <color auto="1"/>
      </top>
      <bottom/>
      <diagonal/>
    </border>
  </borders>
  <cellStyleXfs count="2">
    <xf numFmtId="0" fontId="0" fillId="0" borderId="0"/>
    <xf numFmtId="9" fontId="10" fillId="0" borderId="0" applyFont="0" applyFill="0" applyBorder="0" applyAlignment="0" applyProtection="0"/>
  </cellStyleXfs>
  <cellXfs count="201">
    <xf numFmtId="0" fontId="0" fillId="0" borderId="0" xfId="0"/>
    <xf numFmtId="0" fontId="0" fillId="0" borderId="0" xfId="0" applyAlignment="1">
      <alignment horizontal="center"/>
    </xf>
    <xf numFmtId="0" fontId="0" fillId="0" borderId="0" xfId="0" applyAlignment="1">
      <alignment horizontal="center" wrapText="1"/>
    </xf>
    <xf numFmtId="0" fontId="1" fillId="0" borderId="0" xfId="0" applyFont="1"/>
    <xf numFmtId="0" fontId="0" fillId="0" borderId="0" xfId="0" applyAlignment="1">
      <alignment horizontal="left"/>
    </xf>
    <xf numFmtId="9" fontId="0" fillId="0" borderId="0" xfId="1" applyFont="1" applyAlignment="1">
      <alignment horizontal="center"/>
    </xf>
    <xf numFmtId="0" fontId="0" fillId="8" borderId="0" xfId="0" applyFill="1"/>
    <xf numFmtId="0" fontId="0" fillId="9" borderId="0" xfId="0" applyFill="1"/>
    <xf numFmtId="0" fontId="0" fillId="10" borderId="0" xfId="0" applyFill="1"/>
    <xf numFmtId="0" fontId="1" fillId="2" borderId="0" xfId="0" applyFont="1" applyFill="1" applyAlignment="1">
      <alignment horizontal="center" vertical="center"/>
    </xf>
    <xf numFmtId="0" fontId="1" fillId="2" borderId="20" xfId="0" applyFont="1" applyFill="1" applyBorder="1" applyAlignment="1">
      <alignment horizontal="center" vertical="center"/>
    </xf>
    <xf numFmtId="0" fontId="6" fillId="7" borderId="7"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2" fillId="7" borderId="23" xfId="0" applyFont="1" applyFill="1" applyBorder="1" applyAlignment="1">
      <alignment horizontal="center" vertical="center" wrapText="1"/>
    </xf>
    <xf numFmtId="0" fontId="11" fillId="7" borderId="23" xfId="0" applyFont="1" applyFill="1" applyBorder="1" applyAlignment="1">
      <alignment horizontal="center" vertical="center"/>
    </xf>
    <xf numFmtId="0" fontId="1" fillId="7" borderId="23" xfId="0" applyFont="1" applyFill="1" applyBorder="1" applyAlignment="1">
      <alignment horizontal="center" vertical="center"/>
    </xf>
    <xf numFmtId="0" fontId="0" fillId="0" borderId="13" xfId="0" applyBorder="1"/>
    <xf numFmtId="0" fontId="0" fillId="0" borderId="8" xfId="0" applyBorder="1"/>
    <xf numFmtId="0" fontId="0" fillId="0" borderId="7" xfId="0" applyBorder="1"/>
    <xf numFmtId="0" fontId="14" fillId="0" borderId="14" xfId="0" applyFont="1" applyBorder="1" applyProtection="1">
      <protection locked="0"/>
    </xf>
    <xf numFmtId="0" fontId="14" fillId="0" borderId="14" xfId="0" applyFont="1" applyBorder="1" applyAlignment="1" applyProtection="1">
      <alignment horizontal="center"/>
      <protection locked="0"/>
    </xf>
    <xf numFmtId="0" fontId="14" fillId="0" borderId="9" xfId="0" applyFont="1" applyBorder="1" applyAlignment="1" applyProtection="1">
      <alignment horizontal="center"/>
      <protection locked="0"/>
    </xf>
    <xf numFmtId="0" fontId="14" fillId="0" borderId="15" xfId="0" applyFont="1" applyBorder="1" applyAlignment="1" applyProtection="1">
      <alignment horizontal="left" vertical="center" wrapText="1"/>
      <protection locked="0"/>
    </xf>
    <xf numFmtId="0" fontId="14" fillId="0" borderId="9" xfId="0" applyFont="1" applyBorder="1" applyProtection="1">
      <protection locked="0"/>
    </xf>
    <xf numFmtId="0" fontId="14" fillId="0" borderId="10" xfId="0" applyFont="1" applyBorder="1" applyAlignment="1" applyProtection="1">
      <alignment horizontal="left" vertical="center" wrapText="1"/>
      <protection locked="0"/>
    </xf>
    <xf numFmtId="0" fontId="14" fillId="0" borderId="5" xfId="0" applyFont="1" applyBorder="1" applyProtection="1">
      <protection locked="0"/>
    </xf>
    <xf numFmtId="0" fontId="14" fillId="0" borderId="5" xfId="0" applyFont="1" applyBorder="1" applyAlignment="1" applyProtection="1">
      <alignment horizontal="center"/>
      <protection locked="0"/>
    </xf>
    <xf numFmtId="0" fontId="14" fillId="0" borderId="6" xfId="0" applyFont="1" applyBorder="1" applyAlignment="1" applyProtection="1">
      <alignment horizontal="left" vertical="center" wrapText="1"/>
      <protection locked="0"/>
    </xf>
    <xf numFmtId="1" fontId="14" fillId="3" borderId="14" xfId="0" applyNumberFormat="1" applyFont="1" applyFill="1" applyBorder="1" applyAlignment="1">
      <alignment horizontal="center"/>
    </xf>
    <xf numFmtId="1" fontId="14" fillId="3" borderId="9" xfId="0" applyNumberFormat="1" applyFont="1" applyFill="1" applyBorder="1" applyAlignment="1">
      <alignment horizontal="center"/>
    </xf>
    <xf numFmtId="1" fontId="14" fillId="3" borderId="5" xfId="0" applyNumberFormat="1" applyFont="1" applyFill="1" applyBorder="1" applyAlignment="1">
      <alignment horizontal="center"/>
    </xf>
    <xf numFmtId="0" fontId="14" fillId="3" borderId="14" xfId="0" applyFont="1" applyFill="1" applyBorder="1" applyAlignment="1">
      <alignment horizontal="center" wrapText="1"/>
    </xf>
    <xf numFmtId="10" fontId="14" fillId="3" borderId="14" xfId="0" applyNumberFormat="1" applyFont="1" applyFill="1" applyBorder="1" applyAlignment="1">
      <alignment horizontal="center" wrapText="1"/>
    </xf>
    <xf numFmtId="0" fontId="14" fillId="3" borderId="14" xfId="0" applyFont="1" applyFill="1" applyBorder="1" applyAlignment="1">
      <alignment horizontal="center"/>
    </xf>
    <xf numFmtId="0" fontId="14" fillId="3" borderId="9" xfId="0" applyFont="1" applyFill="1" applyBorder="1" applyAlignment="1">
      <alignment horizontal="center" wrapText="1"/>
    </xf>
    <xf numFmtId="10" fontId="14" fillId="3" borderId="9" xfId="0" applyNumberFormat="1" applyFont="1" applyFill="1" applyBorder="1" applyAlignment="1">
      <alignment horizontal="center" wrapText="1"/>
    </xf>
    <xf numFmtId="0" fontId="14" fillId="3" borderId="9" xfId="0" applyFont="1" applyFill="1" applyBorder="1" applyAlignment="1">
      <alignment horizontal="center"/>
    </xf>
    <xf numFmtId="0" fontId="14" fillId="3" borderId="5" xfId="0" applyFont="1" applyFill="1" applyBorder="1" applyAlignment="1">
      <alignment horizontal="center" wrapText="1"/>
    </xf>
    <xf numFmtId="10" fontId="14" fillId="3" borderId="5" xfId="0" applyNumberFormat="1" applyFont="1" applyFill="1" applyBorder="1" applyAlignment="1">
      <alignment horizontal="center" wrapText="1"/>
    </xf>
    <xf numFmtId="0" fontId="14" fillId="3" borderId="5" xfId="0" applyFont="1" applyFill="1" applyBorder="1" applyAlignment="1">
      <alignment horizontal="center"/>
    </xf>
    <xf numFmtId="0" fontId="9" fillId="6" borderId="9" xfId="0" applyFont="1" applyFill="1" applyBorder="1" applyAlignment="1" applyProtection="1">
      <alignment horizontal="center" vertical="center" wrapText="1"/>
      <protection hidden="1"/>
    </xf>
    <xf numFmtId="0" fontId="9" fillId="6" borderId="10" xfId="0" applyFont="1" applyFill="1" applyBorder="1" applyAlignment="1" applyProtection="1">
      <alignment horizontal="center" vertical="center" wrapText="1"/>
      <protection hidden="1"/>
    </xf>
    <xf numFmtId="0" fontId="0" fillId="0" borderId="4" xfId="0" applyBorder="1" applyAlignment="1" applyProtection="1">
      <alignment vertical="center"/>
      <protection locked="0"/>
    </xf>
    <xf numFmtId="0" fontId="0" fillId="0" borderId="0" xfId="0" applyAlignment="1">
      <alignment vertical="center"/>
    </xf>
    <xf numFmtId="0" fontId="3" fillId="0" borderId="9" xfId="0" applyFont="1" applyBorder="1" applyAlignment="1" applyProtection="1">
      <alignment horizontal="left" vertical="center" wrapText="1"/>
      <protection locked="0"/>
    </xf>
    <xf numFmtId="0" fontId="3" fillId="0" borderId="9" xfId="0" applyFont="1" applyBorder="1" applyAlignment="1">
      <alignment vertical="center" wrapText="1"/>
    </xf>
    <xf numFmtId="0" fontId="1" fillId="6" borderId="3"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9" xfId="0" applyFont="1" applyFill="1" applyBorder="1" applyAlignment="1" applyProtection="1">
      <alignment horizontal="center"/>
      <protection hidden="1"/>
    </xf>
    <xf numFmtId="0" fontId="1" fillId="6" borderId="9" xfId="0" applyFont="1" applyFill="1" applyBorder="1" applyAlignment="1" applyProtection="1">
      <alignment horizontal="center" vertical="center" wrapText="1"/>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7" fillId="0" borderId="9" xfId="0" applyFont="1" applyBorder="1" applyAlignment="1" applyProtection="1">
      <alignment horizontal="left" vertical="top" wrapText="1"/>
      <protection locked="0"/>
    </xf>
    <xf numFmtId="0" fontId="7" fillId="0" borderId="5" xfId="0" applyFont="1" applyBorder="1" applyAlignment="1" applyProtection="1">
      <alignment horizontal="left" vertical="top" wrapText="1"/>
      <protection locked="0"/>
    </xf>
    <xf numFmtId="1" fontId="14" fillId="0" borderId="14" xfId="0" applyNumberFormat="1" applyFont="1" applyBorder="1" applyAlignment="1" applyProtection="1">
      <alignment horizontal="center"/>
      <protection locked="0"/>
    </xf>
    <xf numFmtId="1" fontId="14" fillId="0" borderId="9" xfId="0" applyNumberFormat="1" applyFont="1" applyBorder="1" applyAlignment="1" applyProtection="1">
      <alignment horizontal="center"/>
      <protection locked="0"/>
    </xf>
    <xf numFmtId="1" fontId="14" fillId="0" borderId="5" xfId="0" applyNumberFormat="1" applyFont="1" applyBorder="1" applyAlignment="1" applyProtection="1">
      <alignment horizontal="center"/>
      <protection locked="0"/>
    </xf>
    <xf numFmtId="0" fontId="1" fillId="0" borderId="0" xfId="0" applyFont="1" applyAlignment="1">
      <alignment horizontal="center" wrapText="1"/>
    </xf>
    <xf numFmtId="0" fontId="1" fillId="6" borderId="2" xfId="0" applyFont="1" applyFill="1" applyBorder="1"/>
    <xf numFmtId="0" fontId="1" fillId="6" borderId="3" xfId="0" applyFont="1" applyFill="1" applyBorder="1" applyAlignment="1">
      <alignment wrapText="1"/>
    </xf>
    <xf numFmtId="0" fontId="1" fillId="6" borderId="8" xfId="0" applyFont="1" applyFill="1" applyBorder="1"/>
    <xf numFmtId="0" fontId="1" fillId="6" borderId="9" xfId="0" applyFont="1" applyFill="1" applyBorder="1" applyAlignment="1">
      <alignment horizontal="center" wrapText="1"/>
    </xf>
    <xf numFmtId="9" fontId="0" fillId="0" borderId="9" xfId="1" applyFont="1" applyBorder="1" applyAlignment="1">
      <alignment horizontal="center"/>
    </xf>
    <xf numFmtId="9" fontId="0" fillId="0" borderId="0" xfId="0" applyNumberFormat="1" applyAlignment="1">
      <alignment horizontal="center"/>
    </xf>
    <xf numFmtId="9" fontId="0" fillId="0" borderId="9" xfId="0" applyNumberFormat="1" applyBorder="1" applyAlignment="1">
      <alignment horizontal="center"/>
    </xf>
    <xf numFmtId="0" fontId="1" fillId="0" borderId="7" xfId="0" applyFont="1" applyBorder="1"/>
    <xf numFmtId="9" fontId="1" fillId="0" borderId="5" xfId="1" applyFont="1" applyBorder="1" applyAlignment="1">
      <alignment horizontal="center"/>
    </xf>
    <xf numFmtId="0" fontId="9" fillId="6" borderId="3" xfId="0" applyFont="1" applyFill="1" applyBorder="1" applyAlignment="1" applyProtection="1">
      <alignment horizontal="center" vertical="center" wrapText="1"/>
      <protection hidden="1"/>
    </xf>
    <xf numFmtId="9" fontId="1" fillId="0" borderId="0" xfId="1" applyFont="1" applyBorder="1" applyAlignment="1">
      <alignment horizontal="center"/>
    </xf>
    <xf numFmtId="9" fontId="1" fillId="0" borderId="5" xfId="0" applyNumberFormat="1" applyFont="1" applyBorder="1" applyAlignment="1">
      <alignment horizontal="center"/>
    </xf>
    <xf numFmtId="0" fontId="5" fillId="0" borderId="9" xfId="0" applyFont="1" applyBorder="1" applyAlignment="1" applyProtection="1">
      <alignment horizontal="center" vertical="center"/>
      <protection hidden="1"/>
    </xf>
    <xf numFmtId="0" fontId="0" fillId="0" borderId="16" xfId="0" applyBorder="1" applyAlignment="1">
      <alignment horizontal="center"/>
    </xf>
    <xf numFmtId="0" fontId="0" fillId="0" borderId="16" xfId="0" applyBorder="1"/>
    <xf numFmtId="0" fontId="11" fillId="7" borderId="28" xfId="0" applyFont="1" applyFill="1" applyBorder="1" applyAlignment="1">
      <alignment horizontal="center" vertical="center" wrapText="1"/>
    </xf>
    <xf numFmtId="0" fontId="8" fillId="4" borderId="0" xfId="0" applyFont="1" applyFill="1" applyAlignment="1">
      <alignment horizontal="left"/>
    </xf>
    <xf numFmtId="0" fontId="0" fillId="0" borderId="3" xfId="0" applyBorder="1" applyAlignment="1" applyProtection="1">
      <alignment horizontal="center" vertical="center"/>
      <protection locked="0"/>
    </xf>
    <xf numFmtId="0" fontId="1" fillId="11" borderId="0" xfId="0" applyFont="1" applyFill="1" applyAlignment="1" applyProtection="1">
      <alignment wrapText="1"/>
      <protection hidden="1"/>
    </xf>
    <xf numFmtId="0" fontId="9" fillId="11" borderId="0" xfId="0" applyFont="1" applyFill="1" applyAlignment="1" applyProtection="1">
      <alignment horizontal="center" vertical="center" wrapText="1"/>
      <protection hidden="1"/>
    </xf>
    <xf numFmtId="2" fontId="0" fillId="11" borderId="0" xfId="0" applyNumberFormat="1" applyFill="1" applyAlignment="1" applyProtection="1">
      <alignment horizontal="center" vertical="center"/>
      <protection hidden="1"/>
    </xf>
    <xf numFmtId="0" fontId="0" fillId="11" borderId="0" xfId="0" applyFill="1" applyAlignment="1" applyProtection="1">
      <alignment horizontal="center" vertical="center"/>
      <protection hidden="1"/>
    </xf>
    <xf numFmtId="0" fontId="1" fillId="11" borderId="0" xfId="0" applyFont="1" applyFill="1" applyAlignment="1" applyProtection="1">
      <alignment horizontal="center" vertical="center"/>
      <protection hidden="1"/>
    </xf>
    <xf numFmtId="0" fontId="0" fillId="11" borderId="0" xfId="0" applyFill="1" applyAlignment="1">
      <alignment horizontal="center"/>
    </xf>
    <xf numFmtId="0" fontId="1" fillId="11" borderId="0" xfId="0" applyFont="1" applyFill="1"/>
    <xf numFmtId="9" fontId="0" fillId="11" borderId="0" xfId="0" applyNumberFormat="1" applyFill="1" applyAlignment="1">
      <alignment horizontal="center"/>
    </xf>
    <xf numFmtId="9" fontId="1" fillId="11" borderId="0" xfId="0" applyNumberFormat="1" applyFont="1" applyFill="1" applyAlignment="1">
      <alignment horizontal="center"/>
    </xf>
    <xf numFmtId="0" fontId="0" fillId="0" borderId="16" xfId="0" applyBorder="1" applyAlignment="1">
      <alignment horizontal="left"/>
    </xf>
    <xf numFmtId="9" fontId="0" fillId="0" borderId="0" xfId="1" applyFont="1" applyBorder="1" applyAlignment="1">
      <alignment horizontal="center"/>
    </xf>
    <xf numFmtId="0" fontId="9" fillId="0" borderId="0" xfId="0" applyFont="1" applyAlignment="1" applyProtection="1">
      <alignment horizontal="center" vertical="center" wrapText="1"/>
      <protection hidden="1"/>
    </xf>
    <xf numFmtId="0" fontId="1" fillId="0" borderId="0" xfId="0" applyFont="1" applyAlignment="1">
      <alignment horizontal="center"/>
    </xf>
    <xf numFmtId="0" fontId="5" fillId="0" borderId="30" xfId="0" applyFont="1" applyBorder="1" applyAlignment="1" applyProtection="1">
      <alignment vertical="center"/>
      <protection hidden="1"/>
    </xf>
    <xf numFmtId="0" fontId="5" fillId="0" borderId="30" xfId="0" applyFont="1" applyBorder="1" applyAlignment="1" applyProtection="1">
      <alignment horizontal="center" vertical="center"/>
      <protection hidden="1"/>
    </xf>
    <xf numFmtId="0" fontId="5" fillId="0" borderId="30" xfId="0" applyFont="1" applyBorder="1" applyAlignment="1" applyProtection="1">
      <alignment horizontal="center" vertical="center" wrapText="1"/>
      <protection hidden="1"/>
    </xf>
    <xf numFmtId="0" fontId="0" fillId="0" borderId="30" xfId="0" applyBorder="1" applyAlignment="1" applyProtection="1">
      <alignment horizontal="center" vertical="center" wrapText="1"/>
      <protection hidden="1"/>
    </xf>
    <xf numFmtId="0" fontId="0" fillId="0" borderId="30" xfId="0" applyBorder="1" applyAlignment="1" applyProtection="1">
      <alignment horizontal="center" vertical="center"/>
      <protection hidden="1"/>
    </xf>
    <xf numFmtId="0" fontId="1" fillId="0" borderId="16" xfId="0" applyFont="1" applyBorder="1"/>
    <xf numFmtId="2" fontId="0" fillId="11" borderId="31" xfId="0" applyNumberFormat="1" applyFill="1" applyBorder="1" applyAlignment="1" applyProtection="1">
      <alignment horizontal="center" vertical="center"/>
      <protection hidden="1"/>
    </xf>
    <xf numFmtId="0" fontId="0" fillId="11" borderId="32" xfId="0" applyFill="1" applyBorder="1" applyAlignment="1" applyProtection="1">
      <alignment horizontal="center" vertical="center"/>
      <protection hidden="1"/>
    </xf>
    <xf numFmtId="0" fontId="9" fillId="0" borderId="34" xfId="0" applyFont="1" applyBorder="1" applyAlignment="1" applyProtection="1">
      <alignment vertical="center"/>
      <protection hidden="1"/>
    </xf>
    <xf numFmtId="0" fontId="9" fillId="0" borderId="35" xfId="0" applyFont="1" applyBorder="1" applyAlignment="1" applyProtection="1">
      <alignment vertical="center"/>
      <protection hidden="1"/>
    </xf>
    <xf numFmtId="0" fontId="9" fillId="0" borderId="35" xfId="0" applyFont="1" applyBorder="1" applyAlignment="1" applyProtection="1">
      <alignment horizontal="center" vertical="center"/>
      <protection hidden="1"/>
    </xf>
    <xf numFmtId="0" fontId="9" fillId="0" borderId="35" xfId="0" applyFont="1" applyBorder="1" applyAlignment="1" applyProtection="1">
      <alignment horizontal="center" vertical="center" wrapText="1"/>
      <protection hidden="1"/>
    </xf>
    <xf numFmtId="0" fontId="1" fillId="0" borderId="35" xfId="0" applyFont="1" applyBorder="1" applyAlignment="1" applyProtection="1">
      <alignment horizontal="center" vertical="center" wrapText="1"/>
      <protection hidden="1"/>
    </xf>
    <xf numFmtId="0" fontId="1" fillId="0" borderId="35" xfId="0" applyFont="1" applyBorder="1" applyAlignment="1" applyProtection="1">
      <alignment horizontal="center" vertical="center"/>
      <protection hidden="1"/>
    </xf>
    <xf numFmtId="0" fontId="1" fillId="0" borderId="36" xfId="0" applyFont="1" applyBorder="1" applyAlignment="1" applyProtection="1">
      <alignment horizontal="center" vertical="center"/>
      <protection hidden="1"/>
    </xf>
    <xf numFmtId="0" fontId="9" fillId="6" borderId="37" xfId="0" applyFont="1" applyFill="1" applyBorder="1" applyAlignment="1" applyProtection="1">
      <alignment horizontal="center" vertical="center" wrapText="1"/>
      <protection hidden="1"/>
    </xf>
    <xf numFmtId="9" fontId="0" fillId="11" borderId="10" xfId="0" applyNumberFormat="1" applyFill="1" applyBorder="1" applyAlignment="1">
      <alignment horizontal="center"/>
    </xf>
    <xf numFmtId="9" fontId="1" fillId="11" borderId="6" xfId="0" applyNumberFormat="1" applyFont="1" applyFill="1" applyBorder="1" applyAlignment="1">
      <alignment horizontal="center"/>
    </xf>
    <xf numFmtId="164" fontId="14" fillId="0" borderId="14" xfId="0" applyNumberFormat="1" applyFont="1" applyBorder="1" applyAlignment="1" applyProtection="1">
      <alignment horizontal="center"/>
      <protection locked="0"/>
    </xf>
    <xf numFmtId="164" fontId="14" fillId="0" borderId="9" xfId="0" applyNumberFormat="1" applyFont="1" applyBorder="1" applyAlignment="1" applyProtection="1">
      <alignment horizontal="center"/>
      <protection locked="0"/>
    </xf>
    <xf numFmtId="164" fontId="14" fillId="0" borderId="5" xfId="0" applyNumberFormat="1" applyFont="1" applyBorder="1" applyAlignment="1" applyProtection="1">
      <alignment horizontal="center"/>
      <protection locked="0"/>
    </xf>
    <xf numFmtId="164" fontId="0" fillId="0" borderId="0" xfId="0" applyNumberFormat="1" applyAlignment="1">
      <alignment horizontal="center"/>
    </xf>
    <xf numFmtId="0" fontId="13" fillId="5" borderId="24" xfId="0" applyFont="1" applyFill="1" applyBorder="1" applyAlignment="1">
      <alignment vertical="center"/>
    </xf>
    <xf numFmtId="0" fontId="13" fillId="5" borderId="21" xfId="0" applyFont="1" applyFill="1" applyBorder="1" applyAlignment="1">
      <alignment vertical="center"/>
    </xf>
    <xf numFmtId="0" fontId="13" fillId="5" borderId="0" xfId="0" applyFont="1" applyFill="1" applyAlignment="1">
      <alignment vertical="center"/>
    </xf>
    <xf numFmtId="0" fontId="13" fillId="5" borderId="20" xfId="0" applyFont="1" applyFill="1" applyBorder="1" applyAlignment="1">
      <alignment vertical="center"/>
    </xf>
    <xf numFmtId="0" fontId="13" fillId="5" borderId="16" xfId="0" applyFont="1" applyFill="1" applyBorder="1" applyAlignment="1">
      <alignment vertical="center"/>
    </xf>
    <xf numFmtId="0" fontId="13" fillId="5" borderId="22" xfId="0" applyFont="1" applyFill="1" applyBorder="1" applyAlignment="1">
      <alignment vertical="center"/>
    </xf>
    <xf numFmtId="0" fontId="0" fillId="0" borderId="14" xfId="0" applyBorder="1" applyAlignment="1" applyProtection="1">
      <alignment horizontal="center" vertical="center"/>
      <protection locked="0"/>
    </xf>
    <xf numFmtId="0" fontId="4" fillId="11" borderId="14" xfId="0" applyFont="1" applyFill="1" applyBorder="1" applyAlignment="1">
      <alignment horizontal="center" vertical="center" wrapText="1"/>
    </xf>
    <xf numFmtId="0" fontId="14" fillId="0" borderId="14" xfId="0" applyFont="1" applyBorder="1" applyAlignment="1" applyProtection="1">
      <alignment horizontal="left"/>
      <protection locked="0"/>
    </xf>
    <xf numFmtId="0" fontId="2" fillId="5" borderId="2"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 fillId="2" borderId="17" xfId="0" applyFont="1" applyFill="1" applyBorder="1" applyAlignment="1">
      <alignment horizontal="center" vertical="center"/>
    </xf>
    <xf numFmtId="0" fontId="1" fillId="2" borderId="17" xfId="0" applyFont="1" applyFill="1" applyBorder="1" applyAlignment="1">
      <alignment horizontal="center" vertical="center" wrapText="1"/>
    </xf>
    <xf numFmtId="0" fontId="1" fillId="2" borderId="17" xfId="0" applyFont="1" applyFill="1" applyBorder="1" applyAlignment="1">
      <alignment horizontal="left" vertical="center"/>
    </xf>
    <xf numFmtId="0" fontId="16" fillId="0" borderId="36" xfId="0" applyFont="1" applyBorder="1" applyAlignment="1" applyProtection="1">
      <alignment vertical="center"/>
      <protection locked="0"/>
    </xf>
    <xf numFmtId="0" fontId="5" fillId="0" borderId="0" xfId="0" applyFont="1" applyAlignment="1">
      <alignment horizontal="right"/>
    </xf>
    <xf numFmtId="0" fontId="9" fillId="6" borderId="0" xfId="0" applyFont="1" applyFill="1" applyAlignment="1" applyProtection="1">
      <alignment horizontal="center" vertical="center" wrapText="1"/>
      <protection hidden="1"/>
    </xf>
    <xf numFmtId="0" fontId="9" fillId="6" borderId="12" xfId="0" applyFont="1" applyFill="1" applyBorder="1" applyAlignment="1" applyProtection="1">
      <alignment horizontal="center" vertical="center" wrapText="1"/>
      <protection hidden="1"/>
    </xf>
    <xf numFmtId="0" fontId="0" fillId="0" borderId="39" xfId="0" applyBorder="1" applyAlignment="1" applyProtection="1">
      <alignment horizontal="center" vertical="center"/>
      <protection hidden="1"/>
    </xf>
    <xf numFmtId="0" fontId="0" fillId="0" borderId="0" xfId="0" applyAlignment="1" applyProtection="1">
      <alignment horizontal="center" vertical="center"/>
      <protection hidden="1"/>
    </xf>
    <xf numFmtId="0" fontId="1" fillId="0" borderId="41" xfId="0" applyFont="1" applyBorder="1" applyAlignment="1" applyProtection="1">
      <alignment horizontal="center" vertical="center"/>
      <protection hidden="1"/>
    </xf>
    <xf numFmtId="9" fontId="0" fillId="0" borderId="43" xfId="0" applyNumberFormat="1" applyBorder="1" applyAlignment="1">
      <alignment horizontal="center"/>
    </xf>
    <xf numFmtId="9" fontId="1" fillId="0" borderId="43" xfId="0" applyNumberFormat="1" applyFont="1" applyBorder="1" applyAlignment="1">
      <alignment horizontal="center"/>
    </xf>
    <xf numFmtId="9" fontId="1" fillId="0" borderId="0" xfId="0" applyNumberFormat="1" applyFont="1" applyAlignment="1">
      <alignment horizontal="center"/>
    </xf>
    <xf numFmtId="0" fontId="1" fillId="0" borderId="43" xfId="0" applyFont="1" applyBorder="1" applyAlignment="1">
      <alignment horizontal="center"/>
    </xf>
    <xf numFmtId="0" fontId="9" fillId="0" borderId="43" xfId="0" applyFont="1" applyBorder="1" applyAlignment="1" applyProtection="1">
      <alignment horizontal="center" vertical="center" wrapText="1"/>
      <protection hidden="1"/>
    </xf>
    <xf numFmtId="0" fontId="1" fillId="6" borderId="21" xfId="0" applyFont="1" applyFill="1" applyBorder="1"/>
    <xf numFmtId="0" fontId="0" fillId="0" borderId="0" xfId="0" applyAlignment="1">
      <alignment horizontal="right"/>
    </xf>
    <xf numFmtId="0" fontId="11" fillId="6" borderId="14" xfId="0" applyFont="1" applyFill="1" applyBorder="1" applyAlignment="1" applyProtection="1">
      <alignment horizontal="center" vertical="center" wrapText="1"/>
      <protection hidden="1"/>
    </xf>
    <xf numFmtId="0" fontId="11" fillId="6" borderId="9" xfId="0" applyFont="1" applyFill="1" applyBorder="1" applyAlignment="1" applyProtection="1">
      <alignment horizontal="center" vertical="center" wrapText="1"/>
      <protection hidden="1"/>
    </xf>
    <xf numFmtId="0" fontId="11" fillId="6" borderId="10" xfId="0" applyFont="1" applyFill="1" applyBorder="1" applyAlignment="1" applyProtection="1">
      <alignment horizontal="center" vertical="center" wrapText="1"/>
      <protection hidden="1"/>
    </xf>
    <xf numFmtId="0" fontId="2" fillId="7" borderId="34" xfId="0" applyFont="1" applyFill="1" applyBorder="1" applyAlignment="1">
      <alignment horizontal="right" vertical="center"/>
    </xf>
    <xf numFmtId="0" fontId="2" fillId="7" borderId="35" xfId="0" applyFont="1" applyFill="1" applyBorder="1" applyAlignment="1">
      <alignment horizontal="right" vertical="center"/>
    </xf>
    <xf numFmtId="0" fontId="15" fillId="7" borderId="3" xfId="0" applyFont="1" applyFill="1" applyBorder="1" applyAlignment="1">
      <alignment horizontal="center" vertical="center" wrapText="1"/>
    </xf>
    <xf numFmtId="0" fontId="6" fillId="7" borderId="38" xfId="0" applyFont="1" applyFill="1" applyBorder="1" applyAlignment="1">
      <alignment horizontal="center" vertical="center" wrapText="1"/>
    </xf>
    <xf numFmtId="0" fontId="6" fillId="7" borderId="40" xfId="0" applyFont="1" applyFill="1" applyBorder="1" applyAlignment="1">
      <alignment horizontal="center" vertical="center" wrapText="1"/>
    </xf>
    <xf numFmtId="0" fontId="2" fillId="7" borderId="2" xfId="0" applyFont="1" applyFill="1" applyBorder="1" applyAlignment="1">
      <alignment horizontal="right" vertical="center"/>
    </xf>
    <xf numFmtId="0" fontId="2" fillId="7" borderId="11" xfId="0" applyFont="1" applyFill="1" applyBorder="1" applyAlignment="1">
      <alignment horizontal="right" vertical="center"/>
    </xf>
    <xf numFmtId="0" fontId="2" fillId="7" borderId="8" xfId="0" applyFont="1" applyFill="1" applyBorder="1" applyAlignment="1">
      <alignment horizontal="right" vertical="center"/>
    </xf>
    <xf numFmtId="0" fontId="2" fillId="7" borderId="12" xfId="0" applyFont="1" applyFill="1" applyBorder="1" applyAlignment="1">
      <alignment horizontal="right" vertical="center"/>
    </xf>
    <xf numFmtId="0" fontId="2" fillId="7" borderId="8" xfId="0" applyFont="1" applyFill="1" applyBorder="1" applyAlignment="1">
      <alignment horizontal="right" vertical="center" wrapText="1"/>
    </xf>
    <xf numFmtId="0" fontId="2" fillId="7" borderId="12" xfId="0" applyFont="1" applyFill="1" applyBorder="1" applyAlignment="1">
      <alignment horizontal="right" vertical="center" wrapText="1"/>
    </xf>
    <xf numFmtId="0" fontId="2" fillId="7" borderId="38" xfId="0" applyFont="1" applyFill="1" applyBorder="1" applyAlignment="1">
      <alignment horizontal="center" vertical="center" wrapText="1"/>
    </xf>
    <xf numFmtId="0" fontId="2" fillId="7" borderId="39"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40" xfId="0" applyFont="1" applyFill="1" applyBorder="1" applyAlignment="1">
      <alignment horizontal="center" vertical="center" wrapText="1"/>
    </xf>
    <xf numFmtId="0" fontId="3" fillId="0" borderId="39" xfId="0" applyFont="1" applyBorder="1" applyAlignment="1" applyProtection="1">
      <alignment horizontal="left" vertical="center" wrapText="1"/>
      <protection locked="0"/>
    </xf>
    <xf numFmtId="0" fontId="2" fillId="7" borderId="12" xfId="0" applyFont="1" applyFill="1" applyBorder="1" applyAlignment="1">
      <alignment horizontal="center" vertical="center"/>
    </xf>
    <xf numFmtId="0" fontId="2" fillId="7" borderId="19" xfId="0" applyFont="1" applyFill="1" applyBorder="1" applyAlignment="1">
      <alignment horizontal="center" vertical="center"/>
    </xf>
    <xf numFmtId="0" fontId="4" fillId="0" borderId="19" xfId="0" applyFont="1" applyBorder="1" applyAlignment="1" applyProtection="1">
      <alignment horizontal="left" vertical="center"/>
      <protection locked="0"/>
    </xf>
    <xf numFmtId="0" fontId="5" fillId="0" borderId="14" xfId="0" applyFont="1" applyBorder="1" applyAlignment="1" applyProtection="1">
      <alignment horizontal="left" vertical="center"/>
      <protection locked="0"/>
    </xf>
    <xf numFmtId="0" fontId="5" fillId="0" borderId="38" xfId="0" applyFont="1" applyBorder="1" applyAlignment="1" applyProtection="1">
      <alignment horizontal="left" vertical="center"/>
      <protection locked="0"/>
    </xf>
    <xf numFmtId="0" fontId="3" fillId="0" borderId="12" xfId="0" applyFont="1" applyBorder="1" applyAlignment="1" applyProtection="1">
      <alignment horizontal="left" vertical="center" wrapText="1"/>
      <protection locked="0"/>
    </xf>
    <xf numFmtId="0" fontId="3" fillId="0" borderId="19" xfId="0" applyFont="1" applyBorder="1" applyAlignment="1" applyProtection="1">
      <alignment horizontal="left" vertical="center" wrapText="1"/>
      <protection locked="0"/>
    </xf>
    <xf numFmtId="0" fontId="15" fillId="7" borderId="14" xfId="0" applyFont="1" applyFill="1" applyBorder="1" applyAlignment="1">
      <alignment horizontal="center" vertical="center" wrapText="1"/>
    </xf>
    <xf numFmtId="0" fontId="13" fillId="5" borderId="25" xfId="0" applyFont="1" applyFill="1" applyBorder="1" applyAlignment="1">
      <alignment horizontal="center" vertical="center"/>
    </xf>
    <xf numFmtId="0" fontId="13" fillId="5" borderId="26" xfId="0" applyFont="1" applyFill="1" applyBorder="1" applyAlignment="1">
      <alignment horizontal="center" vertical="center"/>
    </xf>
    <xf numFmtId="0" fontId="13" fillId="5" borderId="27" xfId="0" applyFont="1" applyFill="1" applyBorder="1" applyAlignment="1">
      <alignment horizontal="center" vertical="center"/>
    </xf>
    <xf numFmtId="0" fontId="2" fillId="7" borderId="18" xfId="0" applyFont="1" applyFill="1" applyBorder="1" applyAlignment="1">
      <alignment horizontal="center" vertical="center"/>
    </xf>
    <xf numFmtId="0" fontId="9" fillId="6" borderId="33" xfId="0" applyFont="1" applyFill="1" applyBorder="1" applyAlignment="1" applyProtection="1">
      <alignment horizontal="center" vertical="center" wrapText="1"/>
      <protection hidden="1"/>
    </xf>
    <xf numFmtId="0" fontId="9" fillId="6" borderId="23" xfId="0" applyFont="1" applyFill="1" applyBorder="1" applyAlignment="1" applyProtection="1">
      <alignment horizontal="center" vertical="center" wrapText="1"/>
      <protection hidden="1"/>
    </xf>
    <xf numFmtId="0" fontId="8" fillId="4" borderId="0" xfId="0" applyFont="1" applyFill="1" applyAlignment="1">
      <alignment horizontal="left"/>
    </xf>
    <xf numFmtId="0" fontId="1" fillId="6" borderId="2" xfId="0" applyFont="1" applyFill="1" applyBorder="1" applyAlignment="1" applyProtection="1">
      <alignment horizontal="center"/>
      <protection hidden="1"/>
    </xf>
    <xf numFmtId="0" fontId="1" fillId="6" borderId="8" xfId="0" applyFont="1" applyFill="1" applyBorder="1" applyAlignment="1" applyProtection="1">
      <alignment horizontal="center"/>
      <protection hidden="1"/>
    </xf>
    <xf numFmtId="0" fontId="1" fillId="6" borderId="3" xfId="0" applyFont="1" applyFill="1" applyBorder="1" applyAlignment="1" applyProtection="1">
      <alignment horizontal="center" wrapText="1"/>
      <protection hidden="1"/>
    </xf>
    <xf numFmtId="0" fontId="1" fillId="6" borderId="9" xfId="0" applyFont="1" applyFill="1" applyBorder="1" applyAlignment="1" applyProtection="1">
      <alignment horizontal="center" wrapText="1"/>
      <protection hidden="1"/>
    </xf>
    <xf numFmtId="0" fontId="1" fillId="6" borderId="3" xfId="0" applyFont="1" applyFill="1" applyBorder="1" applyAlignment="1" applyProtection="1">
      <alignment horizontal="center" vertical="center" wrapText="1"/>
      <protection hidden="1"/>
    </xf>
    <xf numFmtId="0" fontId="1" fillId="6" borderId="9" xfId="0" applyFont="1" applyFill="1" applyBorder="1" applyAlignment="1" applyProtection="1">
      <alignment horizontal="center" vertical="center" wrapText="1"/>
      <protection hidden="1"/>
    </xf>
    <xf numFmtId="0" fontId="1" fillId="6" borderId="25" xfId="0" applyFont="1" applyFill="1" applyBorder="1" applyAlignment="1">
      <alignment horizontal="center"/>
    </xf>
    <xf numFmtId="0" fontId="1" fillId="6" borderId="26" xfId="0" applyFont="1" applyFill="1" applyBorder="1" applyAlignment="1">
      <alignment horizontal="center"/>
    </xf>
    <xf numFmtId="0" fontId="1" fillId="6" borderId="27" xfId="0" applyFont="1" applyFill="1" applyBorder="1" applyAlignment="1">
      <alignment horizontal="center"/>
    </xf>
    <xf numFmtId="0" fontId="1" fillId="6" borderId="29" xfId="0" applyFont="1" applyFill="1" applyBorder="1" applyAlignment="1" applyProtection="1">
      <alignment horizontal="center" vertical="center" wrapText="1"/>
      <protection hidden="1"/>
    </xf>
    <xf numFmtId="0" fontId="1" fillId="6" borderId="14" xfId="0" applyFont="1" applyFill="1" applyBorder="1" applyAlignment="1" applyProtection="1">
      <alignment horizontal="center" vertical="center" wrapText="1"/>
      <protection hidden="1"/>
    </xf>
    <xf numFmtId="0" fontId="0" fillId="0" borderId="0" xfId="0" applyAlignment="1">
      <alignment horizontal="left"/>
    </xf>
    <xf numFmtId="0" fontId="1" fillId="6" borderId="42" xfId="0" applyFont="1" applyFill="1" applyBorder="1" applyAlignment="1" applyProtection="1">
      <alignment horizontal="center" wrapText="1"/>
      <protection hidden="1"/>
    </xf>
    <xf numFmtId="0" fontId="1" fillId="6" borderId="24" xfId="0" applyFont="1" applyFill="1" applyBorder="1" applyAlignment="1" applyProtection="1">
      <alignment horizontal="center" wrapText="1"/>
      <protection hidden="1"/>
    </xf>
    <xf numFmtId="0" fontId="1" fillId="6" borderId="21" xfId="0" applyFont="1" applyFill="1" applyBorder="1" applyAlignment="1" applyProtection="1">
      <alignment horizontal="center" wrapText="1"/>
      <protection hidden="1"/>
    </xf>
    <xf numFmtId="0" fontId="1" fillId="6" borderId="42" xfId="0" applyFont="1" applyFill="1" applyBorder="1" applyAlignment="1" applyProtection="1">
      <alignment horizontal="center" vertical="center" wrapText="1"/>
      <protection hidden="1"/>
    </xf>
    <xf numFmtId="0" fontId="1" fillId="6" borderId="24" xfId="0" applyFont="1" applyFill="1" applyBorder="1" applyAlignment="1" applyProtection="1">
      <alignment horizontal="center" vertical="center" wrapText="1"/>
      <protection hidden="1"/>
    </xf>
    <xf numFmtId="0" fontId="1" fillId="6" borderId="44" xfId="0" applyFont="1" applyFill="1" applyBorder="1" applyAlignment="1" applyProtection="1">
      <alignment horizontal="center" vertical="center" wrapText="1"/>
      <protection hidden="1"/>
    </xf>
    <xf numFmtId="0" fontId="9" fillId="6" borderId="3" xfId="0" applyFont="1" applyFill="1" applyBorder="1" applyAlignment="1">
      <alignment horizontal="center"/>
    </xf>
    <xf numFmtId="0" fontId="9" fillId="6" borderId="4" xfId="0" applyFont="1" applyFill="1" applyBorder="1" applyAlignment="1">
      <alignment horizontal="center"/>
    </xf>
  </cellXfs>
  <cellStyles count="2">
    <cellStyle name="Normal" xfId="0" builtinId="0"/>
    <cellStyle name="Percent" xfId="1" builtinId="5"/>
  </cellStyles>
  <dxfs count="10">
    <dxf>
      <font>
        <color rgb="FF9C0006"/>
      </font>
      <fill>
        <patternFill>
          <bgColor rgb="FFFFC7CE"/>
        </patternFill>
      </fill>
    </dxf>
    <dxf>
      <font>
        <b val="0"/>
        <i val="0"/>
        <color theme="0" tint="-0.499984740745262"/>
      </font>
    </dxf>
    <dxf>
      <font>
        <color theme="0" tint="-0.34998626667073579"/>
      </font>
    </dxf>
    <dxf>
      <font>
        <color rgb="FF9C0006"/>
      </font>
      <fill>
        <patternFill>
          <bgColor rgb="FFFFC7CE"/>
        </patternFill>
      </fill>
    </dxf>
    <dxf>
      <font>
        <color rgb="FF9C0006"/>
      </font>
      <fill>
        <patternFill>
          <bgColor rgb="FFFFC7CE"/>
        </patternFill>
      </fill>
    </dxf>
    <dxf>
      <font>
        <b val="0"/>
        <i val="0"/>
        <color theme="0" tint="-0.499984740745262"/>
      </font>
    </dxf>
    <dxf>
      <fill>
        <patternFill>
          <bgColor rgb="FFFEBFB8"/>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D9F95"/>
      <color rgb="FFFEB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095437819016343"/>
          <c:y val="0.10621363506032336"/>
          <c:w val="0.56603094211213556"/>
          <c:h val="0.75724475617018472"/>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5B0-4148-9D3F-2DE92A8214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85B0-4148-9D3F-2DE92A82141F}"/>
              </c:ext>
            </c:extLst>
          </c:dPt>
          <c:dLbls>
            <c:dLbl>
              <c:idx val="0"/>
              <c:layout>
                <c:manualLayout>
                  <c:x val="-0.12562814070351766"/>
                  <c:y val="-4.48179271708683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5B0-4148-9D3F-2DE92A82141F}"/>
                </c:ext>
              </c:extLst>
            </c:dLbl>
            <c:dLbl>
              <c:idx val="1"/>
              <c:layout>
                <c:manualLayout>
                  <c:x val="0.17587939698492464"/>
                  <c:y val="1.68067226890756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5B0-4148-9D3F-2DE92A82141F}"/>
                </c:ext>
              </c:extLst>
            </c:dLbl>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Arial" panose="020B0604020202020204" pitchFamily="34"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'Class Summary'!$A$19:$A$20</c:f>
              <c:strCache>
                <c:ptCount val="2"/>
                <c:pt idx="0">
                  <c:v>Male</c:v>
                </c:pt>
                <c:pt idx="1">
                  <c:v>Female</c:v>
                </c:pt>
              </c:strCache>
            </c:strRef>
          </c:cat>
          <c:val>
            <c:numRef>
              <c:f>'Class Summary'!$B$19:$B$20</c:f>
              <c:numCache>
                <c:formatCode>0%</c:formatCode>
                <c:ptCount val="2"/>
                <c:pt idx="0">
                  <c:v>0.4</c:v>
                </c:pt>
                <c:pt idx="1">
                  <c:v>0.6</c:v>
                </c:pt>
              </c:numCache>
            </c:numRef>
          </c:val>
          <c:extLst>
            <c:ext xmlns:c16="http://schemas.microsoft.com/office/drawing/2014/chart" uri="{C3380CC4-5D6E-409C-BE32-E72D297353CC}">
              <c16:uniqueId val="{00000000-85B0-4148-9D3F-2DE92A82141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Levelling of Learners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Summary'!$C$18</c:f>
              <c:strCache>
                <c:ptCount val="1"/>
                <c:pt idx="0">
                  <c:v>Emerging (Not Proficient)</c:v>
                </c:pt>
              </c:strCache>
            </c:strRef>
          </c:tx>
          <c:spPr>
            <a:solidFill>
              <a:srgbClr val="C0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Summary'!$C$19:$C$21</c:f>
              <c:numCache>
                <c:formatCode>0%</c:formatCode>
                <c:ptCount val="3"/>
                <c:pt idx="0">
                  <c:v>0</c:v>
                </c:pt>
                <c:pt idx="1">
                  <c:v>0</c:v>
                </c:pt>
                <c:pt idx="2">
                  <c:v>0</c:v>
                </c:pt>
              </c:numCache>
            </c:numRef>
          </c:val>
          <c:extLst>
            <c:ext xmlns:c16="http://schemas.microsoft.com/office/drawing/2014/chart" uri="{C3380CC4-5D6E-409C-BE32-E72D297353CC}">
              <c16:uniqueId val="{00000000-F077-4CA6-AB20-A3C64B2D1194}"/>
            </c:ext>
          </c:extLst>
        </c:ser>
        <c:ser>
          <c:idx val="1"/>
          <c:order val="1"/>
          <c:tx>
            <c:strRef>
              <c:f>'Class Summary'!$D$18</c:f>
              <c:strCache>
                <c:ptCount val="1"/>
                <c:pt idx="0">
                  <c:v>Emerging (Low Proficient)</c:v>
                </c:pt>
              </c:strCache>
            </c:strRef>
          </c:tx>
          <c:spPr>
            <a:solidFill>
              <a:srgbClr val="FF0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Summary'!$D$19:$D$21</c:f>
              <c:numCache>
                <c:formatCode>0%</c:formatCode>
                <c:ptCount val="3"/>
                <c:pt idx="0">
                  <c:v>0</c:v>
                </c:pt>
                <c:pt idx="1">
                  <c:v>0</c:v>
                </c:pt>
                <c:pt idx="2">
                  <c:v>0</c:v>
                </c:pt>
              </c:numCache>
            </c:numRef>
          </c:val>
          <c:extLst>
            <c:ext xmlns:c16="http://schemas.microsoft.com/office/drawing/2014/chart" uri="{C3380CC4-5D6E-409C-BE32-E72D297353CC}">
              <c16:uniqueId val="{00000000-FBF3-4B24-B169-D880EB2BF162}"/>
            </c:ext>
          </c:extLst>
        </c:ser>
        <c:ser>
          <c:idx val="2"/>
          <c:order val="2"/>
          <c:tx>
            <c:strRef>
              <c:f>'Class Summary'!$E$18</c:f>
              <c:strCache>
                <c:ptCount val="1"/>
                <c:pt idx="0">
                  <c:v>Developing (Nearly Proficient)</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Summary'!$E$19:$E$21</c:f>
              <c:numCache>
                <c:formatCode>0%</c:formatCode>
                <c:ptCount val="3"/>
                <c:pt idx="0">
                  <c:v>0.2</c:v>
                </c:pt>
                <c:pt idx="1">
                  <c:v>0.13333333333333333</c:v>
                </c:pt>
                <c:pt idx="2">
                  <c:v>0.16</c:v>
                </c:pt>
              </c:numCache>
            </c:numRef>
          </c:val>
          <c:extLst>
            <c:ext xmlns:c16="http://schemas.microsoft.com/office/drawing/2014/chart" uri="{C3380CC4-5D6E-409C-BE32-E72D297353CC}">
              <c16:uniqueId val="{00000001-FBF3-4B24-B169-D880EB2BF162}"/>
            </c:ext>
          </c:extLst>
        </c:ser>
        <c:ser>
          <c:idx val="3"/>
          <c:order val="3"/>
          <c:tx>
            <c:strRef>
              <c:f>'Class Summary'!$F$18</c:f>
              <c:strCache>
                <c:ptCount val="1"/>
                <c:pt idx="0">
                  <c:v>Transitioning (Proficient)</c:v>
                </c:pt>
              </c:strCache>
            </c:strRef>
          </c:tx>
          <c:spPr>
            <a:solidFill>
              <a:srgbClr val="00B0F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Summary'!$F$19:$F$21</c:f>
              <c:numCache>
                <c:formatCode>0%</c:formatCode>
                <c:ptCount val="3"/>
                <c:pt idx="0">
                  <c:v>0.2</c:v>
                </c:pt>
                <c:pt idx="1">
                  <c:v>0.2</c:v>
                </c:pt>
                <c:pt idx="2">
                  <c:v>0.2</c:v>
                </c:pt>
              </c:numCache>
            </c:numRef>
          </c:val>
          <c:extLst>
            <c:ext xmlns:c16="http://schemas.microsoft.com/office/drawing/2014/chart" uri="{C3380CC4-5D6E-409C-BE32-E72D297353CC}">
              <c16:uniqueId val="{00000002-FBF3-4B24-B169-D880EB2BF162}"/>
            </c:ext>
          </c:extLst>
        </c:ser>
        <c:ser>
          <c:idx val="4"/>
          <c:order val="4"/>
          <c:tx>
            <c:strRef>
              <c:f>'Class Summary'!$G$18</c:f>
              <c:strCache>
                <c:ptCount val="1"/>
                <c:pt idx="0">
                  <c:v>At Grade Level (Highly Proficient)</c:v>
                </c:pt>
              </c:strCache>
            </c:strRef>
          </c:tx>
          <c:spPr>
            <a:solidFill>
              <a:srgbClr val="00B05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Summary'!$A$19:$A$21</c:f>
              <c:strCache>
                <c:ptCount val="3"/>
                <c:pt idx="0">
                  <c:v>Male</c:v>
                </c:pt>
                <c:pt idx="1">
                  <c:v>Female</c:v>
                </c:pt>
                <c:pt idx="2">
                  <c:v>Total</c:v>
                </c:pt>
              </c:strCache>
            </c:strRef>
          </c:cat>
          <c:val>
            <c:numRef>
              <c:f>'Class Summary'!$G$19:$G$21</c:f>
              <c:numCache>
                <c:formatCode>0%</c:formatCode>
                <c:ptCount val="3"/>
                <c:pt idx="0">
                  <c:v>0.6</c:v>
                </c:pt>
                <c:pt idx="1">
                  <c:v>0.66666666666666663</c:v>
                </c:pt>
                <c:pt idx="2">
                  <c:v>0.64</c:v>
                </c:pt>
              </c:numCache>
            </c:numRef>
          </c:val>
          <c:extLst>
            <c:ext xmlns:c16="http://schemas.microsoft.com/office/drawing/2014/chart" uri="{C3380CC4-5D6E-409C-BE32-E72D297353CC}">
              <c16:uniqueId val="{00000003-FBF3-4B24-B169-D880EB2BF162}"/>
            </c:ext>
          </c:extLst>
        </c:ser>
        <c:dLbls>
          <c:dLblPos val="outEnd"/>
          <c:showLegendKey val="0"/>
          <c:showVal val="1"/>
          <c:showCatName val="0"/>
          <c:showSerName val="0"/>
          <c:showPercent val="0"/>
          <c:showBubbleSize val="0"/>
        </c:dLbls>
        <c:gapWidth val="65"/>
        <c:axId val="1617901775"/>
        <c:axId val="1617896015"/>
      </c:barChart>
      <c:catAx>
        <c:axId val="16179017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617896015"/>
        <c:crosses val="autoZero"/>
        <c:auto val="1"/>
        <c:lblAlgn val="ctr"/>
        <c:lblOffset val="100"/>
        <c:noMultiLvlLbl val="0"/>
      </c:catAx>
      <c:valAx>
        <c:axId val="16178960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6179017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PH" sz="1600"/>
              <a:t>% of Proficient Learner</a:t>
            </a:r>
            <a:r>
              <a:rPr lang="en-PH" sz="1600" baseline="0"/>
              <a:t>s </a:t>
            </a:r>
            <a:r>
              <a:rPr lang="en-PH" sz="1600"/>
              <a:t>by Tasks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'Class Summary'!$L$18:$W$18</c:f>
              <c:strCache>
                <c:ptCount val="9"/>
                <c:pt idx="0">
                  <c:v>Task A</c:v>
                </c:pt>
                <c:pt idx="1">
                  <c:v>Task B</c:v>
                </c:pt>
                <c:pt idx="2">
                  <c:v>Task C</c:v>
                </c:pt>
                <c:pt idx="3">
                  <c:v>Task D</c:v>
                </c:pt>
                <c:pt idx="4">
                  <c:v>Task E</c:v>
                </c:pt>
                <c:pt idx="5">
                  <c:v>Task F</c:v>
                </c:pt>
                <c:pt idx="6">
                  <c:v>Task G</c:v>
                </c:pt>
                <c:pt idx="7">
                  <c:v>Task H</c:v>
                </c:pt>
                <c:pt idx="8">
                  <c:v>Overall Score</c:v>
                </c:pt>
              </c:strCache>
            </c:strRef>
          </c:cat>
          <c:val>
            <c:numRef>
              <c:f>'Class Summary'!$L$21:$W$21</c:f>
              <c:numCache>
                <c:formatCode>0%</c:formatCode>
                <c:ptCount val="9"/>
                <c:pt idx="0">
                  <c:v>0.92</c:v>
                </c:pt>
                <c:pt idx="1">
                  <c:v>1</c:v>
                </c:pt>
                <c:pt idx="2">
                  <c:v>0.92</c:v>
                </c:pt>
                <c:pt idx="3">
                  <c:v>0.76</c:v>
                </c:pt>
                <c:pt idx="4">
                  <c:v>0.8</c:v>
                </c:pt>
                <c:pt idx="5">
                  <c:v>0.72</c:v>
                </c:pt>
                <c:pt idx="6">
                  <c:v>0.36</c:v>
                </c:pt>
                <c:pt idx="7">
                  <c:v>0.68</c:v>
                </c:pt>
                <c:pt idx="8">
                  <c:v>0.84600000000000009</c:v>
                </c:pt>
              </c:numCache>
            </c:numRef>
          </c:val>
          <c:extLst>
            <c:ext xmlns:c16="http://schemas.microsoft.com/office/drawing/2014/chart" uri="{C3380CC4-5D6E-409C-BE32-E72D297353CC}">
              <c16:uniqueId val="{00000000-2BF8-4424-82F6-4798C1D37736}"/>
            </c:ext>
          </c:extLst>
        </c:ser>
        <c:dLbls>
          <c:dLblPos val="inEnd"/>
          <c:showLegendKey val="0"/>
          <c:showVal val="1"/>
          <c:showCatName val="0"/>
          <c:showSerName val="0"/>
          <c:showPercent val="0"/>
          <c:showBubbleSize val="0"/>
        </c:dLbls>
        <c:gapWidth val="65"/>
        <c:axId val="263911007"/>
        <c:axId val="251680527"/>
      </c:barChart>
      <c:catAx>
        <c:axId val="2639110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baseline="0">
                <a:solidFill>
                  <a:schemeClr val="dk1">
                    <a:lumMod val="75000"/>
                    <a:lumOff val="25000"/>
                  </a:schemeClr>
                </a:solidFill>
                <a:latin typeface="+mn-lt"/>
                <a:ea typeface="+mn-ea"/>
                <a:cs typeface="+mn-cs"/>
              </a:defRPr>
            </a:pPr>
            <a:endParaRPr lang="en-US"/>
          </a:p>
        </c:txPr>
        <c:crossAx val="251680527"/>
        <c:crosses val="autoZero"/>
        <c:auto val="1"/>
        <c:lblAlgn val="ctr"/>
        <c:lblOffset val="100"/>
        <c:noMultiLvlLbl val="0"/>
      </c:catAx>
      <c:valAx>
        <c:axId val="2516805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26391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11</xdr:col>
      <xdr:colOff>106680</xdr:colOff>
      <xdr:row>112</xdr:row>
      <xdr:rowOff>0</xdr:rowOff>
    </xdr:from>
    <xdr:ext cx="184731" cy="264560"/>
    <xdr:sp macro="" textlink="">
      <xdr:nvSpPr>
        <xdr:cNvPr id="6" name="TextBox 5">
          <a:extLst>
            <a:ext uri="{FF2B5EF4-FFF2-40B4-BE49-F238E27FC236}">
              <a16:creationId xmlns:a16="http://schemas.microsoft.com/office/drawing/2014/main" id="{73A6197B-04EC-4177-9CF2-F640343ADA47}"/>
            </a:ext>
          </a:extLst>
        </xdr:cNvPr>
        <xdr:cNvSpPr txBox="1"/>
      </xdr:nvSpPr>
      <xdr:spPr>
        <a:xfrm>
          <a:off x="7002780" y="139750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109</xdr:row>
      <xdr:rowOff>95250</xdr:rowOff>
    </xdr:from>
    <xdr:to>
      <xdr:col>12</xdr:col>
      <xdr:colOff>0</xdr:colOff>
      <xdr:row>112</xdr:row>
      <xdr:rowOff>0</xdr:rowOff>
    </xdr:to>
    <xdr:sp macro="" textlink="">
      <xdr:nvSpPr>
        <xdr:cNvPr id="11" name="TextBox 10">
          <a:extLst>
            <a:ext uri="{FF2B5EF4-FFF2-40B4-BE49-F238E27FC236}">
              <a16:creationId xmlns:a16="http://schemas.microsoft.com/office/drawing/2014/main" id="{BBBD7262-22D1-4548-966A-8F71F37DAA0F}"/>
            </a:ext>
          </a:extLst>
        </xdr:cNvPr>
        <xdr:cNvSpPr txBox="1"/>
      </xdr:nvSpPr>
      <xdr:spPr>
        <a:xfrm>
          <a:off x="76200" y="13249275"/>
          <a:ext cx="874395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482600</xdr:colOff>
      <xdr:row>109</xdr:row>
      <xdr:rowOff>53340</xdr:rowOff>
    </xdr:from>
    <xdr:to>
      <xdr:col>20</xdr:col>
      <xdr:colOff>20955</xdr:colOff>
      <xdr:row>111</xdr:row>
      <xdr:rowOff>137159</xdr:rowOff>
    </xdr:to>
    <xdr:pic>
      <xdr:nvPicPr>
        <xdr:cNvPr id="14" name="Picture 13">
          <a:extLst>
            <a:ext uri="{FF2B5EF4-FFF2-40B4-BE49-F238E27FC236}">
              <a16:creationId xmlns:a16="http://schemas.microsoft.com/office/drawing/2014/main" id="{2FEBAA6E-FD4F-4DB7-B5ED-A9CA289EB0EA}"/>
            </a:ext>
          </a:extLst>
        </xdr:cNvPr>
        <xdr:cNvPicPr>
          <a:picLocks noChangeAspect="1"/>
        </xdr:cNvPicPr>
      </xdr:nvPicPr>
      <xdr:blipFill>
        <a:blip xmlns:r="http://schemas.openxmlformats.org/officeDocument/2006/relationships" r:embed="rId1"/>
        <a:stretch>
          <a:fillRect/>
        </a:stretch>
      </xdr:blipFill>
      <xdr:spPr>
        <a:xfrm>
          <a:off x="15722600" y="21130260"/>
          <a:ext cx="2251075" cy="449579"/>
        </a:xfrm>
        <a:prstGeom prst="rect">
          <a:avLst/>
        </a:prstGeom>
        <a:noFill/>
        <a:ln>
          <a:noFill/>
        </a:ln>
      </xdr:spPr>
    </xdr:pic>
    <xdr:clientData/>
  </xdr:twoCellAnchor>
  <xdr:twoCellAnchor>
    <xdr:from>
      <xdr:col>18</xdr:col>
      <xdr:colOff>38100</xdr:colOff>
      <xdr:row>4</xdr:row>
      <xdr:rowOff>56171</xdr:rowOff>
    </xdr:from>
    <xdr:to>
      <xdr:col>19</xdr:col>
      <xdr:colOff>2682240</xdr:colOff>
      <xdr:row>6</xdr:row>
      <xdr:rowOff>248630</xdr:rowOff>
    </xdr:to>
    <xdr:pic>
      <xdr:nvPicPr>
        <xdr:cNvPr id="19" name="Picture 18">
          <a:extLst>
            <a:ext uri="{FF2B5EF4-FFF2-40B4-BE49-F238E27FC236}">
              <a16:creationId xmlns:a16="http://schemas.microsoft.com/office/drawing/2014/main" id="{C55AAFA7-D4E5-6751-D6B6-4A49E02C3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609320" y="1252511"/>
          <a:ext cx="3909060" cy="649659"/>
        </a:xfrm>
        <a:prstGeom prst="rect">
          <a:avLst/>
        </a:prstGeom>
      </xdr:spPr>
    </xdr:pic>
    <xdr:clientData/>
  </xdr:twoCellAnchor>
  <xdr:twoCellAnchor>
    <xdr:from>
      <xdr:col>15</xdr:col>
      <xdr:colOff>213363</xdr:colOff>
      <xdr:row>6</xdr:row>
      <xdr:rowOff>22861</xdr:rowOff>
    </xdr:from>
    <xdr:to>
      <xdr:col>17</xdr:col>
      <xdr:colOff>487684</xdr:colOff>
      <xdr:row>6</xdr:row>
      <xdr:rowOff>274321</xdr:rowOff>
    </xdr:to>
    <xdr:grpSp>
      <xdr:nvGrpSpPr>
        <xdr:cNvPr id="2" name="Group 1">
          <a:extLst>
            <a:ext uri="{FF2B5EF4-FFF2-40B4-BE49-F238E27FC236}">
              <a16:creationId xmlns:a16="http://schemas.microsoft.com/office/drawing/2014/main" id="{25076757-E0D9-88A6-63C8-4CE222B67F53}"/>
            </a:ext>
          </a:extLst>
        </xdr:cNvPr>
        <xdr:cNvGrpSpPr/>
      </xdr:nvGrpSpPr>
      <xdr:grpSpPr>
        <a:xfrm>
          <a:off x="11905301" y="1665924"/>
          <a:ext cx="1750696" cy="251460"/>
          <a:chOff x="12993756" y="1310641"/>
          <a:chExt cx="1680215" cy="251460"/>
        </a:xfrm>
      </xdr:grpSpPr>
      <xdr:sp macro="" textlink="">
        <xdr:nvSpPr>
          <xdr:cNvPr id="20" name="Rectangle 19">
            <a:extLst>
              <a:ext uri="{FF2B5EF4-FFF2-40B4-BE49-F238E27FC236}">
                <a16:creationId xmlns:a16="http://schemas.microsoft.com/office/drawing/2014/main" id="{1C8F152B-2CE4-8D21-AF37-8CDD1637E88D}"/>
              </a:ext>
            </a:extLst>
          </xdr:cNvPr>
          <xdr:cNvSpPr/>
        </xdr:nvSpPr>
        <xdr:spPr>
          <a:xfrm>
            <a:off x="12993756" y="1394460"/>
            <a:ext cx="416641" cy="137159"/>
          </a:xfrm>
          <a:prstGeom prst="rect">
            <a:avLst/>
          </a:prstGeom>
          <a:solidFill>
            <a:srgbClr val="FD9F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1" name="TextBox 20">
            <a:extLst>
              <a:ext uri="{FF2B5EF4-FFF2-40B4-BE49-F238E27FC236}">
                <a16:creationId xmlns:a16="http://schemas.microsoft.com/office/drawing/2014/main" id="{601EAC87-FE9A-0979-1CE7-C4BBFDD7A7F7}"/>
              </a:ext>
            </a:extLst>
          </xdr:cNvPr>
          <xdr:cNvSpPr txBox="1"/>
        </xdr:nvSpPr>
        <xdr:spPr>
          <a:xfrm>
            <a:off x="13441682" y="1310641"/>
            <a:ext cx="1232289" cy="2514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Below 75%</a:t>
            </a:r>
          </a:p>
        </xdr:txBody>
      </xdr:sp>
    </xdr:grpSp>
    <xdr:clientData/>
  </xdr:twoCellAnchor>
  <xdr:twoCellAnchor editAs="oneCell">
    <xdr:from>
      <xdr:col>0</xdr:col>
      <xdr:colOff>85725</xdr:colOff>
      <xdr:row>0</xdr:row>
      <xdr:rowOff>38100</xdr:rowOff>
    </xdr:from>
    <xdr:to>
      <xdr:col>6</xdr:col>
      <xdr:colOff>116641</xdr:colOff>
      <xdr:row>2</xdr:row>
      <xdr:rowOff>307916</xdr:rowOff>
    </xdr:to>
    <xdr:pic>
      <xdr:nvPicPr>
        <xdr:cNvPr id="3" name="Picture 2">
          <a:extLst>
            <a:ext uri="{FF2B5EF4-FFF2-40B4-BE49-F238E27FC236}">
              <a16:creationId xmlns:a16="http://schemas.microsoft.com/office/drawing/2014/main" id="{7B31B496-B5C5-C44B-04DF-F6E2D5E393E8}"/>
            </a:ext>
          </a:extLst>
        </xdr:cNvPr>
        <xdr:cNvPicPr>
          <a:picLocks noChangeAspect="1"/>
        </xdr:cNvPicPr>
      </xdr:nvPicPr>
      <xdr:blipFill>
        <a:blip xmlns:r="http://schemas.openxmlformats.org/officeDocument/2006/relationships" r:embed="rId3"/>
        <a:stretch>
          <a:fillRect/>
        </a:stretch>
      </xdr:blipFill>
      <xdr:spPr>
        <a:xfrm>
          <a:off x="85725" y="38100"/>
          <a:ext cx="5031541" cy="784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41</xdr:row>
      <xdr:rowOff>7620</xdr:rowOff>
    </xdr:from>
    <xdr:to>
      <xdr:col>8</xdr:col>
      <xdr:colOff>304800</xdr:colOff>
      <xdr:row>44</xdr:row>
      <xdr:rowOff>167640</xdr:rowOff>
    </xdr:to>
    <xdr:sp macro="" textlink="">
      <xdr:nvSpPr>
        <xdr:cNvPr id="11" name="TextBox 10">
          <a:extLst>
            <a:ext uri="{FF2B5EF4-FFF2-40B4-BE49-F238E27FC236}">
              <a16:creationId xmlns:a16="http://schemas.microsoft.com/office/drawing/2014/main" id="{917380CD-9643-4E21-9ADB-33B7D02CA7F7}"/>
            </a:ext>
          </a:extLst>
        </xdr:cNvPr>
        <xdr:cNvSpPr txBox="1"/>
      </xdr:nvSpPr>
      <xdr:spPr>
        <a:xfrm>
          <a:off x="22860" y="8290560"/>
          <a:ext cx="6576060" cy="708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11</xdr:col>
      <xdr:colOff>96851</xdr:colOff>
      <xdr:row>0</xdr:row>
      <xdr:rowOff>0</xdr:rowOff>
    </xdr:from>
    <xdr:to>
      <xdr:col>23</xdr:col>
      <xdr:colOff>98742</xdr:colOff>
      <xdr:row>6</xdr:row>
      <xdr:rowOff>132888</xdr:rowOff>
    </xdr:to>
    <xdr:pic>
      <xdr:nvPicPr>
        <xdr:cNvPr id="9" name="Picture 8">
          <a:extLst>
            <a:ext uri="{FF2B5EF4-FFF2-40B4-BE49-F238E27FC236}">
              <a16:creationId xmlns:a16="http://schemas.microsoft.com/office/drawing/2014/main" id="{57D943F7-36C5-D5DD-2879-36E05BE8B5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 xmlns:asvg="http://schemas.microsoft.com/office/drawing/2016/SVG/main" r:embed="rId2"/>
            </a:ext>
          </a:extLst>
        </a:blip>
        <a:srcRect/>
        <a:stretch/>
      </xdr:blipFill>
      <xdr:spPr>
        <a:xfrm>
          <a:off x="8967609" y="0"/>
          <a:ext cx="5226209" cy="644621"/>
        </a:xfrm>
        <a:prstGeom prst="rect">
          <a:avLst/>
        </a:prstGeom>
      </xdr:spPr>
    </xdr:pic>
    <xdr:clientData/>
  </xdr:twoCellAnchor>
  <xdr:oneCellAnchor>
    <xdr:from>
      <xdr:col>17</xdr:col>
      <xdr:colOff>486090</xdr:colOff>
      <xdr:row>41</xdr:row>
      <xdr:rowOff>5691</xdr:rowOff>
    </xdr:from>
    <xdr:ext cx="2249170" cy="556186"/>
    <xdr:pic>
      <xdr:nvPicPr>
        <xdr:cNvPr id="13" name="Picture 12">
          <a:extLst>
            <a:ext uri="{FF2B5EF4-FFF2-40B4-BE49-F238E27FC236}">
              <a16:creationId xmlns:a16="http://schemas.microsoft.com/office/drawing/2014/main" id="{5076C941-205A-4CDC-BC1D-D1EBAB0BA5DC}"/>
            </a:ext>
          </a:extLst>
        </xdr:cNvPr>
        <xdr:cNvPicPr>
          <a:picLocks noChangeAspect="1"/>
        </xdr:cNvPicPr>
      </xdr:nvPicPr>
      <xdr:blipFill>
        <a:blip xmlns:r="http://schemas.openxmlformats.org/officeDocument/2006/relationships" r:embed="rId3"/>
        <a:stretch>
          <a:fillRect/>
        </a:stretch>
      </xdr:blipFill>
      <xdr:spPr>
        <a:xfrm>
          <a:off x="14271363" y="7748843"/>
          <a:ext cx="2249170" cy="556186"/>
        </a:xfrm>
        <a:prstGeom prst="rect">
          <a:avLst/>
        </a:prstGeom>
      </xdr:spPr>
    </xdr:pic>
    <xdr:clientData/>
  </xdr:oneCellAnchor>
  <xdr:twoCellAnchor>
    <xdr:from>
      <xdr:col>0</xdr:col>
      <xdr:colOff>121920</xdr:colOff>
      <xdr:row>22</xdr:row>
      <xdr:rowOff>156210</xdr:rowOff>
    </xdr:from>
    <xdr:to>
      <xdr:col>2</xdr:col>
      <xdr:colOff>266700</xdr:colOff>
      <xdr:row>35</xdr:row>
      <xdr:rowOff>129540</xdr:rowOff>
    </xdr:to>
    <xdr:graphicFrame macro="">
      <xdr:nvGraphicFramePr>
        <xdr:cNvPr id="2" name="Chart 1">
          <a:extLst>
            <a:ext uri="{FF2B5EF4-FFF2-40B4-BE49-F238E27FC236}">
              <a16:creationId xmlns:a16="http://schemas.microsoft.com/office/drawing/2014/main" id="{F4BED9B9-957F-B203-6132-6F7E1362A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575374</xdr:colOff>
      <xdr:row>22</xdr:row>
      <xdr:rowOff>169770</xdr:rowOff>
    </xdr:from>
    <xdr:to>
      <xdr:col>9</xdr:col>
      <xdr:colOff>232475</xdr:colOff>
      <xdr:row>36</xdr:row>
      <xdr:rowOff>386</xdr:rowOff>
    </xdr:to>
    <xdr:graphicFrame macro="">
      <xdr:nvGraphicFramePr>
        <xdr:cNvPr id="4" name="Chart 3">
          <a:extLst>
            <a:ext uri="{FF2B5EF4-FFF2-40B4-BE49-F238E27FC236}">
              <a16:creationId xmlns:a16="http://schemas.microsoft.com/office/drawing/2014/main" id="{800DD140-4070-C898-EAA1-43F66CF77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454235</xdr:colOff>
      <xdr:row>22</xdr:row>
      <xdr:rowOff>170079</xdr:rowOff>
    </xdr:from>
    <xdr:to>
      <xdr:col>24</xdr:col>
      <xdr:colOff>374806</xdr:colOff>
      <xdr:row>36</xdr:row>
      <xdr:rowOff>19642</xdr:rowOff>
    </xdr:to>
    <xdr:graphicFrame macro="">
      <xdr:nvGraphicFramePr>
        <xdr:cNvPr id="6" name="Chart 5">
          <a:extLst>
            <a:ext uri="{FF2B5EF4-FFF2-40B4-BE49-F238E27FC236}">
              <a16:creationId xmlns:a16="http://schemas.microsoft.com/office/drawing/2014/main" id="{639115DA-CC96-2808-AEEC-48992B8A2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G198"/>
  <sheetViews>
    <sheetView tabSelected="1" zoomScale="80" zoomScaleNormal="80" workbookViewId="0">
      <pane xSplit="3" ySplit="8" topLeftCell="D9" activePane="bottomRight" state="frozen"/>
      <selection pane="topRight" activeCell="D1" sqref="D1"/>
      <selection pane="bottomLeft" activeCell="A9" sqref="A9"/>
      <selection pane="bottomRight" activeCell="F25" sqref="F25"/>
    </sheetView>
  </sheetViews>
  <sheetFormatPr defaultColWidth="0" defaultRowHeight="14.5" zeroHeight="1" x14ac:dyDescent="0.35"/>
  <cols>
    <col min="1" max="1" width="4.81640625" customWidth="1"/>
    <col min="2" max="2" width="15.453125" style="1" customWidth="1"/>
    <col min="3" max="3" width="26.36328125" customWidth="1"/>
    <col min="4" max="4" width="8.08984375" style="1" customWidth="1"/>
    <col min="5" max="5" width="9" style="1" customWidth="1"/>
    <col min="6" max="6" width="9.36328125" style="1" customWidth="1"/>
    <col min="7" max="7" width="7.6328125" style="1" customWidth="1"/>
    <col min="8" max="8" width="18.36328125" style="4" customWidth="1"/>
    <col min="9" max="9" width="10.08984375" style="1" customWidth="1"/>
    <col min="10" max="10" width="10.453125" style="1" customWidth="1"/>
    <col min="11" max="11" width="9.1796875" style="1" customWidth="1"/>
    <col min="12" max="12" width="10" style="1" customWidth="1"/>
    <col min="13" max="13" width="8.54296875" style="1" customWidth="1"/>
    <col min="14" max="14" width="10.81640625" style="1" customWidth="1"/>
    <col min="15" max="15" width="9.36328125" style="1" customWidth="1"/>
    <col min="16" max="16" width="11.81640625" style="1" customWidth="1"/>
    <col min="17" max="18" width="9.36328125" style="2" customWidth="1"/>
    <col min="19" max="19" width="24.36328125" style="1" customWidth="1"/>
    <col min="20" max="20" width="39.54296875" style="1" customWidth="1"/>
    <col min="21" max="21" width="5.08984375" customWidth="1"/>
    <col min="22" max="22" width="10.6328125" customWidth="1"/>
    <col min="23" max="24" width="10.6328125" hidden="1" customWidth="1"/>
    <col min="25" max="32" width="0" hidden="1" customWidth="1"/>
    <col min="33" max="33" width="10.6328125" customWidth="1"/>
    <col min="34" max="16384" width="10.6328125" hidden="1"/>
  </cols>
  <sheetData>
    <row r="1" spans="1:32" ht="22.25" customHeight="1" x14ac:dyDescent="0.35">
      <c r="T1" s="133" t="s">
        <v>126</v>
      </c>
    </row>
    <row r="2" spans="1:32" ht="18" customHeight="1" x14ac:dyDescent="0.35"/>
    <row r="3" spans="1:32" ht="27" customHeight="1" thickBot="1" x14ac:dyDescent="0.4"/>
    <row r="4" spans="1:32" ht="27" customHeight="1" thickBot="1" x14ac:dyDescent="0.4">
      <c r="A4" s="149" t="s">
        <v>109</v>
      </c>
      <c r="B4" s="150"/>
      <c r="C4" s="132"/>
    </row>
    <row r="5" spans="1:32" s="47" customFormat="1" ht="18.649999999999999" customHeight="1" thickBot="1" x14ac:dyDescent="0.4">
      <c r="A5" s="154" t="s">
        <v>24</v>
      </c>
      <c r="B5" s="155"/>
      <c r="C5" s="46" t="s">
        <v>40</v>
      </c>
      <c r="D5" s="174" t="s">
        <v>94</v>
      </c>
      <c r="E5" s="175"/>
      <c r="F5" s="175"/>
      <c r="G5" s="175"/>
      <c r="H5" s="175"/>
      <c r="I5" s="175"/>
      <c r="J5" s="175"/>
      <c r="K5" s="175"/>
      <c r="L5" s="175"/>
      <c r="M5" s="175"/>
      <c r="N5" s="175"/>
      <c r="O5" s="175"/>
      <c r="P5" s="175"/>
      <c r="Q5" s="175"/>
      <c r="R5" s="176"/>
      <c r="S5" s="118"/>
      <c r="T5" s="119"/>
    </row>
    <row r="6" spans="1:32" s="47" customFormat="1" ht="17.399999999999999" customHeight="1" thickBot="1" x14ac:dyDescent="0.4">
      <c r="A6" s="156" t="s">
        <v>1</v>
      </c>
      <c r="B6" s="157"/>
      <c r="C6" s="48">
        <v>117443</v>
      </c>
      <c r="D6" s="160" t="s">
        <v>76</v>
      </c>
      <c r="E6" s="161"/>
      <c r="F6" s="165" t="s">
        <v>127</v>
      </c>
      <c r="G6" s="165"/>
      <c r="H6" s="165"/>
      <c r="I6" s="160" t="s">
        <v>70</v>
      </c>
      <c r="J6" s="164"/>
      <c r="K6" s="169"/>
      <c r="L6" s="170"/>
      <c r="M6" s="173" t="s">
        <v>96</v>
      </c>
      <c r="N6" s="173"/>
      <c r="O6" s="124">
        <v>10</v>
      </c>
      <c r="P6" s="152" t="s">
        <v>75</v>
      </c>
      <c r="Q6" s="153"/>
      <c r="R6" s="125">
        <f>COUNTA(D10:D109)</f>
        <v>25</v>
      </c>
      <c r="S6" s="120"/>
      <c r="T6" s="121"/>
    </row>
    <row r="7" spans="1:32" s="47" customFormat="1" ht="23.4" customHeight="1" thickBot="1" x14ac:dyDescent="0.4">
      <c r="A7" s="158" t="s">
        <v>0</v>
      </c>
      <c r="B7" s="159"/>
      <c r="C7" s="49" t="s">
        <v>95</v>
      </c>
      <c r="D7" s="162" t="s">
        <v>74</v>
      </c>
      <c r="E7" s="163"/>
      <c r="F7" s="171" t="s">
        <v>148</v>
      </c>
      <c r="G7" s="172"/>
      <c r="H7" s="172"/>
      <c r="I7" s="166" t="s">
        <v>13</v>
      </c>
      <c r="J7" s="167"/>
      <c r="K7" s="168">
        <v>1</v>
      </c>
      <c r="L7" s="168"/>
      <c r="M7" s="151" t="s">
        <v>97</v>
      </c>
      <c r="N7" s="151"/>
      <c r="O7" s="82">
        <v>15</v>
      </c>
      <c r="P7" s="166"/>
      <c r="Q7" s="167"/>
      <c r="R7" s="177"/>
      <c r="S7" s="122"/>
      <c r="T7" s="123"/>
    </row>
    <row r="8" spans="1:32" ht="51" customHeight="1" thickBot="1" x14ac:dyDescent="0.4">
      <c r="A8" s="11" t="s">
        <v>3</v>
      </c>
      <c r="B8" s="12" t="s">
        <v>23</v>
      </c>
      <c r="C8" s="13" t="s">
        <v>4</v>
      </c>
      <c r="D8" s="14" t="s">
        <v>19</v>
      </c>
      <c r="E8" s="14" t="s">
        <v>71</v>
      </c>
      <c r="F8" s="15" t="s">
        <v>5</v>
      </c>
      <c r="G8" s="15" t="s">
        <v>72</v>
      </c>
      <c r="H8" s="15" t="s">
        <v>73</v>
      </c>
      <c r="I8" s="17" t="s">
        <v>110</v>
      </c>
      <c r="J8" s="17" t="s">
        <v>111</v>
      </c>
      <c r="K8" s="17" t="s">
        <v>112</v>
      </c>
      <c r="L8" s="17" t="s">
        <v>113</v>
      </c>
      <c r="M8" s="17" t="s">
        <v>114</v>
      </c>
      <c r="N8" s="17" t="s">
        <v>115</v>
      </c>
      <c r="O8" s="17" t="s">
        <v>116</v>
      </c>
      <c r="P8" s="17" t="s">
        <v>117</v>
      </c>
      <c r="Q8" s="80" t="s">
        <v>118</v>
      </c>
      <c r="R8" s="16" t="s">
        <v>78</v>
      </c>
      <c r="S8" s="18" t="s">
        <v>79</v>
      </c>
      <c r="T8" s="19" t="s">
        <v>2</v>
      </c>
      <c r="Y8" s="17" t="s">
        <v>110</v>
      </c>
      <c r="Z8" s="17" t="s">
        <v>111</v>
      </c>
      <c r="AA8" s="17" t="s">
        <v>112</v>
      </c>
      <c r="AB8" s="17" t="s">
        <v>113</v>
      </c>
      <c r="AC8" s="17" t="s">
        <v>114</v>
      </c>
      <c r="AD8" s="17" t="s">
        <v>115</v>
      </c>
      <c r="AE8" s="17" t="s">
        <v>116</v>
      </c>
      <c r="AF8" s="17" t="s">
        <v>117</v>
      </c>
    </row>
    <row r="9" spans="1:32" ht="14.4" hidden="1" customHeight="1" x14ac:dyDescent="0.35">
      <c r="A9" s="127"/>
      <c r="B9" s="128"/>
      <c r="C9" s="129"/>
      <c r="D9" s="129"/>
      <c r="E9" s="129"/>
      <c r="F9" s="130"/>
      <c r="G9" s="130"/>
      <c r="H9" s="131"/>
      <c r="I9" s="130">
        <v>2</v>
      </c>
      <c r="J9" s="130">
        <v>1</v>
      </c>
      <c r="K9" s="130">
        <v>2</v>
      </c>
      <c r="L9" s="130">
        <v>3</v>
      </c>
      <c r="M9" s="130">
        <v>3</v>
      </c>
      <c r="N9" s="130">
        <v>2</v>
      </c>
      <c r="O9" s="130">
        <v>3</v>
      </c>
      <c r="P9" s="130">
        <v>4</v>
      </c>
      <c r="Q9" s="130">
        <f>SUM(I9:P9)</f>
        <v>20</v>
      </c>
      <c r="R9" s="130"/>
      <c r="S9" s="9"/>
      <c r="T9" s="10"/>
    </row>
    <row r="10" spans="1:32" x14ac:dyDescent="0.35">
      <c r="A10" s="20">
        <v>1</v>
      </c>
      <c r="B10" s="61">
        <v>117443220001</v>
      </c>
      <c r="C10" s="23" t="s">
        <v>149</v>
      </c>
      <c r="D10" s="24" t="s">
        <v>80</v>
      </c>
      <c r="E10" s="114" t="s">
        <v>128</v>
      </c>
      <c r="F10" s="114">
        <v>45719</v>
      </c>
      <c r="G10" s="32" t="e">
        <f>IF(C10&lt;&gt;"",(F10-E10)/365,"")</f>
        <v>#VALUE!</v>
      </c>
      <c r="H10" s="126" t="s">
        <v>7</v>
      </c>
      <c r="I10" s="24">
        <v>2</v>
      </c>
      <c r="J10" s="24">
        <v>1</v>
      </c>
      <c r="K10" s="24">
        <v>2</v>
      </c>
      <c r="L10" s="24">
        <v>3</v>
      </c>
      <c r="M10" s="24">
        <v>3</v>
      </c>
      <c r="N10" s="24">
        <v>2</v>
      </c>
      <c r="O10" s="24">
        <v>1</v>
      </c>
      <c r="P10" s="24">
        <v>3</v>
      </c>
      <c r="Q10" s="35">
        <f t="shared" ref="Q10:Q41" si="0">IF(C10&lt;&gt;"",SUM(I10:P10),"")</f>
        <v>17</v>
      </c>
      <c r="R10" s="36">
        <f t="shared" ref="R10:R41" si="1">IF(AND(Q10&gt;0,C10&lt;&gt;""),Q10/Q$9,"")</f>
        <v>0.85</v>
      </c>
      <c r="S10" s="37" t="str">
        <f>IF(R10&lt;&gt;"",IF($R10&lt;25%,"Emerging (Not Proficient)", IF(AND($R10 &gt;=25%, $R10 &lt;50%), "Emerging (Low Proficient)", IF(AND($R10 &gt;=50%, $R10 &lt;75%),"Developing (Nearly Proficient)",IF(AND($R10 &gt;=75%, $R10 &lt;85%),"Transitioning (Proficient)","At Grade Level (Highly Proficient)")))),"")</f>
        <v>At Grade Level (Highly Proficient)</v>
      </c>
      <c r="T10" s="26"/>
      <c r="U10" t="s">
        <v>6</v>
      </c>
      <c r="Y10">
        <f t="shared" ref="Y10:AF10" si="2">IF(I10/I$9&gt;=75%,1,0)</f>
        <v>1</v>
      </c>
      <c r="Z10">
        <f t="shared" si="2"/>
        <v>1</v>
      </c>
      <c r="AA10">
        <f t="shared" si="2"/>
        <v>1</v>
      </c>
      <c r="AB10">
        <f t="shared" si="2"/>
        <v>1</v>
      </c>
      <c r="AC10">
        <f t="shared" si="2"/>
        <v>1</v>
      </c>
      <c r="AD10">
        <f t="shared" si="2"/>
        <v>1</v>
      </c>
      <c r="AE10">
        <f t="shared" si="2"/>
        <v>0</v>
      </c>
      <c r="AF10">
        <f t="shared" si="2"/>
        <v>1</v>
      </c>
    </row>
    <row r="11" spans="1:32" x14ac:dyDescent="0.35">
      <c r="A11" s="21">
        <v>2</v>
      </c>
      <c r="B11" s="62">
        <v>117443220002</v>
      </c>
      <c r="C11" s="27" t="s">
        <v>150</v>
      </c>
      <c r="D11" s="25" t="s">
        <v>80</v>
      </c>
      <c r="E11" s="115" t="s">
        <v>129</v>
      </c>
      <c r="F11" s="115">
        <v>45719</v>
      </c>
      <c r="G11" s="33" t="e">
        <f t="shared" ref="G11:G74" si="3">IF(C11&lt;&gt;"",(F11-E11)/365,"")</f>
        <v>#VALUE!</v>
      </c>
      <c r="H11" s="59" t="s">
        <v>7</v>
      </c>
      <c r="I11" s="25">
        <v>2</v>
      </c>
      <c r="J11" s="25">
        <v>1</v>
      </c>
      <c r="K11" s="25">
        <v>2</v>
      </c>
      <c r="L11" s="25">
        <v>2</v>
      </c>
      <c r="M11" s="25">
        <v>3</v>
      </c>
      <c r="N11" s="25">
        <v>2</v>
      </c>
      <c r="O11" s="25">
        <v>1</v>
      </c>
      <c r="P11" s="25">
        <v>3</v>
      </c>
      <c r="Q11" s="38">
        <f t="shared" si="0"/>
        <v>16</v>
      </c>
      <c r="R11" s="39">
        <f t="shared" si="1"/>
        <v>0.8</v>
      </c>
      <c r="S11" s="40" t="str">
        <f t="shared" ref="S11:S74" si="4">IF(R11&lt;&gt;"",IF($R11&lt;25%,"Emerging (Not Proficient)", IF(AND($R11 &gt;=25%, $R11 &lt;50%), "Emerging (Low Proficient)", IF(AND($R11 &gt;=50%, $R11 &lt;75%),"Developing (Nearly Proficient)",IF(AND($R11 &gt;=75%, $R11 &lt;85%),"Transitioning (Proficient)","At Grade Level (Highly Proficient)")))),"")</f>
        <v>Transitioning (Proficient)</v>
      </c>
      <c r="T11" s="28"/>
      <c r="Y11">
        <f t="shared" ref="Y11:Y74" si="5">IF(I11/I$9&gt;=75%,1,0)</f>
        <v>1</v>
      </c>
      <c r="Z11">
        <f t="shared" ref="Z11:Z74" si="6">IF(J11/J$9&gt;=75%,1,0)</f>
        <v>1</v>
      </c>
      <c r="AA11">
        <f t="shared" ref="AA11:AA74" si="7">IF(K11/K$9&gt;=75%,1,0)</f>
        <v>1</v>
      </c>
      <c r="AB11">
        <f t="shared" ref="AB11:AB74" si="8">IF(L11/L$9&gt;=75%,1,0)</f>
        <v>0</v>
      </c>
      <c r="AC11">
        <f t="shared" ref="AC11:AC74" si="9">IF(M11/M$9&gt;=75%,1,0)</f>
        <v>1</v>
      </c>
      <c r="AD11">
        <f t="shared" ref="AD11:AD74" si="10">IF(N11/N$9&gt;=75%,1,0)</f>
        <v>1</v>
      </c>
      <c r="AE11">
        <f t="shared" ref="AE11:AE74" si="11">IF(O11/O$9&gt;=75%,1,0)</f>
        <v>0</v>
      </c>
      <c r="AF11">
        <f t="shared" ref="AF11:AF74" si="12">IF(P11/P$9&gt;=75%,1,0)</f>
        <v>1</v>
      </c>
    </row>
    <row r="12" spans="1:32" x14ac:dyDescent="0.35">
      <c r="A12" s="21">
        <v>3</v>
      </c>
      <c r="B12" s="62">
        <v>117443220017</v>
      </c>
      <c r="C12" s="27" t="s">
        <v>151</v>
      </c>
      <c r="D12" s="25" t="s">
        <v>80</v>
      </c>
      <c r="E12" s="115">
        <v>42488</v>
      </c>
      <c r="F12" s="115">
        <v>45719</v>
      </c>
      <c r="G12" s="33">
        <f t="shared" si="3"/>
        <v>8.8520547945205479</v>
      </c>
      <c r="H12" s="59" t="s">
        <v>7</v>
      </c>
      <c r="I12" s="25">
        <v>2</v>
      </c>
      <c r="J12" s="25">
        <v>1</v>
      </c>
      <c r="K12" s="25">
        <v>2</v>
      </c>
      <c r="L12" s="25">
        <v>3</v>
      </c>
      <c r="M12" s="25">
        <v>3</v>
      </c>
      <c r="N12" s="25">
        <v>2</v>
      </c>
      <c r="O12" s="25">
        <v>3</v>
      </c>
      <c r="P12" s="25">
        <v>3</v>
      </c>
      <c r="Q12" s="38">
        <f t="shared" si="0"/>
        <v>19</v>
      </c>
      <c r="R12" s="39">
        <f t="shared" si="1"/>
        <v>0.95</v>
      </c>
      <c r="S12" s="40" t="str">
        <f t="shared" si="4"/>
        <v>At Grade Level (Highly Proficient)</v>
      </c>
      <c r="T12" s="28"/>
      <c r="Y12">
        <f t="shared" si="5"/>
        <v>1</v>
      </c>
      <c r="Z12">
        <f t="shared" si="6"/>
        <v>1</v>
      </c>
      <c r="AA12">
        <f t="shared" si="7"/>
        <v>1</v>
      </c>
      <c r="AB12">
        <f t="shared" si="8"/>
        <v>1</v>
      </c>
      <c r="AC12">
        <f t="shared" si="9"/>
        <v>1</v>
      </c>
      <c r="AD12">
        <f t="shared" si="10"/>
        <v>1</v>
      </c>
      <c r="AE12">
        <f t="shared" si="11"/>
        <v>1</v>
      </c>
      <c r="AF12">
        <f t="shared" si="12"/>
        <v>1</v>
      </c>
    </row>
    <row r="13" spans="1:32" x14ac:dyDescent="0.35">
      <c r="A13" s="21">
        <v>4</v>
      </c>
      <c r="B13" s="62">
        <v>117443220006</v>
      </c>
      <c r="C13" s="27" t="s">
        <v>152</v>
      </c>
      <c r="D13" s="25" t="s">
        <v>80</v>
      </c>
      <c r="E13" s="115" t="s">
        <v>130</v>
      </c>
      <c r="F13" s="115">
        <v>45719</v>
      </c>
      <c r="G13" s="33" t="e">
        <f t="shared" si="3"/>
        <v>#VALUE!</v>
      </c>
      <c r="H13" s="59" t="s">
        <v>7</v>
      </c>
      <c r="I13" s="25">
        <v>2</v>
      </c>
      <c r="J13" s="25">
        <v>1</v>
      </c>
      <c r="K13" s="25">
        <v>2</v>
      </c>
      <c r="L13" s="25">
        <v>3</v>
      </c>
      <c r="M13" s="25">
        <v>3</v>
      </c>
      <c r="N13" s="25">
        <v>2</v>
      </c>
      <c r="O13" s="25">
        <v>3</v>
      </c>
      <c r="P13" s="25">
        <v>3</v>
      </c>
      <c r="Q13" s="38">
        <f t="shared" si="0"/>
        <v>19</v>
      </c>
      <c r="R13" s="39">
        <f t="shared" si="1"/>
        <v>0.95</v>
      </c>
      <c r="S13" s="40" t="str">
        <f t="shared" si="4"/>
        <v>At Grade Level (Highly Proficient)</v>
      </c>
      <c r="T13" s="28"/>
      <c r="Y13">
        <f t="shared" si="5"/>
        <v>1</v>
      </c>
      <c r="Z13">
        <f t="shared" si="6"/>
        <v>1</v>
      </c>
      <c r="AA13">
        <f t="shared" si="7"/>
        <v>1</v>
      </c>
      <c r="AB13">
        <f t="shared" si="8"/>
        <v>1</v>
      </c>
      <c r="AC13">
        <f t="shared" si="9"/>
        <v>1</v>
      </c>
      <c r="AD13">
        <f t="shared" si="10"/>
        <v>1</v>
      </c>
      <c r="AE13">
        <f t="shared" si="11"/>
        <v>1</v>
      </c>
      <c r="AF13">
        <f t="shared" si="12"/>
        <v>1</v>
      </c>
    </row>
    <row r="14" spans="1:32" x14ac:dyDescent="0.35">
      <c r="A14" s="21">
        <v>5</v>
      </c>
      <c r="B14" s="62">
        <v>117443220018</v>
      </c>
      <c r="C14" s="27" t="s">
        <v>153</v>
      </c>
      <c r="D14" s="25" t="s">
        <v>80</v>
      </c>
      <c r="E14" s="115" t="s">
        <v>131</v>
      </c>
      <c r="F14" s="115">
        <v>45719</v>
      </c>
      <c r="G14" s="33" t="e">
        <f t="shared" si="3"/>
        <v>#VALUE!</v>
      </c>
      <c r="H14" s="59" t="s">
        <v>7</v>
      </c>
      <c r="I14" s="25">
        <v>2</v>
      </c>
      <c r="J14" s="25">
        <v>1</v>
      </c>
      <c r="K14" s="25">
        <v>2</v>
      </c>
      <c r="L14" s="25">
        <v>2</v>
      </c>
      <c r="M14" s="25">
        <v>2</v>
      </c>
      <c r="N14" s="25">
        <v>1</v>
      </c>
      <c r="O14" s="25">
        <v>2</v>
      </c>
      <c r="P14" s="25">
        <v>3</v>
      </c>
      <c r="Q14" s="38">
        <f t="shared" si="0"/>
        <v>15</v>
      </c>
      <c r="R14" s="39">
        <f t="shared" si="1"/>
        <v>0.75</v>
      </c>
      <c r="S14" s="40" t="str">
        <f t="shared" si="4"/>
        <v>Transitioning (Proficient)</v>
      </c>
      <c r="T14" s="28"/>
      <c r="Y14">
        <f t="shared" si="5"/>
        <v>1</v>
      </c>
      <c r="Z14">
        <f t="shared" si="6"/>
        <v>1</v>
      </c>
      <c r="AA14">
        <f t="shared" si="7"/>
        <v>1</v>
      </c>
      <c r="AB14">
        <f t="shared" si="8"/>
        <v>0</v>
      </c>
      <c r="AC14">
        <f t="shared" si="9"/>
        <v>0</v>
      </c>
      <c r="AD14">
        <f t="shared" si="10"/>
        <v>0</v>
      </c>
      <c r="AE14">
        <f t="shared" si="11"/>
        <v>0</v>
      </c>
      <c r="AF14">
        <f t="shared" si="12"/>
        <v>1</v>
      </c>
    </row>
    <row r="15" spans="1:32" x14ac:dyDescent="0.35">
      <c r="A15" s="21">
        <v>6</v>
      </c>
      <c r="B15" s="62">
        <v>117542220012</v>
      </c>
      <c r="C15" s="27" t="s">
        <v>154</v>
      </c>
      <c r="D15" s="25" t="s">
        <v>80</v>
      </c>
      <c r="E15" s="115" t="s">
        <v>132</v>
      </c>
      <c r="F15" s="115">
        <v>45720</v>
      </c>
      <c r="G15" s="33">
        <f t="shared" si="3"/>
        <v>9.7369863013698623</v>
      </c>
      <c r="H15" s="59" t="s">
        <v>7</v>
      </c>
      <c r="I15" s="25">
        <v>2</v>
      </c>
      <c r="J15" s="25">
        <v>1</v>
      </c>
      <c r="K15" s="25">
        <v>2</v>
      </c>
      <c r="L15" s="25">
        <v>3</v>
      </c>
      <c r="M15" s="25">
        <v>3</v>
      </c>
      <c r="N15" s="25">
        <v>2</v>
      </c>
      <c r="O15" s="25">
        <v>3</v>
      </c>
      <c r="P15" s="25">
        <v>2</v>
      </c>
      <c r="Q15" s="38">
        <f t="shared" si="0"/>
        <v>18</v>
      </c>
      <c r="R15" s="39">
        <f t="shared" si="1"/>
        <v>0.9</v>
      </c>
      <c r="S15" s="40" t="str">
        <f t="shared" si="4"/>
        <v>At Grade Level (Highly Proficient)</v>
      </c>
      <c r="T15" s="28"/>
      <c r="Y15">
        <f t="shared" si="5"/>
        <v>1</v>
      </c>
      <c r="Z15">
        <f t="shared" si="6"/>
        <v>1</v>
      </c>
      <c r="AA15">
        <f t="shared" si="7"/>
        <v>1</v>
      </c>
      <c r="AB15">
        <f t="shared" si="8"/>
        <v>1</v>
      </c>
      <c r="AC15">
        <f t="shared" si="9"/>
        <v>1</v>
      </c>
      <c r="AD15">
        <f t="shared" si="10"/>
        <v>1</v>
      </c>
      <c r="AE15">
        <f t="shared" si="11"/>
        <v>1</v>
      </c>
      <c r="AF15">
        <f t="shared" si="12"/>
        <v>0</v>
      </c>
    </row>
    <row r="16" spans="1:32" x14ac:dyDescent="0.35">
      <c r="A16" s="21">
        <v>7</v>
      </c>
      <c r="B16" s="62">
        <v>117443220003</v>
      </c>
      <c r="C16" s="27" t="s">
        <v>155</v>
      </c>
      <c r="D16" s="25" t="s">
        <v>80</v>
      </c>
      <c r="E16" s="115" t="s">
        <v>133</v>
      </c>
      <c r="F16" s="115">
        <v>45720</v>
      </c>
      <c r="G16" s="33" t="e">
        <f t="shared" si="3"/>
        <v>#VALUE!</v>
      </c>
      <c r="H16" s="59" t="s">
        <v>7</v>
      </c>
      <c r="I16" s="25">
        <v>2</v>
      </c>
      <c r="J16" s="25">
        <v>1</v>
      </c>
      <c r="K16" s="25">
        <v>2</v>
      </c>
      <c r="L16" s="25">
        <v>2</v>
      </c>
      <c r="M16" s="25">
        <v>2</v>
      </c>
      <c r="N16" s="25">
        <v>1</v>
      </c>
      <c r="O16" s="25">
        <v>2</v>
      </c>
      <c r="P16" s="25">
        <v>2</v>
      </c>
      <c r="Q16" s="38">
        <f t="shared" si="0"/>
        <v>14</v>
      </c>
      <c r="R16" s="39">
        <f t="shared" si="1"/>
        <v>0.7</v>
      </c>
      <c r="S16" s="40" t="str">
        <f t="shared" si="4"/>
        <v>Developing (Nearly Proficient)</v>
      </c>
      <c r="T16" s="28"/>
      <c r="Y16">
        <f t="shared" si="5"/>
        <v>1</v>
      </c>
      <c r="Z16">
        <f t="shared" si="6"/>
        <v>1</v>
      </c>
      <c r="AA16">
        <f t="shared" si="7"/>
        <v>1</v>
      </c>
      <c r="AB16">
        <f t="shared" si="8"/>
        <v>0</v>
      </c>
      <c r="AC16">
        <f t="shared" si="9"/>
        <v>0</v>
      </c>
      <c r="AD16">
        <f t="shared" si="10"/>
        <v>0</v>
      </c>
      <c r="AE16">
        <f t="shared" si="11"/>
        <v>0</v>
      </c>
      <c r="AF16">
        <f t="shared" si="12"/>
        <v>0</v>
      </c>
    </row>
    <row r="17" spans="1:32" x14ac:dyDescent="0.35">
      <c r="A17" s="21">
        <v>8</v>
      </c>
      <c r="B17" s="62">
        <v>117443220005</v>
      </c>
      <c r="C17" s="27" t="s">
        <v>156</v>
      </c>
      <c r="D17" s="25" t="s">
        <v>80</v>
      </c>
      <c r="E17" s="115" t="s">
        <v>134</v>
      </c>
      <c r="F17" s="115">
        <v>45720</v>
      </c>
      <c r="G17" s="33">
        <f t="shared" si="3"/>
        <v>8.6767123287671239</v>
      </c>
      <c r="H17" s="59" t="s">
        <v>7</v>
      </c>
      <c r="I17" s="25">
        <v>2</v>
      </c>
      <c r="J17" s="25">
        <v>1</v>
      </c>
      <c r="K17" s="25">
        <v>2</v>
      </c>
      <c r="L17" s="25">
        <v>3</v>
      </c>
      <c r="M17" s="25">
        <v>3</v>
      </c>
      <c r="N17" s="25">
        <v>1</v>
      </c>
      <c r="O17" s="25">
        <v>2</v>
      </c>
      <c r="P17" s="25">
        <v>3</v>
      </c>
      <c r="Q17" s="38">
        <f t="shared" si="0"/>
        <v>17</v>
      </c>
      <c r="R17" s="39">
        <f t="shared" si="1"/>
        <v>0.85</v>
      </c>
      <c r="S17" s="40" t="str">
        <f t="shared" si="4"/>
        <v>At Grade Level (Highly Proficient)</v>
      </c>
      <c r="T17" s="28"/>
      <c r="Y17">
        <f t="shared" si="5"/>
        <v>1</v>
      </c>
      <c r="Z17">
        <f t="shared" si="6"/>
        <v>1</v>
      </c>
      <c r="AA17">
        <f t="shared" si="7"/>
        <v>1</v>
      </c>
      <c r="AB17">
        <f t="shared" si="8"/>
        <v>1</v>
      </c>
      <c r="AC17">
        <f t="shared" si="9"/>
        <v>1</v>
      </c>
      <c r="AD17">
        <f t="shared" si="10"/>
        <v>0</v>
      </c>
      <c r="AE17">
        <f t="shared" si="11"/>
        <v>0</v>
      </c>
      <c r="AF17">
        <f t="shared" si="12"/>
        <v>1</v>
      </c>
    </row>
    <row r="18" spans="1:32" x14ac:dyDescent="0.35">
      <c r="A18" s="21">
        <v>9</v>
      </c>
      <c r="B18" s="62">
        <v>117443220007</v>
      </c>
      <c r="C18" s="27" t="s">
        <v>157</v>
      </c>
      <c r="D18" s="25" t="s">
        <v>80</v>
      </c>
      <c r="E18" s="115" t="s">
        <v>135</v>
      </c>
      <c r="F18" s="115">
        <v>45720</v>
      </c>
      <c r="G18" s="33" t="e">
        <f t="shared" si="3"/>
        <v>#VALUE!</v>
      </c>
      <c r="H18" s="59" t="s">
        <v>7</v>
      </c>
      <c r="I18" s="25">
        <v>2</v>
      </c>
      <c r="J18" s="25">
        <v>1</v>
      </c>
      <c r="K18" s="25">
        <v>2</v>
      </c>
      <c r="L18" s="25">
        <v>1</v>
      </c>
      <c r="M18" s="25">
        <v>1</v>
      </c>
      <c r="N18" s="25">
        <v>1</v>
      </c>
      <c r="O18" s="25">
        <v>1</v>
      </c>
      <c r="P18" s="25">
        <v>2</v>
      </c>
      <c r="Q18" s="38">
        <f t="shared" si="0"/>
        <v>11</v>
      </c>
      <c r="R18" s="39">
        <f t="shared" si="1"/>
        <v>0.55000000000000004</v>
      </c>
      <c r="S18" s="40" t="str">
        <f t="shared" si="4"/>
        <v>Developing (Nearly Proficient)</v>
      </c>
      <c r="T18" s="28"/>
      <c r="Y18">
        <f t="shared" si="5"/>
        <v>1</v>
      </c>
      <c r="Z18">
        <f t="shared" si="6"/>
        <v>1</v>
      </c>
      <c r="AA18">
        <f t="shared" si="7"/>
        <v>1</v>
      </c>
      <c r="AB18">
        <f t="shared" si="8"/>
        <v>0</v>
      </c>
      <c r="AC18">
        <f t="shared" si="9"/>
        <v>0</v>
      </c>
      <c r="AD18">
        <f t="shared" si="10"/>
        <v>0</v>
      </c>
      <c r="AE18">
        <f t="shared" si="11"/>
        <v>0</v>
      </c>
      <c r="AF18">
        <f t="shared" si="12"/>
        <v>0</v>
      </c>
    </row>
    <row r="19" spans="1:32" x14ac:dyDescent="0.35">
      <c r="A19" s="21">
        <v>10</v>
      </c>
      <c r="B19" s="62">
        <v>117443220008</v>
      </c>
      <c r="C19" s="27" t="s">
        <v>158</v>
      </c>
      <c r="D19" s="25" t="s">
        <v>80</v>
      </c>
      <c r="E19" s="115" t="s">
        <v>136</v>
      </c>
      <c r="F19" s="115">
        <v>45720</v>
      </c>
      <c r="G19" s="33" t="e">
        <f t="shared" si="3"/>
        <v>#VALUE!</v>
      </c>
      <c r="H19" s="59" t="s">
        <v>7</v>
      </c>
      <c r="I19" s="25">
        <v>2</v>
      </c>
      <c r="J19" s="25">
        <v>1</v>
      </c>
      <c r="K19" s="25">
        <v>2</v>
      </c>
      <c r="L19" s="25">
        <v>3</v>
      </c>
      <c r="M19" s="25">
        <v>3</v>
      </c>
      <c r="N19" s="25">
        <v>2</v>
      </c>
      <c r="O19" s="25">
        <v>3</v>
      </c>
      <c r="P19" s="25">
        <v>4</v>
      </c>
      <c r="Q19" s="38">
        <f t="shared" si="0"/>
        <v>20</v>
      </c>
      <c r="R19" s="39">
        <f t="shared" si="1"/>
        <v>1</v>
      </c>
      <c r="S19" s="40" t="str">
        <f t="shared" si="4"/>
        <v>At Grade Level (Highly Proficient)</v>
      </c>
      <c r="T19" s="28"/>
      <c r="Y19">
        <f t="shared" si="5"/>
        <v>1</v>
      </c>
      <c r="Z19">
        <f t="shared" si="6"/>
        <v>1</v>
      </c>
      <c r="AA19">
        <f t="shared" si="7"/>
        <v>1</v>
      </c>
      <c r="AB19">
        <f t="shared" si="8"/>
        <v>1</v>
      </c>
      <c r="AC19">
        <f t="shared" si="9"/>
        <v>1</v>
      </c>
      <c r="AD19">
        <f t="shared" si="10"/>
        <v>1</v>
      </c>
      <c r="AE19">
        <f t="shared" si="11"/>
        <v>1</v>
      </c>
      <c r="AF19">
        <f t="shared" si="12"/>
        <v>1</v>
      </c>
    </row>
    <row r="20" spans="1:32" x14ac:dyDescent="0.35">
      <c r="A20" s="21">
        <v>11</v>
      </c>
      <c r="B20" s="62">
        <v>136651220284</v>
      </c>
      <c r="C20" s="27" t="s">
        <v>159</v>
      </c>
      <c r="D20" s="25" t="s">
        <v>77</v>
      </c>
      <c r="E20" s="115" t="s">
        <v>137</v>
      </c>
      <c r="F20" s="115">
        <v>45721</v>
      </c>
      <c r="G20" s="33" t="e">
        <f t="shared" si="3"/>
        <v>#VALUE!</v>
      </c>
      <c r="H20" s="59" t="s">
        <v>7</v>
      </c>
      <c r="I20" s="25">
        <v>2</v>
      </c>
      <c r="J20" s="25">
        <v>1</v>
      </c>
      <c r="K20" s="25">
        <v>2</v>
      </c>
      <c r="L20" s="25">
        <v>3</v>
      </c>
      <c r="M20" s="25">
        <v>3</v>
      </c>
      <c r="N20" s="25">
        <v>2</v>
      </c>
      <c r="O20" s="25">
        <v>2</v>
      </c>
      <c r="P20" s="25">
        <v>3</v>
      </c>
      <c r="Q20" s="38">
        <f t="shared" si="0"/>
        <v>18</v>
      </c>
      <c r="R20" s="39">
        <f t="shared" si="1"/>
        <v>0.9</v>
      </c>
      <c r="S20" s="40" t="str">
        <f t="shared" si="4"/>
        <v>At Grade Level (Highly Proficient)</v>
      </c>
      <c r="T20" s="28"/>
      <c r="Y20">
        <f t="shared" si="5"/>
        <v>1</v>
      </c>
      <c r="Z20">
        <f t="shared" si="6"/>
        <v>1</v>
      </c>
      <c r="AA20">
        <f t="shared" si="7"/>
        <v>1</v>
      </c>
      <c r="AB20">
        <f t="shared" si="8"/>
        <v>1</v>
      </c>
      <c r="AC20">
        <f t="shared" si="9"/>
        <v>1</v>
      </c>
      <c r="AD20">
        <f t="shared" si="10"/>
        <v>1</v>
      </c>
      <c r="AE20">
        <f t="shared" si="11"/>
        <v>0</v>
      </c>
      <c r="AF20">
        <f t="shared" si="12"/>
        <v>1</v>
      </c>
    </row>
    <row r="21" spans="1:32" x14ac:dyDescent="0.35">
      <c r="A21" s="21">
        <v>12</v>
      </c>
      <c r="B21" s="62">
        <v>117443220019</v>
      </c>
      <c r="C21" s="27" t="s">
        <v>160</v>
      </c>
      <c r="D21" s="25" t="s">
        <v>77</v>
      </c>
      <c r="E21" s="115" t="s">
        <v>138</v>
      </c>
      <c r="F21" s="115">
        <v>45721</v>
      </c>
      <c r="G21" s="33" t="e">
        <f t="shared" si="3"/>
        <v>#VALUE!</v>
      </c>
      <c r="H21" s="59" t="s">
        <v>7</v>
      </c>
      <c r="I21" s="25">
        <v>2</v>
      </c>
      <c r="J21" s="25">
        <v>1</v>
      </c>
      <c r="K21" s="25">
        <v>2</v>
      </c>
      <c r="L21" s="25">
        <v>3</v>
      </c>
      <c r="M21" s="25">
        <v>3</v>
      </c>
      <c r="N21" s="25">
        <v>2</v>
      </c>
      <c r="O21" s="25">
        <v>2</v>
      </c>
      <c r="P21" s="25">
        <v>4</v>
      </c>
      <c r="Q21" s="38">
        <f t="shared" si="0"/>
        <v>19</v>
      </c>
      <c r="R21" s="39">
        <f t="shared" si="1"/>
        <v>0.95</v>
      </c>
      <c r="S21" s="40" t="str">
        <f t="shared" si="4"/>
        <v>At Grade Level (Highly Proficient)</v>
      </c>
      <c r="T21" s="28"/>
      <c r="Y21">
        <f t="shared" si="5"/>
        <v>1</v>
      </c>
      <c r="Z21">
        <f t="shared" si="6"/>
        <v>1</v>
      </c>
      <c r="AA21">
        <f t="shared" si="7"/>
        <v>1</v>
      </c>
      <c r="AB21">
        <f t="shared" si="8"/>
        <v>1</v>
      </c>
      <c r="AC21">
        <f t="shared" si="9"/>
        <v>1</v>
      </c>
      <c r="AD21">
        <f t="shared" si="10"/>
        <v>1</v>
      </c>
      <c r="AE21">
        <f t="shared" si="11"/>
        <v>0</v>
      </c>
      <c r="AF21">
        <f t="shared" si="12"/>
        <v>1</v>
      </c>
    </row>
    <row r="22" spans="1:32" x14ac:dyDescent="0.35">
      <c r="A22" s="21">
        <v>13</v>
      </c>
      <c r="B22" s="62">
        <v>117443220009</v>
      </c>
      <c r="C22" s="27" t="s">
        <v>161</v>
      </c>
      <c r="D22" s="25" t="s">
        <v>77</v>
      </c>
      <c r="E22" s="115" t="s">
        <v>134</v>
      </c>
      <c r="F22" s="115">
        <v>45721</v>
      </c>
      <c r="G22" s="33">
        <f t="shared" si="3"/>
        <v>8.6794520547945204</v>
      </c>
      <c r="H22" s="59" t="s">
        <v>7</v>
      </c>
      <c r="I22" s="25">
        <v>2</v>
      </c>
      <c r="J22" s="25">
        <v>1</v>
      </c>
      <c r="K22" s="25">
        <v>2</v>
      </c>
      <c r="L22" s="25">
        <v>3</v>
      </c>
      <c r="M22" s="25">
        <v>3</v>
      </c>
      <c r="N22" s="25">
        <v>2</v>
      </c>
      <c r="O22" s="25">
        <v>3</v>
      </c>
      <c r="P22" s="25">
        <v>4</v>
      </c>
      <c r="Q22" s="38">
        <f t="shared" si="0"/>
        <v>20</v>
      </c>
      <c r="R22" s="39">
        <f t="shared" si="1"/>
        <v>1</v>
      </c>
      <c r="S22" s="40" t="str">
        <f t="shared" si="4"/>
        <v>At Grade Level (Highly Proficient)</v>
      </c>
      <c r="T22" s="28"/>
      <c r="Y22">
        <f t="shared" si="5"/>
        <v>1</v>
      </c>
      <c r="Z22">
        <f t="shared" si="6"/>
        <v>1</v>
      </c>
      <c r="AA22">
        <f t="shared" si="7"/>
        <v>1</v>
      </c>
      <c r="AB22">
        <f t="shared" si="8"/>
        <v>1</v>
      </c>
      <c r="AC22">
        <f t="shared" si="9"/>
        <v>1</v>
      </c>
      <c r="AD22">
        <f t="shared" si="10"/>
        <v>1</v>
      </c>
      <c r="AE22">
        <f t="shared" si="11"/>
        <v>1</v>
      </c>
      <c r="AF22">
        <f t="shared" si="12"/>
        <v>1</v>
      </c>
    </row>
    <row r="23" spans="1:32" x14ac:dyDescent="0.35">
      <c r="A23" s="21">
        <v>14</v>
      </c>
      <c r="B23" s="62">
        <v>117443220021</v>
      </c>
      <c r="C23" s="27" t="s">
        <v>162</v>
      </c>
      <c r="D23" s="25" t="s">
        <v>77</v>
      </c>
      <c r="E23" s="115" t="s">
        <v>139</v>
      </c>
      <c r="F23" s="115">
        <v>45721</v>
      </c>
      <c r="G23" s="33">
        <f t="shared" si="3"/>
        <v>10.676712328767124</v>
      </c>
      <c r="H23" s="59" t="s">
        <v>7</v>
      </c>
      <c r="I23" s="25">
        <v>2</v>
      </c>
      <c r="J23" s="25">
        <v>1</v>
      </c>
      <c r="K23" s="25">
        <v>1</v>
      </c>
      <c r="L23" s="25">
        <v>1</v>
      </c>
      <c r="M23" s="25">
        <v>2</v>
      </c>
      <c r="N23" s="25">
        <v>2</v>
      </c>
      <c r="O23" s="25">
        <v>2</v>
      </c>
      <c r="P23" s="25">
        <v>2</v>
      </c>
      <c r="Q23" s="38">
        <f t="shared" si="0"/>
        <v>13</v>
      </c>
      <c r="R23" s="39">
        <f t="shared" si="1"/>
        <v>0.65</v>
      </c>
      <c r="S23" s="40" t="str">
        <f t="shared" si="4"/>
        <v>Developing (Nearly Proficient)</v>
      </c>
      <c r="T23" s="28"/>
      <c r="Y23">
        <f t="shared" si="5"/>
        <v>1</v>
      </c>
      <c r="Z23">
        <f t="shared" si="6"/>
        <v>1</v>
      </c>
      <c r="AA23">
        <f t="shared" si="7"/>
        <v>0</v>
      </c>
      <c r="AB23">
        <f t="shared" si="8"/>
        <v>0</v>
      </c>
      <c r="AC23">
        <f t="shared" si="9"/>
        <v>0</v>
      </c>
      <c r="AD23">
        <f t="shared" si="10"/>
        <v>1</v>
      </c>
      <c r="AE23">
        <f t="shared" si="11"/>
        <v>0</v>
      </c>
      <c r="AF23">
        <f t="shared" si="12"/>
        <v>0</v>
      </c>
    </row>
    <row r="24" spans="1:32" x14ac:dyDescent="0.35">
      <c r="A24" s="21">
        <v>15</v>
      </c>
      <c r="B24" s="62"/>
      <c r="C24" s="27" t="s">
        <v>163</v>
      </c>
      <c r="D24" s="25" t="s">
        <v>77</v>
      </c>
      <c r="E24" s="115" t="s">
        <v>140</v>
      </c>
      <c r="F24" s="115">
        <v>45721</v>
      </c>
      <c r="G24" s="33" t="e">
        <f t="shared" si="3"/>
        <v>#VALUE!</v>
      </c>
      <c r="H24" s="59" t="s">
        <v>7</v>
      </c>
      <c r="I24" s="25">
        <v>2</v>
      </c>
      <c r="J24" s="25">
        <v>1</v>
      </c>
      <c r="K24" s="25">
        <v>1</v>
      </c>
      <c r="L24" s="25">
        <v>3</v>
      </c>
      <c r="M24" s="25">
        <v>3</v>
      </c>
      <c r="N24" s="25">
        <v>2</v>
      </c>
      <c r="O24" s="25">
        <v>2</v>
      </c>
      <c r="P24" s="25">
        <v>3</v>
      </c>
      <c r="Q24" s="38">
        <f t="shared" si="0"/>
        <v>17</v>
      </c>
      <c r="R24" s="39">
        <f t="shared" si="1"/>
        <v>0.85</v>
      </c>
      <c r="S24" s="40" t="str">
        <f t="shared" si="4"/>
        <v>At Grade Level (Highly Proficient)</v>
      </c>
      <c r="T24" s="28"/>
      <c r="Y24">
        <f t="shared" si="5"/>
        <v>1</v>
      </c>
      <c r="Z24">
        <f t="shared" si="6"/>
        <v>1</v>
      </c>
      <c r="AA24">
        <f t="shared" si="7"/>
        <v>0</v>
      </c>
      <c r="AB24">
        <f t="shared" si="8"/>
        <v>1</v>
      </c>
      <c r="AC24">
        <f t="shared" si="9"/>
        <v>1</v>
      </c>
      <c r="AD24">
        <f t="shared" si="10"/>
        <v>1</v>
      </c>
      <c r="AE24">
        <f t="shared" si="11"/>
        <v>0</v>
      </c>
      <c r="AF24">
        <f t="shared" si="12"/>
        <v>1</v>
      </c>
    </row>
    <row r="25" spans="1:32" x14ac:dyDescent="0.35">
      <c r="A25" s="21">
        <v>16</v>
      </c>
      <c r="B25" s="62">
        <v>117443220010</v>
      </c>
      <c r="C25" s="27" t="s">
        <v>164</v>
      </c>
      <c r="D25" s="25" t="s">
        <v>77</v>
      </c>
      <c r="E25" s="115" t="s">
        <v>141</v>
      </c>
      <c r="F25" s="115">
        <v>45721</v>
      </c>
      <c r="G25" s="33">
        <f t="shared" si="3"/>
        <v>8.9315068493150687</v>
      </c>
      <c r="H25" s="59" t="s">
        <v>7</v>
      </c>
      <c r="I25" s="25">
        <v>2</v>
      </c>
      <c r="J25" s="25">
        <v>1</v>
      </c>
      <c r="K25" s="25">
        <v>2</v>
      </c>
      <c r="L25" s="25">
        <v>3</v>
      </c>
      <c r="M25" s="25">
        <v>3</v>
      </c>
      <c r="N25" s="25">
        <v>2</v>
      </c>
      <c r="O25" s="25">
        <v>2</v>
      </c>
      <c r="P25" s="25">
        <v>2</v>
      </c>
      <c r="Q25" s="38">
        <f t="shared" si="0"/>
        <v>17</v>
      </c>
      <c r="R25" s="39">
        <f t="shared" si="1"/>
        <v>0.85</v>
      </c>
      <c r="S25" s="40" t="str">
        <f t="shared" si="4"/>
        <v>At Grade Level (Highly Proficient)</v>
      </c>
      <c r="T25" s="28"/>
      <c r="Y25">
        <f t="shared" si="5"/>
        <v>1</v>
      </c>
      <c r="Z25">
        <f t="shared" si="6"/>
        <v>1</v>
      </c>
      <c r="AA25">
        <f t="shared" si="7"/>
        <v>1</v>
      </c>
      <c r="AB25">
        <f t="shared" si="8"/>
        <v>1</v>
      </c>
      <c r="AC25">
        <f t="shared" si="9"/>
        <v>1</v>
      </c>
      <c r="AD25">
        <f t="shared" si="10"/>
        <v>1</v>
      </c>
      <c r="AE25">
        <f t="shared" si="11"/>
        <v>0</v>
      </c>
      <c r="AF25">
        <f t="shared" si="12"/>
        <v>0</v>
      </c>
    </row>
    <row r="26" spans="1:32" x14ac:dyDescent="0.35">
      <c r="A26" s="21">
        <v>17</v>
      </c>
      <c r="B26" s="62">
        <v>117443220011</v>
      </c>
      <c r="C26" s="27" t="s">
        <v>165</v>
      </c>
      <c r="D26" s="25" t="s">
        <v>77</v>
      </c>
      <c r="E26" s="115" t="s">
        <v>142</v>
      </c>
      <c r="F26" s="115">
        <v>45722</v>
      </c>
      <c r="G26" s="33">
        <f t="shared" si="3"/>
        <v>9.8246575342465761</v>
      </c>
      <c r="H26" s="59" t="s">
        <v>7</v>
      </c>
      <c r="I26" s="25">
        <v>2</v>
      </c>
      <c r="J26" s="25">
        <v>1</v>
      </c>
      <c r="K26" s="25">
        <v>2</v>
      </c>
      <c r="L26" s="25">
        <v>3</v>
      </c>
      <c r="M26" s="25">
        <v>3</v>
      </c>
      <c r="N26" s="25">
        <v>2</v>
      </c>
      <c r="O26" s="25">
        <v>3</v>
      </c>
      <c r="P26" s="25">
        <v>3</v>
      </c>
      <c r="Q26" s="38">
        <f t="shared" si="0"/>
        <v>19</v>
      </c>
      <c r="R26" s="39">
        <f t="shared" si="1"/>
        <v>0.95</v>
      </c>
      <c r="S26" s="40" t="str">
        <f t="shared" si="4"/>
        <v>At Grade Level (Highly Proficient)</v>
      </c>
      <c r="T26" s="28"/>
      <c r="Y26">
        <f t="shared" si="5"/>
        <v>1</v>
      </c>
      <c r="Z26">
        <f t="shared" si="6"/>
        <v>1</v>
      </c>
      <c r="AA26">
        <f t="shared" si="7"/>
        <v>1</v>
      </c>
      <c r="AB26">
        <f t="shared" si="8"/>
        <v>1</v>
      </c>
      <c r="AC26">
        <f t="shared" si="9"/>
        <v>1</v>
      </c>
      <c r="AD26">
        <f t="shared" si="10"/>
        <v>1</v>
      </c>
      <c r="AE26">
        <f t="shared" si="11"/>
        <v>1</v>
      </c>
      <c r="AF26">
        <f t="shared" si="12"/>
        <v>1</v>
      </c>
    </row>
    <row r="27" spans="1:32" x14ac:dyDescent="0.35">
      <c r="A27" s="21">
        <v>18</v>
      </c>
      <c r="B27" s="62">
        <v>120637200024</v>
      </c>
      <c r="C27" s="27" t="s">
        <v>166</v>
      </c>
      <c r="D27" s="25" t="s">
        <v>77</v>
      </c>
      <c r="E27" s="115" t="s">
        <v>143</v>
      </c>
      <c r="F27" s="115">
        <v>45722</v>
      </c>
      <c r="G27" s="33" t="e">
        <f t="shared" si="3"/>
        <v>#VALUE!</v>
      </c>
      <c r="H27" s="59" t="s">
        <v>7</v>
      </c>
      <c r="I27" s="25">
        <v>2</v>
      </c>
      <c r="J27" s="25">
        <v>1</v>
      </c>
      <c r="K27" s="25">
        <v>2</v>
      </c>
      <c r="L27" s="25">
        <v>3</v>
      </c>
      <c r="M27" s="25">
        <v>3</v>
      </c>
      <c r="N27" s="25">
        <v>2</v>
      </c>
      <c r="O27" s="25">
        <v>2</v>
      </c>
      <c r="P27" s="25">
        <v>3</v>
      </c>
      <c r="Q27" s="38">
        <f t="shared" si="0"/>
        <v>18</v>
      </c>
      <c r="R27" s="39">
        <f t="shared" si="1"/>
        <v>0.9</v>
      </c>
      <c r="S27" s="40" t="str">
        <f t="shared" si="4"/>
        <v>At Grade Level (Highly Proficient)</v>
      </c>
      <c r="T27" s="28"/>
      <c r="Y27">
        <f t="shared" si="5"/>
        <v>1</v>
      </c>
      <c r="Z27">
        <f t="shared" si="6"/>
        <v>1</v>
      </c>
      <c r="AA27">
        <f t="shared" si="7"/>
        <v>1</v>
      </c>
      <c r="AB27">
        <f t="shared" si="8"/>
        <v>1</v>
      </c>
      <c r="AC27">
        <f t="shared" si="9"/>
        <v>1</v>
      </c>
      <c r="AD27">
        <f t="shared" si="10"/>
        <v>1</v>
      </c>
      <c r="AE27">
        <f t="shared" si="11"/>
        <v>0</v>
      </c>
      <c r="AF27">
        <f t="shared" si="12"/>
        <v>1</v>
      </c>
    </row>
    <row r="28" spans="1:32" x14ac:dyDescent="0.35">
      <c r="A28" s="21">
        <v>19</v>
      </c>
      <c r="B28" s="62">
        <v>117443220012</v>
      </c>
      <c r="C28" s="27" t="s">
        <v>167</v>
      </c>
      <c r="D28" s="25" t="s">
        <v>77</v>
      </c>
      <c r="E28" s="115" t="s">
        <v>144</v>
      </c>
      <c r="F28" s="115">
        <v>45722</v>
      </c>
      <c r="G28" s="33" t="e">
        <f t="shared" si="3"/>
        <v>#VALUE!</v>
      </c>
      <c r="H28" s="59" t="s">
        <v>7</v>
      </c>
      <c r="I28" s="25">
        <v>1</v>
      </c>
      <c r="J28" s="25">
        <v>1</v>
      </c>
      <c r="K28" s="25">
        <v>2</v>
      </c>
      <c r="L28" s="25">
        <v>3</v>
      </c>
      <c r="M28" s="25">
        <v>3</v>
      </c>
      <c r="N28" s="25">
        <v>1</v>
      </c>
      <c r="O28" s="25">
        <v>1</v>
      </c>
      <c r="P28" s="25">
        <v>3</v>
      </c>
      <c r="Q28" s="38">
        <f t="shared" si="0"/>
        <v>15</v>
      </c>
      <c r="R28" s="39">
        <f t="shared" si="1"/>
        <v>0.75</v>
      </c>
      <c r="S28" s="40" t="str">
        <f t="shared" si="4"/>
        <v>Transitioning (Proficient)</v>
      </c>
      <c r="T28" s="28"/>
      <c r="Y28">
        <f t="shared" si="5"/>
        <v>0</v>
      </c>
      <c r="Z28">
        <f t="shared" si="6"/>
        <v>1</v>
      </c>
      <c r="AA28">
        <f t="shared" si="7"/>
        <v>1</v>
      </c>
      <c r="AB28">
        <f t="shared" si="8"/>
        <v>1</v>
      </c>
      <c r="AC28">
        <f t="shared" si="9"/>
        <v>1</v>
      </c>
      <c r="AD28">
        <f t="shared" si="10"/>
        <v>0</v>
      </c>
      <c r="AE28">
        <f t="shared" si="11"/>
        <v>0</v>
      </c>
      <c r="AF28">
        <f t="shared" si="12"/>
        <v>1</v>
      </c>
    </row>
    <row r="29" spans="1:32" x14ac:dyDescent="0.35">
      <c r="A29" s="21">
        <v>20</v>
      </c>
      <c r="B29" s="62">
        <v>117443220020</v>
      </c>
      <c r="C29" s="27" t="s">
        <v>168</v>
      </c>
      <c r="D29" s="25" t="s">
        <v>77</v>
      </c>
      <c r="E29" s="115" t="s">
        <v>145</v>
      </c>
      <c r="F29" s="115">
        <v>45722</v>
      </c>
      <c r="G29" s="33" t="e">
        <f t="shared" si="3"/>
        <v>#VALUE!</v>
      </c>
      <c r="H29" s="59" t="s">
        <v>7</v>
      </c>
      <c r="I29" s="25">
        <v>1</v>
      </c>
      <c r="J29" s="25">
        <v>1</v>
      </c>
      <c r="K29" s="25">
        <v>2</v>
      </c>
      <c r="L29" s="25">
        <v>3</v>
      </c>
      <c r="M29" s="25">
        <v>3</v>
      </c>
      <c r="N29" s="25">
        <v>1</v>
      </c>
      <c r="O29" s="25">
        <v>2</v>
      </c>
      <c r="P29" s="25">
        <v>1</v>
      </c>
      <c r="Q29" s="38">
        <f t="shared" si="0"/>
        <v>14</v>
      </c>
      <c r="R29" s="39">
        <f t="shared" si="1"/>
        <v>0.7</v>
      </c>
      <c r="S29" s="40" t="str">
        <f t="shared" si="4"/>
        <v>Developing (Nearly Proficient)</v>
      </c>
      <c r="T29" s="28"/>
      <c r="Y29">
        <f t="shared" si="5"/>
        <v>0</v>
      </c>
      <c r="Z29">
        <f t="shared" si="6"/>
        <v>1</v>
      </c>
      <c r="AA29">
        <f t="shared" si="7"/>
        <v>1</v>
      </c>
      <c r="AB29">
        <f t="shared" si="8"/>
        <v>1</v>
      </c>
      <c r="AC29">
        <f t="shared" si="9"/>
        <v>1</v>
      </c>
      <c r="AD29">
        <f t="shared" si="10"/>
        <v>0</v>
      </c>
      <c r="AE29">
        <f t="shared" si="11"/>
        <v>0</v>
      </c>
      <c r="AF29">
        <f t="shared" si="12"/>
        <v>0</v>
      </c>
    </row>
    <row r="30" spans="1:32" x14ac:dyDescent="0.35">
      <c r="A30" s="21">
        <v>21</v>
      </c>
      <c r="B30" s="62">
        <v>117443220013</v>
      </c>
      <c r="C30" s="27" t="s">
        <v>169</v>
      </c>
      <c r="D30" s="25" t="s">
        <v>77</v>
      </c>
      <c r="E30" s="115" t="s">
        <v>146</v>
      </c>
      <c r="F30" s="115">
        <v>45722</v>
      </c>
      <c r="G30" s="33" t="e">
        <f t="shared" si="3"/>
        <v>#VALUE!</v>
      </c>
      <c r="H30" s="59" t="s">
        <v>7</v>
      </c>
      <c r="I30" s="25">
        <v>2</v>
      </c>
      <c r="J30" s="25">
        <v>1</v>
      </c>
      <c r="K30" s="25">
        <v>2</v>
      </c>
      <c r="L30" s="25">
        <v>3</v>
      </c>
      <c r="M30" s="25">
        <v>3</v>
      </c>
      <c r="N30" s="25">
        <v>1</v>
      </c>
      <c r="O30" s="25">
        <v>1</v>
      </c>
      <c r="P30" s="25">
        <v>3</v>
      </c>
      <c r="Q30" s="38">
        <f t="shared" si="0"/>
        <v>16</v>
      </c>
      <c r="R30" s="39">
        <f t="shared" si="1"/>
        <v>0.8</v>
      </c>
      <c r="S30" s="40" t="str">
        <f t="shared" si="4"/>
        <v>Transitioning (Proficient)</v>
      </c>
      <c r="T30" s="28"/>
      <c r="Y30">
        <f t="shared" si="5"/>
        <v>1</v>
      </c>
      <c r="Z30">
        <f t="shared" si="6"/>
        <v>1</v>
      </c>
      <c r="AA30">
        <f t="shared" si="7"/>
        <v>1</v>
      </c>
      <c r="AB30">
        <f t="shared" si="8"/>
        <v>1</v>
      </c>
      <c r="AC30">
        <f t="shared" si="9"/>
        <v>1</v>
      </c>
      <c r="AD30">
        <f t="shared" si="10"/>
        <v>0</v>
      </c>
      <c r="AE30">
        <f t="shared" si="11"/>
        <v>0</v>
      </c>
      <c r="AF30">
        <f t="shared" si="12"/>
        <v>1</v>
      </c>
    </row>
    <row r="31" spans="1:32" x14ac:dyDescent="0.35">
      <c r="A31" s="21">
        <v>22</v>
      </c>
      <c r="B31" s="62">
        <v>117443220014</v>
      </c>
      <c r="C31" s="27" t="s">
        <v>170</v>
      </c>
      <c r="D31" s="25" t="s">
        <v>77</v>
      </c>
      <c r="E31" s="115" t="s">
        <v>147</v>
      </c>
      <c r="F31" s="115">
        <v>45722</v>
      </c>
      <c r="G31" s="33">
        <f t="shared" si="3"/>
        <v>9.087671232876712</v>
      </c>
      <c r="H31" s="59" t="s">
        <v>7</v>
      </c>
      <c r="I31" s="25">
        <v>2</v>
      </c>
      <c r="J31" s="25">
        <v>1</v>
      </c>
      <c r="K31" s="25">
        <v>2</v>
      </c>
      <c r="L31" s="25">
        <v>3</v>
      </c>
      <c r="M31" s="25">
        <v>3</v>
      </c>
      <c r="N31" s="25">
        <v>2</v>
      </c>
      <c r="O31" s="25">
        <v>3</v>
      </c>
      <c r="P31" s="25">
        <v>3</v>
      </c>
      <c r="Q31" s="38">
        <f t="shared" si="0"/>
        <v>19</v>
      </c>
      <c r="R31" s="39">
        <f t="shared" si="1"/>
        <v>0.95</v>
      </c>
      <c r="S31" s="40" t="str">
        <f t="shared" si="4"/>
        <v>At Grade Level (Highly Proficient)</v>
      </c>
      <c r="T31" s="28"/>
      <c r="Y31">
        <f t="shared" si="5"/>
        <v>1</v>
      </c>
      <c r="Z31">
        <f t="shared" si="6"/>
        <v>1</v>
      </c>
      <c r="AA31">
        <f t="shared" si="7"/>
        <v>1</v>
      </c>
      <c r="AB31">
        <f t="shared" si="8"/>
        <v>1</v>
      </c>
      <c r="AC31">
        <f t="shared" si="9"/>
        <v>1</v>
      </c>
      <c r="AD31">
        <f t="shared" si="10"/>
        <v>1</v>
      </c>
      <c r="AE31">
        <f t="shared" si="11"/>
        <v>1</v>
      </c>
      <c r="AF31">
        <f t="shared" si="12"/>
        <v>1</v>
      </c>
    </row>
    <row r="32" spans="1:32" x14ac:dyDescent="0.35">
      <c r="A32" s="21">
        <v>23</v>
      </c>
      <c r="B32" s="62">
        <v>117443220015</v>
      </c>
      <c r="C32" s="27" t="s">
        <v>171</v>
      </c>
      <c r="D32" s="25" t="s">
        <v>77</v>
      </c>
      <c r="E32" s="115"/>
      <c r="F32" s="115">
        <v>45811</v>
      </c>
      <c r="G32" s="33">
        <f t="shared" si="3"/>
        <v>125.50958904109589</v>
      </c>
      <c r="H32" s="59"/>
      <c r="I32" s="25">
        <v>2</v>
      </c>
      <c r="J32" s="25">
        <v>1</v>
      </c>
      <c r="K32" s="25">
        <v>2</v>
      </c>
      <c r="L32" s="25">
        <v>3</v>
      </c>
      <c r="M32" s="25">
        <v>3</v>
      </c>
      <c r="N32" s="25">
        <v>2</v>
      </c>
      <c r="O32" s="25">
        <v>2</v>
      </c>
      <c r="P32" s="25">
        <v>2</v>
      </c>
      <c r="Q32" s="38">
        <f t="shared" si="0"/>
        <v>17</v>
      </c>
      <c r="R32" s="39">
        <f t="shared" si="1"/>
        <v>0.85</v>
      </c>
      <c r="S32" s="40" t="str">
        <f t="shared" si="4"/>
        <v>At Grade Level (Highly Proficient)</v>
      </c>
      <c r="T32" s="28"/>
      <c r="Y32">
        <f t="shared" si="5"/>
        <v>1</v>
      </c>
      <c r="Z32">
        <f t="shared" si="6"/>
        <v>1</v>
      </c>
      <c r="AA32">
        <f t="shared" si="7"/>
        <v>1</v>
      </c>
      <c r="AB32">
        <f t="shared" si="8"/>
        <v>1</v>
      </c>
      <c r="AC32">
        <f t="shared" si="9"/>
        <v>1</v>
      </c>
      <c r="AD32">
        <f t="shared" si="10"/>
        <v>1</v>
      </c>
      <c r="AE32">
        <f t="shared" si="11"/>
        <v>0</v>
      </c>
      <c r="AF32">
        <f t="shared" si="12"/>
        <v>0</v>
      </c>
    </row>
    <row r="33" spans="1:32" x14ac:dyDescent="0.35">
      <c r="A33" s="21">
        <v>24</v>
      </c>
      <c r="B33" s="62">
        <v>117443220016</v>
      </c>
      <c r="C33" s="27" t="s">
        <v>172</v>
      </c>
      <c r="D33" s="25" t="s">
        <v>77</v>
      </c>
      <c r="E33" s="115">
        <v>42319</v>
      </c>
      <c r="F33" s="115"/>
      <c r="G33" s="33">
        <f t="shared" si="3"/>
        <v>-115.94246575342466</v>
      </c>
      <c r="H33" s="59"/>
      <c r="I33" s="25">
        <v>2</v>
      </c>
      <c r="J33" s="25">
        <v>1</v>
      </c>
      <c r="K33" s="25">
        <v>2</v>
      </c>
      <c r="L33" s="25">
        <v>3</v>
      </c>
      <c r="M33" s="25">
        <v>3</v>
      </c>
      <c r="N33" s="25">
        <v>2</v>
      </c>
      <c r="O33" s="25">
        <v>3</v>
      </c>
      <c r="P33" s="25">
        <v>3</v>
      </c>
      <c r="Q33" s="38">
        <f t="shared" si="0"/>
        <v>19</v>
      </c>
      <c r="R33" s="39">
        <f t="shared" si="1"/>
        <v>0.95</v>
      </c>
      <c r="S33" s="40" t="str">
        <f t="shared" si="4"/>
        <v>At Grade Level (Highly Proficient)</v>
      </c>
      <c r="T33" s="28"/>
      <c r="Y33">
        <f t="shared" si="5"/>
        <v>1</v>
      </c>
      <c r="Z33">
        <f t="shared" si="6"/>
        <v>1</v>
      </c>
      <c r="AA33">
        <f t="shared" si="7"/>
        <v>1</v>
      </c>
      <c r="AB33">
        <f t="shared" si="8"/>
        <v>1</v>
      </c>
      <c r="AC33">
        <f t="shared" si="9"/>
        <v>1</v>
      </c>
      <c r="AD33">
        <f t="shared" si="10"/>
        <v>1</v>
      </c>
      <c r="AE33">
        <f t="shared" si="11"/>
        <v>1</v>
      </c>
      <c r="AF33">
        <f t="shared" si="12"/>
        <v>1</v>
      </c>
    </row>
    <row r="34" spans="1:32" x14ac:dyDescent="0.35">
      <c r="A34" s="21">
        <v>25</v>
      </c>
      <c r="B34" s="62">
        <v>117692220048</v>
      </c>
      <c r="C34" s="27" t="s">
        <v>173</v>
      </c>
      <c r="D34" s="25" t="s">
        <v>77</v>
      </c>
      <c r="E34" s="115">
        <v>42957</v>
      </c>
      <c r="F34" s="115"/>
      <c r="G34" s="33">
        <f t="shared" si="3"/>
        <v>-117.69041095890411</v>
      </c>
      <c r="H34" s="59"/>
      <c r="I34" s="25">
        <v>2</v>
      </c>
      <c r="J34" s="25">
        <v>1</v>
      </c>
      <c r="K34" s="25">
        <v>2</v>
      </c>
      <c r="L34" s="25">
        <v>2</v>
      </c>
      <c r="M34" s="25">
        <v>2</v>
      </c>
      <c r="N34" s="25">
        <v>2</v>
      </c>
      <c r="O34" s="25">
        <v>3</v>
      </c>
      <c r="P34" s="25">
        <v>2</v>
      </c>
      <c r="Q34" s="38">
        <f t="shared" si="0"/>
        <v>16</v>
      </c>
      <c r="R34" s="39">
        <f t="shared" si="1"/>
        <v>0.8</v>
      </c>
      <c r="S34" s="40" t="str">
        <f t="shared" si="4"/>
        <v>Transitioning (Proficient)</v>
      </c>
      <c r="T34" s="28"/>
      <c r="Y34">
        <f t="shared" si="5"/>
        <v>1</v>
      </c>
      <c r="Z34">
        <f t="shared" si="6"/>
        <v>1</v>
      </c>
      <c r="AA34">
        <f t="shared" si="7"/>
        <v>1</v>
      </c>
      <c r="AB34">
        <f t="shared" si="8"/>
        <v>0</v>
      </c>
      <c r="AC34">
        <f t="shared" si="9"/>
        <v>0</v>
      </c>
      <c r="AD34">
        <f t="shared" si="10"/>
        <v>1</v>
      </c>
      <c r="AE34">
        <f t="shared" si="11"/>
        <v>1</v>
      </c>
      <c r="AF34">
        <f t="shared" si="12"/>
        <v>0</v>
      </c>
    </row>
    <row r="35" spans="1:32" x14ac:dyDescent="0.35">
      <c r="A35" s="21">
        <v>26</v>
      </c>
      <c r="B35" s="62"/>
      <c r="C35" s="27"/>
      <c r="D35" s="25"/>
      <c r="E35" s="115"/>
      <c r="F35" s="115"/>
      <c r="G35" s="33" t="str">
        <f t="shared" si="3"/>
        <v/>
      </c>
      <c r="H35" s="59"/>
      <c r="I35" s="25"/>
      <c r="J35" s="25"/>
      <c r="K35" s="25"/>
      <c r="L35" s="25"/>
      <c r="M35" s="25"/>
      <c r="N35" s="25"/>
      <c r="O35" s="25"/>
      <c r="P35" s="25"/>
      <c r="Q35" s="38" t="str">
        <f t="shared" si="0"/>
        <v/>
      </c>
      <c r="R35" s="39" t="str">
        <f t="shared" si="1"/>
        <v/>
      </c>
      <c r="S35" s="40" t="str">
        <f t="shared" si="4"/>
        <v/>
      </c>
      <c r="T35" s="28"/>
      <c r="Y35">
        <f t="shared" si="5"/>
        <v>0</v>
      </c>
      <c r="Z35">
        <f t="shared" si="6"/>
        <v>0</v>
      </c>
      <c r="AA35">
        <f t="shared" si="7"/>
        <v>0</v>
      </c>
      <c r="AB35">
        <f t="shared" si="8"/>
        <v>0</v>
      </c>
      <c r="AC35">
        <f t="shared" si="9"/>
        <v>0</v>
      </c>
      <c r="AD35">
        <f t="shared" si="10"/>
        <v>0</v>
      </c>
      <c r="AE35">
        <f t="shared" si="11"/>
        <v>0</v>
      </c>
      <c r="AF35">
        <f t="shared" si="12"/>
        <v>0</v>
      </c>
    </row>
    <row r="36" spans="1:32" x14ac:dyDescent="0.35">
      <c r="A36" s="21">
        <v>27</v>
      </c>
      <c r="B36" s="62"/>
      <c r="C36" s="27"/>
      <c r="D36" s="25"/>
      <c r="E36" s="115"/>
      <c r="F36" s="115"/>
      <c r="G36" s="33" t="str">
        <f t="shared" si="3"/>
        <v/>
      </c>
      <c r="H36" s="59"/>
      <c r="I36" s="25"/>
      <c r="J36" s="25"/>
      <c r="K36" s="25"/>
      <c r="L36" s="25"/>
      <c r="M36" s="25"/>
      <c r="N36" s="25"/>
      <c r="O36" s="25"/>
      <c r="P36" s="25"/>
      <c r="Q36" s="38" t="str">
        <f t="shared" si="0"/>
        <v/>
      </c>
      <c r="R36" s="39" t="str">
        <f t="shared" si="1"/>
        <v/>
      </c>
      <c r="S36" s="40" t="str">
        <f t="shared" si="4"/>
        <v/>
      </c>
      <c r="T36" s="28"/>
      <c r="Y36">
        <f t="shared" si="5"/>
        <v>0</v>
      </c>
      <c r="Z36">
        <f t="shared" si="6"/>
        <v>0</v>
      </c>
      <c r="AA36">
        <f t="shared" si="7"/>
        <v>0</v>
      </c>
      <c r="AB36">
        <f t="shared" si="8"/>
        <v>0</v>
      </c>
      <c r="AC36">
        <f t="shared" si="9"/>
        <v>0</v>
      </c>
      <c r="AD36">
        <f t="shared" si="10"/>
        <v>0</v>
      </c>
      <c r="AE36">
        <f t="shared" si="11"/>
        <v>0</v>
      </c>
      <c r="AF36">
        <f t="shared" si="12"/>
        <v>0</v>
      </c>
    </row>
    <row r="37" spans="1:32" x14ac:dyDescent="0.35">
      <c r="A37" s="21">
        <v>28</v>
      </c>
      <c r="B37" s="62"/>
      <c r="C37" s="27"/>
      <c r="D37" s="25"/>
      <c r="E37" s="115"/>
      <c r="F37" s="115"/>
      <c r="G37" s="33" t="str">
        <f t="shared" si="3"/>
        <v/>
      </c>
      <c r="H37" s="59"/>
      <c r="I37" s="25"/>
      <c r="J37" s="25"/>
      <c r="K37" s="25"/>
      <c r="L37" s="25"/>
      <c r="M37" s="25"/>
      <c r="N37" s="25"/>
      <c r="O37" s="25"/>
      <c r="P37" s="25"/>
      <c r="Q37" s="38" t="str">
        <f t="shared" si="0"/>
        <v/>
      </c>
      <c r="R37" s="39" t="str">
        <f t="shared" si="1"/>
        <v/>
      </c>
      <c r="S37" s="40" t="str">
        <f t="shared" si="4"/>
        <v/>
      </c>
      <c r="T37" s="28"/>
      <c r="Y37">
        <f t="shared" si="5"/>
        <v>0</v>
      </c>
      <c r="Z37">
        <f t="shared" si="6"/>
        <v>0</v>
      </c>
      <c r="AA37">
        <f t="shared" si="7"/>
        <v>0</v>
      </c>
      <c r="AB37">
        <f t="shared" si="8"/>
        <v>0</v>
      </c>
      <c r="AC37">
        <f t="shared" si="9"/>
        <v>0</v>
      </c>
      <c r="AD37">
        <f t="shared" si="10"/>
        <v>0</v>
      </c>
      <c r="AE37">
        <f t="shared" si="11"/>
        <v>0</v>
      </c>
      <c r="AF37">
        <f t="shared" si="12"/>
        <v>0</v>
      </c>
    </row>
    <row r="38" spans="1:32" x14ac:dyDescent="0.35">
      <c r="A38" s="21">
        <v>29</v>
      </c>
      <c r="B38" s="62"/>
      <c r="C38" s="27"/>
      <c r="D38" s="25"/>
      <c r="E38" s="115"/>
      <c r="F38" s="115"/>
      <c r="G38" s="33" t="str">
        <f t="shared" si="3"/>
        <v/>
      </c>
      <c r="H38" s="59"/>
      <c r="I38" s="25"/>
      <c r="J38" s="25"/>
      <c r="K38" s="25"/>
      <c r="L38" s="25"/>
      <c r="M38" s="25"/>
      <c r="N38" s="25"/>
      <c r="O38" s="25"/>
      <c r="P38" s="25"/>
      <c r="Q38" s="38" t="str">
        <f t="shared" si="0"/>
        <v/>
      </c>
      <c r="R38" s="39" t="str">
        <f t="shared" si="1"/>
        <v/>
      </c>
      <c r="S38" s="40" t="str">
        <f t="shared" si="4"/>
        <v/>
      </c>
      <c r="T38" s="28"/>
      <c r="Y38">
        <f t="shared" si="5"/>
        <v>0</v>
      </c>
      <c r="Z38">
        <f t="shared" si="6"/>
        <v>0</v>
      </c>
      <c r="AA38">
        <f t="shared" si="7"/>
        <v>0</v>
      </c>
      <c r="AB38">
        <f t="shared" si="8"/>
        <v>0</v>
      </c>
      <c r="AC38">
        <f t="shared" si="9"/>
        <v>0</v>
      </c>
      <c r="AD38">
        <f t="shared" si="10"/>
        <v>0</v>
      </c>
      <c r="AE38">
        <f t="shared" si="11"/>
        <v>0</v>
      </c>
      <c r="AF38">
        <f t="shared" si="12"/>
        <v>0</v>
      </c>
    </row>
    <row r="39" spans="1:32" x14ac:dyDescent="0.35">
      <c r="A39" s="21">
        <v>30</v>
      </c>
      <c r="B39" s="62"/>
      <c r="C39" s="27"/>
      <c r="D39" s="25"/>
      <c r="E39" s="115"/>
      <c r="F39" s="115"/>
      <c r="G39" s="33" t="str">
        <f t="shared" si="3"/>
        <v/>
      </c>
      <c r="H39" s="59"/>
      <c r="I39" s="25"/>
      <c r="J39" s="25"/>
      <c r="K39" s="25"/>
      <c r="L39" s="25"/>
      <c r="M39" s="25"/>
      <c r="N39" s="25"/>
      <c r="O39" s="25"/>
      <c r="P39" s="25"/>
      <c r="Q39" s="38" t="str">
        <f t="shared" si="0"/>
        <v/>
      </c>
      <c r="R39" s="39" t="str">
        <f t="shared" si="1"/>
        <v/>
      </c>
      <c r="S39" s="40" t="str">
        <f t="shared" si="4"/>
        <v/>
      </c>
      <c r="T39" s="28"/>
      <c r="Y39">
        <f t="shared" si="5"/>
        <v>0</v>
      </c>
      <c r="Z39">
        <f t="shared" si="6"/>
        <v>0</v>
      </c>
      <c r="AA39">
        <f t="shared" si="7"/>
        <v>0</v>
      </c>
      <c r="AB39">
        <f t="shared" si="8"/>
        <v>0</v>
      </c>
      <c r="AC39">
        <f t="shared" si="9"/>
        <v>0</v>
      </c>
      <c r="AD39">
        <f t="shared" si="10"/>
        <v>0</v>
      </c>
      <c r="AE39">
        <f t="shared" si="11"/>
        <v>0</v>
      </c>
      <c r="AF39">
        <f t="shared" si="12"/>
        <v>0</v>
      </c>
    </row>
    <row r="40" spans="1:32" x14ac:dyDescent="0.35">
      <c r="A40" s="21">
        <v>31</v>
      </c>
      <c r="B40" s="62"/>
      <c r="C40" s="27"/>
      <c r="D40" s="25"/>
      <c r="E40" s="115"/>
      <c r="F40" s="115"/>
      <c r="G40" s="33" t="str">
        <f t="shared" si="3"/>
        <v/>
      </c>
      <c r="H40" s="59"/>
      <c r="I40" s="25"/>
      <c r="J40" s="25"/>
      <c r="K40" s="25"/>
      <c r="L40" s="25"/>
      <c r="M40" s="25"/>
      <c r="N40" s="25"/>
      <c r="O40" s="25"/>
      <c r="P40" s="25"/>
      <c r="Q40" s="38" t="str">
        <f t="shared" si="0"/>
        <v/>
      </c>
      <c r="R40" s="39" t="str">
        <f t="shared" si="1"/>
        <v/>
      </c>
      <c r="S40" s="40" t="str">
        <f t="shared" si="4"/>
        <v/>
      </c>
      <c r="T40" s="28"/>
      <c r="Y40">
        <f t="shared" si="5"/>
        <v>0</v>
      </c>
      <c r="Z40">
        <f t="shared" si="6"/>
        <v>0</v>
      </c>
      <c r="AA40">
        <f t="shared" si="7"/>
        <v>0</v>
      </c>
      <c r="AB40">
        <f t="shared" si="8"/>
        <v>0</v>
      </c>
      <c r="AC40">
        <f t="shared" si="9"/>
        <v>0</v>
      </c>
      <c r="AD40">
        <f t="shared" si="10"/>
        <v>0</v>
      </c>
      <c r="AE40">
        <f t="shared" si="11"/>
        <v>0</v>
      </c>
      <c r="AF40">
        <f t="shared" si="12"/>
        <v>0</v>
      </c>
    </row>
    <row r="41" spans="1:32" x14ac:dyDescent="0.35">
      <c r="A41" s="21">
        <v>32</v>
      </c>
      <c r="B41" s="62"/>
      <c r="C41" s="27"/>
      <c r="D41" s="25"/>
      <c r="E41" s="115"/>
      <c r="F41" s="115"/>
      <c r="G41" s="33" t="str">
        <f t="shared" si="3"/>
        <v/>
      </c>
      <c r="H41" s="59"/>
      <c r="I41" s="25"/>
      <c r="J41" s="25"/>
      <c r="K41" s="25"/>
      <c r="L41" s="25"/>
      <c r="M41" s="25"/>
      <c r="N41" s="25"/>
      <c r="O41" s="25"/>
      <c r="P41" s="25"/>
      <c r="Q41" s="38" t="str">
        <f t="shared" si="0"/>
        <v/>
      </c>
      <c r="R41" s="39" t="str">
        <f t="shared" si="1"/>
        <v/>
      </c>
      <c r="S41" s="40" t="str">
        <f t="shared" si="4"/>
        <v/>
      </c>
      <c r="T41" s="28"/>
      <c r="Y41">
        <f t="shared" si="5"/>
        <v>0</v>
      </c>
      <c r="Z41">
        <f t="shared" si="6"/>
        <v>0</v>
      </c>
      <c r="AA41">
        <f t="shared" si="7"/>
        <v>0</v>
      </c>
      <c r="AB41">
        <f t="shared" si="8"/>
        <v>0</v>
      </c>
      <c r="AC41">
        <f t="shared" si="9"/>
        <v>0</v>
      </c>
      <c r="AD41">
        <f t="shared" si="10"/>
        <v>0</v>
      </c>
      <c r="AE41">
        <f t="shared" si="11"/>
        <v>0</v>
      </c>
      <c r="AF41">
        <f t="shared" si="12"/>
        <v>0</v>
      </c>
    </row>
    <row r="42" spans="1:32" x14ac:dyDescent="0.35">
      <c r="A42" s="21">
        <v>33</v>
      </c>
      <c r="B42" s="62"/>
      <c r="C42" s="27"/>
      <c r="D42" s="25"/>
      <c r="E42" s="115"/>
      <c r="F42" s="115"/>
      <c r="G42" s="33" t="str">
        <f t="shared" si="3"/>
        <v/>
      </c>
      <c r="H42" s="59"/>
      <c r="I42" s="25"/>
      <c r="J42" s="25"/>
      <c r="K42" s="25"/>
      <c r="L42" s="25"/>
      <c r="M42" s="25"/>
      <c r="N42" s="25"/>
      <c r="O42" s="25"/>
      <c r="P42" s="25"/>
      <c r="Q42" s="38" t="str">
        <f t="shared" ref="Q42:Q73" si="13">IF(C42&lt;&gt;"",SUM(I42:P42),"")</f>
        <v/>
      </c>
      <c r="R42" s="39" t="str">
        <f t="shared" ref="R42:R73" si="14">IF(AND(Q42&gt;0,C42&lt;&gt;""),Q42/Q$9,"")</f>
        <v/>
      </c>
      <c r="S42" s="40" t="str">
        <f t="shared" si="4"/>
        <v/>
      </c>
      <c r="T42" s="28"/>
      <c r="Y42">
        <f t="shared" si="5"/>
        <v>0</v>
      </c>
      <c r="Z42">
        <f t="shared" si="6"/>
        <v>0</v>
      </c>
      <c r="AA42">
        <f t="shared" si="7"/>
        <v>0</v>
      </c>
      <c r="AB42">
        <f t="shared" si="8"/>
        <v>0</v>
      </c>
      <c r="AC42">
        <f t="shared" si="9"/>
        <v>0</v>
      </c>
      <c r="AD42">
        <f t="shared" si="10"/>
        <v>0</v>
      </c>
      <c r="AE42">
        <f t="shared" si="11"/>
        <v>0</v>
      </c>
      <c r="AF42">
        <f t="shared" si="12"/>
        <v>0</v>
      </c>
    </row>
    <row r="43" spans="1:32" x14ac:dyDescent="0.35">
      <c r="A43" s="21">
        <v>34</v>
      </c>
      <c r="B43" s="62"/>
      <c r="C43" s="27"/>
      <c r="D43" s="25"/>
      <c r="E43" s="115"/>
      <c r="F43" s="115"/>
      <c r="G43" s="33" t="str">
        <f t="shared" si="3"/>
        <v/>
      </c>
      <c r="H43" s="59"/>
      <c r="I43" s="25"/>
      <c r="J43" s="25"/>
      <c r="K43" s="25"/>
      <c r="L43" s="25"/>
      <c r="M43" s="25"/>
      <c r="N43" s="25"/>
      <c r="O43" s="25"/>
      <c r="P43" s="25"/>
      <c r="Q43" s="38" t="str">
        <f t="shared" si="13"/>
        <v/>
      </c>
      <c r="R43" s="39" t="str">
        <f t="shared" si="14"/>
        <v/>
      </c>
      <c r="S43" s="40" t="str">
        <f t="shared" si="4"/>
        <v/>
      </c>
      <c r="T43" s="28"/>
      <c r="Y43">
        <f t="shared" si="5"/>
        <v>0</v>
      </c>
      <c r="Z43">
        <f t="shared" si="6"/>
        <v>0</v>
      </c>
      <c r="AA43">
        <f t="shared" si="7"/>
        <v>0</v>
      </c>
      <c r="AB43">
        <f t="shared" si="8"/>
        <v>0</v>
      </c>
      <c r="AC43">
        <f t="shared" si="9"/>
        <v>0</v>
      </c>
      <c r="AD43">
        <f t="shared" si="10"/>
        <v>0</v>
      </c>
      <c r="AE43">
        <f t="shared" si="11"/>
        <v>0</v>
      </c>
      <c r="AF43">
        <f t="shared" si="12"/>
        <v>0</v>
      </c>
    </row>
    <row r="44" spans="1:32" x14ac:dyDescent="0.35">
      <c r="A44" s="21">
        <v>35</v>
      </c>
      <c r="B44" s="62"/>
      <c r="C44" s="27"/>
      <c r="D44" s="25"/>
      <c r="E44" s="115"/>
      <c r="F44" s="115"/>
      <c r="G44" s="33" t="str">
        <f t="shared" si="3"/>
        <v/>
      </c>
      <c r="H44" s="59"/>
      <c r="I44" s="25"/>
      <c r="J44" s="25"/>
      <c r="K44" s="25"/>
      <c r="L44" s="25"/>
      <c r="M44" s="25"/>
      <c r="N44" s="25"/>
      <c r="O44" s="25"/>
      <c r="P44" s="25"/>
      <c r="Q44" s="38" t="str">
        <f t="shared" si="13"/>
        <v/>
      </c>
      <c r="R44" s="39" t="str">
        <f t="shared" si="14"/>
        <v/>
      </c>
      <c r="S44" s="40" t="str">
        <f t="shared" si="4"/>
        <v/>
      </c>
      <c r="T44" s="28"/>
      <c r="Y44">
        <f t="shared" si="5"/>
        <v>0</v>
      </c>
      <c r="Z44">
        <f t="shared" si="6"/>
        <v>0</v>
      </c>
      <c r="AA44">
        <f t="shared" si="7"/>
        <v>0</v>
      </c>
      <c r="AB44">
        <f t="shared" si="8"/>
        <v>0</v>
      </c>
      <c r="AC44">
        <f t="shared" si="9"/>
        <v>0</v>
      </c>
      <c r="AD44">
        <f t="shared" si="10"/>
        <v>0</v>
      </c>
      <c r="AE44">
        <f t="shared" si="11"/>
        <v>0</v>
      </c>
      <c r="AF44">
        <f t="shared" si="12"/>
        <v>0</v>
      </c>
    </row>
    <row r="45" spans="1:32" x14ac:dyDescent="0.35">
      <c r="A45" s="21">
        <v>36</v>
      </c>
      <c r="B45" s="62"/>
      <c r="C45" s="27"/>
      <c r="D45" s="25"/>
      <c r="E45" s="115"/>
      <c r="F45" s="115"/>
      <c r="G45" s="33" t="str">
        <f t="shared" si="3"/>
        <v/>
      </c>
      <c r="H45" s="59"/>
      <c r="I45" s="25"/>
      <c r="J45" s="25"/>
      <c r="K45" s="25"/>
      <c r="L45" s="25"/>
      <c r="M45" s="25"/>
      <c r="N45" s="25"/>
      <c r="O45" s="25"/>
      <c r="P45" s="25"/>
      <c r="Q45" s="38" t="str">
        <f t="shared" si="13"/>
        <v/>
      </c>
      <c r="R45" s="39" t="str">
        <f t="shared" si="14"/>
        <v/>
      </c>
      <c r="S45" s="40" t="str">
        <f t="shared" si="4"/>
        <v/>
      </c>
      <c r="T45" s="28"/>
      <c r="Y45">
        <f t="shared" si="5"/>
        <v>0</v>
      </c>
      <c r="Z45">
        <f t="shared" si="6"/>
        <v>0</v>
      </c>
      <c r="AA45">
        <f t="shared" si="7"/>
        <v>0</v>
      </c>
      <c r="AB45">
        <f t="shared" si="8"/>
        <v>0</v>
      </c>
      <c r="AC45">
        <f t="shared" si="9"/>
        <v>0</v>
      </c>
      <c r="AD45">
        <f t="shared" si="10"/>
        <v>0</v>
      </c>
      <c r="AE45">
        <f t="shared" si="11"/>
        <v>0</v>
      </c>
      <c r="AF45">
        <f t="shared" si="12"/>
        <v>0</v>
      </c>
    </row>
    <row r="46" spans="1:32" x14ac:dyDescent="0.35">
      <c r="A46" s="21">
        <v>37</v>
      </c>
      <c r="B46" s="62"/>
      <c r="C46" s="27"/>
      <c r="D46" s="25"/>
      <c r="E46" s="115"/>
      <c r="F46" s="115"/>
      <c r="G46" s="33" t="str">
        <f t="shared" si="3"/>
        <v/>
      </c>
      <c r="H46" s="59"/>
      <c r="I46" s="25"/>
      <c r="J46" s="25"/>
      <c r="K46" s="25"/>
      <c r="L46" s="25"/>
      <c r="M46" s="25"/>
      <c r="N46" s="25"/>
      <c r="O46" s="25"/>
      <c r="P46" s="25"/>
      <c r="Q46" s="38" t="str">
        <f t="shared" si="13"/>
        <v/>
      </c>
      <c r="R46" s="39" t="str">
        <f t="shared" si="14"/>
        <v/>
      </c>
      <c r="S46" s="40" t="str">
        <f t="shared" si="4"/>
        <v/>
      </c>
      <c r="T46" s="28"/>
      <c r="Y46">
        <f t="shared" si="5"/>
        <v>0</v>
      </c>
      <c r="Z46">
        <f t="shared" si="6"/>
        <v>0</v>
      </c>
      <c r="AA46">
        <f t="shared" si="7"/>
        <v>0</v>
      </c>
      <c r="AB46">
        <f t="shared" si="8"/>
        <v>0</v>
      </c>
      <c r="AC46">
        <f t="shared" si="9"/>
        <v>0</v>
      </c>
      <c r="AD46">
        <f t="shared" si="10"/>
        <v>0</v>
      </c>
      <c r="AE46">
        <f t="shared" si="11"/>
        <v>0</v>
      </c>
      <c r="AF46">
        <f t="shared" si="12"/>
        <v>0</v>
      </c>
    </row>
    <row r="47" spans="1:32" x14ac:dyDescent="0.35">
      <c r="A47" s="21">
        <v>38</v>
      </c>
      <c r="B47" s="62"/>
      <c r="C47" s="27"/>
      <c r="D47" s="25"/>
      <c r="E47" s="115"/>
      <c r="F47" s="115"/>
      <c r="G47" s="33" t="str">
        <f t="shared" si="3"/>
        <v/>
      </c>
      <c r="H47" s="59"/>
      <c r="I47" s="25"/>
      <c r="J47" s="25"/>
      <c r="K47" s="25"/>
      <c r="L47" s="25"/>
      <c r="M47" s="25"/>
      <c r="N47" s="25"/>
      <c r="O47" s="25"/>
      <c r="P47" s="25"/>
      <c r="Q47" s="38" t="str">
        <f t="shared" si="13"/>
        <v/>
      </c>
      <c r="R47" s="39" t="str">
        <f t="shared" si="14"/>
        <v/>
      </c>
      <c r="S47" s="40" t="str">
        <f t="shared" si="4"/>
        <v/>
      </c>
      <c r="T47" s="28"/>
      <c r="Y47">
        <f t="shared" si="5"/>
        <v>0</v>
      </c>
      <c r="Z47">
        <f t="shared" si="6"/>
        <v>0</v>
      </c>
      <c r="AA47">
        <f t="shared" si="7"/>
        <v>0</v>
      </c>
      <c r="AB47">
        <f t="shared" si="8"/>
        <v>0</v>
      </c>
      <c r="AC47">
        <f t="shared" si="9"/>
        <v>0</v>
      </c>
      <c r="AD47">
        <f t="shared" si="10"/>
        <v>0</v>
      </c>
      <c r="AE47">
        <f t="shared" si="11"/>
        <v>0</v>
      </c>
      <c r="AF47">
        <f t="shared" si="12"/>
        <v>0</v>
      </c>
    </row>
    <row r="48" spans="1:32" x14ac:dyDescent="0.35">
      <c r="A48" s="21">
        <v>39</v>
      </c>
      <c r="B48" s="62"/>
      <c r="C48" s="27"/>
      <c r="D48" s="25"/>
      <c r="E48" s="115"/>
      <c r="F48" s="115"/>
      <c r="G48" s="33" t="str">
        <f t="shared" si="3"/>
        <v/>
      </c>
      <c r="H48" s="59"/>
      <c r="I48" s="25"/>
      <c r="J48" s="25"/>
      <c r="K48" s="25"/>
      <c r="L48" s="25"/>
      <c r="M48" s="25"/>
      <c r="N48" s="25"/>
      <c r="O48" s="25"/>
      <c r="P48" s="25"/>
      <c r="Q48" s="38" t="str">
        <f t="shared" si="13"/>
        <v/>
      </c>
      <c r="R48" s="39" t="str">
        <f t="shared" si="14"/>
        <v/>
      </c>
      <c r="S48" s="40" t="str">
        <f t="shared" si="4"/>
        <v/>
      </c>
      <c r="T48" s="28"/>
      <c r="Y48">
        <f t="shared" si="5"/>
        <v>0</v>
      </c>
      <c r="Z48">
        <f t="shared" si="6"/>
        <v>0</v>
      </c>
      <c r="AA48">
        <f t="shared" si="7"/>
        <v>0</v>
      </c>
      <c r="AB48">
        <f t="shared" si="8"/>
        <v>0</v>
      </c>
      <c r="AC48">
        <f t="shared" si="9"/>
        <v>0</v>
      </c>
      <c r="AD48">
        <f t="shared" si="10"/>
        <v>0</v>
      </c>
      <c r="AE48">
        <f t="shared" si="11"/>
        <v>0</v>
      </c>
      <c r="AF48">
        <f t="shared" si="12"/>
        <v>0</v>
      </c>
    </row>
    <row r="49" spans="1:32" x14ac:dyDescent="0.35">
      <c r="A49" s="21">
        <v>40</v>
      </c>
      <c r="B49" s="62"/>
      <c r="C49" s="27"/>
      <c r="D49" s="25"/>
      <c r="E49" s="115"/>
      <c r="F49" s="115"/>
      <c r="G49" s="33" t="str">
        <f t="shared" si="3"/>
        <v/>
      </c>
      <c r="H49" s="59"/>
      <c r="I49" s="25"/>
      <c r="J49" s="25"/>
      <c r="K49" s="25"/>
      <c r="L49" s="25"/>
      <c r="M49" s="25"/>
      <c r="N49" s="25"/>
      <c r="O49" s="25"/>
      <c r="P49" s="25"/>
      <c r="Q49" s="38" t="str">
        <f t="shared" si="13"/>
        <v/>
      </c>
      <c r="R49" s="39" t="str">
        <f t="shared" si="14"/>
        <v/>
      </c>
      <c r="S49" s="40" t="str">
        <f t="shared" si="4"/>
        <v/>
      </c>
      <c r="T49" s="28"/>
      <c r="Y49">
        <f t="shared" si="5"/>
        <v>0</v>
      </c>
      <c r="Z49">
        <f t="shared" si="6"/>
        <v>0</v>
      </c>
      <c r="AA49">
        <f t="shared" si="7"/>
        <v>0</v>
      </c>
      <c r="AB49">
        <f t="shared" si="8"/>
        <v>0</v>
      </c>
      <c r="AC49">
        <f t="shared" si="9"/>
        <v>0</v>
      </c>
      <c r="AD49">
        <f t="shared" si="10"/>
        <v>0</v>
      </c>
      <c r="AE49">
        <f t="shared" si="11"/>
        <v>0</v>
      </c>
      <c r="AF49">
        <f t="shared" si="12"/>
        <v>0</v>
      </c>
    </row>
    <row r="50" spans="1:32" x14ac:dyDescent="0.35">
      <c r="A50" s="21">
        <v>41</v>
      </c>
      <c r="B50" s="62"/>
      <c r="C50" s="27"/>
      <c r="D50" s="25"/>
      <c r="E50" s="115"/>
      <c r="F50" s="115"/>
      <c r="G50" s="33" t="str">
        <f t="shared" si="3"/>
        <v/>
      </c>
      <c r="H50" s="59"/>
      <c r="I50" s="25"/>
      <c r="J50" s="25"/>
      <c r="K50" s="25"/>
      <c r="L50" s="25"/>
      <c r="M50" s="25"/>
      <c r="N50" s="25"/>
      <c r="O50" s="25"/>
      <c r="P50" s="25"/>
      <c r="Q50" s="38" t="str">
        <f t="shared" si="13"/>
        <v/>
      </c>
      <c r="R50" s="39" t="str">
        <f t="shared" si="14"/>
        <v/>
      </c>
      <c r="S50" s="40" t="str">
        <f t="shared" si="4"/>
        <v/>
      </c>
      <c r="T50" s="28"/>
      <c r="Y50">
        <f t="shared" si="5"/>
        <v>0</v>
      </c>
      <c r="Z50">
        <f t="shared" si="6"/>
        <v>0</v>
      </c>
      <c r="AA50">
        <f t="shared" si="7"/>
        <v>0</v>
      </c>
      <c r="AB50">
        <f t="shared" si="8"/>
        <v>0</v>
      </c>
      <c r="AC50">
        <f t="shared" si="9"/>
        <v>0</v>
      </c>
      <c r="AD50">
        <f t="shared" si="10"/>
        <v>0</v>
      </c>
      <c r="AE50">
        <f t="shared" si="11"/>
        <v>0</v>
      </c>
      <c r="AF50">
        <f t="shared" si="12"/>
        <v>0</v>
      </c>
    </row>
    <row r="51" spans="1:32" x14ac:dyDescent="0.35">
      <c r="A51" s="21">
        <v>42</v>
      </c>
      <c r="B51" s="62"/>
      <c r="C51" s="27"/>
      <c r="D51" s="25"/>
      <c r="E51" s="115"/>
      <c r="F51" s="115"/>
      <c r="G51" s="33" t="str">
        <f t="shared" si="3"/>
        <v/>
      </c>
      <c r="H51" s="59"/>
      <c r="I51" s="25"/>
      <c r="J51" s="25"/>
      <c r="K51" s="25"/>
      <c r="L51" s="25"/>
      <c r="M51" s="25"/>
      <c r="N51" s="25"/>
      <c r="O51" s="25"/>
      <c r="P51" s="25"/>
      <c r="Q51" s="38" t="str">
        <f t="shared" si="13"/>
        <v/>
      </c>
      <c r="R51" s="39" t="str">
        <f t="shared" si="14"/>
        <v/>
      </c>
      <c r="S51" s="40" t="str">
        <f t="shared" si="4"/>
        <v/>
      </c>
      <c r="T51" s="28"/>
      <c r="Y51">
        <f t="shared" si="5"/>
        <v>0</v>
      </c>
      <c r="Z51">
        <f t="shared" si="6"/>
        <v>0</v>
      </c>
      <c r="AA51">
        <f t="shared" si="7"/>
        <v>0</v>
      </c>
      <c r="AB51">
        <f t="shared" si="8"/>
        <v>0</v>
      </c>
      <c r="AC51">
        <f t="shared" si="9"/>
        <v>0</v>
      </c>
      <c r="AD51">
        <f t="shared" si="10"/>
        <v>0</v>
      </c>
      <c r="AE51">
        <f t="shared" si="11"/>
        <v>0</v>
      </c>
      <c r="AF51">
        <f t="shared" si="12"/>
        <v>0</v>
      </c>
    </row>
    <row r="52" spans="1:32" x14ac:dyDescent="0.35">
      <c r="A52" s="21">
        <v>43</v>
      </c>
      <c r="B52" s="62"/>
      <c r="C52" s="27"/>
      <c r="D52" s="25"/>
      <c r="E52" s="115"/>
      <c r="F52" s="115"/>
      <c r="G52" s="33" t="str">
        <f t="shared" si="3"/>
        <v/>
      </c>
      <c r="H52" s="59"/>
      <c r="I52" s="25"/>
      <c r="J52" s="25"/>
      <c r="K52" s="25"/>
      <c r="L52" s="25"/>
      <c r="M52" s="25"/>
      <c r="N52" s="25"/>
      <c r="O52" s="25"/>
      <c r="P52" s="25"/>
      <c r="Q52" s="38" t="str">
        <f t="shared" si="13"/>
        <v/>
      </c>
      <c r="R52" s="39" t="str">
        <f t="shared" si="14"/>
        <v/>
      </c>
      <c r="S52" s="40" t="str">
        <f t="shared" si="4"/>
        <v/>
      </c>
      <c r="T52" s="28"/>
      <c r="Y52">
        <f t="shared" si="5"/>
        <v>0</v>
      </c>
      <c r="Z52">
        <f t="shared" si="6"/>
        <v>0</v>
      </c>
      <c r="AA52">
        <f t="shared" si="7"/>
        <v>0</v>
      </c>
      <c r="AB52">
        <f t="shared" si="8"/>
        <v>0</v>
      </c>
      <c r="AC52">
        <f t="shared" si="9"/>
        <v>0</v>
      </c>
      <c r="AD52">
        <f t="shared" si="10"/>
        <v>0</v>
      </c>
      <c r="AE52">
        <f t="shared" si="11"/>
        <v>0</v>
      </c>
      <c r="AF52">
        <f t="shared" si="12"/>
        <v>0</v>
      </c>
    </row>
    <row r="53" spans="1:32" x14ac:dyDescent="0.35">
      <c r="A53" s="21">
        <v>44</v>
      </c>
      <c r="B53" s="62"/>
      <c r="C53" s="27"/>
      <c r="D53" s="25"/>
      <c r="E53" s="115"/>
      <c r="F53" s="115"/>
      <c r="G53" s="33" t="str">
        <f t="shared" si="3"/>
        <v/>
      </c>
      <c r="H53" s="59"/>
      <c r="I53" s="25"/>
      <c r="J53" s="25"/>
      <c r="K53" s="25"/>
      <c r="L53" s="25"/>
      <c r="M53" s="25"/>
      <c r="N53" s="25"/>
      <c r="O53" s="25"/>
      <c r="P53" s="25"/>
      <c r="Q53" s="38" t="str">
        <f t="shared" si="13"/>
        <v/>
      </c>
      <c r="R53" s="39" t="str">
        <f t="shared" si="14"/>
        <v/>
      </c>
      <c r="S53" s="40" t="str">
        <f t="shared" si="4"/>
        <v/>
      </c>
      <c r="T53" s="28"/>
      <c r="Y53">
        <f t="shared" si="5"/>
        <v>0</v>
      </c>
      <c r="Z53">
        <f t="shared" si="6"/>
        <v>0</v>
      </c>
      <c r="AA53">
        <f t="shared" si="7"/>
        <v>0</v>
      </c>
      <c r="AB53">
        <f t="shared" si="8"/>
        <v>0</v>
      </c>
      <c r="AC53">
        <f t="shared" si="9"/>
        <v>0</v>
      </c>
      <c r="AD53">
        <f t="shared" si="10"/>
        <v>0</v>
      </c>
      <c r="AE53">
        <f t="shared" si="11"/>
        <v>0</v>
      </c>
      <c r="AF53">
        <f t="shared" si="12"/>
        <v>0</v>
      </c>
    </row>
    <row r="54" spans="1:32" x14ac:dyDescent="0.35">
      <c r="A54" s="21">
        <v>45</v>
      </c>
      <c r="B54" s="62"/>
      <c r="C54" s="27"/>
      <c r="D54" s="25"/>
      <c r="E54" s="115"/>
      <c r="F54" s="115"/>
      <c r="G54" s="33" t="str">
        <f t="shared" si="3"/>
        <v/>
      </c>
      <c r="H54" s="59"/>
      <c r="I54" s="25"/>
      <c r="J54" s="25"/>
      <c r="K54" s="25"/>
      <c r="L54" s="25"/>
      <c r="M54" s="25"/>
      <c r="N54" s="25"/>
      <c r="O54" s="25"/>
      <c r="P54" s="25"/>
      <c r="Q54" s="38" t="str">
        <f t="shared" si="13"/>
        <v/>
      </c>
      <c r="R54" s="39" t="str">
        <f t="shared" si="14"/>
        <v/>
      </c>
      <c r="S54" s="40" t="str">
        <f t="shared" si="4"/>
        <v/>
      </c>
      <c r="T54" s="28"/>
      <c r="Y54">
        <f t="shared" si="5"/>
        <v>0</v>
      </c>
      <c r="Z54">
        <f t="shared" si="6"/>
        <v>0</v>
      </c>
      <c r="AA54">
        <f t="shared" si="7"/>
        <v>0</v>
      </c>
      <c r="AB54">
        <f t="shared" si="8"/>
        <v>0</v>
      </c>
      <c r="AC54">
        <f t="shared" si="9"/>
        <v>0</v>
      </c>
      <c r="AD54">
        <f t="shared" si="10"/>
        <v>0</v>
      </c>
      <c r="AE54">
        <f t="shared" si="11"/>
        <v>0</v>
      </c>
      <c r="AF54">
        <f t="shared" si="12"/>
        <v>0</v>
      </c>
    </row>
    <row r="55" spans="1:32" x14ac:dyDescent="0.35">
      <c r="A55" s="21">
        <v>46</v>
      </c>
      <c r="B55" s="62"/>
      <c r="C55" s="27"/>
      <c r="D55" s="25"/>
      <c r="E55" s="115"/>
      <c r="F55" s="115"/>
      <c r="G55" s="33" t="str">
        <f t="shared" si="3"/>
        <v/>
      </c>
      <c r="H55" s="59"/>
      <c r="I55" s="25"/>
      <c r="J55" s="25"/>
      <c r="K55" s="25"/>
      <c r="L55" s="25"/>
      <c r="M55" s="25"/>
      <c r="N55" s="25"/>
      <c r="O55" s="25"/>
      <c r="P55" s="25"/>
      <c r="Q55" s="38" t="str">
        <f t="shared" si="13"/>
        <v/>
      </c>
      <c r="R55" s="39" t="str">
        <f t="shared" si="14"/>
        <v/>
      </c>
      <c r="S55" s="40" t="str">
        <f t="shared" si="4"/>
        <v/>
      </c>
      <c r="T55" s="28"/>
      <c r="Y55">
        <f t="shared" si="5"/>
        <v>0</v>
      </c>
      <c r="Z55">
        <f t="shared" si="6"/>
        <v>0</v>
      </c>
      <c r="AA55">
        <f t="shared" si="7"/>
        <v>0</v>
      </c>
      <c r="AB55">
        <f t="shared" si="8"/>
        <v>0</v>
      </c>
      <c r="AC55">
        <f t="shared" si="9"/>
        <v>0</v>
      </c>
      <c r="AD55">
        <f t="shared" si="10"/>
        <v>0</v>
      </c>
      <c r="AE55">
        <f t="shared" si="11"/>
        <v>0</v>
      </c>
      <c r="AF55">
        <f t="shared" si="12"/>
        <v>0</v>
      </c>
    </row>
    <row r="56" spans="1:32" x14ac:dyDescent="0.35">
      <c r="A56" s="21">
        <v>47</v>
      </c>
      <c r="B56" s="62"/>
      <c r="C56" s="27"/>
      <c r="D56" s="25"/>
      <c r="E56" s="115"/>
      <c r="F56" s="115"/>
      <c r="G56" s="33" t="str">
        <f t="shared" si="3"/>
        <v/>
      </c>
      <c r="H56" s="59"/>
      <c r="I56" s="25"/>
      <c r="J56" s="25"/>
      <c r="K56" s="25"/>
      <c r="L56" s="25"/>
      <c r="M56" s="25"/>
      <c r="N56" s="25"/>
      <c r="O56" s="25"/>
      <c r="P56" s="25"/>
      <c r="Q56" s="38" t="str">
        <f t="shared" si="13"/>
        <v/>
      </c>
      <c r="R56" s="39" t="str">
        <f t="shared" si="14"/>
        <v/>
      </c>
      <c r="S56" s="40" t="str">
        <f t="shared" si="4"/>
        <v/>
      </c>
      <c r="T56" s="28"/>
      <c r="Y56">
        <f t="shared" si="5"/>
        <v>0</v>
      </c>
      <c r="Z56">
        <f t="shared" si="6"/>
        <v>0</v>
      </c>
      <c r="AA56">
        <f t="shared" si="7"/>
        <v>0</v>
      </c>
      <c r="AB56">
        <f t="shared" si="8"/>
        <v>0</v>
      </c>
      <c r="AC56">
        <f t="shared" si="9"/>
        <v>0</v>
      </c>
      <c r="AD56">
        <f t="shared" si="10"/>
        <v>0</v>
      </c>
      <c r="AE56">
        <f t="shared" si="11"/>
        <v>0</v>
      </c>
      <c r="AF56">
        <f t="shared" si="12"/>
        <v>0</v>
      </c>
    </row>
    <row r="57" spans="1:32" x14ac:dyDescent="0.35">
      <c r="A57" s="21">
        <v>48</v>
      </c>
      <c r="B57" s="62"/>
      <c r="C57" s="27"/>
      <c r="D57" s="25"/>
      <c r="E57" s="115"/>
      <c r="F57" s="115"/>
      <c r="G57" s="33" t="str">
        <f t="shared" si="3"/>
        <v/>
      </c>
      <c r="H57" s="59"/>
      <c r="I57" s="25"/>
      <c r="J57" s="25"/>
      <c r="K57" s="25"/>
      <c r="L57" s="25"/>
      <c r="M57" s="25"/>
      <c r="N57" s="25"/>
      <c r="O57" s="25"/>
      <c r="P57" s="25"/>
      <c r="Q57" s="38" t="str">
        <f t="shared" si="13"/>
        <v/>
      </c>
      <c r="R57" s="39" t="str">
        <f t="shared" si="14"/>
        <v/>
      </c>
      <c r="S57" s="40" t="str">
        <f t="shared" si="4"/>
        <v/>
      </c>
      <c r="T57" s="28"/>
      <c r="Y57">
        <f t="shared" si="5"/>
        <v>0</v>
      </c>
      <c r="Z57">
        <f t="shared" si="6"/>
        <v>0</v>
      </c>
      <c r="AA57">
        <f t="shared" si="7"/>
        <v>0</v>
      </c>
      <c r="AB57">
        <f t="shared" si="8"/>
        <v>0</v>
      </c>
      <c r="AC57">
        <f t="shared" si="9"/>
        <v>0</v>
      </c>
      <c r="AD57">
        <f t="shared" si="10"/>
        <v>0</v>
      </c>
      <c r="AE57">
        <f t="shared" si="11"/>
        <v>0</v>
      </c>
      <c r="AF57">
        <f t="shared" si="12"/>
        <v>0</v>
      </c>
    </row>
    <row r="58" spans="1:32" x14ac:dyDescent="0.35">
      <c r="A58" s="21">
        <v>49</v>
      </c>
      <c r="B58" s="62"/>
      <c r="C58" s="27"/>
      <c r="D58" s="25"/>
      <c r="E58" s="115"/>
      <c r="F58" s="115"/>
      <c r="G58" s="33" t="str">
        <f t="shared" si="3"/>
        <v/>
      </c>
      <c r="H58" s="59"/>
      <c r="I58" s="25"/>
      <c r="J58" s="25"/>
      <c r="K58" s="25"/>
      <c r="L58" s="25"/>
      <c r="M58" s="25"/>
      <c r="N58" s="25"/>
      <c r="O58" s="25"/>
      <c r="P58" s="25"/>
      <c r="Q58" s="38" t="str">
        <f t="shared" si="13"/>
        <v/>
      </c>
      <c r="R58" s="39" t="str">
        <f t="shared" si="14"/>
        <v/>
      </c>
      <c r="S58" s="40" t="str">
        <f t="shared" si="4"/>
        <v/>
      </c>
      <c r="T58" s="28"/>
      <c r="Y58">
        <f t="shared" si="5"/>
        <v>0</v>
      </c>
      <c r="Z58">
        <f t="shared" si="6"/>
        <v>0</v>
      </c>
      <c r="AA58">
        <f t="shared" si="7"/>
        <v>0</v>
      </c>
      <c r="AB58">
        <f t="shared" si="8"/>
        <v>0</v>
      </c>
      <c r="AC58">
        <f t="shared" si="9"/>
        <v>0</v>
      </c>
      <c r="AD58">
        <f t="shared" si="10"/>
        <v>0</v>
      </c>
      <c r="AE58">
        <f t="shared" si="11"/>
        <v>0</v>
      </c>
      <c r="AF58">
        <f t="shared" si="12"/>
        <v>0</v>
      </c>
    </row>
    <row r="59" spans="1:32" x14ac:dyDescent="0.35">
      <c r="A59" s="21">
        <v>50</v>
      </c>
      <c r="B59" s="62"/>
      <c r="C59" s="27"/>
      <c r="D59" s="25"/>
      <c r="E59" s="115"/>
      <c r="F59" s="115"/>
      <c r="G59" s="33" t="str">
        <f t="shared" si="3"/>
        <v/>
      </c>
      <c r="H59" s="59"/>
      <c r="I59" s="25"/>
      <c r="J59" s="25"/>
      <c r="K59" s="25"/>
      <c r="L59" s="25"/>
      <c r="M59" s="25"/>
      <c r="N59" s="25"/>
      <c r="O59" s="25"/>
      <c r="P59" s="25"/>
      <c r="Q59" s="38" t="str">
        <f t="shared" si="13"/>
        <v/>
      </c>
      <c r="R59" s="39" t="str">
        <f t="shared" si="14"/>
        <v/>
      </c>
      <c r="S59" s="40" t="str">
        <f t="shared" si="4"/>
        <v/>
      </c>
      <c r="T59" s="28"/>
      <c r="Y59">
        <f t="shared" si="5"/>
        <v>0</v>
      </c>
      <c r="Z59">
        <f t="shared" si="6"/>
        <v>0</v>
      </c>
      <c r="AA59">
        <f t="shared" si="7"/>
        <v>0</v>
      </c>
      <c r="AB59">
        <f t="shared" si="8"/>
        <v>0</v>
      </c>
      <c r="AC59">
        <f t="shared" si="9"/>
        <v>0</v>
      </c>
      <c r="AD59">
        <f t="shared" si="10"/>
        <v>0</v>
      </c>
      <c r="AE59">
        <f t="shared" si="11"/>
        <v>0</v>
      </c>
      <c r="AF59">
        <f t="shared" si="12"/>
        <v>0</v>
      </c>
    </row>
    <row r="60" spans="1:32" x14ac:dyDescent="0.35">
      <c r="A60" s="21">
        <v>51</v>
      </c>
      <c r="B60" s="62"/>
      <c r="C60" s="27"/>
      <c r="D60" s="25"/>
      <c r="E60" s="115"/>
      <c r="F60" s="115"/>
      <c r="G60" s="33" t="str">
        <f t="shared" si="3"/>
        <v/>
      </c>
      <c r="H60" s="59"/>
      <c r="I60" s="25"/>
      <c r="J60" s="25"/>
      <c r="K60" s="25"/>
      <c r="L60" s="25"/>
      <c r="M60" s="25"/>
      <c r="N60" s="25"/>
      <c r="O60" s="25"/>
      <c r="P60" s="25"/>
      <c r="Q60" s="38" t="str">
        <f t="shared" si="13"/>
        <v/>
      </c>
      <c r="R60" s="39" t="str">
        <f t="shared" si="14"/>
        <v/>
      </c>
      <c r="S60" s="40" t="str">
        <f t="shared" si="4"/>
        <v/>
      </c>
      <c r="T60" s="28"/>
      <c r="Y60">
        <f t="shared" si="5"/>
        <v>0</v>
      </c>
      <c r="Z60">
        <f t="shared" si="6"/>
        <v>0</v>
      </c>
      <c r="AA60">
        <f t="shared" si="7"/>
        <v>0</v>
      </c>
      <c r="AB60">
        <f t="shared" si="8"/>
        <v>0</v>
      </c>
      <c r="AC60">
        <f t="shared" si="9"/>
        <v>0</v>
      </c>
      <c r="AD60">
        <f t="shared" si="10"/>
        <v>0</v>
      </c>
      <c r="AE60">
        <f t="shared" si="11"/>
        <v>0</v>
      </c>
      <c r="AF60">
        <f t="shared" si="12"/>
        <v>0</v>
      </c>
    </row>
    <row r="61" spans="1:32" x14ac:dyDescent="0.35">
      <c r="A61" s="21">
        <v>52</v>
      </c>
      <c r="B61" s="62"/>
      <c r="C61" s="27"/>
      <c r="D61" s="25"/>
      <c r="E61" s="115"/>
      <c r="F61" s="115"/>
      <c r="G61" s="33" t="str">
        <f t="shared" si="3"/>
        <v/>
      </c>
      <c r="H61" s="59"/>
      <c r="I61" s="25"/>
      <c r="J61" s="25"/>
      <c r="K61" s="25"/>
      <c r="L61" s="25"/>
      <c r="M61" s="25"/>
      <c r="N61" s="25"/>
      <c r="O61" s="25"/>
      <c r="P61" s="25"/>
      <c r="Q61" s="38" t="str">
        <f t="shared" si="13"/>
        <v/>
      </c>
      <c r="R61" s="39" t="str">
        <f t="shared" si="14"/>
        <v/>
      </c>
      <c r="S61" s="40" t="str">
        <f t="shared" si="4"/>
        <v/>
      </c>
      <c r="T61" s="28"/>
      <c r="Y61">
        <f t="shared" si="5"/>
        <v>0</v>
      </c>
      <c r="Z61">
        <f t="shared" si="6"/>
        <v>0</v>
      </c>
      <c r="AA61">
        <f t="shared" si="7"/>
        <v>0</v>
      </c>
      <c r="AB61">
        <f t="shared" si="8"/>
        <v>0</v>
      </c>
      <c r="AC61">
        <f t="shared" si="9"/>
        <v>0</v>
      </c>
      <c r="AD61">
        <f t="shared" si="10"/>
        <v>0</v>
      </c>
      <c r="AE61">
        <f t="shared" si="11"/>
        <v>0</v>
      </c>
      <c r="AF61">
        <f t="shared" si="12"/>
        <v>0</v>
      </c>
    </row>
    <row r="62" spans="1:32" x14ac:dyDescent="0.35">
      <c r="A62" s="21">
        <v>53</v>
      </c>
      <c r="B62" s="62"/>
      <c r="C62" s="27"/>
      <c r="D62" s="25"/>
      <c r="E62" s="115"/>
      <c r="F62" s="115"/>
      <c r="G62" s="33" t="str">
        <f t="shared" si="3"/>
        <v/>
      </c>
      <c r="H62" s="59"/>
      <c r="I62" s="25"/>
      <c r="J62" s="25"/>
      <c r="K62" s="25"/>
      <c r="L62" s="25"/>
      <c r="M62" s="25"/>
      <c r="N62" s="25"/>
      <c r="O62" s="25"/>
      <c r="P62" s="25"/>
      <c r="Q62" s="38" t="str">
        <f t="shared" si="13"/>
        <v/>
      </c>
      <c r="R62" s="39" t="str">
        <f t="shared" si="14"/>
        <v/>
      </c>
      <c r="S62" s="40" t="str">
        <f t="shared" si="4"/>
        <v/>
      </c>
      <c r="T62" s="28"/>
      <c r="Y62">
        <f t="shared" si="5"/>
        <v>0</v>
      </c>
      <c r="Z62">
        <f t="shared" si="6"/>
        <v>0</v>
      </c>
      <c r="AA62">
        <f t="shared" si="7"/>
        <v>0</v>
      </c>
      <c r="AB62">
        <f t="shared" si="8"/>
        <v>0</v>
      </c>
      <c r="AC62">
        <f t="shared" si="9"/>
        <v>0</v>
      </c>
      <c r="AD62">
        <f t="shared" si="10"/>
        <v>0</v>
      </c>
      <c r="AE62">
        <f t="shared" si="11"/>
        <v>0</v>
      </c>
      <c r="AF62">
        <f t="shared" si="12"/>
        <v>0</v>
      </c>
    </row>
    <row r="63" spans="1:32" x14ac:dyDescent="0.35">
      <c r="A63" s="21">
        <v>54</v>
      </c>
      <c r="B63" s="62"/>
      <c r="C63" s="27"/>
      <c r="D63" s="25"/>
      <c r="E63" s="115"/>
      <c r="F63" s="115"/>
      <c r="G63" s="33" t="str">
        <f t="shared" si="3"/>
        <v/>
      </c>
      <c r="H63" s="59"/>
      <c r="I63" s="25"/>
      <c r="J63" s="25"/>
      <c r="K63" s="25"/>
      <c r="L63" s="25"/>
      <c r="M63" s="25"/>
      <c r="N63" s="25"/>
      <c r="O63" s="25"/>
      <c r="P63" s="25"/>
      <c r="Q63" s="38" t="str">
        <f t="shared" si="13"/>
        <v/>
      </c>
      <c r="R63" s="39" t="str">
        <f t="shared" si="14"/>
        <v/>
      </c>
      <c r="S63" s="40" t="str">
        <f t="shared" si="4"/>
        <v/>
      </c>
      <c r="T63" s="28"/>
      <c r="Y63">
        <f t="shared" si="5"/>
        <v>0</v>
      </c>
      <c r="Z63">
        <f t="shared" si="6"/>
        <v>0</v>
      </c>
      <c r="AA63">
        <f t="shared" si="7"/>
        <v>0</v>
      </c>
      <c r="AB63">
        <f t="shared" si="8"/>
        <v>0</v>
      </c>
      <c r="AC63">
        <f t="shared" si="9"/>
        <v>0</v>
      </c>
      <c r="AD63">
        <f t="shared" si="10"/>
        <v>0</v>
      </c>
      <c r="AE63">
        <f t="shared" si="11"/>
        <v>0</v>
      </c>
      <c r="AF63">
        <f t="shared" si="12"/>
        <v>0</v>
      </c>
    </row>
    <row r="64" spans="1:32" x14ac:dyDescent="0.35">
      <c r="A64" s="21">
        <v>55</v>
      </c>
      <c r="B64" s="62"/>
      <c r="C64" s="27"/>
      <c r="D64" s="25"/>
      <c r="E64" s="115"/>
      <c r="F64" s="115"/>
      <c r="G64" s="33" t="str">
        <f t="shared" si="3"/>
        <v/>
      </c>
      <c r="H64" s="59"/>
      <c r="I64" s="25"/>
      <c r="J64" s="25"/>
      <c r="K64" s="25"/>
      <c r="L64" s="25"/>
      <c r="M64" s="25"/>
      <c r="N64" s="25"/>
      <c r="O64" s="25"/>
      <c r="P64" s="25"/>
      <c r="Q64" s="38" t="str">
        <f t="shared" si="13"/>
        <v/>
      </c>
      <c r="R64" s="39" t="str">
        <f t="shared" si="14"/>
        <v/>
      </c>
      <c r="S64" s="40" t="str">
        <f t="shared" si="4"/>
        <v/>
      </c>
      <c r="T64" s="28"/>
      <c r="Y64">
        <f t="shared" si="5"/>
        <v>0</v>
      </c>
      <c r="Z64">
        <f t="shared" si="6"/>
        <v>0</v>
      </c>
      <c r="AA64">
        <f t="shared" si="7"/>
        <v>0</v>
      </c>
      <c r="AB64">
        <f t="shared" si="8"/>
        <v>0</v>
      </c>
      <c r="AC64">
        <f t="shared" si="9"/>
        <v>0</v>
      </c>
      <c r="AD64">
        <f t="shared" si="10"/>
        <v>0</v>
      </c>
      <c r="AE64">
        <f t="shared" si="11"/>
        <v>0</v>
      </c>
      <c r="AF64">
        <f t="shared" si="12"/>
        <v>0</v>
      </c>
    </row>
    <row r="65" spans="1:32" x14ac:dyDescent="0.35">
      <c r="A65" s="21">
        <v>56</v>
      </c>
      <c r="B65" s="62"/>
      <c r="C65" s="27"/>
      <c r="D65" s="25"/>
      <c r="E65" s="115"/>
      <c r="F65" s="115"/>
      <c r="G65" s="33" t="str">
        <f t="shared" si="3"/>
        <v/>
      </c>
      <c r="H65" s="59"/>
      <c r="I65" s="25"/>
      <c r="J65" s="25"/>
      <c r="K65" s="25"/>
      <c r="L65" s="25"/>
      <c r="M65" s="25"/>
      <c r="N65" s="25"/>
      <c r="O65" s="25"/>
      <c r="P65" s="25"/>
      <c r="Q65" s="38" t="str">
        <f t="shared" si="13"/>
        <v/>
      </c>
      <c r="R65" s="39" t="str">
        <f t="shared" si="14"/>
        <v/>
      </c>
      <c r="S65" s="40" t="str">
        <f t="shared" si="4"/>
        <v/>
      </c>
      <c r="T65" s="28"/>
      <c r="Y65">
        <f t="shared" si="5"/>
        <v>0</v>
      </c>
      <c r="Z65">
        <f t="shared" si="6"/>
        <v>0</v>
      </c>
      <c r="AA65">
        <f t="shared" si="7"/>
        <v>0</v>
      </c>
      <c r="AB65">
        <f t="shared" si="8"/>
        <v>0</v>
      </c>
      <c r="AC65">
        <f t="shared" si="9"/>
        <v>0</v>
      </c>
      <c r="AD65">
        <f t="shared" si="10"/>
        <v>0</v>
      </c>
      <c r="AE65">
        <f t="shared" si="11"/>
        <v>0</v>
      </c>
      <c r="AF65">
        <f t="shared" si="12"/>
        <v>0</v>
      </c>
    </row>
    <row r="66" spans="1:32" x14ac:dyDescent="0.35">
      <c r="A66" s="21">
        <v>57</v>
      </c>
      <c r="B66" s="62"/>
      <c r="C66" s="27"/>
      <c r="D66" s="25"/>
      <c r="E66" s="115"/>
      <c r="F66" s="115"/>
      <c r="G66" s="33" t="str">
        <f t="shared" si="3"/>
        <v/>
      </c>
      <c r="H66" s="59"/>
      <c r="I66" s="25"/>
      <c r="J66" s="25"/>
      <c r="K66" s="25"/>
      <c r="L66" s="25"/>
      <c r="M66" s="25"/>
      <c r="N66" s="25"/>
      <c r="O66" s="25"/>
      <c r="P66" s="25"/>
      <c r="Q66" s="38" t="str">
        <f t="shared" si="13"/>
        <v/>
      </c>
      <c r="R66" s="39" t="str">
        <f t="shared" si="14"/>
        <v/>
      </c>
      <c r="S66" s="40" t="str">
        <f t="shared" si="4"/>
        <v/>
      </c>
      <c r="T66" s="28"/>
      <c r="Y66">
        <f t="shared" si="5"/>
        <v>0</v>
      </c>
      <c r="Z66">
        <f t="shared" si="6"/>
        <v>0</v>
      </c>
      <c r="AA66">
        <f t="shared" si="7"/>
        <v>0</v>
      </c>
      <c r="AB66">
        <f t="shared" si="8"/>
        <v>0</v>
      </c>
      <c r="AC66">
        <f t="shared" si="9"/>
        <v>0</v>
      </c>
      <c r="AD66">
        <f t="shared" si="10"/>
        <v>0</v>
      </c>
      <c r="AE66">
        <f t="shared" si="11"/>
        <v>0</v>
      </c>
      <c r="AF66">
        <f t="shared" si="12"/>
        <v>0</v>
      </c>
    </row>
    <row r="67" spans="1:32" x14ac:dyDescent="0.35">
      <c r="A67" s="21">
        <v>58</v>
      </c>
      <c r="B67" s="62"/>
      <c r="C67" s="27"/>
      <c r="D67" s="25"/>
      <c r="E67" s="115"/>
      <c r="F67" s="115"/>
      <c r="G67" s="33" t="str">
        <f t="shared" si="3"/>
        <v/>
      </c>
      <c r="H67" s="59"/>
      <c r="I67" s="25"/>
      <c r="J67" s="25"/>
      <c r="K67" s="25"/>
      <c r="L67" s="25"/>
      <c r="M67" s="25"/>
      <c r="N67" s="25"/>
      <c r="O67" s="25"/>
      <c r="P67" s="25"/>
      <c r="Q67" s="38" t="str">
        <f t="shared" si="13"/>
        <v/>
      </c>
      <c r="R67" s="39" t="str">
        <f t="shared" si="14"/>
        <v/>
      </c>
      <c r="S67" s="40" t="str">
        <f t="shared" si="4"/>
        <v/>
      </c>
      <c r="T67" s="28"/>
      <c r="Y67">
        <f t="shared" si="5"/>
        <v>0</v>
      </c>
      <c r="Z67">
        <f t="shared" si="6"/>
        <v>0</v>
      </c>
      <c r="AA67">
        <f t="shared" si="7"/>
        <v>0</v>
      </c>
      <c r="AB67">
        <f t="shared" si="8"/>
        <v>0</v>
      </c>
      <c r="AC67">
        <f t="shared" si="9"/>
        <v>0</v>
      </c>
      <c r="AD67">
        <f t="shared" si="10"/>
        <v>0</v>
      </c>
      <c r="AE67">
        <f t="shared" si="11"/>
        <v>0</v>
      </c>
      <c r="AF67">
        <f t="shared" si="12"/>
        <v>0</v>
      </c>
    </row>
    <row r="68" spans="1:32" x14ac:dyDescent="0.35">
      <c r="A68" s="21">
        <v>59</v>
      </c>
      <c r="B68" s="62"/>
      <c r="C68" s="27"/>
      <c r="D68" s="25"/>
      <c r="E68" s="115"/>
      <c r="F68" s="115"/>
      <c r="G68" s="33" t="str">
        <f t="shared" si="3"/>
        <v/>
      </c>
      <c r="H68" s="59"/>
      <c r="I68" s="25"/>
      <c r="J68" s="25"/>
      <c r="K68" s="25"/>
      <c r="L68" s="25"/>
      <c r="M68" s="25"/>
      <c r="N68" s="25"/>
      <c r="O68" s="25"/>
      <c r="P68" s="25"/>
      <c r="Q68" s="38" t="str">
        <f t="shared" si="13"/>
        <v/>
      </c>
      <c r="R68" s="39" t="str">
        <f t="shared" si="14"/>
        <v/>
      </c>
      <c r="S68" s="40" t="str">
        <f t="shared" si="4"/>
        <v/>
      </c>
      <c r="T68" s="28"/>
      <c r="Y68">
        <f t="shared" si="5"/>
        <v>0</v>
      </c>
      <c r="Z68">
        <f t="shared" si="6"/>
        <v>0</v>
      </c>
      <c r="AA68">
        <f t="shared" si="7"/>
        <v>0</v>
      </c>
      <c r="AB68">
        <f t="shared" si="8"/>
        <v>0</v>
      </c>
      <c r="AC68">
        <f t="shared" si="9"/>
        <v>0</v>
      </c>
      <c r="AD68">
        <f t="shared" si="10"/>
        <v>0</v>
      </c>
      <c r="AE68">
        <f t="shared" si="11"/>
        <v>0</v>
      </c>
      <c r="AF68">
        <f t="shared" si="12"/>
        <v>0</v>
      </c>
    </row>
    <row r="69" spans="1:32" x14ac:dyDescent="0.35">
      <c r="A69" s="21">
        <f>A68+1</f>
        <v>60</v>
      </c>
      <c r="B69" s="62"/>
      <c r="C69" s="27"/>
      <c r="D69" s="25"/>
      <c r="E69" s="115"/>
      <c r="F69" s="115"/>
      <c r="G69" s="33" t="str">
        <f t="shared" si="3"/>
        <v/>
      </c>
      <c r="H69" s="59"/>
      <c r="I69" s="25"/>
      <c r="J69" s="25"/>
      <c r="K69" s="25"/>
      <c r="L69" s="25"/>
      <c r="M69" s="25"/>
      <c r="N69" s="25"/>
      <c r="O69" s="25"/>
      <c r="P69" s="25"/>
      <c r="Q69" s="38" t="str">
        <f t="shared" si="13"/>
        <v/>
      </c>
      <c r="R69" s="39" t="str">
        <f t="shared" si="14"/>
        <v/>
      </c>
      <c r="S69" s="40" t="str">
        <f t="shared" si="4"/>
        <v/>
      </c>
      <c r="T69" s="28"/>
      <c r="Y69">
        <f t="shared" si="5"/>
        <v>0</v>
      </c>
      <c r="Z69">
        <f t="shared" si="6"/>
        <v>0</v>
      </c>
      <c r="AA69">
        <f t="shared" si="7"/>
        <v>0</v>
      </c>
      <c r="AB69">
        <f t="shared" si="8"/>
        <v>0</v>
      </c>
      <c r="AC69">
        <f t="shared" si="9"/>
        <v>0</v>
      </c>
      <c r="AD69">
        <f t="shared" si="10"/>
        <v>0</v>
      </c>
      <c r="AE69">
        <f t="shared" si="11"/>
        <v>0</v>
      </c>
      <c r="AF69">
        <f t="shared" si="12"/>
        <v>0</v>
      </c>
    </row>
    <row r="70" spans="1:32" x14ac:dyDescent="0.35">
      <c r="A70" s="21">
        <f t="shared" ref="A70:A108" si="15">A69+1</f>
        <v>61</v>
      </c>
      <c r="B70" s="62"/>
      <c r="C70" s="27"/>
      <c r="D70" s="25"/>
      <c r="E70" s="115"/>
      <c r="F70" s="115"/>
      <c r="G70" s="33" t="str">
        <f t="shared" si="3"/>
        <v/>
      </c>
      <c r="H70" s="59"/>
      <c r="I70" s="25"/>
      <c r="J70" s="25"/>
      <c r="K70" s="25"/>
      <c r="L70" s="25"/>
      <c r="M70" s="25"/>
      <c r="N70" s="25"/>
      <c r="O70" s="25"/>
      <c r="P70" s="25"/>
      <c r="Q70" s="38" t="str">
        <f t="shared" si="13"/>
        <v/>
      </c>
      <c r="R70" s="39" t="str">
        <f t="shared" si="14"/>
        <v/>
      </c>
      <c r="S70" s="40" t="str">
        <f t="shared" si="4"/>
        <v/>
      </c>
      <c r="T70" s="28"/>
      <c r="Y70">
        <f t="shared" si="5"/>
        <v>0</v>
      </c>
      <c r="Z70">
        <f t="shared" si="6"/>
        <v>0</v>
      </c>
      <c r="AA70">
        <f t="shared" si="7"/>
        <v>0</v>
      </c>
      <c r="AB70">
        <f t="shared" si="8"/>
        <v>0</v>
      </c>
      <c r="AC70">
        <f t="shared" si="9"/>
        <v>0</v>
      </c>
      <c r="AD70">
        <f t="shared" si="10"/>
        <v>0</v>
      </c>
      <c r="AE70">
        <f t="shared" si="11"/>
        <v>0</v>
      </c>
      <c r="AF70">
        <f t="shared" si="12"/>
        <v>0</v>
      </c>
    </row>
    <row r="71" spans="1:32" x14ac:dyDescent="0.35">
      <c r="A71" s="21">
        <f t="shared" si="15"/>
        <v>62</v>
      </c>
      <c r="B71" s="62"/>
      <c r="C71" s="27"/>
      <c r="D71" s="25"/>
      <c r="E71" s="115"/>
      <c r="F71" s="115"/>
      <c r="G71" s="33" t="str">
        <f t="shared" si="3"/>
        <v/>
      </c>
      <c r="H71" s="59"/>
      <c r="I71" s="25"/>
      <c r="J71" s="25"/>
      <c r="K71" s="25"/>
      <c r="L71" s="25"/>
      <c r="M71" s="25"/>
      <c r="N71" s="25"/>
      <c r="O71" s="25"/>
      <c r="P71" s="25"/>
      <c r="Q71" s="38" t="str">
        <f t="shared" si="13"/>
        <v/>
      </c>
      <c r="R71" s="39" t="str">
        <f t="shared" si="14"/>
        <v/>
      </c>
      <c r="S71" s="40" t="str">
        <f t="shared" si="4"/>
        <v/>
      </c>
      <c r="T71" s="28"/>
      <c r="Y71">
        <f t="shared" si="5"/>
        <v>0</v>
      </c>
      <c r="Z71">
        <f t="shared" si="6"/>
        <v>0</v>
      </c>
      <c r="AA71">
        <f t="shared" si="7"/>
        <v>0</v>
      </c>
      <c r="AB71">
        <f t="shared" si="8"/>
        <v>0</v>
      </c>
      <c r="AC71">
        <f t="shared" si="9"/>
        <v>0</v>
      </c>
      <c r="AD71">
        <f t="shared" si="10"/>
        <v>0</v>
      </c>
      <c r="AE71">
        <f t="shared" si="11"/>
        <v>0</v>
      </c>
      <c r="AF71">
        <f t="shared" si="12"/>
        <v>0</v>
      </c>
    </row>
    <row r="72" spans="1:32" x14ac:dyDescent="0.35">
      <c r="A72" s="21">
        <f t="shared" si="15"/>
        <v>63</v>
      </c>
      <c r="B72" s="62"/>
      <c r="C72" s="27"/>
      <c r="D72" s="25"/>
      <c r="E72" s="115"/>
      <c r="F72" s="115"/>
      <c r="G72" s="33" t="str">
        <f t="shared" si="3"/>
        <v/>
      </c>
      <c r="H72" s="59"/>
      <c r="I72" s="25"/>
      <c r="J72" s="25"/>
      <c r="K72" s="25"/>
      <c r="L72" s="25"/>
      <c r="M72" s="25"/>
      <c r="N72" s="25"/>
      <c r="O72" s="25"/>
      <c r="P72" s="25"/>
      <c r="Q72" s="38" t="str">
        <f t="shared" si="13"/>
        <v/>
      </c>
      <c r="R72" s="39" t="str">
        <f t="shared" si="14"/>
        <v/>
      </c>
      <c r="S72" s="40" t="str">
        <f t="shared" si="4"/>
        <v/>
      </c>
      <c r="T72" s="28"/>
      <c r="Y72">
        <f t="shared" si="5"/>
        <v>0</v>
      </c>
      <c r="Z72">
        <f t="shared" si="6"/>
        <v>0</v>
      </c>
      <c r="AA72">
        <f t="shared" si="7"/>
        <v>0</v>
      </c>
      <c r="AB72">
        <f t="shared" si="8"/>
        <v>0</v>
      </c>
      <c r="AC72">
        <f t="shared" si="9"/>
        <v>0</v>
      </c>
      <c r="AD72">
        <f t="shared" si="10"/>
        <v>0</v>
      </c>
      <c r="AE72">
        <f t="shared" si="11"/>
        <v>0</v>
      </c>
      <c r="AF72">
        <f t="shared" si="12"/>
        <v>0</v>
      </c>
    </row>
    <row r="73" spans="1:32" x14ac:dyDescent="0.35">
      <c r="A73" s="21">
        <f t="shared" si="15"/>
        <v>64</v>
      </c>
      <c r="B73" s="62"/>
      <c r="C73" s="27"/>
      <c r="D73" s="25"/>
      <c r="E73" s="115"/>
      <c r="F73" s="115"/>
      <c r="G73" s="33" t="str">
        <f t="shared" si="3"/>
        <v/>
      </c>
      <c r="H73" s="59"/>
      <c r="I73" s="25"/>
      <c r="J73" s="25"/>
      <c r="K73" s="25"/>
      <c r="L73" s="25"/>
      <c r="M73" s="25"/>
      <c r="N73" s="25"/>
      <c r="O73" s="25"/>
      <c r="P73" s="25"/>
      <c r="Q73" s="38" t="str">
        <f t="shared" si="13"/>
        <v/>
      </c>
      <c r="R73" s="39" t="str">
        <f t="shared" si="14"/>
        <v/>
      </c>
      <c r="S73" s="40" t="str">
        <f t="shared" si="4"/>
        <v/>
      </c>
      <c r="T73" s="28"/>
      <c r="Y73">
        <f t="shared" si="5"/>
        <v>0</v>
      </c>
      <c r="Z73">
        <f t="shared" si="6"/>
        <v>0</v>
      </c>
      <c r="AA73">
        <f t="shared" si="7"/>
        <v>0</v>
      </c>
      <c r="AB73">
        <f t="shared" si="8"/>
        <v>0</v>
      </c>
      <c r="AC73">
        <f t="shared" si="9"/>
        <v>0</v>
      </c>
      <c r="AD73">
        <f t="shared" si="10"/>
        <v>0</v>
      </c>
      <c r="AE73">
        <f t="shared" si="11"/>
        <v>0</v>
      </c>
      <c r="AF73">
        <f t="shared" si="12"/>
        <v>0</v>
      </c>
    </row>
    <row r="74" spans="1:32" x14ac:dyDescent="0.35">
      <c r="A74" s="21">
        <f t="shared" si="15"/>
        <v>65</v>
      </c>
      <c r="B74" s="62"/>
      <c r="C74" s="27"/>
      <c r="D74" s="25"/>
      <c r="E74" s="115"/>
      <c r="F74" s="115"/>
      <c r="G74" s="33" t="str">
        <f t="shared" si="3"/>
        <v/>
      </c>
      <c r="H74" s="59"/>
      <c r="I74" s="25"/>
      <c r="J74" s="25"/>
      <c r="K74" s="25"/>
      <c r="L74" s="25"/>
      <c r="M74" s="25"/>
      <c r="N74" s="25"/>
      <c r="O74" s="25"/>
      <c r="P74" s="25"/>
      <c r="Q74" s="38" t="str">
        <f t="shared" ref="Q74:Q105" si="16">IF(C74&lt;&gt;"",SUM(I74:P74),"")</f>
        <v/>
      </c>
      <c r="R74" s="39" t="str">
        <f t="shared" ref="R74:R105" si="17">IF(AND(Q74&gt;0,C74&lt;&gt;""),Q74/Q$9,"")</f>
        <v/>
      </c>
      <c r="S74" s="40" t="str">
        <f t="shared" si="4"/>
        <v/>
      </c>
      <c r="T74" s="28"/>
      <c r="Y74">
        <f t="shared" si="5"/>
        <v>0</v>
      </c>
      <c r="Z74">
        <f t="shared" si="6"/>
        <v>0</v>
      </c>
      <c r="AA74">
        <f t="shared" si="7"/>
        <v>0</v>
      </c>
      <c r="AB74">
        <f t="shared" si="8"/>
        <v>0</v>
      </c>
      <c r="AC74">
        <f t="shared" si="9"/>
        <v>0</v>
      </c>
      <c r="AD74">
        <f t="shared" si="10"/>
        <v>0</v>
      </c>
      <c r="AE74">
        <f t="shared" si="11"/>
        <v>0</v>
      </c>
      <c r="AF74">
        <f t="shared" si="12"/>
        <v>0</v>
      </c>
    </row>
    <row r="75" spans="1:32" x14ac:dyDescent="0.35">
      <c r="A75" s="21">
        <f t="shared" si="15"/>
        <v>66</v>
      </c>
      <c r="B75" s="62"/>
      <c r="C75" s="27"/>
      <c r="D75" s="25"/>
      <c r="E75" s="115"/>
      <c r="F75" s="115"/>
      <c r="G75" s="33" t="str">
        <f t="shared" ref="G75:G109" si="18">IF(C75&lt;&gt;"",(F75-E75)/365,"")</f>
        <v/>
      </c>
      <c r="H75" s="59"/>
      <c r="I75" s="25"/>
      <c r="J75" s="25"/>
      <c r="K75" s="25"/>
      <c r="L75" s="25"/>
      <c r="M75" s="25"/>
      <c r="N75" s="25"/>
      <c r="O75" s="25"/>
      <c r="P75" s="25"/>
      <c r="Q75" s="38" t="str">
        <f t="shared" si="16"/>
        <v/>
      </c>
      <c r="R75" s="39" t="str">
        <f t="shared" si="17"/>
        <v/>
      </c>
      <c r="S75" s="40" t="str">
        <f t="shared" ref="S75:S109" si="19">IF(R75&lt;&gt;"",IF($R75&lt;25%,"Emerging (Not Proficient)", IF(AND($R75 &gt;=25%, $R75 &lt;50%), "Emerging (Low Proficient)", IF(AND($R75 &gt;=50%, $R75 &lt;75%),"Developing (Nearly Proficient)",IF(AND($R75 &gt;=75%, $R75 &lt;85%),"Transitioning (Proficient)","At Grade Level (Highly Proficient)")))),"")</f>
        <v/>
      </c>
      <c r="T75" s="28"/>
      <c r="Y75">
        <f t="shared" ref="Y75:Y109" si="20">IF(I75/I$9&gt;=75%,1,0)</f>
        <v>0</v>
      </c>
      <c r="Z75">
        <f t="shared" ref="Z75:Z109" si="21">IF(J75/J$9&gt;=75%,1,0)</f>
        <v>0</v>
      </c>
      <c r="AA75">
        <f t="shared" ref="AA75:AA109" si="22">IF(K75/K$9&gt;=75%,1,0)</f>
        <v>0</v>
      </c>
      <c r="AB75">
        <f t="shared" ref="AB75:AB109" si="23">IF(L75/L$9&gt;=75%,1,0)</f>
        <v>0</v>
      </c>
      <c r="AC75">
        <f t="shared" ref="AC75:AC109" si="24">IF(M75/M$9&gt;=75%,1,0)</f>
        <v>0</v>
      </c>
      <c r="AD75">
        <f t="shared" ref="AD75:AD109" si="25">IF(N75/N$9&gt;=75%,1,0)</f>
        <v>0</v>
      </c>
      <c r="AE75">
        <f t="shared" ref="AE75:AE109" si="26">IF(O75/O$9&gt;=75%,1,0)</f>
        <v>0</v>
      </c>
      <c r="AF75">
        <f t="shared" ref="AF75:AF109" si="27">IF(P75/P$9&gt;=75%,1,0)</f>
        <v>0</v>
      </c>
    </row>
    <row r="76" spans="1:32" x14ac:dyDescent="0.35">
      <c r="A76" s="21">
        <f t="shared" si="15"/>
        <v>67</v>
      </c>
      <c r="B76" s="62"/>
      <c r="C76" s="27"/>
      <c r="D76" s="25"/>
      <c r="E76" s="115"/>
      <c r="F76" s="115"/>
      <c r="G76" s="33" t="str">
        <f t="shared" si="18"/>
        <v/>
      </c>
      <c r="H76" s="59"/>
      <c r="I76" s="25"/>
      <c r="J76" s="25"/>
      <c r="K76" s="25"/>
      <c r="L76" s="25"/>
      <c r="M76" s="25"/>
      <c r="N76" s="25"/>
      <c r="O76" s="25"/>
      <c r="P76" s="25"/>
      <c r="Q76" s="38" t="str">
        <f t="shared" si="16"/>
        <v/>
      </c>
      <c r="R76" s="39" t="str">
        <f t="shared" si="17"/>
        <v/>
      </c>
      <c r="S76" s="40" t="str">
        <f t="shared" si="19"/>
        <v/>
      </c>
      <c r="T76" s="28"/>
      <c r="Y76">
        <f t="shared" si="20"/>
        <v>0</v>
      </c>
      <c r="Z76">
        <f t="shared" si="21"/>
        <v>0</v>
      </c>
      <c r="AA76">
        <f t="shared" si="22"/>
        <v>0</v>
      </c>
      <c r="AB76">
        <f t="shared" si="23"/>
        <v>0</v>
      </c>
      <c r="AC76">
        <f t="shared" si="24"/>
        <v>0</v>
      </c>
      <c r="AD76">
        <f t="shared" si="25"/>
        <v>0</v>
      </c>
      <c r="AE76">
        <f t="shared" si="26"/>
        <v>0</v>
      </c>
      <c r="AF76">
        <f t="shared" si="27"/>
        <v>0</v>
      </c>
    </row>
    <row r="77" spans="1:32" x14ac:dyDescent="0.35">
      <c r="A77" s="21">
        <f t="shared" si="15"/>
        <v>68</v>
      </c>
      <c r="B77" s="62"/>
      <c r="C77" s="27"/>
      <c r="D77" s="25"/>
      <c r="E77" s="115"/>
      <c r="F77" s="115"/>
      <c r="G77" s="33" t="str">
        <f t="shared" si="18"/>
        <v/>
      </c>
      <c r="H77" s="59"/>
      <c r="I77" s="25"/>
      <c r="J77" s="25"/>
      <c r="K77" s="25"/>
      <c r="L77" s="25"/>
      <c r="M77" s="25"/>
      <c r="N77" s="25"/>
      <c r="O77" s="25"/>
      <c r="P77" s="25"/>
      <c r="Q77" s="38" t="str">
        <f t="shared" si="16"/>
        <v/>
      </c>
      <c r="R77" s="39" t="str">
        <f t="shared" si="17"/>
        <v/>
      </c>
      <c r="S77" s="40" t="str">
        <f t="shared" si="19"/>
        <v/>
      </c>
      <c r="T77" s="28"/>
      <c r="Y77">
        <f t="shared" si="20"/>
        <v>0</v>
      </c>
      <c r="Z77">
        <f t="shared" si="21"/>
        <v>0</v>
      </c>
      <c r="AA77">
        <f t="shared" si="22"/>
        <v>0</v>
      </c>
      <c r="AB77">
        <f t="shared" si="23"/>
        <v>0</v>
      </c>
      <c r="AC77">
        <f t="shared" si="24"/>
        <v>0</v>
      </c>
      <c r="AD77">
        <f t="shared" si="25"/>
        <v>0</v>
      </c>
      <c r="AE77">
        <f t="shared" si="26"/>
        <v>0</v>
      </c>
      <c r="AF77">
        <f t="shared" si="27"/>
        <v>0</v>
      </c>
    </row>
    <row r="78" spans="1:32" x14ac:dyDescent="0.35">
      <c r="A78" s="21">
        <f t="shared" si="15"/>
        <v>69</v>
      </c>
      <c r="B78" s="62"/>
      <c r="C78" s="27"/>
      <c r="D78" s="25"/>
      <c r="E78" s="115"/>
      <c r="F78" s="115"/>
      <c r="G78" s="33" t="str">
        <f t="shared" si="18"/>
        <v/>
      </c>
      <c r="H78" s="59"/>
      <c r="I78" s="25"/>
      <c r="J78" s="25"/>
      <c r="K78" s="25"/>
      <c r="L78" s="25"/>
      <c r="M78" s="25"/>
      <c r="N78" s="25"/>
      <c r="O78" s="25"/>
      <c r="P78" s="25"/>
      <c r="Q78" s="38" t="str">
        <f t="shared" si="16"/>
        <v/>
      </c>
      <c r="R78" s="39" t="str">
        <f t="shared" si="17"/>
        <v/>
      </c>
      <c r="S78" s="40" t="str">
        <f t="shared" si="19"/>
        <v/>
      </c>
      <c r="T78" s="28"/>
      <c r="Y78">
        <f t="shared" si="20"/>
        <v>0</v>
      </c>
      <c r="Z78">
        <f t="shared" si="21"/>
        <v>0</v>
      </c>
      <c r="AA78">
        <f t="shared" si="22"/>
        <v>0</v>
      </c>
      <c r="AB78">
        <f t="shared" si="23"/>
        <v>0</v>
      </c>
      <c r="AC78">
        <f t="shared" si="24"/>
        <v>0</v>
      </c>
      <c r="AD78">
        <f t="shared" si="25"/>
        <v>0</v>
      </c>
      <c r="AE78">
        <f t="shared" si="26"/>
        <v>0</v>
      </c>
      <c r="AF78">
        <f t="shared" si="27"/>
        <v>0</v>
      </c>
    </row>
    <row r="79" spans="1:32" x14ac:dyDescent="0.35">
      <c r="A79" s="21">
        <f t="shared" si="15"/>
        <v>70</v>
      </c>
      <c r="B79" s="62"/>
      <c r="C79" s="27"/>
      <c r="D79" s="25"/>
      <c r="E79" s="115"/>
      <c r="F79" s="115"/>
      <c r="G79" s="33" t="str">
        <f t="shared" si="18"/>
        <v/>
      </c>
      <c r="H79" s="59"/>
      <c r="I79" s="25"/>
      <c r="J79" s="25"/>
      <c r="K79" s="25"/>
      <c r="L79" s="25"/>
      <c r="M79" s="25"/>
      <c r="N79" s="25"/>
      <c r="O79" s="25"/>
      <c r="P79" s="25"/>
      <c r="Q79" s="38" t="str">
        <f t="shared" si="16"/>
        <v/>
      </c>
      <c r="R79" s="39" t="str">
        <f t="shared" si="17"/>
        <v/>
      </c>
      <c r="S79" s="40" t="str">
        <f t="shared" si="19"/>
        <v/>
      </c>
      <c r="T79" s="28"/>
      <c r="Y79">
        <f t="shared" si="20"/>
        <v>0</v>
      </c>
      <c r="Z79">
        <f t="shared" si="21"/>
        <v>0</v>
      </c>
      <c r="AA79">
        <f t="shared" si="22"/>
        <v>0</v>
      </c>
      <c r="AB79">
        <f t="shared" si="23"/>
        <v>0</v>
      </c>
      <c r="AC79">
        <f t="shared" si="24"/>
        <v>0</v>
      </c>
      <c r="AD79">
        <f t="shared" si="25"/>
        <v>0</v>
      </c>
      <c r="AE79">
        <f t="shared" si="26"/>
        <v>0</v>
      </c>
      <c r="AF79">
        <f t="shared" si="27"/>
        <v>0</v>
      </c>
    </row>
    <row r="80" spans="1:32" x14ac:dyDescent="0.35">
      <c r="A80" s="21">
        <f t="shared" si="15"/>
        <v>71</v>
      </c>
      <c r="B80" s="62"/>
      <c r="C80" s="27"/>
      <c r="D80" s="25"/>
      <c r="E80" s="115"/>
      <c r="F80" s="115"/>
      <c r="G80" s="33" t="str">
        <f t="shared" si="18"/>
        <v/>
      </c>
      <c r="H80" s="59"/>
      <c r="I80" s="25"/>
      <c r="J80" s="25"/>
      <c r="K80" s="25"/>
      <c r="L80" s="25"/>
      <c r="M80" s="25"/>
      <c r="N80" s="25"/>
      <c r="O80" s="25"/>
      <c r="P80" s="25"/>
      <c r="Q80" s="38" t="str">
        <f t="shared" si="16"/>
        <v/>
      </c>
      <c r="R80" s="39" t="str">
        <f t="shared" si="17"/>
        <v/>
      </c>
      <c r="S80" s="40" t="str">
        <f t="shared" si="19"/>
        <v/>
      </c>
      <c r="T80" s="28"/>
      <c r="Y80">
        <f t="shared" si="20"/>
        <v>0</v>
      </c>
      <c r="Z80">
        <f t="shared" si="21"/>
        <v>0</v>
      </c>
      <c r="AA80">
        <f t="shared" si="22"/>
        <v>0</v>
      </c>
      <c r="AB80">
        <f t="shared" si="23"/>
        <v>0</v>
      </c>
      <c r="AC80">
        <f t="shared" si="24"/>
        <v>0</v>
      </c>
      <c r="AD80">
        <f t="shared" si="25"/>
        <v>0</v>
      </c>
      <c r="AE80">
        <f t="shared" si="26"/>
        <v>0</v>
      </c>
      <c r="AF80">
        <f t="shared" si="27"/>
        <v>0</v>
      </c>
    </row>
    <row r="81" spans="1:32" x14ac:dyDescent="0.35">
      <c r="A81" s="21">
        <f t="shared" si="15"/>
        <v>72</v>
      </c>
      <c r="B81" s="62"/>
      <c r="C81" s="27"/>
      <c r="D81" s="25"/>
      <c r="E81" s="115"/>
      <c r="F81" s="115"/>
      <c r="G81" s="33" t="str">
        <f t="shared" si="18"/>
        <v/>
      </c>
      <c r="H81" s="59"/>
      <c r="I81" s="25"/>
      <c r="J81" s="25"/>
      <c r="K81" s="25"/>
      <c r="L81" s="25"/>
      <c r="M81" s="25"/>
      <c r="N81" s="25"/>
      <c r="O81" s="25"/>
      <c r="P81" s="25"/>
      <c r="Q81" s="38" t="str">
        <f t="shared" si="16"/>
        <v/>
      </c>
      <c r="R81" s="39" t="str">
        <f t="shared" si="17"/>
        <v/>
      </c>
      <c r="S81" s="40" t="str">
        <f t="shared" si="19"/>
        <v/>
      </c>
      <c r="T81" s="28"/>
      <c r="Y81">
        <f t="shared" si="20"/>
        <v>0</v>
      </c>
      <c r="Z81">
        <f t="shared" si="21"/>
        <v>0</v>
      </c>
      <c r="AA81">
        <f t="shared" si="22"/>
        <v>0</v>
      </c>
      <c r="AB81">
        <f t="shared" si="23"/>
        <v>0</v>
      </c>
      <c r="AC81">
        <f t="shared" si="24"/>
        <v>0</v>
      </c>
      <c r="AD81">
        <f t="shared" si="25"/>
        <v>0</v>
      </c>
      <c r="AE81">
        <f t="shared" si="26"/>
        <v>0</v>
      </c>
      <c r="AF81">
        <f t="shared" si="27"/>
        <v>0</v>
      </c>
    </row>
    <row r="82" spans="1:32" x14ac:dyDescent="0.35">
      <c r="A82" s="21">
        <f t="shared" si="15"/>
        <v>73</v>
      </c>
      <c r="B82" s="62"/>
      <c r="C82" s="27"/>
      <c r="D82" s="25"/>
      <c r="E82" s="115"/>
      <c r="F82" s="115"/>
      <c r="G82" s="33" t="str">
        <f t="shared" si="18"/>
        <v/>
      </c>
      <c r="H82" s="59"/>
      <c r="I82" s="25"/>
      <c r="J82" s="25"/>
      <c r="K82" s="25"/>
      <c r="L82" s="25"/>
      <c r="M82" s="25"/>
      <c r="N82" s="25"/>
      <c r="O82" s="25"/>
      <c r="P82" s="25"/>
      <c r="Q82" s="38" t="str">
        <f t="shared" si="16"/>
        <v/>
      </c>
      <c r="R82" s="39" t="str">
        <f t="shared" si="17"/>
        <v/>
      </c>
      <c r="S82" s="40" t="str">
        <f t="shared" si="19"/>
        <v/>
      </c>
      <c r="T82" s="28"/>
      <c r="Y82">
        <f t="shared" si="20"/>
        <v>0</v>
      </c>
      <c r="Z82">
        <f t="shared" si="21"/>
        <v>0</v>
      </c>
      <c r="AA82">
        <f t="shared" si="22"/>
        <v>0</v>
      </c>
      <c r="AB82">
        <f t="shared" si="23"/>
        <v>0</v>
      </c>
      <c r="AC82">
        <f t="shared" si="24"/>
        <v>0</v>
      </c>
      <c r="AD82">
        <f t="shared" si="25"/>
        <v>0</v>
      </c>
      <c r="AE82">
        <f t="shared" si="26"/>
        <v>0</v>
      </c>
      <c r="AF82">
        <f t="shared" si="27"/>
        <v>0</v>
      </c>
    </row>
    <row r="83" spans="1:32" x14ac:dyDescent="0.35">
      <c r="A83" s="21">
        <f t="shared" si="15"/>
        <v>74</v>
      </c>
      <c r="B83" s="62"/>
      <c r="C83" s="27"/>
      <c r="D83" s="25"/>
      <c r="E83" s="115"/>
      <c r="F83" s="115"/>
      <c r="G83" s="33" t="str">
        <f t="shared" si="18"/>
        <v/>
      </c>
      <c r="H83" s="59"/>
      <c r="I83" s="25"/>
      <c r="J83" s="25"/>
      <c r="K83" s="25"/>
      <c r="L83" s="25"/>
      <c r="M83" s="25"/>
      <c r="N83" s="25"/>
      <c r="O83" s="25"/>
      <c r="P83" s="25"/>
      <c r="Q83" s="38" t="str">
        <f t="shared" si="16"/>
        <v/>
      </c>
      <c r="R83" s="39" t="str">
        <f t="shared" si="17"/>
        <v/>
      </c>
      <c r="S83" s="40" t="str">
        <f t="shared" si="19"/>
        <v/>
      </c>
      <c r="T83" s="28"/>
      <c r="Y83">
        <f t="shared" si="20"/>
        <v>0</v>
      </c>
      <c r="Z83">
        <f t="shared" si="21"/>
        <v>0</v>
      </c>
      <c r="AA83">
        <f t="shared" si="22"/>
        <v>0</v>
      </c>
      <c r="AB83">
        <f t="shared" si="23"/>
        <v>0</v>
      </c>
      <c r="AC83">
        <f t="shared" si="24"/>
        <v>0</v>
      </c>
      <c r="AD83">
        <f t="shared" si="25"/>
        <v>0</v>
      </c>
      <c r="AE83">
        <f t="shared" si="26"/>
        <v>0</v>
      </c>
      <c r="AF83">
        <f t="shared" si="27"/>
        <v>0</v>
      </c>
    </row>
    <row r="84" spans="1:32" x14ac:dyDescent="0.35">
      <c r="A84" s="21">
        <f t="shared" si="15"/>
        <v>75</v>
      </c>
      <c r="B84" s="62"/>
      <c r="C84" s="27"/>
      <c r="D84" s="25"/>
      <c r="E84" s="115"/>
      <c r="F84" s="115"/>
      <c r="G84" s="33" t="str">
        <f t="shared" si="18"/>
        <v/>
      </c>
      <c r="H84" s="59"/>
      <c r="I84" s="25"/>
      <c r="J84" s="25"/>
      <c r="K84" s="25"/>
      <c r="L84" s="25"/>
      <c r="M84" s="25"/>
      <c r="N84" s="25"/>
      <c r="O84" s="25"/>
      <c r="P84" s="25"/>
      <c r="Q84" s="38" t="str">
        <f t="shared" si="16"/>
        <v/>
      </c>
      <c r="R84" s="39" t="str">
        <f t="shared" si="17"/>
        <v/>
      </c>
      <c r="S84" s="40" t="str">
        <f t="shared" si="19"/>
        <v/>
      </c>
      <c r="T84" s="28"/>
      <c r="Y84">
        <f t="shared" si="20"/>
        <v>0</v>
      </c>
      <c r="Z84">
        <f t="shared" si="21"/>
        <v>0</v>
      </c>
      <c r="AA84">
        <f t="shared" si="22"/>
        <v>0</v>
      </c>
      <c r="AB84">
        <f t="shared" si="23"/>
        <v>0</v>
      </c>
      <c r="AC84">
        <f t="shared" si="24"/>
        <v>0</v>
      </c>
      <c r="AD84">
        <f t="shared" si="25"/>
        <v>0</v>
      </c>
      <c r="AE84">
        <f t="shared" si="26"/>
        <v>0</v>
      </c>
      <c r="AF84">
        <f t="shared" si="27"/>
        <v>0</v>
      </c>
    </row>
    <row r="85" spans="1:32" x14ac:dyDescent="0.35">
      <c r="A85" s="21">
        <f t="shared" si="15"/>
        <v>76</v>
      </c>
      <c r="B85" s="62"/>
      <c r="C85" s="27"/>
      <c r="D85" s="25"/>
      <c r="E85" s="115"/>
      <c r="F85" s="115"/>
      <c r="G85" s="33" t="str">
        <f t="shared" si="18"/>
        <v/>
      </c>
      <c r="H85" s="59"/>
      <c r="I85" s="25"/>
      <c r="J85" s="25"/>
      <c r="K85" s="25"/>
      <c r="L85" s="25"/>
      <c r="M85" s="25"/>
      <c r="N85" s="25"/>
      <c r="O85" s="25"/>
      <c r="P85" s="25"/>
      <c r="Q85" s="38" t="str">
        <f t="shared" si="16"/>
        <v/>
      </c>
      <c r="R85" s="39" t="str">
        <f t="shared" si="17"/>
        <v/>
      </c>
      <c r="S85" s="40" t="str">
        <f t="shared" si="19"/>
        <v/>
      </c>
      <c r="T85" s="28"/>
      <c r="Y85">
        <f t="shared" si="20"/>
        <v>0</v>
      </c>
      <c r="Z85">
        <f t="shared" si="21"/>
        <v>0</v>
      </c>
      <c r="AA85">
        <f t="shared" si="22"/>
        <v>0</v>
      </c>
      <c r="AB85">
        <f t="shared" si="23"/>
        <v>0</v>
      </c>
      <c r="AC85">
        <f t="shared" si="24"/>
        <v>0</v>
      </c>
      <c r="AD85">
        <f t="shared" si="25"/>
        <v>0</v>
      </c>
      <c r="AE85">
        <f t="shared" si="26"/>
        <v>0</v>
      </c>
      <c r="AF85">
        <f t="shared" si="27"/>
        <v>0</v>
      </c>
    </row>
    <row r="86" spans="1:32" x14ac:dyDescent="0.35">
      <c r="A86" s="21">
        <f t="shared" si="15"/>
        <v>77</v>
      </c>
      <c r="B86" s="62"/>
      <c r="C86" s="27"/>
      <c r="D86" s="25"/>
      <c r="E86" s="115"/>
      <c r="F86" s="115"/>
      <c r="G86" s="33" t="str">
        <f t="shared" si="18"/>
        <v/>
      </c>
      <c r="H86" s="59"/>
      <c r="I86" s="25"/>
      <c r="J86" s="25"/>
      <c r="K86" s="25"/>
      <c r="L86" s="25"/>
      <c r="M86" s="25"/>
      <c r="N86" s="25"/>
      <c r="O86" s="25"/>
      <c r="P86" s="25"/>
      <c r="Q86" s="38" t="str">
        <f t="shared" si="16"/>
        <v/>
      </c>
      <c r="R86" s="39" t="str">
        <f t="shared" si="17"/>
        <v/>
      </c>
      <c r="S86" s="40" t="str">
        <f t="shared" si="19"/>
        <v/>
      </c>
      <c r="T86" s="28"/>
      <c r="Y86">
        <f t="shared" si="20"/>
        <v>0</v>
      </c>
      <c r="Z86">
        <f t="shared" si="21"/>
        <v>0</v>
      </c>
      <c r="AA86">
        <f t="shared" si="22"/>
        <v>0</v>
      </c>
      <c r="AB86">
        <f t="shared" si="23"/>
        <v>0</v>
      </c>
      <c r="AC86">
        <f t="shared" si="24"/>
        <v>0</v>
      </c>
      <c r="AD86">
        <f t="shared" si="25"/>
        <v>0</v>
      </c>
      <c r="AE86">
        <f t="shared" si="26"/>
        <v>0</v>
      </c>
      <c r="AF86">
        <f t="shared" si="27"/>
        <v>0</v>
      </c>
    </row>
    <row r="87" spans="1:32" x14ac:dyDescent="0.35">
      <c r="A87" s="21">
        <f t="shared" si="15"/>
        <v>78</v>
      </c>
      <c r="B87" s="62"/>
      <c r="C87" s="27"/>
      <c r="D87" s="25"/>
      <c r="E87" s="115"/>
      <c r="F87" s="115"/>
      <c r="G87" s="33" t="str">
        <f t="shared" si="18"/>
        <v/>
      </c>
      <c r="H87" s="59"/>
      <c r="I87" s="25"/>
      <c r="J87" s="25"/>
      <c r="K87" s="25"/>
      <c r="L87" s="25"/>
      <c r="M87" s="25"/>
      <c r="N87" s="25"/>
      <c r="O87" s="25"/>
      <c r="P87" s="25"/>
      <c r="Q87" s="38" t="str">
        <f t="shared" si="16"/>
        <v/>
      </c>
      <c r="R87" s="39" t="str">
        <f t="shared" si="17"/>
        <v/>
      </c>
      <c r="S87" s="40" t="str">
        <f t="shared" si="19"/>
        <v/>
      </c>
      <c r="T87" s="28"/>
      <c r="Y87">
        <f t="shared" si="20"/>
        <v>0</v>
      </c>
      <c r="Z87">
        <f t="shared" si="21"/>
        <v>0</v>
      </c>
      <c r="AA87">
        <f t="shared" si="22"/>
        <v>0</v>
      </c>
      <c r="AB87">
        <f t="shared" si="23"/>
        <v>0</v>
      </c>
      <c r="AC87">
        <f t="shared" si="24"/>
        <v>0</v>
      </c>
      <c r="AD87">
        <f t="shared" si="25"/>
        <v>0</v>
      </c>
      <c r="AE87">
        <f t="shared" si="26"/>
        <v>0</v>
      </c>
      <c r="AF87">
        <f t="shared" si="27"/>
        <v>0</v>
      </c>
    </row>
    <row r="88" spans="1:32" x14ac:dyDescent="0.35">
      <c r="A88" s="21">
        <f t="shared" si="15"/>
        <v>79</v>
      </c>
      <c r="B88" s="62"/>
      <c r="C88" s="27"/>
      <c r="D88" s="25"/>
      <c r="E88" s="115"/>
      <c r="F88" s="115"/>
      <c r="G88" s="33" t="str">
        <f t="shared" si="18"/>
        <v/>
      </c>
      <c r="H88" s="59"/>
      <c r="I88" s="25"/>
      <c r="J88" s="25"/>
      <c r="K88" s="25"/>
      <c r="L88" s="25"/>
      <c r="M88" s="25"/>
      <c r="N88" s="25"/>
      <c r="O88" s="25"/>
      <c r="P88" s="25"/>
      <c r="Q88" s="38" t="str">
        <f t="shared" si="16"/>
        <v/>
      </c>
      <c r="R88" s="39" t="str">
        <f t="shared" si="17"/>
        <v/>
      </c>
      <c r="S88" s="40" t="str">
        <f t="shared" si="19"/>
        <v/>
      </c>
      <c r="T88" s="28"/>
      <c r="Y88">
        <f t="shared" si="20"/>
        <v>0</v>
      </c>
      <c r="Z88">
        <f t="shared" si="21"/>
        <v>0</v>
      </c>
      <c r="AA88">
        <f t="shared" si="22"/>
        <v>0</v>
      </c>
      <c r="AB88">
        <f t="shared" si="23"/>
        <v>0</v>
      </c>
      <c r="AC88">
        <f t="shared" si="24"/>
        <v>0</v>
      </c>
      <c r="AD88">
        <f t="shared" si="25"/>
        <v>0</v>
      </c>
      <c r="AE88">
        <f t="shared" si="26"/>
        <v>0</v>
      </c>
      <c r="AF88">
        <f t="shared" si="27"/>
        <v>0</v>
      </c>
    </row>
    <row r="89" spans="1:32" x14ac:dyDescent="0.35">
      <c r="A89" s="21">
        <f t="shared" si="15"/>
        <v>80</v>
      </c>
      <c r="B89" s="62"/>
      <c r="C89" s="27"/>
      <c r="D89" s="25"/>
      <c r="E89" s="115"/>
      <c r="F89" s="115"/>
      <c r="G89" s="33" t="str">
        <f t="shared" si="18"/>
        <v/>
      </c>
      <c r="H89" s="59"/>
      <c r="I89" s="25"/>
      <c r="J89" s="25"/>
      <c r="K89" s="25"/>
      <c r="L89" s="25"/>
      <c r="M89" s="25"/>
      <c r="N89" s="25"/>
      <c r="O89" s="25"/>
      <c r="P89" s="25"/>
      <c r="Q89" s="38" t="str">
        <f t="shared" si="16"/>
        <v/>
      </c>
      <c r="R89" s="39" t="str">
        <f t="shared" si="17"/>
        <v/>
      </c>
      <c r="S89" s="40" t="str">
        <f t="shared" si="19"/>
        <v/>
      </c>
      <c r="T89" s="28"/>
      <c r="Y89">
        <f t="shared" si="20"/>
        <v>0</v>
      </c>
      <c r="Z89">
        <f t="shared" si="21"/>
        <v>0</v>
      </c>
      <c r="AA89">
        <f t="shared" si="22"/>
        <v>0</v>
      </c>
      <c r="AB89">
        <f t="shared" si="23"/>
        <v>0</v>
      </c>
      <c r="AC89">
        <f t="shared" si="24"/>
        <v>0</v>
      </c>
      <c r="AD89">
        <f t="shared" si="25"/>
        <v>0</v>
      </c>
      <c r="AE89">
        <f t="shared" si="26"/>
        <v>0</v>
      </c>
      <c r="AF89">
        <f t="shared" si="27"/>
        <v>0</v>
      </c>
    </row>
    <row r="90" spans="1:32" x14ac:dyDescent="0.35">
      <c r="A90" s="21">
        <f t="shared" si="15"/>
        <v>81</v>
      </c>
      <c r="B90" s="62"/>
      <c r="C90" s="27"/>
      <c r="D90" s="25"/>
      <c r="E90" s="115"/>
      <c r="F90" s="115"/>
      <c r="G90" s="33" t="str">
        <f t="shared" si="18"/>
        <v/>
      </c>
      <c r="H90" s="59"/>
      <c r="I90" s="25"/>
      <c r="J90" s="25"/>
      <c r="K90" s="25"/>
      <c r="L90" s="25"/>
      <c r="M90" s="25"/>
      <c r="N90" s="25"/>
      <c r="O90" s="25"/>
      <c r="P90" s="25"/>
      <c r="Q90" s="38" t="str">
        <f t="shared" si="16"/>
        <v/>
      </c>
      <c r="R90" s="39" t="str">
        <f t="shared" si="17"/>
        <v/>
      </c>
      <c r="S90" s="40" t="str">
        <f t="shared" si="19"/>
        <v/>
      </c>
      <c r="T90" s="28"/>
      <c r="Y90">
        <f t="shared" si="20"/>
        <v>0</v>
      </c>
      <c r="Z90">
        <f t="shared" si="21"/>
        <v>0</v>
      </c>
      <c r="AA90">
        <f t="shared" si="22"/>
        <v>0</v>
      </c>
      <c r="AB90">
        <f t="shared" si="23"/>
        <v>0</v>
      </c>
      <c r="AC90">
        <f t="shared" si="24"/>
        <v>0</v>
      </c>
      <c r="AD90">
        <f t="shared" si="25"/>
        <v>0</v>
      </c>
      <c r="AE90">
        <f t="shared" si="26"/>
        <v>0</v>
      </c>
      <c r="AF90">
        <f t="shared" si="27"/>
        <v>0</v>
      </c>
    </row>
    <row r="91" spans="1:32" x14ac:dyDescent="0.35">
      <c r="A91" s="21">
        <f t="shared" si="15"/>
        <v>82</v>
      </c>
      <c r="B91" s="62"/>
      <c r="C91" s="27"/>
      <c r="D91" s="25"/>
      <c r="E91" s="115"/>
      <c r="F91" s="115"/>
      <c r="G91" s="33" t="str">
        <f t="shared" si="18"/>
        <v/>
      </c>
      <c r="H91" s="59"/>
      <c r="I91" s="25"/>
      <c r="J91" s="25"/>
      <c r="K91" s="25"/>
      <c r="L91" s="25"/>
      <c r="M91" s="25"/>
      <c r="N91" s="25"/>
      <c r="O91" s="25"/>
      <c r="P91" s="25"/>
      <c r="Q91" s="38" t="str">
        <f t="shared" si="16"/>
        <v/>
      </c>
      <c r="R91" s="39" t="str">
        <f t="shared" si="17"/>
        <v/>
      </c>
      <c r="S91" s="40" t="str">
        <f t="shared" si="19"/>
        <v/>
      </c>
      <c r="T91" s="28"/>
      <c r="Y91">
        <f t="shared" si="20"/>
        <v>0</v>
      </c>
      <c r="Z91">
        <f t="shared" si="21"/>
        <v>0</v>
      </c>
      <c r="AA91">
        <f t="shared" si="22"/>
        <v>0</v>
      </c>
      <c r="AB91">
        <f t="shared" si="23"/>
        <v>0</v>
      </c>
      <c r="AC91">
        <f t="shared" si="24"/>
        <v>0</v>
      </c>
      <c r="AD91">
        <f t="shared" si="25"/>
        <v>0</v>
      </c>
      <c r="AE91">
        <f t="shared" si="26"/>
        <v>0</v>
      </c>
      <c r="AF91">
        <f t="shared" si="27"/>
        <v>0</v>
      </c>
    </row>
    <row r="92" spans="1:32" x14ac:dyDescent="0.35">
      <c r="A92" s="21">
        <f t="shared" si="15"/>
        <v>83</v>
      </c>
      <c r="B92" s="62"/>
      <c r="C92" s="27"/>
      <c r="D92" s="25"/>
      <c r="E92" s="115"/>
      <c r="F92" s="115"/>
      <c r="G92" s="33" t="str">
        <f t="shared" si="18"/>
        <v/>
      </c>
      <c r="H92" s="59"/>
      <c r="I92" s="25"/>
      <c r="J92" s="25"/>
      <c r="K92" s="25"/>
      <c r="L92" s="25"/>
      <c r="M92" s="25"/>
      <c r="N92" s="25"/>
      <c r="O92" s="25"/>
      <c r="P92" s="25"/>
      <c r="Q92" s="38" t="str">
        <f t="shared" si="16"/>
        <v/>
      </c>
      <c r="R92" s="39" t="str">
        <f t="shared" si="17"/>
        <v/>
      </c>
      <c r="S92" s="40" t="str">
        <f t="shared" si="19"/>
        <v/>
      </c>
      <c r="T92" s="28"/>
      <c r="Y92">
        <f t="shared" si="20"/>
        <v>0</v>
      </c>
      <c r="Z92">
        <f t="shared" si="21"/>
        <v>0</v>
      </c>
      <c r="AA92">
        <f t="shared" si="22"/>
        <v>0</v>
      </c>
      <c r="AB92">
        <f t="shared" si="23"/>
        <v>0</v>
      </c>
      <c r="AC92">
        <f t="shared" si="24"/>
        <v>0</v>
      </c>
      <c r="AD92">
        <f t="shared" si="25"/>
        <v>0</v>
      </c>
      <c r="AE92">
        <f t="shared" si="26"/>
        <v>0</v>
      </c>
      <c r="AF92">
        <f t="shared" si="27"/>
        <v>0</v>
      </c>
    </row>
    <row r="93" spans="1:32" x14ac:dyDescent="0.35">
      <c r="A93" s="21">
        <f t="shared" si="15"/>
        <v>84</v>
      </c>
      <c r="B93" s="62"/>
      <c r="C93" s="27"/>
      <c r="D93" s="25"/>
      <c r="E93" s="115"/>
      <c r="F93" s="115"/>
      <c r="G93" s="33" t="str">
        <f t="shared" si="18"/>
        <v/>
      </c>
      <c r="H93" s="59"/>
      <c r="I93" s="25"/>
      <c r="J93" s="25"/>
      <c r="K93" s="25"/>
      <c r="L93" s="25"/>
      <c r="M93" s="25"/>
      <c r="N93" s="25"/>
      <c r="O93" s="25"/>
      <c r="P93" s="25"/>
      <c r="Q93" s="38" t="str">
        <f t="shared" si="16"/>
        <v/>
      </c>
      <c r="R93" s="39" t="str">
        <f t="shared" si="17"/>
        <v/>
      </c>
      <c r="S93" s="40" t="str">
        <f t="shared" si="19"/>
        <v/>
      </c>
      <c r="T93" s="28"/>
      <c r="Y93">
        <f t="shared" si="20"/>
        <v>0</v>
      </c>
      <c r="Z93">
        <f t="shared" si="21"/>
        <v>0</v>
      </c>
      <c r="AA93">
        <f t="shared" si="22"/>
        <v>0</v>
      </c>
      <c r="AB93">
        <f t="shared" si="23"/>
        <v>0</v>
      </c>
      <c r="AC93">
        <f t="shared" si="24"/>
        <v>0</v>
      </c>
      <c r="AD93">
        <f t="shared" si="25"/>
        <v>0</v>
      </c>
      <c r="AE93">
        <f t="shared" si="26"/>
        <v>0</v>
      </c>
      <c r="AF93">
        <f t="shared" si="27"/>
        <v>0</v>
      </c>
    </row>
    <row r="94" spans="1:32" x14ac:dyDescent="0.35">
      <c r="A94" s="21">
        <f t="shared" si="15"/>
        <v>85</v>
      </c>
      <c r="B94" s="62"/>
      <c r="C94" s="27"/>
      <c r="D94" s="25"/>
      <c r="E94" s="115"/>
      <c r="F94" s="115"/>
      <c r="G94" s="33" t="str">
        <f t="shared" si="18"/>
        <v/>
      </c>
      <c r="H94" s="59"/>
      <c r="I94" s="25"/>
      <c r="J94" s="25"/>
      <c r="K94" s="25"/>
      <c r="L94" s="25"/>
      <c r="M94" s="25"/>
      <c r="N94" s="25"/>
      <c r="O94" s="25"/>
      <c r="P94" s="25"/>
      <c r="Q94" s="38" t="str">
        <f t="shared" si="16"/>
        <v/>
      </c>
      <c r="R94" s="39" t="str">
        <f t="shared" si="17"/>
        <v/>
      </c>
      <c r="S94" s="40" t="str">
        <f t="shared" si="19"/>
        <v/>
      </c>
      <c r="T94" s="28"/>
      <c r="Y94">
        <f t="shared" si="20"/>
        <v>0</v>
      </c>
      <c r="Z94">
        <f t="shared" si="21"/>
        <v>0</v>
      </c>
      <c r="AA94">
        <f t="shared" si="22"/>
        <v>0</v>
      </c>
      <c r="AB94">
        <f t="shared" si="23"/>
        <v>0</v>
      </c>
      <c r="AC94">
        <f t="shared" si="24"/>
        <v>0</v>
      </c>
      <c r="AD94">
        <f t="shared" si="25"/>
        <v>0</v>
      </c>
      <c r="AE94">
        <f t="shared" si="26"/>
        <v>0</v>
      </c>
      <c r="AF94">
        <f t="shared" si="27"/>
        <v>0</v>
      </c>
    </row>
    <row r="95" spans="1:32" x14ac:dyDescent="0.35">
      <c r="A95" s="21">
        <f t="shared" si="15"/>
        <v>86</v>
      </c>
      <c r="B95" s="62"/>
      <c r="C95" s="27"/>
      <c r="D95" s="25"/>
      <c r="E95" s="115"/>
      <c r="F95" s="115"/>
      <c r="G95" s="33" t="str">
        <f t="shared" si="18"/>
        <v/>
      </c>
      <c r="H95" s="59"/>
      <c r="I95" s="25"/>
      <c r="J95" s="25"/>
      <c r="K95" s="25"/>
      <c r="L95" s="25"/>
      <c r="M95" s="25"/>
      <c r="N95" s="25"/>
      <c r="O95" s="25"/>
      <c r="P95" s="25"/>
      <c r="Q95" s="38" t="str">
        <f t="shared" si="16"/>
        <v/>
      </c>
      <c r="R95" s="39" t="str">
        <f t="shared" si="17"/>
        <v/>
      </c>
      <c r="S95" s="40" t="str">
        <f t="shared" si="19"/>
        <v/>
      </c>
      <c r="T95" s="28"/>
      <c r="Y95">
        <f t="shared" si="20"/>
        <v>0</v>
      </c>
      <c r="Z95">
        <f t="shared" si="21"/>
        <v>0</v>
      </c>
      <c r="AA95">
        <f t="shared" si="22"/>
        <v>0</v>
      </c>
      <c r="AB95">
        <f t="shared" si="23"/>
        <v>0</v>
      </c>
      <c r="AC95">
        <f t="shared" si="24"/>
        <v>0</v>
      </c>
      <c r="AD95">
        <f t="shared" si="25"/>
        <v>0</v>
      </c>
      <c r="AE95">
        <f t="shared" si="26"/>
        <v>0</v>
      </c>
      <c r="AF95">
        <f t="shared" si="27"/>
        <v>0</v>
      </c>
    </row>
    <row r="96" spans="1:32" x14ac:dyDescent="0.35">
      <c r="A96" s="21">
        <f t="shared" si="15"/>
        <v>87</v>
      </c>
      <c r="B96" s="62"/>
      <c r="C96" s="27"/>
      <c r="D96" s="25"/>
      <c r="E96" s="115"/>
      <c r="F96" s="115"/>
      <c r="G96" s="33" t="str">
        <f t="shared" si="18"/>
        <v/>
      </c>
      <c r="H96" s="59"/>
      <c r="I96" s="25"/>
      <c r="J96" s="25"/>
      <c r="K96" s="25"/>
      <c r="L96" s="25"/>
      <c r="M96" s="25"/>
      <c r="N96" s="25"/>
      <c r="O96" s="25"/>
      <c r="P96" s="25"/>
      <c r="Q96" s="38" t="str">
        <f t="shared" si="16"/>
        <v/>
      </c>
      <c r="R96" s="39" t="str">
        <f t="shared" si="17"/>
        <v/>
      </c>
      <c r="S96" s="40" t="str">
        <f t="shared" si="19"/>
        <v/>
      </c>
      <c r="T96" s="28"/>
      <c r="Y96">
        <f t="shared" si="20"/>
        <v>0</v>
      </c>
      <c r="Z96">
        <f t="shared" si="21"/>
        <v>0</v>
      </c>
      <c r="AA96">
        <f t="shared" si="22"/>
        <v>0</v>
      </c>
      <c r="AB96">
        <f t="shared" si="23"/>
        <v>0</v>
      </c>
      <c r="AC96">
        <f t="shared" si="24"/>
        <v>0</v>
      </c>
      <c r="AD96">
        <f t="shared" si="25"/>
        <v>0</v>
      </c>
      <c r="AE96">
        <f t="shared" si="26"/>
        <v>0</v>
      </c>
      <c r="AF96">
        <f t="shared" si="27"/>
        <v>0</v>
      </c>
    </row>
    <row r="97" spans="1:32" x14ac:dyDescent="0.35">
      <c r="A97" s="21">
        <f t="shared" si="15"/>
        <v>88</v>
      </c>
      <c r="B97" s="62"/>
      <c r="C97" s="27"/>
      <c r="D97" s="25"/>
      <c r="E97" s="115"/>
      <c r="F97" s="115"/>
      <c r="G97" s="33" t="str">
        <f t="shared" si="18"/>
        <v/>
      </c>
      <c r="H97" s="59"/>
      <c r="I97" s="25"/>
      <c r="J97" s="25"/>
      <c r="K97" s="25"/>
      <c r="L97" s="25"/>
      <c r="M97" s="25"/>
      <c r="N97" s="25"/>
      <c r="O97" s="25"/>
      <c r="P97" s="25"/>
      <c r="Q97" s="38" t="str">
        <f t="shared" si="16"/>
        <v/>
      </c>
      <c r="R97" s="39" t="str">
        <f t="shared" si="17"/>
        <v/>
      </c>
      <c r="S97" s="40" t="str">
        <f t="shared" si="19"/>
        <v/>
      </c>
      <c r="T97" s="28"/>
      <c r="Y97">
        <f t="shared" si="20"/>
        <v>0</v>
      </c>
      <c r="Z97">
        <f t="shared" si="21"/>
        <v>0</v>
      </c>
      <c r="AA97">
        <f t="shared" si="22"/>
        <v>0</v>
      </c>
      <c r="AB97">
        <f t="shared" si="23"/>
        <v>0</v>
      </c>
      <c r="AC97">
        <f t="shared" si="24"/>
        <v>0</v>
      </c>
      <c r="AD97">
        <f t="shared" si="25"/>
        <v>0</v>
      </c>
      <c r="AE97">
        <f t="shared" si="26"/>
        <v>0</v>
      </c>
      <c r="AF97">
        <f t="shared" si="27"/>
        <v>0</v>
      </c>
    </row>
    <row r="98" spans="1:32" x14ac:dyDescent="0.35">
      <c r="A98" s="21">
        <f t="shared" si="15"/>
        <v>89</v>
      </c>
      <c r="B98" s="62"/>
      <c r="C98" s="27"/>
      <c r="D98" s="25"/>
      <c r="E98" s="115"/>
      <c r="F98" s="115"/>
      <c r="G98" s="33" t="str">
        <f t="shared" si="18"/>
        <v/>
      </c>
      <c r="H98" s="59"/>
      <c r="I98" s="25"/>
      <c r="J98" s="25"/>
      <c r="K98" s="25"/>
      <c r="L98" s="25"/>
      <c r="M98" s="25"/>
      <c r="N98" s="25"/>
      <c r="O98" s="25"/>
      <c r="P98" s="25"/>
      <c r="Q98" s="38" t="str">
        <f t="shared" si="16"/>
        <v/>
      </c>
      <c r="R98" s="39" t="str">
        <f t="shared" si="17"/>
        <v/>
      </c>
      <c r="S98" s="40" t="str">
        <f t="shared" si="19"/>
        <v/>
      </c>
      <c r="T98" s="28"/>
      <c r="Y98">
        <f t="shared" si="20"/>
        <v>0</v>
      </c>
      <c r="Z98">
        <f t="shared" si="21"/>
        <v>0</v>
      </c>
      <c r="AA98">
        <f t="shared" si="22"/>
        <v>0</v>
      </c>
      <c r="AB98">
        <f t="shared" si="23"/>
        <v>0</v>
      </c>
      <c r="AC98">
        <f t="shared" si="24"/>
        <v>0</v>
      </c>
      <c r="AD98">
        <f t="shared" si="25"/>
        <v>0</v>
      </c>
      <c r="AE98">
        <f t="shared" si="26"/>
        <v>0</v>
      </c>
      <c r="AF98">
        <f t="shared" si="27"/>
        <v>0</v>
      </c>
    </row>
    <row r="99" spans="1:32" x14ac:dyDescent="0.35">
      <c r="A99" s="21">
        <f t="shared" si="15"/>
        <v>90</v>
      </c>
      <c r="B99" s="62"/>
      <c r="C99" s="27"/>
      <c r="D99" s="25"/>
      <c r="E99" s="115"/>
      <c r="F99" s="115"/>
      <c r="G99" s="33" t="str">
        <f t="shared" si="18"/>
        <v/>
      </c>
      <c r="H99" s="59"/>
      <c r="I99" s="25"/>
      <c r="J99" s="25"/>
      <c r="K99" s="25"/>
      <c r="L99" s="25"/>
      <c r="M99" s="25"/>
      <c r="N99" s="25"/>
      <c r="O99" s="25"/>
      <c r="P99" s="25"/>
      <c r="Q99" s="38" t="str">
        <f t="shared" si="16"/>
        <v/>
      </c>
      <c r="R99" s="39" t="str">
        <f t="shared" si="17"/>
        <v/>
      </c>
      <c r="S99" s="40" t="str">
        <f t="shared" si="19"/>
        <v/>
      </c>
      <c r="T99" s="28"/>
      <c r="Y99">
        <f t="shared" si="20"/>
        <v>0</v>
      </c>
      <c r="Z99">
        <f t="shared" si="21"/>
        <v>0</v>
      </c>
      <c r="AA99">
        <f t="shared" si="22"/>
        <v>0</v>
      </c>
      <c r="AB99">
        <f t="shared" si="23"/>
        <v>0</v>
      </c>
      <c r="AC99">
        <f t="shared" si="24"/>
        <v>0</v>
      </c>
      <c r="AD99">
        <f t="shared" si="25"/>
        <v>0</v>
      </c>
      <c r="AE99">
        <f t="shared" si="26"/>
        <v>0</v>
      </c>
      <c r="AF99">
        <f t="shared" si="27"/>
        <v>0</v>
      </c>
    </row>
    <row r="100" spans="1:32" x14ac:dyDescent="0.35">
      <c r="A100" s="21">
        <f t="shared" si="15"/>
        <v>91</v>
      </c>
      <c r="B100" s="62"/>
      <c r="C100" s="27"/>
      <c r="D100" s="25"/>
      <c r="E100" s="115"/>
      <c r="F100" s="115"/>
      <c r="G100" s="33" t="str">
        <f t="shared" si="18"/>
        <v/>
      </c>
      <c r="H100" s="59"/>
      <c r="I100" s="25"/>
      <c r="J100" s="25"/>
      <c r="K100" s="25"/>
      <c r="L100" s="25"/>
      <c r="M100" s="25"/>
      <c r="N100" s="25"/>
      <c r="O100" s="25"/>
      <c r="P100" s="25"/>
      <c r="Q100" s="38" t="str">
        <f t="shared" si="16"/>
        <v/>
      </c>
      <c r="R100" s="39" t="str">
        <f t="shared" si="17"/>
        <v/>
      </c>
      <c r="S100" s="40" t="str">
        <f t="shared" si="19"/>
        <v/>
      </c>
      <c r="T100" s="28"/>
      <c r="Y100">
        <f t="shared" si="20"/>
        <v>0</v>
      </c>
      <c r="Z100">
        <f t="shared" si="21"/>
        <v>0</v>
      </c>
      <c r="AA100">
        <f t="shared" si="22"/>
        <v>0</v>
      </c>
      <c r="AB100">
        <f t="shared" si="23"/>
        <v>0</v>
      </c>
      <c r="AC100">
        <f t="shared" si="24"/>
        <v>0</v>
      </c>
      <c r="AD100">
        <f t="shared" si="25"/>
        <v>0</v>
      </c>
      <c r="AE100">
        <f t="shared" si="26"/>
        <v>0</v>
      </c>
      <c r="AF100">
        <f t="shared" si="27"/>
        <v>0</v>
      </c>
    </row>
    <row r="101" spans="1:32" x14ac:dyDescent="0.35">
      <c r="A101" s="21">
        <f t="shared" si="15"/>
        <v>92</v>
      </c>
      <c r="B101" s="62"/>
      <c r="C101" s="27"/>
      <c r="D101" s="25"/>
      <c r="E101" s="115"/>
      <c r="F101" s="115"/>
      <c r="G101" s="33" t="str">
        <f t="shared" si="18"/>
        <v/>
      </c>
      <c r="H101" s="59"/>
      <c r="I101" s="25"/>
      <c r="J101" s="25"/>
      <c r="K101" s="25"/>
      <c r="L101" s="25"/>
      <c r="M101" s="25"/>
      <c r="N101" s="25"/>
      <c r="O101" s="25"/>
      <c r="P101" s="25"/>
      <c r="Q101" s="38" t="str">
        <f t="shared" si="16"/>
        <v/>
      </c>
      <c r="R101" s="39" t="str">
        <f t="shared" si="17"/>
        <v/>
      </c>
      <c r="S101" s="40" t="str">
        <f t="shared" si="19"/>
        <v/>
      </c>
      <c r="T101" s="28"/>
      <c r="Y101">
        <f t="shared" si="20"/>
        <v>0</v>
      </c>
      <c r="Z101">
        <f t="shared" si="21"/>
        <v>0</v>
      </c>
      <c r="AA101">
        <f t="shared" si="22"/>
        <v>0</v>
      </c>
      <c r="AB101">
        <f t="shared" si="23"/>
        <v>0</v>
      </c>
      <c r="AC101">
        <f t="shared" si="24"/>
        <v>0</v>
      </c>
      <c r="AD101">
        <f t="shared" si="25"/>
        <v>0</v>
      </c>
      <c r="AE101">
        <f t="shared" si="26"/>
        <v>0</v>
      </c>
      <c r="AF101">
        <f t="shared" si="27"/>
        <v>0</v>
      </c>
    </row>
    <row r="102" spans="1:32" x14ac:dyDescent="0.35">
      <c r="A102" s="21">
        <f t="shared" si="15"/>
        <v>93</v>
      </c>
      <c r="B102" s="62"/>
      <c r="C102" s="27"/>
      <c r="D102" s="25"/>
      <c r="E102" s="115"/>
      <c r="F102" s="115"/>
      <c r="G102" s="33" t="str">
        <f t="shared" si="18"/>
        <v/>
      </c>
      <c r="H102" s="59"/>
      <c r="I102" s="25"/>
      <c r="J102" s="25"/>
      <c r="K102" s="25"/>
      <c r="L102" s="25"/>
      <c r="M102" s="25"/>
      <c r="N102" s="25"/>
      <c r="O102" s="25"/>
      <c r="P102" s="25"/>
      <c r="Q102" s="38" t="str">
        <f t="shared" si="16"/>
        <v/>
      </c>
      <c r="R102" s="39" t="str">
        <f t="shared" si="17"/>
        <v/>
      </c>
      <c r="S102" s="40" t="str">
        <f t="shared" si="19"/>
        <v/>
      </c>
      <c r="T102" s="28"/>
      <c r="Y102">
        <f t="shared" si="20"/>
        <v>0</v>
      </c>
      <c r="Z102">
        <f t="shared" si="21"/>
        <v>0</v>
      </c>
      <c r="AA102">
        <f t="shared" si="22"/>
        <v>0</v>
      </c>
      <c r="AB102">
        <f t="shared" si="23"/>
        <v>0</v>
      </c>
      <c r="AC102">
        <f t="shared" si="24"/>
        <v>0</v>
      </c>
      <c r="AD102">
        <f t="shared" si="25"/>
        <v>0</v>
      </c>
      <c r="AE102">
        <f t="shared" si="26"/>
        <v>0</v>
      </c>
      <c r="AF102">
        <f t="shared" si="27"/>
        <v>0</v>
      </c>
    </row>
    <row r="103" spans="1:32" x14ac:dyDescent="0.35">
      <c r="A103" s="21">
        <f t="shared" si="15"/>
        <v>94</v>
      </c>
      <c r="B103" s="62"/>
      <c r="C103" s="27"/>
      <c r="D103" s="25"/>
      <c r="E103" s="115"/>
      <c r="F103" s="115"/>
      <c r="G103" s="33" t="str">
        <f t="shared" si="18"/>
        <v/>
      </c>
      <c r="H103" s="59"/>
      <c r="I103" s="25"/>
      <c r="J103" s="25"/>
      <c r="K103" s="25"/>
      <c r="L103" s="25"/>
      <c r="M103" s="25"/>
      <c r="N103" s="25"/>
      <c r="O103" s="25"/>
      <c r="P103" s="25"/>
      <c r="Q103" s="38" t="str">
        <f t="shared" si="16"/>
        <v/>
      </c>
      <c r="R103" s="39" t="str">
        <f t="shared" si="17"/>
        <v/>
      </c>
      <c r="S103" s="40" t="str">
        <f t="shared" si="19"/>
        <v/>
      </c>
      <c r="T103" s="28"/>
      <c r="Y103">
        <f t="shared" si="20"/>
        <v>0</v>
      </c>
      <c r="Z103">
        <f t="shared" si="21"/>
        <v>0</v>
      </c>
      <c r="AA103">
        <f t="shared" si="22"/>
        <v>0</v>
      </c>
      <c r="AB103">
        <f t="shared" si="23"/>
        <v>0</v>
      </c>
      <c r="AC103">
        <f t="shared" si="24"/>
        <v>0</v>
      </c>
      <c r="AD103">
        <f t="shared" si="25"/>
        <v>0</v>
      </c>
      <c r="AE103">
        <f t="shared" si="26"/>
        <v>0</v>
      </c>
      <c r="AF103">
        <f t="shared" si="27"/>
        <v>0</v>
      </c>
    </row>
    <row r="104" spans="1:32" x14ac:dyDescent="0.35">
      <c r="A104" s="21">
        <f t="shared" si="15"/>
        <v>95</v>
      </c>
      <c r="B104" s="62"/>
      <c r="C104" s="27"/>
      <c r="D104" s="25"/>
      <c r="E104" s="115"/>
      <c r="F104" s="115"/>
      <c r="G104" s="33" t="str">
        <f t="shared" si="18"/>
        <v/>
      </c>
      <c r="H104" s="59"/>
      <c r="I104" s="25"/>
      <c r="J104" s="25"/>
      <c r="K104" s="25"/>
      <c r="L104" s="25"/>
      <c r="M104" s="25"/>
      <c r="N104" s="25"/>
      <c r="O104" s="25"/>
      <c r="P104" s="25"/>
      <c r="Q104" s="38" t="str">
        <f t="shared" si="16"/>
        <v/>
      </c>
      <c r="R104" s="39" t="str">
        <f t="shared" si="17"/>
        <v/>
      </c>
      <c r="S104" s="40" t="str">
        <f t="shared" si="19"/>
        <v/>
      </c>
      <c r="T104" s="28"/>
      <c r="Y104">
        <f t="shared" si="20"/>
        <v>0</v>
      </c>
      <c r="Z104">
        <f t="shared" si="21"/>
        <v>0</v>
      </c>
      <c r="AA104">
        <f t="shared" si="22"/>
        <v>0</v>
      </c>
      <c r="AB104">
        <f t="shared" si="23"/>
        <v>0</v>
      </c>
      <c r="AC104">
        <f t="shared" si="24"/>
        <v>0</v>
      </c>
      <c r="AD104">
        <f t="shared" si="25"/>
        <v>0</v>
      </c>
      <c r="AE104">
        <f t="shared" si="26"/>
        <v>0</v>
      </c>
      <c r="AF104">
        <f t="shared" si="27"/>
        <v>0</v>
      </c>
    </row>
    <row r="105" spans="1:32" x14ac:dyDescent="0.35">
      <c r="A105" s="21">
        <f t="shared" si="15"/>
        <v>96</v>
      </c>
      <c r="B105" s="62"/>
      <c r="C105" s="27"/>
      <c r="D105" s="25"/>
      <c r="E105" s="115"/>
      <c r="F105" s="115"/>
      <c r="G105" s="33" t="str">
        <f t="shared" si="18"/>
        <v/>
      </c>
      <c r="H105" s="59"/>
      <c r="I105" s="25"/>
      <c r="J105" s="25"/>
      <c r="K105" s="25"/>
      <c r="L105" s="25"/>
      <c r="M105" s="25"/>
      <c r="N105" s="25"/>
      <c r="O105" s="25"/>
      <c r="P105" s="25"/>
      <c r="Q105" s="38" t="str">
        <f t="shared" si="16"/>
        <v/>
      </c>
      <c r="R105" s="39" t="str">
        <f t="shared" si="17"/>
        <v/>
      </c>
      <c r="S105" s="40" t="str">
        <f t="shared" si="19"/>
        <v/>
      </c>
      <c r="T105" s="28"/>
      <c r="Y105">
        <f t="shared" si="20"/>
        <v>0</v>
      </c>
      <c r="Z105">
        <f t="shared" si="21"/>
        <v>0</v>
      </c>
      <c r="AA105">
        <f t="shared" si="22"/>
        <v>0</v>
      </c>
      <c r="AB105">
        <f t="shared" si="23"/>
        <v>0</v>
      </c>
      <c r="AC105">
        <f t="shared" si="24"/>
        <v>0</v>
      </c>
      <c r="AD105">
        <f t="shared" si="25"/>
        <v>0</v>
      </c>
      <c r="AE105">
        <f t="shared" si="26"/>
        <v>0</v>
      </c>
      <c r="AF105">
        <f t="shared" si="27"/>
        <v>0</v>
      </c>
    </row>
    <row r="106" spans="1:32" x14ac:dyDescent="0.35">
      <c r="A106" s="21">
        <f t="shared" si="15"/>
        <v>97</v>
      </c>
      <c r="B106" s="62"/>
      <c r="C106" s="27"/>
      <c r="D106" s="25"/>
      <c r="E106" s="115"/>
      <c r="F106" s="115"/>
      <c r="G106" s="33" t="str">
        <f t="shared" si="18"/>
        <v/>
      </c>
      <c r="H106" s="59"/>
      <c r="I106" s="25"/>
      <c r="J106" s="25"/>
      <c r="K106" s="25"/>
      <c r="L106" s="25"/>
      <c r="M106" s="25"/>
      <c r="N106" s="25"/>
      <c r="O106" s="25"/>
      <c r="P106" s="25"/>
      <c r="Q106" s="38" t="str">
        <f t="shared" ref="Q106:Q109" si="28">IF(C106&lt;&gt;"",SUM(I106:P106),"")</f>
        <v/>
      </c>
      <c r="R106" s="39" t="str">
        <f t="shared" ref="R106:R109" si="29">IF(AND(Q106&gt;0,C106&lt;&gt;""),Q106/Q$9,"")</f>
        <v/>
      </c>
      <c r="S106" s="40" t="str">
        <f t="shared" si="19"/>
        <v/>
      </c>
      <c r="T106" s="28"/>
      <c r="Y106">
        <f t="shared" si="20"/>
        <v>0</v>
      </c>
      <c r="Z106">
        <f t="shared" si="21"/>
        <v>0</v>
      </c>
      <c r="AA106">
        <f t="shared" si="22"/>
        <v>0</v>
      </c>
      <c r="AB106">
        <f t="shared" si="23"/>
        <v>0</v>
      </c>
      <c r="AC106">
        <f t="shared" si="24"/>
        <v>0</v>
      </c>
      <c r="AD106">
        <f t="shared" si="25"/>
        <v>0</v>
      </c>
      <c r="AE106">
        <f t="shared" si="26"/>
        <v>0</v>
      </c>
      <c r="AF106">
        <f t="shared" si="27"/>
        <v>0</v>
      </c>
    </row>
    <row r="107" spans="1:32" x14ac:dyDescent="0.35">
      <c r="A107" s="21">
        <f t="shared" si="15"/>
        <v>98</v>
      </c>
      <c r="B107" s="62"/>
      <c r="C107" s="27"/>
      <c r="D107" s="25"/>
      <c r="E107" s="115"/>
      <c r="F107" s="115"/>
      <c r="G107" s="33" t="str">
        <f t="shared" si="18"/>
        <v/>
      </c>
      <c r="H107" s="59"/>
      <c r="I107" s="25"/>
      <c r="J107" s="25"/>
      <c r="K107" s="25"/>
      <c r="L107" s="25"/>
      <c r="M107" s="25"/>
      <c r="N107" s="25"/>
      <c r="O107" s="25"/>
      <c r="P107" s="25"/>
      <c r="Q107" s="38" t="str">
        <f t="shared" si="28"/>
        <v/>
      </c>
      <c r="R107" s="39" t="str">
        <f t="shared" si="29"/>
        <v/>
      </c>
      <c r="S107" s="40" t="str">
        <f t="shared" si="19"/>
        <v/>
      </c>
      <c r="T107" s="28"/>
      <c r="Y107">
        <f t="shared" si="20"/>
        <v>0</v>
      </c>
      <c r="Z107">
        <f t="shared" si="21"/>
        <v>0</v>
      </c>
      <c r="AA107">
        <f t="shared" si="22"/>
        <v>0</v>
      </c>
      <c r="AB107">
        <f t="shared" si="23"/>
        <v>0</v>
      </c>
      <c r="AC107">
        <f t="shared" si="24"/>
        <v>0</v>
      </c>
      <c r="AD107">
        <f t="shared" si="25"/>
        <v>0</v>
      </c>
      <c r="AE107">
        <f t="shared" si="26"/>
        <v>0</v>
      </c>
      <c r="AF107">
        <f t="shared" si="27"/>
        <v>0</v>
      </c>
    </row>
    <row r="108" spans="1:32" x14ac:dyDescent="0.35">
      <c r="A108" s="21">
        <f t="shared" si="15"/>
        <v>99</v>
      </c>
      <c r="B108" s="62"/>
      <c r="C108" s="27"/>
      <c r="D108" s="25"/>
      <c r="E108" s="115"/>
      <c r="F108" s="115"/>
      <c r="G108" s="33" t="str">
        <f t="shared" si="18"/>
        <v/>
      </c>
      <c r="H108" s="59"/>
      <c r="I108" s="25"/>
      <c r="J108" s="25"/>
      <c r="K108" s="25"/>
      <c r="L108" s="25"/>
      <c r="M108" s="25"/>
      <c r="N108" s="25"/>
      <c r="O108" s="25"/>
      <c r="P108" s="25"/>
      <c r="Q108" s="38" t="str">
        <f t="shared" si="28"/>
        <v/>
      </c>
      <c r="R108" s="39" t="str">
        <f t="shared" si="29"/>
        <v/>
      </c>
      <c r="S108" s="40" t="str">
        <f t="shared" si="19"/>
        <v/>
      </c>
      <c r="T108" s="28"/>
      <c r="Y108">
        <f t="shared" si="20"/>
        <v>0</v>
      </c>
      <c r="Z108">
        <f t="shared" si="21"/>
        <v>0</v>
      </c>
      <c r="AA108">
        <f t="shared" si="22"/>
        <v>0</v>
      </c>
      <c r="AB108">
        <f t="shared" si="23"/>
        <v>0</v>
      </c>
      <c r="AC108">
        <f t="shared" si="24"/>
        <v>0</v>
      </c>
      <c r="AD108">
        <f t="shared" si="25"/>
        <v>0</v>
      </c>
      <c r="AE108">
        <f t="shared" si="26"/>
        <v>0</v>
      </c>
      <c r="AF108">
        <f t="shared" si="27"/>
        <v>0</v>
      </c>
    </row>
    <row r="109" spans="1:32" ht="15" thickBot="1" x14ac:dyDescent="0.4">
      <c r="A109" s="22">
        <v>100</v>
      </c>
      <c r="B109" s="63"/>
      <c r="C109" s="29"/>
      <c r="D109" s="30"/>
      <c r="E109" s="116"/>
      <c r="F109" s="116"/>
      <c r="G109" s="34" t="str">
        <f t="shared" si="18"/>
        <v/>
      </c>
      <c r="H109" s="60"/>
      <c r="I109" s="30"/>
      <c r="J109" s="30"/>
      <c r="K109" s="30"/>
      <c r="L109" s="30"/>
      <c r="M109" s="30"/>
      <c r="N109" s="30"/>
      <c r="O109" s="30"/>
      <c r="P109" s="30"/>
      <c r="Q109" s="41" t="str">
        <f t="shared" si="28"/>
        <v/>
      </c>
      <c r="R109" s="42" t="str">
        <f t="shared" si="29"/>
        <v/>
      </c>
      <c r="S109" s="43" t="str">
        <f t="shared" si="19"/>
        <v/>
      </c>
      <c r="T109" s="31"/>
      <c r="Y109">
        <f t="shared" si="20"/>
        <v>0</v>
      </c>
      <c r="Z109">
        <f t="shared" si="21"/>
        <v>0</v>
      </c>
      <c r="AA109">
        <f t="shared" si="22"/>
        <v>0</v>
      </c>
      <c r="AB109">
        <f t="shared" si="23"/>
        <v>0</v>
      </c>
      <c r="AC109">
        <f t="shared" si="24"/>
        <v>0</v>
      </c>
      <c r="AD109">
        <f t="shared" si="25"/>
        <v>0</v>
      </c>
      <c r="AE109">
        <f t="shared" si="26"/>
        <v>0</v>
      </c>
      <c r="AF109">
        <f t="shared" si="27"/>
        <v>0</v>
      </c>
    </row>
    <row r="110" spans="1:32" x14ac:dyDescent="0.35">
      <c r="E110" s="117"/>
      <c r="F110" s="117"/>
      <c r="Z110">
        <f t="shared" ref="Z110:AF113" si="30">IF(J111/J$9&gt;=75%,1,0)</f>
        <v>0</v>
      </c>
      <c r="AA110">
        <f t="shared" si="30"/>
        <v>0</v>
      </c>
      <c r="AB110">
        <f t="shared" si="30"/>
        <v>0</v>
      </c>
      <c r="AC110">
        <f t="shared" si="30"/>
        <v>0</v>
      </c>
      <c r="AD110">
        <f t="shared" si="30"/>
        <v>0</v>
      </c>
      <c r="AE110">
        <f t="shared" si="30"/>
        <v>0</v>
      </c>
      <c r="AF110">
        <f t="shared" si="30"/>
        <v>0</v>
      </c>
    </row>
    <row r="111" spans="1:32" x14ac:dyDescent="0.35">
      <c r="E111" s="117"/>
      <c r="F111" s="117"/>
      <c r="Z111">
        <f t="shared" si="30"/>
        <v>0</v>
      </c>
      <c r="AA111">
        <f t="shared" si="30"/>
        <v>0</v>
      </c>
      <c r="AB111">
        <f t="shared" si="30"/>
        <v>0</v>
      </c>
      <c r="AC111">
        <f t="shared" si="30"/>
        <v>0</v>
      </c>
      <c r="AD111">
        <f t="shared" si="30"/>
        <v>0</v>
      </c>
      <c r="AE111">
        <f t="shared" si="30"/>
        <v>0</v>
      </c>
      <c r="AF111">
        <f t="shared" si="30"/>
        <v>0</v>
      </c>
    </row>
    <row r="112" spans="1:32" ht="15" customHeight="1" x14ac:dyDescent="0.35">
      <c r="E112" s="117"/>
      <c r="F112" s="117"/>
      <c r="Z112">
        <f t="shared" si="30"/>
        <v>0</v>
      </c>
      <c r="AA112">
        <f t="shared" si="30"/>
        <v>0</v>
      </c>
      <c r="AB112">
        <f t="shared" si="30"/>
        <v>0</v>
      </c>
      <c r="AC112">
        <f t="shared" si="30"/>
        <v>0</v>
      </c>
      <c r="AD112">
        <f t="shared" si="30"/>
        <v>0</v>
      </c>
      <c r="AE112">
        <f t="shared" si="30"/>
        <v>0</v>
      </c>
      <c r="AF112">
        <f t="shared" si="30"/>
        <v>0</v>
      </c>
    </row>
    <row r="113" spans="26:32" hidden="1" x14ac:dyDescent="0.35">
      <c r="Z113">
        <f t="shared" si="30"/>
        <v>0</v>
      </c>
      <c r="AA113">
        <f t="shared" si="30"/>
        <v>0</v>
      </c>
      <c r="AB113">
        <f t="shared" si="30"/>
        <v>0</v>
      </c>
      <c r="AC113">
        <f t="shared" si="30"/>
        <v>0</v>
      </c>
      <c r="AD113">
        <f t="shared" si="30"/>
        <v>0</v>
      </c>
      <c r="AE113">
        <f t="shared" si="30"/>
        <v>0</v>
      </c>
      <c r="AF113">
        <f t="shared" si="30"/>
        <v>0</v>
      </c>
    </row>
    <row r="114" spans="26:32" hidden="1" x14ac:dyDescent="0.35">
      <c r="Z114">
        <f t="shared" ref="Z114:Z177" si="31">IF(J115/J$9&gt;=75%,1,0)</f>
        <v>0</v>
      </c>
      <c r="AA114">
        <f t="shared" ref="AA114:AA177" si="32">IF(K115/K$9&gt;=75%,1,0)</f>
        <v>0</v>
      </c>
      <c r="AB114">
        <f t="shared" ref="AB114:AB177" si="33">IF(L115/L$9&gt;=75%,1,0)</f>
        <v>0</v>
      </c>
      <c r="AC114">
        <f t="shared" ref="AC114:AC177" si="34">IF(M115/M$9&gt;=75%,1,0)</f>
        <v>0</v>
      </c>
      <c r="AD114">
        <f t="shared" ref="AD114:AD177" si="35">IF(N115/N$9&gt;=75%,1,0)</f>
        <v>0</v>
      </c>
      <c r="AE114">
        <f t="shared" ref="AE114:AE177" si="36">IF(O115/O$9&gt;=75%,1,0)</f>
        <v>0</v>
      </c>
      <c r="AF114">
        <f t="shared" ref="AF114:AF177" si="37">IF(P115/P$9&gt;=75%,1,0)</f>
        <v>0</v>
      </c>
    </row>
    <row r="115" spans="26:32" hidden="1" x14ac:dyDescent="0.35">
      <c r="Z115">
        <f t="shared" si="31"/>
        <v>0</v>
      </c>
      <c r="AA115">
        <f t="shared" si="32"/>
        <v>0</v>
      </c>
      <c r="AB115">
        <f t="shared" si="33"/>
        <v>0</v>
      </c>
      <c r="AC115">
        <f t="shared" si="34"/>
        <v>0</v>
      </c>
      <c r="AD115">
        <f t="shared" si="35"/>
        <v>0</v>
      </c>
      <c r="AE115">
        <f t="shared" si="36"/>
        <v>0</v>
      </c>
      <c r="AF115">
        <f t="shared" si="37"/>
        <v>0</v>
      </c>
    </row>
    <row r="116" spans="26:32" hidden="1" x14ac:dyDescent="0.35">
      <c r="Z116">
        <f t="shared" si="31"/>
        <v>0</v>
      </c>
      <c r="AA116">
        <f t="shared" si="32"/>
        <v>0</v>
      </c>
      <c r="AB116">
        <f t="shared" si="33"/>
        <v>0</v>
      </c>
      <c r="AC116">
        <f t="shared" si="34"/>
        <v>0</v>
      </c>
      <c r="AD116">
        <f t="shared" si="35"/>
        <v>0</v>
      </c>
      <c r="AE116">
        <f t="shared" si="36"/>
        <v>0</v>
      </c>
      <c r="AF116">
        <f t="shared" si="37"/>
        <v>0</v>
      </c>
    </row>
    <row r="117" spans="26:32" hidden="1" x14ac:dyDescent="0.35">
      <c r="Z117">
        <f t="shared" si="31"/>
        <v>0</v>
      </c>
      <c r="AA117">
        <f t="shared" si="32"/>
        <v>0</v>
      </c>
      <c r="AB117">
        <f t="shared" si="33"/>
        <v>0</v>
      </c>
      <c r="AC117">
        <f t="shared" si="34"/>
        <v>0</v>
      </c>
      <c r="AD117">
        <f t="shared" si="35"/>
        <v>0</v>
      </c>
      <c r="AE117">
        <f t="shared" si="36"/>
        <v>0</v>
      </c>
      <c r="AF117">
        <f t="shared" si="37"/>
        <v>0</v>
      </c>
    </row>
    <row r="118" spans="26:32" hidden="1" x14ac:dyDescent="0.35">
      <c r="Z118">
        <f t="shared" si="31"/>
        <v>0</v>
      </c>
      <c r="AA118">
        <f t="shared" si="32"/>
        <v>0</v>
      </c>
      <c r="AB118">
        <f t="shared" si="33"/>
        <v>0</v>
      </c>
      <c r="AC118">
        <f t="shared" si="34"/>
        <v>0</v>
      </c>
      <c r="AD118">
        <f t="shared" si="35"/>
        <v>0</v>
      </c>
      <c r="AE118">
        <f t="shared" si="36"/>
        <v>0</v>
      </c>
      <c r="AF118">
        <f t="shared" si="37"/>
        <v>0</v>
      </c>
    </row>
    <row r="119" spans="26:32" hidden="1" x14ac:dyDescent="0.35">
      <c r="Z119">
        <f t="shared" si="31"/>
        <v>0</v>
      </c>
      <c r="AA119">
        <f t="shared" si="32"/>
        <v>0</v>
      </c>
      <c r="AB119">
        <f t="shared" si="33"/>
        <v>0</v>
      </c>
      <c r="AC119">
        <f t="shared" si="34"/>
        <v>0</v>
      </c>
      <c r="AD119">
        <f t="shared" si="35"/>
        <v>0</v>
      </c>
      <c r="AE119">
        <f t="shared" si="36"/>
        <v>0</v>
      </c>
      <c r="AF119">
        <f t="shared" si="37"/>
        <v>0</v>
      </c>
    </row>
    <row r="120" spans="26:32" hidden="1" x14ac:dyDescent="0.35">
      <c r="Z120">
        <f t="shared" si="31"/>
        <v>0</v>
      </c>
      <c r="AA120">
        <f t="shared" si="32"/>
        <v>0</v>
      </c>
      <c r="AB120">
        <f t="shared" si="33"/>
        <v>0</v>
      </c>
      <c r="AC120">
        <f t="shared" si="34"/>
        <v>0</v>
      </c>
      <c r="AD120">
        <f t="shared" si="35"/>
        <v>0</v>
      </c>
      <c r="AE120">
        <f t="shared" si="36"/>
        <v>0</v>
      </c>
      <c r="AF120">
        <f t="shared" si="37"/>
        <v>0</v>
      </c>
    </row>
    <row r="121" spans="26:32" hidden="1" x14ac:dyDescent="0.35">
      <c r="Z121">
        <f t="shared" si="31"/>
        <v>0</v>
      </c>
      <c r="AA121">
        <f t="shared" si="32"/>
        <v>0</v>
      </c>
      <c r="AB121">
        <f t="shared" si="33"/>
        <v>0</v>
      </c>
      <c r="AC121">
        <f t="shared" si="34"/>
        <v>0</v>
      </c>
      <c r="AD121">
        <f t="shared" si="35"/>
        <v>0</v>
      </c>
      <c r="AE121">
        <f t="shared" si="36"/>
        <v>0</v>
      </c>
      <c r="AF121">
        <f t="shared" si="37"/>
        <v>0</v>
      </c>
    </row>
    <row r="122" spans="26:32" hidden="1" x14ac:dyDescent="0.35">
      <c r="Z122">
        <f t="shared" si="31"/>
        <v>0</v>
      </c>
      <c r="AA122">
        <f t="shared" si="32"/>
        <v>0</v>
      </c>
      <c r="AB122">
        <f t="shared" si="33"/>
        <v>0</v>
      </c>
      <c r="AC122">
        <f t="shared" si="34"/>
        <v>0</v>
      </c>
      <c r="AD122">
        <f t="shared" si="35"/>
        <v>0</v>
      </c>
      <c r="AE122">
        <f t="shared" si="36"/>
        <v>0</v>
      </c>
      <c r="AF122">
        <f t="shared" si="37"/>
        <v>0</v>
      </c>
    </row>
    <row r="123" spans="26:32" hidden="1" x14ac:dyDescent="0.35">
      <c r="Z123">
        <f t="shared" si="31"/>
        <v>0</v>
      </c>
      <c r="AA123">
        <f t="shared" si="32"/>
        <v>0</v>
      </c>
      <c r="AB123">
        <f t="shared" si="33"/>
        <v>0</v>
      </c>
      <c r="AC123">
        <f t="shared" si="34"/>
        <v>0</v>
      </c>
      <c r="AD123">
        <f t="shared" si="35"/>
        <v>0</v>
      </c>
      <c r="AE123">
        <f t="shared" si="36"/>
        <v>0</v>
      </c>
      <c r="AF123">
        <f t="shared" si="37"/>
        <v>0</v>
      </c>
    </row>
    <row r="124" spans="26:32" hidden="1" x14ac:dyDescent="0.35">
      <c r="Z124">
        <f t="shared" si="31"/>
        <v>0</v>
      </c>
      <c r="AA124">
        <f t="shared" si="32"/>
        <v>0</v>
      </c>
      <c r="AB124">
        <f t="shared" si="33"/>
        <v>0</v>
      </c>
      <c r="AC124">
        <f t="shared" si="34"/>
        <v>0</v>
      </c>
      <c r="AD124">
        <f t="shared" si="35"/>
        <v>0</v>
      </c>
      <c r="AE124">
        <f t="shared" si="36"/>
        <v>0</v>
      </c>
      <c r="AF124">
        <f t="shared" si="37"/>
        <v>0</v>
      </c>
    </row>
    <row r="125" spans="26:32" hidden="1" x14ac:dyDescent="0.35">
      <c r="Z125">
        <f t="shared" si="31"/>
        <v>0</v>
      </c>
      <c r="AA125">
        <f t="shared" si="32"/>
        <v>0</v>
      </c>
      <c r="AB125">
        <f t="shared" si="33"/>
        <v>0</v>
      </c>
      <c r="AC125">
        <f t="shared" si="34"/>
        <v>0</v>
      </c>
      <c r="AD125">
        <f t="shared" si="35"/>
        <v>0</v>
      </c>
      <c r="AE125">
        <f t="shared" si="36"/>
        <v>0</v>
      </c>
      <c r="AF125">
        <f t="shared" si="37"/>
        <v>0</v>
      </c>
    </row>
    <row r="126" spans="26:32" hidden="1" x14ac:dyDescent="0.35">
      <c r="Z126">
        <f t="shared" si="31"/>
        <v>0</v>
      </c>
      <c r="AA126">
        <f t="shared" si="32"/>
        <v>0</v>
      </c>
      <c r="AB126">
        <f t="shared" si="33"/>
        <v>0</v>
      </c>
      <c r="AC126">
        <f t="shared" si="34"/>
        <v>0</v>
      </c>
      <c r="AD126">
        <f t="shared" si="35"/>
        <v>0</v>
      </c>
      <c r="AE126">
        <f t="shared" si="36"/>
        <v>0</v>
      </c>
      <c r="AF126">
        <f t="shared" si="37"/>
        <v>0</v>
      </c>
    </row>
    <row r="127" spans="26:32" hidden="1" x14ac:dyDescent="0.35">
      <c r="Z127">
        <f t="shared" si="31"/>
        <v>0</v>
      </c>
      <c r="AA127">
        <f t="shared" si="32"/>
        <v>0</v>
      </c>
      <c r="AB127">
        <f t="shared" si="33"/>
        <v>0</v>
      </c>
      <c r="AC127">
        <f t="shared" si="34"/>
        <v>0</v>
      </c>
      <c r="AD127">
        <f t="shared" si="35"/>
        <v>0</v>
      </c>
      <c r="AE127">
        <f t="shared" si="36"/>
        <v>0</v>
      </c>
      <c r="AF127">
        <f t="shared" si="37"/>
        <v>0</v>
      </c>
    </row>
    <row r="128" spans="26:32" hidden="1" x14ac:dyDescent="0.35">
      <c r="Z128">
        <f t="shared" si="31"/>
        <v>0</v>
      </c>
      <c r="AA128">
        <f t="shared" si="32"/>
        <v>0</v>
      </c>
      <c r="AB128">
        <f t="shared" si="33"/>
        <v>0</v>
      </c>
      <c r="AC128">
        <f t="shared" si="34"/>
        <v>0</v>
      </c>
      <c r="AD128">
        <f t="shared" si="35"/>
        <v>0</v>
      </c>
      <c r="AE128">
        <f t="shared" si="36"/>
        <v>0</v>
      </c>
      <c r="AF128">
        <f t="shared" si="37"/>
        <v>0</v>
      </c>
    </row>
    <row r="129" spans="26:32" hidden="1" x14ac:dyDescent="0.35">
      <c r="Z129">
        <f t="shared" si="31"/>
        <v>0</v>
      </c>
      <c r="AA129">
        <f t="shared" si="32"/>
        <v>0</v>
      </c>
      <c r="AB129">
        <f t="shared" si="33"/>
        <v>0</v>
      </c>
      <c r="AC129">
        <f t="shared" si="34"/>
        <v>0</v>
      </c>
      <c r="AD129">
        <f t="shared" si="35"/>
        <v>0</v>
      </c>
      <c r="AE129">
        <f t="shared" si="36"/>
        <v>0</v>
      </c>
      <c r="AF129">
        <f t="shared" si="37"/>
        <v>0</v>
      </c>
    </row>
    <row r="130" spans="26:32" hidden="1" x14ac:dyDescent="0.35">
      <c r="Z130">
        <f t="shared" si="31"/>
        <v>0</v>
      </c>
      <c r="AA130">
        <f t="shared" si="32"/>
        <v>0</v>
      </c>
      <c r="AB130">
        <f t="shared" si="33"/>
        <v>0</v>
      </c>
      <c r="AC130">
        <f t="shared" si="34"/>
        <v>0</v>
      </c>
      <c r="AD130">
        <f t="shared" si="35"/>
        <v>0</v>
      </c>
      <c r="AE130">
        <f t="shared" si="36"/>
        <v>0</v>
      </c>
      <c r="AF130">
        <f t="shared" si="37"/>
        <v>0</v>
      </c>
    </row>
    <row r="131" spans="26:32" hidden="1" x14ac:dyDescent="0.35">
      <c r="Z131">
        <f t="shared" si="31"/>
        <v>0</v>
      </c>
      <c r="AA131">
        <f t="shared" si="32"/>
        <v>0</v>
      </c>
      <c r="AB131">
        <f t="shared" si="33"/>
        <v>0</v>
      </c>
      <c r="AC131">
        <f t="shared" si="34"/>
        <v>0</v>
      </c>
      <c r="AD131">
        <f t="shared" si="35"/>
        <v>0</v>
      </c>
      <c r="AE131">
        <f t="shared" si="36"/>
        <v>0</v>
      </c>
      <c r="AF131">
        <f t="shared" si="37"/>
        <v>0</v>
      </c>
    </row>
    <row r="132" spans="26:32" hidden="1" x14ac:dyDescent="0.35">
      <c r="Z132">
        <f t="shared" si="31"/>
        <v>0</v>
      </c>
      <c r="AA132">
        <f t="shared" si="32"/>
        <v>0</v>
      </c>
      <c r="AB132">
        <f t="shared" si="33"/>
        <v>0</v>
      </c>
      <c r="AC132">
        <f t="shared" si="34"/>
        <v>0</v>
      </c>
      <c r="AD132">
        <f t="shared" si="35"/>
        <v>0</v>
      </c>
      <c r="AE132">
        <f t="shared" si="36"/>
        <v>0</v>
      </c>
      <c r="AF132">
        <f t="shared" si="37"/>
        <v>0</v>
      </c>
    </row>
    <row r="133" spans="26:32" hidden="1" x14ac:dyDescent="0.35">
      <c r="Z133">
        <f t="shared" si="31"/>
        <v>0</v>
      </c>
      <c r="AA133">
        <f t="shared" si="32"/>
        <v>0</v>
      </c>
      <c r="AB133">
        <f t="shared" si="33"/>
        <v>0</v>
      </c>
      <c r="AC133">
        <f t="shared" si="34"/>
        <v>0</v>
      </c>
      <c r="AD133">
        <f t="shared" si="35"/>
        <v>0</v>
      </c>
      <c r="AE133">
        <f t="shared" si="36"/>
        <v>0</v>
      </c>
      <c r="AF133">
        <f t="shared" si="37"/>
        <v>0</v>
      </c>
    </row>
    <row r="134" spans="26:32" hidden="1" x14ac:dyDescent="0.35">
      <c r="Z134">
        <f t="shared" si="31"/>
        <v>0</v>
      </c>
      <c r="AA134">
        <f t="shared" si="32"/>
        <v>0</v>
      </c>
      <c r="AB134">
        <f t="shared" si="33"/>
        <v>0</v>
      </c>
      <c r="AC134">
        <f t="shared" si="34"/>
        <v>0</v>
      </c>
      <c r="AD134">
        <f t="shared" si="35"/>
        <v>0</v>
      </c>
      <c r="AE134">
        <f t="shared" si="36"/>
        <v>0</v>
      </c>
      <c r="AF134">
        <f t="shared" si="37"/>
        <v>0</v>
      </c>
    </row>
    <row r="135" spans="26:32" hidden="1" x14ac:dyDescent="0.35">
      <c r="Z135">
        <f t="shared" si="31"/>
        <v>0</v>
      </c>
      <c r="AA135">
        <f t="shared" si="32"/>
        <v>0</v>
      </c>
      <c r="AB135">
        <f t="shared" si="33"/>
        <v>0</v>
      </c>
      <c r="AC135">
        <f t="shared" si="34"/>
        <v>0</v>
      </c>
      <c r="AD135">
        <f t="shared" si="35"/>
        <v>0</v>
      </c>
      <c r="AE135">
        <f t="shared" si="36"/>
        <v>0</v>
      </c>
      <c r="AF135">
        <f t="shared" si="37"/>
        <v>0</v>
      </c>
    </row>
    <row r="136" spans="26:32" hidden="1" x14ac:dyDescent="0.35">
      <c r="Z136">
        <f t="shared" si="31"/>
        <v>0</v>
      </c>
      <c r="AA136">
        <f t="shared" si="32"/>
        <v>0</v>
      </c>
      <c r="AB136">
        <f t="shared" si="33"/>
        <v>0</v>
      </c>
      <c r="AC136">
        <f t="shared" si="34"/>
        <v>0</v>
      </c>
      <c r="AD136">
        <f t="shared" si="35"/>
        <v>0</v>
      </c>
      <c r="AE136">
        <f t="shared" si="36"/>
        <v>0</v>
      </c>
      <c r="AF136">
        <f t="shared" si="37"/>
        <v>0</v>
      </c>
    </row>
    <row r="137" spans="26:32" hidden="1" x14ac:dyDescent="0.35">
      <c r="Z137">
        <f t="shared" si="31"/>
        <v>0</v>
      </c>
      <c r="AA137">
        <f t="shared" si="32"/>
        <v>0</v>
      </c>
      <c r="AB137">
        <f t="shared" si="33"/>
        <v>0</v>
      </c>
      <c r="AC137">
        <f t="shared" si="34"/>
        <v>0</v>
      </c>
      <c r="AD137">
        <f t="shared" si="35"/>
        <v>0</v>
      </c>
      <c r="AE137">
        <f t="shared" si="36"/>
        <v>0</v>
      </c>
      <c r="AF137">
        <f t="shared" si="37"/>
        <v>0</v>
      </c>
    </row>
    <row r="138" spans="26:32" hidden="1" x14ac:dyDescent="0.35">
      <c r="Z138">
        <f t="shared" si="31"/>
        <v>0</v>
      </c>
      <c r="AA138">
        <f t="shared" si="32"/>
        <v>0</v>
      </c>
      <c r="AB138">
        <f t="shared" si="33"/>
        <v>0</v>
      </c>
      <c r="AC138">
        <f t="shared" si="34"/>
        <v>0</v>
      </c>
      <c r="AD138">
        <f t="shared" si="35"/>
        <v>0</v>
      </c>
      <c r="AE138">
        <f t="shared" si="36"/>
        <v>0</v>
      </c>
      <c r="AF138">
        <f t="shared" si="37"/>
        <v>0</v>
      </c>
    </row>
    <row r="139" spans="26:32" hidden="1" x14ac:dyDescent="0.35">
      <c r="Z139">
        <f t="shared" si="31"/>
        <v>0</v>
      </c>
      <c r="AA139">
        <f t="shared" si="32"/>
        <v>0</v>
      </c>
      <c r="AB139">
        <f t="shared" si="33"/>
        <v>0</v>
      </c>
      <c r="AC139">
        <f t="shared" si="34"/>
        <v>0</v>
      </c>
      <c r="AD139">
        <f t="shared" si="35"/>
        <v>0</v>
      </c>
      <c r="AE139">
        <f t="shared" si="36"/>
        <v>0</v>
      </c>
      <c r="AF139">
        <f t="shared" si="37"/>
        <v>0</v>
      </c>
    </row>
    <row r="140" spans="26:32" hidden="1" x14ac:dyDescent="0.35">
      <c r="Z140">
        <f t="shared" si="31"/>
        <v>0</v>
      </c>
      <c r="AA140">
        <f t="shared" si="32"/>
        <v>0</v>
      </c>
      <c r="AB140">
        <f t="shared" si="33"/>
        <v>0</v>
      </c>
      <c r="AC140">
        <f t="shared" si="34"/>
        <v>0</v>
      </c>
      <c r="AD140">
        <f t="shared" si="35"/>
        <v>0</v>
      </c>
      <c r="AE140">
        <f t="shared" si="36"/>
        <v>0</v>
      </c>
      <c r="AF140">
        <f t="shared" si="37"/>
        <v>0</v>
      </c>
    </row>
    <row r="141" spans="26:32" hidden="1" x14ac:dyDescent="0.35">
      <c r="Z141">
        <f t="shared" si="31"/>
        <v>0</v>
      </c>
      <c r="AA141">
        <f t="shared" si="32"/>
        <v>0</v>
      </c>
      <c r="AB141">
        <f t="shared" si="33"/>
        <v>0</v>
      </c>
      <c r="AC141">
        <f t="shared" si="34"/>
        <v>0</v>
      </c>
      <c r="AD141">
        <f t="shared" si="35"/>
        <v>0</v>
      </c>
      <c r="AE141">
        <f t="shared" si="36"/>
        <v>0</v>
      </c>
      <c r="AF141">
        <f t="shared" si="37"/>
        <v>0</v>
      </c>
    </row>
    <row r="142" spans="26:32" hidden="1" x14ac:dyDescent="0.35">
      <c r="Z142">
        <f t="shared" si="31"/>
        <v>0</v>
      </c>
      <c r="AA142">
        <f t="shared" si="32"/>
        <v>0</v>
      </c>
      <c r="AB142">
        <f t="shared" si="33"/>
        <v>0</v>
      </c>
      <c r="AC142">
        <f t="shared" si="34"/>
        <v>0</v>
      </c>
      <c r="AD142">
        <f t="shared" si="35"/>
        <v>0</v>
      </c>
      <c r="AE142">
        <f t="shared" si="36"/>
        <v>0</v>
      </c>
      <c r="AF142">
        <f t="shared" si="37"/>
        <v>0</v>
      </c>
    </row>
    <row r="143" spans="26:32" hidden="1" x14ac:dyDescent="0.35">
      <c r="Z143">
        <f t="shared" si="31"/>
        <v>0</v>
      </c>
      <c r="AA143">
        <f t="shared" si="32"/>
        <v>0</v>
      </c>
      <c r="AB143">
        <f t="shared" si="33"/>
        <v>0</v>
      </c>
      <c r="AC143">
        <f t="shared" si="34"/>
        <v>0</v>
      </c>
      <c r="AD143">
        <f t="shared" si="35"/>
        <v>0</v>
      </c>
      <c r="AE143">
        <f t="shared" si="36"/>
        <v>0</v>
      </c>
      <c r="AF143">
        <f t="shared" si="37"/>
        <v>0</v>
      </c>
    </row>
    <row r="144" spans="26:32" hidden="1" x14ac:dyDescent="0.35">
      <c r="Z144">
        <f t="shared" si="31"/>
        <v>0</v>
      </c>
      <c r="AA144">
        <f t="shared" si="32"/>
        <v>0</v>
      </c>
      <c r="AB144">
        <f t="shared" si="33"/>
        <v>0</v>
      </c>
      <c r="AC144">
        <f t="shared" si="34"/>
        <v>0</v>
      </c>
      <c r="AD144">
        <f t="shared" si="35"/>
        <v>0</v>
      </c>
      <c r="AE144">
        <f t="shared" si="36"/>
        <v>0</v>
      </c>
      <c r="AF144">
        <f t="shared" si="37"/>
        <v>0</v>
      </c>
    </row>
    <row r="145" spans="26:32" hidden="1" x14ac:dyDescent="0.35">
      <c r="Z145">
        <f t="shared" si="31"/>
        <v>0</v>
      </c>
      <c r="AA145">
        <f t="shared" si="32"/>
        <v>0</v>
      </c>
      <c r="AB145">
        <f t="shared" si="33"/>
        <v>0</v>
      </c>
      <c r="AC145">
        <f t="shared" si="34"/>
        <v>0</v>
      </c>
      <c r="AD145">
        <f t="shared" si="35"/>
        <v>0</v>
      </c>
      <c r="AE145">
        <f t="shared" si="36"/>
        <v>0</v>
      </c>
      <c r="AF145">
        <f t="shared" si="37"/>
        <v>0</v>
      </c>
    </row>
    <row r="146" spans="26:32" hidden="1" x14ac:dyDescent="0.35">
      <c r="Z146">
        <f t="shared" si="31"/>
        <v>0</v>
      </c>
      <c r="AA146">
        <f t="shared" si="32"/>
        <v>0</v>
      </c>
      <c r="AB146">
        <f t="shared" si="33"/>
        <v>0</v>
      </c>
      <c r="AC146">
        <f t="shared" si="34"/>
        <v>0</v>
      </c>
      <c r="AD146">
        <f t="shared" si="35"/>
        <v>0</v>
      </c>
      <c r="AE146">
        <f t="shared" si="36"/>
        <v>0</v>
      </c>
      <c r="AF146">
        <f t="shared" si="37"/>
        <v>0</v>
      </c>
    </row>
    <row r="147" spans="26:32" hidden="1" x14ac:dyDescent="0.35">
      <c r="Z147">
        <f t="shared" si="31"/>
        <v>0</v>
      </c>
      <c r="AA147">
        <f t="shared" si="32"/>
        <v>0</v>
      </c>
      <c r="AB147">
        <f t="shared" si="33"/>
        <v>0</v>
      </c>
      <c r="AC147">
        <f t="shared" si="34"/>
        <v>0</v>
      </c>
      <c r="AD147">
        <f t="shared" si="35"/>
        <v>0</v>
      </c>
      <c r="AE147">
        <f t="shared" si="36"/>
        <v>0</v>
      </c>
      <c r="AF147">
        <f t="shared" si="37"/>
        <v>0</v>
      </c>
    </row>
    <row r="148" spans="26:32" hidden="1" x14ac:dyDescent="0.35">
      <c r="Z148">
        <f t="shared" si="31"/>
        <v>0</v>
      </c>
      <c r="AA148">
        <f t="shared" si="32"/>
        <v>0</v>
      </c>
      <c r="AB148">
        <f t="shared" si="33"/>
        <v>0</v>
      </c>
      <c r="AC148">
        <f t="shared" si="34"/>
        <v>0</v>
      </c>
      <c r="AD148">
        <f t="shared" si="35"/>
        <v>0</v>
      </c>
      <c r="AE148">
        <f t="shared" si="36"/>
        <v>0</v>
      </c>
      <c r="AF148">
        <f t="shared" si="37"/>
        <v>0</v>
      </c>
    </row>
    <row r="149" spans="26:32" hidden="1" x14ac:dyDescent="0.35">
      <c r="Z149">
        <f t="shared" si="31"/>
        <v>0</v>
      </c>
      <c r="AA149">
        <f t="shared" si="32"/>
        <v>0</v>
      </c>
      <c r="AB149">
        <f t="shared" si="33"/>
        <v>0</v>
      </c>
      <c r="AC149">
        <f t="shared" si="34"/>
        <v>0</v>
      </c>
      <c r="AD149">
        <f t="shared" si="35"/>
        <v>0</v>
      </c>
      <c r="AE149">
        <f t="shared" si="36"/>
        <v>0</v>
      </c>
      <c r="AF149">
        <f t="shared" si="37"/>
        <v>0</v>
      </c>
    </row>
    <row r="150" spans="26:32" hidden="1" x14ac:dyDescent="0.35">
      <c r="Z150">
        <f t="shared" si="31"/>
        <v>0</v>
      </c>
      <c r="AA150">
        <f t="shared" si="32"/>
        <v>0</v>
      </c>
      <c r="AB150">
        <f t="shared" si="33"/>
        <v>0</v>
      </c>
      <c r="AC150">
        <f t="shared" si="34"/>
        <v>0</v>
      </c>
      <c r="AD150">
        <f t="shared" si="35"/>
        <v>0</v>
      </c>
      <c r="AE150">
        <f t="shared" si="36"/>
        <v>0</v>
      </c>
      <c r="AF150">
        <f t="shared" si="37"/>
        <v>0</v>
      </c>
    </row>
    <row r="151" spans="26:32" hidden="1" x14ac:dyDescent="0.35">
      <c r="Z151">
        <f t="shared" si="31"/>
        <v>0</v>
      </c>
      <c r="AA151">
        <f t="shared" si="32"/>
        <v>0</v>
      </c>
      <c r="AB151">
        <f t="shared" si="33"/>
        <v>0</v>
      </c>
      <c r="AC151">
        <f t="shared" si="34"/>
        <v>0</v>
      </c>
      <c r="AD151">
        <f t="shared" si="35"/>
        <v>0</v>
      </c>
      <c r="AE151">
        <f t="shared" si="36"/>
        <v>0</v>
      </c>
      <c r="AF151">
        <f t="shared" si="37"/>
        <v>0</v>
      </c>
    </row>
    <row r="152" spans="26:32" hidden="1" x14ac:dyDescent="0.35">
      <c r="Z152">
        <f t="shared" si="31"/>
        <v>0</v>
      </c>
      <c r="AA152">
        <f t="shared" si="32"/>
        <v>0</v>
      </c>
      <c r="AB152">
        <f t="shared" si="33"/>
        <v>0</v>
      </c>
      <c r="AC152">
        <f t="shared" si="34"/>
        <v>0</v>
      </c>
      <c r="AD152">
        <f t="shared" si="35"/>
        <v>0</v>
      </c>
      <c r="AE152">
        <f t="shared" si="36"/>
        <v>0</v>
      </c>
      <c r="AF152">
        <f t="shared" si="37"/>
        <v>0</v>
      </c>
    </row>
    <row r="153" spans="26:32" hidden="1" x14ac:dyDescent="0.35">
      <c r="Z153">
        <f t="shared" si="31"/>
        <v>0</v>
      </c>
      <c r="AA153">
        <f t="shared" si="32"/>
        <v>0</v>
      </c>
      <c r="AB153">
        <f t="shared" si="33"/>
        <v>0</v>
      </c>
      <c r="AC153">
        <f t="shared" si="34"/>
        <v>0</v>
      </c>
      <c r="AD153">
        <f t="shared" si="35"/>
        <v>0</v>
      </c>
      <c r="AE153">
        <f t="shared" si="36"/>
        <v>0</v>
      </c>
      <c r="AF153">
        <f t="shared" si="37"/>
        <v>0</v>
      </c>
    </row>
    <row r="154" spans="26:32" hidden="1" x14ac:dyDescent="0.35">
      <c r="Z154">
        <f t="shared" si="31"/>
        <v>0</v>
      </c>
      <c r="AA154">
        <f t="shared" si="32"/>
        <v>0</v>
      </c>
      <c r="AB154">
        <f t="shared" si="33"/>
        <v>0</v>
      </c>
      <c r="AC154">
        <f t="shared" si="34"/>
        <v>0</v>
      </c>
      <c r="AD154">
        <f t="shared" si="35"/>
        <v>0</v>
      </c>
      <c r="AE154">
        <f t="shared" si="36"/>
        <v>0</v>
      </c>
      <c r="AF154">
        <f t="shared" si="37"/>
        <v>0</v>
      </c>
    </row>
    <row r="155" spans="26:32" hidden="1" x14ac:dyDescent="0.35">
      <c r="Z155">
        <f t="shared" si="31"/>
        <v>0</v>
      </c>
      <c r="AA155">
        <f t="shared" si="32"/>
        <v>0</v>
      </c>
      <c r="AB155">
        <f t="shared" si="33"/>
        <v>0</v>
      </c>
      <c r="AC155">
        <f t="shared" si="34"/>
        <v>0</v>
      </c>
      <c r="AD155">
        <f t="shared" si="35"/>
        <v>0</v>
      </c>
      <c r="AE155">
        <f t="shared" si="36"/>
        <v>0</v>
      </c>
      <c r="AF155">
        <f t="shared" si="37"/>
        <v>0</v>
      </c>
    </row>
    <row r="156" spans="26:32" hidden="1" x14ac:dyDescent="0.35">
      <c r="Z156">
        <f t="shared" si="31"/>
        <v>0</v>
      </c>
      <c r="AA156">
        <f t="shared" si="32"/>
        <v>0</v>
      </c>
      <c r="AB156">
        <f t="shared" si="33"/>
        <v>0</v>
      </c>
      <c r="AC156">
        <f t="shared" si="34"/>
        <v>0</v>
      </c>
      <c r="AD156">
        <f t="shared" si="35"/>
        <v>0</v>
      </c>
      <c r="AE156">
        <f t="shared" si="36"/>
        <v>0</v>
      </c>
      <c r="AF156">
        <f t="shared" si="37"/>
        <v>0</v>
      </c>
    </row>
    <row r="157" spans="26:32" hidden="1" x14ac:dyDescent="0.35">
      <c r="Z157">
        <f t="shared" si="31"/>
        <v>0</v>
      </c>
      <c r="AA157">
        <f t="shared" si="32"/>
        <v>0</v>
      </c>
      <c r="AB157">
        <f t="shared" si="33"/>
        <v>0</v>
      </c>
      <c r="AC157">
        <f t="shared" si="34"/>
        <v>0</v>
      </c>
      <c r="AD157">
        <f t="shared" si="35"/>
        <v>0</v>
      </c>
      <c r="AE157">
        <f t="shared" si="36"/>
        <v>0</v>
      </c>
      <c r="AF157">
        <f t="shared" si="37"/>
        <v>0</v>
      </c>
    </row>
    <row r="158" spans="26:32" hidden="1" x14ac:dyDescent="0.35">
      <c r="Z158">
        <f t="shared" si="31"/>
        <v>0</v>
      </c>
      <c r="AA158">
        <f t="shared" si="32"/>
        <v>0</v>
      </c>
      <c r="AB158">
        <f t="shared" si="33"/>
        <v>0</v>
      </c>
      <c r="AC158">
        <f t="shared" si="34"/>
        <v>0</v>
      </c>
      <c r="AD158">
        <f t="shared" si="35"/>
        <v>0</v>
      </c>
      <c r="AE158">
        <f t="shared" si="36"/>
        <v>0</v>
      </c>
      <c r="AF158">
        <f t="shared" si="37"/>
        <v>0</v>
      </c>
    </row>
    <row r="159" spans="26:32" hidden="1" x14ac:dyDescent="0.35">
      <c r="Z159">
        <f t="shared" si="31"/>
        <v>0</v>
      </c>
      <c r="AA159">
        <f t="shared" si="32"/>
        <v>0</v>
      </c>
      <c r="AB159">
        <f t="shared" si="33"/>
        <v>0</v>
      </c>
      <c r="AC159">
        <f t="shared" si="34"/>
        <v>0</v>
      </c>
      <c r="AD159">
        <f t="shared" si="35"/>
        <v>0</v>
      </c>
      <c r="AE159">
        <f t="shared" si="36"/>
        <v>0</v>
      </c>
      <c r="AF159">
        <f t="shared" si="37"/>
        <v>0</v>
      </c>
    </row>
    <row r="160" spans="26:32" hidden="1" x14ac:dyDescent="0.35">
      <c r="Z160">
        <f t="shared" si="31"/>
        <v>0</v>
      </c>
      <c r="AA160">
        <f t="shared" si="32"/>
        <v>0</v>
      </c>
      <c r="AB160">
        <f t="shared" si="33"/>
        <v>0</v>
      </c>
      <c r="AC160">
        <f t="shared" si="34"/>
        <v>0</v>
      </c>
      <c r="AD160">
        <f t="shared" si="35"/>
        <v>0</v>
      </c>
      <c r="AE160">
        <f t="shared" si="36"/>
        <v>0</v>
      </c>
      <c r="AF160">
        <f t="shared" si="37"/>
        <v>0</v>
      </c>
    </row>
    <row r="161" spans="26:32" hidden="1" x14ac:dyDescent="0.35">
      <c r="Z161">
        <f t="shared" si="31"/>
        <v>0</v>
      </c>
      <c r="AA161">
        <f t="shared" si="32"/>
        <v>0</v>
      </c>
      <c r="AB161">
        <f t="shared" si="33"/>
        <v>0</v>
      </c>
      <c r="AC161">
        <f t="shared" si="34"/>
        <v>0</v>
      </c>
      <c r="AD161">
        <f t="shared" si="35"/>
        <v>0</v>
      </c>
      <c r="AE161">
        <f t="shared" si="36"/>
        <v>0</v>
      </c>
      <c r="AF161">
        <f t="shared" si="37"/>
        <v>0</v>
      </c>
    </row>
    <row r="162" spans="26:32" hidden="1" x14ac:dyDescent="0.35">
      <c r="Z162">
        <f t="shared" si="31"/>
        <v>0</v>
      </c>
      <c r="AA162">
        <f t="shared" si="32"/>
        <v>0</v>
      </c>
      <c r="AB162">
        <f t="shared" si="33"/>
        <v>0</v>
      </c>
      <c r="AC162">
        <f t="shared" si="34"/>
        <v>0</v>
      </c>
      <c r="AD162">
        <f t="shared" si="35"/>
        <v>0</v>
      </c>
      <c r="AE162">
        <f t="shared" si="36"/>
        <v>0</v>
      </c>
      <c r="AF162">
        <f t="shared" si="37"/>
        <v>0</v>
      </c>
    </row>
    <row r="163" spans="26:32" hidden="1" x14ac:dyDescent="0.35">
      <c r="Z163">
        <f t="shared" si="31"/>
        <v>0</v>
      </c>
      <c r="AA163">
        <f t="shared" si="32"/>
        <v>0</v>
      </c>
      <c r="AB163">
        <f t="shared" si="33"/>
        <v>0</v>
      </c>
      <c r="AC163">
        <f t="shared" si="34"/>
        <v>0</v>
      </c>
      <c r="AD163">
        <f t="shared" si="35"/>
        <v>0</v>
      </c>
      <c r="AE163">
        <f t="shared" si="36"/>
        <v>0</v>
      </c>
      <c r="AF163">
        <f t="shared" si="37"/>
        <v>0</v>
      </c>
    </row>
    <row r="164" spans="26:32" hidden="1" x14ac:dyDescent="0.35">
      <c r="Z164">
        <f t="shared" si="31"/>
        <v>0</v>
      </c>
      <c r="AA164">
        <f t="shared" si="32"/>
        <v>0</v>
      </c>
      <c r="AB164">
        <f t="shared" si="33"/>
        <v>0</v>
      </c>
      <c r="AC164">
        <f t="shared" si="34"/>
        <v>0</v>
      </c>
      <c r="AD164">
        <f t="shared" si="35"/>
        <v>0</v>
      </c>
      <c r="AE164">
        <f t="shared" si="36"/>
        <v>0</v>
      </c>
      <c r="AF164">
        <f t="shared" si="37"/>
        <v>0</v>
      </c>
    </row>
    <row r="165" spans="26:32" hidden="1" x14ac:dyDescent="0.35">
      <c r="Z165">
        <f t="shared" si="31"/>
        <v>0</v>
      </c>
      <c r="AA165">
        <f t="shared" si="32"/>
        <v>0</v>
      </c>
      <c r="AB165">
        <f t="shared" si="33"/>
        <v>0</v>
      </c>
      <c r="AC165">
        <f t="shared" si="34"/>
        <v>0</v>
      </c>
      <c r="AD165">
        <f t="shared" si="35"/>
        <v>0</v>
      </c>
      <c r="AE165">
        <f t="shared" si="36"/>
        <v>0</v>
      </c>
      <c r="AF165">
        <f t="shared" si="37"/>
        <v>0</v>
      </c>
    </row>
    <row r="166" spans="26:32" hidden="1" x14ac:dyDescent="0.35">
      <c r="Z166">
        <f t="shared" si="31"/>
        <v>0</v>
      </c>
      <c r="AA166">
        <f t="shared" si="32"/>
        <v>0</v>
      </c>
      <c r="AB166">
        <f t="shared" si="33"/>
        <v>0</v>
      </c>
      <c r="AC166">
        <f t="shared" si="34"/>
        <v>0</v>
      </c>
      <c r="AD166">
        <f t="shared" si="35"/>
        <v>0</v>
      </c>
      <c r="AE166">
        <f t="shared" si="36"/>
        <v>0</v>
      </c>
      <c r="AF166">
        <f t="shared" si="37"/>
        <v>0</v>
      </c>
    </row>
    <row r="167" spans="26:32" hidden="1" x14ac:dyDescent="0.35">
      <c r="Z167">
        <f t="shared" si="31"/>
        <v>0</v>
      </c>
      <c r="AA167">
        <f t="shared" si="32"/>
        <v>0</v>
      </c>
      <c r="AB167">
        <f t="shared" si="33"/>
        <v>0</v>
      </c>
      <c r="AC167">
        <f t="shared" si="34"/>
        <v>0</v>
      </c>
      <c r="AD167">
        <f t="shared" si="35"/>
        <v>0</v>
      </c>
      <c r="AE167">
        <f t="shared" si="36"/>
        <v>0</v>
      </c>
      <c r="AF167">
        <f t="shared" si="37"/>
        <v>0</v>
      </c>
    </row>
    <row r="168" spans="26:32" hidden="1" x14ac:dyDescent="0.35">
      <c r="Z168">
        <f t="shared" si="31"/>
        <v>0</v>
      </c>
      <c r="AA168">
        <f t="shared" si="32"/>
        <v>0</v>
      </c>
      <c r="AB168">
        <f t="shared" si="33"/>
        <v>0</v>
      </c>
      <c r="AC168">
        <f t="shared" si="34"/>
        <v>0</v>
      </c>
      <c r="AD168">
        <f t="shared" si="35"/>
        <v>0</v>
      </c>
      <c r="AE168">
        <f t="shared" si="36"/>
        <v>0</v>
      </c>
      <c r="AF168">
        <f t="shared" si="37"/>
        <v>0</v>
      </c>
    </row>
    <row r="169" spans="26:32" hidden="1" x14ac:dyDescent="0.35">
      <c r="Z169">
        <f t="shared" si="31"/>
        <v>0</v>
      </c>
      <c r="AA169">
        <f t="shared" si="32"/>
        <v>0</v>
      </c>
      <c r="AB169">
        <f t="shared" si="33"/>
        <v>0</v>
      </c>
      <c r="AC169">
        <f t="shared" si="34"/>
        <v>0</v>
      </c>
      <c r="AD169">
        <f t="shared" si="35"/>
        <v>0</v>
      </c>
      <c r="AE169">
        <f t="shared" si="36"/>
        <v>0</v>
      </c>
      <c r="AF169">
        <f t="shared" si="37"/>
        <v>0</v>
      </c>
    </row>
    <row r="170" spans="26:32" hidden="1" x14ac:dyDescent="0.35">
      <c r="Z170">
        <f t="shared" si="31"/>
        <v>0</v>
      </c>
      <c r="AA170">
        <f t="shared" si="32"/>
        <v>0</v>
      </c>
      <c r="AB170">
        <f t="shared" si="33"/>
        <v>0</v>
      </c>
      <c r="AC170">
        <f t="shared" si="34"/>
        <v>0</v>
      </c>
      <c r="AD170">
        <f t="shared" si="35"/>
        <v>0</v>
      </c>
      <c r="AE170">
        <f t="shared" si="36"/>
        <v>0</v>
      </c>
      <c r="AF170">
        <f t="shared" si="37"/>
        <v>0</v>
      </c>
    </row>
    <row r="171" spans="26:32" hidden="1" x14ac:dyDescent="0.35">
      <c r="Z171">
        <f t="shared" si="31"/>
        <v>0</v>
      </c>
      <c r="AA171">
        <f t="shared" si="32"/>
        <v>0</v>
      </c>
      <c r="AB171">
        <f t="shared" si="33"/>
        <v>0</v>
      </c>
      <c r="AC171">
        <f t="shared" si="34"/>
        <v>0</v>
      </c>
      <c r="AD171">
        <f t="shared" si="35"/>
        <v>0</v>
      </c>
      <c r="AE171">
        <f t="shared" si="36"/>
        <v>0</v>
      </c>
      <c r="AF171">
        <f t="shared" si="37"/>
        <v>0</v>
      </c>
    </row>
    <row r="172" spans="26:32" hidden="1" x14ac:dyDescent="0.35">
      <c r="Z172">
        <f t="shared" si="31"/>
        <v>0</v>
      </c>
      <c r="AA172">
        <f t="shared" si="32"/>
        <v>0</v>
      </c>
      <c r="AB172">
        <f t="shared" si="33"/>
        <v>0</v>
      </c>
      <c r="AC172">
        <f t="shared" si="34"/>
        <v>0</v>
      </c>
      <c r="AD172">
        <f t="shared" si="35"/>
        <v>0</v>
      </c>
      <c r="AE172">
        <f t="shared" si="36"/>
        <v>0</v>
      </c>
      <c r="AF172">
        <f t="shared" si="37"/>
        <v>0</v>
      </c>
    </row>
    <row r="173" spans="26:32" hidden="1" x14ac:dyDescent="0.35">
      <c r="Z173">
        <f t="shared" si="31"/>
        <v>0</v>
      </c>
      <c r="AA173">
        <f t="shared" si="32"/>
        <v>0</v>
      </c>
      <c r="AB173">
        <f t="shared" si="33"/>
        <v>0</v>
      </c>
      <c r="AC173">
        <f t="shared" si="34"/>
        <v>0</v>
      </c>
      <c r="AD173">
        <f t="shared" si="35"/>
        <v>0</v>
      </c>
      <c r="AE173">
        <f t="shared" si="36"/>
        <v>0</v>
      </c>
      <c r="AF173">
        <f t="shared" si="37"/>
        <v>0</v>
      </c>
    </row>
    <row r="174" spans="26:32" hidden="1" x14ac:dyDescent="0.35">
      <c r="Z174">
        <f t="shared" si="31"/>
        <v>0</v>
      </c>
      <c r="AA174">
        <f t="shared" si="32"/>
        <v>0</v>
      </c>
      <c r="AB174">
        <f t="shared" si="33"/>
        <v>0</v>
      </c>
      <c r="AC174">
        <f t="shared" si="34"/>
        <v>0</v>
      </c>
      <c r="AD174">
        <f t="shared" si="35"/>
        <v>0</v>
      </c>
      <c r="AE174">
        <f t="shared" si="36"/>
        <v>0</v>
      </c>
      <c r="AF174">
        <f t="shared" si="37"/>
        <v>0</v>
      </c>
    </row>
    <row r="175" spans="26:32" hidden="1" x14ac:dyDescent="0.35">
      <c r="Z175">
        <f t="shared" si="31"/>
        <v>0</v>
      </c>
      <c r="AA175">
        <f t="shared" si="32"/>
        <v>0</v>
      </c>
      <c r="AB175">
        <f t="shared" si="33"/>
        <v>0</v>
      </c>
      <c r="AC175">
        <f t="shared" si="34"/>
        <v>0</v>
      </c>
      <c r="AD175">
        <f t="shared" si="35"/>
        <v>0</v>
      </c>
      <c r="AE175">
        <f t="shared" si="36"/>
        <v>0</v>
      </c>
      <c r="AF175">
        <f t="shared" si="37"/>
        <v>0</v>
      </c>
    </row>
    <row r="176" spans="26:32" hidden="1" x14ac:dyDescent="0.35">
      <c r="Z176">
        <f t="shared" si="31"/>
        <v>0</v>
      </c>
      <c r="AA176">
        <f t="shared" si="32"/>
        <v>0</v>
      </c>
      <c r="AB176">
        <f t="shared" si="33"/>
        <v>0</v>
      </c>
      <c r="AC176">
        <f t="shared" si="34"/>
        <v>0</v>
      </c>
      <c r="AD176">
        <f t="shared" si="35"/>
        <v>0</v>
      </c>
      <c r="AE176">
        <f t="shared" si="36"/>
        <v>0</v>
      </c>
      <c r="AF176">
        <f t="shared" si="37"/>
        <v>0</v>
      </c>
    </row>
    <row r="177" spans="26:32" hidden="1" x14ac:dyDescent="0.35">
      <c r="Z177">
        <f t="shared" si="31"/>
        <v>0</v>
      </c>
      <c r="AA177">
        <f t="shared" si="32"/>
        <v>0</v>
      </c>
      <c r="AB177">
        <f t="shared" si="33"/>
        <v>0</v>
      </c>
      <c r="AC177">
        <f t="shared" si="34"/>
        <v>0</v>
      </c>
      <c r="AD177">
        <f t="shared" si="35"/>
        <v>0</v>
      </c>
      <c r="AE177">
        <f t="shared" si="36"/>
        <v>0</v>
      </c>
      <c r="AF177">
        <f t="shared" si="37"/>
        <v>0</v>
      </c>
    </row>
    <row r="178" spans="26:32" hidden="1" x14ac:dyDescent="0.35">
      <c r="Z178">
        <f t="shared" ref="Z178:Z198" si="38">IF(J179/J$9&gt;=75%,1,0)</f>
        <v>0</v>
      </c>
      <c r="AA178">
        <f t="shared" ref="AA178:AA198" si="39">IF(K179/K$9&gt;=75%,1,0)</f>
        <v>0</v>
      </c>
      <c r="AB178">
        <f t="shared" ref="AB178:AB198" si="40">IF(L179/L$9&gt;=75%,1,0)</f>
        <v>0</v>
      </c>
      <c r="AC178">
        <f t="shared" ref="AC178:AC198" si="41">IF(M179/M$9&gt;=75%,1,0)</f>
        <v>0</v>
      </c>
      <c r="AD178">
        <f t="shared" ref="AD178:AD198" si="42">IF(N179/N$9&gt;=75%,1,0)</f>
        <v>0</v>
      </c>
      <c r="AE178">
        <f t="shared" ref="AE178:AE198" si="43">IF(O179/O$9&gt;=75%,1,0)</f>
        <v>0</v>
      </c>
      <c r="AF178">
        <f t="shared" ref="AF178:AF198" si="44">IF(P179/P$9&gt;=75%,1,0)</f>
        <v>0</v>
      </c>
    </row>
    <row r="179" spans="26:32" hidden="1" x14ac:dyDescent="0.35">
      <c r="Z179">
        <f t="shared" si="38"/>
        <v>0</v>
      </c>
      <c r="AA179">
        <f t="shared" si="39"/>
        <v>0</v>
      </c>
      <c r="AB179">
        <f t="shared" si="40"/>
        <v>0</v>
      </c>
      <c r="AC179">
        <f t="shared" si="41"/>
        <v>0</v>
      </c>
      <c r="AD179">
        <f t="shared" si="42"/>
        <v>0</v>
      </c>
      <c r="AE179">
        <f t="shared" si="43"/>
        <v>0</v>
      </c>
      <c r="AF179">
        <f t="shared" si="44"/>
        <v>0</v>
      </c>
    </row>
    <row r="180" spans="26:32" hidden="1" x14ac:dyDescent="0.35">
      <c r="Z180">
        <f t="shared" si="38"/>
        <v>0</v>
      </c>
      <c r="AA180">
        <f t="shared" si="39"/>
        <v>0</v>
      </c>
      <c r="AB180">
        <f t="shared" si="40"/>
        <v>0</v>
      </c>
      <c r="AC180">
        <f t="shared" si="41"/>
        <v>0</v>
      </c>
      <c r="AD180">
        <f t="shared" si="42"/>
        <v>0</v>
      </c>
      <c r="AE180">
        <f t="shared" si="43"/>
        <v>0</v>
      </c>
      <c r="AF180">
        <f t="shared" si="44"/>
        <v>0</v>
      </c>
    </row>
    <row r="181" spans="26:32" hidden="1" x14ac:dyDescent="0.35">
      <c r="Z181">
        <f t="shared" si="38"/>
        <v>0</v>
      </c>
      <c r="AA181">
        <f t="shared" si="39"/>
        <v>0</v>
      </c>
      <c r="AB181">
        <f t="shared" si="40"/>
        <v>0</v>
      </c>
      <c r="AC181">
        <f t="shared" si="41"/>
        <v>0</v>
      </c>
      <c r="AD181">
        <f t="shared" si="42"/>
        <v>0</v>
      </c>
      <c r="AE181">
        <f t="shared" si="43"/>
        <v>0</v>
      </c>
      <c r="AF181">
        <f t="shared" si="44"/>
        <v>0</v>
      </c>
    </row>
    <row r="182" spans="26:32" hidden="1" x14ac:dyDescent="0.35">
      <c r="Z182">
        <f t="shared" si="38"/>
        <v>0</v>
      </c>
      <c r="AA182">
        <f t="shared" si="39"/>
        <v>0</v>
      </c>
      <c r="AB182">
        <f t="shared" si="40"/>
        <v>0</v>
      </c>
      <c r="AC182">
        <f t="shared" si="41"/>
        <v>0</v>
      </c>
      <c r="AD182">
        <f t="shared" si="42"/>
        <v>0</v>
      </c>
      <c r="AE182">
        <f t="shared" si="43"/>
        <v>0</v>
      </c>
      <c r="AF182">
        <f t="shared" si="44"/>
        <v>0</v>
      </c>
    </row>
    <row r="183" spans="26:32" hidden="1" x14ac:dyDescent="0.35">
      <c r="Z183">
        <f t="shared" si="38"/>
        <v>0</v>
      </c>
      <c r="AA183">
        <f t="shared" si="39"/>
        <v>0</v>
      </c>
      <c r="AB183">
        <f t="shared" si="40"/>
        <v>0</v>
      </c>
      <c r="AC183">
        <f t="shared" si="41"/>
        <v>0</v>
      </c>
      <c r="AD183">
        <f t="shared" si="42"/>
        <v>0</v>
      </c>
      <c r="AE183">
        <f t="shared" si="43"/>
        <v>0</v>
      </c>
      <c r="AF183">
        <f t="shared" si="44"/>
        <v>0</v>
      </c>
    </row>
    <row r="184" spans="26:32" hidden="1" x14ac:dyDescent="0.35">
      <c r="Z184">
        <f t="shared" si="38"/>
        <v>0</v>
      </c>
      <c r="AA184">
        <f t="shared" si="39"/>
        <v>0</v>
      </c>
      <c r="AB184">
        <f t="shared" si="40"/>
        <v>0</v>
      </c>
      <c r="AC184">
        <f t="shared" si="41"/>
        <v>0</v>
      </c>
      <c r="AD184">
        <f t="shared" si="42"/>
        <v>0</v>
      </c>
      <c r="AE184">
        <f t="shared" si="43"/>
        <v>0</v>
      </c>
      <c r="AF184">
        <f t="shared" si="44"/>
        <v>0</v>
      </c>
    </row>
    <row r="185" spans="26:32" hidden="1" x14ac:dyDescent="0.35">
      <c r="Z185">
        <f t="shared" si="38"/>
        <v>0</v>
      </c>
      <c r="AA185">
        <f t="shared" si="39"/>
        <v>0</v>
      </c>
      <c r="AB185">
        <f t="shared" si="40"/>
        <v>0</v>
      </c>
      <c r="AC185">
        <f t="shared" si="41"/>
        <v>0</v>
      </c>
      <c r="AD185">
        <f t="shared" si="42"/>
        <v>0</v>
      </c>
      <c r="AE185">
        <f t="shared" si="43"/>
        <v>0</v>
      </c>
      <c r="AF185">
        <f t="shared" si="44"/>
        <v>0</v>
      </c>
    </row>
    <row r="186" spans="26:32" hidden="1" x14ac:dyDescent="0.35">
      <c r="Z186">
        <f t="shared" si="38"/>
        <v>0</v>
      </c>
      <c r="AA186">
        <f t="shared" si="39"/>
        <v>0</v>
      </c>
      <c r="AB186">
        <f t="shared" si="40"/>
        <v>0</v>
      </c>
      <c r="AC186">
        <f t="shared" si="41"/>
        <v>0</v>
      </c>
      <c r="AD186">
        <f t="shared" si="42"/>
        <v>0</v>
      </c>
      <c r="AE186">
        <f t="shared" si="43"/>
        <v>0</v>
      </c>
      <c r="AF186">
        <f t="shared" si="44"/>
        <v>0</v>
      </c>
    </row>
    <row r="187" spans="26:32" hidden="1" x14ac:dyDescent="0.35">
      <c r="Z187">
        <f t="shared" si="38"/>
        <v>0</v>
      </c>
      <c r="AA187">
        <f t="shared" si="39"/>
        <v>0</v>
      </c>
      <c r="AB187">
        <f t="shared" si="40"/>
        <v>0</v>
      </c>
      <c r="AC187">
        <f t="shared" si="41"/>
        <v>0</v>
      </c>
      <c r="AD187">
        <f t="shared" si="42"/>
        <v>0</v>
      </c>
      <c r="AE187">
        <f t="shared" si="43"/>
        <v>0</v>
      </c>
      <c r="AF187">
        <f t="shared" si="44"/>
        <v>0</v>
      </c>
    </row>
    <row r="188" spans="26:32" hidden="1" x14ac:dyDescent="0.35">
      <c r="Z188">
        <f t="shared" si="38"/>
        <v>0</v>
      </c>
      <c r="AA188">
        <f t="shared" si="39"/>
        <v>0</v>
      </c>
      <c r="AB188">
        <f t="shared" si="40"/>
        <v>0</v>
      </c>
      <c r="AC188">
        <f t="shared" si="41"/>
        <v>0</v>
      </c>
      <c r="AD188">
        <f t="shared" si="42"/>
        <v>0</v>
      </c>
      <c r="AE188">
        <f t="shared" si="43"/>
        <v>0</v>
      </c>
      <c r="AF188">
        <f t="shared" si="44"/>
        <v>0</v>
      </c>
    </row>
    <row r="189" spans="26:32" hidden="1" x14ac:dyDescent="0.35">
      <c r="Z189">
        <f t="shared" si="38"/>
        <v>0</v>
      </c>
      <c r="AA189">
        <f t="shared" si="39"/>
        <v>0</v>
      </c>
      <c r="AB189">
        <f t="shared" si="40"/>
        <v>0</v>
      </c>
      <c r="AC189">
        <f t="shared" si="41"/>
        <v>0</v>
      </c>
      <c r="AD189">
        <f t="shared" si="42"/>
        <v>0</v>
      </c>
      <c r="AE189">
        <f t="shared" si="43"/>
        <v>0</v>
      </c>
      <c r="AF189">
        <f t="shared" si="44"/>
        <v>0</v>
      </c>
    </row>
    <row r="190" spans="26:32" hidden="1" x14ac:dyDescent="0.35">
      <c r="Z190">
        <f t="shared" si="38"/>
        <v>0</v>
      </c>
      <c r="AA190">
        <f t="shared" si="39"/>
        <v>0</v>
      </c>
      <c r="AB190">
        <f t="shared" si="40"/>
        <v>0</v>
      </c>
      <c r="AC190">
        <f t="shared" si="41"/>
        <v>0</v>
      </c>
      <c r="AD190">
        <f t="shared" si="42"/>
        <v>0</v>
      </c>
      <c r="AE190">
        <f t="shared" si="43"/>
        <v>0</v>
      </c>
      <c r="AF190">
        <f t="shared" si="44"/>
        <v>0</v>
      </c>
    </row>
    <row r="191" spans="26:32" hidden="1" x14ac:dyDescent="0.35">
      <c r="Z191">
        <f t="shared" si="38"/>
        <v>0</v>
      </c>
      <c r="AA191">
        <f t="shared" si="39"/>
        <v>0</v>
      </c>
      <c r="AB191">
        <f t="shared" si="40"/>
        <v>0</v>
      </c>
      <c r="AC191">
        <f t="shared" si="41"/>
        <v>0</v>
      </c>
      <c r="AD191">
        <f t="shared" si="42"/>
        <v>0</v>
      </c>
      <c r="AE191">
        <f t="shared" si="43"/>
        <v>0</v>
      </c>
      <c r="AF191">
        <f t="shared" si="44"/>
        <v>0</v>
      </c>
    </row>
    <row r="192" spans="26:32" hidden="1" x14ac:dyDescent="0.35">
      <c r="Z192">
        <f t="shared" si="38"/>
        <v>0</v>
      </c>
      <c r="AA192">
        <f t="shared" si="39"/>
        <v>0</v>
      </c>
      <c r="AB192">
        <f t="shared" si="40"/>
        <v>0</v>
      </c>
      <c r="AC192">
        <f t="shared" si="41"/>
        <v>0</v>
      </c>
      <c r="AD192">
        <f t="shared" si="42"/>
        <v>0</v>
      </c>
      <c r="AE192">
        <f t="shared" si="43"/>
        <v>0</v>
      </c>
      <c r="AF192">
        <f t="shared" si="44"/>
        <v>0</v>
      </c>
    </row>
    <row r="193" spans="26:32" hidden="1" x14ac:dyDescent="0.35">
      <c r="Z193">
        <f t="shared" si="38"/>
        <v>0</v>
      </c>
      <c r="AA193">
        <f t="shared" si="39"/>
        <v>0</v>
      </c>
      <c r="AB193">
        <f t="shared" si="40"/>
        <v>0</v>
      </c>
      <c r="AC193">
        <f t="shared" si="41"/>
        <v>0</v>
      </c>
      <c r="AD193">
        <f t="shared" si="42"/>
        <v>0</v>
      </c>
      <c r="AE193">
        <f t="shared" si="43"/>
        <v>0</v>
      </c>
      <c r="AF193">
        <f t="shared" si="44"/>
        <v>0</v>
      </c>
    </row>
    <row r="194" spans="26:32" hidden="1" x14ac:dyDescent="0.35">
      <c r="Z194">
        <f t="shared" si="38"/>
        <v>0</v>
      </c>
      <c r="AA194">
        <f t="shared" si="39"/>
        <v>0</v>
      </c>
      <c r="AB194">
        <f t="shared" si="40"/>
        <v>0</v>
      </c>
      <c r="AC194">
        <f t="shared" si="41"/>
        <v>0</v>
      </c>
      <c r="AD194">
        <f t="shared" si="42"/>
        <v>0</v>
      </c>
      <c r="AE194">
        <f t="shared" si="43"/>
        <v>0</v>
      </c>
      <c r="AF194">
        <f t="shared" si="44"/>
        <v>0</v>
      </c>
    </row>
    <row r="195" spans="26:32" hidden="1" x14ac:dyDescent="0.35">
      <c r="Z195">
        <f t="shared" si="38"/>
        <v>0</v>
      </c>
      <c r="AA195">
        <f t="shared" si="39"/>
        <v>0</v>
      </c>
      <c r="AB195">
        <f t="shared" si="40"/>
        <v>0</v>
      </c>
      <c r="AC195">
        <f t="shared" si="41"/>
        <v>0</v>
      </c>
      <c r="AD195">
        <f t="shared" si="42"/>
        <v>0</v>
      </c>
      <c r="AE195">
        <f t="shared" si="43"/>
        <v>0</v>
      </c>
      <c r="AF195">
        <f t="shared" si="44"/>
        <v>0</v>
      </c>
    </row>
    <row r="196" spans="26:32" hidden="1" x14ac:dyDescent="0.35">
      <c r="Z196">
        <f t="shared" si="38"/>
        <v>0</v>
      </c>
      <c r="AA196">
        <f t="shared" si="39"/>
        <v>0</v>
      </c>
      <c r="AB196">
        <f t="shared" si="40"/>
        <v>0</v>
      </c>
      <c r="AC196">
        <f t="shared" si="41"/>
        <v>0</v>
      </c>
      <c r="AD196">
        <f t="shared" si="42"/>
        <v>0</v>
      </c>
      <c r="AE196">
        <f t="shared" si="43"/>
        <v>0</v>
      </c>
      <c r="AF196">
        <f t="shared" si="44"/>
        <v>0</v>
      </c>
    </row>
    <row r="197" spans="26:32" hidden="1" x14ac:dyDescent="0.35">
      <c r="Z197">
        <f t="shared" si="38"/>
        <v>0</v>
      </c>
      <c r="AA197">
        <f t="shared" si="39"/>
        <v>0</v>
      </c>
      <c r="AB197">
        <f t="shared" si="40"/>
        <v>0</v>
      </c>
      <c r="AC197">
        <f t="shared" si="41"/>
        <v>0</v>
      </c>
      <c r="AD197">
        <f t="shared" si="42"/>
        <v>0</v>
      </c>
      <c r="AE197">
        <f t="shared" si="43"/>
        <v>0</v>
      </c>
      <c r="AF197">
        <f t="shared" si="44"/>
        <v>0</v>
      </c>
    </row>
    <row r="198" spans="26:32" hidden="1" x14ac:dyDescent="0.35">
      <c r="Z198">
        <f t="shared" si="38"/>
        <v>0</v>
      </c>
      <c r="AA198">
        <f t="shared" si="39"/>
        <v>0</v>
      </c>
      <c r="AB198">
        <f t="shared" si="40"/>
        <v>0</v>
      </c>
      <c r="AC198">
        <f t="shared" si="41"/>
        <v>0</v>
      </c>
      <c r="AD198">
        <f t="shared" si="42"/>
        <v>0</v>
      </c>
      <c r="AE198">
        <f t="shared" si="43"/>
        <v>0</v>
      </c>
      <c r="AF198">
        <f t="shared" si="44"/>
        <v>0</v>
      </c>
    </row>
  </sheetData>
  <sheetProtection algorithmName="SHA-512" hashValue="5yHrs4m2oDYr/XlJ79I8uZS21pWyQ/7Zac9wqCaYBduQFRXtEQImqgKy59hr/DzZp1nYBjuXYlHxFmZjLjwR1A==" saltValue="BoHc2EOY9KgAG98vlPqRgw==" spinCount="100000" sheet="1" objects="1" scenarios="1" formatColumns="0" selectLockedCells="1"/>
  <mergeCells count="17">
    <mergeCell ref="P7:R7"/>
    <mergeCell ref="A4:B4"/>
    <mergeCell ref="M7:N7"/>
    <mergeCell ref="P6:Q6"/>
    <mergeCell ref="A5:B5"/>
    <mergeCell ref="A6:B6"/>
    <mergeCell ref="A7:B7"/>
    <mergeCell ref="D6:E6"/>
    <mergeCell ref="D7:E7"/>
    <mergeCell ref="I6:J6"/>
    <mergeCell ref="F6:H6"/>
    <mergeCell ref="I7:J7"/>
    <mergeCell ref="K7:L7"/>
    <mergeCell ref="K6:L6"/>
    <mergeCell ref="F7:H7"/>
    <mergeCell ref="M6:N6"/>
    <mergeCell ref="D5:R5"/>
  </mergeCells>
  <conditionalFormatting sqref="C6">
    <cfRule type="containsText" dxfId="9" priority="26" operator="containsText" text="[enter school school id here]">
      <formula>NOT(ISERROR(SEARCH("[enter school school id here]",C6)))</formula>
    </cfRule>
  </conditionalFormatting>
  <conditionalFormatting sqref="C7">
    <cfRule type="containsText" dxfId="8" priority="28" operator="containsText" text="[enter teacher name here]">
      <formula>NOT(ISERROR(SEARCH("[enter teacher name here]",C7)))</formula>
    </cfRule>
  </conditionalFormatting>
  <conditionalFormatting sqref="H10">
    <cfRule type="containsText" dxfId="7" priority="5" operator="containsText" text="[choose language here]">
      <formula>NOT(ISERROR(SEARCH("[choose language here]",H10)))</formula>
    </cfRule>
  </conditionalFormatting>
  <conditionalFormatting sqref="I10:P109">
    <cfRule type="expression" dxfId="6" priority="3">
      <formula>AND(I10/I$9 &lt; 75%, $C10 &lt;&gt;"")</formula>
    </cfRule>
  </conditionalFormatting>
  <conditionalFormatting sqref="K6">
    <cfRule type="containsText" dxfId="5" priority="23" operator="containsText" text="[choose language here]">
      <formula>NOT(ISERROR(SEARCH("[choose language here]",K6)))</formula>
    </cfRule>
  </conditionalFormatting>
  <conditionalFormatting sqref="R10:R109">
    <cfRule type="cellIs" dxfId="4" priority="2" operator="lessThan">
      <formula>0.75</formula>
    </cfRule>
  </conditionalFormatting>
  <conditionalFormatting sqref="S10:S109">
    <cfRule type="containsText" dxfId="3" priority="1" operator="containsText" text="Emerging">
      <formula>NOT(ISERROR(SEARCH("Emerging",S10)))</formula>
    </cfRule>
  </conditionalFormatting>
  <dataValidations count="14">
    <dataValidation type="whole" allowBlank="1" showInputMessage="1" showErrorMessage="1" error="Enter the 6-digit School ID" sqref="C6">
      <formula1>100000</formula1>
      <formula2>999999</formula2>
    </dataValidation>
    <dataValidation type="list" allowBlank="1" showInputMessage="1" showErrorMessage="1" sqref="D10:D109">
      <formula1>"Male, Female"</formula1>
    </dataValidation>
    <dataValidation type="date" errorStyle="warning" allowBlank="1" showInputMessage="1" showErrorMessage="1" error="Enter the Date of Assessment in Correct Format (mm/dd/yy)" sqref="F10:F109">
      <formula1>44197</formula1>
      <formula2>55153</formula2>
    </dataValidation>
    <dataValidation allowBlank="1" showInputMessage="1" showErrorMessage="1" error="Enter the 6-digit School ID" sqref="D6:E6"/>
    <dataValidation type="date" operator="greaterThan" allowBlank="1" showInputMessage="1" showErrorMessage="1" sqref="E10:E109">
      <formula1>29220</formula1>
    </dataValidation>
    <dataValidation errorStyle="warning" allowBlank="1" showInputMessage="1" showErrorMessage="1" error="Enter the Date of Assessment in Correct Format (mm/dd/yy)" sqref="G10:G109"/>
    <dataValidation type="whole" allowBlank="1" showInputMessage="1" showErrorMessage="1" error="Score must be between 0 - 4" prompt="Enter Learner Score between 0 - 4" sqref="P10:P109">
      <formula1>0</formula1>
      <formula2>P$9</formula2>
    </dataValidation>
    <dataValidation type="whole" allowBlank="1" showInputMessage="1" showErrorMessage="1" error="Score must be between 0 - 5" prompt="Enter Learner Score between 0 - 3" sqref="O10:O109">
      <formula1>0</formula1>
      <formula2>O$9</formula2>
    </dataValidation>
    <dataValidation type="whole" allowBlank="1" showInputMessage="1" showErrorMessage="1" error="Score must be between 0 - 3" prompt="Enter Learner Score between 0 -1" sqref="J10:J109">
      <formula1>0</formula1>
      <formula2>J$9</formula2>
    </dataValidation>
    <dataValidation type="whole" allowBlank="1" showInputMessage="1" showErrorMessage="1" error="Score must be between 0 - 3" prompt="Enter Learner Score between 0 - 3" sqref="L10:L109">
      <formula1>0</formula1>
      <formula2>L$9</formula2>
    </dataValidation>
    <dataValidation type="whole" allowBlank="1" showInputMessage="1" showErrorMessage="1" error="Score must be between 0 - 4" prompt="Enter Learner Score between 0 -2" sqref="N10:N109">
      <formula1>0</formula1>
      <formula2>N$9</formula2>
    </dataValidation>
    <dataValidation type="list" allowBlank="1" showInputMessage="1" showErrorMessage="1" sqref="C4">
      <formula1>"BoSY,MoSY,EoSY"</formula1>
    </dataValidation>
    <dataValidation type="whole" allowBlank="1" showInputMessage="1" showErrorMessage="1" error="Score must be between 0 - 4" prompt="Enter Learner Score between 0 - 2" sqref="I10:I109 K10:K109">
      <formula1>0</formula1>
      <formula2>I$9</formula2>
    </dataValidation>
    <dataValidation type="whole" allowBlank="1" showInputMessage="1" showErrorMessage="1" error="Score must be between 0 - 4" prompt="Enter Learner Score between 0 - 3" sqref="M10:M109">
      <formula1>0</formula1>
      <formula2>M$9</formula2>
    </dataValidation>
  </dataValidation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List!$B$2:$B$18</xm:f>
          </x14:formula1>
          <xm:sqref>C5</xm:sqref>
        </x14:dataValidation>
        <x14:dataValidation type="list" allowBlank="1" showInputMessage="1" showErrorMessage="1" prompt="Choose Language here">
          <x14:formula1>
            <xm:f>List!$C$2:$C$40</xm:f>
          </x14:formula1>
          <xm:sqref>H10:H109</xm:sqref>
        </x14:dataValidation>
        <x14:dataValidation type="list" allowBlank="1" showInputMessage="1" showErrorMessage="1" prompt="Choose Language here">
          <x14:formula1>
            <xm:f>List!$F$2:$F$20</xm:f>
          </x14:formula1>
          <xm:sqref>K6:L6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F40"/>
  <sheetViews>
    <sheetView topLeftCell="A4" workbookViewId="0">
      <selection activeCell="C2" sqref="C2:F40"/>
    </sheetView>
  </sheetViews>
  <sheetFormatPr defaultRowHeight="14.5" x14ac:dyDescent="0.35"/>
  <cols>
    <col min="2" max="2" width="22.81640625" customWidth="1"/>
    <col min="3" max="3" width="34.453125" customWidth="1"/>
  </cols>
  <sheetData>
    <row r="1" spans="2:6" x14ac:dyDescent="0.35">
      <c r="B1" s="6" t="s">
        <v>25</v>
      </c>
      <c r="C1" s="6" t="s">
        <v>15</v>
      </c>
    </row>
    <row r="2" spans="2:6" x14ac:dyDescent="0.35">
      <c r="B2" t="s">
        <v>26</v>
      </c>
      <c r="C2" t="s">
        <v>103</v>
      </c>
      <c r="F2" t="s">
        <v>27</v>
      </c>
    </row>
    <row r="3" spans="2:6" x14ac:dyDescent="0.35">
      <c r="B3" t="s">
        <v>28</v>
      </c>
      <c r="C3" s="6" t="s">
        <v>27</v>
      </c>
      <c r="F3" t="s">
        <v>29</v>
      </c>
    </row>
    <row r="4" spans="2:6" x14ac:dyDescent="0.35">
      <c r="B4" t="s">
        <v>30</v>
      </c>
      <c r="C4" s="6" t="s">
        <v>29</v>
      </c>
      <c r="F4" t="s">
        <v>8</v>
      </c>
    </row>
    <row r="5" spans="2:6" x14ac:dyDescent="0.35">
      <c r="B5" t="s">
        <v>31</v>
      </c>
      <c r="C5" s="7" t="s">
        <v>61</v>
      </c>
      <c r="F5" t="s">
        <v>32</v>
      </c>
    </row>
    <row r="6" spans="2:6" x14ac:dyDescent="0.35">
      <c r="B6" t="s">
        <v>33</v>
      </c>
      <c r="C6" s="7" t="s">
        <v>62</v>
      </c>
      <c r="F6" t="s">
        <v>7</v>
      </c>
    </row>
    <row r="7" spans="2:6" x14ac:dyDescent="0.35">
      <c r="B7" t="s">
        <v>34</v>
      </c>
      <c r="C7" s="7" t="s">
        <v>63</v>
      </c>
      <c r="F7" t="s">
        <v>35</v>
      </c>
    </row>
    <row r="8" spans="2:6" x14ac:dyDescent="0.35">
      <c r="B8" t="s">
        <v>36</v>
      </c>
      <c r="C8" s="6" t="s">
        <v>8</v>
      </c>
      <c r="F8" t="s">
        <v>37</v>
      </c>
    </row>
    <row r="9" spans="2:6" x14ac:dyDescent="0.35">
      <c r="B9" t="s">
        <v>38</v>
      </c>
      <c r="C9" s="6" t="s">
        <v>32</v>
      </c>
      <c r="F9" t="s">
        <v>41</v>
      </c>
    </row>
    <row r="10" spans="2:6" x14ac:dyDescent="0.35">
      <c r="B10" t="s">
        <v>40</v>
      </c>
      <c r="C10" t="s">
        <v>64</v>
      </c>
      <c r="F10" t="s">
        <v>43</v>
      </c>
    </row>
    <row r="11" spans="2:6" x14ac:dyDescent="0.35">
      <c r="B11" t="s">
        <v>42</v>
      </c>
      <c r="C11" s="7" t="s">
        <v>81</v>
      </c>
      <c r="F11" t="s">
        <v>104</v>
      </c>
    </row>
    <row r="12" spans="2:6" x14ac:dyDescent="0.35">
      <c r="B12" t="s">
        <v>44</v>
      </c>
      <c r="C12" s="6" t="s">
        <v>7</v>
      </c>
      <c r="F12" t="s">
        <v>46</v>
      </c>
    </row>
    <row r="13" spans="2:6" x14ac:dyDescent="0.35">
      <c r="B13" t="s">
        <v>45</v>
      </c>
      <c r="C13" s="6" t="s">
        <v>35</v>
      </c>
      <c r="F13" t="s">
        <v>48</v>
      </c>
    </row>
    <row r="14" spans="2:6" x14ac:dyDescent="0.35">
      <c r="B14" t="s">
        <v>47</v>
      </c>
      <c r="C14" t="s">
        <v>105</v>
      </c>
      <c r="F14" t="s">
        <v>53</v>
      </c>
    </row>
    <row r="15" spans="2:6" x14ac:dyDescent="0.35">
      <c r="B15" t="s">
        <v>49</v>
      </c>
      <c r="C15" s="6" t="s">
        <v>37</v>
      </c>
      <c r="F15" t="s">
        <v>55</v>
      </c>
    </row>
    <row r="16" spans="2:6" x14ac:dyDescent="0.35">
      <c r="B16" t="s">
        <v>50</v>
      </c>
      <c r="C16" s="7" t="s">
        <v>39</v>
      </c>
      <c r="F16" t="s">
        <v>56</v>
      </c>
    </row>
    <row r="17" spans="2:6" x14ac:dyDescent="0.35">
      <c r="B17" t="s">
        <v>52</v>
      </c>
      <c r="C17" t="s">
        <v>106</v>
      </c>
      <c r="F17" t="s">
        <v>58</v>
      </c>
    </row>
    <row r="18" spans="2:6" x14ac:dyDescent="0.35">
      <c r="B18" t="s">
        <v>54</v>
      </c>
      <c r="C18" s="6" t="s">
        <v>41</v>
      </c>
      <c r="F18" t="s">
        <v>11</v>
      </c>
    </row>
    <row r="19" spans="2:6" x14ac:dyDescent="0.35">
      <c r="C19" t="s">
        <v>107</v>
      </c>
      <c r="F19" t="s">
        <v>59</v>
      </c>
    </row>
    <row r="20" spans="2:6" x14ac:dyDescent="0.35">
      <c r="C20" s="6" t="s">
        <v>43</v>
      </c>
      <c r="F20" t="s">
        <v>60</v>
      </c>
    </row>
    <row r="21" spans="2:6" x14ac:dyDescent="0.35">
      <c r="C21" s="6" t="s">
        <v>104</v>
      </c>
    </row>
    <row r="22" spans="2:6" x14ac:dyDescent="0.35">
      <c r="C22" s="6" t="s">
        <v>46</v>
      </c>
    </row>
    <row r="23" spans="2:6" x14ac:dyDescent="0.35">
      <c r="C23" s="6" t="s">
        <v>48</v>
      </c>
    </row>
    <row r="24" spans="2:6" x14ac:dyDescent="0.35">
      <c r="C24" s="7" t="s">
        <v>9</v>
      </c>
    </row>
    <row r="25" spans="2:6" x14ac:dyDescent="0.35">
      <c r="C25" s="8" t="s">
        <v>51</v>
      </c>
    </row>
    <row r="26" spans="2:6" x14ac:dyDescent="0.35">
      <c r="C26" s="7" t="s">
        <v>65</v>
      </c>
    </row>
    <row r="27" spans="2:6" x14ac:dyDescent="0.35">
      <c r="C27" t="s">
        <v>67</v>
      </c>
    </row>
    <row r="28" spans="2:6" x14ac:dyDescent="0.35">
      <c r="C28" s="6" t="s">
        <v>53</v>
      </c>
    </row>
    <row r="29" spans="2:6" x14ac:dyDescent="0.35">
      <c r="C29" s="7" t="s">
        <v>10</v>
      </c>
    </row>
    <row r="30" spans="2:6" x14ac:dyDescent="0.35">
      <c r="C30" s="6" t="s">
        <v>55</v>
      </c>
    </row>
    <row r="31" spans="2:6" x14ac:dyDescent="0.35">
      <c r="C31" s="7" t="s">
        <v>108</v>
      </c>
    </row>
    <row r="32" spans="2:6" x14ac:dyDescent="0.35">
      <c r="C32" s="6" t="s">
        <v>56</v>
      </c>
    </row>
    <row r="33" spans="3:3" x14ac:dyDescent="0.35">
      <c r="C33" s="7" t="s">
        <v>66</v>
      </c>
    </row>
    <row r="34" spans="3:3" x14ac:dyDescent="0.35">
      <c r="C34" t="s">
        <v>57</v>
      </c>
    </row>
    <row r="35" spans="3:3" x14ac:dyDescent="0.35">
      <c r="C35" s="6" t="s">
        <v>58</v>
      </c>
    </row>
    <row r="36" spans="3:3" x14ac:dyDescent="0.35">
      <c r="C36" s="6" t="s">
        <v>11</v>
      </c>
    </row>
    <row r="37" spans="3:3" x14ac:dyDescent="0.35">
      <c r="C37" s="6" t="s">
        <v>59</v>
      </c>
    </row>
    <row r="38" spans="3:3" x14ac:dyDescent="0.35">
      <c r="C38" t="s">
        <v>68</v>
      </c>
    </row>
    <row r="39" spans="3:3" x14ac:dyDescent="0.35">
      <c r="C39" s="6" t="s">
        <v>60</v>
      </c>
    </row>
    <row r="40" spans="3:3" x14ac:dyDescent="0.35">
      <c r="C40" s="6"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AD48"/>
  <sheetViews>
    <sheetView showGridLines="0" zoomScale="99" zoomScaleNormal="99" workbookViewId="0">
      <pane ySplit="14" topLeftCell="A18" activePane="bottomLeft" state="frozen"/>
      <selection pane="bottomLeft" activeCell="L18" sqref="L18"/>
    </sheetView>
  </sheetViews>
  <sheetFormatPr defaultColWidth="0" defaultRowHeight="14.5" zeroHeight="1" x14ac:dyDescent="0.35"/>
  <cols>
    <col min="1" max="1" width="18.36328125" customWidth="1"/>
    <col min="2" max="2" width="17.81640625" customWidth="1"/>
    <col min="3" max="3" width="15.81640625" customWidth="1"/>
    <col min="4" max="4" width="15.453125" customWidth="1"/>
    <col min="5" max="5" width="12.6328125" customWidth="1"/>
    <col min="6" max="6" width="11.90625" customWidth="1"/>
    <col min="7" max="7" width="11" customWidth="1"/>
    <col min="8" max="8" width="10.81640625" customWidth="1"/>
    <col min="9" max="9" width="12.6328125" customWidth="1"/>
    <col min="10" max="10" width="12.81640625" style="1" customWidth="1"/>
    <col min="11" max="11" width="12" customWidth="1"/>
    <col min="12" max="19" width="8.36328125" style="1" customWidth="1"/>
    <col min="20" max="22" width="8.36328125" style="1" hidden="1" customWidth="1"/>
    <col min="23" max="23" width="10" style="1" customWidth="1"/>
    <col min="24" max="25" width="8.36328125" style="1" customWidth="1"/>
    <col min="26" max="26" width="4" customWidth="1"/>
    <col min="27" max="28" width="8.90625" customWidth="1"/>
    <col min="29" max="30" width="0" hidden="1" customWidth="1"/>
    <col min="31" max="16384" width="8.90625" hidden="1"/>
  </cols>
  <sheetData>
    <row r="2" spans="1:25" ht="15.5" hidden="1" x14ac:dyDescent="0.35">
      <c r="A2" s="180" t="s">
        <v>100</v>
      </c>
      <c r="B2" s="180"/>
      <c r="C2" s="180"/>
      <c r="D2" s="180"/>
      <c r="E2" s="180"/>
      <c r="F2" s="81"/>
      <c r="G2" s="81"/>
      <c r="H2" s="81"/>
    </row>
    <row r="4" spans="1:25" hidden="1" x14ac:dyDescent="0.35">
      <c r="E4" s="1"/>
      <c r="F4" s="1"/>
      <c r="G4" s="1"/>
      <c r="H4" s="1"/>
    </row>
    <row r="5" spans="1:25" ht="20" customHeight="1" x14ac:dyDescent="0.35">
      <c r="A5" s="3" t="s">
        <v>16</v>
      </c>
      <c r="B5" s="4">
        <f>'G3 RMA Scoresheet'!$C$6</f>
        <v>117443</v>
      </c>
      <c r="D5" t="s">
        <v>99</v>
      </c>
      <c r="E5" s="1">
        <f>F14</f>
        <v>25</v>
      </c>
      <c r="G5" s="145" t="s">
        <v>98</v>
      </c>
      <c r="H5" s="1">
        <f>E14</f>
        <v>25</v>
      </c>
    </row>
    <row r="6" spans="1:25" ht="20" customHeight="1" x14ac:dyDescent="0.35">
      <c r="A6" s="3" t="s">
        <v>17</v>
      </c>
      <c r="B6" s="192" t="str">
        <f>'G3 RMA Scoresheet'!$F$6</f>
        <v>ROMANA ELEMENTARY SCHOOL</v>
      </c>
      <c r="C6" s="192"/>
      <c r="D6" t="s">
        <v>93</v>
      </c>
      <c r="E6" s="1" cm="1">
        <f t="array" ref="E6">'G3 RMA Scoresheet'!$K$6:$K$6</f>
        <v>0</v>
      </c>
      <c r="F6" s="1"/>
      <c r="G6" s="1"/>
      <c r="H6" s="1"/>
      <c r="I6" t="s">
        <v>6</v>
      </c>
    </row>
    <row r="7" spans="1:25" ht="20" customHeight="1" thickBot="1" x14ac:dyDescent="0.4">
      <c r="A7" s="101"/>
      <c r="B7" s="92"/>
      <c r="C7" s="92"/>
      <c r="D7" s="79"/>
      <c r="E7" s="78"/>
      <c r="F7" s="78"/>
      <c r="G7" s="78"/>
      <c r="H7" s="78"/>
      <c r="I7" s="79"/>
      <c r="J7" s="78"/>
      <c r="K7" s="79"/>
      <c r="L7" s="78"/>
      <c r="M7" s="78"/>
      <c r="N7" s="78"/>
      <c r="O7" s="78"/>
      <c r="P7" s="78"/>
      <c r="Q7" s="78"/>
      <c r="R7" s="78"/>
      <c r="S7" s="78"/>
    </row>
    <row r="8" spans="1:25" ht="14.4" customHeight="1" x14ac:dyDescent="0.35">
      <c r="A8" s="181" t="s">
        <v>14</v>
      </c>
      <c r="B8" s="50"/>
      <c r="C8" s="50"/>
      <c r="D8" s="183" t="s">
        <v>92</v>
      </c>
      <c r="E8" s="185" t="s">
        <v>18</v>
      </c>
      <c r="F8" s="190" t="s">
        <v>91</v>
      </c>
      <c r="G8" s="196" t="s">
        <v>18</v>
      </c>
      <c r="H8" s="197"/>
      <c r="I8" s="197"/>
      <c r="J8" s="197"/>
      <c r="K8" s="198"/>
      <c r="L8" s="193" t="s">
        <v>119</v>
      </c>
      <c r="M8" s="194"/>
      <c r="N8" s="194"/>
      <c r="O8" s="194"/>
      <c r="P8" s="194"/>
      <c r="Q8" s="194"/>
      <c r="R8" s="194"/>
      <c r="S8" s="194"/>
      <c r="T8" s="194"/>
      <c r="U8" s="194"/>
      <c r="V8" s="195"/>
      <c r="W8" s="178" t="s">
        <v>101</v>
      </c>
      <c r="X8" s="83"/>
      <c r="Y8" s="83"/>
    </row>
    <row r="9" spans="1:25" ht="36.5" thickBot="1" x14ac:dyDescent="0.4">
      <c r="A9" s="182"/>
      <c r="B9" s="52" t="s">
        <v>12</v>
      </c>
      <c r="C9" s="52" t="s">
        <v>19</v>
      </c>
      <c r="D9" s="184"/>
      <c r="E9" s="186"/>
      <c r="F9" s="191"/>
      <c r="G9" s="146" t="s">
        <v>120</v>
      </c>
      <c r="H9" s="146" t="s">
        <v>121</v>
      </c>
      <c r="I9" s="147" t="s">
        <v>122</v>
      </c>
      <c r="J9" s="147" t="s">
        <v>123</v>
      </c>
      <c r="K9" s="147" t="s">
        <v>124</v>
      </c>
      <c r="L9" s="44" t="s">
        <v>82</v>
      </c>
      <c r="M9" s="44" t="s">
        <v>83</v>
      </c>
      <c r="N9" s="44" t="s">
        <v>84</v>
      </c>
      <c r="O9" s="44" t="s">
        <v>85</v>
      </c>
      <c r="P9" s="44" t="s">
        <v>86</v>
      </c>
      <c r="Q9" s="44" t="s">
        <v>87</v>
      </c>
      <c r="R9" s="44" t="s">
        <v>88</v>
      </c>
      <c r="S9" s="44" t="s">
        <v>89</v>
      </c>
      <c r="T9" s="134"/>
      <c r="U9" s="134"/>
      <c r="V9" s="134"/>
      <c r="W9" s="179"/>
      <c r="X9" s="84"/>
      <c r="Y9" s="84"/>
    </row>
    <row r="10" spans="1:25" ht="15" hidden="1" thickBot="1" x14ac:dyDescent="0.4">
      <c r="A10" s="51"/>
      <c r="B10" s="52"/>
      <c r="C10" s="52"/>
      <c r="D10" s="52"/>
      <c r="E10" s="53"/>
      <c r="F10" s="53"/>
      <c r="G10" s="53"/>
      <c r="H10" s="53"/>
      <c r="I10" s="44"/>
      <c r="J10" s="44"/>
      <c r="K10" s="44"/>
      <c r="L10" s="44">
        <f>'G3 RMA Scoresheet'!I9</f>
        <v>2</v>
      </c>
      <c r="M10" s="44">
        <f>'G3 RMA Scoresheet'!J9</f>
        <v>1</v>
      </c>
      <c r="N10" s="44">
        <f>'G3 RMA Scoresheet'!K9</f>
        <v>2</v>
      </c>
      <c r="O10" s="44">
        <f>'G3 RMA Scoresheet'!L9</f>
        <v>3</v>
      </c>
      <c r="P10" s="44">
        <f>'G3 RMA Scoresheet'!M9</f>
        <v>3</v>
      </c>
      <c r="Q10" s="44">
        <f>'G3 RMA Scoresheet'!N9</f>
        <v>2</v>
      </c>
      <c r="R10" s="44">
        <f>'G3 RMA Scoresheet'!O9</f>
        <v>3</v>
      </c>
      <c r="S10" s="44">
        <f>'G3 RMA Scoresheet'!P9</f>
        <v>4</v>
      </c>
      <c r="T10" s="135"/>
      <c r="U10" s="135"/>
      <c r="V10" s="135"/>
      <c r="W10" s="45">
        <f>'G3 RMA Scoresheet'!Q9</f>
        <v>20</v>
      </c>
      <c r="X10" s="84"/>
      <c r="Y10" s="84"/>
    </row>
    <row r="11" spans="1:25" ht="24" customHeight="1" x14ac:dyDescent="0.35">
      <c r="A11" s="54" t="s">
        <v>95</v>
      </c>
      <c r="B11" s="55">
        <f>IF('G3 RMA Scoresheet'!K7&lt;&gt;"",'G3 RMA Scoresheet'!K7,"")</f>
        <v>1</v>
      </c>
      <c r="C11" s="55" t="s">
        <v>80</v>
      </c>
      <c r="D11" s="56">
        <f>COUNTIFS('G3 RMA Scoresheet'!$D$10:$D$109,$C11,'G3 RMA Scoresheet'!$H$10:$H$109,$E$6)</f>
        <v>0</v>
      </c>
      <c r="E11" s="56">
        <f>COUNTIF('G3 RMA Scoresheet'!$D$10:$D$109,"Male")</f>
        <v>10</v>
      </c>
      <c r="F11" s="56">
        <f>'G3 RMA Scoresheet'!O6</f>
        <v>10</v>
      </c>
      <c r="G11" s="56">
        <f>COUNTIFS('G3 RMA Scoresheet'!$D$10:$D$109,"Male",'G3 RMA Scoresheet'!$S$10:$S$109,G$9)</f>
        <v>0</v>
      </c>
      <c r="H11" s="56">
        <f>COUNTIFS('G3 RMA Scoresheet'!$D$10:$D$109,"Male",'G3 RMA Scoresheet'!$S$10:$S$109,H$9)</f>
        <v>0</v>
      </c>
      <c r="I11" s="57">
        <f>COUNTIFS('G3 RMA Scoresheet'!$D$10:$D$109,"Male",'G3 RMA Scoresheet'!$S$10:$S$109,I$9)</f>
        <v>2</v>
      </c>
      <c r="J11" s="58">
        <f>COUNTIFS('G3 RMA Scoresheet'!$D$10:$D$109,"Male",'G3 RMA Scoresheet'!$S$10:$S$109,J$9)</f>
        <v>2</v>
      </c>
      <c r="K11" s="58">
        <f>COUNTIFS('G3 RMA Scoresheet'!$D$10:$D$109,"Male",'G3 RMA Scoresheet'!$S$10:$S$109,K$9)</f>
        <v>6</v>
      </c>
      <c r="L11" s="58">
        <f>COUNTIFS('G3 RMA Scoresheet'!$D$10:$D$109,"Male",'G3 RMA Scoresheet'!Y$10:Y$109,1)</f>
        <v>10</v>
      </c>
      <c r="M11" s="58">
        <f>COUNTIFS('G3 RMA Scoresheet'!$D$10:$D$109,"Male",'G3 RMA Scoresheet'!Z$10:Z$109,1)</f>
        <v>10</v>
      </c>
      <c r="N11" s="58">
        <f>COUNTIFS('G3 RMA Scoresheet'!$D$10:$D$109,"Male",'G3 RMA Scoresheet'!AA$10:AA$109,1)</f>
        <v>10</v>
      </c>
      <c r="O11" s="58">
        <f>COUNTIFS('G3 RMA Scoresheet'!$D$10:$D$109,"Male",'G3 RMA Scoresheet'!AB$10:AB$109,1)</f>
        <v>6</v>
      </c>
      <c r="P11" s="58">
        <f>COUNTIFS('G3 RMA Scoresheet'!$D$10:$D$109,"Male",'G3 RMA Scoresheet'!AC$10:AC$109,1)</f>
        <v>7</v>
      </c>
      <c r="Q11" s="58">
        <f>COUNTIFS('G3 RMA Scoresheet'!$D$10:$D$109,"Male",'G3 RMA Scoresheet'!AD$10:AD$109,1)</f>
        <v>6</v>
      </c>
      <c r="R11" s="58">
        <f>COUNTIFS('G3 RMA Scoresheet'!$D$10:$D$109,"Male",'G3 RMA Scoresheet'!AE$10:AE$109,1)</f>
        <v>4</v>
      </c>
      <c r="S11" s="58">
        <f>COUNTIFS('G3 RMA Scoresheet'!$D$10:$D$109,"Male",'G3 RMA Scoresheet'!AF$10:AF$109,1)</f>
        <v>7</v>
      </c>
      <c r="T11" s="136"/>
      <c r="U11" s="136"/>
      <c r="V11" s="136"/>
      <c r="W11" s="102">
        <f>IFERROR(AVERAGEIFS('G3 RMA Scoresheet'!Q$10:Q$109,'G3 RMA Scoresheet'!$D$10:$D$109,$C11),"")</f>
        <v>16.600000000000001</v>
      </c>
      <c r="X11" s="85"/>
      <c r="Y11" s="85"/>
    </row>
    <row r="12" spans="1:25" ht="19.25" customHeight="1" thickBot="1" x14ac:dyDescent="0.4">
      <c r="A12" s="54" t="str">
        <f>A11</f>
        <v>Grade 3</v>
      </c>
      <c r="B12" s="55">
        <f>B11</f>
        <v>1</v>
      </c>
      <c r="C12" s="55" t="s">
        <v>77</v>
      </c>
      <c r="D12" s="77">
        <f>COUNTIFS('G3 RMA Scoresheet'!$D$10:$D$109,$C12,'G3 RMA Scoresheet'!$H$10:$H$109,$E$6)</f>
        <v>0</v>
      </c>
      <c r="E12" s="56">
        <f>COUNTIF('G3 RMA Scoresheet'!$D$10:$D$109,"Female")</f>
        <v>15</v>
      </c>
      <c r="F12" s="56">
        <f>'G3 RMA Scoresheet'!O7</f>
        <v>15</v>
      </c>
      <c r="G12" s="56">
        <f>COUNTIFS('G3 RMA Scoresheet'!$D$10:$D$109,"Female",'G3 RMA Scoresheet'!$S$10:$S$109,G$9)</f>
        <v>0</v>
      </c>
      <c r="H12" s="56">
        <f>COUNTIFS('G3 RMA Scoresheet'!$D$10:$D$109,"Female",'G3 RMA Scoresheet'!$S$10:$S$109,H$9)</f>
        <v>0</v>
      </c>
      <c r="I12" s="57">
        <f>COUNTIFS('G3 RMA Scoresheet'!$D$10:$D$109,"Female",'G3 RMA Scoresheet'!$S$10:$S$109,I$9)</f>
        <v>2</v>
      </c>
      <c r="J12" s="58">
        <f>COUNTIFS('G3 RMA Scoresheet'!$D$10:$D$109,"Female",'G3 RMA Scoresheet'!$S$10:$S$109,J$9)</f>
        <v>3</v>
      </c>
      <c r="K12" s="58">
        <f>COUNTIFS('G3 RMA Scoresheet'!$D$10:$D$109,"Female",'G3 RMA Scoresheet'!$S$10:$S$109,K$9)</f>
        <v>10</v>
      </c>
      <c r="L12" s="58">
        <f>COUNTIFS('G3 RMA Scoresheet'!$D$10:$D$109,"Female",'G3 RMA Scoresheet'!Y$10:Y$109,1)</f>
        <v>13</v>
      </c>
      <c r="M12" s="58">
        <f>COUNTIFS('G3 RMA Scoresheet'!$D$10:$D$109,"Female",'G3 RMA Scoresheet'!Z$10:Z$109,1)</f>
        <v>15</v>
      </c>
      <c r="N12" s="58">
        <f>COUNTIFS('G3 RMA Scoresheet'!$D$10:$D$109,"Female",'G3 RMA Scoresheet'!AA$10:AA$109,1)</f>
        <v>13</v>
      </c>
      <c r="O12" s="58">
        <f>COUNTIFS('G3 RMA Scoresheet'!$D$10:$D$109,"Female",'G3 RMA Scoresheet'!AB$10:AB$109,1)</f>
        <v>13</v>
      </c>
      <c r="P12" s="58">
        <f>COUNTIFS('G3 RMA Scoresheet'!$D$10:$D$109,"Female",'G3 RMA Scoresheet'!AC$10:AC$109,1)</f>
        <v>13</v>
      </c>
      <c r="Q12" s="58">
        <f>COUNTIFS('G3 RMA Scoresheet'!$D$10:$D$109,"Female",'G3 RMA Scoresheet'!AD$10:AD$109,1)</f>
        <v>12</v>
      </c>
      <c r="R12" s="58">
        <f>COUNTIFS('G3 RMA Scoresheet'!$D$10:$D$109,"Female",'G3 RMA Scoresheet'!AE$10:AE$109,1)</f>
        <v>5</v>
      </c>
      <c r="S12" s="58">
        <f>COUNTIFS('G3 RMA Scoresheet'!$D$10:$D$109,"Female",'G3 RMA Scoresheet'!AF$10:AF$109,1)</f>
        <v>10</v>
      </c>
      <c r="T12" s="100"/>
      <c r="U12" s="100"/>
      <c r="V12" s="100"/>
      <c r="W12" s="103">
        <f>IFERROR(AVERAGEIFS('G3 RMA Scoresheet'!Q$10:Q$109,'G3 RMA Scoresheet'!$D$10:$D$109,$C12),"")</f>
        <v>17.133333333333333</v>
      </c>
      <c r="X12" s="86"/>
      <c r="Y12" s="86"/>
    </row>
    <row r="13" spans="1:25" ht="19.25" customHeight="1" thickBot="1" x14ac:dyDescent="0.4">
      <c r="A13" s="96"/>
      <c r="B13" s="96"/>
      <c r="C13" s="96"/>
      <c r="D13" s="97"/>
      <c r="E13" s="98"/>
      <c r="F13" s="98"/>
      <c r="G13" s="98"/>
      <c r="H13" s="98"/>
      <c r="I13" s="99"/>
      <c r="J13" s="100"/>
      <c r="K13" s="100"/>
      <c r="L13" s="100"/>
      <c r="M13" s="100"/>
      <c r="N13" s="100"/>
      <c r="O13" s="100"/>
      <c r="P13" s="100"/>
      <c r="Q13" s="100"/>
      <c r="R13" s="100"/>
      <c r="S13" s="100"/>
      <c r="T13" s="137"/>
      <c r="U13" s="137"/>
      <c r="V13" s="137"/>
      <c r="W13" s="86"/>
      <c r="X13" s="86"/>
      <c r="Y13" s="86"/>
    </row>
    <row r="14" spans="1:25" ht="19.75" customHeight="1" thickBot="1" x14ac:dyDescent="0.4">
      <c r="A14" s="104" t="str">
        <f>A12</f>
        <v>Grade 3</v>
      </c>
      <c r="B14" s="105">
        <f>B12</f>
        <v>1</v>
      </c>
      <c r="C14" s="105" t="s">
        <v>90</v>
      </c>
      <c r="D14" s="106">
        <f t="shared" ref="D14:S14" si="0">D11+D12</f>
        <v>0</v>
      </c>
      <c r="E14" s="107">
        <f t="shared" si="0"/>
        <v>25</v>
      </c>
      <c r="F14" s="107">
        <f t="shared" si="0"/>
        <v>25</v>
      </c>
      <c r="G14" s="107">
        <f t="shared" si="0"/>
        <v>0</v>
      </c>
      <c r="H14" s="107">
        <f t="shared" si="0"/>
        <v>0</v>
      </c>
      <c r="I14" s="108">
        <f t="shared" si="0"/>
        <v>4</v>
      </c>
      <c r="J14" s="109">
        <f t="shared" si="0"/>
        <v>5</v>
      </c>
      <c r="K14" s="109">
        <f t="shared" si="0"/>
        <v>16</v>
      </c>
      <c r="L14" s="109">
        <f t="shared" si="0"/>
        <v>23</v>
      </c>
      <c r="M14" s="109">
        <f t="shared" si="0"/>
        <v>25</v>
      </c>
      <c r="N14" s="109">
        <f t="shared" si="0"/>
        <v>23</v>
      </c>
      <c r="O14" s="109">
        <f t="shared" si="0"/>
        <v>19</v>
      </c>
      <c r="P14" s="109">
        <f t="shared" si="0"/>
        <v>20</v>
      </c>
      <c r="Q14" s="109">
        <f t="shared" si="0"/>
        <v>18</v>
      </c>
      <c r="R14" s="109">
        <f t="shared" si="0"/>
        <v>9</v>
      </c>
      <c r="S14" s="109">
        <f t="shared" si="0"/>
        <v>17</v>
      </c>
      <c r="T14" s="138"/>
      <c r="U14" s="138"/>
      <c r="V14" s="138"/>
      <c r="W14" s="110">
        <f>IFERROR(AVERAGE('G3 RMA Scoresheet'!Q$10:Q$109),"")</f>
        <v>16.920000000000002</v>
      </c>
      <c r="X14" s="87"/>
      <c r="Y14" s="87"/>
    </row>
    <row r="15" spans="1:25" x14ac:dyDescent="0.35">
      <c r="W15" s="88"/>
      <c r="X15" s="88"/>
      <c r="Y15" s="88"/>
    </row>
    <row r="16" spans="1:25" ht="15" thickBot="1" x14ac:dyDescent="0.4">
      <c r="W16" s="88"/>
      <c r="X16" s="88"/>
      <c r="Y16" s="88"/>
    </row>
    <row r="17" spans="1:25" ht="15" thickBot="1" x14ac:dyDescent="0.4">
      <c r="A17" s="65" t="s">
        <v>20</v>
      </c>
      <c r="B17" s="66"/>
      <c r="C17" s="199" t="s">
        <v>21</v>
      </c>
      <c r="D17" s="199"/>
      <c r="E17" s="199"/>
      <c r="F17" s="199"/>
      <c r="G17" s="200"/>
      <c r="H17" s="95"/>
      <c r="I17" s="3"/>
      <c r="L17" s="187" t="s">
        <v>125</v>
      </c>
      <c r="M17" s="188"/>
      <c r="N17" s="188"/>
      <c r="O17" s="188"/>
      <c r="P17" s="188"/>
      <c r="Q17" s="188"/>
      <c r="R17" s="188"/>
      <c r="S17" s="189"/>
      <c r="U17" s="142"/>
      <c r="V17" s="95"/>
      <c r="W17" s="144"/>
      <c r="X17" s="89"/>
      <c r="Y17" s="89"/>
    </row>
    <row r="18" spans="1:25" ht="36" x14ac:dyDescent="0.35">
      <c r="A18" s="67" t="s">
        <v>19</v>
      </c>
      <c r="B18" s="68" t="s">
        <v>22</v>
      </c>
      <c r="C18" s="147" t="s">
        <v>120</v>
      </c>
      <c r="D18" s="147" t="s">
        <v>121</v>
      </c>
      <c r="E18" s="147" t="s">
        <v>122</v>
      </c>
      <c r="F18" s="147" t="s">
        <v>123</v>
      </c>
      <c r="G18" s="148" t="s">
        <v>124</v>
      </c>
      <c r="H18" s="94"/>
      <c r="I18" s="64"/>
      <c r="K18" s="65" t="s">
        <v>19</v>
      </c>
      <c r="L18" s="74" t="s">
        <v>82</v>
      </c>
      <c r="M18" s="74" t="s">
        <v>83</v>
      </c>
      <c r="N18" s="74" t="s">
        <v>84</v>
      </c>
      <c r="O18" s="74" t="s">
        <v>85</v>
      </c>
      <c r="P18" s="74" t="s">
        <v>86</v>
      </c>
      <c r="Q18" s="74" t="s">
        <v>87</v>
      </c>
      <c r="R18" s="74" t="s">
        <v>88</v>
      </c>
      <c r="S18" s="74" t="s">
        <v>89</v>
      </c>
      <c r="U18" s="143"/>
      <c r="V18" s="94"/>
      <c r="W18" s="111" t="s">
        <v>102</v>
      </c>
      <c r="X18" s="84"/>
      <c r="Y18" s="84"/>
    </row>
    <row r="19" spans="1:25" x14ac:dyDescent="0.35">
      <c r="A19" s="21" t="s">
        <v>80</v>
      </c>
      <c r="B19" s="69">
        <f>IFERROR(E11/$E$5,"")</f>
        <v>0.4</v>
      </c>
      <c r="C19" s="69">
        <f>IFERROR(G11/$E$11,"")</f>
        <v>0</v>
      </c>
      <c r="D19" s="69">
        <f t="shared" ref="D19:G19" si="1">IFERROR(H11/$E$11,"")</f>
        <v>0</v>
      </c>
      <c r="E19" s="69">
        <f t="shared" si="1"/>
        <v>0.2</v>
      </c>
      <c r="F19" s="69">
        <f t="shared" si="1"/>
        <v>0.2</v>
      </c>
      <c r="G19" s="69">
        <f t="shared" si="1"/>
        <v>0.6</v>
      </c>
      <c r="H19" s="93"/>
      <c r="I19" s="5" t="str">
        <f>IFERROR(#REF!/$I$11,"")</f>
        <v/>
      </c>
      <c r="K19" s="21" t="s">
        <v>80</v>
      </c>
      <c r="L19" s="71">
        <f>IFERROR(L11/$E$11,"")</f>
        <v>1</v>
      </c>
      <c r="M19" s="71">
        <f t="shared" ref="M19:S19" si="2">IFERROR(M11/$E$11,"")</f>
        <v>1</v>
      </c>
      <c r="N19" s="71">
        <f t="shared" si="2"/>
        <v>1</v>
      </c>
      <c r="O19" s="71">
        <f t="shared" si="2"/>
        <v>0.6</v>
      </c>
      <c r="P19" s="71">
        <f t="shared" si="2"/>
        <v>0.7</v>
      </c>
      <c r="Q19" s="71">
        <f t="shared" si="2"/>
        <v>0.6</v>
      </c>
      <c r="R19" s="71">
        <f t="shared" si="2"/>
        <v>0.4</v>
      </c>
      <c r="S19" s="71">
        <f t="shared" si="2"/>
        <v>0.7</v>
      </c>
      <c r="U19" s="139"/>
      <c r="V19" s="70"/>
      <c r="W19" s="112">
        <f>IFERROR(W11/W$10,"")</f>
        <v>0.83000000000000007</v>
      </c>
      <c r="X19" s="90" t="str">
        <f t="shared" ref="X19:Y19" si="3">IFERROR(X11/X$10,"")</f>
        <v/>
      </c>
      <c r="Y19" s="90" t="str">
        <f t="shared" si="3"/>
        <v/>
      </c>
    </row>
    <row r="20" spans="1:25" x14ac:dyDescent="0.35">
      <c r="A20" s="21" t="s">
        <v>77</v>
      </c>
      <c r="B20" s="69">
        <f>IFERROR(E12/$E$5,"")</f>
        <v>0.6</v>
      </c>
      <c r="C20" s="69">
        <f>IFERROR(G12/$E$12,"")</f>
        <v>0</v>
      </c>
      <c r="D20" s="69">
        <f t="shared" ref="D20:G20" si="4">IFERROR(H12/$E$12,"")</f>
        <v>0</v>
      </c>
      <c r="E20" s="69">
        <f t="shared" si="4"/>
        <v>0.13333333333333333</v>
      </c>
      <c r="F20" s="69">
        <f t="shared" si="4"/>
        <v>0.2</v>
      </c>
      <c r="G20" s="69">
        <f t="shared" si="4"/>
        <v>0.66666666666666663</v>
      </c>
      <c r="H20" s="70"/>
      <c r="K20" s="21" t="s">
        <v>77</v>
      </c>
      <c r="L20" s="71">
        <f>IFERROR(L12/$E$12,"")</f>
        <v>0.8666666666666667</v>
      </c>
      <c r="M20" s="71">
        <f t="shared" ref="M20:S20" si="5">IFERROR(M12/$E$12,"")</f>
        <v>1</v>
      </c>
      <c r="N20" s="71">
        <f t="shared" si="5"/>
        <v>0.8666666666666667</v>
      </c>
      <c r="O20" s="71">
        <f t="shared" si="5"/>
        <v>0.8666666666666667</v>
      </c>
      <c r="P20" s="71">
        <f t="shared" si="5"/>
        <v>0.8666666666666667</v>
      </c>
      <c r="Q20" s="71">
        <f t="shared" si="5"/>
        <v>0.8</v>
      </c>
      <c r="R20" s="71">
        <f t="shared" si="5"/>
        <v>0.33333333333333331</v>
      </c>
      <c r="S20" s="71">
        <f t="shared" si="5"/>
        <v>0.66666666666666663</v>
      </c>
      <c r="U20" s="139"/>
      <c r="V20" s="70"/>
      <c r="W20" s="112">
        <f>IFERROR(W12/W$10,"")</f>
        <v>0.85666666666666669</v>
      </c>
      <c r="X20" s="90" t="str">
        <f t="shared" ref="X20:Y20" si="6">IFERROR(X12/X$10,"")</f>
        <v/>
      </c>
      <c r="Y20" s="90" t="str">
        <f t="shared" si="6"/>
        <v/>
      </c>
    </row>
    <row r="21" spans="1:25" ht="15" thickBot="1" x14ac:dyDescent="0.4">
      <c r="A21" s="72" t="s">
        <v>90</v>
      </c>
      <c r="B21" s="73">
        <f>IFERROR(B19+B20,"")</f>
        <v>1</v>
      </c>
      <c r="C21" s="73">
        <f>IFERROR(G14/$E14,"")</f>
        <v>0</v>
      </c>
      <c r="D21" s="73">
        <f t="shared" ref="D21:G21" si="7">IFERROR(H14/$E14,"")</f>
        <v>0</v>
      </c>
      <c r="E21" s="73">
        <f t="shared" si="7"/>
        <v>0.16</v>
      </c>
      <c r="F21" s="73">
        <f t="shared" si="7"/>
        <v>0.2</v>
      </c>
      <c r="G21" s="73">
        <f t="shared" si="7"/>
        <v>0.64</v>
      </c>
      <c r="H21" s="75"/>
      <c r="K21" s="72" t="s">
        <v>90</v>
      </c>
      <c r="L21" s="76">
        <f>IFERROR(L14/$E$14,"")</f>
        <v>0.92</v>
      </c>
      <c r="M21" s="76">
        <f t="shared" ref="M21:S21" si="8">IFERROR(M14/$E$14,"")</f>
        <v>1</v>
      </c>
      <c r="N21" s="76">
        <f t="shared" si="8"/>
        <v>0.92</v>
      </c>
      <c r="O21" s="76">
        <f t="shared" si="8"/>
        <v>0.76</v>
      </c>
      <c r="P21" s="76">
        <f t="shared" si="8"/>
        <v>0.8</v>
      </c>
      <c r="Q21" s="76">
        <f t="shared" si="8"/>
        <v>0.72</v>
      </c>
      <c r="R21" s="76">
        <f t="shared" si="8"/>
        <v>0.36</v>
      </c>
      <c r="S21" s="76">
        <f t="shared" si="8"/>
        <v>0.68</v>
      </c>
      <c r="U21" s="140"/>
      <c r="V21" s="141"/>
      <c r="W21" s="113">
        <f>IFERROR(W14/W$10,"")</f>
        <v>0.84600000000000009</v>
      </c>
      <c r="X21" s="91" t="str">
        <f t="shared" ref="X21:Y21" si="9">IFERROR(X14/X$10,"")</f>
        <v/>
      </c>
      <c r="Y21" s="91" t="str">
        <f t="shared" si="9"/>
        <v/>
      </c>
    </row>
    <row r="22" spans="1:25" x14ac:dyDescent="0.35">
      <c r="A22" s="3"/>
      <c r="B22" s="75"/>
      <c r="C22" s="75"/>
      <c r="D22" s="75"/>
      <c r="E22" s="75"/>
      <c r="F22" s="75"/>
      <c r="G22" s="75"/>
      <c r="H22" s="75"/>
      <c r="K22" s="3"/>
      <c r="L22" s="70"/>
      <c r="M22" s="70"/>
      <c r="N22" s="70"/>
      <c r="O22" s="70"/>
      <c r="P22" s="70"/>
      <c r="Q22" s="70"/>
      <c r="R22" s="70"/>
      <c r="S22" s="70"/>
      <c r="T22" s="70"/>
      <c r="U22" s="70"/>
      <c r="V22" s="70"/>
      <c r="W22" s="70"/>
      <c r="X22" s="70"/>
      <c r="Y22" s="70"/>
    </row>
    <row r="23" spans="1:25" x14ac:dyDescent="0.35"/>
    <row r="24" spans="1:25" x14ac:dyDescent="0.35"/>
    <row r="25" spans="1:25" x14ac:dyDescent="0.35"/>
    <row r="26" spans="1:25" x14ac:dyDescent="0.35"/>
    <row r="27" spans="1:25" x14ac:dyDescent="0.35"/>
    <row r="28" spans="1:25" x14ac:dyDescent="0.35"/>
    <row r="29" spans="1:25" x14ac:dyDescent="0.35"/>
    <row r="30" spans="1:25" x14ac:dyDescent="0.35"/>
    <row r="31" spans="1:25" x14ac:dyDescent="0.35"/>
    <row r="32" spans="1:25"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row r="47" x14ac:dyDescent="0.35"/>
    <row r="48" x14ac:dyDescent="0.35"/>
  </sheetData>
  <sheetProtection algorithmName="SHA-512" hashValue="aERmk73bAzhAYwY8MVoqe8sZoxvxQtx2X4Mmn+L+T4UB9UoNUqLFn2cUBWDIb32mIf/OKmaNung9hnUFleeuJA==" saltValue="QOgdmCs2YmxfWXQwI4qwgQ==" spinCount="100000" sheet="1" objects="1" scenarios="1"/>
  <mergeCells count="11">
    <mergeCell ref="L17:S17"/>
    <mergeCell ref="F8:F9"/>
    <mergeCell ref="B6:C6"/>
    <mergeCell ref="L8:V8"/>
    <mergeCell ref="G8:K8"/>
    <mergeCell ref="C17:G17"/>
    <mergeCell ref="W8:W9"/>
    <mergeCell ref="A2:E2"/>
    <mergeCell ref="A8:A9"/>
    <mergeCell ref="D8:D9"/>
    <mergeCell ref="E8:E9"/>
  </mergeCells>
  <conditionalFormatting sqref="D11 E11:H14">
    <cfRule type="containsText" dxfId="2" priority="2" operator="containsText" text="[enter class enrolment]">
      <formula>NOT(ISERROR(SEARCH("[enter class enrolment]",D11)))</formula>
    </cfRule>
  </conditionalFormatting>
  <conditionalFormatting sqref="D12:D14">
    <cfRule type="containsText" dxfId="1" priority="3" operator="containsText" text="[choose language here]">
      <formula>NOT(ISERROR(SEARCH("[choose language here]",D12)))</formula>
    </cfRule>
  </conditionalFormatting>
  <conditionalFormatting sqref="X19:Y20">
    <cfRule type="cellIs" dxfId="0" priority="1" operator="lessThan">
      <formula>0.75</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EC0E0858-39EF-405E-B426-F6D95F64D5AC}"/>
</file>

<file path=customXml/itemProps2.xml><?xml version="1.0" encoding="utf-8"?>
<ds:datastoreItem xmlns:ds="http://schemas.openxmlformats.org/officeDocument/2006/customXml" ds:itemID="{0DC09A9D-6F4B-4712-8478-1D60CC05BBEB}"/>
</file>

<file path=customXml/itemProps3.xml><?xml version="1.0" encoding="utf-8"?>
<ds:datastoreItem xmlns:ds="http://schemas.openxmlformats.org/officeDocument/2006/customXml" ds:itemID="{47D7222A-A76A-49AF-B87A-855F434924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G3 RMA Scoresheet</vt:lpstr>
      <vt:lpstr>List</vt:lpstr>
      <vt:lpstr>Class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Emil Monroy</dc:creator>
  <cp:lastModifiedBy>User</cp:lastModifiedBy>
  <cp:lastPrinted>2021-08-18T02:11:00Z</cp:lastPrinted>
  <dcterms:created xsi:type="dcterms:W3CDTF">2021-07-15T02:28:12Z</dcterms:created>
  <dcterms:modified xsi:type="dcterms:W3CDTF">2025-10-13T03:16:55Z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Order">
    <vt:r8>965100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