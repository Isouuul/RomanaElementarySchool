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depedph.sharepoint.com/sites/ROMANAELEMENTARYSCHOOL117443/Shared Documents/SY 2025-2026/ASSESSMENT RESULTS/RMA 2025-2026/"/>
    </mc:Choice>
  </mc:AlternateContent>
  <xr:revisionPtr revIDLastSave="7" documentId="13_ncr:1_{21846CA9-2629-43CA-8F6F-DC38D4BB6AAF}" xr6:coauthVersionLast="47" xr6:coauthVersionMax="47" xr10:uidLastSave="{005C2231-C5DD-4153-9F1F-D568CF111A89}"/>
  <workbookProtection workbookAlgorithmName="SHA-512" workbookHashValue="kktCZUDOJ8YTJ2wqvPY3VsQKkHNa0iJ3ksXhKoMtNEwVJC42DXs11hb026ukMq3c6bI7wHxEMC26yl3hiDvj6w==" workbookSaltValue="Lv6PeEvXz9YyCZ6bbmMyNw==" workbookSpinCount="100000" lockStructure="1"/>
  <bookViews>
    <workbookView xWindow="-110" yWindow="-110" windowWidth="19420" windowHeight="10300" firstSheet="1" activeTab="1" xr2:uid="{D501B255-9284-4472-90C8-6B6C392E841B}"/>
  </bookViews>
  <sheets>
    <sheet name="Class Results" sheetId="2" r:id="rId1"/>
    <sheet name="School Summary" sheetId="6" r:id="rId2"/>
  </sheets>
  <externalReferences>
    <externalReference r:id="rId3"/>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1" i="2" l="1"/>
  <c r="W10" i="2"/>
  <c r="W13" i="2"/>
  <c r="W12" i="2"/>
  <c r="W12" i="6" l="1"/>
  <c r="W28" i="6" s="1"/>
  <c r="W14" i="6"/>
  <c r="W30" i="6" s="1"/>
  <c r="W13" i="6"/>
  <c r="W16" i="6"/>
  <c r="W32" i="6" s="1"/>
  <c r="W15" i="6"/>
  <c r="W31" i="6" s="1"/>
  <c r="W21" i="6" l="1"/>
  <c r="W22" i="6"/>
  <c r="W29" i="6"/>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G16" i="6" l="1"/>
  <c r="F16" i="6"/>
  <c r="G14" i="6"/>
  <c r="F14" i="6"/>
  <c r="G12" i="6"/>
  <c r="F12" i="6"/>
  <c r="G11" i="6"/>
  <c r="F11" i="6"/>
  <c r="G20" i="6" l="1"/>
  <c r="F20" i="6"/>
  <c r="X1" i="6" l="1"/>
  <c r="V22" i="6"/>
  <c r="U22" i="6"/>
  <c r="V20" i="6"/>
  <c r="U20" i="6"/>
  <c r="T20" i="6"/>
  <c r="S16" i="6" l="1"/>
  <c r="R16" i="6"/>
  <c r="Q16" i="6"/>
  <c r="P16" i="6"/>
  <c r="O16" i="6"/>
  <c r="N16" i="6"/>
  <c r="M16" i="6"/>
  <c r="L16" i="6"/>
  <c r="V14" i="6"/>
  <c r="U14" i="6"/>
  <c r="T14" i="6"/>
  <c r="S14" i="6"/>
  <c r="R14" i="6"/>
  <c r="Q14" i="6"/>
  <c r="P14" i="6"/>
  <c r="O14" i="6"/>
  <c r="N14" i="6"/>
  <c r="M14" i="6"/>
  <c r="L14" i="6"/>
  <c r="S12" i="6"/>
  <c r="R12" i="6"/>
  <c r="Q12" i="6"/>
  <c r="P12" i="6"/>
  <c r="O12" i="6"/>
  <c r="N12" i="6"/>
  <c r="M12" i="6"/>
  <c r="L12" i="6"/>
  <c r="S11" i="6"/>
  <c r="R11" i="6"/>
  <c r="Q11" i="6"/>
  <c r="P11" i="6"/>
  <c r="O11" i="6"/>
  <c r="N11" i="6"/>
  <c r="M11" i="6"/>
  <c r="W200" i="2" l="1" a="1"/>
  <c r="W199" i="2" a="1"/>
  <c r="W198" i="2" a="1"/>
  <c r="W197" i="2" a="1"/>
  <c r="W196" i="2" a="1"/>
  <c r="W195" i="2" a="1"/>
  <c r="W194" i="2" a="1"/>
  <c r="W193" i="2" a="1"/>
  <c r="W192" i="2" a="1"/>
  <c r="W191" i="2" a="1"/>
  <c r="W190" i="2" a="1"/>
  <c r="W189" i="2" a="1"/>
  <c r="W188" i="2" a="1"/>
  <c r="W187" i="2" a="1"/>
  <c r="W186" i="2" a="1"/>
  <c r="W185" i="2" a="1"/>
  <c r="W184" i="2" a="1"/>
  <c r="W183" i="2" a="1"/>
  <c r="W182" i="2" a="1"/>
  <c r="W181" i="2" a="1"/>
  <c r="W180" i="2" a="1"/>
  <c r="W179" i="2" a="1"/>
  <c r="W178" i="2" a="1"/>
  <c r="W177" i="2" a="1"/>
  <c r="W176" i="2" a="1"/>
  <c r="W175" i="2" a="1"/>
  <c r="W174" i="2" a="1"/>
  <c r="W173" i="2" a="1"/>
  <c r="W172" i="2" a="1"/>
  <c r="W171" i="2" a="1"/>
  <c r="W170" i="2" a="1"/>
  <c r="W169" i="2" a="1"/>
  <c r="W168" i="2" a="1"/>
  <c r="W167" i="2" a="1"/>
  <c r="W166" i="2" a="1"/>
  <c r="W165" i="2" a="1"/>
  <c r="W164" i="2" a="1"/>
  <c r="W163" i="2" a="1"/>
  <c r="W162" i="2" a="1"/>
  <c r="W161" i="2" a="1"/>
  <c r="W160" i="2" a="1"/>
  <c r="W159" i="2" a="1"/>
  <c r="W158" i="2" a="1"/>
  <c r="W157" i="2" a="1"/>
  <c r="W156" i="2" a="1"/>
  <c r="W155" i="2" a="1"/>
  <c r="W154" i="2" a="1"/>
  <c r="W153" i="2" a="1"/>
  <c r="W152" i="2" a="1"/>
  <c r="W151" i="2" a="1"/>
  <c r="W150" i="2" a="1"/>
  <c r="W149" i="2" a="1"/>
  <c r="W148" i="2" a="1"/>
  <c r="W147" i="2" a="1"/>
  <c r="W146" i="2" a="1"/>
  <c r="W145" i="2" a="1"/>
  <c r="W144" i="2" a="1"/>
  <c r="W143" i="2" a="1"/>
  <c r="W142" i="2" a="1"/>
  <c r="W141" i="2" a="1"/>
  <c r="W140" i="2" a="1"/>
  <c r="W139" i="2" a="1"/>
  <c r="W138" i="2" a="1"/>
  <c r="W137" i="2" a="1"/>
  <c r="W136" i="2" a="1"/>
  <c r="W135" i="2" a="1"/>
  <c r="W134" i="2" a="1"/>
  <c r="W133" i="2" a="1"/>
  <c r="W132" i="2" a="1"/>
  <c r="W131" i="2" a="1"/>
  <c r="W130" i="2" a="1"/>
  <c r="W129" i="2" a="1"/>
  <c r="W128" i="2" a="1"/>
  <c r="W127" i="2" a="1"/>
  <c r="W126" i="2" a="1"/>
  <c r="W125" i="2" a="1"/>
  <c r="W124" i="2" a="1"/>
  <c r="W123" i="2" a="1"/>
  <c r="W122" i="2" a="1"/>
  <c r="W121" i="2" a="1"/>
  <c r="W120" i="2" a="1"/>
  <c r="W119" i="2" a="1"/>
  <c r="W118" i="2" a="1"/>
  <c r="W117" i="2" a="1"/>
  <c r="W116" i="2" a="1"/>
  <c r="W115" i="2" a="1"/>
  <c r="W114" i="2" a="1"/>
  <c r="W113" i="2" a="1"/>
  <c r="W112" i="2" a="1"/>
  <c r="W111" i="2" a="1"/>
  <c r="W110" i="2" a="1"/>
  <c r="W109" i="2" a="1"/>
  <c r="W108" i="2" a="1"/>
  <c r="W107" i="2" a="1"/>
  <c r="W106" i="2" a="1"/>
  <c r="W105" i="2" a="1"/>
  <c r="W104" i="2" a="1"/>
  <c r="W103" i="2" a="1"/>
  <c r="W102" i="2" a="1"/>
  <c r="W101" i="2" a="1"/>
  <c r="W100" i="2" a="1"/>
  <c r="W99" i="2" a="1"/>
  <c r="W98" i="2" a="1"/>
  <c r="W97" i="2" a="1"/>
  <c r="W96" i="2" a="1"/>
  <c r="W95" i="2" a="1"/>
  <c r="W94" i="2" a="1"/>
  <c r="W93" i="2" a="1"/>
  <c r="W92" i="2" a="1"/>
  <c r="W91" i="2" a="1"/>
  <c r="W90" i="2" a="1"/>
  <c r="W89" i="2" a="1"/>
  <c r="W88" i="2" a="1"/>
  <c r="W87" i="2" a="1"/>
  <c r="W86" i="2" a="1"/>
  <c r="W85" i="2" a="1"/>
  <c r="W84" i="2" a="1"/>
  <c r="W83" i="2" a="1"/>
  <c r="W82" i="2" a="1"/>
  <c r="W81" i="2" a="1"/>
  <c r="W80" i="2" a="1"/>
  <c r="W79" i="2" a="1"/>
  <c r="W78" i="2" a="1"/>
  <c r="W77" i="2" a="1"/>
  <c r="W76" i="2" a="1"/>
  <c r="W75" i="2" a="1"/>
  <c r="W74" i="2" a="1"/>
  <c r="W73" i="2" a="1"/>
  <c r="W72" i="2" a="1"/>
  <c r="W71" i="2" a="1"/>
  <c r="W70" i="2" a="1"/>
  <c r="W69" i="2" a="1"/>
  <c r="W68" i="2" a="1"/>
  <c r="W67" i="2" a="1"/>
  <c r="W66" i="2" a="1"/>
  <c r="W65" i="2" a="1"/>
  <c r="W64" i="2" a="1"/>
  <c r="W63" i="2" a="1"/>
  <c r="W62" i="2" a="1"/>
  <c r="W61" i="2" a="1"/>
  <c r="W60" i="2" a="1"/>
  <c r="W59" i="2" a="1"/>
  <c r="W58" i="2" a="1"/>
  <c r="W57" i="2" a="1"/>
  <c r="W56" i="2" a="1"/>
  <c r="W55" i="2" a="1"/>
  <c r="W54" i="2" a="1"/>
  <c r="W53" i="2" a="1"/>
  <c r="W52" i="2" a="1"/>
  <c r="W51" i="2" a="1"/>
  <c r="W50" i="2" a="1"/>
  <c r="W49" i="2" a="1"/>
  <c r="W48" i="2" a="1"/>
  <c r="W47" i="2" a="1"/>
  <c r="W46" i="2" a="1"/>
  <c r="W45" i="2" a="1"/>
  <c r="W44" i="2" a="1"/>
  <c r="W43" i="2" a="1"/>
  <c r="W42" i="2" a="1"/>
  <c r="W41" i="2" a="1"/>
  <c r="W40" i="2" a="1"/>
  <c r="W39" i="2" a="1"/>
  <c r="L11" i="6" l="1"/>
  <c r="V1" i="2" l="1"/>
  <c r="T16" i="6"/>
  <c r="T32" i="6" s="1"/>
  <c r="S20" i="6" l="1"/>
  <c r="M20" i="6"/>
  <c r="L20" i="6"/>
  <c r="P20" i="6"/>
  <c r="O20" i="6"/>
  <c r="Q20" i="6"/>
  <c r="N20" i="6"/>
  <c r="R20" i="6"/>
  <c r="AO13" i="6"/>
  <c r="AO12" i="6" l="1"/>
  <c r="AO11" i="6"/>
  <c r="W362" i="2" l="1" a="1"/>
  <c r="W361" i="2" a="1"/>
  <c r="W360" i="2" a="1"/>
  <c r="W359" i="2" a="1"/>
  <c r="W358" i="2" a="1"/>
  <c r="W357" i="2" a="1"/>
  <c r="W356" i="2" a="1"/>
  <c r="W355" i="2" a="1"/>
  <c r="W354" i="2" a="1"/>
  <c r="W353" i="2" a="1"/>
  <c r="W352" i="2" a="1"/>
  <c r="W351" i="2" a="1"/>
  <c r="W350" i="2" a="1"/>
  <c r="W349" i="2" a="1"/>
  <c r="W348" i="2" a="1"/>
  <c r="W347" i="2" a="1"/>
  <c r="W346" i="2" a="1"/>
  <c r="W345" i="2" a="1"/>
  <c r="W344" i="2" a="1"/>
  <c r="W343" i="2" a="1"/>
  <c r="W342" i="2" a="1"/>
  <c r="W341" i="2" a="1"/>
  <c r="W340" i="2" a="1"/>
  <c r="W339" i="2" a="1"/>
  <c r="W338" i="2" a="1"/>
  <c r="W337" i="2" a="1"/>
  <c r="W336" i="2" a="1"/>
  <c r="W335" i="2" a="1"/>
  <c r="W334" i="2" a="1"/>
  <c r="W333" i="2" a="1"/>
  <c r="W332" i="2" a="1"/>
  <c r="W331" i="2" a="1"/>
  <c r="W330" i="2" a="1"/>
  <c r="W329" i="2" a="1"/>
  <c r="W328" i="2" a="1"/>
  <c r="W327" i="2" a="1"/>
  <c r="W326" i="2" a="1"/>
  <c r="W325" i="2" a="1"/>
  <c r="W324" i="2" a="1"/>
  <c r="W323" i="2" a="1"/>
  <c r="W322" i="2" a="1"/>
  <c r="W321" i="2" a="1"/>
  <c r="W320" i="2" a="1"/>
  <c r="W319" i="2" a="1"/>
  <c r="W318" i="2" a="1"/>
  <c r="W317" i="2" a="1"/>
  <c r="W316" i="2" a="1"/>
  <c r="W315" i="2" a="1"/>
  <c r="W314" i="2" a="1"/>
  <c r="W313" i="2" a="1"/>
  <c r="W312" i="2" a="1"/>
  <c r="W311" i="2" a="1"/>
  <c r="W310" i="2" a="1"/>
  <c r="W309" i="2" a="1"/>
  <c r="W308" i="2" a="1"/>
  <c r="W307" i="2" a="1"/>
  <c r="W306" i="2" a="1"/>
  <c r="W305" i="2" a="1"/>
  <c r="W304" i="2" a="1"/>
  <c r="W303" i="2" a="1"/>
  <c r="W302" i="2" a="1"/>
  <c r="W301" i="2" a="1"/>
  <c r="W300" i="2" a="1"/>
  <c r="W299" i="2" a="1"/>
  <c r="W298" i="2" a="1"/>
  <c r="W297" i="2" a="1"/>
  <c r="W296" i="2" a="1"/>
  <c r="W295" i="2" a="1"/>
  <c r="W294" i="2" a="1"/>
  <c r="W293" i="2" a="1"/>
  <c r="W292" i="2" a="1"/>
  <c r="W291" i="2" a="1"/>
  <c r="W290" i="2" a="1"/>
  <c r="W289" i="2" a="1"/>
  <c r="W288" i="2" a="1"/>
  <c r="W287" i="2" a="1"/>
  <c r="W286" i="2" a="1"/>
  <c r="W285" i="2" a="1"/>
  <c r="W284" i="2" a="1"/>
  <c r="W283" i="2" a="1"/>
  <c r="W282" i="2" a="1"/>
  <c r="W281" i="2" a="1"/>
  <c r="W280" i="2" a="1"/>
  <c r="W279" i="2" a="1"/>
  <c r="W278" i="2" a="1"/>
  <c r="W277" i="2" a="1"/>
  <c r="W276" i="2" a="1"/>
  <c r="W275" i="2" a="1"/>
  <c r="W274" i="2" a="1"/>
  <c r="W273" i="2" a="1"/>
  <c r="W272" i="2" a="1"/>
  <c r="W271" i="2" a="1"/>
  <c r="W270" i="2" a="1"/>
  <c r="W269" i="2" a="1"/>
  <c r="W268" i="2" a="1"/>
  <c r="W267" i="2" a="1"/>
  <c r="W266" i="2" a="1"/>
  <c r="W265" i="2" a="1"/>
  <c r="W264" i="2" a="1"/>
  <c r="W263" i="2" a="1"/>
  <c r="W262" i="2" a="1"/>
  <c r="W261" i="2" a="1"/>
  <c r="W260" i="2" a="1"/>
  <c r="W259" i="2" a="1"/>
  <c r="W258" i="2" a="1"/>
  <c r="W257" i="2" a="1"/>
  <c r="W256" i="2" a="1"/>
  <c r="W255" i="2" a="1"/>
  <c r="W254" i="2" a="1"/>
  <c r="W253" i="2" a="1"/>
  <c r="W252" i="2" a="1"/>
  <c r="W251" i="2" a="1"/>
  <c r="W250" i="2" a="1"/>
  <c r="W249" i="2" a="1"/>
  <c r="W248" i="2" a="1"/>
  <c r="W247" i="2" a="1"/>
  <c r="W246" i="2" a="1"/>
  <c r="W245" i="2" a="1"/>
  <c r="W244" i="2" a="1"/>
  <c r="W243" i="2" a="1"/>
  <c r="W242" i="2" a="1"/>
  <c r="W241" i="2" a="1"/>
  <c r="W240" i="2" a="1"/>
  <c r="W239" i="2" a="1"/>
  <c r="W238" i="2" a="1"/>
  <c r="W237" i="2" a="1"/>
  <c r="W236" i="2" a="1"/>
  <c r="W235" i="2" a="1"/>
  <c r="W234" i="2" a="1"/>
  <c r="W233" i="2" a="1"/>
  <c r="W232" i="2" a="1"/>
  <c r="W231" i="2" a="1"/>
  <c r="W230" i="2" a="1"/>
  <c r="W229" i="2" a="1"/>
  <c r="W228" i="2" a="1"/>
  <c r="W227" i="2" a="1"/>
  <c r="W226" i="2" a="1"/>
  <c r="W225" i="2" a="1"/>
  <c r="W224" i="2" a="1"/>
  <c r="W223" i="2" a="1"/>
  <c r="W222" i="2" a="1"/>
  <c r="W221" i="2" a="1"/>
  <c r="W220" i="2" a="1"/>
  <c r="W219" i="2" a="1"/>
  <c r="W218" i="2" a="1"/>
  <c r="W217" i="2" a="1"/>
  <c r="W216" i="2" a="1"/>
  <c r="W215" i="2" a="1"/>
  <c r="W214" i="2" a="1"/>
  <c r="W213" i="2" a="1"/>
  <c r="W212" i="2" a="1"/>
  <c r="W211" i="2" a="1"/>
  <c r="W210" i="2" a="1"/>
  <c r="W209" i="2" a="1"/>
  <c r="W208" i="2" a="1"/>
  <c r="W207" i="2" a="1"/>
  <c r="W206" i="2" a="1"/>
  <c r="W205" i="2" a="1"/>
  <c r="W204" i="2" a="1"/>
  <c r="W203" i="2" a="1"/>
  <c r="W202" i="2" a="1"/>
  <c r="W201" i="2" a="1"/>
  <c r="J16" i="6" l="1"/>
  <c r="I16" i="6"/>
  <c r="H16" i="6"/>
  <c r="E16" i="6"/>
  <c r="D16" i="6"/>
  <c r="C16" i="6"/>
  <c r="J14" i="6"/>
  <c r="I14" i="6"/>
  <c r="H14" i="6"/>
  <c r="E14" i="6"/>
  <c r="D14" i="6"/>
  <c r="C14" i="6"/>
  <c r="J12" i="6"/>
  <c r="I12" i="6"/>
  <c r="H12" i="6"/>
  <c r="E12" i="6"/>
  <c r="D12" i="6"/>
  <c r="C12" i="6"/>
  <c r="J11" i="6"/>
  <c r="I11" i="6"/>
  <c r="H11" i="6"/>
  <c r="E11" i="6"/>
  <c r="D11" i="6"/>
  <c r="C11" i="6"/>
  <c r="B6" i="6"/>
  <c r="B5" i="6"/>
  <c r="K7" i="6"/>
  <c r="I7" i="6"/>
  <c r="G7" i="6"/>
  <c r="F32" i="6" l="1"/>
  <c r="G32" i="6"/>
  <c r="G27" i="6"/>
  <c r="F27" i="6"/>
  <c r="F30" i="6"/>
  <c r="G30" i="6"/>
  <c r="F28" i="6"/>
  <c r="G28" i="6"/>
  <c r="P27" i="6"/>
  <c r="Q27" i="6"/>
  <c r="N27" i="6"/>
  <c r="M27" i="6"/>
  <c r="O27" i="6"/>
  <c r="R27" i="6"/>
  <c r="S27" i="6"/>
  <c r="S32" i="6"/>
  <c r="Q32" i="6"/>
  <c r="N32" i="6"/>
  <c r="O32" i="6"/>
  <c r="L32" i="6"/>
  <c r="P32" i="6"/>
  <c r="M32" i="6"/>
  <c r="R32" i="6"/>
  <c r="T30" i="6"/>
  <c r="Q30" i="6"/>
  <c r="R30" i="6"/>
  <c r="M30" i="6"/>
  <c r="O30" i="6"/>
  <c r="U30" i="6"/>
  <c r="S30" i="6"/>
  <c r="V30" i="6"/>
  <c r="N30" i="6"/>
  <c r="P30" i="6"/>
  <c r="L30" i="6"/>
  <c r="J4" i="6"/>
  <c r="M28" i="6"/>
  <c r="Q28" i="6"/>
  <c r="R28" i="6"/>
  <c r="S28" i="6"/>
  <c r="N28" i="6"/>
  <c r="P28" i="6"/>
  <c r="T28" i="6"/>
  <c r="O28" i="6"/>
  <c r="L28" i="6"/>
  <c r="L27" i="6"/>
  <c r="H27" i="6"/>
  <c r="J28" i="6"/>
  <c r="H30" i="6"/>
  <c r="I27" i="6"/>
  <c r="J27" i="6"/>
  <c r="H32" i="6"/>
  <c r="I32" i="6"/>
  <c r="J32" i="6"/>
  <c r="I30" i="6"/>
  <c r="H28" i="6"/>
  <c r="J30" i="6"/>
  <c r="I28" i="6"/>
  <c r="E20" i="6"/>
  <c r="D20" i="6"/>
  <c r="I20" i="6"/>
  <c r="J20" i="6"/>
  <c r="H20" i="6"/>
  <c r="C20" i="6"/>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AI48" i="6" l="1"/>
  <c r="AH48" i="6"/>
  <c r="B15" i="6" l="1"/>
  <c r="B13" i="6"/>
  <c r="G13" i="6" l="1"/>
  <c r="G21" i="6" s="1"/>
  <c r="F13" i="6"/>
  <c r="F21" i="6" s="1"/>
  <c r="G15" i="6"/>
  <c r="G22" i="6" s="1"/>
  <c r="F15" i="6"/>
  <c r="F22" i="6" s="1"/>
  <c r="O13" i="6"/>
  <c r="O21" i="6" s="1"/>
  <c r="V13" i="6"/>
  <c r="N13" i="6"/>
  <c r="N21" i="6" s="1"/>
  <c r="U13" i="6"/>
  <c r="M13" i="6"/>
  <c r="M21" i="6" s="1"/>
  <c r="T13" i="6"/>
  <c r="L13" i="6"/>
  <c r="L21" i="6" s="1"/>
  <c r="S13" i="6"/>
  <c r="R13" i="6"/>
  <c r="R21" i="6" s="1"/>
  <c r="Q13" i="6"/>
  <c r="Q21" i="6" s="1"/>
  <c r="P13" i="6"/>
  <c r="P21" i="6" s="1"/>
  <c r="N15" i="6"/>
  <c r="N22" i="6" s="1"/>
  <c r="M15" i="6"/>
  <c r="L15" i="6"/>
  <c r="L22" i="6" s="1"/>
  <c r="S15" i="6"/>
  <c r="R15" i="6"/>
  <c r="R22" i="6" s="1"/>
  <c r="Q15" i="6"/>
  <c r="P15" i="6"/>
  <c r="P22" i="6" s="1"/>
  <c r="O15" i="6"/>
  <c r="O22" i="6" s="1"/>
  <c r="T15" i="6"/>
  <c r="H13" i="6"/>
  <c r="E13" i="6"/>
  <c r="E21" i="6" s="1"/>
  <c r="D13" i="6"/>
  <c r="C13" i="6"/>
  <c r="C21" i="6" s="1"/>
  <c r="J13" i="6"/>
  <c r="I13" i="6"/>
  <c r="E15" i="6"/>
  <c r="E22" i="6" s="1"/>
  <c r="J15" i="6"/>
  <c r="I15" i="6"/>
  <c r="H15" i="6"/>
  <c r="D15" i="6"/>
  <c r="C15" i="6"/>
  <c r="C22" i="6" s="1"/>
  <c r="F23" i="6" l="1"/>
  <c r="G23" i="6"/>
  <c r="D22" i="6"/>
  <c r="F31" i="6"/>
  <c r="G31" i="6"/>
  <c r="G29" i="6"/>
  <c r="F29" i="6"/>
  <c r="Q31" i="6"/>
  <c r="S29" i="6"/>
  <c r="Q22" i="6"/>
  <c r="Q23" i="6" s="1"/>
  <c r="S21" i="6"/>
  <c r="L31" i="6"/>
  <c r="L29" i="6"/>
  <c r="T29" i="6"/>
  <c r="T21" i="6"/>
  <c r="T23" i="6" s="1"/>
  <c r="S31" i="6"/>
  <c r="N31" i="6"/>
  <c r="M29" i="6"/>
  <c r="R31" i="6"/>
  <c r="M31" i="6"/>
  <c r="S22" i="6"/>
  <c r="O31" i="6"/>
  <c r="U21" i="6"/>
  <c r="U23" i="6" s="1"/>
  <c r="U29" i="6"/>
  <c r="M22" i="6"/>
  <c r="M23" i="6" s="1"/>
  <c r="P31" i="6"/>
  <c r="P29" i="6"/>
  <c r="N29" i="6"/>
  <c r="Q29" i="6"/>
  <c r="V29" i="6"/>
  <c r="V21" i="6"/>
  <c r="V23" i="6" s="1"/>
  <c r="R29" i="6"/>
  <c r="O29" i="6"/>
  <c r="P23" i="6"/>
  <c r="J3" i="6"/>
  <c r="R23" i="6"/>
  <c r="N23" i="6"/>
  <c r="O23" i="6"/>
  <c r="L23" i="6"/>
  <c r="T31" i="6"/>
  <c r="I29" i="6"/>
  <c r="J31" i="6"/>
  <c r="J29" i="6"/>
  <c r="H31" i="6"/>
  <c r="I31" i="6"/>
  <c r="H29" i="6"/>
  <c r="J21" i="6"/>
  <c r="D21" i="6"/>
  <c r="I22" i="6"/>
  <c r="J22" i="6"/>
  <c r="H21" i="6"/>
  <c r="H22" i="6"/>
  <c r="I21" i="6"/>
  <c r="C23" i="6"/>
  <c r="E23" i="6"/>
  <c r="D23" i="6" l="1"/>
  <c r="S23" i="6"/>
  <c r="I23" i="6"/>
  <c r="H23" i="6"/>
  <c r="J23" i="6"/>
  <c r="W11" i="6" l="1"/>
  <c r="W20" i="6" l="1"/>
  <c r="W23" i="6" s="1"/>
  <c r="W2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<sst xmlns="http://schemas.openxmlformats.org/spreadsheetml/2006/main" count="210" uniqueCount="88">
  <si>
    <t>RMA2v2</t>
  </si>
  <si>
    <t>School Rapid Mathematics Assessment Results</t>
  </si>
  <si>
    <t>SCHOOL ID :</t>
  </si>
  <si>
    <t>Medium of Instruction (MOI)</t>
  </si>
  <si>
    <t>SCHOOL NAME:</t>
  </si>
  <si>
    <t>Romana Elementary School</t>
  </si>
  <si>
    <t>Grade 1</t>
  </si>
  <si>
    <t>Grade 2</t>
  </si>
  <si>
    <t>Grade 3</t>
  </si>
  <si>
    <t>English</t>
  </si>
  <si>
    <t>Grade</t>
  </si>
  <si>
    <t>Language Matched
( LOI vs Learners)</t>
  </si>
  <si>
    <t>Number of Learners Assessed</t>
  </si>
  <si>
    <t>Total Enrolment</t>
  </si>
  <si>
    <t>Number of Learners with Correct Answers &gt;=75</t>
  </si>
  <si>
    <t>Status</t>
  </si>
  <si>
    <t>Section</t>
  </si>
  <si>
    <t>Sex</t>
  </si>
  <si>
    <t>Emerging (Not Proficient)</t>
  </si>
  <si>
    <t>Emerging (Low Proficient)</t>
  </si>
  <si>
    <t>Developing (Nearly Proficient)</t>
  </si>
  <si>
    <t>Transitioning (Proficient)</t>
  </si>
  <si>
    <t>At Grade Level (Highly Proficient)</t>
  </si>
  <si>
    <t>Task A</t>
  </si>
  <si>
    <t>Task B</t>
  </si>
  <si>
    <t>Task C</t>
  </si>
  <si>
    <t>Task D</t>
  </si>
  <si>
    <t>Task E</t>
  </si>
  <si>
    <t>Task F</t>
  </si>
  <si>
    <t>Task G</t>
  </si>
  <si>
    <t>Task H</t>
  </si>
  <si>
    <t>Task I</t>
  </si>
  <si>
    <t>Task J</t>
  </si>
  <si>
    <t>Task K</t>
  </si>
  <si>
    <t>Average Overall Score</t>
  </si>
  <si>
    <t>Male</t>
  </si>
  <si>
    <t>Language</t>
  </si>
  <si>
    <t>Female</t>
  </si>
  <si>
    <t>Akeanon</t>
  </si>
  <si>
    <t>Bahasa Sug</t>
  </si>
  <si>
    <t>Bikol Libon</t>
  </si>
  <si>
    <t>Buhi-non</t>
  </si>
  <si>
    <t>Central Bikol</t>
  </si>
  <si>
    <t>Chavacano</t>
  </si>
  <si>
    <t>Caluyanen</t>
  </si>
  <si>
    <t>Cuyonon</t>
  </si>
  <si>
    <t>Hiligaynon</t>
  </si>
  <si>
    <t>Ibanag</t>
  </si>
  <si>
    <t>Ilocano</t>
  </si>
  <si>
    <t>Inabaknon</t>
  </si>
  <si>
    <t>Ivatan</t>
  </si>
  <si>
    <t>Kapampangan</t>
  </si>
  <si>
    <t>Kinaray-a - Antique</t>
  </si>
  <si>
    <t>Kinaray-a - Iloilo</t>
  </si>
  <si>
    <t>Magindanawn</t>
  </si>
  <si>
    <t xml:space="preserve">Meranaw </t>
  </si>
  <si>
    <t>Minasbate</t>
  </si>
  <si>
    <t>Miraya</t>
  </si>
  <si>
    <t>Northern Catanduanes</t>
  </si>
  <si>
    <t>Southern Catanduanes</t>
  </si>
  <si>
    <t>Pangasinan</t>
  </si>
  <si>
    <t>Rinconada</t>
  </si>
  <si>
    <t xml:space="preserve">Sambal </t>
  </si>
  <si>
    <t>Sinugbuanong Binisaya</t>
  </si>
  <si>
    <t>Northern Sorsoganon</t>
  </si>
  <si>
    <t>Southern Sorsoganon</t>
  </si>
  <si>
    <t>Surigaonon</t>
  </si>
  <si>
    <t>Tagalog</t>
  </si>
  <si>
    <t>Waray</t>
  </si>
  <si>
    <t>West Albay Bikol</t>
  </si>
  <si>
    <t>Yakan</t>
  </si>
  <si>
    <t>Other MT</t>
  </si>
  <si>
    <t>School Rapid Mathematics Assessment  Summary</t>
  </si>
  <si>
    <t xml:space="preserve"> </t>
  </si>
  <si>
    <t>SCHOOL NAME</t>
  </si>
  <si>
    <t>Total Score</t>
  </si>
  <si>
    <t>Number of Learners Who Passed 75% Per Task by Grade Level</t>
  </si>
  <si>
    <t>Total Items</t>
  </si>
  <si>
    <t>Total</t>
  </si>
  <si>
    <t>TOTAL</t>
  </si>
  <si>
    <t>Percentage of Learners Who Passed 75% Per Task by Grade Level</t>
  </si>
  <si>
    <t>Total Grade 1</t>
  </si>
  <si>
    <t>Total Grade 2</t>
  </si>
  <si>
    <t>Total Grade 3</t>
  </si>
  <si>
    <t>Total Learners</t>
  </si>
  <si>
    <t>% of Learners Assessed</t>
  </si>
  <si>
    <t>% of Leaners who Passed  75% per Task by Grade Level</t>
  </si>
  <si>
    <t>OverAll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</si>
</sst>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sz val="11"/>
      <color theme="0"/>
      <name val="Calibri"/>
      <family val="2"/>
      <scheme val="minor"/>
    </font>
    <font>
      <sz val="11"/>
      <color theme="0" tint="-0.34998626667073579"/>
      <name val="Calibri"/>
      <family val="2"/>
      <scheme val="minor"/>
    </font>
    <font>
      <b/>
      <sz val="8"/>
      <color theme="1"/>
      <name val="Calibri"/>
      <family val="2"/>
      <scheme val="minor"/>
    </font>
  </fonts>
  <fills count="6">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s>
  <borders count="4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medium">
        <color auto="1"/>
      </right>
      <top style="thin">
        <color auto="1"/>
      </top>
      <bottom/>
      <diagonal/>
    </border>
    <border>
      <left style="thin">
        <color auto="1"/>
      </left>
      <right style="thin">
        <color auto="1"/>
      </right>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style="thin">
        <color auto="1"/>
      </left>
      <right style="medium">
        <color auto="1"/>
      </right>
      <top/>
      <bottom style="thin">
        <color auto="1"/>
      </bottom>
      <diagonal/>
    </border>
    <border>
      <left style="thin">
        <color auto="1"/>
      </left>
      <right/>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right style="thin">
        <color auto="1"/>
      </right>
      <top/>
      <bottom/>
      <diagonal/>
    </border>
    <border>
      <left style="thin">
        <color auto="1"/>
      </left>
      <right/>
      <top style="medium">
        <color auto="1"/>
      </top>
      <bottom/>
      <diagonal/>
    </border>
    <border>
      <left/>
      <right/>
      <top style="medium">
        <color auto="1"/>
      </top>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medium">
        <color auto="1"/>
      </top>
      <bottom/>
      <diagonal/>
    </border>
  </borders>
  <cellStyleXfs count="2">
    <xf numFmtId="0" fontId="0" fillId="0" borderId="0"/>
    <xf numFmtId="9" fontId="4" fillId="0" borderId="0" applyFont="0" applyFill="0" applyBorder="0" applyAlignment="0" applyProtection="0"/>
  </cellStyleXfs>
  <cellXfs count="172">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0" fillId="0" borderId="2" xfId="0" applyBorder="1" applyAlignment="1" applyProtection="1">
      <alignment horizontal="center" vertical="center"/>
      <protection hidden="1"/>
    </xf>
    <xf numFmtId="0" fontId="0" fillId="0" borderId="3" xfId="0" applyBorder="1" applyAlignment="1" applyProtection="1">
      <alignment horizontal="center" vertical="center"/>
      <protection hidden="1"/>
    </xf>
    <xf numFmtId="0" fontId="0" fillId="0" borderId="8" xfId="0" applyBorder="1"/>
    <xf numFmtId="0" fontId="2" fillId="2" borderId="0" xfId="0" applyFont="1" applyFill="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3" borderId="6" xfId="0" applyFont="1" applyFill="1" applyBorder="1" applyAlignment="1" applyProtection="1">
      <alignment horizontal="center"/>
      <protection hidden="1"/>
    </xf>
    <xf numFmtId="0" fontId="1" fillId="3" borderId="0" xfId="0" applyFont="1" applyFill="1" applyAlignment="1">
      <alignment horizontal="center" wrapText="1"/>
    </xf>
    <xf numFmtId="9" fontId="0" fillId="0" borderId="0" xfId="1" applyFont="1" applyAlignment="1">
      <alignment horizontal="center"/>
    </xf>
    <xf numFmtId="0" fontId="1" fillId="4" borderId="0" xfId="0" applyFont="1" applyFill="1" applyAlignment="1">
      <alignment horizontal="center" wrapText="1"/>
    </xf>
    <xf numFmtId="9" fontId="0" fillId="4" borderId="0" xfId="1" applyFont="1" applyFill="1" applyAlignment="1">
      <alignment horizontal="center"/>
    </xf>
    <xf numFmtId="0" fontId="0" fillId="4" borderId="0" xfId="0" applyFill="1"/>
    <xf numFmtId="0" fontId="0" fillId="0" borderId="2" xfId="0" applyBorder="1" applyAlignment="1" applyProtection="1">
      <alignment horizontal="center" vertical="center" wrapText="1"/>
      <protection hidden="1"/>
    </xf>
    <xf numFmtId="0" fontId="0" fillId="0" borderId="1" xfId="0" applyBorder="1" applyAlignment="1" applyProtection="1">
      <alignment vertical="center"/>
      <protection locked="0" hidden="1"/>
    </xf>
    <xf numFmtId="0" fontId="0" fillId="0" borderId="2" xfId="0" applyBorder="1" applyAlignment="1" applyProtection="1">
      <alignment horizontal="left" vertical="center"/>
      <protection locked="0" hidden="1"/>
    </xf>
    <xf numFmtId="0" fontId="0" fillId="0" borderId="2" xfId="0" applyBorder="1" applyAlignment="1" applyProtection="1">
      <alignment horizontal="center" vertical="center" wrapText="1"/>
      <protection locked="0" hidden="1"/>
    </xf>
    <xf numFmtId="0" fontId="0" fillId="0" borderId="2" xfId="0" applyBorder="1" applyAlignment="1" applyProtection="1">
      <alignment horizontal="center" vertical="center"/>
      <protection locked="0" hidden="1"/>
    </xf>
    <xf numFmtId="0" fontId="0" fillId="0" borderId="9" xfId="0" applyBorder="1" applyAlignment="1" applyProtection="1">
      <alignment horizontal="center" vertical="center"/>
      <protection locked="0" hidden="1"/>
    </xf>
    <xf numFmtId="0" fontId="0" fillId="0" borderId="0" xfId="0" applyAlignment="1" applyProtection="1">
      <alignment horizontal="left"/>
      <protection locked="0"/>
    </xf>
    <xf numFmtId="0" fontId="0" fillId="0" borderId="0" xfId="0" applyProtection="1">
      <protection locked="0"/>
    </xf>
    <xf numFmtId="0" fontId="0" fillId="0" borderId="8" xfId="0" applyBorder="1" applyAlignment="1" applyProtection="1">
      <alignment vertical="center"/>
      <protection locked="0" hidden="1"/>
    </xf>
    <xf numFmtId="0" fontId="0" fillId="0" borderId="9" xfId="0" applyBorder="1" applyAlignment="1" applyProtection="1">
      <alignment horizontal="left" vertical="center"/>
      <protection locked="0" hidden="1"/>
    </xf>
    <xf numFmtId="0" fontId="0" fillId="0" borderId="9" xfId="0" applyBorder="1" applyAlignment="1" applyProtection="1">
      <alignment horizontal="center" vertical="center" wrapText="1"/>
      <protection locked="0" hidden="1"/>
    </xf>
    <xf numFmtId="0" fontId="1" fillId="3" borderId="17" xfId="0" applyFont="1" applyFill="1" applyBorder="1" applyAlignment="1" applyProtection="1">
      <alignment horizontal="center"/>
      <protection hidden="1"/>
    </xf>
    <xf numFmtId="0" fontId="0" fillId="0" borderId="3" xfId="0" applyBorder="1"/>
    <xf numFmtId="0" fontId="0" fillId="0" borderId="10" xfId="0" applyBorder="1"/>
    <xf numFmtId="0" fontId="3" fillId="3" borderId="9" xfId="0" applyFont="1" applyFill="1" applyBorder="1" applyAlignment="1" applyProtection="1">
      <alignment horizontal="center" vertical="center" wrapText="1"/>
      <protection hidden="1"/>
    </xf>
    <xf numFmtId="0" fontId="3" fillId="3" borderId="21" xfId="0" applyFont="1" applyFill="1" applyBorder="1" applyAlignment="1" applyProtection="1">
      <alignment horizontal="center" vertical="center" wrapText="1"/>
      <protection hidden="1"/>
    </xf>
    <xf numFmtId="0" fontId="3" fillId="3" borderId="10" xfId="0" applyFont="1" applyFill="1" applyBorder="1" applyAlignment="1" applyProtection="1">
      <alignment horizontal="center" vertical="center" wrapText="1"/>
      <protection hidden="1"/>
    </xf>
    <xf numFmtId="1" fontId="0" fillId="0" borderId="2" xfId="0" applyNumberFormat="1" applyBorder="1" applyAlignment="1" applyProtection="1">
      <alignment horizontal="center" vertical="center" wrapText="1"/>
      <protection locked="0" hidden="1"/>
    </xf>
    <xf numFmtId="1" fontId="0" fillId="0" borderId="2" xfId="0" applyNumberFormat="1" applyBorder="1" applyAlignment="1" applyProtection="1">
      <alignment horizontal="center" vertical="center"/>
      <protection locked="0" hidden="1"/>
    </xf>
    <xf numFmtId="1" fontId="0" fillId="0" borderId="9" xfId="0" applyNumberFormat="1" applyBorder="1" applyAlignment="1" applyProtection="1">
      <alignment horizontal="center" vertical="center" wrapText="1"/>
      <protection locked="0" hidden="1"/>
    </xf>
    <xf numFmtId="1" fontId="0" fillId="0" borderId="9" xfId="0" applyNumberFormat="1" applyBorder="1" applyAlignment="1" applyProtection="1">
      <alignment horizontal="center" vertical="center"/>
      <protection locked="0" hidden="1"/>
    </xf>
    <xf numFmtId="0" fontId="0" fillId="0" borderId="19" xfId="0" applyBorder="1" applyAlignment="1" applyProtection="1">
      <alignment horizontal="center" vertical="center"/>
      <protection hidden="1"/>
    </xf>
    <xf numFmtId="0" fontId="0" fillId="0" borderId="19" xfId="0" applyBorder="1" applyAlignment="1" applyProtection="1">
      <alignment horizontal="center" vertical="center" wrapText="1"/>
      <protection hidden="1"/>
    </xf>
    <xf numFmtId="0" fontId="0" fillId="0" borderId="22" xfId="0" applyBorder="1" applyAlignment="1" applyProtection="1">
      <alignment horizontal="center" vertical="center"/>
      <protection hidden="1"/>
    </xf>
    <xf numFmtId="0" fontId="3" fillId="0" borderId="0" xfId="0" applyFont="1" applyAlignment="1" applyProtection="1">
      <alignment horizontal="center" vertical="center" wrapText="1"/>
      <protection hidden="1"/>
    </xf>
    <xf numFmtId="3" fontId="0" fillId="0" borderId="2" xfId="1" applyNumberFormat="1" applyFont="1" applyBorder="1" applyAlignment="1">
      <alignment horizontal="center"/>
    </xf>
    <xf numFmtId="3" fontId="0" fillId="0" borderId="3" xfId="1" applyNumberFormat="1" applyFont="1" applyFill="1" applyBorder="1" applyAlignment="1">
      <alignment horizontal="center"/>
    </xf>
    <xf numFmtId="3" fontId="0" fillId="0" borderId="9" xfId="1" applyNumberFormat="1" applyFont="1" applyBorder="1" applyAlignment="1">
      <alignment horizontal="center"/>
    </xf>
    <xf numFmtId="3" fontId="0" fillId="0" borderId="10" xfId="1" applyNumberFormat="1" applyFont="1" applyFill="1" applyBorder="1" applyAlignment="1">
      <alignment horizontal="center"/>
    </xf>
    <xf numFmtId="3" fontId="1" fillId="0" borderId="4" xfId="1" applyNumberFormat="1" applyFont="1" applyBorder="1" applyAlignment="1">
      <alignment horizontal="center"/>
    </xf>
    <xf numFmtId="3" fontId="1" fillId="0" borderId="5" xfId="1" applyNumberFormat="1" applyFont="1" applyFill="1" applyBorder="1" applyAlignment="1">
      <alignment horizontal="center"/>
    </xf>
    <xf numFmtId="0" fontId="3" fillId="3" borderId="8" xfId="0" applyFont="1" applyFill="1" applyBorder="1" applyAlignment="1" applyProtection="1">
      <alignment horizontal="center" vertical="center" wrapText="1"/>
      <protection hidden="1"/>
    </xf>
    <xf numFmtId="4" fontId="0" fillId="0" borderId="10" xfId="0" applyNumberFormat="1" applyBorder="1" applyAlignment="1">
      <alignment horizontal="center"/>
    </xf>
    <xf numFmtId="4" fontId="0" fillId="0" borderId="5" xfId="0" applyNumberFormat="1" applyBorder="1" applyAlignment="1">
      <alignment horizontal="center"/>
    </xf>
    <xf numFmtId="0" fontId="1" fillId="3" borderId="14" xfId="0" applyFont="1" applyFill="1" applyBorder="1" applyAlignment="1" applyProtection="1">
      <alignment horizontal="center" wrapText="1"/>
      <protection hidden="1"/>
    </xf>
    <xf numFmtId="0" fontId="3" fillId="3" borderId="30" xfId="0" applyFont="1" applyFill="1" applyBorder="1" applyAlignment="1" applyProtection="1">
      <alignment horizontal="center" vertical="center" wrapText="1"/>
      <protection hidden="1"/>
    </xf>
    <xf numFmtId="2" fontId="0" fillId="0" borderId="21" xfId="0" applyNumberFormat="1" applyBorder="1" applyAlignment="1">
      <alignment horizontal="center" vertical="center"/>
    </xf>
    <xf numFmtId="0" fontId="0" fillId="0" borderId="7" xfId="0"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1" fillId="3" borderId="1" xfId="0" applyFont="1" applyFill="1" applyBorder="1" applyAlignment="1" applyProtection="1">
      <alignment horizontal="center"/>
      <protection hidden="1"/>
    </xf>
    <xf numFmtId="0" fontId="1" fillId="3" borderId="6" xfId="0" applyFont="1" applyFill="1" applyBorder="1" applyProtection="1">
      <protection hidden="1"/>
    </xf>
    <xf numFmtId="0" fontId="1" fillId="3" borderId="12" xfId="0" applyFont="1" applyFill="1" applyBorder="1" applyProtection="1">
      <protection hidden="1"/>
    </xf>
    <xf numFmtId="0" fontId="1" fillId="3" borderId="32" xfId="0" applyFont="1" applyFill="1" applyBorder="1" applyAlignment="1" applyProtection="1">
      <alignment horizontal="center"/>
      <protection hidden="1"/>
    </xf>
    <xf numFmtId="0" fontId="1" fillId="0" borderId="0" xfId="0" applyFont="1" applyAlignment="1">
      <alignment horizontal="center"/>
    </xf>
    <xf numFmtId="3" fontId="1" fillId="0" borderId="23" xfId="1" applyNumberFormat="1" applyFont="1" applyBorder="1" applyAlignment="1">
      <alignment horizontal="center"/>
    </xf>
    <xf numFmtId="3" fontId="1" fillId="0" borderId="0" xfId="1" applyNumberFormat="1" applyFont="1" applyBorder="1" applyAlignment="1">
      <alignment horizontal="center"/>
    </xf>
    <xf numFmtId="3" fontId="1" fillId="0" borderId="34" xfId="1" applyNumberFormat="1" applyFont="1" applyBorder="1" applyAlignment="1">
      <alignment horizontal="center"/>
    </xf>
    <xf numFmtId="3" fontId="1" fillId="0" borderId="0" xfId="1" applyNumberFormat="1" applyFont="1" applyFill="1" applyBorder="1" applyAlignment="1">
      <alignment horizontal="center"/>
    </xf>
    <xf numFmtId="0" fontId="0" fillId="0" borderId="5" xfId="0" applyBorder="1" applyAlignment="1">
      <alignment horizontal="center"/>
    </xf>
    <xf numFmtId="4"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9" fontId="0" fillId="0" borderId="4" xfId="0" applyNumberFormat="1" applyBorder="1" applyAlignment="1">
      <alignment horizontal="center"/>
    </xf>
    <xf numFmtId="9" fontId="0" fillId="0" borderId="5" xfId="0" applyNumberFormat="1" applyBorder="1" applyAlignment="1">
      <alignment horizontal="center"/>
    </xf>
    <xf numFmtId="0" fontId="0" fillId="3" borderId="3" xfId="0" applyFill="1" applyBorder="1"/>
    <xf numFmtId="0" fontId="2" fillId="2" borderId="0" xfId="0" applyFont="1" applyFill="1"/>
    <xf numFmtId="0" fontId="6" fillId="0" borderId="0" xfId="0" applyFont="1" applyAlignment="1">
      <alignment horizontal="center"/>
    </xf>
    <xf numFmtId="1" fontId="0" fillId="0" borderId="6" xfId="0" applyNumberFormat="1" applyBorder="1" applyAlignment="1" applyProtection="1">
      <alignment horizontal="center" vertical="center"/>
      <protection locked="0" hidden="1"/>
    </xf>
    <xf numFmtId="3" fontId="0" fillId="0" borderId="9" xfId="0" applyNumberFormat="1" applyBorder="1" applyAlignment="1">
      <alignment horizontal="center"/>
    </xf>
    <xf numFmtId="3" fontId="0" fillId="0" borderId="4" xfId="0" applyNumberFormat="1" applyBorder="1" applyAlignment="1">
      <alignment horizontal="center"/>
    </xf>
    <xf numFmtId="9" fontId="0" fillId="0" borderId="8" xfId="0" applyNumberFormat="1" applyBorder="1" applyAlignment="1">
      <alignment horizontal="center"/>
    </xf>
    <xf numFmtId="9" fontId="0" fillId="0" borderId="33" xfId="0" applyNumberFormat="1" applyBorder="1" applyAlignment="1">
      <alignment horizontal="center"/>
    </xf>
    <xf numFmtId="0" fontId="0" fillId="4" borderId="0" xfId="0" applyFill="1" applyAlignment="1">
      <alignment horizontal="center"/>
    </xf>
    <xf numFmtId="0" fontId="5" fillId="3" borderId="4" xfId="0" applyFont="1" applyFill="1" applyBorder="1" applyAlignment="1" applyProtection="1">
      <alignment horizontal="center" vertical="center" wrapText="1"/>
      <protection hidden="1"/>
    </xf>
    <xf numFmtId="0" fontId="5" fillId="3" borderId="5" xfId="0" applyFont="1" applyFill="1" applyBorder="1" applyAlignment="1" applyProtection="1">
      <alignment horizontal="center" vertical="center" wrapText="1"/>
      <protection hidden="1"/>
    </xf>
    <xf numFmtId="1" fontId="0" fillId="0" borderId="8" xfId="0" applyNumberFormat="1" applyBorder="1" applyAlignment="1">
      <alignment horizontal="center"/>
    </xf>
    <xf numFmtId="1" fontId="0" fillId="0" borderId="9" xfId="0" applyNumberFormat="1" applyBorder="1" applyAlignment="1">
      <alignment horizontal="center"/>
    </xf>
    <xf numFmtId="1" fontId="0" fillId="0" borderId="7" xfId="0" applyNumberFormat="1" applyBorder="1" applyAlignment="1">
      <alignment horizontal="center"/>
    </xf>
    <xf numFmtId="1" fontId="0" fillId="0" borderId="4" xfId="0" applyNumberFormat="1" applyBorder="1" applyAlignment="1">
      <alignment horizontal="center"/>
    </xf>
    <xf numFmtId="1" fontId="0" fillId="0" borderId="0" xfId="0" applyNumberFormat="1" applyAlignment="1">
      <alignment horizontal="center"/>
    </xf>
    <xf numFmtId="1" fontId="1" fillId="0" borderId="41" xfId="0" applyNumberFormat="1" applyFont="1" applyBorder="1" applyAlignment="1">
      <alignment horizontal="center"/>
    </xf>
    <xf numFmtId="1" fontId="1" fillId="0" borderId="42" xfId="0" applyNumberFormat="1" applyFont="1" applyBorder="1" applyAlignment="1">
      <alignment horizontal="center"/>
    </xf>
    <xf numFmtId="0" fontId="0" fillId="0" borderId="8" xfId="0"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7" xfId="0" applyBorder="1" applyAlignment="1" applyProtection="1">
      <alignment horizontal="center" vertical="center"/>
      <protection hidden="1"/>
    </xf>
    <xf numFmtId="4" fontId="0" fillId="0" borderId="31" xfId="0" applyNumberFormat="1" applyBorder="1" applyAlignment="1">
      <alignment horizontal="center"/>
    </xf>
    <xf numFmtId="0" fontId="0" fillId="3" borderId="3" xfId="0" applyFill="1" applyBorder="1" applyAlignment="1">
      <alignment horizontal="center"/>
    </xf>
    <xf numFmtId="0" fontId="6" fillId="0" borderId="0" xfId="0" applyFont="1" applyProtection="1">
      <protection locked="0"/>
    </xf>
    <xf numFmtId="0" fontId="6" fillId="0" borderId="0" xfId="0" applyFont="1"/>
    <xf numFmtId="3" fontId="0" fillId="5" borderId="9" xfId="0" applyNumberFormat="1" applyFill="1" applyBorder="1" applyAlignment="1">
      <alignment horizontal="center"/>
    </xf>
    <xf numFmtId="3" fontId="0" fillId="5" borderId="4" xfId="0" applyNumberFormat="1" applyFill="1" applyBorder="1" applyAlignment="1">
      <alignment horizontal="center"/>
    </xf>
    <xf numFmtId="1" fontId="7" fillId="5" borderId="4" xfId="0" applyNumberFormat="1" applyFont="1" applyFill="1" applyBorder="1" applyAlignment="1">
      <alignment horizontal="center"/>
    </xf>
    <xf numFmtId="1" fontId="7" fillId="5" borderId="9" xfId="0" applyNumberFormat="1" applyFont="1" applyFill="1" applyBorder="1" applyAlignment="1">
      <alignment horizontal="center"/>
    </xf>
    <xf numFmtId="9" fontId="7" fillId="5" borderId="9" xfId="0" applyNumberFormat="1" applyFont="1" applyFill="1" applyBorder="1" applyAlignment="1">
      <alignment horizontal="center"/>
    </xf>
    <xf numFmtId="9" fontId="7" fillId="5" borderId="4" xfId="0" applyNumberFormat="1" applyFont="1" applyFill="1" applyBorder="1" applyAlignment="1">
      <alignment horizontal="center"/>
    </xf>
    <xf numFmtId="0" fontId="1" fillId="3" borderId="11" xfId="0" applyFont="1" applyFill="1" applyBorder="1" applyAlignment="1" applyProtection="1">
      <alignment horizontal="center"/>
      <protection hidden="1"/>
    </xf>
    <xf numFmtId="0" fontId="5" fillId="3" borderId="19" xfId="0" applyFont="1" applyFill="1" applyBorder="1" applyAlignment="1" applyProtection="1">
      <alignment horizontal="center" vertical="center" wrapText="1"/>
      <protection hidden="1"/>
    </xf>
    <xf numFmtId="2" fontId="0" fillId="0" borderId="21" xfId="0" applyNumberFormat="1" applyBorder="1" applyAlignment="1" applyProtection="1">
      <alignment horizontal="center" vertical="center"/>
      <protection locked="0"/>
    </xf>
    <xf numFmtId="2" fontId="0" fillId="0" borderId="11" xfId="0" applyNumberFormat="1" applyBorder="1" applyAlignment="1" applyProtection="1">
      <alignment horizontal="center" vertical="center"/>
      <protection locked="0"/>
    </xf>
    <xf numFmtId="0" fontId="8" fillId="3" borderId="19"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8" fillId="3" borderId="2"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1" fillId="3" borderId="38" xfId="0" applyFont="1" applyFill="1" applyBorder="1" applyAlignment="1">
      <alignment horizontal="center"/>
    </xf>
    <xf numFmtId="0" fontId="1" fillId="3" borderId="36" xfId="0" applyFont="1" applyFill="1" applyBorder="1" applyAlignment="1">
      <alignment horizontal="center"/>
    </xf>
    <xf numFmtId="0" fontId="1" fillId="3" borderId="39" xfId="0" applyFont="1" applyFill="1" applyBorder="1" applyAlignment="1">
      <alignment horizontal="center"/>
    </xf>
    <xf numFmtId="0" fontId="1" fillId="3" borderId="37" xfId="0" applyFont="1" applyFill="1" applyBorder="1" applyAlignment="1">
      <alignment horizontal="center"/>
    </xf>
    <xf numFmtId="0" fontId="5" fillId="3" borderId="2" xfId="0" applyFont="1" applyFill="1" applyBorder="1" applyAlignment="1" applyProtection="1">
      <alignment horizontal="center" wrapText="1"/>
      <protection hidden="1"/>
    </xf>
    <xf numFmtId="0" fontId="5" fillId="3" borderId="4" xfId="0" applyFont="1" applyFill="1" applyBorder="1" applyAlignment="1" applyProtection="1">
      <alignment horizontal="center" wrapText="1"/>
      <protection hidden="1"/>
    </xf>
    <xf numFmtId="0" fontId="3" fillId="3" borderId="3" xfId="0" applyFont="1" applyFill="1" applyBorder="1" applyAlignment="1" applyProtection="1">
      <alignment horizontal="center" vertical="center" wrapText="1"/>
      <protection hidden="1"/>
    </xf>
    <xf numFmtId="0" fontId="3" fillId="3" borderId="10" xfId="0" applyFont="1" applyFill="1" applyBorder="1" applyAlignment="1" applyProtection="1">
      <alignment horizontal="center" vertical="center" wrapText="1"/>
      <protection hidden="1"/>
    </xf>
    <xf numFmtId="0" fontId="1" fillId="3" borderId="1" xfId="0" applyFont="1" applyFill="1" applyBorder="1" applyAlignment="1" applyProtection="1">
      <alignment horizontal="center" wrapText="1"/>
      <protection hidden="1"/>
    </xf>
    <xf numFmtId="0" fontId="1" fillId="3" borderId="2" xfId="0" applyFont="1" applyFill="1" applyBorder="1" applyAlignment="1" applyProtection="1">
      <alignment horizontal="center" wrapText="1"/>
      <protection hidden="1"/>
    </xf>
    <xf numFmtId="0" fontId="5" fillId="3" borderId="2"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3" fillId="3" borderId="6" xfId="0" applyFont="1" applyFill="1" applyBorder="1" applyAlignment="1" applyProtection="1">
      <alignment horizontal="center" vertical="center" wrapText="1"/>
      <protection hidden="1"/>
    </xf>
    <xf numFmtId="0" fontId="3" fillId="3" borderId="40" xfId="0" applyFont="1" applyFill="1" applyBorder="1" applyAlignment="1" applyProtection="1">
      <alignment horizontal="center" vertical="center" wrapText="1"/>
      <protection hidden="1"/>
    </xf>
    <xf numFmtId="0" fontId="3" fillId="3" borderId="35" xfId="0" applyFont="1" applyFill="1" applyBorder="1" applyAlignment="1" applyProtection="1">
      <alignment horizontal="center" vertical="center" wrapText="1"/>
      <protection hidden="1"/>
    </xf>
    <xf numFmtId="0" fontId="3" fillId="3" borderId="36" xfId="0" applyFont="1" applyFill="1" applyBorder="1" applyAlignment="1" applyProtection="1">
      <alignment horizontal="center" vertical="center" wrapText="1"/>
      <protection hidden="1"/>
    </xf>
    <xf numFmtId="0" fontId="3" fillId="3" borderId="47" xfId="0" applyFont="1" applyFill="1" applyBorder="1" applyAlignment="1" applyProtection="1">
      <alignment horizontal="center" vertical="center" wrapText="1"/>
      <protection hidden="1"/>
    </xf>
    <xf numFmtId="0" fontId="3" fillId="3" borderId="24" xfId="0" applyFont="1" applyFill="1" applyBorder="1" applyAlignment="1" applyProtection="1">
      <alignment horizontal="center" vertical="center" wrapText="1"/>
      <protection hidden="1"/>
    </xf>
    <xf numFmtId="0" fontId="3" fillId="3" borderId="43" xfId="0" applyFont="1" applyFill="1" applyBorder="1" applyAlignment="1" applyProtection="1">
      <alignment horizontal="center" vertical="center" wrapText="1"/>
      <protection hidden="1"/>
    </xf>
    <xf numFmtId="0" fontId="3" fillId="3" borderId="25" xfId="0" applyFont="1" applyFill="1" applyBorder="1" applyAlignment="1" applyProtection="1">
      <alignment horizontal="center" vertical="center" wrapText="1"/>
      <protection hidden="1"/>
    </xf>
    <xf numFmtId="0" fontId="0" fillId="0" borderId="0" xfId="0" applyAlignment="1">
      <alignment horizontal="center"/>
    </xf>
    <xf numFmtId="0" fontId="0" fillId="0" borderId="8" xfId="0" applyBorder="1" applyAlignment="1">
      <alignment horizontal="center"/>
    </xf>
    <xf numFmtId="0" fontId="0" fillId="0" borderId="7" xfId="0" applyBorder="1" applyAlignment="1">
      <alignment horizontal="center"/>
    </xf>
    <xf numFmtId="0" fontId="1" fillId="0" borderId="7" xfId="0" applyFont="1" applyBorder="1" applyAlignment="1">
      <alignment horizontal="center"/>
    </xf>
    <xf numFmtId="0" fontId="1" fillId="0" borderId="4"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9" xfId="0" applyBorder="1" applyAlignment="1">
      <alignment horizontal="center"/>
    </xf>
    <xf numFmtId="0" fontId="1" fillId="3" borderId="8" xfId="0" applyFont="1" applyFill="1" applyBorder="1" applyAlignment="1">
      <alignment horizontal="center"/>
    </xf>
    <xf numFmtId="0" fontId="1" fillId="3" borderId="9" xfId="0" applyFont="1" applyFill="1" applyBorder="1" applyAlignment="1">
      <alignment horizontal="center"/>
    </xf>
    <xf numFmtId="0" fontId="5" fillId="3" borderId="9" xfId="0" applyFont="1" applyFill="1" applyBorder="1" applyAlignment="1" applyProtection="1">
      <alignment horizontal="center" wrapText="1"/>
      <protection hidden="1"/>
    </xf>
    <xf numFmtId="0" fontId="5" fillId="3" borderId="9" xfId="0" applyFont="1" applyFill="1" applyBorder="1" applyAlignment="1" applyProtection="1">
      <alignment horizontal="center" vertical="center" wrapText="1"/>
      <protection hidden="1"/>
    </xf>
    <xf numFmtId="0" fontId="3" fillId="3" borderId="19" xfId="0" applyFont="1" applyFill="1" applyBorder="1" applyAlignment="1" applyProtection="1">
      <alignment horizontal="center" vertical="center" wrapText="1"/>
      <protection hidden="1"/>
    </xf>
    <xf numFmtId="0" fontId="0" fillId="0" borderId="4" xfId="0" applyBorder="1" applyAlignment="1">
      <alignment horizontal="center"/>
    </xf>
    <xf numFmtId="0" fontId="0" fillId="0" borderId="5" xfId="0" applyBorder="1" applyAlignment="1">
      <alignment horizontal="center"/>
    </xf>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10" xfId="0" applyFont="1" applyFill="1" applyBorder="1" applyAlignment="1">
      <alignment horizontal="center"/>
    </xf>
    <xf numFmtId="0" fontId="3" fillId="3" borderId="2" xfId="0" applyFont="1" applyFill="1" applyBorder="1" applyAlignment="1" applyProtection="1">
      <alignment horizontal="center" vertical="center" wrapText="1"/>
      <protection hidden="1"/>
    </xf>
    <xf numFmtId="0" fontId="3" fillId="3" borderId="15" xfId="0" applyFont="1" applyFill="1" applyBorder="1" applyAlignment="1" applyProtection="1">
      <alignment horizontal="center" vertical="center" wrapText="1"/>
      <protection hidden="1"/>
    </xf>
    <xf numFmtId="0" fontId="3" fillId="3" borderId="18" xfId="0" applyFont="1" applyFill="1" applyBorder="1" applyAlignment="1" applyProtection="1">
      <alignment horizontal="center" vertical="center" wrapText="1"/>
      <protection hidden="1"/>
    </xf>
    <xf numFmtId="0" fontId="2" fillId="2" borderId="0" xfId="0" applyFont="1" applyFill="1" applyAlignment="1">
      <alignment horizontal="left"/>
    </xf>
    <xf numFmtId="0" fontId="1" fillId="3" borderId="12" xfId="0" applyFont="1" applyFill="1" applyBorder="1" applyAlignment="1" applyProtection="1">
      <alignment horizontal="center"/>
      <protection hidden="1"/>
    </xf>
    <xf numFmtId="0" fontId="1" fillId="3" borderId="16" xfId="0" applyFont="1" applyFill="1" applyBorder="1" applyAlignment="1" applyProtection="1">
      <alignment horizontal="center"/>
      <protection hidden="1"/>
    </xf>
    <xf numFmtId="0" fontId="3" fillId="3" borderId="2" xfId="0" applyFont="1" applyFill="1" applyBorder="1" applyAlignment="1" applyProtection="1">
      <alignment horizontal="center" wrapText="1"/>
      <protection hidden="1"/>
    </xf>
    <xf numFmtId="0" fontId="3" fillId="3" borderId="9" xfId="0" applyFont="1" applyFill="1" applyBorder="1" applyAlignment="1" applyProtection="1">
      <alignment horizontal="center" wrapText="1"/>
      <protection hidden="1"/>
    </xf>
    <xf numFmtId="0" fontId="3" fillId="3" borderId="9" xfId="0" applyFont="1" applyFill="1" applyBorder="1" applyAlignment="1" applyProtection="1">
      <alignment horizontal="center" vertical="center" wrapText="1"/>
      <protection hidden="1"/>
    </xf>
    <xf numFmtId="0" fontId="0" fillId="0" borderId="0" xfId="0" applyAlignment="1" applyProtection="1">
      <alignment horizontal="left"/>
      <protection locked="0"/>
    </xf>
    <xf numFmtId="0" fontId="1" fillId="3" borderId="21" xfId="0" applyFont="1" applyFill="1" applyBorder="1" applyAlignment="1">
      <alignment horizontal="center"/>
    </xf>
    <xf numFmtId="0" fontId="1" fillId="3" borderId="46" xfId="0" applyFont="1" applyFill="1" applyBorder="1" applyAlignment="1">
      <alignment horizontal="center"/>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1" fillId="3" borderId="11" xfId="0" applyFont="1" applyFill="1" applyBorder="1" applyAlignment="1" applyProtection="1">
      <alignment horizontal="center" vertical="center" wrapText="1"/>
      <protection hidden="1"/>
    </xf>
    <xf numFmtId="0" fontId="1" fillId="3" borderId="13" xfId="0" applyFont="1" applyFill="1" applyBorder="1" applyAlignment="1" applyProtection="1">
      <alignment horizontal="center" vertical="center" wrapText="1"/>
      <protection hidden="1"/>
    </xf>
    <xf numFmtId="0" fontId="1" fillId="3" borderId="20" xfId="0" applyFont="1" applyFill="1" applyBorder="1" applyAlignment="1" applyProtection="1">
      <alignment horizontal="center" vertical="center" wrapText="1"/>
      <protection hidden="1"/>
    </xf>
    <xf numFmtId="0" fontId="1" fillId="3" borderId="26" xfId="0" applyFont="1" applyFill="1" applyBorder="1" applyAlignment="1">
      <alignment horizontal="center"/>
    </xf>
    <xf numFmtId="0" fontId="1" fillId="3" borderId="13" xfId="0" applyFont="1" applyFill="1" applyBorder="1" applyAlignment="1">
      <alignment horizontal="center"/>
    </xf>
    <xf numFmtId="0" fontId="1" fillId="3" borderId="14" xfId="0" applyFont="1" applyFill="1" applyBorder="1" applyAlignment="1">
      <alignment horizontal="center"/>
    </xf>
    <xf numFmtId="0" fontId="1" fillId="3" borderId="45" xfId="0" applyFont="1" applyFill="1" applyBorder="1" applyAlignment="1">
      <alignment horizontal="center"/>
    </xf>
    <xf numFmtId="0" fontId="1" fillId="3" borderId="44" xfId="0" applyFont="1" applyFill="1" applyBorder="1" applyAlignment="1">
      <alignment horizontal="center"/>
    </xf>
    <xf numFmtId="0" fontId="0" fillId="0" borderId="29" xfId="0" applyBorder="1" applyAlignment="1" applyProtection="1">
      <alignment horizontal="center"/>
      <protection locked="0"/>
    </xf>
  </cellXfs>
  <cellStyles count="2">
    <cellStyle name="Normal" xfId="0" builtinId="0"/>
    <cellStyle name="Percent" xfId="1" builtinId="5"/>
  </cellStyles>
  <dxfs count="7">
    <dxf>
      <fill>
        <patternFill>
          <bgColor rgb="FFFF0000"/>
        </patternFill>
      </fill>
    </dxf>
    <dxf>
      <font>
        <color rgb="FF9C0006"/>
      </font>
      <fill>
        <patternFill>
          <bgColor rgb="FFFFC7CE"/>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0" tint="-0.34998626667073579"/>
      </font>
    </dxf>
    <dxf>
      <font>
        <b val="0"/>
        <i val="0"/>
        <color theme="0"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440425716016272"/>
          <c:y val="0.15701861130994993"/>
          <c:w val="0.5911918462115312"/>
          <c:h val="0.6521025212757496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6-4F50-B440-2E8479C3E2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6-4F50-B440-2E8479C3E20A}"/>
              </c:ext>
            </c:extLst>
          </c:dPt>
          <c:dLbls>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'School Summary'!$I$3:$I$4</c:f>
              <c:strCache>
                <c:ptCount val="2"/>
                <c:pt idx="0">
                  <c:v>Male</c:v>
                </c:pt>
                <c:pt idx="1">
                  <c:v>Female</c:v>
                </c:pt>
              </c:strCache>
            </c:strRef>
          </c:cat>
          <c:val>
            <c:numRef>
              <c:f>'School Summary'!$J$3:$J$4</c:f>
              <c:numCache>
                <c:formatCode>General</c:formatCode>
                <c:ptCount val="2"/>
                <c:pt idx="0">
                  <c:v>27</c:v>
                </c:pt>
                <c:pt idx="1">
                  <c:v>27</c:v>
                </c:pt>
              </c:numCache>
            </c:numRef>
          </c:val>
          <c:extLst>
            <c:ext xmlns:c16="http://schemas.microsoft.com/office/drawing/2014/chart" uri="{C3380CC4-5D6E-409C-BE32-E72D297353CC}">
              <c16:uniqueId val="{00000000-F2A7-4DC5-AAA1-0F7C6A44A32D}"/>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Levelling of Learners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Summary'!$F$26</c:f>
              <c:strCache>
                <c:ptCount val="1"/>
                <c:pt idx="0">
                  <c:v>Emerging (Not Proficient)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Summary'!$D$27:$E$32</c:f>
              <c:multiLvlStrCache>
                <c:ptCount val="6"/>
                <c:lvl>
                  <c:pt idx="0">
                    <c:v>Male</c:v>
                  </c:pt>
                  <c:pt idx="1">
                    <c:v>Female</c:v>
                  </c:pt>
                  <c:pt idx="2">
                    <c:v>Male</c:v>
                  </c:pt>
                  <c:pt idx="3">
                    <c:v>Female</c:v>
                  </c:pt>
                  <c:pt idx="4">
                    <c:v>Male</c:v>
                  </c:pt>
                  <c:pt idx="5">
                    <c:v>Female</c:v>
                  </c:pt>
                </c:lvl>
                <c:lvl>
                  <c:pt idx="0">
                    <c:v>Grade 1</c:v>
                  </c:pt>
                  <c:pt idx="2">
                    <c:v>Grade 2</c:v>
                  </c:pt>
                  <c:pt idx="4">
                    <c:v>Grade 3</c:v>
                  </c:pt>
                </c:lvl>
              </c:multiLvlStrCache>
            </c:multiLvlStrRef>
          </c:cat>
          <c:val>
            <c:numRef>
              <c:f>'School Summary'!$F$27:$F$32</c:f>
              <c:numCache>
                <c:formatCode>0%</c:formatCode>
                <c:ptCount val="6"/>
                <c:pt idx="0">
                  <c:v>0.6</c:v>
                </c:pt>
                <c:pt idx="1">
                  <c:v>0</c:v>
                </c:pt>
                <c:pt idx="2">
                  <c:v>0.8571428571428571</c:v>
                </c:pt>
                <c:pt idx="3">
                  <c:v>0.375</c:v>
                </c:pt>
                <c:pt idx="4">
                  <c:v>0</c:v>
                </c:pt>
                <c:pt idx="5">
                  <c:v>0</c:v>
                </c:pt>
              </c:numCache>
            </c:numRef>
          </c:val>
          <c:extLst>
            <c:ext xmlns:c16="http://schemas.microsoft.com/office/drawing/2014/chart" uri="{C3380CC4-5D6E-409C-BE32-E72D297353CC}">
              <c16:uniqueId val="{00000000-0F43-4803-BD8C-82B04A69276F}"/>
            </c:ext>
          </c:extLst>
        </c:ser>
        <c:ser>
          <c:idx val="1"/>
          <c:order val="1"/>
          <c:tx>
            <c:strRef>
              <c:f>'School Summary'!$G$26</c:f>
              <c:strCache>
                <c:ptCount val="1"/>
                <c:pt idx="0">
                  <c:v>Emerging (Low Proficient)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Summary'!$D$27:$E$32</c:f>
              <c:multiLvlStrCache>
                <c:ptCount val="6"/>
                <c:lvl>
                  <c:pt idx="0">
                    <c:v>Male</c:v>
                  </c:pt>
                  <c:pt idx="1">
                    <c:v>Female</c:v>
                  </c:pt>
                  <c:pt idx="2">
                    <c:v>Male</c:v>
                  </c:pt>
                  <c:pt idx="3">
                    <c:v>Female</c:v>
                  </c:pt>
                  <c:pt idx="4">
                    <c:v>Male</c:v>
                  </c:pt>
                  <c:pt idx="5">
                    <c:v>Female</c:v>
                  </c:pt>
                </c:lvl>
                <c:lvl>
                  <c:pt idx="0">
                    <c:v>Grade 1</c:v>
                  </c:pt>
                  <c:pt idx="2">
                    <c:v>Grade 2</c:v>
                  </c:pt>
                  <c:pt idx="4">
                    <c:v>Grade 3</c:v>
                  </c:pt>
                </c:lvl>
              </c:multiLvlStrCache>
            </c:multiLvlStrRef>
          </c:cat>
          <c:val>
            <c:numRef>
              <c:f>'School Summary'!$G$27:$G$32</c:f>
              <c:numCache>
                <c:formatCode>0%</c:formatCode>
                <c:ptCount val="6"/>
                <c:pt idx="0">
                  <c:v>0.1</c:v>
                </c:pt>
                <c:pt idx="1">
                  <c:v>0</c:v>
                </c:pt>
                <c:pt idx="2">
                  <c:v>0.14285714285714285</c:v>
                </c:pt>
                <c:pt idx="3">
                  <c:v>0.625</c:v>
                </c:pt>
                <c:pt idx="4">
                  <c:v>0</c:v>
                </c:pt>
                <c:pt idx="5">
                  <c:v>0</c:v>
                </c:pt>
              </c:numCache>
            </c:numRef>
          </c:val>
          <c:extLst>
            <c:ext xmlns:c16="http://schemas.microsoft.com/office/drawing/2014/chart" uri="{C3380CC4-5D6E-409C-BE32-E72D297353CC}">
              <c16:uniqueId val="{00000001-0F43-4803-BD8C-82B04A69276F}"/>
            </c:ext>
          </c:extLst>
        </c:ser>
        <c:ser>
          <c:idx val="2"/>
          <c:order val="2"/>
          <c:tx>
            <c:strRef>
              <c:f>'School Summary'!$H$26</c:f>
              <c:strCache>
                <c:ptCount val="1"/>
                <c:pt idx="0">
                  <c:v>Developing (Nearly Proficient)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Summary'!$D$27:$E$32</c:f>
              <c:multiLvlStrCache>
                <c:ptCount val="6"/>
                <c:lvl>
                  <c:pt idx="0">
                    <c:v>Male</c:v>
                  </c:pt>
                  <c:pt idx="1">
                    <c:v>Female</c:v>
                  </c:pt>
                  <c:pt idx="2">
                    <c:v>Male</c:v>
                  </c:pt>
                  <c:pt idx="3">
                    <c:v>Female</c:v>
                  </c:pt>
                  <c:pt idx="4">
                    <c:v>Male</c:v>
                  </c:pt>
                  <c:pt idx="5">
                    <c:v>Female</c:v>
                  </c:pt>
                </c:lvl>
                <c:lvl>
                  <c:pt idx="0">
                    <c:v>Grade 1</c:v>
                  </c:pt>
                  <c:pt idx="2">
                    <c:v>Grade 2</c:v>
                  </c:pt>
                  <c:pt idx="4">
                    <c:v>Grade 3</c:v>
                  </c:pt>
                </c:lvl>
              </c:multiLvlStrCache>
            </c:multiLvlStrRef>
          </c:cat>
          <c:val>
            <c:numRef>
              <c:f>'School Summary'!$H$27:$H$32</c:f>
              <c:numCache>
                <c:formatCode>0%</c:formatCode>
                <c:ptCount val="6"/>
                <c:pt idx="0">
                  <c:v>0.1</c:v>
                </c:pt>
                <c:pt idx="1">
                  <c:v>0.5</c:v>
                </c:pt>
                <c:pt idx="2">
                  <c:v>0</c:v>
                </c:pt>
                <c:pt idx="3">
                  <c:v>0</c:v>
                </c:pt>
                <c:pt idx="4">
                  <c:v>0.2</c:v>
                </c:pt>
                <c:pt idx="5">
                  <c:v>0.13333333333333333</c:v>
                </c:pt>
              </c:numCache>
            </c:numRef>
          </c:val>
          <c:extLst>
            <c:ext xmlns:c16="http://schemas.microsoft.com/office/drawing/2014/chart" uri="{C3380CC4-5D6E-409C-BE32-E72D297353CC}">
              <c16:uniqueId val="{00000002-0F43-4803-BD8C-82B04A69276F}"/>
            </c:ext>
          </c:extLst>
        </c:ser>
        <c:ser>
          <c:idx val="3"/>
          <c:order val="3"/>
          <c:tx>
            <c:strRef>
              <c:f>'School Summary'!$I$26</c:f>
              <c:strCache>
                <c:ptCount val="1"/>
                <c:pt idx="0">
                  <c:v>Transitioning (Proficient)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Summary'!$D$27:$E$32</c:f>
              <c:multiLvlStrCache>
                <c:ptCount val="6"/>
                <c:lvl>
                  <c:pt idx="0">
                    <c:v>Male</c:v>
                  </c:pt>
                  <c:pt idx="1">
                    <c:v>Female</c:v>
                  </c:pt>
                  <c:pt idx="2">
                    <c:v>Male</c:v>
                  </c:pt>
                  <c:pt idx="3">
                    <c:v>Female</c:v>
                  </c:pt>
                  <c:pt idx="4">
                    <c:v>Male</c:v>
                  </c:pt>
                  <c:pt idx="5">
                    <c:v>Female</c:v>
                  </c:pt>
                </c:lvl>
                <c:lvl>
                  <c:pt idx="0">
                    <c:v>Grade 1</c:v>
                  </c:pt>
                  <c:pt idx="2">
                    <c:v>Grade 2</c:v>
                  </c:pt>
                  <c:pt idx="4">
                    <c:v>Grade 3</c:v>
                  </c:pt>
                </c:lvl>
              </c:multiLvlStrCache>
            </c:multiLvlStrRef>
          </c:cat>
          <c:val>
            <c:numRef>
              <c:f>'School Summary'!$I$27:$I$32</c:f>
              <c:numCache>
                <c:formatCode>0%</c:formatCode>
                <c:ptCount val="6"/>
                <c:pt idx="0">
                  <c:v>0.1</c:v>
                </c:pt>
                <c:pt idx="1">
                  <c:v>0.5</c:v>
                </c:pt>
                <c:pt idx="2">
                  <c:v>0</c:v>
                </c:pt>
                <c:pt idx="3">
                  <c:v>0</c:v>
                </c:pt>
                <c:pt idx="4">
                  <c:v>0.2</c:v>
                </c:pt>
                <c:pt idx="5">
                  <c:v>0.2</c:v>
                </c:pt>
              </c:numCache>
            </c:numRef>
          </c:val>
          <c:extLst>
            <c:ext xmlns:c16="http://schemas.microsoft.com/office/drawing/2014/chart" uri="{C3380CC4-5D6E-409C-BE32-E72D297353CC}">
              <c16:uniqueId val="{00000000-E934-4A61-9293-21B79CB0B477}"/>
            </c:ext>
          </c:extLst>
        </c:ser>
        <c:ser>
          <c:idx val="4"/>
          <c:order val="4"/>
          <c:tx>
            <c:strRef>
              <c:f>'School Summary'!$J$26</c:f>
              <c:strCache>
                <c:ptCount val="1"/>
                <c:pt idx="0">
                  <c:v>At Grade Level (Highly Proficient)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Summary'!$D$27:$E$32</c:f>
              <c:multiLvlStrCache>
                <c:ptCount val="6"/>
                <c:lvl>
                  <c:pt idx="0">
                    <c:v>Male</c:v>
                  </c:pt>
                  <c:pt idx="1">
                    <c:v>Female</c:v>
                  </c:pt>
                  <c:pt idx="2">
                    <c:v>Male</c:v>
                  </c:pt>
                  <c:pt idx="3">
                    <c:v>Female</c:v>
                  </c:pt>
                  <c:pt idx="4">
                    <c:v>Male</c:v>
                  </c:pt>
                  <c:pt idx="5">
                    <c:v>Female</c:v>
                  </c:pt>
                </c:lvl>
                <c:lvl>
                  <c:pt idx="0">
                    <c:v>Grade 1</c:v>
                  </c:pt>
                  <c:pt idx="2">
                    <c:v>Grade 2</c:v>
                  </c:pt>
                  <c:pt idx="4">
                    <c:v>Grade 3</c:v>
                  </c:pt>
                </c:lvl>
              </c:multiLvlStrCache>
            </c:multiLvlStrRef>
          </c:cat>
          <c:val>
            <c:numRef>
              <c:f>'School Summary'!$J$27:$J$32</c:f>
              <c:numCache>
                <c:formatCode>0%</c:formatCode>
                <c:ptCount val="6"/>
                <c:pt idx="0">
                  <c:v>0.1</c:v>
                </c:pt>
                <c:pt idx="1">
                  <c:v>0</c:v>
                </c:pt>
                <c:pt idx="2">
                  <c:v>0</c:v>
                </c:pt>
                <c:pt idx="3">
                  <c:v>0</c:v>
                </c:pt>
                <c:pt idx="4">
                  <c:v>0.6</c:v>
                </c:pt>
                <c:pt idx="5">
                  <c:v>0.66666666666666663</c:v>
                </c:pt>
              </c:numCache>
            </c:numRef>
          </c:val>
          <c:extLst>
            <c:ext xmlns:c16="http://schemas.microsoft.com/office/drawing/2014/chart" uri="{C3380CC4-5D6E-409C-BE32-E72D297353CC}">
              <c16:uniqueId val="{00000001-E934-4A61-9293-21B79CB0B477}"/>
            </c:ext>
          </c:extLst>
        </c:ser>
        <c:dLbls>
          <c:dLblPos val="outEnd"/>
          <c:showLegendKey val="0"/>
          <c:showVal val="1"/>
          <c:showCatName val="0"/>
          <c:showSerName val="0"/>
          <c:showPercent val="0"/>
          <c:showBubbleSize val="0"/>
        </c:dLbls>
        <c:gapWidth val="57"/>
        <c:overlap val="-27"/>
        <c:axId val="1120614639"/>
        <c:axId val="1132696831"/>
      </c:barChart>
      <c:catAx>
        <c:axId val="112061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2696831"/>
        <c:crosses val="autoZero"/>
        <c:auto val="1"/>
        <c:lblAlgn val="ctr"/>
        <c:lblOffset val="100"/>
        <c:noMultiLvlLbl val="0"/>
      </c:catAx>
      <c:valAx>
        <c:axId val="113269683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20614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Grade 1</a:t>
            </a:r>
            <a:r>
              <a:rPr lang="en-PH" b="1" baseline="0"/>
              <a:t> : % Proficient Learners by Task </a:t>
            </a:r>
            <a:endParaRPr lang="en-PH"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Summary'!$E$27</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Summary'!$L$26:$S$26,'School Summary'!$W$26)</c:f>
              <c:strCache>
                <c:ptCount val="9"/>
                <c:pt idx="0">
                  <c:v>Task A</c:v>
                </c:pt>
                <c:pt idx="1">
                  <c:v>Task B</c:v>
                </c:pt>
                <c:pt idx="2">
                  <c:v>Task C</c:v>
                </c:pt>
                <c:pt idx="3">
                  <c:v>Task D</c:v>
                </c:pt>
                <c:pt idx="4">
                  <c:v>Task E</c:v>
                </c:pt>
                <c:pt idx="5">
                  <c:v>Task F</c:v>
                </c:pt>
                <c:pt idx="6">
                  <c:v>Task G</c:v>
                </c:pt>
                <c:pt idx="7">
                  <c:v>Task H</c:v>
                </c:pt>
                <c:pt idx="8">
                  <c:v>OverAll Score</c:v>
                </c:pt>
              </c:strCache>
            </c:strRef>
          </c:cat>
          <c:val>
            <c:numRef>
              <c:f>('School Summary'!$L$27:$S$27,'School Summary'!$W$27)</c:f>
              <c:numCache>
                <c:formatCode>0%</c:formatCode>
                <c:ptCount val="9"/>
                <c:pt idx="0">
                  <c:v>0.4</c:v>
                </c:pt>
                <c:pt idx="1">
                  <c:v>0.1</c:v>
                </c:pt>
                <c:pt idx="2">
                  <c:v>0.4</c:v>
                </c:pt>
                <c:pt idx="3">
                  <c:v>0.1</c:v>
                </c:pt>
                <c:pt idx="4">
                  <c:v>0.2</c:v>
                </c:pt>
                <c:pt idx="5">
                  <c:v>0.4</c:v>
                </c:pt>
                <c:pt idx="6">
                  <c:v>0</c:v>
                </c:pt>
                <c:pt idx="7">
                  <c:v>0.1</c:v>
                </c:pt>
                <c:pt idx="8">
                  <c:v>0.30571428571428572</c:v>
                </c:pt>
              </c:numCache>
            </c:numRef>
          </c:val>
          <c:extLst>
            <c:ext xmlns:c16="http://schemas.microsoft.com/office/drawing/2014/chart" uri="{C3380CC4-5D6E-409C-BE32-E72D297353CC}">
              <c16:uniqueId val="{00000000-61A3-494C-8C59-CB825C677C2F}"/>
            </c:ext>
          </c:extLst>
        </c:ser>
        <c:ser>
          <c:idx val="1"/>
          <c:order val="1"/>
          <c:tx>
            <c:strRef>
              <c:f>'School Summary'!$E$28</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Summary'!$L$26:$S$26,'School Summary'!$W$26)</c:f>
              <c:strCache>
                <c:ptCount val="9"/>
                <c:pt idx="0">
                  <c:v>Task A</c:v>
                </c:pt>
                <c:pt idx="1">
                  <c:v>Task B</c:v>
                </c:pt>
                <c:pt idx="2">
                  <c:v>Task C</c:v>
                </c:pt>
                <c:pt idx="3">
                  <c:v>Task D</c:v>
                </c:pt>
                <c:pt idx="4">
                  <c:v>Task E</c:v>
                </c:pt>
                <c:pt idx="5">
                  <c:v>Task F</c:v>
                </c:pt>
                <c:pt idx="6">
                  <c:v>Task G</c:v>
                </c:pt>
                <c:pt idx="7">
                  <c:v>Task H</c:v>
                </c:pt>
                <c:pt idx="8">
                  <c:v>OverAll Score</c:v>
                </c:pt>
              </c:strCache>
            </c:strRef>
          </c:cat>
          <c:val>
            <c:numRef>
              <c:f>('School Summary'!$L$28:$S$28,'School Summary'!$W$28)</c:f>
              <c:numCache>
                <c:formatCode>0%</c:formatCode>
                <c:ptCount val="9"/>
                <c:pt idx="0">
                  <c:v>0.75</c:v>
                </c:pt>
                <c:pt idx="1">
                  <c:v>0.25</c:v>
                </c:pt>
                <c:pt idx="2">
                  <c:v>0.75</c:v>
                </c:pt>
                <c:pt idx="3">
                  <c:v>0.75</c:v>
                </c:pt>
                <c:pt idx="4">
                  <c:v>0.75</c:v>
                </c:pt>
                <c:pt idx="5">
                  <c:v>0.75</c:v>
                </c:pt>
                <c:pt idx="6">
                  <c:v>0</c:v>
                </c:pt>
                <c:pt idx="7">
                  <c:v>0</c:v>
                </c:pt>
                <c:pt idx="8">
                  <c:v>0.77857142857142858</c:v>
                </c:pt>
              </c:numCache>
            </c:numRef>
          </c:val>
          <c:extLst>
            <c:ext xmlns:c16="http://schemas.microsoft.com/office/drawing/2014/chart" uri="{C3380CC4-5D6E-409C-BE32-E72D297353CC}">
              <c16:uniqueId val="{00000000-2DA9-4013-AF64-FEF47BE7B59F}"/>
            </c:ext>
          </c:extLst>
        </c:ser>
        <c:dLbls>
          <c:dLblPos val="outEnd"/>
          <c:showLegendKey val="0"/>
          <c:showVal val="1"/>
          <c:showCatName val="0"/>
          <c:showSerName val="0"/>
          <c:showPercent val="0"/>
          <c:showBubbleSize val="0"/>
        </c:dLbls>
        <c:gapWidth val="36"/>
        <c:overlap val="-27"/>
        <c:axId val="1124448639"/>
        <c:axId val="936399471"/>
      </c:barChart>
      <c:catAx>
        <c:axId val="11244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399471"/>
        <c:crosses val="autoZero"/>
        <c:auto val="1"/>
        <c:lblAlgn val="ctr"/>
        <c:lblOffset val="100"/>
        <c:noMultiLvlLbl val="0"/>
      </c:catAx>
      <c:valAx>
        <c:axId val="9363994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2444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sz="1400" b="1"/>
              <a:t>Grade 2</a:t>
            </a:r>
            <a:r>
              <a:rPr lang="en-PH" sz="1400" b="1" baseline="0"/>
              <a:t> : </a:t>
            </a:r>
            <a:r>
              <a:rPr lang="en-PH" sz="1400" b="1" i="0" u="none" strike="noStrike" kern="1200" spc="0" baseline="0">
                <a:solidFill>
                  <a:sysClr val="windowText" lastClr="000000">
                    <a:lumMod val="65000"/>
                    <a:lumOff val="35000"/>
                  </a:sysClr>
                </a:solidFill>
              </a:rPr>
              <a:t>% Proficient Learners by Task </a:t>
            </a:r>
            <a:endParaRPr lang="en-PH"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Summary'!$E$29</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Summary'!$L$26:$W$26</c:f>
              <c:strCache>
                <c:ptCount val="12"/>
                <c:pt idx="0">
                  <c:v>Task A</c:v>
                </c:pt>
                <c:pt idx="1">
                  <c:v>Task B</c:v>
                </c:pt>
                <c:pt idx="2">
                  <c:v>Task C</c:v>
                </c:pt>
                <c:pt idx="3">
                  <c:v>Task D</c:v>
                </c:pt>
                <c:pt idx="4">
                  <c:v>Task E</c:v>
                </c:pt>
                <c:pt idx="5">
                  <c:v>Task F</c:v>
                </c:pt>
                <c:pt idx="6">
                  <c:v>Task G</c:v>
                </c:pt>
                <c:pt idx="7">
                  <c:v>Task H</c:v>
                </c:pt>
                <c:pt idx="8">
                  <c:v>Task I</c:v>
                </c:pt>
                <c:pt idx="9">
                  <c:v>Task J</c:v>
                </c:pt>
                <c:pt idx="10">
                  <c:v>Task K</c:v>
                </c:pt>
                <c:pt idx="11">
                  <c:v>OverAll Score</c:v>
                </c:pt>
              </c:strCache>
            </c:strRef>
          </c:cat>
          <c:val>
            <c:numRef>
              <c:f>'School Summary'!$L$29:$W$29</c:f>
              <c:numCache>
                <c:formatCode>0%</c:formatCode>
                <c:ptCount val="12"/>
                <c:pt idx="0">
                  <c:v>0</c:v>
                </c:pt>
                <c:pt idx="1">
                  <c:v>0.14285714285714285</c:v>
                </c:pt>
                <c:pt idx="2">
                  <c:v>0</c:v>
                </c:pt>
                <c:pt idx="3">
                  <c:v>0.14285714285714285</c:v>
                </c:pt>
                <c:pt idx="4">
                  <c:v>0</c:v>
                </c:pt>
                <c:pt idx="5">
                  <c:v>0</c:v>
                </c:pt>
                <c:pt idx="6">
                  <c:v>0</c:v>
                </c:pt>
                <c:pt idx="7">
                  <c:v>0</c:v>
                </c:pt>
                <c:pt idx="8">
                  <c:v>0.2857142857142857</c:v>
                </c:pt>
                <c:pt idx="9">
                  <c:v>0</c:v>
                </c:pt>
                <c:pt idx="10">
                  <c:v>0.8571428571428571</c:v>
                </c:pt>
                <c:pt idx="11">
                  <c:v>0</c:v>
                </c:pt>
              </c:numCache>
            </c:numRef>
          </c:val>
          <c:extLst>
            <c:ext xmlns:c16="http://schemas.microsoft.com/office/drawing/2014/chart" uri="{C3380CC4-5D6E-409C-BE32-E72D297353CC}">
              <c16:uniqueId val="{00000000-8005-4D53-9BF6-8A59ECE10460}"/>
            </c:ext>
          </c:extLst>
        </c:ser>
        <c:ser>
          <c:idx val="1"/>
          <c:order val="1"/>
          <c:tx>
            <c:strRef>
              <c:f>'School Summary'!$E$30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Summary'!$L$26:$W$26</c:f>
              <c:strCache>
                <c:ptCount val="12"/>
                <c:pt idx="0">
                  <c:v>Task A</c:v>
                </c:pt>
                <c:pt idx="1">
                  <c:v>Task B</c:v>
                </c:pt>
                <c:pt idx="2">
                  <c:v>Task C</c:v>
                </c:pt>
                <c:pt idx="3">
                  <c:v>Task D</c:v>
                </c:pt>
                <c:pt idx="4">
                  <c:v>Task E</c:v>
                </c:pt>
                <c:pt idx="5">
                  <c:v>Task F</c:v>
                </c:pt>
                <c:pt idx="6">
                  <c:v>Task G</c:v>
                </c:pt>
                <c:pt idx="7">
                  <c:v>Task H</c:v>
                </c:pt>
                <c:pt idx="8">
                  <c:v>Task I</c:v>
                </c:pt>
                <c:pt idx="9">
                  <c:v>Task J</c:v>
                </c:pt>
                <c:pt idx="10">
                  <c:v>Task K</c:v>
                </c:pt>
                <c:pt idx="11">
                  <c:v>OverAll Score</c:v>
                </c:pt>
              </c:strCache>
            </c:strRef>
          </c:cat>
          <c:val>
            <c:numRef>
              <c:f>'School Summary'!$L$30:$W$30</c:f>
              <c:numCache>
                <c:formatCode>0%</c:formatCode>
                <c:ptCount val="12"/>
                <c:pt idx="0">
                  <c:v>0</c:v>
                </c:pt>
                <c:pt idx="1">
                  <c:v>0.625</c:v>
                </c:pt>
                <c:pt idx="2">
                  <c:v>0</c:v>
                </c:pt>
                <c:pt idx="3">
                  <c:v>0.25</c:v>
                </c:pt>
                <c:pt idx="4">
                  <c:v>0</c:v>
                </c:pt>
                <c:pt idx="5">
                  <c:v>0</c:v>
                </c:pt>
                <c:pt idx="6">
                  <c:v>0</c:v>
                </c:pt>
                <c:pt idx="7">
                  <c:v>0</c:v>
                </c:pt>
                <c:pt idx="8">
                  <c:v>0.625</c:v>
                </c:pt>
                <c:pt idx="9">
                  <c:v>0.5</c:v>
                </c:pt>
                <c:pt idx="10">
                  <c:v>0.75</c:v>
                </c:pt>
                <c:pt idx="11">
                  <c:v>0</c:v>
                </c:pt>
              </c:numCache>
            </c:numRef>
          </c:val>
          <c:extLst>
            <c:ext xmlns:c16="http://schemas.microsoft.com/office/drawing/2014/chart" uri="{C3380CC4-5D6E-409C-BE32-E72D297353CC}">
              <c16:uniqueId val="{00000003-8005-4D53-9BF6-8A59ECE10460}"/>
            </c:ext>
          </c:extLst>
        </c:ser>
        <c:dLbls>
          <c:dLblPos val="outEnd"/>
          <c:showLegendKey val="0"/>
          <c:showVal val="1"/>
          <c:showCatName val="0"/>
          <c:showSerName val="0"/>
          <c:showPercent val="0"/>
          <c:showBubbleSize val="0"/>
        </c:dLbls>
        <c:gapWidth val="116"/>
        <c:overlap val="-27"/>
        <c:axId val="1124448639"/>
        <c:axId val="936399471"/>
      </c:barChart>
      <c:catAx>
        <c:axId val="11244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6399471"/>
        <c:crosses val="autoZero"/>
        <c:auto val="1"/>
        <c:lblAlgn val="ctr"/>
        <c:lblOffset val="100"/>
        <c:noMultiLvlLbl val="0"/>
      </c:catAx>
      <c:valAx>
        <c:axId val="9363994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2444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sz="1400" b="1"/>
              <a:t>Grade 3</a:t>
            </a:r>
            <a:r>
              <a:rPr lang="en-PH" sz="1400" b="1" baseline="0"/>
              <a:t> : </a:t>
            </a:r>
            <a:r>
              <a:rPr lang="en-PH" sz="1400" b="1" i="0" u="none" strike="noStrike" kern="1200" spc="0" baseline="0">
                <a:solidFill>
                  <a:sysClr val="windowText" lastClr="000000">
                    <a:lumMod val="65000"/>
                    <a:lumOff val="35000"/>
                  </a:sysClr>
                </a:solidFill>
              </a:rPr>
              <a:t>% Proficient Learners by Task </a:t>
            </a:r>
            <a:endParaRPr lang="en-PH"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Summary'!$E$31</c:f>
              <c:strCache>
                <c:ptCount val="1"/>
                <c:pt idx="0">
                  <c:v>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Summary'!$L$26:$S$26,'School Summary'!$W$26)</c:f>
              <c:strCache>
                <c:ptCount val="9"/>
                <c:pt idx="0">
                  <c:v>Task A</c:v>
                </c:pt>
                <c:pt idx="1">
                  <c:v>Task B</c:v>
                </c:pt>
                <c:pt idx="2">
                  <c:v>Task C</c:v>
                </c:pt>
                <c:pt idx="3">
                  <c:v>Task D</c:v>
                </c:pt>
                <c:pt idx="4">
                  <c:v>Task E</c:v>
                </c:pt>
                <c:pt idx="5">
                  <c:v>Task F</c:v>
                </c:pt>
                <c:pt idx="6">
                  <c:v>Task G</c:v>
                </c:pt>
                <c:pt idx="7">
                  <c:v>Task H</c:v>
                </c:pt>
                <c:pt idx="8">
                  <c:v>OverAll Score</c:v>
                </c:pt>
              </c:strCache>
            </c:strRef>
          </c:cat>
          <c:val>
            <c:numRef>
              <c:f>('School Summary'!$L$31:$S$31,'School Summary'!$W$31)</c:f>
              <c:numCache>
                <c:formatCode>0%</c:formatCode>
                <c:ptCount val="9"/>
                <c:pt idx="0">
                  <c:v>1</c:v>
                </c:pt>
                <c:pt idx="1">
                  <c:v>1</c:v>
                </c:pt>
                <c:pt idx="2">
                  <c:v>1</c:v>
                </c:pt>
                <c:pt idx="3">
                  <c:v>0.6</c:v>
                </c:pt>
                <c:pt idx="4">
                  <c:v>0.7</c:v>
                </c:pt>
                <c:pt idx="5">
                  <c:v>0.6</c:v>
                </c:pt>
                <c:pt idx="6">
                  <c:v>0.4</c:v>
                </c:pt>
                <c:pt idx="7">
                  <c:v>0.7</c:v>
                </c:pt>
                <c:pt idx="8">
                  <c:v>0.83000000000000007</c:v>
                </c:pt>
              </c:numCache>
            </c:numRef>
          </c:val>
          <c:extLst>
            <c:ext xmlns:c16="http://schemas.microsoft.com/office/drawing/2014/chart" uri="{C3380CC4-5D6E-409C-BE32-E72D297353CC}">
              <c16:uniqueId val="{00000000-ADD7-4502-A05E-B3C866DD721B}"/>
            </c:ext>
          </c:extLst>
        </c:ser>
        <c:ser>
          <c:idx val="1"/>
          <c:order val="1"/>
          <c:tx>
            <c:strRef>
              <c:f>'School Summary'!$E$32</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Summary'!$L$26:$S$26,'School Summary'!$W$26)</c:f>
              <c:strCache>
                <c:ptCount val="9"/>
                <c:pt idx="0">
                  <c:v>Task A</c:v>
                </c:pt>
                <c:pt idx="1">
                  <c:v>Task B</c:v>
                </c:pt>
                <c:pt idx="2">
                  <c:v>Task C</c:v>
                </c:pt>
                <c:pt idx="3">
                  <c:v>Task D</c:v>
                </c:pt>
                <c:pt idx="4">
                  <c:v>Task E</c:v>
                </c:pt>
                <c:pt idx="5">
                  <c:v>Task F</c:v>
                </c:pt>
                <c:pt idx="6">
                  <c:v>Task G</c:v>
                </c:pt>
                <c:pt idx="7">
                  <c:v>Task H</c:v>
                </c:pt>
                <c:pt idx="8">
                  <c:v>OverAll Score</c:v>
                </c:pt>
              </c:strCache>
            </c:strRef>
          </c:cat>
          <c:val>
            <c:numRef>
              <c:f>('School Summary'!$L$32:$S$32,'School Summary'!$W$32)</c:f>
              <c:numCache>
                <c:formatCode>0%</c:formatCode>
                <c:ptCount val="9"/>
                <c:pt idx="0">
                  <c:v>0.8666666666666667</c:v>
                </c:pt>
                <c:pt idx="1">
                  <c:v>1</c:v>
                </c:pt>
                <c:pt idx="2">
                  <c:v>0.8666666666666667</c:v>
                </c:pt>
                <c:pt idx="3">
                  <c:v>0.8666666666666667</c:v>
                </c:pt>
                <c:pt idx="4">
                  <c:v>0.8666666666666667</c:v>
                </c:pt>
                <c:pt idx="5">
                  <c:v>0.8</c:v>
                </c:pt>
                <c:pt idx="6">
                  <c:v>0.33333333333333331</c:v>
                </c:pt>
                <c:pt idx="7">
                  <c:v>0.66666666666666663</c:v>
                </c:pt>
                <c:pt idx="8">
                  <c:v>0.85666666666666669</c:v>
                </c:pt>
              </c:numCache>
            </c:numRef>
          </c:val>
          <c:extLst>
            <c:ext xmlns:c16="http://schemas.microsoft.com/office/drawing/2014/chart" uri="{C3380CC4-5D6E-409C-BE32-E72D297353CC}">
              <c16:uniqueId val="{00000000-DE06-431E-B9DE-5C8E8148895D}"/>
            </c:ext>
          </c:extLst>
        </c:ser>
        <c:dLbls>
          <c:dLblPos val="outEnd"/>
          <c:showLegendKey val="0"/>
          <c:showVal val="1"/>
          <c:showCatName val="0"/>
          <c:showSerName val="0"/>
          <c:showPercent val="0"/>
          <c:showBubbleSize val="0"/>
        </c:dLbls>
        <c:gapWidth val="116"/>
        <c:overlap val="-27"/>
        <c:axId val="1124448639"/>
        <c:axId val="936399471"/>
      </c:barChart>
      <c:catAx>
        <c:axId val="11244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6399471"/>
        <c:crosses val="autoZero"/>
        <c:auto val="1"/>
        <c:lblAlgn val="ctr"/>
        <c:lblOffset val="100"/>
        <c:noMultiLvlLbl val="0"/>
      </c:catAx>
      <c:valAx>
        <c:axId val="9363994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2444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363</xdr:row>
      <xdr:rowOff>1962</xdr:rowOff>
    </xdr:from>
    <xdr:to>
      <xdr:col>13</xdr:col>
      <xdr:colOff>388620</xdr:colOff>
      <xdr:row>366</xdr:row>
      <xdr:rowOff>45720</xdr:rowOff>
    </xdr:to>
    <xdr:sp macro="" textlink="">
      <xdr:nvSpPr>
        <xdr:cNvPr id="11" name="TextBox 10">
          <a:extLst>
            <a:ext uri="{FF2B5EF4-FFF2-40B4-BE49-F238E27FC236}">
              <a16:creationId xmlns:a16="http://schemas.microsoft.com/office/drawing/2014/main" id="{41D172F6-C0A2-40C9-AAC0-A01A1ABFAC70}"/>
            </a:ext>
          </a:extLst>
        </xdr:cNvPr>
        <xdr:cNvSpPr txBox="1"/>
      </xdr:nvSpPr>
      <xdr:spPr>
        <a:xfrm>
          <a:off x="0" y="63126042"/>
          <a:ext cx="9334500" cy="59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18</xdr:col>
      <xdr:colOff>636</xdr:colOff>
      <xdr:row>362</xdr:row>
      <xdr:rowOff>70516</xdr:rowOff>
    </xdr:from>
    <xdr:to>
      <xdr:col>23</xdr:col>
      <xdr:colOff>739140</xdr:colOff>
      <xdr:row>365</xdr:row>
      <xdr:rowOff>171450</xdr:rowOff>
    </xdr:to>
    <xdr:pic>
      <xdr:nvPicPr>
        <xdr:cNvPr id="12" name="Picture 11">
          <a:extLst>
            <a:ext uri="{FF2B5EF4-FFF2-40B4-BE49-F238E27FC236}">
              <a16:creationId xmlns:a16="http://schemas.microsoft.com/office/drawing/2014/main" id="{8099E448-28DC-49DF-9902-6F95F4D221C9}"/>
            </a:ext>
          </a:extLst>
        </xdr:cNvPr>
        <xdr:cNvPicPr>
          <a:picLocks noChangeAspect="1"/>
        </xdr:cNvPicPr>
      </xdr:nvPicPr>
      <xdr:blipFill>
        <a:blip xmlns:r="http://schemas.openxmlformats.org/officeDocument/2006/relationships" r:embed="rId1"/>
        <a:stretch>
          <a:fillRect/>
        </a:stretch>
      </xdr:blipFill>
      <xdr:spPr>
        <a:xfrm>
          <a:off x="11613516" y="63011716"/>
          <a:ext cx="3401694" cy="653384"/>
        </a:xfrm>
        <a:prstGeom prst="rect">
          <a:avLst/>
        </a:prstGeom>
      </xdr:spPr>
    </xdr:pic>
    <xdr:clientData/>
  </xdr:twoCellAnchor>
  <xdr:twoCellAnchor>
    <xdr:from>
      <xdr:col>15</xdr:col>
      <xdr:colOff>358140</xdr:colOff>
      <xdr:row>2</xdr:row>
      <xdr:rowOff>114300</xdr:rowOff>
    </xdr:from>
    <xdr:to>
      <xdr:col>23</xdr:col>
      <xdr:colOff>1114424</xdr:colOff>
      <xdr:row>6</xdr:row>
      <xdr:rowOff>35790</xdr:rowOff>
    </xdr:to>
    <xdr:grpSp>
      <xdr:nvGrpSpPr>
        <xdr:cNvPr id="3" name="Group 2">
          <a:extLst>
            <a:ext uri="{FF2B5EF4-FFF2-40B4-BE49-F238E27FC236}">
              <a16:creationId xmlns:a16="http://schemas.microsoft.com/office/drawing/2014/main" id="{01945D51-8809-4EFE-98D1-5BE40322376D}"/>
            </a:ext>
          </a:extLst>
        </xdr:cNvPr>
        <xdr:cNvGrpSpPr/>
      </xdr:nvGrpSpPr>
      <xdr:grpSpPr>
        <a:xfrm>
          <a:off x="10526959" y="493536"/>
          <a:ext cx="5060173" cy="847532"/>
          <a:chOff x="340996" y="53745"/>
          <a:chExt cx="5036819" cy="773025"/>
        </a:xfrm>
      </xdr:grpSpPr>
      <xdr:sp macro="" textlink="">
        <xdr:nvSpPr>
          <xdr:cNvPr id="4" name="TextBox 3">
            <a:extLst>
              <a:ext uri="{FF2B5EF4-FFF2-40B4-BE49-F238E27FC236}">
                <a16:creationId xmlns:a16="http://schemas.microsoft.com/office/drawing/2014/main" id="{F3B6FA41-B85F-39A1-9A53-A82AC0FBF68A}"/>
              </a:ext>
            </a:extLst>
          </xdr:cNvPr>
          <xdr:cNvSpPr txBox="1"/>
        </xdr:nvSpPr>
        <xdr:spPr>
          <a:xfrm>
            <a:off x="1216851" y="226302"/>
            <a:ext cx="4160964" cy="341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a:t>
            </a:r>
          </a:p>
        </xdr:txBody>
      </xdr:sp>
      <xdr:pic>
        <xdr:nvPicPr>
          <xdr:cNvPr id="5" name="Picture 4">
            <a:extLst>
              <a:ext uri="{FF2B5EF4-FFF2-40B4-BE49-F238E27FC236}">
                <a16:creationId xmlns:a16="http://schemas.microsoft.com/office/drawing/2014/main" id="{969ED6EB-F145-2EEA-C6B6-3B7F539D95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996" y="53745"/>
            <a:ext cx="883920" cy="773025"/>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480059</xdr:colOff>
      <xdr:row>68</xdr:row>
      <xdr:rowOff>59659</xdr:rowOff>
    </xdr:from>
    <xdr:to>
      <xdr:col>23</xdr:col>
      <xdr:colOff>200025</xdr:colOff>
      <xdr:row>72</xdr:row>
      <xdr:rowOff>190496</xdr:rowOff>
    </xdr:to>
    <xdr:grpSp>
      <xdr:nvGrpSpPr>
        <xdr:cNvPr id="3" name="Group 2">
          <a:extLst>
            <a:ext uri="{FF2B5EF4-FFF2-40B4-BE49-F238E27FC236}">
              <a16:creationId xmlns:a16="http://schemas.microsoft.com/office/drawing/2014/main" id="{9AE79C2F-B67E-46BD-84A1-4BDFED8B92E4}"/>
            </a:ext>
          </a:extLst>
        </xdr:cNvPr>
        <xdr:cNvGrpSpPr/>
      </xdr:nvGrpSpPr>
      <xdr:grpSpPr>
        <a:xfrm>
          <a:off x="480059" y="15678431"/>
          <a:ext cx="14993387" cy="888381"/>
          <a:chOff x="223390" y="9343079"/>
          <a:chExt cx="13892768" cy="719876"/>
        </a:xfrm>
      </xdr:grpSpPr>
      <xdr:sp macro="" textlink="">
        <xdr:nvSpPr>
          <xdr:cNvPr id="5" name="TextBox 4">
            <a:extLst>
              <a:ext uri="{FF2B5EF4-FFF2-40B4-BE49-F238E27FC236}">
                <a16:creationId xmlns:a16="http://schemas.microsoft.com/office/drawing/2014/main" id="{C017B235-48E3-40FD-B6FB-2B8FCCF25CD7}"/>
              </a:ext>
            </a:extLst>
          </xdr:cNvPr>
          <xdr:cNvSpPr txBox="1"/>
        </xdr:nvSpPr>
        <xdr:spPr>
          <a:xfrm>
            <a:off x="223390" y="9470557"/>
            <a:ext cx="8172807" cy="59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pic>
        <xdr:nvPicPr>
          <xdr:cNvPr id="6" name="Picture 5">
            <a:extLst>
              <a:ext uri="{FF2B5EF4-FFF2-40B4-BE49-F238E27FC236}">
                <a16:creationId xmlns:a16="http://schemas.microsoft.com/office/drawing/2014/main" id="{5C502A17-8F60-453A-9235-519875E9FA50}"/>
              </a:ext>
            </a:extLst>
          </xdr:cNvPr>
          <xdr:cNvPicPr>
            <a:picLocks noChangeAspect="1"/>
          </xdr:cNvPicPr>
        </xdr:nvPicPr>
        <xdr:blipFill>
          <a:blip xmlns:r="http://schemas.openxmlformats.org/officeDocument/2006/relationships" r:embed="rId1"/>
          <a:stretch>
            <a:fillRect/>
          </a:stretch>
        </xdr:blipFill>
        <xdr:spPr>
          <a:xfrm>
            <a:off x="12016772" y="9343079"/>
            <a:ext cx="2099386" cy="501728"/>
          </a:xfrm>
          <a:prstGeom prst="rect">
            <a:avLst/>
          </a:prstGeom>
        </xdr:spPr>
      </xdr:pic>
    </xdr:grpSp>
    <xdr:clientData/>
  </xdr:twoCellAnchor>
  <xdr:twoCellAnchor>
    <xdr:from>
      <xdr:col>0</xdr:col>
      <xdr:colOff>129540</xdr:colOff>
      <xdr:row>24</xdr:row>
      <xdr:rowOff>0</xdr:rowOff>
    </xdr:from>
    <xdr:to>
      <xdr:col>2</xdr:col>
      <xdr:colOff>883920</xdr:colOff>
      <xdr:row>32</xdr:row>
      <xdr:rowOff>83820</xdr:rowOff>
    </xdr:to>
    <xdr:graphicFrame macro="">
      <xdr:nvGraphicFramePr>
        <xdr:cNvPr id="2" name="Chart 1">
          <a:extLst>
            <a:ext uri="{FF2B5EF4-FFF2-40B4-BE49-F238E27FC236}">
              <a16:creationId xmlns:a16="http://schemas.microsoft.com/office/drawing/2014/main" id="{40F959D4-DB86-3E51-BDF1-782472C8A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198120</xdr:colOff>
      <xdr:row>33</xdr:row>
      <xdr:rowOff>7620</xdr:rowOff>
    </xdr:from>
    <xdr:to>
      <xdr:col>11</xdr:col>
      <xdr:colOff>586740</xdr:colOff>
      <xdr:row>47</xdr:row>
      <xdr:rowOff>15240</xdr:rowOff>
    </xdr:to>
    <xdr:graphicFrame macro="">
      <xdr:nvGraphicFramePr>
        <xdr:cNvPr id="4" name="Chart 3">
          <a:extLst>
            <a:ext uri="{FF2B5EF4-FFF2-40B4-BE49-F238E27FC236}">
              <a16:creationId xmlns:a16="http://schemas.microsoft.com/office/drawing/2014/main" id="{6258BA12-B7D7-AC8B-AA69-0216A3726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30480</xdr:colOff>
      <xdr:row>33</xdr:row>
      <xdr:rowOff>15240</xdr:rowOff>
    </xdr:from>
    <xdr:to>
      <xdr:col>45</xdr:col>
      <xdr:colOff>419100</xdr:colOff>
      <xdr:row>46</xdr:row>
      <xdr:rowOff>106680</xdr:rowOff>
    </xdr:to>
    <xdr:graphicFrame macro="">
      <xdr:nvGraphicFramePr>
        <xdr:cNvPr id="12" name="Chart 11">
          <a:extLst>
            <a:ext uri="{FF2B5EF4-FFF2-40B4-BE49-F238E27FC236}">
              <a16:creationId xmlns:a16="http://schemas.microsoft.com/office/drawing/2014/main" id="{3A60E9C8-EED7-28A7-7304-9303D0E98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205740</xdr:colOff>
      <xdr:row>47</xdr:row>
      <xdr:rowOff>121920</xdr:rowOff>
    </xdr:from>
    <xdr:to>
      <xdr:col>13</xdr:col>
      <xdr:colOff>403860</xdr:colOff>
      <xdr:row>64</xdr:row>
      <xdr:rowOff>99060</xdr:rowOff>
    </xdr:to>
    <xdr:graphicFrame macro="">
      <xdr:nvGraphicFramePr>
        <xdr:cNvPr id="13" name="Chart 12">
          <a:extLst>
            <a:ext uri="{FF2B5EF4-FFF2-40B4-BE49-F238E27FC236}">
              <a16:creationId xmlns:a16="http://schemas.microsoft.com/office/drawing/2014/main" id="{49F028D3-B4B0-4E3D-A627-896C8ACC9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91440</xdr:colOff>
      <xdr:row>47</xdr:row>
      <xdr:rowOff>129540</xdr:rowOff>
    </xdr:from>
    <xdr:to>
      <xdr:col>46</xdr:col>
      <xdr:colOff>396240</xdr:colOff>
      <xdr:row>64</xdr:row>
      <xdr:rowOff>106680</xdr:rowOff>
    </xdr:to>
    <xdr:graphicFrame macro="">
      <xdr:nvGraphicFramePr>
        <xdr:cNvPr id="15" name="Chart 14">
          <a:extLst>
            <a:ext uri="{FF2B5EF4-FFF2-40B4-BE49-F238E27FC236}">
              <a16:creationId xmlns:a16="http://schemas.microsoft.com/office/drawing/2014/main" id="{E0B43B73-1573-43A5-A84C-7B2C5785E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129540</xdr:colOff>
      <xdr:row>3</xdr:row>
      <xdr:rowOff>62865</xdr:rowOff>
    </xdr:from>
    <xdr:to>
      <xdr:col>22</xdr:col>
      <xdr:colOff>354329</xdr:colOff>
      <xdr:row>6</xdr:row>
      <xdr:rowOff>159615</xdr:rowOff>
    </xdr:to>
    <xdr:grpSp>
      <xdr:nvGrpSpPr>
        <xdr:cNvPr id="8" name="Group 7">
          <a:extLst>
            <a:ext uri="{FF2B5EF4-FFF2-40B4-BE49-F238E27FC236}">
              <a16:creationId xmlns:a16="http://schemas.microsoft.com/office/drawing/2014/main" id="{98B6F568-5F49-43A8-A6D3-EA65F68B8B10}"/>
            </a:ext>
          </a:extLst>
        </xdr:cNvPr>
        <xdr:cNvGrpSpPr/>
      </xdr:nvGrpSpPr>
      <xdr:grpSpPr>
        <a:xfrm>
          <a:off x="10033312" y="642163"/>
          <a:ext cx="5037421" cy="865434"/>
          <a:chOff x="340996" y="53745"/>
          <a:chExt cx="5036819" cy="773025"/>
        </a:xfrm>
      </xdr:grpSpPr>
      <xdr:sp macro="" textlink="">
        <xdr:nvSpPr>
          <xdr:cNvPr id="9" name="TextBox 8">
            <a:extLst>
              <a:ext uri="{FF2B5EF4-FFF2-40B4-BE49-F238E27FC236}">
                <a16:creationId xmlns:a16="http://schemas.microsoft.com/office/drawing/2014/main" id="{258C0BD6-66A2-D2CD-1A75-D4A5DC3DA0D1}"/>
              </a:ext>
            </a:extLst>
          </xdr:cNvPr>
          <xdr:cNvSpPr txBox="1"/>
        </xdr:nvSpPr>
        <xdr:spPr>
          <a:xfrm>
            <a:off x="1216851" y="226302"/>
            <a:ext cx="4160964" cy="341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a:t>
            </a:r>
          </a:p>
        </xdr:txBody>
      </xdr:sp>
      <xdr:pic>
        <xdr:nvPicPr>
          <xdr:cNvPr id="10" name="Picture 9">
            <a:extLst>
              <a:ext uri="{FF2B5EF4-FFF2-40B4-BE49-F238E27FC236}">
                <a16:creationId xmlns:a16="http://schemas.microsoft.com/office/drawing/2014/main" id="{C5FB0C3B-EF3C-B882-9EB3-9105F055B07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40996" y="53745"/>
            <a:ext cx="883920" cy="773025"/>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ic\Downloads\RMA2_G1Scoresheet_v2%20BOSY.xlsx" TargetMode="External"/><Relationship Id="rId1" Type="http://schemas.openxmlformats.org/officeDocument/2006/relationships/externalLinkPath" Target="file:///C:\Users\maric\Downloads\RMA2_G1Scoresheet_v2%20BOS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aric\OneDrive\Desktop\RES%20-%20MATH%20REPORTS\RMA2_G2Scoresheet_v2.xlsx" TargetMode="External"/><Relationship Id="rId1" Type="http://schemas.openxmlformats.org/officeDocument/2006/relationships/externalLinkPath" Target="RMA2_G2Scoresheet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1 RMA Scoresheet"/>
      <sheetName val="List"/>
      <sheetName val="Class Summary"/>
    </sheetNames>
    <sheetDataSet>
      <sheetData sheetId="0">
        <row r="10">
          <cell r="D10" t="str">
            <v>Male</v>
          </cell>
          <cell r="Q10">
            <v>28</v>
          </cell>
        </row>
        <row r="11">
          <cell r="D11" t="str">
            <v>Male</v>
          </cell>
          <cell r="Q11">
            <v>31</v>
          </cell>
        </row>
        <row r="12">
          <cell r="D12" t="str">
            <v>Male</v>
          </cell>
          <cell r="Q12">
            <v>3</v>
          </cell>
        </row>
        <row r="13">
          <cell r="D13" t="str">
            <v>Male</v>
          </cell>
          <cell r="Q13">
            <v>1</v>
          </cell>
        </row>
        <row r="14">
          <cell r="D14" t="str">
            <v>Male</v>
          </cell>
          <cell r="Q14">
            <v>2</v>
          </cell>
        </row>
        <row r="15">
          <cell r="D15" t="str">
            <v>Male</v>
          </cell>
          <cell r="Q15">
            <v>4</v>
          </cell>
        </row>
        <row r="16">
          <cell r="D16" t="str">
            <v>Male</v>
          </cell>
          <cell r="Q16">
            <v>15</v>
          </cell>
        </row>
        <row r="17">
          <cell r="D17" t="str">
            <v>Male</v>
          </cell>
          <cell r="Q17">
            <v>21</v>
          </cell>
        </row>
        <row r="18">
          <cell r="D18" t="str">
            <v>Male</v>
          </cell>
          <cell r="Q18">
            <v>1</v>
          </cell>
        </row>
        <row r="19">
          <cell r="D19" t="str">
            <v>Male</v>
          </cell>
          <cell r="Q19">
            <v>1</v>
          </cell>
        </row>
        <row r="20">
          <cell r="D20" t="str">
            <v>Female</v>
          </cell>
          <cell r="Q20">
            <v>26</v>
          </cell>
        </row>
        <row r="21">
          <cell r="D21" t="str">
            <v>Female</v>
          </cell>
          <cell r="Q21">
            <v>29</v>
          </cell>
        </row>
        <row r="22">
          <cell r="D22" t="str">
            <v>Female</v>
          </cell>
          <cell r="Q22">
            <v>26</v>
          </cell>
        </row>
        <row r="23">
          <cell r="D23" t="str">
            <v>Female</v>
          </cell>
          <cell r="Q23">
            <v>28</v>
          </cell>
        </row>
        <row r="24">
          <cell r="Q24" t="str">
            <v/>
          </cell>
        </row>
        <row r="25">
          <cell r="Q25" t="str">
            <v/>
          </cell>
        </row>
        <row r="26">
          <cell r="Q26" t="str">
            <v/>
          </cell>
        </row>
        <row r="27">
          <cell r="Q27" t="str">
            <v/>
          </cell>
        </row>
        <row r="28">
          <cell r="Q28" t="str">
            <v/>
          </cell>
        </row>
        <row r="29">
          <cell r="Q29" t="str">
            <v/>
          </cell>
        </row>
        <row r="30">
          <cell r="Q30" t="str">
            <v/>
          </cell>
        </row>
        <row r="31">
          <cell r="Q31" t="str">
            <v/>
          </cell>
        </row>
        <row r="32">
          <cell r="Q32" t="str">
            <v/>
          </cell>
        </row>
        <row r="33">
          <cell r="Q33" t="str">
            <v/>
          </cell>
        </row>
        <row r="34">
          <cell r="Q34" t="str">
            <v/>
          </cell>
        </row>
        <row r="35">
          <cell r="Q35" t="str">
            <v/>
          </cell>
        </row>
        <row r="36">
          <cell r="Q36" t="str">
            <v/>
          </cell>
        </row>
        <row r="37">
          <cell r="Q37" t="str">
            <v/>
          </cell>
        </row>
        <row r="38">
          <cell r="Q38" t="str">
            <v/>
          </cell>
        </row>
        <row r="39">
          <cell r="Q39" t="str">
            <v/>
          </cell>
        </row>
        <row r="40">
          <cell r="Q40" t="str">
            <v/>
          </cell>
        </row>
        <row r="41">
          <cell r="Q41" t="str">
            <v/>
          </cell>
        </row>
        <row r="42">
          <cell r="Q42" t="str">
            <v/>
          </cell>
        </row>
        <row r="43">
          <cell r="Q43" t="str">
            <v/>
          </cell>
        </row>
        <row r="44">
          <cell r="Q44" t="str">
            <v/>
          </cell>
        </row>
        <row r="45">
          <cell r="Q45" t="str">
            <v/>
          </cell>
        </row>
        <row r="46">
          <cell r="Q46" t="str">
            <v/>
          </cell>
        </row>
        <row r="47">
          <cell r="Q47" t="str">
            <v/>
          </cell>
        </row>
        <row r="48">
          <cell r="Q48" t="str">
            <v/>
          </cell>
        </row>
        <row r="49">
          <cell r="Q49" t="str">
            <v/>
          </cell>
        </row>
        <row r="50">
          <cell r="Q50" t="str">
            <v/>
          </cell>
        </row>
        <row r="51">
          <cell r="Q51" t="str">
            <v/>
          </cell>
        </row>
        <row r="52">
          <cell r="Q52" t="str">
            <v/>
          </cell>
        </row>
        <row r="53">
          <cell r="Q53" t="str">
            <v/>
          </cell>
        </row>
        <row r="54">
          <cell r="Q54" t="str">
            <v/>
          </cell>
        </row>
        <row r="55">
          <cell r="Q55" t="str">
            <v/>
          </cell>
        </row>
        <row r="56">
          <cell r="Q56" t="str">
            <v/>
          </cell>
        </row>
        <row r="57">
          <cell r="Q57" t="str">
            <v/>
          </cell>
        </row>
        <row r="58">
          <cell r="Q58" t="str">
            <v/>
          </cell>
        </row>
        <row r="59">
          <cell r="Q59" t="str">
            <v/>
          </cell>
        </row>
        <row r="60">
          <cell r="Q60" t="str">
            <v/>
          </cell>
        </row>
        <row r="61">
          <cell r="Q61" t="str">
            <v/>
          </cell>
        </row>
        <row r="62">
          <cell r="Q62" t="str">
            <v/>
          </cell>
        </row>
        <row r="63">
          <cell r="Q63" t="str">
            <v/>
          </cell>
        </row>
        <row r="64">
          <cell r="Q64" t="str">
            <v/>
          </cell>
        </row>
        <row r="65">
          <cell r="Q65" t="str">
            <v/>
          </cell>
        </row>
        <row r="66">
          <cell r="Q66" t="str">
            <v/>
          </cell>
        </row>
        <row r="67">
          <cell r="Q67" t="str">
            <v/>
          </cell>
        </row>
        <row r="68">
          <cell r="Q68" t="str">
            <v/>
          </cell>
        </row>
        <row r="69">
          <cell r="Q69" t="str">
            <v/>
          </cell>
        </row>
        <row r="70">
          <cell r="Q70" t="str">
            <v/>
          </cell>
        </row>
        <row r="71">
          <cell r="Q71" t="str">
            <v/>
          </cell>
        </row>
        <row r="72">
          <cell r="Q72" t="str">
            <v/>
          </cell>
        </row>
        <row r="73">
          <cell r="Q73" t="str">
            <v/>
          </cell>
        </row>
        <row r="74">
          <cell r="Q74" t="str">
            <v/>
          </cell>
        </row>
        <row r="75">
          <cell r="Q75" t="str">
            <v/>
          </cell>
        </row>
        <row r="76">
          <cell r="Q76" t="str">
            <v/>
          </cell>
        </row>
        <row r="77">
          <cell r="Q77" t="str">
            <v/>
          </cell>
        </row>
        <row r="78">
          <cell r="Q78" t="str">
            <v/>
          </cell>
        </row>
        <row r="79">
          <cell r="Q79" t="str">
            <v/>
          </cell>
        </row>
        <row r="80">
          <cell r="Q80" t="str">
            <v/>
          </cell>
        </row>
        <row r="81">
          <cell r="Q81" t="str">
            <v/>
          </cell>
        </row>
        <row r="82">
          <cell r="Q82" t="str">
            <v/>
          </cell>
        </row>
        <row r="83">
          <cell r="Q83" t="str">
            <v/>
          </cell>
        </row>
        <row r="84">
          <cell r="Q84" t="str">
            <v/>
          </cell>
        </row>
        <row r="85">
          <cell r="Q85" t="str">
            <v/>
          </cell>
        </row>
        <row r="86">
          <cell r="Q86" t="str">
            <v/>
          </cell>
        </row>
        <row r="87">
          <cell r="Q87" t="str">
            <v/>
          </cell>
        </row>
        <row r="88">
          <cell r="Q88" t="str">
            <v/>
          </cell>
        </row>
        <row r="89">
          <cell r="Q89" t="str">
            <v/>
          </cell>
        </row>
        <row r="90">
          <cell r="Q90" t="str">
            <v/>
          </cell>
        </row>
        <row r="91">
          <cell r="Q91" t="str">
            <v/>
          </cell>
        </row>
        <row r="92">
          <cell r="Q92" t="str">
            <v/>
          </cell>
        </row>
        <row r="93">
          <cell r="Q93" t="str">
            <v/>
          </cell>
        </row>
        <row r="94">
          <cell r="Q94" t="str">
            <v/>
          </cell>
        </row>
        <row r="95">
          <cell r="Q95" t="str">
            <v/>
          </cell>
        </row>
        <row r="96">
          <cell r="Q96" t="str">
            <v/>
          </cell>
        </row>
        <row r="97">
          <cell r="Q97" t="str">
            <v/>
          </cell>
        </row>
        <row r="98">
          <cell r="Q98" t="str">
            <v/>
          </cell>
        </row>
        <row r="99">
          <cell r="Q99" t="str">
            <v/>
          </cell>
        </row>
        <row r="100">
          <cell r="Q100" t="str">
            <v/>
          </cell>
        </row>
        <row r="101">
          <cell r="Q101" t="str">
            <v/>
          </cell>
        </row>
        <row r="102">
          <cell r="Q102" t="str">
            <v/>
          </cell>
        </row>
        <row r="103">
          <cell r="Q103" t="str">
            <v/>
          </cell>
        </row>
        <row r="104">
          <cell r="Q104" t="str">
            <v/>
          </cell>
        </row>
        <row r="105">
          <cell r="Q105" t="str">
            <v/>
          </cell>
        </row>
        <row r="106">
          <cell r="Q106" t="str">
            <v/>
          </cell>
        </row>
        <row r="107">
          <cell r="Q107" t="str">
            <v/>
          </cell>
        </row>
        <row r="108">
          <cell r="Q108" t="str">
            <v/>
          </cell>
        </row>
        <row r="109">
          <cell r="Q109" t="str">
            <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2 RMA Scoresheet"/>
      <sheetName val="List"/>
      <sheetName val="Class Summary"/>
    </sheetNames>
    <sheetDataSet>
      <sheetData sheetId="0">
        <row r="10">
          <cell r="D10" t="str">
            <v>Male</v>
          </cell>
          <cell r="T10">
            <v>3</v>
          </cell>
        </row>
        <row r="11">
          <cell r="D11" t="str">
            <v>Male</v>
          </cell>
          <cell r="T11">
            <v>1</v>
          </cell>
        </row>
        <row r="12">
          <cell r="D12" t="str">
            <v>Male</v>
          </cell>
          <cell r="T12">
            <v>4</v>
          </cell>
        </row>
        <row r="13">
          <cell r="D13" t="str">
            <v>Male</v>
          </cell>
          <cell r="T13">
            <v>12</v>
          </cell>
        </row>
        <row r="14">
          <cell r="D14" t="str">
            <v>Male</v>
          </cell>
          <cell r="T14">
            <v>6</v>
          </cell>
        </row>
        <row r="15">
          <cell r="D15" t="str">
            <v>Male</v>
          </cell>
          <cell r="T15">
            <v>1</v>
          </cell>
        </row>
        <row r="16">
          <cell r="D16" t="str">
            <v>Male</v>
          </cell>
          <cell r="T16">
            <v>1</v>
          </cell>
        </row>
        <row r="17">
          <cell r="D17" t="str">
            <v>Female</v>
          </cell>
          <cell r="T17">
            <v>1</v>
          </cell>
        </row>
        <row r="18">
          <cell r="D18" t="str">
            <v>Female</v>
          </cell>
          <cell r="T18">
            <v>8</v>
          </cell>
        </row>
        <row r="19">
          <cell r="D19" t="str">
            <v>Female</v>
          </cell>
          <cell r="T19">
            <v>7</v>
          </cell>
        </row>
        <row r="20">
          <cell r="D20" t="str">
            <v>Female</v>
          </cell>
          <cell r="T20">
            <v>8</v>
          </cell>
        </row>
        <row r="21">
          <cell r="D21" t="str">
            <v>Female</v>
          </cell>
          <cell r="T21">
            <v>6</v>
          </cell>
        </row>
        <row r="22">
          <cell r="D22" t="str">
            <v>Female</v>
          </cell>
          <cell r="T22">
            <v>1</v>
          </cell>
        </row>
        <row r="23">
          <cell r="D23" t="str">
            <v>Female</v>
          </cell>
          <cell r="T23">
            <v>10</v>
          </cell>
        </row>
        <row r="24">
          <cell r="D24" t="str">
            <v>Female</v>
          </cell>
          <cell r="T24">
            <v>7</v>
          </cell>
        </row>
        <row r="25">
          <cell r="D25"/>
          <cell r="T25" t="str">
            <v/>
          </cell>
        </row>
        <row r="26">
          <cell r="D26"/>
          <cell r="T26" t="str">
            <v/>
          </cell>
        </row>
        <row r="27">
          <cell r="D27"/>
          <cell r="T27" t="str">
            <v/>
          </cell>
        </row>
        <row r="28">
          <cell r="D28"/>
          <cell r="T28" t="str">
            <v/>
          </cell>
        </row>
        <row r="29">
          <cell r="D29"/>
          <cell r="T29" t="str">
            <v/>
          </cell>
        </row>
        <row r="30">
          <cell r="D30"/>
          <cell r="T30" t="str">
            <v/>
          </cell>
        </row>
        <row r="31">
          <cell r="D31"/>
          <cell r="T31" t="str">
            <v/>
          </cell>
        </row>
        <row r="32">
          <cell r="D32"/>
          <cell r="T32" t="str">
            <v/>
          </cell>
        </row>
        <row r="33">
          <cell r="D33"/>
          <cell r="T33" t="str">
            <v/>
          </cell>
        </row>
        <row r="34">
          <cell r="D34"/>
          <cell r="T34" t="str">
            <v/>
          </cell>
        </row>
        <row r="35">
          <cell r="D35"/>
          <cell r="T35" t="str">
            <v/>
          </cell>
        </row>
        <row r="36">
          <cell r="D36"/>
          <cell r="T36" t="str">
            <v/>
          </cell>
        </row>
        <row r="37">
          <cell r="D37"/>
          <cell r="T37" t="str">
            <v/>
          </cell>
        </row>
        <row r="38">
          <cell r="D38"/>
          <cell r="T38" t="str">
            <v/>
          </cell>
        </row>
        <row r="39">
          <cell r="D39"/>
          <cell r="T39" t="str">
            <v/>
          </cell>
        </row>
        <row r="40">
          <cell r="D40"/>
          <cell r="T40" t="str">
            <v/>
          </cell>
        </row>
        <row r="41">
          <cell r="D41"/>
          <cell r="T41" t="str">
            <v/>
          </cell>
        </row>
        <row r="42">
          <cell r="D42"/>
          <cell r="T42" t="str">
            <v/>
          </cell>
        </row>
        <row r="43">
          <cell r="D43"/>
          <cell r="T43" t="str">
            <v/>
          </cell>
        </row>
        <row r="44">
          <cell r="D44"/>
          <cell r="T44" t="str">
            <v/>
          </cell>
        </row>
        <row r="45">
          <cell r="D45"/>
          <cell r="T45" t="str">
            <v/>
          </cell>
        </row>
        <row r="46">
          <cell r="D46"/>
          <cell r="T46" t="str">
            <v/>
          </cell>
        </row>
        <row r="47">
          <cell r="D47"/>
          <cell r="T47" t="str">
            <v/>
          </cell>
        </row>
        <row r="48">
          <cell r="D48"/>
          <cell r="T48" t="str">
            <v/>
          </cell>
        </row>
        <row r="49">
          <cell r="D49"/>
          <cell r="T49" t="str">
            <v/>
          </cell>
        </row>
        <row r="50">
          <cell r="D50"/>
          <cell r="T50" t="str">
            <v/>
          </cell>
        </row>
        <row r="51">
          <cell r="D51"/>
          <cell r="T51" t="str">
            <v/>
          </cell>
        </row>
        <row r="52">
          <cell r="D52"/>
          <cell r="T52" t="str">
            <v/>
          </cell>
        </row>
        <row r="53">
          <cell r="D53"/>
          <cell r="T53" t="str">
            <v/>
          </cell>
        </row>
        <row r="54">
          <cell r="D54"/>
          <cell r="T54" t="str">
            <v/>
          </cell>
        </row>
        <row r="55">
          <cell r="D55"/>
          <cell r="T55" t="str">
            <v/>
          </cell>
        </row>
        <row r="56">
          <cell r="D56"/>
          <cell r="T56" t="str">
            <v/>
          </cell>
        </row>
        <row r="57">
          <cell r="D57"/>
          <cell r="T57" t="str">
            <v/>
          </cell>
        </row>
        <row r="58">
          <cell r="D58"/>
          <cell r="T58" t="str">
            <v/>
          </cell>
        </row>
        <row r="59">
          <cell r="D59"/>
          <cell r="T59" t="str">
            <v/>
          </cell>
        </row>
        <row r="60">
          <cell r="D60"/>
          <cell r="T60" t="str">
            <v/>
          </cell>
        </row>
        <row r="61">
          <cell r="D61"/>
          <cell r="T61" t="str">
            <v/>
          </cell>
        </row>
        <row r="62">
          <cell r="D62"/>
          <cell r="T62" t="str">
            <v/>
          </cell>
        </row>
        <row r="63">
          <cell r="D63"/>
          <cell r="T63" t="str">
            <v/>
          </cell>
        </row>
        <row r="64">
          <cell r="D64"/>
          <cell r="T64" t="str">
            <v/>
          </cell>
        </row>
        <row r="65">
          <cell r="D65"/>
          <cell r="T65" t="str">
            <v/>
          </cell>
        </row>
        <row r="66">
          <cell r="D66"/>
          <cell r="T66" t="str">
            <v/>
          </cell>
        </row>
        <row r="67">
          <cell r="D67"/>
          <cell r="T67" t="str">
            <v/>
          </cell>
        </row>
        <row r="68">
          <cell r="D68"/>
          <cell r="T68" t="str">
            <v/>
          </cell>
        </row>
        <row r="69">
          <cell r="D69"/>
          <cell r="T69" t="str">
            <v/>
          </cell>
        </row>
        <row r="70">
          <cell r="D70"/>
          <cell r="T70" t="str">
            <v/>
          </cell>
        </row>
        <row r="71">
          <cell r="D71"/>
          <cell r="T71" t="str">
            <v/>
          </cell>
        </row>
        <row r="72">
          <cell r="D72"/>
          <cell r="T72" t="str">
            <v/>
          </cell>
        </row>
        <row r="73">
          <cell r="D73"/>
          <cell r="T73" t="str">
            <v/>
          </cell>
        </row>
        <row r="74">
          <cell r="D74"/>
          <cell r="T74" t="str">
            <v/>
          </cell>
        </row>
        <row r="75">
          <cell r="D75"/>
          <cell r="T75" t="str">
            <v/>
          </cell>
        </row>
        <row r="76">
          <cell r="D76"/>
          <cell r="T76" t="str">
            <v/>
          </cell>
        </row>
        <row r="77">
          <cell r="D77"/>
          <cell r="T77" t="str">
            <v/>
          </cell>
        </row>
        <row r="78">
          <cell r="D78"/>
          <cell r="T78" t="str">
            <v/>
          </cell>
        </row>
        <row r="79">
          <cell r="D79"/>
          <cell r="T79" t="str">
            <v/>
          </cell>
        </row>
        <row r="80">
          <cell r="D80"/>
          <cell r="T80" t="str">
            <v/>
          </cell>
        </row>
        <row r="81">
          <cell r="D81"/>
          <cell r="T81" t="str">
            <v/>
          </cell>
        </row>
        <row r="82">
          <cell r="D82"/>
          <cell r="T82" t="str">
            <v/>
          </cell>
        </row>
        <row r="83">
          <cell r="D83"/>
          <cell r="T83" t="str">
            <v/>
          </cell>
        </row>
        <row r="84">
          <cell r="D84"/>
          <cell r="T84" t="str">
            <v/>
          </cell>
        </row>
        <row r="85">
          <cell r="D85"/>
          <cell r="T85" t="str">
            <v/>
          </cell>
        </row>
        <row r="86">
          <cell r="D86"/>
          <cell r="T86" t="str">
            <v/>
          </cell>
        </row>
        <row r="87">
          <cell r="D87"/>
          <cell r="T87" t="str">
            <v/>
          </cell>
        </row>
        <row r="88">
          <cell r="D88"/>
          <cell r="T88" t="str">
            <v/>
          </cell>
        </row>
        <row r="89">
          <cell r="D89"/>
          <cell r="T89" t="str">
            <v/>
          </cell>
        </row>
        <row r="90">
          <cell r="D90"/>
          <cell r="T90" t="str">
            <v/>
          </cell>
        </row>
        <row r="91">
          <cell r="D91"/>
          <cell r="T91" t="str">
            <v/>
          </cell>
        </row>
        <row r="92">
          <cell r="D92"/>
          <cell r="T92" t="str">
            <v/>
          </cell>
        </row>
        <row r="93">
          <cell r="D93"/>
          <cell r="T93" t="str">
            <v/>
          </cell>
        </row>
        <row r="94">
          <cell r="D94"/>
          <cell r="T94" t="str">
            <v/>
          </cell>
        </row>
        <row r="95">
          <cell r="D95"/>
          <cell r="T95" t="str">
            <v/>
          </cell>
        </row>
        <row r="96">
          <cell r="D96"/>
          <cell r="T96" t="str">
            <v/>
          </cell>
        </row>
        <row r="97">
          <cell r="D97"/>
          <cell r="T97" t="str">
            <v/>
          </cell>
        </row>
        <row r="98">
          <cell r="D98"/>
          <cell r="T98" t="str">
            <v/>
          </cell>
        </row>
        <row r="99">
          <cell r="D99"/>
          <cell r="T99" t="str">
            <v/>
          </cell>
        </row>
        <row r="100">
          <cell r="D100"/>
          <cell r="T100" t="str">
            <v/>
          </cell>
        </row>
        <row r="101">
          <cell r="D101"/>
          <cell r="T101" t="str">
            <v/>
          </cell>
        </row>
        <row r="102">
          <cell r="D102"/>
          <cell r="T102" t="str">
            <v/>
          </cell>
        </row>
        <row r="103">
          <cell r="D103"/>
          <cell r="T103" t="str">
            <v/>
          </cell>
        </row>
        <row r="104">
          <cell r="D104"/>
          <cell r="T104" t="str">
            <v/>
          </cell>
        </row>
        <row r="105">
          <cell r="D105"/>
          <cell r="T105" t="str">
            <v/>
          </cell>
        </row>
        <row r="106">
          <cell r="D106"/>
          <cell r="T106" t="str">
            <v/>
          </cell>
        </row>
        <row r="107">
          <cell r="D107"/>
          <cell r="T107" t="str">
            <v/>
          </cell>
        </row>
        <row r="108">
          <cell r="D108"/>
          <cell r="T108" t="str">
            <v/>
          </cell>
        </row>
        <row r="109">
          <cell r="D109"/>
          <cell r="T109" t="str">
            <v/>
          </cell>
        </row>
      </sheetData>
      <sheetData sheetId="1"/>
      <sheetData sheetId="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1"/>
  <dimension ref="A1:AF362"/>
  <sheetViews>
    <sheetView zoomScale="72" workbookViewId="0">
      <pane xSplit="3" ySplit="9" topLeftCell="D27" activePane="bottomRight" state="frozen"/>
      <selection pane="topRight" activeCell="D1" sqref="D1"/>
      <selection pane="bottomLeft" activeCell="A8" sqref="A8"/>
      <selection pane="bottomRight" activeCell="E14" sqref="E14"/>
    </sheetView>
  </sheetViews>
  <sheetFormatPr defaultColWidth="0" defaultRowHeight="14.5" x14ac:dyDescent="0.35"/>
  <cols>
    <col min="1" max="1" width="14.54296875" customWidth="1"/>
    <col min="2" max="2" width="11.7265625" customWidth="1"/>
    <col min="3" max="3" width="10.453125" customWidth="1"/>
    <col min="4" max="4" width="15.1796875" style="1" customWidth="1"/>
    <col min="5" max="5" width="11" style="1" customWidth="1"/>
    <col min="6" max="6" width="9.26953125" style="1" customWidth="1"/>
    <col min="7" max="7" width="8.81640625" style="1" customWidth="1"/>
    <col min="8" max="8" width="8.7265625" style="1" customWidth="1"/>
    <col min="9" max="9" width="8.1796875" style="1" customWidth="1"/>
    <col min="10" max="10" width="8.453125" style="1" customWidth="1"/>
    <col min="11" max="11" width="9.453125" style="1" customWidth="1"/>
    <col min="12" max="12" width="6.7265625" style="86" customWidth="1"/>
    <col min="13" max="22" width="7.7265625" style="86" customWidth="1"/>
    <col min="23" max="23" width="7.7265625" style="1" customWidth="1"/>
    <col min="24" max="24" width="17.54296875" customWidth="1"/>
    <col min="25" max="26" width="13.7265625" customWidth="1"/>
    <col min="27" max="27" width="13.7265625" hidden="1" customWidth="1"/>
    <col min="28" max="28" width="13.7265625" customWidth="1"/>
    <col min="29" max="30" width="8.81640625" customWidth="1"/>
    <col min="31" max="32" width="0" hidden="1" customWidth="1"/>
    <col min="33" max="16384" width="8.81640625" hidden="1"/>
  </cols>
  <sheetData>
    <row r="1" spans="1:28" x14ac:dyDescent="0.35">
      <c r="A1" t="s">
        <v>0</v>
      </c>
      <c r="L1" s="1"/>
      <c r="M1" s="1"/>
      <c r="N1" s="1"/>
      <c r="O1" s="1"/>
      <c r="P1" s="1"/>
      <c r="Q1" s="1"/>
      <c r="R1" s="1"/>
      <c r="S1" s="1"/>
      <c r="T1" s="1"/>
      <c r="U1" s="1"/>
      <c r="V1" s="73" t="str">
        <f>X1</f>
        <v>RMA2v2</v>
      </c>
      <c r="X1" t="s">
        <v>0</v>
      </c>
    </row>
    <row r="2" spans="1:28" ht="15.5" x14ac:dyDescent="0.35">
      <c r="A2" s="152" t="s">
        <v>1</v>
      </c>
      <c r="B2" s="152"/>
      <c r="C2" s="152"/>
      <c r="D2" s="152"/>
      <c r="E2" s="152"/>
      <c r="F2" s="7"/>
      <c r="G2" s="7"/>
      <c r="H2" s="7"/>
      <c r="L2" s="1"/>
      <c r="M2" s="1"/>
      <c r="N2" s="1"/>
      <c r="O2" s="1"/>
      <c r="P2" s="1"/>
      <c r="Q2" s="1"/>
      <c r="R2" s="1"/>
      <c r="S2" s="1"/>
      <c r="T2" s="1"/>
      <c r="U2" s="1"/>
      <c r="V2" s="1"/>
    </row>
    <row r="3" spans="1:28" ht="15" thickBot="1" x14ac:dyDescent="0.4">
      <c r="L3" s="1"/>
      <c r="M3" s="1"/>
      <c r="N3" s="1"/>
      <c r="O3" s="1"/>
      <c r="P3" s="1"/>
      <c r="Q3" s="1"/>
      <c r="R3" s="1"/>
      <c r="S3" s="1"/>
      <c r="T3" s="1"/>
      <c r="U3" s="1"/>
      <c r="V3" s="1"/>
    </row>
    <row r="4" spans="1:28" x14ac:dyDescent="0.35">
      <c r="A4" s="2" t="s">
        <v>2</v>
      </c>
      <c r="B4" s="22">
        <v>117443</v>
      </c>
      <c r="C4" s="23"/>
      <c r="G4" s="166" t="s">
        <v>3</v>
      </c>
      <c r="H4" s="167"/>
      <c r="I4" s="167"/>
      <c r="J4" s="167"/>
      <c r="K4" s="167"/>
      <c r="L4" s="168"/>
      <c r="U4" s="1"/>
      <c r="V4" s="1"/>
    </row>
    <row r="5" spans="1:28" ht="22.15" customHeight="1" x14ac:dyDescent="0.35">
      <c r="A5" s="2" t="s">
        <v>4</v>
      </c>
      <c r="B5" s="158" t="s">
        <v>5</v>
      </c>
      <c r="C5" s="158"/>
      <c r="D5" s="158"/>
      <c r="G5" s="169" t="s">
        <v>6</v>
      </c>
      <c r="H5" s="170"/>
      <c r="I5" s="159" t="s">
        <v>7</v>
      </c>
      <c r="J5" s="170"/>
      <c r="K5" s="159" t="s">
        <v>8</v>
      </c>
      <c r="L5" s="160"/>
      <c r="U5" s="1"/>
      <c r="V5" s="1"/>
    </row>
    <row r="6" spans="1:28" ht="21" customHeight="1" thickBot="1" x14ac:dyDescent="0.4">
      <c r="A6" s="2"/>
      <c r="B6" s="23"/>
      <c r="C6" s="23"/>
      <c r="G6" s="161" t="s">
        <v>9</v>
      </c>
      <c r="H6" s="171"/>
      <c r="I6" s="161" t="s">
        <v>9</v>
      </c>
      <c r="J6" s="171"/>
      <c r="K6" s="161" t="s">
        <v>9</v>
      </c>
      <c r="L6" s="162"/>
      <c r="U6" s="1"/>
      <c r="V6" s="1"/>
    </row>
    <row r="7" spans="1:28" ht="15" thickBot="1" x14ac:dyDescent="0.4">
      <c r="A7" s="2"/>
      <c r="B7" s="23"/>
      <c r="C7" s="23"/>
      <c r="L7" s="1"/>
      <c r="M7" s="1"/>
      <c r="N7" s="1"/>
      <c r="O7" s="1"/>
      <c r="P7" s="1"/>
      <c r="Q7" s="1"/>
      <c r="R7" s="1"/>
      <c r="S7" s="1"/>
      <c r="T7" s="1"/>
      <c r="U7" s="1"/>
      <c r="V7" s="1"/>
    </row>
    <row r="8" spans="1:28" ht="16.149999999999999" customHeight="1" x14ac:dyDescent="0.35">
      <c r="A8" s="153" t="s">
        <v>10</v>
      </c>
      <c r="B8" s="10"/>
      <c r="C8" s="10"/>
      <c r="D8" s="155" t="s">
        <v>11</v>
      </c>
      <c r="E8" s="149" t="s">
        <v>12</v>
      </c>
      <c r="F8" s="122" t="s">
        <v>13</v>
      </c>
      <c r="G8" s="163" t="s">
        <v>12</v>
      </c>
      <c r="H8" s="164"/>
      <c r="I8" s="164"/>
      <c r="J8" s="164"/>
      <c r="K8" s="165"/>
      <c r="L8" s="119" t="s">
        <v>14</v>
      </c>
      <c r="M8" s="119"/>
      <c r="N8" s="119"/>
      <c r="O8" s="119"/>
      <c r="P8" s="119"/>
      <c r="Q8" s="119"/>
      <c r="R8" s="119"/>
      <c r="S8" s="119"/>
      <c r="T8" s="119"/>
      <c r="U8" s="119"/>
      <c r="V8" s="119"/>
      <c r="W8" s="50"/>
      <c r="X8" s="150" t="s">
        <v>15</v>
      </c>
      <c r="Y8" s="40"/>
      <c r="Z8" s="40"/>
      <c r="AA8" s="40"/>
      <c r="AB8" s="40"/>
    </row>
    <row r="9" spans="1:28" ht="48.5" thickBot="1" x14ac:dyDescent="0.4">
      <c r="A9" s="154"/>
      <c r="B9" s="27" t="s">
        <v>16</v>
      </c>
      <c r="C9" s="27" t="s">
        <v>17</v>
      </c>
      <c r="D9" s="156"/>
      <c r="E9" s="157"/>
      <c r="F9" s="142"/>
      <c r="G9" s="80" t="s">
        <v>18</v>
      </c>
      <c r="H9" s="80" t="s">
        <v>19</v>
      </c>
      <c r="I9" s="80" t="s">
        <v>20</v>
      </c>
      <c r="J9" s="80" t="s">
        <v>21</v>
      </c>
      <c r="K9" s="80" t="s">
        <v>22</v>
      </c>
      <c r="L9" s="30" t="s">
        <v>23</v>
      </c>
      <c r="M9" s="30" t="s">
        <v>24</v>
      </c>
      <c r="N9" s="30" t="s">
        <v>25</v>
      </c>
      <c r="O9" s="30" t="s">
        <v>26</v>
      </c>
      <c r="P9" s="30" t="s">
        <v>27</v>
      </c>
      <c r="Q9" s="30" t="s">
        <v>28</v>
      </c>
      <c r="R9" s="30" t="s">
        <v>29</v>
      </c>
      <c r="S9" s="30" t="s">
        <v>30</v>
      </c>
      <c r="T9" s="31" t="s">
        <v>31</v>
      </c>
      <c r="U9" s="30" t="s">
        <v>32</v>
      </c>
      <c r="V9" s="30" t="s">
        <v>33</v>
      </c>
      <c r="W9" s="51" t="s">
        <v>34</v>
      </c>
      <c r="X9" s="151"/>
      <c r="Y9" s="40"/>
      <c r="Z9" s="40"/>
      <c r="AA9" s="40"/>
      <c r="AB9" s="40"/>
    </row>
    <row r="10" spans="1:28" ht="19.899999999999999" customHeight="1" x14ac:dyDescent="0.35">
      <c r="A10" s="17" t="s">
        <v>6</v>
      </c>
      <c r="B10" s="18">
        <v>1</v>
      </c>
      <c r="C10" s="18" t="s">
        <v>35</v>
      </c>
      <c r="D10" s="20"/>
      <c r="E10" s="19">
        <v>10</v>
      </c>
      <c r="F10" s="33">
        <v>10</v>
      </c>
      <c r="G10" s="33">
        <v>6</v>
      </c>
      <c r="H10" s="33">
        <v>1</v>
      </c>
      <c r="I10" s="34">
        <v>1</v>
      </c>
      <c r="J10" s="34">
        <v>1</v>
      </c>
      <c r="K10" s="34">
        <v>1</v>
      </c>
      <c r="L10" s="34">
        <v>4</v>
      </c>
      <c r="M10" s="34">
        <v>1</v>
      </c>
      <c r="N10" s="34">
        <v>4</v>
      </c>
      <c r="O10" s="34">
        <v>1</v>
      </c>
      <c r="P10" s="34">
        <v>2</v>
      </c>
      <c r="Q10" s="34">
        <v>4</v>
      </c>
      <c r="R10" s="34">
        <v>0</v>
      </c>
      <c r="S10" s="34">
        <v>1</v>
      </c>
      <c r="T10" s="74"/>
      <c r="U10" s="74"/>
      <c r="V10" s="74"/>
      <c r="W10" s="105">
        <f>IFERROR(AVERAGEIFS('[1]G1 RMA Scoresheet'!Q$10:Q$109,'[1]G1 RMA Scoresheet'!$D$10:$D$109,$C10),"")</f>
        <v>10.7</v>
      </c>
      <c r="X10" s="28" t="str">
        <f>IF(ISBLANK(A10)," ",IF(SUM(G10:K10)=E10,"Data Validated","Data with Error"))</f>
        <v>Data Validated</v>
      </c>
      <c r="AA10" t="s">
        <v>36</v>
      </c>
    </row>
    <row r="11" spans="1:28" ht="20.5" customHeight="1" x14ac:dyDescent="0.35">
      <c r="A11" s="24" t="s">
        <v>6</v>
      </c>
      <c r="B11" s="25">
        <v>1</v>
      </c>
      <c r="C11" s="25" t="s">
        <v>37</v>
      </c>
      <c r="D11" s="21"/>
      <c r="E11" s="26">
        <v>4</v>
      </c>
      <c r="F11" s="35">
        <v>4</v>
      </c>
      <c r="G11" s="35">
        <v>0</v>
      </c>
      <c r="H11" s="35">
        <v>0</v>
      </c>
      <c r="I11" s="36">
        <v>2</v>
      </c>
      <c r="J11" s="36">
        <v>2</v>
      </c>
      <c r="K11" s="36">
        <v>0</v>
      </c>
      <c r="L11" s="36">
        <v>3</v>
      </c>
      <c r="M11" s="36">
        <v>1</v>
      </c>
      <c r="N11" s="36">
        <v>3</v>
      </c>
      <c r="O11" s="36">
        <v>3</v>
      </c>
      <c r="P11" s="36">
        <v>3</v>
      </c>
      <c r="Q11" s="36">
        <v>3</v>
      </c>
      <c r="R11" s="36">
        <v>0</v>
      </c>
      <c r="S11" s="36">
        <v>0</v>
      </c>
      <c r="T11" s="36"/>
      <c r="U11" s="36"/>
      <c r="V11" s="36"/>
      <c r="W11" s="104">
        <f>IFERROR(AVERAGEIFS('[1]G1 RMA Scoresheet'!Q$10:Q$109,'[1]G1 RMA Scoresheet'!$D$10:$D$109,$C11),"")</f>
        <v>27.25</v>
      </c>
      <c r="X11" s="29" t="str">
        <f t="shared" ref="X11:X74" si="0">IF(ISBLANK(A11)," ",IF(SUM(G11:K11)=E11,"Data Validated","Data with Error"))</f>
        <v>Data Validated</v>
      </c>
      <c r="AA11" t="s">
        <v>38</v>
      </c>
    </row>
    <row r="12" spans="1:28" ht="19.899999999999999" customHeight="1" x14ac:dyDescent="0.35">
      <c r="A12" s="24" t="s">
        <v>7</v>
      </c>
      <c r="B12" s="25">
        <v>1</v>
      </c>
      <c r="C12" s="25" t="s">
        <v>35</v>
      </c>
      <c r="D12" s="21"/>
      <c r="E12" s="26">
        <v>7</v>
      </c>
      <c r="F12" s="35">
        <v>7</v>
      </c>
      <c r="G12" s="35">
        <v>6</v>
      </c>
      <c r="H12" s="35">
        <v>1</v>
      </c>
      <c r="I12" s="36">
        <v>0</v>
      </c>
      <c r="J12" s="36">
        <v>0</v>
      </c>
      <c r="K12" s="36">
        <v>0</v>
      </c>
      <c r="L12" s="36">
        <v>0</v>
      </c>
      <c r="M12" s="36">
        <v>1</v>
      </c>
      <c r="N12" s="36">
        <v>0</v>
      </c>
      <c r="O12" s="36">
        <v>1</v>
      </c>
      <c r="P12" s="36">
        <v>0</v>
      </c>
      <c r="Q12" s="36">
        <v>0</v>
      </c>
      <c r="R12" s="36">
        <v>0</v>
      </c>
      <c r="S12" s="36">
        <v>0</v>
      </c>
      <c r="T12" s="36">
        <v>2</v>
      </c>
      <c r="U12" s="36">
        <v>0</v>
      </c>
      <c r="V12" s="36">
        <v>6</v>
      </c>
      <c r="W12" s="104" t="str">
        <f>IFERROR(AVERAGEIFS('[2]G2 RMA Scoresheet'!T$10:T$109,'[2]G2 RMA Scoresheet'!$D$10:$D$109,$C12),"")</f>
        <v/>
      </c>
      <c r="X12" s="29" t="str">
        <f t="shared" si="0"/>
        <v>Data Validated</v>
      </c>
      <c r="AA12" t="s">
        <v>39</v>
      </c>
    </row>
    <row r="13" spans="1:28" ht="19.899999999999999" customHeight="1" x14ac:dyDescent="0.35">
      <c r="A13" s="24" t="s">
        <v>7</v>
      </c>
      <c r="B13" s="25">
        <v>1</v>
      </c>
      <c r="C13" s="25" t="s">
        <v>37</v>
      </c>
      <c r="D13" s="21"/>
      <c r="E13" s="26">
        <v>8</v>
      </c>
      <c r="F13" s="35">
        <v>8</v>
      </c>
      <c r="G13" s="35">
        <v>3</v>
      </c>
      <c r="H13" s="35">
        <v>5</v>
      </c>
      <c r="I13" s="36">
        <v>0</v>
      </c>
      <c r="J13" s="36">
        <v>0</v>
      </c>
      <c r="K13" s="36">
        <v>0</v>
      </c>
      <c r="L13" s="36">
        <v>0</v>
      </c>
      <c r="M13" s="36">
        <v>5</v>
      </c>
      <c r="N13" s="36">
        <v>0</v>
      </c>
      <c r="O13" s="36">
        <v>2</v>
      </c>
      <c r="P13" s="36">
        <v>0</v>
      </c>
      <c r="Q13" s="36">
        <v>0</v>
      </c>
      <c r="R13" s="36">
        <v>0</v>
      </c>
      <c r="S13" s="36">
        <v>0</v>
      </c>
      <c r="T13" s="36">
        <v>5</v>
      </c>
      <c r="U13" s="36">
        <v>4</v>
      </c>
      <c r="V13" s="36">
        <v>6</v>
      </c>
      <c r="W13" s="104" t="str">
        <f>IFERROR(AVERAGEIFS('[2]G2 RMA Scoresheet'!T$10:T$109,'[2]G2 RMA Scoresheet'!$D$10:$D$109,$C13),"")</f>
        <v/>
      </c>
      <c r="X13" s="29" t="str">
        <f t="shared" si="0"/>
        <v>Data Validated</v>
      </c>
      <c r="AA13" t="s">
        <v>40</v>
      </c>
    </row>
    <row r="14" spans="1:28" ht="19.899999999999999" customHeight="1" x14ac:dyDescent="0.35">
      <c r="A14" s="24" t="s">
        <v>8</v>
      </c>
      <c r="B14" s="25">
        <v>1</v>
      </c>
      <c r="C14" s="25" t="s">
        <v>35</v>
      </c>
      <c r="D14" s="21"/>
      <c r="E14" s="26">
        <v>10</v>
      </c>
      <c r="F14" s="35">
        <v>10</v>
      </c>
      <c r="G14" s="35">
        <v>0</v>
      </c>
      <c r="H14" s="35">
        <v>0</v>
      </c>
      <c r="I14" s="36">
        <v>2</v>
      </c>
      <c r="J14" s="36">
        <v>2</v>
      </c>
      <c r="K14" s="36">
        <v>6</v>
      </c>
      <c r="L14" s="36">
        <v>10</v>
      </c>
      <c r="M14" s="36">
        <v>10</v>
      </c>
      <c r="N14" s="36">
        <v>10</v>
      </c>
      <c r="O14" s="36">
        <v>6</v>
      </c>
      <c r="P14" s="36">
        <v>7</v>
      </c>
      <c r="Q14" s="36">
        <v>6</v>
      </c>
      <c r="R14" s="36">
        <v>4</v>
      </c>
      <c r="S14" s="36">
        <v>7</v>
      </c>
      <c r="T14" s="36"/>
      <c r="U14" s="36"/>
      <c r="V14" s="36"/>
      <c r="W14" s="104">
        <v>16.600000000000001</v>
      </c>
      <c r="X14" s="29" t="str">
        <f t="shared" si="0"/>
        <v>Data Validated</v>
      </c>
      <c r="AA14" t="s">
        <v>41</v>
      </c>
    </row>
    <row r="15" spans="1:28" ht="19.899999999999999" customHeight="1" x14ac:dyDescent="0.35">
      <c r="A15" s="24" t="s">
        <v>8</v>
      </c>
      <c r="B15" s="25">
        <v>1</v>
      </c>
      <c r="C15" s="25" t="s">
        <v>37</v>
      </c>
      <c r="D15" s="21"/>
      <c r="E15" s="26">
        <v>15</v>
      </c>
      <c r="F15" s="35">
        <v>15</v>
      </c>
      <c r="G15" s="35">
        <v>0</v>
      </c>
      <c r="H15" s="35">
        <v>0</v>
      </c>
      <c r="I15" s="36">
        <v>2</v>
      </c>
      <c r="J15" s="36">
        <v>3</v>
      </c>
      <c r="K15" s="36">
        <v>10</v>
      </c>
      <c r="L15" s="36">
        <v>13</v>
      </c>
      <c r="M15" s="36">
        <v>15</v>
      </c>
      <c r="N15" s="36">
        <v>13</v>
      </c>
      <c r="O15" s="36">
        <v>13</v>
      </c>
      <c r="P15" s="36">
        <v>13</v>
      </c>
      <c r="Q15" s="36">
        <v>12</v>
      </c>
      <c r="R15" s="36">
        <v>5</v>
      </c>
      <c r="S15" s="36">
        <v>10</v>
      </c>
      <c r="T15" s="36"/>
      <c r="U15" s="36"/>
      <c r="V15" s="36"/>
      <c r="W15" s="104">
        <v>17.133333333333333</v>
      </c>
      <c r="X15" s="29" t="str">
        <f t="shared" si="0"/>
        <v>Data Validated</v>
      </c>
      <c r="AA15" t="s">
        <v>42</v>
      </c>
    </row>
    <row r="16" spans="1:28" ht="19.899999999999999" customHeight="1" x14ac:dyDescent="0.35">
      <c r="A16" s="24"/>
      <c r="B16" s="25"/>
      <c r="C16" s="25"/>
      <c r="D16" s="21"/>
      <c r="E16" s="26"/>
      <c r="F16" s="35"/>
      <c r="G16" s="35"/>
      <c r="H16" s="35"/>
      <c r="I16" s="36"/>
      <c r="J16" s="36"/>
      <c r="K16" s="36"/>
      <c r="L16" s="36"/>
      <c r="M16" s="36"/>
      <c r="N16" s="36"/>
      <c r="O16" s="36"/>
      <c r="P16" s="36"/>
      <c r="Q16" s="36"/>
      <c r="R16" s="36"/>
      <c r="S16" s="36"/>
      <c r="T16" s="36"/>
      <c r="U16" s="36"/>
      <c r="V16" s="36"/>
      <c r="W16" s="104"/>
      <c r="X16" s="29" t="str">
        <f t="shared" si="0"/>
        <v xml:space="preserve"> </v>
      </c>
      <c r="AA16" t="s">
        <v>43</v>
      </c>
    </row>
    <row r="17" spans="1:27" ht="19.899999999999999" customHeight="1" x14ac:dyDescent="0.35">
      <c r="A17" s="24"/>
      <c r="B17" s="25"/>
      <c r="C17" s="25"/>
      <c r="D17" s="21"/>
      <c r="E17" s="26"/>
      <c r="F17" s="35"/>
      <c r="G17" s="35"/>
      <c r="H17" s="35"/>
      <c r="I17" s="36"/>
      <c r="J17" s="36"/>
      <c r="K17" s="36"/>
      <c r="L17" s="36"/>
      <c r="M17" s="36"/>
      <c r="N17" s="36"/>
      <c r="O17" s="36"/>
      <c r="P17" s="36"/>
      <c r="Q17" s="36"/>
      <c r="R17" s="36"/>
      <c r="S17" s="36"/>
      <c r="T17" s="36"/>
      <c r="U17" s="36"/>
      <c r="V17" s="36"/>
      <c r="W17" s="104"/>
      <c r="X17" s="29" t="str">
        <f t="shared" si="0"/>
        <v xml:space="preserve"> </v>
      </c>
      <c r="AA17" t="s">
        <v>44</v>
      </c>
    </row>
    <row r="18" spans="1:27" ht="19.899999999999999" customHeight="1" x14ac:dyDescent="0.35">
      <c r="A18" s="24"/>
      <c r="B18" s="25"/>
      <c r="C18" s="25"/>
      <c r="D18" s="21"/>
      <c r="E18" s="26"/>
      <c r="F18" s="35"/>
      <c r="G18" s="35"/>
      <c r="H18" s="35"/>
      <c r="I18" s="36"/>
      <c r="J18" s="36"/>
      <c r="K18" s="36"/>
      <c r="L18" s="36"/>
      <c r="M18" s="36"/>
      <c r="N18" s="36"/>
      <c r="O18" s="36"/>
      <c r="P18" s="36"/>
      <c r="Q18" s="36"/>
      <c r="R18" s="36"/>
      <c r="S18" s="36"/>
      <c r="T18" s="36"/>
      <c r="U18" s="36"/>
      <c r="V18" s="36"/>
      <c r="W18" s="104"/>
      <c r="X18" s="29" t="str">
        <f t="shared" si="0"/>
        <v xml:space="preserve"> </v>
      </c>
      <c r="AA18" t="s">
        <v>45</v>
      </c>
    </row>
    <row r="19" spans="1:27" ht="19.899999999999999" customHeight="1" x14ac:dyDescent="0.35">
      <c r="A19" s="24"/>
      <c r="B19" s="25"/>
      <c r="C19" s="25"/>
      <c r="D19" s="21"/>
      <c r="E19" s="26"/>
      <c r="F19" s="35"/>
      <c r="G19" s="35"/>
      <c r="H19" s="35"/>
      <c r="I19" s="36"/>
      <c r="J19" s="36"/>
      <c r="K19" s="36"/>
      <c r="L19" s="36"/>
      <c r="M19" s="36"/>
      <c r="N19" s="36"/>
      <c r="O19" s="36"/>
      <c r="P19" s="36"/>
      <c r="Q19" s="36"/>
      <c r="R19" s="36"/>
      <c r="S19" s="36"/>
      <c r="T19" s="36"/>
      <c r="U19" s="36"/>
      <c r="V19" s="36"/>
      <c r="W19" s="104"/>
      <c r="X19" s="29" t="str">
        <f t="shared" si="0"/>
        <v xml:space="preserve"> </v>
      </c>
      <c r="AA19" t="s">
        <v>9</v>
      </c>
    </row>
    <row r="20" spans="1:27" ht="19.899999999999999" customHeight="1" x14ac:dyDescent="0.35">
      <c r="A20" s="24"/>
      <c r="B20" s="25"/>
      <c r="C20" s="25"/>
      <c r="D20" s="21"/>
      <c r="E20" s="26"/>
      <c r="F20" s="35"/>
      <c r="G20" s="35"/>
      <c r="H20" s="35"/>
      <c r="I20" s="36"/>
      <c r="J20" s="36"/>
      <c r="K20" s="36"/>
      <c r="L20" s="36"/>
      <c r="M20" s="36"/>
      <c r="N20" s="36"/>
      <c r="O20" s="36"/>
      <c r="P20" s="36"/>
      <c r="Q20" s="36"/>
      <c r="R20" s="36"/>
      <c r="S20" s="36"/>
      <c r="T20" s="36"/>
      <c r="U20" s="36"/>
      <c r="V20" s="36"/>
      <c r="W20" s="104"/>
      <c r="X20" s="29" t="str">
        <f t="shared" si="0"/>
        <v xml:space="preserve"> </v>
      </c>
      <c r="AA20" t="s">
        <v>46</v>
      </c>
    </row>
    <row r="21" spans="1:27" ht="19.899999999999999" customHeight="1" x14ac:dyDescent="0.35">
      <c r="A21" s="24"/>
      <c r="B21" s="25"/>
      <c r="C21" s="25"/>
      <c r="D21" s="21"/>
      <c r="E21" s="26"/>
      <c r="F21" s="35"/>
      <c r="G21" s="35"/>
      <c r="H21" s="35"/>
      <c r="I21" s="36"/>
      <c r="J21" s="36"/>
      <c r="K21" s="36"/>
      <c r="L21" s="36"/>
      <c r="M21" s="36"/>
      <c r="N21" s="36"/>
      <c r="O21" s="36"/>
      <c r="P21" s="36"/>
      <c r="Q21" s="36"/>
      <c r="R21" s="36"/>
      <c r="S21" s="36"/>
      <c r="T21" s="36"/>
      <c r="U21" s="36"/>
      <c r="V21" s="36"/>
      <c r="W21" s="104"/>
      <c r="X21" s="29" t="str">
        <f t="shared" si="0"/>
        <v xml:space="preserve"> </v>
      </c>
      <c r="AA21" t="s">
        <v>47</v>
      </c>
    </row>
    <row r="22" spans="1:27" ht="19.899999999999999" customHeight="1" x14ac:dyDescent="0.35">
      <c r="A22" s="24"/>
      <c r="B22" s="25"/>
      <c r="C22" s="25"/>
      <c r="D22" s="21"/>
      <c r="E22" s="26"/>
      <c r="F22" s="35"/>
      <c r="G22" s="35"/>
      <c r="H22" s="35"/>
      <c r="I22" s="36"/>
      <c r="J22" s="36"/>
      <c r="K22" s="36"/>
      <c r="L22" s="36"/>
      <c r="M22" s="36"/>
      <c r="N22" s="36"/>
      <c r="O22" s="36"/>
      <c r="P22" s="36"/>
      <c r="Q22" s="36"/>
      <c r="R22" s="36"/>
      <c r="S22" s="36"/>
      <c r="T22" s="36"/>
      <c r="U22" s="36"/>
      <c r="V22" s="36"/>
      <c r="W22" s="104"/>
      <c r="X22" s="29" t="str">
        <f t="shared" si="0"/>
        <v xml:space="preserve"> </v>
      </c>
      <c r="AA22" t="s">
        <v>48</v>
      </c>
    </row>
    <row r="23" spans="1:27" ht="19.899999999999999" customHeight="1" x14ac:dyDescent="0.35">
      <c r="A23" s="24"/>
      <c r="B23" s="25"/>
      <c r="C23" s="25"/>
      <c r="D23" s="21"/>
      <c r="E23" s="26"/>
      <c r="F23" s="35"/>
      <c r="G23" s="35"/>
      <c r="H23" s="35"/>
      <c r="I23" s="36"/>
      <c r="J23" s="36"/>
      <c r="K23" s="36"/>
      <c r="L23" s="36"/>
      <c r="M23" s="36"/>
      <c r="N23" s="36"/>
      <c r="O23" s="36"/>
      <c r="P23" s="36"/>
      <c r="Q23" s="36"/>
      <c r="R23" s="36"/>
      <c r="S23" s="36"/>
      <c r="T23" s="36"/>
      <c r="U23" s="36"/>
      <c r="V23" s="36"/>
      <c r="W23" s="104"/>
      <c r="X23" s="29" t="str">
        <f t="shared" si="0"/>
        <v xml:space="preserve"> </v>
      </c>
      <c r="AA23" t="s">
        <v>49</v>
      </c>
    </row>
    <row r="24" spans="1:27" ht="19.899999999999999" customHeight="1" x14ac:dyDescent="0.35">
      <c r="A24" s="24"/>
      <c r="B24" s="25"/>
      <c r="C24" s="25"/>
      <c r="D24" s="21"/>
      <c r="E24" s="26"/>
      <c r="F24" s="35"/>
      <c r="G24" s="35"/>
      <c r="H24" s="35"/>
      <c r="I24" s="36"/>
      <c r="J24" s="36"/>
      <c r="K24" s="36"/>
      <c r="L24" s="36"/>
      <c r="M24" s="36"/>
      <c r="N24" s="36"/>
      <c r="O24" s="36"/>
      <c r="P24" s="36"/>
      <c r="Q24" s="36"/>
      <c r="R24" s="36"/>
      <c r="S24" s="36"/>
      <c r="T24" s="36"/>
      <c r="U24" s="36"/>
      <c r="V24" s="36"/>
      <c r="W24" s="104"/>
      <c r="X24" s="29" t="str">
        <f t="shared" si="0"/>
        <v xml:space="preserve"> </v>
      </c>
      <c r="AA24" t="s">
        <v>50</v>
      </c>
    </row>
    <row r="25" spans="1:27" ht="19.899999999999999" customHeight="1" x14ac:dyDescent="0.35">
      <c r="A25" s="24"/>
      <c r="B25" s="25"/>
      <c r="C25" s="25"/>
      <c r="D25" s="21"/>
      <c r="E25" s="26"/>
      <c r="F25" s="35"/>
      <c r="G25" s="35"/>
      <c r="H25" s="35"/>
      <c r="I25" s="36"/>
      <c r="J25" s="36"/>
      <c r="K25" s="36"/>
      <c r="L25" s="36"/>
      <c r="M25" s="36"/>
      <c r="N25" s="36"/>
      <c r="O25" s="36"/>
      <c r="P25" s="36"/>
      <c r="Q25" s="36"/>
      <c r="R25" s="36"/>
      <c r="S25" s="36"/>
      <c r="T25" s="36"/>
      <c r="U25" s="36"/>
      <c r="V25" s="36"/>
      <c r="W25" s="104"/>
      <c r="X25" s="29" t="str">
        <f t="shared" si="0"/>
        <v xml:space="preserve"> </v>
      </c>
      <c r="AA25" t="s">
        <v>51</v>
      </c>
    </row>
    <row r="26" spans="1:27" ht="19.899999999999999" customHeight="1" x14ac:dyDescent="0.35">
      <c r="A26" s="24"/>
      <c r="B26" s="25"/>
      <c r="C26" s="25"/>
      <c r="D26" s="21"/>
      <c r="E26" s="26"/>
      <c r="F26" s="35"/>
      <c r="G26" s="35"/>
      <c r="H26" s="35"/>
      <c r="I26" s="36"/>
      <c r="J26" s="36"/>
      <c r="K26" s="36"/>
      <c r="L26" s="36"/>
      <c r="M26" s="36"/>
      <c r="N26" s="36"/>
      <c r="O26" s="36"/>
      <c r="P26" s="36"/>
      <c r="Q26" s="36"/>
      <c r="R26" s="36"/>
      <c r="S26" s="36"/>
      <c r="T26" s="36"/>
      <c r="U26" s="36"/>
      <c r="V26" s="36"/>
      <c r="W26" s="104"/>
      <c r="X26" s="29" t="str">
        <f t="shared" si="0"/>
        <v xml:space="preserve"> </v>
      </c>
      <c r="AA26" t="s">
        <v>52</v>
      </c>
    </row>
    <row r="27" spans="1:27" ht="19.899999999999999" customHeight="1" x14ac:dyDescent="0.35">
      <c r="A27" s="24"/>
      <c r="B27" s="25"/>
      <c r="C27" s="25"/>
      <c r="D27" s="21"/>
      <c r="E27" s="26"/>
      <c r="F27" s="35"/>
      <c r="G27" s="35"/>
      <c r="H27" s="35"/>
      <c r="I27" s="36"/>
      <c r="J27" s="36"/>
      <c r="K27" s="36"/>
      <c r="L27" s="36"/>
      <c r="M27" s="36"/>
      <c r="N27" s="36"/>
      <c r="O27" s="36"/>
      <c r="P27" s="36"/>
      <c r="Q27" s="36"/>
      <c r="R27" s="36"/>
      <c r="S27" s="36"/>
      <c r="T27" s="36"/>
      <c r="U27" s="36"/>
      <c r="V27" s="36"/>
      <c r="W27" s="104"/>
      <c r="X27" s="29" t="str">
        <f t="shared" si="0"/>
        <v xml:space="preserve"> </v>
      </c>
      <c r="AA27" t="s">
        <v>53</v>
      </c>
    </row>
    <row r="28" spans="1:27" ht="19.899999999999999" customHeight="1" x14ac:dyDescent="0.35">
      <c r="A28" s="24"/>
      <c r="B28" s="25"/>
      <c r="C28" s="25"/>
      <c r="D28" s="21"/>
      <c r="E28" s="26"/>
      <c r="F28" s="35"/>
      <c r="G28" s="35"/>
      <c r="H28" s="35"/>
      <c r="I28" s="36"/>
      <c r="J28" s="36"/>
      <c r="K28" s="36"/>
      <c r="L28" s="36"/>
      <c r="M28" s="36"/>
      <c r="N28" s="36"/>
      <c r="O28" s="36"/>
      <c r="P28" s="36"/>
      <c r="Q28" s="36"/>
      <c r="R28" s="36"/>
      <c r="S28" s="36"/>
      <c r="T28" s="36"/>
      <c r="U28" s="36"/>
      <c r="V28" s="36"/>
      <c r="W28" s="104"/>
      <c r="X28" s="29" t="str">
        <f t="shared" si="0"/>
        <v xml:space="preserve"> </v>
      </c>
      <c r="AA28" t="s">
        <v>54</v>
      </c>
    </row>
    <row r="29" spans="1:27" ht="19.899999999999999" customHeight="1" x14ac:dyDescent="0.35">
      <c r="A29" s="24"/>
      <c r="B29" s="25"/>
      <c r="C29" s="25"/>
      <c r="D29" s="21"/>
      <c r="E29" s="26"/>
      <c r="F29" s="35"/>
      <c r="G29" s="35"/>
      <c r="H29" s="35"/>
      <c r="I29" s="36"/>
      <c r="J29" s="36"/>
      <c r="K29" s="36"/>
      <c r="L29" s="36"/>
      <c r="M29" s="36"/>
      <c r="N29" s="36"/>
      <c r="O29" s="36"/>
      <c r="P29" s="36"/>
      <c r="Q29" s="36"/>
      <c r="R29" s="36"/>
      <c r="S29" s="36"/>
      <c r="T29" s="36"/>
      <c r="U29" s="36"/>
      <c r="V29" s="36"/>
      <c r="W29" s="104"/>
      <c r="X29" s="29" t="str">
        <f t="shared" si="0"/>
        <v xml:space="preserve"> </v>
      </c>
      <c r="AA29" t="s">
        <v>55</v>
      </c>
    </row>
    <row r="30" spans="1:27" ht="19.899999999999999" customHeight="1" x14ac:dyDescent="0.35">
      <c r="A30" s="24"/>
      <c r="B30" s="25"/>
      <c r="C30" s="25"/>
      <c r="D30" s="21"/>
      <c r="E30" s="26"/>
      <c r="F30" s="35"/>
      <c r="G30" s="35"/>
      <c r="H30" s="35"/>
      <c r="I30" s="36"/>
      <c r="J30" s="36"/>
      <c r="K30" s="36"/>
      <c r="L30" s="36"/>
      <c r="M30" s="36"/>
      <c r="N30" s="36"/>
      <c r="O30" s="36"/>
      <c r="P30" s="36"/>
      <c r="Q30" s="36"/>
      <c r="R30" s="36"/>
      <c r="S30" s="36"/>
      <c r="T30" s="36"/>
      <c r="U30" s="36"/>
      <c r="V30" s="36"/>
      <c r="W30" s="104"/>
      <c r="X30" s="29" t="str">
        <f t="shared" si="0"/>
        <v xml:space="preserve"> </v>
      </c>
      <c r="AA30" t="s">
        <v>56</v>
      </c>
    </row>
    <row r="31" spans="1:27" ht="19.899999999999999" customHeight="1" x14ac:dyDescent="0.35">
      <c r="A31" s="24"/>
      <c r="B31" s="25"/>
      <c r="C31" s="25"/>
      <c r="D31" s="21"/>
      <c r="E31" s="26"/>
      <c r="F31" s="35"/>
      <c r="G31" s="35"/>
      <c r="H31" s="35"/>
      <c r="I31" s="36"/>
      <c r="J31" s="36"/>
      <c r="K31" s="36"/>
      <c r="L31" s="36"/>
      <c r="M31" s="36"/>
      <c r="N31" s="36"/>
      <c r="O31" s="36"/>
      <c r="P31" s="36"/>
      <c r="Q31" s="36"/>
      <c r="R31" s="36"/>
      <c r="S31" s="36"/>
      <c r="T31" s="36"/>
      <c r="U31" s="36"/>
      <c r="V31" s="36"/>
      <c r="W31" s="104"/>
      <c r="X31" s="29" t="str">
        <f t="shared" si="0"/>
        <v xml:space="preserve"> </v>
      </c>
      <c r="AA31" t="s">
        <v>57</v>
      </c>
    </row>
    <row r="32" spans="1:27" ht="19.899999999999999" customHeight="1" x14ac:dyDescent="0.35">
      <c r="A32" s="24"/>
      <c r="B32" s="25"/>
      <c r="C32" s="25"/>
      <c r="D32" s="21"/>
      <c r="E32" s="26"/>
      <c r="F32" s="35"/>
      <c r="G32" s="35"/>
      <c r="H32" s="35"/>
      <c r="I32" s="36"/>
      <c r="J32" s="36"/>
      <c r="K32" s="36"/>
      <c r="L32" s="36"/>
      <c r="M32" s="36"/>
      <c r="N32" s="36"/>
      <c r="O32" s="36"/>
      <c r="P32" s="36"/>
      <c r="Q32" s="36"/>
      <c r="R32" s="36"/>
      <c r="S32" s="36"/>
      <c r="T32" s="36"/>
      <c r="U32" s="36"/>
      <c r="V32" s="36"/>
      <c r="W32" s="104"/>
      <c r="X32" s="29" t="str">
        <f t="shared" si="0"/>
        <v xml:space="preserve"> </v>
      </c>
      <c r="AA32" t="s">
        <v>58</v>
      </c>
    </row>
    <row r="33" spans="1:27" ht="19.899999999999999" customHeight="1" x14ac:dyDescent="0.35">
      <c r="A33" s="24"/>
      <c r="B33" s="25"/>
      <c r="C33" s="25"/>
      <c r="D33" s="21"/>
      <c r="E33" s="26"/>
      <c r="F33" s="35"/>
      <c r="G33" s="35"/>
      <c r="H33" s="35"/>
      <c r="I33" s="36"/>
      <c r="J33" s="36"/>
      <c r="K33" s="36"/>
      <c r="L33" s="36"/>
      <c r="M33" s="36"/>
      <c r="N33" s="36"/>
      <c r="O33" s="36"/>
      <c r="P33" s="36"/>
      <c r="Q33" s="36"/>
      <c r="R33" s="36"/>
      <c r="S33" s="36"/>
      <c r="T33" s="36"/>
      <c r="U33" s="36"/>
      <c r="V33" s="36"/>
      <c r="W33" s="104"/>
      <c r="X33" s="29" t="str">
        <f t="shared" si="0"/>
        <v xml:space="preserve"> </v>
      </c>
      <c r="AA33" t="s">
        <v>59</v>
      </c>
    </row>
    <row r="34" spans="1:27" ht="19.899999999999999" customHeight="1" x14ac:dyDescent="0.35">
      <c r="A34" s="24"/>
      <c r="B34" s="25"/>
      <c r="C34" s="25"/>
      <c r="D34" s="21"/>
      <c r="E34" s="26"/>
      <c r="F34" s="35"/>
      <c r="G34" s="35"/>
      <c r="H34" s="35"/>
      <c r="I34" s="36"/>
      <c r="J34" s="36"/>
      <c r="K34" s="36"/>
      <c r="L34" s="36"/>
      <c r="M34" s="36"/>
      <c r="N34" s="36"/>
      <c r="O34" s="36"/>
      <c r="P34" s="36"/>
      <c r="Q34" s="36"/>
      <c r="R34" s="36"/>
      <c r="S34" s="36"/>
      <c r="T34" s="36"/>
      <c r="U34" s="36"/>
      <c r="V34" s="36"/>
      <c r="W34" s="104"/>
      <c r="X34" s="29" t="str">
        <f t="shared" si="0"/>
        <v xml:space="preserve"> </v>
      </c>
      <c r="AA34" t="s">
        <v>60</v>
      </c>
    </row>
    <row r="35" spans="1:27" ht="19.899999999999999" customHeight="1" x14ac:dyDescent="0.35">
      <c r="A35" s="24"/>
      <c r="B35" s="25"/>
      <c r="C35" s="25"/>
      <c r="D35" s="21"/>
      <c r="E35" s="26"/>
      <c r="F35" s="35"/>
      <c r="G35" s="35"/>
      <c r="H35" s="35"/>
      <c r="I35" s="36"/>
      <c r="J35" s="36"/>
      <c r="K35" s="36"/>
      <c r="L35" s="36"/>
      <c r="M35" s="36"/>
      <c r="N35" s="36"/>
      <c r="O35" s="36"/>
      <c r="P35" s="36"/>
      <c r="Q35" s="36"/>
      <c r="R35" s="36"/>
      <c r="S35" s="36"/>
      <c r="T35" s="36"/>
      <c r="U35" s="36"/>
      <c r="V35" s="36"/>
      <c r="W35" s="104"/>
      <c r="X35" s="29" t="str">
        <f t="shared" si="0"/>
        <v xml:space="preserve"> </v>
      </c>
      <c r="AA35" t="s">
        <v>61</v>
      </c>
    </row>
    <row r="36" spans="1:27" ht="19.899999999999999" customHeight="1" x14ac:dyDescent="0.35">
      <c r="A36" s="24"/>
      <c r="B36" s="25"/>
      <c r="C36" s="25"/>
      <c r="D36" s="21"/>
      <c r="E36" s="26"/>
      <c r="F36" s="35"/>
      <c r="G36" s="35"/>
      <c r="H36" s="35"/>
      <c r="I36" s="36"/>
      <c r="J36" s="36"/>
      <c r="K36" s="36"/>
      <c r="L36" s="36"/>
      <c r="M36" s="36"/>
      <c r="N36" s="36"/>
      <c r="O36" s="36"/>
      <c r="P36" s="36"/>
      <c r="Q36" s="36"/>
      <c r="R36" s="36"/>
      <c r="S36" s="36"/>
      <c r="T36" s="36"/>
      <c r="U36" s="36"/>
      <c r="V36" s="36"/>
      <c r="W36" s="104"/>
      <c r="X36" s="29" t="str">
        <f t="shared" si="0"/>
        <v xml:space="preserve"> </v>
      </c>
      <c r="AA36" t="s">
        <v>62</v>
      </c>
    </row>
    <row r="37" spans="1:27" ht="19.899999999999999" customHeight="1" x14ac:dyDescent="0.35">
      <c r="A37" s="24"/>
      <c r="B37" s="25"/>
      <c r="C37" s="25"/>
      <c r="D37" s="21"/>
      <c r="E37" s="26"/>
      <c r="F37" s="35"/>
      <c r="G37" s="35"/>
      <c r="H37" s="35"/>
      <c r="I37" s="36"/>
      <c r="J37" s="36"/>
      <c r="K37" s="36"/>
      <c r="L37" s="36"/>
      <c r="M37" s="36"/>
      <c r="N37" s="36"/>
      <c r="O37" s="36"/>
      <c r="P37" s="36"/>
      <c r="Q37" s="36"/>
      <c r="R37" s="36"/>
      <c r="S37" s="36"/>
      <c r="T37" s="36"/>
      <c r="U37" s="36"/>
      <c r="V37" s="36"/>
      <c r="W37" s="104"/>
      <c r="X37" s="29" t="str">
        <f t="shared" si="0"/>
        <v xml:space="preserve"> </v>
      </c>
      <c r="AA37" t="s">
        <v>63</v>
      </c>
    </row>
    <row r="38" spans="1:27" ht="19.899999999999999" customHeight="1" x14ac:dyDescent="0.35">
      <c r="A38" s="24"/>
      <c r="B38" s="25"/>
      <c r="C38" s="25"/>
      <c r="D38" s="21"/>
      <c r="E38" s="26"/>
      <c r="F38" s="35"/>
      <c r="G38" s="35"/>
      <c r="H38" s="35"/>
      <c r="I38" s="36"/>
      <c r="J38" s="36"/>
      <c r="K38" s="36"/>
      <c r="L38" s="36"/>
      <c r="M38" s="36"/>
      <c r="N38" s="36"/>
      <c r="O38" s="36"/>
      <c r="P38" s="36"/>
      <c r="Q38" s="36"/>
      <c r="R38" s="36"/>
      <c r="S38" s="36"/>
      <c r="T38" s="36"/>
      <c r="U38" s="36"/>
      <c r="V38" s="36"/>
      <c r="W38" s="104"/>
      <c r="X38" s="29" t="str">
        <f t="shared" si="0"/>
        <v xml:space="preserve"> </v>
      </c>
      <c r="AA38" t="s">
        <v>64</v>
      </c>
    </row>
    <row r="39" spans="1:27" ht="19.899999999999999" customHeight="1" x14ac:dyDescent="0.35">
      <c r="A39" s="24"/>
      <c r="B39" s="25"/>
      <c r="C39" s="25"/>
      <c r="D39" s="21"/>
      <c r="E39" s="26"/>
      <c r="F39" s="35"/>
      <c r="G39" s="35"/>
      <c r="H39" s="35"/>
      <c r="I39" s="36"/>
      <c r="J39" s="36"/>
      <c r="K39" s="36"/>
      <c r="L39" s="36"/>
      <c r="M39" s="36"/>
      <c r="N39" s="36"/>
      <c r="O39" s="36"/>
      <c r="P39" s="36"/>
      <c r="Q39" s="36"/>
      <c r="R39" s="36"/>
      <c r="S39" s="36"/>
      <c r="T39" s="36"/>
      <c r="U39" s="36"/>
      <c r="V39" s="36"/>
      <c r="W39" s="104" t="str" cm="1">
        <f t="array" ref="W39">IF(A39&lt;&gt;"",_xlfn.IFS(A39="Grade 1",SUM(L39:S39),A39="Grade 2",SUM(L39:V39),A39="Grade 3",SUM(L39:S39)),"")</f>
        <v/>
      </c>
      <c r="X39" s="29" t="str">
        <f t="shared" si="0"/>
        <v xml:space="preserve"> </v>
      </c>
      <c r="AA39" t="s">
        <v>65</v>
      </c>
    </row>
    <row r="40" spans="1:27" ht="19.899999999999999" customHeight="1" x14ac:dyDescent="0.35">
      <c r="A40" s="24"/>
      <c r="B40" s="25"/>
      <c r="C40" s="25"/>
      <c r="D40" s="21"/>
      <c r="E40" s="26"/>
      <c r="F40" s="35"/>
      <c r="G40" s="35"/>
      <c r="H40" s="35"/>
      <c r="I40" s="36"/>
      <c r="J40" s="36"/>
      <c r="K40" s="36"/>
      <c r="L40" s="36"/>
      <c r="M40" s="36"/>
      <c r="N40" s="36"/>
      <c r="O40" s="36"/>
      <c r="P40" s="36"/>
      <c r="Q40" s="36"/>
      <c r="R40" s="36"/>
      <c r="S40" s="36"/>
      <c r="T40" s="36"/>
      <c r="U40" s="36"/>
      <c r="V40" s="36"/>
      <c r="W40" s="104" t="str" cm="1">
        <f t="array" ref="W40">IF(A40&lt;&gt;"",_xlfn.IFS(A40="Grade 1",SUM(L40:S40),A40="Grade 2",SUM(L40:V40),A40="Grade 3",SUM(L40:S40)),"")</f>
        <v/>
      </c>
      <c r="X40" s="29" t="str">
        <f t="shared" si="0"/>
        <v xml:space="preserve"> </v>
      </c>
      <c r="AA40" t="s">
        <v>66</v>
      </c>
    </row>
    <row r="41" spans="1:27" ht="19.899999999999999" customHeight="1" x14ac:dyDescent="0.35">
      <c r="A41" s="24"/>
      <c r="B41" s="25"/>
      <c r="C41" s="25"/>
      <c r="D41" s="21"/>
      <c r="E41" s="26"/>
      <c r="F41" s="35"/>
      <c r="G41" s="35"/>
      <c r="H41" s="35"/>
      <c r="I41" s="36"/>
      <c r="J41" s="36"/>
      <c r="K41" s="36"/>
      <c r="L41" s="36"/>
      <c r="M41" s="36"/>
      <c r="N41" s="36"/>
      <c r="O41" s="36"/>
      <c r="P41" s="36"/>
      <c r="Q41" s="36"/>
      <c r="R41" s="36"/>
      <c r="S41" s="36"/>
      <c r="T41" s="36"/>
      <c r="U41" s="36"/>
      <c r="V41" s="36"/>
      <c r="W41" s="104" t="str" cm="1">
        <f t="array" ref="W41">IF(A41&lt;&gt;"",_xlfn.IFS(A41="Grade 1",SUM(L41:S41),A41="Grade 2",SUM(L41:V41),A41="Grade 3",SUM(L41:S41)),"")</f>
        <v/>
      </c>
      <c r="X41" s="29" t="str">
        <f t="shared" si="0"/>
        <v xml:space="preserve"> </v>
      </c>
      <c r="AA41" t="s">
        <v>67</v>
      </c>
    </row>
    <row r="42" spans="1:27" ht="19.899999999999999" customHeight="1" x14ac:dyDescent="0.35">
      <c r="A42" s="24"/>
      <c r="B42" s="25"/>
      <c r="C42" s="25"/>
      <c r="D42" s="21"/>
      <c r="E42" s="26"/>
      <c r="F42" s="35"/>
      <c r="G42" s="35"/>
      <c r="H42" s="35"/>
      <c r="I42" s="36"/>
      <c r="J42" s="36"/>
      <c r="K42" s="36"/>
      <c r="L42" s="36"/>
      <c r="M42" s="36"/>
      <c r="N42" s="36"/>
      <c r="O42" s="36"/>
      <c r="P42" s="36"/>
      <c r="Q42" s="36"/>
      <c r="R42" s="36"/>
      <c r="S42" s="36"/>
      <c r="T42" s="36"/>
      <c r="U42" s="36"/>
      <c r="V42" s="36"/>
      <c r="W42" s="104" t="str" cm="1">
        <f t="array" ref="W42">IF(A42&lt;&gt;"",_xlfn.IFS(A42="Grade 1",SUM(L42:S42),A42="Grade 2",SUM(L42:V42),A42="Grade 3",SUM(L42:S42)),"")</f>
        <v/>
      </c>
      <c r="X42" s="29" t="str">
        <f t="shared" si="0"/>
        <v xml:space="preserve"> </v>
      </c>
      <c r="AA42" t="s">
        <v>68</v>
      </c>
    </row>
    <row r="43" spans="1:27" ht="19.899999999999999" customHeight="1" x14ac:dyDescent="0.35">
      <c r="A43" s="24"/>
      <c r="B43" s="25"/>
      <c r="C43" s="25"/>
      <c r="D43" s="21"/>
      <c r="E43" s="26"/>
      <c r="F43" s="35"/>
      <c r="G43" s="35"/>
      <c r="H43" s="35"/>
      <c r="I43" s="36"/>
      <c r="J43" s="36"/>
      <c r="K43" s="36"/>
      <c r="L43" s="36"/>
      <c r="M43" s="36"/>
      <c r="N43" s="36"/>
      <c r="O43" s="36"/>
      <c r="P43" s="36"/>
      <c r="Q43" s="36"/>
      <c r="R43" s="36"/>
      <c r="S43" s="36"/>
      <c r="T43" s="36"/>
      <c r="U43" s="36"/>
      <c r="V43" s="36"/>
      <c r="W43" s="104" t="str" cm="1">
        <f t="array" ref="W43">IF(A43&lt;&gt;"",_xlfn.IFS(A43="Grade 1",SUM(L43:S43),A43="Grade 2",SUM(L43:V43),A43="Grade 3",SUM(L43:S43)),"")</f>
        <v/>
      </c>
      <c r="X43" s="29" t="str">
        <f t="shared" si="0"/>
        <v xml:space="preserve"> </v>
      </c>
      <c r="AA43" t="s">
        <v>69</v>
      </c>
    </row>
    <row r="44" spans="1:27" ht="19.899999999999999" customHeight="1" x14ac:dyDescent="0.35">
      <c r="A44" s="24"/>
      <c r="B44" s="25"/>
      <c r="C44" s="25"/>
      <c r="D44" s="21"/>
      <c r="E44" s="26"/>
      <c r="F44" s="35"/>
      <c r="G44" s="35"/>
      <c r="H44" s="35"/>
      <c r="I44" s="36"/>
      <c r="J44" s="36"/>
      <c r="K44" s="36"/>
      <c r="L44" s="36"/>
      <c r="M44" s="36"/>
      <c r="N44" s="36"/>
      <c r="O44" s="36"/>
      <c r="P44" s="36"/>
      <c r="Q44" s="36"/>
      <c r="R44" s="36"/>
      <c r="S44" s="36"/>
      <c r="T44" s="36"/>
      <c r="U44" s="36"/>
      <c r="V44" s="36"/>
      <c r="W44" s="104" t="str" cm="1">
        <f t="array" ref="W44">IF(A44&lt;&gt;"",_xlfn.IFS(A44="Grade 1",SUM(L44:S44),A44="Grade 2",SUM(L44:V44),A44="Grade 3",SUM(L44:S44)),"")</f>
        <v/>
      </c>
      <c r="X44" s="29" t="str">
        <f t="shared" si="0"/>
        <v xml:space="preserve"> </v>
      </c>
      <c r="AA44" t="s">
        <v>70</v>
      </c>
    </row>
    <row r="45" spans="1:27" ht="19.899999999999999" customHeight="1" x14ac:dyDescent="0.35">
      <c r="A45" s="24"/>
      <c r="B45" s="25"/>
      <c r="C45" s="25"/>
      <c r="D45" s="21"/>
      <c r="E45" s="26"/>
      <c r="F45" s="35"/>
      <c r="G45" s="35"/>
      <c r="H45" s="35"/>
      <c r="I45" s="36"/>
      <c r="J45" s="36"/>
      <c r="K45" s="36"/>
      <c r="L45" s="36"/>
      <c r="M45" s="36"/>
      <c r="N45" s="36"/>
      <c r="O45" s="36"/>
      <c r="P45" s="36"/>
      <c r="Q45" s="36"/>
      <c r="R45" s="36"/>
      <c r="S45" s="36"/>
      <c r="T45" s="36"/>
      <c r="U45" s="36"/>
      <c r="V45" s="36"/>
      <c r="W45" s="104" t="str" cm="1">
        <f t="array" ref="W45">IF(A45&lt;&gt;"",_xlfn.IFS(A45="Grade 1",SUM(L45:S45),A45="Grade 2",SUM(L45:V45),A45="Grade 3",SUM(L45:S45)),"")</f>
        <v/>
      </c>
      <c r="X45" s="29" t="str">
        <f t="shared" si="0"/>
        <v xml:space="preserve"> </v>
      </c>
      <c r="AA45" t="s">
        <v>71</v>
      </c>
    </row>
    <row r="46" spans="1:27" ht="19.899999999999999" customHeight="1" x14ac:dyDescent="0.35">
      <c r="A46" s="24"/>
      <c r="B46" s="25"/>
      <c r="C46" s="25"/>
      <c r="D46" s="21"/>
      <c r="E46" s="26"/>
      <c r="F46" s="35"/>
      <c r="G46" s="35"/>
      <c r="H46" s="35"/>
      <c r="I46" s="36"/>
      <c r="J46" s="36"/>
      <c r="K46" s="36"/>
      <c r="L46" s="36"/>
      <c r="M46" s="36"/>
      <c r="N46" s="36"/>
      <c r="O46" s="36"/>
      <c r="P46" s="36"/>
      <c r="Q46" s="36"/>
      <c r="R46" s="36"/>
      <c r="S46" s="36"/>
      <c r="T46" s="36"/>
      <c r="U46" s="36"/>
      <c r="V46" s="36"/>
      <c r="W46" s="104" t="str" cm="1">
        <f t="array" ref="W46">IF(A46&lt;&gt;"",_xlfn.IFS(A46="Grade 1",SUM(L46:S46),A46="Grade 2",SUM(L46:V46),A46="Grade 3",SUM(L46:S46)),"")</f>
        <v/>
      </c>
      <c r="X46" s="29" t="str">
        <f t="shared" si="0"/>
        <v xml:space="preserve"> </v>
      </c>
    </row>
    <row r="47" spans="1:27" ht="19.899999999999999" customHeight="1" x14ac:dyDescent="0.35">
      <c r="A47" s="24"/>
      <c r="B47" s="25"/>
      <c r="C47" s="25"/>
      <c r="D47" s="21"/>
      <c r="E47" s="26"/>
      <c r="F47" s="35"/>
      <c r="G47" s="35"/>
      <c r="H47" s="35"/>
      <c r="I47" s="36"/>
      <c r="J47" s="36"/>
      <c r="K47" s="36"/>
      <c r="L47" s="36"/>
      <c r="M47" s="36"/>
      <c r="N47" s="36"/>
      <c r="O47" s="36"/>
      <c r="P47" s="36"/>
      <c r="Q47" s="36"/>
      <c r="R47" s="36"/>
      <c r="S47" s="36"/>
      <c r="T47" s="36"/>
      <c r="U47" s="36"/>
      <c r="V47" s="36"/>
      <c r="W47" s="104" t="str" cm="1">
        <f t="array" ref="W47">IF(A47&lt;&gt;"",_xlfn.IFS(A47="Grade 1",SUM(L47:S47),A47="Grade 2",SUM(L47:V47),A47="Grade 3",SUM(L47:S47)),"")</f>
        <v/>
      </c>
      <c r="X47" s="29" t="str">
        <f t="shared" si="0"/>
        <v xml:space="preserve"> </v>
      </c>
    </row>
    <row r="48" spans="1:27" ht="19.899999999999999" customHeight="1" x14ac:dyDescent="0.35">
      <c r="A48" s="24"/>
      <c r="B48" s="25"/>
      <c r="C48" s="25"/>
      <c r="D48" s="21"/>
      <c r="E48" s="26"/>
      <c r="F48" s="35"/>
      <c r="G48" s="35"/>
      <c r="H48" s="35"/>
      <c r="I48" s="36"/>
      <c r="J48" s="36"/>
      <c r="K48" s="36"/>
      <c r="L48" s="36"/>
      <c r="M48" s="36"/>
      <c r="N48" s="36"/>
      <c r="O48" s="36"/>
      <c r="P48" s="36"/>
      <c r="Q48" s="36"/>
      <c r="R48" s="36"/>
      <c r="S48" s="36"/>
      <c r="T48" s="36"/>
      <c r="U48" s="36"/>
      <c r="V48" s="36"/>
      <c r="W48" s="104" t="str" cm="1">
        <f t="array" ref="W48">IF(A48&lt;&gt;"",_xlfn.IFS(A48="Grade 1",SUM(L48:S48),A48="Grade 2",SUM(L48:V48),A48="Grade 3",SUM(L48:S48)),"")</f>
        <v/>
      </c>
      <c r="X48" s="29" t="str">
        <f t="shared" si="0"/>
        <v xml:space="preserve"> </v>
      </c>
    </row>
    <row r="49" spans="1:24" ht="19.899999999999999" customHeight="1" x14ac:dyDescent="0.35">
      <c r="A49" s="24"/>
      <c r="B49" s="25"/>
      <c r="C49" s="25"/>
      <c r="D49" s="21"/>
      <c r="E49" s="26"/>
      <c r="F49" s="35"/>
      <c r="G49" s="35"/>
      <c r="H49" s="35"/>
      <c r="I49" s="36"/>
      <c r="J49" s="36"/>
      <c r="K49" s="36"/>
      <c r="L49" s="36"/>
      <c r="M49" s="36"/>
      <c r="N49" s="36"/>
      <c r="O49" s="36"/>
      <c r="P49" s="36"/>
      <c r="Q49" s="36"/>
      <c r="R49" s="36"/>
      <c r="S49" s="36"/>
      <c r="T49" s="36"/>
      <c r="U49" s="36"/>
      <c r="V49" s="36"/>
      <c r="W49" s="104" t="str" cm="1">
        <f t="array" ref="W49">IF(A49&lt;&gt;"",_xlfn.IFS(A49="Grade 1",SUM(L49:S49),A49="Grade 2",SUM(L49:V49),A49="Grade 3",SUM(L49:S49)),"")</f>
        <v/>
      </c>
      <c r="X49" s="29" t="str">
        <f t="shared" si="0"/>
        <v xml:space="preserve"> </v>
      </c>
    </row>
    <row r="50" spans="1:24" ht="19.899999999999999" customHeight="1" x14ac:dyDescent="0.35">
      <c r="A50" s="24"/>
      <c r="B50" s="25"/>
      <c r="C50" s="25"/>
      <c r="D50" s="21"/>
      <c r="E50" s="26"/>
      <c r="F50" s="35"/>
      <c r="G50" s="35"/>
      <c r="H50" s="35"/>
      <c r="I50" s="36"/>
      <c r="J50" s="36"/>
      <c r="K50" s="36"/>
      <c r="L50" s="36"/>
      <c r="M50" s="36"/>
      <c r="N50" s="36"/>
      <c r="O50" s="36"/>
      <c r="P50" s="36"/>
      <c r="Q50" s="36"/>
      <c r="R50" s="36"/>
      <c r="S50" s="36"/>
      <c r="T50" s="36"/>
      <c r="U50" s="36"/>
      <c r="V50" s="36"/>
      <c r="W50" s="104" t="str" cm="1">
        <f t="array" ref="W50">IF(A50&lt;&gt;"",_xlfn.IFS(A50="Grade 1",SUM(L50:S50),A50="Grade 2",SUM(L50:V50),A50="Grade 3",SUM(L50:S50)),"")</f>
        <v/>
      </c>
      <c r="X50" s="29" t="str">
        <f t="shared" si="0"/>
        <v xml:space="preserve"> </v>
      </c>
    </row>
    <row r="51" spans="1:24" ht="19.899999999999999" customHeight="1" x14ac:dyDescent="0.35">
      <c r="A51" s="24"/>
      <c r="B51" s="25"/>
      <c r="C51" s="25"/>
      <c r="D51" s="21"/>
      <c r="E51" s="26"/>
      <c r="F51" s="35"/>
      <c r="G51" s="35"/>
      <c r="H51" s="35"/>
      <c r="I51" s="36"/>
      <c r="J51" s="36"/>
      <c r="K51" s="36"/>
      <c r="L51" s="36"/>
      <c r="M51" s="36"/>
      <c r="N51" s="36"/>
      <c r="O51" s="36"/>
      <c r="P51" s="36"/>
      <c r="Q51" s="36"/>
      <c r="R51" s="36"/>
      <c r="S51" s="36"/>
      <c r="T51" s="36"/>
      <c r="U51" s="36"/>
      <c r="V51" s="36"/>
      <c r="W51" s="104" t="str" cm="1">
        <f t="array" ref="W51">IF(A51&lt;&gt;"",_xlfn.IFS(A51="Grade 1",SUM(L51:S51),A51="Grade 2",SUM(L51:V51),A51="Grade 3",SUM(L51:S51)),"")</f>
        <v/>
      </c>
      <c r="X51" s="29" t="str">
        <f t="shared" si="0"/>
        <v xml:space="preserve"> </v>
      </c>
    </row>
    <row r="52" spans="1:24" ht="19.899999999999999" customHeight="1" x14ac:dyDescent="0.35">
      <c r="A52" s="24"/>
      <c r="B52" s="25"/>
      <c r="C52" s="25"/>
      <c r="D52" s="21"/>
      <c r="E52" s="26"/>
      <c r="F52" s="35"/>
      <c r="G52" s="35"/>
      <c r="H52" s="35"/>
      <c r="I52" s="36"/>
      <c r="J52" s="36"/>
      <c r="K52" s="36"/>
      <c r="L52" s="36"/>
      <c r="M52" s="36"/>
      <c r="N52" s="36"/>
      <c r="O52" s="36"/>
      <c r="P52" s="36"/>
      <c r="Q52" s="36"/>
      <c r="R52" s="36"/>
      <c r="S52" s="36"/>
      <c r="T52" s="36"/>
      <c r="U52" s="36"/>
      <c r="V52" s="36"/>
      <c r="W52" s="104" t="str" cm="1">
        <f t="array" ref="W52">IF(A52&lt;&gt;"",_xlfn.IFS(A52="Grade 1",SUM(L52:S52),A52="Grade 2",SUM(L52:V52),A52="Grade 3",SUM(L52:S52)),"")</f>
        <v/>
      </c>
      <c r="X52" s="29" t="str">
        <f t="shared" si="0"/>
        <v xml:space="preserve"> </v>
      </c>
    </row>
    <row r="53" spans="1:24" ht="19.899999999999999" customHeight="1" x14ac:dyDescent="0.35">
      <c r="A53" s="24"/>
      <c r="B53" s="25"/>
      <c r="C53" s="25"/>
      <c r="D53" s="21"/>
      <c r="E53" s="26"/>
      <c r="F53" s="35"/>
      <c r="G53" s="35"/>
      <c r="H53" s="35"/>
      <c r="I53" s="36"/>
      <c r="J53" s="36"/>
      <c r="K53" s="36"/>
      <c r="L53" s="36"/>
      <c r="M53" s="36"/>
      <c r="N53" s="36"/>
      <c r="O53" s="36"/>
      <c r="P53" s="36"/>
      <c r="Q53" s="36"/>
      <c r="R53" s="36"/>
      <c r="S53" s="36"/>
      <c r="T53" s="36"/>
      <c r="U53" s="36"/>
      <c r="V53" s="36"/>
      <c r="W53" s="104" t="str" cm="1">
        <f t="array" ref="W53">IF(A53&lt;&gt;"",_xlfn.IFS(A53="Grade 1",SUM(L53:S53),A53="Grade 2",SUM(L53:V53),A53="Grade 3",SUM(L53:S53)),"")</f>
        <v/>
      </c>
      <c r="X53" s="29" t="str">
        <f t="shared" si="0"/>
        <v xml:space="preserve"> </v>
      </c>
    </row>
    <row r="54" spans="1:24" ht="19.899999999999999" customHeight="1" x14ac:dyDescent="0.35">
      <c r="A54" s="24"/>
      <c r="B54" s="25"/>
      <c r="C54" s="25"/>
      <c r="D54" s="21"/>
      <c r="E54" s="26"/>
      <c r="F54" s="35"/>
      <c r="G54" s="35"/>
      <c r="H54" s="35"/>
      <c r="I54" s="36"/>
      <c r="J54" s="36"/>
      <c r="K54" s="36"/>
      <c r="L54" s="36"/>
      <c r="M54" s="36"/>
      <c r="N54" s="36"/>
      <c r="O54" s="36"/>
      <c r="P54" s="36"/>
      <c r="Q54" s="36"/>
      <c r="R54" s="36"/>
      <c r="S54" s="36"/>
      <c r="T54" s="36"/>
      <c r="U54" s="36"/>
      <c r="V54" s="36"/>
      <c r="W54" s="104" t="str" cm="1">
        <f t="array" ref="W54">IF(A54&lt;&gt;"",_xlfn.IFS(A54="Grade 1",SUM(L54:S54),A54="Grade 2",SUM(L54:V54),A54="Grade 3",SUM(L54:S54)),"")</f>
        <v/>
      </c>
      <c r="X54" s="29" t="str">
        <f t="shared" si="0"/>
        <v xml:space="preserve"> </v>
      </c>
    </row>
    <row r="55" spans="1:24" ht="19.899999999999999" customHeight="1" x14ac:dyDescent="0.35">
      <c r="A55" s="24"/>
      <c r="B55" s="25"/>
      <c r="C55" s="25"/>
      <c r="D55" s="21"/>
      <c r="E55" s="26"/>
      <c r="F55" s="35"/>
      <c r="G55" s="35"/>
      <c r="H55" s="35"/>
      <c r="I55" s="36"/>
      <c r="J55" s="36"/>
      <c r="K55" s="36"/>
      <c r="L55" s="36"/>
      <c r="M55" s="36"/>
      <c r="N55" s="36"/>
      <c r="O55" s="36"/>
      <c r="P55" s="36"/>
      <c r="Q55" s="36"/>
      <c r="R55" s="36"/>
      <c r="S55" s="36"/>
      <c r="T55" s="36"/>
      <c r="U55" s="36"/>
      <c r="V55" s="36"/>
      <c r="W55" s="104" t="str" cm="1">
        <f t="array" ref="W55">IF(A55&lt;&gt;"",_xlfn.IFS(A55="Grade 1",SUM(L55:S55),A55="Grade 2",SUM(L55:V55),A55="Grade 3",SUM(L55:S55)),"")</f>
        <v/>
      </c>
      <c r="X55" s="29" t="str">
        <f t="shared" si="0"/>
        <v xml:space="preserve"> </v>
      </c>
    </row>
    <row r="56" spans="1:24" ht="19.899999999999999" customHeight="1" x14ac:dyDescent="0.35">
      <c r="A56" s="24"/>
      <c r="B56" s="25"/>
      <c r="C56" s="25"/>
      <c r="D56" s="21"/>
      <c r="E56" s="26"/>
      <c r="F56" s="35"/>
      <c r="G56" s="35"/>
      <c r="H56" s="35"/>
      <c r="I56" s="36"/>
      <c r="J56" s="36"/>
      <c r="K56" s="36"/>
      <c r="L56" s="36"/>
      <c r="M56" s="36"/>
      <c r="N56" s="36"/>
      <c r="O56" s="36"/>
      <c r="P56" s="36"/>
      <c r="Q56" s="36"/>
      <c r="R56" s="36"/>
      <c r="S56" s="36"/>
      <c r="T56" s="36"/>
      <c r="U56" s="36"/>
      <c r="V56" s="36"/>
      <c r="W56" s="104" t="str" cm="1">
        <f t="array" ref="W56">IF(A56&lt;&gt;"",_xlfn.IFS(A56="Grade 1",SUM(L56:S56),A56="Grade 2",SUM(L56:V56),A56="Grade 3",SUM(L56:S56)),"")</f>
        <v/>
      </c>
      <c r="X56" s="29" t="str">
        <f t="shared" si="0"/>
        <v xml:space="preserve"> </v>
      </c>
    </row>
    <row r="57" spans="1:24" ht="19.899999999999999" customHeight="1" x14ac:dyDescent="0.35">
      <c r="A57" s="24"/>
      <c r="B57" s="25"/>
      <c r="C57" s="25"/>
      <c r="D57" s="21"/>
      <c r="E57" s="26"/>
      <c r="F57" s="35"/>
      <c r="G57" s="35"/>
      <c r="H57" s="35"/>
      <c r="I57" s="36"/>
      <c r="J57" s="36"/>
      <c r="K57" s="36"/>
      <c r="L57" s="36"/>
      <c r="M57" s="36"/>
      <c r="N57" s="36"/>
      <c r="O57" s="36"/>
      <c r="P57" s="36"/>
      <c r="Q57" s="36"/>
      <c r="R57" s="36"/>
      <c r="S57" s="36"/>
      <c r="T57" s="36"/>
      <c r="U57" s="36"/>
      <c r="V57" s="36"/>
      <c r="W57" s="104" t="str" cm="1">
        <f t="array" ref="W57">IF(A57&lt;&gt;"",_xlfn.IFS(A57="Grade 1",SUM(L57:S57),A57="Grade 2",SUM(L57:V57),A57="Grade 3",SUM(L57:S57)),"")</f>
        <v/>
      </c>
      <c r="X57" s="29" t="str">
        <f t="shared" si="0"/>
        <v xml:space="preserve"> </v>
      </c>
    </row>
    <row r="58" spans="1:24" ht="19.899999999999999" customHeight="1" x14ac:dyDescent="0.35">
      <c r="A58" s="24"/>
      <c r="B58" s="25"/>
      <c r="C58" s="25"/>
      <c r="D58" s="21"/>
      <c r="E58" s="26"/>
      <c r="F58" s="35"/>
      <c r="G58" s="35"/>
      <c r="H58" s="35"/>
      <c r="I58" s="36"/>
      <c r="J58" s="36"/>
      <c r="K58" s="36"/>
      <c r="L58" s="36"/>
      <c r="M58" s="36"/>
      <c r="N58" s="36"/>
      <c r="O58" s="36"/>
      <c r="P58" s="36"/>
      <c r="Q58" s="36"/>
      <c r="R58" s="36"/>
      <c r="S58" s="36"/>
      <c r="T58" s="36"/>
      <c r="U58" s="36"/>
      <c r="V58" s="36"/>
      <c r="W58" s="104" t="str" cm="1">
        <f t="array" ref="W58">IF(A58&lt;&gt;"",_xlfn.IFS(A58="Grade 1",SUM(L58:S58),A58="Grade 2",SUM(L58:V58),A58="Grade 3",SUM(L58:S58)),"")</f>
        <v/>
      </c>
      <c r="X58" s="29" t="str">
        <f t="shared" si="0"/>
        <v xml:space="preserve"> </v>
      </c>
    </row>
    <row r="59" spans="1:24" ht="19.899999999999999" customHeight="1" x14ac:dyDescent="0.35">
      <c r="A59" s="24"/>
      <c r="B59" s="25"/>
      <c r="C59" s="25"/>
      <c r="D59" s="21"/>
      <c r="E59" s="26"/>
      <c r="F59" s="35"/>
      <c r="G59" s="35"/>
      <c r="H59" s="35"/>
      <c r="I59" s="36"/>
      <c r="J59" s="36"/>
      <c r="K59" s="36"/>
      <c r="L59" s="36"/>
      <c r="M59" s="36"/>
      <c r="N59" s="36"/>
      <c r="O59" s="36"/>
      <c r="P59" s="36"/>
      <c r="Q59" s="36"/>
      <c r="R59" s="36"/>
      <c r="S59" s="36"/>
      <c r="T59" s="36"/>
      <c r="U59" s="36"/>
      <c r="V59" s="36"/>
      <c r="W59" s="104" t="str" cm="1">
        <f t="array" ref="W59">IF(A59&lt;&gt;"",_xlfn.IFS(A59="Grade 1",SUM(L59:S59),A59="Grade 2",SUM(L59:V59),A59="Grade 3",SUM(L59:S59)),"")</f>
        <v/>
      </c>
      <c r="X59" s="29" t="str">
        <f t="shared" si="0"/>
        <v xml:space="preserve"> </v>
      </c>
    </row>
    <row r="60" spans="1:24" ht="19.899999999999999" customHeight="1" x14ac:dyDescent="0.35">
      <c r="A60" s="24"/>
      <c r="B60" s="25"/>
      <c r="C60" s="25"/>
      <c r="D60" s="21"/>
      <c r="E60" s="26"/>
      <c r="F60" s="35"/>
      <c r="G60" s="35"/>
      <c r="H60" s="35"/>
      <c r="I60" s="36"/>
      <c r="J60" s="36"/>
      <c r="K60" s="36"/>
      <c r="L60" s="36"/>
      <c r="M60" s="36"/>
      <c r="N60" s="36"/>
      <c r="O60" s="36"/>
      <c r="P60" s="36"/>
      <c r="Q60" s="36"/>
      <c r="R60" s="36"/>
      <c r="S60" s="36"/>
      <c r="T60" s="36"/>
      <c r="U60" s="36"/>
      <c r="V60" s="36"/>
      <c r="W60" s="104" t="str" cm="1">
        <f t="array" ref="W60">IF(A60&lt;&gt;"",_xlfn.IFS(A60="Grade 1",SUM(L60:S60),A60="Grade 2",SUM(L60:V60),A60="Grade 3",SUM(L60:S60)),"")</f>
        <v/>
      </c>
      <c r="X60" s="29" t="str">
        <f t="shared" si="0"/>
        <v xml:space="preserve"> </v>
      </c>
    </row>
    <row r="61" spans="1:24" ht="19.899999999999999" customHeight="1" x14ac:dyDescent="0.35">
      <c r="A61" s="24"/>
      <c r="B61" s="25"/>
      <c r="C61" s="25"/>
      <c r="D61" s="21"/>
      <c r="E61" s="26"/>
      <c r="F61" s="35"/>
      <c r="G61" s="35"/>
      <c r="H61" s="35"/>
      <c r="I61" s="36"/>
      <c r="J61" s="36"/>
      <c r="K61" s="36"/>
      <c r="L61" s="36"/>
      <c r="M61" s="36"/>
      <c r="N61" s="36"/>
      <c r="O61" s="36"/>
      <c r="P61" s="36"/>
      <c r="Q61" s="36"/>
      <c r="R61" s="36"/>
      <c r="S61" s="36"/>
      <c r="T61" s="36"/>
      <c r="U61" s="36"/>
      <c r="V61" s="36"/>
      <c r="W61" s="104" t="str" cm="1">
        <f t="array" ref="W61">IF(A61&lt;&gt;"",_xlfn.IFS(A61="Grade 1",SUM(L61:S61),A61="Grade 2",SUM(L61:V61),A61="Grade 3",SUM(L61:S61)),"")</f>
        <v/>
      </c>
      <c r="X61" s="29" t="str">
        <f t="shared" si="0"/>
        <v xml:space="preserve"> </v>
      </c>
    </row>
    <row r="62" spans="1:24" ht="19.899999999999999" customHeight="1" x14ac:dyDescent="0.35">
      <c r="A62" s="24"/>
      <c r="B62" s="25"/>
      <c r="C62" s="25"/>
      <c r="D62" s="21"/>
      <c r="E62" s="26"/>
      <c r="F62" s="35"/>
      <c r="G62" s="35"/>
      <c r="H62" s="35"/>
      <c r="I62" s="36"/>
      <c r="J62" s="36"/>
      <c r="K62" s="36"/>
      <c r="L62" s="36"/>
      <c r="M62" s="36"/>
      <c r="N62" s="36"/>
      <c r="O62" s="36"/>
      <c r="P62" s="36"/>
      <c r="Q62" s="36"/>
      <c r="R62" s="36"/>
      <c r="S62" s="36"/>
      <c r="T62" s="36"/>
      <c r="U62" s="36"/>
      <c r="V62" s="36"/>
      <c r="W62" s="104" t="str" cm="1">
        <f t="array" ref="W62">IF(A62&lt;&gt;"",_xlfn.IFS(A62="Grade 1",SUM(L62:S62),A62="Grade 2",SUM(L62:V62),A62="Grade 3",SUM(L62:S62)),"")</f>
        <v/>
      </c>
      <c r="X62" s="29" t="str">
        <f t="shared" si="0"/>
        <v xml:space="preserve"> </v>
      </c>
    </row>
    <row r="63" spans="1:24" ht="19.899999999999999" customHeight="1" x14ac:dyDescent="0.35">
      <c r="A63" s="24"/>
      <c r="B63" s="25"/>
      <c r="C63" s="25"/>
      <c r="D63" s="21"/>
      <c r="E63" s="26"/>
      <c r="F63" s="35"/>
      <c r="G63" s="35"/>
      <c r="H63" s="35"/>
      <c r="I63" s="36"/>
      <c r="J63" s="36"/>
      <c r="K63" s="36"/>
      <c r="L63" s="36"/>
      <c r="M63" s="36"/>
      <c r="N63" s="36"/>
      <c r="O63" s="36"/>
      <c r="P63" s="36"/>
      <c r="Q63" s="36"/>
      <c r="R63" s="36"/>
      <c r="S63" s="36"/>
      <c r="T63" s="36"/>
      <c r="U63" s="36"/>
      <c r="V63" s="36"/>
      <c r="W63" s="104" t="str" cm="1">
        <f t="array" ref="W63">IF(A63&lt;&gt;"",_xlfn.IFS(A63="Grade 1",SUM(L63:S63),A63="Grade 2",SUM(L63:V63),A63="Grade 3",SUM(L63:S63)),"")</f>
        <v/>
      </c>
      <c r="X63" s="29" t="str">
        <f t="shared" si="0"/>
        <v xml:space="preserve"> </v>
      </c>
    </row>
    <row r="64" spans="1:24" ht="19.899999999999999" customHeight="1" x14ac:dyDescent="0.35">
      <c r="A64" s="24"/>
      <c r="B64" s="25"/>
      <c r="C64" s="25"/>
      <c r="D64" s="21"/>
      <c r="E64" s="26"/>
      <c r="F64" s="35"/>
      <c r="G64" s="35"/>
      <c r="H64" s="35"/>
      <c r="I64" s="36"/>
      <c r="J64" s="36"/>
      <c r="K64" s="36"/>
      <c r="L64" s="36"/>
      <c r="M64" s="36"/>
      <c r="N64" s="36"/>
      <c r="O64" s="36"/>
      <c r="P64" s="36"/>
      <c r="Q64" s="36"/>
      <c r="R64" s="36"/>
      <c r="S64" s="36"/>
      <c r="T64" s="36"/>
      <c r="U64" s="36"/>
      <c r="V64" s="36"/>
      <c r="W64" s="104" t="str" cm="1">
        <f t="array" ref="W64">IF(A64&lt;&gt;"",_xlfn.IFS(A64="Grade 1",SUM(L64:S64),A64="Grade 2",SUM(L64:V64),A64="Grade 3",SUM(L64:S64)),"")</f>
        <v/>
      </c>
      <c r="X64" s="29" t="str">
        <f t="shared" si="0"/>
        <v xml:space="preserve"> </v>
      </c>
    </row>
    <row r="65" spans="1:24" ht="19.899999999999999" customHeight="1" x14ac:dyDescent="0.35">
      <c r="A65" s="24"/>
      <c r="B65" s="25"/>
      <c r="C65" s="25"/>
      <c r="D65" s="21"/>
      <c r="E65" s="26"/>
      <c r="F65" s="35"/>
      <c r="G65" s="35"/>
      <c r="H65" s="35"/>
      <c r="I65" s="36"/>
      <c r="J65" s="36"/>
      <c r="K65" s="36"/>
      <c r="L65" s="36"/>
      <c r="M65" s="36"/>
      <c r="N65" s="36"/>
      <c r="O65" s="36"/>
      <c r="P65" s="36"/>
      <c r="Q65" s="36"/>
      <c r="R65" s="36"/>
      <c r="S65" s="36"/>
      <c r="T65" s="36"/>
      <c r="U65" s="36"/>
      <c r="V65" s="36"/>
      <c r="W65" s="104" t="str" cm="1">
        <f t="array" ref="W65">IF(A65&lt;&gt;"",_xlfn.IFS(A65="Grade 1",SUM(L65:S65),A65="Grade 2",SUM(L65:V65),A65="Grade 3",SUM(L65:S65)),"")</f>
        <v/>
      </c>
      <c r="X65" s="29" t="str">
        <f t="shared" si="0"/>
        <v xml:space="preserve"> </v>
      </c>
    </row>
    <row r="66" spans="1:24" ht="19.899999999999999" customHeight="1" x14ac:dyDescent="0.35">
      <c r="A66" s="24"/>
      <c r="B66" s="25"/>
      <c r="C66" s="25"/>
      <c r="D66" s="21"/>
      <c r="E66" s="26"/>
      <c r="F66" s="35"/>
      <c r="G66" s="35"/>
      <c r="H66" s="35"/>
      <c r="I66" s="36"/>
      <c r="J66" s="36"/>
      <c r="K66" s="36"/>
      <c r="L66" s="36"/>
      <c r="M66" s="36"/>
      <c r="N66" s="36"/>
      <c r="O66" s="36"/>
      <c r="P66" s="36"/>
      <c r="Q66" s="36"/>
      <c r="R66" s="36"/>
      <c r="S66" s="36"/>
      <c r="T66" s="36"/>
      <c r="U66" s="36"/>
      <c r="V66" s="36"/>
      <c r="W66" s="104" t="str" cm="1">
        <f t="array" ref="W66">IF(A66&lt;&gt;"",_xlfn.IFS(A66="Grade 1",SUM(L66:S66),A66="Grade 2",SUM(L66:V66),A66="Grade 3",SUM(L66:S66)),"")</f>
        <v/>
      </c>
      <c r="X66" s="29" t="str">
        <f t="shared" si="0"/>
        <v xml:space="preserve"> </v>
      </c>
    </row>
    <row r="67" spans="1:24" ht="19.899999999999999" customHeight="1" x14ac:dyDescent="0.35">
      <c r="A67" s="24"/>
      <c r="B67" s="25"/>
      <c r="C67" s="25"/>
      <c r="D67" s="21"/>
      <c r="E67" s="26"/>
      <c r="F67" s="35"/>
      <c r="G67" s="35"/>
      <c r="H67" s="35"/>
      <c r="I67" s="36"/>
      <c r="J67" s="36"/>
      <c r="K67" s="36"/>
      <c r="L67" s="36"/>
      <c r="M67" s="36"/>
      <c r="N67" s="36"/>
      <c r="O67" s="36"/>
      <c r="P67" s="36"/>
      <c r="Q67" s="36"/>
      <c r="R67" s="36"/>
      <c r="S67" s="36"/>
      <c r="T67" s="36"/>
      <c r="U67" s="36"/>
      <c r="V67" s="36"/>
      <c r="W67" s="104" t="str" cm="1">
        <f t="array" ref="W67">IF(A67&lt;&gt;"",_xlfn.IFS(A67="Grade 1",SUM(L67:S67),A67="Grade 2",SUM(L67:V67),A67="Grade 3",SUM(L67:S67)),"")</f>
        <v/>
      </c>
      <c r="X67" s="29" t="str">
        <f t="shared" si="0"/>
        <v xml:space="preserve"> </v>
      </c>
    </row>
    <row r="68" spans="1:24" ht="19.899999999999999" customHeight="1" x14ac:dyDescent="0.35">
      <c r="A68" s="24"/>
      <c r="B68" s="25"/>
      <c r="C68" s="25"/>
      <c r="D68" s="21"/>
      <c r="E68" s="26"/>
      <c r="F68" s="35"/>
      <c r="G68" s="35"/>
      <c r="H68" s="35"/>
      <c r="I68" s="36"/>
      <c r="J68" s="36"/>
      <c r="K68" s="36"/>
      <c r="L68" s="36"/>
      <c r="M68" s="36"/>
      <c r="N68" s="36"/>
      <c r="O68" s="36"/>
      <c r="P68" s="36"/>
      <c r="Q68" s="36"/>
      <c r="R68" s="36"/>
      <c r="S68" s="36"/>
      <c r="T68" s="36"/>
      <c r="U68" s="36"/>
      <c r="V68" s="36"/>
      <c r="W68" s="104" t="str" cm="1">
        <f t="array" ref="W68">IF(A68&lt;&gt;"",_xlfn.IFS(A68="Grade 1",SUM(L68:S68),A68="Grade 2",SUM(L68:V68),A68="Grade 3",SUM(L68:S68)),"")</f>
        <v/>
      </c>
      <c r="X68" s="29" t="str">
        <f t="shared" si="0"/>
        <v xml:space="preserve"> </v>
      </c>
    </row>
    <row r="69" spans="1:24" ht="19.899999999999999" customHeight="1" x14ac:dyDescent="0.35">
      <c r="A69" s="24"/>
      <c r="B69" s="25"/>
      <c r="C69" s="25"/>
      <c r="D69" s="21"/>
      <c r="E69" s="26"/>
      <c r="F69" s="35"/>
      <c r="G69" s="35"/>
      <c r="H69" s="35"/>
      <c r="I69" s="36"/>
      <c r="J69" s="36"/>
      <c r="K69" s="36"/>
      <c r="L69" s="36"/>
      <c r="M69" s="36"/>
      <c r="N69" s="36"/>
      <c r="O69" s="36"/>
      <c r="P69" s="36"/>
      <c r="Q69" s="36"/>
      <c r="R69" s="36"/>
      <c r="S69" s="36"/>
      <c r="T69" s="36"/>
      <c r="U69" s="36"/>
      <c r="V69" s="36"/>
      <c r="W69" s="104" t="str" cm="1">
        <f t="array" ref="W69">IF(A69&lt;&gt;"",_xlfn.IFS(A69="Grade 1",SUM(L69:S69),A69="Grade 2",SUM(L69:V69),A69="Grade 3",SUM(L69:S69)),"")</f>
        <v/>
      </c>
      <c r="X69" s="29" t="str">
        <f t="shared" si="0"/>
        <v xml:space="preserve"> </v>
      </c>
    </row>
    <row r="70" spans="1:24" ht="19.899999999999999" customHeight="1" x14ac:dyDescent="0.35">
      <c r="A70" s="24"/>
      <c r="B70" s="25"/>
      <c r="C70" s="25"/>
      <c r="D70" s="21"/>
      <c r="E70" s="26"/>
      <c r="F70" s="35"/>
      <c r="G70" s="35"/>
      <c r="H70" s="35"/>
      <c r="I70" s="36"/>
      <c r="J70" s="36"/>
      <c r="K70" s="36"/>
      <c r="L70" s="36"/>
      <c r="M70" s="36"/>
      <c r="N70" s="36"/>
      <c r="O70" s="36"/>
      <c r="P70" s="36"/>
      <c r="Q70" s="36"/>
      <c r="R70" s="36"/>
      <c r="S70" s="36"/>
      <c r="T70" s="36"/>
      <c r="U70" s="36"/>
      <c r="V70" s="36"/>
      <c r="W70" s="104" t="str" cm="1">
        <f t="array" ref="W70">IF(A70&lt;&gt;"",_xlfn.IFS(A70="Grade 1",SUM(L70:S70),A70="Grade 2",SUM(L70:V70),A70="Grade 3",SUM(L70:S70)),"")</f>
        <v/>
      </c>
      <c r="X70" s="29" t="str">
        <f t="shared" si="0"/>
        <v xml:space="preserve"> </v>
      </c>
    </row>
    <row r="71" spans="1:24" ht="19.899999999999999" customHeight="1" x14ac:dyDescent="0.35">
      <c r="A71" s="24"/>
      <c r="B71" s="25"/>
      <c r="C71" s="25"/>
      <c r="D71" s="21"/>
      <c r="E71" s="26"/>
      <c r="F71" s="35"/>
      <c r="G71" s="35"/>
      <c r="H71" s="35"/>
      <c r="I71" s="36"/>
      <c r="J71" s="36"/>
      <c r="K71" s="36"/>
      <c r="L71" s="36"/>
      <c r="M71" s="36"/>
      <c r="N71" s="36"/>
      <c r="O71" s="36"/>
      <c r="P71" s="36"/>
      <c r="Q71" s="36"/>
      <c r="R71" s="36"/>
      <c r="S71" s="36"/>
      <c r="T71" s="36"/>
      <c r="U71" s="36"/>
      <c r="V71" s="36"/>
      <c r="W71" s="104" t="str" cm="1">
        <f t="array" ref="W71">IF(A71&lt;&gt;"",_xlfn.IFS(A71="Grade 1",SUM(L71:S71),A71="Grade 2",SUM(L71:V71),A71="Grade 3",SUM(L71:S71)),"")</f>
        <v/>
      </c>
      <c r="X71" s="29" t="str">
        <f t="shared" si="0"/>
        <v xml:space="preserve"> </v>
      </c>
    </row>
    <row r="72" spans="1:24" ht="19.899999999999999" customHeight="1" x14ac:dyDescent="0.35">
      <c r="A72" s="24"/>
      <c r="B72" s="25"/>
      <c r="C72" s="25"/>
      <c r="D72" s="21"/>
      <c r="E72" s="26"/>
      <c r="F72" s="35"/>
      <c r="G72" s="35"/>
      <c r="H72" s="35"/>
      <c r="I72" s="36"/>
      <c r="J72" s="36"/>
      <c r="K72" s="36"/>
      <c r="L72" s="36"/>
      <c r="M72" s="36"/>
      <c r="N72" s="36"/>
      <c r="O72" s="36"/>
      <c r="P72" s="36"/>
      <c r="Q72" s="36"/>
      <c r="R72" s="36"/>
      <c r="S72" s="36"/>
      <c r="T72" s="36"/>
      <c r="U72" s="36"/>
      <c r="V72" s="36"/>
      <c r="W72" s="104" t="str" cm="1">
        <f t="array" ref="W72">IF(A72&lt;&gt;"",_xlfn.IFS(A72="Grade 1",SUM(L72:S72),A72="Grade 2",SUM(L72:V72),A72="Grade 3",SUM(L72:S72)),"")</f>
        <v/>
      </c>
      <c r="X72" s="29" t="str">
        <f t="shared" si="0"/>
        <v xml:space="preserve"> </v>
      </c>
    </row>
    <row r="73" spans="1:24" ht="19.899999999999999" customHeight="1" x14ac:dyDescent="0.35">
      <c r="A73" s="24"/>
      <c r="B73" s="25"/>
      <c r="C73" s="25"/>
      <c r="D73" s="21"/>
      <c r="E73" s="26"/>
      <c r="F73" s="35"/>
      <c r="G73" s="35"/>
      <c r="H73" s="35"/>
      <c r="I73" s="36"/>
      <c r="J73" s="36"/>
      <c r="K73" s="36"/>
      <c r="L73" s="36"/>
      <c r="M73" s="36"/>
      <c r="N73" s="36"/>
      <c r="O73" s="36"/>
      <c r="P73" s="36"/>
      <c r="Q73" s="36"/>
      <c r="R73" s="36"/>
      <c r="S73" s="36"/>
      <c r="T73" s="36"/>
      <c r="U73" s="36"/>
      <c r="V73" s="36"/>
      <c r="W73" s="104" t="str" cm="1">
        <f t="array" ref="W73">IF(A73&lt;&gt;"",_xlfn.IFS(A73="Grade 1",SUM(L73:S73),A73="Grade 2",SUM(L73:V73),A73="Grade 3",SUM(L73:S73)),"")</f>
        <v/>
      </c>
      <c r="X73" s="29" t="str">
        <f t="shared" si="0"/>
        <v xml:space="preserve"> </v>
      </c>
    </row>
    <row r="74" spans="1:24" ht="19.899999999999999" customHeight="1" x14ac:dyDescent="0.35">
      <c r="A74" s="24"/>
      <c r="B74" s="25"/>
      <c r="C74" s="25"/>
      <c r="D74" s="21"/>
      <c r="E74" s="26"/>
      <c r="F74" s="35"/>
      <c r="G74" s="35"/>
      <c r="H74" s="35"/>
      <c r="I74" s="36"/>
      <c r="J74" s="36"/>
      <c r="K74" s="36"/>
      <c r="L74" s="36"/>
      <c r="M74" s="36"/>
      <c r="N74" s="36"/>
      <c r="O74" s="36"/>
      <c r="P74" s="36"/>
      <c r="Q74" s="36"/>
      <c r="R74" s="36"/>
      <c r="S74" s="36"/>
      <c r="T74" s="36"/>
      <c r="U74" s="36"/>
      <c r="V74" s="36"/>
      <c r="W74" s="104" t="str" cm="1">
        <f t="array" ref="W74">IF(A74&lt;&gt;"",_xlfn.IFS(A74="Grade 1",SUM(L74:S74),A74="Grade 2",SUM(L74:V74),A74="Grade 3",SUM(L74:S74)),"")</f>
        <v/>
      </c>
      <c r="X74" s="29" t="str">
        <f t="shared" si="0"/>
        <v xml:space="preserve"> </v>
      </c>
    </row>
    <row r="75" spans="1:24" ht="19.899999999999999" customHeight="1" x14ac:dyDescent="0.35">
      <c r="A75" s="24"/>
      <c r="B75" s="25"/>
      <c r="C75" s="25"/>
      <c r="D75" s="21"/>
      <c r="E75" s="26"/>
      <c r="F75" s="35"/>
      <c r="G75" s="35"/>
      <c r="H75" s="35"/>
      <c r="I75" s="36"/>
      <c r="J75" s="36"/>
      <c r="K75" s="36"/>
      <c r="L75" s="36"/>
      <c r="M75" s="36"/>
      <c r="N75" s="36"/>
      <c r="O75" s="36"/>
      <c r="P75" s="36"/>
      <c r="Q75" s="36"/>
      <c r="R75" s="36"/>
      <c r="S75" s="36"/>
      <c r="T75" s="36"/>
      <c r="U75" s="36"/>
      <c r="V75" s="36"/>
      <c r="W75" s="104" t="str" cm="1">
        <f t="array" ref="W75">IF(A75&lt;&gt;"",_xlfn.IFS(A75="Grade 1",SUM(L75:S75),A75="Grade 2",SUM(L75:V75),A75="Grade 3",SUM(L75:S75)),"")</f>
        <v/>
      </c>
      <c r="X75" s="29" t="str">
        <f t="shared" ref="X75:X138" si="1">IF(ISBLANK(A75)," ",IF(SUM(G75:K75)=E75,"Data Validated","Data with Error"))</f>
        <v xml:space="preserve"> </v>
      </c>
    </row>
    <row r="76" spans="1:24" ht="19.899999999999999" customHeight="1" x14ac:dyDescent="0.35">
      <c r="A76" s="24"/>
      <c r="B76" s="25"/>
      <c r="C76" s="25"/>
      <c r="D76" s="21"/>
      <c r="E76" s="26"/>
      <c r="F76" s="35"/>
      <c r="G76" s="35"/>
      <c r="H76" s="35"/>
      <c r="I76" s="36"/>
      <c r="J76" s="36"/>
      <c r="K76" s="36"/>
      <c r="L76" s="36"/>
      <c r="M76" s="36"/>
      <c r="N76" s="36"/>
      <c r="O76" s="36"/>
      <c r="P76" s="36"/>
      <c r="Q76" s="36"/>
      <c r="R76" s="36"/>
      <c r="S76" s="36"/>
      <c r="T76" s="36"/>
      <c r="U76" s="36"/>
      <c r="V76" s="36"/>
      <c r="W76" s="104" t="str" cm="1">
        <f t="array" ref="W76">IF(A76&lt;&gt;"",_xlfn.IFS(A76="Grade 1",SUM(L76:S76),A76="Grade 2",SUM(L76:V76),A76="Grade 3",SUM(L76:S76)),"")</f>
        <v/>
      </c>
      <c r="X76" s="29" t="str">
        <f t="shared" si="1"/>
        <v xml:space="preserve"> </v>
      </c>
    </row>
    <row r="77" spans="1:24" ht="19.899999999999999" customHeight="1" x14ac:dyDescent="0.35">
      <c r="A77" s="24"/>
      <c r="B77" s="25"/>
      <c r="C77" s="25"/>
      <c r="D77" s="21"/>
      <c r="E77" s="26"/>
      <c r="F77" s="35"/>
      <c r="G77" s="35"/>
      <c r="H77" s="35"/>
      <c r="I77" s="36"/>
      <c r="J77" s="36"/>
      <c r="K77" s="36"/>
      <c r="L77" s="36"/>
      <c r="M77" s="36"/>
      <c r="N77" s="36"/>
      <c r="O77" s="36"/>
      <c r="P77" s="36"/>
      <c r="Q77" s="36"/>
      <c r="R77" s="36"/>
      <c r="S77" s="36"/>
      <c r="T77" s="36"/>
      <c r="U77" s="36"/>
      <c r="V77" s="36"/>
      <c r="W77" s="104" t="str" cm="1">
        <f t="array" ref="W77">IF(A77&lt;&gt;"",_xlfn.IFS(A77="Grade 1",SUM(L77:S77),A77="Grade 2",SUM(L77:V77),A77="Grade 3",SUM(L77:S77)),"")</f>
        <v/>
      </c>
      <c r="X77" s="29" t="str">
        <f t="shared" si="1"/>
        <v xml:space="preserve"> </v>
      </c>
    </row>
    <row r="78" spans="1:24" ht="19.899999999999999" customHeight="1" x14ac:dyDescent="0.35">
      <c r="A78" s="24"/>
      <c r="B78" s="25"/>
      <c r="C78" s="25"/>
      <c r="D78" s="21"/>
      <c r="E78" s="26"/>
      <c r="F78" s="35"/>
      <c r="G78" s="35"/>
      <c r="H78" s="35"/>
      <c r="I78" s="36"/>
      <c r="J78" s="36"/>
      <c r="K78" s="36"/>
      <c r="L78" s="36"/>
      <c r="M78" s="36"/>
      <c r="N78" s="36"/>
      <c r="O78" s="36"/>
      <c r="P78" s="36"/>
      <c r="Q78" s="36"/>
      <c r="R78" s="36"/>
      <c r="S78" s="36"/>
      <c r="T78" s="36"/>
      <c r="U78" s="36"/>
      <c r="V78" s="36"/>
      <c r="W78" s="104" t="str" cm="1">
        <f t="array" ref="W78">IF(A78&lt;&gt;"",_xlfn.IFS(A78="Grade 1",SUM(L78:S78),A78="Grade 2",SUM(L78:V78),A78="Grade 3",SUM(L78:S78)),"")</f>
        <v/>
      </c>
      <c r="X78" s="29" t="str">
        <f t="shared" si="1"/>
        <v xml:space="preserve"> </v>
      </c>
    </row>
    <row r="79" spans="1:24" ht="19.899999999999999" customHeight="1" x14ac:dyDescent="0.35">
      <c r="A79" s="24"/>
      <c r="B79" s="25"/>
      <c r="C79" s="25"/>
      <c r="D79" s="21"/>
      <c r="E79" s="26"/>
      <c r="F79" s="35"/>
      <c r="G79" s="35"/>
      <c r="H79" s="35"/>
      <c r="I79" s="36"/>
      <c r="J79" s="36"/>
      <c r="K79" s="36"/>
      <c r="L79" s="36"/>
      <c r="M79" s="36"/>
      <c r="N79" s="36"/>
      <c r="O79" s="36"/>
      <c r="P79" s="36"/>
      <c r="Q79" s="36"/>
      <c r="R79" s="36"/>
      <c r="S79" s="36"/>
      <c r="T79" s="36"/>
      <c r="U79" s="36"/>
      <c r="V79" s="36"/>
      <c r="W79" s="104" t="str" cm="1">
        <f t="array" ref="W79">IF(A79&lt;&gt;"",_xlfn.IFS(A79="Grade 1",SUM(L79:S79),A79="Grade 2",SUM(L79:V79),A79="Grade 3",SUM(L79:S79)),"")</f>
        <v/>
      </c>
      <c r="X79" s="29" t="str">
        <f t="shared" si="1"/>
        <v xml:space="preserve"> </v>
      </c>
    </row>
    <row r="80" spans="1:24" ht="19.899999999999999" customHeight="1" x14ac:dyDescent="0.35">
      <c r="A80" s="24"/>
      <c r="B80" s="25"/>
      <c r="C80" s="25"/>
      <c r="D80" s="21"/>
      <c r="E80" s="26"/>
      <c r="F80" s="35"/>
      <c r="G80" s="35"/>
      <c r="H80" s="35"/>
      <c r="I80" s="36"/>
      <c r="J80" s="36"/>
      <c r="K80" s="36"/>
      <c r="L80" s="36"/>
      <c r="M80" s="36"/>
      <c r="N80" s="36"/>
      <c r="O80" s="36"/>
      <c r="P80" s="36"/>
      <c r="Q80" s="36"/>
      <c r="R80" s="36"/>
      <c r="S80" s="36"/>
      <c r="T80" s="36"/>
      <c r="U80" s="36"/>
      <c r="V80" s="36"/>
      <c r="W80" s="104" t="str" cm="1">
        <f t="array" ref="W80">IF(A80&lt;&gt;"",_xlfn.IFS(A80="Grade 1",SUM(L80:S80),A80="Grade 2",SUM(L80:V80),A80="Grade 3",SUM(L80:S80)),"")</f>
        <v/>
      </c>
      <c r="X80" s="29" t="str">
        <f t="shared" si="1"/>
        <v xml:space="preserve"> </v>
      </c>
    </row>
    <row r="81" spans="1:24" ht="19.899999999999999" customHeight="1" x14ac:dyDescent="0.35">
      <c r="A81" s="24"/>
      <c r="B81" s="25"/>
      <c r="C81" s="25"/>
      <c r="D81" s="21"/>
      <c r="E81" s="26"/>
      <c r="F81" s="35"/>
      <c r="G81" s="35"/>
      <c r="H81" s="35"/>
      <c r="I81" s="36"/>
      <c r="J81" s="36"/>
      <c r="K81" s="36"/>
      <c r="L81" s="36"/>
      <c r="M81" s="36"/>
      <c r="N81" s="36"/>
      <c r="O81" s="36"/>
      <c r="P81" s="36"/>
      <c r="Q81" s="36"/>
      <c r="R81" s="36"/>
      <c r="S81" s="36"/>
      <c r="T81" s="36"/>
      <c r="U81" s="36"/>
      <c r="V81" s="36"/>
      <c r="W81" s="104" t="str" cm="1">
        <f t="array" ref="W81">IF(A81&lt;&gt;"",_xlfn.IFS(A81="Grade 1",SUM(L81:S81),A81="Grade 2",SUM(L81:V81),A81="Grade 3",SUM(L81:S81)),"")</f>
        <v/>
      </c>
      <c r="X81" s="29" t="str">
        <f t="shared" si="1"/>
        <v xml:space="preserve"> </v>
      </c>
    </row>
    <row r="82" spans="1:24" ht="19.899999999999999" customHeight="1" x14ac:dyDescent="0.35">
      <c r="A82" s="24"/>
      <c r="B82" s="25"/>
      <c r="C82" s="25"/>
      <c r="D82" s="21"/>
      <c r="E82" s="26"/>
      <c r="F82" s="35"/>
      <c r="G82" s="35"/>
      <c r="H82" s="35"/>
      <c r="I82" s="36"/>
      <c r="J82" s="36"/>
      <c r="K82" s="36"/>
      <c r="L82" s="36"/>
      <c r="M82" s="36"/>
      <c r="N82" s="36"/>
      <c r="O82" s="36"/>
      <c r="P82" s="36"/>
      <c r="Q82" s="36"/>
      <c r="R82" s="36"/>
      <c r="S82" s="36"/>
      <c r="T82" s="36"/>
      <c r="U82" s="36"/>
      <c r="V82" s="36"/>
      <c r="W82" s="104" t="str" cm="1">
        <f t="array" ref="W82">IF(A82&lt;&gt;"",_xlfn.IFS(A82="Grade 1",SUM(L82:S82),A82="Grade 2",SUM(L82:V82),A82="Grade 3",SUM(L82:S82)),"")</f>
        <v/>
      </c>
      <c r="X82" s="29" t="str">
        <f t="shared" si="1"/>
        <v xml:space="preserve"> </v>
      </c>
    </row>
    <row r="83" spans="1:24" ht="19.899999999999999" customHeight="1" x14ac:dyDescent="0.35">
      <c r="A83" s="24"/>
      <c r="B83" s="25"/>
      <c r="C83" s="25"/>
      <c r="D83" s="21"/>
      <c r="E83" s="26"/>
      <c r="F83" s="35"/>
      <c r="G83" s="35"/>
      <c r="H83" s="35"/>
      <c r="I83" s="36"/>
      <c r="J83" s="36"/>
      <c r="K83" s="36"/>
      <c r="L83" s="36"/>
      <c r="M83" s="36"/>
      <c r="N83" s="36"/>
      <c r="O83" s="36"/>
      <c r="P83" s="36"/>
      <c r="Q83" s="36"/>
      <c r="R83" s="36"/>
      <c r="S83" s="36"/>
      <c r="T83" s="36"/>
      <c r="U83" s="36"/>
      <c r="V83" s="36"/>
      <c r="W83" s="104" t="str" cm="1">
        <f t="array" ref="W83">IF(A83&lt;&gt;"",_xlfn.IFS(A83="Grade 1",SUM(L83:S83),A83="Grade 2",SUM(L83:V83),A83="Grade 3",SUM(L83:S83)),"")</f>
        <v/>
      </c>
      <c r="X83" s="29" t="str">
        <f t="shared" si="1"/>
        <v xml:space="preserve"> </v>
      </c>
    </row>
    <row r="84" spans="1:24" ht="19.899999999999999" customHeight="1" x14ac:dyDescent="0.35">
      <c r="A84" s="24"/>
      <c r="B84" s="25"/>
      <c r="C84" s="25"/>
      <c r="D84" s="21"/>
      <c r="E84" s="26"/>
      <c r="F84" s="35"/>
      <c r="G84" s="35"/>
      <c r="H84" s="35"/>
      <c r="I84" s="36"/>
      <c r="J84" s="36"/>
      <c r="K84" s="36"/>
      <c r="L84" s="36"/>
      <c r="M84" s="36"/>
      <c r="N84" s="36"/>
      <c r="O84" s="36"/>
      <c r="P84" s="36"/>
      <c r="Q84" s="36"/>
      <c r="R84" s="36"/>
      <c r="S84" s="36"/>
      <c r="T84" s="36"/>
      <c r="U84" s="36"/>
      <c r="V84" s="36"/>
      <c r="W84" s="104" t="str" cm="1">
        <f t="array" ref="W84">IF(A84&lt;&gt;"",_xlfn.IFS(A84="Grade 1",SUM(L84:S84),A84="Grade 2",SUM(L84:V84),A84="Grade 3",SUM(L84:S84)),"")</f>
        <v/>
      </c>
      <c r="X84" s="29" t="str">
        <f t="shared" si="1"/>
        <v xml:space="preserve"> </v>
      </c>
    </row>
    <row r="85" spans="1:24" ht="19.899999999999999" customHeight="1" x14ac:dyDescent="0.35">
      <c r="A85" s="24"/>
      <c r="B85" s="25"/>
      <c r="C85" s="25"/>
      <c r="D85" s="21"/>
      <c r="E85" s="26"/>
      <c r="F85" s="35"/>
      <c r="G85" s="35"/>
      <c r="H85" s="35"/>
      <c r="I85" s="36"/>
      <c r="J85" s="36"/>
      <c r="K85" s="36"/>
      <c r="L85" s="36"/>
      <c r="M85" s="36"/>
      <c r="N85" s="36"/>
      <c r="O85" s="36"/>
      <c r="P85" s="36"/>
      <c r="Q85" s="36"/>
      <c r="R85" s="36"/>
      <c r="S85" s="36"/>
      <c r="T85" s="36"/>
      <c r="U85" s="36"/>
      <c r="V85" s="36"/>
      <c r="W85" s="104" t="str" cm="1">
        <f t="array" ref="W85">IF(A85&lt;&gt;"",_xlfn.IFS(A85="Grade 1",SUM(L85:S85),A85="Grade 2",SUM(L85:V85),A85="Grade 3",SUM(L85:S85)),"")</f>
        <v/>
      </c>
      <c r="X85" s="29" t="str">
        <f t="shared" si="1"/>
        <v xml:space="preserve"> </v>
      </c>
    </row>
    <row r="86" spans="1:24" ht="19.899999999999999" customHeight="1" x14ac:dyDescent="0.35">
      <c r="A86" s="24"/>
      <c r="B86" s="25"/>
      <c r="C86" s="25"/>
      <c r="D86" s="21"/>
      <c r="E86" s="26"/>
      <c r="F86" s="35"/>
      <c r="G86" s="35"/>
      <c r="H86" s="35"/>
      <c r="I86" s="36"/>
      <c r="J86" s="36"/>
      <c r="K86" s="36"/>
      <c r="L86" s="36"/>
      <c r="M86" s="36"/>
      <c r="N86" s="36"/>
      <c r="O86" s="36"/>
      <c r="P86" s="36"/>
      <c r="Q86" s="36"/>
      <c r="R86" s="36"/>
      <c r="S86" s="36"/>
      <c r="T86" s="36"/>
      <c r="U86" s="36"/>
      <c r="V86" s="36"/>
      <c r="W86" s="104" t="str" cm="1">
        <f t="array" ref="W86">IF(A86&lt;&gt;"",_xlfn.IFS(A86="Grade 1",SUM(L86:S86),A86="Grade 2",SUM(L86:V86),A86="Grade 3",SUM(L86:S86)),"")</f>
        <v/>
      </c>
      <c r="X86" s="29" t="str">
        <f t="shared" si="1"/>
        <v xml:space="preserve"> </v>
      </c>
    </row>
    <row r="87" spans="1:24" ht="19.899999999999999" customHeight="1" x14ac:dyDescent="0.35">
      <c r="A87" s="24"/>
      <c r="B87" s="25"/>
      <c r="C87" s="25"/>
      <c r="D87" s="21"/>
      <c r="E87" s="26"/>
      <c r="F87" s="35"/>
      <c r="G87" s="35"/>
      <c r="H87" s="35"/>
      <c r="I87" s="36"/>
      <c r="J87" s="36"/>
      <c r="K87" s="36"/>
      <c r="L87" s="36"/>
      <c r="M87" s="36"/>
      <c r="N87" s="36"/>
      <c r="O87" s="36"/>
      <c r="P87" s="36"/>
      <c r="Q87" s="36"/>
      <c r="R87" s="36"/>
      <c r="S87" s="36"/>
      <c r="T87" s="36"/>
      <c r="U87" s="36"/>
      <c r="V87" s="36"/>
      <c r="W87" s="104" t="str" cm="1">
        <f t="array" ref="W87">IF(A87&lt;&gt;"",_xlfn.IFS(A87="Grade 1",SUM(L87:S87),A87="Grade 2",SUM(L87:V87),A87="Grade 3",SUM(L87:S87)),"")</f>
        <v/>
      </c>
      <c r="X87" s="29" t="str">
        <f t="shared" si="1"/>
        <v xml:space="preserve"> </v>
      </c>
    </row>
    <row r="88" spans="1:24" ht="19.899999999999999" customHeight="1" x14ac:dyDescent="0.35">
      <c r="A88" s="24"/>
      <c r="B88" s="25"/>
      <c r="C88" s="25"/>
      <c r="D88" s="21"/>
      <c r="E88" s="26"/>
      <c r="F88" s="35"/>
      <c r="G88" s="35"/>
      <c r="H88" s="35"/>
      <c r="I88" s="36"/>
      <c r="J88" s="36"/>
      <c r="K88" s="36"/>
      <c r="L88" s="36"/>
      <c r="M88" s="36"/>
      <c r="N88" s="36"/>
      <c r="O88" s="36"/>
      <c r="P88" s="36"/>
      <c r="Q88" s="36"/>
      <c r="R88" s="36"/>
      <c r="S88" s="36"/>
      <c r="T88" s="36"/>
      <c r="U88" s="36"/>
      <c r="V88" s="36"/>
      <c r="W88" s="104" t="str" cm="1">
        <f t="array" ref="W88">IF(A88&lt;&gt;"",_xlfn.IFS(A88="Grade 1",SUM(L88:S88),A88="Grade 2",SUM(L88:V88),A88="Grade 3",SUM(L88:S88)),"")</f>
        <v/>
      </c>
      <c r="X88" s="29" t="str">
        <f t="shared" si="1"/>
        <v xml:space="preserve"> </v>
      </c>
    </row>
    <row r="89" spans="1:24" ht="19.899999999999999" customHeight="1" x14ac:dyDescent="0.35">
      <c r="A89" s="24"/>
      <c r="B89" s="25"/>
      <c r="C89" s="25"/>
      <c r="D89" s="21"/>
      <c r="E89" s="26"/>
      <c r="F89" s="35"/>
      <c r="G89" s="35"/>
      <c r="H89" s="35"/>
      <c r="I89" s="36"/>
      <c r="J89" s="36"/>
      <c r="K89" s="36"/>
      <c r="L89" s="36"/>
      <c r="M89" s="36"/>
      <c r="N89" s="36"/>
      <c r="O89" s="36"/>
      <c r="P89" s="36"/>
      <c r="Q89" s="36"/>
      <c r="R89" s="36"/>
      <c r="S89" s="36"/>
      <c r="T89" s="36"/>
      <c r="U89" s="36"/>
      <c r="V89" s="36"/>
      <c r="W89" s="104" t="str" cm="1">
        <f t="array" ref="W89">IF(A89&lt;&gt;"",_xlfn.IFS(A89="Grade 1",SUM(L89:S89),A89="Grade 2",SUM(L89:V89),A89="Grade 3",SUM(L89:S89)),"")</f>
        <v/>
      </c>
      <c r="X89" s="29" t="str">
        <f t="shared" si="1"/>
        <v xml:space="preserve"> </v>
      </c>
    </row>
    <row r="90" spans="1:24" ht="19.899999999999999" customHeight="1" x14ac:dyDescent="0.35">
      <c r="A90" s="24"/>
      <c r="B90" s="25"/>
      <c r="C90" s="25"/>
      <c r="D90" s="21"/>
      <c r="E90" s="26"/>
      <c r="F90" s="35"/>
      <c r="G90" s="35"/>
      <c r="H90" s="35"/>
      <c r="I90" s="36"/>
      <c r="J90" s="36"/>
      <c r="K90" s="36"/>
      <c r="L90" s="36"/>
      <c r="M90" s="36"/>
      <c r="N90" s="36"/>
      <c r="O90" s="36"/>
      <c r="P90" s="36"/>
      <c r="Q90" s="36"/>
      <c r="R90" s="36"/>
      <c r="S90" s="36"/>
      <c r="T90" s="36"/>
      <c r="U90" s="36"/>
      <c r="V90" s="36"/>
      <c r="W90" s="104" t="str" cm="1">
        <f t="array" ref="W90">IF(A90&lt;&gt;"",_xlfn.IFS(A90="Grade 1",SUM(L90:S90),A90="Grade 2",SUM(L90:V90),A90="Grade 3",SUM(L90:S90)),"")</f>
        <v/>
      </c>
      <c r="X90" s="29" t="str">
        <f t="shared" si="1"/>
        <v xml:space="preserve"> </v>
      </c>
    </row>
    <row r="91" spans="1:24" ht="19.899999999999999" customHeight="1" x14ac:dyDescent="0.35">
      <c r="A91" s="24"/>
      <c r="B91" s="25"/>
      <c r="C91" s="25"/>
      <c r="D91" s="21"/>
      <c r="E91" s="26"/>
      <c r="F91" s="35"/>
      <c r="G91" s="35"/>
      <c r="H91" s="35"/>
      <c r="I91" s="36"/>
      <c r="J91" s="36"/>
      <c r="K91" s="36"/>
      <c r="L91" s="36"/>
      <c r="M91" s="36"/>
      <c r="N91" s="36"/>
      <c r="O91" s="36"/>
      <c r="P91" s="36"/>
      <c r="Q91" s="36"/>
      <c r="R91" s="36"/>
      <c r="S91" s="36"/>
      <c r="T91" s="36"/>
      <c r="U91" s="36"/>
      <c r="V91" s="36"/>
      <c r="W91" s="104" t="str" cm="1">
        <f t="array" ref="W91">IF(A91&lt;&gt;"",_xlfn.IFS(A91="Grade 1",SUM(L91:S91),A91="Grade 2",SUM(L91:V91),A91="Grade 3",SUM(L91:S91)),"")</f>
        <v/>
      </c>
      <c r="X91" s="29" t="str">
        <f t="shared" si="1"/>
        <v xml:space="preserve"> </v>
      </c>
    </row>
    <row r="92" spans="1:24" ht="19.899999999999999" customHeight="1" x14ac:dyDescent="0.35">
      <c r="A92" s="24"/>
      <c r="B92" s="25"/>
      <c r="C92" s="25"/>
      <c r="D92" s="21"/>
      <c r="E92" s="26"/>
      <c r="F92" s="35"/>
      <c r="G92" s="35"/>
      <c r="H92" s="35"/>
      <c r="I92" s="36"/>
      <c r="J92" s="36"/>
      <c r="K92" s="36"/>
      <c r="L92" s="36"/>
      <c r="M92" s="36"/>
      <c r="N92" s="36"/>
      <c r="O92" s="36"/>
      <c r="P92" s="36"/>
      <c r="Q92" s="36"/>
      <c r="R92" s="36"/>
      <c r="S92" s="36"/>
      <c r="T92" s="36"/>
      <c r="U92" s="36"/>
      <c r="V92" s="36"/>
      <c r="W92" s="104" t="str" cm="1">
        <f t="array" ref="W92">IF(A92&lt;&gt;"",_xlfn.IFS(A92="Grade 1",SUM(L92:S92),A92="Grade 2",SUM(L92:V92),A92="Grade 3",SUM(L92:S92)),"")</f>
        <v/>
      </c>
      <c r="X92" s="29" t="str">
        <f t="shared" si="1"/>
        <v xml:space="preserve"> </v>
      </c>
    </row>
    <row r="93" spans="1:24" ht="19.899999999999999" customHeight="1" x14ac:dyDescent="0.35">
      <c r="A93" s="24"/>
      <c r="B93" s="25"/>
      <c r="C93" s="25"/>
      <c r="D93" s="21"/>
      <c r="E93" s="26"/>
      <c r="F93" s="35"/>
      <c r="G93" s="35"/>
      <c r="H93" s="35"/>
      <c r="I93" s="36"/>
      <c r="J93" s="36"/>
      <c r="K93" s="36"/>
      <c r="L93" s="36"/>
      <c r="M93" s="36"/>
      <c r="N93" s="36"/>
      <c r="O93" s="36"/>
      <c r="P93" s="36"/>
      <c r="Q93" s="36"/>
      <c r="R93" s="36"/>
      <c r="S93" s="36"/>
      <c r="T93" s="36"/>
      <c r="U93" s="36"/>
      <c r="V93" s="36"/>
      <c r="W93" s="104" t="str" cm="1">
        <f t="array" ref="W93">IF(A93&lt;&gt;"",_xlfn.IFS(A93="Grade 1",SUM(L93:S93),A93="Grade 2",SUM(L93:V93),A93="Grade 3",SUM(L93:S93)),"")</f>
        <v/>
      </c>
      <c r="X93" s="29" t="str">
        <f t="shared" si="1"/>
        <v xml:space="preserve"> </v>
      </c>
    </row>
    <row r="94" spans="1:24" ht="19.899999999999999" customHeight="1" x14ac:dyDescent="0.35">
      <c r="A94" s="24"/>
      <c r="B94" s="25"/>
      <c r="C94" s="25"/>
      <c r="D94" s="21"/>
      <c r="E94" s="26"/>
      <c r="F94" s="35"/>
      <c r="G94" s="35"/>
      <c r="H94" s="35"/>
      <c r="I94" s="36"/>
      <c r="J94" s="36"/>
      <c r="K94" s="36"/>
      <c r="L94" s="36"/>
      <c r="M94" s="36"/>
      <c r="N94" s="36"/>
      <c r="O94" s="36"/>
      <c r="P94" s="36"/>
      <c r="Q94" s="36"/>
      <c r="R94" s="36"/>
      <c r="S94" s="36"/>
      <c r="T94" s="36"/>
      <c r="U94" s="36"/>
      <c r="V94" s="36"/>
      <c r="W94" s="104" t="str" cm="1">
        <f t="array" ref="W94">IF(A94&lt;&gt;"",_xlfn.IFS(A94="Grade 1",SUM(L94:S94),A94="Grade 2",SUM(L94:V94),A94="Grade 3",SUM(L94:S94)),"")</f>
        <v/>
      </c>
      <c r="X94" s="29" t="str">
        <f t="shared" si="1"/>
        <v xml:space="preserve"> </v>
      </c>
    </row>
    <row r="95" spans="1:24" ht="19.899999999999999" customHeight="1" x14ac:dyDescent="0.35">
      <c r="A95" s="24"/>
      <c r="B95" s="25"/>
      <c r="C95" s="25"/>
      <c r="D95" s="21"/>
      <c r="E95" s="26"/>
      <c r="F95" s="35"/>
      <c r="G95" s="35"/>
      <c r="H95" s="35"/>
      <c r="I95" s="36"/>
      <c r="J95" s="36"/>
      <c r="K95" s="36"/>
      <c r="L95" s="36"/>
      <c r="M95" s="36"/>
      <c r="N95" s="36"/>
      <c r="O95" s="36"/>
      <c r="P95" s="36"/>
      <c r="Q95" s="36"/>
      <c r="R95" s="36"/>
      <c r="S95" s="36"/>
      <c r="T95" s="36"/>
      <c r="U95" s="36"/>
      <c r="V95" s="36"/>
      <c r="W95" s="104" t="str" cm="1">
        <f t="array" ref="W95">IF(A95&lt;&gt;"",_xlfn.IFS(A95="Grade 1",SUM(L95:S95),A95="Grade 2",SUM(L95:V95),A95="Grade 3",SUM(L95:S95)),"")</f>
        <v/>
      </c>
      <c r="X95" s="29" t="str">
        <f t="shared" si="1"/>
        <v xml:space="preserve"> </v>
      </c>
    </row>
    <row r="96" spans="1:24" ht="19.899999999999999" customHeight="1" x14ac:dyDescent="0.35">
      <c r="A96" s="24"/>
      <c r="B96" s="25"/>
      <c r="C96" s="25"/>
      <c r="D96" s="21"/>
      <c r="E96" s="26"/>
      <c r="F96" s="35"/>
      <c r="G96" s="35"/>
      <c r="H96" s="35"/>
      <c r="I96" s="36"/>
      <c r="J96" s="36"/>
      <c r="K96" s="36"/>
      <c r="L96" s="36"/>
      <c r="M96" s="36"/>
      <c r="N96" s="36"/>
      <c r="O96" s="36"/>
      <c r="P96" s="36"/>
      <c r="Q96" s="36"/>
      <c r="R96" s="36"/>
      <c r="S96" s="36"/>
      <c r="T96" s="36"/>
      <c r="U96" s="36"/>
      <c r="V96" s="36"/>
      <c r="W96" s="104" t="str" cm="1">
        <f t="array" ref="W96">IF(A96&lt;&gt;"",_xlfn.IFS(A96="Grade 1",SUM(L96:S96),A96="Grade 2",SUM(L96:V96),A96="Grade 3",SUM(L96:S96)),"")</f>
        <v/>
      </c>
      <c r="X96" s="29" t="str">
        <f t="shared" si="1"/>
        <v xml:space="preserve"> </v>
      </c>
    </row>
    <row r="97" spans="1:24" ht="19.899999999999999" customHeight="1" x14ac:dyDescent="0.35">
      <c r="A97" s="24"/>
      <c r="B97" s="25"/>
      <c r="C97" s="25"/>
      <c r="D97" s="21"/>
      <c r="E97" s="26"/>
      <c r="F97" s="35"/>
      <c r="G97" s="35"/>
      <c r="H97" s="35"/>
      <c r="I97" s="36"/>
      <c r="J97" s="36"/>
      <c r="K97" s="36"/>
      <c r="L97" s="36"/>
      <c r="M97" s="36"/>
      <c r="N97" s="36"/>
      <c r="O97" s="36"/>
      <c r="P97" s="36"/>
      <c r="Q97" s="36"/>
      <c r="R97" s="36"/>
      <c r="S97" s="36"/>
      <c r="T97" s="36"/>
      <c r="U97" s="36"/>
      <c r="V97" s="36"/>
      <c r="W97" s="104" t="str" cm="1">
        <f t="array" ref="W97">IF(A97&lt;&gt;"",_xlfn.IFS(A97="Grade 1",SUM(L97:S97),A97="Grade 2",SUM(L97:V97),A97="Grade 3",SUM(L97:S97)),"")</f>
        <v/>
      </c>
      <c r="X97" s="29" t="str">
        <f t="shared" si="1"/>
        <v xml:space="preserve"> </v>
      </c>
    </row>
    <row r="98" spans="1:24" ht="20.5" customHeight="1" x14ac:dyDescent="0.35">
      <c r="A98" s="24"/>
      <c r="B98" s="25"/>
      <c r="C98" s="25"/>
      <c r="D98" s="21"/>
      <c r="E98" s="26"/>
      <c r="F98" s="35"/>
      <c r="G98" s="35"/>
      <c r="H98" s="35"/>
      <c r="I98" s="36"/>
      <c r="J98" s="36"/>
      <c r="K98" s="36"/>
      <c r="L98" s="36"/>
      <c r="M98" s="36"/>
      <c r="N98" s="36"/>
      <c r="O98" s="36"/>
      <c r="P98" s="36"/>
      <c r="Q98" s="36"/>
      <c r="R98" s="36"/>
      <c r="S98" s="36"/>
      <c r="T98" s="36"/>
      <c r="U98" s="36"/>
      <c r="V98" s="36"/>
      <c r="W98" s="104" t="str" cm="1">
        <f t="array" ref="W98">IF(A98&lt;&gt;"",_xlfn.IFS(A98="Grade 1",SUM(L98:S98),A98="Grade 2",SUM(L98:V98),A98="Grade 3",SUM(L98:S98)),"")</f>
        <v/>
      </c>
      <c r="X98" s="29" t="str">
        <f t="shared" si="1"/>
        <v xml:space="preserve"> </v>
      </c>
    </row>
    <row r="99" spans="1:24" ht="19.899999999999999" customHeight="1" x14ac:dyDescent="0.35">
      <c r="A99" s="24"/>
      <c r="B99" s="25"/>
      <c r="C99" s="25"/>
      <c r="D99" s="21"/>
      <c r="E99" s="26"/>
      <c r="F99" s="35"/>
      <c r="G99" s="35"/>
      <c r="H99" s="35"/>
      <c r="I99" s="36"/>
      <c r="J99" s="36"/>
      <c r="K99" s="36"/>
      <c r="L99" s="36"/>
      <c r="M99" s="36"/>
      <c r="N99" s="36"/>
      <c r="O99" s="36"/>
      <c r="P99" s="36"/>
      <c r="Q99" s="36"/>
      <c r="R99" s="36"/>
      <c r="S99" s="36"/>
      <c r="T99" s="36"/>
      <c r="U99" s="36"/>
      <c r="V99" s="36"/>
      <c r="W99" s="104" t="str" cm="1">
        <f t="array" ref="W99">IF(A99&lt;&gt;"",_xlfn.IFS(A99="Grade 1",SUM(L99:S99),A99="Grade 2",SUM(L99:V99),A99="Grade 3",SUM(L99:S99)),"")</f>
        <v/>
      </c>
      <c r="X99" s="29" t="str">
        <f t="shared" si="1"/>
        <v xml:space="preserve"> </v>
      </c>
    </row>
    <row r="100" spans="1:24" ht="19.899999999999999" customHeight="1" x14ac:dyDescent="0.35">
      <c r="A100" s="24"/>
      <c r="B100" s="25"/>
      <c r="C100" s="25"/>
      <c r="D100" s="21"/>
      <c r="E100" s="26"/>
      <c r="F100" s="35"/>
      <c r="G100" s="35"/>
      <c r="H100" s="35"/>
      <c r="I100" s="36"/>
      <c r="J100" s="36"/>
      <c r="K100" s="36"/>
      <c r="L100" s="36"/>
      <c r="M100" s="36"/>
      <c r="N100" s="36"/>
      <c r="O100" s="36"/>
      <c r="P100" s="36"/>
      <c r="Q100" s="36"/>
      <c r="R100" s="36"/>
      <c r="S100" s="36"/>
      <c r="T100" s="36"/>
      <c r="U100" s="36"/>
      <c r="V100" s="36"/>
      <c r="W100" s="104" t="str" cm="1">
        <f t="array" ref="W100">IF(A100&lt;&gt;"",_xlfn.IFS(A100="Grade 1",SUM(L100:S100),A100="Grade 2",SUM(L100:V100),A100="Grade 3",SUM(L100:S100)),"")</f>
        <v/>
      </c>
      <c r="X100" s="29" t="str">
        <f t="shared" si="1"/>
        <v xml:space="preserve"> </v>
      </c>
    </row>
    <row r="101" spans="1:24" ht="19.899999999999999" customHeight="1" x14ac:dyDescent="0.35">
      <c r="A101" s="24"/>
      <c r="B101" s="25"/>
      <c r="C101" s="25"/>
      <c r="D101" s="21"/>
      <c r="E101" s="26"/>
      <c r="F101" s="35"/>
      <c r="G101" s="35"/>
      <c r="H101" s="35"/>
      <c r="I101" s="36"/>
      <c r="J101" s="36"/>
      <c r="K101" s="36"/>
      <c r="L101" s="36"/>
      <c r="M101" s="36"/>
      <c r="N101" s="36"/>
      <c r="O101" s="36"/>
      <c r="P101" s="36"/>
      <c r="Q101" s="36"/>
      <c r="R101" s="36"/>
      <c r="S101" s="36"/>
      <c r="T101" s="36"/>
      <c r="U101" s="36"/>
      <c r="V101" s="36"/>
      <c r="W101" s="104" t="str" cm="1">
        <f t="array" ref="W101">IF(A101&lt;&gt;"",_xlfn.IFS(A101="Grade 1",SUM(L101:S101),A101="Grade 2",SUM(L101:V101),A101="Grade 3",SUM(L101:S101)),"")</f>
        <v/>
      </c>
      <c r="X101" s="29" t="str">
        <f t="shared" si="1"/>
        <v xml:space="preserve"> </v>
      </c>
    </row>
    <row r="102" spans="1:24" ht="19.899999999999999" customHeight="1" x14ac:dyDescent="0.35">
      <c r="A102" s="24"/>
      <c r="B102" s="25"/>
      <c r="C102" s="25"/>
      <c r="D102" s="21"/>
      <c r="E102" s="26"/>
      <c r="F102" s="35"/>
      <c r="G102" s="35"/>
      <c r="H102" s="35"/>
      <c r="I102" s="36"/>
      <c r="J102" s="36"/>
      <c r="K102" s="36"/>
      <c r="L102" s="36"/>
      <c r="M102" s="36"/>
      <c r="N102" s="36"/>
      <c r="O102" s="36"/>
      <c r="P102" s="36"/>
      <c r="Q102" s="36"/>
      <c r="R102" s="36"/>
      <c r="S102" s="36"/>
      <c r="T102" s="36"/>
      <c r="U102" s="36"/>
      <c r="V102" s="36"/>
      <c r="W102" s="104" t="str" cm="1">
        <f t="array" ref="W102">IF(A102&lt;&gt;"",_xlfn.IFS(A102="Grade 1",SUM(L102:S102),A102="Grade 2",SUM(L102:V102),A102="Grade 3",SUM(L102:S102)),"")</f>
        <v/>
      </c>
      <c r="X102" s="29" t="str">
        <f t="shared" si="1"/>
        <v xml:space="preserve"> </v>
      </c>
    </row>
    <row r="103" spans="1:24" ht="19.899999999999999" customHeight="1" x14ac:dyDescent="0.35">
      <c r="A103" s="24"/>
      <c r="B103" s="25"/>
      <c r="C103" s="25"/>
      <c r="D103" s="21"/>
      <c r="E103" s="26"/>
      <c r="F103" s="35"/>
      <c r="G103" s="35"/>
      <c r="H103" s="35"/>
      <c r="I103" s="36"/>
      <c r="J103" s="36"/>
      <c r="K103" s="36"/>
      <c r="L103" s="36"/>
      <c r="M103" s="36"/>
      <c r="N103" s="36"/>
      <c r="O103" s="36"/>
      <c r="P103" s="36"/>
      <c r="Q103" s="36"/>
      <c r="R103" s="36"/>
      <c r="S103" s="36"/>
      <c r="T103" s="36"/>
      <c r="U103" s="36"/>
      <c r="V103" s="36"/>
      <c r="W103" s="104" t="str" cm="1">
        <f t="array" ref="W103">IF(A103&lt;&gt;"",_xlfn.IFS(A103="Grade 1",SUM(L103:S103),A103="Grade 2",SUM(L103:V103),A103="Grade 3",SUM(L103:S103)),"")</f>
        <v/>
      </c>
      <c r="X103" s="29" t="str">
        <f t="shared" si="1"/>
        <v xml:space="preserve"> </v>
      </c>
    </row>
    <row r="104" spans="1:24" ht="19.899999999999999" customHeight="1" x14ac:dyDescent="0.35">
      <c r="A104" s="24"/>
      <c r="B104" s="25"/>
      <c r="C104" s="25"/>
      <c r="D104" s="21"/>
      <c r="E104" s="26"/>
      <c r="F104" s="35"/>
      <c r="G104" s="35"/>
      <c r="H104" s="35"/>
      <c r="I104" s="36"/>
      <c r="J104" s="36"/>
      <c r="K104" s="36"/>
      <c r="L104" s="36"/>
      <c r="M104" s="36"/>
      <c r="N104" s="36"/>
      <c r="O104" s="36"/>
      <c r="P104" s="36"/>
      <c r="Q104" s="36"/>
      <c r="R104" s="36"/>
      <c r="S104" s="36"/>
      <c r="T104" s="36"/>
      <c r="U104" s="36"/>
      <c r="V104" s="36"/>
      <c r="W104" s="104" t="str" cm="1">
        <f t="array" ref="W104">IF(A104&lt;&gt;"",_xlfn.IFS(A104="Grade 1",SUM(L104:S104),A104="Grade 2",SUM(L104:V104),A104="Grade 3",SUM(L104:S104)),"")</f>
        <v/>
      </c>
      <c r="X104" s="29" t="str">
        <f t="shared" si="1"/>
        <v xml:space="preserve"> </v>
      </c>
    </row>
    <row r="105" spans="1:24" ht="19.899999999999999" customHeight="1" x14ac:dyDescent="0.35">
      <c r="A105" s="24"/>
      <c r="B105" s="25"/>
      <c r="C105" s="25"/>
      <c r="D105" s="21"/>
      <c r="E105" s="26"/>
      <c r="F105" s="35"/>
      <c r="G105" s="35"/>
      <c r="H105" s="35"/>
      <c r="I105" s="36"/>
      <c r="J105" s="36"/>
      <c r="K105" s="36"/>
      <c r="L105" s="36"/>
      <c r="M105" s="36"/>
      <c r="N105" s="36"/>
      <c r="O105" s="36"/>
      <c r="P105" s="36"/>
      <c r="Q105" s="36"/>
      <c r="R105" s="36"/>
      <c r="S105" s="36"/>
      <c r="T105" s="36"/>
      <c r="U105" s="36"/>
      <c r="V105" s="36"/>
      <c r="W105" s="104" t="str" cm="1">
        <f t="array" ref="W105">IF(A105&lt;&gt;"",_xlfn.IFS(A105="Grade 1",SUM(L105:S105),A105="Grade 2",SUM(L105:V105),A105="Grade 3",SUM(L105:S105)),"")</f>
        <v/>
      </c>
      <c r="X105" s="29" t="str">
        <f t="shared" si="1"/>
        <v xml:space="preserve"> </v>
      </c>
    </row>
    <row r="106" spans="1:24" ht="19.899999999999999" customHeight="1" x14ac:dyDescent="0.35">
      <c r="A106" s="24"/>
      <c r="B106" s="25"/>
      <c r="C106" s="25"/>
      <c r="D106" s="21"/>
      <c r="E106" s="26"/>
      <c r="F106" s="35"/>
      <c r="G106" s="35"/>
      <c r="H106" s="35"/>
      <c r="I106" s="36"/>
      <c r="J106" s="36"/>
      <c r="K106" s="36"/>
      <c r="L106" s="36"/>
      <c r="M106" s="36"/>
      <c r="N106" s="36"/>
      <c r="O106" s="36"/>
      <c r="P106" s="36"/>
      <c r="Q106" s="36"/>
      <c r="R106" s="36"/>
      <c r="S106" s="36"/>
      <c r="T106" s="36"/>
      <c r="U106" s="36"/>
      <c r="V106" s="36"/>
      <c r="W106" s="104" t="str" cm="1">
        <f t="array" ref="W106">IF(A106&lt;&gt;"",_xlfn.IFS(A106="Grade 1",SUM(L106:S106),A106="Grade 2",SUM(L106:V106),A106="Grade 3",SUM(L106:S106)),"")</f>
        <v/>
      </c>
      <c r="X106" s="29" t="str">
        <f t="shared" si="1"/>
        <v xml:space="preserve"> </v>
      </c>
    </row>
    <row r="107" spans="1:24" ht="19.899999999999999" customHeight="1" x14ac:dyDescent="0.35">
      <c r="A107" s="24"/>
      <c r="B107" s="25"/>
      <c r="C107" s="25"/>
      <c r="D107" s="21"/>
      <c r="E107" s="26"/>
      <c r="F107" s="35"/>
      <c r="G107" s="35"/>
      <c r="H107" s="35"/>
      <c r="I107" s="36"/>
      <c r="J107" s="36"/>
      <c r="K107" s="36"/>
      <c r="L107" s="36"/>
      <c r="M107" s="36"/>
      <c r="N107" s="36"/>
      <c r="O107" s="36"/>
      <c r="P107" s="36"/>
      <c r="Q107" s="36"/>
      <c r="R107" s="36"/>
      <c r="S107" s="36"/>
      <c r="T107" s="36"/>
      <c r="U107" s="36"/>
      <c r="V107" s="36"/>
      <c r="W107" s="104" t="str" cm="1">
        <f t="array" ref="W107">IF(A107&lt;&gt;"",_xlfn.IFS(A107="Grade 1",SUM(L107:S107),A107="Grade 2",SUM(L107:V107),A107="Grade 3",SUM(L107:S107)),"")</f>
        <v/>
      </c>
      <c r="X107" s="29" t="str">
        <f t="shared" si="1"/>
        <v xml:space="preserve"> </v>
      </c>
    </row>
    <row r="108" spans="1:24" ht="19.899999999999999" customHeight="1" x14ac:dyDescent="0.35">
      <c r="A108" s="24"/>
      <c r="B108" s="25"/>
      <c r="C108" s="25"/>
      <c r="D108" s="21"/>
      <c r="E108" s="26"/>
      <c r="F108" s="35"/>
      <c r="G108" s="35"/>
      <c r="H108" s="35"/>
      <c r="I108" s="36"/>
      <c r="J108" s="36"/>
      <c r="K108" s="36"/>
      <c r="L108" s="36"/>
      <c r="M108" s="36"/>
      <c r="N108" s="36"/>
      <c r="O108" s="36"/>
      <c r="P108" s="36"/>
      <c r="Q108" s="36"/>
      <c r="R108" s="36"/>
      <c r="S108" s="36"/>
      <c r="T108" s="36"/>
      <c r="U108" s="36"/>
      <c r="V108" s="36"/>
      <c r="W108" s="104" t="str" cm="1">
        <f t="array" ref="W108">IF(A108&lt;&gt;"",_xlfn.IFS(A108="Grade 1",SUM(L108:S108),A108="Grade 2",SUM(L108:V108),A108="Grade 3",SUM(L108:S108)),"")</f>
        <v/>
      </c>
      <c r="X108" s="29" t="str">
        <f t="shared" si="1"/>
        <v xml:space="preserve"> </v>
      </c>
    </row>
    <row r="109" spans="1:24" ht="19.899999999999999" customHeight="1" x14ac:dyDescent="0.35">
      <c r="A109" s="24"/>
      <c r="B109" s="25"/>
      <c r="C109" s="25"/>
      <c r="D109" s="21"/>
      <c r="E109" s="26"/>
      <c r="F109" s="35"/>
      <c r="G109" s="35"/>
      <c r="H109" s="35"/>
      <c r="I109" s="36"/>
      <c r="J109" s="36"/>
      <c r="K109" s="36"/>
      <c r="L109" s="36"/>
      <c r="M109" s="36"/>
      <c r="N109" s="36"/>
      <c r="O109" s="36"/>
      <c r="P109" s="36"/>
      <c r="Q109" s="36"/>
      <c r="R109" s="36"/>
      <c r="S109" s="36"/>
      <c r="T109" s="36"/>
      <c r="U109" s="36"/>
      <c r="V109" s="36"/>
      <c r="W109" s="104" t="str" cm="1">
        <f t="array" ref="W109">IF(A109&lt;&gt;"",_xlfn.IFS(A109="Grade 1",SUM(L109:S109),A109="Grade 2",SUM(L109:V109),A109="Grade 3",SUM(L109:S109)),"")</f>
        <v/>
      </c>
      <c r="X109" s="29" t="str">
        <f t="shared" si="1"/>
        <v xml:space="preserve"> </v>
      </c>
    </row>
    <row r="110" spans="1:24" ht="19.899999999999999" customHeight="1" x14ac:dyDescent="0.35">
      <c r="A110" s="24"/>
      <c r="B110" s="25"/>
      <c r="C110" s="25"/>
      <c r="D110" s="21"/>
      <c r="E110" s="26"/>
      <c r="F110" s="35"/>
      <c r="G110" s="35"/>
      <c r="H110" s="35"/>
      <c r="I110" s="36"/>
      <c r="J110" s="36"/>
      <c r="K110" s="36"/>
      <c r="L110" s="36"/>
      <c r="M110" s="36"/>
      <c r="N110" s="36"/>
      <c r="O110" s="36"/>
      <c r="P110" s="36"/>
      <c r="Q110" s="36"/>
      <c r="R110" s="36"/>
      <c r="S110" s="36"/>
      <c r="T110" s="36"/>
      <c r="U110" s="36"/>
      <c r="V110" s="36"/>
      <c r="W110" s="104" t="str" cm="1">
        <f t="array" ref="W110">IF(A110&lt;&gt;"",_xlfn.IFS(A110="Grade 1",SUM(L110:S110),A110="Grade 2",SUM(L110:V110),A110="Grade 3",SUM(L110:S110)),"")</f>
        <v/>
      </c>
      <c r="X110" s="29" t="str">
        <f t="shared" si="1"/>
        <v xml:space="preserve"> </v>
      </c>
    </row>
    <row r="111" spans="1:24" ht="19.899999999999999" customHeight="1" x14ac:dyDescent="0.35">
      <c r="A111" s="24"/>
      <c r="B111" s="25"/>
      <c r="C111" s="25"/>
      <c r="D111" s="21"/>
      <c r="E111" s="26"/>
      <c r="F111" s="35"/>
      <c r="G111" s="35"/>
      <c r="H111" s="35"/>
      <c r="I111" s="36"/>
      <c r="J111" s="36"/>
      <c r="K111" s="36"/>
      <c r="L111" s="36"/>
      <c r="M111" s="36"/>
      <c r="N111" s="36"/>
      <c r="O111" s="36"/>
      <c r="P111" s="36"/>
      <c r="Q111" s="36"/>
      <c r="R111" s="36"/>
      <c r="S111" s="36"/>
      <c r="T111" s="36"/>
      <c r="U111" s="36"/>
      <c r="V111" s="36"/>
      <c r="W111" s="104" t="str" cm="1">
        <f t="array" ref="W111">IF(A111&lt;&gt;"",_xlfn.IFS(A111="Grade 1",SUM(L111:S111),A111="Grade 2",SUM(L111:V111),A111="Grade 3",SUM(L111:S111)),"")</f>
        <v/>
      </c>
      <c r="X111" s="29" t="str">
        <f t="shared" si="1"/>
        <v xml:space="preserve"> </v>
      </c>
    </row>
    <row r="112" spans="1:24" ht="19.899999999999999" customHeight="1" x14ac:dyDescent="0.35">
      <c r="A112" s="24"/>
      <c r="B112" s="25"/>
      <c r="C112" s="25"/>
      <c r="D112" s="21"/>
      <c r="E112" s="26"/>
      <c r="F112" s="35"/>
      <c r="G112" s="35"/>
      <c r="H112" s="35"/>
      <c r="I112" s="36"/>
      <c r="J112" s="36"/>
      <c r="K112" s="36"/>
      <c r="L112" s="36"/>
      <c r="M112" s="36"/>
      <c r="N112" s="36"/>
      <c r="O112" s="36"/>
      <c r="P112" s="36"/>
      <c r="Q112" s="36"/>
      <c r="R112" s="36"/>
      <c r="S112" s="36"/>
      <c r="T112" s="36"/>
      <c r="U112" s="36"/>
      <c r="V112" s="36"/>
      <c r="W112" s="104" t="str" cm="1">
        <f t="array" ref="W112">IF(A112&lt;&gt;"",_xlfn.IFS(A112="Grade 1",SUM(L112:S112),A112="Grade 2",SUM(L112:V112),A112="Grade 3",SUM(L112:S112)),"")</f>
        <v/>
      </c>
      <c r="X112" s="29" t="str">
        <f t="shared" si="1"/>
        <v xml:space="preserve"> </v>
      </c>
    </row>
    <row r="113" spans="1:24" ht="19.899999999999999" customHeight="1" x14ac:dyDescent="0.35">
      <c r="A113" s="24"/>
      <c r="B113" s="25"/>
      <c r="C113" s="25"/>
      <c r="D113" s="21"/>
      <c r="E113" s="26"/>
      <c r="F113" s="35"/>
      <c r="G113" s="35"/>
      <c r="H113" s="35"/>
      <c r="I113" s="36"/>
      <c r="J113" s="36"/>
      <c r="K113" s="36"/>
      <c r="L113" s="36"/>
      <c r="M113" s="36"/>
      <c r="N113" s="36"/>
      <c r="O113" s="36"/>
      <c r="P113" s="36"/>
      <c r="Q113" s="36"/>
      <c r="R113" s="36"/>
      <c r="S113" s="36"/>
      <c r="T113" s="36"/>
      <c r="U113" s="36"/>
      <c r="V113" s="36"/>
      <c r="W113" s="104" t="str" cm="1">
        <f t="array" ref="W113">IF(A113&lt;&gt;"",_xlfn.IFS(A113="Grade 1",SUM(L113:S113),A113="Grade 2",SUM(L113:V113),A113="Grade 3",SUM(L113:S113)),"")</f>
        <v/>
      </c>
      <c r="X113" s="29" t="str">
        <f t="shared" si="1"/>
        <v xml:space="preserve"> </v>
      </c>
    </row>
    <row r="114" spans="1:24" ht="19.899999999999999" customHeight="1" x14ac:dyDescent="0.35">
      <c r="A114" s="24"/>
      <c r="B114" s="25"/>
      <c r="C114" s="25"/>
      <c r="D114" s="21"/>
      <c r="E114" s="26"/>
      <c r="F114" s="35"/>
      <c r="G114" s="35"/>
      <c r="H114" s="35"/>
      <c r="I114" s="36"/>
      <c r="J114" s="36"/>
      <c r="K114" s="36"/>
      <c r="L114" s="36"/>
      <c r="M114" s="36"/>
      <c r="N114" s="36"/>
      <c r="O114" s="36"/>
      <c r="P114" s="36"/>
      <c r="Q114" s="36"/>
      <c r="R114" s="36"/>
      <c r="S114" s="36"/>
      <c r="T114" s="36"/>
      <c r="U114" s="36"/>
      <c r="V114" s="36"/>
      <c r="W114" s="104" t="str" cm="1">
        <f t="array" ref="W114">IF(A114&lt;&gt;"",_xlfn.IFS(A114="Grade 1",SUM(L114:S114),A114="Grade 2",SUM(L114:V114),A114="Grade 3",SUM(L114:S114)),"")</f>
        <v/>
      </c>
      <c r="X114" s="29" t="str">
        <f t="shared" si="1"/>
        <v xml:space="preserve"> </v>
      </c>
    </row>
    <row r="115" spans="1:24" ht="19.899999999999999" customHeight="1" x14ac:dyDescent="0.35">
      <c r="A115" s="24"/>
      <c r="B115" s="25"/>
      <c r="C115" s="25"/>
      <c r="D115" s="21"/>
      <c r="E115" s="26"/>
      <c r="F115" s="35"/>
      <c r="G115" s="35"/>
      <c r="H115" s="35"/>
      <c r="I115" s="36"/>
      <c r="J115" s="36"/>
      <c r="K115" s="36"/>
      <c r="L115" s="36"/>
      <c r="M115" s="36"/>
      <c r="N115" s="36"/>
      <c r="O115" s="36"/>
      <c r="P115" s="36"/>
      <c r="Q115" s="36"/>
      <c r="R115" s="36"/>
      <c r="S115" s="36"/>
      <c r="T115" s="36"/>
      <c r="U115" s="36"/>
      <c r="V115" s="36"/>
      <c r="W115" s="104" t="str" cm="1">
        <f t="array" ref="W115">IF(A115&lt;&gt;"",_xlfn.IFS(A115="Grade 1",SUM(L115:S115),A115="Grade 2",SUM(L115:V115),A115="Grade 3",SUM(L115:S115)),"")</f>
        <v/>
      </c>
      <c r="X115" s="29" t="str">
        <f t="shared" si="1"/>
        <v xml:space="preserve"> </v>
      </c>
    </row>
    <row r="116" spans="1:24" ht="19.899999999999999" customHeight="1" x14ac:dyDescent="0.35">
      <c r="A116" s="24"/>
      <c r="B116" s="25"/>
      <c r="C116" s="25"/>
      <c r="D116" s="21"/>
      <c r="E116" s="26"/>
      <c r="F116" s="35"/>
      <c r="G116" s="35"/>
      <c r="H116" s="35"/>
      <c r="I116" s="36"/>
      <c r="J116" s="36"/>
      <c r="K116" s="36"/>
      <c r="L116" s="36"/>
      <c r="M116" s="36"/>
      <c r="N116" s="36"/>
      <c r="O116" s="36"/>
      <c r="P116" s="36"/>
      <c r="Q116" s="36"/>
      <c r="R116" s="36"/>
      <c r="S116" s="36"/>
      <c r="T116" s="36"/>
      <c r="U116" s="36"/>
      <c r="V116" s="36"/>
      <c r="W116" s="104" t="str" cm="1">
        <f t="array" ref="W116">IF(A116&lt;&gt;"",_xlfn.IFS(A116="Grade 1",SUM(L116:S116),A116="Grade 2",SUM(L116:V116),A116="Grade 3",SUM(L116:S116)),"")</f>
        <v/>
      </c>
      <c r="X116" s="29" t="str">
        <f t="shared" si="1"/>
        <v xml:space="preserve"> </v>
      </c>
    </row>
    <row r="117" spans="1:24" ht="19.899999999999999" customHeight="1" x14ac:dyDescent="0.35">
      <c r="A117" s="24"/>
      <c r="B117" s="25"/>
      <c r="C117" s="25"/>
      <c r="D117" s="21"/>
      <c r="E117" s="26"/>
      <c r="F117" s="35"/>
      <c r="G117" s="35"/>
      <c r="H117" s="35"/>
      <c r="I117" s="36"/>
      <c r="J117" s="36"/>
      <c r="K117" s="36"/>
      <c r="L117" s="36"/>
      <c r="M117" s="36"/>
      <c r="N117" s="36"/>
      <c r="O117" s="36"/>
      <c r="P117" s="36"/>
      <c r="Q117" s="36"/>
      <c r="R117" s="36"/>
      <c r="S117" s="36"/>
      <c r="T117" s="36"/>
      <c r="U117" s="36"/>
      <c r="V117" s="36"/>
      <c r="W117" s="104" t="str" cm="1">
        <f t="array" ref="W117">IF(A117&lt;&gt;"",_xlfn.IFS(A117="Grade 1",SUM(L117:S117),A117="Grade 2",SUM(L117:V117),A117="Grade 3",SUM(L117:S117)),"")</f>
        <v/>
      </c>
      <c r="X117" s="29" t="str">
        <f t="shared" si="1"/>
        <v xml:space="preserve"> </v>
      </c>
    </row>
    <row r="118" spans="1:24" ht="19.899999999999999" customHeight="1" x14ac:dyDescent="0.35">
      <c r="A118" s="24"/>
      <c r="B118" s="25"/>
      <c r="C118" s="25"/>
      <c r="D118" s="21"/>
      <c r="E118" s="26"/>
      <c r="F118" s="35"/>
      <c r="G118" s="35"/>
      <c r="H118" s="35"/>
      <c r="I118" s="36"/>
      <c r="J118" s="36"/>
      <c r="K118" s="36"/>
      <c r="L118" s="36"/>
      <c r="M118" s="36"/>
      <c r="N118" s="36"/>
      <c r="O118" s="36"/>
      <c r="P118" s="36"/>
      <c r="Q118" s="36"/>
      <c r="R118" s="36"/>
      <c r="S118" s="36"/>
      <c r="T118" s="36"/>
      <c r="U118" s="36"/>
      <c r="V118" s="36"/>
      <c r="W118" s="104" t="str" cm="1">
        <f t="array" ref="W118">IF(A118&lt;&gt;"",_xlfn.IFS(A118="Grade 1",SUM(L118:S118),A118="Grade 2",SUM(L118:V118),A118="Grade 3",SUM(L118:S118)),"")</f>
        <v/>
      </c>
      <c r="X118" s="29" t="str">
        <f t="shared" si="1"/>
        <v xml:space="preserve"> </v>
      </c>
    </row>
    <row r="119" spans="1:24" ht="19.899999999999999" customHeight="1" x14ac:dyDescent="0.35">
      <c r="A119" s="24"/>
      <c r="B119" s="25"/>
      <c r="C119" s="25"/>
      <c r="D119" s="21"/>
      <c r="E119" s="26"/>
      <c r="F119" s="35"/>
      <c r="G119" s="35"/>
      <c r="H119" s="35"/>
      <c r="I119" s="36"/>
      <c r="J119" s="36"/>
      <c r="K119" s="36"/>
      <c r="L119" s="36"/>
      <c r="M119" s="36"/>
      <c r="N119" s="36"/>
      <c r="O119" s="36"/>
      <c r="P119" s="36"/>
      <c r="Q119" s="36"/>
      <c r="R119" s="36"/>
      <c r="S119" s="36"/>
      <c r="T119" s="36"/>
      <c r="U119" s="36"/>
      <c r="V119" s="36"/>
      <c r="W119" s="104" t="str" cm="1">
        <f t="array" ref="W119">IF(A119&lt;&gt;"",_xlfn.IFS(A119="Grade 1",SUM(L119:S119),A119="Grade 2",SUM(L119:V119),A119="Grade 3",SUM(L119:S119)),"")</f>
        <v/>
      </c>
      <c r="X119" s="29" t="str">
        <f t="shared" si="1"/>
        <v xml:space="preserve"> </v>
      </c>
    </row>
    <row r="120" spans="1:24" ht="19.899999999999999" customHeight="1" x14ac:dyDescent="0.35">
      <c r="A120" s="24"/>
      <c r="B120" s="25"/>
      <c r="C120" s="25"/>
      <c r="D120" s="21"/>
      <c r="E120" s="26"/>
      <c r="F120" s="35"/>
      <c r="G120" s="35"/>
      <c r="H120" s="35"/>
      <c r="I120" s="36"/>
      <c r="J120" s="36"/>
      <c r="K120" s="36"/>
      <c r="L120" s="36"/>
      <c r="M120" s="36"/>
      <c r="N120" s="36"/>
      <c r="O120" s="36"/>
      <c r="P120" s="36"/>
      <c r="Q120" s="36"/>
      <c r="R120" s="36"/>
      <c r="S120" s="36"/>
      <c r="T120" s="36"/>
      <c r="U120" s="36"/>
      <c r="V120" s="36"/>
      <c r="W120" s="104" t="str" cm="1">
        <f t="array" ref="W120">IF(A120&lt;&gt;"",_xlfn.IFS(A120="Grade 1",SUM(L120:S120),A120="Grade 2",SUM(L120:V120),A120="Grade 3",SUM(L120:S120)),"")</f>
        <v/>
      </c>
      <c r="X120" s="29" t="str">
        <f t="shared" si="1"/>
        <v xml:space="preserve"> </v>
      </c>
    </row>
    <row r="121" spans="1:24" ht="19.899999999999999" customHeight="1" x14ac:dyDescent="0.35">
      <c r="A121" s="24"/>
      <c r="B121" s="25"/>
      <c r="C121" s="25"/>
      <c r="D121" s="21"/>
      <c r="E121" s="26"/>
      <c r="F121" s="35"/>
      <c r="G121" s="35"/>
      <c r="H121" s="35"/>
      <c r="I121" s="36"/>
      <c r="J121" s="36"/>
      <c r="K121" s="36"/>
      <c r="L121" s="36"/>
      <c r="M121" s="36"/>
      <c r="N121" s="36"/>
      <c r="O121" s="36"/>
      <c r="P121" s="36"/>
      <c r="Q121" s="36"/>
      <c r="R121" s="36"/>
      <c r="S121" s="36"/>
      <c r="T121" s="36"/>
      <c r="U121" s="36"/>
      <c r="V121" s="36"/>
      <c r="W121" s="104" t="str" cm="1">
        <f t="array" ref="W121">IF(A121&lt;&gt;"",_xlfn.IFS(A121="Grade 1",SUM(L121:S121),A121="Grade 2",SUM(L121:V121),A121="Grade 3",SUM(L121:S121)),"")</f>
        <v/>
      </c>
      <c r="X121" s="29" t="str">
        <f t="shared" si="1"/>
        <v xml:space="preserve"> </v>
      </c>
    </row>
    <row r="122" spans="1:24" ht="19.899999999999999" customHeight="1" x14ac:dyDescent="0.35">
      <c r="A122" s="24"/>
      <c r="B122" s="25"/>
      <c r="C122" s="25"/>
      <c r="D122" s="21"/>
      <c r="E122" s="26"/>
      <c r="F122" s="35"/>
      <c r="G122" s="35"/>
      <c r="H122" s="35"/>
      <c r="I122" s="36"/>
      <c r="J122" s="36"/>
      <c r="K122" s="36"/>
      <c r="L122" s="36"/>
      <c r="M122" s="36"/>
      <c r="N122" s="36"/>
      <c r="O122" s="36"/>
      <c r="P122" s="36"/>
      <c r="Q122" s="36"/>
      <c r="R122" s="36"/>
      <c r="S122" s="36"/>
      <c r="T122" s="36"/>
      <c r="U122" s="36"/>
      <c r="V122" s="36"/>
      <c r="W122" s="104" t="str" cm="1">
        <f t="array" ref="W122">IF(A122&lt;&gt;"",_xlfn.IFS(A122="Grade 1",SUM(L122:S122),A122="Grade 2",SUM(L122:V122),A122="Grade 3",SUM(L122:S122)),"")</f>
        <v/>
      </c>
      <c r="X122" s="29" t="str">
        <f t="shared" si="1"/>
        <v xml:space="preserve"> </v>
      </c>
    </row>
    <row r="123" spans="1:24" ht="19.899999999999999" customHeight="1" x14ac:dyDescent="0.35">
      <c r="A123" s="24"/>
      <c r="B123" s="25"/>
      <c r="C123" s="25"/>
      <c r="D123" s="21"/>
      <c r="E123" s="26"/>
      <c r="F123" s="35"/>
      <c r="G123" s="35"/>
      <c r="H123" s="35"/>
      <c r="I123" s="36"/>
      <c r="J123" s="36"/>
      <c r="K123" s="36"/>
      <c r="L123" s="36"/>
      <c r="M123" s="36"/>
      <c r="N123" s="36"/>
      <c r="O123" s="36"/>
      <c r="P123" s="36"/>
      <c r="Q123" s="36"/>
      <c r="R123" s="36"/>
      <c r="S123" s="36"/>
      <c r="T123" s="36"/>
      <c r="U123" s="36"/>
      <c r="V123" s="36"/>
      <c r="W123" s="104" t="str" cm="1">
        <f t="array" ref="W123">IF(A123&lt;&gt;"",_xlfn.IFS(A123="Grade 1",SUM(L123:S123),A123="Grade 2",SUM(L123:V123),A123="Grade 3",SUM(L123:S123)),"")</f>
        <v/>
      </c>
      <c r="X123" s="29" t="str">
        <f t="shared" si="1"/>
        <v xml:space="preserve"> </v>
      </c>
    </row>
    <row r="124" spans="1:24" ht="19.899999999999999" customHeight="1" x14ac:dyDescent="0.35">
      <c r="A124" s="24"/>
      <c r="B124" s="25"/>
      <c r="C124" s="25"/>
      <c r="D124" s="21"/>
      <c r="E124" s="26"/>
      <c r="F124" s="35"/>
      <c r="G124" s="35"/>
      <c r="H124" s="35"/>
      <c r="I124" s="36"/>
      <c r="J124" s="36"/>
      <c r="K124" s="36"/>
      <c r="L124" s="36"/>
      <c r="M124" s="36"/>
      <c r="N124" s="36"/>
      <c r="O124" s="36"/>
      <c r="P124" s="36"/>
      <c r="Q124" s="36"/>
      <c r="R124" s="36"/>
      <c r="S124" s="36"/>
      <c r="T124" s="36"/>
      <c r="U124" s="36"/>
      <c r="V124" s="36"/>
      <c r="W124" s="104" t="str" cm="1">
        <f t="array" ref="W124">IF(A124&lt;&gt;"",_xlfn.IFS(A124="Grade 1",SUM(L124:S124),A124="Grade 2",SUM(L124:V124),A124="Grade 3",SUM(L124:S124)),"")</f>
        <v/>
      </c>
      <c r="X124" s="29" t="str">
        <f t="shared" si="1"/>
        <v xml:space="preserve"> </v>
      </c>
    </row>
    <row r="125" spans="1:24" ht="19.899999999999999" customHeight="1" x14ac:dyDescent="0.35">
      <c r="A125" s="24"/>
      <c r="B125" s="25"/>
      <c r="C125" s="25"/>
      <c r="D125" s="21"/>
      <c r="E125" s="26"/>
      <c r="F125" s="35"/>
      <c r="G125" s="35"/>
      <c r="H125" s="35"/>
      <c r="I125" s="36"/>
      <c r="J125" s="36"/>
      <c r="K125" s="36"/>
      <c r="L125" s="36"/>
      <c r="M125" s="36"/>
      <c r="N125" s="36"/>
      <c r="O125" s="36"/>
      <c r="P125" s="36"/>
      <c r="Q125" s="36"/>
      <c r="R125" s="36"/>
      <c r="S125" s="36"/>
      <c r="T125" s="36"/>
      <c r="U125" s="36"/>
      <c r="V125" s="36"/>
      <c r="W125" s="104" t="str" cm="1">
        <f t="array" ref="W125">IF(A125&lt;&gt;"",_xlfn.IFS(A125="Grade 1",SUM(L125:S125),A125="Grade 2",SUM(L125:V125),A125="Grade 3",SUM(L125:S125)),"")</f>
        <v/>
      </c>
      <c r="X125" s="29" t="str">
        <f t="shared" si="1"/>
        <v xml:space="preserve"> </v>
      </c>
    </row>
    <row r="126" spans="1:24" ht="19.899999999999999" customHeight="1" x14ac:dyDescent="0.35">
      <c r="A126" s="24"/>
      <c r="B126" s="25"/>
      <c r="C126" s="25"/>
      <c r="D126" s="21"/>
      <c r="E126" s="26"/>
      <c r="F126" s="35"/>
      <c r="G126" s="35"/>
      <c r="H126" s="35"/>
      <c r="I126" s="36"/>
      <c r="J126" s="36"/>
      <c r="K126" s="36"/>
      <c r="L126" s="36"/>
      <c r="M126" s="36"/>
      <c r="N126" s="36"/>
      <c r="O126" s="36"/>
      <c r="P126" s="36"/>
      <c r="Q126" s="36"/>
      <c r="R126" s="36"/>
      <c r="S126" s="36"/>
      <c r="T126" s="36"/>
      <c r="U126" s="36"/>
      <c r="V126" s="36"/>
      <c r="W126" s="104" t="str" cm="1">
        <f t="array" ref="W126">IF(A126&lt;&gt;"",_xlfn.IFS(A126="Grade 1",SUM(L126:S126),A126="Grade 2",SUM(L126:V126),A126="Grade 3",SUM(L126:S126)),"")</f>
        <v/>
      </c>
      <c r="X126" s="29" t="str">
        <f t="shared" si="1"/>
        <v xml:space="preserve"> </v>
      </c>
    </row>
    <row r="127" spans="1:24" ht="19.899999999999999" customHeight="1" x14ac:dyDescent="0.35">
      <c r="A127" s="24"/>
      <c r="B127" s="25"/>
      <c r="C127" s="25"/>
      <c r="D127" s="21"/>
      <c r="E127" s="26"/>
      <c r="F127" s="35"/>
      <c r="G127" s="35"/>
      <c r="H127" s="35"/>
      <c r="I127" s="36"/>
      <c r="J127" s="36"/>
      <c r="K127" s="36"/>
      <c r="L127" s="36"/>
      <c r="M127" s="36"/>
      <c r="N127" s="36"/>
      <c r="O127" s="36"/>
      <c r="P127" s="36"/>
      <c r="Q127" s="36"/>
      <c r="R127" s="36"/>
      <c r="S127" s="36"/>
      <c r="T127" s="36"/>
      <c r="U127" s="36"/>
      <c r="V127" s="36"/>
      <c r="W127" s="104" t="str" cm="1">
        <f t="array" ref="W127">IF(A127&lt;&gt;"",_xlfn.IFS(A127="Grade 1",SUM(L127:S127),A127="Grade 2",SUM(L127:V127),A127="Grade 3",SUM(L127:S127)),"")</f>
        <v/>
      </c>
      <c r="X127" s="29" t="str">
        <f t="shared" si="1"/>
        <v xml:space="preserve"> </v>
      </c>
    </row>
    <row r="128" spans="1:24" ht="19.899999999999999" customHeight="1" x14ac:dyDescent="0.35">
      <c r="A128" s="24"/>
      <c r="B128" s="25"/>
      <c r="C128" s="25"/>
      <c r="D128" s="21"/>
      <c r="E128" s="26"/>
      <c r="F128" s="35"/>
      <c r="G128" s="35"/>
      <c r="H128" s="35"/>
      <c r="I128" s="36"/>
      <c r="J128" s="36"/>
      <c r="K128" s="36"/>
      <c r="L128" s="36"/>
      <c r="M128" s="36"/>
      <c r="N128" s="36"/>
      <c r="O128" s="36"/>
      <c r="P128" s="36"/>
      <c r="Q128" s="36"/>
      <c r="R128" s="36"/>
      <c r="S128" s="36"/>
      <c r="T128" s="36"/>
      <c r="U128" s="36"/>
      <c r="V128" s="36"/>
      <c r="W128" s="104" t="str" cm="1">
        <f t="array" ref="W128">IF(A128&lt;&gt;"",_xlfn.IFS(A128="Grade 1",SUM(L128:S128),A128="Grade 2",SUM(L128:V128),A128="Grade 3",SUM(L128:S128)),"")</f>
        <v/>
      </c>
      <c r="X128" s="29" t="str">
        <f t="shared" si="1"/>
        <v xml:space="preserve"> </v>
      </c>
    </row>
    <row r="129" spans="1:24" ht="19.899999999999999" customHeight="1" x14ac:dyDescent="0.35">
      <c r="A129" s="24"/>
      <c r="B129" s="25"/>
      <c r="C129" s="25"/>
      <c r="D129" s="21"/>
      <c r="E129" s="26"/>
      <c r="F129" s="35"/>
      <c r="G129" s="35"/>
      <c r="H129" s="35"/>
      <c r="I129" s="36"/>
      <c r="J129" s="36"/>
      <c r="K129" s="36"/>
      <c r="L129" s="36"/>
      <c r="M129" s="36"/>
      <c r="N129" s="36"/>
      <c r="O129" s="36"/>
      <c r="P129" s="36"/>
      <c r="Q129" s="36"/>
      <c r="R129" s="36"/>
      <c r="S129" s="36"/>
      <c r="T129" s="36"/>
      <c r="U129" s="36"/>
      <c r="V129" s="36"/>
      <c r="W129" s="104" t="str" cm="1">
        <f t="array" ref="W129">IF(A129&lt;&gt;"",_xlfn.IFS(A129="Grade 1",SUM(L129:S129),A129="Grade 2",SUM(L129:V129),A129="Grade 3",SUM(L129:S129)),"")</f>
        <v/>
      </c>
      <c r="X129" s="29" t="str">
        <f t="shared" si="1"/>
        <v xml:space="preserve"> </v>
      </c>
    </row>
    <row r="130" spans="1:24" ht="19.899999999999999" customHeight="1" x14ac:dyDescent="0.35">
      <c r="A130" s="24"/>
      <c r="B130" s="25"/>
      <c r="C130" s="25"/>
      <c r="D130" s="21"/>
      <c r="E130" s="26"/>
      <c r="F130" s="35"/>
      <c r="G130" s="35"/>
      <c r="H130" s="35"/>
      <c r="I130" s="36"/>
      <c r="J130" s="36"/>
      <c r="K130" s="36"/>
      <c r="L130" s="36"/>
      <c r="M130" s="36"/>
      <c r="N130" s="36"/>
      <c r="O130" s="36"/>
      <c r="P130" s="36"/>
      <c r="Q130" s="36"/>
      <c r="R130" s="36"/>
      <c r="S130" s="36"/>
      <c r="T130" s="36"/>
      <c r="U130" s="36"/>
      <c r="V130" s="36"/>
      <c r="W130" s="104" t="str" cm="1">
        <f t="array" ref="W130">IF(A130&lt;&gt;"",_xlfn.IFS(A130="Grade 1",SUM(L130:S130),A130="Grade 2",SUM(L130:V130),A130="Grade 3",SUM(L130:S130)),"")</f>
        <v/>
      </c>
      <c r="X130" s="29" t="str">
        <f t="shared" si="1"/>
        <v xml:space="preserve"> </v>
      </c>
    </row>
    <row r="131" spans="1:24" ht="19.899999999999999" customHeight="1" x14ac:dyDescent="0.35">
      <c r="A131" s="24"/>
      <c r="B131" s="25"/>
      <c r="C131" s="25"/>
      <c r="D131" s="21"/>
      <c r="E131" s="26"/>
      <c r="F131" s="35"/>
      <c r="G131" s="35"/>
      <c r="H131" s="35"/>
      <c r="I131" s="36"/>
      <c r="J131" s="36"/>
      <c r="K131" s="36"/>
      <c r="L131" s="36"/>
      <c r="M131" s="36"/>
      <c r="N131" s="36"/>
      <c r="O131" s="36"/>
      <c r="P131" s="36"/>
      <c r="Q131" s="36"/>
      <c r="R131" s="36"/>
      <c r="S131" s="36"/>
      <c r="T131" s="36"/>
      <c r="U131" s="36"/>
      <c r="V131" s="36"/>
      <c r="W131" s="104" t="str" cm="1">
        <f t="array" ref="W131">IF(A131&lt;&gt;"",_xlfn.IFS(A131="Grade 1",SUM(L131:S131),A131="Grade 2",SUM(L131:V131),A131="Grade 3",SUM(L131:S131)),"")</f>
        <v/>
      </c>
      <c r="X131" s="29" t="str">
        <f t="shared" si="1"/>
        <v xml:space="preserve"> </v>
      </c>
    </row>
    <row r="132" spans="1:24" ht="19.899999999999999" customHeight="1" x14ac:dyDescent="0.35">
      <c r="A132" s="24"/>
      <c r="B132" s="25"/>
      <c r="C132" s="25"/>
      <c r="D132" s="21"/>
      <c r="E132" s="26"/>
      <c r="F132" s="35"/>
      <c r="G132" s="35"/>
      <c r="H132" s="35"/>
      <c r="I132" s="36"/>
      <c r="J132" s="36"/>
      <c r="K132" s="36"/>
      <c r="L132" s="36"/>
      <c r="M132" s="36"/>
      <c r="N132" s="36"/>
      <c r="O132" s="36"/>
      <c r="P132" s="36"/>
      <c r="Q132" s="36"/>
      <c r="R132" s="36"/>
      <c r="S132" s="36"/>
      <c r="T132" s="36"/>
      <c r="U132" s="36"/>
      <c r="V132" s="36"/>
      <c r="W132" s="104" t="str" cm="1">
        <f t="array" ref="W132">IF(A132&lt;&gt;"",_xlfn.IFS(A132="Grade 1",SUM(L132:S132),A132="Grade 2",SUM(L132:V132),A132="Grade 3",SUM(L132:S132)),"")</f>
        <v/>
      </c>
      <c r="X132" s="29" t="str">
        <f t="shared" si="1"/>
        <v xml:space="preserve"> </v>
      </c>
    </row>
    <row r="133" spans="1:24" ht="19.899999999999999" customHeight="1" x14ac:dyDescent="0.35">
      <c r="A133" s="24"/>
      <c r="B133" s="25"/>
      <c r="C133" s="25"/>
      <c r="D133" s="21"/>
      <c r="E133" s="26"/>
      <c r="F133" s="35"/>
      <c r="G133" s="35"/>
      <c r="H133" s="35"/>
      <c r="I133" s="36"/>
      <c r="J133" s="36"/>
      <c r="K133" s="36"/>
      <c r="L133" s="36"/>
      <c r="M133" s="36"/>
      <c r="N133" s="36"/>
      <c r="O133" s="36"/>
      <c r="P133" s="36"/>
      <c r="Q133" s="36"/>
      <c r="R133" s="36"/>
      <c r="S133" s="36"/>
      <c r="T133" s="36"/>
      <c r="U133" s="36"/>
      <c r="V133" s="36"/>
      <c r="W133" s="104" t="str" cm="1">
        <f t="array" ref="W133">IF(A133&lt;&gt;"",_xlfn.IFS(A133="Grade 1",SUM(L133:S133),A133="Grade 2",SUM(L133:V133),A133="Grade 3",SUM(L133:S133)),"")</f>
        <v/>
      </c>
      <c r="X133" s="29" t="str">
        <f t="shared" si="1"/>
        <v xml:space="preserve"> </v>
      </c>
    </row>
    <row r="134" spans="1:24" ht="19.899999999999999" customHeight="1" x14ac:dyDescent="0.35">
      <c r="A134" s="24"/>
      <c r="B134" s="25"/>
      <c r="C134" s="25"/>
      <c r="D134" s="21"/>
      <c r="E134" s="26"/>
      <c r="F134" s="35"/>
      <c r="G134" s="35"/>
      <c r="H134" s="35"/>
      <c r="I134" s="36"/>
      <c r="J134" s="36"/>
      <c r="K134" s="36"/>
      <c r="L134" s="36"/>
      <c r="M134" s="36"/>
      <c r="N134" s="36"/>
      <c r="O134" s="36"/>
      <c r="P134" s="36"/>
      <c r="Q134" s="36"/>
      <c r="R134" s="36"/>
      <c r="S134" s="36"/>
      <c r="T134" s="36"/>
      <c r="U134" s="36"/>
      <c r="V134" s="36"/>
      <c r="W134" s="104" t="str" cm="1">
        <f t="array" ref="W134">IF(A134&lt;&gt;"",_xlfn.IFS(A134="Grade 1",SUM(L134:S134),A134="Grade 2",SUM(L134:V134),A134="Grade 3",SUM(L134:S134)),"")</f>
        <v/>
      </c>
      <c r="X134" s="29" t="str">
        <f t="shared" si="1"/>
        <v xml:space="preserve"> </v>
      </c>
    </row>
    <row r="135" spans="1:24" ht="19.899999999999999" customHeight="1" x14ac:dyDescent="0.35">
      <c r="A135" s="24"/>
      <c r="B135" s="25"/>
      <c r="C135" s="25"/>
      <c r="D135" s="21"/>
      <c r="E135" s="26"/>
      <c r="F135" s="35"/>
      <c r="G135" s="35"/>
      <c r="H135" s="35"/>
      <c r="I135" s="36"/>
      <c r="J135" s="36"/>
      <c r="K135" s="36"/>
      <c r="L135" s="36"/>
      <c r="M135" s="36"/>
      <c r="N135" s="36"/>
      <c r="O135" s="36"/>
      <c r="P135" s="36"/>
      <c r="Q135" s="36"/>
      <c r="R135" s="36"/>
      <c r="S135" s="36"/>
      <c r="T135" s="36"/>
      <c r="U135" s="36"/>
      <c r="V135" s="36"/>
      <c r="W135" s="104" t="str" cm="1">
        <f t="array" ref="W135">IF(A135&lt;&gt;"",_xlfn.IFS(A135="Grade 1",SUM(L135:S135),A135="Grade 2",SUM(L135:V135),A135="Grade 3",SUM(L135:S135)),"")</f>
        <v/>
      </c>
      <c r="X135" s="29" t="str">
        <f t="shared" si="1"/>
        <v xml:space="preserve"> </v>
      </c>
    </row>
    <row r="136" spans="1:24" ht="19.899999999999999" customHeight="1" x14ac:dyDescent="0.35">
      <c r="A136" s="24"/>
      <c r="B136" s="25"/>
      <c r="C136" s="25"/>
      <c r="D136" s="21"/>
      <c r="E136" s="26"/>
      <c r="F136" s="35"/>
      <c r="G136" s="35"/>
      <c r="H136" s="35"/>
      <c r="I136" s="36"/>
      <c r="J136" s="36"/>
      <c r="K136" s="36"/>
      <c r="L136" s="36"/>
      <c r="M136" s="36"/>
      <c r="N136" s="36"/>
      <c r="O136" s="36"/>
      <c r="P136" s="36"/>
      <c r="Q136" s="36"/>
      <c r="R136" s="36"/>
      <c r="S136" s="36"/>
      <c r="T136" s="36"/>
      <c r="U136" s="36"/>
      <c r="V136" s="36"/>
      <c r="W136" s="104" t="str" cm="1">
        <f t="array" ref="W136">IF(A136&lt;&gt;"",_xlfn.IFS(A136="Grade 1",SUM(L136:S136),A136="Grade 2",SUM(L136:V136),A136="Grade 3",SUM(L136:S136)),"")</f>
        <v/>
      </c>
      <c r="X136" s="29" t="str">
        <f t="shared" si="1"/>
        <v xml:space="preserve"> </v>
      </c>
    </row>
    <row r="137" spans="1:24" ht="19.899999999999999" customHeight="1" x14ac:dyDescent="0.35">
      <c r="A137" s="24"/>
      <c r="B137" s="25"/>
      <c r="C137" s="25"/>
      <c r="D137" s="21"/>
      <c r="E137" s="26"/>
      <c r="F137" s="35"/>
      <c r="G137" s="35"/>
      <c r="H137" s="35"/>
      <c r="I137" s="36"/>
      <c r="J137" s="36"/>
      <c r="K137" s="36"/>
      <c r="L137" s="36"/>
      <c r="M137" s="36"/>
      <c r="N137" s="36"/>
      <c r="O137" s="36"/>
      <c r="P137" s="36"/>
      <c r="Q137" s="36"/>
      <c r="R137" s="36"/>
      <c r="S137" s="36"/>
      <c r="T137" s="36"/>
      <c r="U137" s="36"/>
      <c r="V137" s="36"/>
      <c r="W137" s="104" t="str" cm="1">
        <f t="array" ref="W137">IF(A137&lt;&gt;"",_xlfn.IFS(A137="Grade 1",SUM(L137:S137),A137="Grade 2",SUM(L137:V137),A137="Grade 3",SUM(L137:S137)),"")</f>
        <v/>
      </c>
      <c r="X137" s="29" t="str">
        <f t="shared" si="1"/>
        <v xml:space="preserve"> </v>
      </c>
    </row>
    <row r="138" spans="1:24" ht="19.899999999999999" customHeight="1" x14ac:dyDescent="0.35">
      <c r="A138" s="24"/>
      <c r="B138" s="25"/>
      <c r="C138" s="25"/>
      <c r="D138" s="21"/>
      <c r="E138" s="26"/>
      <c r="F138" s="35"/>
      <c r="G138" s="35"/>
      <c r="H138" s="35"/>
      <c r="I138" s="36"/>
      <c r="J138" s="36"/>
      <c r="K138" s="36"/>
      <c r="L138" s="36"/>
      <c r="M138" s="36"/>
      <c r="N138" s="36"/>
      <c r="O138" s="36"/>
      <c r="P138" s="36"/>
      <c r="Q138" s="36"/>
      <c r="R138" s="36"/>
      <c r="S138" s="36"/>
      <c r="T138" s="36"/>
      <c r="U138" s="36"/>
      <c r="V138" s="36"/>
      <c r="W138" s="104" t="str" cm="1">
        <f t="array" ref="W138">IF(A138&lt;&gt;"",_xlfn.IFS(A138="Grade 1",SUM(L138:S138),A138="Grade 2",SUM(L138:V138),A138="Grade 3",SUM(L138:S138)),"")</f>
        <v/>
      </c>
      <c r="X138" s="29" t="str">
        <f t="shared" si="1"/>
        <v xml:space="preserve"> </v>
      </c>
    </row>
    <row r="139" spans="1:24" ht="19.899999999999999" customHeight="1" x14ac:dyDescent="0.35">
      <c r="A139" s="24"/>
      <c r="B139" s="25"/>
      <c r="C139" s="25"/>
      <c r="D139" s="21"/>
      <c r="E139" s="26"/>
      <c r="F139" s="35"/>
      <c r="G139" s="35"/>
      <c r="H139" s="35"/>
      <c r="I139" s="36"/>
      <c r="J139" s="36"/>
      <c r="K139" s="36"/>
      <c r="L139" s="36"/>
      <c r="M139" s="36"/>
      <c r="N139" s="36"/>
      <c r="O139" s="36"/>
      <c r="P139" s="36"/>
      <c r="Q139" s="36"/>
      <c r="R139" s="36"/>
      <c r="S139" s="36"/>
      <c r="T139" s="36"/>
      <c r="U139" s="36"/>
      <c r="V139" s="36"/>
      <c r="W139" s="104" t="str" cm="1">
        <f t="array" ref="W139">IF(A139&lt;&gt;"",_xlfn.IFS(A139="Grade 1",SUM(L139:S139),A139="Grade 2",SUM(L139:V139),A139="Grade 3",SUM(L139:S139)),"")</f>
        <v/>
      </c>
      <c r="X139" s="29" t="str">
        <f t="shared" ref="X139:X202" si="2">IF(ISBLANK(A139)," ",IF(SUM(G139:K139)=E139,"Data Validated","Data with Error"))</f>
        <v xml:space="preserve"> </v>
      </c>
    </row>
    <row r="140" spans="1:24" ht="19.899999999999999" customHeight="1" x14ac:dyDescent="0.35">
      <c r="A140" s="24"/>
      <c r="B140" s="25"/>
      <c r="C140" s="25"/>
      <c r="D140" s="21"/>
      <c r="E140" s="26"/>
      <c r="F140" s="35"/>
      <c r="G140" s="35"/>
      <c r="H140" s="35"/>
      <c r="I140" s="36"/>
      <c r="J140" s="36"/>
      <c r="K140" s="36"/>
      <c r="L140" s="36"/>
      <c r="M140" s="36"/>
      <c r="N140" s="36"/>
      <c r="O140" s="36"/>
      <c r="P140" s="36"/>
      <c r="Q140" s="36"/>
      <c r="R140" s="36"/>
      <c r="S140" s="36"/>
      <c r="T140" s="36"/>
      <c r="U140" s="36"/>
      <c r="V140" s="36"/>
      <c r="W140" s="104" t="str" cm="1">
        <f t="array" ref="W140">IF(A140&lt;&gt;"",_xlfn.IFS(A140="Grade 1",SUM(L140:S140),A140="Grade 2",SUM(L140:V140),A140="Grade 3",SUM(L140:S140)),"")</f>
        <v/>
      </c>
      <c r="X140" s="29" t="str">
        <f t="shared" si="2"/>
        <v xml:space="preserve"> </v>
      </c>
    </row>
    <row r="141" spans="1:24" ht="19.899999999999999" customHeight="1" x14ac:dyDescent="0.35">
      <c r="A141" s="24"/>
      <c r="B141" s="25"/>
      <c r="C141" s="25"/>
      <c r="D141" s="21"/>
      <c r="E141" s="26"/>
      <c r="F141" s="35"/>
      <c r="G141" s="35"/>
      <c r="H141" s="35"/>
      <c r="I141" s="36"/>
      <c r="J141" s="36"/>
      <c r="K141" s="36"/>
      <c r="L141" s="36"/>
      <c r="M141" s="36"/>
      <c r="N141" s="36"/>
      <c r="O141" s="36"/>
      <c r="P141" s="36"/>
      <c r="Q141" s="36"/>
      <c r="R141" s="36"/>
      <c r="S141" s="36"/>
      <c r="T141" s="36"/>
      <c r="U141" s="36"/>
      <c r="V141" s="36"/>
      <c r="W141" s="104" t="str" cm="1">
        <f t="array" ref="W141">IF(A141&lt;&gt;"",_xlfn.IFS(A141="Grade 1",SUM(L141:S141),A141="Grade 2",SUM(L141:V141),A141="Grade 3",SUM(L141:S141)),"")</f>
        <v/>
      </c>
      <c r="X141" s="29" t="str">
        <f t="shared" si="2"/>
        <v xml:space="preserve"> </v>
      </c>
    </row>
    <row r="142" spans="1:24" ht="19.899999999999999" customHeight="1" x14ac:dyDescent="0.35">
      <c r="A142" s="24"/>
      <c r="B142" s="25"/>
      <c r="C142" s="25"/>
      <c r="D142" s="21"/>
      <c r="E142" s="26"/>
      <c r="F142" s="35"/>
      <c r="G142" s="35"/>
      <c r="H142" s="35"/>
      <c r="I142" s="36"/>
      <c r="J142" s="36"/>
      <c r="K142" s="36"/>
      <c r="L142" s="36"/>
      <c r="M142" s="36"/>
      <c r="N142" s="36"/>
      <c r="O142" s="36"/>
      <c r="P142" s="36"/>
      <c r="Q142" s="36"/>
      <c r="R142" s="36"/>
      <c r="S142" s="36"/>
      <c r="T142" s="36"/>
      <c r="U142" s="36"/>
      <c r="V142" s="36"/>
      <c r="W142" s="104" t="str" cm="1">
        <f t="array" ref="W142">IF(A142&lt;&gt;"",_xlfn.IFS(A142="Grade 1",SUM(L142:S142),A142="Grade 2",SUM(L142:V142),A142="Grade 3",SUM(L142:S142)),"")</f>
        <v/>
      </c>
      <c r="X142" s="29" t="str">
        <f t="shared" si="2"/>
        <v xml:space="preserve"> </v>
      </c>
    </row>
    <row r="143" spans="1:24" ht="19.899999999999999" customHeight="1" x14ac:dyDescent="0.35">
      <c r="A143" s="24"/>
      <c r="B143" s="25"/>
      <c r="C143" s="25"/>
      <c r="D143" s="21"/>
      <c r="E143" s="26"/>
      <c r="F143" s="35"/>
      <c r="G143" s="35"/>
      <c r="H143" s="35"/>
      <c r="I143" s="36"/>
      <c r="J143" s="36"/>
      <c r="K143" s="36"/>
      <c r="L143" s="36"/>
      <c r="M143" s="36"/>
      <c r="N143" s="36"/>
      <c r="O143" s="36"/>
      <c r="P143" s="36"/>
      <c r="Q143" s="36"/>
      <c r="R143" s="36"/>
      <c r="S143" s="36"/>
      <c r="T143" s="36"/>
      <c r="U143" s="36"/>
      <c r="V143" s="36"/>
      <c r="W143" s="104" t="str" cm="1">
        <f t="array" ref="W143">IF(A143&lt;&gt;"",_xlfn.IFS(A143="Grade 1",SUM(L143:S143),A143="Grade 2",SUM(L143:V143),A143="Grade 3",SUM(L143:S143)),"")</f>
        <v/>
      </c>
      <c r="X143" s="29" t="str">
        <f t="shared" si="2"/>
        <v xml:space="preserve"> </v>
      </c>
    </row>
    <row r="144" spans="1:24" ht="19.899999999999999" customHeight="1" x14ac:dyDescent="0.35">
      <c r="A144" s="24"/>
      <c r="B144" s="25"/>
      <c r="C144" s="25"/>
      <c r="D144" s="21"/>
      <c r="E144" s="26"/>
      <c r="F144" s="35"/>
      <c r="G144" s="35"/>
      <c r="H144" s="35"/>
      <c r="I144" s="36"/>
      <c r="J144" s="36"/>
      <c r="K144" s="36"/>
      <c r="L144" s="36"/>
      <c r="M144" s="36"/>
      <c r="N144" s="36"/>
      <c r="O144" s="36"/>
      <c r="P144" s="36"/>
      <c r="Q144" s="36"/>
      <c r="R144" s="36"/>
      <c r="S144" s="36"/>
      <c r="T144" s="36"/>
      <c r="U144" s="36"/>
      <c r="V144" s="36"/>
      <c r="W144" s="104" t="str" cm="1">
        <f t="array" ref="W144">IF(A144&lt;&gt;"",_xlfn.IFS(A144="Grade 1",SUM(L144:S144),A144="Grade 2",SUM(L144:V144),A144="Grade 3",SUM(L144:S144)),"")</f>
        <v/>
      </c>
      <c r="X144" s="29" t="str">
        <f t="shared" si="2"/>
        <v xml:space="preserve"> </v>
      </c>
    </row>
    <row r="145" spans="1:24" ht="19.899999999999999" customHeight="1" x14ac:dyDescent="0.35">
      <c r="A145" s="24"/>
      <c r="B145" s="25"/>
      <c r="C145" s="25"/>
      <c r="D145" s="21"/>
      <c r="E145" s="26"/>
      <c r="F145" s="35"/>
      <c r="G145" s="35"/>
      <c r="H145" s="35"/>
      <c r="I145" s="36"/>
      <c r="J145" s="36"/>
      <c r="K145" s="36"/>
      <c r="L145" s="36"/>
      <c r="M145" s="36"/>
      <c r="N145" s="36"/>
      <c r="O145" s="36"/>
      <c r="P145" s="36"/>
      <c r="Q145" s="36"/>
      <c r="R145" s="36"/>
      <c r="S145" s="36"/>
      <c r="T145" s="36"/>
      <c r="U145" s="36"/>
      <c r="V145" s="36"/>
      <c r="W145" s="104" t="str" cm="1">
        <f t="array" ref="W145">IF(A145&lt;&gt;"",_xlfn.IFS(A145="Grade 1",SUM(L145:S145),A145="Grade 2",SUM(L145:V145),A145="Grade 3",SUM(L145:S145)),"")</f>
        <v/>
      </c>
      <c r="X145" s="29" t="str">
        <f t="shared" si="2"/>
        <v xml:space="preserve"> </v>
      </c>
    </row>
    <row r="146" spans="1:24" ht="19.899999999999999" customHeight="1" x14ac:dyDescent="0.35">
      <c r="A146" s="24"/>
      <c r="B146" s="25"/>
      <c r="C146" s="25"/>
      <c r="D146" s="21"/>
      <c r="E146" s="26"/>
      <c r="F146" s="35"/>
      <c r="G146" s="35"/>
      <c r="H146" s="35"/>
      <c r="I146" s="36"/>
      <c r="J146" s="36"/>
      <c r="K146" s="36"/>
      <c r="L146" s="36"/>
      <c r="M146" s="36"/>
      <c r="N146" s="36"/>
      <c r="O146" s="36"/>
      <c r="P146" s="36"/>
      <c r="Q146" s="36"/>
      <c r="R146" s="36"/>
      <c r="S146" s="36"/>
      <c r="T146" s="36"/>
      <c r="U146" s="36"/>
      <c r="V146" s="36"/>
      <c r="W146" s="104" t="str" cm="1">
        <f t="array" ref="W146">IF(A146&lt;&gt;"",_xlfn.IFS(A146="Grade 1",SUM(L146:S146),A146="Grade 2",SUM(L146:V146),A146="Grade 3",SUM(L146:S146)),"")</f>
        <v/>
      </c>
      <c r="X146" s="29" t="str">
        <f t="shared" si="2"/>
        <v xml:space="preserve"> </v>
      </c>
    </row>
    <row r="147" spans="1:24" ht="19.899999999999999" customHeight="1" x14ac:dyDescent="0.35">
      <c r="A147" s="24"/>
      <c r="B147" s="25"/>
      <c r="C147" s="25"/>
      <c r="D147" s="21"/>
      <c r="E147" s="26"/>
      <c r="F147" s="35"/>
      <c r="G147" s="35"/>
      <c r="H147" s="35"/>
      <c r="I147" s="36"/>
      <c r="J147" s="36"/>
      <c r="K147" s="36"/>
      <c r="L147" s="36"/>
      <c r="M147" s="36"/>
      <c r="N147" s="36"/>
      <c r="O147" s="36"/>
      <c r="P147" s="36"/>
      <c r="Q147" s="36"/>
      <c r="R147" s="36"/>
      <c r="S147" s="36"/>
      <c r="T147" s="36"/>
      <c r="U147" s="36"/>
      <c r="V147" s="36"/>
      <c r="W147" s="104" t="str" cm="1">
        <f t="array" ref="W147">IF(A147&lt;&gt;"",_xlfn.IFS(A147="Grade 1",SUM(L147:S147),A147="Grade 2",SUM(L147:V147),A147="Grade 3",SUM(L147:S147)),"")</f>
        <v/>
      </c>
      <c r="X147" s="29" t="str">
        <f t="shared" si="2"/>
        <v xml:space="preserve"> </v>
      </c>
    </row>
    <row r="148" spans="1:24" ht="19.899999999999999" customHeight="1" x14ac:dyDescent="0.35">
      <c r="A148" s="24"/>
      <c r="B148" s="25"/>
      <c r="C148" s="25"/>
      <c r="D148" s="21"/>
      <c r="E148" s="26"/>
      <c r="F148" s="35"/>
      <c r="G148" s="35"/>
      <c r="H148" s="35"/>
      <c r="I148" s="36"/>
      <c r="J148" s="36"/>
      <c r="K148" s="36"/>
      <c r="L148" s="36"/>
      <c r="M148" s="36"/>
      <c r="N148" s="36"/>
      <c r="O148" s="36"/>
      <c r="P148" s="36"/>
      <c r="Q148" s="36"/>
      <c r="R148" s="36"/>
      <c r="S148" s="36"/>
      <c r="T148" s="36"/>
      <c r="U148" s="36"/>
      <c r="V148" s="36"/>
      <c r="W148" s="104" t="str" cm="1">
        <f t="array" ref="W148">IF(A148&lt;&gt;"",_xlfn.IFS(A148="Grade 1",SUM(L148:S148),A148="Grade 2",SUM(L148:V148),A148="Grade 3",SUM(L148:S148)),"")</f>
        <v/>
      </c>
      <c r="X148" s="29" t="str">
        <f t="shared" si="2"/>
        <v xml:space="preserve"> </v>
      </c>
    </row>
    <row r="149" spans="1:24" ht="19.899999999999999" customHeight="1" x14ac:dyDescent="0.35">
      <c r="A149" s="24"/>
      <c r="B149" s="25"/>
      <c r="C149" s="25"/>
      <c r="D149" s="21"/>
      <c r="E149" s="26"/>
      <c r="F149" s="35"/>
      <c r="G149" s="35"/>
      <c r="H149" s="35"/>
      <c r="I149" s="36"/>
      <c r="J149" s="36"/>
      <c r="K149" s="36"/>
      <c r="L149" s="36"/>
      <c r="M149" s="36"/>
      <c r="N149" s="36"/>
      <c r="O149" s="36"/>
      <c r="P149" s="36"/>
      <c r="Q149" s="36"/>
      <c r="R149" s="36"/>
      <c r="S149" s="36"/>
      <c r="T149" s="36"/>
      <c r="U149" s="36"/>
      <c r="V149" s="36"/>
      <c r="W149" s="104" t="str" cm="1">
        <f t="array" ref="W149">IF(A149&lt;&gt;"",_xlfn.IFS(A149="Grade 1",SUM(L149:S149),A149="Grade 2",SUM(L149:V149),A149="Grade 3",SUM(L149:S149)),"")</f>
        <v/>
      </c>
      <c r="X149" s="29" t="str">
        <f t="shared" si="2"/>
        <v xml:space="preserve"> </v>
      </c>
    </row>
    <row r="150" spans="1:24" ht="19.899999999999999" customHeight="1" x14ac:dyDescent="0.35">
      <c r="A150" s="24"/>
      <c r="B150" s="25"/>
      <c r="C150" s="25"/>
      <c r="D150" s="21"/>
      <c r="E150" s="26"/>
      <c r="F150" s="35"/>
      <c r="G150" s="35"/>
      <c r="H150" s="35"/>
      <c r="I150" s="36"/>
      <c r="J150" s="36"/>
      <c r="K150" s="36"/>
      <c r="L150" s="36"/>
      <c r="M150" s="36"/>
      <c r="N150" s="36"/>
      <c r="O150" s="36"/>
      <c r="P150" s="36"/>
      <c r="Q150" s="36"/>
      <c r="R150" s="36"/>
      <c r="S150" s="36"/>
      <c r="T150" s="36"/>
      <c r="U150" s="36"/>
      <c r="V150" s="36"/>
      <c r="W150" s="104" t="str" cm="1">
        <f t="array" ref="W150">IF(A150&lt;&gt;"",_xlfn.IFS(A150="Grade 1",SUM(L150:S150),A150="Grade 2",SUM(L150:V150),A150="Grade 3",SUM(L150:S150)),"")</f>
        <v/>
      </c>
      <c r="X150" s="29" t="str">
        <f t="shared" si="2"/>
        <v xml:space="preserve"> </v>
      </c>
    </row>
    <row r="151" spans="1:24" ht="19.899999999999999" customHeight="1" x14ac:dyDescent="0.35">
      <c r="A151" s="24"/>
      <c r="B151" s="25"/>
      <c r="C151" s="25"/>
      <c r="D151" s="21"/>
      <c r="E151" s="26"/>
      <c r="F151" s="35"/>
      <c r="G151" s="35"/>
      <c r="H151" s="35"/>
      <c r="I151" s="36"/>
      <c r="J151" s="36"/>
      <c r="K151" s="36"/>
      <c r="L151" s="36"/>
      <c r="M151" s="36"/>
      <c r="N151" s="36"/>
      <c r="O151" s="36"/>
      <c r="P151" s="36"/>
      <c r="Q151" s="36"/>
      <c r="R151" s="36"/>
      <c r="S151" s="36"/>
      <c r="T151" s="36"/>
      <c r="U151" s="36"/>
      <c r="V151" s="36"/>
      <c r="W151" s="104" t="str" cm="1">
        <f t="array" ref="W151">IF(A151&lt;&gt;"",_xlfn.IFS(A151="Grade 1",SUM(L151:S151),A151="Grade 2",SUM(L151:V151),A151="Grade 3",SUM(L151:S151)),"")</f>
        <v/>
      </c>
      <c r="X151" s="29" t="str">
        <f t="shared" si="2"/>
        <v xml:space="preserve"> </v>
      </c>
    </row>
    <row r="152" spans="1:24" ht="19.899999999999999" customHeight="1" x14ac:dyDescent="0.35">
      <c r="A152" s="24"/>
      <c r="B152" s="25"/>
      <c r="C152" s="25"/>
      <c r="D152" s="21"/>
      <c r="E152" s="26"/>
      <c r="F152" s="35"/>
      <c r="G152" s="35"/>
      <c r="H152" s="35"/>
      <c r="I152" s="36"/>
      <c r="J152" s="36"/>
      <c r="K152" s="36"/>
      <c r="L152" s="36"/>
      <c r="M152" s="36"/>
      <c r="N152" s="36"/>
      <c r="O152" s="36"/>
      <c r="P152" s="36"/>
      <c r="Q152" s="36"/>
      <c r="R152" s="36"/>
      <c r="S152" s="36"/>
      <c r="T152" s="36"/>
      <c r="U152" s="36"/>
      <c r="V152" s="36"/>
      <c r="W152" s="104" t="str" cm="1">
        <f t="array" ref="W152">IF(A152&lt;&gt;"",_xlfn.IFS(A152="Grade 1",SUM(L152:S152),A152="Grade 2",SUM(L152:V152),A152="Grade 3",SUM(L152:S152)),"")</f>
        <v/>
      </c>
      <c r="X152" s="29" t="str">
        <f t="shared" si="2"/>
        <v xml:space="preserve"> </v>
      </c>
    </row>
    <row r="153" spans="1:24" ht="19.899999999999999" customHeight="1" x14ac:dyDescent="0.35">
      <c r="A153" s="24"/>
      <c r="B153" s="25"/>
      <c r="C153" s="25"/>
      <c r="D153" s="21"/>
      <c r="E153" s="26"/>
      <c r="F153" s="35"/>
      <c r="G153" s="35"/>
      <c r="H153" s="35"/>
      <c r="I153" s="36"/>
      <c r="J153" s="36"/>
      <c r="K153" s="36"/>
      <c r="L153" s="36"/>
      <c r="M153" s="36"/>
      <c r="N153" s="36"/>
      <c r="O153" s="36"/>
      <c r="P153" s="36"/>
      <c r="Q153" s="36"/>
      <c r="R153" s="36"/>
      <c r="S153" s="36"/>
      <c r="T153" s="36"/>
      <c r="U153" s="36"/>
      <c r="V153" s="36"/>
      <c r="W153" s="104" t="str" cm="1">
        <f t="array" ref="W153">IF(A153&lt;&gt;"",_xlfn.IFS(A153="Grade 1",SUM(L153:S153),A153="Grade 2",SUM(L153:V153),A153="Grade 3",SUM(L153:S153)),"")</f>
        <v/>
      </c>
      <c r="X153" s="29" t="str">
        <f t="shared" si="2"/>
        <v xml:space="preserve"> </v>
      </c>
    </row>
    <row r="154" spans="1:24" ht="19.899999999999999" customHeight="1" x14ac:dyDescent="0.35">
      <c r="A154" s="24"/>
      <c r="B154" s="25"/>
      <c r="C154" s="25"/>
      <c r="D154" s="21"/>
      <c r="E154" s="26"/>
      <c r="F154" s="35"/>
      <c r="G154" s="35"/>
      <c r="H154" s="35"/>
      <c r="I154" s="36"/>
      <c r="J154" s="36"/>
      <c r="K154" s="36"/>
      <c r="L154" s="36"/>
      <c r="M154" s="36"/>
      <c r="N154" s="36"/>
      <c r="O154" s="36"/>
      <c r="P154" s="36"/>
      <c r="Q154" s="36"/>
      <c r="R154" s="36"/>
      <c r="S154" s="36"/>
      <c r="T154" s="36"/>
      <c r="U154" s="36"/>
      <c r="V154" s="36"/>
      <c r="W154" s="104" t="str" cm="1">
        <f t="array" ref="W154">IF(A154&lt;&gt;"",_xlfn.IFS(A154="Grade 1",SUM(L154:S154),A154="Grade 2",SUM(L154:V154),A154="Grade 3",SUM(L154:S154)),"")</f>
        <v/>
      </c>
      <c r="X154" s="29" t="str">
        <f t="shared" si="2"/>
        <v xml:space="preserve"> </v>
      </c>
    </row>
    <row r="155" spans="1:24" ht="19.899999999999999" customHeight="1" x14ac:dyDescent="0.35">
      <c r="A155" s="24"/>
      <c r="B155" s="25"/>
      <c r="C155" s="25"/>
      <c r="D155" s="21"/>
      <c r="E155" s="26"/>
      <c r="F155" s="35"/>
      <c r="G155" s="35"/>
      <c r="H155" s="35"/>
      <c r="I155" s="36"/>
      <c r="J155" s="36"/>
      <c r="K155" s="36"/>
      <c r="L155" s="36"/>
      <c r="M155" s="36"/>
      <c r="N155" s="36"/>
      <c r="O155" s="36"/>
      <c r="P155" s="36"/>
      <c r="Q155" s="36"/>
      <c r="R155" s="36"/>
      <c r="S155" s="36"/>
      <c r="T155" s="36"/>
      <c r="U155" s="36"/>
      <c r="V155" s="36"/>
      <c r="W155" s="104" t="str" cm="1">
        <f t="array" ref="W155">IF(A155&lt;&gt;"",_xlfn.IFS(A155="Grade 1",SUM(L155:S155),A155="Grade 2",SUM(L155:V155),A155="Grade 3",SUM(L155:S155)),"")</f>
        <v/>
      </c>
      <c r="X155" s="29" t="str">
        <f t="shared" si="2"/>
        <v xml:space="preserve"> </v>
      </c>
    </row>
    <row r="156" spans="1:24" ht="19.899999999999999" customHeight="1" x14ac:dyDescent="0.35">
      <c r="A156" s="24"/>
      <c r="B156" s="25"/>
      <c r="C156" s="25"/>
      <c r="D156" s="21"/>
      <c r="E156" s="26"/>
      <c r="F156" s="35"/>
      <c r="G156" s="35"/>
      <c r="H156" s="35"/>
      <c r="I156" s="36"/>
      <c r="J156" s="36"/>
      <c r="K156" s="36"/>
      <c r="L156" s="36"/>
      <c r="M156" s="36"/>
      <c r="N156" s="36"/>
      <c r="O156" s="36"/>
      <c r="P156" s="36"/>
      <c r="Q156" s="36"/>
      <c r="R156" s="36"/>
      <c r="S156" s="36"/>
      <c r="T156" s="36"/>
      <c r="U156" s="36"/>
      <c r="V156" s="36"/>
      <c r="W156" s="104" t="str" cm="1">
        <f t="array" ref="W156">IF(A156&lt;&gt;"",_xlfn.IFS(A156="Grade 1",SUM(L156:S156),A156="Grade 2",SUM(L156:V156),A156="Grade 3",SUM(L156:S156)),"")</f>
        <v/>
      </c>
      <c r="X156" s="29" t="str">
        <f t="shared" si="2"/>
        <v xml:space="preserve"> </v>
      </c>
    </row>
    <row r="157" spans="1:24" ht="19.899999999999999" customHeight="1" x14ac:dyDescent="0.35">
      <c r="A157" s="24"/>
      <c r="B157" s="25"/>
      <c r="C157" s="25"/>
      <c r="D157" s="21"/>
      <c r="E157" s="26"/>
      <c r="F157" s="35"/>
      <c r="G157" s="35"/>
      <c r="H157" s="35"/>
      <c r="I157" s="36"/>
      <c r="J157" s="36"/>
      <c r="K157" s="36"/>
      <c r="L157" s="36"/>
      <c r="M157" s="36"/>
      <c r="N157" s="36"/>
      <c r="O157" s="36"/>
      <c r="P157" s="36"/>
      <c r="Q157" s="36"/>
      <c r="R157" s="36"/>
      <c r="S157" s="36"/>
      <c r="T157" s="36"/>
      <c r="U157" s="36"/>
      <c r="V157" s="36"/>
      <c r="W157" s="104" t="str" cm="1">
        <f t="array" ref="W157">IF(A157&lt;&gt;"",_xlfn.IFS(A157="Grade 1",SUM(L157:S157),A157="Grade 2",SUM(L157:V157),A157="Grade 3",SUM(L157:S157)),"")</f>
        <v/>
      </c>
      <c r="X157" s="29" t="str">
        <f t="shared" si="2"/>
        <v xml:space="preserve"> </v>
      </c>
    </row>
    <row r="158" spans="1:24" ht="19.899999999999999" customHeight="1" x14ac:dyDescent="0.35">
      <c r="A158" s="24"/>
      <c r="B158" s="25"/>
      <c r="C158" s="25"/>
      <c r="D158" s="21"/>
      <c r="E158" s="26"/>
      <c r="F158" s="35"/>
      <c r="G158" s="35"/>
      <c r="H158" s="35"/>
      <c r="I158" s="36"/>
      <c r="J158" s="36"/>
      <c r="K158" s="36"/>
      <c r="L158" s="36"/>
      <c r="M158" s="36"/>
      <c r="N158" s="36"/>
      <c r="O158" s="36"/>
      <c r="P158" s="36"/>
      <c r="Q158" s="36"/>
      <c r="R158" s="36"/>
      <c r="S158" s="36"/>
      <c r="T158" s="36"/>
      <c r="U158" s="36"/>
      <c r="V158" s="36"/>
      <c r="W158" s="104" t="str" cm="1">
        <f t="array" ref="W158">IF(A158&lt;&gt;"",_xlfn.IFS(A158="Grade 1",SUM(L158:S158),A158="Grade 2",SUM(L158:V158),A158="Grade 3",SUM(L158:S158)),"")</f>
        <v/>
      </c>
      <c r="X158" s="29" t="str">
        <f t="shared" si="2"/>
        <v xml:space="preserve"> </v>
      </c>
    </row>
    <row r="159" spans="1:24" ht="19.899999999999999" customHeight="1" x14ac:dyDescent="0.35">
      <c r="A159" s="24"/>
      <c r="B159" s="25"/>
      <c r="C159" s="25"/>
      <c r="D159" s="21"/>
      <c r="E159" s="26"/>
      <c r="F159" s="35"/>
      <c r="G159" s="35"/>
      <c r="H159" s="35"/>
      <c r="I159" s="36"/>
      <c r="J159" s="36"/>
      <c r="K159" s="36"/>
      <c r="L159" s="36"/>
      <c r="M159" s="36"/>
      <c r="N159" s="36"/>
      <c r="O159" s="36"/>
      <c r="P159" s="36"/>
      <c r="Q159" s="36"/>
      <c r="R159" s="36"/>
      <c r="S159" s="36"/>
      <c r="T159" s="36"/>
      <c r="U159" s="36"/>
      <c r="V159" s="36"/>
      <c r="W159" s="104" t="str" cm="1">
        <f t="array" ref="W159">IF(A159&lt;&gt;"",_xlfn.IFS(A159="Grade 1",SUM(L159:S159),A159="Grade 2",SUM(L159:V159),A159="Grade 3",SUM(L159:S159)),"")</f>
        <v/>
      </c>
      <c r="X159" s="29" t="str">
        <f t="shared" si="2"/>
        <v xml:space="preserve"> </v>
      </c>
    </row>
    <row r="160" spans="1:24" ht="19.899999999999999" customHeight="1" x14ac:dyDescent="0.35">
      <c r="A160" s="24"/>
      <c r="B160" s="25"/>
      <c r="C160" s="25"/>
      <c r="D160" s="21"/>
      <c r="E160" s="26"/>
      <c r="F160" s="35"/>
      <c r="G160" s="35"/>
      <c r="H160" s="35"/>
      <c r="I160" s="36"/>
      <c r="J160" s="36"/>
      <c r="K160" s="36"/>
      <c r="L160" s="36"/>
      <c r="M160" s="36"/>
      <c r="N160" s="36"/>
      <c r="O160" s="36"/>
      <c r="P160" s="36"/>
      <c r="Q160" s="36"/>
      <c r="R160" s="36"/>
      <c r="S160" s="36"/>
      <c r="T160" s="36"/>
      <c r="U160" s="36"/>
      <c r="V160" s="36"/>
      <c r="W160" s="104" t="str" cm="1">
        <f t="array" ref="W160">IF(A160&lt;&gt;"",_xlfn.IFS(A160="Grade 1",SUM(L160:S160),A160="Grade 2",SUM(L160:V160),A160="Grade 3",SUM(L160:S160)),"")</f>
        <v/>
      </c>
      <c r="X160" s="29" t="str">
        <f t="shared" si="2"/>
        <v xml:space="preserve"> </v>
      </c>
    </row>
    <row r="161" spans="1:24" ht="19.899999999999999" customHeight="1" x14ac:dyDescent="0.35">
      <c r="A161" s="24"/>
      <c r="B161" s="25"/>
      <c r="C161" s="25"/>
      <c r="D161" s="21"/>
      <c r="E161" s="26"/>
      <c r="F161" s="35"/>
      <c r="G161" s="35"/>
      <c r="H161" s="35"/>
      <c r="I161" s="36"/>
      <c r="J161" s="36"/>
      <c r="K161" s="36"/>
      <c r="L161" s="36"/>
      <c r="M161" s="36"/>
      <c r="N161" s="36"/>
      <c r="O161" s="36"/>
      <c r="P161" s="36"/>
      <c r="Q161" s="36"/>
      <c r="R161" s="36"/>
      <c r="S161" s="36"/>
      <c r="T161" s="36"/>
      <c r="U161" s="36"/>
      <c r="V161" s="36"/>
      <c r="W161" s="104" t="str" cm="1">
        <f t="array" ref="W161">IF(A161&lt;&gt;"",_xlfn.IFS(A161="Grade 1",SUM(L161:S161),A161="Grade 2",SUM(L161:V161),A161="Grade 3",SUM(L161:S161)),"")</f>
        <v/>
      </c>
      <c r="X161" s="29" t="str">
        <f t="shared" si="2"/>
        <v xml:space="preserve"> </v>
      </c>
    </row>
    <row r="162" spans="1:24" ht="19.899999999999999" customHeight="1" x14ac:dyDescent="0.35">
      <c r="A162" s="24"/>
      <c r="B162" s="25"/>
      <c r="C162" s="25"/>
      <c r="D162" s="21"/>
      <c r="E162" s="26"/>
      <c r="F162" s="35"/>
      <c r="G162" s="35"/>
      <c r="H162" s="35"/>
      <c r="I162" s="36"/>
      <c r="J162" s="36"/>
      <c r="K162" s="36"/>
      <c r="L162" s="36"/>
      <c r="M162" s="36"/>
      <c r="N162" s="36"/>
      <c r="O162" s="36"/>
      <c r="P162" s="36"/>
      <c r="Q162" s="36"/>
      <c r="R162" s="36"/>
      <c r="S162" s="36"/>
      <c r="T162" s="36"/>
      <c r="U162" s="36"/>
      <c r="V162" s="36"/>
      <c r="W162" s="104" t="str" cm="1">
        <f t="array" ref="W162">IF(A162&lt;&gt;"",_xlfn.IFS(A162="Grade 1",SUM(L162:S162),A162="Grade 2",SUM(L162:V162),A162="Grade 3",SUM(L162:S162)),"")</f>
        <v/>
      </c>
      <c r="X162" s="29" t="str">
        <f t="shared" si="2"/>
        <v xml:space="preserve"> </v>
      </c>
    </row>
    <row r="163" spans="1:24" ht="19.899999999999999" customHeight="1" x14ac:dyDescent="0.35">
      <c r="A163" s="24"/>
      <c r="B163" s="25"/>
      <c r="C163" s="25"/>
      <c r="D163" s="21"/>
      <c r="E163" s="26"/>
      <c r="F163" s="35"/>
      <c r="G163" s="35"/>
      <c r="H163" s="35"/>
      <c r="I163" s="36"/>
      <c r="J163" s="36"/>
      <c r="K163" s="36"/>
      <c r="L163" s="36"/>
      <c r="M163" s="36"/>
      <c r="N163" s="36"/>
      <c r="O163" s="36"/>
      <c r="P163" s="36"/>
      <c r="Q163" s="36"/>
      <c r="R163" s="36"/>
      <c r="S163" s="36"/>
      <c r="T163" s="36"/>
      <c r="U163" s="36"/>
      <c r="V163" s="36"/>
      <c r="W163" s="104" t="str" cm="1">
        <f t="array" ref="W163">IF(A163&lt;&gt;"",_xlfn.IFS(A163="Grade 1",SUM(L163:S163),A163="Grade 2",SUM(L163:V163),A163="Grade 3",SUM(L163:S163)),"")</f>
        <v/>
      </c>
      <c r="X163" s="29" t="str">
        <f t="shared" si="2"/>
        <v xml:space="preserve"> </v>
      </c>
    </row>
    <row r="164" spans="1:24" ht="19.899999999999999" customHeight="1" x14ac:dyDescent="0.35">
      <c r="A164" s="24"/>
      <c r="B164" s="25"/>
      <c r="C164" s="25"/>
      <c r="D164" s="21"/>
      <c r="E164" s="26"/>
      <c r="F164" s="35"/>
      <c r="G164" s="35"/>
      <c r="H164" s="35"/>
      <c r="I164" s="36"/>
      <c r="J164" s="36"/>
      <c r="K164" s="36"/>
      <c r="L164" s="36"/>
      <c r="M164" s="36"/>
      <c r="N164" s="36"/>
      <c r="O164" s="36"/>
      <c r="P164" s="36"/>
      <c r="Q164" s="36"/>
      <c r="R164" s="36"/>
      <c r="S164" s="36"/>
      <c r="T164" s="36"/>
      <c r="U164" s="36"/>
      <c r="V164" s="36"/>
      <c r="W164" s="104" t="str" cm="1">
        <f t="array" ref="W164">IF(A164&lt;&gt;"",_xlfn.IFS(A164="Grade 1",SUM(L164:S164),A164="Grade 2",SUM(L164:V164),A164="Grade 3",SUM(L164:S164)),"")</f>
        <v/>
      </c>
      <c r="X164" s="29" t="str">
        <f t="shared" si="2"/>
        <v xml:space="preserve"> </v>
      </c>
    </row>
    <row r="165" spans="1:24" ht="19.899999999999999" customHeight="1" x14ac:dyDescent="0.35">
      <c r="A165" s="24"/>
      <c r="B165" s="25"/>
      <c r="C165" s="25"/>
      <c r="D165" s="21"/>
      <c r="E165" s="26"/>
      <c r="F165" s="35"/>
      <c r="G165" s="35"/>
      <c r="H165" s="35"/>
      <c r="I165" s="36"/>
      <c r="J165" s="36"/>
      <c r="K165" s="36"/>
      <c r="L165" s="36"/>
      <c r="M165" s="36"/>
      <c r="N165" s="36"/>
      <c r="O165" s="36"/>
      <c r="P165" s="36"/>
      <c r="Q165" s="36"/>
      <c r="R165" s="36"/>
      <c r="S165" s="36"/>
      <c r="T165" s="36"/>
      <c r="U165" s="36"/>
      <c r="V165" s="36"/>
      <c r="W165" s="104" t="str" cm="1">
        <f t="array" ref="W165">IF(A165&lt;&gt;"",_xlfn.IFS(A165="Grade 1",SUM(L165:S165),A165="Grade 2",SUM(L165:V165),A165="Grade 3",SUM(L165:S165)),"")</f>
        <v/>
      </c>
      <c r="X165" s="29" t="str">
        <f t="shared" si="2"/>
        <v xml:space="preserve"> </v>
      </c>
    </row>
    <row r="166" spans="1:24" ht="19.899999999999999" customHeight="1" x14ac:dyDescent="0.35">
      <c r="A166" s="24"/>
      <c r="B166" s="25"/>
      <c r="C166" s="25"/>
      <c r="D166" s="21"/>
      <c r="E166" s="26"/>
      <c r="F166" s="35"/>
      <c r="G166" s="35"/>
      <c r="H166" s="35"/>
      <c r="I166" s="36"/>
      <c r="J166" s="36"/>
      <c r="K166" s="36"/>
      <c r="L166" s="36"/>
      <c r="M166" s="36"/>
      <c r="N166" s="36"/>
      <c r="O166" s="36"/>
      <c r="P166" s="36"/>
      <c r="Q166" s="36"/>
      <c r="R166" s="36"/>
      <c r="S166" s="36"/>
      <c r="T166" s="36"/>
      <c r="U166" s="36"/>
      <c r="V166" s="36"/>
      <c r="W166" s="104" t="str" cm="1">
        <f t="array" ref="W166">IF(A166&lt;&gt;"",_xlfn.IFS(A166="Grade 1",SUM(L166:S166),A166="Grade 2",SUM(L166:V166),A166="Grade 3",SUM(L166:S166)),"")</f>
        <v/>
      </c>
      <c r="X166" s="29" t="str">
        <f t="shared" si="2"/>
        <v xml:space="preserve"> </v>
      </c>
    </row>
    <row r="167" spans="1:24" ht="19.899999999999999" customHeight="1" x14ac:dyDescent="0.35">
      <c r="A167" s="24"/>
      <c r="B167" s="25"/>
      <c r="C167" s="25"/>
      <c r="D167" s="21"/>
      <c r="E167" s="26"/>
      <c r="F167" s="35"/>
      <c r="G167" s="35"/>
      <c r="H167" s="35"/>
      <c r="I167" s="36"/>
      <c r="J167" s="36"/>
      <c r="K167" s="36"/>
      <c r="L167" s="36"/>
      <c r="M167" s="36"/>
      <c r="N167" s="36"/>
      <c r="O167" s="36"/>
      <c r="P167" s="36"/>
      <c r="Q167" s="36"/>
      <c r="R167" s="36"/>
      <c r="S167" s="36"/>
      <c r="T167" s="36"/>
      <c r="U167" s="36"/>
      <c r="V167" s="36"/>
      <c r="W167" s="104" t="str" cm="1">
        <f t="array" ref="W167">IF(A167&lt;&gt;"",_xlfn.IFS(A167="Grade 1",SUM(L167:S167),A167="Grade 2",SUM(L167:V167),A167="Grade 3",SUM(L167:S167)),"")</f>
        <v/>
      </c>
      <c r="X167" s="29" t="str">
        <f t="shared" si="2"/>
        <v xml:space="preserve"> </v>
      </c>
    </row>
    <row r="168" spans="1:24" ht="19.899999999999999" customHeight="1" x14ac:dyDescent="0.35">
      <c r="A168" s="24"/>
      <c r="B168" s="25"/>
      <c r="C168" s="25"/>
      <c r="D168" s="21"/>
      <c r="E168" s="26"/>
      <c r="F168" s="35"/>
      <c r="G168" s="35"/>
      <c r="H168" s="35"/>
      <c r="I168" s="36"/>
      <c r="J168" s="36"/>
      <c r="K168" s="36"/>
      <c r="L168" s="36"/>
      <c r="M168" s="36"/>
      <c r="N168" s="36"/>
      <c r="O168" s="36"/>
      <c r="P168" s="36"/>
      <c r="Q168" s="36"/>
      <c r="R168" s="36"/>
      <c r="S168" s="36"/>
      <c r="T168" s="36"/>
      <c r="U168" s="36"/>
      <c r="V168" s="36"/>
      <c r="W168" s="104" t="str" cm="1">
        <f t="array" ref="W168">IF(A168&lt;&gt;"",_xlfn.IFS(A168="Grade 1",SUM(L168:S168),A168="Grade 2",SUM(L168:V168),A168="Grade 3",SUM(L168:S168)),"")</f>
        <v/>
      </c>
      <c r="X168" s="29" t="str">
        <f t="shared" si="2"/>
        <v xml:space="preserve"> </v>
      </c>
    </row>
    <row r="169" spans="1:24" ht="19.899999999999999" customHeight="1" x14ac:dyDescent="0.35">
      <c r="A169" s="24"/>
      <c r="B169" s="25"/>
      <c r="C169" s="25"/>
      <c r="D169" s="21"/>
      <c r="E169" s="26"/>
      <c r="F169" s="35"/>
      <c r="G169" s="35"/>
      <c r="H169" s="35"/>
      <c r="I169" s="36"/>
      <c r="J169" s="36"/>
      <c r="K169" s="36"/>
      <c r="L169" s="36"/>
      <c r="M169" s="36"/>
      <c r="N169" s="36"/>
      <c r="O169" s="36"/>
      <c r="P169" s="36"/>
      <c r="Q169" s="36"/>
      <c r="R169" s="36"/>
      <c r="S169" s="36"/>
      <c r="T169" s="36"/>
      <c r="U169" s="36"/>
      <c r="V169" s="36"/>
      <c r="W169" s="104" t="str" cm="1">
        <f t="array" ref="W169">IF(A169&lt;&gt;"",_xlfn.IFS(A169="Grade 1",SUM(L169:S169),A169="Grade 2",SUM(L169:V169),A169="Grade 3",SUM(L169:S169)),"")</f>
        <v/>
      </c>
      <c r="X169" s="29" t="str">
        <f t="shared" si="2"/>
        <v xml:space="preserve"> </v>
      </c>
    </row>
    <row r="170" spans="1:24" ht="19.899999999999999" customHeight="1" x14ac:dyDescent="0.35">
      <c r="A170" s="24"/>
      <c r="B170" s="25"/>
      <c r="C170" s="25"/>
      <c r="D170" s="21"/>
      <c r="E170" s="26"/>
      <c r="F170" s="35"/>
      <c r="G170" s="35"/>
      <c r="H170" s="35"/>
      <c r="I170" s="36"/>
      <c r="J170" s="36"/>
      <c r="K170" s="36"/>
      <c r="L170" s="36"/>
      <c r="M170" s="36"/>
      <c r="N170" s="36"/>
      <c r="O170" s="36"/>
      <c r="P170" s="36"/>
      <c r="Q170" s="36"/>
      <c r="R170" s="36"/>
      <c r="S170" s="36"/>
      <c r="T170" s="36"/>
      <c r="U170" s="36"/>
      <c r="V170" s="36"/>
      <c r="W170" s="104" t="str" cm="1">
        <f t="array" ref="W170">IF(A170&lt;&gt;"",_xlfn.IFS(A170="Grade 1",SUM(L170:S170),A170="Grade 2",SUM(L170:V170),A170="Grade 3",SUM(L170:S170)),"")</f>
        <v/>
      </c>
      <c r="X170" s="29" t="str">
        <f t="shared" si="2"/>
        <v xml:space="preserve"> </v>
      </c>
    </row>
    <row r="171" spans="1:24" ht="19.899999999999999" customHeight="1" x14ac:dyDescent="0.35">
      <c r="A171" s="24"/>
      <c r="B171" s="25"/>
      <c r="C171" s="25"/>
      <c r="D171" s="21"/>
      <c r="E171" s="26"/>
      <c r="F171" s="35"/>
      <c r="G171" s="35"/>
      <c r="H171" s="35"/>
      <c r="I171" s="36"/>
      <c r="J171" s="36"/>
      <c r="K171" s="36"/>
      <c r="L171" s="36"/>
      <c r="M171" s="36"/>
      <c r="N171" s="36"/>
      <c r="O171" s="36"/>
      <c r="P171" s="36"/>
      <c r="Q171" s="36"/>
      <c r="R171" s="36"/>
      <c r="S171" s="36"/>
      <c r="T171" s="36"/>
      <c r="U171" s="36"/>
      <c r="V171" s="36"/>
      <c r="W171" s="104" t="str" cm="1">
        <f t="array" ref="W171">IF(A171&lt;&gt;"",_xlfn.IFS(A171="Grade 1",SUM(L171:S171),A171="Grade 2",SUM(L171:V171),A171="Grade 3",SUM(L171:S171)),"")</f>
        <v/>
      </c>
      <c r="X171" s="29" t="str">
        <f t="shared" si="2"/>
        <v xml:space="preserve"> </v>
      </c>
    </row>
    <row r="172" spans="1:24" ht="19.899999999999999" customHeight="1" x14ac:dyDescent="0.35">
      <c r="A172" s="24"/>
      <c r="B172" s="25"/>
      <c r="C172" s="25"/>
      <c r="D172" s="21"/>
      <c r="E172" s="26"/>
      <c r="F172" s="35"/>
      <c r="G172" s="35"/>
      <c r="H172" s="35"/>
      <c r="I172" s="36"/>
      <c r="J172" s="36"/>
      <c r="K172" s="36"/>
      <c r="L172" s="36"/>
      <c r="M172" s="36"/>
      <c r="N172" s="36"/>
      <c r="O172" s="36"/>
      <c r="P172" s="36"/>
      <c r="Q172" s="36"/>
      <c r="R172" s="36"/>
      <c r="S172" s="36"/>
      <c r="T172" s="36"/>
      <c r="U172" s="36"/>
      <c r="V172" s="36"/>
      <c r="W172" s="104" t="str" cm="1">
        <f t="array" ref="W172">IF(A172&lt;&gt;"",_xlfn.IFS(A172="Grade 1",SUM(L172:S172),A172="Grade 2",SUM(L172:V172),A172="Grade 3",SUM(L172:S172)),"")</f>
        <v/>
      </c>
      <c r="X172" s="29" t="str">
        <f t="shared" si="2"/>
        <v xml:space="preserve"> </v>
      </c>
    </row>
    <row r="173" spans="1:24" ht="19.899999999999999" customHeight="1" x14ac:dyDescent="0.35">
      <c r="A173" s="24"/>
      <c r="B173" s="25"/>
      <c r="C173" s="25"/>
      <c r="D173" s="21"/>
      <c r="E173" s="26"/>
      <c r="F173" s="35"/>
      <c r="G173" s="35"/>
      <c r="H173" s="35"/>
      <c r="I173" s="36"/>
      <c r="J173" s="36"/>
      <c r="K173" s="36"/>
      <c r="L173" s="36"/>
      <c r="M173" s="36"/>
      <c r="N173" s="36"/>
      <c r="O173" s="36"/>
      <c r="P173" s="36"/>
      <c r="Q173" s="36"/>
      <c r="R173" s="36"/>
      <c r="S173" s="36"/>
      <c r="T173" s="36"/>
      <c r="U173" s="36"/>
      <c r="V173" s="36"/>
      <c r="W173" s="104" t="str" cm="1">
        <f t="array" ref="W173">IF(A173&lt;&gt;"",_xlfn.IFS(A173="Grade 1",SUM(L173:S173),A173="Grade 2",SUM(L173:V173),A173="Grade 3",SUM(L173:S173)),"")</f>
        <v/>
      </c>
      <c r="X173" s="29" t="str">
        <f t="shared" si="2"/>
        <v xml:space="preserve"> </v>
      </c>
    </row>
    <row r="174" spans="1:24" ht="19.899999999999999" customHeight="1" x14ac:dyDescent="0.35">
      <c r="A174" s="24"/>
      <c r="B174" s="25"/>
      <c r="C174" s="25"/>
      <c r="D174" s="21"/>
      <c r="E174" s="26"/>
      <c r="F174" s="35"/>
      <c r="G174" s="35"/>
      <c r="H174" s="35"/>
      <c r="I174" s="36"/>
      <c r="J174" s="36"/>
      <c r="K174" s="36"/>
      <c r="L174" s="36"/>
      <c r="M174" s="36"/>
      <c r="N174" s="36"/>
      <c r="O174" s="36"/>
      <c r="P174" s="36"/>
      <c r="Q174" s="36"/>
      <c r="R174" s="36"/>
      <c r="S174" s="36"/>
      <c r="T174" s="36"/>
      <c r="U174" s="36"/>
      <c r="V174" s="36"/>
      <c r="W174" s="104" t="str" cm="1">
        <f t="array" ref="W174">IF(A174&lt;&gt;"",_xlfn.IFS(A174="Grade 1",SUM(L174:S174),A174="Grade 2",SUM(L174:V174),A174="Grade 3",SUM(L174:S174)),"")</f>
        <v/>
      </c>
      <c r="X174" s="29" t="str">
        <f t="shared" si="2"/>
        <v xml:space="preserve"> </v>
      </c>
    </row>
    <row r="175" spans="1:24" ht="19.899999999999999" customHeight="1" x14ac:dyDescent="0.35">
      <c r="A175" s="24"/>
      <c r="B175" s="25"/>
      <c r="C175" s="25"/>
      <c r="D175" s="21"/>
      <c r="E175" s="26"/>
      <c r="F175" s="35"/>
      <c r="G175" s="35"/>
      <c r="H175" s="35"/>
      <c r="I175" s="36"/>
      <c r="J175" s="36"/>
      <c r="K175" s="36"/>
      <c r="L175" s="36"/>
      <c r="M175" s="36"/>
      <c r="N175" s="36"/>
      <c r="O175" s="36"/>
      <c r="P175" s="36"/>
      <c r="Q175" s="36"/>
      <c r="R175" s="36"/>
      <c r="S175" s="36"/>
      <c r="T175" s="36"/>
      <c r="U175" s="36"/>
      <c r="V175" s="36"/>
      <c r="W175" s="104" t="str" cm="1">
        <f t="array" ref="W175">IF(A175&lt;&gt;"",_xlfn.IFS(A175="Grade 1",SUM(L175:S175),A175="Grade 2",SUM(L175:V175),A175="Grade 3",SUM(L175:S175)),"")</f>
        <v/>
      </c>
      <c r="X175" s="29" t="str">
        <f t="shared" si="2"/>
        <v xml:space="preserve"> </v>
      </c>
    </row>
    <row r="176" spans="1:24" ht="19.899999999999999" customHeight="1" x14ac:dyDescent="0.35">
      <c r="A176" s="24"/>
      <c r="B176" s="25"/>
      <c r="C176" s="25"/>
      <c r="D176" s="21"/>
      <c r="E176" s="26"/>
      <c r="F176" s="35"/>
      <c r="G176" s="35"/>
      <c r="H176" s="35"/>
      <c r="I176" s="36"/>
      <c r="J176" s="36"/>
      <c r="K176" s="36"/>
      <c r="L176" s="36"/>
      <c r="M176" s="36"/>
      <c r="N176" s="36"/>
      <c r="O176" s="36"/>
      <c r="P176" s="36"/>
      <c r="Q176" s="36"/>
      <c r="R176" s="36"/>
      <c r="S176" s="36"/>
      <c r="T176" s="36"/>
      <c r="U176" s="36"/>
      <c r="V176" s="36"/>
      <c r="W176" s="104" t="str" cm="1">
        <f t="array" ref="W176">IF(A176&lt;&gt;"",_xlfn.IFS(A176="Grade 1",SUM(L176:S176),A176="Grade 2",SUM(L176:V176),A176="Grade 3",SUM(L176:S176)),"")</f>
        <v/>
      </c>
      <c r="X176" s="29" t="str">
        <f t="shared" si="2"/>
        <v xml:space="preserve"> </v>
      </c>
    </row>
    <row r="177" spans="1:24" ht="19.899999999999999" customHeight="1" x14ac:dyDescent="0.35">
      <c r="A177" s="24"/>
      <c r="B177" s="25"/>
      <c r="C177" s="25"/>
      <c r="D177" s="21"/>
      <c r="E177" s="26"/>
      <c r="F177" s="35"/>
      <c r="G177" s="35"/>
      <c r="H177" s="35"/>
      <c r="I177" s="36"/>
      <c r="J177" s="36"/>
      <c r="K177" s="36"/>
      <c r="L177" s="36"/>
      <c r="M177" s="36"/>
      <c r="N177" s="36"/>
      <c r="O177" s="36"/>
      <c r="P177" s="36"/>
      <c r="Q177" s="36"/>
      <c r="R177" s="36"/>
      <c r="S177" s="36"/>
      <c r="T177" s="36"/>
      <c r="U177" s="36"/>
      <c r="V177" s="36"/>
      <c r="W177" s="104" t="str" cm="1">
        <f t="array" ref="W177">IF(A177&lt;&gt;"",_xlfn.IFS(A177="Grade 1",SUM(L177:S177),A177="Grade 2",SUM(L177:V177),A177="Grade 3",SUM(L177:S177)),"")</f>
        <v/>
      </c>
      <c r="X177" s="29" t="str">
        <f t="shared" si="2"/>
        <v xml:space="preserve"> </v>
      </c>
    </row>
    <row r="178" spans="1:24" ht="19.899999999999999" customHeight="1" x14ac:dyDescent="0.35">
      <c r="A178" s="24"/>
      <c r="B178" s="25"/>
      <c r="C178" s="25"/>
      <c r="D178" s="21"/>
      <c r="E178" s="26"/>
      <c r="F178" s="35"/>
      <c r="G178" s="35"/>
      <c r="H178" s="35"/>
      <c r="I178" s="36"/>
      <c r="J178" s="36"/>
      <c r="K178" s="36"/>
      <c r="L178" s="36"/>
      <c r="M178" s="36"/>
      <c r="N178" s="36"/>
      <c r="O178" s="36"/>
      <c r="P178" s="36"/>
      <c r="Q178" s="36"/>
      <c r="R178" s="36"/>
      <c r="S178" s="36"/>
      <c r="T178" s="36"/>
      <c r="U178" s="36"/>
      <c r="V178" s="36"/>
      <c r="W178" s="104" t="str" cm="1">
        <f t="array" ref="W178">IF(A178&lt;&gt;"",_xlfn.IFS(A178="Grade 1",SUM(L178:S178),A178="Grade 2",SUM(L178:V178),A178="Grade 3",SUM(L178:S178)),"")</f>
        <v/>
      </c>
      <c r="X178" s="29" t="str">
        <f t="shared" si="2"/>
        <v xml:space="preserve"> </v>
      </c>
    </row>
    <row r="179" spans="1:24" ht="19.899999999999999" customHeight="1" x14ac:dyDescent="0.35">
      <c r="A179" s="24"/>
      <c r="B179" s="25"/>
      <c r="C179" s="25"/>
      <c r="D179" s="21"/>
      <c r="E179" s="26"/>
      <c r="F179" s="35"/>
      <c r="G179" s="35"/>
      <c r="H179" s="35"/>
      <c r="I179" s="36"/>
      <c r="J179" s="36"/>
      <c r="K179" s="36"/>
      <c r="L179" s="36"/>
      <c r="M179" s="36"/>
      <c r="N179" s="36"/>
      <c r="O179" s="36"/>
      <c r="P179" s="36"/>
      <c r="Q179" s="36"/>
      <c r="R179" s="36"/>
      <c r="S179" s="36"/>
      <c r="T179" s="36"/>
      <c r="U179" s="36"/>
      <c r="V179" s="36"/>
      <c r="W179" s="104" t="str" cm="1">
        <f t="array" ref="W179">IF(A179&lt;&gt;"",_xlfn.IFS(A179="Grade 1",SUM(L179:S179),A179="Grade 2",SUM(L179:V179),A179="Grade 3",SUM(L179:S179)),"")</f>
        <v/>
      </c>
      <c r="X179" s="29" t="str">
        <f t="shared" si="2"/>
        <v xml:space="preserve"> </v>
      </c>
    </row>
    <row r="180" spans="1:24" ht="19.899999999999999" customHeight="1" x14ac:dyDescent="0.35">
      <c r="A180" s="24"/>
      <c r="B180" s="25"/>
      <c r="C180" s="25"/>
      <c r="D180" s="21"/>
      <c r="E180" s="26"/>
      <c r="F180" s="35"/>
      <c r="G180" s="35"/>
      <c r="H180" s="35"/>
      <c r="I180" s="36"/>
      <c r="J180" s="36"/>
      <c r="K180" s="36"/>
      <c r="L180" s="36"/>
      <c r="M180" s="36"/>
      <c r="N180" s="36"/>
      <c r="O180" s="36"/>
      <c r="P180" s="36"/>
      <c r="Q180" s="36"/>
      <c r="R180" s="36"/>
      <c r="S180" s="36"/>
      <c r="T180" s="36"/>
      <c r="U180" s="36"/>
      <c r="V180" s="36"/>
      <c r="W180" s="104" t="str" cm="1">
        <f t="array" ref="W180">IF(A180&lt;&gt;"",_xlfn.IFS(A180="Grade 1",SUM(L180:S180),A180="Grade 2",SUM(L180:V180),A180="Grade 3",SUM(L180:S180)),"")</f>
        <v/>
      </c>
      <c r="X180" s="29" t="str">
        <f t="shared" si="2"/>
        <v xml:space="preserve"> </v>
      </c>
    </row>
    <row r="181" spans="1:24" ht="19.899999999999999" customHeight="1" x14ac:dyDescent="0.35">
      <c r="A181" s="24"/>
      <c r="B181" s="25"/>
      <c r="C181" s="25"/>
      <c r="D181" s="21"/>
      <c r="E181" s="26"/>
      <c r="F181" s="35"/>
      <c r="G181" s="35"/>
      <c r="H181" s="35"/>
      <c r="I181" s="36"/>
      <c r="J181" s="36"/>
      <c r="K181" s="36"/>
      <c r="L181" s="36"/>
      <c r="M181" s="36"/>
      <c r="N181" s="36"/>
      <c r="O181" s="36"/>
      <c r="P181" s="36"/>
      <c r="Q181" s="36"/>
      <c r="R181" s="36"/>
      <c r="S181" s="36"/>
      <c r="T181" s="36"/>
      <c r="U181" s="36"/>
      <c r="V181" s="36"/>
      <c r="W181" s="104" t="str" cm="1">
        <f t="array" ref="W181">IF(A181&lt;&gt;"",_xlfn.IFS(A181="Grade 1",SUM(L181:S181),A181="Grade 2",SUM(L181:V181),A181="Grade 3",SUM(L181:S181)),"")</f>
        <v/>
      </c>
      <c r="X181" s="29" t="str">
        <f t="shared" si="2"/>
        <v xml:space="preserve"> </v>
      </c>
    </row>
    <row r="182" spans="1:24" ht="19.899999999999999" customHeight="1" x14ac:dyDescent="0.35">
      <c r="A182" s="24"/>
      <c r="B182" s="25"/>
      <c r="C182" s="25"/>
      <c r="D182" s="21"/>
      <c r="E182" s="26"/>
      <c r="F182" s="35"/>
      <c r="G182" s="35"/>
      <c r="H182" s="35"/>
      <c r="I182" s="36"/>
      <c r="J182" s="36"/>
      <c r="K182" s="36"/>
      <c r="L182" s="36"/>
      <c r="M182" s="36"/>
      <c r="N182" s="36"/>
      <c r="O182" s="36"/>
      <c r="P182" s="36"/>
      <c r="Q182" s="36"/>
      <c r="R182" s="36"/>
      <c r="S182" s="36"/>
      <c r="T182" s="36"/>
      <c r="U182" s="36"/>
      <c r="V182" s="36"/>
      <c r="W182" s="104" t="str" cm="1">
        <f t="array" ref="W182">IF(A182&lt;&gt;"",_xlfn.IFS(A182="Grade 1",SUM(L182:S182),A182="Grade 2",SUM(L182:V182),A182="Grade 3",SUM(L182:S182)),"")</f>
        <v/>
      </c>
      <c r="X182" s="29" t="str">
        <f t="shared" si="2"/>
        <v xml:space="preserve"> </v>
      </c>
    </row>
    <row r="183" spans="1:24" ht="19.899999999999999" customHeight="1" x14ac:dyDescent="0.35">
      <c r="A183" s="24"/>
      <c r="B183" s="25"/>
      <c r="C183" s="25"/>
      <c r="D183" s="21"/>
      <c r="E183" s="26"/>
      <c r="F183" s="35"/>
      <c r="G183" s="35"/>
      <c r="H183" s="35"/>
      <c r="I183" s="36"/>
      <c r="J183" s="36"/>
      <c r="K183" s="36"/>
      <c r="L183" s="36"/>
      <c r="M183" s="36"/>
      <c r="N183" s="36"/>
      <c r="O183" s="36"/>
      <c r="P183" s="36"/>
      <c r="Q183" s="36"/>
      <c r="R183" s="36"/>
      <c r="S183" s="36"/>
      <c r="T183" s="36"/>
      <c r="U183" s="36"/>
      <c r="V183" s="36"/>
      <c r="W183" s="104" t="str" cm="1">
        <f t="array" ref="W183">IF(A183&lt;&gt;"",_xlfn.IFS(A183="Grade 1",SUM(L183:S183),A183="Grade 2",SUM(L183:V183),A183="Grade 3",SUM(L183:S183)),"")</f>
        <v/>
      </c>
      <c r="X183" s="29" t="str">
        <f t="shared" si="2"/>
        <v xml:space="preserve"> </v>
      </c>
    </row>
    <row r="184" spans="1:24" ht="19.899999999999999" customHeight="1" x14ac:dyDescent="0.35">
      <c r="A184" s="24"/>
      <c r="B184" s="25"/>
      <c r="C184" s="25"/>
      <c r="D184" s="21"/>
      <c r="E184" s="26"/>
      <c r="F184" s="35"/>
      <c r="G184" s="35"/>
      <c r="H184" s="35"/>
      <c r="I184" s="36"/>
      <c r="J184" s="36"/>
      <c r="K184" s="36"/>
      <c r="L184" s="36"/>
      <c r="M184" s="36"/>
      <c r="N184" s="36"/>
      <c r="O184" s="36"/>
      <c r="P184" s="36"/>
      <c r="Q184" s="36"/>
      <c r="R184" s="36"/>
      <c r="S184" s="36"/>
      <c r="T184" s="36"/>
      <c r="U184" s="36"/>
      <c r="V184" s="36"/>
      <c r="W184" s="104" t="str" cm="1">
        <f t="array" ref="W184">IF(A184&lt;&gt;"",_xlfn.IFS(A184="Grade 1",SUM(L184:S184),A184="Grade 2",SUM(L184:V184),A184="Grade 3",SUM(L184:S184)),"")</f>
        <v/>
      </c>
      <c r="X184" s="29" t="str">
        <f t="shared" si="2"/>
        <v xml:space="preserve"> </v>
      </c>
    </row>
    <row r="185" spans="1:24" ht="19.899999999999999" customHeight="1" x14ac:dyDescent="0.35">
      <c r="A185" s="24"/>
      <c r="B185" s="25"/>
      <c r="C185" s="25"/>
      <c r="D185" s="21"/>
      <c r="E185" s="26"/>
      <c r="F185" s="35"/>
      <c r="G185" s="35"/>
      <c r="H185" s="35"/>
      <c r="I185" s="36"/>
      <c r="J185" s="36"/>
      <c r="K185" s="36"/>
      <c r="L185" s="36"/>
      <c r="M185" s="36"/>
      <c r="N185" s="36"/>
      <c r="O185" s="36"/>
      <c r="P185" s="36"/>
      <c r="Q185" s="36"/>
      <c r="R185" s="36"/>
      <c r="S185" s="36"/>
      <c r="T185" s="36"/>
      <c r="U185" s="36"/>
      <c r="V185" s="36"/>
      <c r="W185" s="104" t="str" cm="1">
        <f t="array" ref="W185">IF(A185&lt;&gt;"",_xlfn.IFS(A185="Grade 1",SUM(L185:S185),A185="Grade 2",SUM(L185:V185),A185="Grade 3",SUM(L185:S185)),"")</f>
        <v/>
      </c>
      <c r="X185" s="29" t="str">
        <f t="shared" si="2"/>
        <v xml:space="preserve"> </v>
      </c>
    </row>
    <row r="186" spans="1:24" ht="20.5" customHeight="1" x14ac:dyDescent="0.35">
      <c r="A186" s="24"/>
      <c r="B186" s="25"/>
      <c r="C186" s="25"/>
      <c r="D186" s="21"/>
      <c r="E186" s="26"/>
      <c r="F186" s="35"/>
      <c r="G186" s="35"/>
      <c r="H186" s="35"/>
      <c r="I186" s="36"/>
      <c r="J186" s="36"/>
      <c r="K186" s="36"/>
      <c r="L186" s="36"/>
      <c r="M186" s="36"/>
      <c r="N186" s="36"/>
      <c r="O186" s="36"/>
      <c r="P186" s="36"/>
      <c r="Q186" s="36"/>
      <c r="R186" s="36"/>
      <c r="S186" s="36"/>
      <c r="T186" s="36"/>
      <c r="U186" s="36"/>
      <c r="V186" s="36"/>
      <c r="W186" s="104" t="str" cm="1">
        <f t="array" ref="W186">IF(A186&lt;&gt;"",_xlfn.IFS(A186="Grade 1",SUM(L186:S186),A186="Grade 2",SUM(L186:V186),A186="Grade 3",SUM(L186:S186)),"")</f>
        <v/>
      </c>
      <c r="X186" s="29" t="str">
        <f t="shared" si="2"/>
        <v xml:space="preserve"> </v>
      </c>
    </row>
    <row r="187" spans="1:24" ht="19.899999999999999" customHeight="1" x14ac:dyDescent="0.35">
      <c r="A187" s="24"/>
      <c r="B187" s="25"/>
      <c r="C187" s="25"/>
      <c r="D187" s="21"/>
      <c r="E187" s="26"/>
      <c r="F187" s="35"/>
      <c r="G187" s="35"/>
      <c r="H187" s="35"/>
      <c r="I187" s="36"/>
      <c r="J187" s="36"/>
      <c r="K187" s="36"/>
      <c r="L187" s="36"/>
      <c r="M187" s="36"/>
      <c r="N187" s="36"/>
      <c r="O187" s="36"/>
      <c r="P187" s="36"/>
      <c r="Q187" s="36"/>
      <c r="R187" s="36"/>
      <c r="S187" s="36"/>
      <c r="T187" s="36"/>
      <c r="U187" s="36"/>
      <c r="V187" s="36"/>
      <c r="W187" s="104" t="str" cm="1">
        <f t="array" ref="W187">IF(A187&lt;&gt;"",_xlfn.IFS(A187="Grade 1",SUM(L187:S187),A187="Grade 2",SUM(L187:V187),A187="Grade 3",SUM(L187:S187)),"")</f>
        <v/>
      </c>
      <c r="X187" s="29" t="str">
        <f t="shared" si="2"/>
        <v xml:space="preserve"> </v>
      </c>
    </row>
    <row r="188" spans="1:24" ht="19.899999999999999" customHeight="1" x14ac:dyDescent="0.35">
      <c r="A188" s="24"/>
      <c r="B188" s="25"/>
      <c r="C188" s="25"/>
      <c r="D188" s="21"/>
      <c r="E188" s="26"/>
      <c r="F188" s="35"/>
      <c r="G188" s="35"/>
      <c r="H188" s="35"/>
      <c r="I188" s="36"/>
      <c r="J188" s="36"/>
      <c r="K188" s="36"/>
      <c r="L188" s="36"/>
      <c r="M188" s="36"/>
      <c r="N188" s="36"/>
      <c r="O188" s="36"/>
      <c r="P188" s="36"/>
      <c r="Q188" s="36"/>
      <c r="R188" s="36"/>
      <c r="S188" s="36"/>
      <c r="T188" s="36"/>
      <c r="U188" s="36"/>
      <c r="V188" s="36"/>
      <c r="W188" s="104" t="str" cm="1">
        <f t="array" ref="W188">IF(A188&lt;&gt;"",_xlfn.IFS(A188="Grade 1",SUM(L188:S188),A188="Grade 2",SUM(L188:V188),A188="Grade 3",SUM(L188:S188)),"")</f>
        <v/>
      </c>
      <c r="X188" s="29" t="str">
        <f t="shared" si="2"/>
        <v xml:space="preserve"> </v>
      </c>
    </row>
    <row r="189" spans="1:24" ht="19.899999999999999" customHeight="1" x14ac:dyDescent="0.35">
      <c r="A189" s="24"/>
      <c r="B189" s="25"/>
      <c r="C189" s="25"/>
      <c r="D189" s="21"/>
      <c r="E189" s="26"/>
      <c r="F189" s="35"/>
      <c r="G189" s="35"/>
      <c r="H189" s="35"/>
      <c r="I189" s="36"/>
      <c r="J189" s="36"/>
      <c r="K189" s="36"/>
      <c r="L189" s="36"/>
      <c r="M189" s="36"/>
      <c r="N189" s="36"/>
      <c r="O189" s="36"/>
      <c r="P189" s="36"/>
      <c r="Q189" s="36"/>
      <c r="R189" s="36"/>
      <c r="S189" s="36"/>
      <c r="T189" s="36"/>
      <c r="U189" s="36"/>
      <c r="V189" s="36"/>
      <c r="W189" s="104" t="str" cm="1">
        <f t="array" ref="W189">IF(A189&lt;&gt;"",_xlfn.IFS(A189="Grade 1",SUM(L189:S189),A189="Grade 2",SUM(L189:V189),A189="Grade 3",SUM(L189:S189)),"")</f>
        <v/>
      </c>
      <c r="X189" s="29" t="str">
        <f t="shared" si="2"/>
        <v xml:space="preserve"> </v>
      </c>
    </row>
    <row r="190" spans="1:24" ht="19.899999999999999" customHeight="1" x14ac:dyDescent="0.35">
      <c r="A190" s="24"/>
      <c r="B190" s="25"/>
      <c r="C190" s="25"/>
      <c r="D190" s="21"/>
      <c r="E190" s="26"/>
      <c r="F190" s="35"/>
      <c r="G190" s="35"/>
      <c r="H190" s="35"/>
      <c r="I190" s="36"/>
      <c r="J190" s="36"/>
      <c r="K190" s="36"/>
      <c r="L190" s="36"/>
      <c r="M190" s="36"/>
      <c r="N190" s="36"/>
      <c r="O190" s="36"/>
      <c r="P190" s="36"/>
      <c r="Q190" s="36"/>
      <c r="R190" s="36"/>
      <c r="S190" s="36"/>
      <c r="T190" s="36"/>
      <c r="U190" s="36"/>
      <c r="V190" s="36"/>
      <c r="W190" s="104" t="str" cm="1">
        <f t="array" ref="W190">IF(A190&lt;&gt;"",_xlfn.IFS(A190="Grade 1",SUM(L190:S190),A190="Grade 2",SUM(L190:V190),A190="Grade 3",SUM(L190:S190)),"")</f>
        <v/>
      </c>
      <c r="X190" s="29" t="str">
        <f t="shared" si="2"/>
        <v xml:space="preserve"> </v>
      </c>
    </row>
    <row r="191" spans="1:24" ht="19.899999999999999" customHeight="1" x14ac:dyDescent="0.35">
      <c r="A191" s="24"/>
      <c r="B191" s="25"/>
      <c r="C191" s="25"/>
      <c r="D191" s="21"/>
      <c r="E191" s="26"/>
      <c r="F191" s="35"/>
      <c r="G191" s="35"/>
      <c r="H191" s="35"/>
      <c r="I191" s="36"/>
      <c r="J191" s="36"/>
      <c r="K191" s="36"/>
      <c r="L191" s="36"/>
      <c r="M191" s="36"/>
      <c r="N191" s="36"/>
      <c r="O191" s="36"/>
      <c r="P191" s="36"/>
      <c r="Q191" s="36"/>
      <c r="R191" s="36"/>
      <c r="S191" s="36"/>
      <c r="T191" s="36"/>
      <c r="U191" s="36"/>
      <c r="V191" s="36"/>
      <c r="W191" s="104" t="str" cm="1">
        <f t="array" ref="W191">IF(A191&lt;&gt;"",_xlfn.IFS(A191="Grade 1",SUM(L191:S191),A191="Grade 2",SUM(L191:V191),A191="Grade 3",SUM(L191:S191)),"")</f>
        <v/>
      </c>
      <c r="X191" s="29" t="str">
        <f t="shared" si="2"/>
        <v xml:space="preserve"> </v>
      </c>
    </row>
    <row r="192" spans="1:24" ht="19.899999999999999" customHeight="1" x14ac:dyDescent="0.35">
      <c r="A192" s="24"/>
      <c r="B192" s="25"/>
      <c r="C192" s="25"/>
      <c r="D192" s="21"/>
      <c r="E192" s="26"/>
      <c r="F192" s="35"/>
      <c r="G192" s="35"/>
      <c r="H192" s="35"/>
      <c r="I192" s="36"/>
      <c r="J192" s="36"/>
      <c r="K192" s="36"/>
      <c r="L192" s="36"/>
      <c r="M192" s="36"/>
      <c r="N192" s="36"/>
      <c r="O192" s="36"/>
      <c r="P192" s="36"/>
      <c r="Q192" s="36"/>
      <c r="R192" s="36"/>
      <c r="S192" s="36"/>
      <c r="T192" s="36"/>
      <c r="U192" s="36"/>
      <c r="V192" s="36"/>
      <c r="W192" s="104" t="str" cm="1">
        <f t="array" ref="W192">IF(A192&lt;&gt;"",_xlfn.IFS(A192="Grade 1",SUM(L192:S192),A192="Grade 2",SUM(L192:V192),A192="Grade 3",SUM(L192:S192)),"")</f>
        <v/>
      </c>
      <c r="X192" s="29" t="str">
        <f t="shared" si="2"/>
        <v xml:space="preserve"> </v>
      </c>
    </row>
    <row r="193" spans="1:24" ht="19.899999999999999" customHeight="1" x14ac:dyDescent="0.35">
      <c r="A193" s="24"/>
      <c r="B193" s="25"/>
      <c r="C193" s="25"/>
      <c r="D193" s="21"/>
      <c r="E193" s="26"/>
      <c r="F193" s="35"/>
      <c r="G193" s="35"/>
      <c r="H193" s="35"/>
      <c r="I193" s="36"/>
      <c r="J193" s="36"/>
      <c r="K193" s="36"/>
      <c r="L193" s="36"/>
      <c r="M193" s="36"/>
      <c r="N193" s="36"/>
      <c r="O193" s="36"/>
      <c r="P193" s="36"/>
      <c r="Q193" s="36"/>
      <c r="R193" s="36"/>
      <c r="S193" s="36"/>
      <c r="T193" s="36"/>
      <c r="U193" s="36"/>
      <c r="V193" s="36"/>
      <c r="W193" s="104" t="str" cm="1">
        <f t="array" ref="W193">IF(A193&lt;&gt;"",_xlfn.IFS(A193="Grade 1",SUM(L193:S193),A193="Grade 2",SUM(L193:V193),A193="Grade 3",SUM(L193:S193)),"")</f>
        <v/>
      </c>
      <c r="X193" s="29" t="str">
        <f t="shared" si="2"/>
        <v xml:space="preserve"> </v>
      </c>
    </row>
    <row r="194" spans="1:24" ht="19.899999999999999" customHeight="1" x14ac:dyDescent="0.35">
      <c r="A194" s="24"/>
      <c r="B194" s="25"/>
      <c r="C194" s="25"/>
      <c r="D194" s="21"/>
      <c r="E194" s="26"/>
      <c r="F194" s="35"/>
      <c r="G194" s="35"/>
      <c r="H194" s="35"/>
      <c r="I194" s="36"/>
      <c r="J194" s="36"/>
      <c r="K194" s="36"/>
      <c r="L194" s="36"/>
      <c r="M194" s="36"/>
      <c r="N194" s="36"/>
      <c r="O194" s="36"/>
      <c r="P194" s="36"/>
      <c r="Q194" s="36"/>
      <c r="R194" s="36"/>
      <c r="S194" s="36"/>
      <c r="T194" s="36"/>
      <c r="U194" s="36"/>
      <c r="V194" s="36"/>
      <c r="W194" s="104" t="str" cm="1">
        <f t="array" ref="W194">IF(A194&lt;&gt;"",_xlfn.IFS(A194="Grade 1",SUM(L194:S194),A194="Grade 2",SUM(L194:V194),A194="Grade 3",SUM(L194:S194)),"")</f>
        <v/>
      </c>
      <c r="X194" s="29" t="str">
        <f t="shared" si="2"/>
        <v xml:space="preserve"> </v>
      </c>
    </row>
    <row r="195" spans="1:24" ht="19.899999999999999" customHeight="1" x14ac:dyDescent="0.35">
      <c r="A195" s="24"/>
      <c r="B195" s="25"/>
      <c r="C195" s="25"/>
      <c r="D195" s="21"/>
      <c r="E195" s="26"/>
      <c r="F195" s="35"/>
      <c r="G195" s="35"/>
      <c r="H195" s="35"/>
      <c r="I195" s="36"/>
      <c r="J195" s="36"/>
      <c r="K195" s="36"/>
      <c r="L195" s="36"/>
      <c r="M195" s="36"/>
      <c r="N195" s="36"/>
      <c r="O195" s="36"/>
      <c r="P195" s="36"/>
      <c r="Q195" s="36"/>
      <c r="R195" s="36"/>
      <c r="S195" s="36"/>
      <c r="T195" s="36"/>
      <c r="U195" s="36"/>
      <c r="V195" s="36"/>
      <c r="W195" s="104" t="str" cm="1">
        <f t="array" ref="W195">IF(A195&lt;&gt;"",_xlfn.IFS(A195="Grade 1",SUM(L195:S195),A195="Grade 2",SUM(L195:V195),A195="Grade 3",SUM(L195:S195)),"")</f>
        <v/>
      </c>
      <c r="X195" s="29" t="str">
        <f t="shared" si="2"/>
        <v xml:space="preserve"> </v>
      </c>
    </row>
    <row r="196" spans="1:24" ht="19.899999999999999" customHeight="1" x14ac:dyDescent="0.35">
      <c r="A196" s="24"/>
      <c r="B196" s="25"/>
      <c r="C196" s="25"/>
      <c r="D196" s="21"/>
      <c r="E196" s="26"/>
      <c r="F196" s="35"/>
      <c r="G196" s="35"/>
      <c r="H196" s="35"/>
      <c r="I196" s="36"/>
      <c r="J196" s="36"/>
      <c r="K196" s="36"/>
      <c r="L196" s="36"/>
      <c r="M196" s="36"/>
      <c r="N196" s="36"/>
      <c r="O196" s="36"/>
      <c r="P196" s="36"/>
      <c r="Q196" s="36"/>
      <c r="R196" s="36"/>
      <c r="S196" s="36"/>
      <c r="T196" s="36"/>
      <c r="U196" s="36"/>
      <c r="V196" s="36"/>
      <c r="W196" s="104" t="str" cm="1">
        <f t="array" ref="W196">IF(A196&lt;&gt;"",_xlfn.IFS(A196="Grade 1",SUM(L196:S196),A196="Grade 2",SUM(L196:V196),A196="Grade 3",SUM(L196:S196)),"")</f>
        <v/>
      </c>
      <c r="X196" s="29" t="str">
        <f t="shared" si="2"/>
        <v xml:space="preserve"> </v>
      </c>
    </row>
    <row r="197" spans="1:24" ht="19.899999999999999" customHeight="1" x14ac:dyDescent="0.35">
      <c r="A197" s="24"/>
      <c r="B197" s="25"/>
      <c r="C197" s="25"/>
      <c r="D197" s="21"/>
      <c r="E197" s="26"/>
      <c r="F197" s="35"/>
      <c r="G197" s="35"/>
      <c r="H197" s="35"/>
      <c r="I197" s="36"/>
      <c r="J197" s="36"/>
      <c r="K197" s="36"/>
      <c r="L197" s="36"/>
      <c r="M197" s="36"/>
      <c r="N197" s="36"/>
      <c r="O197" s="36"/>
      <c r="P197" s="36"/>
      <c r="Q197" s="36"/>
      <c r="R197" s="36"/>
      <c r="S197" s="36"/>
      <c r="T197" s="36"/>
      <c r="U197" s="36"/>
      <c r="V197" s="36"/>
      <c r="W197" s="104" t="str" cm="1">
        <f t="array" ref="W197">IF(A197&lt;&gt;"",_xlfn.IFS(A197="Grade 1",SUM(L197:S197),A197="Grade 2",SUM(L197:V197),A197="Grade 3",SUM(L197:S197)),"")</f>
        <v/>
      </c>
      <c r="X197" s="29" t="str">
        <f t="shared" si="2"/>
        <v xml:space="preserve"> </v>
      </c>
    </row>
    <row r="198" spans="1:24" ht="19.899999999999999" customHeight="1" x14ac:dyDescent="0.35">
      <c r="A198" s="24"/>
      <c r="B198" s="25"/>
      <c r="C198" s="25"/>
      <c r="D198" s="21"/>
      <c r="E198" s="26"/>
      <c r="F198" s="35"/>
      <c r="G198" s="35"/>
      <c r="H198" s="35"/>
      <c r="I198" s="36"/>
      <c r="J198" s="36"/>
      <c r="K198" s="36"/>
      <c r="L198" s="36"/>
      <c r="M198" s="36"/>
      <c r="N198" s="36"/>
      <c r="O198" s="36"/>
      <c r="P198" s="36"/>
      <c r="Q198" s="36"/>
      <c r="R198" s="36"/>
      <c r="S198" s="36"/>
      <c r="T198" s="36"/>
      <c r="U198" s="36"/>
      <c r="V198" s="36"/>
      <c r="W198" s="104" t="str" cm="1">
        <f t="array" ref="W198">IF(A198&lt;&gt;"",_xlfn.IFS(A198="Grade 1",SUM(L198:S198),A198="Grade 2",SUM(L198:V198),A198="Grade 3",SUM(L198:S198)),"")</f>
        <v/>
      </c>
      <c r="X198" s="29" t="str">
        <f t="shared" si="2"/>
        <v xml:space="preserve"> </v>
      </c>
    </row>
    <row r="199" spans="1:24" ht="19.899999999999999" customHeight="1" x14ac:dyDescent="0.35">
      <c r="A199" s="24"/>
      <c r="B199" s="25"/>
      <c r="C199" s="25"/>
      <c r="D199" s="21"/>
      <c r="E199" s="26"/>
      <c r="F199" s="35"/>
      <c r="G199" s="35"/>
      <c r="H199" s="35"/>
      <c r="I199" s="36"/>
      <c r="J199" s="36"/>
      <c r="K199" s="36"/>
      <c r="L199" s="36"/>
      <c r="M199" s="36"/>
      <c r="N199" s="36"/>
      <c r="O199" s="36"/>
      <c r="P199" s="36"/>
      <c r="Q199" s="36"/>
      <c r="R199" s="36"/>
      <c r="S199" s="36"/>
      <c r="T199" s="36"/>
      <c r="U199" s="36"/>
      <c r="V199" s="36"/>
      <c r="W199" s="104" t="str" cm="1">
        <f t="array" ref="W199">IF(A199&lt;&gt;"",_xlfn.IFS(A199="Grade 1",SUM(L199:S199),A199="Grade 2",SUM(L199:V199),A199="Grade 3",SUM(L199:S199)),"")</f>
        <v/>
      </c>
      <c r="X199" s="29" t="str">
        <f t="shared" si="2"/>
        <v xml:space="preserve"> </v>
      </c>
    </row>
    <row r="200" spans="1:24" ht="19.899999999999999" customHeight="1" x14ac:dyDescent="0.35">
      <c r="A200" s="24"/>
      <c r="B200" s="25"/>
      <c r="C200" s="25"/>
      <c r="D200" s="21"/>
      <c r="E200" s="26"/>
      <c r="F200" s="35"/>
      <c r="G200" s="35"/>
      <c r="H200" s="35"/>
      <c r="I200" s="36"/>
      <c r="J200" s="36"/>
      <c r="K200" s="36"/>
      <c r="L200" s="36"/>
      <c r="M200" s="36"/>
      <c r="N200" s="36"/>
      <c r="O200" s="36"/>
      <c r="P200" s="36"/>
      <c r="Q200" s="36"/>
      <c r="R200" s="36"/>
      <c r="S200" s="36"/>
      <c r="T200" s="36"/>
      <c r="U200" s="36"/>
      <c r="V200" s="36"/>
      <c r="W200" s="104" t="str" cm="1">
        <f t="array" ref="W200">IF(A200&lt;&gt;"",_xlfn.IFS(A200="Grade 1",SUM(L200:S200),A200="Grade 2",SUM(L200:V200),A200="Grade 3",SUM(L200:S200)),"")</f>
        <v/>
      </c>
      <c r="X200" s="29" t="str">
        <f t="shared" si="2"/>
        <v xml:space="preserve"> </v>
      </c>
    </row>
    <row r="201" spans="1:24" ht="19.899999999999999" customHeight="1" x14ac:dyDescent="0.35">
      <c r="A201" s="24"/>
      <c r="B201" s="25"/>
      <c r="C201" s="25"/>
      <c r="D201" s="21"/>
      <c r="E201" s="26"/>
      <c r="F201" s="35"/>
      <c r="G201" s="35"/>
      <c r="H201" s="35"/>
      <c r="I201" s="36"/>
      <c r="J201" s="36"/>
      <c r="K201" s="36"/>
      <c r="L201" s="36"/>
      <c r="M201" s="36"/>
      <c r="N201" s="36"/>
      <c r="O201" s="36"/>
      <c r="P201" s="36"/>
      <c r="Q201" s="36"/>
      <c r="R201" s="36"/>
      <c r="S201" s="36"/>
      <c r="T201" s="36"/>
      <c r="U201" s="36"/>
      <c r="V201" s="36"/>
      <c r="W201" s="104" t="str" cm="1">
        <f t="array" ref="W201">IF(A201&lt;&gt;"",_xlfn.IFS(A201="Grade 1",SUM(L201:T201),A201="Grade 2",SUM(L201:V201),A201="Grade 3",SUM(L201:T201)),"")</f>
        <v/>
      </c>
      <c r="X201" s="29" t="str">
        <f t="shared" si="2"/>
        <v xml:space="preserve"> </v>
      </c>
    </row>
    <row r="202" spans="1:24" ht="19.899999999999999" customHeight="1" x14ac:dyDescent="0.35">
      <c r="A202" s="24"/>
      <c r="B202" s="25"/>
      <c r="C202" s="25"/>
      <c r="D202" s="21"/>
      <c r="E202" s="26"/>
      <c r="F202" s="35"/>
      <c r="G202" s="35"/>
      <c r="H202" s="35"/>
      <c r="I202" s="36"/>
      <c r="J202" s="36"/>
      <c r="K202" s="36"/>
      <c r="L202" s="36"/>
      <c r="M202" s="36"/>
      <c r="N202" s="36"/>
      <c r="O202" s="36"/>
      <c r="P202" s="36"/>
      <c r="Q202" s="36"/>
      <c r="R202" s="36"/>
      <c r="S202" s="36"/>
      <c r="T202" s="36"/>
      <c r="U202" s="36"/>
      <c r="V202" s="36"/>
      <c r="W202" s="104" t="str" cm="1">
        <f t="array" ref="W202">IF(A202&lt;&gt;"",_xlfn.IFS(A202="Grade 1",SUM(L202:T202),A202="Grade 2",SUM(L202:V202),A202="Grade 3",SUM(L202:T202)),"")</f>
        <v/>
      </c>
      <c r="X202" s="29" t="str">
        <f t="shared" si="2"/>
        <v xml:space="preserve"> </v>
      </c>
    </row>
    <row r="203" spans="1:24" ht="19.899999999999999" customHeight="1" x14ac:dyDescent="0.35">
      <c r="A203" s="24"/>
      <c r="B203" s="25"/>
      <c r="C203" s="25"/>
      <c r="D203" s="21"/>
      <c r="E203" s="26"/>
      <c r="F203" s="35"/>
      <c r="G203" s="35"/>
      <c r="H203" s="35"/>
      <c r="I203" s="36"/>
      <c r="J203" s="36"/>
      <c r="K203" s="36"/>
      <c r="L203" s="36"/>
      <c r="M203" s="36"/>
      <c r="N203" s="36"/>
      <c r="O203" s="36"/>
      <c r="P203" s="36"/>
      <c r="Q203" s="36"/>
      <c r="R203" s="36"/>
      <c r="S203" s="36"/>
      <c r="T203" s="36"/>
      <c r="U203" s="36"/>
      <c r="V203" s="36"/>
      <c r="W203" s="104" t="str" cm="1">
        <f t="array" ref="W203">IF(A203&lt;&gt;"",_xlfn.IFS(A203="Grade 1",SUM(L203:T203),A203="Grade 2",SUM(L203:V203),A203="Grade 3",SUM(L203:T203)),"")</f>
        <v/>
      </c>
      <c r="X203" s="29" t="str">
        <f t="shared" ref="X203:X250" si="3">IF(ISBLANK(A203)," ",IF(SUM(G203:K203)=E203,"Data Validated","Data with Error"))</f>
        <v xml:space="preserve"> </v>
      </c>
    </row>
    <row r="204" spans="1:24" ht="19.899999999999999" customHeight="1" x14ac:dyDescent="0.35">
      <c r="A204" s="24"/>
      <c r="B204" s="25"/>
      <c r="C204" s="25"/>
      <c r="D204" s="21"/>
      <c r="E204" s="26"/>
      <c r="F204" s="35"/>
      <c r="G204" s="35"/>
      <c r="H204" s="35"/>
      <c r="I204" s="36"/>
      <c r="J204" s="36"/>
      <c r="K204" s="36"/>
      <c r="L204" s="36"/>
      <c r="M204" s="36"/>
      <c r="N204" s="36"/>
      <c r="O204" s="36"/>
      <c r="P204" s="36"/>
      <c r="Q204" s="36"/>
      <c r="R204" s="36"/>
      <c r="S204" s="36"/>
      <c r="T204" s="36"/>
      <c r="U204" s="36"/>
      <c r="V204" s="36"/>
      <c r="W204" s="104" t="str" cm="1">
        <f t="array" ref="W204">IF(A204&lt;&gt;"",_xlfn.IFS(A204="Grade 1",SUM(L204:T204),A204="Grade 2",SUM(L204:V204),A204="Grade 3",SUM(L204:T204)),"")</f>
        <v/>
      </c>
      <c r="X204" s="29" t="str">
        <f t="shared" si="3"/>
        <v xml:space="preserve"> </v>
      </c>
    </row>
    <row r="205" spans="1:24" ht="19.899999999999999" customHeight="1" x14ac:dyDescent="0.35">
      <c r="A205" s="24"/>
      <c r="B205" s="25"/>
      <c r="C205" s="25"/>
      <c r="D205" s="21"/>
      <c r="E205" s="26"/>
      <c r="F205" s="35"/>
      <c r="G205" s="35"/>
      <c r="H205" s="35"/>
      <c r="I205" s="36"/>
      <c r="J205" s="36"/>
      <c r="K205" s="36"/>
      <c r="L205" s="36"/>
      <c r="M205" s="36"/>
      <c r="N205" s="36"/>
      <c r="O205" s="36"/>
      <c r="P205" s="36"/>
      <c r="Q205" s="36"/>
      <c r="R205" s="36"/>
      <c r="S205" s="36"/>
      <c r="T205" s="36"/>
      <c r="U205" s="36"/>
      <c r="V205" s="36"/>
      <c r="W205" s="104" t="str" cm="1">
        <f t="array" ref="W205">IF(A205&lt;&gt;"",_xlfn.IFS(A205="Grade 1",SUM(L205:T205),A205="Grade 2",SUM(L205:V205),A205="Grade 3",SUM(L205:T205)),"")</f>
        <v/>
      </c>
      <c r="X205" s="29" t="str">
        <f t="shared" si="3"/>
        <v xml:space="preserve"> </v>
      </c>
    </row>
    <row r="206" spans="1:24" ht="19.899999999999999" customHeight="1" x14ac:dyDescent="0.35">
      <c r="A206" s="24"/>
      <c r="B206" s="25"/>
      <c r="C206" s="25"/>
      <c r="D206" s="21"/>
      <c r="E206" s="26"/>
      <c r="F206" s="35"/>
      <c r="G206" s="35"/>
      <c r="H206" s="35"/>
      <c r="I206" s="36"/>
      <c r="J206" s="36"/>
      <c r="K206" s="36"/>
      <c r="L206" s="36"/>
      <c r="M206" s="36"/>
      <c r="N206" s="36"/>
      <c r="O206" s="36"/>
      <c r="P206" s="36"/>
      <c r="Q206" s="36"/>
      <c r="R206" s="36"/>
      <c r="S206" s="36"/>
      <c r="T206" s="36"/>
      <c r="U206" s="36"/>
      <c r="V206" s="36"/>
      <c r="W206" s="104" t="str" cm="1">
        <f t="array" ref="W206">IF(A206&lt;&gt;"",_xlfn.IFS(A206="Grade 1",SUM(L206:T206),A206="Grade 2",SUM(L206:V206),A206="Grade 3",SUM(L206:T206)),"")</f>
        <v/>
      </c>
      <c r="X206" s="29" t="str">
        <f t="shared" si="3"/>
        <v xml:space="preserve"> </v>
      </c>
    </row>
    <row r="207" spans="1:24" ht="19.899999999999999" customHeight="1" x14ac:dyDescent="0.35">
      <c r="A207" s="24"/>
      <c r="B207" s="25"/>
      <c r="C207" s="25"/>
      <c r="D207" s="21"/>
      <c r="E207" s="26"/>
      <c r="F207" s="35"/>
      <c r="G207" s="35"/>
      <c r="H207" s="35"/>
      <c r="I207" s="36"/>
      <c r="J207" s="36"/>
      <c r="K207" s="36"/>
      <c r="L207" s="36"/>
      <c r="M207" s="36"/>
      <c r="N207" s="36"/>
      <c r="O207" s="36"/>
      <c r="P207" s="36"/>
      <c r="Q207" s="36"/>
      <c r="R207" s="36"/>
      <c r="S207" s="36"/>
      <c r="T207" s="36"/>
      <c r="U207" s="36"/>
      <c r="V207" s="36"/>
      <c r="W207" s="104" t="str" cm="1">
        <f t="array" ref="W207">IF(A207&lt;&gt;"",_xlfn.IFS(A207="Grade 1",SUM(L207:T207),A207="Grade 2",SUM(L207:V207),A207="Grade 3",SUM(L207:T207)),"")</f>
        <v/>
      </c>
      <c r="X207" s="29" t="str">
        <f t="shared" si="3"/>
        <v xml:space="preserve"> </v>
      </c>
    </row>
    <row r="208" spans="1:24" ht="19.899999999999999" customHeight="1" x14ac:dyDescent="0.35">
      <c r="A208" s="24"/>
      <c r="B208" s="25"/>
      <c r="C208" s="25"/>
      <c r="D208" s="21"/>
      <c r="E208" s="26"/>
      <c r="F208" s="35"/>
      <c r="G208" s="35"/>
      <c r="H208" s="35"/>
      <c r="I208" s="36"/>
      <c r="J208" s="36"/>
      <c r="K208" s="36"/>
      <c r="L208" s="36"/>
      <c r="M208" s="36"/>
      <c r="N208" s="36"/>
      <c r="O208" s="36"/>
      <c r="P208" s="36"/>
      <c r="Q208" s="36"/>
      <c r="R208" s="36"/>
      <c r="S208" s="36"/>
      <c r="T208" s="36"/>
      <c r="U208" s="36"/>
      <c r="V208" s="36"/>
      <c r="W208" s="104" t="str" cm="1">
        <f t="array" ref="W208">IF(A208&lt;&gt;"",_xlfn.IFS(A208="Grade 1",SUM(L208:T208),A208="Grade 2",SUM(L208:V208),A208="Grade 3",SUM(L208:T208)),"")</f>
        <v/>
      </c>
      <c r="X208" s="29" t="str">
        <f t="shared" si="3"/>
        <v xml:space="preserve"> </v>
      </c>
    </row>
    <row r="209" spans="1:24" ht="19.899999999999999" customHeight="1" x14ac:dyDescent="0.35">
      <c r="A209" s="24"/>
      <c r="B209" s="25"/>
      <c r="C209" s="25"/>
      <c r="D209" s="21"/>
      <c r="E209" s="26"/>
      <c r="F209" s="35"/>
      <c r="G209" s="35"/>
      <c r="H209" s="35"/>
      <c r="I209" s="36"/>
      <c r="J209" s="36"/>
      <c r="K209" s="36"/>
      <c r="L209" s="36"/>
      <c r="M209" s="36"/>
      <c r="N209" s="36"/>
      <c r="O209" s="36"/>
      <c r="P209" s="36"/>
      <c r="Q209" s="36"/>
      <c r="R209" s="36"/>
      <c r="S209" s="36"/>
      <c r="T209" s="36"/>
      <c r="U209" s="36"/>
      <c r="V209" s="36"/>
      <c r="W209" s="104" t="str" cm="1">
        <f t="array" ref="W209">IF(A209&lt;&gt;"",_xlfn.IFS(A209="Grade 1",SUM(L209:T209),A209="Grade 2",SUM(L209:V209),A209="Grade 3",SUM(L209:T209)),"")</f>
        <v/>
      </c>
      <c r="X209" s="29" t="str">
        <f t="shared" si="3"/>
        <v xml:space="preserve"> </v>
      </c>
    </row>
    <row r="210" spans="1:24" ht="19.899999999999999" customHeight="1" x14ac:dyDescent="0.35">
      <c r="A210" s="24"/>
      <c r="B210" s="25"/>
      <c r="C210" s="25"/>
      <c r="D210" s="21"/>
      <c r="E210" s="26"/>
      <c r="F210" s="35"/>
      <c r="G210" s="35"/>
      <c r="H210" s="35"/>
      <c r="I210" s="36"/>
      <c r="J210" s="36"/>
      <c r="K210" s="36"/>
      <c r="L210" s="36"/>
      <c r="M210" s="36"/>
      <c r="N210" s="36"/>
      <c r="O210" s="36"/>
      <c r="P210" s="36"/>
      <c r="Q210" s="36"/>
      <c r="R210" s="36"/>
      <c r="S210" s="36"/>
      <c r="T210" s="36"/>
      <c r="U210" s="36"/>
      <c r="V210" s="36"/>
      <c r="W210" s="104" t="str" cm="1">
        <f t="array" ref="W210">IF(A210&lt;&gt;"",_xlfn.IFS(A210="Grade 1",SUM(L210:T210),A210="Grade 2",SUM(L210:V210),A210="Grade 3",SUM(L210:T210)),"")</f>
        <v/>
      </c>
      <c r="X210" s="29" t="str">
        <f t="shared" si="3"/>
        <v xml:space="preserve"> </v>
      </c>
    </row>
    <row r="211" spans="1:24" ht="19.899999999999999" customHeight="1" x14ac:dyDescent="0.35">
      <c r="A211" s="24"/>
      <c r="B211" s="25"/>
      <c r="C211" s="25"/>
      <c r="D211" s="21"/>
      <c r="E211" s="26"/>
      <c r="F211" s="35"/>
      <c r="G211" s="35"/>
      <c r="H211" s="35"/>
      <c r="I211" s="36"/>
      <c r="J211" s="36"/>
      <c r="K211" s="36"/>
      <c r="L211" s="36"/>
      <c r="M211" s="36"/>
      <c r="N211" s="36"/>
      <c r="O211" s="36"/>
      <c r="P211" s="36"/>
      <c r="Q211" s="36"/>
      <c r="R211" s="36"/>
      <c r="S211" s="36"/>
      <c r="T211" s="36"/>
      <c r="U211" s="36"/>
      <c r="V211" s="36"/>
      <c r="W211" s="104" t="str" cm="1">
        <f t="array" ref="W211">IF(A211&lt;&gt;"",_xlfn.IFS(A211="Grade 1",SUM(L211:T211),A211="Grade 2",SUM(L211:V211),A211="Grade 3",SUM(L211:T211)),"")</f>
        <v/>
      </c>
      <c r="X211" s="29" t="str">
        <f t="shared" si="3"/>
        <v xml:space="preserve"> </v>
      </c>
    </row>
    <row r="212" spans="1:24" ht="19.899999999999999" customHeight="1" x14ac:dyDescent="0.35">
      <c r="A212" s="24"/>
      <c r="B212" s="25"/>
      <c r="C212" s="25"/>
      <c r="D212" s="21"/>
      <c r="E212" s="26"/>
      <c r="F212" s="35"/>
      <c r="G212" s="35"/>
      <c r="H212" s="35"/>
      <c r="I212" s="36"/>
      <c r="J212" s="36"/>
      <c r="K212" s="36"/>
      <c r="L212" s="36"/>
      <c r="M212" s="36"/>
      <c r="N212" s="36"/>
      <c r="O212" s="36"/>
      <c r="P212" s="36"/>
      <c r="Q212" s="36"/>
      <c r="R212" s="36"/>
      <c r="S212" s="36"/>
      <c r="T212" s="36"/>
      <c r="U212" s="36"/>
      <c r="V212" s="36"/>
      <c r="W212" s="104" t="str" cm="1">
        <f t="array" ref="W212">IF(A212&lt;&gt;"",_xlfn.IFS(A212="Grade 1",SUM(L212:T212),A212="Grade 2",SUM(L212:V212),A212="Grade 3",SUM(L212:T212)),"")</f>
        <v/>
      </c>
      <c r="X212" s="29" t="str">
        <f t="shared" si="3"/>
        <v xml:space="preserve"> </v>
      </c>
    </row>
    <row r="213" spans="1:24" ht="19.899999999999999" customHeight="1" x14ac:dyDescent="0.35">
      <c r="A213" s="24"/>
      <c r="B213" s="25"/>
      <c r="C213" s="25"/>
      <c r="D213" s="21"/>
      <c r="E213" s="26"/>
      <c r="F213" s="35"/>
      <c r="G213" s="35"/>
      <c r="H213" s="35"/>
      <c r="I213" s="36"/>
      <c r="J213" s="36"/>
      <c r="K213" s="36"/>
      <c r="L213" s="36"/>
      <c r="M213" s="36"/>
      <c r="N213" s="36"/>
      <c r="O213" s="36"/>
      <c r="P213" s="36"/>
      <c r="Q213" s="36"/>
      <c r="R213" s="36"/>
      <c r="S213" s="36"/>
      <c r="T213" s="36"/>
      <c r="U213" s="36"/>
      <c r="V213" s="36"/>
      <c r="W213" s="104" t="str" cm="1">
        <f t="array" ref="W213">IF(A213&lt;&gt;"",_xlfn.IFS(A213="Grade 1",SUM(L213:T213),A213="Grade 2",SUM(L213:V213),A213="Grade 3",SUM(L213:T213)),"")</f>
        <v/>
      </c>
      <c r="X213" s="29" t="str">
        <f t="shared" si="3"/>
        <v xml:space="preserve"> </v>
      </c>
    </row>
    <row r="214" spans="1:24" ht="19.899999999999999" customHeight="1" x14ac:dyDescent="0.35">
      <c r="A214" s="24"/>
      <c r="B214" s="25"/>
      <c r="C214" s="25"/>
      <c r="D214" s="21"/>
      <c r="E214" s="26"/>
      <c r="F214" s="35"/>
      <c r="G214" s="35"/>
      <c r="H214" s="35"/>
      <c r="I214" s="36"/>
      <c r="J214" s="36"/>
      <c r="K214" s="36"/>
      <c r="L214" s="36"/>
      <c r="M214" s="36"/>
      <c r="N214" s="36"/>
      <c r="O214" s="36"/>
      <c r="P214" s="36"/>
      <c r="Q214" s="36"/>
      <c r="R214" s="36"/>
      <c r="S214" s="36"/>
      <c r="T214" s="36"/>
      <c r="U214" s="36"/>
      <c r="V214" s="36"/>
      <c r="W214" s="104" t="str" cm="1">
        <f t="array" ref="W214">IF(A214&lt;&gt;"",_xlfn.IFS(A214="Grade 1",SUM(L214:T214),A214="Grade 2",SUM(L214:V214),A214="Grade 3",SUM(L214:T214)),"")</f>
        <v/>
      </c>
      <c r="X214" s="29" t="str">
        <f t="shared" si="3"/>
        <v xml:space="preserve"> </v>
      </c>
    </row>
    <row r="215" spans="1:24" ht="19.899999999999999" customHeight="1" x14ac:dyDescent="0.35">
      <c r="A215" s="24"/>
      <c r="B215" s="25"/>
      <c r="C215" s="25"/>
      <c r="D215" s="21"/>
      <c r="E215" s="26"/>
      <c r="F215" s="35"/>
      <c r="G215" s="35"/>
      <c r="H215" s="35"/>
      <c r="I215" s="36"/>
      <c r="J215" s="36"/>
      <c r="K215" s="36"/>
      <c r="L215" s="36"/>
      <c r="M215" s="36"/>
      <c r="N215" s="36"/>
      <c r="O215" s="36"/>
      <c r="P215" s="36"/>
      <c r="Q215" s="36"/>
      <c r="R215" s="36"/>
      <c r="S215" s="36"/>
      <c r="T215" s="36"/>
      <c r="U215" s="36"/>
      <c r="V215" s="36"/>
      <c r="W215" s="104" t="str" cm="1">
        <f t="array" ref="W215">IF(A215&lt;&gt;"",_xlfn.IFS(A215="Grade 1",SUM(L215:T215),A215="Grade 2",SUM(L215:V215),A215="Grade 3",SUM(L215:T215)),"")</f>
        <v/>
      </c>
      <c r="X215" s="29" t="str">
        <f t="shared" si="3"/>
        <v xml:space="preserve"> </v>
      </c>
    </row>
    <row r="216" spans="1:24" ht="19.899999999999999" customHeight="1" x14ac:dyDescent="0.35">
      <c r="A216" s="24"/>
      <c r="B216" s="25"/>
      <c r="C216" s="25"/>
      <c r="D216" s="21"/>
      <c r="E216" s="26"/>
      <c r="F216" s="35"/>
      <c r="G216" s="35"/>
      <c r="H216" s="35"/>
      <c r="I216" s="36"/>
      <c r="J216" s="36"/>
      <c r="K216" s="36"/>
      <c r="L216" s="36"/>
      <c r="M216" s="36"/>
      <c r="N216" s="36"/>
      <c r="O216" s="36"/>
      <c r="P216" s="36"/>
      <c r="Q216" s="36"/>
      <c r="R216" s="36"/>
      <c r="S216" s="36"/>
      <c r="T216" s="36"/>
      <c r="U216" s="36"/>
      <c r="V216" s="36"/>
      <c r="W216" s="104" t="str" cm="1">
        <f t="array" ref="W216">IF(A216&lt;&gt;"",_xlfn.IFS(A216="Grade 1",SUM(L216:T216),A216="Grade 2",SUM(L216:V216),A216="Grade 3",SUM(L216:T216)),"")</f>
        <v/>
      </c>
      <c r="X216" s="29" t="str">
        <f t="shared" si="3"/>
        <v xml:space="preserve"> </v>
      </c>
    </row>
    <row r="217" spans="1:24" ht="19.899999999999999" customHeight="1" x14ac:dyDescent="0.35">
      <c r="A217" s="24"/>
      <c r="B217" s="25"/>
      <c r="C217" s="25"/>
      <c r="D217" s="21"/>
      <c r="E217" s="26"/>
      <c r="F217" s="35"/>
      <c r="G217" s="35"/>
      <c r="H217" s="35"/>
      <c r="I217" s="36"/>
      <c r="J217" s="36"/>
      <c r="K217" s="36"/>
      <c r="L217" s="36"/>
      <c r="M217" s="36"/>
      <c r="N217" s="36"/>
      <c r="O217" s="36"/>
      <c r="P217" s="36"/>
      <c r="Q217" s="36"/>
      <c r="R217" s="36"/>
      <c r="S217" s="36"/>
      <c r="T217" s="36"/>
      <c r="U217" s="36"/>
      <c r="V217" s="36"/>
      <c r="W217" s="104" t="str" cm="1">
        <f t="array" ref="W217">IF(A217&lt;&gt;"",_xlfn.IFS(A217="Grade 1",SUM(L217:T217),A217="Grade 2",SUM(L217:V217),A217="Grade 3",SUM(L217:T217)),"")</f>
        <v/>
      </c>
      <c r="X217" s="29" t="str">
        <f t="shared" si="3"/>
        <v xml:space="preserve"> </v>
      </c>
    </row>
    <row r="218" spans="1:24" ht="19.899999999999999" customHeight="1" x14ac:dyDescent="0.35">
      <c r="A218" s="24"/>
      <c r="B218" s="25"/>
      <c r="C218" s="25"/>
      <c r="D218" s="21"/>
      <c r="E218" s="26"/>
      <c r="F218" s="35"/>
      <c r="G218" s="35"/>
      <c r="H218" s="35"/>
      <c r="I218" s="36"/>
      <c r="J218" s="36"/>
      <c r="K218" s="36"/>
      <c r="L218" s="36"/>
      <c r="M218" s="36"/>
      <c r="N218" s="36"/>
      <c r="O218" s="36"/>
      <c r="P218" s="36"/>
      <c r="Q218" s="36"/>
      <c r="R218" s="36"/>
      <c r="S218" s="36"/>
      <c r="T218" s="36"/>
      <c r="U218" s="36"/>
      <c r="V218" s="36"/>
      <c r="W218" s="104" t="str" cm="1">
        <f t="array" ref="W218">IF(A218&lt;&gt;"",_xlfn.IFS(A218="Grade 1",SUM(L218:T218),A218="Grade 2",SUM(L218:V218),A218="Grade 3",SUM(L218:T218)),"")</f>
        <v/>
      </c>
      <c r="X218" s="29" t="str">
        <f t="shared" si="3"/>
        <v xml:space="preserve"> </v>
      </c>
    </row>
    <row r="219" spans="1:24" ht="19.899999999999999" customHeight="1" x14ac:dyDescent="0.35">
      <c r="A219" s="24"/>
      <c r="B219" s="25"/>
      <c r="C219" s="25"/>
      <c r="D219" s="21"/>
      <c r="E219" s="26"/>
      <c r="F219" s="35"/>
      <c r="G219" s="35"/>
      <c r="H219" s="35"/>
      <c r="I219" s="36"/>
      <c r="J219" s="36"/>
      <c r="K219" s="36"/>
      <c r="L219" s="36"/>
      <c r="M219" s="36"/>
      <c r="N219" s="36"/>
      <c r="O219" s="36"/>
      <c r="P219" s="36"/>
      <c r="Q219" s="36"/>
      <c r="R219" s="36"/>
      <c r="S219" s="36"/>
      <c r="T219" s="36"/>
      <c r="U219" s="36"/>
      <c r="V219" s="36"/>
      <c r="W219" s="104" t="str" cm="1">
        <f t="array" ref="W219">IF(A219&lt;&gt;"",_xlfn.IFS(A219="Grade 1",SUM(L219:T219),A219="Grade 2",SUM(L219:V219),A219="Grade 3",SUM(L219:T219)),"")</f>
        <v/>
      </c>
      <c r="X219" s="29" t="str">
        <f t="shared" si="3"/>
        <v xml:space="preserve"> </v>
      </c>
    </row>
    <row r="220" spans="1:24" ht="19.899999999999999" customHeight="1" x14ac:dyDescent="0.35">
      <c r="A220" s="24"/>
      <c r="B220" s="25"/>
      <c r="C220" s="25"/>
      <c r="D220" s="21"/>
      <c r="E220" s="26"/>
      <c r="F220" s="35"/>
      <c r="G220" s="35"/>
      <c r="H220" s="35"/>
      <c r="I220" s="36"/>
      <c r="J220" s="36"/>
      <c r="K220" s="36"/>
      <c r="L220" s="36"/>
      <c r="M220" s="36"/>
      <c r="N220" s="36"/>
      <c r="O220" s="36"/>
      <c r="P220" s="36"/>
      <c r="Q220" s="36"/>
      <c r="R220" s="36"/>
      <c r="S220" s="36"/>
      <c r="T220" s="36"/>
      <c r="U220" s="36"/>
      <c r="V220" s="36"/>
      <c r="W220" s="104" t="str" cm="1">
        <f t="array" ref="W220">IF(A220&lt;&gt;"",_xlfn.IFS(A220="Grade 1",SUM(L220:T220),A220="Grade 2",SUM(L220:V220),A220="Grade 3",SUM(L220:T220)),"")</f>
        <v/>
      </c>
      <c r="X220" s="29" t="str">
        <f t="shared" si="3"/>
        <v xml:space="preserve"> </v>
      </c>
    </row>
    <row r="221" spans="1:24" ht="19.899999999999999" customHeight="1" x14ac:dyDescent="0.35">
      <c r="A221" s="24"/>
      <c r="B221" s="25"/>
      <c r="C221" s="25"/>
      <c r="D221" s="21"/>
      <c r="E221" s="26"/>
      <c r="F221" s="35"/>
      <c r="G221" s="35"/>
      <c r="H221" s="35"/>
      <c r="I221" s="36"/>
      <c r="J221" s="36"/>
      <c r="K221" s="36"/>
      <c r="L221" s="36"/>
      <c r="M221" s="36"/>
      <c r="N221" s="36"/>
      <c r="O221" s="36"/>
      <c r="P221" s="36"/>
      <c r="Q221" s="36"/>
      <c r="R221" s="36"/>
      <c r="S221" s="36"/>
      <c r="T221" s="36"/>
      <c r="U221" s="36"/>
      <c r="V221" s="36"/>
      <c r="W221" s="104" t="str" cm="1">
        <f t="array" ref="W221">IF(A221&lt;&gt;"",_xlfn.IFS(A221="Grade 1",SUM(L221:T221),A221="Grade 2",SUM(L221:V221),A221="Grade 3",SUM(L221:T221)),"")</f>
        <v/>
      </c>
      <c r="X221" s="29" t="str">
        <f t="shared" si="3"/>
        <v xml:space="preserve"> </v>
      </c>
    </row>
    <row r="222" spans="1:24" ht="19.899999999999999" customHeight="1" x14ac:dyDescent="0.35">
      <c r="A222" s="24"/>
      <c r="B222" s="25"/>
      <c r="C222" s="25"/>
      <c r="D222" s="21"/>
      <c r="E222" s="26"/>
      <c r="F222" s="35"/>
      <c r="G222" s="35"/>
      <c r="H222" s="35"/>
      <c r="I222" s="36"/>
      <c r="J222" s="36"/>
      <c r="K222" s="36"/>
      <c r="L222" s="36"/>
      <c r="M222" s="36"/>
      <c r="N222" s="36"/>
      <c r="O222" s="36"/>
      <c r="P222" s="36"/>
      <c r="Q222" s="36"/>
      <c r="R222" s="36"/>
      <c r="S222" s="36"/>
      <c r="T222" s="36"/>
      <c r="U222" s="36"/>
      <c r="V222" s="36"/>
      <c r="W222" s="104" t="str" cm="1">
        <f t="array" ref="W222">IF(A222&lt;&gt;"",_xlfn.IFS(A222="Grade 1",SUM(L222:T222),A222="Grade 2",SUM(L222:V222),A222="Grade 3",SUM(L222:T222)),"")</f>
        <v/>
      </c>
      <c r="X222" s="29" t="str">
        <f t="shared" si="3"/>
        <v xml:space="preserve"> </v>
      </c>
    </row>
    <row r="223" spans="1:24" ht="19.899999999999999" customHeight="1" x14ac:dyDescent="0.35">
      <c r="A223" s="24"/>
      <c r="B223" s="25"/>
      <c r="C223" s="25"/>
      <c r="D223" s="21"/>
      <c r="E223" s="26"/>
      <c r="F223" s="35"/>
      <c r="G223" s="35"/>
      <c r="H223" s="35"/>
      <c r="I223" s="36"/>
      <c r="J223" s="36"/>
      <c r="K223" s="36"/>
      <c r="L223" s="36"/>
      <c r="M223" s="36"/>
      <c r="N223" s="36"/>
      <c r="O223" s="36"/>
      <c r="P223" s="36"/>
      <c r="Q223" s="36"/>
      <c r="R223" s="36"/>
      <c r="S223" s="36"/>
      <c r="T223" s="36"/>
      <c r="U223" s="36"/>
      <c r="V223" s="36"/>
      <c r="W223" s="104" t="str" cm="1">
        <f t="array" ref="W223">IF(A223&lt;&gt;"",_xlfn.IFS(A223="Grade 1",SUM(L223:T223),A223="Grade 2",SUM(L223:V223),A223="Grade 3",SUM(L223:T223)),"")</f>
        <v/>
      </c>
      <c r="X223" s="29" t="str">
        <f t="shared" si="3"/>
        <v xml:space="preserve"> </v>
      </c>
    </row>
    <row r="224" spans="1:24" ht="19.899999999999999" customHeight="1" x14ac:dyDescent="0.35">
      <c r="A224" s="24"/>
      <c r="B224" s="25"/>
      <c r="C224" s="25"/>
      <c r="D224" s="21"/>
      <c r="E224" s="26"/>
      <c r="F224" s="35"/>
      <c r="G224" s="35"/>
      <c r="H224" s="35"/>
      <c r="I224" s="36"/>
      <c r="J224" s="36"/>
      <c r="K224" s="36"/>
      <c r="L224" s="36"/>
      <c r="M224" s="36"/>
      <c r="N224" s="36"/>
      <c r="O224" s="36"/>
      <c r="P224" s="36"/>
      <c r="Q224" s="36"/>
      <c r="R224" s="36"/>
      <c r="S224" s="36"/>
      <c r="T224" s="36"/>
      <c r="U224" s="36"/>
      <c r="V224" s="36"/>
      <c r="W224" s="104" t="str" cm="1">
        <f t="array" ref="W224">IF(A224&lt;&gt;"",_xlfn.IFS(A224="Grade 1",SUM(L224:T224),A224="Grade 2",SUM(L224:V224),A224="Grade 3",SUM(L224:T224)),"")</f>
        <v/>
      </c>
      <c r="X224" s="29" t="str">
        <f t="shared" si="3"/>
        <v xml:space="preserve"> </v>
      </c>
    </row>
    <row r="225" spans="1:24" ht="19.899999999999999" customHeight="1" x14ac:dyDescent="0.35">
      <c r="A225" s="24"/>
      <c r="B225" s="25"/>
      <c r="C225" s="25"/>
      <c r="D225" s="21"/>
      <c r="E225" s="26"/>
      <c r="F225" s="35"/>
      <c r="G225" s="35"/>
      <c r="H225" s="35"/>
      <c r="I225" s="36"/>
      <c r="J225" s="36"/>
      <c r="K225" s="36"/>
      <c r="L225" s="36"/>
      <c r="M225" s="36"/>
      <c r="N225" s="36"/>
      <c r="O225" s="36"/>
      <c r="P225" s="36"/>
      <c r="Q225" s="36"/>
      <c r="R225" s="36"/>
      <c r="S225" s="36"/>
      <c r="T225" s="36"/>
      <c r="U225" s="36"/>
      <c r="V225" s="36"/>
      <c r="W225" s="104" t="str" cm="1">
        <f t="array" ref="W225">IF(A225&lt;&gt;"",_xlfn.IFS(A225="Grade 1",SUM(L225:T225),A225="Grade 2",SUM(L225:V225),A225="Grade 3",SUM(L225:T225)),"")</f>
        <v/>
      </c>
      <c r="X225" s="29" t="str">
        <f t="shared" si="3"/>
        <v xml:space="preserve"> </v>
      </c>
    </row>
    <row r="226" spans="1:24" ht="19.899999999999999" customHeight="1" x14ac:dyDescent="0.35">
      <c r="A226" s="24"/>
      <c r="B226" s="25"/>
      <c r="C226" s="25"/>
      <c r="D226" s="21"/>
      <c r="E226" s="26"/>
      <c r="F226" s="35"/>
      <c r="G226" s="35"/>
      <c r="H226" s="35"/>
      <c r="I226" s="36"/>
      <c r="J226" s="36"/>
      <c r="K226" s="36"/>
      <c r="L226" s="36"/>
      <c r="M226" s="36"/>
      <c r="N226" s="36"/>
      <c r="O226" s="36"/>
      <c r="P226" s="36"/>
      <c r="Q226" s="36"/>
      <c r="R226" s="36"/>
      <c r="S226" s="36"/>
      <c r="T226" s="36"/>
      <c r="U226" s="36"/>
      <c r="V226" s="36"/>
      <c r="W226" s="104" t="str" cm="1">
        <f t="array" ref="W226">IF(A226&lt;&gt;"",_xlfn.IFS(A226="Grade 1",SUM(L226:T226),A226="Grade 2",SUM(L226:V226),A226="Grade 3",SUM(L226:T226)),"")</f>
        <v/>
      </c>
      <c r="X226" s="29" t="str">
        <f t="shared" si="3"/>
        <v xml:space="preserve"> </v>
      </c>
    </row>
    <row r="227" spans="1:24" ht="19.899999999999999" customHeight="1" x14ac:dyDescent="0.35">
      <c r="A227" s="24"/>
      <c r="B227" s="25"/>
      <c r="C227" s="25"/>
      <c r="D227" s="21"/>
      <c r="E227" s="26"/>
      <c r="F227" s="35"/>
      <c r="G227" s="35"/>
      <c r="H227" s="35"/>
      <c r="I227" s="36"/>
      <c r="J227" s="36"/>
      <c r="K227" s="36"/>
      <c r="L227" s="36"/>
      <c r="M227" s="36"/>
      <c r="N227" s="36"/>
      <c r="O227" s="36"/>
      <c r="P227" s="36"/>
      <c r="Q227" s="36"/>
      <c r="R227" s="36"/>
      <c r="S227" s="36"/>
      <c r="T227" s="36"/>
      <c r="U227" s="36"/>
      <c r="V227" s="36"/>
      <c r="W227" s="104" t="str" cm="1">
        <f t="array" ref="W227">IF(A227&lt;&gt;"",_xlfn.IFS(A227="Grade 1",SUM(L227:T227),A227="Grade 2",SUM(L227:V227),A227="Grade 3",SUM(L227:T227)),"")</f>
        <v/>
      </c>
      <c r="X227" s="29" t="str">
        <f t="shared" si="3"/>
        <v xml:space="preserve"> </v>
      </c>
    </row>
    <row r="228" spans="1:24" ht="19.899999999999999" customHeight="1" x14ac:dyDescent="0.35">
      <c r="A228" s="24"/>
      <c r="B228" s="25"/>
      <c r="C228" s="25"/>
      <c r="D228" s="21"/>
      <c r="E228" s="26"/>
      <c r="F228" s="35"/>
      <c r="G228" s="35"/>
      <c r="H228" s="35"/>
      <c r="I228" s="36"/>
      <c r="J228" s="36"/>
      <c r="K228" s="36"/>
      <c r="L228" s="36"/>
      <c r="M228" s="36"/>
      <c r="N228" s="36"/>
      <c r="O228" s="36"/>
      <c r="P228" s="36"/>
      <c r="Q228" s="36"/>
      <c r="R228" s="36"/>
      <c r="S228" s="36"/>
      <c r="T228" s="36"/>
      <c r="U228" s="36"/>
      <c r="V228" s="36"/>
      <c r="W228" s="104" t="str" cm="1">
        <f t="array" ref="W228">IF(A228&lt;&gt;"",_xlfn.IFS(A228="Grade 1",SUM(L228:T228),A228="Grade 2",SUM(L228:V228),A228="Grade 3",SUM(L228:T228)),"")</f>
        <v/>
      </c>
      <c r="X228" s="29" t="str">
        <f t="shared" si="3"/>
        <v xml:space="preserve"> </v>
      </c>
    </row>
    <row r="229" spans="1:24" ht="19.899999999999999" customHeight="1" x14ac:dyDescent="0.35">
      <c r="A229" s="24"/>
      <c r="B229" s="25"/>
      <c r="C229" s="25"/>
      <c r="D229" s="21"/>
      <c r="E229" s="26"/>
      <c r="F229" s="35"/>
      <c r="G229" s="35"/>
      <c r="H229" s="35"/>
      <c r="I229" s="36"/>
      <c r="J229" s="36"/>
      <c r="K229" s="36"/>
      <c r="L229" s="36"/>
      <c r="M229" s="36"/>
      <c r="N229" s="36"/>
      <c r="O229" s="36"/>
      <c r="P229" s="36"/>
      <c r="Q229" s="36"/>
      <c r="R229" s="36"/>
      <c r="S229" s="36"/>
      <c r="T229" s="36"/>
      <c r="U229" s="36"/>
      <c r="V229" s="36"/>
      <c r="W229" s="104" t="str" cm="1">
        <f t="array" ref="W229">IF(A229&lt;&gt;"",_xlfn.IFS(A229="Grade 1",SUM(L229:T229),A229="Grade 2",SUM(L229:V229),A229="Grade 3",SUM(L229:T229)),"")</f>
        <v/>
      </c>
      <c r="X229" s="29" t="str">
        <f t="shared" si="3"/>
        <v xml:space="preserve"> </v>
      </c>
    </row>
    <row r="230" spans="1:24" ht="19.899999999999999" customHeight="1" x14ac:dyDescent="0.35">
      <c r="A230" s="24"/>
      <c r="B230" s="25"/>
      <c r="C230" s="25"/>
      <c r="D230" s="21"/>
      <c r="E230" s="26"/>
      <c r="F230" s="35"/>
      <c r="G230" s="35"/>
      <c r="H230" s="35"/>
      <c r="I230" s="36"/>
      <c r="J230" s="36"/>
      <c r="K230" s="36"/>
      <c r="L230" s="36"/>
      <c r="M230" s="36"/>
      <c r="N230" s="36"/>
      <c r="O230" s="36"/>
      <c r="P230" s="36"/>
      <c r="Q230" s="36"/>
      <c r="R230" s="36"/>
      <c r="S230" s="36"/>
      <c r="T230" s="36"/>
      <c r="U230" s="36"/>
      <c r="V230" s="36"/>
      <c r="W230" s="104" t="str" cm="1">
        <f t="array" ref="W230">IF(A230&lt;&gt;"",_xlfn.IFS(A230="Grade 1",SUM(L230:T230),A230="Grade 2",SUM(L230:V230),A230="Grade 3",SUM(L230:T230)),"")</f>
        <v/>
      </c>
      <c r="X230" s="29" t="str">
        <f t="shared" si="3"/>
        <v xml:space="preserve"> </v>
      </c>
    </row>
    <row r="231" spans="1:24" ht="19.899999999999999" customHeight="1" x14ac:dyDescent="0.35">
      <c r="A231" s="24"/>
      <c r="B231" s="25"/>
      <c r="C231" s="25"/>
      <c r="D231" s="21"/>
      <c r="E231" s="26"/>
      <c r="F231" s="35"/>
      <c r="G231" s="35"/>
      <c r="H231" s="35"/>
      <c r="I231" s="36"/>
      <c r="J231" s="36"/>
      <c r="K231" s="36"/>
      <c r="L231" s="36"/>
      <c r="M231" s="36"/>
      <c r="N231" s="36"/>
      <c r="O231" s="36"/>
      <c r="P231" s="36"/>
      <c r="Q231" s="36"/>
      <c r="R231" s="36"/>
      <c r="S231" s="36"/>
      <c r="T231" s="36"/>
      <c r="U231" s="36"/>
      <c r="V231" s="36"/>
      <c r="W231" s="104" t="str" cm="1">
        <f t="array" ref="W231">IF(A231&lt;&gt;"",_xlfn.IFS(A231="Grade 1",SUM(L231:T231),A231="Grade 2",SUM(L231:V231),A231="Grade 3",SUM(L231:T231)),"")</f>
        <v/>
      </c>
      <c r="X231" s="29" t="str">
        <f t="shared" si="3"/>
        <v xml:space="preserve"> </v>
      </c>
    </row>
    <row r="232" spans="1:24" ht="19.899999999999999" customHeight="1" x14ac:dyDescent="0.35">
      <c r="A232" s="24"/>
      <c r="B232" s="25"/>
      <c r="C232" s="25"/>
      <c r="D232" s="21"/>
      <c r="E232" s="26"/>
      <c r="F232" s="35"/>
      <c r="G232" s="35"/>
      <c r="H232" s="35"/>
      <c r="I232" s="36"/>
      <c r="J232" s="36"/>
      <c r="K232" s="36"/>
      <c r="L232" s="36"/>
      <c r="M232" s="36"/>
      <c r="N232" s="36"/>
      <c r="O232" s="36"/>
      <c r="P232" s="36"/>
      <c r="Q232" s="36"/>
      <c r="R232" s="36"/>
      <c r="S232" s="36"/>
      <c r="T232" s="36"/>
      <c r="U232" s="36"/>
      <c r="V232" s="36"/>
      <c r="W232" s="104" t="str" cm="1">
        <f t="array" ref="W232">IF(A232&lt;&gt;"",_xlfn.IFS(A232="Grade 1",SUM(L232:T232),A232="Grade 2",SUM(L232:V232),A232="Grade 3",SUM(L232:T232)),"")</f>
        <v/>
      </c>
      <c r="X232" s="29" t="str">
        <f t="shared" si="3"/>
        <v xml:space="preserve"> </v>
      </c>
    </row>
    <row r="233" spans="1:24" ht="19.899999999999999" customHeight="1" x14ac:dyDescent="0.35">
      <c r="A233" s="24"/>
      <c r="B233" s="25"/>
      <c r="C233" s="25"/>
      <c r="D233" s="21"/>
      <c r="E233" s="26"/>
      <c r="F233" s="35"/>
      <c r="G233" s="35"/>
      <c r="H233" s="35"/>
      <c r="I233" s="36"/>
      <c r="J233" s="36"/>
      <c r="K233" s="36"/>
      <c r="L233" s="36"/>
      <c r="M233" s="36"/>
      <c r="N233" s="36"/>
      <c r="O233" s="36"/>
      <c r="P233" s="36"/>
      <c r="Q233" s="36"/>
      <c r="R233" s="36"/>
      <c r="S233" s="36"/>
      <c r="T233" s="36"/>
      <c r="U233" s="36"/>
      <c r="V233" s="36"/>
      <c r="W233" s="104" t="str" cm="1">
        <f t="array" ref="W233">IF(A233&lt;&gt;"",_xlfn.IFS(A233="Grade 1",SUM(L233:T233),A233="Grade 2",SUM(L233:V233),A233="Grade 3",SUM(L233:T233)),"")</f>
        <v/>
      </c>
      <c r="X233" s="29" t="str">
        <f t="shared" si="3"/>
        <v xml:space="preserve"> </v>
      </c>
    </row>
    <row r="234" spans="1:24" ht="19.899999999999999" customHeight="1" x14ac:dyDescent="0.35">
      <c r="A234" s="24"/>
      <c r="B234" s="25"/>
      <c r="C234" s="25"/>
      <c r="D234" s="21"/>
      <c r="E234" s="26"/>
      <c r="F234" s="35"/>
      <c r="G234" s="35"/>
      <c r="H234" s="35"/>
      <c r="I234" s="36"/>
      <c r="J234" s="36"/>
      <c r="K234" s="36"/>
      <c r="L234" s="36"/>
      <c r="M234" s="36"/>
      <c r="N234" s="36"/>
      <c r="O234" s="36"/>
      <c r="P234" s="36"/>
      <c r="Q234" s="36"/>
      <c r="R234" s="36"/>
      <c r="S234" s="36"/>
      <c r="T234" s="36"/>
      <c r="U234" s="36"/>
      <c r="V234" s="36"/>
      <c r="W234" s="104" t="str" cm="1">
        <f t="array" ref="W234">IF(A234&lt;&gt;"",_xlfn.IFS(A234="Grade 1",SUM(L234:T234),A234="Grade 2",SUM(L234:V234),A234="Grade 3",SUM(L234:T234)),"")</f>
        <v/>
      </c>
      <c r="X234" s="29" t="str">
        <f t="shared" si="3"/>
        <v xml:space="preserve"> </v>
      </c>
    </row>
    <row r="235" spans="1:24" ht="19.899999999999999" customHeight="1" x14ac:dyDescent="0.35">
      <c r="A235" s="24"/>
      <c r="B235" s="25"/>
      <c r="C235" s="25"/>
      <c r="D235" s="21"/>
      <c r="E235" s="26"/>
      <c r="F235" s="35"/>
      <c r="G235" s="35"/>
      <c r="H235" s="35"/>
      <c r="I235" s="36"/>
      <c r="J235" s="36"/>
      <c r="K235" s="36"/>
      <c r="L235" s="36"/>
      <c r="M235" s="36"/>
      <c r="N235" s="36"/>
      <c r="O235" s="36"/>
      <c r="P235" s="36"/>
      <c r="Q235" s="36"/>
      <c r="R235" s="36"/>
      <c r="S235" s="36"/>
      <c r="T235" s="36"/>
      <c r="U235" s="36"/>
      <c r="V235" s="36"/>
      <c r="W235" s="104" t="str" cm="1">
        <f t="array" ref="W235">IF(A235&lt;&gt;"",_xlfn.IFS(A235="Grade 1",SUM(L235:T235),A235="Grade 2",SUM(L235:V235),A235="Grade 3",SUM(L235:T235)),"")</f>
        <v/>
      </c>
      <c r="X235" s="29" t="str">
        <f t="shared" si="3"/>
        <v xml:space="preserve"> </v>
      </c>
    </row>
    <row r="236" spans="1:24" ht="19.899999999999999" customHeight="1" x14ac:dyDescent="0.35">
      <c r="A236" s="24"/>
      <c r="B236" s="25"/>
      <c r="C236" s="25"/>
      <c r="D236" s="21"/>
      <c r="E236" s="26"/>
      <c r="F236" s="35"/>
      <c r="G236" s="35"/>
      <c r="H236" s="35"/>
      <c r="I236" s="36"/>
      <c r="J236" s="36"/>
      <c r="K236" s="36"/>
      <c r="L236" s="36"/>
      <c r="M236" s="36"/>
      <c r="N236" s="36"/>
      <c r="O236" s="36"/>
      <c r="P236" s="36"/>
      <c r="Q236" s="36"/>
      <c r="R236" s="36"/>
      <c r="S236" s="36"/>
      <c r="T236" s="36"/>
      <c r="U236" s="36"/>
      <c r="V236" s="36"/>
      <c r="W236" s="104" t="str" cm="1">
        <f t="array" ref="W236">IF(A236&lt;&gt;"",_xlfn.IFS(A236="Grade 1",SUM(L236:T236),A236="Grade 2",SUM(L236:V236),A236="Grade 3",SUM(L236:T236)),"")</f>
        <v/>
      </c>
      <c r="X236" s="29" t="str">
        <f t="shared" si="3"/>
        <v xml:space="preserve"> </v>
      </c>
    </row>
    <row r="237" spans="1:24" ht="19.899999999999999" customHeight="1" x14ac:dyDescent="0.35">
      <c r="A237" s="24"/>
      <c r="B237" s="25"/>
      <c r="C237" s="25"/>
      <c r="D237" s="21"/>
      <c r="E237" s="26"/>
      <c r="F237" s="35"/>
      <c r="G237" s="35"/>
      <c r="H237" s="35"/>
      <c r="I237" s="36"/>
      <c r="J237" s="36"/>
      <c r="K237" s="36"/>
      <c r="L237" s="36"/>
      <c r="M237" s="36"/>
      <c r="N237" s="36"/>
      <c r="O237" s="36"/>
      <c r="P237" s="36"/>
      <c r="Q237" s="36"/>
      <c r="R237" s="36"/>
      <c r="S237" s="36"/>
      <c r="T237" s="36"/>
      <c r="U237" s="36"/>
      <c r="V237" s="36"/>
      <c r="W237" s="104" t="str" cm="1">
        <f t="array" ref="W237">IF(A237&lt;&gt;"",_xlfn.IFS(A237="Grade 1",SUM(L237:T237),A237="Grade 2",SUM(L237:V237),A237="Grade 3",SUM(L237:T237)),"")</f>
        <v/>
      </c>
      <c r="X237" s="29" t="str">
        <f t="shared" si="3"/>
        <v xml:space="preserve"> </v>
      </c>
    </row>
    <row r="238" spans="1:24" ht="19.899999999999999" customHeight="1" x14ac:dyDescent="0.35">
      <c r="A238" s="24"/>
      <c r="B238" s="25"/>
      <c r="C238" s="25"/>
      <c r="D238" s="21"/>
      <c r="E238" s="26"/>
      <c r="F238" s="35"/>
      <c r="G238" s="35"/>
      <c r="H238" s="35"/>
      <c r="I238" s="36"/>
      <c r="J238" s="36"/>
      <c r="K238" s="36"/>
      <c r="L238" s="36"/>
      <c r="M238" s="36"/>
      <c r="N238" s="36"/>
      <c r="O238" s="36"/>
      <c r="P238" s="36"/>
      <c r="Q238" s="36"/>
      <c r="R238" s="36"/>
      <c r="S238" s="36"/>
      <c r="T238" s="36"/>
      <c r="U238" s="36"/>
      <c r="V238" s="36"/>
      <c r="W238" s="104" t="str" cm="1">
        <f t="array" ref="W238">IF(A238&lt;&gt;"",_xlfn.IFS(A238="Grade 1",SUM(L238:T238),A238="Grade 2",SUM(L238:V238),A238="Grade 3",SUM(L238:T238)),"")</f>
        <v/>
      </c>
      <c r="X238" s="29" t="str">
        <f t="shared" si="3"/>
        <v xml:space="preserve"> </v>
      </c>
    </row>
    <row r="239" spans="1:24" ht="19.899999999999999" customHeight="1" x14ac:dyDescent="0.35">
      <c r="A239" s="24"/>
      <c r="B239" s="25"/>
      <c r="C239" s="25"/>
      <c r="D239" s="21"/>
      <c r="E239" s="26"/>
      <c r="F239" s="35"/>
      <c r="G239" s="35"/>
      <c r="H239" s="35"/>
      <c r="I239" s="36"/>
      <c r="J239" s="36"/>
      <c r="K239" s="36"/>
      <c r="L239" s="36"/>
      <c r="M239" s="36"/>
      <c r="N239" s="36"/>
      <c r="O239" s="36"/>
      <c r="P239" s="36"/>
      <c r="Q239" s="36"/>
      <c r="R239" s="36"/>
      <c r="S239" s="36"/>
      <c r="T239" s="36"/>
      <c r="U239" s="36"/>
      <c r="V239" s="36"/>
      <c r="W239" s="104" t="str" cm="1">
        <f t="array" ref="W239">IF(A239&lt;&gt;"",_xlfn.IFS(A239="Grade 1",SUM(L239:T239),A239="Grade 2",SUM(L239:V239),A239="Grade 3",SUM(L239:T239)),"")</f>
        <v/>
      </c>
      <c r="X239" s="29" t="str">
        <f t="shared" si="3"/>
        <v xml:space="preserve"> </v>
      </c>
    </row>
    <row r="240" spans="1:24" ht="19.899999999999999" customHeight="1" x14ac:dyDescent="0.35">
      <c r="A240" s="24"/>
      <c r="B240" s="25"/>
      <c r="C240" s="25"/>
      <c r="D240" s="21"/>
      <c r="E240" s="26"/>
      <c r="F240" s="35"/>
      <c r="G240" s="35"/>
      <c r="H240" s="35"/>
      <c r="I240" s="36"/>
      <c r="J240" s="36"/>
      <c r="K240" s="36"/>
      <c r="L240" s="36"/>
      <c r="M240" s="36"/>
      <c r="N240" s="36"/>
      <c r="O240" s="36"/>
      <c r="P240" s="36"/>
      <c r="Q240" s="36"/>
      <c r="R240" s="36"/>
      <c r="S240" s="36"/>
      <c r="T240" s="36"/>
      <c r="U240" s="36"/>
      <c r="V240" s="36"/>
      <c r="W240" s="104" t="str" cm="1">
        <f t="array" ref="W240">IF(A240&lt;&gt;"",_xlfn.IFS(A240="Grade 1",SUM(L240:T240),A240="Grade 2",SUM(L240:V240),A240="Grade 3",SUM(L240:T240)),"")</f>
        <v/>
      </c>
      <c r="X240" s="29" t="str">
        <f t="shared" si="3"/>
        <v xml:space="preserve"> </v>
      </c>
    </row>
    <row r="241" spans="1:24" ht="19.899999999999999" customHeight="1" x14ac:dyDescent="0.35">
      <c r="A241" s="24"/>
      <c r="B241" s="25"/>
      <c r="C241" s="25"/>
      <c r="D241" s="21"/>
      <c r="E241" s="26"/>
      <c r="F241" s="35"/>
      <c r="G241" s="35"/>
      <c r="H241" s="35"/>
      <c r="I241" s="36"/>
      <c r="J241" s="36"/>
      <c r="K241" s="36"/>
      <c r="L241" s="36"/>
      <c r="M241" s="36"/>
      <c r="N241" s="36"/>
      <c r="O241" s="36"/>
      <c r="P241" s="36"/>
      <c r="Q241" s="36"/>
      <c r="R241" s="36"/>
      <c r="S241" s="36"/>
      <c r="T241" s="36"/>
      <c r="U241" s="36"/>
      <c r="V241" s="36"/>
      <c r="W241" s="104" t="str" cm="1">
        <f t="array" ref="W241">IF(A241&lt;&gt;"",_xlfn.IFS(A241="Grade 1",SUM(L241:T241),A241="Grade 2",SUM(L241:V241),A241="Grade 3",SUM(L241:T241)),"")</f>
        <v/>
      </c>
      <c r="X241" s="29" t="str">
        <f t="shared" si="3"/>
        <v xml:space="preserve"> </v>
      </c>
    </row>
    <row r="242" spans="1:24" ht="19.899999999999999" customHeight="1" x14ac:dyDescent="0.35">
      <c r="A242" s="24"/>
      <c r="B242" s="25"/>
      <c r="C242" s="25"/>
      <c r="D242" s="21"/>
      <c r="E242" s="26"/>
      <c r="F242" s="35"/>
      <c r="G242" s="35"/>
      <c r="H242" s="35"/>
      <c r="I242" s="36"/>
      <c r="J242" s="36"/>
      <c r="K242" s="36"/>
      <c r="L242" s="36"/>
      <c r="M242" s="36"/>
      <c r="N242" s="36"/>
      <c r="O242" s="36"/>
      <c r="P242" s="36"/>
      <c r="Q242" s="36"/>
      <c r="R242" s="36"/>
      <c r="S242" s="36"/>
      <c r="T242" s="36"/>
      <c r="U242" s="36"/>
      <c r="V242" s="36"/>
      <c r="W242" s="104" t="str" cm="1">
        <f t="array" ref="W242">IF(A242&lt;&gt;"",_xlfn.IFS(A242="Grade 1",SUM(L242:T242),A242="Grade 2",SUM(L242:V242),A242="Grade 3",SUM(L242:T242)),"")</f>
        <v/>
      </c>
      <c r="X242" s="29" t="str">
        <f t="shared" si="3"/>
        <v xml:space="preserve"> </v>
      </c>
    </row>
    <row r="243" spans="1:24" ht="19.899999999999999" customHeight="1" x14ac:dyDescent="0.35">
      <c r="A243" s="24"/>
      <c r="B243" s="25"/>
      <c r="C243" s="25"/>
      <c r="D243" s="21"/>
      <c r="E243" s="26"/>
      <c r="F243" s="35"/>
      <c r="G243" s="35"/>
      <c r="H243" s="35"/>
      <c r="I243" s="36"/>
      <c r="J243" s="36"/>
      <c r="K243" s="36"/>
      <c r="L243" s="36"/>
      <c r="M243" s="36"/>
      <c r="N243" s="36"/>
      <c r="O243" s="36"/>
      <c r="P243" s="36"/>
      <c r="Q243" s="36"/>
      <c r="R243" s="36"/>
      <c r="S243" s="36"/>
      <c r="T243" s="36"/>
      <c r="U243" s="36"/>
      <c r="V243" s="36"/>
      <c r="W243" s="104" t="str" cm="1">
        <f t="array" ref="W243">IF(A243&lt;&gt;"",_xlfn.IFS(A243="Grade 1",SUM(L243:T243),A243="Grade 2",SUM(L243:V243),A243="Grade 3",SUM(L243:T243)),"")</f>
        <v/>
      </c>
      <c r="X243" s="29" t="str">
        <f t="shared" si="3"/>
        <v xml:space="preserve"> </v>
      </c>
    </row>
    <row r="244" spans="1:24" ht="19.899999999999999" customHeight="1" x14ac:dyDescent="0.35">
      <c r="A244" s="24"/>
      <c r="B244" s="25"/>
      <c r="C244" s="25"/>
      <c r="D244" s="21"/>
      <c r="E244" s="26"/>
      <c r="F244" s="35"/>
      <c r="G244" s="35"/>
      <c r="H244" s="35"/>
      <c r="I244" s="36"/>
      <c r="J244" s="36"/>
      <c r="K244" s="36"/>
      <c r="L244" s="36"/>
      <c r="M244" s="36"/>
      <c r="N244" s="36"/>
      <c r="O244" s="36"/>
      <c r="P244" s="36"/>
      <c r="Q244" s="36"/>
      <c r="R244" s="36"/>
      <c r="S244" s="36"/>
      <c r="T244" s="36"/>
      <c r="U244" s="36"/>
      <c r="V244" s="36"/>
      <c r="W244" s="104" t="str" cm="1">
        <f t="array" ref="W244">IF(A244&lt;&gt;"",_xlfn.IFS(A244="Grade 1",SUM(L244:T244),A244="Grade 2",SUM(L244:V244),A244="Grade 3",SUM(L244:T244)),"")</f>
        <v/>
      </c>
      <c r="X244" s="29" t="str">
        <f t="shared" si="3"/>
        <v xml:space="preserve"> </v>
      </c>
    </row>
    <row r="245" spans="1:24" ht="19.899999999999999" customHeight="1" x14ac:dyDescent="0.35">
      <c r="A245" s="24"/>
      <c r="B245" s="25"/>
      <c r="C245" s="25"/>
      <c r="D245" s="21"/>
      <c r="E245" s="26"/>
      <c r="F245" s="35"/>
      <c r="G245" s="35"/>
      <c r="H245" s="35"/>
      <c r="I245" s="36"/>
      <c r="J245" s="36"/>
      <c r="K245" s="36"/>
      <c r="L245" s="36"/>
      <c r="M245" s="36"/>
      <c r="N245" s="36"/>
      <c r="O245" s="36"/>
      <c r="P245" s="36"/>
      <c r="Q245" s="36"/>
      <c r="R245" s="36"/>
      <c r="S245" s="36"/>
      <c r="T245" s="36"/>
      <c r="U245" s="36"/>
      <c r="V245" s="36"/>
      <c r="W245" s="104" t="str" cm="1">
        <f t="array" ref="W245">IF(A245&lt;&gt;"",_xlfn.IFS(A245="Grade 1",SUM(L245:T245),A245="Grade 2",SUM(L245:V245),A245="Grade 3",SUM(L245:T245)),"")</f>
        <v/>
      </c>
      <c r="X245" s="29" t="str">
        <f t="shared" si="3"/>
        <v xml:space="preserve"> </v>
      </c>
    </row>
    <row r="246" spans="1:24" ht="19.899999999999999" customHeight="1" x14ac:dyDescent="0.35">
      <c r="A246" s="24"/>
      <c r="B246" s="25"/>
      <c r="C246" s="25"/>
      <c r="D246" s="21"/>
      <c r="E246" s="26"/>
      <c r="F246" s="35"/>
      <c r="G246" s="35"/>
      <c r="H246" s="35"/>
      <c r="I246" s="36"/>
      <c r="J246" s="36"/>
      <c r="K246" s="36"/>
      <c r="L246" s="36"/>
      <c r="M246" s="36"/>
      <c r="N246" s="36"/>
      <c r="O246" s="36"/>
      <c r="P246" s="36"/>
      <c r="Q246" s="36"/>
      <c r="R246" s="36"/>
      <c r="S246" s="36"/>
      <c r="T246" s="36"/>
      <c r="U246" s="36"/>
      <c r="V246" s="36"/>
      <c r="W246" s="104" t="str" cm="1">
        <f t="array" ref="W246">IF(A246&lt;&gt;"",_xlfn.IFS(A246="Grade 1",SUM(L246:T246),A246="Grade 2",SUM(L246:V246),A246="Grade 3",SUM(L246:T246)),"")</f>
        <v/>
      </c>
      <c r="X246" s="29" t="str">
        <f t="shared" si="3"/>
        <v xml:space="preserve"> </v>
      </c>
    </row>
    <row r="247" spans="1:24" ht="19.899999999999999" customHeight="1" x14ac:dyDescent="0.35">
      <c r="A247" s="24"/>
      <c r="B247" s="25"/>
      <c r="C247" s="25"/>
      <c r="D247" s="21"/>
      <c r="E247" s="26"/>
      <c r="F247" s="35"/>
      <c r="G247" s="35"/>
      <c r="H247" s="35"/>
      <c r="I247" s="36"/>
      <c r="J247" s="36"/>
      <c r="K247" s="36"/>
      <c r="L247" s="36"/>
      <c r="M247" s="36"/>
      <c r="N247" s="36"/>
      <c r="O247" s="36"/>
      <c r="P247" s="36"/>
      <c r="Q247" s="36"/>
      <c r="R247" s="36"/>
      <c r="S247" s="36"/>
      <c r="T247" s="36"/>
      <c r="U247" s="36"/>
      <c r="V247" s="36"/>
      <c r="W247" s="104" t="str" cm="1">
        <f t="array" ref="W247">IF(A247&lt;&gt;"",_xlfn.IFS(A247="Grade 1",SUM(L247:T247),A247="Grade 2",SUM(L247:V247),A247="Grade 3",SUM(L247:T247)),"")</f>
        <v/>
      </c>
      <c r="X247" s="29" t="str">
        <f t="shared" si="3"/>
        <v xml:space="preserve"> </v>
      </c>
    </row>
    <row r="248" spans="1:24" ht="19.899999999999999" customHeight="1" x14ac:dyDescent="0.35">
      <c r="A248" s="24"/>
      <c r="B248" s="25"/>
      <c r="C248" s="25"/>
      <c r="D248" s="21"/>
      <c r="E248" s="26"/>
      <c r="F248" s="35"/>
      <c r="G248" s="35"/>
      <c r="H248" s="35"/>
      <c r="I248" s="36"/>
      <c r="J248" s="36"/>
      <c r="K248" s="36"/>
      <c r="L248" s="36"/>
      <c r="M248" s="36"/>
      <c r="N248" s="36"/>
      <c r="O248" s="36"/>
      <c r="P248" s="36"/>
      <c r="Q248" s="36"/>
      <c r="R248" s="36"/>
      <c r="S248" s="36"/>
      <c r="T248" s="36"/>
      <c r="U248" s="36"/>
      <c r="V248" s="36"/>
      <c r="W248" s="104" t="str" cm="1">
        <f t="array" ref="W248">IF(A248&lt;&gt;"",_xlfn.IFS(A248="Grade 1",SUM(L248:T248),A248="Grade 2",SUM(L248:V248),A248="Grade 3",SUM(L248:T248)),"")</f>
        <v/>
      </c>
      <c r="X248" s="29" t="str">
        <f t="shared" si="3"/>
        <v xml:space="preserve"> </v>
      </c>
    </row>
    <row r="249" spans="1:24" ht="19.899999999999999" customHeight="1" x14ac:dyDescent="0.35">
      <c r="A249" s="24"/>
      <c r="B249" s="25"/>
      <c r="C249" s="25"/>
      <c r="D249" s="21"/>
      <c r="E249" s="26"/>
      <c r="F249" s="35"/>
      <c r="G249" s="35"/>
      <c r="H249" s="35"/>
      <c r="I249" s="36"/>
      <c r="J249" s="36"/>
      <c r="K249" s="36"/>
      <c r="L249" s="36"/>
      <c r="M249" s="36"/>
      <c r="N249" s="36"/>
      <c r="O249" s="36"/>
      <c r="P249" s="36"/>
      <c r="Q249" s="36"/>
      <c r="R249" s="36"/>
      <c r="S249" s="36"/>
      <c r="T249" s="36"/>
      <c r="U249" s="36"/>
      <c r="V249" s="36"/>
      <c r="W249" s="104" t="str" cm="1">
        <f t="array" ref="W249">IF(A249&lt;&gt;"",_xlfn.IFS(A249="Grade 1",SUM(L249:T249),A249="Grade 2",SUM(L249:V249),A249="Grade 3",SUM(L249:T249)),"")</f>
        <v/>
      </c>
      <c r="X249" s="29" t="str">
        <f t="shared" si="3"/>
        <v xml:space="preserve"> </v>
      </c>
    </row>
    <row r="250" spans="1:24" ht="19.899999999999999" customHeight="1" x14ac:dyDescent="0.35">
      <c r="A250" s="24"/>
      <c r="B250" s="25"/>
      <c r="C250" s="25"/>
      <c r="D250" s="21"/>
      <c r="E250" s="26"/>
      <c r="F250" s="35"/>
      <c r="G250" s="35"/>
      <c r="H250" s="35"/>
      <c r="I250" s="36"/>
      <c r="J250" s="36"/>
      <c r="K250" s="36"/>
      <c r="L250" s="36"/>
      <c r="M250" s="36"/>
      <c r="N250" s="36"/>
      <c r="O250" s="36"/>
      <c r="P250" s="36"/>
      <c r="Q250" s="36"/>
      <c r="R250" s="36"/>
      <c r="S250" s="36"/>
      <c r="T250" s="36"/>
      <c r="U250" s="36"/>
      <c r="V250" s="36"/>
      <c r="W250" s="104" t="str" cm="1">
        <f t="array" ref="W250">IF(A250&lt;&gt;"",_xlfn.IFS(A250="Grade 1",SUM(L250:T250),A250="Grade 2",SUM(L250:V250),A250="Grade 3",SUM(L250:T250)),"")</f>
        <v/>
      </c>
      <c r="X250" s="29" t="str">
        <f t="shared" si="3"/>
        <v xml:space="preserve"> </v>
      </c>
    </row>
    <row r="251" spans="1:24" ht="19.899999999999999" hidden="1" customHeight="1" x14ac:dyDescent="0.35">
      <c r="A251" s="24"/>
      <c r="B251" s="25"/>
      <c r="C251" s="25"/>
      <c r="D251" s="21"/>
      <c r="E251" s="26"/>
      <c r="F251" s="35"/>
      <c r="G251" s="35"/>
      <c r="H251" s="35"/>
      <c r="I251" s="36"/>
      <c r="J251" s="36"/>
      <c r="K251" s="36"/>
      <c r="L251" s="36"/>
      <c r="M251" s="36"/>
      <c r="N251" s="36"/>
      <c r="O251" s="36"/>
      <c r="P251" s="36"/>
      <c r="Q251" s="36"/>
      <c r="R251" s="36"/>
      <c r="S251" s="36"/>
      <c r="T251" s="36"/>
      <c r="U251" s="36"/>
      <c r="V251" s="36"/>
      <c r="W251" s="52" t="str" cm="1">
        <f t="array" ref="W251">IF(A251&lt;&gt;"",_xlfn.IFS(A251="Grade 1",SUM(L251:T251),A251="Grade 2",SUM(L251:V251),A251="Grade 3",SUM(L251:T251)),"")</f>
        <v/>
      </c>
      <c r="X251" s="29" t="str">
        <f t="shared" ref="X251:X282" si="4">IF(ISBLANK(A251)," ",IF(SUM(I251:K251)=E251,"Data Validated","Data with Error"))</f>
        <v xml:space="preserve"> </v>
      </c>
    </row>
    <row r="252" spans="1:24" ht="19.899999999999999" hidden="1" customHeight="1" x14ac:dyDescent="0.35">
      <c r="A252" s="24"/>
      <c r="B252" s="25"/>
      <c r="C252" s="25"/>
      <c r="D252" s="21"/>
      <c r="E252" s="26"/>
      <c r="F252" s="35"/>
      <c r="G252" s="35"/>
      <c r="H252" s="35"/>
      <c r="I252" s="36"/>
      <c r="J252" s="36"/>
      <c r="K252" s="36"/>
      <c r="L252" s="36"/>
      <c r="M252" s="36"/>
      <c r="N252" s="36"/>
      <c r="O252" s="36"/>
      <c r="P252" s="36"/>
      <c r="Q252" s="36"/>
      <c r="R252" s="36"/>
      <c r="S252" s="36"/>
      <c r="T252" s="36"/>
      <c r="U252" s="36"/>
      <c r="V252" s="36"/>
      <c r="W252" s="52" t="str" cm="1">
        <f t="array" ref="W252">IF(A252&lt;&gt;"",_xlfn.IFS(A252="Grade 1",SUM(L252:T252),A252="Grade 2",SUM(L252:V252),A252="Grade 3",SUM(L252:T252)),"")</f>
        <v/>
      </c>
      <c r="X252" s="29" t="str">
        <f t="shared" si="4"/>
        <v xml:space="preserve"> </v>
      </c>
    </row>
    <row r="253" spans="1:24" ht="19.899999999999999" hidden="1" customHeight="1" x14ac:dyDescent="0.35">
      <c r="A253" s="24"/>
      <c r="B253" s="25"/>
      <c r="C253" s="25"/>
      <c r="D253" s="21"/>
      <c r="E253" s="26"/>
      <c r="F253" s="35"/>
      <c r="G253" s="35"/>
      <c r="H253" s="35"/>
      <c r="I253" s="36"/>
      <c r="J253" s="36"/>
      <c r="K253" s="36"/>
      <c r="L253" s="36"/>
      <c r="M253" s="36"/>
      <c r="N253" s="36"/>
      <c r="O253" s="36"/>
      <c r="P253" s="36"/>
      <c r="Q253" s="36"/>
      <c r="R253" s="36"/>
      <c r="S253" s="36"/>
      <c r="T253" s="36"/>
      <c r="U253" s="36"/>
      <c r="V253" s="36"/>
      <c r="W253" s="52" t="str" cm="1">
        <f t="array" ref="W253">IF(A253&lt;&gt;"",_xlfn.IFS(A253="Grade 1",SUM(L253:T253),A253="Grade 2",SUM(L253:V253),A253="Grade 3",SUM(L253:T253)),"")</f>
        <v/>
      </c>
      <c r="X253" s="29" t="str">
        <f t="shared" si="4"/>
        <v xml:space="preserve"> </v>
      </c>
    </row>
    <row r="254" spans="1:24" ht="19.899999999999999" hidden="1" customHeight="1" x14ac:dyDescent="0.35">
      <c r="A254" s="24"/>
      <c r="B254" s="25"/>
      <c r="C254" s="25"/>
      <c r="D254" s="21"/>
      <c r="E254" s="26"/>
      <c r="F254" s="35"/>
      <c r="G254" s="35"/>
      <c r="H254" s="35"/>
      <c r="I254" s="36"/>
      <c r="J254" s="36"/>
      <c r="K254" s="36"/>
      <c r="L254" s="36"/>
      <c r="M254" s="36"/>
      <c r="N254" s="36"/>
      <c r="O254" s="36"/>
      <c r="P254" s="36"/>
      <c r="Q254" s="36"/>
      <c r="R254" s="36"/>
      <c r="S254" s="36"/>
      <c r="T254" s="36"/>
      <c r="U254" s="36"/>
      <c r="V254" s="36"/>
      <c r="W254" s="52" t="str" cm="1">
        <f t="array" ref="W254">IF(A254&lt;&gt;"",_xlfn.IFS(A254="Grade 1",SUM(L254:T254),A254="Grade 2",SUM(L254:V254),A254="Grade 3",SUM(L254:T254)),"")</f>
        <v/>
      </c>
      <c r="X254" s="29" t="str">
        <f t="shared" si="4"/>
        <v xml:space="preserve"> </v>
      </c>
    </row>
    <row r="255" spans="1:24" ht="19.899999999999999" hidden="1" customHeight="1" x14ac:dyDescent="0.35">
      <c r="A255" s="24"/>
      <c r="B255" s="25"/>
      <c r="C255" s="25"/>
      <c r="D255" s="21"/>
      <c r="E255" s="26"/>
      <c r="F255" s="35"/>
      <c r="G255" s="35"/>
      <c r="H255" s="35"/>
      <c r="I255" s="36"/>
      <c r="J255" s="36"/>
      <c r="K255" s="36"/>
      <c r="L255" s="36"/>
      <c r="M255" s="36"/>
      <c r="N255" s="36"/>
      <c r="O255" s="36"/>
      <c r="P255" s="36"/>
      <c r="Q255" s="36"/>
      <c r="R255" s="36"/>
      <c r="S255" s="36"/>
      <c r="T255" s="36"/>
      <c r="U255" s="36"/>
      <c r="V255" s="36"/>
      <c r="W255" s="52" t="str" cm="1">
        <f t="array" ref="W255">IF(A255&lt;&gt;"",_xlfn.IFS(A255="Grade 1",SUM(L255:T255),A255="Grade 2",SUM(L255:V255),A255="Grade 3",SUM(L255:T255)),"")</f>
        <v/>
      </c>
      <c r="X255" s="29" t="str">
        <f t="shared" si="4"/>
        <v xml:space="preserve"> </v>
      </c>
    </row>
    <row r="256" spans="1:24" ht="19.899999999999999" hidden="1" customHeight="1" x14ac:dyDescent="0.35">
      <c r="A256" s="24"/>
      <c r="B256" s="25"/>
      <c r="C256" s="25"/>
      <c r="D256" s="21"/>
      <c r="E256" s="26"/>
      <c r="F256" s="35"/>
      <c r="G256" s="35"/>
      <c r="H256" s="35"/>
      <c r="I256" s="36"/>
      <c r="J256" s="36"/>
      <c r="K256" s="36"/>
      <c r="L256" s="36"/>
      <c r="M256" s="36"/>
      <c r="N256" s="36"/>
      <c r="O256" s="36"/>
      <c r="P256" s="36"/>
      <c r="Q256" s="36"/>
      <c r="R256" s="36"/>
      <c r="S256" s="36"/>
      <c r="T256" s="36"/>
      <c r="U256" s="36"/>
      <c r="V256" s="36"/>
      <c r="W256" s="52" t="str" cm="1">
        <f t="array" ref="W256">IF(A256&lt;&gt;"",_xlfn.IFS(A256="Grade 1",SUM(L256:T256),A256="Grade 2",SUM(L256:V256),A256="Grade 3",SUM(L256:T256)),"")</f>
        <v/>
      </c>
      <c r="X256" s="29" t="str">
        <f t="shared" si="4"/>
        <v xml:space="preserve"> </v>
      </c>
    </row>
    <row r="257" spans="1:24" ht="19.899999999999999" hidden="1" customHeight="1" x14ac:dyDescent="0.35">
      <c r="A257" s="24"/>
      <c r="B257" s="25"/>
      <c r="C257" s="25"/>
      <c r="D257" s="21"/>
      <c r="E257" s="26"/>
      <c r="F257" s="35"/>
      <c r="G257" s="35"/>
      <c r="H257" s="35"/>
      <c r="I257" s="36"/>
      <c r="J257" s="36"/>
      <c r="K257" s="36"/>
      <c r="L257" s="36"/>
      <c r="M257" s="36"/>
      <c r="N257" s="36"/>
      <c r="O257" s="36"/>
      <c r="P257" s="36"/>
      <c r="Q257" s="36"/>
      <c r="R257" s="36"/>
      <c r="S257" s="36"/>
      <c r="T257" s="36"/>
      <c r="U257" s="36"/>
      <c r="V257" s="36"/>
      <c r="W257" s="52" t="str" cm="1">
        <f t="array" ref="W257">IF(A257&lt;&gt;"",_xlfn.IFS(A257="Grade 1",SUM(L257:T257),A257="Grade 2",SUM(L257:V257),A257="Grade 3",SUM(L257:T257)),"")</f>
        <v/>
      </c>
      <c r="X257" s="29" t="str">
        <f t="shared" si="4"/>
        <v xml:space="preserve"> </v>
      </c>
    </row>
    <row r="258" spans="1:24" ht="19.899999999999999" hidden="1" customHeight="1" x14ac:dyDescent="0.35">
      <c r="A258" s="24"/>
      <c r="B258" s="25"/>
      <c r="C258" s="25"/>
      <c r="D258" s="21"/>
      <c r="E258" s="26"/>
      <c r="F258" s="35"/>
      <c r="G258" s="35"/>
      <c r="H258" s="35"/>
      <c r="I258" s="36"/>
      <c r="J258" s="36"/>
      <c r="K258" s="36"/>
      <c r="L258" s="36"/>
      <c r="M258" s="36"/>
      <c r="N258" s="36"/>
      <c r="O258" s="36"/>
      <c r="P258" s="36"/>
      <c r="Q258" s="36"/>
      <c r="R258" s="36"/>
      <c r="S258" s="36"/>
      <c r="T258" s="36"/>
      <c r="U258" s="36"/>
      <c r="V258" s="36"/>
      <c r="W258" s="52" t="str" cm="1">
        <f t="array" ref="W258">IF(A258&lt;&gt;"",_xlfn.IFS(A258="Grade 1",SUM(L258:T258),A258="Grade 2",SUM(L258:V258),A258="Grade 3",SUM(L258:T258)),"")</f>
        <v/>
      </c>
      <c r="X258" s="29" t="str">
        <f t="shared" si="4"/>
        <v xml:space="preserve"> </v>
      </c>
    </row>
    <row r="259" spans="1:24" ht="19.899999999999999" hidden="1" customHeight="1" x14ac:dyDescent="0.35">
      <c r="A259" s="24"/>
      <c r="B259" s="25"/>
      <c r="C259" s="25"/>
      <c r="D259" s="21"/>
      <c r="E259" s="26"/>
      <c r="F259" s="35"/>
      <c r="G259" s="35"/>
      <c r="H259" s="35"/>
      <c r="I259" s="36"/>
      <c r="J259" s="36"/>
      <c r="K259" s="36"/>
      <c r="L259" s="36"/>
      <c r="M259" s="36"/>
      <c r="N259" s="36"/>
      <c r="O259" s="36"/>
      <c r="P259" s="36"/>
      <c r="Q259" s="36"/>
      <c r="R259" s="36"/>
      <c r="S259" s="36"/>
      <c r="T259" s="36"/>
      <c r="U259" s="36"/>
      <c r="V259" s="36"/>
      <c r="W259" s="52" t="str" cm="1">
        <f t="array" ref="W259">IF(A259&lt;&gt;"",_xlfn.IFS(A259="Grade 1",SUM(L259:T259),A259="Grade 2",SUM(L259:V259),A259="Grade 3",SUM(L259:T259)),"")</f>
        <v/>
      </c>
      <c r="X259" s="29" t="str">
        <f t="shared" si="4"/>
        <v xml:space="preserve"> </v>
      </c>
    </row>
    <row r="260" spans="1:24" ht="19.899999999999999" hidden="1" customHeight="1" x14ac:dyDescent="0.35">
      <c r="A260" s="24"/>
      <c r="B260" s="25"/>
      <c r="C260" s="25"/>
      <c r="D260" s="21"/>
      <c r="E260" s="26"/>
      <c r="F260" s="35"/>
      <c r="G260" s="35"/>
      <c r="H260" s="35"/>
      <c r="I260" s="36"/>
      <c r="J260" s="36"/>
      <c r="K260" s="36"/>
      <c r="L260" s="36"/>
      <c r="M260" s="36"/>
      <c r="N260" s="36"/>
      <c r="O260" s="36"/>
      <c r="P260" s="36"/>
      <c r="Q260" s="36"/>
      <c r="R260" s="36"/>
      <c r="S260" s="36"/>
      <c r="T260" s="36"/>
      <c r="U260" s="36"/>
      <c r="V260" s="36"/>
      <c r="W260" s="52" t="str" cm="1">
        <f t="array" ref="W260">IF(A260&lt;&gt;"",_xlfn.IFS(A260="Grade 1",SUM(L260:T260),A260="Grade 2",SUM(L260:V260),A260="Grade 3",SUM(L260:T260)),"")</f>
        <v/>
      </c>
      <c r="X260" s="29" t="str">
        <f t="shared" si="4"/>
        <v xml:space="preserve"> </v>
      </c>
    </row>
    <row r="261" spans="1:24" ht="19.899999999999999" hidden="1" customHeight="1" x14ac:dyDescent="0.35">
      <c r="A261" s="24"/>
      <c r="B261" s="25"/>
      <c r="C261" s="25"/>
      <c r="D261" s="21"/>
      <c r="E261" s="26"/>
      <c r="F261" s="35"/>
      <c r="G261" s="35"/>
      <c r="H261" s="35"/>
      <c r="I261" s="36"/>
      <c r="J261" s="36"/>
      <c r="K261" s="36"/>
      <c r="L261" s="36"/>
      <c r="M261" s="36"/>
      <c r="N261" s="36"/>
      <c r="O261" s="36"/>
      <c r="P261" s="36"/>
      <c r="Q261" s="36"/>
      <c r="R261" s="36"/>
      <c r="S261" s="36"/>
      <c r="T261" s="36"/>
      <c r="U261" s="36"/>
      <c r="V261" s="36"/>
      <c r="W261" s="52" t="str" cm="1">
        <f t="array" ref="W261">IF(A261&lt;&gt;"",_xlfn.IFS(A261="Grade 1",SUM(L261:T261),A261="Grade 2",SUM(L261:V261),A261="Grade 3",SUM(L261:T261)),"")</f>
        <v/>
      </c>
      <c r="X261" s="29" t="str">
        <f t="shared" si="4"/>
        <v xml:space="preserve"> </v>
      </c>
    </row>
    <row r="262" spans="1:24" ht="19.899999999999999" hidden="1" customHeight="1" x14ac:dyDescent="0.35">
      <c r="A262" s="24"/>
      <c r="B262" s="25"/>
      <c r="C262" s="25"/>
      <c r="D262" s="21"/>
      <c r="E262" s="26"/>
      <c r="F262" s="35"/>
      <c r="G262" s="35"/>
      <c r="H262" s="35"/>
      <c r="I262" s="36"/>
      <c r="J262" s="36"/>
      <c r="K262" s="36"/>
      <c r="L262" s="36"/>
      <c r="M262" s="36"/>
      <c r="N262" s="36"/>
      <c r="O262" s="36"/>
      <c r="P262" s="36"/>
      <c r="Q262" s="36"/>
      <c r="R262" s="36"/>
      <c r="S262" s="36"/>
      <c r="T262" s="36"/>
      <c r="U262" s="36"/>
      <c r="V262" s="36"/>
      <c r="W262" s="52" t="str" cm="1">
        <f t="array" ref="W262">IF(A262&lt;&gt;"",_xlfn.IFS(A262="Grade 1",SUM(L262:T262),A262="Grade 2",SUM(L262:V262),A262="Grade 3",SUM(L262:T262)),"")</f>
        <v/>
      </c>
      <c r="X262" s="29" t="str">
        <f t="shared" si="4"/>
        <v xml:space="preserve"> </v>
      </c>
    </row>
    <row r="263" spans="1:24" ht="19.899999999999999" hidden="1" customHeight="1" x14ac:dyDescent="0.35">
      <c r="A263" s="24"/>
      <c r="B263" s="25"/>
      <c r="C263" s="25"/>
      <c r="D263" s="21"/>
      <c r="E263" s="26"/>
      <c r="F263" s="35"/>
      <c r="G263" s="35"/>
      <c r="H263" s="35"/>
      <c r="I263" s="36"/>
      <c r="J263" s="36"/>
      <c r="K263" s="36"/>
      <c r="L263" s="36"/>
      <c r="M263" s="36"/>
      <c r="N263" s="36"/>
      <c r="O263" s="36"/>
      <c r="P263" s="36"/>
      <c r="Q263" s="36"/>
      <c r="R263" s="36"/>
      <c r="S263" s="36"/>
      <c r="T263" s="36"/>
      <c r="U263" s="36"/>
      <c r="V263" s="36"/>
      <c r="W263" s="52" t="str" cm="1">
        <f t="array" ref="W263">IF(A263&lt;&gt;"",_xlfn.IFS(A263="Grade 1",SUM(L263:T263),A263="Grade 2",SUM(L263:V263),A263="Grade 3",SUM(L263:T263)),"")</f>
        <v/>
      </c>
      <c r="X263" s="29" t="str">
        <f t="shared" si="4"/>
        <v xml:space="preserve"> </v>
      </c>
    </row>
    <row r="264" spans="1:24" ht="19.899999999999999" hidden="1" customHeight="1" x14ac:dyDescent="0.35">
      <c r="A264" s="24"/>
      <c r="B264" s="25"/>
      <c r="C264" s="25"/>
      <c r="D264" s="21"/>
      <c r="E264" s="26"/>
      <c r="F264" s="35"/>
      <c r="G264" s="35"/>
      <c r="H264" s="35"/>
      <c r="I264" s="36"/>
      <c r="J264" s="36"/>
      <c r="K264" s="36"/>
      <c r="L264" s="36"/>
      <c r="M264" s="36"/>
      <c r="N264" s="36"/>
      <c r="O264" s="36"/>
      <c r="P264" s="36"/>
      <c r="Q264" s="36"/>
      <c r="R264" s="36"/>
      <c r="S264" s="36"/>
      <c r="T264" s="36"/>
      <c r="U264" s="36"/>
      <c r="V264" s="36"/>
      <c r="W264" s="52" t="str" cm="1">
        <f t="array" ref="W264">IF(A264&lt;&gt;"",_xlfn.IFS(A264="Grade 1",SUM(L264:T264),A264="Grade 2",SUM(L264:V264),A264="Grade 3",SUM(L264:T264)),"")</f>
        <v/>
      </c>
      <c r="X264" s="29" t="str">
        <f t="shared" si="4"/>
        <v xml:space="preserve"> </v>
      </c>
    </row>
    <row r="265" spans="1:24" ht="19.899999999999999" hidden="1" customHeight="1" x14ac:dyDescent="0.35">
      <c r="A265" s="24"/>
      <c r="B265" s="25"/>
      <c r="C265" s="25"/>
      <c r="D265" s="21"/>
      <c r="E265" s="26"/>
      <c r="F265" s="35"/>
      <c r="G265" s="35"/>
      <c r="H265" s="35"/>
      <c r="I265" s="36"/>
      <c r="J265" s="36"/>
      <c r="K265" s="36"/>
      <c r="L265" s="36"/>
      <c r="M265" s="36"/>
      <c r="N265" s="36"/>
      <c r="O265" s="36"/>
      <c r="P265" s="36"/>
      <c r="Q265" s="36"/>
      <c r="R265" s="36"/>
      <c r="S265" s="36"/>
      <c r="T265" s="36"/>
      <c r="U265" s="36"/>
      <c r="V265" s="36"/>
      <c r="W265" s="52" t="str" cm="1">
        <f t="array" ref="W265">IF(A265&lt;&gt;"",_xlfn.IFS(A265="Grade 1",SUM(L265:T265),A265="Grade 2",SUM(L265:V265),A265="Grade 3",SUM(L265:T265)),"")</f>
        <v/>
      </c>
      <c r="X265" s="29" t="str">
        <f t="shared" si="4"/>
        <v xml:space="preserve"> </v>
      </c>
    </row>
    <row r="266" spans="1:24" ht="19.899999999999999" hidden="1" customHeight="1" x14ac:dyDescent="0.35">
      <c r="A266" s="24"/>
      <c r="B266" s="25"/>
      <c r="C266" s="25"/>
      <c r="D266" s="21"/>
      <c r="E266" s="26"/>
      <c r="F266" s="35"/>
      <c r="G266" s="35"/>
      <c r="H266" s="35"/>
      <c r="I266" s="36"/>
      <c r="J266" s="36"/>
      <c r="K266" s="36"/>
      <c r="L266" s="36"/>
      <c r="M266" s="36"/>
      <c r="N266" s="36"/>
      <c r="O266" s="36"/>
      <c r="P266" s="36"/>
      <c r="Q266" s="36"/>
      <c r="R266" s="36"/>
      <c r="S266" s="36"/>
      <c r="T266" s="36"/>
      <c r="U266" s="36"/>
      <c r="V266" s="36"/>
      <c r="W266" s="52" t="str" cm="1">
        <f t="array" ref="W266">IF(A266&lt;&gt;"",_xlfn.IFS(A266="Grade 1",SUM(L266:T266),A266="Grade 2",SUM(L266:V266),A266="Grade 3",SUM(L266:T266)),"")</f>
        <v/>
      </c>
      <c r="X266" s="29" t="str">
        <f t="shared" si="4"/>
        <v xml:space="preserve"> </v>
      </c>
    </row>
    <row r="267" spans="1:24" ht="19.899999999999999" hidden="1" customHeight="1" x14ac:dyDescent="0.35">
      <c r="A267" s="24"/>
      <c r="B267" s="25"/>
      <c r="C267" s="25"/>
      <c r="D267" s="21"/>
      <c r="E267" s="26"/>
      <c r="F267" s="35"/>
      <c r="G267" s="35"/>
      <c r="H267" s="35"/>
      <c r="I267" s="36"/>
      <c r="J267" s="36"/>
      <c r="K267" s="36"/>
      <c r="L267" s="36"/>
      <c r="M267" s="36"/>
      <c r="N267" s="36"/>
      <c r="O267" s="36"/>
      <c r="P267" s="36"/>
      <c r="Q267" s="36"/>
      <c r="R267" s="36"/>
      <c r="S267" s="36"/>
      <c r="T267" s="36"/>
      <c r="U267" s="36"/>
      <c r="V267" s="36"/>
      <c r="W267" s="52" t="str" cm="1">
        <f t="array" ref="W267">IF(A267&lt;&gt;"",_xlfn.IFS(A267="Grade 1",SUM(L267:T267),A267="Grade 2",SUM(L267:V267),A267="Grade 3",SUM(L267:T267)),"")</f>
        <v/>
      </c>
      <c r="X267" s="29" t="str">
        <f t="shared" si="4"/>
        <v xml:space="preserve"> </v>
      </c>
    </row>
    <row r="268" spans="1:24" ht="19.899999999999999" hidden="1" customHeight="1" x14ac:dyDescent="0.35">
      <c r="A268" s="24"/>
      <c r="B268" s="25"/>
      <c r="C268" s="25"/>
      <c r="D268" s="21"/>
      <c r="E268" s="26"/>
      <c r="F268" s="35"/>
      <c r="G268" s="35"/>
      <c r="H268" s="35"/>
      <c r="I268" s="36"/>
      <c r="J268" s="36"/>
      <c r="K268" s="36"/>
      <c r="L268" s="36"/>
      <c r="M268" s="36"/>
      <c r="N268" s="36"/>
      <c r="O268" s="36"/>
      <c r="P268" s="36"/>
      <c r="Q268" s="36"/>
      <c r="R268" s="36"/>
      <c r="S268" s="36"/>
      <c r="T268" s="36"/>
      <c r="U268" s="36"/>
      <c r="V268" s="36"/>
      <c r="W268" s="52" t="str" cm="1">
        <f t="array" ref="W268">IF(A268&lt;&gt;"",_xlfn.IFS(A268="Grade 1",SUM(L268:T268),A268="Grade 2",SUM(L268:V268),A268="Grade 3",SUM(L268:T268)),"")</f>
        <v/>
      </c>
      <c r="X268" s="29" t="str">
        <f t="shared" si="4"/>
        <v xml:space="preserve"> </v>
      </c>
    </row>
    <row r="269" spans="1:24" ht="19.899999999999999" hidden="1" customHeight="1" x14ac:dyDescent="0.35">
      <c r="A269" s="24"/>
      <c r="B269" s="25"/>
      <c r="C269" s="25"/>
      <c r="D269" s="21"/>
      <c r="E269" s="26"/>
      <c r="F269" s="35"/>
      <c r="G269" s="35"/>
      <c r="H269" s="35"/>
      <c r="I269" s="36"/>
      <c r="J269" s="36"/>
      <c r="K269" s="36"/>
      <c r="L269" s="36"/>
      <c r="M269" s="36"/>
      <c r="N269" s="36"/>
      <c r="O269" s="36"/>
      <c r="P269" s="36"/>
      <c r="Q269" s="36"/>
      <c r="R269" s="36"/>
      <c r="S269" s="36"/>
      <c r="T269" s="36"/>
      <c r="U269" s="36"/>
      <c r="V269" s="36"/>
      <c r="W269" s="52" t="str" cm="1">
        <f t="array" ref="W269">IF(A269&lt;&gt;"",_xlfn.IFS(A269="Grade 1",SUM(L269:T269),A269="Grade 2",SUM(L269:V269),A269="Grade 3",SUM(L269:T269)),"")</f>
        <v/>
      </c>
      <c r="X269" s="29" t="str">
        <f t="shared" si="4"/>
        <v xml:space="preserve"> </v>
      </c>
    </row>
    <row r="270" spans="1:24" ht="19.899999999999999" hidden="1" customHeight="1" x14ac:dyDescent="0.35">
      <c r="A270" s="24"/>
      <c r="B270" s="25"/>
      <c r="C270" s="25"/>
      <c r="D270" s="21"/>
      <c r="E270" s="26"/>
      <c r="F270" s="35"/>
      <c r="G270" s="35"/>
      <c r="H270" s="35"/>
      <c r="I270" s="36"/>
      <c r="J270" s="36"/>
      <c r="K270" s="36"/>
      <c r="L270" s="36"/>
      <c r="M270" s="36"/>
      <c r="N270" s="36"/>
      <c r="O270" s="36"/>
      <c r="P270" s="36"/>
      <c r="Q270" s="36"/>
      <c r="R270" s="36"/>
      <c r="S270" s="36"/>
      <c r="T270" s="36"/>
      <c r="U270" s="36"/>
      <c r="V270" s="36"/>
      <c r="W270" s="52" t="str" cm="1">
        <f t="array" ref="W270">IF(A270&lt;&gt;"",_xlfn.IFS(A270="Grade 1",SUM(L270:T270),A270="Grade 2",SUM(L270:V270),A270="Grade 3",SUM(L270:T270)),"")</f>
        <v/>
      </c>
      <c r="X270" s="29" t="str">
        <f t="shared" si="4"/>
        <v xml:space="preserve"> </v>
      </c>
    </row>
    <row r="271" spans="1:24" ht="19.899999999999999" hidden="1" customHeight="1" x14ac:dyDescent="0.35">
      <c r="A271" s="24"/>
      <c r="B271" s="25"/>
      <c r="C271" s="25"/>
      <c r="D271" s="21"/>
      <c r="E271" s="26"/>
      <c r="F271" s="35"/>
      <c r="G271" s="35"/>
      <c r="H271" s="35"/>
      <c r="I271" s="36"/>
      <c r="J271" s="36"/>
      <c r="K271" s="36"/>
      <c r="L271" s="36"/>
      <c r="M271" s="36"/>
      <c r="N271" s="36"/>
      <c r="O271" s="36"/>
      <c r="P271" s="36"/>
      <c r="Q271" s="36"/>
      <c r="R271" s="36"/>
      <c r="S271" s="36"/>
      <c r="T271" s="36"/>
      <c r="U271" s="36"/>
      <c r="V271" s="36"/>
      <c r="W271" s="52" t="str" cm="1">
        <f t="array" ref="W271">IF(A271&lt;&gt;"",_xlfn.IFS(A271="Grade 1",SUM(L271:T271),A271="Grade 2",SUM(L271:V271),A271="Grade 3",SUM(L271:T271)),"")</f>
        <v/>
      </c>
      <c r="X271" s="29" t="str">
        <f t="shared" si="4"/>
        <v xml:space="preserve"> </v>
      </c>
    </row>
    <row r="272" spans="1:24" ht="19.899999999999999" hidden="1" customHeight="1" x14ac:dyDescent="0.35">
      <c r="A272" s="24"/>
      <c r="B272" s="25"/>
      <c r="C272" s="25"/>
      <c r="D272" s="21"/>
      <c r="E272" s="26"/>
      <c r="F272" s="35"/>
      <c r="G272" s="35"/>
      <c r="H272" s="35"/>
      <c r="I272" s="36"/>
      <c r="J272" s="36"/>
      <c r="K272" s="36"/>
      <c r="L272" s="36"/>
      <c r="M272" s="36"/>
      <c r="N272" s="36"/>
      <c r="O272" s="36"/>
      <c r="P272" s="36"/>
      <c r="Q272" s="36"/>
      <c r="R272" s="36"/>
      <c r="S272" s="36"/>
      <c r="T272" s="36"/>
      <c r="U272" s="36"/>
      <c r="V272" s="36"/>
      <c r="W272" s="52" t="str" cm="1">
        <f t="array" ref="W272">IF(A272&lt;&gt;"",_xlfn.IFS(A272="Grade 1",SUM(L272:T272),A272="Grade 2",SUM(L272:V272),A272="Grade 3",SUM(L272:T272)),"")</f>
        <v/>
      </c>
      <c r="X272" s="29" t="str">
        <f t="shared" si="4"/>
        <v xml:space="preserve"> </v>
      </c>
    </row>
    <row r="273" spans="1:24" ht="20.5" hidden="1" customHeight="1" x14ac:dyDescent="0.35">
      <c r="A273" s="24"/>
      <c r="B273" s="25"/>
      <c r="C273" s="25"/>
      <c r="D273" s="21"/>
      <c r="E273" s="26"/>
      <c r="F273" s="35"/>
      <c r="G273" s="35"/>
      <c r="H273" s="35"/>
      <c r="I273" s="36"/>
      <c r="J273" s="36"/>
      <c r="K273" s="36"/>
      <c r="L273" s="36"/>
      <c r="M273" s="36"/>
      <c r="N273" s="36"/>
      <c r="O273" s="36"/>
      <c r="P273" s="36"/>
      <c r="Q273" s="36"/>
      <c r="R273" s="36"/>
      <c r="S273" s="36"/>
      <c r="T273" s="36"/>
      <c r="U273" s="36"/>
      <c r="V273" s="36"/>
      <c r="W273" s="52" t="str" cm="1">
        <f t="array" ref="W273">IF(A273&lt;&gt;"",_xlfn.IFS(A273="Grade 1",SUM(L273:T273),A273="Grade 2",SUM(L273:V273),A273="Grade 3",SUM(L273:T273)),"")</f>
        <v/>
      </c>
      <c r="X273" s="29" t="str">
        <f t="shared" si="4"/>
        <v xml:space="preserve"> </v>
      </c>
    </row>
    <row r="274" spans="1:24" ht="19.899999999999999" hidden="1" customHeight="1" x14ac:dyDescent="0.35">
      <c r="A274" s="24"/>
      <c r="B274" s="25"/>
      <c r="C274" s="25"/>
      <c r="D274" s="21"/>
      <c r="E274" s="26"/>
      <c r="F274" s="35"/>
      <c r="G274" s="35"/>
      <c r="H274" s="35"/>
      <c r="I274" s="36"/>
      <c r="J274" s="36"/>
      <c r="K274" s="36"/>
      <c r="L274" s="36"/>
      <c r="M274" s="36"/>
      <c r="N274" s="36"/>
      <c r="O274" s="36"/>
      <c r="P274" s="36"/>
      <c r="Q274" s="36"/>
      <c r="R274" s="36"/>
      <c r="S274" s="36"/>
      <c r="T274" s="36"/>
      <c r="U274" s="36"/>
      <c r="V274" s="36"/>
      <c r="W274" s="52" t="str" cm="1">
        <f t="array" ref="W274">IF(A274&lt;&gt;"",_xlfn.IFS(A274="Grade 1",SUM(L274:T274),A274="Grade 2",SUM(L274:V274),A274="Grade 3",SUM(L274:T274)),"")</f>
        <v/>
      </c>
      <c r="X274" s="29" t="str">
        <f t="shared" si="4"/>
        <v xml:space="preserve"> </v>
      </c>
    </row>
    <row r="275" spans="1:24" ht="19.899999999999999" hidden="1" customHeight="1" x14ac:dyDescent="0.35">
      <c r="A275" s="24"/>
      <c r="B275" s="25"/>
      <c r="C275" s="25"/>
      <c r="D275" s="21"/>
      <c r="E275" s="26"/>
      <c r="F275" s="35"/>
      <c r="G275" s="35"/>
      <c r="H275" s="35"/>
      <c r="I275" s="36"/>
      <c r="J275" s="36"/>
      <c r="K275" s="36"/>
      <c r="L275" s="36"/>
      <c r="M275" s="36"/>
      <c r="N275" s="36"/>
      <c r="O275" s="36"/>
      <c r="P275" s="36"/>
      <c r="Q275" s="36"/>
      <c r="R275" s="36"/>
      <c r="S275" s="36"/>
      <c r="T275" s="36"/>
      <c r="U275" s="36"/>
      <c r="V275" s="36"/>
      <c r="W275" s="52" t="str" cm="1">
        <f t="array" ref="W275">IF(A275&lt;&gt;"",_xlfn.IFS(A275="Grade 1",SUM(L275:T275),A275="Grade 2",SUM(L275:V275),A275="Grade 3",SUM(L275:T275)),"")</f>
        <v/>
      </c>
      <c r="X275" s="29" t="str">
        <f t="shared" si="4"/>
        <v xml:space="preserve"> </v>
      </c>
    </row>
    <row r="276" spans="1:24" ht="19.899999999999999" hidden="1" customHeight="1" x14ac:dyDescent="0.35">
      <c r="A276" s="24"/>
      <c r="B276" s="25"/>
      <c r="C276" s="25"/>
      <c r="D276" s="21"/>
      <c r="E276" s="26"/>
      <c r="F276" s="35"/>
      <c r="G276" s="35"/>
      <c r="H276" s="35"/>
      <c r="I276" s="36"/>
      <c r="J276" s="36"/>
      <c r="K276" s="36"/>
      <c r="L276" s="36"/>
      <c r="M276" s="36"/>
      <c r="N276" s="36"/>
      <c r="O276" s="36"/>
      <c r="P276" s="36"/>
      <c r="Q276" s="36"/>
      <c r="R276" s="36"/>
      <c r="S276" s="36"/>
      <c r="T276" s="36"/>
      <c r="U276" s="36"/>
      <c r="V276" s="36"/>
      <c r="W276" s="52" t="str" cm="1">
        <f t="array" ref="W276">IF(A276&lt;&gt;"",_xlfn.IFS(A276="Grade 1",SUM(L276:T276),A276="Grade 2",SUM(L276:V276),A276="Grade 3",SUM(L276:T276)),"")</f>
        <v/>
      </c>
      <c r="X276" s="29" t="str">
        <f t="shared" si="4"/>
        <v xml:space="preserve"> </v>
      </c>
    </row>
    <row r="277" spans="1:24" ht="19.899999999999999" hidden="1" customHeight="1" x14ac:dyDescent="0.35">
      <c r="A277" s="24"/>
      <c r="B277" s="25"/>
      <c r="C277" s="25"/>
      <c r="D277" s="21"/>
      <c r="E277" s="26"/>
      <c r="F277" s="35"/>
      <c r="G277" s="35"/>
      <c r="H277" s="35"/>
      <c r="I277" s="36"/>
      <c r="J277" s="36"/>
      <c r="K277" s="36"/>
      <c r="L277" s="36"/>
      <c r="M277" s="36"/>
      <c r="N277" s="36"/>
      <c r="O277" s="36"/>
      <c r="P277" s="36"/>
      <c r="Q277" s="36"/>
      <c r="R277" s="36"/>
      <c r="S277" s="36"/>
      <c r="T277" s="36"/>
      <c r="U277" s="36"/>
      <c r="V277" s="36"/>
      <c r="W277" s="52" t="str" cm="1">
        <f t="array" ref="W277">IF(A277&lt;&gt;"",_xlfn.IFS(A277="Grade 1",SUM(L277:T277),A277="Grade 2",SUM(L277:V277),A277="Grade 3",SUM(L277:T277)),"")</f>
        <v/>
      </c>
      <c r="X277" s="29" t="str">
        <f t="shared" si="4"/>
        <v xml:space="preserve"> </v>
      </c>
    </row>
    <row r="278" spans="1:24" ht="19.899999999999999" hidden="1" customHeight="1" x14ac:dyDescent="0.35">
      <c r="A278" s="24"/>
      <c r="B278" s="25"/>
      <c r="C278" s="25"/>
      <c r="D278" s="21"/>
      <c r="E278" s="26"/>
      <c r="F278" s="35"/>
      <c r="G278" s="35"/>
      <c r="H278" s="35"/>
      <c r="I278" s="36"/>
      <c r="J278" s="36"/>
      <c r="K278" s="36"/>
      <c r="L278" s="36"/>
      <c r="M278" s="36"/>
      <c r="N278" s="36"/>
      <c r="O278" s="36"/>
      <c r="P278" s="36"/>
      <c r="Q278" s="36"/>
      <c r="R278" s="36"/>
      <c r="S278" s="36"/>
      <c r="T278" s="36"/>
      <c r="U278" s="36"/>
      <c r="V278" s="36"/>
      <c r="W278" s="52" t="str" cm="1">
        <f t="array" ref="W278">IF(A278&lt;&gt;"",_xlfn.IFS(A278="Grade 1",SUM(L278:T278),A278="Grade 2",SUM(L278:V278),A278="Grade 3",SUM(L278:T278)),"")</f>
        <v/>
      </c>
      <c r="X278" s="29" t="str">
        <f t="shared" si="4"/>
        <v xml:space="preserve"> </v>
      </c>
    </row>
    <row r="279" spans="1:24" ht="19.899999999999999" hidden="1" customHeight="1" x14ac:dyDescent="0.35">
      <c r="A279" s="24"/>
      <c r="B279" s="25"/>
      <c r="C279" s="25"/>
      <c r="D279" s="21"/>
      <c r="E279" s="26"/>
      <c r="F279" s="35"/>
      <c r="G279" s="35"/>
      <c r="H279" s="35"/>
      <c r="I279" s="36"/>
      <c r="J279" s="36"/>
      <c r="K279" s="36"/>
      <c r="L279" s="36"/>
      <c r="M279" s="36"/>
      <c r="N279" s="36"/>
      <c r="O279" s="36"/>
      <c r="P279" s="36"/>
      <c r="Q279" s="36"/>
      <c r="R279" s="36"/>
      <c r="S279" s="36"/>
      <c r="T279" s="36"/>
      <c r="U279" s="36"/>
      <c r="V279" s="36"/>
      <c r="W279" s="52" t="str" cm="1">
        <f t="array" ref="W279">IF(A279&lt;&gt;"",_xlfn.IFS(A279="Grade 1",SUM(L279:T279),A279="Grade 2",SUM(L279:V279),A279="Grade 3",SUM(L279:T279)),"")</f>
        <v/>
      </c>
      <c r="X279" s="29" t="str">
        <f t="shared" si="4"/>
        <v xml:space="preserve"> </v>
      </c>
    </row>
    <row r="280" spans="1:24" ht="19.899999999999999" hidden="1" customHeight="1" x14ac:dyDescent="0.35">
      <c r="A280" s="24"/>
      <c r="B280" s="25"/>
      <c r="C280" s="25"/>
      <c r="D280" s="21"/>
      <c r="E280" s="26"/>
      <c r="F280" s="35"/>
      <c r="G280" s="35"/>
      <c r="H280" s="35"/>
      <c r="I280" s="36"/>
      <c r="J280" s="36"/>
      <c r="K280" s="36"/>
      <c r="L280" s="36"/>
      <c r="M280" s="36"/>
      <c r="N280" s="36"/>
      <c r="O280" s="36"/>
      <c r="P280" s="36"/>
      <c r="Q280" s="36"/>
      <c r="R280" s="36"/>
      <c r="S280" s="36"/>
      <c r="T280" s="36"/>
      <c r="U280" s="36"/>
      <c r="V280" s="36"/>
      <c r="W280" s="52" t="str" cm="1">
        <f t="array" ref="W280">IF(A280&lt;&gt;"",_xlfn.IFS(A280="Grade 1",SUM(L280:T280),A280="Grade 2",SUM(L280:V280),A280="Grade 3",SUM(L280:T280)),"")</f>
        <v/>
      </c>
      <c r="X280" s="29" t="str">
        <f t="shared" si="4"/>
        <v xml:space="preserve"> </v>
      </c>
    </row>
    <row r="281" spans="1:24" ht="19.899999999999999" hidden="1" customHeight="1" x14ac:dyDescent="0.35">
      <c r="A281" s="24"/>
      <c r="B281" s="25"/>
      <c r="C281" s="25"/>
      <c r="D281" s="21"/>
      <c r="E281" s="26"/>
      <c r="F281" s="35"/>
      <c r="G281" s="35"/>
      <c r="H281" s="35"/>
      <c r="I281" s="36"/>
      <c r="J281" s="36"/>
      <c r="K281" s="36"/>
      <c r="L281" s="36"/>
      <c r="M281" s="36"/>
      <c r="N281" s="36"/>
      <c r="O281" s="36"/>
      <c r="P281" s="36"/>
      <c r="Q281" s="36"/>
      <c r="R281" s="36"/>
      <c r="S281" s="36"/>
      <c r="T281" s="36"/>
      <c r="U281" s="36"/>
      <c r="V281" s="36"/>
      <c r="W281" s="52" t="str" cm="1">
        <f t="array" ref="W281">IF(A281&lt;&gt;"",_xlfn.IFS(A281="Grade 1",SUM(L281:T281),A281="Grade 2",SUM(L281:V281),A281="Grade 3",SUM(L281:T281)),"")</f>
        <v/>
      </c>
      <c r="X281" s="29" t="str">
        <f t="shared" si="4"/>
        <v xml:space="preserve"> </v>
      </c>
    </row>
    <row r="282" spans="1:24" ht="19.899999999999999" hidden="1" customHeight="1" x14ac:dyDescent="0.35">
      <c r="A282" s="24"/>
      <c r="B282" s="25"/>
      <c r="C282" s="25"/>
      <c r="D282" s="21"/>
      <c r="E282" s="26"/>
      <c r="F282" s="35"/>
      <c r="G282" s="35"/>
      <c r="H282" s="35"/>
      <c r="I282" s="36"/>
      <c r="J282" s="36"/>
      <c r="K282" s="36"/>
      <c r="L282" s="36"/>
      <c r="M282" s="36"/>
      <c r="N282" s="36"/>
      <c r="O282" s="36"/>
      <c r="P282" s="36"/>
      <c r="Q282" s="36"/>
      <c r="R282" s="36"/>
      <c r="S282" s="36"/>
      <c r="T282" s="36"/>
      <c r="U282" s="36"/>
      <c r="V282" s="36"/>
      <c r="W282" s="52" t="str" cm="1">
        <f t="array" ref="W282">IF(A282&lt;&gt;"",_xlfn.IFS(A282="Grade 1",SUM(L282:T282),A282="Grade 2",SUM(L282:V282),A282="Grade 3",SUM(L282:T282)),"")</f>
        <v/>
      </c>
      <c r="X282" s="29" t="str">
        <f t="shared" si="4"/>
        <v xml:space="preserve"> </v>
      </c>
    </row>
    <row r="283" spans="1:24" ht="19.899999999999999" hidden="1" customHeight="1" x14ac:dyDescent="0.35">
      <c r="A283" s="24"/>
      <c r="B283" s="25"/>
      <c r="C283" s="25"/>
      <c r="D283" s="21"/>
      <c r="E283" s="26"/>
      <c r="F283" s="35"/>
      <c r="G283" s="35"/>
      <c r="H283" s="35"/>
      <c r="I283" s="36"/>
      <c r="J283" s="36"/>
      <c r="K283" s="36"/>
      <c r="L283" s="36"/>
      <c r="M283" s="36"/>
      <c r="N283" s="36"/>
      <c r="O283" s="36"/>
      <c r="P283" s="36"/>
      <c r="Q283" s="36"/>
      <c r="R283" s="36"/>
      <c r="S283" s="36"/>
      <c r="T283" s="36"/>
      <c r="U283" s="36"/>
      <c r="V283" s="36"/>
      <c r="W283" s="52" t="str" cm="1">
        <f t="array" ref="W283">IF(A283&lt;&gt;"",_xlfn.IFS(A283="Grade 1",SUM(L283:T283),A283="Grade 2",SUM(L283:V283),A283="Grade 3",SUM(L283:T283)),"")</f>
        <v/>
      </c>
      <c r="X283" s="29" t="str">
        <f t="shared" ref="X283:X314" si="5">IF(ISBLANK(A283)," ",IF(SUM(I283:K283)=E283,"Data Validated","Data with Error"))</f>
        <v xml:space="preserve"> </v>
      </c>
    </row>
    <row r="284" spans="1:24" ht="19.899999999999999" hidden="1" customHeight="1" x14ac:dyDescent="0.35">
      <c r="A284" s="24"/>
      <c r="B284" s="25"/>
      <c r="C284" s="25"/>
      <c r="D284" s="21"/>
      <c r="E284" s="26"/>
      <c r="F284" s="35"/>
      <c r="G284" s="35"/>
      <c r="H284" s="35"/>
      <c r="I284" s="36"/>
      <c r="J284" s="36"/>
      <c r="K284" s="36"/>
      <c r="L284" s="36"/>
      <c r="M284" s="36"/>
      <c r="N284" s="36"/>
      <c r="O284" s="36"/>
      <c r="P284" s="36"/>
      <c r="Q284" s="36"/>
      <c r="R284" s="36"/>
      <c r="S284" s="36"/>
      <c r="T284" s="36"/>
      <c r="U284" s="36"/>
      <c r="V284" s="36"/>
      <c r="W284" s="52" t="str" cm="1">
        <f t="array" ref="W284">IF(A284&lt;&gt;"",_xlfn.IFS(A284="Grade 1",SUM(L284:T284),A284="Grade 2",SUM(L284:V284),A284="Grade 3",SUM(L284:T284)),"")</f>
        <v/>
      </c>
      <c r="X284" s="29" t="str">
        <f t="shared" si="5"/>
        <v xml:space="preserve"> </v>
      </c>
    </row>
    <row r="285" spans="1:24" ht="19.899999999999999" hidden="1" customHeight="1" x14ac:dyDescent="0.35">
      <c r="A285" s="24"/>
      <c r="B285" s="25"/>
      <c r="C285" s="25"/>
      <c r="D285" s="21"/>
      <c r="E285" s="26"/>
      <c r="F285" s="35"/>
      <c r="G285" s="35"/>
      <c r="H285" s="35"/>
      <c r="I285" s="36"/>
      <c r="J285" s="36"/>
      <c r="K285" s="36"/>
      <c r="L285" s="36"/>
      <c r="M285" s="36"/>
      <c r="N285" s="36"/>
      <c r="O285" s="36"/>
      <c r="P285" s="36"/>
      <c r="Q285" s="36"/>
      <c r="R285" s="36"/>
      <c r="S285" s="36"/>
      <c r="T285" s="36"/>
      <c r="U285" s="36"/>
      <c r="V285" s="36"/>
      <c r="W285" s="52" t="str" cm="1">
        <f t="array" ref="W285">IF(A285&lt;&gt;"",_xlfn.IFS(A285="Grade 1",SUM(L285:T285),A285="Grade 2",SUM(L285:V285),A285="Grade 3",SUM(L285:T285)),"")</f>
        <v/>
      </c>
      <c r="X285" s="29" t="str">
        <f t="shared" si="5"/>
        <v xml:space="preserve"> </v>
      </c>
    </row>
    <row r="286" spans="1:24" ht="19.899999999999999" hidden="1" customHeight="1" x14ac:dyDescent="0.35">
      <c r="A286" s="24"/>
      <c r="B286" s="25"/>
      <c r="C286" s="25"/>
      <c r="D286" s="21"/>
      <c r="E286" s="26"/>
      <c r="F286" s="35"/>
      <c r="G286" s="35"/>
      <c r="H286" s="35"/>
      <c r="I286" s="36"/>
      <c r="J286" s="36"/>
      <c r="K286" s="36"/>
      <c r="L286" s="36"/>
      <c r="M286" s="36"/>
      <c r="N286" s="36"/>
      <c r="O286" s="36"/>
      <c r="P286" s="36"/>
      <c r="Q286" s="36"/>
      <c r="R286" s="36"/>
      <c r="S286" s="36"/>
      <c r="T286" s="36"/>
      <c r="U286" s="36"/>
      <c r="V286" s="36"/>
      <c r="W286" s="52" t="str" cm="1">
        <f t="array" ref="W286">IF(A286&lt;&gt;"",_xlfn.IFS(A286="Grade 1",SUM(L286:T286),A286="Grade 2",SUM(L286:V286),A286="Grade 3",SUM(L286:T286)),"")</f>
        <v/>
      </c>
      <c r="X286" s="29" t="str">
        <f t="shared" si="5"/>
        <v xml:space="preserve"> </v>
      </c>
    </row>
    <row r="287" spans="1:24" ht="19.899999999999999" hidden="1" customHeight="1" x14ac:dyDescent="0.35">
      <c r="A287" s="24"/>
      <c r="B287" s="25"/>
      <c r="C287" s="25"/>
      <c r="D287" s="21"/>
      <c r="E287" s="26"/>
      <c r="F287" s="35"/>
      <c r="G287" s="35"/>
      <c r="H287" s="35"/>
      <c r="I287" s="36"/>
      <c r="J287" s="36"/>
      <c r="K287" s="36"/>
      <c r="L287" s="36"/>
      <c r="M287" s="36"/>
      <c r="N287" s="36"/>
      <c r="O287" s="36"/>
      <c r="P287" s="36"/>
      <c r="Q287" s="36"/>
      <c r="R287" s="36"/>
      <c r="S287" s="36"/>
      <c r="T287" s="36"/>
      <c r="U287" s="36"/>
      <c r="V287" s="36"/>
      <c r="W287" s="52" t="str" cm="1">
        <f t="array" ref="W287">IF(A287&lt;&gt;"",_xlfn.IFS(A287="Grade 1",SUM(L287:T287),A287="Grade 2",SUM(L287:V287),A287="Grade 3",SUM(L287:T287)),"")</f>
        <v/>
      </c>
      <c r="X287" s="29" t="str">
        <f t="shared" si="5"/>
        <v xml:space="preserve"> </v>
      </c>
    </row>
    <row r="288" spans="1:24" ht="19.899999999999999" hidden="1" customHeight="1" x14ac:dyDescent="0.35">
      <c r="A288" s="24"/>
      <c r="B288" s="25"/>
      <c r="C288" s="25"/>
      <c r="D288" s="21"/>
      <c r="E288" s="26"/>
      <c r="F288" s="35"/>
      <c r="G288" s="35"/>
      <c r="H288" s="35"/>
      <c r="I288" s="36"/>
      <c r="J288" s="36"/>
      <c r="K288" s="36"/>
      <c r="L288" s="36"/>
      <c r="M288" s="36"/>
      <c r="N288" s="36"/>
      <c r="O288" s="36"/>
      <c r="P288" s="36"/>
      <c r="Q288" s="36"/>
      <c r="R288" s="36"/>
      <c r="S288" s="36"/>
      <c r="T288" s="36"/>
      <c r="U288" s="36"/>
      <c r="V288" s="36"/>
      <c r="W288" s="52" t="str" cm="1">
        <f t="array" ref="W288">IF(A288&lt;&gt;"",_xlfn.IFS(A288="Grade 1",SUM(L288:T288),A288="Grade 2",SUM(L288:V288),A288="Grade 3",SUM(L288:T288)),"")</f>
        <v/>
      </c>
      <c r="X288" s="29" t="str">
        <f t="shared" si="5"/>
        <v xml:space="preserve"> </v>
      </c>
    </row>
    <row r="289" spans="1:24" ht="19.899999999999999" hidden="1" customHeight="1" x14ac:dyDescent="0.35">
      <c r="A289" s="24"/>
      <c r="B289" s="25"/>
      <c r="C289" s="25"/>
      <c r="D289" s="21"/>
      <c r="E289" s="26"/>
      <c r="F289" s="35"/>
      <c r="G289" s="35"/>
      <c r="H289" s="35"/>
      <c r="I289" s="36"/>
      <c r="J289" s="36"/>
      <c r="K289" s="36"/>
      <c r="L289" s="36"/>
      <c r="M289" s="36"/>
      <c r="N289" s="36"/>
      <c r="O289" s="36"/>
      <c r="P289" s="36"/>
      <c r="Q289" s="36"/>
      <c r="R289" s="36"/>
      <c r="S289" s="36"/>
      <c r="T289" s="36"/>
      <c r="U289" s="36"/>
      <c r="V289" s="36"/>
      <c r="W289" s="52" t="str" cm="1">
        <f t="array" ref="W289">IF(A289&lt;&gt;"",_xlfn.IFS(A289="Grade 1",SUM(L289:T289),A289="Grade 2",SUM(L289:V289),A289="Grade 3",SUM(L289:T289)),"")</f>
        <v/>
      </c>
      <c r="X289" s="29" t="str">
        <f t="shared" si="5"/>
        <v xml:space="preserve"> </v>
      </c>
    </row>
    <row r="290" spans="1:24" ht="19.899999999999999" hidden="1" customHeight="1" x14ac:dyDescent="0.35">
      <c r="A290" s="24"/>
      <c r="B290" s="25"/>
      <c r="C290" s="25"/>
      <c r="D290" s="21"/>
      <c r="E290" s="26"/>
      <c r="F290" s="35"/>
      <c r="G290" s="35"/>
      <c r="H290" s="35"/>
      <c r="I290" s="36"/>
      <c r="J290" s="36"/>
      <c r="K290" s="36"/>
      <c r="L290" s="36"/>
      <c r="M290" s="36"/>
      <c r="N290" s="36"/>
      <c r="O290" s="36"/>
      <c r="P290" s="36"/>
      <c r="Q290" s="36"/>
      <c r="R290" s="36"/>
      <c r="S290" s="36"/>
      <c r="T290" s="36"/>
      <c r="U290" s="36"/>
      <c r="V290" s="36"/>
      <c r="W290" s="52" t="str" cm="1">
        <f t="array" ref="W290">IF(A290&lt;&gt;"",_xlfn.IFS(A290="Grade 1",SUM(L290:T290),A290="Grade 2",SUM(L290:V290),A290="Grade 3",SUM(L290:T290)),"")</f>
        <v/>
      </c>
      <c r="X290" s="29" t="str">
        <f t="shared" si="5"/>
        <v xml:space="preserve"> </v>
      </c>
    </row>
    <row r="291" spans="1:24" ht="19.899999999999999" hidden="1" customHeight="1" x14ac:dyDescent="0.35">
      <c r="A291" s="24"/>
      <c r="B291" s="25"/>
      <c r="C291" s="25"/>
      <c r="D291" s="21"/>
      <c r="E291" s="26"/>
      <c r="F291" s="35"/>
      <c r="G291" s="35"/>
      <c r="H291" s="35"/>
      <c r="I291" s="36"/>
      <c r="J291" s="36"/>
      <c r="K291" s="36"/>
      <c r="L291" s="36"/>
      <c r="M291" s="36"/>
      <c r="N291" s="36"/>
      <c r="O291" s="36"/>
      <c r="P291" s="36"/>
      <c r="Q291" s="36"/>
      <c r="R291" s="36"/>
      <c r="S291" s="36"/>
      <c r="T291" s="36"/>
      <c r="U291" s="36"/>
      <c r="V291" s="36"/>
      <c r="W291" s="52" t="str" cm="1">
        <f t="array" ref="W291">IF(A291&lt;&gt;"",_xlfn.IFS(A291="Grade 1",SUM(L291:T291),A291="Grade 2",SUM(L291:V291),A291="Grade 3",SUM(L291:T291)),"")</f>
        <v/>
      </c>
      <c r="X291" s="29" t="str">
        <f t="shared" si="5"/>
        <v xml:space="preserve"> </v>
      </c>
    </row>
    <row r="292" spans="1:24" ht="19.899999999999999" hidden="1" customHeight="1" x14ac:dyDescent="0.35">
      <c r="A292" s="24"/>
      <c r="B292" s="25"/>
      <c r="C292" s="25"/>
      <c r="D292" s="21"/>
      <c r="E292" s="26"/>
      <c r="F292" s="35"/>
      <c r="G292" s="35"/>
      <c r="H292" s="35"/>
      <c r="I292" s="36"/>
      <c r="J292" s="36"/>
      <c r="K292" s="36"/>
      <c r="L292" s="36"/>
      <c r="M292" s="36"/>
      <c r="N292" s="36"/>
      <c r="O292" s="36"/>
      <c r="P292" s="36"/>
      <c r="Q292" s="36"/>
      <c r="R292" s="36"/>
      <c r="S292" s="36"/>
      <c r="T292" s="36"/>
      <c r="U292" s="36"/>
      <c r="V292" s="36"/>
      <c r="W292" s="52" t="str" cm="1">
        <f t="array" ref="W292">IF(A292&lt;&gt;"",_xlfn.IFS(A292="Grade 1",SUM(L292:T292),A292="Grade 2",SUM(L292:V292),A292="Grade 3",SUM(L292:T292)),"")</f>
        <v/>
      </c>
      <c r="X292" s="29" t="str">
        <f t="shared" si="5"/>
        <v xml:space="preserve"> </v>
      </c>
    </row>
    <row r="293" spans="1:24" ht="19.899999999999999" hidden="1" customHeight="1" x14ac:dyDescent="0.35">
      <c r="A293" s="24"/>
      <c r="B293" s="25"/>
      <c r="C293" s="25"/>
      <c r="D293" s="21"/>
      <c r="E293" s="26"/>
      <c r="F293" s="35"/>
      <c r="G293" s="35"/>
      <c r="H293" s="35"/>
      <c r="I293" s="36"/>
      <c r="J293" s="36"/>
      <c r="K293" s="36"/>
      <c r="L293" s="36"/>
      <c r="M293" s="36"/>
      <c r="N293" s="36"/>
      <c r="O293" s="36"/>
      <c r="P293" s="36"/>
      <c r="Q293" s="36"/>
      <c r="R293" s="36"/>
      <c r="S293" s="36"/>
      <c r="T293" s="36"/>
      <c r="U293" s="36"/>
      <c r="V293" s="36"/>
      <c r="W293" s="52" t="str" cm="1">
        <f t="array" ref="W293">IF(A293&lt;&gt;"",_xlfn.IFS(A293="Grade 1",SUM(L293:T293),A293="Grade 2",SUM(L293:V293),A293="Grade 3",SUM(L293:T293)),"")</f>
        <v/>
      </c>
      <c r="X293" s="29" t="str">
        <f t="shared" si="5"/>
        <v xml:space="preserve"> </v>
      </c>
    </row>
    <row r="294" spans="1:24" ht="19.899999999999999" hidden="1" customHeight="1" x14ac:dyDescent="0.35">
      <c r="A294" s="24"/>
      <c r="B294" s="25"/>
      <c r="C294" s="25"/>
      <c r="D294" s="21"/>
      <c r="E294" s="26"/>
      <c r="F294" s="35"/>
      <c r="G294" s="35"/>
      <c r="H294" s="35"/>
      <c r="I294" s="36"/>
      <c r="J294" s="36"/>
      <c r="K294" s="36"/>
      <c r="L294" s="36"/>
      <c r="M294" s="36"/>
      <c r="N294" s="36"/>
      <c r="O294" s="36"/>
      <c r="P294" s="36"/>
      <c r="Q294" s="36"/>
      <c r="R294" s="36"/>
      <c r="S294" s="36"/>
      <c r="T294" s="36"/>
      <c r="U294" s="36"/>
      <c r="V294" s="36"/>
      <c r="W294" s="52" t="str" cm="1">
        <f t="array" ref="W294">IF(A294&lt;&gt;"",_xlfn.IFS(A294="Grade 1",SUM(L294:T294),A294="Grade 2",SUM(L294:V294),A294="Grade 3",SUM(L294:T294)),"")</f>
        <v/>
      </c>
      <c r="X294" s="29" t="str">
        <f t="shared" si="5"/>
        <v xml:space="preserve"> </v>
      </c>
    </row>
    <row r="295" spans="1:24" ht="19.899999999999999" hidden="1" customHeight="1" x14ac:dyDescent="0.35">
      <c r="A295" s="24"/>
      <c r="B295" s="25"/>
      <c r="C295" s="25"/>
      <c r="D295" s="21"/>
      <c r="E295" s="26"/>
      <c r="F295" s="35"/>
      <c r="G295" s="35"/>
      <c r="H295" s="35"/>
      <c r="I295" s="36"/>
      <c r="J295" s="36"/>
      <c r="K295" s="36"/>
      <c r="L295" s="36"/>
      <c r="M295" s="36"/>
      <c r="N295" s="36"/>
      <c r="O295" s="36"/>
      <c r="P295" s="36"/>
      <c r="Q295" s="36"/>
      <c r="R295" s="36"/>
      <c r="S295" s="36"/>
      <c r="T295" s="36"/>
      <c r="U295" s="36"/>
      <c r="V295" s="36"/>
      <c r="W295" s="52" t="str" cm="1">
        <f t="array" ref="W295">IF(A295&lt;&gt;"",_xlfn.IFS(A295="Grade 1",SUM(L295:T295),A295="Grade 2",SUM(L295:V295),A295="Grade 3",SUM(L295:T295)),"")</f>
        <v/>
      </c>
      <c r="X295" s="29" t="str">
        <f t="shared" si="5"/>
        <v xml:space="preserve"> </v>
      </c>
    </row>
    <row r="296" spans="1:24" ht="19.899999999999999" hidden="1" customHeight="1" x14ac:dyDescent="0.35">
      <c r="A296" s="24"/>
      <c r="B296" s="25"/>
      <c r="C296" s="25"/>
      <c r="D296" s="21"/>
      <c r="E296" s="26"/>
      <c r="F296" s="35"/>
      <c r="G296" s="35"/>
      <c r="H296" s="35"/>
      <c r="I296" s="36"/>
      <c r="J296" s="36"/>
      <c r="K296" s="36"/>
      <c r="L296" s="36"/>
      <c r="M296" s="36"/>
      <c r="N296" s="36"/>
      <c r="O296" s="36"/>
      <c r="P296" s="36"/>
      <c r="Q296" s="36"/>
      <c r="R296" s="36"/>
      <c r="S296" s="36"/>
      <c r="T296" s="36"/>
      <c r="U296" s="36"/>
      <c r="V296" s="36"/>
      <c r="W296" s="52" t="str" cm="1">
        <f t="array" ref="W296">IF(A296&lt;&gt;"",_xlfn.IFS(A296="Grade 1",SUM(L296:T296),A296="Grade 2",SUM(L296:V296),A296="Grade 3",SUM(L296:T296)),"")</f>
        <v/>
      </c>
      <c r="X296" s="29" t="str">
        <f t="shared" si="5"/>
        <v xml:space="preserve"> </v>
      </c>
    </row>
    <row r="297" spans="1:24" ht="19.899999999999999" hidden="1" customHeight="1" x14ac:dyDescent="0.35">
      <c r="A297" s="24"/>
      <c r="B297" s="25"/>
      <c r="C297" s="25"/>
      <c r="D297" s="21"/>
      <c r="E297" s="26"/>
      <c r="F297" s="35"/>
      <c r="G297" s="35"/>
      <c r="H297" s="35"/>
      <c r="I297" s="36"/>
      <c r="J297" s="36"/>
      <c r="K297" s="36"/>
      <c r="L297" s="36"/>
      <c r="M297" s="36"/>
      <c r="N297" s="36"/>
      <c r="O297" s="36"/>
      <c r="P297" s="36"/>
      <c r="Q297" s="36"/>
      <c r="R297" s="36"/>
      <c r="S297" s="36"/>
      <c r="T297" s="36"/>
      <c r="U297" s="36"/>
      <c r="V297" s="36"/>
      <c r="W297" s="52" t="str" cm="1">
        <f t="array" ref="W297">IF(A297&lt;&gt;"",_xlfn.IFS(A297="Grade 1",SUM(L297:T297),A297="Grade 2",SUM(L297:V297),A297="Grade 3",SUM(L297:T297)),"")</f>
        <v/>
      </c>
      <c r="X297" s="29" t="str">
        <f t="shared" si="5"/>
        <v xml:space="preserve"> </v>
      </c>
    </row>
    <row r="298" spans="1:24" ht="19.899999999999999" hidden="1" customHeight="1" x14ac:dyDescent="0.35">
      <c r="A298" s="24"/>
      <c r="B298" s="25"/>
      <c r="C298" s="25"/>
      <c r="D298" s="21"/>
      <c r="E298" s="26"/>
      <c r="F298" s="35"/>
      <c r="G298" s="35"/>
      <c r="H298" s="35"/>
      <c r="I298" s="36"/>
      <c r="J298" s="36"/>
      <c r="K298" s="36"/>
      <c r="L298" s="36"/>
      <c r="M298" s="36"/>
      <c r="N298" s="36"/>
      <c r="O298" s="36"/>
      <c r="P298" s="36"/>
      <c r="Q298" s="36"/>
      <c r="R298" s="36"/>
      <c r="S298" s="36"/>
      <c r="T298" s="36"/>
      <c r="U298" s="36"/>
      <c r="V298" s="36"/>
      <c r="W298" s="52" t="str" cm="1">
        <f t="array" ref="W298">IF(A298&lt;&gt;"",_xlfn.IFS(A298="Grade 1",SUM(L298:T298),A298="Grade 2",SUM(L298:V298),A298="Grade 3",SUM(L298:T298)),"")</f>
        <v/>
      </c>
      <c r="X298" s="29" t="str">
        <f t="shared" si="5"/>
        <v xml:space="preserve"> </v>
      </c>
    </row>
    <row r="299" spans="1:24" ht="19.899999999999999" hidden="1" customHeight="1" x14ac:dyDescent="0.35">
      <c r="A299" s="24"/>
      <c r="B299" s="25"/>
      <c r="C299" s="25"/>
      <c r="D299" s="21"/>
      <c r="E299" s="26"/>
      <c r="F299" s="35"/>
      <c r="G299" s="35"/>
      <c r="H299" s="35"/>
      <c r="I299" s="36"/>
      <c r="J299" s="36"/>
      <c r="K299" s="36"/>
      <c r="L299" s="36"/>
      <c r="M299" s="36"/>
      <c r="N299" s="36"/>
      <c r="O299" s="36"/>
      <c r="P299" s="36"/>
      <c r="Q299" s="36"/>
      <c r="R299" s="36"/>
      <c r="S299" s="36"/>
      <c r="T299" s="36"/>
      <c r="U299" s="36"/>
      <c r="V299" s="36"/>
      <c r="W299" s="52" t="str" cm="1">
        <f t="array" ref="W299">IF(A299&lt;&gt;"",_xlfn.IFS(A299="Grade 1",SUM(L299:T299),A299="Grade 2",SUM(L299:V299),A299="Grade 3",SUM(L299:T299)),"")</f>
        <v/>
      </c>
      <c r="X299" s="29" t="str">
        <f t="shared" si="5"/>
        <v xml:space="preserve"> </v>
      </c>
    </row>
    <row r="300" spans="1:24" ht="19.899999999999999" hidden="1" customHeight="1" x14ac:dyDescent="0.35">
      <c r="A300" s="24"/>
      <c r="B300" s="25"/>
      <c r="C300" s="25"/>
      <c r="D300" s="21"/>
      <c r="E300" s="26"/>
      <c r="F300" s="35"/>
      <c r="G300" s="35"/>
      <c r="H300" s="35"/>
      <c r="I300" s="36"/>
      <c r="J300" s="36"/>
      <c r="K300" s="36"/>
      <c r="L300" s="36"/>
      <c r="M300" s="36"/>
      <c r="N300" s="36"/>
      <c r="O300" s="36"/>
      <c r="P300" s="36"/>
      <c r="Q300" s="36"/>
      <c r="R300" s="36"/>
      <c r="S300" s="36"/>
      <c r="T300" s="36"/>
      <c r="U300" s="36"/>
      <c r="V300" s="36"/>
      <c r="W300" s="52" t="str" cm="1">
        <f t="array" ref="W300">IF(A300&lt;&gt;"",_xlfn.IFS(A300="Grade 1",SUM(L300:T300),A300="Grade 2",SUM(L300:V300),A300="Grade 3",SUM(L300:T300)),"")</f>
        <v/>
      </c>
      <c r="X300" s="29" t="str">
        <f t="shared" si="5"/>
        <v xml:space="preserve"> </v>
      </c>
    </row>
    <row r="301" spans="1:24" ht="19.899999999999999" hidden="1" customHeight="1" x14ac:dyDescent="0.35">
      <c r="A301" s="24"/>
      <c r="B301" s="25"/>
      <c r="C301" s="25"/>
      <c r="D301" s="21"/>
      <c r="E301" s="26"/>
      <c r="F301" s="35"/>
      <c r="G301" s="35"/>
      <c r="H301" s="35"/>
      <c r="I301" s="36"/>
      <c r="J301" s="36"/>
      <c r="K301" s="36"/>
      <c r="L301" s="36"/>
      <c r="M301" s="36"/>
      <c r="N301" s="36"/>
      <c r="O301" s="36"/>
      <c r="P301" s="36"/>
      <c r="Q301" s="36"/>
      <c r="R301" s="36"/>
      <c r="S301" s="36"/>
      <c r="T301" s="36"/>
      <c r="U301" s="36"/>
      <c r="V301" s="36"/>
      <c r="W301" s="52" t="str" cm="1">
        <f t="array" ref="W301">IF(A301&lt;&gt;"",_xlfn.IFS(A301="Grade 1",SUM(L301:T301),A301="Grade 2",SUM(L301:V301),A301="Grade 3",SUM(L301:T301)),"")</f>
        <v/>
      </c>
      <c r="X301" s="29" t="str">
        <f t="shared" si="5"/>
        <v xml:space="preserve"> </v>
      </c>
    </row>
    <row r="302" spans="1:24" ht="19.899999999999999" hidden="1" customHeight="1" x14ac:dyDescent="0.35">
      <c r="A302" s="24"/>
      <c r="B302" s="25"/>
      <c r="C302" s="25"/>
      <c r="D302" s="21"/>
      <c r="E302" s="26"/>
      <c r="F302" s="35"/>
      <c r="G302" s="35"/>
      <c r="H302" s="35"/>
      <c r="I302" s="36"/>
      <c r="J302" s="36"/>
      <c r="K302" s="36"/>
      <c r="L302" s="36"/>
      <c r="M302" s="36"/>
      <c r="N302" s="36"/>
      <c r="O302" s="36"/>
      <c r="P302" s="36"/>
      <c r="Q302" s="36"/>
      <c r="R302" s="36"/>
      <c r="S302" s="36"/>
      <c r="T302" s="36"/>
      <c r="U302" s="36"/>
      <c r="V302" s="36"/>
      <c r="W302" s="52" t="str" cm="1">
        <f t="array" ref="W302">IF(A302&lt;&gt;"",_xlfn.IFS(A302="Grade 1",SUM(L302:T302),A302="Grade 2",SUM(L302:V302),A302="Grade 3",SUM(L302:T302)),"")</f>
        <v/>
      </c>
      <c r="X302" s="29" t="str">
        <f t="shared" si="5"/>
        <v xml:space="preserve"> </v>
      </c>
    </row>
    <row r="303" spans="1:24" ht="19.899999999999999" hidden="1" customHeight="1" x14ac:dyDescent="0.35">
      <c r="A303" s="24"/>
      <c r="B303" s="25"/>
      <c r="C303" s="25"/>
      <c r="D303" s="21"/>
      <c r="E303" s="26"/>
      <c r="F303" s="35"/>
      <c r="G303" s="35"/>
      <c r="H303" s="35"/>
      <c r="I303" s="36"/>
      <c r="J303" s="36"/>
      <c r="K303" s="36"/>
      <c r="L303" s="36"/>
      <c r="M303" s="36"/>
      <c r="N303" s="36"/>
      <c r="O303" s="36"/>
      <c r="P303" s="36"/>
      <c r="Q303" s="36"/>
      <c r="R303" s="36"/>
      <c r="S303" s="36"/>
      <c r="T303" s="36"/>
      <c r="U303" s="36"/>
      <c r="V303" s="36"/>
      <c r="W303" s="52" t="str" cm="1">
        <f t="array" ref="W303">IF(A303&lt;&gt;"",_xlfn.IFS(A303="Grade 1",SUM(L303:T303),A303="Grade 2",SUM(L303:V303),A303="Grade 3",SUM(L303:T303)),"")</f>
        <v/>
      </c>
      <c r="X303" s="29" t="str">
        <f t="shared" si="5"/>
        <v xml:space="preserve"> </v>
      </c>
    </row>
    <row r="304" spans="1:24" ht="19.899999999999999" hidden="1" customHeight="1" x14ac:dyDescent="0.35">
      <c r="A304" s="24"/>
      <c r="B304" s="25"/>
      <c r="C304" s="25"/>
      <c r="D304" s="21"/>
      <c r="E304" s="26"/>
      <c r="F304" s="35"/>
      <c r="G304" s="35"/>
      <c r="H304" s="35"/>
      <c r="I304" s="36"/>
      <c r="J304" s="36"/>
      <c r="K304" s="36"/>
      <c r="L304" s="36"/>
      <c r="M304" s="36"/>
      <c r="N304" s="36"/>
      <c r="O304" s="36"/>
      <c r="P304" s="36"/>
      <c r="Q304" s="36"/>
      <c r="R304" s="36"/>
      <c r="S304" s="36"/>
      <c r="T304" s="36"/>
      <c r="U304" s="36"/>
      <c r="V304" s="36"/>
      <c r="W304" s="52" t="str" cm="1">
        <f t="array" ref="W304">IF(A304&lt;&gt;"",_xlfn.IFS(A304="Grade 1",SUM(L304:T304),A304="Grade 2",SUM(L304:V304),A304="Grade 3",SUM(L304:T304)),"")</f>
        <v/>
      </c>
      <c r="X304" s="29" t="str">
        <f t="shared" si="5"/>
        <v xml:space="preserve"> </v>
      </c>
    </row>
    <row r="305" spans="1:24" ht="19.899999999999999" hidden="1" customHeight="1" x14ac:dyDescent="0.35">
      <c r="A305" s="24"/>
      <c r="B305" s="25"/>
      <c r="C305" s="25"/>
      <c r="D305" s="21"/>
      <c r="E305" s="26"/>
      <c r="F305" s="35"/>
      <c r="G305" s="35"/>
      <c r="H305" s="35"/>
      <c r="I305" s="36"/>
      <c r="J305" s="36"/>
      <c r="K305" s="36"/>
      <c r="L305" s="36"/>
      <c r="M305" s="36"/>
      <c r="N305" s="36"/>
      <c r="O305" s="36"/>
      <c r="P305" s="36"/>
      <c r="Q305" s="36"/>
      <c r="R305" s="36"/>
      <c r="S305" s="36"/>
      <c r="T305" s="36"/>
      <c r="U305" s="36"/>
      <c r="V305" s="36"/>
      <c r="W305" s="52" t="str" cm="1">
        <f t="array" ref="W305">IF(A305&lt;&gt;"",_xlfn.IFS(A305="Grade 1",SUM(L305:T305),A305="Grade 2",SUM(L305:V305),A305="Grade 3",SUM(L305:T305)),"")</f>
        <v/>
      </c>
      <c r="X305" s="29" t="str">
        <f t="shared" si="5"/>
        <v xml:space="preserve"> </v>
      </c>
    </row>
    <row r="306" spans="1:24" ht="19.899999999999999" hidden="1" customHeight="1" x14ac:dyDescent="0.35">
      <c r="A306" s="24"/>
      <c r="B306" s="25"/>
      <c r="C306" s="25"/>
      <c r="D306" s="21"/>
      <c r="E306" s="26"/>
      <c r="F306" s="35"/>
      <c r="G306" s="35"/>
      <c r="H306" s="35"/>
      <c r="I306" s="36"/>
      <c r="J306" s="36"/>
      <c r="K306" s="36"/>
      <c r="L306" s="36"/>
      <c r="M306" s="36"/>
      <c r="N306" s="36"/>
      <c r="O306" s="36"/>
      <c r="P306" s="36"/>
      <c r="Q306" s="36"/>
      <c r="R306" s="36"/>
      <c r="S306" s="36"/>
      <c r="T306" s="36"/>
      <c r="U306" s="36"/>
      <c r="V306" s="36"/>
      <c r="W306" s="52" t="str" cm="1">
        <f t="array" ref="W306">IF(A306&lt;&gt;"",_xlfn.IFS(A306="Grade 1",SUM(L306:T306),A306="Grade 2",SUM(L306:V306),A306="Grade 3",SUM(L306:T306)),"")</f>
        <v/>
      </c>
      <c r="X306" s="29" t="str">
        <f t="shared" si="5"/>
        <v xml:space="preserve"> </v>
      </c>
    </row>
    <row r="307" spans="1:24" ht="19.899999999999999" hidden="1" customHeight="1" x14ac:dyDescent="0.35">
      <c r="A307" s="24"/>
      <c r="B307" s="25"/>
      <c r="C307" s="25"/>
      <c r="D307" s="21"/>
      <c r="E307" s="26"/>
      <c r="F307" s="35"/>
      <c r="G307" s="35"/>
      <c r="H307" s="35"/>
      <c r="I307" s="36"/>
      <c r="J307" s="36"/>
      <c r="K307" s="36"/>
      <c r="L307" s="36"/>
      <c r="M307" s="36"/>
      <c r="N307" s="36"/>
      <c r="O307" s="36"/>
      <c r="P307" s="36"/>
      <c r="Q307" s="36"/>
      <c r="R307" s="36"/>
      <c r="S307" s="36"/>
      <c r="T307" s="36"/>
      <c r="U307" s="36"/>
      <c r="V307" s="36"/>
      <c r="W307" s="52" t="str" cm="1">
        <f t="array" ref="W307">IF(A307&lt;&gt;"",_xlfn.IFS(A307="Grade 1",SUM(L307:T307),A307="Grade 2",SUM(L307:V307),A307="Grade 3",SUM(L307:T307)),"")</f>
        <v/>
      </c>
      <c r="X307" s="29" t="str">
        <f t="shared" si="5"/>
        <v xml:space="preserve"> </v>
      </c>
    </row>
    <row r="308" spans="1:24" ht="19.899999999999999" hidden="1" customHeight="1" x14ac:dyDescent="0.35">
      <c r="A308" s="24"/>
      <c r="B308" s="25"/>
      <c r="C308" s="25"/>
      <c r="D308" s="21"/>
      <c r="E308" s="26"/>
      <c r="F308" s="35"/>
      <c r="G308" s="35"/>
      <c r="H308" s="35"/>
      <c r="I308" s="36"/>
      <c r="J308" s="36"/>
      <c r="K308" s="36"/>
      <c r="L308" s="36"/>
      <c r="M308" s="36"/>
      <c r="N308" s="36"/>
      <c r="O308" s="36"/>
      <c r="P308" s="36"/>
      <c r="Q308" s="36"/>
      <c r="R308" s="36"/>
      <c r="S308" s="36"/>
      <c r="T308" s="36"/>
      <c r="U308" s="36"/>
      <c r="V308" s="36"/>
      <c r="W308" s="52" t="str" cm="1">
        <f t="array" ref="W308">IF(A308&lt;&gt;"",_xlfn.IFS(A308="Grade 1",SUM(L308:T308),A308="Grade 2",SUM(L308:V308),A308="Grade 3",SUM(L308:T308)),"")</f>
        <v/>
      </c>
      <c r="X308" s="29" t="str">
        <f t="shared" si="5"/>
        <v xml:space="preserve"> </v>
      </c>
    </row>
    <row r="309" spans="1:24" ht="19.899999999999999" hidden="1" customHeight="1" x14ac:dyDescent="0.35">
      <c r="A309" s="24"/>
      <c r="B309" s="25"/>
      <c r="C309" s="25"/>
      <c r="D309" s="21"/>
      <c r="E309" s="26"/>
      <c r="F309" s="35"/>
      <c r="G309" s="35"/>
      <c r="H309" s="35"/>
      <c r="I309" s="36"/>
      <c r="J309" s="36"/>
      <c r="K309" s="36"/>
      <c r="L309" s="36"/>
      <c r="M309" s="36"/>
      <c r="N309" s="36"/>
      <c r="O309" s="36"/>
      <c r="P309" s="36"/>
      <c r="Q309" s="36"/>
      <c r="R309" s="36"/>
      <c r="S309" s="36"/>
      <c r="T309" s="36"/>
      <c r="U309" s="36"/>
      <c r="V309" s="36"/>
      <c r="W309" s="52" t="str" cm="1">
        <f t="array" ref="W309">IF(A309&lt;&gt;"",_xlfn.IFS(A309="Grade 1",SUM(L309:T309),A309="Grade 2",SUM(L309:V309),A309="Grade 3",SUM(L309:T309)),"")</f>
        <v/>
      </c>
      <c r="X309" s="29" t="str">
        <f t="shared" si="5"/>
        <v xml:space="preserve"> </v>
      </c>
    </row>
    <row r="310" spans="1:24" ht="19.899999999999999" hidden="1" customHeight="1" x14ac:dyDescent="0.35">
      <c r="A310" s="24"/>
      <c r="B310" s="25"/>
      <c r="C310" s="25"/>
      <c r="D310" s="21"/>
      <c r="E310" s="26"/>
      <c r="F310" s="35"/>
      <c r="G310" s="35"/>
      <c r="H310" s="35"/>
      <c r="I310" s="36"/>
      <c r="J310" s="36"/>
      <c r="K310" s="36"/>
      <c r="L310" s="36"/>
      <c r="M310" s="36"/>
      <c r="N310" s="36"/>
      <c r="O310" s="36"/>
      <c r="P310" s="36"/>
      <c r="Q310" s="36"/>
      <c r="R310" s="36"/>
      <c r="S310" s="36"/>
      <c r="T310" s="36"/>
      <c r="U310" s="36"/>
      <c r="V310" s="36"/>
      <c r="W310" s="52" t="str" cm="1">
        <f t="array" ref="W310">IF(A310&lt;&gt;"",_xlfn.IFS(A310="Grade 1",SUM(L310:T310),A310="Grade 2",SUM(L310:V310),A310="Grade 3",SUM(L310:T310)),"")</f>
        <v/>
      </c>
      <c r="X310" s="29" t="str">
        <f t="shared" si="5"/>
        <v xml:space="preserve"> </v>
      </c>
    </row>
    <row r="311" spans="1:24" ht="19.899999999999999" hidden="1" customHeight="1" x14ac:dyDescent="0.35">
      <c r="A311" s="24"/>
      <c r="B311" s="25"/>
      <c r="C311" s="25"/>
      <c r="D311" s="21"/>
      <c r="E311" s="26"/>
      <c r="F311" s="35"/>
      <c r="G311" s="35"/>
      <c r="H311" s="35"/>
      <c r="I311" s="36"/>
      <c r="J311" s="36"/>
      <c r="K311" s="36"/>
      <c r="L311" s="36"/>
      <c r="M311" s="36"/>
      <c r="N311" s="36"/>
      <c r="O311" s="36"/>
      <c r="P311" s="36"/>
      <c r="Q311" s="36"/>
      <c r="R311" s="36"/>
      <c r="S311" s="36"/>
      <c r="T311" s="36"/>
      <c r="U311" s="36"/>
      <c r="V311" s="36"/>
      <c r="W311" s="52" t="str" cm="1">
        <f t="array" ref="W311">IF(A311&lt;&gt;"",_xlfn.IFS(A311="Grade 1",SUM(L311:T311),A311="Grade 2",SUM(L311:V311),A311="Grade 3",SUM(L311:T311)),"")</f>
        <v/>
      </c>
      <c r="X311" s="29" t="str">
        <f t="shared" si="5"/>
        <v xml:space="preserve"> </v>
      </c>
    </row>
    <row r="312" spans="1:24" ht="19.899999999999999" hidden="1" customHeight="1" x14ac:dyDescent="0.35">
      <c r="A312" s="24"/>
      <c r="B312" s="25"/>
      <c r="C312" s="25"/>
      <c r="D312" s="21"/>
      <c r="E312" s="26"/>
      <c r="F312" s="35"/>
      <c r="G312" s="35"/>
      <c r="H312" s="35"/>
      <c r="I312" s="36"/>
      <c r="J312" s="36"/>
      <c r="K312" s="36"/>
      <c r="L312" s="36"/>
      <c r="M312" s="36"/>
      <c r="N312" s="36"/>
      <c r="O312" s="36"/>
      <c r="P312" s="36"/>
      <c r="Q312" s="36"/>
      <c r="R312" s="36"/>
      <c r="S312" s="36"/>
      <c r="T312" s="36"/>
      <c r="U312" s="36"/>
      <c r="V312" s="36"/>
      <c r="W312" s="52" t="str" cm="1">
        <f t="array" ref="W312">IF(A312&lt;&gt;"",_xlfn.IFS(A312="Grade 1",SUM(L312:T312),A312="Grade 2",SUM(L312:V312),A312="Grade 3",SUM(L312:T312)),"")</f>
        <v/>
      </c>
      <c r="X312" s="29" t="str">
        <f t="shared" si="5"/>
        <v xml:space="preserve"> </v>
      </c>
    </row>
    <row r="313" spans="1:24" ht="19.899999999999999" hidden="1" customHeight="1" x14ac:dyDescent="0.35">
      <c r="A313" s="24"/>
      <c r="B313" s="25"/>
      <c r="C313" s="25"/>
      <c r="D313" s="21"/>
      <c r="E313" s="26"/>
      <c r="F313" s="35"/>
      <c r="G313" s="35"/>
      <c r="H313" s="35"/>
      <c r="I313" s="36"/>
      <c r="J313" s="36"/>
      <c r="K313" s="36"/>
      <c r="L313" s="36"/>
      <c r="M313" s="36"/>
      <c r="N313" s="36"/>
      <c r="O313" s="36"/>
      <c r="P313" s="36"/>
      <c r="Q313" s="36"/>
      <c r="R313" s="36"/>
      <c r="S313" s="36"/>
      <c r="T313" s="36"/>
      <c r="U313" s="36"/>
      <c r="V313" s="36"/>
      <c r="W313" s="52" t="str" cm="1">
        <f t="array" ref="W313">IF(A313&lt;&gt;"",_xlfn.IFS(A313="Grade 1",SUM(L313:T313),A313="Grade 2",SUM(L313:V313),A313="Grade 3",SUM(L313:T313)),"")</f>
        <v/>
      </c>
      <c r="X313" s="29" t="str">
        <f t="shared" si="5"/>
        <v xml:space="preserve"> </v>
      </c>
    </row>
    <row r="314" spans="1:24" ht="19.899999999999999" hidden="1" customHeight="1" x14ac:dyDescent="0.35">
      <c r="A314" s="24"/>
      <c r="B314" s="25"/>
      <c r="C314" s="25"/>
      <c r="D314" s="21"/>
      <c r="E314" s="26"/>
      <c r="F314" s="35"/>
      <c r="G314" s="35"/>
      <c r="H314" s="35"/>
      <c r="I314" s="36"/>
      <c r="J314" s="36"/>
      <c r="K314" s="36"/>
      <c r="L314" s="36"/>
      <c r="M314" s="36"/>
      <c r="N314" s="36"/>
      <c r="O314" s="36"/>
      <c r="P314" s="36"/>
      <c r="Q314" s="36"/>
      <c r="R314" s="36"/>
      <c r="S314" s="36"/>
      <c r="T314" s="36"/>
      <c r="U314" s="36"/>
      <c r="V314" s="36"/>
      <c r="W314" s="52" t="str" cm="1">
        <f t="array" ref="W314">IF(A314&lt;&gt;"",_xlfn.IFS(A314="Grade 1",SUM(L314:T314),A314="Grade 2",SUM(L314:V314),A314="Grade 3",SUM(L314:T314)),"")</f>
        <v/>
      </c>
      <c r="X314" s="29" t="str">
        <f t="shared" si="5"/>
        <v xml:space="preserve"> </v>
      </c>
    </row>
    <row r="315" spans="1:24" ht="19.899999999999999" hidden="1" customHeight="1" x14ac:dyDescent="0.35">
      <c r="A315" s="24"/>
      <c r="B315" s="25"/>
      <c r="C315" s="25"/>
      <c r="D315" s="21"/>
      <c r="E315" s="26"/>
      <c r="F315" s="35"/>
      <c r="G315" s="35"/>
      <c r="H315" s="35"/>
      <c r="I315" s="36"/>
      <c r="J315" s="36"/>
      <c r="K315" s="36"/>
      <c r="L315" s="36"/>
      <c r="M315" s="36"/>
      <c r="N315" s="36"/>
      <c r="O315" s="36"/>
      <c r="P315" s="36"/>
      <c r="Q315" s="36"/>
      <c r="R315" s="36"/>
      <c r="S315" s="36"/>
      <c r="T315" s="36"/>
      <c r="U315" s="36"/>
      <c r="V315" s="36"/>
      <c r="W315" s="52" t="str" cm="1">
        <f t="array" ref="W315">IF(A315&lt;&gt;"",_xlfn.IFS(A315="Grade 1",SUM(L315:T315),A315="Grade 2",SUM(L315:V315),A315="Grade 3",SUM(L315:T315)),"")</f>
        <v/>
      </c>
      <c r="X315" s="29" t="str">
        <f t="shared" ref="X315:X346" si="6">IF(ISBLANK(A315)," ",IF(SUM(I315:K315)=E315,"Data Validated","Data with Error"))</f>
        <v xml:space="preserve"> </v>
      </c>
    </row>
    <row r="316" spans="1:24" ht="19.899999999999999" hidden="1" customHeight="1" x14ac:dyDescent="0.35">
      <c r="A316" s="24"/>
      <c r="B316" s="25"/>
      <c r="C316" s="25"/>
      <c r="D316" s="21"/>
      <c r="E316" s="26"/>
      <c r="F316" s="35"/>
      <c r="G316" s="35"/>
      <c r="H316" s="35"/>
      <c r="I316" s="36"/>
      <c r="J316" s="36"/>
      <c r="K316" s="36"/>
      <c r="L316" s="36"/>
      <c r="M316" s="36"/>
      <c r="N316" s="36"/>
      <c r="O316" s="36"/>
      <c r="P316" s="36"/>
      <c r="Q316" s="36"/>
      <c r="R316" s="36"/>
      <c r="S316" s="36"/>
      <c r="T316" s="36"/>
      <c r="U316" s="36"/>
      <c r="V316" s="36"/>
      <c r="W316" s="52" t="str" cm="1">
        <f t="array" ref="W316">IF(A316&lt;&gt;"",_xlfn.IFS(A316="Grade 1",SUM(L316:T316),A316="Grade 2",SUM(L316:V316),A316="Grade 3",SUM(L316:T316)),"")</f>
        <v/>
      </c>
      <c r="X316" s="29" t="str">
        <f t="shared" si="6"/>
        <v xml:space="preserve"> </v>
      </c>
    </row>
    <row r="317" spans="1:24" ht="19.899999999999999" hidden="1" customHeight="1" x14ac:dyDescent="0.35">
      <c r="A317" s="24"/>
      <c r="B317" s="25"/>
      <c r="C317" s="25"/>
      <c r="D317" s="21"/>
      <c r="E317" s="26"/>
      <c r="F317" s="35"/>
      <c r="G317" s="35"/>
      <c r="H317" s="35"/>
      <c r="I317" s="36"/>
      <c r="J317" s="36"/>
      <c r="K317" s="36"/>
      <c r="L317" s="36"/>
      <c r="M317" s="36"/>
      <c r="N317" s="36"/>
      <c r="O317" s="36"/>
      <c r="P317" s="36"/>
      <c r="Q317" s="36"/>
      <c r="R317" s="36"/>
      <c r="S317" s="36"/>
      <c r="T317" s="36"/>
      <c r="U317" s="36"/>
      <c r="V317" s="36"/>
      <c r="W317" s="52" t="str" cm="1">
        <f t="array" ref="W317">IF(A317&lt;&gt;"",_xlfn.IFS(A317="Grade 1",SUM(L317:T317),A317="Grade 2",SUM(L317:V317),A317="Grade 3",SUM(L317:T317)),"")</f>
        <v/>
      </c>
      <c r="X317" s="29" t="str">
        <f t="shared" si="6"/>
        <v xml:space="preserve"> </v>
      </c>
    </row>
    <row r="318" spans="1:24" ht="19.899999999999999" hidden="1" customHeight="1" x14ac:dyDescent="0.35">
      <c r="A318" s="24"/>
      <c r="B318" s="25"/>
      <c r="C318" s="25"/>
      <c r="D318" s="21"/>
      <c r="E318" s="26"/>
      <c r="F318" s="35"/>
      <c r="G318" s="35"/>
      <c r="H318" s="35"/>
      <c r="I318" s="36"/>
      <c r="J318" s="36"/>
      <c r="K318" s="36"/>
      <c r="L318" s="36"/>
      <c r="M318" s="36"/>
      <c r="N318" s="36"/>
      <c r="O318" s="36"/>
      <c r="P318" s="36"/>
      <c r="Q318" s="36"/>
      <c r="R318" s="36"/>
      <c r="S318" s="36"/>
      <c r="T318" s="36"/>
      <c r="U318" s="36"/>
      <c r="V318" s="36"/>
      <c r="W318" s="52" t="str" cm="1">
        <f t="array" ref="W318">IF(A318&lt;&gt;"",_xlfn.IFS(A318="Grade 1",SUM(L318:T318),A318="Grade 2",SUM(L318:V318),A318="Grade 3",SUM(L318:T318)),"")</f>
        <v/>
      </c>
      <c r="X318" s="29" t="str">
        <f t="shared" si="6"/>
        <v xml:space="preserve"> </v>
      </c>
    </row>
    <row r="319" spans="1:24" ht="19.899999999999999" hidden="1" customHeight="1" x14ac:dyDescent="0.35">
      <c r="A319" s="24"/>
      <c r="B319" s="25"/>
      <c r="C319" s="25"/>
      <c r="D319" s="21"/>
      <c r="E319" s="26"/>
      <c r="F319" s="35"/>
      <c r="G319" s="35"/>
      <c r="H319" s="35"/>
      <c r="I319" s="36"/>
      <c r="J319" s="36"/>
      <c r="K319" s="36"/>
      <c r="L319" s="36"/>
      <c r="M319" s="36"/>
      <c r="N319" s="36"/>
      <c r="O319" s="36"/>
      <c r="P319" s="36"/>
      <c r="Q319" s="36"/>
      <c r="R319" s="36"/>
      <c r="S319" s="36"/>
      <c r="T319" s="36"/>
      <c r="U319" s="36"/>
      <c r="V319" s="36"/>
      <c r="W319" s="52" t="str" cm="1">
        <f t="array" ref="W319">IF(A319&lt;&gt;"",_xlfn.IFS(A319="Grade 1",SUM(L319:T319),A319="Grade 2",SUM(L319:V319),A319="Grade 3",SUM(L319:T319)),"")</f>
        <v/>
      </c>
      <c r="X319" s="29" t="str">
        <f t="shared" si="6"/>
        <v xml:space="preserve"> </v>
      </c>
    </row>
    <row r="320" spans="1:24" ht="19.899999999999999" hidden="1" customHeight="1" x14ac:dyDescent="0.35">
      <c r="A320" s="24"/>
      <c r="B320" s="25"/>
      <c r="C320" s="25"/>
      <c r="D320" s="21"/>
      <c r="E320" s="26"/>
      <c r="F320" s="35"/>
      <c r="G320" s="35"/>
      <c r="H320" s="35"/>
      <c r="I320" s="36"/>
      <c r="J320" s="36"/>
      <c r="K320" s="36"/>
      <c r="L320" s="36"/>
      <c r="M320" s="36"/>
      <c r="N320" s="36"/>
      <c r="O320" s="36"/>
      <c r="P320" s="36"/>
      <c r="Q320" s="36"/>
      <c r="R320" s="36"/>
      <c r="S320" s="36"/>
      <c r="T320" s="36"/>
      <c r="U320" s="36"/>
      <c r="V320" s="36"/>
      <c r="W320" s="52" t="str" cm="1">
        <f t="array" ref="W320">IF(A320&lt;&gt;"",_xlfn.IFS(A320="Grade 1",SUM(L320:T320),A320="Grade 2",SUM(L320:V320),A320="Grade 3",SUM(L320:T320)),"")</f>
        <v/>
      </c>
      <c r="X320" s="29" t="str">
        <f t="shared" si="6"/>
        <v xml:space="preserve"> </v>
      </c>
    </row>
    <row r="321" spans="1:24" ht="19.899999999999999" hidden="1" customHeight="1" x14ac:dyDescent="0.35">
      <c r="A321" s="24"/>
      <c r="B321" s="25"/>
      <c r="C321" s="25"/>
      <c r="D321" s="21"/>
      <c r="E321" s="26"/>
      <c r="F321" s="35"/>
      <c r="G321" s="35"/>
      <c r="H321" s="35"/>
      <c r="I321" s="36"/>
      <c r="J321" s="36"/>
      <c r="K321" s="36"/>
      <c r="L321" s="36"/>
      <c r="M321" s="36"/>
      <c r="N321" s="36"/>
      <c r="O321" s="36"/>
      <c r="P321" s="36"/>
      <c r="Q321" s="36"/>
      <c r="R321" s="36"/>
      <c r="S321" s="36"/>
      <c r="T321" s="36"/>
      <c r="U321" s="36"/>
      <c r="V321" s="36"/>
      <c r="W321" s="52" t="str" cm="1">
        <f t="array" ref="W321">IF(A321&lt;&gt;"",_xlfn.IFS(A321="Grade 1",SUM(L321:T321),A321="Grade 2",SUM(L321:V321),A321="Grade 3",SUM(L321:T321)),"")</f>
        <v/>
      </c>
      <c r="X321" s="29" t="str">
        <f t="shared" si="6"/>
        <v xml:space="preserve"> </v>
      </c>
    </row>
    <row r="322" spans="1:24" ht="19.899999999999999" hidden="1" customHeight="1" x14ac:dyDescent="0.35">
      <c r="A322" s="24"/>
      <c r="B322" s="25"/>
      <c r="C322" s="25"/>
      <c r="D322" s="21"/>
      <c r="E322" s="26"/>
      <c r="F322" s="35"/>
      <c r="G322" s="35"/>
      <c r="H322" s="35"/>
      <c r="I322" s="36"/>
      <c r="J322" s="36"/>
      <c r="K322" s="36"/>
      <c r="L322" s="36"/>
      <c r="M322" s="36"/>
      <c r="N322" s="36"/>
      <c r="O322" s="36"/>
      <c r="P322" s="36"/>
      <c r="Q322" s="36"/>
      <c r="R322" s="36"/>
      <c r="S322" s="36"/>
      <c r="T322" s="36"/>
      <c r="U322" s="36"/>
      <c r="V322" s="36"/>
      <c r="W322" s="52" t="str" cm="1">
        <f t="array" ref="W322">IF(A322&lt;&gt;"",_xlfn.IFS(A322="Grade 1",SUM(L322:T322),A322="Grade 2",SUM(L322:V322),A322="Grade 3",SUM(L322:T322)),"")</f>
        <v/>
      </c>
      <c r="X322" s="29" t="str">
        <f t="shared" si="6"/>
        <v xml:space="preserve"> </v>
      </c>
    </row>
    <row r="323" spans="1:24" ht="19.899999999999999" hidden="1" customHeight="1" x14ac:dyDescent="0.35">
      <c r="A323" s="24"/>
      <c r="B323" s="25"/>
      <c r="C323" s="25"/>
      <c r="D323" s="21"/>
      <c r="E323" s="26"/>
      <c r="F323" s="35"/>
      <c r="G323" s="35"/>
      <c r="H323" s="35"/>
      <c r="I323" s="36"/>
      <c r="J323" s="36"/>
      <c r="K323" s="36"/>
      <c r="L323" s="36"/>
      <c r="M323" s="36"/>
      <c r="N323" s="36"/>
      <c r="O323" s="36"/>
      <c r="P323" s="36"/>
      <c r="Q323" s="36"/>
      <c r="R323" s="36"/>
      <c r="S323" s="36"/>
      <c r="T323" s="36"/>
      <c r="U323" s="36"/>
      <c r="V323" s="36"/>
      <c r="W323" s="52" t="str" cm="1">
        <f t="array" ref="W323">IF(A323&lt;&gt;"",_xlfn.IFS(A323="Grade 1",SUM(L323:T323),A323="Grade 2",SUM(L323:V323),A323="Grade 3",SUM(L323:T323)),"")</f>
        <v/>
      </c>
      <c r="X323" s="29" t="str">
        <f t="shared" si="6"/>
        <v xml:space="preserve"> </v>
      </c>
    </row>
    <row r="324" spans="1:24" ht="19.899999999999999" hidden="1" customHeight="1" x14ac:dyDescent="0.35">
      <c r="A324" s="24"/>
      <c r="B324" s="25"/>
      <c r="C324" s="25"/>
      <c r="D324" s="21"/>
      <c r="E324" s="26"/>
      <c r="F324" s="35"/>
      <c r="G324" s="35"/>
      <c r="H324" s="35"/>
      <c r="I324" s="36"/>
      <c r="J324" s="36"/>
      <c r="K324" s="36"/>
      <c r="L324" s="36"/>
      <c r="M324" s="36"/>
      <c r="N324" s="36"/>
      <c r="O324" s="36"/>
      <c r="P324" s="36"/>
      <c r="Q324" s="36"/>
      <c r="R324" s="36"/>
      <c r="S324" s="36"/>
      <c r="T324" s="36"/>
      <c r="U324" s="36"/>
      <c r="V324" s="36"/>
      <c r="W324" s="52" t="str" cm="1">
        <f t="array" ref="W324">IF(A324&lt;&gt;"",_xlfn.IFS(A324="Grade 1",SUM(L324:T324),A324="Grade 2",SUM(L324:V324),A324="Grade 3",SUM(L324:T324)),"")</f>
        <v/>
      </c>
      <c r="X324" s="29" t="str">
        <f t="shared" si="6"/>
        <v xml:space="preserve"> </v>
      </c>
    </row>
    <row r="325" spans="1:24" ht="19.899999999999999" hidden="1" customHeight="1" x14ac:dyDescent="0.35">
      <c r="A325" s="24"/>
      <c r="B325" s="25"/>
      <c r="C325" s="25"/>
      <c r="D325" s="21"/>
      <c r="E325" s="26"/>
      <c r="F325" s="35"/>
      <c r="G325" s="35"/>
      <c r="H325" s="35"/>
      <c r="I325" s="36"/>
      <c r="J325" s="36"/>
      <c r="K325" s="36"/>
      <c r="L325" s="36"/>
      <c r="M325" s="36"/>
      <c r="N325" s="36"/>
      <c r="O325" s="36"/>
      <c r="P325" s="36"/>
      <c r="Q325" s="36"/>
      <c r="R325" s="36"/>
      <c r="S325" s="36"/>
      <c r="T325" s="36"/>
      <c r="U325" s="36"/>
      <c r="V325" s="36"/>
      <c r="W325" s="52" t="str" cm="1">
        <f t="array" ref="W325">IF(A325&lt;&gt;"",_xlfn.IFS(A325="Grade 1",SUM(L325:T325),A325="Grade 2",SUM(L325:V325),A325="Grade 3",SUM(L325:T325)),"")</f>
        <v/>
      </c>
      <c r="X325" s="29" t="str">
        <f t="shared" si="6"/>
        <v xml:space="preserve"> </v>
      </c>
    </row>
    <row r="326" spans="1:24" ht="19.899999999999999" hidden="1" customHeight="1" x14ac:dyDescent="0.35">
      <c r="A326" s="24"/>
      <c r="B326" s="25"/>
      <c r="C326" s="25"/>
      <c r="D326" s="21"/>
      <c r="E326" s="26"/>
      <c r="F326" s="35"/>
      <c r="G326" s="35"/>
      <c r="H326" s="35"/>
      <c r="I326" s="36"/>
      <c r="J326" s="36"/>
      <c r="K326" s="36"/>
      <c r="L326" s="36"/>
      <c r="M326" s="36"/>
      <c r="N326" s="36"/>
      <c r="O326" s="36"/>
      <c r="P326" s="36"/>
      <c r="Q326" s="36"/>
      <c r="R326" s="36"/>
      <c r="S326" s="36"/>
      <c r="T326" s="36"/>
      <c r="U326" s="36"/>
      <c r="V326" s="36"/>
      <c r="W326" s="52" t="str" cm="1">
        <f t="array" ref="W326">IF(A326&lt;&gt;"",_xlfn.IFS(A326="Grade 1",SUM(L326:T326),A326="Grade 2",SUM(L326:V326),A326="Grade 3",SUM(L326:T326)),"")</f>
        <v/>
      </c>
      <c r="X326" s="29" t="str">
        <f t="shared" si="6"/>
        <v xml:space="preserve"> </v>
      </c>
    </row>
    <row r="327" spans="1:24" ht="19.899999999999999" hidden="1" customHeight="1" x14ac:dyDescent="0.35">
      <c r="A327" s="24"/>
      <c r="B327" s="25"/>
      <c r="C327" s="25"/>
      <c r="D327" s="21"/>
      <c r="E327" s="26"/>
      <c r="F327" s="35"/>
      <c r="G327" s="35"/>
      <c r="H327" s="35"/>
      <c r="I327" s="36"/>
      <c r="J327" s="36"/>
      <c r="K327" s="36"/>
      <c r="L327" s="36"/>
      <c r="M327" s="36"/>
      <c r="N327" s="36"/>
      <c r="O327" s="36"/>
      <c r="P327" s="36"/>
      <c r="Q327" s="36"/>
      <c r="R327" s="36"/>
      <c r="S327" s="36"/>
      <c r="T327" s="36"/>
      <c r="U327" s="36"/>
      <c r="V327" s="36"/>
      <c r="W327" s="52" t="str" cm="1">
        <f t="array" ref="W327">IF(A327&lt;&gt;"",_xlfn.IFS(A327="Grade 1",SUM(L327:T327),A327="Grade 2",SUM(L327:V327),A327="Grade 3",SUM(L327:T327)),"")</f>
        <v/>
      </c>
      <c r="X327" s="29" t="str">
        <f t="shared" si="6"/>
        <v xml:space="preserve"> </v>
      </c>
    </row>
    <row r="328" spans="1:24" ht="19.899999999999999" hidden="1" customHeight="1" x14ac:dyDescent="0.35">
      <c r="A328" s="24"/>
      <c r="B328" s="25"/>
      <c r="C328" s="25"/>
      <c r="D328" s="21"/>
      <c r="E328" s="26"/>
      <c r="F328" s="35"/>
      <c r="G328" s="35"/>
      <c r="H328" s="35"/>
      <c r="I328" s="36"/>
      <c r="J328" s="36"/>
      <c r="K328" s="36"/>
      <c r="L328" s="36"/>
      <c r="M328" s="36"/>
      <c r="N328" s="36"/>
      <c r="O328" s="36"/>
      <c r="P328" s="36"/>
      <c r="Q328" s="36"/>
      <c r="R328" s="36"/>
      <c r="S328" s="36"/>
      <c r="T328" s="36"/>
      <c r="U328" s="36"/>
      <c r="V328" s="36"/>
      <c r="W328" s="52" t="str" cm="1">
        <f t="array" ref="W328">IF(A328&lt;&gt;"",_xlfn.IFS(A328="Grade 1",SUM(L328:T328),A328="Grade 2",SUM(L328:V328),A328="Grade 3",SUM(L328:T328)),"")</f>
        <v/>
      </c>
      <c r="X328" s="29" t="str">
        <f t="shared" si="6"/>
        <v xml:space="preserve"> </v>
      </c>
    </row>
    <row r="329" spans="1:24" ht="19.899999999999999" hidden="1" customHeight="1" x14ac:dyDescent="0.35">
      <c r="A329" s="24"/>
      <c r="B329" s="25"/>
      <c r="C329" s="25"/>
      <c r="D329" s="21"/>
      <c r="E329" s="26"/>
      <c r="F329" s="35"/>
      <c r="G329" s="35"/>
      <c r="H329" s="35"/>
      <c r="I329" s="36"/>
      <c r="J329" s="36"/>
      <c r="K329" s="36"/>
      <c r="L329" s="36"/>
      <c r="M329" s="36"/>
      <c r="N329" s="36"/>
      <c r="O329" s="36"/>
      <c r="P329" s="36"/>
      <c r="Q329" s="36"/>
      <c r="R329" s="36"/>
      <c r="S329" s="36"/>
      <c r="T329" s="36"/>
      <c r="U329" s="36"/>
      <c r="V329" s="36"/>
      <c r="W329" s="52" t="str" cm="1">
        <f t="array" ref="W329">IF(A329&lt;&gt;"",_xlfn.IFS(A329="Grade 1",SUM(L329:T329),A329="Grade 2",SUM(L329:V329),A329="Grade 3",SUM(L329:T329)),"")</f>
        <v/>
      </c>
      <c r="X329" s="29" t="str">
        <f t="shared" si="6"/>
        <v xml:space="preserve"> </v>
      </c>
    </row>
    <row r="330" spans="1:24" ht="19.899999999999999" hidden="1" customHeight="1" x14ac:dyDescent="0.35">
      <c r="A330" s="24"/>
      <c r="B330" s="25"/>
      <c r="C330" s="25"/>
      <c r="D330" s="21"/>
      <c r="E330" s="26"/>
      <c r="F330" s="35"/>
      <c r="G330" s="35"/>
      <c r="H330" s="35"/>
      <c r="I330" s="36"/>
      <c r="J330" s="36"/>
      <c r="K330" s="36"/>
      <c r="L330" s="36"/>
      <c r="M330" s="36"/>
      <c r="N330" s="36"/>
      <c r="O330" s="36"/>
      <c r="P330" s="36"/>
      <c r="Q330" s="36"/>
      <c r="R330" s="36"/>
      <c r="S330" s="36"/>
      <c r="T330" s="36"/>
      <c r="U330" s="36"/>
      <c r="V330" s="36"/>
      <c r="W330" s="52" t="str" cm="1">
        <f t="array" ref="W330">IF(A330&lt;&gt;"",_xlfn.IFS(A330="Grade 1",SUM(L330:T330),A330="Grade 2",SUM(L330:V330),A330="Grade 3",SUM(L330:T330)),"")</f>
        <v/>
      </c>
      <c r="X330" s="29" t="str">
        <f t="shared" si="6"/>
        <v xml:space="preserve"> </v>
      </c>
    </row>
    <row r="331" spans="1:24" ht="19.899999999999999" hidden="1" customHeight="1" x14ac:dyDescent="0.35">
      <c r="A331" s="24"/>
      <c r="B331" s="25"/>
      <c r="C331" s="25"/>
      <c r="D331" s="21"/>
      <c r="E331" s="26"/>
      <c r="F331" s="35"/>
      <c r="G331" s="35"/>
      <c r="H331" s="35"/>
      <c r="I331" s="36"/>
      <c r="J331" s="36"/>
      <c r="K331" s="36"/>
      <c r="L331" s="36"/>
      <c r="M331" s="36"/>
      <c r="N331" s="36"/>
      <c r="O331" s="36"/>
      <c r="P331" s="36"/>
      <c r="Q331" s="36"/>
      <c r="R331" s="36"/>
      <c r="S331" s="36"/>
      <c r="T331" s="36"/>
      <c r="U331" s="36"/>
      <c r="V331" s="36"/>
      <c r="W331" s="52" t="str" cm="1">
        <f t="array" ref="W331">IF(A331&lt;&gt;"",_xlfn.IFS(A331="Grade 1",SUM(L331:T331),A331="Grade 2",SUM(L331:V331),A331="Grade 3",SUM(L331:T331)),"")</f>
        <v/>
      </c>
      <c r="X331" s="29" t="str">
        <f t="shared" si="6"/>
        <v xml:space="preserve"> </v>
      </c>
    </row>
    <row r="332" spans="1:24" ht="19.899999999999999" hidden="1" customHeight="1" x14ac:dyDescent="0.35">
      <c r="A332" s="24"/>
      <c r="B332" s="25"/>
      <c r="C332" s="25"/>
      <c r="D332" s="21"/>
      <c r="E332" s="26"/>
      <c r="F332" s="35"/>
      <c r="G332" s="35"/>
      <c r="H332" s="35"/>
      <c r="I332" s="36"/>
      <c r="J332" s="36"/>
      <c r="K332" s="36"/>
      <c r="L332" s="36"/>
      <c r="M332" s="36"/>
      <c r="N332" s="36"/>
      <c r="O332" s="36"/>
      <c r="P332" s="36"/>
      <c r="Q332" s="36"/>
      <c r="R332" s="36"/>
      <c r="S332" s="36"/>
      <c r="T332" s="36"/>
      <c r="U332" s="36"/>
      <c r="V332" s="36"/>
      <c r="W332" s="52" t="str" cm="1">
        <f t="array" ref="W332">IF(A332&lt;&gt;"",_xlfn.IFS(A332="Grade 1",SUM(L332:T332),A332="Grade 2",SUM(L332:V332),A332="Grade 3",SUM(L332:T332)),"")</f>
        <v/>
      </c>
      <c r="X332" s="29" t="str">
        <f t="shared" si="6"/>
        <v xml:space="preserve"> </v>
      </c>
    </row>
    <row r="333" spans="1:24" ht="19.899999999999999" hidden="1" customHeight="1" x14ac:dyDescent="0.35">
      <c r="A333" s="24"/>
      <c r="B333" s="25"/>
      <c r="C333" s="25"/>
      <c r="D333" s="21"/>
      <c r="E333" s="26"/>
      <c r="F333" s="35"/>
      <c r="G333" s="35"/>
      <c r="H333" s="35"/>
      <c r="I333" s="36"/>
      <c r="J333" s="36"/>
      <c r="K333" s="36"/>
      <c r="L333" s="36"/>
      <c r="M333" s="36"/>
      <c r="N333" s="36"/>
      <c r="O333" s="36"/>
      <c r="P333" s="36"/>
      <c r="Q333" s="36"/>
      <c r="R333" s="36"/>
      <c r="S333" s="36"/>
      <c r="T333" s="36"/>
      <c r="U333" s="36"/>
      <c r="V333" s="36"/>
      <c r="W333" s="52" t="str" cm="1">
        <f t="array" ref="W333">IF(A333&lt;&gt;"",_xlfn.IFS(A333="Grade 1",SUM(L333:T333),A333="Grade 2",SUM(L333:V333),A333="Grade 3",SUM(L333:T333)),"")</f>
        <v/>
      </c>
      <c r="X333" s="29" t="str">
        <f t="shared" si="6"/>
        <v xml:space="preserve"> </v>
      </c>
    </row>
    <row r="334" spans="1:24" ht="19.899999999999999" hidden="1" customHeight="1" x14ac:dyDescent="0.35">
      <c r="A334" s="24"/>
      <c r="B334" s="25"/>
      <c r="C334" s="25"/>
      <c r="D334" s="21"/>
      <c r="E334" s="26"/>
      <c r="F334" s="35"/>
      <c r="G334" s="35"/>
      <c r="H334" s="35"/>
      <c r="I334" s="36"/>
      <c r="J334" s="36"/>
      <c r="K334" s="36"/>
      <c r="L334" s="36"/>
      <c r="M334" s="36"/>
      <c r="N334" s="36"/>
      <c r="O334" s="36"/>
      <c r="P334" s="36"/>
      <c r="Q334" s="36"/>
      <c r="R334" s="36"/>
      <c r="S334" s="36"/>
      <c r="T334" s="36"/>
      <c r="U334" s="36"/>
      <c r="V334" s="36"/>
      <c r="W334" s="52" t="str" cm="1">
        <f t="array" ref="W334">IF(A334&lt;&gt;"",_xlfn.IFS(A334="Grade 1",SUM(L334:T334),A334="Grade 2",SUM(L334:V334),A334="Grade 3",SUM(L334:T334)),"")</f>
        <v/>
      </c>
      <c r="X334" s="29" t="str">
        <f t="shared" si="6"/>
        <v xml:space="preserve"> </v>
      </c>
    </row>
    <row r="335" spans="1:24" ht="19.899999999999999" hidden="1" customHeight="1" x14ac:dyDescent="0.35">
      <c r="A335" s="24"/>
      <c r="B335" s="25"/>
      <c r="C335" s="25"/>
      <c r="D335" s="21"/>
      <c r="E335" s="26"/>
      <c r="F335" s="35"/>
      <c r="G335" s="35"/>
      <c r="H335" s="35"/>
      <c r="I335" s="36"/>
      <c r="J335" s="36"/>
      <c r="K335" s="36"/>
      <c r="L335" s="36"/>
      <c r="M335" s="36"/>
      <c r="N335" s="36"/>
      <c r="O335" s="36"/>
      <c r="P335" s="36"/>
      <c r="Q335" s="36"/>
      <c r="R335" s="36"/>
      <c r="S335" s="36"/>
      <c r="T335" s="36"/>
      <c r="U335" s="36"/>
      <c r="V335" s="36"/>
      <c r="W335" s="52" t="str" cm="1">
        <f t="array" ref="W335">IF(A335&lt;&gt;"",_xlfn.IFS(A335="Grade 1",SUM(L335:T335),A335="Grade 2",SUM(L335:V335),A335="Grade 3",SUM(L335:T335)),"")</f>
        <v/>
      </c>
      <c r="X335" s="29" t="str">
        <f t="shared" si="6"/>
        <v xml:space="preserve"> </v>
      </c>
    </row>
    <row r="336" spans="1:24" ht="19.899999999999999" hidden="1" customHeight="1" x14ac:dyDescent="0.35">
      <c r="A336" s="24"/>
      <c r="B336" s="25"/>
      <c r="C336" s="25"/>
      <c r="D336" s="21"/>
      <c r="E336" s="26"/>
      <c r="F336" s="35"/>
      <c r="G336" s="35"/>
      <c r="H336" s="35"/>
      <c r="I336" s="36"/>
      <c r="J336" s="36"/>
      <c r="K336" s="36"/>
      <c r="L336" s="36"/>
      <c r="M336" s="36"/>
      <c r="N336" s="36"/>
      <c r="O336" s="36"/>
      <c r="P336" s="36"/>
      <c r="Q336" s="36"/>
      <c r="R336" s="36"/>
      <c r="S336" s="36"/>
      <c r="T336" s="36"/>
      <c r="U336" s="36"/>
      <c r="V336" s="36"/>
      <c r="W336" s="52" t="str" cm="1">
        <f t="array" ref="W336">IF(A336&lt;&gt;"",_xlfn.IFS(A336="Grade 1",SUM(L336:T336),A336="Grade 2",SUM(L336:V336),A336="Grade 3",SUM(L336:T336)),"")</f>
        <v/>
      </c>
      <c r="X336" s="29" t="str">
        <f t="shared" si="6"/>
        <v xml:space="preserve"> </v>
      </c>
    </row>
    <row r="337" spans="1:24" ht="19.899999999999999" hidden="1" customHeight="1" x14ac:dyDescent="0.35">
      <c r="A337" s="24"/>
      <c r="B337" s="25"/>
      <c r="C337" s="25"/>
      <c r="D337" s="21"/>
      <c r="E337" s="26"/>
      <c r="F337" s="35"/>
      <c r="G337" s="35"/>
      <c r="H337" s="35"/>
      <c r="I337" s="36"/>
      <c r="J337" s="36"/>
      <c r="K337" s="36"/>
      <c r="L337" s="36"/>
      <c r="M337" s="36"/>
      <c r="N337" s="36"/>
      <c r="O337" s="36"/>
      <c r="P337" s="36"/>
      <c r="Q337" s="36"/>
      <c r="R337" s="36"/>
      <c r="S337" s="36"/>
      <c r="T337" s="36"/>
      <c r="U337" s="36"/>
      <c r="V337" s="36"/>
      <c r="W337" s="52" t="str" cm="1">
        <f t="array" ref="W337">IF(A337&lt;&gt;"",_xlfn.IFS(A337="Grade 1",SUM(L337:T337),A337="Grade 2",SUM(L337:V337),A337="Grade 3",SUM(L337:T337)),"")</f>
        <v/>
      </c>
      <c r="X337" s="29" t="str">
        <f t="shared" si="6"/>
        <v xml:space="preserve"> </v>
      </c>
    </row>
    <row r="338" spans="1:24" ht="19.899999999999999" hidden="1" customHeight="1" x14ac:dyDescent="0.35">
      <c r="A338" s="24"/>
      <c r="B338" s="25"/>
      <c r="C338" s="25"/>
      <c r="D338" s="21"/>
      <c r="E338" s="26"/>
      <c r="F338" s="35"/>
      <c r="G338" s="35"/>
      <c r="H338" s="35"/>
      <c r="I338" s="36"/>
      <c r="J338" s="36"/>
      <c r="K338" s="36"/>
      <c r="L338" s="36"/>
      <c r="M338" s="36"/>
      <c r="N338" s="36"/>
      <c r="O338" s="36"/>
      <c r="P338" s="36"/>
      <c r="Q338" s="36"/>
      <c r="R338" s="36"/>
      <c r="S338" s="36"/>
      <c r="T338" s="36"/>
      <c r="U338" s="36"/>
      <c r="V338" s="36"/>
      <c r="W338" s="52" t="str" cm="1">
        <f t="array" ref="W338">IF(A338&lt;&gt;"",_xlfn.IFS(A338="Grade 1",SUM(L338:T338),A338="Grade 2",SUM(L338:V338),A338="Grade 3",SUM(L338:T338)),"")</f>
        <v/>
      </c>
      <c r="X338" s="29" t="str">
        <f t="shared" si="6"/>
        <v xml:space="preserve"> </v>
      </c>
    </row>
    <row r="339" spans="1:24" ht="19.899999999999999" hidden="1" customHeight="1" x14ac:dyDescent="0.35">
      <c r="A339" s="24"/>
      <c r="B339" s="25"/>
      <c r="C339" s="25"/>
      <c r="D339" s="21"/>
      <c r="E339" s="26"/>
      <c r="F339" s="35"/>
      <c r="G339" s="35"/>
      <c r="H339" s="35"/>
      <c r="I339" s="36"/>
      <c r="J339" s="36"/>
      <c r="K339" s="36"/>
      <c r="L339" s="36"/>
      <c r="M339" s="36"/>
      <c r="N339" s="36"/>
      <c r="O339" s="36"/>
      <c r="P339" s="36"/>
      <c r="Q339" s="36"/>
      <c r="R339" s="36"/>
      <c r="S339" s="36"/>
      <c r="T339" s="36"/>
      <c r="U339" s="36"/>
      <c r="V339" s="36"/>
      <c r="W339" s="52" t="str" cm="1">
        <f t="array" ref="W339">IF(A339&lt;&gt;"",_xlfn.IFS(A339="Grade 1",SUM(L339:T339),A339="Grade 2",SUM(L339:V339),A339="Grade 3",SUM(L339:T339)),"")</f>
        <v/>
      </c>
      <c r="X339" s="29" t="str">
        <f t="shared" si="6"/>
        <v xml:space="preserve"> </v>
      </c>
    </row>
    <row r="340" spans="1:24" ht="19.899999999999999" hidden="1" customHeight="1" x14ac:dyDescent="0.35">
      <c r="A340" s="24"/>
      <c r="B340" s="25"/>
      <c r="C340" s="25"/>
      <c r="D340" s="21"/>
      <c r="E340" s="26"/>
      <c r="F340" s="35"/>
      <c r="G340" s="35"/>
      <c r="H340" s="35"/>
      <c r="I340" s="36"/>
      <c r="J340" s="36"/>
      <c r="K340" s="36"/>
      <c r="L340" s="36"/>
      <c r="M340" s="36"/>
      <c r="N340" s="36"/>
      <c r="O340" s="36"/>
      <c r="P340" s="36"/>
      <c r="Q340" s="36"/>
      <c r="R340" s="36"/>
      <c r="S340" s="36"/>
      <c r="T340" s="36"/>
      <c r="U340" s="36"/>
      <c r="V340" s="36"/>
      <c r="W340" s="52" t="str" cm="1">
        <f t="array" ref="W340">IF(A340&lt;&gt;"",_xlfn.IFS(A340="Grade 1",SUM(L340:T340),A340="Grade 2",SUM(L340:V340),A340="Grade 3",SUM(L340:T340)),"")</f>
        <v/>
      </c>
      <c r="X340" s="29" t="str">
        <f t="shared" si="6"/>
        <v xml:space="preserve"> </v>
      </c>
    </row>
    <row r="341" spans="1:24" ht="19.899999999999999" hidden="1" customHeight="1" x14ac:dyDescent="0.35">
      <c r="A341" s="24"/>
      <c r="B341" s="25"/>
      <c r="C341" s="25"/>
      <c r="D341" s="21"/>
      <c r="E341" s="26"/>
      <c r="F341" s="35"/>
      <c r="G341" s="35"/>
      <c r="H341" s="35"/>
      <c r="I341" s="36"/>
      <c r="J341" s="36"/>
      <c r="K341" s="36"/>
      <c r="L341" s="36"/>
      <c r="M341" s="36"/>
      <c r="N341" s="36"/>
      <c r="O341" s="36"/>
      <c r="P341" s="36"/>
      <c r="Q341" s="36"/>
      <c r="R341" s="36"/>
      <c r="S341" s="36"/>
      <c r="T341" s="36"/>
      <c r="U341" s="36"/>
      <c r="V341" s="36"/>
      <c r="W341" s="52" t="str" cm="1">
        <f t="array" ref="W341">IF(A341&lt;&gt;"",_xlfn.IFS(A341="Grade 1",SUM(L341:T341),A341="Grade 2",SUM(L341:V341),A341="Grade 3",SUM(L341:T341)),"")</f>
        <v/>
      </c>
      <c r="X341" s="29" t="str">
        <f t="shared" si="6"/>
        <v xml:space="preserve"> </v>
      </c>
    </row>
    <row r="342" spans="1:24" ht="19.899999999999999" hidden="1" customHeight="1" x14ac:dyDescent="0.35">
      <c r="A342" s="24"/>
      <c r="B342" s="25"/>
      <c r="C342" s="25"/>
      <c r="D342" s="21"/>
      <c r="E342" s="26"/>
      <c r="F342" s="35"/>
      <c r="G342" s="35"/>
      <c r="H342" s="35"/>
      <c r="I342" s="36"/>
      <c r="J342" s="36"/>
      <c r="K342" s="36"/>
      <c r="L342" s="36"/>
      <c r="M342" s="36"/>
      <c r="N342" s="36"/>
      <c r="O342" s="36"/>
      <c r="P342" s="36"/>
      <c r="Q342" s="36"/>
      <c r="R342" s="36"/>
      <c r="S342" s="36"/>
      <c r="T342" s="36"/>
      <c r="U342" s="36"/>
      <c r="V342" s="36"/>
      <c r="W342" s="52" t="str" cm="1">
        <f t="array" ref="W342">IF(A342&lt;&gt;"",_xlfn.IFS(A342="Grade 1",SUM(L342:T342),A342="Grade 2",SUM(L342:V342),A342="Grade 3",SUM(L342:T342)),"")</f>
        <v/>
      </c>
      <c r="X342" s="29" t="str">
        <f t="shared" si="6"/>
        <v xml:space="preserve"> </v>
      </c>
    </row>
    <row r="343" spans="1:24" ht="19.899999999999999" hidden="1" customHeight="1" x14ac:dyDescent="0.35">
      <c r="A343" s="24"/>
      <c r="B343" s="25"/>
      <c r="C343" s="25"/>
      <c r="D343" s="21"/>
      <c r="E343" s="26"/>
      <c r="F343" s="35"/>
      <c r="G343" s="35"/>
      <c r="H343" s="35"/>
      <c r="I343" s="36"/>
      <c r="J343" s="36"/>
      <c r="K343" s="36"/>
      <c r="L343" s="36"/>
      <c r="M343" s="36"/>
      <c r="N343" s="36"/>
      <c r="O343" s="36"/>
      <c r="P343" s="36"/>
      <c r="Q343" s="36"/>
      <c r="R343" s="36"/>
      <c r="S343" s="36"/>
      <c r="T343" s="36"/>
      <c r="U343" s="36"/>
      <c r="V343" s="36"/>
      <c r="W343" s="52" t="str" cm="1">
        <f t="array" ref="W343">IF(A343&lt;&gt;"",_xlfn.IFS(A343="Grade 1",SUM(L343:T343),A343="Grade 2",SUM(L343:V343),A343="Grade 3",SUM(L343:T343)),"")</f>
        <v/>
      </c>
      <c r="X343" s="29" t="str">
        <f t="shared" si="6"/>
        <v xml:space="preserve"> </v>
      </c>
    </row>
    <row r="344" spans="1:24" ht="19.899999999999999" hidden="1" customHeight="1" x14ac:dyDescent="0.35">
      <c r="A344" s="24"/>
      <c r="B344" s="25"/>
      <c r="C344" s="25"/>
      <c r="D344" s="21"/>
      <c r="E344" s="26"/>
      <c r="F344" s="35"/>
      <c r="G344" s="35"/>
      <c r="H344" s="35"/>
      <c r="I344" s="36"/>
      <c r="J344" s="36"/>
      <c r="K344" s="36"/>
      <c r="L344" s="36"/>
      <c r="M344" s="36"/>
      <c r="N344" s="36"/>
      <c r="O344" s="36"/>
      <c r="P344" s="36"/>
      <c r="Q344" s="36"/>
      <c r="R344" s="36"/>
      <c r="S344" s="36"/>
      <c r="T344" s="36"/>
      <c r="U344" s="36"/>
      <c r="V344" s="36"/>
      <c r="W344" s="52" t="str" cm="1">
        <f t="array" ref="W344">IF(A344&lt;&gt;"",_xlfn.IFS(A344="Grade 1",SUM(L344:T344),A344="Grade 2",SUM(L344:V344),A344="Grade 3",SUM(L344:T344)),"")</f>
        <v/>
      </c>
      <c r="X344" s="29" t="str">
        <f t="shared" si="6"/>
        <v xml:space="preserve"> </v>
      </c>
    </row>
    <row r="345" spans="1:24" ht="19.899999999999999" hidden="1" customHeight="1" x14ac:dyDescent="0.35">
      <c r="A345" s="24"/>
      <c r="B345" s="25"/>
      <c r="C345" s="25"/>
      <c r="D345" s="21"/>
      <c r="E345" s="26"/>
      <c r="F345" s="35"/>
      <c r="G345" s="35"/>
      <c r="H345" s="35"/>
      <c r="I345" s="36"/>
      <c r="J345" s="36"/>
      <c r="K345" s="36"/>
      <c r="L345" s="36"/>
      <c r="M345" s="36"/>
      <c r="N345" s="36"/>
      <c r="O345" s="36"/>
      <c r="P345" s="36"/>
      <c r="Q345" s="36"/>
      <c r="R345" s="36"/>
      <c r="S345" s="36"/>
      <c r="T345" s="36"/>
      <c r="U345" s="36"/>
      <c r="V345" s="36"/>
      <c r="W345" s="52" t="str" cm="1">
        <f t="array" ref="W345">IF(A345&lt;&gt;"",_xlfn.IFS(A345="Grade 1",SUM(L345:T345),A345="Grade 2",SUM(L345:V345),A345="Grade 3",SUM(L345:T345)),"")</f>
        <v/>
      </c>
      <c r="X345" s="29" t="str">
        <f t="shared" si="6"/>
        <v xml:space="preserve"> </v>
      </c>
    </row>
    <row r="346" spans="1:24" ht="19.899999999999999" hidden="1" customHeight="1" x14ac:dyDescent="0.35">
      <c r="A346" s="24"/>
      <c r="B346" s="25"/>
      <c r="C346" s="25"/>
      <c r="D346" s="21"/>
      <c r="E346" s="26"/>
      <c r="F346" s="35"/>
      <c r="G346" s="35"/>
      <c r="H346" s="35"/>
      <c r="I346" s="36"/>
      <c r="J346" s="36"/>
      <c r="K346" s="36"/>
      <c r="L346" s="36"/>
      <c r="M346" s="36"/>
      <c r="N346" s="36"/>
      <c r="O346" s="36"/>
      <c r="P346" s="36"/>
      <c r="Q346" s="36"/>
      <c r="R346" s="36"/>
      <c r="S346" s="36"/>
      <c r="T346" s="36"/>
      <c r="U346" s="36"/>
      <c r="V346" s="36"/>
      <c r="W346" s="52" t="str" cm="1">
        <f t="array" ref="W346">IF(A346&lt;&gt;"",_xlfn.IFS(A346="Grade 1",SUM(L346:T346),A346="Grade 2",SUM(L346:V346),A346="Grade 3",SUM(L346:T346)),"")</f>
        <v/>
      </c>
      <c r="X346" s="29" t="str">
        <f t="shared" si="6"/>
        <v xml:space="preserve"> </v>
      </c>
    </row>
    <row r="347" spans="1:24" ht="19.899999999999999" hidden="1" customHeight="1" x14ac:dyDescent="0.35">
      <c r="A347" s="24"/>
      <c r="B347" s="25"/>
      <c r="C347" s="25"/>
      <c r="D347" s="21"/>
      <c r="E347" s="26"/>
      <c r="F347" s="35"/>
      <c r="G347" s="35"/>
      <c r="H347" s="35"/>
      <c r="I347" s="36"/>
      <c r="J347" s="36"/>
      <c r="K347" s="36"/>
      <c r="L347" s="36"/>
      <c r="M347" s="36"/>
      <c r="N347" s="36"/>
      <c r="O347" s="36"/>
      <c r="P347" s="36"/>
      <c r="Q347" s="36"/>
      <c r="R347" s="36"/>
      <c r="S347" s="36"/>
      <c r="T347" s="36"/>
      <c r="U347" s="36"/>
      <c r="V347" s="36"/>
      <c r="W347" s="52" t="str" cm="1">
        <f t="array" ref="W347">IF(A347&lt;&gt;"",_xlfn.IFS(A347="Grade 1",SUM(L347:T347),A347="Grade 2",SUM(L347:V347),A347="Grade 3",SUM(L347:T347)),"")</f>
        <v/>
      </c>
      <c r="X347" s="29" t="str">
        <f t="shared" ref="X347:X362" si="7">IF(ISBLANK(A347)," ",IF(SUM(I347:K347)=E347,"Data Validated","Data with Error"))</f>
        <v xml:space="preserve"> </v>
      </c>
    </row>
    <row r="348" spans="1:24" ht="19.899999999999999" hidden="1" customHeight="1" x14ac:dyDescent="0.35">
      <c r="A348" s="24"/>
      <c r="B348" s="25"/>
      <c r="C348" s="25"/>
      <c r="D348" s="21"/>
      <c r="E348" s="26"/>
      <c r="F348" s="35"/>
      <c r="G348" s="35"/>
      <c r="H348" s="35"/>
      <c r="I348" s="36"/>
      <c r="J348" s="36"/>
      <c r="K348" s="36"/>
      <c r="L348" s="36"/>
      <c r="M348" s="36"/>
      <c r="N348" s="36"/>
      <c r="O348" s="36"/>
      <c r="P348" s="36"/>
      <c r="Q348" s="36"/>
      <c r="R348" s="36"/>
      <c r="S348" s="36"/>
      <c r="T348" s="36"/>
      <c r="U348" s="36"/>
      <c r="V348" s="36"/>
      <c r="W348" s="52" t="str" cm="1">
        <f t="array" ref="W348">IF(A348&lt;&gt;"",_xlfn.IFS(A348="Grade 1",SUM(L348:T348),A348="Grade 2",SUM(L348:V348),A348="Grade 3",SUM(L348:T348)),"")</f>
        <v/>
      </c>
      <c r="X348" s="29" t="str">
        <f t="shared" si="7"/>
        <v xml:space="preserve"> </v>
      </c>
    </row>
    <row r="349" spans="1:24" ht="19.899999999999999" hidden="1" customHeight="1" x14ac:dyDescent="0.35">
      <c r="A349" s="24"/>
      <c r="B349" s="25"/>
      <c r="C349" s="25"/>
      <c r="D349" s="21"/>
      <c r="E349" s="26"/>
      <c r="F349" s="35"/>
      <c r="G349" s="35"/>
      <c r="H349" s="35"/>
      <c r="I349" s="36"/>
      <c r="J349" s="36"/>
      <c r="K349" s="36"/>
      <c r="L349" s="36"/>
      <c r="M349" s="36"/>
      <c r="N349" s="36"/>
      <c r="O349" s="36"/>
      <c r="P349" s="36"/>
      <c r="Q349" s="36"/>
      <c r="R349" s="36"/>
      <c r="S349" s="36"/>
      <c r="T349" s="36"/>
      <c r="U349" s="36"/>
      <c r="V349" s="36"/>
      <c r="W349" s="52" t="str" cm="1">
        <f t="array" ref="W349">IF(A349&lt;&gt;"",_xlfn.IFS(A349="Grade 1",SUM(L349:T349),A349="Grade 2",SUM(L349:V349),A349="Grade 3",SUM(L349:T349)),"")</f>
        <v/>
      </c>
      <c r="X349" s="29" t="str">
        <f t="shared" si="7"/>
        <v xml:space="preserve"> </v>
      </c>
    </row>
    <row r="350" spans="1:24" ht="19.899999999999999" hidden="1" customHeight="1" x14ac:dyDescent="0.35">
      <c r="A350" s="24"/>
      <c r="B350" s="25"/>
      <c r="C350" s="25"/>
      <c r="D350" s="21"/>
      <c r="E350" s="26"/>
      <c r="F350" s="35"/>
      <c r="G350" s="35"/>
      <c r="H350" s="35"/>
      <c r="I350" s="36"/>
      <c r="J350" s="36"/>
      <c r="K350" s="36"/>
      <c r="L350" s="36"/>
      <c r="M350" s="36"/>
      <c r="N350" s="36"/>
      <c r="O350" s="36"/>
      <c r="P350" s="36"/>
      <c r="Q350" s="36"/>
      <c r="R350" s="36"/>
      <c r="S350" s="36"/>
      <c r="T350" s="36"/>
      <c r="U350" s="36"/>
      <c r="V350" s="36"/>
      <c r="W350" s="52" t="str" cm="1">
        <f t="array" ref="W350">IF(A350&lt;&gt;"",_xlfn.IFS(A350="Grade 1",SUM(L350:T350),A350="Grade 2",SUM(L350:V350),A350="Grade 3",SUM(L350:T350)),"")</f>
        <v/>
      </c>
      <c r="X350" s="29" t="str">
        <f t="shared" si="7"/>
        <v xml:space="preserve"> </v>
      </c>
    </row>
    <row r="351" spans="1:24" ht="19.899999999999999" hidden="1" customHeight="1" x14ac:dyDescent="0.35">
      <c r="A351" s="24"/>
      <c r="B351" s="25"/>
      <c r="C351" s="25"/>
      <c r="D351" s="21"/>
      <c r="E351" s="26"/>
      <c r="F351" s="35"/>
      <c r="G351" s="35"/>
      <c r="H351" s="35"/>
      <c r="I351" s="36"/>
      <c r="J351" s="36"/>
      <c r="K351" s="36"/>
      <c r="L351" s="36"/>
      <c r="M351" s="36"/>
      <c r="N351" s="36"/>
      <c r="O351" s="36"/>
      <c r="P351" s="36"/>
      <c r="Q351" s="36"/>
      <c r="R351" s="36"/>
      <c r="S351" s="36"/>
      <c r="T351" s="36"/>
      <c r="U351" s="36"/>
      <c r="V351" s="36"/>
      <c r="W351" s="52" t="str" cm="1">
        <f t="array" ref="W351">IF(A351&lt;&gt;"",_xlfn.IFS(A351="Grade 1",SUM(L351:T351),A351="Grade 2",SUM(L351:V351),A351="Grade 3",SUM(L351:T351)),"")</f>
        <v/>
      </c>
      <c r="X351" s="29" t="str">
        <f t="shared" si="7"/>
        <v xml:space="preserve"> </v>
      </c>
    </row>
    <row r="352" spans="1:24" ht="19.899999999999999" hidden="1" customHeight="1" x14ac:dyDescent="0.35">
      <c r="A352" s="24"/>
      <c r="B352" s="25"/>
      <c r="C352" s="25"/>
      <c r="D352" s="21"/>
      <c r="E352" s="26"/>
      <c r="F352" s="35"/>
      <c r="G352" s="35"/>
      <c r="H352" s="35"/>
      <c r="I352" s="36"/>
      <c r="J352" s="36"/>
      <c r="K352" s="36"/>
      <c r="L352" s="36"/>
      <c r="M352" s="36"/>
      <c r="N352" s="36"/>
      <c r="O352" s="36"/>
      <c r="P352" s="36"/>
      <c r="Q352" s="36"/>
      <c r="R352" s="36"/>
      <c r="S352" s="36"/>
      <c r="T352" s="36"/>
      <c r="U352" s="36"/>
      <c r="V352" s="36"/>
      <c r="W352" s="52" t="str" cm="1">
        <f t="array" ref="W352">IF(A352&lt;&gt;"",_xlfn.IFS(A352="Grade 1",SUM(L352:T352),A352="Grade 2",SUM(L352:V352),A352="Grade 3",SUM(L352:T352)),"")</f>
        <v/>
      </c>
      <c r="X352" s="29" t="str">
        <f t="shared" si="7"/>
        <v xml:space="preserve"> </v>
      </c>
    </row>
    <row r="353" spans="1:24" ht="19.899999999999999" hidden="1" customHeight="1" x14ac:dyDescent="0.35">
      <c r="A353" s="24"/>
      <c r="B353" s="25"/>
      <c r="C353" s="25"/>
      <c r="D353" s="21"/>
      <c r="E353" s="26"/>
      <c r="F353" s="35"/>
      <c r="G353" s="35"/>
      <c r="H353" s="35"/>
      <c r="I353" s="36"/>
      <c r="J353" s="36"/>
      <c r="K353" s="36"/>
      <c r="L353" s="36"/>
      <c r="M353" s="36"/>
      <c r="N353" s="36"/>
      <c r="O353" s="36"/>
      <c r="P353" s="36"/>
      <c r="Q353" s="36"/>
      <c r="R353" s="36"/>
      <c r="S353" s="36"/>
      <c r="T353" s="36"/>
      <c r="U353" s="36"/>
      <c r="V353" s="36"/>
      <c r="W353" s="52" t="str" cm="1">
        <f t="array" ref="W353">IF(A353&lt;&gt;"",_xlfn.IFS(A353="Grade 1",SUM(L353:T353),A353="Grade 2",SUM(L353:V353),A353="Grade 3",SUM(L353:T353)),"")</f>
        <v/>
      </c>
      <c r="X353" s="29" t="str">
        <f t="shared" si="7"/>
        <v xml:space="preserve"> </v>
      </c>
    </row>
    <row r="354" spans="1:24" ht="19.899999999999999" hidden="1" customHeight="1" x14ac:dyDescent="0.35">
      <c r="A354" s="24"/>
      <c r="B354" s="25"/>
      <c r="C354" s="25"/>
      <c r="D354" s="21"/>
      <c r="E354" s="26"/>
      <c r="F354" s="35"/>
      <c r="G354" s="35"/>
      <c r="H354" s="35"/>
      <c r="I354" s="36"/>
      <c r="J354" s="36"/>
      <c r="K354" s="36"/>
      <c r="L354" s="36"/>
      <c r="M354" s="36"/>
      <c r="N354" s="36"/>
      <c r="O354" s="36"/>
      <c r="P354" s="36"/>
      <c r="Q354" s="36"/>
      <c r="R354" s="36"/>
      <c r="S354" s="36"/>
      <c r="T354" s="36"/>
      <c r="U354" s="36"/>
      <c r="V354" s="36"/>
      <c r="W354" s="52" t="str" cm="1">
        <f t="array" ref="W354">IF(A354&lt;&gt;"",_xlfn.IFS(A354="Grade 1",SUM(L354:T354),A354="Grade 2",SUM(L354:V354),A354="Grade 3",SUM(L354:T354)),"")</f>
        <v/>
      </c>
      <c r="X354" s="29" t="str">
        <f t="shared" si="7"/>
        <v xml:space="preserve"> </v>
      </c>
    </row>
    <row r="355" spans="1:24" ht="19.899999999999999" hidden="1" customHeight="1" x14ac:dyDescent="0.35">
      <c r="A355" s="24"/>
      <c r="B355" s="25"/>
      <c r="C355" s="25"/>
      <c r="D355" s="21"/>
      <c r="E355" s="26"/>
      <c r="F355" s="35"/>
      <c r="G355" s="35"/>
      <c r="H355" s="35"/>
      <c r="I355" s="36"/>
      <c r="J355" s="36"/>
      <c r="K355" s="36"/>
      <c r="L355" s="36"/>
      <c r="M355" s="36"/>
      <c r="N355" s="36"/>
      <c r="O355" s="36"/>
      <c r="P355" s="36"/>
      <c r="Q355" s="36"/>
      <c r="R355" s="36"/>
      <c r="S355" s="36"/>
      <c r="T355" s="36"/>
      <c r="U355" s="36"/>
      <c r="V355" s="36"/>
      <c r="W355" s="52" t="str" cm="1">
        <f t="array" ref="W355">IF(A355&lt;&gt;"",_xlfn.IFS(A355="Grade 1",SUM(L355:T355),A355="Grade 2",SUM(L355:V355),A355="Grade 3",SUM(L355:T355)),"")</f>
        <v/>
      </c>
      <c r="X355" s="29" t="str">
        <f t="shared" si="7"/>
        <v xml:space="preserve"> </v>
      </c>
    </row>
    <row r="356" spans="1:24" ht="19.899999999999999" hidden="1" customHeight="1" x14ac:dyDescent="0.35">
      <c r="A356" s="24"/>
      <c r="B356" s="25"/>
      <c r="C356" s="25"/>
      <c r="D356" s="21"/>
      <c r="E356" s="26"/>
      <c r="F356" s="35"/>
      <c r="G356" s="35"/>
      <c r="H356" s="35"/>
      <c r="I356" s="36"/>
      <c r="J356" s="36"/>
      <c r="K356" s="36"/>
      <c r="L356" s="36"/>
      <c r="M356" s="36"/>
      <c r="N356" s="36"/>
      <c r="O356" s="36"/>
      <c r="P356" s="36"/>
      <c r="Q356" s="36"/>
      <c r="R356" s="36"/>
      <c r="S356" s="36"/>
      <c r="T356" s="36"/>
      <c r="U356" s="36"/>
      <c r="V356" s="36"/>
      <c r="W356" s="52" t="str" cm="1">
        <f t="array" ref="W356">IF(A356&lt;&gt;"",_xlfn.IFS(A356="Grade 1",SUM(L356:T356),A356="Grade 2",SUM(L356:V356),A356="Grade 3",SUM(L356:T356)),"")</f>
        <v/>
      </c>
      <c r="X356" s="29" t="str">
        <f t="shared" si="7"/>
        <v xml:space="preserve"> </v>
      </c>
    </row>
    <row r="357" spans="1:24" ht="19.899999999999999" hidden="1" customHeight="1" x14ac:dyDescent="0.35">
      <c r="A357" s="24"/>
      <c r="B357" s="25"/>
      <c r="C357" s="25"/>
      <c r="D357" s="21"/>
      <c r="E357" s="26"/>
      <c r="F357" s="35"/>
      <c r="G357" s="35"/>
      <c r="H357" s="35"/>
      <c r="I357" s="36"/>
      <c r="J357" s="36"/>
      <c r="K357" s="36"/>
      <c r="L357" s="36"/>
      <c r="M357" s="36"/>
      <c r="N357" s="36"/>
      <c r="O357" s="36"/>
      <c r="P357" s="36"/>
      <c r="Q357" s="36"/>
      <c r="R357" s="36"/>
      <c r="S357" s="36"/>
      <c r="T357" s="36"/>
      <c r="U357" s="36"/>
      <c r="V357" s="36"/>
      <c r="W357" s="52" t="str" cm="1">
        <f t="array" ref="W357">IF(A357&lt;&gt;"",_xlfn.IFS(A357="Grade 1",SUM(L357:T357),A357="Grade 2",SUM(L357:V357),A357="Grade 3",SUM(L357:T357)),"")</f>
        <v/>
      </c>
      <c r="X357" s="29" t="str">
        <f t="shared" si="7"/>
        <v xml:space="preserve"> </v>
      </c>
    </row>
    <row r="358" spans="1:24" ht="19.899999999999999" hidden="1" customHeight="1" x14ac:dyDescent="0.35">
      <c r="A358" s="24"/>
      <c r="B358" s="25"/>
      <c r="C358" s="25"/>
      <c r="D358" s="21"/>
      <c r="E358" s="26"/>
      <c r="F358" s="35"/>
      <c r="G358" s="35"/>
      <c r="H358" s="35"/>
      <c r="I358" s="36"/>
      <c r="J358" s="36"/>
      <c r="K358" s="36"/>
      <c r="L358" s="36"/>
      <c r="M358" s="36"/>
      <c r="N358" s="36"/>
      <c r="O358" s="36"/>
      <c r="P358" s="36"/>
      <c r="Q358" s="36"/>
      <c r="R358" s="36"/>
      <c r="S358" s="36"/>
      <c r="T358" s="36"/>
      <c r="U358" s="36"/>
      <c r="V358" s="36"/>
      <c r="W358" s="52" t="str" cm="1">
        <f t="array" ref="W358">IF(A358&lt;&gt;"",_xlfn.IFS(A358="Grade 1",SUM(L358:T358),A358="Grade 2",SUM(L358:V358),A358="Grade 3",SUM(L358:T358)),"")</f>
        <v/>
      </c>
      <c r="X358" s="29" t="str">
        <f t="shared" si="7"/>
        <v xml:space="preserve"> </v>
      </c>
    </row>
    <row r="359" spans="1:24" ht="19.899999999999999" hidden="1" customHeight="1" x14ac:dyDescent="0.35">
      <c r="A359" s="24"/>
      <c r="B359" s="25"/>
      <c r="C359" s="25"/>
      <c r="D359" s="21"/>
      <c r="E359" s="26"/>
      <c r="F359" s="35"/>
      <c r="G359" s="35"/>
      <c r="H359" s="35"/>
      <c r="I359" s="36"/>
      <c r="J359" s="36"/>
      <c r="K359" s="36"/>
      <c r="L359" s="36"/>
      <c r="M359" s="36"/>
      <c r="N359" s="36"/>
      <c r="O359" s="36"/>
      <c r="P359" s="36"/>
      <c r="Q359" s="36"/>
      <c r="R359" s="36"/>
      <c r="S359" s="36"/>
      <c r="T359" s="36"/>
      <c r="U359" s="36"/>
      <c r="V359" s="36"/>
      <c r="W359" s="52" t="str" cm="1">
        <f t="array" ref="W359">IF(A359&lt;&gt;"",_xlfn.IFS(A359="Grade 1",SUM(L359:T359),A359="Grade 2",SUM(L359:V359),A359="Grade 3",SUM(L359:T359)),"")</f>
        <v/>
      </c>
      <c r="X359" s="29" t="str">
        <f t="shared" si="7"/>
        <v xml:space="preserve"> </v>
      </c>
    </row>
    <row r="360" spans="1:24" ht="19.899999999999999" hidden="1" customHeight="1" x14ac:dyDescent="0.35">
      <c r="A360" s="24"/>
      <c r="B360" s="25"/>
      <c r="C360" s="25"/>
      <c r="D360" s="21"/>
      <c r="E360" s="26"/>
      <c r="F360" s="35"/>
      <c r="G360" s="35"/>
      <c r="H360" s="35"/>
      <c r="I360" s="36"/>
      <c r="J360" s="36"/>
      <c r="K360" s="36"/>
      <c r="L360" s="36"/>
      <c r="M360" s="36"/>
      <c r="N360" s="36"/>
      <c r="O360" s="36"/>
      <c r="P360" s="36"/>
      <c r="Q360" s="36"/>
      <c r="R360" s="36"/>
      <c r="S360" s="36"/>
      <c r="T360" s="36"/>
      <c r="U360" s="36"/>
      <c r="V360" s="36"/>
      <c r="W360" s="52" t="str" cm="1">
        <f t="array" ref="W360">IF(A360&lt;&gt;"",_xlfn.IFS(A360="Grade 1",SUM(L360:T360),A360="Grade 2",SUM(L360:V360),A360="Grade 3",SUM(L360:T360)),"")</f>
        <v/>
      </c>
      <c r="X360" s="29" t="str">
        <f t="shared" si="7"/>
        <v xml:space="preserve"> </v>
      </c>
    </row>
    <row r="361" spans="1:24" ht="19.899999999999999" hidden="1" customHeight="1" x14ac:dyDescent="0.35">
      <c r="A361" s="24"/>
      <c r="B361" s="25"/>
      <c r="C361" s="25"/>
      <c r="D361" s="21"/>
      <c r="E361" s="26"/>
      <c r="F361" s="35"/>
      <c r="G361" s="35"/>
      <c r="H361" s="35"/>
      <c r="I361" s="36"/>
      <c r="J361" s="36"/>
      <c r="K361" s="36"/>
      <c r="L361" s="36"/>
      <c r="M361" s="36"/>
      <c r="N361" s="36"/>
      <c r="O361" s="36"/>
      <c r="P361" s="36"/>
      <c r="Q361" s="36"/>
      <c r="R361" s="36"/>
      <c r="S361" s="36"/>
      <c r="T361" s="36"/>
      <c r="U361" s="36"/>
      <c r="V361" s="36"/>
      <c r="W361" s="52" t="str" cm="1">
        <f t="array" ref="W361">IF(A361&lt;&gt;"",_xlfn.IFS(A361="Grade 1",SUM(L361:T361),A361="Grade 2",SUM(L361:V361),A361="Grade 3",SUM(L361:T361)),"")</f>
        <v/>
      </c>
      <c r="X361" s="29" t="str">
        <f t="shared" si="7"/>
        <v xml:space="preserve"> </v>
      </c>
    </row>
    <row r="362" spans="1:24" ht="19.899999999999999" hidden="1" customHeight="1" x14ac:dyDescent="0.35">
      <c r="A362" s="24"/>
      <c r="B362" s="25"/>
      <c r="C362" s="25"/>
      <c r="D362" s="21"/>
      <c r="E362" s="26"/>
      <c r="F362" s="35"/>
      <c r="G362" s="35"/>
      <c r="H362" s="35"/>
      <c r="I362" s="36"/>
      <c r="J362" s="36"/>
      <c r="K362" s="36"/>
      <c r="L362" s="36"/>
      <c r="M362" s="36"/>
      <c r="N362" s="36"/>
      <c r="O362" s="36"/>
      <c r="P362" s="36"/>
      <c r="Q362" s="36"/>
      <c r="R362" s="36"/>
      <c r="S362" s="36"/>
      <c r="T362" s="36"/>
      <c r="U362" s="36"/>
      <c r="V362" s="36"/>
      <c r="W362" s="52" t="str" cm="1">
        <f t="array" ref="W362">IF(A362&lt;&gt;"",_xlfn.IFS(A362="Grade 1",SUM(L362:T362),A362="Grade 2",SUM(L362:V362),A362="Grade 3",SUM(L362:T362)),"")</f>
        <v/>
      </c>
      <c r="X362" s="29" t="str">
        <f t="shared" si="7"/>
        <v xml:space="preserve"> </v>
      </c>
    </row>
  </sheetData>
  <sheetProtection algorithmName="SHA-512" hashValue="8yW1lzNS6GBpwI032VptRa+aoo2BF0FItRYV5RoJGCg+yFMWMRIRn4g5Milho3WgrLnneouXVQp7Vr0035nsyg==" saltValue="cvvupwPCbOpJdmLR7jb/LQ==" spinCount="100000" sheet="1" objects="1" scenarios="1" formatColumns="0" selectLockedCells="1"/>
  <mergeCells count="16">
    <mergeCell ref="X8:X9"/>
    <mergeCell ref="L8:V8"/>
    <mergeCell ref="A2:E2"/>
    <mergeCell ref="A8:A9"/>
    <mergeCell ref="D8:D9"/>
    <mergeCell ref="E8:E9"/>
    <mergeCell ref="F8:F9"/>
    <mergeCell ref="B5:D5"/>
    <mergeCell ref="K5:L5"/>
    <mergeCell ref="K6:L6"/>
    <mergeCell ref="G8:K8"/>
    <mergeCell ref="G4:L4"/>
    <mergeCell ref="G5:H5"/>
    <mergeCell ref="I5:J5"/>
    <mergeCell ref="G6:H6"/>
    <mergeCell ref="I6:J6"/>
  </mergeCells>
  <conditionalFormatting sqref="D10:D362">
    <cfRule type="containsText" dxfId="6" priority="22" operator="containsText" text="[choose language here]">
      <formula>NOT(ISERROR(SEARCH("[choose language here]",D10)))</formula>
    </cfRule>
  </conditionalFormatting>
  <conditionalFormatting sqref="E10:H362">
    <cfRule type="containsText" dxfId="5" priority="23" operator="containsText" text="[enter class enrolment]">
      <formula>NOT(ISERROR(SEARCH("[enter class enrolment]",E10)))</formula>
    </cfRule>
  </conditionalFormatting>
  <conditionalFormatting sqref="T10:T200">
    <cfRule type="expression" dxfId="4" priority="1">
      <formula>AND($A10&lt;&gt; "Grade 2",$A10 &lt;&gt; "")</formula>
    </cfRule>
  </conditionalFormatting>
  <conditionalFormatting sqref="U10:U362">
    <cfRule type="expression" dxfId="3" priority="5">
      <formula>AND($A10&lt;&gt; "Grade 2",$A10 &lt;&gt; "")</formula>
    </cfRule>
  </conditionalFormatting>
  <conditionalFormatting sqref="V10:V362">
    <cfRule type="expression" dxfId="2" priority="3">
      <formula>AND($A10&lt;&gt; "Grade 2",$A10&lt;&gt;"")</formula>
    </cfRule>
  </conditionalFormatting>
  <conditionalFormatting sqref="X1:AB1048576">
    <cfRule type="containsText" dxfId="1" priority="6" operator="containsText" text="Error">
      <formula>NOT(ISERROR(SEARCH("Error",X1)))</formula>
    </cfRule>
  </conditionalFormatting>
  <conditionalFormatting sqref="X10:AB362">
    <cfRule type="cellIs" dxfId="0" priority="8" operator="equal">
      <formula>"Data with Error"</formula>
    </cfRule>
  </conditionalFormatting>
  <dataValidations count="3">
    <dataValidation type="list" allowBlank="1" showInputMessage="1" showErrorMessage="1" sqref="A10:A362" xr:uid="{632BE65A-7B68-4FF4-8766-E4F229364620}">
      <formula1>"Grade 1, Grade 2, Grade 3"</formula1>
    </dataValidation>
    <dataValidation type="list" allowBlank="1" showInputMessage="1" showErrorMessage="1" sqref="C10:C362" xr:uid="{731B54C1-1E3C-405B-9485-EF8104DAD5C8}">
      <formula1>"Male, Female"</formula1>
    </dataValidation>
    <dataValidation type="list" allowBlank="1" showInputMessage="1" showErrorMessage="1" prompt="Enter Medium of instruction / Language of Instruction" sqref="G6 I6 K6" xr:uid="{FCDEEC7A-A9EA-414D-AF58-83B1ECA4464F}">
      <formula1>$AA$11:$AA$45</formula1>
    </dataValidation>
  </dataValidations>
  <pageMargins left="0.25" right="0.25" top="1.73" bottom="3.63" header="0.3" footer="0.3"/>
  <pageSetup paperSize="10000"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1078-4013-45A5-BDE0-4D3E861C3719}">
  <sheetPr codeName="Sheet2">
    <pageSetUpPr fitToPage="1"/>
  </sheetPr>
  <dimension ref="A1:BD707"/>
  <sheetViews>
    <sheetView tabSelected="1" topLeftCell="A23" zoomScale="57" zoomScaleNormal="100" workbookViewId="0">
      <selection activeCell="W33" sqref="W33"/>
    </sheetView>
  </sheetViews>
  <sheetFormatPr defaultColWidth="0" defaultRowHeight="0" customHeight="1" zeroHeight="1" x14ac:dyDescent="0.35"/>
  <cols>
    <col min="1" max="1" width="15.7265625" customWidth="1"/>
    <col min="2" max="2" width="16.453125" style="1" customWidth="1"/>
    <col min="3" max="3" width="14.7265625" style="1" customWidth="1"/>
    <col min="4" max="4" width="10.7265625" style="1" customWidth="1"/>
    <col min="5" max="5" width="10.1796875" style="1" customWidth="1"/>
    <col min="6" max="6" width="8.81640625" style="1" customWidth="1"/>
    <col min="7" max="7" width="8.7265625" style="1" customWidth="1"/>
    <col min="8" max="8" width="9.81640625" style="1" customWidth="1"/>
    <col min="9" max="9" width="11.7265625" style="1" customWidth="1"/>
    <col min="10" max="10" width="10.453125" style="1" customWidth="1"/>
    <col min="11" max="11" width="7.26953125" customWidth="1"/>
    <col min="12" max="12" width="9.26953125" style="1" customWidth="1"/>
    <col min="13" max="22" width="7.7265625" style="1" customWidth="1"/>
    <col min="23" max="23" width="8" style="1" customWidth="1"/>
    <col min="24" max="25" width="4.81640625" customWidth="1"/>
    <col min="26" max="26" width="7.26953125" hidden="1" customWidth="1"/>
    <col min="27" max="33" width="4.81640625" hidden="1" customWidth="1"/>
    <col min="34" max="45" width="8.81640625" hidden="1" customWidth="1"/>
    <col min="46" max="16384" width="8.81640625" hidden="1"/>
  </cols>
  <sheetData>
    <row r="1" spans="1:56" ht="14.5" x14ac:dyDescent="0.35">
      <c r="X1" s="95" t="str">
        <f>'Class Results'!$X$1</f>
        <v>RMA2v2</v>
      </c>
    </row>
    <row r="2" spans="1:56" ht="15.5" x14ac:dyDescent="0.35">
      <c r="A2" s="72" t="s">
        <v>72</v>
      </c>
      <c r="B2" s="72"/>
      <c r="C2" s="72"/>
      <c r="D2" s="72"/>
      <c r="E2" s="72"/>
      <c r="F2" s="72"/>
      <c r="G2" s="72"/>
    </row>
    <row r="3" spans="1:56" ht="14.5" x14ac:dyDescent="0.35">
      <c r="I3" s="73" t="s">
        <v>35</v>
      </c>
      <c r="J3" s="73">
        <f>D11+D13+D15</f>
        <v>27</v>
      </c>
    </row>
    <row r="4" spans="1:56" ht="15" thickBot="1" x14ac:dyDescent="0.4">
      <c r="A4" s="2"/>
      <c r="B4" s="3"/>
      <c r="I4" s="73" t="s">
        <v>37</v>
      </c>
      <c r="J4" s="73">
        <f>D12+D14+D16</f>
        <v>27</v>
      </c>
    </row>
    <row r="5" spans="1:56" ht="22.15" customHeight="1" x14ac:dyDescent="0.35">
      <c r="A5" s="2" t="s">
        <v>2</v>
      </c>
      <c r="B5" s="3">
        <f>'Class Results'!B4</f>
        <v>117443</v>
      </c>
      <c r="C5" s="1" t="s">
        <v>73</v>
      </c>
      <c r="G5" s="145" t="s">
        <v>3</v>
      </c>
      <c r="H5" s="146"/>
      <c r="I5" s="146"/>
      <c r="J5" s="146"/>
      <c r="K5" s="146"/>
      <c r="L5" s="147"/>
      <c r="M5" s="2"/>
    </row>
    <row r="6" spans="1:56" ht="24" customHeight="1" x14ac:dyDescent="0.35">
      <c r="A6" s="2" t="s">
        <v>74</v>
      </c>
      <c r="B6" t="str">
        <f>'Class Results'!$B$5</f>
        <v>Romana Elementary School</v>
      </c>
      <c r="C6"/>
      <c r="D6"/>
      <c r="G6" s="138" t="s">
        <v>6</v>
      </c>
      <c r="H6" s="139"/>
      <c r="I6" s="139" t="s">
        <v>7</v>
      </c>
      <c r="J6" s="139"/>
      <c r="K6" s="139" t="s">
        <v>8</v>
      </c>
      <c r="L6" s="148"/>
      <c r="BC6" s="94" t="s">
        <v>75</v>
      </c>
      <c r="BD6" s="94"/>
    </row>
    <row r="7" spans="1:56" ht="23.5" customHeight="1" thickBot="1" x14ac:dyDescent="0.4">
      <c r="A7" s="2"/>
      <c r="B7" s="3"/>
      <c r="G7" s="132" t="str">
        <f>'Class Results'!G6</f>
        <v>English</v>
      </c>
      <c r="H7" s="143"/>
      <c r="I7" s="143" t="str">
        <f>'Class Results'!I6</f>
        <v>English</v>
      </c>
      <c r="J7" s="143"/>
      <c r="K7" s="143" t="str">
        <f>'Class Results'!K6</f>
        <v>English</v>
      </c>
      <c r="L7" s="144"/>
      <c r="BC7" s="94" t="s">
        <v>6</v>
      </c>
      <c r="BD7" s="94">
        <v>35</v>
      </c>
    </row>
    <row r="8" spans="1:56" ht="15.65" customHeight="1" thickBot="1" x14ac:dyDescent="0.4">
      <c r="A8" s="2"/>
      <c r="B8" s="3"/>
      <c r="K8" s="1"/>
      <c r="BC8" s="94" t="s">
        <v>7</v>
      </c>
      <c r="BD8" s="94">
        <v>25</v>
      </c>
    </row>
    <row r="9" spans="1:56" ht="14.5" customHeight="1" x14ac:dyDescent="0.35">
      <c r="A9" s="58" t="s">
        <v>73</v>
      </c>
      <c r="B9" s="57" t="s">
        <v>73</v>
      </c>
      <c r="C9" s="114" t="s">
        <v>11</v>
      </c>
      <c r="D9" s="120" t="s">
        <v>12</v>
      </c>
      <c r="E9" s="122" t="s">
        <v>13</v>
      </c>
      <c r="F9" s="149" t="s">
        <v>12</v>
      </c>
      <c r="G9" s="149"/>
      <c r="H9" s="149"/>
      <c r="I9" s="149"/>
      <c r="J9" s="149"/>
      <c r="L9" s="118" t="s">
        <v>76</v>
      </c>
      <c r="M9" s="119"/>
      <c r="N9" s="119"/>
      <c r="O9" s="119"/>
      <c r="P9" s="119"/>
      <c r="Q9" s="119"/>
      <c r="R9" s="119"/>
      <c r="S9" s="119"/>
      <c r="T9" s="119"/>
      <c r="U9" s="119"/>
      <c r="V9" s="119"/>
      <c r="W9" s="116" t="s">
        <v>34</v>
      </c>
      <c r="AD9" s="118" t="s">
        <v>77</v>
      </c>
      <c r="AE9" s="119"/>
      <c r="AF9" s="119"/>
      <c r="AG9" s="119"/>
      <c r="AH9" s="119"/>
      <c r="AI9" s="119"/>
      <c r="AJ9" s="119"/>
      <c r="AK9" s="119"/>
      <c r="AL9" s="119"/>
      <c r="AM9" s="119"/>
      <c r="AN9" s="119"/>
      <c r="AO9" s="71"/>
      <c r="BC9" s="94" t="s">
        <v>8</v>
      </c>
      <c r="BD9" s="94">
        <v>20</v>
      </c>
    </row>
    <row r="10" spans="1:56" ht="39" customHeight="1" thickBot="1" x14ac:dyDescent="0.4">
      <c r="A10" s="59" t="s">
        <v>10</v>
      </c>
      <c r="B10" s="27" t="s">
        <v>17</v>
      </c>
      <c r="C10" s="140"/>
      <c r="D10" s="141"/>
      <c r="E10" s="142"/>
      <c r="F10" s="107" t="s">
        <v>18</v>
      </c>
      <c r="G10" s="107" t="s">
        <v>19</v>
      </c>
      <c r="H10" s="107" t="s">
        <v>20</v>
      </c>
      <c r="I10" s="107" t="s">
        <v>21</v>
      </c>
      <c r="J10" s="107" t="s">
        <v>22</v>
      </c>
      <c r="L10" s="47" t="s">
        <v>23</v>
      </c>
      <c r="M10" s="30" t="s">
        <v>24</v>
      </c>
      <c r="N10" s="30" t="s">
        <v>25</v>
      </c>
      <c r="O10" s="30" t="s">
        <v>26</v>
      </c>
      <c r="P10" s="30" t="s">
        <v>27</v>
      </c>
      <c r="Q10" s="30" t="s">
        <v>28</v>
      </c>
      <c r="R10" s="30" t="s">
        <v>29</v>
      </c>
      <c r="S10" s="30" t="s">
        <v>30</v>
      </c>
      <c r="T10" s="30" t="s">
        <v>31</v>
      </c>
      <c r="U10" s="30" t="s">
        <v>32</v>
      </c>
      <c r="V10" s="30" t="s">
        <v>33</v>
      </c>
      <c r="W10" s="117"/>
      <c r="AD10" s="47" t="s">
        <v>23</v>
      </c>
      <c r="AE10" s="30" t="s">
        <v>24</v>
      </c>
      <c r="AF10" s="30" t="s">
        <v>25</v>
      </c>
      <c r="AG10" s="30" t="s">
        <v>26</v>
      </c>
      <c r="AH10" s="30" t="s">
        <v>27</v>
      </c>
      <c r="AI10" s="30" t="s">
        <v>28</v>
      </c>
      <c r="AJ10" s="30" t="s">
        <v>29</v>
      </c>
      <c r="AK10" s="30" t="s">
        <v>30</v>
      </c>
      <c r="AL10" s="30" t="s">
        <v>31</v>
      </c>
      <c r="AM10" s="30" t="s">
        <v>32</v>
      </c>
      <c r="AN10" s="30" t="s">
        <v>33</v>
      </c>
      <c r="AO10" s="32" t="s">
        <v>78</v>
      </c>
    </row>
    <row r="11" spans="1:56" ht="19.899999999999999" customHeight="1" x14ac:dyDescent="0.35">
      <c r="A11" s="6" t="s">
        <v>6</v>
      </c>
      <c r="B11" s="4" t="s">
        <v>35</v>
      </c>
      <c r="C11" s="16">
        <f>SUMIFS('Class Results'!D$10:D$362,'Class Results'!$A$10:$A$362,$A11, 'Class Results'!$C$10:$C$362,$B11)</f>
        <v>0</v>
      </c>
      <c r="D11" s="16">
        <f>SUMIFS('Class Results'!E$10:E$362,'Class Results'!$A$10:$A$362,$A11, 'Class Results'!$C$10:$C$362,$B11)</f>
        <v>10</v>
      </c>
      <c r="E11" s="16">
        <f>SUMIFS('Class Results'!F$10:F$362,'Class Results'!$A$10:$A$362,$A11, 'Class Results'!$C$10:$C$362,$B11)</f>
        <v>10</v>
      </c>
      <c r="F11" s="16">
        <f>SUMIFS('Class Results'!G$10:G$362,'Class Results'!$A$10:$A$362,$A11, 'Class Results'!$C$10:$C$362,$B11)</f>
        <v>6</v>
      </c>
      <c r="G11" s="16">
        <f>SUMIFS('Class Results'!H$10:H$362,'Class Results'!$A$10:$A$362,$A11, 'Class Results'!$C$10:$C$362,$B11)</f>
        <v>1</v>
      </c>
      <c r="H11" s="4">
        <f>SUMIFS('Class Results'!I$10:I$362,'Class Results'!$A$10:$A$362,$A11, 'Class Results'!$C$10:$C$362,$B11)</f>
        <v>1</v>
      </c>
      <c r="I11" s="4">
        <f>SUMIFS('Class Results'!J$10:J$362,'Class Results'!$A$10:$A$362,$A11, 'Class Results'!$C$10:$C$362,$B11)</f>
        <v>1</v>
      </c>
      <c r="J11" s="5">
        <f>SUMIFS('Class Results'!K$10:K$362,'Class Results'!$A$10:$A$362,$A11, 'Class Results'!$C$10:$C$362,$B11)</f>
        <v>1</v>
      </c>
      <c r="L11" s="89">
        <f>SUMIFS('Class Results'!L$10:L$362,'Class Results'!$A$10:$A$362,$A11, 'Class Results'!$C$10:$C$362,$B11)</f>
        <v>4</v>
      </c>
      <c r="M11" s="75">
        <f>SUMIFS('Class Results'!M$10:M$362,'Class Results'!$A$10:$A$362,$A11, 'Class Results'!$C$10:$C$362,$B11)</f>
        <v>1</v>
      </c>
      <c r="N11" s="75">
        <f>SUMIFS('Class Results'!N$10:N$362,'Class Results'!$A$10:$A$362,$A11, 'Class Results'!$C$10:$C$362,$B11)</f>
        <v>4</v>
      </c>
      <c r="O11" s="75">
        <f>SUMIFS('Class Results'!O$10:O$362,'Class Results'!$A$10:$A$362,$A11, 'Class Results'!$C$10:$C$362,$B11)</f>
        <v>1</v>
      </c>
      <c r="P11" s="75">
        <f>SUMIFS('Class Results'!P$10:P$362,'Class Results'!$A$10:$A$362,$A11, 'Class Results'!$C$10:$C$362,$B11)</f>
        <v>2</v>
      </c>
      <c r="Q11" s="75">
        <f>SUMIFS('Class Results'!Q$10:Q$362,'Class Results'!$A$10:$A$362,$A11, 'Class Results'!$C$10:$C$362,$B11)</f>
        <v>4</v>
      </c>
      <c r="R11" s="75">
        <f>SUMIFS('Class Results'!R$10:R$362,'Class Results'!$A$10:$A$362,$A11, 'Class Results'!$C$10:$C$362,$B11)</f>
        <v>0</v>
      </c>
      <c r="S11" s="75">
        <f>SUMIFS('Class Results'!S$10:S$362,'Class Results'!$A$10:$A$362,$A11, 'Class Results'!$C$10:$C$362,$B11)</f>
        <v>1</v>
      </c>
      <c r="T11" s="96"/>
      <c r="U11" s="96"/>
      <c r="V11" s="96"/>
      <c r="W11" s="48">
        <f>IFERROR(AVERAGEIFS('Class Results'!W$10:W$362,'Class Results'!$A$10:$A$362,$A11, 'Class Results'!$C$10:$C$362,$B11),"")</f>
        <v>10.7</v>
      </c>
      <c r="AD11" s="55">
        <v>8</v>
      </c>
      <c r="AE11" s="8">
        <v>2</v>
      </c>
      <c r="AF11" s="8">
        <v>8</v>
      </c>
      <c r="AG11" s="8">
        <v>6</v>
      </c>
      <c r="AH11" s="8">
        <v>4</v>
      </c>
      <c r="AI11" s="8">
        <v>1</v>
      </c>
      <c r="AJ11" s="8">
        <v>3</v>
      </c>
      <c r="AK11" s="8">
        <v>3</v>
      </c>
      <c r="AL11" s="8"/>
      <c r="AM11" s="8"/>
      <c r="AN11" s="8"/>
      <c r="AO11" s="9">
        <f>SUM(AD11:AL11)</f>
        <v>35</v>
      </c>
    </row>
    <row r="12" spans="1:56" ht="19.899999999999999" customHeight="1" x14ac:dyDescent="0.35">
      <c r="A12" s="6" t="s">
        <v>6</v>
      </c>
      <c r="B12" s="37" t="s">
        <v>37</v>
      </c>
      <c r="C12" s="38">
        <f>SUMIFS('Class Results'!D$10:D$362,'Class Results'!$A$10:$A$362,$A12, 'Class Results'!$C$10:$C$362,$B12)</f>
        <v>0</v>
      </c>
      <c r="D12" s="38">
        <f>SUMIFS('Class Results'!E$10:E$362,'Class Results'!$A$10:$A$362,$A12, 'Class Results'!$C$10:$C$362,$B12)</f>
        <v>4</v>
      </c>
      <c r="E12" s="38">
        <f>SUMIFS('Class Results'!F$10:F$362,'Class Results'!$A$10:$A$362,$A12, 'Class Results'!$C$10:$C$362,$B12)</f>
        <v>4</v>
      </c>
      <c r="F12" s="38">
        <f>SUMIFS('Class Results'!G$10:G$362,'Class Results'!$A$10:$A$362,$A12, 'Class Results'!$C$10:$C$362,$B12)</f>
        <v>0</v>
      </c>
      <c r="G12" s="38">
        <f>SUMIFS('Class Results'!H$10:H$362,'Class Results'!$A$10:$A$362,$A12, 'Class Results'!$C$10:$C$362,$B12)</f>
        <v>0</v>
      </c>
      <c r="H12" s="37">
        <f>SUMIFS('Class Results'!I$10:I$362,'Class Results'!$A$10:$A$362,$A12, 'Class Results'!$C$10:$C$362,$B12)</f>
        <v>2</v>
      </c>
      <c r="I12" s="37">
        <f>SUMIFS('Class Results'!J$10:J$362,'Class Results'!$A$10:$A$362,$A12, 'Class Results'!$C$10:$C$362,$B12)</f>
        <v>2</v>
      </c>
      <c r="J12" s="39">
        <f>SUMIFS('Class Results'!K$10:K$362,'Class Results'!$A$10:$A$362,$A12, 'Class Results'!$C$10:$C$362,$B12)</f>
        <v>0</v>
      </c>
      <c r="L12" s="89">
        <f>SUMIFS('Class Results'!L$10:L$362,'Class Results'!$A$10:$A$362,$A12, 'Class Results'!$C$10:$C$362,$B12)</f>
        <v>3</v>
      </c>
      <c r="M12" s="75">
        <f>SUMIFS('Class Results'!M$10:M$362,'Class Results'!$A$10:$A$362,$A12, 'Class Results'!$C$10:$C$362,$B12)</f>
        <v>1</v>
      </c>
      <c r="N12" s="75">
        <f>SUMIFS('Class Results'!N$10:N$362,'Class Results'!$A$10:$A$362,$A12, 'Class Results'!$C$10:$C$362,$B12)</f>
        <v>3</v>
      </c>
      <c r="O12" s="75">
        <f>SUMIFS('Class Results'!O$10:O$362,'Class Results'!$A$10:$A$362,$A12, 'Class Results'!$C$10:$C$362,$B12)</f>
        <v>3</v>
      </c>
      <c r="P12" s="75">
        <f>SUMIFS('Class Results'!P$10:P$362,'Class Results'!$A$10:$A$362,$A12, 'Class Results'!$C$10:$C$362,$B12)</f>
        <v>3</v>
      </c>
      <c r="Q12" s="75">
        <f>SUMIFS('Class Results'!Q$10:Q$362,'Class Results'!$A$10:$A$362,$A12, 'Class Results'!$C$10:$C$362,$B12)</f>
        <v>3</v>
      </c>
      <c r="R12" s="75">
        <f>SUMIFS('Class Results'!R$10:R$362,'Class Results'!$A$10:$A$362,$A12, 'Class Results'!$C$10:$C$362,$B12)</f>
        <v>0</v>
      </c>
      <c r="S12" s="75">
        <f>SUMIFS('Class Results'!S$10:S$362,'Class Results'!$A$10:$A$362,$A12, 'Class Results'!$C$10:$C$362,$B12)</f>
        <v>0</v>
      </c>
      <c r="T12" s="96"/>
      <c r="U12" s="96"/>
      <c r="V12" s="96"/>
      <c r="W12" s="48">
        <f>IFERROR(AVERAGEIFS('Class Results'!W$10:W$362,'Class Results'!$A$10:$A$362,$A12, 'Class Results'!$C$10:$C$362,$B12),"")</f>
        <v>27.25</v>
      </c>
      <c r="AD12" s="55">
        <v>3</v>
      </c>
      <c r="AE12" s="8">
        <v>1</v>
      </c>
      <c r="AF12" s="8">
        <v>2</v>
      </c>
      <c r="AG12" s="8">
        <v>1</v>
      </c>
      <c r="AH12" s="8">
        <v>4</v>
      </c>
      <c r="AI12" s="8">
        <v>3</v>
      </c>
      <c r="AJ12" s="8">
        <v>3</v>
      </c>
      <c r="AK12" s="8">
        <v>4</v>
      </c>
      <c r="AL12" s="8">
        <v>2</v>
      </c>
      <c r="AM12" s="8">
        <v>1</v>
      </c>
      <c r="AN12" s="8">
        <v>1</v>
      </c>
      <c r="AO12" s="9">
        <f>SUM(AD12:AN12)</f>
        <v>25</v>
      </c>
    </row>
    <row r="13" spans="1:56" ht="19.899999999999999" customHeight="1" thickBot="1" x14ac:dyDescent="0.4">
      <c r="A13" s="6" t="s">
        <v>7</v>
      </c>
      <c r="B13" s="8" t="str">
        <f>B11</f>
        <v>Male</v>
      </c>
      <c r="C13" s="8">
        <f>SUMIFS('Class Results'!D$10:D$362,'Class Results'!$A$10:$A$362,$A13, 'Class Results'!$C$10:$C$362,$B13)</f>
        <v>0</v>
      </c>
      <c r="D13" s="8">
        <f>SUMIFS('Class Results'!E$10:E$362,'Class Results'!$A$10:$A$362,$A13, 'Class Results'!$C$10:$C$362,$B13)</f>
        <v>7</v>
      </c>
      <c r="E13" s="8">
        <f>SUMIFS('Class Results'!F$10:F$362,'Class Results'!$A$10:$A$362,$A13, 'Class Results'!$C$10:$C$362,$B13)</f>
        <v>7</v>
      </c>
      <c r="F13" s="8">
        <f>SUMIFS('Class Results'!G$10:G$362,'Class Results'!$A$10:$A$362,$A13, 'Class Results'!$C$10:$C$362,$B13)</f>
        <v>6</v>
      </c>
      <c r="G13" s="8">
        <f>SUMIFS('Class Results'!H$10:H$362,'Class Results'!$A$10:$A$362,$A13, 'Class Results'!$C$10:$C$362,$B13)</f>
        <v>1</v>
      </c>
      <c r="H13" s="8">
        <f>SUMIFS('Class Results'!I$10:I$362,'Class Results'!$A$10:$A$362,$A13, 'Class Results'!$C$10:$C$362,$B13)</f>
        <v>0</v>
      </c>
      <c r="I13" s="8">
        <f>SUMIFS('Class Results'!J$10:J$362,'Class Results'!$A$10:$A$362,$A13, 'Class Results'!$C$10:$C$362,$B13)</f>
        <v>0</v>
      </c>
      <c r="J13" s="9">
        <f>SUMIFS('Class Results'!K$10:K$362,'Class Results'!$A$10:$A$362,$A13, 'Class Results'!$C$10:$C$362,$B13)</f>
        <v>0</v>
      </c>
      <c r="L13" s="89">
        <f>SUMIFS('Class Results'!L$10:L$362,'Class Results'!$A$10:$A$362,$A13, 'Class Results'!$C$10:$C$362,$B13)</f>
        <v>0</v>
      </c>
      <c r="M13" s="90">
        <f>SUMIFS('Class Results'!M$10:M$362,'Class Results'!$A$10:$A$362,$A13, 'Class Results'!$C$10:$C$362,$B13)</f>
        <v>1</v>
      </c>
      <c r="N13" s="90">
        <f>SUMIFS('Class Results'!N$10:N$362,'Class Results'!$A$10:$A$362,$A13, 'Class Results'!$C$10:$C$362,$B13)</f>
        <v>0</v>
      </c>
      <c r="O13" s="90">
        <f>SUMIFS('Class Results'!O$10:O$362,'Class Results'!$A$10:$A$362,$A13, 'Class Results'!$C$10:$C$362,$B13)</f>
        <v>1</v>
      </c>
      <c r="P13" s="90">
        <f>SUMIFS('Class Results'!P$10:P$362,'Class Results'!$A$10:$A$362,$A13, 'Class Results'!$C$10:$C$362,$B13)</f>
        <v>0</v>
      </c>
      <c r="Q13" s="90">
        <f>SUMIFS('Class Results'!Q$10:Q$362,'Class Results'!$A$10:$A$362,$A13, 'Class Results'!$C$10:$C$362,$B13)</f>
        <v>0</v>
      </c>
      <c r="R13" s="90">
        <f>SUMIFS('Class Results'!R$10:R$362,'Class Results'!$A$10:$A$362,$A13, 'Class Results'!$C$10:$C$362,$B13)</f>
        <v>0</v>
      </c>
      <c r="S13" s="90">
        <f>SUMIFS('Class Results'!S$10:S$362,'Class Results'!$A$10:$A$362,$A13, 'Class Results'!$C$10:$C$362,$B13)</f>
        <v>0</v>
      </c>
      <c r="T13" s="90">
        <f>SUMIFS('Class Results'!T$10:T$362,'Class Results'!$A$10:$A$362,$A13, 'Class Results'!$C$10:$C$362,$B13)</f>
        <v>2</v>
      </c>
      <c r="U13" s="90">
        <f>SUMIFS('Class Results'!U$10:U$362,'Class Results'!$A$10:$A$362,$A13, 'Class Results'!$C$10:$C$362,$B13)</f>
        <v>0</v>
      </c>
      <c r="V13" s="90">
        <f>SUMIFS('Class Results'!V$10:V$362,'Class Results'!$A$10:$A$362,$A13, 'Class Results'!$C$10:$C$362,$B13)</f>
        <v>6</v>
      </c>
      <c r="W13" s="48" t="str">
        <f>IFERROR(AVERAGEIFS('Class Results'!W$10:W$362,'Class Results'!$A$10:$A$362,$A13, 'Class Results'!$C$10:$C$362,$B13),"")</f>
        <v/>
      </c>
      <c r="AD13" s="53">
        <v>2</v>
      </c>
      <c r="AE13" s="54">
        <v>1</v>
      </c>
      <c r="AF13" s="54">
        <v>2</v>
      </c>
      <c r="AG13" s="54">
        <v>3</v>
      </c>
      <c r="AH13" s="54">
        <v>3</v>
      </c>
      <c r="AI13" s="54">
        <v>2</v>
      </c>
      <c r="AJ13" s="54">
        <v>3</v>
      </c>
      <c r="AK13" s="54">
        <v>4</v>
      </c>
      <c r="AL13" s="54"/>
      <c r="AM13" s="54"/>
      <c r="AN13" s="54"/>
      <c r="AO13" s="65">
        <f>SUM(AD13:AN13)</f>
        <v>20</v>
      </c>
    </row>
    <row r="14" spans="1:56" ht="19.899999999999999" customHeight="1" x14ac:dyDescent="0.35">
      <c r="A14" s="6" t="s">
        <v>7</v>
      </c>
      <c r="B14" s="8" t="s">
        <v>37</v>
      </c>
      <c r="C14" s="8">
        <f>SUMIFS('Class Results'!D$10:D$362,'Class Results'!$A$10:$A$362,$A14, 'Class Results'!$C$10:$C$362,$B14)</f>
        <v>0</v>
      </c>
      <c r="D14" s="8">
        <f>SUMIFS('Class Results'!E$10:E$362,'Class Results'!$A$10:$A$362,$A14, 'Class Results'!$C$10:$C$362,$B14)</f>
        <v>8</v>
      </c>
      <c r="E14" s="8">
        <f>SUMIFS('Class Results'!F$10:F$362,'Class Results'!$A$10:$A$362,$A14, 'Class Results'!$C$10:$C$362,$B14)</f>
        <v>8</v>
      </c>
      <c r="F14" s="8">
        <f>SUMIFS('Class Results'!G$10:G$362,'Class Results'!$A$10:$A$362,$A14, 'Class Results'!$C$10:$C$362,$B14)</f>
        <v>3</v>
      </c>
      <c r="G14" s="8">
        <f>SUMIFS('Class Results'!H$10:H$362,'Class Results'!$A$10:$A$362,$A14, 'Class Results'!$C$10:$C$362,$B14)</f>
        <v>5</v>
      </c>
      <c r="H14" s="8">
        <f>SUMIFS('Class Results'!I$10:I$362,'Class Results'!$A$10:$A$362,$A14, 'Class Results'!$C$10:$C$362,$B14)</f>
        <v>0</v>
      </c>
      <c r="I14" s="8">
        <f>SUMIFS('Class Results'!J$10:J$362,'Class Results'!$A$10:$A$362,$A14, 'Class Results'!$C$10:$C$362,$B14)</f>
        <v>0</v>
      </c>
      <c r="J14" s="9">
        <f>SUMIFS('Class Results'!K$10:K$362,'Class Results'!$A$10:$A$362,$A14, 'Class Results'!$C$10:$C$362,$B14)</f>
        <v>0</v>
      </c>
      <c r="L14" s="89">
        <f>SUMIFS('Class Results'!L$10:L$362,'Class Results'!$A$10:$A$362,$A14, 'Class Results'!$C$10:$C$362,$B14)</f>
        <v>0</v>
      </c>
      <c r="M14" s="90">
        <f>SUMIFS('Class Results'!M$10:M$362,'Class Results'!$A$10:$A$362,$A14, 'Class Results'!$C$10:$C$362,$B14)</f>
        <v>5</v>
      </c>
      <c r="N14" s="90">
        <f>SUMIFS('Class Results'!N$10:N$362,'Class Results'!$A$10:$A$362,$A14, 'Class Results'!$C$10:$C$362,$B14)</f>
        <v>0</v>
      </c>
      <c r="O14" s="90">
        <f>SUMIFS('Class Results'!O$10:O$362,'Class Results'!$A$10:$A$362,$A14, 'Class Results'!$C$10:$C$362,$B14)</f>
        <v>2</v>
      </c>
      <c r="P14" s="90">
        <f>SUMIFS('Class Results'!P$10:P$362,'Class Results'!$A$10:$A$362,$A14, 'Class Results'!$C$10:$C$362,$B14)</f>
        <v>0</v>
      </c>
      <c r="Q14" s="90">
        <f>SUMIFS('Class Results'!Q$10:Q$362,'Class Results'!$A$10:$A$362,$A14, 'Class Results'!$C$10:$C$362,$B14)</f>
        <v>0</v>
      </c>
      <c r="R14" s="90">
        <f>SUMIFS('Class Results'!R$10:R$362,'Class Results'!$A$10:$A$362,$A14, 'Class Results'!$C$10:$C$362,$B14)</f>
        <v>0</v>
      </c>
      <c r="S14" s="90">
        <f>SUMIFS('Class Results'!S$10:S$362,'Class Results'!$A$10:$A$362,$A14, 'Class Results'!$C$10:$C$362,$B14)</f>
        <v>0</v>
      </c>
      <c r="T14" s="90">
        <f>SUMIFS('Class Results'!T$10:T$362,'Class Results'!$A$10:$A$362,$A14, 'Class Results'!$C$10:$C$362,$B14)</f>
        <v>5</v>
      </c>
      <c r="U14" s="90">
        <f>SUMIFS('Class Results'!U$10:U$362,'Class Results'!$A$10:$A$362,$A14, 'Class Results'!$C$10:$C$362,$B14)</f>
        <v>4</v>
      </c>
      <c r="V14" s="90">
        <f>SUMIFS('Class Results'!V$10:V$362,'Class Results'!$A$10:$A$362,$A14, 'Class Results'!$C$10:$C$362,$B14)</f>
        <v>6</v>
      </c>
      <c r="W14" s="48" t="str">
        <f>IFERROR(AVERAGEIFS('Class Results'!W$10:W$362,'Class Results'!$A$10:$A$362,$A14, 'Class Results'!$C$10:$C$362,$B14),"")</f>
        <v/>
      </c>
    </row>
    <row r="15" spans="1:56" ht="19.899999999999999" customHeight="1" x14ac:dyDescent="0.35">
      <c r="A15" s="6" t="s">
        <v>8</v>
      </c>
      <c r="B15" s="8" t="str">
        <f>B11</f>
        <v>Male</v>
      </c>
      <c r="C15" s="8">
        <f>SUMIFS('Class Results'!D$10:D$362,'Class Results'!$A$10:$A$362,$A15, 'Class Results'!$C$10:$C$362,$B15)</f>
        <v>0</v>
      </c>
      <c r="D15" s="8">
        <f>SUMIFS('Class Results'!E$10:E$362,'Class Results'!$A$10:$A$362,$A15, 'Class Results'!$C$10:$C$362,$B15)</f>
        <v>10</v>
      </c>
      <c r="E15" s="8">
        <f>SUMIFS('Class Results'!F$10:F$362,'Class Results'!$A$10:$A$362,$A15, 'Class Results'!$C$10:$C$362,$B15)</f>
        <v>10</v>
      </c>
      <c r="F15" s="8">
        <f>SUMIFS('Class Results'!G$10:G$362,'Class Results'!$A$10:$A$362,$A15, 'Class Results'!$C$10:$C$362,$B15)</f>
        <v>0</v>
      </c>
      <c r="G15" s="8">
        <f>SUMIFS('Class Results'!H$10:H$362,'Class Results'!$A$10:$A$362,$A15, 'Class Results'!$C$10:$C$362,$B15)</f>
        <v>0</v>
      </c>
      <c r="H15" s="8">
        <f>SUMIFS('Class Results'!I$10:I$362,'Class Results'!$A$10:$A$362,$A15, 'Class Results'!$C$10:$C$362,$B15)</f>
        <v>2</v>
      </c>
      <c r="I15" s="8">
        <f>SUMIFS('Class Results'!J$10:J$362,'Class Results'!$A$10:$A$362,$A15, 'Class Results'!$C$10:$C$362,$B15)</f>
        <v>2</v>
      </c>
      <c r="J15" s="9">
        <f>SUMIFS('Class Results'!K$10:K$362,'Class Results'!$A$10:$A$362,$A15, 'Class Results'!$C$10:$C$362,$B15)</f>
        <v>6</v>
      </c>
      <c r="L15" s="89">
        <f>SUMIFS('Class Results'!L$10:L$362,'Class Results'!$A$10:$A$362,$A15, 'Class Results'!$C$10:$C$362,$B15)</f>
        <v>10</v>
      </c>
      <c r="M15" s="75">
        <f>SUMIFS('Class Results'!M$10:M$362,'Class Results'!$A$10:$A$362,$A15, 'Class Results'!$C$10:$C$362,$B15)</f>
        <v>10</v>
      </c>
      <c r="N15" s="75">
        <f>SUMIFS('Class Results'!N$10:N$362,'Class Results'!$A$10:$A$362,$A15, 'Class Results'!$C$10:$C$362,$B15)</f>
        <v>10</v>
      </c>
      <c r="O15" s="75">
        <f>SUMIFS('Class Results'!O$10:O$362,'Class Results'!$A$10:$A$362,$A15, 'Class Results'!$C$10:$C$362,$B15)</f>
        <v>6</v>
      </c>
      <c r="P15" s="75">
        <f>SUMIFS('Class Results'!P$10:P$362,'Class Results'!$A$10:$A$362,$A15, 'Class Results'!$C$10:$C$362,$B15)</f>
        <v>7</v>
      </c>
      <c r="Q15" s="75">
        <f>SUMIFS('Class Results'!Q$10:Q$362,'Class Results'!$A$10:$A$362,$A15, 'Class Results'!$C$10:$C$362,$B15)</f>
        <v>6</v>
      </c>
      <c r="R15" s="75">
        <f>SUMIFS('Class Results'!R$10:R$362,'Class Results'!$A$10:$A$362,$A15, 'Class Results'!$C$10:$C$362,$B15)</f>
        <v>4</v>
      </c>
      <c r="S15" s="75">
        <f>SUMIFS('Class Results'!S$10:S$362,'Class Results'!$A$10:$A$362,$A15, 'Class Results'!$C$10:$C$362,$B15)</f>
        <v>7</v>
      </c>
      <c r="T15" s="96" t="str">
        <f>IFERROR(AVERAGEIFS('Class Results'!T$10:T$362,'Class Results'!$A$10:$A$362,$A15, 'Class Results'!$C$10:$C$362,$B15),"")</f>
        <v/>
      </c>
      <c r="U15" s="96"/>
      <c r="V15" s="96"/>
      <c r="W15" s="48">
        <f>IFERROR(AVERAGEIFS('Class Results'!W$10:W$362,'Class Results'!$A$10:$A$362,$A15, 'Class Results'!$C$10:$C$362,$B15),"")</f>
        <v>16.600000000000001</v>
      </c>
    </row>
    <row r="16" spans="1:56" ht="19.899999999999999" customHeight="1" thickBot="1" x14ac:dyDescent="0.4">
      <c r="A16" s="6" t="s">
        <v>8</v>
      </c>
      <c r="B16" s="8" t="s">
        <v>37</v>
      </c>
      <c r="C16" s="8">
        <f>SUMIFS('Class Results'!D$10:D$362,'Class Results'!$A$10:$A$362,$A16, 'Class Results'!$C$10:$C$362,$B16)</f>
        <v>0</v>
      </c>
      <c r="D16" s="8">
        <f>SUMIFS('Class Results'!E$10:E$362,'Class Results'!$A$10:$A$362,$A16, 'Class Results'!$C$10:$C$362,$B16)</f>
        <v>15</v>
      </c>
      <c r="E16" s="8">
        <f>SUMIFS('Class Results'!F$10:F$362,'Class Results'!$A$10:$A$362,$A16, 'Class Results'!$C$10:$C$362,$B16)</f>
        <v>15</v>
      </c>
      <c r="F16" s="8">
        <f>SUMIFS('Class Results'!G$10:G$362,'Class Results'!$A$10:$A$362,$A16, 'Class Results'!$C$10:$C$362,$B16)</f>
        <v>0</v>
      </c>
      <c r="G16" s="8">
        <f>SUMIFS('Class Results'!H$10:H$362,'Class Results'!$A$10:$A$362,$A16, 'Class Results'!$C$10:$C$362,$B16)</f>
        <v>0</v>
      </c>
      <c r="H16" s="8">
        <f>SUMIFS('Class Results'!I$10:I$362,'Class Results'!$A$10:$A$362,$A16, 'Class Results'!$C$10:$C$362,$B16)</f>
        <v>2</v>
      </c>
      <c r="I16" s="8">
        <f>SUMIFS('Class Results'!J$10:J$362,'Class Results'!$A$10:$A$362,$A16, 'Class Results'!$C$10:$C$362,$B16)</f>
        <v>3</v>
      </c>
      <c r="J16" s="9">
        <f>SUMIFS('Class Results'!K$10:K$362,'Class Results'!$A$10:$A$362,$A16, 'Class Results'!$C$10:$C$362,$B16)</f>
        <v>10</v>
      </c>
      <c r="L16" s="91">
        <f>SUMIFS('Class Results'!L$10:L$362,'Class Results'!$A$10:$A$362,$A16, 'Class Results'!$C$10:$C$362,$B16)</f>
        <v>13</v>
      </c>
      <c r="M16" s="76">
        <f>SUMIFS('Class Results'!M$10:M$362,'Class Results'!$A$10:$A$362,$A16, 'Class Results'!$C$10:$C$362,$B16)</f>
        <v>15</v>
      </c>
      <c r="N16" s="76">
        <f>SUMIFS('Class Results'!N$10:N$362,'Class Results'!$A$10:$A$362,$A16, 'Class Results'!$C$10:$C$362,$B16)</f>
        <v>13</v>
      </c>
      <c r="O16" s="76">
        <f>SUMIFS('Class Results'!O$10:O$362,'Class Results'!$A$10:$A$362,$A16, 'Class Results'!$C$10:$C$362,$B16)</f>
        <v>13</v>
      </c>
      <c r="P16" s="76">
        <f>SUMIFS('Class Results'!P$10:P$362,'Class Results'!$A$10:$A$362,$A16, 'Class Results'!$C$10:$C$362,$B16)</f>
        <v>13</v>
      </c>
      <c r="Q16" s="76">
        <f>SUMIFS('Class Results'!Q$10:Q$362,'Class Results'!$A$10:$A$362,$A16, 'Class Results'!$C$10:$C$362,$B16)</f>
        <v>12</v>
      </c>
      <c r="R16" s="76">
        <f>SUMIFS('Class Results'!R$10:R$362,'Class Results'!$A$10:$A$362,$A16, 'Class Results'!$C$10:$C$362,$B16)</f>
        <v>5</v>
      </c>
      <c r="S16" s="76">
        <f>SUMIFS('Class Results'!S$10:S$362,'Class Results'!$A$10:$A$362,$A16, 'Class Results'!$C$10:$C$362,$B16)</f>
        <v>10</v>
      </c>
      <c r="T16" s="97" t="str">
        <f>IFERROR(AVERAGEIFS('Class Results'!T$10:T$362,'Class Results'!$A$10:$A$362,$A16, 'Class Results'!$C$10:$C$362,$B16),"")</f>
        <v/>
      </c>
      <c r="U16" s="97"/>
      <c r="V16" s="97"/>
      <c r="W16" s="49">
        <f>IFERROR(AVERAGEIFS('Class Results'!W$10:W$362,'Class Results'!$A$10:$A$362,$A16, 'Class Results'!$C$10:$C$362,$B16),"")</f>
        <v>17.133333333333333</v>
      </c>
    </row>
    <row r="17" spans="1:23" ht="19.899999999999999" customHeight="1" thickBot="1" x14ac:dyDescent="0.4">
      <c r="L17" s="66"/>
      <c r="M17" s="66"/>
      <c r="N17" s="66"/>
      <c r="O17" s="66"/>
      <c r="P17" s="66"/>
      <c r="Q17" s="66"/>
      <c r="R17" s="66"/>
      <c r="S17" s="66"/>
      <c r="T17" s="66"/>
      <c r="U17" s="66"/>
      <c r="V17" s="66"/>
      <c r="W17" s="66"/>
    </row>
    <row r="18" spans="1:23" ht="19.899999999999999" customHeight="1" x14ac:dyDescent="0.35">
      <c r="A18" s="110" t="s">
        <v>79</v>
      </c>
      <c r="B18" s="111"/>
      <c r="C18" s="114" t="s">
        <v>11</v>
      </c>
      <c r="D18" s="120" t="s">
        <v>12</v>
      </c>
      <c r="E18" s="122" t="s">
        <v>13</v>
      </c>
      <c r="F18" s="124" t="s">
        <v>12</v>
      </c>
      <c r="G18" s="125"/>
      <c r="H18" s="125"/>
      <c r="I18" s="125"/>
      <c r="J18" s="126"/>
      <c r="L18" s="118" t="s">
        <v>80</v>
      </c>
      <c r="M18" s="119"/>
      <c r="N18" s="119"/>
      <c r="O18" s="119"/>
      <c r="P18" s="119"/>
      <c r="Q18" s="119"/>
      <c r="R18" s="119"/>
      <c r="S18" s="119"/>
      <c r="T18" s="119"/>
      <c r="U18" s="119"/>
      <c r="V18" s="119"/>
      <c r="W18" s="116" t="s">
        <v>34</v>
      </c>
    </row>
    <row r="19" spans="1:23" ht="28.15" customHeight="1" thickBot="1" x14ac:dyDescent="0.4">
      <c r="A19" s="112"/>
      <c r="B19" s="113"/>
      <c r="C19" s="115"/>
      <c r="D19" s="121"/>
      <c r="E19" s="123"/>
      <c r="F19" s="103" t="s">
        <v>18</v>
      </c>
      <c r="G19" s="103" t="s">
        <v>19</v>
      </c>
      <c r="H19" s="80" t="s">
        <v>20</v>
      </c>
      <c r="I19" s="80" t="s">
        <v>21</v>
      </c>
      <c r="J19" s="81" t="s">
        <v>22</v>
      </c>
      <c r="L19" s="47" t="s">
        <v>23</v>
      </c>
      <c r="M19" s="30" t="s">
        <v>24</v>
      </c>
      <c r="N19" s="30" t="s">
        <v>25</v>
      </c>
      <c r="O19" s="30" t="s">
        <v>26</v>
      </c>
      <c r="P19" s="30" t="s">
        <v>27</v>
      </c>
      <c r="Q19" s="30" t="s">
        <v>28</v>
      </c>
      <c r="R19" s="30" t="s">
        <v>29</v>
      </c>
      <c r="S19" s="30" t="s">
        <v>30</v>
      </c>
      <c r="T19" s="30" t="s">
        <v>31</v>
      </c>
      <c r="U19" s="30" t="s">
        <v>32</v>
      </c>
      <c r="V19" s="30" t="s">
        <v>33</v>
      </c>
      <c r="W19" s="117"/>
    </row>
    <row r="20" spans="1:23" ht="19.899999999999999" customHeight="1" x14ac:dyDescent="0.35">
      <c r="A20" s="135" t="s">
        <v>81</v>
      </c>
      <c r="B20" s="136"/>
      <c r="C20" s="41">
        <f t="shared" ref="C20:J20" si="0">C11+C12</f>
        <v>0</v>
      </c>
      <c r="D20" s="41">
        <f t="shared" si="0"/>
        <v>14</v>
      </c>
      <c r="E20" s="41">
        <f t="shared" si="0"/>
        <v>14</v>
      </c>
      <c r="F20" s="41">
        <f t="shared" ref="F20:G20" si="1">F11+F12</f>
        <v>6</v>
      </c>
      <c r="G20" s="41">
        <f t="shared" si="1"/>
        <v>1</v>
      </c>
      <c r="H20" s="41">
        <f t="shared" si="0"/>
        <v>3</v>
      </c>
      <c r="I20" s="41">
        <f t="shared" si="0"/>
        <v>3</v>
      </c>
      <c r="J20" s="42">
        <f t="shared" si="0"/>
        <v>1</v>
      </c>
      <c r="L20" s="82">
        <f>L11+L12</f>
        <v>7</v>
      </c>
      <c r="M20" s="83">
        <f t="shared" ref="M20:S20" si="2">M11+M12</f>
        <v>2</v>
      </c>
      <c r="N20" s="83">
        <f t="shared" si="2"/>
        <v>7</v>
      </c>
      <c r="O20" s="83">
        <f t="shared" si="2"/>
        <v>4</v>
      </c>
      <c r="P20" s="83">
        <f t="shared" si="2"/>
        <v>5</v>
      </c>
      <c r="Q20" s="83">
        <f t="shared" si="2"/>
        <v>7</v>
      </c>
      <c r="R20" s="83">
        <f t="shared" si="2"/>
        <v>0</v>
      </c>
      <c r="S20" s="83">
        <f t="shared" si="2"/>
        <v>1</v>
      </c>
      <c r="T20" s="99">
        <f t="shared" ref="T20:V20" si="3">T11+T12</f>
        <v>0</v>
      </c>
      <c r="U20" s="99">
        <f t="shared" si="3"/>
        <v>0</v>
      </c>
      <c r="V20" s="99">
        <f t="shared" si="3"/>
        <v>0</v>
      </c>
      <c r="W20" s="48">
        <f>IFERROR(AVERAGE(W11:W12),"")</f>
        <v>18.975000000000001</v>
      </c>
    </row>
    <row r="21" spans="1:23" ht="19.899999999999999" customHeight="1" x14ac:dyDescent="0.35">
      <c r="A21" s="131" t="s">
        <v>82</v>
      </c>
      <c r="B21" s="137"/>
      <c r="C21" s="43">
        <f t="shared" ref="C21:J21" si="4">C13+C14</f>
        <v>0</v>
      </c>
      <c r="D21" s="43">
        <f t="shared" si="4"/>
        <v>15</v>
      </c>
      <c r="E21" s="43">
        <f t="shared" si="4"/>
        <v>15</v>
      </c>
      <c r="F21" s="43">
        <f t="shared" ref="F21:G21" si="5">F13+F14</f>
        <v>9</v>
      </c>
      <c r="G21" s="43">
        <f t="shared" si="5"/>
        <v>6</v>
      </c>
      <c r="H21" s="43">
        <f t="shared" si="4"/>
        <v>0</v>
      </c>
      <c r="I21" s="43">
        <f t="shared" si="4"/>
        <v>0</v>
      </c>
      <c r="J21" s="44">
        <f t="shared" si="4"/>
        <v>0</v>
      </c>
      <c r="L21" s="82">
        <f>L13+L14</f>
        <v>0</v>
      </c>
      <c r="M21" s="83">
        <f t="shared" ref="M21:S21" si="6">M13+M14</f>
        <v>6</v>
      </c>
      <c r="N21" s="83">
        <f t="shared" si="6"/>
        <v>0</v>
      </c>
      <c r="O21" s="83">
        <f t="shared" si="6"/>
        <v>3</v>
      </c>
      <c r="P21" s="83">
        <f t="shared" si="6"/>
        <v>0</v>
      </c>
      <c r="Q21" s="83">
        <f t="shared" si="6"/>
        <v>0</v>
      </c>
      <c r="R21" s="83">
        <f t="shared" si="6"/>
        <v>0</v>
      </c>
      <c r="S21" s="83">
        <f t="shared" si="6"/>
        <v>0</v>
      </c>
      <c r="T21" s="83">
        <f t="shared" ref="T21:V21" si="7">T13+T14</f>
        <v>7</v>
      </c>
      <c r="U21" s="83">
        <f t="shared" si="7"/>
        <v>4</v>
      </c>
      <c r="V21" s="83">
        <f t="shared" si="7"/>
        <v>12</v>
      </c>
      <c r="W21" s="48" t="str">
        <f>IFERROR(AVERAGE(W13:W14),"")</f>
        <v/>
      </c>
    </row>
    <row r="22" spans="1:23" ht="19.899999999999999" customHeight="1" thickBot="1" x14ac:dyDescent="0.4">
      <c r="A22" s="131" t="s">
        <v>83</v>
      </c>
      <c r="B22" s="137"/>
      <c r="C22" s="43">
        <f t="shared" ref="C22:J22" si="8">C15+C16</f>
        <v>0</v>
      </c>
      <c r="D22" s="43">
        <f t="shared" si="8"/>
        <v>25</v>
      </c>
      <c r="E22" s="43">
        <f t="shared" si="8"/>
        <v>25</v>
      </c>
      <c r="F22" s="43">
        <f t="shared" ref="F22:G22" si="9">F15+F16</f>
        <v>0</v>
      </c>
      <c r="G22" s="43">
        <f t="shared" si="9"/>
        <v>0</v>
      </c>
      <c r="H22" s="43">
        <f t="shared" si="8"/>
        <v>4</v>
      </c>
      <c r="I22" s="43">
        <f t="shared" si="8"/>
        <v>5</v>
      </c>
      <c r="J22" s="44">
        <f t="shared" si="8"/>
        <v>16</v>
      </c>
      <c r="L22" s="84">
        <f>L15+L16</f>
        <v>23</v>
      </c>
      <c r="M22" s="85">
        <f t="shared" ref="M22:S22" si="10">M15+M16</f>
        <v>25</v>
      </c>
      <c r="N22" s="85">
        <f t="shared" si="10"/>
        <v>23</v>
      </c>
      <c r="O22" s="85">
        <f t="shared" si="10"/>
        <v>19</v>
      </c>
      <c r="P22" s="85">
        <f t="shared" si="10"/>
        <v>20</v>
      </c>
      <c r="Q22" s="85">
        <f t="shared" si="10"/>
        <v>18</v>
      </c>
      <c r="R22" s="85">
        <f t="shared" si="10"/>
        <v>9</v>
      </c>
      <c r="S22" s="85">
        <f t="shared" si="10"/>
        <v>17</v>
      </c>
      <c r="T22" s="98">
        <v>0</v>
      </c>
      <c r="U22" s="98">
        <f t="shared" ref="U22:V22" si="11">U15+U16</f>
        <v>0</v>
      </c>
      <c r="V22" s="98">
        <f t="shared" si="11"/>
        <v>0</v>
      </c>
      <c r="W22" s="49">
        <f>IFERROR(AVERAGE(W15:W16),"")</f>
        <v>16.866666666666667</v>
      </c>
    </row>
    <row r="23" spans="1:23" ht="19.899999999999999" customHeight="1" thickBot="1" x14ac:dyDescent="0.4">
      <c r="A23" s="133" t="s">
        <v>84</v>
      </c>
      <c r="B23" s="134"/>
      <c r="C23" s="45">
        <f t="shared" ref="C23:J23" si="12">SUM(C20:C22)</f>
        <v>0</v>
      </c>
      <c r="D23" s="45">
        <f t="shared" si="12"/>
        <v>54</v>
      </c>
      <c r="E23" s="45">
        <f t="shared" si="12"/>
        <v>54</v>
      </c>
      <c r="F23" s="45">
        <f t="shared" ref="F23:G23" si="13">SUM(F20:F22)</f>
        <v>15</v>
      </c>
      <c r="G23" s="45">
        <f t="shared" si="13"/>
        <v>7</v>
      </c>
      <c r="H23" s="45">
        <f t="shared" si="12"/>
        <v>7</v>
      </c>
      <c r="I23" s="45">
        <f t="shared" si="12"/>
        <v>8</v>
      </c>
      <c r="J23" s="46">
        <f t="shared" si="12"/>
        <v>17</v>
      </c>
      <c r="L23" s="87">
        <f>L20+L21+L22</f>
        <v>30</v>
      </c>
      <c r="M23" s="88">
        <f t="shared" ref="M23:S23" si="14">M20+M21+M22</f>
        <v>33</v>
      </c>
      <c r="N23" s="88">
        <f t="shared" si="14"/>
        <v>30</v>
      </c>
      <c r="O23" s="88">
        <f t="shared" si="14"/>
        <v>26</v>
      </c>
      <c r="P23" s="88">
        <f t="shared" si="14"/>
        <v>25</v>
      </c>
      <c r="Q23" s="88">
        <f t="shared" si="14"/>
        <v>25</v>
      </c>
      <c r="R23" s="88">
        <f t="shared" si="14"/>
        <v>9</v>
      </c>
      <c r="S23" s="88">
        <f t="shared" si="14"/>
        <v>18</v>
      </c>
      <c r="T23" s="88">
        <f t="shared" ref="T23" si="15">T20+T21+T22</f>
        <v>7</v>
      </c>
      <c r="U23" s="88">
        <f t="shared" ref="U23" si="16">U20+U21+U22</f>
        <v>4</v>
      </c>
      <c r="V23" s="88">
        <f t="shared" ref="V23" si="17">V20+V21+V22</f>
        <v>12</v>
      </c>
      <c r="W23" s="92">
        <f>IFERROR(AVERAGE(W20:W22),"")</f>
        <v>17.920833333333334</v>
      </c>
    </row>
    <row r="24" spans="1:23" ht="20.5" customHeight="1" thickBot="1" x14ac:dyDescent="0.4">
      <c r="A24" s="60"/>
      <c r="B24" s="60"/>
      <c r="C24" s="61"/>
      <c r="D24" s="62"/>
      <c r="E24" s="63"/>
      <c r="F24" s="62"/>
      <c r="G24" s="62"/>
      <c r="H24" s="62"/>
      <c r="I24" s="62"/>
      <c r="J24" s="64"/>
    </row>
    <row r="25" spans="1:23" ht="19.899999999999999" customHeight="1" thickBot="1" x14ac:dyDescent="0.4">
      <c r="D25"/>
      <c r="E25"/>
      <c r="F25" s="127" t="s">
        <v>85</v>
      </c>
      <c r="G25" s="128"/>
      <c r="H25" s="128"/>
      <c r="I25" s="128"/>
      <c r="J25" s="129"/>
      <c r="L25" s="118" t="s">
        <v>86</v>
      </c>
      <c r="M25" s="119"/>
      <c r="N25" s="119"/>
      <c r="O25" s="119"/>
      <c r="P25" s="119"/>
      <c r="Q25" s="119"/>
      <c r="R25" s="119"/>
      <c r="S25" s="119"/>
      <c r="T25" s="119"/>
      <c r="U25" s="119"/>
      <c r="V25" s="119"/>
      <c r="W25" s="93"/>
    </row>
    <row r="26" spans="1:23" ht="35.5" customHeight="1" x14ac:dyDescent="0.35">
      <c r="D26" s="56" t="s">
        <v>10</v>
      </c>
      <c r="E26" s="102" t="s">
        <v>17</v>
      </c>
      <c r="F26" s="106" t="s">
        <v>18</v>
      </c>
      <c r="G26" s="106" t="s">
        <v>19</v>
      </c>
      <c r="H26" s="108" t="s">
        <v>20</v>
      </c>
      <c r="I26" s="108" t="s">
        <v>21</v>
      </c>
      <c r="J26" s="109" t="s">
        <v>22</v>
      </c>
      <c r="L26" s="47" t="s">
        <v>23</v>
      </c>
      <c r="M26" s="30" t="s">
        <v>24</v>
      </c>
      <c r="N26" s="30" t="s">
        <v>25</v>
      </c>
      <c r="O26" s="30" t="s">
        <v>26</v>
      </c>
      <c r="P26" s="30" t="s">
        <v>27</v>
      </c>
      <c r="Q26" s="30" t="s">
        <v>28</v>
      </c>
      <c r="R26" s="30" t="s">
        <v>29</v>
      </c>
      <c r="S26" s="30" t="s">
        <v>30</v>
      </c>
      <c r="T26" s="30" t="s">
        <v>31</v>
      </c>
      <c r="U26" s="30" t="s">
        <v>32</v>
      </c>
      <c r="V26" s="30" t="s">
        <v>33</v>
      </c>
      <c r="W26" s="32" t="s">
        <v>87</v>
      </c>
    </row>
    <row r="27" spans="1:23" ht="19.899999999999999" customHeight="1" x14ac:dyDescent="0.35">
      <c r="D27" s="131" t="s">
        <v>6</v>
      </c>
      <c r="E27" s="8" t="s">
        <v>35</v>
      </c>
      <c r="F27" s="67">
        <f t="shared" ref="F27:G27" si="18">IFERROR(F11/$D11,"")</f>
        <v>0.6</v>
      </c>
      <c r="G27" s="67">
        <f t="shared" si="18"/>
        <v>0.1</v>
      </c>
      <c r="H27" s="67">
        <f>IFERROR(H11/$D11,"")</f>
        <v>0.1</v>
      </c>
      <c r="I27" s="67">
        <f t="shared" ref="I27:J27" si="19">IFERROR(I11/$D11,"")</f>
        <v>0.1</v>
      </c>
      <c r="J27" s="68">
        <f t="shared" si="19"/>
        <v>0.1</v>
      </c>
      <c r="L27" s="77">
        <f t="shared" ref="L27:L32" si="20">IFERROR(L11/$D11,"")</f>
        <v>0.4</v>
      </c>
      <c r="M27" s="67">
        <f t="shared" ref="M27:S27" si="21">IFERROR(M11/$D11,"")</f>
        <v>0.1</v>
      </c>
      <c r="N27" s="67">
        <f t="shared" si="21"/>
        <v>0.4</v>
      </c>
      <c r="O27" s="67">
        <f t="shared" si="21"/>
        <v>0.1</v>
      </c>
      <c r="P27" s="67">
        <f t="shared" si="21"/>
        <v>0.2</v>
      </c>
      <c r="Q27" s="67">
        <f t="shared" si="21"/>
        <v>0.4</v>
      </c>
      <c r="R27" s="67">
        <f t="shared" si="21"/>
        <v>0</v>
      </c>
      <c r="S27" s="67">
        <f t="shared" si="21"/>
        <v>0.1</v>
      </c>
      <c r="T27" s="100" t="s">
        <v>73</v>
      </c>
      <c r="U27" s="100"/>
      <c r="V27" s="100"/>
      <c r="W27" s="68">
        <f>IFERROR(W11/$BD$7,"")</f>
        <v>0.30571428571428572</v>
      </c>
    </row>
    <row r="28" spans="1:23" ht="19.899999999999999" customHeight="1" x14ac:dyDescent="0.35">
      <c r="D28" s="131"/>
      <c r="E28" s="8" t="s">
        <v>37</v>
      </c>
      <c r="F28" s="67">
        <f t="shared" ref="F28:G28" si="22">IFERROR(F12/$D12,"")</f>
        <v>0</v>
      </c>
      <c r="G28" s="67">
        <f t="shared" si="22"/>
        <v>0</v>
      </c>
      <c r="H28" s="67">
        <f t="shared" ref="H28:J28" si="23">IFERROR(H12/$D12,"")</f>
        <v>0.5</v>
      </c>
      <c r="I28" s="67">
        <f t="shared" si="23"/>
        <v>0.5</v>
      </c>
      <c r="J28" s="68">
        <f t="shared" si="23"/>
        <v>0</v>
      </c>
      <c r="L28" s="77">
        <f t="shared" si="20"/>
        <v>0.75</v>
      </c>
      <c r="M28" s="67">
        <f t="shared" ref="M28:T28" si="24">IFERROR(M12/$D12,"")</f>
        <v>0.25</v>
      </c>
      <c r="N28" s="67">
        <f t="shared" si="24"/>
        <v>0.75</v>
      </c>
      <c r="O28" s="67">
        <f t="shared" si="24"/>
        <v>0.75</v>
      </c>
      <c r="P28" s="67">
        <f t="shared" si="24"/>
        <v>0.75</v>
      </c>
      <c r="Q28" s="67">
        <f t="shared" si="24"/>
        <v>0.75</v>
      </c>
      <c r="R28" s="67">
        <f t="shared" si="24"/>
        <v>0</v>
      </c>
      <c r="S28" s="67">
        <f t="shared" si="24"/>
        <v>0</v>
      </c>
      <c r="T28" s="100">
        <f t="shared" si="24"/>
        <v>0</v>
      </c>
      <c r="U28" s="100"/>
      <c r="V28" s="100"/>
      <c r="W28" s="68">
        <f>IFERROR(W12/$BD$7,"")</f>
        <v>0.77857142857142858</v>
      </c>
    </row>
    <row r="29" spans="1:23" ht="19.899999999999999" customHeight="1" x14ac:dyDescent="0.35">
      <c r="C29" s="130" t="s">
        <v>73</v>
      </c>
      <c r="D29" s="131" t="s">
        <v>7</v>
      </c>
      <c r="E29" s="8" t="s">
        <v>35</v>
      </c>
      <c r="F29" s="67">
        <f t="shared" ref="F29:G29" si="25">IFERROR(F13/$D13,"")</f>
        <v>0.8571428571428571</v>
      </c>
      <c r="G29" s="67">
        <f t="shared" si="25"/>
        <v>0.14285714285714285</v>
      </c>
      <c r="H29" s="67">
        <f t="shared" ref="H29:J29" si="26">IFERROR(H13/$D13,"")</f>
        <v>0</v>
      </c>
      <c r="I29" s="67">
        <f t="shared" si="26"/>
        <v>0</v>
      </c>
      <c r="J29" s="68">
        <f t="shared" si="26"/>
        <v>0</v>
      </c>
      <c r="L29" s="77">
        <f t="shared" si="20"/>
        <v>0</v>
      </c>
      <c r="M29" s="67">
        <f t="shared" ref="M29:V29" si="27">IFERROR(M13/$D13,"")</f>
        <v>0.14285714285714285</v>
      </c>
      <c r="N29" s="67">
        <f t="shared" si="27"/>
        <v>0</v>
      </c>
      <c r="O29" s="67">
        <f t="shared" si="27"/>
        <v>0.14285714285714285</v>
      </c>
      <c r="P29" s="67">
        <f t="shared" si="27"/>
        <v>0</v>
      </c>
      <c r="Q29" s="67">
        <f t="shared" si="27"/>
        <v>0</v>
      </c>
      <c r="R29" s="67">
        <f t="shared" si="27"/>
        <v>0</v>
      </c>
      <c r="S29" s="67">
        <f t="shared" si="27"/>
        <v>0</v>
      </c>
      <c r="T29" s="67">
        <f t="shared" si="27"/>
        <v>0.2857142857142857</v>
      </c>
      <c r="U29" s="67">
        <f t="shared" si="27"/>
        <v>0</v>
      </c>
      <c r="V29" s="67">
        <f t="shared" si="27"/>
        <v>0.8571428571428571</v>
      </c>
      <c r="W29" s="68" t="str">
        <f>IFERROR(W13/$BD$8,"")</f>
        <v/>
      </c>
    </row>
    <row r="30" spans="1:23" ht="19.899999999999999" customHeight="1" x14ac:dyDescent="0.35">
      <c r="C30" s="130"/>
      <c r="D30" s="131"/>
      <c r="E30" s="8" t="s">
        <v>37</v>
      </c>
      <c r="F30" s="67">
        <f t="shared" ref="F30:G30" si="28">IFERROR(F14/$D14,"")</f>
        <v>0.375</v>
      </c>
      <c r="G30" s="67">
        <f t="shared" si="28"/>
        <v>0.625</v>
      </c>
      <c r="H30" s="67">
        <f t="shared" ref="H30:J30" si="29">IFERROR(H14/$D14,"")</f>
        <v>0</v>
      </c>
      <c r="I30" s="67">
        <f t="shared" si="29"/>
        <v>0</v>
      </c>
      <c r="J30" s="68">
        <f t="shared" si="29"/>
        <v>0</v>
      </c>
      <c r="L30" s="77">
        <f t="shared" si="20"/>
        <v>0</v>
      </c>
      <c r="M30" s="67">
        <f t="shared" ref="M30:V30" si="30">IFERROR(M14/$D14,"")</f>
        <v>0.625</v>
      </c>
      <c r="N30" s="67">
        <f t="shared" si="30"/>
        <v>0</v>
      </c>
      <c r="O30" s="67">
        <f t="shared" si="30"/>
        <v>0.25</v>
      </c>
      <c r="P30" s="67">
        <f t="shared" si="30"/>
        <v>0</v>
      </c>
      <c r="Q30" s="67">
        <f t="shared" si="30"/>
        <v>0</v>
      </c>
      <c r="R30" s="67">
        <f t="shared" si="30"/>
        <v>0</v>
      </c>
      <c r="S30" s="67">
        <f t="shared" si="30"/>
        <v>0</v>
      </c>
      <c r="T30" s="67">
        <f t="shared" si="30"/>
        <v>0.625</v>
      </c>
      <c r="U30" s="67">
        <f t="shared" si="30"/>
        <v>0.5</v>
      </c>
      <c r="V30" s="67">
        <f t="shared" si="30"/>
        <v>0.75</v>
      </c>
      <c r="W30" s="68" t="str">
        <f>IFERROR(W14/$BD$8,"")</f>
        <v/>
      </c>
    </row>
    <row r="31" spans="1:23" ht="19.899999999999999" customHeight="1" x14ac:dyDescent="0.35">
      <c r="C31" s="130" t="s">
        <v>73</v>
      </c>
      <c r="D31" s="131" t="s">
        <v>8</v>
      </c>
      <c r="E31" s="8" t="s">
        <v>35</v>
      </c>
      <c r="F31" s="67">
        <f t="shared" ref="F31:G31" si="31">IFERROR(F15/$D15,"")</f>
        <v>0</v>
      </c>
      <c r="G31" s="67">
        <f t="shared" si="31"/>
        <v>0</v>
      </c>
      <c r="H31" s="67">
        <f t="shared" ref="H31:J31" si="32">IFERROR(H15/$D15,"")</f>
        <v>0.2</v>
      </c>
      <c r="I31" s="67">
        <f t="shared" si="32"/>
        <v>0.2</v>
      </c>
      <c r="J31" s="68">
        <f t="shared" si="32"/>
        <v>0.6</v>
      </c>
      <c r="L31" s="78">
        <f t="shared" si="20"/>
        <v>1</v>
      </c>
      <c r="M31" s="67">
        <f t="shared" ref="M31:S31" si="33">IFERROR(M15/$D15,"")</f>
        <v>1</v>
      </c>
      <c r="N31" s="67">
        <f t="shared" si="33"/>
        <v>1</v>
      </c>
      <c r="O31" s="67">
        <f t="shared" si="33"/>
        <v>0.6</v>
      </c>
      <c r="P31" s="67">
        <f t="shared" si="33"/>
        <v>0.7</v>
      </c>
      <c r="Q31" s="67">
        <f t="shared" si="33"/>
        <v>0.6</v>
      </c>
      <c r="R31" s="67">
        <f t="shared" si="33"/>
        <v>0.4</v>
      </c>
      <c r="S31" s="67">
        <f t="shared" si="33"/>
        <v>0.7</v>
      </c>
      <c r="T31" s="100" t="str">
        <f>IFERROR(T15/AL$13,"")</f>
        <v/>
      </c>
      <c r="U31" s="100"/>
      <c r="V31" s="100"/>
      <c r="W31" s="68">
        <f>IFERROR(W15/$BD$9,"")</f>
        <v>0.83000000000000007</v>
      </c>
    </row>
    <row r="32" spans="1:23" ht="19.899999999999999" customHeight="1" thickBot="1" x14ac:dyDescent="0.4">
      <c r="C32" s="130"/>
      <c r="D32" s="132"/>
      <c r="E32" s="54" t="s">
        <v>37</v>
      </c>
      <c r="F32" s="69">
        <f t="shared" ref="F32:G32" si="34">IFERROR(F16/$D16,"")</f>
        <v>0</v>
      </c>
      <c r="G32" s="69">
        <f t="shared" si="34"/>
        <v>0</v>
      </c>
      <c r="H32" s="69">
        <f t="shared" ref="H32:J32" si="35">IFERROR(H16/$D16,"")</f>
        <v>0.13333333333333333</v>
      </c>
      <c r="I32" s="69">
        <f t="shared" si="35"/>
        <v>0.2</v>
      </c>
      <c r="J32" s="70">
        <f t="shared" si="35"/>
        <v>0.66666666666666663</v>
      </c>
      <c r="L32" s="77">
        <f t="shared" si="20"/>
        <v>0.8666666666666667</v>
      </c>
      <c r="M32" s="69">
        <f t="shared" ref="M32:S32" si="36">IFERROR(M16/$D16,"")</f>
        <v>1</v>
      </c>
      <c r="N32" s="69">
        <f t="shared" si="36"/>
        <v>0.8666666666666667</v>
      </c>
      <c r="O32" s="69">
        <f t="shared" si="36"/>
        <v>0.8666666666666667</v>
      </c>
      <c r="P32" s="69">
        <f t="shared" si="36"/>
        <v>0.8666666666666667</v>
      </c>
      <c r="Q32" s="69">
        <f t="shared" si="36"/>
        <v>0.8</v>
      </c>
      <c r="R32" s="69">
        <f t="shared" si="36"/>
        <v>0.33333333333333331</v>
      </c>
      <c r="S32" s="69">
        <f t="shared" si="36"/>
        <v>0.66666666666666663</v>
      </c>
      <c r="T32" s="101" t="str">
        <f>IFERROR(T16/AL$13,"")</f>
        <v/>
      </c>
      <c r="U32" s="101"/>
      <c r="V32" s="101"/>
      <c r="W32" s="70">
        <f>IFERROR(W16/$BD$9,"")</f>
        <v>0.85666666666666669</v>
      </c>
    </row>
    <row r="33" spans="11:37" ht="19.899999999999999" customHeight="1" x14ac:dyDescent="0.35"/>
    <row r="34" spans="11:37" ht="19.899999999999999" customHeight="1" x14ac:dyDescent="0.35"/>
    <row r="35" spans="11:37" ht="19.899999999999999" customHeight="1" x14ac:dyDescent="0.35"/>
    <row r="36" spans="11:37" ht="19.899999999999999" customHeight="1" x14ac:dyDescent="0.35"/>
    <row r="37" spans="11:37" ht="19.899999999999999" customHeight="1" x14ac:dyDescent="0.35"/>
    <row r="38" spans="11:37" ht="19.899999999999999" customHeight="1" x14ac:dyDescent="0.35"/>
    <row r="39" spans="11:37" ht="19.899999999999999" customHeight="1" x14ac:dyDescent="0.35"/>
    <row r="40" spans="11:37" ht="19.899999999999999" customHeight="1" x14ac:dyDescent="0.35"/>
    <row r="41" spans="11:37" ht="19.899999999999999" customHeight="1" x14ac:dyDescent="0.35"/>
    <row r="42" spans="11:37" ht="19.899999999999999" customHeight="1" x14ac:dyDescent="0.35"/>
    <row r="43" spans="11:37" ht="14.5" x14ac:dyDescent="0.35"/>
    <row r="44" spans="11:37" ht="14.5" x14ac:dyDescent="0.35">
      <c r="K44" s="15"/>
      <c r="L44" s="79"/>
      <c r="M44" s="79"/>
      <c r="N44" s="79"/>
      <c r="O44" s="79"/>
      <c r="P44" s="79"/>
      <c r="Q44" s="79"/>
      <c r="R44" s="79"/>
      <c r="S44" s="79"/>
      <c r="T44" s="79"/>
      <c r="U44" s="79"/>
      <c r="V44" s="79"/>
      <c r="W44" s="79"/>
      <c r="X44" s="15"/>
      <c r="Y44" s="15"/>
      <c r="Z44" s="15"/>
      <c r="AA44" s="15"/>
      <c r="AB44" s="15"/>
      <c r="AC44" s="15"/>
      <c r="AD44" s="15"/>
      <c r="AE44" s="15"/>
      <c r="AF44" s="15"/>
      <c r="AG44" s="15"/>
      <c r="AJ44" s="1"/>
      <c r="AK44" s="1"/>
    </row>
    <row r="45" spans="11:37" ht="14.5" x14ac:dyDescent="0.35">
      <c r="K45" s="13"/>
      <c r="L45" s="13"/>
      <c r="M45" s="13"/>
      <c r="N45" s="13"/>
      <c r="O45" s="13"/>
      <c r="P45" s="13"/>
      <c r="Q45" s="13"/>
      <c r="R45" s="13"/>
      <c r="S45" s="13"/>
      <c r="T45" s="13"/>
      <c r="U45" s="13"/>
      <c r="V45" s="13"/>
      <c r="W45" s="13"/>
      <c r="X45" s="13"/>
      <c r="Y45" s="13"/>
      <c r="Z45" s="13"/>
      <c r="AA45" s="13"/>
      <c r="AB45" s="13"/>
      <c r="AC45" s="13"/>
      <c r="AD45" s="13"/>
      <c r="AE45" s="13"/>
      <c r="AF45" s="13"/>
      <c r="AG45" s="13"/>
      <c r="AH45" s="11"/>
      <c r="AI45" s="11"/>
      <c r="AJ45" s="1"/>
      <c r="AK45" s="1"/>
    </row>
    <row r="46" spans="11:37" ht="14.5" x14ac:dyDescent="0.35">
      <c r="K46" s="14"/>
      <c r="L46" s="14"/>
      <c r="M46" s="14"/>
      <c r="N46" s="14"/>
      <c r="O46" s="14"/>
      <c r="P46" s="14"/>
      <c r="Q46" s="14"/>
      <c r="R46" s="14"/>
      <c r="S46" s="14"/>
      <c r="T46" s="14"/>
      <c r="U46" s="14"/>
      <c r="V46" s="14"/>
      <c r="W46" s="14"/>
      <c r="X46" s="14"/>
      <c r="Y46" s="14"/>
      <c r="Z46" s="14"/>
      <c r="AA46" s="14"/>
      <c r="AB46" s="14"/>
      <c r="AC46" s="14"/>
      <c r="AD46" s="14"/>
      <c r="AE46" s="14"/>
      <c r="AF46" s="14"/>
      <c r="AG46" s="14"/>
      <c r="AH46" s="12"/>
      <c r="AI46" s="12"/>
      <c r="AJ46" s="1"/>
      <c r="AK46" s="1"/>
    </row>
    <row r="47" spans="11:37" ht="14.5" x14ac:dyDescent="0.35">
      <c r="K47" s="14"/>
      <c r="L47" s="14"/>
      <c r="M47" s="14"/>
      <c r="N47" s="14"/>
      <c r="O47" s="14"/>
      <c r="P47" s="14"/>
      <c r="Q47" s="14"/>
      <c r="R47" s="14"/>
      <c r="S47" s="14"/>
      <c r="T47" s="14"/>
      <c r="U47" s="14"/>
      <c r="V47" s="14"/>
      <c r="W47" s="14"/>
      <c r="X47" s="14"/>
      <c r="Y47" s="14"/>
      <c r="Z47" s="14"/>
      <c r="AA47" s="14"/>
      <c r="AB47" s="14"/>
      <c r="AC47" s="14"/>
      <c r="AD47" s="14"/>
      <c r="AE47" s="14"/>
      <c r="AF47" s="14"/>
      <c r="AG47" s="14"/>
      <c r="AH47" s="12"/>
      <c r="AI47" s="12"/>
      <c r="AJ47" s="1"/>
      <c r="AK47" s="1"/>
    </row>
    <row r="48" spans="11:37" ht="14.5" x14ac:dyDescent="0.35">
      <c r="K48" s="14"/>
      <c r="L48" s="14"/>
      <c r="M48" s="14"/>
      <c r="N48" s="14"/>
      <c r="O48" s="14"/>
      <c r="P48" s="14"/>
      <c r="Q48" s="14"/>
      <c r="R48" s="14"/>
      <c r="S48" s="14"/>
      <c r="T48" s="14"/>
      <c r="U48" s="14"/>
      <c r="V48" s="14"/>
      <c r="W48" s="14"/>
      <c r="X48" s="14"/>
      <c r="Y48" s="14"/>
      <c r="Z48" s="14"/>
      <c r="AA48" s="14"/>
      <c r="AB48" s="14"/>
      <c r="AC48" s="14"/>
      <c r="AD48" s="14"/>
      <c r="AE48" s="14"/>
      <c r="AF48" s="14"/>
      <c r="AG48" s="14"/>
      <c r="AH48" s="12" t="str">
        <f>IFERROR(#REF!/$H$14,"")</f>
        <v/>
      </c>
      <c r="AI48" s="12" t="str">
        <f>IFERROR(#REF!/$H$14,"")</f>
        <v/>
      </c>
      <c r="AJ48" s="1"/>
      <c r="AK48" s="1"/>
    </row>
    <row r="49" spans="11:37" ht="14.5" x14ac:dyDescent="0.35">
      <c r="K49" s="14"/>
      <c r="L49" s="14"/>
      <c r="M49" s="14"/>
      <c r="N49" s="14"/>
      <c r="O49" s="14"/>
      <c r="P49" s="14"/>
      <c r="Q49" s="14"/>
      <c r="R49" s="14"/>
      <c r="S49" s="14"/>
      <c r="T49" s="14"/>
      <c r="U49" s="14"/>
      <c r="V49" s="14"/>
      <c r="W49" s="14"/>
      <c r="X49" s="14"/>
      <c r="Y49" s="14"/>
      <c r="Z49" s="14"/>
      <c r="AA49" s="14"/>
      <c r="AB49" s="14"/>
      <c r="AC49" s="14"/>
      <c r="AD49" s="14"/>
      <c r="AE49" s="14"/>
      <c r="AF49" s="14"/>
      <c r="AG49" s="14"/>
      <c r="AH49" s="12"/>
      <c r="AI49" s="12"/>
      <c r="AJ49" s="1"/>
      <c r="AK49" s="1"/>
    </row>
    <row r="50" spans="11:37" ht="14.5" x14ac:dyDescent="0.35">
      <c r="K50" s="14"/>
      <c r="L50" s="14"/>
      <c r="M50" s="14"/>
      <c r="N50" s="14"/>
      <c r="O50" s="14"/>
      <c r="P50" s="14"/>
      <c r="Q50" s="14"/>
      <c r="R50" s="14"/>
      <c r="S50" s="14"/>
      <c r="T50" s="14"/>
      <c r="U50" s="14"/>
      <c r="V50" s="14"/>
      <c r="W50" s="14"/>
      <c r="X50" s="14"/>
      <c r="Y50" s="14"/>
      <c r="Z50" s="14"/>
      <c r="AA50" s="14"/>
      <c r="AB50" s="14"/>
      <c r="AC50" s="14"/>
      <c r="AD50" s="14"/>
      <c r="AE50" s="14"/>
      <c r="AF50" s="14"/>
      <c r="AG50" s="14"/>
      <c r="AH50" s="12"/>
      <c r="AI50" s="12"/>
      <c r="AJ50" s="1"/>
      <c r="AK50" s="1"/>
    </row>
    <row r="51" spans="11:37" ht="14.5" x14ac:dyDescent="0.35">
      <c r="K51" s="14"/>
      <c r="L51" s="14"/>
      <c r="M51" s="14"/>
      <c r="N51" s="14"/>
      <c r="O51" s="14"/>
      <c r="P51" s="14"/>
      <c r="Q51" s="14"/>
      <c r="R51" s="14"/>
      <c r="S51" s="14"/>
      <c r="T51" s="14"/>
      <c r="U51" s="14"/>
      <c r="V51" s="14"/>
      <c r="W51" s="14"/>
      <c r="X51" s="14"/>
      <c r="Y51" s="14"/>
      <c r="Z51" s="14"/>
      <c r="AA51" s="14"/>
      <c r="AB51" s="14"/>
      <c r="AC51" s="14"/>
      <c r="AD51" s="14"/>
      <c r="AE51" s="14"/>
      <c r="AF51" s="14"/>
      <c r="AG51" s="14"/>
      <c r="AH51" s="12"/>
      <c r="AI51" s="12"/>
      <c r="AJ51" s="1"/>
      <c r="AK51" s="1"/>
    </row>
    <row r="52" spans="11:37" ht="14.5" x14ac:dyDescent="0.35">
      <c r="K52" s="14"/>
      <c r="L52" s="14"/>
      <c r="M52" s="14"/>
      <c r="N52" s="14"/>
      <c r="O52" s="14"/>
      <c r="P52" s="14"/>
      <c r="Q52" s="14"/>
      <c r="R52" s="14"/>
      <c r="S52" s="14"/>
      <c r="T52" s="14"/>
      <c r="U52" s="14"/>
      <c r="V52" s="14"/>
      <c r="W52" s="14"/>
      <c r="X52" s="14"/>
      <c r="Y52" s="14"/>
      <c r="Z52" s="14"/>
      <c r="AA52" s="14"/>
      <c r="AB52" s="14"/>
      <c r="AC52" s="14"/>
      <c r="AD52" s="14"/>
      <c r="AE52" s="14"/>
      <c r="AF52" s="14"/>
      <c r="AG52" s="14"/>
      <c r="AH52" s="12"/>
      <c r="AI52" s="12"/>
      <c r="AJ52" s="1"/>
      <c r="AK52" s="1"/>
    </row>
    <row r="53" spans="11:37" ht="14.5" x14ac:dyDescent="0.35">
      <c r="K53" s="14"/>
      <c r="L53" s="14"/>
      <c r="M53" s="14"/>
      <c r="N53" s="14"/>
      <c r="O53" s="14"/>
      <c r="P53" s="14"/>
      <c r="Q53" s="14"/>
      <c r="R53" s="14"/>
      <c r="S53" s="14"/>
      <c r="T53" s="14"/>
      <c r="U53" s="14"/>
      <c r="V53" s="14"/>
      <c r="W53" s="14"/>
      <c r="X53" s="14"/>
      <c r="Y53" s="14"/>
      <c r="Z53" s="14"/>
      <c r="AA53" s="14"/>
      <c r="AB53" s="14"/>
      <c r="AC53" s="14"/>
      <c r="AD53" s="14"/>
      <c r="AE53" s="14"/>
      <c r="AF53" s="14"/>
      <c r="AG53" s="14"/>
      <c r="AH53" s="12"/>
      <c r="AI53" s="12"/>
      <c r="AJ53" s="1"/>
      <c r="AK53" s="1"/>
    </row>
    <row r="54" spans="11:37" ht="14.5" x14ac:dyDescent="0.35">
      <c r="K54" s="14"/>
      <c r="L54" s="14"/>
      <c r="M54" s="14"/>
      <c r="N54" s="14"/>
      <c r="O54" s="14"/>
      <c r="P54" s="14"/>
      <c r="Q54" s="14"/>
      <c r="R54" s="14"/>
      <c r="S54" s="14"/>
      <c r="T54" s="14"/>
      <c r="U54" s="14"/>
      <c r="V54" s="14"/>
      <c r="W54" s="14"/>
      <c r="X54" s="14"/>
      <c r="Y54" s="14"/>
      <c r="Z54" s="14"/>
      <c r="AA54" s="14"/>
      <c r="AB54" s="14"/>
      <c r="AC54" s="14"/>
      <c r="AD54" s="14"/>
      <c r="AE54" s="14"/>
      <c r="AF54" s="14"/>
      <c r="AG54" s="14"/>
      <c r="AH54" s="12"/>
      <c r="AI54" s="12"/>
      <c r="AJ54" s="1"/>
      <c r="AK54" s="1"/>
    </row>
    <row r="55" spans="11:37" ht="14.5" x14ac:dyDescent="0.35">
      <c r="K55" s="14"/>
      <c r="L55" s="14"/>
      <c r="M55" s="14"/>
      <c r="N55" s="14"/>
      <c r="O55" s="14"/>
      <c r="P55" s="14"/>
      <c r="Q55" s="14"/>
      <c r="R55" s="14"/>
      <c r="S55" s="14"/>
      <c r="T55" s="14"/>
      <c r="U55" s="14"/>
      <c r="V55" s="14"/>
      <c r="W55" s="14"/>
      <c r="X55" s="14"/>
      <c r="Y55" s="14"/>
      <c r="Z55" s="14"/>
      <c r="AA55" s="14"/>
      <c r="AB55" s="14"/>
      <c r="AC55" s="14"/>
      <c r="AD55" s="14"/>
      <c r="AE55" s="14"/>
      <c r="AF55" s="14"/>
      <c r="AG55" s="14"/>
      <c r="AH55" s="12"/>
      <c r="AI55" s="12"/>
      <c r="AJ55" s="1"/>
      <c r="AK55" s="1"/>
    </row>
    <row r="56" spans="11:37" ht="14.5" x14ac:dyDescent="0.35">
      <c r="K56" s="14"/>
      <c r="L56" s="14"/>
      <c r="M56" s="14"/>
      <c r="N56" s="14"/>
      <c r="O56" s="14"/>
      <c r="P56" s="14"/>
      <c r="Q56" s="14"/>
      <c r="R56" s="14"/>
      <c r="S56" s="14"/>
      <c r="T56" s="14"/>
      <c r="U56" s="14"/>
      <c r="V56" s="14"/>
      <c r="W56" s="14"/>
      <c r="X56" s="14"/>
      <c r="Y56" s="14"/>
      <c r="Z56" s="14"/>
      <c r="AA56" s="14"/>
      <c r="AB56" s="14"/>
      <c r="AC56" s="14"/>
      <c r="AD56" s="14"/>
      <c r="AE56" s="14"/>
      <c r="AF56" s="14"/>
      <c r="AG56" s="14"/>
      <c r="AH56" s="12"/>
      <c r="AI56" s="12"/>
      <c r="AJ56" s="1"/>
      <c r="AK56" s="1"/>
    </row>
    <row r="57" spans="11:37" ht="14.5" x14ac:dyDescent="0.35">
      <c r="K57" s="14"/>
      <c r="L57" s="14"/>
      <c r="M57" s="14"/>
      <c r="N57" s="14"/>
      <c r="O57" s="14"/>
      <c r="P57" s="14"/>
      <c r="Q57" s="14"/>
      <c r="R57" s="14"/>
      <c r="S57" s="14"/>
      <c r="T57" s="14"/>
      <c r="U57" s="14"/>
      <c r="V57" s="14"/>
      <c r="W57" s="14"/>
      <c r="X57" s="14"/>
      <c r="Y57" s="14"/>
      <c r="Z57" s="14"/>
      <c r="AA57" s="14"/>
      <c r="AB57" s="14"/>
      <c r="AC57" s="14"/>
      <c r="AD57" s="14"/>
      <c r="AE57" s="14"/>
      <c r="AF57" s="14"/>
      <c r="AG57" s="14"/>
      <c r="AH57" s="12"/>
      <c r="AI57" s="12"/>
      <c r="AJ57" s="1"/>
      <c r="AK57" s="1"/>
    </row>
    <row r="58" spans="11:37" ht="14.5" x14ac:dyDescent="0.35">
      <c r="K58" s="14"/>
      <c r="L58" s="14"/>
      <c r="M58" s="14"/>
      <c r="N58" s="14"/>
      <c r="O58" s="14"/>
      <c r="P58" s="14"/>
      <c r="Q58" s="14"/>
      <c r="R58" s="14"/>
      <c r="S58" s="14"/>
      <c r="T58" s="14"/>
      <c r="U58" s="14"/>
      <c r="V58" s="14"/>
      <c r="W58" s="14"/>
      <c r="X58" s="14"/>
      <c r="Y58" s="14"/>
      <c r="Z58" s="14"/>
      <c r="AA58" s="14"/>
      <c r="AB58" s="14"/>
      <c r="AC58" s="14"/>
      <c r="AD58" s="14"/>
      <c r="AE58" s="14"/>
      <c r="AF58" s="14"/>
      <c r="AG58" s="14"/>
      <c r="AH58" s="12"/>
      <c r="AI58" s="12"/>
      <c r="AJ58" s="1"/>
      <c r="AK58" s="1"/>
    </row>
    <row r="59" spans="11:37" ht="14.5" x14ac:dyDescent="0.35">
      <c r="K59" s="14"/>
      <c r="L59" s="14"/>
      <c r="M59" s="14"/>
      <c r="N59" s="14"/>
      <c r="O59" s="14"/>
      <c r="P59" s="14"/>
      <c r="Q59" s="14"/>
      <c r="R59" s="14"/>
      <c r="S59" s="14"/>
      <c r="T59" s="14"/>
      <c r="U59" s="14"/>
      <c r="V59" s="14"/>
      <c r="W59" s="14"/>
      <c r="X59" s="14"/>
      <c r="Y59" s="14"/>
      <c r="Z59" s="14"/>
      <c r="AA59" s="14"/>
      <c r="AB59" s="14"/>
      <c r="AC59" s="14"/>
      <c r="AD59" s="14"/>
      <c r="AE59" s="14"/>
      <c r="AF59" s="14"/>
      <c r="AG59" s="14"/>
      <c r="AH59" s="12"/>
      <c r="AI59" s="12"/>
      <c r="AJ59" s="1"/>
      <c r="AK59" s="1"/>
    </row>
    <row r="60" spans="11:37" ht="14.5" x14ac:dyDescent="0.35">
      <c r="K60" s="14"/>
      <c r="L60" s="14"/>
      <c r="M60" s="14"/>
      <c r="N60" s="14"/>
      <c r="O60" s="14"/>
      <c r="P60" s="14"/>
      <c r="Q60" s="14"/>
      <c r="R60" s="14"/>
      <c r="S60" s="14"/>
      <c r="T60" s="14"/>
      <c r="U60" s="14"/>
      <c r="V60" s="14"/>
      <c r="W60" s="14"/>
      <c r="X60" s="14"/>
      <c r="Y60" s="14"/>
      <c r="Z60" s="14"/>
      <c r="AA60" s="14"/>
      <c r="AB60" s="14"/>
      <c r="AC60" s="14"/>
      <c r="AD60" s="14"/>
      <c r="AE60" s="14"/>
      <c r="AF60" s="14"/>
      <c r="AG60" s="14"/>
      <c r="AH60" s="12"/>
      <c r="AI60" s="12"/>
      <c r="AJ60" s="1"/>
      <c r="AK60" s="1"/>
    </row>
    <row r="61" spans="11:37" ht="14.5" x14ac:dyDescent="0.35">
      <c r="K61" s="14"/>
      <c r="L61" s="14"/>
      <c r="M61" s="14"/>
      <c r="N61" s="14"/>
      <c r="O61" s="14"/>
      <c r="P61" s="14"/>
      <c r="Q61" s="14"/>
      <c r="R61" s="14"/>
      <c r="S61" s="14"/>
      <c r="T61" s="14"/>
      <c r="U61" s="14"/>
      <c r="V61" s="14"/>
      <c r="W61" s="14"/>
      <c r="X61" s="14"/>
      <c r="Y61" s="14"/>
      <c r="Z61" s="14"/>
      <c r="AA61" s="14"/>
      <c r="AB61" s="14"/>
      <c r="AC61" s="14"/>
      <c r="AD61" s="14"/>
      <c r="AE61" s="14"/>
      <c r="AF61" s="14"/>
      <c r="AG61" s="14"/>
      <c r="AH61" s="12"/>
      <c r="AI61" s="12"/>
      <c r="AJ61" s="1"/>
      <c r="AK61" s="1"/>
    </row>
    <row r="62" spans="11:37" ht="14.5" x14ac:dyDescent="0.35">
      <c r="K62" s="14"/>
      <c r="L62" s="14"/>
      <c r="M62" s="14"/>
      <c r="N62" s="14"/>
      <c r="O62" s="14"/>
      <c r="P62" s="14"/>
      <c r="Q62" s="14"/>
      <c r="R62" s="14"/>
      <c r="S62" s="14"/>
      <c r="T62" s="14"/>
      <c r="U62" s="14"/>
      <c r="V62" s="14"/>
      <c r="W62" s="14"/>
      <c r="X62" s="14"/>
      <c r="Y62" s="14"/>
      <c r="Z62" s="14"/>
      <c r="AA62" s="14"/>
      <c r="AB62" s="14"/>
      <c r="AC62" s="14"/>
      <c r="AD62" s="14"/>
      <c r="AE62" s="14"/>
      <c r="AF62" s="14"/>
      <c r="AG62" s="14"/>
      <c r="AH62" s="12"/>
      <c r="AI62" s="12"/>
      <c r="AJ62" s="1"/>
      <c r="AK62" s="1"/>
    </row>
    <row r="63" spans="11:37" ht="14.5" x14ac:dyDescent="0.35">
      <c r="K63" s="14"/>
      <c r="L63" s="14"/>
      <c r="M63" s="14"/>
      <c r="N63" s="14"/>
      <c r="O63" s="14"/>
      <c r="P63" s="14"/>
      <c r="Q63" s="14"/>
      <c r="R63" s="14"/>
      <c r="S63" s="14"/>
      <c r="T63" s="14"/>
      <c r="U63" s="14"/>
      <c r="V63" s="14"/>
      <c r="W63" s="14"/>
      <c r="X63" s="14"/>
      <c r="Y63" s="14"/>
      <c r="Z63" s="14"/>
      <c r="AA63" s="14"/>
      <c r="AB63" s="14"/>
      <c r="AC63" s="14"/>
      <c r="AD63" s="14"/>
      <c r="AE63" s="14"/>
      <c r="AF63" s="14"/>
      <c r="AG63" s="14"/>
      <c r="AH63" s="12"/>
      <c r="AI63" s="12"/>
      <c r="AJ63" s="1"/>
      <c r="AK63" s="1"/>
    </row>
    <row r="64" spans="11:37" ht="14.5" x14ac:dyDescent="0.35">
      <c r="K64" s="14"/>
      <c r="L64" s="14"/>
      <c r="M64" s="14"/>
      <c r="N64" s="14"/>
      <c r="O64" s="14"/>
      <c r="P64" s="14"/>
      <c r="Q64" s="14"/>
      <c r="R64" s="14"/>
      <c r="S64" s="14"/>
      <c r="T64" s="14"/>
      <c r="U64" s="14"/>
      <c r="V64" s="14"/>
      <c r="W64" s="14"/>
      <c r="X64" s="14"/>
      <c r="Y64" s="14"/>
      <c r="Z64" s="14"/>
      <c r="AA64" s="14"/>
      <c r="AB64" s="14"/>
      <c r="AC64" s="14"/>
      <c r="AD64" s="14"/>
      <c r="AE64" s="14"/>
      <c r="AF64" s="14"/>
      <c r="AG64" s="14"/>
      <c r="AH64" s="12"/>
      <c r="AI64" s="12"/>
      <c r="AJ64" s="1"/>
      <c r="AK64" s="1"/>
    </row>
    <row r="65" spans="11:37" ht="14.5" x14ac:dyDescent="0.35">
      <c r="K65" s="14"/>
      <c r="L65" s="14"/>
      <c r="M65" s="14"/>
      <c r="N65" s="14"/>
      <c r="O65" s="14"/>
      <c r="P65" s="14"/>
      <c r="Q65" s="14"/>
      <c r="R65" s="14"/>
      <c r="S65" s="14"/>
      <c r="T65" s="14"/>
      <c r="U65" s="14"/>
      <c r="V65" s="14"/>
      <c r="W65" s="14"/>
      <c r="X65" s="14"/>
      <c r="Y65" s="14"/>
      <c r="Z65" s="14"/>
      <c r="AA65" s="14"/>
      <c r="AB65" s="14"/>
      <c r="AC65" s="14"/>
      <c r="AD65" s="14"/>
      <c r="AE65" s="14"/>
      <c r="AF65" s="14"/>
      <c r="AG65" s="14"/>
      <c r="AH65" s="12"/>
      <c r="AI65" s="12"/>
      <c r="AJ65" s="1"/>
      <c r="AK65" s="1"/>
    </row>
    <row r="66" spans="11:37" ht="14.5" x14ac:dyDescent="0.35">
      <c r="K66" s="15"/>
      <c r="L66" s="79"/>
      <c r="M66" s="79"/>
      <c r="N66" s="79"/>
      <c r="O66" s="79"/>
      <c r="P66" s="79"/>
      <c r="Q66" s="79"/>
      <c r="R66" s="79"/>
      <c r="S66" s="79"/>
      <c r="T66" s="79"/>
      <c r="U66" s="79"/>
      <c r="V66" s="79"/>
      <c r="W66" s="79"/>
      <c r="X66" s="15"/>
      <c r="Y66" s="15"/>
      <c r="Z66" s="15"/>
      <c r="AA66" s="15"/>
      <c r="AB66" s="15"/>
      <c r="AC66" s="15"/>
      <c r="AD66" s="15"/>
      <c r="AE66" s="15"/>
      <c r="AF66" s="15"/>
      <c r="AG66" s="15"/>
    </row>
    <row r="67" spans="11:37" ht="15" customHeight="1" x14ac:dyDescent="0.35"/>
    <row r="68" spans="11:37" ht="15" customHeight="1" x14ac:dyDescent="0.35"/>
    <row r="69" spans="11:37" ht="15" customHeight="1" x14ac:dyDescent="0.35"/>
    <row r="70" spans="11:37" ht="15" customHeight="1" x14ac:dyDescent="0.35"/>
    <row r="71" spans="11:37" ht="15" customHeight="1" x14ac:dyDescent="0.35"/>
    <row r="72" spans="11:37" ht="15" customHeight="1" x14ac:dyDescent="0.35"/>
    <row r="73" spans="11:37" ht="15" customHeight="1" x14ac:dyDescent="0.35"/>
    <row r="707" ht="15" customHeight="1" x14ac:dyDescent="0.35"/>
  </sheetData>
  <sheetProtection algorithmName="SHA-512" hashValue="JJzP0DCmsL8E+iBSqV9DLTNG6d06oLWldhDQADXPYPZBmvwi6gyvG9VFZ3jD9OSb7KFLwKxuGtHqIXAvIft+iQ==" saltValue="942mgVR+Nyz5j/qQBCVnkA==" spinCount="100000" sheet="1" objects="1" scenarios="1" selectLockedCells="1"/>
  <mergeCells count="32">
    <mergeCell ref="G5:L5"/>
    <mergeCell ref="I6:J6"/>
    <mergeCell ref="K6:L6"/>
    <mergeCell ref="F9:J9"/>
    <mergeCell ref="G7:H7"/>
    <mergeCell ref="AD9:AN9"/>
    <mergeCell ref="G6:H6"/>
    <mergeCell ref="C9:C10"/>
    <mergeCell ref="D9:D10"/>
    <mergeCell ref="E9:E10"/>
    <mergeCell ref="L9:V9"/>
    <mergeCell ref="W9:W10"/>
    <mergeCell ref="I7:J7"/>
    <mergeCell ref="K7:L7"/>
    <mergeCell ref="C31:C32"/>
    <mergeCell ref="D29:D30"/>
    <mergeCell ref="D31:D32"/>
    <mergeCell ref="A23:B23"/>
    <mergeCell ref="A20:B20"/>
    <mergeCell ref="A21:B21"/>
    <mergeCell ref="A22:B22"/>
    <mergeCell ref="D27:D28"/>
    <mergeCell ref="C29:C30"/>
    <mergeCell ref="A18:B19"/>
    <mergeCell ref="C18:C19"/>
    <mergeCell ref="W18:W19"/>
    <mergeCell ref="L25:V25"/>
    <mergeCell ref="L18:V18"/>
    <mergeCell ref="D18:D19"/>
    <mergeCell ref="E18:E19"/>
    <mergeCell ref="F18:J18"/>
    <mergeCell ref="F25:J25"/>
  </mergeCells>
  <dataValidations disablePrompts="1" count="2">
    <dataValidation allowBlank="1" showInputMessage="1" showErrorMessage="1" prompt="Enter Medium of instruction / Language of Instruction" sqref="G7 I7 K7" xr:uid="{6B034C30-CD5A-4586-8537-65579B11469C}"/>
    <dataValidation type="list" allowBlank="1" showInputMessage="1" showErrorMessage="1" prompt="Enter Medium of instruction / Language of Instruction" sqref="E8:L8" xr:uid="{90CAC8C7-EB78-477A-9C05-85E4BB05C92E}">
      <formula1>$Z$12:$Z$66</formula1>
    </dataValidation>
  </dataValidations>
  <pageMargins left="0.25" right="0.14000000000000001" top="0.75" bottom="0.75" header="0.3" footer="0.3"/>
  <pageSetup paperSize="14" scale="69"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1BAE6BAA-2C7A-4EAB-8DFA-EB0ED8381E5D}">
  <ds:schemaRefs>
    <ds:schemaRef ds:uri="http://schemas.microsoft.com/sharepoint/v3/contenttype/forms"/>
  </ds:schemaRefs>
</ds:datastoreItem>
</file>

<file path=customXml/itemProps2.xml><?xml version="1.0" encoding="utf-8"?>
<ds:datastoreItem xmlns:ds="http://schemas.openxmlformats.org/officeDocument/2006/customXml" ds:itemID="{A6E9E7F8-5EBA-4502-BA6A-4C99F0C8D5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44e982-49b1-48d0-a492-bcf8ba0a9108"/>
    <ds:schemaRef ds:uri="7be803ac-07b3-4e6d-8a33-6b4a239830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6A07C1-555E-4F38-8882-42F2386ABA93}">
  <ds:schemaRefs>
    <ds:schemaRef ds:uri="http://schemas.microsoft.com/office/2006/metadata/properties"/>
    <ds:schemaRef ds:uri="http://schemas.microsoft.com/office/infopath/2007/PartnerControls"/>
    <ds:schemaRef ds:uri="ce44e982-49b1-48d0-a492-bcf8ba0a9108"/>
    <ds:schemaRef ds:uri="7be803ac-07b3-4e6d-8a33-6b4a239830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 Results</vt:lpstr>
      <vt:lpstr>School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2021-07-15T02:28:12Z</dcterms:created>
  <dcterms:modified xsi:type="dcterms:W3CDTF">2026-06-30T01:37:31Z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Order">
    <vt:r8>965200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ies>
</file>