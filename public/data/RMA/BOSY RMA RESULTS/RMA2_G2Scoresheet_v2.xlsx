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2.xml" ContentType="application/vnd.openxmlformats-officedocument.drawingml.chart+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olors1.xml" ContentType="application/vnd.ms-office.chartcolorstyle+xml"/>
  <Override PartName="/xl/charts/style2.xml" ContentType="application/vnd.ms-office.chartstyle+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maric\OneDrive\Desktop\RES - MATH REPORTS\"/>
    </mc:Choice>
  </mc:AlternateContent>
  <xr:revisionPtr revIDLastSave="0" documentId="13_ncr:1_{EF7BA183-0231-44B0-A0E0-39CB293A7324}" xr6:coauthVersionLast="47" xr6:coauthVersionMax="47" xr10:uidLastSave="{00000000-0000-0000-0000-000000000000}"/>
  <workbookProtection workbookAlgorithmName="SHA-512" workbookHashValue="oBwNTSS46D+ZfZyfoHb24jMgsT9k6BW70lMkQVuv5O/c0uSiVHvIK6HZ+sOJjS4UXDkBg4ggSC4ryD1Zg+MkFA==" workbookSaltValue="2vdwPRxaYvM2lzG6+yuMcw==" workbookSpinCount="100000" lockStructure="1"/>
  <bookViews>
    <workbookView xWindow="-110" yWindow="-110" windowWidth="19420" windowHeight="10300" activeTab="2" xr2:uid="{D501B255-9284-4472-90C8-6B6C392E841B}"/>
  </bookViews>
  <sheets>
    <sheet name="G2 RMA Scoresheet" sheetId="1" r:id="rId1"/>
    <sheet name="List" sheetId="4" state="veryHidden" r:id="rId2"/>
    <sheet name="Class Summary" sheetId="2" r:id="rId3"/>
  </sheets>
  <definedNames>
    <definedName name="_xlnm.Print_Area" localSheetId="0">'G2 RMA Scoresheet'!$A$1:$W$25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 i="1" l="1"/>
  <c r="AL109" i="1" l="1"/>
  <c r="AK109" i="1"/>
  <c r="AJ109" i="1"/>
  <c r="AI109" i="1"/>
  <c r="AH109" i="1"/>
  <c r="AG109" i="1"/>
  <c r="AF109" i="1"/>
  <c r="AE109" i="1"/>
  <c r="AD109" i="1"/>
  <c r="AC109" i="1"/>
  <c r="AL108" i="1"/>
  <c r="AK108" i="1"/>
  <c r="AJ108" i="1"/>
  <c r="AI108" i="1"/>
  <c r="AH108" i="1"/>
  <c r="AG108" i="1"/>
  <c r="AF108" i="1"/>
  <c r="AE108" i="1"/>
  <c r="AD108" i="1"/>
  <c r="AC108" i="1"/>
  <c r="AL107" i="1"/>
  <c r="AK107" i="1"/>
  <c r="AJ107" i="1"/>
  <c r="AI107" i="1"/>
  <c r="AH107" i="1"/>
  <c r="AG107" i="1"/>
  <c r="AF107" i="1"/>
  <c r="AE107" i="1"/>
  <c r="AD107" i="1"/>
  <c r="AC107" i="1"/>
  <c r="AL106" i="1"/>
  <c r="AK106" i="1"/>
  <c r="AJ106" i="1"/>
  <c r="AI106" i="1"/>
  <c r="AH106" i="1"/>
  <c r="AG106" i="1"/>
  <c r="AF106" i="1"/>
  <c r="AE106" i="1"/>
  <c r="AD106" i="1"/>
  <c r="AC106" i="1"/>
  <c r="AL105" i="1"/>
  <c r="AK105" i="1"/>
  <c r="AJ105" i="1"/>
  <c r="AI105" i="1"/>
  <c r="AH105" i="1"/>
  <c r="AG105" i="1"/>
  <c r="AF105" i="1"/>
  <c r="AE105" i="1"/>
  <c r="AD105" i="1"/>
  <c r="AC105" i="1"/>
  <c r="AL104" i="1"/>
  <c r="AK104" i="1"/>
  <c r="AJ104" i="1"/>
  <c r="AI104" i="1"/>
  <c r="AH104" i="1"/>
  <c r="AG104" i="1"/>
  <c r="AF104" i="1"/>
  <c r="AE104" i="1"/>
  <c r="AD104" i="1"/>
  <c r="AC104" i="1"/>
  <c r="AL103" i="1"/>
  <c r="AK103" i="1"/>
  <c r="AJ103" i="1"/>
  <c r="AI103" i="1"/>
  <c r="AH103" i="1"/>
  <c r="AG103" i="1"/>
  <c r="AF103" i="1"/>
  <c r="AE103" i="1"/>
  <c r="AD103" i="1"/>
  <c r="AC103" i="1"/>
  <c r="AL102" i="1"/>
  <c r="AK102" i="1"/>
  <c r="AJ102" i="1"/>
  <c r="AI102" i="1"/>
  <c r="AH102" i="1"/>
  <c r="AG102" i="1"/>
  <c r="AF102" i="1"/>
  <c r="AE102" i="1"/>
  <c r="AD102" i="1"/>
  <c r="AC102" i="1"/>
  <c r="AL101" i="1"/>
  <c r="AK101" i="1"/>
  <c r="AJ101" i="1"/>
  <c r="AI101" i="1"/>
  <c r="AH101" i="1"/>
  <c r="AG101" i="1"/>
  <c r="AF101" i="1"/>
  <c r="AE101" i="1"/>
  <c r="AD101" i="1"/>
  <c r="AC101" i="1"/>
  <c r="AL100" i="1"/>
  <c r="AK100" i="1"/>
  <c r="AJ100" i="1"/>
  <c r="AI100" i="1"/>
  <c r="AH100" i="1"/>
  <c r="AG100" i="1"/>
  <c r="AF100" i="1"/>
  <c r="AE100" i="1"/>
  <c r="AD100" i="1"/>
  <c r="AC100" i="1"/>
  <c r="AL99" i="1"/>
  <c r="AK99" i="1"/>
  <c r="AJ99" i="1"/>
  <c r="AI99" i="1"/>
  <c r="AH99" i="1"/>
  <c r="AG99" i="1"/>
  <c r="AF99" i="1"/>
  <c r="AE99" i="1"/>
  <c r="AD99" i="1"/>
  <c r="AC99" i="1"/>
  <c r="AL98" i="1"/>
  <c r="AK98" i="1"/>
  <c r="AJ98" i="1"/>
  <c r="AI98" i="1"/>
  <c r="AH98" i="1"/>
  <c r="AG98" i="1"/>
  <c r="AF98" i="1"/>
  <c r="AE98" i="1"/>
  <c r="AD98" i="1"/>
  <c r="AC98" i="1"/>
  <c r="AL97" i="1"/>
  <c r="AK97" i="1"/>
  <c r="AJ97" i="1"/>
  <c r="AI97" i="1"/>
  <c r="AH97" i="1"/>
  <c r="AG97" i="1"/>
  <c r="AF97" i="1"/>
  <c r="AE97" i="1"/>
  <c r="AD97" i="1"/>
  <c r="AC97" i="1"/>
  <c r="AL96" i="1"/>
  <c r="AK96" i="1"/>
  <c r="AJ96" i="1"/>
  <c r="AI96" i="1"/>
  <c r="AH96" i="1"/>
  <c r="AG96" i="1"/>
  <c r="AF96" i="1"/>
  <c r="AE96" i="1"/>
  <c r="AD96" i="1"/>
  <c r="AC96" i="1"/>
  <c r="AL95" i="1"/>
  <c r="AK95" i="1"/>
  <c r="AJ95" i="1"/>
  <c r="AI95" i="1"/>
  <c r="AH95" i="1"/>
  <c r="AG95" i="1"/>
  <c r="AF95" i="1"/>
  <c r="AE95" i="1"/>
  <c r="AD95" i="1"/>
  <c r="AC95" i="1"/>
  <c r="AL94" i="1"/>
  <c r="AK94" i="1"/>
  <c r="AJ94" i="1"/>
  <c r="AI94" i="1"/>
  <c r="AH94" i="1"/>
  <c r="AG94" i="1"/>
  <c r="AF94" i="1"/>
  <c r="AE94" i="1"/>
  <c r="AD94" i="1"/>
  <c r="AC94" i="1"/>
  <c r="AL93" i="1"/>
  <c r="AK93" i="1"/>
  <c r="AJ93" i="1"/>
  <c r="AI93" i="1"/>
  <c r="AH93" i="1"/>
  <c r="AG93" i="1"/>
  <c r="AF93" i="1"/>
  <c r="AE93" i="1"/>
  <c r="AD93" i="1"/>
  <c r="AC93" i="1"/>
  <c r="AL92" i="1"/>
  <c r="AK92" i="1"/>
  <c r="AJ92" i="1"/>
  <c r="AI92" i="1"/>
  <c r="AH92" i="1"/>
  <c r="AG92" i="1"/>
  <c r="AF92" i="1"/>
  <c r="AE92" i="1"/>
  <c r="AD92" i="1"/>
  <c r="AC92" i="1"/>
  <c r="AL91" i="1"/>
  <c r="AK91" i="1"/>
  <c r="AJ91" i="1"/>
  <c r="AI91" i="1"/>
  <c r="AH91" i="1"/>
  <c r="AG91" i="1"/>
  <c r="AF91" i="1"/>
  <c r="AE91" i="1"/>
  <c r="AD91" i="1"/>
  <c r="AC91" i="1"/>
  <c r="AL90" i="1"/>
  <c r="AK90" i="1"/>
  <c r="AJ90" i="1"/>
  <c r="AI90" i="1"/>
  <c r="AH90" i="1"/>
  <c r="AG90" i="1"/>
  <c r="AF90" i="1"/>
  <c r="AE90" i="1"/>
  <c r="AD90" i="1"/>
  <c r="AC90" i="1"/>
  <c r="AL89" i="1"/>
  <c r="AK89" i="1"/>
  <c r="AJ89" i="1"/>
  <c r="AI89" i="1"/>
  <c r="AH89" i="1"/>
  <c r="AG89" i="1"/>
  <c r="AF89" i="1"/>
  <c r="AE89" i="1"/>
  <c r="AD89" i="1"/>
  <c r="AC89" i="1"/>
  <c r="AL88" i="1"/>
  <c r="AK88" i="1"/>
  <c r="AJ88" i="1"/>
  <c r="AI88" i="1"/>
  <c r="AH88" i="1"/>
  <c r="AG88" i="1"/>
  <c r="AF88" i="1"/>
  <c r="AE88" i="1"/>
  <c r="AD88" i="1"/>
  <c r="AC88" i="1"/>
  <c r="AL87" i="1"/>
  <c r="AK87" i="1"/>
  <c r="AJ87" i="1"/>
  <c r="AI87" i="1"/>
  <c r="AH87" i="1"/>
  <c r="AG87" i="1"/>
  <c r="AF87" i="1"/>
  <c r="AE87" i="1"/>
  <c r="AD87" i="1"/>
  <c r="AC87" i="1"/>
  <c r="AL86" i="1"/>
  <c r="AK86" i="1"/>
  <c r="AJ86" i="1"/>
  <c r="AI86" i="1"/>
  <c r="AH86" i="1"/>
  <c r="AG86" i="1"/>
  <c r="AF86" i="1"/>
  <c r="AE86" i="1"/>
  <c r="AD86" i="1"/>
  <c r="AC86" i="1"/>
  <c r="AL85" i="1"/>
  <c r="AK85" i="1"/>
  <c r="AJ85" i="1"/>
  <c r="AI85" i="1"/>
  <c r="AH85" i="1"/>
  <c r="AG85" i="1"/>
  <c r="AF85" i="1"/>
  <c r="AE85" i="1"/>
  <c r="AD85" i="1"/>
  <c r="AC85" i="1"/>
  <c r="AL84" i="1"/>
  <c r="AK84" i="1"/>
  <c r="AJ84" i="1"/>
  <c r="AI84" i="1"/>
  <c r="AH84" i="1"/>
  <c r="AG84" i="1"/>
  <c r="AF84" i="1"/>
  <c r="AE84" i="1"/>
  <c r="AD84" i="1"/>
  <c r="AC84" i="1"/>
  <c r="AL83" i="1"/>
  <c r="AK83" i="1"/>
  <c r="AJ83" i="1"/>
  <c r="AI83" i="1"/>
  <c r="AH83" i="1"/>
  <c r="AG83" i="1"/>
  <c r="AF83" i="1"/>
  <c r="AE83" i="1"/>
  <c r="AD83" i="1"/>
  <c r="AC83" i="1"/>
  <c r="AL82" i="1"/>
  <c r="AK82" i="1"/>
  <c r="AJ82" i="1"/>
  <c r="AI82" i="1"/>
  <c r="AH82" i="1"/>
  <c r="AG82" i="1"/>
  <c r="AF82" i="1"/>
  <c r="AE82" i="1"/>
  <c r="AD82" i="1"/>
  <c r="AC82" i="1"/>
  <c r="AL81" i="1"/>
  <c r="AK81" i="1"/>
  <c r="AJ81" i="1"/>
  <c r="AI81" i="1"/>
  <c r="AH81" i="1"/>
  <c r="AG81" i="1"/>
  <c r="AF81" i="1"/>
  <c r="AE81" i="1"/>
  <c r="AD81" i="1"/>
  <c r="AC81" i="1"/>
  <c r="AL80" i="1"/>
  <c r="AK80" i="1"/>
  <c r="AJ80" i="1"/>
  <c r="AI80" i="1"/>
  <c r="AH80" i="1"/>
  <c r="AG80" i="1"/>
  <c r="AF80" i="1"/>
  <c r="AE80" i="1"/>
  <c r="AD80" i="1"/>
  <c r="AC80" i="1"/>
  <c r="AL79" i="1"/>
  <c r="AK79" i="1"/>
  <c r="AJ79" i="1"/>
  <c r="AI79" i="1"/>
  <c r="AH79" i="1"/>
  <c r="AG79" i="1"/>
  <c r="AF79" i="1"/>
  <c r="AE79" i="1"/>
  <c r="AD79" i="1"/>
  <c r="AC79" i="1"/>
  <c r="AL78" i="1"/>
  <c r="AK78" i="1"/>
  <c r="AJ78" i="1"/>
  <c r="AI78" i="1"/>
  <c r="AH78" i="1"/>
  <c r="AG78" i="1"/>
  <c r="AF78" i="1"/>
  <c r="AE78" i="1"/>
  <c r="AD78" i="1"/>
  <c r="AC78" i="1"/>
  <c r="AL77" i="1"/>
  <c r="AK77" i="1"/>
  <c r="AJ77" i="1"/>
  <c r="AI77" i="1"/>
  <c r="AH77" i="1"/>
  <c r="AG77" i="1"/>
  <c r="AF77" i="1"/>
  <c r="AE77" i="1"/>
  <c r="AD77" i="1"/>
  <c r="AC77" i="1"/>
  <c r="AL76" i="1"/>
  <c r="AK76" i="1"/>
  <c r="AJ76" i="1"/>
  <c r="AI76" i="1"/>
  <c r="AH76" i="1"/>
  <c r="AG76" i="1"/>
  <c r="AF76" i="1"/>
  <c r="AE76" i="1"/>
  <c r="AD76" i="1"/>
  <c r="AC76" i="1"/>
  <c r="AL75" i="1"/>
  <c r="AK75" i="1"/>
  <c r="AJ75" i="1"/>
  <c r="AI75" i="1"/>
  <c r="AH75" i="1"/>
  <c r="AG75" i="1"/>
  <c r="AF75" i="1"/>
  <c r="AE75" i="1"/>
  <c r="AD75" i="1"/>
  <c r="AC75" i="1"/>
  <c r="AL74" i="1"/>
  <c r="AK74" i="1"/>
  <c r="AJ74" i="1"/>
  <c r="AI74" i="1"/>
  <c r="AH74" i="1"/>
  <c r="AG74" i="1"/>
  <c r="AF74" i="1"/>
  <c r="AE74" i="1"/>
  <c r="AD74" i="1"/>
  <c r="AC74" i="1"/>
  <c r="AL73" i="1"/>
  <c r="AK73" i="1"/>
  <c r="AJ73" i="1"/>
  <c r="AI73" i="1"/>
  <c r="AH73" i="1"/>
  <c r="AG73" i="1"/>
  <c r="AF73" i="1"/>
  <c r="AE73" i="1"/>
  <c r="AD73" i="1"/>
  <c r="AC73" i="1"/>
  <c r="AL72" i="1"/>
  <c r="AK72" i="1"/>
  <c r="AJ72" i="1"/>
  <c r="AI72" i="1"/>
  <c r="AH72" i="1"/>
  <c r="AG72" i="1"/>
  <c r="AF72" i="1"/>
  <c r="AE72" i="1"/>
  <c r="AD72" i="1"/>
  <c r="AC72" i="1"/>
  <c r="AL71" i="1"/>
  <c r="AK71" i="1"/>
  <c r="AJ71" i="1"/>
  <c r="AI71" i="1"/>
  <c r="AH71" i="1"/>
  <c r="AG71" i="1"/>
  <c r="AF71" i="1"/>
  <c r="AE71" i="1"/>
  <c r="AD71" i="1"/>
  <c r="AC71" i="1"/>
  <c r="AL70" i="1"/>
  <c r="AK70" i="1"/>
  <c r="AJ70" i="1"/>
  <c r="AI70" i="1"/>
  <c r="AH70" i="1"/>
  <c r="AG70" i="1"/>
  <c r="AF70" i="1"/>
  <c r="AE70" i="1"/>
  <c r="AD70" i="1"/>
  <c r="AC70" i="1"/>
  <c r="AL69" i="1"/>
  <c r="AK69" i="1"/>
  <c r="AJ69" i="1"/>
  <c r="AI69" i="1"/>
  <c r="AH69" i="1"/>
  <c r="AG69" i="1"/>
  <c r="AF69" i="1"/>
  <c r="AE69" i="1"/>
  <c r="AD69" i="1"/>
  <c r="AC69" i="1"/>
  <c r="AL68" i="1"/>
  <c r="AK68" i="1"/>
  <c r="AJ68" i="1"/>
  <c r="AI68" i="1"/>
  <c r="AH68" i="1"/>
  <c r="AG68" i="1"/>
  <c r="AF68" i="1"/>
  <c r="AE68" i="1"/>
  <c r="AD68" i="1"/>
  <c r="AC68" i="1"/>
  <c r="AL67" i="1"/>
  <c r="AK67" i="1"/>
  <c r="AJ67" i="1"/>
  <c r="AI67" i="1"/>
  <c r="AH67" i="1"/>
  <c r="AG67" i="1"/>
  <c r="AF67" i="1"/>
  <c r="AE67" i="1"/>
  <c r="AD67" i="1"/>
  <c r="AC67" i="1"/>
  <c r="AL66" i="1"/>
  <c r="AK66" i="1"/>
  <c r="AJ66" i="1"/>
  <c r="AI66" i="1"/>
  <c r="AH66" i="1"/>
  <c r="AG66" i="1"/>
  <c r="AF66" i="1"/>
  <c r="AE66" i="1"/>
  <c r="AD66" i="1"/>
  <c r="AC66" i="1"/>
  <c r="AL65" i="1"/>
  <c r="AK65" i="1"/>
  <c r="AJ65" i="1"/>
  <c r="AI65" i="1"/>
  <c r="AH65" i="1"/>
  <c r="AG65" i="1"/>
  <c r="AF65" i="1"/>
  <c r="AE65" i="1"/>
  <c r="AD65" i="1"/>
  <c r="AC65" i="1"/>
  <c r="AL64" i="1"/>
  <c r="AK64" i="1"/>
  <c r="AJ64" i="1"/>
  <c r="AI64" i="1"/>
  <c r="AH64" i="1"/>
  <c r="AG64" i="1"/>
  <c r="AF64" i="1"/>
  <c r="AE64" i="1"/>
  <c r="AD64" i="1"/>
  <c r="AC64" i="1"/>
  <c r="AL63" i="1"/>
  <c r="AK63" i="1"/>
  <c r="AJ63" i="1"/>
  <c r="AI63" i="1"/>
  <c r="AH63" i="1"/>
  <c r="AG63" i="1"/>
  <c r="AF63" i="1"/>
  <c r="AE63" i="1"/>
  <c r="AD63" i="1"/>
  <c r="AC63" i="1"/>
  <c r="AL62" i="1"/>
  <c r="AK62" i="1"/>
  <c r="AJ62" i="1"/>
  <c r="AI62" i="1"/>
  <c r="AH62" i="1"/>
  <c r="AG62" i="1"/>
  <c r="AF62" i="1"/>
  <c r="AE62" i="1"/>
  <c r="AD62" i="1"/>
  <c r="AC62" i="1"/>
  <c r="AL61" i="1"/>
  <c r="AK61" i="1"/>
  <c r="AJ61" i="1"/>
  <c r="AI61" i="1"/>
  <c r="AH61" i="1"/>
  <c r="AG61" i="1"/>
  <c r="AF61" i="1"/>
  <c r="AE61" i="1"/>
  <c r="AD61" i="1"/>
  <c r="AC61" i="1"/>
  <c r="AL60" i="1"/>
  <c r="AK60" i="1"/>
  <c r="AJ60" i="1"/>
  <c r="AI60" i="1"/>
  <c r="AH60" i="1"/>
  <c r="AG60" i="1"/>
  <c r="AF60" i="1"/>
  <c r="AE60" i="1"/>
  <c r="AD60" i="1"/>
  <c r="AC60" i="1"/>
  <c r="AL59" i="1"/>
  <c r="AK59" i="1"/>
  <c r="AJ59" i="1"/>
  <c r="AI59" i="1"/>
  <c r="AH59" i="1"/>
  <c r="AG59" i="1"/>
  <c r="AF59" i="1"/>
  <c r="AE59" i="1"/>
  <c r="AD59" i="1"/>
  <c r="AC59" i="1"/>
  <c r="AL58" i="1"/>
  <c r="AK58" i="1"/>
  <c r="AJ58" i="1"/>
  <c r="AI58" i="1"/>
  <c r="AH58" i="1"/>
  <c r="AG58" i="1"/>
  <c r="AF58" i="1"/>
  <c r="AE58" i="1"/>
  <c r="AD58" i="1"/>
  <c r="AC58" i="1"/>
  <c r="AL57" i="1"/>
  <c r="AK57" i="1"/>
  <c r="AJ57" i="1"/>
  <c r="AI57" i="1"/>
  <c r="AH57" i="1"/>
  <c r="AG57" i="1"/>
  <c r="AF57" i="1"/>
  <c r="AE57" i="1"/>
  <c r="AD57" i="1"/>
  <c r="AC57" i="1"/>
  <c r="AL56" i="1"/>
  <c r="AK56" i="1"/>
  <c r="AJ56" i="1"/>
  <c r="AI56" i="1"/>
  <c r="AH56" i="1"/>
  <c r="AG56" i="1"/>
  <c r="AF56" i="1"/>
  <c r="AE56" i="1"/>
  <c r="AD56" i="1"/>
  <c r="AC56" i="1"/>
  <c r="AL55" i="1"/>
  <c r="AK55" i="1"/>
  <c r="AJ55" i="1"/>
  <c r="AI55" i="1"/>
  <c r="AH55" i="1"/>
  <c r="AG55" i="1"/>
  <c r="AF55" i="1"/>
  <c r="AE55" i="1"/>
  <c r="AD55" i="1"/>
  <c r="AC55" i="1"/>
  <c r="AL54" i="1"/>
  <c r="AK54" i="1"/>
  <c r="AJ54" i="1"/>
  <c r="AI54" i="1"/>
  <c r="AH54" i="1"/>
  <c r="AG54" i="1"/>
  <c r="AF54" i="1"/>
  <c r="AE54" i="1"/>
  <c r="AD54" i="1"/>
  <c r="AC54" i="1"/>
  <c r="AL53" i="1"/>
  <c r="AK53" i="1"/>
  <c r="AJ53" i="1"/>
  <c r="AI53" i="1"/>
  <c r="AH53" i="1"/>
  <c r="AG53" i="1"/>
  <c r="AF53" i="1"/>
  <c r="AE53" i="1"/>
  <c r="AD53" i="1"/>
  <c r="AC53" i="1"/>
  <c r="AL52" i="1"/>
  <c r="AK52" i="1"/>
  <c r="AJ52" i="1"/>
  <c r="AI52" i="1"/>
  <c r="AH52" i="1"/>
  <c r="AG52" i="1"/>
  <c r="AF52" i="1"/>
  <c r="AE52" i="1"/>
  <c r="AD52" i="1"/>
  <c r="AC52" i="1"/>
  <c r="AL51" i="1"/>
  <c r="AK51" i="1"/>
  <c r="AJ51" i="1"/>
  <c r="AI51" i="1"/>
  <c r="AH51" i="1"/>
  <c r="AG51" i="1"/>
  <c r="AF51" i="1"/>
  <c r="AE51" i="1"/>
  <c r="AD51" i="1"/>
  <c r="AC51" i="1"/>
  <c r="AL50" i="1"/>
  <c r="AK50" i="1"/>
  <c r="AJ50" i="1"/>
  <c r="AI50" i="1"/>
  <c r="AH50" i="1"/>
  <c r="AG50" i="1"/>
  <c r="AF50" i="1"/>
  <c r="AE50" i="1"/>
  <c r="AD50" i="1"/>
  <c r="AC50" i="1"/>
  <c r="AL49" i="1"/>
  <c r="AK49" i="1"/>
  <c r="AJ49" i="1"/>
  <c r="AI49" i="1"/>
  <c r="AH49" i="1"/>
  <c r="AG49" i="1"/>
  <c r="AF49" i="1"/>
  <c r="AE49" i="1"/>
  <c r="AD49" i="1"/>
  <c r="AC49" i="1"/>
  <c r="AL48" i="1"/>
  <c r="AK48" i="1"/>
  <c r="AJ48" i="1"/>
  <c r="AI48" i="1"/>
  <c r="AH48" i="1"/>
  <c r="AG48" i="1"/>
  <c r="AF48" i="1"/>
  <c r="AE48" i="1"/>
  <c r="AD48" i="1"/>
  <c r="AC48" i="1"/>
  <c r="AL47" i="1"/>
  <c r="AK47" i="1"/>
  <c r="AJ47" i="1"/>
  <c r="AI47" i="1"/>
  <c r="AH47" i="1"/>
  <c r="AG47" i="1"/>
  <c r="AF47" i="1"/>
  <c r="AE47" i="1"/>
  <c r="AD47" i="1"/>
  <c r="AC47" i="1"/>
  <c r="AL46" i="1"/>
  <c r="AK46" i="1"/>
  <c r="AJ46" i="1"/>
  <c r="AI46" i="1"/>
  <c r="AH46" i="1"/>
  <c r="AG46" i="1"/>
  <c r="AF46" i="1"/>
  <c r="AE46" i="1"/>
  <c r="AD46" i="1"/>
  <c r="AC46" i="1"/>
  <c r="AL45" i="1"/>
  <c r="AK45" i="1"/>
  <c r="AJ45" i="1"/>
  <c r="AI45" i="1"/>
  <c r="AH45" i="1"/>
  <c r="AG45" i="1"/>
  <c r="AF45" i="1"/>
  <c r="AE45" i="1"/>
  <c r="AD45" i="1"/>
  <c r="AC45" i="1"/>
  <c r="AL44" i="1"/>
  <c r="AK44" i="1"/>
  <c r="AJ44" i="1"/>
  <c r="AI44" i="1"/>
  <c r="AH44" i="1"/>
  <c r="AG44" i="1"/>
  <c r="AF44" i="1"/>
  <c r="AE44" i="1"/>
  <c r="AD44" i="1"/>
  <c r="AC44" i="1"/>
  <c r="AL43" i="1"/>
  <c r="AK43" i="1"/>
  <c r="AJ43" i="1"/>
  <c r="AI43" i="1"/>
  <c r="AH43" i="1"/>
  <c r="AG43" i="1"/>
  <c r="AF43" i="1"/>
  <c r="AE43" i="1"/>
  <c r="AD43" i="1"/>
  <c r="AC43" i="1"/>
  <c r="AL42" i="1"/>
  <c r="AK42" i="1"/>
  <c r="AJ42" i="1"/>
  <c r="AI42" i="1"/>
  <c r="AH42" i="1"/>
  <c r="AG42" i="1"/>
  <c r="AF42" i="1"/>
  <c r="AE42" i="1"/>
  <c r="AD42" i="1"/>
  <c r="AC42" i="1"/>
  <c r="AL41" i="1"/>
  <c r="AK41" i="1"/>
  <c r="AJ41" i="1"/>
  <c r="AI41" i="1"/>
  <c r="AH41" i="1"/>
  <c r="AG41" i="1"/>
  <c r="AF41" i="1"/>
  <c r="AE41" i="1"/>
  <c r="AD41" i="1"/>
  <c r="AC41" i="1"/>
  <c r="AL40" i="1"/>
  <c r="AK40" i="1"/>
  <c r="AJ40" i="1"/>
  <c r="AI40" i="1"/>
  <c r="AH40" i="1"/>
  <c r="AG40" i="1"/>
  <c r="AF40" i="1"/>
  <c r="AE40" i="1"/>
  <c r="AD40" i="1"/>
  <c r="AC40" i="1"/>
  <c r="AL39" i="1"/>
  <c r="AK39" i="1"/>
  <c r="AJ39" i="1"/>
  <c r="AI39" i="1"/>
  <c r="AH39" i="1"/>
  <c r="AG39" i="1"/>
  <c r="AF39" i="1"/>
  <c r="AE39" i="1"/>
  <c r="AD39" i="1"/>
  <c r="AC39" i="1"/>
  <c r="AL38" i="1"/>
  <c r="AK38" i="1"/>
  <c r="AJ38" i="1"/>
  <c r="AI38" i="1"/>
  <c r="AH38" i="1"/>
  <c r="AG38" i="1"/>
  <c r="AF38" i="1"/>
  <c r="AE38" i="1"/>
  <c r="AD38" i="1"/>
  <c r="AC38" i="1"/>
  <c r="AL37" i="1"/>
  <c r="AK37" i="1"/>
  <c r="AJ37" i="1"/>
  <c r="AI37" i="1"/>
  <c r="AH37" i="1"/>
  <c r="AG37" i="1"/>
  <c r="AF37" i="1"/>
  <c r="AE37" i="1"/>
  <c r="AD37" i="1"/>
  <c r="AC37" i="1"/>
  <c r="AL36" i="1"/>
  <c r="AK36" i="1"/>
  <c r="AJ36" i="1"/>
  <c r="AI36" i="1"/>
  <c r="AH36" i="1"/>
  <c r="AG36" i="1"/>
  <c r="AF36" i="1"/>
  <c r="AE36" i="1"/>
  <c r="AD36" i="1"/>
  <c r="AC36" i="1"/>
  <c r="AL35" i="1"/>
  <c r="AK35" i="1"/>
  <c r="AJ35" i="1"/>
  <c r="AI35" i="1"/>
  <c r="AH35" i="1"/>
  <c r="AG35" i="1"/>
  <c r="AF35" i="1"/>
  <c r="AE35" i="1"/>
  <c r="AD35" i="1"/>
  <c r="AC35" i="1"/>
  <c r="AL34" i="1"/>
  <c r="AK34" i="1"/>
  <c r="AJ34" i="1"/>
  <c r="AI34" i="1"/>
  <c r="AH34" i="1"/>
  <c r="AG34" i="1"/>
  <c r="AF34" i="1"/>
  <c r="AE34" i="1"/>
  <c r="AD34" i="1"/>
  <c r="AC34" i="1"/>
  <c r="AL33" i="1"/>
  <c r="AK33" i="1"/>
  <c r="AJ33" i="1"/>
  <c r="AI33" i="1"/>
  <c r="AH33" i="1"/>
  <c r="AG33" i="1"/>
  <c r="AF33" i="1"/>
  <c r="AE33" i="1"/>
  <c r="AD33" i="1"/>
  <c r="AC33" i="1"/>
  <c r="AL32" i="1"/>
  <c r="AK32" i="1"/>
  <c r="AJ32" i="1"/>
  <c r="AI32" i="1"/>
  <c r="AH32" i="1"/>
  <c r="AG32" i="1"/>
  <c r="AF32" i="1"/>
  <c r="AE32" i="1"/>
  <c r="AD32" i="1"/>
  <c r="AC32" i="1"/>
  <c r="AL31" i="1"/>
  <c r="AK31" i="1"/>
  <c r="AJ31" i="1"/>
  <c r="AI31" i="1"/>
  <c r="AH31" i="1"/>
  <c r="AG31" i="1"/>
  <c r="AF31" i="1"/>
  <c r="AE31" i="1"/>
  <c r="AD31" i="1"/>
  <c r="AC31" i="1"/>
  <c r="AL30" i="1"/>
  <c r="AK30" i="1"/>
  <c r="AJ30" i="1"/>
  <c r="AI30" i="1"/>
  <c r="AH30" i="1"/>
  <c r="AG30" i="1"/>
  <c r="AF30" i="1"/>
  <c r="AE30" i="1"/>
  <c r="AD30" i="1"/>
  <c r="AC30" i="1"/>
  <c r="AL29" i="1"/>
  <c r="AK29" i="1"/>
  <c r="AJ29" i="1"/>
  <c r="AI29" i="1"/>
  <c r="AH29" i="1"/>
  <c r="AG29" i="1"/>
  <c r="AF29" i="1"/>
  <c r="AE29" i="1"/>
  <c r="AD29" i="1"/>
  <c r="AC29" i="1"/>
  <c r="AL28" i="1"/>
  <c r="AK28" i="1"/>
  <c r="AJ28" i="1"/>
  <c r="AI28" i="1"/>
  <c r="AH28" i="1"/>
  <c r="AG28" i="1"/>
  <c r="AF28" i="1"/>
  <c r="AE28" i="1"/>
  <c r="AD28" i="1"/>
  <c r="AC28" i="1"/>
  <c r="AL27" i="1"/>
  <c r="AK27" i="1"/>
  <c r="AJ27" i="1"/>
  <c r="AI27" i="1"/>
  <c r="AH27" i="1"/>
  <c r="AG27" i="1"/>
  <c r="AF27" i="1"/>
  <c r="AE27" i="1"/>
  <c r="AD27" i="1"/>
  <c r="AC27" i="1"/>
  <c r="AL26" i="1"/>
  <c r="AK26" i="1"/>
  <c r="AJ26" i="1"/>
  <c r="AI26" i="1"/>
  <c r="AH26" i="1"/>
  <c r="AG26" i="1"/>
  <c r="AF26" i="1"/>
  <c r="AE26" i="1"/>
  <c r="AD26" i="1"/>
  <c r="AC26" i="1"/>
  <c r="AL25" i="1"/>
  <c r="AK25" i="1"/>
  <c r="AJ25" i="1"/>
  <c r="AI25" i="1"/>
  <c r="AH25" i="1"/>
  <c r="AG25" i="1"/>
  <c r="AF25" i="1"/>
  <c r="AE25" i="1"/>
  <c r="AD25" i="1"/>
  <c r="AC25" i="1"/>
  <c r="AL24" i="1"/>
  <c r="AK24" i="1"/>
  <c r="AJ24" i="1"/>
  <c r="AI24" i="1"/>
  <c r="AH24" i="1"/>
  <c r="AG24" i="1"/>
  <c r="AF24" i="1"/>
  <c r="AE24" i="1"/>
  <c r="AD24" i="1"/>
  <c r="AC24" i="1"/>
  <c r="AL23" i="1"/>
  <c r="AK23" i="1"/>
  <c r="AJ23" i="1"/>
  <c r="AI23" i="1"/>
  <c r="AH23" i="1"/>
  <c r="AG23" i="1"/>
  <c r="AF23" i="1"/>
  <c r="AE23" i="1"/>
  <c r="AD23" i="1"/>
  <c r="AC23" i="1"/>
  <c r="AL22" i="1"/>
  <c r="AK22" i="1"/>
  <c r="AJ22" i="1"/>
  <c r="AI22" i="1"/>
  <c r="AH22" i="1"/>
  <c r="AG22" i="1"/>
  <c r="AF22" i="1"/>
  <c r="AE22" i="1"/>
  <c r="AD22" i="1"/>
  <c r="AC22" i="1"/>
  <c r="AL21" i="1"/>
  <c r="AK21" i="1"/>
  <c r="AJ21" i="1"/>
  <c r="AI21" i="1"/>
  <c r="AH21" i="1"/>
  <c r="AG21" i="1"/>
  <c r="AF21" i="1"/>
  <c r="AE21" i="1"/>
  <c r="AD21" i="1"/>
  <c r="AC21" i="1"/>
  <c r="AL20" i="1"/>
  <c r="AK20" i="1"/>
  <c r="AJ20" i="1"/>
  <c r="AI20" i="1"/>
  <c r="AH20" i="1"/>
  <c r="AG20" i="1"/>
  <c r="AF20" i="1"/>
  <c r="AE20" i="1"/>
  <c r="AD20" i="1"/>
  <c r="AC20" i="1"/>
  <c r="AL19" i="1"/>
  <c r="AK19" i="1"/>
  <c r="AJ19" i="1"/>
  <c r="AI19" i="1"/>
  <c r="AH19" i="1"/>
  <c r="AG19" i="1"/>
  <c r="AF19" i="1"/>
  <c r="AE19" i="1"/>
  <c r="AD19" i="1"/>
  <c r="AC19" i="1"/>
  <c r="AL18" i="1"/>
  <c r="AK18" i="1"/>
  <c r="AJ18" i="1"/>
  <c r="AI18" i="1"/>
  <c r="AH18" i="1"/>
  <c r="AG18" i="1"/>
  <c r="AF18" i="1"/>
  <c r="AE18" i="1"/>
  <c r="AD18" i="1"/>
  <c r="AC18" i="1"/>
  <c r="AL17" i="1"/>
  <c r="AK17" i="1"/>
  <c r="AJ17" i="1"/>
  <c r="AI17" i="1"/>
  <c r="AH17" i="1"/>
  <c r="AG17" i="1"/>
  <c r="AF17" i="1"/>
  <c r="AE17" i="1"/>
  <c r="AD17" i="1"/>
  <c r="AC17" i="1"/>
  <c r="AL16" i="1"/>
  <c r="AK16" i="1"/>
  <c r="AJ16" i="1"/>
  <c r="AI16" i="1"/>
  <c r="AH16" i="1"/>
  <c r="AG16" i="1"/>
  <c r="AF16" i="1"/>
  <c r="AE16" i="1"/>
  <c r="AD16" i="1"/>
  <c r="AC16" i="1"/>
  <c r="AL15" i="1"/>
  <c r="AK15" i="1"/>
  <c r="AJ15" i="1"/>
  <c r="AI15" i="1"/>
  <c r="AH15" i="1"/>
  <c r="AG15" i="1"/>
  <c r="AF15" i="1"/>
  <c r="AE15" i="1"/>
  <c r="AD15" i="1"/>
  <c r="AC15" i="1"/>
  <c r="AL14" i="1"/>
  <c r="AK14" i="1"/>
  <c r="AJ14" i="1"/>
  <c r="AI14" i="1"/>
  <c r="AH14" i="1"/>
  <c r="AG14" i="1"/>
  <c r="AF14" i="1"/>
  <c r="AE14" i="1"/>
  <c r="AD14" i="1"/>
  <c r="AC14" i="1"/>
  <c r="AL13" i="1"/>
  <c r="AK13" i="1"/>
  <c r="AJ13" i="1"/>
  <c r="AI13" i="1"/>
  <c r="AH13" i="1"/>
  <c r="AG13" i="1"/>
  <c r="AF13" i="1"/>
  <c r="AE13" i="1"/>
  <c r="AD13" i="1"/>
  <c r="AC13" i="1"/>
  <c r="AL12" i="1"/>
  <c r="AK12" i="1"/>
  <c r="AJ12" i="1"/>
  <c r="AI12" i="1"/>
  <c r="AH12" i="1"/>
  <c r="AG12" i="1"/>
  <c r="AF12" i="1"/>
  <c r="AE12" i="1"/>
  <c r="AD12" i="1"/>
  <c r="AC12" i="1"/>
  <c r="AL11" i="1"/>
  <c r="AK11" i="1"/>
  <c r="AJ11" i="1"/>
  <c r="AI11" i="1"/>
  <c r="AH11" i="1"/>
  <c r="AG11" i="1"/>
  <c r="AF11" i="1"/>
  <c r="AE11" i="1"/>
  <c r="AD11" i="1"/>
  <c r="AC11" i="1"/>
  <c r="AL10" i="1"/>
  <c r="AK10" i="1"/>
  <c r="AJ10" i="1"/>
  <c r="AI10" i="1"/>
  <c r="AH10" i="1"/>
  <c r="AG10" i="1"/>
  <c r="AF10" i="1"/>
  <c r="AE10" i="1"/>
  <c r="AD10" i="1"/>
  <c r="AC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V12" i="2" l="1"/>
  <c r="N12" i="2"/>
  <c r="M12" i="2"/>
  <c r="R12" i="2"/>
  <c r="P12" i="2"/>
  <c r="O12" i="2"/>
  <c r="T11" i="2"/>
  <c r="O11" i="2"/>
  <c r="U12" i="2"/>
  <c r="S11" i="2"/>
  <c r="P11" i="2"/>
  <c r="Q11" i="2"/>
  <c r="R11" i="2"/>
  <c r="L11" i="2"/>
  <c r="Q12" i="2"/>
  <c r="L12" i="2"/>
  <c r="M11" i="2"/>
  <c r="U11" i="2"/>
  <c r="S12" i="2"/>
  <c r="N11" i="2"/>
  <c r="V11" i="2"/>
  <c r="T12" i="2"/>
  <c r="V14" i="2" l="1"/>
  <c r="R14" i="2"/>
  <c r="M14" i="2"/>
  <c r="T14" i="2"/>
  <c r="P14" i="2"/>
  <c r="O14" i="2"/>
  <c r="U14" i="2"/>
  <c r="Q14" i="2"/>
  <c r="N14" i="2"/>
  <c r="L14" i="2"/>
  <c r="S14" i="2"/>
  <c r="F12" i="2"/>
  <c r="F11" i="2"/>
  <c r="L10" i="2"/>
  <c r="M10" i="2"/>
  <c r="N10" i="2"/>
  <c r="O10" i="2"/>
  <c r="P10" i="2"/>
  <c r="Q10" i="2"/>
  <c r="R10" i="2"/>
  <c r="S10" i="2"/>
  <c r="T10" i="2"/>
  <c r="U10" i="2"/>
  <c r="V10" i="2"/>
  <c r="T18" i="1"/>
  <c r="T9" i="1"/>
  <c r="T109" i="1"/>
  <c r="T108" i="1"/>
  <c r="T107" i="1"/>
  <c r="T106" i="1"/>
  <c r="T105" i="1"/>
  <c r="T104" i="1"/>
  <c r="T103" i="1"/>
  <c r="T102" i="1"/>
  <c r="U102" i="1" s="1"/>
  <c r="V102" i="1" s="1"/>
  <c r="T101" i="1"/>
  <c r="T100" i="1"/>
  <c r="T99" i="1"/>
  <c r="T98" i="1"/>
  <c r="T97" i="1"/>
  <c r="T96" i="1"/>
  <c r="U96" i="1" s="1"/>
  <c r="V96" i="1" s="1"/>
  <c r="T95" i="1"/>
  <c r="T94" i="1"/>
  <c r="U94" i="1" s="1"/>
  <c r="V94" i="1" s="1"/>
  <c r="T93" i="1"/>
  <c r="T92" i="1"/>
  <c r="T91" i="1"/>
  <c r="T90" i="1"/>
  <c r="T89" i="1"/>
  <c r="U89" i="1" s="1"/>
  <c r="V89" i="1" s="1"/>
  <c r="T88" i="1"/>
  <c r="U88" i="1" s="1"/>
  <c r="V88" i="1" s="1"/>
  <c r="T87" i="1"/>
  <c r="T86" i="1"/>
  <c r="U86" i="1" s="1"/>
  <c r="V86" i="1" s="1"/>
  <c r="T85" i="1"/>
  <c r="T84" i="1"/>
  <c r="T83" i="1"/>
  <c r="T82" i="1"/>
  <c r="T81" i="1"/>
  <c r="U81" i="1" s="1"/>
  <c r="V81" i="1" s="1"/>
  <c r="T80" i="1"/>
  <c r="T79" i="1"/>
  <c r="T78" i="1"/>
  <c r="U78" i="1" s="1"/>
  <c r="V78" i="1" s="1"/>
  <c r="T77" i="1"/>
  <c r="T76" i="1"/>
  <c r="T75" i="1"/>
  <c r="T74" i="1"/>
  <c r="T73" i="1"/>
  <c r="U73" i="1" s="1"/>
  <c r="V73" i="1" s="1"/>
  <c r="T72" i="1"/>
  <c r="T71" i="1"/>
  <c r="T70" i="1"/>
  <c r="U70" i="1" s="1"/>
  <c r="V70" i="1" s="1"/>
  <c r="T69" i="1"/>
  <c r="T68" i="1"/>
  <c r="T67" i="1"/>
  <c r="T66" i="1"/>
  <c r="T65" i="1"/>
  <c r="T64" i="1"/>
  <c r="U64" i="1" s="1"/>
  <c r="V64" i="1" s="1"/>
  <c r="T63" i="1"/>
  <c r="T62" i="1"/>
  <c r="U62" i="1" s="1"/>
  <c r="V62" i="1" s="1"/>
  <c r="T61" i="1"/>
  <c r="T60" i="1"/>
  <c r="T59" i="1"/>
  <c r="T58" i="1"/>
  <c r="T57" i="1"/>
  <c r="U57" i="1" s="1"/>
  <c r="V57" i="1" s="1"/>
  <c r="T56" i="1"/>
  <c r="U56" i="1" s="1"/>
  <c r="V56" i="1" s="1"/>
  <c r="T55" i="1"/>
  <c r="T54" i="1"/>
  <c r="U54" i="1" s="1"/>
  <c r="V54" i="1" s="1"/>
  <c r="T53" i="1"/>
  <c r="T52" i="1"/>
  <c r="T51" i="1"/>
  <c r="T50" i="1"/>
  <c r="T49" i="1"/>
  <c r="U49" i="1" s="1"/>
  <c r="V49" i="1" s="1"/>
  <c r="T48" i="1"/>
  <c r="T47" i="1"/>
  <c r="T46" i="1"/>
  <c r="U46" i="1" s="1"/>
  <c r="V46" i="1" s="1"/>
  <c r="T45" i="1"/>
  <c r="T44" i="1"/>
  <c r="T43" i="1"/>
  <c r="T42" i="1"/>
  <c r="T41" i="1"/>
  <c r="T40" i="1"/>
  <c r="U40" i="1" s="1"/>
  <c r="V40" i="1" s="1"/>
  <c r="T39" i="1"/>
  <c r="T38" i="1"/>
  <c r="T37" i="1"/>
  <c r="T36" i="1"/>
  <c r="T35" i="1"/>
  <c r="T34" i="1"/>
  <c r="T33" i="1"/>
  <c r="T32" i="1"/>
  <c r="T31" i="1"/>
  <c r="T30" i="1"/>
  <c r="T29" i="1"/>
  <c r="U29" i="1" s="1"/>
  <c r="V29" i="1" s="1"/>
  <c r="T28" i="1"/>
  <c r="T27" i="1"/>
  <c r="T26" i="1"/>
  <c r="T25" i="1"/>
  <c r="T24" i="1"/>
  <c r="U24" i="1" s="1"/>
  <c r="V24" i="1" s="1"/>
  <c r="T23" i="1"/>
  <c r="T22" i="1"/>
  <c r="T21" i="1"/>
  <c r="U21" i="1" s="1"/>
  <c r="V21" i="1" s="1"/>
  <c r="T20" i="1"/>
  <c r="U20" i="1" s="1"/>
  <c r="V20" i="1" s="1"/>
  <c r="T19" i="1"/>
  <c r="T17" i="1"/>
  <c r="T16" i="1"/>
  <c r="T15" i="1"/>
  <c r="T14" i="1"/>
  <c r="T13" i="1"/>
  <c r="T12" i="1"/>
  <c r="T11" i="1"/>
  <c r="T10" i="1"/>
  <c r="E6" i="2" a="1"/>
  <c r="E6" i="2" s="1"/>
  <c r="D12" i="2" s="1"/>
  <c r="E12" i="2"/>
  <c r="E11" i="2"/>
  <c r="B11" i="2"/>
  <c r="B12" i="2" s="1"/>
  <c r="B14" i="2" s="1"/>
  <c r="A12" i="2"/>
  <c r="A14" i="2" s="1"/>
  <c r="R6"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U100" i="1"/>
  <c r="V100" i="1" s="1"/>
  <c r="U97" i="1"/>
  <c r="V97" i="1" s="1"/>
  <c r="U92" i="1"/>
  <c r="V92" i="1" s="1"/>
  <c r="U84" i="1"/>
  <c r="V84" i="1" s="1"/>
  <c r="U80" i="1"/>
  <c r="V80" i="1" s="1"/>
  <c r="U76" i="1"/>
  <c r="V76" i="1" s="1"/>
  <c r="U68" i="1"/>
  <c r="V68" i="1" s="1"/>
  <c r="U67" i="1"/>
  <c r="V67" i="1" s="1"/>
  <c r="U59" i="1"/>
  <c r="V59" i="1" s="1"/>
  <c r="U52" i="1"/>
  <c r="V52" i="1" s="1"/>
  <c r="U51" i="1"/>
  <c r="V51" i="1" s="1"/>
  <c r="U48" i="1"/>
  <c r="V48" i="1" s="1"/>
  <c r="U45" i="1"/>
  <c r="V45" i="1" s="1"/>
  <c r="U44" i="1"/>
  <c r="V44" i="1" s="1"/>
  <c r="U43" i="1"/>
  <c r="V43" i="1" s="1"/>
  <c r="U37" i="1"/>
  <c r="V37" i="1" s="1"/>
  <c r="U36" i="1"/>
  <c r="V36" i="1" s="1"/>
  <c r="U32" i="1"/>
  <c r="V32" i="1" s="1"/>
  <c r="U28" i="1"/>
  <c r="V28" i="1" s="1"/>
  <c r="U27" i="1"/>
  <c r="V27" i="1" s="1"/>
  <c r="S21" i="2" l="1"/>
  <c r="R21" i="2"/>
  <c r="M21" i="2"/>
  <c r="U21" i="2"/>
  <c r="V21" i="2"/>
  <c r="O21" i="2"/>
  <c r="N21" i="2"/>
  <c r="P21" i="2"/>
  <c r="L21" i="2"/>
  <c r="S20" i="2"/>
  <c r="Q20" i="2"/>
  <c r="O20" i="2"/>
  <c r="R20" i="2"/>
  <c r="V20" i="2"/>
  <c r="P20" i="2"/>
  <c r="T20" i="2"/>
  <c r="T21" i="2"/>
  <c r="M20" i="2"/>
  <c r="U20" i="2"/>
  <c r="L20" i="2"/>
  <c r="Q21" i="2"/>
  <c r="N20" i="2"/>
  <c r="W12" i="2"/>
  <c r="W14" i="2"/>
  <c r="W11" i="2"/>
  <c r="F14" i="2"/>
  <c r="E5" i="2" s="1"/>
  <c r="B21" i="2" s="1"/>
  <c r="W10" i="2"/>
  <c r="D11" i="2"/>
  <c r="D14" i="2" s="1"/>
  <c r="E14" i="2"/>
  <c r="S22" i="2" s="1"/>
  <c r="U72" i="1"/>
  <c r="V72" i="1" s="1"/>
  <c r="U98" i="1"/>
  <c r="V98" i="1" s="1"/>
  <c r="U33" i="1"/>
  <c r="V33" i="1" s="1"/>
  <c r="U83" i="1"/>
  <c r="V83" i="1" s="1"/>
  <c r="U99" i="1"/>
  <c r="V99" i="1" s="1"/>
  <c r="U105" i="1"/>
  <c r="V105" i="1" s="1"/>
  <c r="U35" i="1"/>
  <c r="V35" i="1" s="1"/>
  <c r="U41" i="1"/>
  <c r="V41" i="1" s="1"/>
  <c r="U65" i="1"/>
  <c r="V65" i="1" s="1"/>
  <c r="U75" i="1"/>
  <c r="V75" i="1" s="1"/>
  <c r="U25" i="1"/>
  <c r="V25" i="1" s="1"/>
  <c r="U106" i="1"/>
  <c r="V106" i="1" s="1"/>
  <c r="U34" i="1"/>
  <c r="V34" i="1" s="1"/>
  <c r="U42" i="1"/>
  <c r="V42" i="1" s="1"/>
  <c r="U50" i="1"/>
  <c r="V50" i="1" s="1"/>
  <c r="U58" i="1"/>
  <c r="V58" i="1" s="1"/>
  <c r="U66" i="1"/>
  <c r="V66" i="1" s="1"/>
  <c r="U74" i="1"/>
  <c r="V74" i="1" s="1"/>
  <c r="U82" i="1"/>
  <c r="V82" i="1" s="1"/>
  <c r="U90" i="1"/>
  <c r="V90" i="1" s="1"/>
  <c r="U104" i="1"/>
  <c r="V104" i="1" s="1"/>
  <c r="U107" i="1"/>
  <c r="V107" i="1" s="1"/>
  <c r="U26" i="1"/>
  <c r="V26" i="1" s="1"/>
  <c r="U91" i="1"/>
  <c r="V91" i="1" s="1"/>
  <c r="U22" i="1"/>
  <c r="V22" i="1" s="1"/>
  <c r="U30" i="1"/>
  <c r="V30" i="1" s="1"/>
  <c r="U38" i="1"/>
  <c r="V38" i="1" s="1"/>
  <c r="U60" i="1"/>
  <c r="V60" i="1" s="1"/>
  <c r="U108" i="1"/>
  <c r="V108" i="1" s="1"/>
  <c r="U23" i="1"/>
  <c r="V23" i="1" s="1"/>
  <c r="U31" i="1"/>
  <c r="V31" i="1" s="1"/>
  <c r="U39" i="1"/>
  <c r="V39" i="1" s="1"/>
  <c r="U47" i="1"/>
  <c r="V47" i="1" s="1"/>
  <c r="U55" i="1"/>
  <c r="V55" i="1" s="1"/>
  <c r="U63" i="1"/>
  <c r="V63" i="1" s="1"/>
  <c r="U71" i="1"/>
  <c r="V71" i="1" s="1"/>
  <c r="U79" i="1"/>
  <c r="V79" i="1" s="1"/>
  <c r="U87" i="1"/>
  <c r="V87" i="1" s="1"/>
  <c r="U95" i="1"/>
  <c r="V95" i="1" s="1"/>
  <c r="U103" i="1"/>
  <c r="V103" i="1" s="1"/>
  <c r="U53" i="1"/>
  <c r="V53" i="1" s="1"/>
  <c r="U61" i="1"/>
  <c r="V61" i="1" s="1"/>
  <c r="U69" i="1"/>
  <c r="V69" i="1" s="1"/>
  <c r="U77" i="1"/>
  <c r="V77" i="1" s="1"/>
  <c r="U85" i="1"/>
  <c r="V85" i="1" s="1"/>
  <c r="U93" i="1"/>
  <c r="V93" i="1" s="1"/>
  <c r="U101" i="1"/>
  <c r="V101" i="1" s="1"/>
  <c r="U109" i="1"/>
  <c r="V109" i="1" s="1"/>
  <c r="L22" i="2" l="1"/>
  <c r="I5" i="2"/>
  <c r="U22" i="2"/>
  <c r="P22" i="2"/>
  <c r="T22" i="2"/>
  <c r="M22" i="2"/>
  <c r="O22" i="2"/>
  <c r="V22" i="2"/>
  <c r="Q22" i="2"/>
  <c r="R22" i="2"/>
  <c r="N22" i="2"/>
  <c r="B20" i="2"/>
  <c r="B22" i="2" s="1"/>
  <c r="W20" i="2"/>
  <c r="W21" i="2"/>
  <c r="W22" i="2"/>
  <c r="G10" i="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U18" i="1" l="1"/>
  <c r="V18" i="1" s="1"/>
  <c r="U16" i="1"/>
  <c r="V16" i="1" s="1"/>
  <c r="U15" i="1"/>
  <c r="V15" i="1" s="1"/>
  <c r="U19" i="1"/>
  <c r="V19" i="1" s="1"/>
  <c r="U17" i="1"/>
  <c r="V17" i="1" s="1"/>
  <c r="U12" i="1"/>
  <c r="V12" i="1" s="1"/>
  <c r="U11" i="1"/>
  <c r="V11" i="1" s="1"/>
  <c r="U14" i="1"/>
  <c r="V14" i="1" s="1"/>
  <c r="U13" i="1"/>
  <c r="V13" i="1" s="1"/>
  <c r="U10" i="1"/>
  <c r="V10" i="1" s="1"/>
  <c r="H12" i="2" l="1"/>
  <c r="D21" i="2" s="1"/>
  <c r="I12" i="2"/>
  <c r="E21" i="2" s="1"/>
  <c r="G12" i="2"/>
  <c r="C21" i="2" s="1"/>
  <c r="J12" i="2"/>
  <c r="F21" i="2" s="1"/>
  <c r="K12" i="2"/>
  <c r="G21" i="2" s="1"/>
  <c r="K11" i="2"/>
  <c r="G20" i="2" s="1"/>
  <c r="I11" i="2"/>
  <c r="E20" i="2" s="1"/>
  <c r="H11" i="2"/>
  <c r="D20" i="2" s="1"/>
  <c r="J11" i="2"/>
  <c r="F20" i="2" s="1"/>
  <c r="G11" i="2"/>
  <c r="C20" i="2" s="1"/>
  <c r="H14" i="2" l="1"/>
  <c r="D22" i="2" s="1"/>
  <c r="G14" i="2"/>
  <c r="C22" i="2" s="1"/>
  <c r="K14" i="2"/>
  <c r="G22" i="2" s="1"/>
  <c r="I14" i="2" l="1"/>
  <c r="E22" i="2" s="1"/>
  <c r="J14" i="2"/>
  <c r="F22" i="2" s="1"/>
  <c r="I2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<sst xmlns="http://schemas.openxmlformats.org/spreadsheetml/2006/main" count="242" uniqueCount="150">
  <si>
    <t>Grade:</t>
  </si>
  <si>
    <t>School ID:</t>
  </si>
  <si>
    <t>Remarks</t>
  </si>
  <si>
    <t>S/N</t>
  </si>
  <si>
    <t>Name of Learner</t>
  </si>
  <si>
    <t>Date of Asessment</t>
  </si>
  <si>
    <t xml:space="preserve"> </t>
  </si>
  <si>
    <t>Hiligaynon</t>
  </si>
  <si>
    <t>Central Bikol</t>
  </si>
  <si>
    <t>Minasbate</t>
  </si>
  <si>
    <t>Rinconada</t>
  </si>
  <si>
    <t>Tagalog</t>
  </si>
  <si>
    <t>Section</t>
  </si>
  <si>
    <t>Section:</t>
  </si>
  <si>
    <t>Grade</t>
  </si>
  <si>
    <t>Language</t>
  </si>
  <si>
    <t>SCHOOL ID :</t>
  </si>
  <si>
    <t>SCHOOL NAME:</t>
  </si>
  <si>
    <t>Number of Learners Assessed</t>
  </si>
  <si>
    <t>Sex</t>
  </si>
  <si>
    <t>Dashboard</t>
  </si>
  <si>
    <t>Percent (%) of Learners at each proficiency level</t>
  </si>
  <si>
    <t>Percent of Learners assessed</t>
  </si>
  <si>
    <t>LRN</t>
  </si>
  <si>
    <t>Region</t>
  </si>
  <si>
    <t xml:space="preserve">Region </t>
  </si>
  <si>
    <t>NCR</t>
  </si>
  <si>
    <t>Akeanon</t>
  </si>
  <si>
    <t>CAR</t>
  </si>
  <si>
    <t>Bahasa Sug</t>
  </si>
  <si>
    <t>Region I</t>
  </si>
  <si>
    <t>Region II</t>
  </si>
  <si>
    <t>Chavacano</t>
  </si>
  <si>
    <t>Region III</t>
  </si>
  <si>
    <t>Region IV-A</t>
  </si>
  <si>
    <t>Ibanag</t>
  </si>
  <si>
    <t xml:space="preserve">Region IV-B </t>
  </si>
  <si>
    <t>Ilocano</t>
  </si>
  <si>
    <t xml:space="preserve">Region V </t>
  </si>
  <si>
    <t>Inabaknon</t>
  </si>
  <si>
    <t>Region VI</t>
  </si>
  <si>
    <t>Ivatan</t>
  </si>
  <si>
    <t xml:space="preserve">Region VII </t>
  </si>
  <si>
    <t>Kapampangan</t>
  </si>
  <si>
    <t xml:space="preserve">Region VIII </t>
  </si>
  <si>
    <t>Region IX</t>
  </si>
  <si>
    <t>Magindanawn</t>
  </si>
  <si>
    <t xml:space="preserve">Region X </t>
  </si>
  <si>
    <t xml:space="preserve">Meranaw </t>
  </si>
  <si>
    <t xml:space="preserve">Region XI </t>
  </si>
  <si>
    <t xml:space="preserve">Region XII </t>
  </si>
  <si>
    <t>Miraya</t>
  </si>
  <si>
    <t xml:space="preserve">Region XIII </t>
  </si>
  <si>
    <t>Pangasinan</t>
  </si>
  <si>
    <t>BARMM</t>
  </si>
  <si>
    <t xml:space="preserve">Sambal </t>
  </si>
  <si>
    <t>Sinugbuanong Binisaya</t>
  </si>
  <si>
    <t>Southern Sorsoganon</t>
  </si>
  <si>
    <t>Surigaonon</t>
  </si>
  <si>
    <t>Waray</t>
  </si>
  <si>
    <t>Yakan</t>
  </si>
  <si>
    <t>Bikol Libon</t>
  </si>
  <si>
    <t>Buhi-non</t>
  </si>
  <si>
    <t>Caluyanen</t>
  </si>
  <si>
    <t>Cuyonon</t>
  </si>
  <si>
    <t>Northern Catanduanes</t>
  </si>
  <si>
    <t>Southern Catanduanes</t>
  </si>
  <si>
    <t>Northern Sorsoganon</t>
  </si>
  <si>
    <t>West Albay Bikol</t>
  </si>
  <si>
    <t>Other MT</t>
  </si>
  <si>
    <t>LOI/MOI</t>
  </si>
  <si>
    <t>Birthdate</t>
  </si>
  <si>
    <t>Age</t>
  </si>
  <si>
    <t>Mother Tongue</t>
  </si>
  <si>
    <t>Teacher :</t>
  </si>
  <si>
    <t>Number Assessed</t>
  </si>
  <si>
    <t>School Name:</t>
  </si>
  <si>
    <t>Female</t>
  </si>
  <si>
    <t>% of Correct Answer</t>
  </si>
  <si>
    <t>Levelling of Learners</t>
  </si>
  <si>
    <t>Male</t>
  </si>
  <si>
    <t>English</t>
  </si>
  <si>
    <t>Task A</t>
  </si>
  <si>
    <t>Task B</t>
  </si>
  <si>
    <t>Task C</t>
  </si>
  <si>
    <t>Task D</t>
  </si>
  <si>
    <t>Task E</t>
  </si>
  <si>
    <t>Task F</t>
  </si>
  <si>
    <t>Task G</t>
  </si>
  <si>
    <t>Task H</t>
  </si>
  <si>
    <t>Task I</t>
  </si>
  <si>
    <t>Total</t>
  </si>
  <si>
    <t>Total Enrolment</t>
  </si>
  <si>
    <t>Language Matched
( LOI vs Learners)</t>
  </si>
  <si>
    <t>LOI / MOI</t>
  </si>
  <si>
    <t>Grade 2</t>
  </si>
  <si>
    <t>GRADE 2  Rapid Mathematics Scoresheets</t>
  </si>
  <si>
    <t>Task J</t>
  </si>
  <si>
    <t>Task K</t>
  </si>
  <si>
    <t>GRADE 2 Assessment Scoresheet (CLASS SUMMARY)</t>
  </si>
  <si>
    <t xml:space="preserve"> Enrolment (Male):</t>
  </si>
  <si>
    <t xml:space="preserve"> Enrolment (Female):</t>
  </si>
  <si>
    <t>Total Assessed :</t>
  </si>
  <si>
    <t>Overall Average</t>
  </si>
  <si>
    <t>Task B: Number Discrimination (1)</t>
  </si>
  <si>
    <t>Task E: Addition (4)</t>
  </si>
  <si>
    <t>Agta</t>
  </si>
  <si>
    <t>Kinaray-a</t>
  </si>
  <si>
    <t>Ifugao</t>
  </si>
  <si>
    <t>Iranun</t>
  </si>
  <si>
    <t>Kankanaey</t>
  </si>
  <si>
    <t>Sinama</t>
  </si>
  <si>
    <t>Assessment Type</t>
  </si>
  <si>
    <t>Task A: Number Identification (3)</t>
  </si>
  <si>
    <t>Task D: Missing Unit Fractions (1)</t>
  </si>
  <si>
    <t>Task F: Subtraction (3)</t>
  </si>
  <si>
    <t>Task G: Multiplication (3)</t>
  </si>
  <si>
    <t>Task H: Division
 (4)</t>
  </si>
  <si>
    <t>Task J: Geometric Visulization (1)</t>
  </si>
  <si>
    <t>Task K: Linear Measurement (1)</t>
  </si>
  <si>
    <t>Task C: Missing Numbers In Patterns
 (2)</t>
  </si>
  <si>
    <t>Task I: Geometric Pattern 
(2)</t>
  </si>
  <si>
    <t>TOTAL SCORE (25)</t>
  </si>
  <si>
    <t>Number of Learners with Correct Answers &gt;=75%</t>
  </si>
  <si>
    <t>Percentage of Learners with Correct Answers &gt;=75%</t>
  </si>
  <si>
    <t>OverAll Average</t>
  </si>
  <si>
    <t>Emerging (Not Proficient)</t>
  </si>
  <si>
    <t>Emerging (Low Proficient)</t>
  </si>
  <si>
    <t>Developing (Nearly Proficient)</t>
  </si>
  <si>
    <t>Transitioning (Proficient)</t>
  </si>
  <si>
    <t>At Grade Level (Highly Proficient)</t>
  </si>
  <si>
    <t>RMA2v2</t>
  </si>
  <si>
    <t>BoSY</t>
  </si>
  <si>
    <t>Romana Elementary School</t>
  </si>
  <si>
    <t>Maricar F. Joaquin</t>
  </si>
  <si>
    <t>BARGASA, REY JOHN V.</t>
  </si>
  <si>
    <t xml:space="preserve">BESANES, ZANDER G. </t>
  </si>
  <si>
    <t xml:space="preserve">BERIZAL, KENT ANGELO C. </t>
  </si>
  <si>
    <t xml:space="preserve">DARAS, REYNASH R. </t>
  </si>
  <si>
    <t>ORTILANO, KLENT Y.</t>
  </si>
  <si>
    <t>PATRICIO, SEAN E.</t>
  </si>
  <si>
    <t>ZONITA, NELJOHN E.</t>
  </si>
  <si>
    <t>ANTONIO, JELAISA JEAN P.</t>
  </si>
  <si>
    <t>CUSTODIO, MARICAR C.</t>
  </si>
  <si>
    <t>DUMAICOS, NOVELYN F.</t>
  </si>
  <si>
    <t>DUMANIEL, SHANAYA A.</t>
  </si>
  <si>
    <t>ESTOCADA, JULIANA Q.</t>
  </si>
  <si>
    <t>GANCIA, CRISSUN V.</t>
  </si>
  <si>
    <t>JUMBAS, JHAZMAINE KHATE A.</t>
  </si>
  <si>
    <t>LABANZA, ALEJANDRINE AMIAH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</si>
</sst>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17"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s>
  <fills count="11">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s>
  <borders count="43">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s>
  <cellStyleXfs count="2">
    <xf numFmtId="0" fontId="0" fillId="0" borderId="0"/>
    <xf numFmtId="9" fontId="10" fillId="0" borderId="0" applyFont="0" applyFill="0" applyBorder="0" applyAlignment="0" applyProtection="0"/>
  </cellStyleXfs>
  <cellXfs count="185">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2" fillId="5" borderId="21"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23" xfId="0" applyFont="1" applyFill="1" applyBorder="1" applyAlignment="1">
      <alignment horizontal="center" vertical="center"/>
    </xf>
    <xf numFmtId="164" fontId="0" fillId="0" borderId="0" xfId="0" applyNumberFormat="1" applyAlignment="1">
      <alignment horizontal="center"/>
    </xf>
    <xf numFmtId="0" fontId="6" fillId="7" borderId="7"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2" fillId="7" borderId="26" xfId="0" applyFont="1" applyFill="1" applyBorder="1" applyAlignment="1">
      <alignment horizontal="center" vertical="center" wrapText="1"/>
    </xf>
    <xf numFmtId="0" fontId="11" fillId="7" borderId="26" xfId="0" applyFont="1" applyFill="1" applyBorder="1" applyAlignment="1">
      <alignment horizontal="center" vertical="center"/>
    </xf>
    <xf numFmtId="0" fontId="1" fillId="7" borderId="26" xfId="0" applyFont="1" applyFill="1" applyBorder="1" applyAlignment="1">
      <alignment horizontal="center" vertical="center"/>
    </xf>
    <xf numFmtId="0" fontId="0" fillId="0" borderId="13" xfId="0" applyBorder="1"/>
    <xf numFmtId="0" fontId="0" fillId="0" borderId="8" xfId="0" applyBorder="1"/>
    <xf numFmtId="0" fontId="0" fillId="0" borderId="7" xfId="0" applyBorder="1"/>
    <xf numFmtId="0" fontId="14" fillId="0" borderId="14" xfId="0" applyFont="1" applyBorder="1" applyProtection="1">
      <protection locked="0"/>
    </xf>
    <xf numFmtId="0" fontId="14" fillId="0" borderId="14" xfId="0" applyFont="1" applyBorder="1" applyAlignment="1" applyProtection="1">
      <alignment horizontal="center"/>
      <protection locked="0"/>
    </xf>
    <xf numFmtId="0" fontId="14" fillId="0" borderId="9" xfId="0" applyFont="1" applyBorder="1" applyAlignment="1" applyProtection="1">
      <alignment horizontal="center"/>
      <protection locked="0"/>
    </xf>
    <xf numFmtId="0" fontId="14" fillId="0" borderId="15" xfId="0" applyFont="1" applyBorder="1" applyAlignment="1" applyProtection="1">
      <alignment horizontal="left" vertical="center" wrapText="1"/>
      <protection locked="0"/>
    </xf>
    <xf numFmtId="0" fontId="14" fillId="0" borderId="9" xfId="0" applyFont="1" applyBorder="1" applyProtection="1">
      <protection locked="0"/>
    </xf>
    <xf numFmtId="0" fontId="14" fillId="0" borderId="10" xfId="0" applyFont="1" applyBorder="1" applyAlignment="1" applyProtection="1">
      <alignment horizontal="left" vertical="center" wrapText="1"/>
      <protection locked="0"/>
    </xf>
    <xf numFmtId="0" fontId="14" fillId="0" borderId="5" xfId="0" applyFont="1" applyBorder="1" applyProtection="1">
      <protection locked="0"/>
    </xf>
    <xf numFmtId="0" fontId="14" fillId="0" borderId="5" xfId="0" applyFont="1" applyBorder="1" applyAlignment="1" applyProtection="1">
      <alignment horizontal="center"/>
      <protection locked="0"/>
    </xf>
    <xf numFmtId="0" fontId="14" fillId="0" borderId="6" xfId="0" applyFont="1" applyBorder="1" applyAlignment="1" applyProtection="1">
      <alignment horizontal="left" vertical="center" wrapText="1"/>
      <protection locked="0"/>
    </xf>
    <xf numFmtId="1" fontId="14" fillId="3" borderId="14" xfId="0" applyNumberFormat="1" applyFont="1" applyFill="1" applyBorder="1" applyAlignment="1">
      <alignment horizontal="center"/>
    </xf>
    <xf numFmtId="1" fontId="14" fillId="3" borderId="9" xfId="0" applyNumberFormat="1" applyFont="1" applyFill="1" applyBorder="1" applyAlignment="1">
      <alignment horizontal="center"/>
    </xf>
    <xf numFmtId="1" fontId="14" fillId="3" borderId="5" xfId="0" applyNumberFormat="1" applyFont="1" applyFill="1" applyBorder="1" applyAlignment="1">
      <alignment horizontal="center"/>
    </xf>
    <xf numFmtId="0" fontId="14" fillId="3" borderId="14" xfId="0" applyFont="1" applyFill="1" applyBorder="1" applyAlignment="1">
      <alignment horizontal="center" wrapText="1"/>
    </xf>
    <xf numFmtId="10" fontId="14" fillId="3" borderId="14" xfId="0" applyNumberFormat="1" applyFont="1" applyFill="1" applyBorder="1" applyAlignment="1">
      <alignment horizontal="center" wrapText="1"/>
    </xf>
    <xf numFmtId="0" fontId="14" fillId="3" borderId="14" xfId="0" applyFont="1" applyFill="1" applyBorder="1" applyAlignment="1">
      <alignment horizontal="center"/>
    </xf>
    <xf numFmtId="0" fontId="14" fillId="3" borderId="9" xfId="0" applyFont="1" applyFill="1" applyBorder="1" applyAlignment="1">
      <alignment horizontal="center" wrapText="1"/>
    </xf>
    <xf numFmtId="10" fontId="14" fillId="3" borderId="9" xfId="0" applyNumberFormat="1" applyFont="1" applyFill="1" applyBorder="1" applyAlignment="1">
      <alignment horizontal="center" wrapText="1"/>
    </xf>
    <xf numFmtId="0" fontId="14" fillId="3" borderId="9" xfId="0" applyFont="1" applyFill="1" applyBorder="1" applyAlignment="1">
      <alignment horizontal="center"/>
    </xf>
    <xf numFmtId="0" fontId="14" fillId="3" borderId="5" xfId="0" applyFont="1" applyFill="1" applyBorder="1" applyAlignment="1">
      <alignment horizontal="center" wrapText="1"/>
    </xf>
    <xf numFmtId="10" fontId="14" fillId="3" borderId="5" xfId="0" applyNumberFormat="1" applyFont="1" applyFill="1" applyBorder="1" applyAlignment="1">
      <alignment horizontal="center" wrapText="1"/>
    </xf>
    <xf numFmtId="0" fontId="14" fillId="3" borderId="5" xfId="0" applyFont="1" applyFill="1" applyBorder="1" applyAlignment="1">
      <alignment horizontal="center"/>
    </xf>
    <xf numFmtId="0" fontId="9" fillId="6" borderId="9" xfId="0" applyFont="1" applyFill="1" applyBorder="1" applyAlignment="1" applyProtection="1">
      <alignment horizontal="center" vertical="center" wrapText="1"/>
      <protection hidden="1"/>
    </xf>
    <xf numFmtId="0" fontId="0" fillId="0" borderId="4" xfId="0" applyBorder="1" applyAlignment="1" applyProtection="1">
      <alignment vertical="center"/>
      <protection locked="0"/>
    </xf>
    <xf numFmtId="0" fontId="0" fillId="0" borderId="0" xfId="0" applyAlignment="1">
      <alignment vertical="center"/>
    </xf>
    <xf numFmtId="0" fontId="3" fillId="0" borderId="9" xfId="0" applyFont="1" applyBorder="1" applyAlignment="1" applyProtection="1">
      <alignment horizontal="left" vertical="center" wrapText="1"/>
      <protection locked="0"/>
    </xf>
    <xf numFmtId="0" fontId="1" fillId="6" borderId="3"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1" fillId="6" borderId="9" xfId="0" applyFont="1" applyFill="1" applyBorder="1" applyAlignment="1" applyProtection="1">
      <alignment horizontal="center" vertical="center" wrapText="1"/>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2" borderId="0" xfId="0" applyFont="1" applyFill="1" applyAlignment="1">
      <alignment horizontal="left" vertical="center"/>
    </xf>
    <xf numFmtId="0" fontId="14" fillId="0" borderId="3" xfId="0" applyFont="1" applyBorder="1" applyAlignment="1" applyProtection="1">
      <alignment horizontal="left"/>
      <protection locked="0"/>
    </xf>
    <xf numFmtId="0" fontId="7" fillId="0" borderId="9"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0" fontId="0" fillId="0" borderId="11" xfId="0" applyBorder="1" applyAlignment="1">
      <alignment horizontal="center" vertical="center" wrapText="1"/>
    </xf>
    <xf numFmtId="1" fontId="14" fillId="0" borderId="14" xfId="0" applyNumberFormat="1" applyFont="1" applyBorder="1" applyAlignment="1" applyProtection="1">
      <alignment horizontal="center"/>
      <protection locked="0"/>
    </xf>
    <xf numFmtId="1" fontId="14" fillId="0" borderId="9" xfId="0" applyNumberFormat="1" applyFont="1" applyBorder="1" applyAlignment="1" applyProtection="1">
      <alignment horizontal="center"/>
      <protection locked="0"/>
    </xf>
    <xf numFmtId="1" fontId="14"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3" xfId="0" applyFont="1" applyFill="1" applyBorder="1" applyAlignment="1">
      <alignment wrapText="1"/>
    </xf>
    <xf numFmtId="0" fontId="1" fillId="6" borderId="8" xfId="0" applyFont="1" applyFill="1" applyBorder="1"/>
    <xf numFmtId="0" fontId="1" fillId="6" borderId="9" xfId="0" applyFont="1" applyFill="1" applyBorder="1" applyAlignment="1">
      <alignment horizontal="center" wrapText="1"/>
    </xf>
    <xf numFmtId="9" fontId="0" fillId="0" borderId="9"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9" fontId="1" fillId="0" borderId="6" xfId="0" applyNumberFormat="1" applyFont="1" applyBorder="1" applyAlignment="1">
      <alignment horizontal="center"/>
    </xf>
    <xf numFmtId="0" fontId="5" fillId="0" borderId="9" xfId="0" applyFont="1" applyBorder="1" applyAlignment="1" applyProtection="1">
      <alignment horizontal="center" vertical="center"/>
      <protection hidden="1"/>
    </xf>
    <xf numFmtId="0" fontId="9" fillId="0" borderId="7" xfId="0" applyFont="1" applyBorder="1" applyAlignment="1" applyProtection="1">
      <alignment vertical="center"/>
      <protection hidden="1"/>
    </xf>
    <xf numFmtId="0" fontId="9" fillId="0" borderId="5" xfId="0" applyFont="1" applyBorder="1" applyAlignment="1" applyProtection="1">
      <alignment vertical="center"/>
      <protection hidden="1"/>
    </xf>
    <xf numFmtId="0" fontId="9" fillId="0" borderId="5" xfId="0" applyFont="1" applyBorder="1" applyAlignment="1" applyProtection="1">
      <alignment horizontal="center" vertical="center"/>
      <protection hidden="1"/>
    </xf>
    <xf numFmtId="0" fontId="9"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1" fillId="0" borderId="6" xfId="0" applyFont="1" applyBorder="1" applyAlignment="1" applyProtection="1">
      <alignment horizontal="center" vertical="center"/>
      <protection hidden="1"/>
    </xf>
    <xf numFmtId="0" fontId="2" fillId="7" borderId="20" xfId="0" applyFont="1" applyFill="1" applyBorder="1" applyAlignment="1">
      <alignment horizontal="center" vertical="center"/>
    </xf>
    <xf numFmtId="0" fontId="0" fillId="0" borderId="16" xfId="0" applyBorder="1" applyAlignment="1">
      <alignment horizontal="center"/>
    </xf>
    <xf numFmtId="0" fontId="0" fillId="0" borderId="16" xfId="0" applyBorder="1"/>
    <xf numFmtId="0" fontId="8" fillId="4" borderId="0" xfId="0" applyFont="1" applyFill="1" applyAlignment="1">
      <alignment horizontal="left"/>
    </xf>
    <xf numFmtId="0" fontId="2" fillId="7" borderId="18" xfId="0" applyFont="1" applyFill="1" applyBorder="1" applyAlignment="1">
      <alignment vertical="center" wrapText="1"/>
    </xf>
    <xf numFmtId="0" fontId="11" fillId="7" borderId="32" xfId="0" applyFont="1" applyFill="1" applyBorder="1" applyAlignment="1">
      <alignment horizontal="center" vertical="center" wrapText="1"/>
    </xf>
    <xf numFmtId="0" fontId="0" fillId="0" borderId="18" xfId="0" applyBorder="1" applyAlignment="1" applyProtection="1">
      <alignment horizontal="center" vertical="center"/>
      <protection locked="0"/>
    </xf>
    <xf numFmtId="0" fontId="2" fillId="7" borderId="33" xfId="0" applyFont="1" applyFill="1" applyBorder="1" applyAlignment="1">
      <alignment vertical="center"/>
    </xf>
    <xf numFmtId="0" fontId="4" fillId="0" borderId="19" xfId="0" applyFont="1" applyBorder="1" applyAlignment="1" applyProtection="1">
      <alignment horizontal="center" vertical="center" wrapText="1"/>
      <protection locked="0"/>
    </xf>
    <xf numFmtId="9" fontId="0" fillId="0" borderId="0" xfId="1" applyFont="1" applyBorder="1" applyAlignment="1">
      <alignment horizontal="center"/>
    </xf>
    <xf numFmtId="0" fontId="1" fillId="0" borderId="0" xfId="0" applyFont="1" applyAlignment="1">
      <alignment horizontal="center"/>
    </xf>
    <xf numFmtId="0" fontId="9" fillId="0" borderId="0" xfId="0" applyFont="1" applyAlignment="1" applyProtection="1">
      <alignment horizontal="center" vertical="center" wrapText="1"/>
      <protection hidden="1"/>
    </xf>
    <xf numFmtId="0" fontId="5" fillId="0" borderId="20" xfId="0" applyFont="1" applyBorder="1" applyAlignment="1" applyProtection="1">
      <alignment vertical="center"/>
      <protection hidden="1"/>
    </xf>
    <xf numFmtId="0" fontId="5" fillId="0" borderId="20" xfId="0" applyFont="1" applyBorder="1" applyAlignment="1" applyProtection="1">
      <alignment horizontal="center" vertical="center"/>
      <protection hidden="1"/>
    </xf>
    <xf numFmtId="0" fontId="5"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9" fillId="6" borderId="12" xfId="0" applyFont="1" applyFill="1" applyBorder="1" applyAlignment="1" applyProtection="1">
      <alignment horizontal="center" vertical="center" wrapText="1"/>
      <protection hidden="1"/>
    </xf>
    <xf numFmtId="0" fontId="0" fillId="0" borderId="12" xfId="0" applyBorder="1" applyAlignment="1" applyProtection="1">
      <alignment horizontal="center" vertical="center"/>
      <protection hidden="1"/>
    </xf>
    <xf numFmtId="0" fontId="0" fillId="0" borderId="16" xfId="0" applyBorder="1" applyAlignment="1">
      <alignment horizontal="left"/>
    </xf>
    <xf numFmtId="0" fontId="9" fillId="2" borderId="0" xfId="0" applyFont="1" applyFill="1" applyAlignment="1">
      <alignment horizontal="center" vertical="center" wrapText="1"/>
    </xf>
    <xf numFmtId="0" fontId="0" fillId="0" borderId="35" xfId="0" applyBorder="1" applyAlignment="1">
      <alignment horizontal="center"/>
    </xf>
    <xf numFmtId="2" fontId="0" fillId="0" borderId="35" xfId="0" applyNumberFormat="1" applyBorder="1" applyAlignment="1">
      <alignment horizontal="center"/>
    </xf>
    <xf numFmtId="0" fontId="9" fillId="6" borderId="15" xfId="0" applyFont="1" applyFill="1" applyBorder="1" applyAlignment="1" applyProtection="1">
      <alignment horizontal="center" vertical="center" wrapText="1"/>
      <protection hidden="1"/>
    </xf>
    <xf numFmtId="0" fontId="0" fillId="6" borderId="40" xfId="0" applyFill="1" applyBorder="1" applyAlignment="1">
      <alignment horizontal="center"/>
    </xf>
    <xf numFmtId="0" fontId="1" fillId="0" borderId="16" xfId="0" applyFont="1" applyBorder="1"/>
    <xf numFmtId="165" fontId="14" fillId="0" borderId="14" xfId="0" applyNumberFormat="1" applyFont="1" applyBorder="1" applyAlignment="1" applyProtection="1">
      <alignment horizontal="center"/>
      <protection locked="0"/>
    </xf>
    <xf numFmtId="165" fontId="14" fillId="0" borderId="9" xfId="0" applyNumberFormat="1" applyFont="1" applyBorder="1" applyAlignment="1" applyProtection="1">
      <alignment horizontal="center"/>
      <protection locked="0"/>
    </xf>
    <xf numFmtId="165" fontId="14" fillId="0" borderId="5" xfId="0" applyNumberFormat="1" applyFont="1" applyBorder="1" applyAlignment="1" applyProtection="1">
      <alignment horizontal="center"/>
      <protection locked="0"/>
    </xf>
    <xf numFmtId="165" fontId="0" fillId="0" borderId="0" xfId="0" applyNumberFormat="1" applyAlignment="1">
      <alignment horizontal="center"/>
    </xf>
    <xf numFmtId="0" fontId="2" fillId="7" borderId="31" xfId="0" applyFont="1" applyFill="1" applyBorder="1" applyAlignment="1">
      <alignment horizontal="center" vertical="center" wrapText="1"/>
    </xf>
    <xf numFmtId="0" fontId="3" fillId="6" borderId="9" xfId="0" applyFont="1" applyFill="1" applyBorder="1" applyAlignment="1">
      <alignment vertical="center" wrapText="1"/>
    </xf>
    <xf numFmtId="0" fontId="15" fillId="0" borderId="1" xfId="0" applyFont="1" applyBorder="1" applyAlignment="1" applyProtection="1">
      <alignment vertical="center"/>
      <protection locked="0"/>
    </xf>
    <xf numFmtId="1" fontId="0" fillId="0" borderId="9" xfId="0" applyNumberFormat="1" applyBorder="1" applyAlignment="1" applyProtection="1">
      <alignment horizontal="center" vertical="center"/>
      <protection hidden="1"/>
    </xf>
    <xf numFmtId="2" fontId="0" fillId="0" borderId="36" xfId="0" applyNumberFormat="1" applyBorder="1" applyAlignment="1">
      <alignment horizontal="center"/>
    </xf>
    <xf numFmtId="0" fontId="0" fillId="0" borderId="0" xfId="0" applyAlignment="1">
      <alignment horizontal="right"/>
    </xf>
    <xf numFmtId="0" fontId="16" fillId="0" borderId="0" xfId="0" applyFont="1" applyAlignment="1">
      <alignment horizontal="center" wrapText="1"/>
    </xf>
    <xf numFmtId="0" fontId="11" fillId="6" borderId="14" xfId="0" applyFont="1" applyFill="1" applyBorder="1" applyAlignment="1" applyProtection="1">
      <alignment horizontal="center" vertical="center" wrapText="1"/>
      <protection hidden="1"/>
    </xf>
    <xf numFmtId="0" fontId="11" fillId="6" borderId="9" xfId="0" applyFont="1" applyFill="1" applyBorder="1" applyAlignment="1" applyProtection="1">
      <alignment horizontal="center" vertical="center" wrapText="1"/>
      <protection hidden="1"/>
    </xf>
    <xf numFmtId="0" fontId="11" fillId="6" borderId="10" xfId="0" applyFont="1" applyFill="1" applyBorder="1" applyAlignment="1" applyProtection="1">
      <alignment horizontal="center" vertical="center" wrapText="1"/>
      <protection hidden="1"/>
    </xf>
    <xf numFmtId="0" fontId="2" fillId="7" borderId="11"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13" fillId="5" borderId="27" xfId="0" applyFont="1" applyFill="1" applyBorder="1" applyAlignment="1">
      <alignment horizontal="center" vertical="center"/>
    </xf>
    <xf numFmtId="0" fontId="13" fillId="5" borderId="24" xfId="0" applyFont="1" applyFill="1" applyBorder="1" applyAlignment="1">
      <alignment horizontal="center" vertical="center"/>
    </xf>
    <xf numFmtId="0" fontId="13" fillId="5" borderId="0" xfId="0" applyFont="1" applyFill="1" applyAlignment="1">
      <alignment horizontal="center" vertical="center"/>
    </xf>
    <xf numFmtId="0" fontId="13" fillId="5" borderId="23"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25" xfId="0" applyFont="1" applyFill="1" applyBorder="1" applyAlignment="1">
      <alignment horizontal="center" vertical="center"/>
    </xf>
    <xf numFmtId="0" fontId="6" fillId="7" borderId="12" xfId="0" applyFont="1" applyFill="1" applyBorder="1" applyAlignment="1">
      <alignment horizontal="center" vertical="center" wrapText="1"/>
    </xf>
    <xf numFmtId="0" fontId="6" fillId="7" borderId="20" xfId="0" applyFont="1" applyFill="1" applyBorder="1" applyAlignment="1">
      <alignment horizontal="center" vertical="center" wrapText="1"/>
    </xf>
    <xf numFmtId="0" fontId="2" fillId="7" borderId="1" xfId="0" applyFont="1" applyFill="1" applyBorder="1" applyAlignment="1">
      <alignment horizontal="right" vertical="center"/>
    </xf>
    <xf numFmtId="0" fontId="2" fillId="7" borderId="2" xfId="0" applyFont="1" applyFill="1" applyBorder="1" applyAlignment="1">
      <alignment horizontal="right" vertical="center"/>
    </xf>
    <xf numFmtId="0" fontId="2" fillId="7" borderId="11" xfId="0" applyFont="1" applyFill="1" applyBorder="1" applyAlignment="1">
      <alignment horizontal="right" vertical="center"/>
    </xf>
    <xf numFmtId="0" fontId="2" fillId="7" borderId="8" xfId="0" applyFont="1" applyFill="1" applyBorder="1" applyAlignment="1">
      <alignment horizontal="right" vertical="center"/>
    </xf>
    <xf numFmtId="0" fontId="2" fillId="7" borderId="12" xfId="0" applyFont="1" applyFill="1" applyBorder="1" applyAlignment="1">
      <alignment horizontal="right" vertical="center"/>
    </xf>
    <xf numFmtId="0" fontId="2" fillId="7" borderId="8" xfId="0" applyFont="1" applyFill="1" applyBorder="1" applyAlignment="1">
      <alignment horizontal="right" vertical="center" wrapText="1"/>
    </xf>
    <xf numFmtId="0" fontId="2" fillId="7" borderId="12" xfId="0" applyFont="1" applyFill="1" applyBorder="1" applyAlignment="1">
      <alignment horizontal="right" vertical="center" wrapText="1"/>
    </xf>
    <xf numFmtId="0" fontId="2" fillId="7" borderId="18"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13" fillId="5" borderId="28" xfId="0" applyFont="1" applyFill="1" applyBorder="1" applyAlignment="1">
      <alignment horizontal="center" vertical="center"/>
    </xf>
    <xf numFmtId="0" fontId="13" fillId="5" borderId="29" xfId="0" applyFont="1" applyFill="1" applyBorder="1" applyAlignment="1">
      <alignment horizontal="center" vertical="center"/>
    </xf>
    <xf numFmtId="0" fontId="13" fillId="5" borderId="30" xfId="0" applyFont="1" applyFill="1" applyBorder="1" applyAlignment="1">
      <alignment horizontal="center" vertical="center"/>
    </xf>
    <xf numFmtId="0" fontId="3" fillId="0" borderId="18" xfId="0" applyFont="1" applyBorder="1" applyAlignment="1" applyProtection="1">
      <alignment horizontal="left" vertical="center" wrapText="1"/>
      <protection locked="0"/>
    </xf>
    <xf numFmtId="0" fontId="2" fillId="7" borderId="12" xfId="0" applyFont="1" applyFill="1" applyBorder="1" applyAlignment="1">
      <alignment horizontal="center" vertical="center"/>
    </xf>
    <xf numFmtId="0" fontId="2" fillId="7" borderId="20" xfId="0" applyFont="1" applyFill="1" applyBorder="1" applyAlignment="1">
      <alignment horizontal="center" vertical="center"/>
    </xf>
    <xf numFmtId="0" fontId="4" fillId="0" borderId="20"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0" fontId="5" fillId="0" borderId="11" xfId="0" applyFont="1" applyBorder="1" applyAlignment="1" applyProtection="1">
      <alignment horizontal="left" vertical="center"/>
      <protection locked="0"/>
    </xf>
    <xf numFmtId="0" fontId="3" fillId="0" borderId="12" xfId="0" applyFont="1" applyBorder="1" applyAlignment="1" applyProtection="1">
      <alignment horizontal="left" vertical="center" wrapText="1"/>
      <protection locked="0"/>
    </xf>
    <xf numFmtId="0" fontId="3" fillId="0" borderId="20" xfId="0" applyFont="1" applyBorder="1" applyAlignment="1" applyProtection="1">
      <alignment horizontal="left" vertical="center" wrapText="1"/>
      <protection locked="0"/>
    </xf>
    <xf numFmtId="0" fontId="6" fillId="7" borderId="11"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1" fillId="6" borderId="39" xfId="0" applyFont="1" applyFill="1" applyBorder="1" applyAlignment="1">
      <alignment horizontal="center"/>
    </xf>
    <xf numFmtId="0" fontId="1" fillId="6" borderId="18" xfId="0" applyFont="1" applyFill="1" applyBorder="1" applyAlignment="1">
      <alignment horizontal="center"/>
    </xf>
    <xf numFmtId="0" fontId="1" fillId="6" borderId="2"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9" fillId="6" borderId="3" xfId="0" applyFont="1" applyFill="1" applyBorder="1" applyAlignment="1" applyProtection="1">
      <alignment horizontal="center" wrapText="1"/>
      <protection hidden="1"/>
    </xf>
    <xf numFmtId="0" fontId="9" fillId="6" borderId="9" xfId="0" applyFont="1" applyFill="1" applyBorder="1" applyAlignment="1" applyProtection="1">
      <alignment horizontal="center" wrapText="1"/>
      <protection hidden="1"/>
    </xf>
    <xf numFmtId="0" fontId="1" fillId="6" borderId="3" xfId="0" applyFont="1" applyFill="1" applyBorder="1" applyAlignment="1" applyProtection="1">
      <alignment horizontal="center" vertical="center" wrapText="1"/>
      <protection hidden="1"/>
    </xf>
    <xf numFmtId="0" fontId="1" fillId="6" borderId="9" xfId="0" applyFont="1" applyFill="1" applyBorder="1" applyAlignment="1" applyProtection="1">
      <alignment horizontal="center" vertical="center" wrapText="1"/>
      <protection hidden="1"/>
    </xf>
    <xf numFmtId="0" fontId="1" fillId="6" borderId="34" xfId="0" applyFont="1" applyFill="1" applyBorder="1" applyAlignment="1" applyProtection="1">
      <alignment horizontal="center" vertical="center" wrapText="1"/>
      <protection hidden="1"/>
    </xf>
    <xf numFmtId="0" fontId="1" fillId="6" borderId="14" xfId="0" applyFont="1" applyFill="1" applyBorder="1" applyAlignment="1" applyProtection="1">
      <alignment horizontal="center" vertical="center" wrapText="1"/>
      <protection hidden="1"/>
    </xf>
    <xf numFmtId="0" fontId="9" fillId="6" borderId="3" xfId="0" applyFont="1" applyFill="1" applyBorder="1" applyAlignment="1">
      <alignment horizontal="center"/>
    </xf>
    <xf numFmtId="0" fontId="9" fillId="6" borderId="4" xfId="0" applyFont="1" applyFill="1" applyBorder="1" applyAlignment="1">
      <alignment horizontal="center"/>
    </xf>
    <xf numFmtId="0" fontId="9" fillId="6" borderId="37" xfId="0" applyFont="1" applyFill="1" applyBorder="1" applyAlignment="1" applyProtection="1">
      <alignment horizontal="center" vertical="center" wrapText="1"/>
      <protection hidden="1"/>
    </xf>
    <xf numFmtId="0" fontId="9" fillId="6" borderId="38" xfId="0" applyFont="1" applyFill="1" applyBorder="1" applyAlignment="1" applyProtection="1">
      <alignment horizontal="center" vertical="center" wrapText="1"/>
      <protection hidden="1"/>
    </xf>
    <xf numFmtId="0" fontId="0" fillId="0" borderId="0" xfId="0" applyAlignment="1">
      <alignment horizontal="left"/>
    </xf>
    <xf numFmtId="0" fontId="8" fillId="4" borderId="0" xfId="0" applyFont="1" applyFill="1" applyAlignment="1">
      <alignment horizontal="left"/>
    </xf>
    <xf numFmtId="0" fontId="1" fillId="6" borderId="3" xfId="0" applyFont="1" applyFill="1" applyBorder="1" applyAlignment="1" applyProtection="1">
      <alignment horizontal="center" wrapText="1"/>
      <protection hidden="1"/>
    </xf>
    <xf numFmtId="0" fontId="1" fillId="6" borderId="41" xfId="0" applyFont="1" applyFill="1" applyBorder="1" applyAlignment="1" applyProtection="1">
      <alignment horizontal="center" vertical="center" wrapText="1"/>
      <protection hidden="1"/>
    </xf>
    <xf numFmtId="0" fontId="1" fillId="6" borderId="27" xfId="0" applyFont="1" applyFill="1" applyBorder="1" applyAlignment="1" applyProtection="1">
      <alignment horizontal="center" vertical="center" wrapText="1"/>
      <protection hidden="1"/>
    </xf>
    <xf numFmtId="0" fontId="1" fillId="6" borderId="42" xfId="0" applyFont="1" applyFill="1" applyBorder="1" applyAlignment="1" applyProtection="1">
      <alignment horizontal="center" vertical="center" wrapText="1"/>
      <protection hidden="1"/>
    </xf>
    <xf numFmtId="0" fontId="0" fillId="0" borderId="0" xfId="0" applyAlignment="1">
      <alignment horizontal="center"/>
    </xf>
  </cellXfs>
  <cellStyles count="2">
    <cellStyle name="Normal" xfId="0" builtinId="0"/>
    <cellStyle name="Percent" xfId="1" builtinId="5"/>
  </cellStyles>
  <dxfs count="9">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Summary'!$A$20:$A$21</c:f>
              <c:strCache>
                <c:ptCount val="2"/>
                <c:pt idx="0">
                  <c:v>Male</c:v>
                </c:pt>
                <c:pt idx="1">
                  <c:v>Female</c:v>
                </c:pt>
              </c:strCache>
            </c:strRef>
          </c:cat>
          <c:val>
            <c:numRef>
              <c:f>'Class Summary'!$B$20:$B$21</c:f>
              <c:numCache>
                <c:formatCode>0%</c:formatCode>
                <c:ptCount val="2"/>
                <c:pt idx="0">
                  <c:v>0.46666666666666667</c:v>
                </c:pt>
                <c:pt idx="1">
                  <c:v>0.53333333333333333</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layout>
        <c:manualLayout>
          <c:xMode val="edge"/>
          <c:yMode val="edge"/>
          <c:x val="0.27477477477477474"/>
          <c:y val="4.7846889952153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Summary'!$C$19</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Summary'!$C$20:$C$22</c:f>
              <c:numCache>
                <c:formatCode>0%</c:formatCode>
                <c:ptCount val="3"/>
                <c:pt idx="0">
                  <c:v>0.8571428571428571</c:v>
                </c:pt>
                <c:pt idx="1">
                  <c:v>0.375</c:v>
                </c:pt>
                <c:pt idx="2">
                  <c:v>0.6</c:v>
                </c:pt>
              </c:numCache>
            </c:numRef>
          </c:val>
          <c:extLst>
            <c:ext xmlns:c16="http://schemas.microsoft.com/office/drawing/2014/chart" uri="{C3380CC4-5D6E-409C-BE32-E72D297353CC}">
              <c16:uniqueId val="{00000000-F077-4CA6-AB20-A3C64B2D1194}"/>
            </c:ext>
          </c:extLst>
        </c:ser>
        <c:ser>
          <c:idx val="1"/>
          <c:order val="1"/>
          <c:tx>
            <c:strRef>
              <c:f>'Class Summary'!$D$19</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Summary'!$D$20:$D$22</c:f>
              <c:numCache>
                <c:formatCode>0%</c:formatCode>
                <c:ptCount val="3"/>
                <c:pt idx="0">
                  <c:v>0.14285714285714285</c:v>
                </c:pt>
                <c:pt idx="1">
                  <c:v>0.625</c:v>
                </c:pt>
                <c:pt idx="2">
                  <c:v>0.4</c:v>
                </c:pt>
              </c:numCache>
            </c:numRef>
          </c:val>
          <c:extLst>
            <c:ext xmlns:c16="http://schemas.microsoft.com/office/drawing/2014/chart" uri="{C3380CC4-5D6E-409C-BE32-E72D297353CC}">
              <c16:uniqueId val="{00000001-270C-4DEC-8A4E-14E72ED09957}"/>
            </c:ext>
          </c:extLst>
        </c:ser>
        <c:ser>
          <c:idx val="2"/>
          <c:order val="2"/>
          <c:tx>
            <c:strRef>
              <c:f>'Class Summary'!$E$19</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Summary'!$E$20:$E$22</c:f>
              <c:numCache>
                <c:formatCode>0%</c:formatCode>
                <c:ptCount val="3"/>
                <c:pt idx="0">
                  <c:v>0</c:v>
                </c:pt>
                <c:pt idx="1">
                  <c:v>0</c:v>
                </c:pt>
                <c:pt idx="2">
                  <c:v>0</c:v>
                </c:pt>
              </c:numCache>
            </c:numRef>
          </c:val>
          <c:extLst>
            <c:ext xmlns:c16="http://schemas.microsoft.com/office/drawing/2014/chart" uri="{C3380CC4-5D6E-409C-BE32-E72D297353CC}">
              <c16:uniqueId val="{00000002-270C-4DEC-8A4E-14E72ED09957}"/>
            </c:ext>
          </c:extLst>
        </c:ser>
        <c:ser>
          <c:idx val="3"/>
          <c:order val="3"/>
          <c:tx>
            <c:strRef>
              <c:f>'Class Summary'!$F$19</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Summary'!$F$20:$F$22</c:f>
              <c:numCache>
                <c:formatCode>0%</c:formatCode>
                <c:ptCount val="3"/>
                <c:pt idx="0">
                  <c:v>0</c:v>
                </c:pt>
                <c:pt idx="1">
                  <c:v>0</c:v>
                </c:pt>
                <c:pt idx="2">
                  <c:v>0</c:v>
                </c:pt>
              </c:numCache>
            </c:numRef>
          </c:val>
          <c:extLst>
            <c:ext xmlns:c16="http://schemas.microsoft.com/office/drawing/2014/chart" uri="{C3380CC4-5D6E-409C-BE32-E72D297353CC}">
              <c16:uniqueId val="{00000003-270C-4DEC-8A4E-14E72ED09957}"/>
            </c:ext>
          </c:extLst>
        </c:ser>
        <c:ser>
          <c:idx val="4"/>
          <c:order val="4"/>
          <c:tx>
            <c:strRef>
              <c:f>'Class Summary'!$G$19</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Summary'!$A$20:$A$22</c:f>
              <c:strCache>
                <c:ptCount val="3"/>
                <c:pt idx="0">
                  <c:v>Male</c:v>
                </c:pt>
                <c:pt idx="1">
                  <c:v>Female</c:v>
                </c:pt>
                <c:pt idx="2">
                  <c:v>Total</c:v>
                </c:pt>
              </c:strCache>
            </c:strRef>
          </c:cat>
          <c:val>
            <c:numRef>
              <c:f>'Class Summary'!$G$20:$G$22</c:f>
              <c:numCache>
                <c:formatCode>0%</c:formatCode>
                <c:ptCount val="3"/>
                <c:pt idx="0">
                  <c:v>0</c:v>
                </c:pt>
                <c:pt idx="1">
                  <c:v>0</c:v>
                </c:pt>
                <c:pt idx="2">
                  <c:v>0</c:v>
                </c:pt>
              </c:numCache>
            </c:numRef>
          </c:val>
          <c:extLst>
            <c:ext xmlns:c16="http://schemas.microsoft.com/office/drawing/2014/chart" uri="{C3380CC4-5D6E-409C-BE32-E72D297353CC}">
              <c16:uniqueId val="{00000004-270C-4DEC-8A4E-14E72ED09957}"/>
            </c:ext>
          </c:extLst>
        </c:ser>
        <c:dLbls>
          <c:dLblPos val="out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layout>
        <c:manualLayout>
          <c:xMode val="edge"/>
          <c:yMode val="edge"/>
          <c:x val="5.6362784197429856E-2"/>
          <c:y val="0.68767283276193347"/>
          <c:w val="0.89593244026314889"/>
          <c:h val="0.280429240603297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by Tasks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1.4450867052023121E-2"/>
          <c:y val="0.2186940494997367"/>
          <c:w val="0.96467565831727686"/>
          <c:h val="0.54285844601178412"/>
        </c:manualLayout>
      </c:layout>
      <c:barChart>
        <c:barDir val="col"/>
        <c:grouping val="clustered"/>
        <c:varyColors val="0"/>
        <c:ser>
          <c:idx val="0"/>
          <c:order val="0"/>
          <c:tx>
            <c:strRef>
              <c:f>'Class Summary'!$K$22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Summary'!$L$19:$W$19</c:f>
              <c:strCache>
                <c:ptCount val="12"/>
                <c:pt idx="0">
                  <c:v>Task A</c:v>
                </c:pt>
                <c:pt idx="1">
                  <c:v>Task B</c:v>
                </c:pt>
                <c:pt idx="2">
                  <c:v>Task C</c:v>
                </c:pt>
                <c:pt idx="3">
                  <c:v>Task D</c:v>
                </c:pt>
                <c:pt idx="4">
                  <c:v>Task E</c:v>
                </c:pt>
                <c:pt idx="5">
                  <c:v>Task F</c:v>
                </c:pt>
                <c:pt idx="6">
                  <c:v>Task G</c:v>
                </c:pt>
                <c:pt idx="7">
                  <c:v>Task H</c:v>
                </c:pt>
                <c:pt idx="8">
                  <c:v>Task I</c:v>
                </c:pt>
                <c:pt idx="9">
                  <c:v>Task J</c:v>
                </c:pt>
                <c:pt idx="10">
                  <c:v>Task K</c:v>
                </c:pt>
                <c:pt idx="11">
                  <c:v>Overall Average</c:v>
                </c:pt>
              </c:strCache>
            </c:strRef>
          </c:cat>
          <c:val>
            <c:numRef>
              <c:f>'Class Summary'!$L$22:$W$22</c:f>
              <c:numCache>
                <c:formatCode>0%</c:formatCode>
                <c:ptCount val="12"/>
                <c:pt idx="0">
                  <c:v>0</c:v>
                </c:pt>
                <c:pt idx="1">
                  <c:v>0.4</c:v>
                </c:pt>
                <c:pt idx="2">
                  <c:v>0</c:v>
                </c:pt>
                <c:pt idx="3">
                  <c:v>0.2</c:v>
                </c:pt>
                <c:pt idx="4">
                  <c:v>0</c:v>
                </c:pt>
                <c:pt idx="5">
                  <c:v>0</c:v>
                </c:pt>
                <c:pt idx="6">
                  <c:v>0</c:v>
                </c:pt>
                <c:pt idx="7">
                  <c:v>0</c:v>
                </c:pt>
                <c:pt idx="8">
                  <c:v>0.46666666666666667</c:v>
                </c:pt>
                <c:pt idx="9">
                  <c:v>0.26666666666666666</c:v>
                </c:pt>
                <c:pt idx="10">
                  <c:v>0.8</c:v>
                </c:pt>
                <c:pt idx="11">
                  <c:v>0.20266666666666666</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452120</xdr:colOff>
      <xdr:row>109</xdr:row>
      <xdr:rowOff>68580</xdr:rowOff>
    </xdr:from>
    <xdr:to>
      <xdr:col>22</xdr:col>
      <xdr:colOff>2703195</xdr:colOff>
      <xdr:row>111</xdr:row>
      <xdr:rowOff>160020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6964660" y="21191220"/>
          <a:ext cx="2251075" cy="457200"/>
        </a:xfrm>
        <a:prstGeom prst="rect">
          <a:avLst/>
        </a:prstGeom>
        <a:noFill/>
        <a:ln>
          <a:noFill/>
        </a:ln>
      </xdr:spPr>
    </xdr:pic>
    <xdr:clientData/>
  </xdr:twoCellAnchor>
  <xdr:twoCellAnchor>
    <xdr:from>
      <xdr:col>20</xdr:col>
      <xdr:colOff>7620</xdr:colOff>
      <xdr:row>4</xdr:row>
      <xdr:rowOff>15240</xdr:rowOff>
    </xdr:from>
    <xdr:to>
      <xdr:col>22</xdr:col>
      <xdr:colOff>2689860</xdr:colOff>
      <xdr:row>6</xdr:row>
      <xdr:rowOff>251460</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234160" y="1211580"/>
          <a:ext cx="4968240" cy="693420"/>
        </a:xfrm>
        <a:prstGeom prst="rect">
          <a:avLst/>
        </a:prstGeom>
      </xdr:spPr>
    </xdr:pic>
    <xdr:clientData/>
  </xdr:twoCellAnchor>
  <xdr:twoCellAnchor>
    <xdr:from>
      <xdr:col>15</xdr:col>
      <xdr:colOff>270338</xdr:colOff>
      <xdr:row>6</xdr:row>
      <xdr:rowOff>43053</xdr:rowOff>
    </xdr:from>
    <xdr:to>
      <xdr:col>18</xdr:col>
      <xdr:colOff>99060</xdr:colOff>
      <xdr:row>6</xdr:row>
      <xdr:rowOff>274320</xdr:rowOff>
    </xdr:to>
    <xdr:grpSp>
      <xdr:nvGrpSpPr>
        <xdr:cNvPr id="2" name="Group 1">
          <a:extLst>
            <a:ext uri="{FF2B5EF4-FFF2-40B4-BE49-F238E27FC236}">
              <a16:creationId xmlns:a16="http://schemas.microsoft.com/office/drawing/2014/main" id="{25076757-E0D9-88A6-63C8-4CE222B67F53}"/>
            </a:ext>
          </a:extLst>
        </xdr:cNvPr>
        <xdr:cNvGrpSpPr/>
      </xdr:nvGrpSpPr>
      <xdr:grpSpPr>
        <a:xfrm>
          <a:off x="10900238" y="1694053"/>
          <a:ext cx="1708322" cy="231267"/>
          <a:chOff x="12993756" y="1330833"/>
          <a:chExt cx="1255644" cy="231267"/>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12993756" y="1394460"/>
            <a:ext cx="416641" cy="137159"/>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13441681" y="1330833"/>
            <a:ext cx="807719" cy="2312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editAs="oneCell">
    <xdr:from>
      <xdr:col>0</xdr:col>
      <xdr:colOff>59055</xdr:colOff>
      <xdr:row>0</xdr:row>
      <xdr:rowOff>17145</xdr:rowOff>
    </xdr:from>
    <xdr:to>
      <xdr:col>7</xdr:col>
      <xdr:colOff>356036</xdr:colOff>
      <xdr:row>2</xdr:row>
      <xdr:rowOff>286579</xdr:rowOff>
    </xdr:to>
    <xdr:pic>
      <xdr:nvPicPr>
        <xdr:cNvPr id="3" name="Picture 2">
          <a:extLst>
            <a:ext uri="{FF2B5EF4-FFF2-40B4-BE49-F238E27FC236}">
              <a16:creationId xmlns:a16="http://schemas.microsoft.com/office/drawing/2014/main" id="{DEF84601-DD8C-1A1F-1AC6-8A80E2BA10C9}"/>
            </a:ext>
          </a:extLst>
        </xdr:cNvPr>
        <xdr:cNvPicPr>
          <a:picLocks noChangeAspect="1"/>
        </xdr:cNvPicPr>
      </xdr:nvPicPr>
      <xdr:blipFill>
        <a:blip xmlns:r="http://schemas.openxmlformats.org/officeDocument/2006/relationships" r:embed="rId3"/>
        <a:stretch>
          <a:fillRect/>
        </a:stretch>
      </xdr:blipFill>
      <xdr:spPr>
        <a:xfrm>
          <a:off x="59055" y="17145"/>
          <a:ext cx="5039161" cy="7666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43</xdr:row>
      <xdr:rowOff>7620</xdr:rowOff>
    </xdr:from>
    <xdr:to>
      <xdr:col>11</xdr:col>
      <xdr:colOff>129540</xdr:colOff>
      <xdr:row>46</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7543800"/>
          <a:ext cx="864108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oneCellAnchor>
    <xdr:from>
      <xdr:col>18</xdr:col>
      <xdr:colOff>441960</xdr:colOff>
      <xdr:row>43</xdr:row>
      <xdr:rowOff>53340</xdr:rowOff>
    </xdr:from>
    <xdr:ext cx="2249170" cy="42735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1"/>
        <a:stretch>
          <a:fillRect/>
        </a:stretch>
      </xdr:blipFill>
      <xdr:spPr>
        <a:xfrm>
          <a:off x="12976860" y="7589520"/>
          <a:ext cx="2249170" cy="427356"/>
        </a:xfrm>
        <a:prstGeom prst="rect">
          <a:avLst/>
        </a:prstGeom>
      </xdr:spPr>
    </xdr:pic>
    <xdr:clientData/>
  </xdr:oneCellAnchor>
  <xdr:twoCellAnchor>
    <xdr:from>
      <xdr:col>0</xdr:col>
      <xdr:colOff>121920</xdr:colOff>
      <xdr:row>25</xdr:row>
      <xdr:rowOff>3810</xdr:rowOff>
    </xdr:from>
    <xdr:to>
      <xdr:col>2</xdr:col>
      <xdr:colOff>266700</xdr:colOff>
      <xdr:row>37</xdr:row>
      <xdr:rowOff>160020</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23</xdr:row>
      <xdr:rowOff>156210</xdr:rowOff>
    </xdr:from>
    <xdr:to>
      <xdr:col>9</xdr:col>
      <xdr:colOff>571500</xdr:colOff>
      <xdr:row>39</xdr:row>
      <xdr:rowOff>106680</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742950</xdr:colOff>
      <xdr:row>23</xdr:row>
      <xdr:rowOff>158114</xdr:rowOff>
    </xdr:from>
    <xdr:to>
      <xdr:col>23</xdr:col>
      <xdr:colOff>114300</xdr:colOff>
      <xdr:row>39</xdr:row>
      <xdr:rowOff>114299</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AO112"/>
  <sheetViews>
    <sheetView zoomScale="50" zoomScaleNormal="50" workbookViewId="0">
      <pane xSplit="3" ySplit="8" topLeftCell="D10" activePane="bottomRight" state="frozen"/>
      <selection pane="topRight" activeCell="D1" sqref="D1"/>
      <selection pane="bottomLeft" activeCell="A9" sqref="A9"/>
      <selection pane="bottomRight" activeCell="W25" sqref="A1:W25"/>
    </sheetView>
  </sheetViews>
  <sheetFormatPr defaultColWidth="0" defaultRowHeight="14.5" zeroHeight="1" x14ac:dyDescent="0.35"/>
  <cols>
    <col min="1" max="1" width="4.81640625" customWidth="1"/>
    <col min="2" max="2" width="5.453125" style="1" customWidth="1"/>
    <col min="3" max="3" width="24.90625" customWidth="1"/>
    <col min="4" max="4" width="8.08984375" style="1" customWidth="1"/>
    <col min="5" max="5" width="9" style="1" customWidth="1"/>
    <col min="6" max="6" width="9.36328125" style="1" customWidth="1"/>
    <col min="7" max="7" width="7.6328125" style="1" customWidth="1"/>
    <col min="8" max="8" width="16.6328125" style="4" customWidth="1"/>
    <col min="9" max="9" width="10.08984375" style="1" customWidth="1"/>
    <col min="10" max="10" width="10.81640625" style="1" customWidth="1"/>
    <col min="11" max="11" width="7.90625" style="1" customWidth="1"/>
    <col min="12" max="12" width="10.08984375" style="1" customWidth="1"/>
    <col min="13" max="13" width="7.6328125" style="1" customWidth="1"/>
    <col min="14" max="16" width="9.36328125" style="1" customWidth="1"/>
    <col min="17" max="17" width="8.90625" style="1" customWidth="1"/>
    <col min="18" max="18" width="8.453125" style="1" customWidth="1"/>
    <col min="19" max="19" width="10.36328125" style="1" customWidth="1"/>
    <col min="20" max="21" width="9.36328125" style="2" customWidth="1"/>
    <col min="22" max="22" width="24" style="1" customWidth="1"/>
    <col min="23" max="23" width="39.54296875" style="1" customWidth="1"/>
    <col min="24" max="24" width="5.08984375" customWidth="1"/>
    <col min="25" max="26" width="10.6328125" hidden="1" customWidth="1"/>
    <col min="27" max="40" width="0" hidden="1" customWidth="1"/>
    <col min="41" max="41" width="10.6328125" customWidth="1"/>
    <col min="42" max="16384" width="10.6328125" hidden="1"/>
  </cols>
  <sheetData>
    <row r="1" spans="1:38" ht="22.25" customHeight="1" x14ac:dyDescent="0.35">
      <c r="T1" s="127" t="str">
        <f>W1</f>
        <v>RMA2v2</v>
      </c>
      <c r="W1" s="126" t="s">
        <v>131</v>
      </c>
    </row>
    <row r="2" spans="1:38" ht="18" customHeight="1" x14ac:dyDescent="0.35"/>
    <row r="3" spans="1:38" ht="27" customHeight="1" thickBot="1" x14ac:dyDescent="0.4"/>
    <row r="4" spans="1:38" ht="27" customHeight="1" thickBot="1" x14ac:dyDescent="0.4">
      <c r="A4" s="141" t="s">
        <v>112</v>
      </c>
      <c r="B4" s="141"/>
      <c r="C4" s="123" t="s">
        <v>132</v>
      </c>
    </row>
    <row r="5" spans="1:38" s="50" customFormat="1" ht="18.649999999999999" customHeight="1" thickBot="1" x14ac:dyDescent="0.4">
      <c r="A5" s="142" t="s">
        <v>24</v>
      </c>
      <c r="B5" s="143"/>
      <c r="C5" s="49" t="s">
        <v>40</v>
      </c>
      <c r="D5" s="151" t="s">
        <v>96</v>
      </c>
      <c r="E5" s="152"/>
      <c r="F5" s="152"/>
      <c r="G5" s="152"/>
      <c r="H5" s="152"/>
      <c r="I5" s="152"/>
      <c r="J5" s="152"/>
      <c r="K5" s="152"/>
      <c r="L5" s="152"/>
      <c r="M5" s="152"/>
      <c r="N5" s="152"/>
      <c r="O5" s="152"/>
      <c r="P5" s="152"/>
      <c r="Q5" s="152"/>
      <c r="R5" s="152"/>
      <c r="S5" s="152"/>
      <c r="T5" s="153"/>
      <c r="U5" s="133"/>
      <c r="V5" s="133"/>
      <c r="W5" s="134"/>
    </row>
    <row r="6" spans="1:38" s="50" customFormat="1" ht="17.399999999999999" customHeight="1" x14ac:dyDescent="0.35">
      <c r="A6" s="144" t="s">
        <v>1</v>
      </c>
      <c r="B6" s="145"/>
      <c r="C6" s="51">
        <v>117443</v>
      </c>
      <c r="D6" s="131" t="s">
        <v>76</v>
      </c>
      <c r="E6" s="148"/>
      <c r="F6" s="154" t="s">
        <v>133</v>
      </c>
      <c r="G6" s="154"/>
      <c r="H6" s="154"/>
      <c r="I6" s="131" t="s">
        <v>70</v>
      </c>
      <c r="J6" s="132"/>
      <c r="K6" s="158" t="s">
        <v>7</v>
      </c>
      <c r="L6" s="159"/>
      <c r="M6" s="162" t="s">
        <v>100</v>
      </c>
      <c r="N6" s="163"/>
      <c r="O6" s="97">
        <v>7</v>
      </c>
      <c r="P6" s="131" t="s">
        <v>75</v>
      </c>
      <c r="Q6" s="132"/>
      <c r="R6" s="65">
        <f>COUNTA(C10:C108)</f>
        <v>15</v>
      </c>
      <c r="S6" s="95"/>
      <c r="T6" s="121"/>
      <c r="U6" s="135"/>
      <c r="V6" s="135"/>
      <c r="W6" s="136"/>
    </row>
    <row r="7" spans="1:38" s="50" customFormat="1" ht="23.4" customHeight="1" thickBot="1" x14ac:dyDescent="0.4">
      <c r="A7" s="146" t="s">
        <v>0</v>
      </c>
      <c r="B7" s="147"/>
      <c r="C7" s="122" t="s">
        <v>95</v>
      </c>
      <c r="D7" s="149" t="s">
        <v>74</v>
      </c>
      <c r="E7" s="150"/>
      <c r="F7" s="160" t="s">
        <v>134</v>
      </c>
      <c r="G7" s="161"/>
      <c r="H7" s="161"/>
      <c r="I7" s="155" t="s">
        <v>13</v>
      </c>
      <c r="J7" s="156"/>
      <c r="K7" s="157">
        <v>1</v>
      </c>
      <c r="L7" s="157"/>
      <c r="M7" s="139" t="s">
        <v>101</v>
      </c>
      <c r="N7" s="140"/>
      <c r="O7" s="99">
        <v>8</v>
      </c>
      <c r="P7" s="91"/>
      <c r="Q7" s="91"/>
      <c r="R7" s="91"/>
      <c r="S7" s="91"/>
      <c r="T7" s="98"/>
      <c r="U7" s="137"/>
      <c r="V7" s="137"/>
      <c r="W7" s="138"/>
    </row>
    <row r="8" spans="1:38" ht="54.65" customHeight="1" thickBot="1" x14ac:dyDescent="0.4">
      <c r="A8" s="15" t="s">
        <v>3</v>
      </c>
      <c r="B8" s="16" t="s">
        <v>23</v>
      </c>
      <c r="C8" s="17" t="s">
        <v>4</v>
      </c>
      <c r="D8" s="18" t="s">
        <v>19</v>
      </c>
      <c r="E8" s="18" t="s">
        <v>71</v>
      </c>
      <c r="F8" s="19" t="s">
        <v>5</v>
      </c>
      <c r="G8" s="19" t="s">
        <v>72</v>
      </c>
      <c r="H8" s="19" t="s">
        <v>73</v>
      </c>
      <c r="I8" s="21" t="s">
        <v>113</v>
      </c>
      <c r="J8" s="21" t="s">
        <v>104</v>
      </c>
      <c r="K8" s="21" t="s">
        <v>120</v>
      </c>
      <c r="L8" s="21" t="s">
        <v>114</v>
      </c>
      <c r="M8" s="21" t="s">
        <v>105</v>
      </c>
      <c r="N8" s="21" t="s">
        <v>115</v>
      </c>
      <c r="O8" s="21" t="s">
        <v>116</v>
      </c>
      <c r="P8" s="21" t="s">
        <v>117</v>
      </c>
      <c r="Q8" s="21" t="s">
        <v>121</v>
      </c>
      <c r="R8" s="21" t="s">
        <v>118</v>
      </c>
      <c r="S8" s="21" t="s">
        <v>119</v>
      </c>
      <c r="T8" s="96" t="s">
        <v>122</v>
      </c>
      <c r="U8" s="20" t="s">
        <v>78</v>
      </c>
      <c r="V8" s="22" t="s">
        <v>79</v>
      </c>
      <c r="W8" s="23" t="s">
        <v>2</v>
      </c>
      <c r="AB8" s="21" t="s">
        <v>113</v>
      </c>
      <c r="AC8" s="21" t="s">
        <v>104</v>
      </c>
      <c r="AD8" s="21" t="s">
        <v>120</v>
      </c>
      <c r="AE8" s="21" t="s">
        <v>114</v>
      </c>
      <c r="AF8" s="21" t="s">
        <v>105</v>
      </c>
      <c r="AG8" s="21" t="s">
        <v>115</v>
      </c>
      <c r="AH8" s="21" t="s">
        <v>116</v>
      </c>
      <c r="AI8" s="21" t="s">
        <v>117</v>
      </c>
      <c r="AJ8" s="21" t="s">
        <v>121</v>
      </c>
      <c r="AK8" s="21" t="s">
        <v>118</v>
      </c>
      <c r="AL8" s="21" t="s">
        <v>119</v>
      </c>
    </row>
    <row r="9" spans="1:38" ht="14.4" hidden="1" customHeight="1" thickBot="1" x14ac:dyDescent="0.4">
      <c r="A9" s="9"/>
      <c r="B9" s="10"/>
      <c r="C9" s="11"/>
      <c r="D9" s="11"/>
      <c r="E9" s="11"/>
      <c r="F9" s="12"/>
      <c r="G9" s="12"/>
      <c r="H9" s="61"/>
      <c r="I9" s="111">
        <v>3</v>
      </c>
      <c r="J9" s="111">
        <v>1</v>
      </c>
      <c r="K9" s="111">
        <v>2</v>
      </c>
      <c r="L9" s="111">
        <v>1</v>
      </c>
      <c r="M9" s="111">
        <v>4</v>
      </c>
      <c r="N9" s="111">
        <v>3</v>
      </c>
      <c r="O9" s="111">
        <v>3</v>
      </c>
      <c r="P9" s="111">
        <v>4</v>
      </c>
      <c r="Q9" s="111">
        <v>2</v>
      </c>
      <c r="R9" s="111">
        <v>1</v>
      </c>
      <c r="S9" s="111">
        <v>1</v>
      </c>
      <c r="T9" s="111">
        <f>SUM(I9:S9)</f>
        <v>25</v>
      </c>
      <c r="U9" s="12"/>
      <c r="V9" s="11"/>
      <c r="W9" s="13"/>
    </row>
    <row r="10" spans="1:38" x14ac:dyDescent="0.35">
      <c r="A10" s="24">
        <v>1</v>
      </c>
      <c r="B10" s="66"/>
      <c r="C10" s="27" t="s">
        <v>135</v>
      </c>
      <c r="D10" s="28" t="s">
        <v>80</v>
      </c>
      <c r="E10" s="117">
        <v>43146</v>
      </c>
      <c r="F10" s="117">
        <v>45831</v>
      </c>
      <c r="G10" s="36">
        <f>IF(C10&lt;&gt;"",(F10-E10)/365,"")</f>
        <v>7.3561643835616435</v>
      </c>
      <c r="H10" s="62" t="s">
        <v>7</v>
      </c>
      <c r="I10" s="29">
        <v>0</v>
      </c>
      <c r="J10" s="29">
        <v>0</v>
      </c>
      <c r="K10" s="29">
        <v>0</v>
      </c>
      <c r="L10" s="29">
        <v>1</v>
      </c>
      <c r="M10" s="29">
        <v>1</v>
      </c>
      <c r="N10" s="29">
        <v>0</v>
      </c>
      <c r="O10" s="29">
        <v>0</v>
      </c>
      <c r="P10" s="29">
        <v>0</v>
      </c>
      <c r="Q10" s="29">
        <v>1</v>
      </c>
      <c r="R10" s="29">
        <v>0</v>
      </c>
      <c r="S10" s="29">
        <v>0</v>
      </c>
      <c r="T10" s="39">
        <f t="shared" ref="T10:T41" si="0">IF(C10&lt;&gt;"",SUM(I10:S10),"")</f>
        <v>3</v>
      </c>
      <c r="U10" s="40">
        <f t="shared" ref="U10:U41" si="1">IF(AND(T10&gt;0,C10&lt;&gt;""),T10/T$9,"")</f>
        <v>0.12</v>
      </c>
      <c r="V10" s="41" t="str">
        <f>IF(U10&lt;&gt;"",IF($U10&lt;25%,"Emerging (Not Proficient)", IF(AND($U10 &gt;=25%, $U10 &lt;50%), "Emerging (Low Proficient)", IF(AND($U10 &gt;=50%, $U10 &lt;75%),"Developing (Nearly Proficient)",IF(AND($U10 &gt;=75%, $U10 &lt;85%),"Transitioning (Proficient)","At Grade Level (Highly Proficient)")))),"")</f>
        <v>Emerging (Not Proficient)</v>
      </c>
      <c r="W10" s="30"/>
      <c r="X10" t="s">
        <v>6</v>
      </c>
      <c r="AB10">
        <f>IF(I10/I$9&gt;=75%,1,0)</f>
        <v>0</v>
      </c>
      <c r="AC10">
        <f t="shared" ref="AC10:AL25" si="2">IF(J10/J$9&gt;=75%,1,0)</f>
        <v>0</v>
      </c>
      <c r="AD10">
        <f t="shared" si="2"/>
        <v>0</v>
      </c>
      <c r="AE10">
        <f t="shared" si="2"/>
        <v>1</v>
      </c>
      <c r="AF10">
        <f t="shared" si="2"/>
        <v>0</v>
      </c>
      <c r="AG10">
        <f t="shared" si="2"/>
        <v>0</v>
      </c>
      <c r="AH10">
        <f t="shared" si="2"/>
        <v>0</v>
      </c>
      <c r="AI10">
        <f t="shared" si="2"/>
        <v>0</v>
      </c>
      <c r="AJ10">
        <f t="shared" si="2"/>
        <v>0</v>
      </c>
      <c r="AK10">
        <f t="shared" si="2"/>
        <v>0</v>
      </c>
      <c r="AL10">
        <f t="shared" si="2"/>
        <v>0</v>
      </c>
    </row>
    <row r="11" spans="1:38" x14ac:dyDescent="0.35">
      <c r="A11" s="25">
        <v>2</v>
      </c>
      <c r="B11" s="67"/>
      <c r="C11" s="31" t="s">
        <v>136</v>
      </c>
      <c r="D11" s="29" t="s">
        <v>80</v>
      </c>
      <c r="E11" s="118">
        <v>42759</v>
      </c>
      <c r="F11" s="118">
        <v>45828</v>
      </c>
      <c r="G11" s="37">
        <f t="shared" ref="G11:G74" si="3">IF(C11&lt;&gt;"",(F11-E11)/365,"")</f>
        <v>8.4082191780821915</v>
      </c>
      <c r="H11" s="63" t="s">
        <v>7</v>
      </c>
      <c r="I11" s="29">
        <v>0</v>
      </c>
      <c r="J11" s="29">
        <v>0</v>
      </c>
      <c r="K11" s="29">
        <v>0</v>
      </c>
      <c r="L11" s="29">
        <v>0</v>
      </c>
      <c r="M11" s="29">
        <v>0</v>
      </c>
      <c r="N11" s="29">
        <v>0</v>
      </c>
      <c r="O11" s="29">
        <v>0</v>
      </c>
      <c r="P11" s="29">
        <v>0</v>
      </c>
      <c r="Q11" s="29">
        <v>0</v>
      </c>
      <c r="R11" s="29">
        <v>0</v>
      </c>
      <c r="S11" s="29">
        <v>1</v>
      </c>
      <c r="T11" s="42">
        <f t="shared" si="0"/>
        <v>1</v>
      </c>
      <c r="U11" s="43">
        <f t="shared" si="1"/>
        <v>0.04</v>
      </c>
      <c r="V11" s="44" t="str">
        <f t="shared" ref="V11:V74" si="4">IF(U11&lt;&gt;"",IF($U11&lt;25%,"Emerging (Not Proficient)", IF(AND($U11 &gt;=25%, $U11 &lt;50%), "Emerging (Low Proficient)", IF(AND($U11 &gt;=50%, $U11 &lt;75%),"Developing (Nearly Proficient)",IF(AND($U11 &gt;=75%, $U11 &lt;85%),"Transitioning (Proficient)","At Grade Level (Highly Proficient)")))),"")</f>
        <v>Emerging (Not Proficient)</v>
      </c>
      <c r="W11" s="32"/>
      <c r="AB11">
        <f t="shared" ref="AB11:AB74" si="5">IF(I11/I$9&gt;=75%,1,0)</f>
        <v>0</v>
      </c>
      <c r="AC11">
        <f t="shared" si="2"/>
        <v>0</v>
      </c>
      <c r="AD11">
        <f t="shared" si="2"/>
        <v>0</v>
      </c>
      <c r="AE11">
        <f t="shared" si="2"/>
        <v>0</v>
      </c>
      <c r="AF11">
        <f t="shared" si="2"/>
        <v>0</v>
      </c>
      <c r="AG11">
        <f t="shared" si="2"/>
        <v>0</v>
      </c>
      <c r="AH11">
        <f t="shared" si="2"/>
        <v>0</v>
      </c>
      <c r="AI11">
        <f t="shared" si="2"/>
        <v>0</v>
      </c>
      <c r="AJ11">
        <f t="shared" si="2"/>
        <v>0</v>
      </c>
      <c r="AK11">
        <f t="shared" si="2"/>
        <v>0</v>
      </c>
      <c r="AL11">
        <f t="shared" si="2"/>
        <v>1</v>
      </c>
    </row>
    <row r="12" spans="1:38" x14ac:dyDescent="0.35">
      <c r="A12" s="25">
        <v>3</v>
      </c>
      <c r="B12" s="67"/>
      <c r="C12" s="31" t="s">
        <v>137</v>
      </c>
      <c r="D12" s="29" t="s">
        <v>80</v>
      </c>
      <c r="E12" s="118">
        <v>43310</v>
      </c>
      <c r="F12" s="118">
        <v>45828</v>
      </c>
      <c r="G12" s="37">
        <f t="shared" si="3"/>
        <v>6.8986301369863012</v>
      </c>
      <c r="H12" s="63" t="s">
        <v>7</v>
      </c>
      <c r="I12" s="29">
        <v>0</v>
      </c>
      <c r="J12" s="29">
        <v>0</v>
      </c>
      <c r="K12" s="29">
        <v>0</v>
      </c>
      <c r="L12" s="29">
        <v>0</v>
      </c>
      <c r="M12" s="29">
        <v>1</v>
      </c>
      <c r="N12" s="29">
        <v>1</v>
      </c>
      <c r="O12" s="29">
        <v>1</v>
      </c>
      <c r="P12" s="29">
        <v>0</v>
      </c>
      <c r="Q12" s="29">
        <v>0</v>
      </c>
      <c r="R12" s="29">
        <v>0</v>
      </c>
      <c r="S12" s="29">
        <v>1</v>
      </c>
      <c r="T12" s="42">
        <f t="shared" si="0"/>
        <v>4</v>
      </c>
      <c r="U12" s="43">
        <f t="shared" si="1"/>
        <v>0.16</v>
      </c>
      <c r="V12" s="44" t="str">
        <f t="shared" si="4"/>
        <v>Emerging (Not Proficient)</v>
      </c>
      <c r="W12" s="32"/>
      <c r="AB12">
        <f t="shared" si="5"/>
        <v>0</v>
      </c>
      <c r="AC12">
        <f t="shared" si="2"/>
        <v>0</v>
      </c>
      <c r="AD12">
        <f t="shared" si="2"/>
        <v>0</v>
      </c>
      <c r="AE12">
        <f t="shared" si="2"/>
        <v>0</v>
      </c>
      <c r="AF12">
        <f t="shared" si="2"/>
        <v>0</v>
      </c>
      <c r="AG12">
        <f t="shared" si="2"/>
        <v>0</v>
      </c>
      <c r="AH12">
        <f t="shared" si="2"/>
        <v>0</v>
      </c>
      <c r="AI12">
        <f t="shared" si="2"/>
        <v>0</v>
      </c>
      <c r="AJ12">
        <f t="shared" si="2"/>
        <v>0</v>
      </c>
      <c r="AK12">
        <f t="shared" si="2"/>
        <v>0</v>
      </c>
      <c r="AL12">
        <f t="shared" si="2"/>
        <v>1</v>
      </c>
    </row>
    <row r="13" spans="1:38" x14ac:dyDescent="0.35">
      <c r="A13" s="25">
        <v>4</v>
      </c>
      <c r="B13" s="67"/>
      <c r="C13" s="31" t="s">
        <v>138</v>
      </c>
      <c r="D13" s="29" t="s">
        <v>80</v>
      </c>
      <c r="E13" s="118">
        <v>43141</v>
      </c>
      <c r="F13" s="118">
        <v>45827</v>
      </c>
      <c r="G13" s="37">
        <f t="shared" si="3"/>
        <v>7.3589041095890408</v>
      </c>
      <c r="H13" s="63" t="s">
        <v>7</v>
      </c>
      <c r="I13" s="29">
        <v>1</v>
      </c>
      <c r="J13" s="29">
        <v>1</v>
      </c>
      <c r="K13" s="29">
        <v>1</v>
      </c>
      <c r="L13" s="29">
        <v>0</v>
      </c>
      <c r="M13" s="29">
        <v>2</v>
      </c>
      <c r="N13" s="29">
        <v>1</v>
      </c>
      <c r="O13" s="29">
        <v>2</v>
      </c>
      <c r="P13" s="29">
        <v>1</v>
      </c>
      <c r="Q13" s="29">
        <v>2</v>
      </c>
      <c r="R13" s="29">
        <v>0</v>
      </c>
      <c r="S13" s="29">
        <v>1</v>
      </c>
      <c r="T13" s="42">
        <f t="shared" si="0"/>
        <v>12</v>
      </c>
      <c r="U13" s="43">
        <f t="shared" si="1"/>
        <v>0.48</v>
      </c>
      <c r="V13" s="44" t="str">
        <f t="shared" si="4"/>
        <v>Emerging (Low Proficient)</v>
      </c>
      <c r="W13" s="32"/>
      <c r="AB13">
        <f t="shared" si="5"/>
        <v>0</v>
      </c>
      <c r="AC13">
        <f t="shared" si="2"/>
        <v>1</v>
      </c>
      <c r="AD13">
        <f t="shared" si="2"/>
        <v>0</v>
      </c>
      <c r="AE13">
        <f t="shared" si="2"/>
        <v>0</v>
      </c>
      <c r="AF13">
        <f t="shared" si="2"/>
        <v>0</v>
      </c>
      <c r="AG13">
        <f t="shared" si="2"/>
        <v>0</v>
      </c>
      <c r="AH13">
        <f t="shared" si="2"/>
        <v>0</v>
      </c>
      <c r="AI13">
        <f t="shared" si="2"/>
        <v>0</v>
      </c>
      <c r="AJ13">
        <f t="shared" si="2"/>
        <v>1</v>
      </c>
      <c r="AK13">
        <f t="shared" si="2"/>
        <v>0</v>
      </c>
      <c r="AL13">
        <f t="shared" si="2"/>
        <v>1</v>
      </c>
    </row>
    <row r="14" spans="1:38" x14ac:dyDescent="0.35">
      <c r="A14" s="25">
        <v>5</v>
      </c>
      <c r="B14" s="67"/>
      <c r="C14" s="31" t="s">
        <v>139</v>
      </c>
      <c r="D14" s="29" t="s">
        <v>80</v>
      </c>
      <c r="E14" s="118">
        <v>43385</v>
      </c>
      <c r="F14" s="118">
        <v>45828</v>
      </c>
      <c r="G14" s="37">
        <f t="shared" si="3"/>
        <v>6.6931506849315072</v>
      </c>
      <c r="H14" s="63" t="s">
        <v>7</v>
      </c>
      <c r="I14" s="29">
        <v>0</v>
      </c>
      <c r="J14" s="29">
        <v>0</v>
      </c>
      <c r="K14" s="29">
        <v>0</v>
      </c>
      <c r="L14" s="29">
        <v>0</v>
      </c>
      <c r="M14" s="29">
        <v>1</v>
      </c>
      <c r="N14" s="29">
        <v>0</v>
      </c>
      <c r="O14" s="29">
        <v>1</v>
      </c>
      <c r="P14" s="29">
        <v>1</v>
      </c>
      <c r="Q14" s="29">
        <v>2</v>
      </c>
      <c r="R14" s="29">
        <v>0</v>
      </c>
      <c r="S14" s="29">
        <v>1</v>
      </c>
      <c r="T14" s="42">
        <f t="shared" si="0"/>
        <v>6</v>
      </c>
      <c r="U14" s="43">
        <f t="shared" si="1"/>
        <v>0.24</v>
      </c>
      <c r="V14" s="44" t="str">
        <f t="shared" si="4"/>
        <v>Emerging (Not Proficient)</v>
      </c>
      <c r="W14" s="32"/>
      <c r="AB14">
        <f t="shared" si="5"/>
        <v>0</v>
      </c>
      <c r="AC14">
        <f t="shared" si="2"/>
        <v>0</v>
      </c>
      <c r="AD14">
        <f t="shared" si="2"/>
        <v>0</v>
      </c>
      <c r="AE14">
        <f t="shared" si="2"/>
        <v>0</v>
      </c>
      <c r="AF14">
        <f t="shared" si="2"/>
        <v>0</v>
      </c>
      <c r="AG14">
        <f t="shared" si="2"/>
        <v>0</v>
      </c>
      <c r="AH14">
        <f t="shared" si="2"/>
        <v>0</v>
      </c>
      <c r="AI14">
        <f t="shared" si="2"/>
        <v>0</v>
      </c>
      <c r="AJ14">
        <f t="shared" si="2"/>
        <v>1</v>
      </c>
      <c r="AK14">
        <f t="shared" si="2"/>
        <v>0</v>
      </c>
      <c r="AL14">
        <f t="shared" si="2"/>
        <v>1</v>
      </c>
    </row>
    <row r="15" spans="1:38" x14ac:dyDescent="0.35">
      <c r="A15" s="25">
        <v>6</v>
      </c>
      <c r="B15" s="67"/>
      <c r="C15" s="31" t="s">
        <v>140</v>
      </c>
      <c r="D15" s="29" t="s">
        <v>80</v>
      </c>
      <c r="E15" s="118">
        <v>43310</v>
      </c>
      <c r="F15" s="118">
        <v>45828</v>
      </c>
      <c r="G15" s="37">
        <f t="shared" si="3"/>
        <v>6.8986301369863012</v>
      </c>
      <c r="H15" s="63" t="s">
        <v>7</v>
      </c>
      <c r="I15" s="29">
        <v>0</v>
      </c>
      <c r="J15" s="29">
        <v>0</v>
      </c>
      <c r="K15" s="29">
        <v>0</v>
      </c>
      <c r="L15" s="29">
        <v>0</v>
      </c>
      <c r="M15" s="29">
        <v>0</v>
      </c>
      <c r="N15" s="29">
        <v>0</v>
      </c>
      <c r="O15" s="29">
        <v>0</v>
      </c>
      <c r="P15" s="29">
        <v>0</v>
      </c>
      <c r="Q15" s="29">
        <v>0</v>
      </c>
      <c r="R15" s="29">
        <v>0</v>
      </c>
      <c r="S15" s="29">
        <v>1</v>
      </c>
      <c r="T15" s="42">
        <f t="shared" si="0"/>
        <v>1</v>
      </c>
      <c r="U15" s="43">
        <f t="shared" si="1"/>
        <v>0.04</v>
      </c>
      <c r="V15" s="44" t="str">
        <f t="shared" si="4"/>
        <v>Emerging (Not Proficient)</v>
      </c>
      <c r="W15" s="32"/>
      <c r="AB15">
        <f t="shared" si="5"/>
        <v>0</v>
      </c>
      <c r="AC15">
        <f t="shared" si="2"/>
        <v>0</v>
      </c>
      <c r="AD15">
        <f t="shared" si="2"/>
        <v>0</v>
      </c>
      <c r="AE15">
        <f t="shared" si="2"/>
        <v>0</v>
      </c>
      <c r="AF15">
        <f t="shared" si="2"/>
        <v>0</v>
      </c>
      <c r="AG15">
        <f t="shared" si="2"/>
        <v>0</v>
      </c>
      <c r="AH15">
        <f t="shared" si="2"/>
        <v>0</v>
      </c>
      <c r="AI15">
        <f t="shared" si="2"/>
        <v>0</v>
      </c>
      <c r="AJ15">
        <f t="shared" si="2"/>
        <v>0</v>
      </c>
      <c r="AK15">
        <f t="shared" si="2"/>
        <v>0</v>
      </c>
      <c r="AL15">
        <f t="shared" si="2"/>
        <v>1</v>
      </c>
    </row>
    <row r="16" spans="1:38" x14ac:dyDescent="0.35">
      <c r="A16" s="25">
        <v>7</v>
      </c>
      <c r="B16" s="67"/>
      <c r="C16" s="31" t="s">
        <v>141</v>
      </c>
      <c r="D16" s="29" t="s">
        <v>80</v>
      </c>
      <c r="E16" s="118">
        <v>43009</v>
      </c>
      <c r="F16" s="118">
        <v>45828</v>
      </c>
      <c r="G16" s="37">
        <f t="shared" si="3"/>
        <v>7.7232876712328764</v>
      </c>
      <c r="H16" s="63" t="s">
        <v>7</v>
      </c>
      <c r="I16" s="29">
        <v>0</v>
      </c>
      <c r="J16" s="29">
        <v>0</v>
      </c>
      <c r="K16" s="29">
        <v>0</v>
      </c>
      <c r="L16" s="29">
        <v>0</v>
      </c>
      <c r="M16" s="29">
        <v>0</v>
      </c>
      <c r="N16" s="29">
        <v>0</v>
      </c>
      <c r="O16" s="29">
        <v>0</v>
      </c>
      <c r="P16" s="29">
        <v>0</v>
      </c>
      <c r="Q16" s="29">
        <v>0</v>
      </c>
      <c r="R16" s="29">
        <v>0</v>
      </c>
      <c r="S16" s="29">
        <v>1</v>
      </c>
      <c r="T16" s="42">
        <f t="shared" si="0"/>
        <v>1</v>
      </c>
      <c r="U16" s="43">
        <f t="shared" si="1"/>
        <v>0.04</v>
      </c>
      <c r="V16" s="44" t="str">
        <f t="shared" si="4"/>
        <v>Emerging (Not Proficient)</v>
      </c>
      <c r="W16" s="32"/>
      <c r="AB16">
        <f t="shared" si="5"/>
        <v>0</v>
      </c>
      <c r="AC16">
        <f t="shared" si="2"/>
        <v>0</v>
      </c>
      <c r="AD16">
        <f t="shared" si="2"/>
        <v>0</v>
      </c>
      <c r="AE16">
        <f t="shared" si="2"/>
        <v>0</v>
      </c>
      <c r="AF16">
        <f t="shared" si="2"/>
        <v>0</v>
      </c>
      <c r="AG16">
        <f t="shared" si="2"/>
        <v>0</v>
      </c>
      <c r="AH16">
        <f t="shared" si="2"/>
        <v>0</v>
      </c>
      <c r="AI16">
        <f t="shared" si="2"/>
        <v>0</v>
      </c>
      <c r="AJ16">
        <f t="shared" si="2"/>
        <v>0</v>
      </c>
      <c r="AK16">
        <f t="shared" si="2"/>
        <v>0</v>
      </c>
      <c r="AL16">
        <f t="shared" si="2"/>
        <v>1</v>
      </c>
    </row>
    <row r="17" spans="1:38" x14ac:dyDescent="0.35">
      <c r="A17" s="25">
        <v>8</v>
      </c>
      <c r="B17" s="67"/>
      <c r="C17" s="31" t="s">
        <v>142</v>
      </c>
      <c r="D17" s="29" t="s">
        <v>77</v>
      </c>
      <c r="E17" s="118">
        <v>43285</v>
      </c>
      <c r="F17" s="118">
        <v>45828</v>
      </c>
      <c r="G17" s="37">
        <f t="shared" si="3"/>
        <v>6.9671232876712326</v>
      </c>
      <c r="H17" s="63" t="s">
        <v>7</v>
      </c>
      <c r="I17" s="29">
        <v>0</v>
      </c>
      <c r="J17" s="29">
        <v>0</v>
      </c>
      <c r="K17" s="29">
        <v>0</v>
      </c>
      <c r="L17" s="29">
        <v>0</v>
      </c>
      <c r="M17" s="29">
        <v>0</v>
      </c>
      <c r="N17" s="29">
        <v>0</v>
      </c>
      <c r="O17" s="29">
        <v>0</v>
      </c>
      <c r="P17" s="29">
        <v>0</v>
      </c>
      <c r="Q17" s="29">
        <v>0</v>
      </c>
      <c r="R17" s="29">
        <v>1</v>
      </c>
      <c r="S17" s="29">
        <v>0</v>
      </c>
      <c r="T17" s="42">
        <f t="shared" si="0"/>
        <v>1</v>
      </c>
      <c r="U17" s="43">
        <f t="shared" si="1"/>
        <v>0.04</v>
      </c>
      <c r="V17" s="44" t="str">
        <f t="shared" si="4"/>
        <v>Emerging (Not Proficient)</v>
      </c>
      <c r="W17" s="32"/>
      <c r="AB17">
        <f t="shared" si="5"/>
        <v>0</v>
      </c>
      <c r="AC17">
        <f t="shared" si="2"/>
        <v>0</v>
      </c>
      <c r="AD17">
        <f t="shared" si="2"/>
        <v>0</v>
      </c>
      <c r="AE17">
        <f t="shared" si="2"/>
        <v>0</v>
      </c>
      <c r="AF17">
        <f t="shared" si="2"/>
        <v>0</v>
      </c>
      <c r="AG17">
        <f t="shared" si="2"/>
        <v>0</v>
      </c>
      <c r="AH17">
        <f t="shared" si="2"/>
        <v>0</v>
      </c>
      <c r="AI17">
        <f t="shared" si="2"/>
        <v>0</v>
      </c>
      <c r="AJ17">
        <f t="shared" si="2"/>
        <v>0</v>
      </c>
      <c r="AK17">
        <f t="shared" si="2"/>
        <v>1</v>
      </c>
      <c r="AL17">
        <f t="shared" si="2"/>
        <v>0</v>
      </c>
    </row>
    <row r="18" spans="1:38" x14ac:dyDescent="0.35">
      <c r="A18" s="25">
        <v>9</v>
      </c>
      <c r="B18" s="67"/>
      <c r="C18" s="31" t="s">
        <v>143</v>
      </c>
      <c r="D18" s="29" t="s">
        <v>77</v>
      </c>
      <c r="E18" s="118">
        <v>43239</v>
      </c>
      <c r="F18" s="118">
        <v>45828</v>
      </c>
      <c r="G18" s="37">
        <f t="shared" si="3"/>
        <v>7.0931506849315067</v>
      </c>
      <c r="H18" s="63" t="s">
        <v>7</v>
      </c>
      <c r="I18" s="29">
        <v>1</v>
      </c>
      <c r="J18" s="29">
        <v>0</v>
      </c>
      <c r="K18" s="29">
        <v>1</v>
      </c>
      <c r="L18" s="29">
        <v>0</v>
      </c>
      <c r="M18" s="29">
        <v>1</v>
      </c>
      <c r="N18" s="29">
        <v>0</v>
      </c>
      <c r="O18" s="29">
        <v>1</v>
      </c>
      <c r="P18" s="29">
        <v>0</v>
      </c>
      <c r="Q18" s="29">
        <v>2</v>
      </c>
      <c r="R18" s="29">
        <v>1</v>
      </c>
      <c r="S18" s="29">
        <v>1</v>
      </c>
      <c r="T18" s="42">
        <f t="shared" si="0"/>
        <v>8</v>
      </c>
      <c r="U18" s="43">
        <f t="shared" si="1"/>
        <v>0.32</v>
      </c>
      <c r="V18" s="44" t="str">
        <f t="shared" si="4"/>
        <v>Emerging (Low Proficient)</v>
      </c>
      <c r="W18" s="32"/>
      <c r="AB18">
        <f t="shared" si="5"/>
        <v>0</v>
      </c>
      <c r="AC18">
        <f t="shared" si="2"/>
        <v>0</v>
      </c>
      <c r="AD18">
        <f t="shared" si="2"/>
        <v>0</v>
      </c>
      <c r="AE18">
        <f t="shared" si="2"/>
        <v>0</v>
      </c>
      <c r="AF18">
        <f t="shared" si="2"/>
        <v>0</v>
      </c>
      <c r="AG18">
        <f t="shared" si="2"/>
        <v>0</v>
      </c>
      <c r="AH18">
        <f t="shared" si="2"/>
        <v>0</v>
      </c>
      <c r="AI18">
        <f t="shared" si="2"/>
        <v>0</v>
      </c>
      <c r="AJ18">
        <f t="shared" si="2"/>
        <v>1</v>
      </c>
      <c r="AK18">
        <f t="shared" si="2"/>
        <v>1</v>
      </c>
      <c r="AL18">
        <f t="shared" si="2"/>
        <v>1</v>
      </c>
    </row>
    <row r="19" spans="1:38" x14ac:dyDescent="0.35">
      <c r="A19" s="25">
        <v>10</v>
      </c>
      <c r="B19" s="67"/>
      <c r="C19" s="31" t="s">
        <v>144</v>
      </c>
      <c r="D19" s="29" t="s">
        <v>77</v>
      </c>
      <c r="E19" s="118">
        <v>43358</v>
      </c>
      <c r="F19" s="118">
        <v>45828</v>
      </c>
      <c r="G19" s="37">
        <f t="shared" si="3"/>
        <v>6.7671232876712333</v>
      </c>
      <c r="H19" s="63" t="s">
        <v>7</v>
      </c>
      <c r="I19" s="29">
        <v>0</v>
      </c>
      <c r="J19" s="29">
        <v>1</v>
      </c>
      <c r="K19" s="29">
        <v>1</v>
      </c>
      <c r="L19" s="29">
        <v>0</v>
      </c>
      <c r="M19" s="29">
        <v>1</v>
      </c>
      <c r="N19" s="29">
        <v>1</v>
      </c>
      <c r="O19" s="29">
        <v>0</v>
      </c>
      <c r="P19" s="29">
        <v>0</v>
      </c>
      <c r="Q19" s="29">
        <v>1</v>
      </c>
      <c r="R19" s="29">
        <v>1</v>
      </c>
      <c r="S19" s="29">
        <v>1</v>
      </c>
      <c r="T19" s="42">
        <f t="shared" si="0"/>
        <v>7</v>
      </c>
      <c r="U19" s="43">
        <f t="shared" si="1"/>
        <v>0.28000000000000003</v>
      </c>
      <c r="V19" s="44" t="str">
        <f t="shared" si="4"/>
        <v>Emerging (Low Proficient)</v>
      </c>
      <c r="W19" s="32"/>
      <c r="AB19">
        <f t="shared" si="5"/>
        <v>0</v>
      </c>
      <c r="AC19">
        <f t="shared" si="2"/>
        <v>1</v>
      </c>
      <c r="AD19">
        <f t="shared" si="2"/>
        <v>0</v>
      </c>
      <c r="AE19">
        <f t="shared" si="2"/>
        <v>0</v>
      </c>
      <c r="AF19">
        <f t="shared" si="2"/>
        <v>0</v>
      </c>
      <c r="AG19">
        <f t="shared" si="2"/>
        <v>0</v>
      </c>
      <c r="AH19">
        <f t="shared" si="2"/>
        <v>0</v>
      </c>
      <c r="AI19">
        <f t="shared" si="2"/>
        <v>0</v>
      </c>
      <c r="AJ19">
        <f t="shared" si="2"/>
        <v>0</v>
      </c>
      <c r="AK19">
        <f t="shared" si="2"/>
        <v>1</v>
      </c>
      <c r="AL19">
        <f t="shared" si="2"/>
        <v>1</v>
      </c>
    </row>
    <row r="20" spans="1:38" x14ac:dyDescent="0.35">
      <c r="A20" s="25">
        <v>11</v>
      </c>
      <c r="B20" s="67"/>
      <c r="C20" s="31" t="s">
        <v>145</v>
      </c>
      <c r="D20" s="29" t="s">
        <v>77</v>
      </c>
      <c r="E20" s="118">
        <v>43390</v>
      </c>
      <c r="F20" s="118">
        <v>45828</v>
      </c>
      <c r="G20" s="37">
        <f t="shared" si="3"/>
        <v>6.6794520547945204</v>
      </c>
      <c r="H20" s="63" t="s">
        <v>7</v>
      </c>
      <c r="I20" s="29">
        <v>0</v>
      </c>
      <c r="J20" s="29">
        <v>1</v>
      </c>
      <c r="K20" s="29">
        <v>1</v>
      </c>
      <c r="L20" s="29">
        <v>1</v>
      </c>
      <c r="M20" s="29">
        <v>1</v>
      </c>
      <c r="N20" s="29">
        <v>0</v>
      </c>
      <c r="O20" s="29">
        <v>0</v>
      </c>
      <c r="P20" s="29">
        <v>0</v>
      </c>
      <c r="Q20" s="29">
        <v>2</v>
      </c>
      <c r="R20" s="29">
        <v>1</v>
      </c>
      <c r="S20" s="29">
        <v>1</v>
      </c>
      <c r="T20" s="42">
        <f t="shared" si="0"/>
        <v>8</v>
      </c>
      <c r="U20" s="43">
        <f t="shared" si="1"/>
        <v>0.32</v>
      </c>
      <c r="V20" s="44" t="str">
        <f t="shared" si="4"/>
        <v>Emerging (Low Proficient)</v>
      </c>
      <c r="W20" s="32"/>
      <c r="AB20">
        <f t="shared" si="5"/>
        <v>0</v>
      </c>
      <c r="AC20">
        <f t="shared" si="2"/>
        <v>1</v>
      </c>
      <c r="AD20">
        <f t="shared" si="2"/>
        <v>0</v>
      </c>
      <c r="AE20">
        <f t="shared" si="2"/>
        <v>1</v>
      </c>
      <c r="AF20">
        <f t="shared" si="2"/>
        <v>0</v>
      </c>
      <c r="AG20">
        <f t="shared" si="2"/>
        <v>0</v>
      </c>
      <c r="AH20">
        <f t="shared" si="2"/>
        <v>0</v>
      </c>
      <c r="AI20">
        <f t="shared" si="2"/>
        <v>0</v>
      </c>
      <c r="AJ20">
        <f t="shared" si="2"/>
        <v>1</v>
      </c>
      <c r="AK20">
        <f t="shared" si="2"/>
        <v>1</v>
      </c>
      <c r="AL20">
        <f t="shared" si="2"/>
        <v>1</v>
      </c>
    </row>
    <row r="21" spans="1:38" x14ac:dyDescent="0.35">
      <c r="A21" s="25">
        <v>12</v>
      </c>
      <c r="B21" s="67"/>
      <c r="C21" s="31" t="s">
        <v>146</v>
      </c>
      <c r="D21" s="29" t="s">
        <v>77</v>
      </c>
      <c r="E21" s="118">
        <v>43052</v>
      </c>
      <c r="F21" s="118">
        <v>45828</v>
      </c>
      <c r="G21" s="37">
        <f t="shared" si="3"/>
        <v>7.6054794520547944</v>
      </c>
      <c r="H21" s="63" t="s">
        <v>7</v>
      </c>
      <c r="I21" s="29">
        <v>0</v>
      </c>
      <c r="J21" s="29">
        <v>1</v>
      </c>
      <c r="K21" s="29">
        <v>0</v>
      </c>
      <c r="L21" s="29">
        <v>0</v>
      </c>
      <c r="M21" s="29">
        <v>1</v>
      </c>
      <c r="N21" s="29">
        <v>1</v>
      </c>
      <c r="O21" s="29">
        <v>0</v>
      </c>
      <c r="P21" s="29">
        <v>0</v>
      </c>
      <c r="Q21" s="29">
        <v>2</v>
      </c>
      <c r="R21" s="29">
        <v>0</v>
      </c>
      <c r="S21" s="29">
        <v>1</v>
      </c>
      <c r="T21" s="42">
        <f t="shared" si="0"/>
        <v>6</v>
      </c>
      <c r="U21" s="43">
        <f t="shared" si="1"/>
        <v>0.24</v>
      </c>
      <c r="V21" s="44" t="str">
        <f t="shared" si="4"/>
        <v>Emerging (Not Proficient)</v>
      </c>
      <c r="W21" s="32"/>
      <c r="AB21">
        <f t="shared" si="5"/>
        <v>0</v>
      </c>
      <c r="AC21">
        <f t="shared" si="2"/>
        <v>1</v>
      </c>
      <c r="AD21">
        <f t="shared" si="2"/>
        <v>0</v>
      </c>
      <c r="AE21">
        <f t="shared" si="2"/>
        <v>0</v>
      </c>
      <c r="AF21">
        <f t="shared" si="2"/>
        <v>0</v>
      </c>
      <c r="AG21">
        <f t="shared" si="2"/>
        <v>0</v>
      </c>
      <c r="AH21">
        <f t="shared" si="2"/>
        <v>0</v>
      </c>
      <c r="AI21">
        <f t="shared" si="2"/>
        <v>0</v>
      </c>
      <c r="AJ21">
        <f t="shared" si="2"/>
        <v>1</v>
      </c>
      <c r="AK21">
        <f t="shared" si="2"/>
        <v>0</v>
      </c>
      <c r="AL21">
        <f t="shared" si="2"/>
        <v>1</v>
      </c>
    </row>
    <row r="22" spans="1:38" x14ac:dyDescent="0.35">
      <c r="A22" s="25">
        <v>13</v>
      </c>
      <c r="B22" s="67"/>
      <c r="C22" s="31" t="s">
        <v>147</v>
      </c>
      <c r="D22" s="29" t="s">
        <v>77</v>
      </c>
      <c r="E22" s="118">
        <v>43242</v>
      </c>
      <c r="F22" s="118">
        <v>45828</v>
      </c>
      <c r="G22" s="37">
        <f t="shared" si="3"/>
        <v>7.0849315068493155</v>
      </c>
      <c r="H22" s="63" t="s">
        <v>7</v>
      </c>
      <c r="I22" s="29">
        <v>0</v>
      </c>
      <c r="J22" s="29">
        <v>0</v>
      </c>
      <c r="K22" s="29">
        <v>0</v>
      </c>
      <c r="L22" s="29">
        <v>0</v>
      </c>
      <c r="M22" s="29">
        <v>0</v>
      </c>
      <c r="N22" s="29">
        <v>0</v>
      </c>
      <c r="O22" s="29">
        <v>0</v>
      </c>
      <c r="P22" s="29">
        <v>0</v>
      </c>
      <c r="Q22" s="29">
        <v>0</v>
      </c>
      <c r="R22" s="29">
        <v>0</v>
      </c>
      <c r="S22" s="29">
        <v>1</v>
      </c>
      <c r="T22" s="42">
        <f t="shared" si="0"/>
        <v>1</v>
      </c>
      <c r="U22" s="43">
        <f t="shared" si="1"/>
        <v>0.04</v>
      </c>
      <c r="V22" s="44" t="str">
        <f t="shared" si="4"/>
        <v>Emerging (Not Proficient)</v>
      </c>
      <c r="W22" s="32"/>
      <c r="AB22">
        <f t="shared" si="5"/>
        <v>0</v>
      </c>
      <c r="AC22">
        <f t="shared" si="2"/>
        <v>0</v>
      </c>
      <c r="AD22">
        <f t="shared" si="2"/>
        <v>0</v>
      </c>
      <c r="AE22">
        <f t="shared" si="2"/>
        <v>0</v>
      </c>
      <c r="AF22">
        <f t="shared" si="2"/>
        <v>0</v>
      </c>
      <c r="AG22">
        <f t="shared" si="2"/>
        <v>0</v>
      </c>
      <c r="AH22">
        <f t="shared" si="2"/>
        <v>0</v>
      </c>
      <c r="AI22">
        <f t="shared" si="2"/>
        <v>0</v>
      </c>
      <c r="AJ22">
        <f t="shared" si="2"/>
        <v>0</v>
      </c>
      <c r="AK22">
        <f t="shared" si="2"/>
        <v>0</v>
      </c>
      <c r="AL22">
        <f t="shared" si="2"/>
        <v>1</v>
      </c>
    </row>
    <row r="23" spans="1:38" x14ac:dyDescent="0.35">
      <c r="A23" s="25">
        <v>14</v>
      </c>
      <c r="B23" s="67"/>
      <c r="C23" s="31" t="s">
        <v>148</v>
      </c>
      <c r="D23" s="29" t="s">
        <v>77</v>
      </c>
      <c r="E23" s="118">
        <v>43144</v>
      </c>
      <c r="F23" s="118">
        <v>45827</v>
      </c>
      <c r="G23" s="37">
        <f t="shared" si="3"/>
        <v>7.3506849315068497</v>
      </c>
      <c r="H23" s="63" t="s">
        <v>7</v>
      </c>
      <c r="I23" s="29">
        <v>0</v>
      </c>
      <c r="J23" s="29">
        <v>1</v>
      </c>
      <c r="K23" s="29">
        <v>1</v>
      </c>
      <c r="L23" s="29">
        <v>0</v>
      </c>
      <c r="M23" s="29">
        <v>2</v>
      </c>
      <c r="N23" s="29">
        <v>1</v>
      </c>
      <c r="O23" s="29">
        <v>2</v>
      </c>
      <c r="P23" s="29">
        <v>0</v>
      </c>
      <c r="Q23" s="29">
        <v>2</v>
      </c>
      <c r="R23" s="29">
        <v>0</v>
      </c>
      <c r="S23" s="29">
        <v>1</v>
      </c>
      <c r="T23" s="42">
        <f t="shared" si="0"/>
        <v>10</v>
      </c>
      <c r="U23" s="43">
        <f t="shared" si="1"/>
        <v>0.4</v>
      </c>
      <c r="V23" s="44" t="str">
        <f t="shared" si="4"/>
        <v>Emerging (Low Proficient)</v>
      </c>
      <c r="W23" s="32"/>
      <c r="AB23">
        <f t="shared" si="5"/>
        <v>0</v>
      </c>
      <c r="AC23">
        <f t="shared" si="2"/>
        <v>1</v>
      </c>
      <c r="AD23">
        <f t="shared" si="2"/>
        <v>0</v>
      </c>
      <c r="AE23">
        <f t="shared" si="2"/>
        <v>0</v>
      </c>
      <c r="AF23">
        <f t="shared" si="2"/>
        <v>0</v>
      </c>
      <c r="AG23">
        <f t="shared" si="2"/>
        <v>0</v>
      </c>
      <c r="AH23">
        <f t="shared" si="2"/>
        <v>0</v>
      </c>
      <c r="AI23">
        <f t="shared" si="2"/>
        <v>0</v>
      </c>
      <c r="AJ23">
        <f t="shared" si="2"/>
        <v>1</v>
      </c>
      <c r="AK23">
        <f t="shared" si="2"/>
        <v>0</v>
      </c>
      <c r="AL23">
        <f t="shared" si="2"/>
        <v>1</v>
      </c>
    </row>
    <row r="24" spans="1:38" x14ac:dyDescent="0.35">
      <c r="A24" s="25">
        <v>15</v>
      </c>
      <c r="B24" s="67"/>
      <c r="C24" s="31" t="s">
        <v>149</v>
      </c>
      <c r="D24" s="29" t="s">
        <v>77</v>
      </c>
      <c r="E24" s="118">
        <v>43220</v>
      </c>
      <c r="F24" s="118">
        <v>45828</v>
      </c>
      <c r="G24" s="37">
        <f t="shared" si="3"/>
        <v>7.1452054794520548</v>
      </c>
      <c r="H24" s="63" t="s">
        <v>7</v>
      </c>
      <c r="I24" s="29">
        <v>0</v>
      </c>
      <c r="J24" s="29">
        <v>1</v>
      </c>
      <c r="K24" s="29">
        <v>0</v>
      </c>
      <c r="L24" s="29">
        <v>1</v>
      </c>
      <c r="M24" s="29">
        <v>1</v>
      </c>
      <c r="N24" s="29">
        <v>1</v>
      </c>
      <c r="O24" s="29">
        <v>1</v>
      </c>
      <c r="P24" s="29">
        <v>0</v>
      </c>
      <c r="Q24" s="29">
        <v>2</v>
      </c>
      <c r="R24" s="29">
        <v>0</v>
      </c>
      <c r="S24" s="29">
        <v>0</v>
      </c>
      <c r="T24" s="42">
        <f t="shared" si="0"/>
        <v>7</v>
      </c>
      <c r="U24" s="43">
        <f t="shared" si="1"/>
        <v>0.28000000000000003</v>
      </c>
      <c r="V24" s="44" t="str">
        <f t="shared" si="4"/>
        <v>Emerging (Low Proficient)</v>
      </c>
      <c r="W24" s="32"/>
      <c r="AB24">
        <f t="shared" si="5"/>
        <v>0</v>
      </c>
      <c r="AC24">
        <f t="shared" si="2"/>
        <v>1</v>
      </c>
      <c r="AD24">
        <f t="shared" si="2"/>
        <v>0</v>
      </c>
      <c r="AE24">
        <f t="shared" si="2"/>
        <v>1</v>
      </c>
      <c r="AF24">
        <f t="shared" si="2"/>
        <v>0</v>
      </c>
      <c r="AG24">
        <f t="shared" si="2"/>
        <v>0</v>
      </c>
      <c r="AH24">
        <f t="shared" si="2"/>
        <v>0</v>
      </c>
      <c r="AI24">
        <f t="shared" si="2"/>
        <v>0</v>
      </c>
      <c r="AJ24">
        <f t="shared" si="2"/>
        <v>1</v>
      </c>
      <c r="AK24">
        <f t="shared" si="2"/>
        <v>0</v>
      </c>
      <c r="AL24">
        <f t="shared" si="2"/>
        <v>0</v>
      </c>
    </row>
    <row r="25" spans="1:38" x14ac:dyDescent="0.35">
      <c r="A25" s="25">
        <v>16</v>
      </c>
      <c r="B25" s="67"/>
      <c r="C25" s="31"/>
      <c r="D25" s="29"/>
      <c r="E25" s="118"/>
      <c r="F25" s="118"/>
      <c r="G25" s="37" t="str">
        <f t="shared" si="3"/>
        <v/>
      </c>
      <c r="H25" s="63" t="s">
        <v>106</v>
      </c>
      <c r="I25" s="29"/>
      <c r="J25" s="29"/>
      <c r="K25" s="29"/>
      <c r="L25" s="29"/>
      <c r="M25" s="29"/>
      <c r="N25" s="29"/>
      <c r="O25" s="29"/>
      <c r="P25" s="29"/>
      <c r="Q25" s="29"/>
      <c r="R25" s="29"/>
      <c r="S25" s="29"/>
      <c r="T25" s="42" t="str">
        <f t="shared" si="0"/>
        <v/>
      </c>
      <c r="U25" s="43" t="str">
        <f t="shared" si="1"/>
        <v/>
      </c>
      <c r="V25" s="44" t="str">
        <f t="shared" si="4"/>
        <v/>
      </c>
      <c r="W25" s="32"/>
      <c r="AB25">
        <f t="shared" si="5"/>
        <v>0</v>
      </c>
      <c r="AC25">
        <f t="shared" si="2"/>
        <v>0</v>
      </c>
      <c r="AD25">
        <f t="shared" si="2"/>
        <v>0</v>
      </c>
      <c r="AE25">
        <f t="shared" si="2"/>
        <v>0</v>
      </c>
      <c r="AF25">
        <f t="shared" si="2"/>
        <v>0</v>
      </c>
      <c r="AG25">
        <f t="shared" si="2"/>
        <v>0</v>
      </c>
      <c r="AH25">
        <f t="shared" si="2"/>
        <v>0</v>
      </c>
      <c r="AI25">
        <f t="shared" si="2"/>
        <v>0</v>
      </c>
      <c r="AJ25">
        <f t="shared" si="2"/>
        <v>0</v>
      </c>
      <c r="AK25">
        <f t="shared" si="2"/>
        <v>0</v>
      </c>
      <c r="AL25">
        <f t="shared" si="2"/>
        <v>0</v>
      </c>
    </row>
    <row r="26" spans="1:38" x14ac:dyDescent="0.35">
      <c r="A26" s="25">
        <v>17</v>
      </c>
      <c r="B26" s="67"/>
      <c r="C26" s="31"/>
      <c r="D26" s="29"/>
      <c r="E26" s="118"/>
      <c r="F26" s="118"/>
      <c r="G26" s="37" t="str">
        <f t="shared" si="3"/>
        <v/>
      </c>
      <c r="H26" s="63"/>
      <c r="I26" s="29"/>
      <c r="J26" s="29"/>
      <c r="K26" s="29"/>
      <c r="L26" s="29"/>
      <c r="M26" s="29"/>
      <c r="N26" s="29"/>
      <c r="O26" s="29"/>
      <c r="P26" s="29"/>
      <c r="Q26" s="29"/>
      <c r="R26" s="29"/>
      <c r="S26" s="29"/>
      <c r="T26" s="42" t="str">
        <f t="shared" si="0"/>
        <v/>
      </c>
      <c r="U26" s="43" t="str">
        <f t="shared" si="1"/>
        <v/>
      </c>
      <c r="V26" s="44" t="str">
        <f t="shared" si="4"/>
        <v/>
      </c>
      <c r="W26" s="32"/>
      <c r="AB26">
        <f t="shared" si="5"/>
        <v>0</v>
      </c>
      <c r="AC26">
        <f t="shared" ref="AC26:AC89" si="6">IF(J26/J$9&gt;=75%,1,0)</f>
        <v>0</v>
      </c>
      <c r="AD26">
        <f t="shared" ref="AD26:AD89" si="7">IF(K26/K$9&gt;=75%,1,0)</f>
        <v>0</v>
      </c>
      <c r="AE26">
        <f t="shared" ref="AE26:AE89" si="8">IF(L26/L$9&gt;=75%,1,0)</f>
        <v>0</v>
      </c>
      <c r="AF26">
        <f t="shared" ref="AF26:AF89" si="9">IF(M26/M$9&gt;=75%,1,0)</f>
        <v>0</v>
      </c>
      <c r="AG26">
        <f t="shared" ref="AG26:AG89" si="10">IF(N26/N$9&gt;=75%,1,0)</f>
        <v>0</v>
      </c>
      <c r="AH26">
        <f t="shared" ref="AH26:AH89" si="11">IF(O26/O$9&gt;=75%,1,0)</f>
        <v>0</v>
      </c>
      <c r="AI26">
        <f t="shared" ref="AI26:AI89" si="12">IF(P26/P$9&gt;=75%,1,0)</f>
        <v>0</v>
      </c>
      <c r="AJ26">
        <f t="shared" ref="AJ26:AJ89" si="13">IF(Q26/Q$9&gt;=75%,1,0)</f>
        <v>0</v>
      </c>
      <c r="AK26">
        <f t="shared" ref="AK26:AK89" si="14">IF(R26/R$9&gt;=75%,1,0)</f>
        <v>0</v>
      </c>
      <c r="AL26">
        <f t="shared" ref="AL26:AL89" si="15">IF(S26/S$9&gt;=75%,1,0)</f>
        <v>0</v>
      </c>
    </row>
    <row r="27" spans="1:38" x14ac:dyDescent="0.35">
      <c r="A27" s="25">
        <v>18</v>
      </c>
      <c r="B27" s="67"/>
      <c r="C27" s="31"/>
      <c r="D27" s="29"/>
      <c r="E27" s="118"/>
      <c r="F27" s="118"/>
      <c r="G27" s="37" t="str">
        <f t="shared" si="3"/>
        <v/>
      </c>
      <c r="H27" s="63"/>
      <c r="I27" s="29"/>
      <c r="J27" s="29"/>
      <c r="K27" s="29"/>
      <c r="L27" s="29"/>
      <c r="M27" s="29"/>
      <c r="N27" s="29"/>
      <c r="O27" s="29"/>
      <c r="P27" s="29"/>
      <c r="Q27" s="29"/>
      <c r="R27" s="29"/>
      <c r="S27" s="29"/>
      <c r="T27" s="42" t="str">
        <f t="shared" si="0"/>
        <v/>
      </c>
      <c r="U27" s="43" t="str">
        <f t="shared" si="1"/>
        <v/>
      </c>
      <c r="V27" s="44" t="str">
        <f t="shared" si="4"/>
        <v/>
      </c>
      <c r="W27" s="32"/>
      <c r="AB27">
        <f t="shared" si="5"/>
        <v>0</v>
      </c>
      <c r="AC27">
        <f t="shared" si="6"/>
        <v>0</v>
      </c>
      <c r="AD27">
        <f t="shared" si="7"/>
        <v>0</v>
      </c>
      <c r="AE27">
        <f t="shared" si="8"/>
        <v>0</v>
      </c>
      <c r="AF27">
        <f t="shared" si="9"/>
        <v>0</v>
      </c>
      <c r="AG27">
        <f t="shared" si="10"/>
        <v>0</v>
      </c>
      <c r="AH27">
        <f t="shared" si="11"/>
        <v>0</v>
      </c>
      <c r="AI27">
        <f t="shared" si="12"/>
        <v>0</v>
      </c>
      <c r="AJ27">
        <f t="shared" si="13"/>
        <v>0</v>
      </c>
      <c r="AK27">
        <f t="shared" si="14"/>
        <v>0</v>
      </c>
      <c r="AL27">
        <f t="shared" si="15"/>
        <v>0</v>
      </c>
    </row>
    <row r="28" spans="1:38" x14ac:dyDescent="0.35">
      <c r="A28" s="25">
        <v>19</v>
      </c>
      <c r="B28" s="67"/>
      <c r="C28" s="31"/>
      <c r="D28" s="29"/>
      <c r="E28" s="118"/>
      <c r="F28" s="118"/>
      <c r="G28" s="37" t="str">
        <f t="shared" si="3"/>
        <v/>
      </c>
      <c r="H28" s="63"/>
      <c r="I28" s="29"/>
      <c r="J28" s="29"/>
      <c r="K28" s="29"/>
      <c r="L28" s="29"/>
      <c r="M28" s="29"/>
      <c r="N28" s="29"/>
      <c r="O28" s="29"/>
      <c r="P28" s="29"/>
      <c r="Q28" s="29"/>
      <c r="R28" s="29"/>
      <c r="S28" s="29"/>
      <c r="T28" s="42" t="str">
        <f t="shared" si="0"/>
        <v/>
      </c>
      <c r="U28" s="43" t="str">
        <f t="shared" si="1"/>
        <v/>
      </c>
      <c r="V28" s="44" t="str">
        <f t="shared" si="4"/>
        <v/>
      </c>
      <c r="W28" s="32"/>
      <c r="AB28">
        <f t="shared" si="5"/>
        <v>0</v>
      </c>
      <c r="AC28">
        <f t="shared" si="6"/>
        <v>0</v>
      </c>
      <c r="AD28">
        <f t="shared" si="7"/>
        <v>0</v>
      </c>
      <c r="AE28">
        <f t="shared" si="8"/>
        <v>0</v>
      </c>
      <c r="AF28">
        <f t="shared" si="9"/>
        <v>0</v>
      </c>
      <c r="AG28">
        <f t="shared" si="10"/>
        <v>0</v>
      </c>
      <c r="AH28">
        <f t="shared" si="11"/>
        <v>0</v>
      </c>
      <c r="AI28">
        <f t="shared" si="12"/>
        <v>0</v>
      </c>
      <c r="AJ28">
        <f t="shared" si="13"/>
        <v>0</v>
      </c>
      <c r="AK28">
        <f t="shared" si="14"/>
        <v>0</v>
      </c>
      <c r="AL28">
        <f t="shared" si="15"/>
        <v>0</v>
      </c>
    </row>
    <row r="29" spans="1:38" x14ac:dyDescent="0.35">
      <c r="A29" s="25">
        <v>20</v>
      </c>
      <c r="B29" s="67"/>
      <c r="C29" s="31"/>
      <c r="D29" s="29"/>
      <c r="E29" s="118"/>
      <c r="F29" s="118"/>
      <c r="G29" s="37" t="str">
        <f t="shared" si="3"/>
        <v/>
      </c>
      <c r="H29" s="63"/>
      <c r="I29" s="29"/>
      <c r="J29" s="29"/>
      <c r="K29" s="29"/>
      <c r="L29" s="29"/>
      <c r="M29" s="29"/>
      <c r="N29" s="29"/>
      <c r="O29" s="29"/>
      <c r="P29" s="29"/>
      <c r="Q29" s="29"/>
      <c r="R29" s="29"/>
      <c r="S29" s="29"/>
      <c r="T29" s="42" t="str">
        <f t="shared" si="0"/>
        <v/>
      </c>
      <c r="U29" s="43" t="str">
        <f t="shared" si="1"/>
        <v/>
      </c>
      <c r="V29" s="44" t="str">
        <f t="shared" si="4"/>
        <v/>
      </c>
      <c r="W29" s="32"/>
      <c r="AB29">
        <f t="shared" si="5"/>
        <v>0</v>
      </c>
      <c r="AC29">
        <f t="shared" si="6"/>
        <v>0</v>
      </c>
      <c r="AD29">
        <f t="shared" si="7"/>
        <v>0</v>
      </c>
      <c r="AE29">
        <f t="shared" si="8"/>
        <v>0</v>
      </c>
      <c r="AF29">
        <f t="shared" si="9"/>
        <v>0</v>
      </c>
      <c r="AG29">
        <f t="shared" si="10"/>
        <v>0</v>
      </c>
      <c r="AH29">
        <f t="shared" si="11"/>
        <v>0</v>
      </c>
      <c r="AI29">
        <f t="shared" si="12"/>
        <v>0</v>
      </c>
      <c r="AJ29">
        <f t="shared" si="13"/>
        <v>0</v>
      </c>
      <c r="AK29">
        <f t="shared" si="14"/>
        <v>0</v>
      </c>
      <c r="AL29">
        <f t="shared" si="15"/>
        <v>0</v>
      </c>
    </row>
    <row r="30" spans="1:38" x14ac:dyDescent="0.35">
      <c r="A30" s="25">
        <v>21</v>
      </c>
      <c r="B30" s="67"/>
      <c r="C30" s="31"/>
      <c r="D30" s="29"/>
      <c r="E30" s="118"/>
      <c r="F30" s="118"/>
      <c r="G30" s="37" t="str">
        <f t="shared" si="3"/>
        <v/>
      </c>
      <c r="H30" s="63"/>
      <c r="I30" s="29"/>
      <c r="J30" s="29"/>
      <c r="K30" s="29"/>
      <c r="L30" s="29"/>
      <c r="M30" s="29"/>
      <c r="N30" s="29"/>
      <c r="O30" s="29"/>
      <c r="P30" s="29"/>
      <c r="Q30" s="29"/>
      <c r="R30" s="29"/>
      <c r="S30" s="29"/>
      <c r="T30" s="42" t="str">
        <f t="shared" si="0"/>
        <v/>
      </c>
      <c r="U30" s="43" t="str">
        <f t="shared" si="1"/>
        <v/>
      </c>
      <c r="V30" s="44" t="str">
        <f t="shared" si="4"/>
        <v/>
      </c>
      <c r="W30" s="32"/>
      <c r="AB30">
        <f t="shared" si="5"/>
        <v>0</v>
      </c>
      <c r="AC30">
        <f t="shared" si="6"/>
        <v>0</v>
      </c>
      <c r="AD30">
        <f t="shared" si="7"/>
        <v>0</v>
      </c>
      <c r="AE30">
        <f t="shared" si="8"/>
        <v>0</v>
      </c>
      <c r="AF30">
        <f t="shared" si="9"/>
        <v>0</v>
      </c>
      <c r="AG30">
        <f t="shared" si="10"/>
        <v>0</v>
      </c>
      <c r="AH30">
        <f t="shared" si="11"/>
        <v>0</v>
      </c>
      <c r="AI30">
        <f t="shared" si="12"/>
        <v>0</v>
      </c>
      <c r="AJ30">
        <f t="shared" si="13"/>
        <v>0</v>
      </c>
      <c r="AK30">
        <f t="shared" si="14"/>
        <v>0</v>
      </c>
      <c r="AL30">
        <f t="shared" si="15"/>
        <v>0</v>
      </c>
    </row>
    <row r="31" spans="1:38" x14ac:dyDescent="0.35">
      <c r="A31" s="25">
        <v>22</v>
      </c>
      <c r="B31" s="67"/>
      <c r="C31" s="31"/>
      <c r="D31" s="29"/>
      <c r="E31" s="118"/>
      <c r="F31" s="118"/>
      <c r="G31" s="37" t="str">
        <f t="shared" si="3"/>
        <v/>
      </c>
      <c r="H31" s="63"/>
      <c r="I31" s="29"/>
      <c r="J31" s="29"/>
      <c r="K31" s="29"/>
      <c r="L31" s="29"/>
      <c r="M31" s="29"/>
      <c r="N31" s="29"/>
      <c r="O31" s="29"/>
      <c r="P31" s="29"/>
      <c r="Q31" s="29"/>
      <c r="R31" s="29"/>
      <c r="S31" s="29"/>
      <c r="T31" s="42" t="str">
        <f t="shared" si="0"/>
        <v/>
      </c>
      <c r="U31" s="43" t="str">
        <f t="shared" si="1"/>
        <v/>
      </c>
      <c r="V31" s="44" t="str">
        <f t="shared" si="4"/>
        <v/>
      </c>
      <c r="W31" s="32"/>
      <c r="AB31">
        <f t="shared" si="5"/>
        <v>0</v>
      </c>
      <c r="AC31">
        <f t="shared" si="6"/>
        <v>0</v>
      </c>
      <c r="AD31">
        <f t="shared" si="7"/>
        <v>0</v>
      </c>
      <c r="AE31">
        <f t="shared" si="8"/>
        <v>0</v>
      </c>
      <c r="AF31">
        <f t="shared" si="9"/>
        <v>0</v>
      </c>
      <c r="AG31">
        <f t="shared" si="10"/>
        <v>0</v>
      </c>
      <c r="AH31">
        <f t="shared" si="11"/>
        <v>0</v>
      </c>
      <c r="AI31">
        <f t="shared" si="12"/>
        <v>0</v>
      </c>
      <c r="AJ31">
        <f t="shared" si="13"/>
        <v>0</v>
      </c>
      <c r="AK31">
        <f t="shared" si="14"/>
        <v>0</v>
      </c>
      <c r="AL31">
        <f t="shared" si="15"/>
        <v>0</v>
      </c>
    </row>
    <row r="32" spans="1:38" x14ac:dyDescent="0.35">
      <c r="A32" s="25">
        <v>23</v>
      </c>
      <c r="B32" s="67"/>
      <c r="C32" s="31"/>
      <c r="D32" s="29"/>
      <c r="E32" s="118"/>
      <c r="F32" s="118"/>
      <c r="G32" s="37" t="str">
        <f t="shared" si="3"/>
        <v/>
      </c>
      <c r="H32" s="63"/>
      <c r="I32" s="29"/>
      <c r="J32" s="29"/>
      <c r="K32" s="29"/>
      <c r="L32" s="29"/>
      <c r="M32" s="29"/>
      <c r="N32" s="29"/>
      <c r="O32" s="29"/>
      <c r="P32" s="29"/>
      <c r="Q32" s="29"/>
      <c r="R32" s="29"/>
      <c r="S32" s="29"/>
      <c r="T32" s="42" t="str">
        <f t="shared" si="0"/>
        <v/>
      </c>
      <c r="U32" s="43" t="str">
        <f t="shared" si="1"/>
        <v/>
      </c>
      <c r="V32" s="44" t="str">
        <f t="shared" si="4"/>
        <v/>
      </c>
      <c r="W32" s="32"/>
      <c r="AB32">
        <f t="shared" si="5"/>
        <v>0</v>
      </c>
      <c r="AC32">
        <f t="shared" si="6"/>
        <v>0</v>
      </c>
      <c r="AD32">
        <f t="shared" si="7"/>
        <v>0</v>
      </c>
      <c r="AE32">
        <f t="shared" si="8"/>
        <v>0</v>
      </c>
      <c r="AF32">
        <f t="shared" si="9"/>
        <v>0</v>
      </c>
      <c r="AG32">
        <f t="shared" si="10"/>
        <v>0</v>
      </c>
      <c r="AH32">
        <f t="shared" si="11"/>
        <v>0</v>
      </c>
      <c r="AI32">
        <f t="shared" si="12"/>
        <v>0</v>
      </c>
      <c r="AJ32">
        <f t="shared" si="13"/>
        <v>0</v>
      </c>
      <c r="AK32">
        <f t="shared" si="14"/>
        <v>0</v>
      </c>
      <c r="AL32">
        <f t="shared" si="15"/>
        <v>0</v>
      </c>
    </row>
    <row r="33" spans="1:38" x14ac:dyDescent="0.35">
      <c r="A33" s="25">
        <v>24</v>
      </c>
      <c r="B33" s="67"/>
      <c r="C33" s="31"/>
      <c r="D33" s="29"/>
      <c r="E33" s="118"/>
      <c r="F33" s="118"/>
      <c r="G33" s="37" t="str">
        <f t="shared" si="3"/>
        <v/>
      </c>
      <c r="H33" s="63"/>
      <c r="I33" s="29"/>
      <c r="J33" s="29"/>
      <c r="K33" s="29"/>
      <c r="L33" s="29"/>
      <c r="M33" s="29"/>
      <c r="N33" s="29"/>
      <c r="O33" s="29"/>
      <c r="P33" s="29"/>
      <c r="Q33" s="29"/>
      <c r="R33" s="29"/>
      <c r="S33" s="29"/>
      <c r="T33" s="42" t="str">
        <f t="shared" si="0"/>
        <v/>
      </c>
      <c r="U33" s="43" t="str">
        <f t="shared" si="1"/>
        <v/>
      </c>
      <c r="V33" s="44" t="str">
        <f t="shared" si="4"/>
        <v/>
      </c>
      <c r="W33" s="32"/>
      <c r="AB33">
        <f t="shared" si="5"/>
        <v>0</v>
      </c>
      <c r="AC33">
        <f t="shared" si="6"/>
        <v>0</v>
      </c>
      <c r="AD33">
        <f t="shared" si="7"/>
        <v>0</v>
      </c>
      <c r="AE33">
        <f t="shared" si="8"/>
        <v>0</v>
      </c>
      <c r="AF33">
        <f t="shared" si="9"/>
        <v>0</v>
      </c>
      <c r="AG33">
        <f t="shared" si="10"/>
        <v>0</v>
      </c>
      <c r="AH33">
        <f t="shared" si="11"/>
        <v>0</v>
      </c>
      <c r="AI33">
        <f t="shared" si="12"/>
        <v>0</v>
      </c>
      <c r="AJ33">
        <f t="shared" si="13"/>
        <v>0</v>
      </c>
      <c r="AK33">
        <f t="shared" si="14"/>
        <v>0</v>
      </c>
      <c r="AL33">
        <f t="shared" si="15"/>
        <v>0</v>
      </c>
    </row>
    <row r="34" spans="1:38" x14ac:dyDescent="0.35">
      <c r="A34" s="25">
        <v>25</v>
      </c>
      <c r="B34" s="67"/>
      <c r="C34" s="31"/>
      <c r="D34" s="29"/>
      <c r="E34" s="118"/>
      <c r="F34" s="118"/>
      <c r="G34" s="37" t="str">
        <f t="shared" si="3"/>
        <v/>
      </c>
      <c r="H34" s="63"/>
      <c r="I34" s="29"/>
      <c r="J34" s="29"/>
      <c r="K34" s="29"/>
      <c r="L34" s="29"/>
      <c r="M34" s="29"/>
      <c r="N34" s="29"/>
      <c r="O34" s="29"/>
      <c r="P34" s="29"/>
      <c r="Q34" s="29"/>
      <c r="R34" s="29"/>
      <c r="S34" s="29"/>
      <c r="T34" s="42" t="str">
        <f t="shared" si="0"/>
        <v/>
      </c>
      <c r="U34" s="43" t="str">
        <f t="shared" si="1"/>
        <v/>
      </c>
      <c r="V34" s="44" t="str">
        <f t="shared" si="4"/>
        <v/>
      </c>
      <c r="W34" s="32"/>
      <c r="AB34">
        <f t="shared" si="5"/>
        <v>0</v>
      </c>
      <c r="AC34">
        <f t="shared" si="6"/>
        <v>0</v>
      </c>
      <c r="AD34">
        <f t="shared" si="7"/>
        <v>0</v>
      </c>
      <c r="AE34">
        <f t="shared" si="8"/>
        <v>0</v>
      </c>
      <c r="AF34">
        <f t="shared" si="9"/>
        <v>0</v>
      </c>
      <c r="AG34">
        <f t="shared" si="10"/>
        <v>0</v>
      </c>
      <c r="AH34">
        <f t="shared" si="11"/>
        <v>0</v>
      </c>
      <c r="AI34">
        <f t="shared" si="12"/>
        <v>0</v>
      </c>
      <c r="AJ34">
        <f t="shared" si="13"/>
        <v>0</v>
      </c>
      <c r="AK34">
        <f t="shared" si="14"/>
        <v>0</v>
      </c>
      <c r="AL34">
        <f t="shared" si="15"/>
        <v>0</v>
      </c>
    </row>
    <row r="35" spans="1:38" x14ac:dyDescent="0.35">
      <c r="A35" s="25">
        <v>26</v>
      </c>
      <c r="B35" s="67"/>
      <c r="C35" s="31"/>
      <c r="D35" s="29"/>
      <c r="E35" s="118"/>
      <c r="F35" s="118"/>
      <c r="G35" s="37" t="str">
        <f t="shared" si="3"/>
        <v/>
      </c>
      <c r="H35" s="63"/>
      <c r="I35" s="29"/>
      <c r="J35" s="29"/>
      <c r="K35" s="29"/>
      <c r="L35" s="29"/>
      <c r="M35" s="29"/>
      <c r="N35" s="29"/>
      <c r="O35" s="29"/>
      <c r="P35" s="29"/>
      <c r="Q35" s="29"/>
      <c r="R35" s="29"/>
      <c r="S35" s="29"/>
      <c r="T35" s="42" t="str">
        <f t="shared" si="0"/>
        <v/>
      </c>
      <c r="U35" s="43" t="str">
        <f t="shared" si="1"/>
        <v/>
      </c>
      <c r="V35" s="44" t="str">
        <f t="shared" si="4"/>
        <v/>
      </c>
      <c r="W35" s="32"/>
      <c r="AB35">
        <f t="shared" si="5"/>
        <v>0</v>
      </c>
      <c r="AC35">
        <f t="shared" si="6"/>
        <v>0</v>
      </c>
      <c r="AD35">
        <f t="shared" si="7"/>
        <v>0</v>
      </c>
      <c r="AE35">
        <f t="shared" si="8"/>
        <v>0</v>
      </c>
      <c r="AF35">
        <f t="shared" si="9"/>
        <v>0</v>
      </c>
      <c r="AG35">
        <f t="shared" si="10"/>
        <v>0</v>
      </c>
      <c r="AH35">
        <f t="shared" si="11"/>
        <v>0</v>
      </c>
      <c r="AI35">
        <f t="shared" si="12"/>
        <v>0</v>
      </c>
      <c r="AJ35">
        <f t="shared" si="13"/>
        <v>0</v>
      </c>
      <c r="AK35">
        <f t="shared" si="14"/>
        <v>0</v>
      </c>
      <c r="AL35">
        <f t="shared" si="15"/>
        <v>0</v>
      </c>
    </row>
    <row r="36" spans="1:38" x14ac:dyDescent="0.35">
      <c r="A36" s="25">
        <v>27</v>
      </c>
      <c r="B36" s="67"/>
      <c r="C36" s="31"/>
      <c r="D36" s="29"/>
      <c r="E36" s="118"/>
      <c r="F36" s="118"/>
      <c r="G36" s="37" t="str">
        <f t="shared" si="3"/>
        <v/>
      </c>
      <c r="H36" s="63"/>
      <c r="I36" s="29"/>
      <c r="J36" s="29"/>
      <c r="K36" s="29"/>
      <c r="L36" s="29"/>
      <c r="M36" s="29"/>
      <c r="N36" s="29"/>
      <c r="O36" s="29"/>
      <c r="P36" s="29"/>
      <c r="Q36" s="29"/>
      <c r="R36" s="29"/>
      <c r="S36" s="29"/>
      <c r="T36" s="42" t="str">
        <f t="shared" si="0"/>
        <v/>
      </c>
      <c r="U36" s="43" t="str">
        <f t="shared" si="1"/>
        <v/>
      </c>
      <c r="V36" s="44" t="str">
        <f t="shared" si="4"/>
        <v/>
      </c>
      <c r="W36" s="32"/>
      <c r="AB36">
        <f t="shared" si="5"/>
        <v>0</v>
      </c>
      <c r="AC36">
        <f t="shared" si="6"/>
        <v>0</v>
      </c>
      <c r="AD36">
        <f t="shared" si="7"/>
        <v>0</v>
      </c>
      <c r="AE36">
        <f t="shared" si="8"/>
        <v>0</v>
      </c>
      <c r="AF36">
        <f t="shared" si="9"/>
        <v>0</v>
      </c>
      <c r="AG36">
        <f t="shared" si="10"/>
        <v>0</v>
      </c>
      <c r="AH36">
        <f t="shared" si="11"/>
        <v>0</v>
      </c>
      <c r="AI36">
        <f t="shared" si="12"/>
        <v>0</v>
      </c>
      <c r="AJ36">
        <f t="shared" si="13"/>
        <v>0</v>
      </c>
      <c r="AK36">
        <f t="shared" si="14"/>
        <v>0</v>
      </c>
      <c r="AL36">
        <f t="shared" si="15"/>
        <v>0</v>
      </c>
    </row>
    <row r="37" spans="1:38" x14ac:dyDescent="0.35">
      <c r="A37" s="25">
        <v>28</v>
      </c>
      <c r="B37" s="67"/>
      <c r="C37" s="31"/>
      <c r="D37" s="29"/>
      <c r="E37" s="118"/>
      <c r="F37" s="118"/>
      <c r="G37" s="37" t="str">
        <f t="shared" si="3"/>
        <v/>
      </c>
      <c r="H37" s="63"/>
      <c r="I37" s="29"/>
      <c r="J37" s="29"/>
      <c r="K37" s="29"/>
      <c r="L37" s="29"/>
      <c r="M37" s="29"/>
      <c r="N37" s="29"/>
      <c r="O37" s="29"/>
      <c r="P37" s="29"/>
      <c r="Q37" s="29"/>
      <c r="R37" s="29"/>
      <c r="S37" s="29"/>
      <c r="T37" s="42" t="str">
        <f t="shared" si="0"/>
        <v/>
      </c>
      <c r="U37" s="43" t="str">
        <f t="shared" si="1"/>
        <v/>
      </c>
      <c r="V37" s="44" t="str">
        <f t="shared" si="4"/>
        <v/>
      </c>
      <c r="W37" s="32"/>
      <c r="AB37">
        <f t="shared" si="5"/>
        <v>0</v>
      </c>
      <c r="AC37">
        <f t="shared" si="6"/>
        <v>0</v>
      </c>
      <c r="AD37">
        <f t="shared" si="7"/>
        <v>0</v>
      </c>
      <c r="AE37">
        <f t="shared" si="8"/>
        <v>0</v>
      </c>
      <c r="AF37">
        <f t="shared" si="9"/>
        <v>0</v>
      </c>
      <c r="AG37">
        <f t="shared" si="10"/>
        <v>0</v>
      </c>
      <c r="AH37">
        <f t="shared" si="11"/>
        <v>0</v>
      </c>
      <c r="AI37">
        <f t="shared" si="12"/>
        <v>0</v>
      </c>
      <c r="AJ37">
        <f t="shared" si="13"/>
        <v>0</v>
      </c>
      <c r="AK37">
        <f t="shared" si="14"/>
        <v>0</v>
      </c>
      <c r="AL37">
        <f t="shared" si="15"/>
        <v>0</v>
      </c>
    </row>
    <row r="38" spans="1:38" x14ac:dyDescent="0.35">
      <c r="A38" s="25">
        <v>29</v>
      </c>
      <c r="B38" s="67"/>
      <c r="C38" s="31"/>
      <c r="D38" s="29"/>
      <c r="E38" s="118"/>
      <c r="F38" s="118"/>
      <c r="G38" s="37" t="str">
        <f t="shared" si="3"/>
        <v/>
      </c>
      <c r="H38" s="63"/>
      <c r="I38" s="29"/>
      <c r="J38" s="29"/>
      <c r="K38" s="29"/>
      <c r="L38" s="29"/>
      <c r="M38" s="29"/>
      <c r="N38" s="29"/>
      <c r="O38" s="29"/>
      <c r="P38" s="29"/>
      <c r="Q38" s="29"/>
      <c r="R38" s="29"/>
      <c r="S38" s="29"/>
      <c r="T38" s="42" t="str">
        <f t="shared" si="0"/>
        <v/>
      </c>
      <c r="U38" s="43" t="str">
        <f t="shared" si="1"/>
        <v/>
      </c>
      <c r="V38" s="44" t="str">
        <f t="shared" si="4"/>
        <v/>
      </c>
      <c r="W38" s="32"/>
      <c r="AB38">
        <f t="shared" si="5"/>
        <v>0</v>
      </c>
      <c r="AC38">
        <f t="shared" si="6"/>
        <v>0</v>
      </c>
      <c r="AD38">
        <f t="shared" si="7"/>
        <v>0</v>
      </c>
      <c r="AE38">
        <f t="shared" si="8"/>
        <v>0</v>
      </c>
      <c r="AF38">
        <f t="shared" si="9"/>
        <v>0</v>
      </c>
      <c r="AG38">
        <f t="shared" si="10"/>
        <v>0</v>
      </c>
      <c r="AH38">
        <f t="shared" si="11"/>
        <v>0</v>
      </c>
      <c r="AI38">
        <f t="shared" si="12"/>
        <v>0</v>
      </c>
      <c r="AJ38">
        <f t="shared" si="13"/>
        <v>0</v>
      </c>
      <c r="AK38">
        <f t="shared" si="14"/>
        <v>0</v>
      </c>
      <c r="AL38">
        <f t="shared" si="15"/>
        <v>0</v>
      </c>
    </row>
    <row r="39" spans="1:38" x14ac:dyDescent="0.35">
      <c r="A39" s="25">
        <v>30</v>
      </c>
      <c r="B39" s="67"/>
      <c r="C39" s="31"/>
      <c r="D39" s="29"/>
      <c r="E39" s="118"/>
      <c r="F39" s="118"/>
      <c r="G39" s="37" t="str">
        <f t="shared" si="3"/>
        <v/>
      </c>
      <c r="H39" s="63"/>
      <c r="I39" s="29"/>
      <c r="J39" s="29"/>
      <c r="K39" s="29"/>
      <c r="L39" s="29"/>
      <c r="M39" s="29"/>
      <c r="N39" s="29"/>
      <c r="O39" s="29"/>
      <c r="P39" s="29"/>
      <c r="Q39" s="29"/>
      <c r="R39" s="29"/>
      <c r="S39" s="29"/>
      <c r="T39" s="42" t="str">
        <f t="shared" si="0"/>
        <v/>
      </c>
      <c r="U39" s="43" t="str">
        <f t="shared" si="1"/>
        <v/>
      </c>
      <c r="V39" s="44" t="str">
        <f t="shared" si="4"/>
        <v/>
      </c>
      <c r="W39" s="32"/>
      <c r="AB39">
        <f t="shared" si="5"/>
        <v>0</v>
      </c>
      <c r="AC39">
        <f t="shared" si="6"/>
        <v>0</v>
      </c>
      <c r="AD39">
        <f t="shared" si="7"/>
        <v>0</v>
      </c>
      <c r="AE39">
        <f t="shared" si="8"/>
        <v>0</v>
      </c>
      <c r="AF39">
        <f t="shared" si="9"/>
        <v>0</v>
      </c>
      <c r="AG39">
        <f t="shared" si="10"/>
        <v>0</v>
      </c>
      <c r="AH39">
        <f t="shared" si="11"/>
        <v>0</v>
      </c>
      <c r="AI39">
        <f t="shared" si="12"/>
        <v>0</v>
      </c>
      <c r="AJ39">
        <f t="shared" si="13"/>
        <v>0</v>
      </c>
      <c r="AK39">
        <f t="shared" si="14"/>
        <v>0</v>
      </c>
      <c r="AL39">
        <f t="shared" si="15"/>
        <v>0</v>
      </c>
    </row>
    <row r="40" spans="1:38" x14ac:dyDescent="0.35">
      <c r="A40" s="25">
        <v>31</v>
      </c>
      <c r="B40" s="67"/>
      <c r="C40" s="31"/>
      <c r="D40" s="29"/>
      <c r="E40" s="118"/>
      <c r="F40" s="118"/>
      <c r="G40" s="37" t="str">
        <f t="shared" si="3"/>
        <v/>
      </c>
      <c r="H40" s="63"/>
      <c r="I40" s="29"/>
      <c r="J40" s="29"/>
      <c r="K40" s="29"/>
      <c r="L40" s="29"/>
      <c r="M40" s="29"/>
      <c r="N40" s="29"/>
      <c r="O40" s="29"/>
      <c r="P40" s="29"/>
      <c r="Q40" s="29"/>
      <c r="R40" s="29"/>
      <c r="S40" s="29"/>
      <c r="T40" s="42" t="str">
        <f t="shared" si="0"/>
        <v/>
      </c>
      <c r="U40" s="43" t="str">
        <f t="shared" si="1"/>
        <v/>
      </c>
      <c r="V40" s="44" t="str">
        <f t="shared" si="4"/>
        <v/>
      </c>
      <c r="W40" s="32"/>
      <c r="AB40">
        <f t="shared" si="5"/>
        <v>0</v>
      </c>
      <c r="AC40">
        <f t="shared" si="6"/>
        <v>0</v>
      </c>
      <c r="AD40">
        <f t="shared" si="7"/>
        <v>0</v>
      </c>
      <c r="AE40">
        <f t="shared" si="8"/>
        <v>0</v>
      </c>
      <c r="AF40">
        <f t="shared" si="9"/>
        <v>0</v>
      </c>
      <c r="AG40">
        <f t="shared" si="10"/>
        <v>0</v>
      </c>
      <c r="AH40">
        <f t="shared" si="11"/>
        <v>0</v>
      </c>
      <c r="AI40">
        <f t="shared" si="12"/>
        <v>0</v>
      </c>
      <c r="AJ40">
        <f t="shared" si="13"/>
        <v>0</v>
      </c>
      <c r="AK40">
        <f t="shared" si="14"/>
        <v>0</v>
      </c>
      <c r="AL40">
        <f t="shared" si="15"/>
        <v>0</v>
      </c>
    </row>
    <row r="41" spans="1:38" x14ac:dyDescent="0.35">
      <c r="A41" s="25">
        <v>32</v>
      </c>
      <c r="B41" s="67"/>
      <c r="C41" s="31"/>
      <c r="D41" s="29"/>
      <c r="E41" s="118"/>
      <c r="F41" s="118"/>
      <c r="G41" s="37" t="str">
        <f t="shared" si="3"/>
        <v/>
      </c>
      <c r="H41" s="63"/>
      <c r="I41" s="29"/>
      <c r="J41" s="29"/>
      <c r="K41" s="29"/>
      <c r="L41" s="29"/>
      <c r="M41" s="29"/>
      <c r="N41" s="29"/>
      <c r="O41" s="29"/>
      <c r="P41" s="29"/>
      <c r="Q41" s="29"/>
      <c r="R41" s="29"/>
      <c r="S41" s="29"/>
      <c r="T41" s="42" t="str">
        <f t="shared" si="0"/>
        <v/>
      </c>
      <c r="U41" s="43" t="str">
        <f t="shared" si="1"/>
        <v/>
      </c>
      <c r="V41" s="44" t="str">
        <f t="shared" si="4"/>
        <v/>
      </c>
      <c r="W41" s="32"/>
      <c r="AB41">
        <f t="shared" si="5"/>
        <v>0</v>
      </c>
      <c r="AC41">
        <f t="shared" si="6"/>
        <v>0</v>
      </c>
      <c r="AD41">
        <f t="shared" si="7"/>
        <v>0</v>
      </c>
      <c r="AE41">
        <f t="shared" si="8"/>
        <v>0</v>
      </c>
      <c r="AF41">
        <f t="shared" si="9"/>
        <v>0</v>
      </c>
      <c r="AG41">
        <f t="shared" si="10"/>
        <v>0</v>
      </c>
      <c r="AH41">
        <f t="shared" si="11"/>
        <v>0</v>
      </c>
      <c r="AI41">
        <f t="shared" si="12"/>
        <v>0</v>
      </c>
      <c r="AJ41">
        <f t="shared" si="13"/>
        <v>0</v>
      </c>
      <c r="AK41">
        <f t="shared" si="14"/>
        <v>0</v>
      </c>
      <c r="AL41">
        <f t="shared" si="15"/>
        <v>0</v>
      </c>
    </row>
    <row r="42" spans="1:38" x14ac:dyDescent="0.35">
      <c r="A42" s="25">
        <v>33</v>
      </c>
      <c r="B42" s="67"/>
      <c r="C42" s="31"/>
      <c r="D42" s="29"/>
      <c r="E42" s="118"/>
      <c r="F42" s="118"/>
      <c r="G42" s="37" t="str">
        <f t="shared" si="3"/>
        <v/>
      </c>
      <c r="H42" s="63"/>
      <c r="I42" s="29"/>
      <c r="J42" s="29"/>
      <c r="K42" s="29"/>
      <c r="L42" s="29"/>
      <c r="M42" s="29"/>
      <c r="N42" s="29"/>
      <c r="O42" s="29"/>
      <c r="P42" s="29"/>
      <c r="Q42" s="29"/>
      <c r="R42" s="29"/>
      <c r="S42" s="29"/>
      <c r="T42" s="42" t="str">
        <f t="shared" ref="T42:T73" si="16">IF(C42&lt;&gt;"",SUM(I42:S42),"")</f>
        <v/>
      </c>
      <c r="U42" s="43" t="str">
        <f t="shared" ref="U42:U73" si="17">IF(AND(T42&gt;0,C42&lt;&gt;""),T42/T$9,"")</f>
        <v/>
      </c>
      <c r="V42" s="44" t="str">
        <f t="shared" si="4"/>
        <v/>
      </c>
      <c r="W42" s="32"/>
      <c r="AB42">
        <f t="shared" si="5"/>
        <v>0</v>
      </c>
      <c r="AC42">
        <f t="shared" si="6"/>
        <v>0</v>
      </c>
      <c r="AD42">
        <f t="shared" si="7"/>
        <v>0</v>
      </c>
      <c r="AE42">
        <f t="shared" si="8"/>
        <v>0</v>
      </c>
      <c r="AF42">
        <f t="shared" si="9"/>
        <v>0</v>
      </c>
      <c r="AG42">
        <f t="shared" si="10"/>
        <v>0</v>
      </c>
      <c r="AH42">
        <f t="shared" si="11"/>
        <v>0</v>
      </c>
      <c r="AI42">
        <f t="shared" si="12"/>
        <v>0</v>
      </c>
      <c r="AJ42">
        <f t="shared" si="13"/>
        <v>0</v>
      </c>
      <c r="AK42">
        <f t="shared" si="14"/>
        <v>0</v>
      </c>
      <c r="AL42">
        <f t="shared" si="15"/>
        <v>0</v>
      </c>
    </row>
    <row r="43" spans="1:38" x14ac:dyDescent="0.35">
      <c r="A43" s="25">
        <v>34</v>
      </c>
      <c r="B43" s="67"/>
      <c r="C43" s="31"/>
      <c r="D43" s="29"/>
      <c r="E43" s="118"/>
      <c r="F43" s="118"/>
      <c r="G43" s="37" t="str">
        <f t="shared" si="3"/>
        <v/>
      </c>
      <c r="H43" s="63"/>
      <c r="I43" s="29"/>
      <c r="J43" s="29"/>
      <c r="K43" s="29"/>
      <c r="L43" s="29"/>
      <c r="M43" s="29"/>
      <c r="N43" s="29"/>
      <c r="O43" s="29"/>
      <c r="P43" s="29"/>
      <c r="Q43" s="29"/>
      <c r="R43" s="29"/>
      <c r="S43" s="29"/>
      <c r="T43" s="42" t="str">
        <f t="shared" si="16"/>
        <v/>
      </c>
      <c r="U43" s="43" t="str">
        <f t="shared" si="17"/>
        <v/>
      </c>
      <c r="V43" s="44" t="str">
        <f t="shared" si="4"/>
        <v/>
      </c>
      <c r="W43" s="32"/>
      <c r="AB43">
        <f t="shared" si="5"/>
        <v>0</v>
      </c>
      <c r="AC43">
        <f t="shared" si="6"/>
        <v>0</v>
      </c>
      <c r="AD43">
        <f t="shared" si="7"/>
        <v>0</v>
      </c>
      <c r="AE43">
        <f t="shared" si="8"/>
        <v>0</v>
      </c>
      <c r="AF43">
        <f t="shared" si="9"/>
        <v>0</v>
      </c>
      <c r="AG43">
        <f t="shared" si="10"/>
        <v>0</v>
      </c>
      <c r="AH43">
        <f t="shared" si="11"/>
        <v>0</v>
      </c>
      <c r="AI43">
        <f t="shared" si="12"/>
        <v>0</v>
      </c>
      <c r="AJ43">
        <f t="shared" si="13"/>
        <v>0</v>
      </c>
      <c r="AK43">
        <f t="shared" si="14"/>
        <v>0</v>
      </c>
      <c r="AL43">
        <f t="shared" si="15"/>
        <v>0</v>
      </c>
    </row>
    <row r="44" spans="1:38" x14ac:dyDescent="0.35">
      <c r="A44" s="25">
        <v>35</v>
      </c>
      <c r="B44" s="67"/>
      <c r="C44" s="31"/>
      <c r="D44" s="29"/>
      <c r="E44" s="118"/>
      <c r="F44" s="118"/>
      <c r="G44" s="37" t="str">
        <f t="shared" si="3"/>
        <v/>
      </c>
      <c r="H44" s="63"/>
      <c r="I44" s="29"/>
      <c r="J44" s="29"/>
      <c r="K44" s="29"/>
      <c r="L44" s="29"/>
      <c r="M44" s="29"/>
      <c r="N44" s="29"/>
      <c r="O44" s="29"/>
      <c r="P44" s="29"/>
      <c r="Q44" s="29"/>
      <c r="R44" s="29"/>
      <c r="S44" s="29"/>
      <c r="T44" s="42" t="str">
        <f t="shared" si="16"/>
        <v/>
      </c>
      <c r="U44" s="43" t="str">
        <f t="shared" si="17"/>
        <v/>
      </c>
      <c r="V44" s="44" t="str">
        <f t="shared" si="4"/>
        <v/>
      </c>
      <c r="W44" s="32"/>
      <c r="AB44">
        <f t="shared" si="5"/>
        <v>0</v>
      </c>
      <c r="AC44">
        <f t="shared" si="6"/>
        <v>0</v>
      </c>
      <c r="AD44">
        <f t="shared" si="7"/>
        <v>0</v>
      </c>
      <c r="AE44">
        <f t="shared" si="8"/>
        <v>0</v>
      </c>
      <c r="AF44">
        <f t="shared" si="9"/>
        <v>0</v>
      </c>
      <c r="AG44">
        <f t="shared" si="10"/>
        <v>0</v>
      </c>
      <c r="AH44">
        <f t="shared" si="11"/>
        <v>0</v>
      </c>
      <c r="AI44">
        <f t="shared" si="12"/>
        <v>0</v>
      </c>
      <c r="AJ44">
        <f t="shared" si="13"/>
        <v>0</v>
      </c>
      <c r="AK44">
        <f t="shared" si="14"/>
        <v>0</v>
      </c>
      <c r="AL44">
        <f t="shared" si="15"/>
        <v>0</v>
      </c>
    </row>
    <row r="45" spans="1:38" x14ac:dyDescent="0.35">
      <c r="A45" s="25">
        <v>36</v>
      </c>
      <c r="B45" s="67"/>
      <c r="C45" s="31"/>
      <c r="D45" s="29"/>
      <c r="E45" s="118"/>
      <c r="F45" s="118"/>
      <c r="G45" s="37" t="str">
        <f t="shared" si="3"/>
        <v/>
      </c>
      <c r="H45" s="63"/>
      <c r="I45" s="29"/>
      <c r="J45" s="29"/>
      <c r="K45" s="29"/>
      <c r="L45" s="29"/>
      <c r="M45" s="29"/>
      <c r="N45" s="29"/>
      <c r="O45" s="29"/>
      <c r="P45" s="29"/>
      <c r="Q45" s="29"/>
      <c r="R45" s="29"/>
      <c r="S45" s="29"/>
      <c r="T45" s="42" t="str">
        <f t="shared" si="16"/>
        <v/>
      </c>
      <c r="U45" s="43" t="str">
        <f t="shared" si="17"/>
        <v/>
      </c>
      <c r="V45" s="44" t="str">
        <f t="shared" si="4"/>
        <v/>
      </c>
      <c r="W45" s="32"/>
      <c r="AB45">
        <f t="shared" si="5"/>
        <v>0</v>
      </c>
      <c r="AC45">
        <f t="shared" si="6"/>
        <v>0</v>
      </c>
      <c r="AD45">
        <f t="shared" si="7"/>
        <v>0</v>
      </c>
      <c r="AE45">
        <f t="shared" si="8"/>
        <v>0</v>
      </c>
      <c r="AF45">
        <f t="shared" si="9"/>
        <v>0</v>
      </c>
      <c r="AG45">
        <f t="shared" si="10"/>
        <v>0</v>
      </c>
      <c r="AH45">
        <f t="shared" si="11"/>
        <v>0</v>
      </c>
      <c r="AI45">
        <f t="shared" si="12"/>
        <v>0</v>
      </c>
      <c r="AJ45">
        <f t="shared" si="13"/>
        <v>0</v>
      </c>
      <c r="AK45">
        <f t="shared" si="14"/>
        <v>0</v>
      </c>
      <c r="AL45">
        <f t="shared" si="15"/>
        <v>0</v>
      </c>
    </row>
    <row r="46" spans="1:38" x14ac:dyDescent="0.35">
      <c r="A46" s="25">
        <v>37</v>
      </c>
      <c r="B46" s="67"/>
      <c r="C46" s="31"/>
      <c r="D46" s="29"/>
      <c r="E46" s="118"/>
      <c r="F46" s="118"/>
      <c r="G46" s="37" t="str">
        <f t="shared" si="3"/>
        <v/>
      </c>
      <c r="H46" s="63"/>
      <c r="I46" s="29"/>
      <c r="J46" s="29"/>
      <c r="K46" s="29"/>
      <c r="L46" s="29"/>
      <c r="M46" s="29"/>
      <c r="N46" s="29"/>
      <c r="O46" s="29"/>
      <c r="P46" s="29"/>
      <c r="Q46" s="29"/>
      <c r="R46" s="29"/>
      <c r="S46" s="29"/>
      <c r="T46" s="42" t="str">
        <f t="shared" si="16"/>
        <v/>
      </c>
      <c r="U46" s="43" t="str">
        <f t="shared" si="17"/>
        <v/>
      </c>
      <c r="V46" s="44" t="str">
        <f t="shared" si="4"/>
        <v/>
      </c>
      <c r="W46" s="32"/>
      <c r="AB46">
        <f t="shared" si="5"/>
        <v>0</v>
      </c>
      <c r="AC46">
        <f t="shared" si="6"/>
        <v>0</v>
      </c>
      <c r="AD46">
        <f t="shared" si="7"/>
        <v>0</v>
      </c>
      <c r="AE46">
        <f t="shared" si="8"/>
        <v>0</v>
      </c>
      <c r="AF46">
        <f t="shared" si="9"/>
        <v>0</v>
      </c>
      <c r="AG46">
        <f t="shared" si="10"/>
        <v>0</v>
      </c>
      <c r="AH46">
        <f t="shared" si="11"/>
        <v>0</v>
      </c>
      <c r="AI46">
        <f t="shared" si="12"/>
        <v>0</v>
      </c>
      <c r="AJ46">
        <f t="shared" si="13"/>
        <v>0</v>
      </c>
      <c r="AK46">
        <f t="shared" si="14"/>
        <v>0</v>
      </c>
      <c r="AL46">
        <f t="shared" si="15"/>
        <v>0</v>
      </c>
    </row>
    <row r="47" spans="1:38" x14ac:dyDescent="0.35">
      <c r="A47" s="25">
        <v>38</v>
      </c>
      <c r="B47" s="67"/>
      <c r="C47" s="31"/>
      <c r="D47" s="29"/>
      <c r="E47" s="118"/>
      <c r="F47" s="118"/>
      <c r="G47" s="37" t="str">
        <f t="shared" si="3"/>
        <v/>
      </c>
      <c r="H47" s="63"/>
      <c r="I47" s="29"/>
      <c r="J47" s="29"/>
      <c r="K47" s="29"/>
      <c r="L47" s="29"/>
      <c r="M47" s="29"/>
      <c r="N47" s="29"/>
      <c r="O47" s="29"/>
      <c r="P47" s="29"/>
      <c r="Q47" s="29"/>
      <c r="R47" s="29"/>
      <c r="S47" s="29"/>
      <c r="T47" s="42" t="str">
        <f t="shared" si="16"/>
        <v/>
      </c>
      <c r="U47" s="43" t="str">
        <f t="shared" si="17"/>
        <v/>
      </c>
      <c r="V47" s="44" t="str">
        <f t="shared" si="4"/>
        <v/>
      </c>
      <c r="W47" s="32"/>
      <c r="AB47">
        <f t="shared" si="5"/>
        <v>0</v>
      </c>
      <c r="AC47">
        <f t="shared" si="6"/>
        <v>0</v>
      </c>
      <c r="AD47">
        <f t="shared" si="7"/>
        <v>0</v>
      </c>
      <c r="AE47">
        <f t="shared" si="8"/>
        <v>0</v>
      </c>
      <c r="AF47">
        <f t="shared" si="9"/>
        <v>0</v>
      </c>
      <c r="AG47">
        <f t="shared" si="10"/>
        <v>0</v>
      </c>
      <c r="AH47">
        <f t="shared" si="11"/>
        <v>0</v>
      </c>
      <c r="AI47">
        <f t="shared" si="12"/>
        <v>0</v>
      </c>
      <c r="AJ47">
        <f t="shared" si="13"/>
        <v>0</v>
      </c>
      <c r="AK47">
        <f t="shared" si="14"/>
        <v>0</v>
      </c>
      <c r="AL47">
        <f t="shared" si="15"/>
        <v>0</v>
      </c>
    </row>
    <row r="48" spans="1:38" x14ac:dyDescent="0.35">
      <c r="A48" s="25">
        <v>39</v>
      </c>
      <c r="B48" s="67"/>
      <c r="C48" s="31"/>
      <c r="D48" s="29"/>
      <c r="E48" s="118"/>
      <c r="F48" s="118"/>
      <c r="G48" s="37" t="str">
        <f t="shared" si="3"/>
        <v/>
      </c>
      <c r="H48" s="63"/>
      <c r="I48" s="29"/>
      <c r="J48" s="29"/>
      <c r="K48" s="29"/>
      <c r="L48" s="29"/>
      <c r="M48" s="29"/>
      <c r="N48" s="29"/>
      <c r="O48" s="29"/>
      <c r="P48" s="29"/>
      <c r="Q48" s="29"/>
      <c r="R48" s="29"/>
      <c r="S48" s="29"/>
      <c r="T48" s="42" t="str">
        <f t="shared" si="16"/>
        <v/>
      </c>
      <c r="U48" s="43" t="str">
        <f t="shared" si="17"/>
        <v/>
      </c>
      <c r="V48" s="44" t="str">
        <f t="shared" si="4"/>
        <v/>
      </c>
      <c r="W48" s="32"/>
      <c r="AB48">
        <f t="shared" si="5"/>
        <v>0</v>
      </c>
      <c r="AC48">
        <f t="shared" si="6"/>
        <v>0</v>
      </c>
      <c r="AD48">
        <f t="shared" si="7"/>
        <v>0</v>
      </c>
      <c r="AE48">
        <f t="shared" si="8"/>
        <v>0</v>
      </c>
      <c r="AF48">
        <f t="shared" si="9"/>
        <v>0</v>
      </c>
      <c r="AG48">
        <f t="shared" si="10"/>
        <v>0</v>
      </c>
      <c r="AH48">
        <f t="shared" si="11"/>
        <v>0</v>
      </c>
      <c r="AI48">
        <f t="shared" si="12"/>
        <v>0</v>
      </c>
      <c r="AJ48">
        <f t="shared" si="13"/>
        <v>0</v>
      </c>
      <c r="AK48">
        <f t="shared" si="14"/>
        <v>0</v>
      </c>
      <c r="AL48">
        <f t="shared" si="15"/>
        <v>0</v>
      </c>
    </row>
    <row r="49" spans="1:38" x14ac:dyDescent="0.35">
      <c r="A49" s="25">
        <v>40</v>
      </c>
      <c r="B49" s="67"/>
      <c r="C49" s="31"/>
      <c r="D49" s="29"/>
      <c r="E49" s="118"/>
      <c r="F49" s="118"/>
      <c r="G49" s="37" t="str">
        <f t="shared" si="3"/>
        <v/>
      </c>
      <c r="H49" s="63"/>
      <c r="I49" s="29"/>
      <c r="J49" s="29"/>
      <c r="K49" s="29"/>
      <c r="L49" s="29"/>
      <c r="M49" s="29"/>
      <c r="N49" s="29"/>
      <c r="O49" s="29"/>
      <c r="P49" s="29"/>
      <c r="Q49" s="29"/>
      <c r="R49" s="29"/>
      <c r="S49" s="29"/>
      <c r="T49" s="42" t="str">
        <f t="shared" si="16"/>
        <v/>
      </c>
      <c r="U49" s="43" t="str">
        <f t="shared" si="17"/>
        <v/>
      </c>
      <c r="V49" s="44" t="str">
        <f t="shared" si="4"/>
        <v/>
      </c>
      <c r="W49" s="32"/>
      <c r="AB49">
        <f t="shared" si="5"/>
        <v>0</v>
      </c>
      <c r="AC49">
        <f t="shared" si="6"/>
        <v>0</v>
      </c>
      <c r="AD49">
        <f t="shared" si="7"/>
        <v>0</v>
      </c>
      <c r="AE49">
        <f t="shared" si="8"/>
        <v>0</v>
      </c>
      <c r="AF49">
        <f t="shared" si="9"/>
        <v>0</v>
      </c>
      <c r="AG49">
        <f t="shared" si="10"/>
        <v>0</v>
      </c>
      <c r="AH49">
        <f t="shared" si="11"/>
        <v>0</v>
      </c>
      <c r="AI49">
        <f t="shared" si="12"/>
        <v>0</v>
      </c>
      <c r="AJ49">
        <f t="shared" si="13"/>
        <v>0</v>
      </c>
      <c r="AK49">
        <f t="shared" si="14"/>
        <v>0</v>
      </c>
      <c r="AL49">
        <f t="shared" si="15"/>
        <v>0</v>
      </c>
    </row>
    <row r="50" spans="1:38" x14ac:dyDescent="0.35">
      <c r="A50" s="25">
        <v>41</v>
      </c>
      <c r="B50" s="67"/>
      <c r="C50" s="31"/>
      <c r="D50" s="29"/>
      <c r="E50" s="118"/>
      <c r="F50" s="118"/>
      <c r="G50" s="37" t="str">
        <f t="shared" si="3"/>
        <v/>
      </c>
      <c r="H50" s="63"/>
      <c r="I50" s="29"/>
      <c r="J50" s="29"/>
      <c r="K50" s="29"/>
      <c r="L50" s="29"/>
      <c r="M50" s="29"/>
      <c r="N50" s="29"/>
      <c r="O50" s="29"/>
      <c r="P50" s="29"/>
      <c r="Q50" s="29"/>
      <c r="R50" s="29"/>
      <c r="S50" s="29"/>
      <c r="T50" s="42" t="str">
        <f t="shared" si="16"/>
        <v/>
      </c>
      <c r="U50" s="43" t="str">
        <f t="shared" si="17"/>
        <v/>
      </c>
      <c r="V50" s="44" t="str">
        <f t="shared" si="4"/>
        <v/>
      </c>
      <c r="W50" s="32"/>
      <c r="AB50">
        <f t="shared" si="5"/>
        <v>0</v>
      </c>
      <c r="AC50">
        <f t="shared" si="6"/>
        <v>0</v>
      </c>
      <c r="AD50">
        <f t="shared" si="7"/>
        <v>0</v>
      </c>
      <c r="AE50">
        <f t="shared" si="8"/>
        <v>0</v>
      </c>
      <c r="AF50">
        <f t="shared" si="9"/>
        <v>0</v>
      </c>
      <c r="AG50">
        <f t="shared" si="10"/>
        <v>0</v>
      </c>
      <c r="AH50">
        <f t="shared" si="11"/>
        <v>0</v>
      </c>
      <c r="AI50">
        <f t="shared" si="12"/>
        <v>0</v>
      </c>
      <c r="AJ50">
        <f t="shared" si="13"/>
        <v>0</v>
      </c>
      <c r="AK50">
        <f t="shared" si="14"/>
        <v>0</v>
      </c>
      <c r="AL50">
        <f t="shared" si="15"/>
        <v>0</v>
      </c>
    </row>
    <row r="51" spans="1:38" x14ac:dyDescent="0.35">
      <c r="A51" s="25">
        <v>42</v>
      </c>
      <c r="B51" s="67"/>
      <c r="C51" s="31"/>
      <c r="D51" s="29"/>
      <c r="E51" s="118"/>
      <c r="F51" s="118"/>
      <c r="G51" s="37" t="str">
        <f t="shared" si="3"/>
        <v/>
      </c>
      <c r="H51" s="63"/>
      <c r="I51" s="29"/>
      <c r="J51" s="29"/>
      <c r="K51" s="29"/>
      <c r="L51" s="29"/>
      <c r="M51" s="29"/>
      <c r="N51" s="29"/>
      <c r="O51" s="29"/>
      <c r="P51" s="29"/>
      <c r="Q51" s="29"/>
      <c r="R51" s="29"/>
      <c r="S51" s="29"/>
      <c r="T51" s="42" t="str">
        <f t="shared" si="16"/>
        <v/>
      </c>
      <c r="U51" s="43" t="str">
        <f t="shared" si="17"/>
        <v/>
      </c>
      <c r="V51" s="44" t="str">
        <f t="shared" si="4"/>
        <v/>
      </c>
      <c r="W51" s="32"/>
      <c r="AB51">
        <f t="shared" si="5"/>
        <v>0</v>
      </c>
      <c r="AC51">
        <f t="shared" si="6"/>
        <v>0</v>
      </c>
      <c r="AD51">
        <f t="shared" si="7"/>
        <v>0</v>
      </c>
      <c r="AE51">
        <f t="shared" si="8"/>
        <v>0</v>
      </c>
      <c r="AF51">
        <f t="shared" si="9"/>
        <v>0</v>
      </c>
      <c r="AG51">
        <f t="shared" si="10"/>
        <v>0</v>
      </c>
      <c r="AH51">
        <f t="shared" si="11"/>
        <v>0</v>
      </c>
      <c r="AI51">
        <f t="shared" si="12"/>
        <v>0</v>
      </c>
      <c r="AJ51">
        <f t="shared" si="13"/>
        <v>0</v>
      </c>
      <c r="AK51">
        <f t="shared" si="14"/>
        <v>0</v>
      </c>
      <c r="AL51">
        <f t="shared" si="15"/>
        <v>0</v>
      </c>
    </row>
    <row r="52" spans="1:38" x14ac:dyDescent="0.35">
      <c r="A52" s="25">
        <v>43</v>
      </c>
      <c r="B52" s="67"/>
      <c r="C52" s="31"/>
      <c r="D52" s="29"/>
      <c r="E52" s="118"/>
      <c r="F52" s="118"/>
      <c r="G52" s="37" t="str">
        <f t="shared" si="3"/>
        <v/>
      </c>
      <c r="H52" s="63"/>
      <c r="I52" s="29"/>
      <c r="J52" s="29"/>
      <c r="K52" s="29"/>
      <c r="L52" s="29"/>
      <c r="M52" s="29"/>
      <c r="N52" s="29"/>
      <c r="O52" s="29"/>
      <c r="P52" s="29"/>
      <c r="Q52" s="29"/>
      <c r="R52" s="29"/>
      <c r="S52" s="29"/>
      <c r="T52" s="42" t="str">
        <f t="shared" si="16"/>
        <v/>
      </c>
      <c r="U52" s="43" t="str">
        <f t="shared" si="17"/>
        <v/>
      </c>
      <c r="V52" s="44" t="str">
        <f t="shared" si="4"/>
        <v/>
      </c>
      <c r="W52" s="32"/>
      <c r="AB52">
        <f t="shared" si="5"/>
        <v>0</v>
      </c>
      <c r="AC52">
        <f t="shared" si="6"/>
        <v>0</v>
      </c>
      <c r="AD52">
        <f t="shared" si="7"/>
        <v>0</v>
      </c>
      <c r="AE52">
        <f t="shared" si="8"/>
        <v>0</v>
      </c>
      <c r="AF52">
        <f t="shared" si="9"/>
        <v>0</v>
      </c>
      <c r="AG52">
        <f t="shared" si="10"/>
        <v>0</v>
      </c>
      <c r="AH52">
        <f t="shared" si="11"/>
        <v>0</v>
      </c>
      <c r="AI52">
        <f t="shared" si="12"/>
        <v>0</v>
      </c>
      <c r="AJ52">
        <f t="shared" si="13"/>
        <v>0</v>
      </c>
      <c r="AK52">
        <f t="shared" si="14"/>
        <v>0</v>
      </c>
      <c r="AL52">
        <f t="shared" si="15"/>
        <v>0</v>
      </c>
    </row>
    <row r="53" spans="1:38" x14ac:dyDescent="0.35">
      <c r="A53" s="25">
        <v>44</v>
      </c>
      <c r="B53" s="67"/>
      <c r="C53" s="31"/>
      <c r="D53" s="29"/>
      <c r="E53" s="118"/>
      <c r="F53" s="118"/>
      <c r="G53" s="37" t="str">
        <f t="shared" si="3"/>
        <v/>
      </c>
      <c r="H53" s="63"/>
      <c r="I53" s="29"/>
      <c r="J53" s="29"/>
      <c r="K53" s="29"/>
      <c r="L53" s="29"/>
      <c r="M53" s="29"/>
      <c r="N53" s="29"/>
      <c r="O53" s="29"/>
      <c r="P53" s="29"/>
      <c r="Q53" s="29"/>
      <c r="R53" s="29"/>
      <c r="S53" s="29"/>
      <c r="T53" s="42" t="str">
        <f t="shared" si="16"/>
        <v/>
      </c>
      <c r="U53" s="43" t="str">
        <f t="shared" si="17"/>
        <v/>
      </c>
      <c r="V53" s="44" t="str">
        <f t="shared" si="4"/>
        <v/>
      </c>
      <c r="W53" s="32"/>
      <c r="AB53">
        <f t="shared" si="5"/>
        <v>0</v>
      </c>
      <c r="AC53">
        <f t="shared" si="6"/>
        <v>0</v>
      </c>
      <c r="AD53">
        <f t="shared" si="7"/>
        <v>0</v>
      </c>
      <c r="AE53">
        <f t="shared" si="8"/>
        <v>0</v>
      </c>
      <c r="AF53">
        <f t="shared" si="9"/>
        <v>0</v>
      </c>
      <c r="AG53">
        <f t="shared" si="10"/>
        <v>0</v>
      </c>
      <c r="AH53">
        <f t="shared" si="11"/>
        <v>0</v>
      </c>
      <c r="AI53">
        <f t="shared" si="12"/>
        <v>0</v>
      </c>
      <c r="AJ53">
        <f t="shared" si="13"/>
        <v>0</v>
      </c>
      <c r="AK53">
        <f t="shared" si="14"/>
        <v>0</v>
      </c>
      <c r="AL53">
        <f t="shared" si="15"/>
        <v>0</v>
      </c>
    </row>
    <row r="54" spans="1:38" x14ac:dyDescent="0.35">
      <c r="A54" s="25">
        <v>45</v>
      </c>
      <c r="B54" s="67"/>
      <c r="C54" s="31"/>
      <c r="D54" s="29"/>
      <c r="E54" s="118"/>
      <c r="F54" s="118"/>
      <c r="G54" s="37" t="str">
        <f t="shared" si="3"/>
        <v/>
      </c>
      <c r="H54" s="63"/>
      <c r="I54" s="29"/>
      <c r="J54" s="29"/>
      <c r="K54" s="29"/>
      <c r="L54" s="29"/>
      <c r="M54" s="29"/>
      <c r="N54" s="29"/>
      <c r="O54" s="29"/>
      <c r="P54" s="29"/>
      <c r="Q54" s="29"/>
      <c r="R54" s="29"/>
      <c r="S54" s="29"/>
      <c r="T54" s="42" t="str">
        <f t="shared" si="16"/>
        <v/>
      </c>
      <c r="U54" s="43" t="str">
        <f t="shared" si="17"/>
        <v/>
      </c>
      <c r="V54" s="44" t="str">
        <f t="shared" si="4"/>
        <v/>
      </c>
      <c r="W54" s="32"/>
      <c r="AB54">
        <f t="shared" si="5"/>
        <v>0</v>
      </c>
      <c r="AC54">
        <f t="shared" si="6"/>
        <v>0</v>
      </c>
      <c r="AD54">
        <f t="shared" si="7"/>
        <v>0</v>
      </c>
      <c r="AE54">
        <f t="shared" si="8"/>
        <v>0</v>
      </c>
      <c r="AF54">
        <f t="shared" si="9"/>
        <v>0</v>
      </c>
      <c r="AG54">
        <f t="shared" si="10"/>
        <v>0</v>
      </c>
      <c r="AH54">
        <f t="shared" si="11"/>
        <v>0</v>
      </c>
      <c r="AI54">
        <f t="shared" si="12"/>
        <v>0</v>
      </c>
      <c r="AJ54">
        <f t="shared" si="13"/>
        <v>0</v>
      </c>
      <c r="AK54">
        <f t="shared" si="14"/>
        <v>0</v>
      </c>
      <c r="AL54">
        <f t="shared" si="15"/>
        <v>0</v>
      </c>
    </row>
    <row r="55" spans="1:38" x14ac:dyDescent="0.35">
      <c r="A55" s="25">
        <v>46</v>
      </c>
      <c r="B55" s="67"/>
      <c r="C55" s="31"/>
      <c r="D55" s="29"/>
      <c r="E55" s="118"/>
      <c r="F55" s="118"/>
      <c r="G55" s="37" t="str">
        <f t="shared" si="3"/>
        <v/>
      </c>
      <c r="H55" s="63"/>
      <c r="I55" s="29"/>
      <c r="J55" s="29"/>
      <c r="K55" s="29"/>
      <c r="L55" s="29"/>
      <c r="M55" s="29"/>
      <c r="N55" s="29"/>
      <c r="O55" s="29"/>
      <c r="P55" s="29"/>
      <c r="Q55" s="29"/>
      <c r="R55" s="29"/>
      <c r="S55" s="29"/>
      <c r="T55" s="42" t="str">
        <f t="shared" si="16"/>
        <v/>
      </c>
      <c r="U55" s="43" t="str">
        <f t="shared" si="17"/>
        <v/>
      </c>
      <c r="V55" s="44" t="str">
        <f t="shared" si="4"/>
        <v/>
      </c>
      <c r="W55" s="32"/>
      <c r="AB55">
        <f t="shared" si="5"/>
        <v>0</v>
      </c>
      <c r="AC55">
        <f t="shared" si="6"/>
        <v>0</v>
      </c>
      <c r="AD55">
        <f t="shared" si="7"/>
        <v>0</v>
      </c>
      <c r="AE55">
        <f t="shared" si="8"/>
        <v>0</v>
      </c>
      <c r="AF55">
        <f t="shared" si="9"/>
        <v>0</v>
      </c>
      <c r="AG55">
        <f t="shared" si="10"/>
        <v>0</v>
      </c>
      <c r="AH55">
        <f t="shared" si="11"/>
        <v>0</v>
      </c>
      <c r="AI55">
        <f t="shared" si="12"/>
        <v>0</v>
      </c>
      <c r="AJ55">
        <f t="shared" si="13"/>
        <v>0</v>
      </c>
      <c r="AK55">
        <f t="shared" si="14"/>
        <v>0</v>
      </c>
      <c r="AL55">
        <f t="shared" si="15"/>
        <v>0</v>
      </c>
    </row>
    <row r="56" spans="1:38" x14ac:dyDescent="0.35">
      <c r="A56" s="25">
        <v>47</v>
      </c>
      <c r="B56" s="67"/>
      <c r="C56" s="31"/>
      <c r="D56" s="29"/>
      <c r="E56" s="118"/>
      <c r="F56" s="118"/>
      <c r="G56" s="37" t="str">
        <f t="shared" si="3"/>
        <v/>
      </c>
      <c r="H56" s="63"/>
      <c r="I56" s="29"/>
      <c r="J56" s="29"/>
      <c r="K56" s="29"/>
      <c r="L56" s="29"/>
      <c r="M56" s="29"/>
      <c r="N56" s="29"/>
      <c r="O56" s="29"/>
      <c r="P56" s="29"/>
      <c r="Q56" s="29"/>
      <c r="R56" s="29"/>
      <c r="S56" s="29"/>
      <c r="T56" s="42" t="str">
        <f t="shared" si="16"/>
        <v/>
      </c>
      <c r="U56" s="43" t="str">
        <f t="shared" si="17"/>
        <v/>
      </c>
      <c r="V56" s="44" t="str">
        <f t="shared" si="4"/>
        <v/>
      </c>
      <c r="W56" s="32"/>
      <c r="AB56">
        <f t="shared" si="5"/>
        <v>0</v>
      </c>
      <c r="AC56">
        <f t="shared" si="6"/>
        <v>0</v>
      </c>
      <c r="AD56">
        <f t="shared" si="7"/>
        <v>0</v>
      </c>
      <c r="AE56">
        <f t="shared" si="8"/>
        <v>0</v>
      </c>
      <c r="AF56">
        <f t="shared" si="9"/>
        <v>0</v>
      </c>
      <c r="AG56">
        <f t="shared" si="10"/>
        <v>0</v>
      </c>
      <c r="AH56">
        <f t="shared" si="11"/>
        <v>0</v>
      </c>
      <c r="AI56">
        <f t="shared" si="12"/>
        <v>0</v>
      </c>
      <c r="AJ56">
        <f t="shared" si="13"/>
        <v>0</v>
      </c>
      <c r="AK56">
        <f t="shared" si="14"/>
        <v>0</v>
      </c>
      <c r="AL56">
        <f t="shared" si="15"/>
        <v>0</v>
      </c>
    </row>
    <row r="57" spans="1:38" x14ac:dyDescent="0.35">
      <c r="A57" s="25">
        <v>48</v>
      </c>
      <c r="B57" s="67"/>
      <c r="C57" s="31"/>
      <c r="D57" s="29"/>
      <c r="E57" s="118"/>
      <c r="F57" s="118"/>
      <c r="G57" s="37" t="str">
        <f t="shared" si="3"/>
        <v/>
      </c>
      <c r="H57" s="63"/>
      <c r="I57" s="29"/>
      <c r="J57" s="29"/>
      <c r="K57" s="29"/>
      <c r="L57" s="29"/>
      <c r="M57" s="29"/>
      <c r="N57" s="29"/>
      <c r="O57" s="29"/>
      <c r="P57" s="29"/>
      <c r="Q57" s="29"/>
      <c r="R57" s="29"/>
      <c r="S57" s="29"/>
      <c r="T57" s="42" t="str">
        <f t="shared" si="16"/>
        <v/>
      </c>
      <c r="U57" s="43" t="str">
        <f t="shared" si="17"/>
        <v/>
      </c>
      <c r="V57" s="44" t="str">
        <f t="shared" si="4"/>
        <v/>
      </c>
      <c r="W57" s="32"/>
      <c r="AB57">
        <f t="shared" si="5"/>
        <v>0</v>
      </c>
      <c r="AC57">
        <f t="shared" si="6"/>
        <v>0</v>
      </c>
      <c r="AD57">
        <f t="shared" si="7"/>
        <v>0</v>
      </c>
      <c r="AE57">
        <f t="shared" si="8"/>
        <v>0</v>
      </c>
      <c r="AF57">
        <f t="shared" si="9"/>
        <v>0</v>
      </c>
      <c r="AG57">
        <f t="shared" si="10"/>
        <v>0</v>
      </c>
      <c r="AH57">
        <f t="shared" si="11"/>
        <v>0</v>
      </c>
      <c r="AI57">
        <f t="shared" si="12"/>
        <v>0</v>
      </c>
      <c r="AJ57">
        <f t="shared" si="13"/>
        <v>0</v>
      </c>
      <c r="AK57">
        <f t="shared" si="14"/>
        <v>0</v>
      </c>
      <c r="AL57">
        <f t="shared" si="15"/>
        <v>0</v>
      </c>
    </row>
    <row r="58" spans="1:38" x14ac:dyDescent="0.35">
      <c r="A58" s="25">
        <v>49</v>
      </c>
      <c r="B58" s="67"/>
      <c r="C58" s="31"/>
      <c r="D58" s="29"/>
      <c r="E58" s="118"/>
      <c r="F58" s="118"/>
      <c r="G58" s="37" t="str">
        <f t="shared" si="3"/>
        <v/>
      </c>
      <c r="H58" s="63"/>
      <c r="I58" s="29"/>
      <c r="J58" s="29"/>
      <c r="K58" s="29"/>
      <c r="L58" s="29"/>
      <c r="M58" s="29"/>
      <c r="N58" s="29"/>
      <c r="O58" s="29"/>
      <c r="P58" s="29"/>
      <c r="Q58" s="29"/>
      <c r="R58" s="29"/>
      <c r="S58" s="29"/>
      <c r="T58" s="42" t="str">
        <f t="shared" si="16"/>
        <v/>
      </c>
      <c r="U58" s="43" t="str">
        <f t="shared" si="17"/>
        <v/>
      </c>
      <c r="V58" s="44" t="str">
        <f t="shared" si="4"/>
        <v/>
      </c>
      <c r="W58" s="32"/>
      <c r="AB58">
        <f t="shared" si="5"/>
        <v>0</v>
      </c>
      <c r="AC58">
        <f t="shared" si="6"/>
        <v>0</v>
      </c>
      <c r="AD58">
        <f t="shared" si="7"/>
        <v>0</v>
      </c>
      <c r="AE58">
        <f t="shared" si="8"/>
        <v>0</v>
      </c>
      <c r="AF58">
        <f t="shared" si="9"/>
        <v>0</v>
      </c>
      <c r="AG58">
        <f t="shared" si="10"/>
        <v>0</v>
      </c>
      <c r="AH58">
        <f t="shared" si="11"/>
        <v>0</v>
      </c>
      <c r="AI58">
        <f t="shared" si="12"/>
        <v>0</v>
      </c>
      <c r="AJ58">
        <f t="shared" si="13"/>
        <v>0</v>
      </c>
      <c r="AK58">
        <f t="shared" si="14"/>
        <v>0</v>
      </c>
      <c r="AL58">
        <f t="shared" si="15"/>
        <v>0</v>
      </c>
    </row>
    <row r="59" spans="1:38" x14ac:dyDescent="0.35">
      <c r="A59" s="25">
        <v>50</v>
      </c>
      <c r="B59" s="67"/>
      <c r="C59" s="31"/>
      <c r="D59" s="29"/>
      <c r="E59" s="118"/>
      <c r="F59" s="118"/>
      <c r="G59" s="37" t="str">
        <f t="shared" si="3"/>
        <v/>
      </c>
      <c r="H59" s="63"/>
      <c r="I59" s="29"/>
      <c r="J59" s="29"/>
      <c r="K59" s="29"/>
      <c r="L59" s="29"/>
      <c r="M59" s="29"/>
      <c r="N59" s="29"/>
      <c r="O59" s="29"/>
      <c r="P59" s="29"/>
      <c r="Q59" s="29"/>
      <c r="R59" s="29"/>
      <c r="S59" s="29"/>
      <c r="T59" s="42" t="str">
        <f t="shared" si="16"/>
        <v/>
      </c>
      <c r="U59" s="43" t="str">
        <f t="shared" si="17"/>
        <v/>
      </c>
      <c r="V59" s="44" t="str">
        <f t="shared" si="4"/>
        <v/>
      </c>
      <c r="W59" s="32"/>
      <c r="AB59">
        <f t="shared" si="5"/>
        <v>0</v>
      </c>
      <c r="AC59">
        <f t="shared" si="6"/>
        <v>0</v>
      </c>
      <c r="AD59">
        <f t="shared" si="7"/>
        <v>0</v>
      </c>
      <c r="AE59">
        <f t="shared" si="8"/>
        <v>0</v>
      </c>
      <c r="AF59">
        <f t="shared" si="9"/>
        <v>0</v>
      </c>
      <c r="AG59">
        <f t="shared" si="10"/>
        <v>0</v>
      </c>
      <c r="AH59">
        <f t="shared" si="11"/>
        <v>0</v>
      </c>
      <c r="AI59">
        <f t="shared" si="12"/>
        <v>0</v>
      </c>
      <c r="AJ59">
        <f t="shared" si="13"/>
        <v>0</v>
      </c>
      <c r="AK59">
        <f t="shared" si="14"/>
        <v>0</v>
      </c>
      <c r="AL59">
        <f t="shared" si="15"/>
        <v>0</v>
      </c>
    </row>
    <row r="60" spans="1:38" x14ac:dyDescent="0.35">
      <c r="A60" s="25">
        <v>51</v>
      </c>
      <c r="B60" s="67"/>
      <c r="C60" s="31"/>
      <c r="D60" s="29"/>
      <c r="E60" s="118"/>
      <c r="F60" s="118"/>
      <c r="G60" s="37" t="str">
        <f t="shared" si="3"/>
        <v/>
      </c>
      <c r="H60" s="63"/>
      <c r="I60" s="29"/>
      <c r="J60" s="29"/>
      <c r="K60" s="29"/>
      <c r="L60" s="29"/>
      <c r="M60" s="29"/>
      <c r="N60" s="29"/>
      <c r="O60" s="29"/>
      <c r="P60" s="29"/>
      <c r="Q60" s="29"/>
      <c r="R60" s="29"/>
      <c r="S60" s="29"/>
      <c r="T60" s="42" t="str">
        <f t="shared" si="16"/>
        <v/>
      </c>
      <c r="U60" s="43" t="str">
        <f t="shared" si="17"/>
        <v/>
      </c>
      <c r="V60" s="44" t="str">
        <f t="shared" si="4"/>
        <v/>
      </c>
      <c r="W60" s="32"/>
      <c r="AB60">
        <f t="shared" si="5"/>
        <v>0</v>
      </c>
      <c r="AC60">
        <f t="shared" si="6"/>
        <v>0</v>
      </c>
      <c r="AD60">
        <f t="shared" si="7"/>
        <v>0</v>
      </c>
      <c r="AE60">
        <f t="shared" si="8"/>
        <v>0</v>
      </c>
      <c r="AF60">
        <f t="shared" si="9"/>
        <v>0</v>
      </c>
      <c r="AG60">
        <f t="shared" si="10"/>
        <v>0</v>
      </c>
      <c r="AH60">
        <f t="shared" si="11"/>
        <v>0</v>
      </c>
      <c r="AI60">
        <f t="shared" si="12"/>
        <v>0</v>
      </c>
      <c r="AJ60">
        <f t="shared" si="13"/>
        <v>0</v>
      </c>
      <c r="AK60">
        <f t="shared" si="14"/>
        <v>0</v>
      </c>
      <c r="AL60">
        <f t="shared" si="15"/>
        <v>0</v>
      </c>
    </row>
    <row r="61" spans="1:38" x14ac:dyDescent="0.35">
      <c r="A61" s="25">
        <v>52</v>
      </c>
      <c r="B61" s="67"/>
      <c r="C61" s="31"/>
      <c r="D61" s="29"/>
      <c r="E61" s="118"/>
      <c r="F61" s="118"/>
      <c r="G61" s="37" t="str">
        <f t="shared" si="3"/>
        <v/>
      </c>
      <c r="H61" s="63"/>
      <c r="I61" s="29"/>
      <c r="J61" s="29"/>
      <c r="K61" s="29"/>
      <c r="L61" s="29"/>
      <c r="M61" s="29"/>
      <c r="N61" s="29"/>
      <c r="O61" s="29"/>
      <c r="P61" s="29"/>
      <c r="Q61" s="29"/>
      <c r="R61" s="29"/>
      <c r="S61" s="29"/>
      <c r="T61" s="42" t="str">
        <f t="shared" si="16"/>
        <v/>
      </c>
      <c r="U61" s="43" t="str">
        <f t="shared" si="17"/>
        <v/>
      </c>
      <c r="V61" s="44" t="str">
        <f t="shared" si="4"/>
        <v/>
      </c>
      <c r="W61" s="32"/>
      <c r="AB61">
        <f t="shared" si="5"/>
        <v>0</v>
      </c>
      <c r="AC61">
        <f t="shared" si="6"/>
        <v>0</v>
      </c>
      <c r="AD61">
        <f t="shared" si="7"/>
        <v>0</v>
      </c>
      <c r="AE61">
        <f t="shared" si="8"/>
        <v>0</v>
      </c>
      <c r="AF61">
        <f t="shared" si="9"/>
        <v>0</v>
      </c>
      <c r="AG61">
        <f t="shared" si="10"/>
        <v>0</v>
      </c>
      <c r="AH61">
        <f t="shared" si="11"/>
        <v>0</v>
      </c>
      <c r="AI61">
        <f t="shared" si="12"/>
        <v>0</v>
      </c>
      <c r="AJ61">
        <f t="shared" si="13"/>
        <v>0</v>
      </c>
      <c r="AK61">
        <f t="shared" si="14"/>
        <v>0</v>
      </c>
      <c r="AL61">
        <f t="shared" si="15"/>
        <v>0</v>
      </c>
    </row>
    <row r="62" spans="1:38" x14ac:dyDescent="0.35">
      <c r="A62" s="25">
        <v>53</v>
      </c>
      <c r="B62" s="67"/>
      <c r="C62" s="31"/>
      <c r="D62" s="29"/>
      <c r="E62" s="118"/>
      <c r="F62" s="118"/>
      <c r="G62" s="37" t="str">
        <f t="shared" si="3"/>
        <v/>
      </c>
      <c r="H62" s="63"/>
      <c r="I62" s="29"/>
      <c r="J62" s="29"/>
      <c r="K62" s="29"/>
      <c r="L62" s="29"/>
      <c r="M62" s="29"/>
      <c r="N62" s="29"/>
      <c r="O62" s="29"/>
      <c r="P62" s="29"/>
      <c r="Q62" s="29"/>
      <c r="R62" s="29"/>
      <c r="S62" s="29"/>
      <c r="T62" s="42" t="str">
        <f t="shared" si="16"/>
        <v/>
      </c>
      <c r="U62" s="43" t="str">
        <f t="shared" si="17"/>
        <v/>
      </c>
      <c r="V62" s="44" t="str">
        <f t="shared" si="4"/>
        <v/>
      </c>
      <c r="W62" s="32"/>
      <c r="AB62">
        <f t="shared" si="5"/>
        <v>0</v>
      </c>
      <c r="AC62">
        <f t="shared" si="6"/>
        <v>0</v>
      </c>
      <c r="AD62">
        <f t="shared" si="7"/>
        <v>0</v>
      </c>
      <c r="AE62">
        <f t="shared" si="8"/>
        <v>0</v>
      </c>
      <c r="AF62">
        <f t="shared" si="9"/>
        <v>0</v>
      </c>
      <c r="AG62">
        <f t="shared" si="10"/>
        <v>0</v>
      </c>
      <c r="AH62">
        <f t="shared" si="11"/>
        <v>0</v>
      </c>
      <c r="AI62">
        <f t="shared" si="12"/>
        <v>0</v>
      </c>
      <c r="AJ62">
        <f t="shared" si="13"/>
        <v>0</v>
      </c>
      <c r="AK62">
        <f t="shared" si="14"/>
        <v>0</v>
      </c>
      <c r="AL62">
        <f t="shared" si="15"/>
        <v>0</v>
      </c>
    </row>
    <row r="63" spans="1:38" x14ac:dyDescent="0.35">
      <c r="A63" s="25">
        <v>54</v>
      </c>
      <c r="B63" s="67"/>
      <c r="C63" s="31"/>
      <c r="D63" s="29"/>
      <c r="E63" s="118"/>
      <c r="F63" s="118"/>
      <c r="G63" s="37" t="str">
        <f t="shared" si="3"/>
        <v/>
      </c>
      <c r="H63" s="63"/>
      <c r="I63" s="29"/>
      <c r="J63" s="29"/>
      <c r="K63" s="29"/>
      <c r="L63" s="29"/>
      <c r="M63" s="29"/>
      <c r="N63" s="29"/>
      <c r="O63" s="29"/>
      <c r="P63" s="29"/>
      <c r="Q63" s="29"/>
      <c r="R63" s="29"/>
      <c r="S63" s="29"/>
      <c r="T63" s="42" t="str">
        <f t="shared" si="16"/>
        <v/>
      </c>
      <c r="U63" s="43" t="str">
        <f t="shared" si="17"/>
        <v/>
      </c>
      <c r="V63" s="44" t="str">
        <f t="shared" si="4"/>
        <v/>
      </c>
      <c r="W63" s="32"/>
      <c r="AB63">
        <f t="shared" si="5"/>
        <v>0</v>
      </c>
      <c r="AC63">
        <f t="shared" si="6"/>
        <v>0</v>
      </c>
      <c r="AD63">
        <f t="shared" si="7"/>
        <v>0</v>
      </c>
      <c r="AE63">
        <f t="shared" si="8"/>
        <v>0</v>
      </c>
      <c r="AF63">
        <f t="shared" si="9"/>
        <v>0</v>
      </c>
      <c r="AG63">
        <f t="shared" si="10"/>
        <v>0</v>
      </c>
      <c r="AH63">
        <f t="shared" si="11"/>
        <v>0</v>
      </c>
      <c r="AI63">
        <f t="shared" si="12"/>
        <v>0</v>
      </c>
      <c r="AJ63">
        <f t="shared" si="13"/>
        <v>0</v>
      </c>
      <c r="AK63">
        <f t="shared" si="14"/>
        <v>0</v>
      </c>
      <c r="AL63">
        <f t="shared" si="15"/>
        <v>0</v>
      </c>
    </row>
    <row r="64" spans="1:38" x14ac:dyDescent="0.35">
      <c r="A64" s="25">
        <v>55</v>
      </c>
      <c r="B64" s="67"/>
      <c r="C64" s="31"/>
      <c r="D64" s="29"/>
      <c r="E64" s="118"/>
      <c r="F64" s="118"/>
      <c r="G64" s="37" t="str">
        <f t="shared" si="3"/>
        <v/>
      </c>
      <c r="H64" s="63"/>
      <c r="I64" s="29"/>
      <c r="J64" s="29"/>
      <c r="K64" s="29"/>
      <c r="L64" s="29"/>
      <c r="M64" s="29"/>
      <c r="N64" s="29"/>
      <c r="O64" s="29"/>
      <c r="P64" s="29"/>
      <c r="Q64" s="29"/>
      <c r="R64" s="29"/>
      <c r="S64" s="29"/>
      <c r="T64" s="42" t="str">
        <f t="shared" si="16"/>
        <v/>
      </c>
      <c r="U64" s="43" t="str">
        <f t="shared" si="17"/>
        <v/>
      </c>
      <c r="V64" s="44" t="str">
        <f t="shared" si="4"/>
        <v/>
      </c>
      <c r="W64" s="32"/>
      <c r="AB64">
        <f t="shared" si="5"/>
        <v>0</v>
      </c>
      <c r="AC64">
        <f t="shared" si="6"/>
        <v>0</v>
      </c>
      <c r="AD64">
        <f t="shared" si="7"/>
        <v>0</v>
      </c>
      <c r="AE64">
        <f t="shared" si="8"/>
        <v>0</v>
      </c>
      <c r="AF64">
        <f t="shared" si="9"/>
        <v>0</v>
      </c>
      <c r="AG64">
        <f t="shared" si="10"/>
        <v>0</v>
      </c>
      <c r="AH64">
        <f t="shared" si="11"/>
        <v>0</v>
      </c>
      <c r="AI64">
        <f t="shared" si="12"/>
        <v>0</v>
      </c>
      <c r="AJ64">
        <f t="shared" si="13"/>
        <v>0</v>
      </c>
      <c r="AK64">
        <f t="shared" si="14"/>
        <v>0</v>
      </c>
      <c r="AL64">
        <f t="shared" si="15"/>
        <v>0</v>
      </c>
    </row>
    <row r="65" spans="1:38" x14ac:dyDescent="0.35">
      <c r="A65" s="25">
        <v>56</v>
      </c>
      <c r="B65" s="67"/>
      <c r="C65" s="31"/>
      <c r="D65" s="29"/>
      <c r="E65" s="118"/>
      <c r="F65" s="118"/>
      <c r="G65" s="37" t="str">
        <f t="shared" si="3"/>
        <v/>
      </c>
      <c r="H65" s="63"/>
      <c r="I65" s="29"/>
      <c r="J65" s="29"/>
      <c r="K65" s="29"/>
      <c r="L65" s="29"/>
      <c r="M65" s="29"/>
      <c r="N65" s="29"/>
      <c r="O65" s="29"/>
      <c r="P65" s="29"/>
      <c r="Q65" s="29"/>
      <c r="R65" s="29"/>
      <c r="S65" s="29"/>
      <c r="T65" s="42" t="str">
        <f t="shared" si="16"/>
        <v/>
      </c>
      <c r="U65" s="43" t="str">
        <f t="shared" si="17"/>
        <v/>
      </c>
      <c r="V65" s="44" t="str">
        <f t="shared" si="4"/>
        <v/>
      </c>
      <c r="W65" s="32"/>
      <c r="AB65">
        <f t="shared" si="5"/>
        <v>0</v>
      </c>
      <c r="AC65">
        <f t="shared" si="6"/>
        <v>0</v>
      </c>
      <c r="AD65">
        <f t="shared" si="7"/>
        <v>0</v>
      </c>
      <c r="AE65">
        <f t="shared" si="8"/>
        <v>0</v>
      </c>
      <c r="AF65">
        <f t="shared" si="9"/>
        <v>0</v>
      </c>
      <c r="AG65">
        <f t="shared" si="10"/>
        <v>0</v>
      </c>
      <c r="AH65">
        <f t="shared" si="11"/>
        <v>0</v>
      </c>
      <c r="AI65">
        <f t="shared" si="12"/>
        <v>0</v>
      </c>
      <c r="AJ65">
        <f t="shared" si="13"/>
        <v>0</v>
      </c>
      <c r="AK65">
        <f t="shared" si="14"/>
        <v>0</v>
      </c>
      <c r="AL65">
        <f t="shared" si="15"/>
        <v>0</v>
      </c>
    </row>
    <row r="66" spans="1:38" x14ac:dyDescent="0.35">
      <c r="A66" s="25">
        <v>57</v>
      </c>
      <c r="B66" s="67"/>
      <c r="C66" s="31"/>
      <c r="D66" s="29"/>
      <c r="E66" s="118"/>
      <c r="F66" s="118"/>
      <c r="G66" s="37" t="str">
        <f t="shared" si="3"/>
        <v/>
      </c>
      <c r="H66" s="63"/>
      <c r="I66" s="29"/>
      <c r="J66" s="29"/>
      <c r="K66" s="29"/>
      <c r="L66" s="29"/>
      <c r="M66" s="29"/>
      <c r="N66" s="29"/>
      <c r="O66" s="29"/>
      <c r="P66" s="29"/>
      <c r="Q66" s="29"/>
      <c r="R66" s="29"/>
      <c r="S66" s="29"/>
      <c r="T66" s="42" t="str">
        <f t="shared" si="16"/>
        <v/>
      </c>
      <c r="U66" s="43" t="str">
        <f t="shared" si="17"/>
        <v/>
      </c>
      <c r="V66" s="44" t="str">
        <f t="shared" si="4"/>
        <v/>
      </c>
      <c r="W66" s="32"/>
      <c r="AB66">
        <f t="shared" si="5"/>
        <v>0</v>
      </c>
      <c r="AC66">
        <f t="shared" si="6"/>
        <v>0</v>
      </c>
      <c r="AD66">
        <f t="shared" si="7"/>
        <v>0</v>
      </c>
      <c r="AE66">
        <f t="shared" si="8"/>
        <v>0</v>
      </c>
      <c r="AF66">
        <f t="shared" si="9"/>
        <v>0</v>
      </c>
      <c r="AG66">
        <f t="shared" si="10"/>
        <v>0</v>
      </c>
      <c r="AH66">
        <f t="shared" si="11"/>
        <v>0</v>
      </c>
      <c r="AI66">
        <f t="shared" si="12"/>
        <v>0</v>
      </c>
      <c r="AJ66">
        <f t="shared" si="13"/>
        <v>0</v>
      </c>
      <c r="AK66">
        <f t="shared" si="14"/>
        <v>0</v>
      </c>
      <c r="AL66">
        <f t="shared" si="15"/>
        <v>0</v>
      </c>
    </row>
    <row r="67" spans="1:38" x14ac:dyDescent="0.35">
      <c r="A67" s="25">
        <v>58</v>
      </c>
      <c r="B67" s="67"/>
      <c r="C67" s="31"/>
      <c r="D67" s="29"/>
      <c r="E67" s="118"/>
      <c r="F67" s="118"/>
      <c r="G67" s="37" t="str">
        <f t="shared" si="3"/>
        <v/>
      </c>
      <c r="H67" s="63"/>
      <c r="I67" s="29"/>
      <c r="J67" s="29"/>
      <c r="K67" s="29"/>
      <c r="L67" s="29"/>
      <c r="M67" s="29"/>
      <c r="N67" s="29"/>
      <c r="O67" s="29"/>
      <c r="P67" s="29"/>
      <c r="Q67" s="29"/>
      <c r="R67" s="29"/>
      <c r="S67" s="29"/>
      <c r="T67" s="42" t="str">
        <f t="shared" si="16"/>
        <v/>
      </c>
      <c r="U67" s="43" t="str">
        <f t="shared" si="17"/>
        <v/>
      </c>
      <c r="V67" s="44" t="str">
        <f t="shared" si="4"/>
        <v/>
      </c>
      <c r="W67" s="32"/>
      <c r="AB67">
        <f t="shared" si="5"/>
        <v>0</v>
      </c>
      <c r="AC67">
        <f t="shared" si="6"/>
        <v>0</v>
      </c>
      <c r="AD67">
        <f t="shared" si="7"/>
        <v>0</v>
      </c>
      <c r="AE67">
        <f t="shared" si="8"/>
        <v>0</v>
      </c>
      <c r="AF67">
        <f t="shared" si="9"/>
        <v>0</v>
      </c>
      <c r="AG67">
        <f t="shared" si="10"/>
        <v>0</v>
      </c>
      <c r="AH67">
        <f t="shared" si="11"/>
        <v>0</v>
      </c>
      <c r="AI67">
        <f t="shared" si="12"/>
        <v>0</v>
      </c>
      <c r="AJ67">
        <f t="shared" si="13"/>
        <v>0</v>
      </c>
      <c r="AK67">
        <f t="shared" si="14"/>
        <v>0</v>
      </c>
      <c r="AL67">
        <f t="shared" si="15"/>
        <v>0</v>
      </c>
    </row>
    <row r="68" spans="1:38" x14ac:dyDescent="0.35">
      <c r="A68" s="25">
        <v>59</v>
      </c>
      <c r="B68" s="67"/>
      <c r="C68" s="31"/>
      <c r="D68" s="29"/>
      <c r="E68" s="118"/>
      <c r="F68" s="118"/>
      <c r="G68" s="37" t="str">
        <f t="shared" si="3"/>
        <v/>
      </c>
      <c r="H68" s="63"/>
      <c r="I68" s="29"/>
      <c r="J68" s="29"/>
      <c r="K68" s="29"/>
      <c r="L68" s="29"/>
      <c r="M68" s="29"/>
      <c r="N68" s="29"/>
      <c r="O68" s="29"/>
      <c r="P68" s="29"/>
      <c r="Q68" s="29"/>
      <c r="R68" s="29"/>
      <c r="S68" s="29"/>
      <c r="T68" s="42" t="str">
        <f t="shared" si="16"/>
        <v/>
      </c>
      <c r="U68" s="43" t="str">
        <f t="shared" si="17"/>
        <v/>
      </c>
      <c r="V68" s="44" t="str">
        <f t="shared" si="4"/>
        <v/>
      </c>
      <c r="W68" s="32"/>
      <c r="AB68">
        <f t="shared" si="5"/>
        <v>0</v>
      </c>
      <c r="AC68">
        <f t="shared" si="6"/>
        <v>0</v>
      </c>
      <c r="AD68">
        <f t="shared" si="7"/>
        <v>0</v>
      </c>
      <c r="AE68">
        <f t="shared" si="8"/>
        <v>0</v>
      </c>
      <c r="AF68">
        <f t="shared" si="9"/>
        <v>0</v>
      </c>
      <c r="AG68">
        <f t="shared" si="10"/>
        <v>0</v>
      </c>
      <c r="AH68">
        <f t="shared" si="11"/>
        <v>0</v>
      </c>
      <c r="AI68">
        <f t="shared" si="12"/>
        <v>0</v>
      </c>
      <c r="AJ68">
        <f t="shared" si="13"/>
        <v>0</v>
      </c>
      <c r="AK68">
        <f t="shared" si="14"/>
        <v>0</v>
      </c>
      <c r="AL68">
        <f t="shared" si="15"/>
        <v>0</v>
      </c>
    </row>
    <row r="69" spans="1:38" x14ac:dyDescent="0.35">
      <c r="A69" s="25">
        <f>A68+1</f>
        <v>60</v>
      </c>
      <c r="B69" s="67"/>
      <c r="C69" s="31"/>
      <c r="D69" s="29"/>
      <c r="E69" s="118"/>
      <c r="F69" s="118"/>
      <c r="G69" s="37" t="str">
        <f t="shared" si="3"/>
        <v/>
      </c>
      <c r="H69" s="63"/>
      <c r="I69" s="29"/>
      <c r="J69" s="29"/>
      <c r="K69" s="29"/>
      <c r="L69" s="29"/>
      <c r="M69" s="29"/>
      <c r="N69" s="29"/>
      <c r="O69" s="29"/>
      <c r="P69" s="29"/>
      <c r="Q69" s="29"/>
      <c r="R69" s="29"/>
      <c r="S69" s="29"/>
      <c r="T69" s="42" t="str">
        <f t="shared" si="16"/>
        <v/>
      </c>
      <c r="U69" s="43" t="str">
        <f t="shared" si="17"/>
        <v/>
      </c>
      <c r="V69" s="44" t="str">
        <f t="shared" si="4"/>
        <v/>
      </c>
      <c r="W69" s="32"/>
      <c r="AB69">
        <f t="shared" si="5"/>
        <v>0</v>
      </c>
      <c r="AC69">
        <f t="shared" si="6"/>
        <v>0</v>
      </c>
      <c r="AD69">
        <f t="shared" si="7"/>
        <v>0</v>
      </c>
      <c r="AE69">
        <f t="shared" si="8"/>
        <v>0</v>
      </c>
      <c r="AF69">
        <f t="shared" si="9"/>
        <v>0</v>
      </c>
      <c r="AG69">
        <f t="shared" si="10"/>
        <v>0</v>
      </c>
      <c r="AH69">
        <f t="shared" si="11"/>
        <v>0</v>
      </c>
      <c r="AI69">
        <f t="shared" si="12"/>
        <v>0</v>
      </c>
      <c r="AJ69">
        <f t="shared" si="13"/>
        <v>0</v>
      </c>
      <c r="AK69">
        <f t="shared" si="14"/>
        <v>0</v>
      </c>
      <c r="AL69">
        <f t="shared" si="15"/>
        <v>0</v>
      </c>
    </row>
    <row r="70" spans="1:38" x14ac:dyDescent="0.35">
      <c r="A70" s="25">
        <f t="shared" ref="A70:A108" si="18">A69+1</f>
        <v>61</v>
      </c>
      <c r="B70" s="67"/>
      <c r="C70" s="31"/>
      <c r="D70" s="29"/>
      <c r="E70" s="118"/>
      <c r="F70" s="118"/>
      <c r="G70" s="37" t="str">
        <f t="shared" si="3"/>
        <v/>
      </c>
      <c r="H70" s="63"/>
      <c r="I70" s="29"/>
      <c r="J70" s="29"/>
      <c r="K70" s="29"/>
      <c r="L70" s="29"/>
      <c r="M70" s="29"/>
      <c r="N70" s="29"/>
      <c r="O70" s="29"/>
      <c r="P70" s="29"/>
      <c r="Q70" s="29"/>
      <c r="R70" s="29"/>
      <c r="S70" s="29"/>
      <c r="T70" s="42" t="str">
        <f t="shared" si="16"/>
        <v/>
      </c>
      <c r="U70" s="43" t="str">
        <f t="shared" si="17"/>
        <v/>
      </c>
      <c r="V70" s="44" t="str">
        <f t="shared" si="4"/>
        <v/>
      </c>
      <c r="W70" s="32"/>
      <c r="AB70">
        <f t="shared" si="5"/>
        <v>0</v>
      </c>
      <c r="AC70">
        <f t="shared" si="6"/>
        <v>0</v>
      </c>
      <c r="AD70">
        <f t="shared" si="7"/>
        <v>0</v>
      </c>
      <c r="AE70">
        <f t="shared" si="8"/>
        <v>0</v>
      </c>
      <c r="AF70">
        <f t="shared" si="9"/>
        <v>0</v>
      </c>
      <c r="AG70">
        <f t="shared" si="10"/>
        <v>0</v>
      </c>
      <c r="AH70">
        <f t="shared" si="11"/>
        <v>0</v>
      </c>
      <c r="AI70">
        <f t="shared" si="12"/>
        <v>0</v>
      </c>
      <c r="AJ70">
        <f t="shared" si="13"/>
        <v>0</v>
      </c>
      <c r="AK70">
        <f t="shared" si="14"/>
        <v>0</v>
      </c>
      <c r="AL70">
        <f t="shared" si="15"/>
        <v>0</v>
      </c>
    </row>
    <row r="71" spans="1:38" x14ac:dyDescent="0.35">
      <c r="A71" s="25">
        <f t="shared" si="18"/>
        <v>62</v>
      </c>
      <c r="B71" s="67"/>
      <c r="C71" s="31"/>
      <c r="D71" s="29"/>
      <c r="E71" s="118"/>
      <c r="F71" s="118"/>
      <c r="G71" s="37" t="str">
        <f t="shared" si="3"/>
        <v/>
      </c>
      <c r="H71" s="63"/>
      <c r="I71" s="29"/>
      <c r="J71" s="29"/>
      <c r="K71" s="29"/>
      <c r="L71" s="29"/>
      <c r="M71" s="29"/>
      <c r="N71" s="29"/>
      <c r="O71" s="29"/>
      <c r="P71" s="29"/>
      <c r="Q71" s="29"/>
      <c r="R71" s="29"/>
      <c r="S71" s="29"/>
      <c r="T71" s="42" t="str">
        <f t="shared" si="16"/>
        <v/>
      </c>
      <c r="U71" s="43" t="str">
        <f t="shared" si="17"/>
        <v/>
      </c>
      <c r="V71" s="44" t="str">
        <f t="shared" si="4"/>
        <v/>
      </c>
      <c r="W71" s="32"/>
      <c r="AB71">
        <f t="shared" si="5"/>
        <v>0</v>
      </c>
      <c r="AC71">
        <f t="shared" si="6"/>
        <v>0</v>
      </c>
      <c r="AD71">
        <f t="shared" si="7"/>
        <v>0</v>
      </c>
      <c r="AE71">
        <f t="shared" si="8"/>
        <v>0</v>
      </c>
      <c r="AF71">
        <f t="shared" si="9"/>
        <v>0</v>
      </c>
      <c r="AG71">
        <f t="shared" si="10"/>
        <v>0</v>
      </c>
      <c r="AH71">
        <f t="shared" si="11"/>
        <v>0</v>
      </c>
      <c r="AI71">
        <f t="shared" si="12"/>
        <v>0</v>
      </c>
      <c r="AJ71">
        <f t="shared" si="13"/>
        <v>0</v>
      </c>
      <c r="AK71">
        <f t="shared" si="14"/>
        <v>0</v>
      </c>
      <c r="AL71">
        <f t="shared" si="15"/>
        <v>0</v>
      </c>
    </row>
    <row r="72" spans="1:38" x14ac:dyDescent="0.35">
      <c r="A72" s="25">
        <f t="shared" si="18"/>
        <v>63</v>
      </c>
      <c r="B72" s="67"/>
      <c r="C72" s="31"/>
      <c r="D72" s="29"/>
      <c r="E72" s="118"/>
      <c r="F72" s="118"/>
      <c r="G72" s="37" t="str">
        <f t="shared" si="3"/>
        <v/>
      </c>
      <c r="H72" s="63"/>
      <c r="I72" s="29"/>
      <c r="J72" s="29"/>
      <c r="K72" s="29"/>
      <c r="L72" s="29"/>
      <c r="M72" s="29"/>
      <c r="N72" s="29"/>
      <c r="O72" s="29"/>
      <c r="P72" s="29"/>
      <c r="Q72" s="29"/>
      <c r="R72" s="29"/>
      <c r="S72" s="29"/>
      <c r="T72" s="42" t="str">
        <f t="shared" si="16"/>
        <v/>
      </c>
      <c r="U72" s="43" t="str">
        <f t="shared" si="17"/>
        <v/>
      </c>
      <c r="V72" s="44" t="str">
        <f t="shared" si="4"/>
        <v/>
      </c>
      <c r="W72" s="32"/>
      <c r="AB72">
        <f t="shared" si="5"/>
        <v>0</v>
      </c>
      <c r="AC72">
        <f t="shared" si="6"/>
        <v>0</v>
      </c>
      <c r="AD72">
        <f t="shared" si="7"/>
        <v>0</v>
      </c>
      <c r="AE72">
        <f t="shared" si="8"/>
        <v>0</v>
      </c>
      <c r="AF72">
        <f t="shared" si="9"/>
        <v>0</v>
      </c>
      <c r="AG72">
        <f t="shared" si="10"/>
        <v>0</v>
      </c>
      <c r="AH72">
        <f t="shared" si="11"/>
        <v>0</v>
      </c>
      <c r="AI72">
        <f t="shared" si="12"/>
        <v>0</v>
      </c>
      <c r="AJ72">
        <f t="shared" si="13"/>
        <v>0</v>
      </c>
      <c r="AK72">
        <f t="shared" si="14"/>
        <v>0</v>
      </c>
      <c r="AL72">
        <f t="shared" si="15"/>
        <v>0</v>
      </c>
    </row>
    <row r="73" spans="1:38" x14ac:dyDescent="0.35">
      <c r="A73" s="25">
        <f t="shared" si="18"/>
        <v>64</v>
      </c>
      <c r="B73" s="67"/>
      <c r="C73" s="31"/>
      <c r="D73" s="29"/>
      <c r="E73" s="118"/>
      <c r="F73" s="118"/>
      <c r="G73" s="37" t="str">
        <f t="shared" si="3"/>
        <v/>
      </c>
      <c r="H73" s="63"/>
      <c r="I73" s="29"/>
      <c r="J73" s="29"/>
      <c r="K73" s="29"/>
      <c r="L73" s="29"/>
      <c r="M73" s="29"/>
      <c r="N73" s="29"/>
      <c r="O73" s="29"/>
      <c r="P73" s="29"/>
      <c r="Q73" s="29"/>
      <c r="R73" s="29"/>
      <c r="S73" s="29"/>
      <c r="T73" s="42" t="str">
        <f t="shared" si="16"/>
        <v/>
      </c>
      <c r="U73" s="43" t="str">
        <f t="shared" si="17"/>
        <v/>
      </c>
      <c r="V73" s="44" t="str">
        <f t="shared" si="4"/>
        <v/>
      </c>
      <c r="W73" s="32"/>
      <c r="AB73">
        <f t="shared" si="5"/>
        <v>0</v>
      </c>
      <c r="AC73">
        <f t="shared" si="6"/>
        <v>0</v>
      </c>
      <c r="AD73">
        <f t="shared" si="7"/>
        <v>0</v>
      </c>
      <c r="AE73">
        <f t="shared" si="8"/>
        <v>0</v>
      </c>
      <c r="AF73">
        <f t="shared" si="9"/>
        <v>0</v>
      </c>
      <c r="AG73">
        <f t="shared" si="10"/>
        <v>0</v>
      </c>
      <c r="AH73">
        <f t="shared" si="11"/>
        <v>0</v>
      </c>
      <c r="AI73">
        <f t="shared" si="12"/>
        <v>0</v>
      </c>
      <c r="AJ73">
        <f t="shared" si="13"/>
        <v>0</v>
      </c>
      <c r="AK73">
        <f t="shared" si="14"/>
        <v>0</v>
      </c>
      <c r="AL73">
        <f t="shared" si="15"/>
        <v>0</v>
      </c>
    </row>
    <row r="74" spans="1:38" x14ac:dyDescent="0.35">
      <c r="A74" s="25">
        <f t="shared" si="18"/>
        <v>65</v>
      </c>
      <c r="B74" s="67"/>
      <c r="C74" s="31"/>
      <c r="D74" s="29"/>
      <c r="E74" s="118"/>
      <c r="F74" s="118"/>
      <c r="G74" s="37" t="str">
        <f t="shared" si="3"/>
        <v/>
      </c>
      <c r="H74" s="63"/>
      <c r="I74" s="29"/>
      <c r="J74" s="29"/>
      <c r="K74" s="29"/>
      <c r="L74" s="29"/>
      <c r="M74" s="29"/>
      <c r="N74" s="29"/>
      <c r="O74" s="29"/>
      <c r="P74" s="29"/>
      <c r="Q74" s="29"/>
      <c r="R74" s="29"/>
      <c r="S74" s="29"/>
      <c r="T74" s="42" t="str">
        <f t="shared" ref="T74:T105" si="19">IF(C74&lt;&gt;"",SUM(I74:S74),"")</f>
        <v/>
      </c>
      <c r="U74" s="43" t="str">
        <f t="shared" ref="U74:U105" si="20">IF(AND(T74&gt;0,C74&lt;&gt;""),T74/T$9,"")</f>
        <v/>
      </c>
      <c r="V74" s="44" t="str">
        <f t="shared" si="4"/>
        <v/>
      </c>
      <c r="W74" s="32"/>
      <c r="AB74">
        <f t="shared" si="5"/>
        <v>0</v>
      </c>
      <c r="AC74">
        <f t="shared" si="6"/>
        <v>0</v>
      </c>
      <c r="AD74">
        <f t="shared" si="7"/>
        <v>0</v>
      </c>
      <c r="AE74">
        <f t="shared" si="8"/>
        <v>0</v>
      </c>
      <c r="AF74">
        <f t="shared" si="9"/>
        <v>0</v>
      </c>
      <c r="AG74">
        <f t="shared" si="10"/>
        <v>0</v>
      </c>
      <c r="AH74">
        <f t="shared" si="11"/>
        <v>0</v>
      </c>
      <c r="AI74">
        <f t="shared" si="12"/>
        <v>0</v>
      </c>
      <c r="AJ74">
        <f t="shared" si="13"/>
        <v>0</v>
      </c>
      <c r="AK74">
        <f t="shared" si="14"/>
        <v>0</v>
      </c>
      <c r="AL74">
        <f t="shared" si="15"/>
        <v>0</v>
      </c>
    </row>
    <row r="75" spans="1:38" x14ac:dyDescent="0.35">
      <c r="A75" s="25">
        <f t="shared" si="18"/>
        <v>66</v>
      </c>
      <c r="B75" s="67"/>
      <c r="C75" s="31"/>
      <c r="D75" s="29"/>
      <c r="E75" s="118"/>
      <c r="F75" s="118"/>
      <c r="G75" s="37" t="str">
        <f t="shared" ref="G75:G109" si="21">IF(C75&lt;&gt;"",(F75-E75)/365,"")</f>
        <v/>
      </c>
      <c r="H75" s="63"/>
      <c r="I75" s="29"/>
      <c r="J75" s="29"/>
      <c r="K75" s="29"/>
      <c r="L75" s="29"/>
      <c r="M75" s="29"/>
      <c r="N75" s="29"/>
      <c r="O75" s="29"/>
      <c r="P75" s="29"/>
      <c r="Q75" s="29"/>
      <c r="R75" s="29"/>
      <c r="S75" s="29"/>
      <c r="T75" s="42" t="str">
        <f t="shared" si="19"/>
        <v/>
      </c>
      <c r="U75" s="43" t="str">
        <f t="shared" si="20"/>
        <v/>
      </c>
      <c r="V75" s="44" t="str">
        <f t="shared" ref="V75:V109" si="22">IF(U75&lt;&gt;"",IF($U75&lt;25%,"Emerging (Not Proficient)", IF(AND($U75 &gt;=25%, $U75 &lt;50%), "Emerging (Low Proficient)", IF(AND($U75 &gt;=50%, $U75 &lt;75%),"Developing (Nearly Proficient)",IF(AND($U75 &gt;=75%, $U75 &lt;85%),"Transitioning (Proficient)","At Grade Level (Highly Proficient)")))),"")</f>
        <v/>
      </c>
      <c r="W75" s="32"/>
      <c r="AB75">
        <f t="shared" ref="AB75:AB109" si="23">IF(I75/I$9&gt;=75%,1,0)</f>
        <v>0</v>
      </c>
      <c r="AC75">
        <f t="shared" si="6"/>
        <v>0</v>
      </c>
      <c r="AD75">
        <f t="shared" si="7"/>
        <v>0</v>
      </c>
      <c r="AE75">
        <f t="shared" si="8"/>
        <v>0</v>
      </c>
      <c r="AF75">
        <f t="shared" si="9"/>
        <v>0</v>
      </c>
      <c r="AG75">
        <f t="shared" si="10"/>
        <v>0</v>
      </c>
      <c r="AH75">
        <f t="shared" si="11"/>
        <v>0</v>
      </c>
      <c r="AI75">
        <f t="shared" si="12"/>
        <v>0</v>
      </c>
      <c r="AJ75">
        <f t="shared" si="13"/>
        <v>0</v>
      </c>
      <c r="AK75">
        <f t="shared" si="14"/>
        <v>0</v>
      </c>
      <c r="AL75">
        <f t="shared" si="15"/>
        <v>0</v>
      </c>
    </row>
    <row r="76" spans="1:38" x14ac:dyDescent="0.35">
      <c r="A76" s="25">
        <f t="shared" si="18"/>
        <v>67</v>
      </c>
      <c r="B76" s="67"/>
      <c r="C76" s="31"/>
      <c r="D76" s="29"/>
      <c r="E76" s="118"/>
      <c r="F76" s="118"/>
      <c r="G76" s="37" t="str">
        <f t="shared" si="21"/>
        <v/>
      </c>
      <c r="H76" s="63"/>
      <c r="I76" s="29"/>
      <c r="J76" s="29"/>
      <c r="K76" s="29"/>
      <c r="L76" s="29"/>
      <c r="M76" s="29"/>
      <c r="N76" s="29"/>
      <c r="O76" s="29"/>
      <c r="P76" s="29"/>
      <c r="Q76" s="29"/>
      <c r="R76" s="29"/>
      <c r="S76" s="29"/>
      <c r="T76" s="42" t="str">
        <f t="shared" si="19"/>
        <v/>
      </c>
      <c r="U76" s="43" t="str">
        <f t="shared" si="20"/>
        <v/>
      </c>
      <c r="V76" s="44" t="str">
        <f t="shared" si="22"/>
        <v/>
      </c>
      <c r="W76" s="32"/>
      <c r="AB76">
        <f t="shared" si="23"/>
        <v>0</v>
      </c>
      <c r="AC76">
        <f t="shared" si="6"/>
        <v>0</v>
      </c>
      <c r="AD76">
        <f t="shared" si="7"/>
        <v>0</v>
      </c>
      <c r="AE76">
        <f t="shared" si="8"/>
        <v>0</v>
      </c>
      <c r="AF76">
        <f t="shared" si="9"/>
        <v>0</v>
      </c>
      <c r="AG76">
        <f t="shared" si="10"/>
        <v>0</v>
      </c>
      <c r="AH76">
        <f t="shared" si="11"/>
        <v>0</v>
      </c>
      <c r="AI76">
        <f t="shared" si="12"/>
        <v>0</v>
      </c>
      <c r="AJ76">
        <f t="shared" si="13"/>
        <v>0</v>
      </c>
      <c r="AK76">
        <f t="shared" si="14"/>
        <v>0</v>
      </c>
      <c r="AL76">
        <f t="shared" si="15"/>
        <v>0</v>
      </c>
    </row>
    <row r="77" spans="1:38" x14ac:dyDescent="0.35">
      <c r="A77" s="25">
        <f t="shared" si="18"/>
        <v>68</v>
      </c>
      <c r="B77" s="67"/>
      <c r="C77" s="31"/>
      <c r="D77" s="29"/>
      <c r="E77" s="118"/>
      <c r="F77" s="118"/>
      <c r="G77" s="37" t="str">
        <f t="shared" si="21"/>
        <v/>
      </c>
      <c r="H77" s="63"/>
      <c r="I77" s="29"/>
      <c r="J77" s="29"/>
      <c r="K77" s="29"/>
      <c r="L77" s="29"/>
      <c r="M77" s="29"/>
      <c r="N77" s="29"/>
      <c r="O77" s="29"/>
      <c r="P77" s="29"/>
      <c r="Q77" s="29"/>
      <c r="R77" s="29"/>
      <c r="S77" s="29"/>
      <c r="T77" s="42" t="str">
        <f t="shared" si="19"/>
        <v/>
      </c>
      <c r="U77" s="43" t="str">
        <f t="shared" si="20"/>
        <v/>
      </c>
      <c r="V77" s="44" t="str">
        <f t="shared" si="22"/>
        <v/>
      </c>
      <c r="W77" s="32"/>
      <c r="AB77">
        <f t="shared" si="23"/>
        <v>0</v>
      </c>
      <c r="AC77">
        <f t="shared" si="6"/>
        <v>0</v>
      </c>
      <c r="AD77">
        <f t="shared" si="7"/>
        <v>0</v>
      </c>
      <c r="AE77">
        <f t="shared" si="8"/>
        <v>0</v>
      </c>
      <c r="AF77">
        <f t="shared" si="9"/>
        <v>0</v>
      </c>
      <c r="AG77">
        <f t="shared" si="10"/>
        <v>0</v>
      </c>
      <c r="AH77">
        <f t="shared" si="11"/>
        <v>0</v>
      </c>
      <c r="AI77">
        <f t="shared" si="12"/>
        <v>0</v>
      </c>
      <c r="AJ77">
        <f t="shared" si="13"/>
        <v>0</v>
      </c>
      <c r="AK77">
        <f t="shared" si="14"/>
        <v>0</v>
      </c>
      <c r="AL77">
        <f t="shared" si="15"/>
        <v>0</v>
      </c>
    </row>
    <row r="78" spans="1:38" x14ac:dyDescent="0.35">
      <c r="A78" s="25">
        <f t="shared" si="18"/>
        <v>69</v>
      </c>
      <c r="B78" s="67"/>
      <c r="C78" s="31"/>
      <c r="D78" s="29"/>
      <c r="E78" s="118"/>
      <c r="F78" s="118"/>
      <c r="G78" s="37" t="str">
        <f t="shared" si="21"/>
        <v/>
      </c>
      <c r="H78" s="63"/>
      <c r="I78" s="29"/>
      <c r="J78" s="29"/>
      <c r="K78" s="29"/>
      <c r="L78" s="29"/>
      <c r="M78" s="29"/>
      <c r="N78" s="29"/>
      <c r="O78" s="29"/>
      <c r="P78" s="29"/>
      <c r="Q78" s="29"/>
      <c r="R78" s="29"/>
      <c r="S78" s="29"/>
      <c r="T78" s="42" t="str">
        <f t="shared" si="19"/>
        <v/>
      </c>
      <c r="U78" s="43" t="str">
        <f t="shared" si="20"/>
        <v/>
      </c>
      <c r="V78" s="44" t="str">
        <f t="shared" si="22"/>
        <v/>
      </c>
      <c r="W78" s="32"/>
      <c r="AB78">
        <f t="shared" si="23"/>
        <v>0</v>
      </c>
      <c r="AC78">
        <f t="shared" si="6"/>
        <v>0</v>
      </c>
      <c r="AD78">
        <f t="shared" si="7"/>
        <v>0</v>
      </c>
      <c r="AE78">
        <f t="shared" si="8"/>
        <v>0</v>
      </c>
      <c r="AF78">
        <f t="shared" si="9"/>
        <v>0</v>
      </c>
      <c r="AG78">
        <f t="shared" si="10"/>
        <v>0</v>
      </c>
      <c r="AH78">
        <f t="shared" si="11"/>
        <v>0</v>
      </c>
      <c r="AI78">
        <f t="shared" si="12"/>
        <v>0</v>
      </c>
      <c r="AJ78">
        <f t="shared" si="13"/>
        <v>0</v>
      </c>
      <c r="AK78">
        <f t="shared" si="14"/>
        <v>0</v>
      </c>
      <c r="AL78">
        <f t="shared" si="15"/>
        <v>0</v>
      </c>
    </row>
    <row r="79" spans="1:38" x14ac:dyDescent="0.35">
      <c r="A79" s="25">
        <f t="shared" si="18"/>
        <v>70</v>
      </c>
      <c r="B79" s="67"/>
      <c r="C79" s="31"/>
      <c r="D79" s="29"/>
      <c r="E79" s="118"/>
      <c r="F79" s="118"/>
      <c r="G79" s="37" t="str">
        <f t="shared" si="21"/>
        <v/>
      </c>
      <c r="H79" s="63"/>
      <c r="I79" s="29"/>
      <c r="J79" s="29"/>
      <c r="K79" s="29"/>
      <c r="L79" s="29"/>
      <c r="M79" s="29"/>
      <c r="N79" s="29"/>
      <c r="O79" s="29"/>
      <c r="P79" s="29"/>
      <c r="Q79" s="29"/>
      <c r="R79" s="29"/>
      <c r="S79" s="29"/>
      <c r="T79" s="42" t="str">
        <f t="shared" si="19"/>
        <v/>
      </c>
      <c r="U79" s="43" t="str">
        <f t="shared" si="20"/>
        <v/>
      </c>
      <c r="V79" s="44" t="str">
        <f t="shared" si="22"/>
        <v/>
      </c>
      <c r="W79" s="32"/>
      <c r="AB79">
        <f t="shared" si="23"/>
        <v>0</v>
      </c>
      <c r="AC79">
        <f t="shared" si="6"/>
        <v>0</v>
      </c>
      <c r="AD79">
        <f t="shared" si="7"/>
        <v>0</v>
      </c>
      <c r="AE79">
        <f t="shared" si="8"/>
        <v>0</v>
      </c>
      <c r="AF79">
        <f t="shared" si="9"/>
        <v>0</v>
      </c>
      <c r="AG79">
        <f t="shared" si="10"/>
        <v>0</v>
      </c>
      <c r="AH79">
        <f t="shared" si="11"/>
        <v>0</v>
      </c>
      <c r="AI79">
        <f t="shared" si="12"/>
        <v>0</v>
      </c>
      <c r="AJ79">
        <f t="shared" si="13"/>
        <v>0</v>
      </c>
      <c r="AK79">
        <f t="shared" si="14"/>
        <v>0</v>
      </c>
      <c r="AL79">
        <f t="shared" si="15"/>
        <v>0</v>
      </c>
    </row>
    <row r="80" spans="1:38" x14ac:dyDescent="0.35">
      <c r="A80" s="25">
        <f t="shared" si="18"/>
        <v>71</v>
      </c>
      <c r="B80" s="67"/>
      <c r="C80" s="31"/>
      <c r="D80" s="29"/>
      <c r="E80" s="118"/>
      <c r="F80" s="118"/>
      <c r="G80" s="37" t="str">
        <f t="shared" si="21"/>
        <v/>
      </c>
      <c r="H80" s="63"/>
      <c r="I80" s="29"/>
      <c r="J80" s="29"/>
      <c r="K80" s="29"/>
      <c r="L80" s="29"/>
      <c r="M80" s="29"/>
      <c r="N80" s="29"/>
      <c r="O80" s="29"/>
      <c r="P80" s="29"/>
      <c r="Q80" s="29"/>
      <c r="R80" s="29"/>
      <c r="S80" s="29"/>
      <c r="T80" s="42" t="str">
        <f t="shared" si="19"/>
        <v/>
      </c>
      <c r="U80" s="43" t="str">
        <f t="shared" si="20"/>
        <v/>
      </c>
      <c r="V80" s="44" t="str">
        <f t="shared" si="22"/>
        <v/>
      </c>
      <c r="W80" s="32"/>
      <c r="AB80">
        <f t="shared" si="23"/>
        <v>0</v>
      </c>
      <c r="AC80">
        <f t="shared" si="6"/>
        <v>0</v>
      </c>
      <c r="AD80">
        <f t="shared" si="7"/>
        <v>0</v>
      </c>
      <c r="AE80">
        <f t="shared" si="8"/>
        <v>0</v>
      </c>
      <c r="AF80">
        <f t="shared" si="9"/>
        <v>0</v>
      </c>
      <c r="AG80">
        <f t="shared" si="10"/>
        <v>0</v>
      </c>
      <c r="AH80">
        <f t="shared" si="11"/>
        <v>0</v>
      </c>
      <c r="AI80">
        <f t="shared" si="12"/>
        <v>0</v>
      </c>
      <c r="AJ80">
        <f t="shared" si="13"/>
        <v>0</v>
      </c>
      <c r="AK80">
        <f t="shared" si="14"/>
        <v>0</v>
      </c>
      <c r="AL80">
        <f t="shared" si="15"/>
        <v>0</v>
      </c>
    </row>
    <row r="81" spans="1:38" x14ac:dyDescent="0.35">
      <c r="A81" s="25">
        <f t="shared" si="18"/>
        <v>72</v>
      </c>
      <c r="B81" s="67"/>
      <c r="C81" s="31"/>
      <c r="D81" s="29"/>
      <c r="E81" s="118"/>
      <c r="F81" s="118"/>
      <c r="G81" s="37" t="str">
        <f t="shared" si="21"/>
        <v/>
      </c>
      <c r="H81" s="63"/>
      <c r="I81" s="29"/>
      <c r="J81" s="29"/>
      <c r="K81" s="29"/>
      <c r="L81" s="29"/>
      <c r="M81" s="29"/>
      <c r="N81" s="29"/>
      <c r="O81" s="29"/>
      <c r="P81" s="29"/>
      <c r="Q81" s="29"/>
      <c r="R81" s="29"/>
      <c r="S81" s="29"/>
      <c r="T81" s="42" t="str">
        <f t="shared" si="19"/>
        <v/>
      </c>
      <c r="U81" s="43" t="str">
        <f t="shared" si="20"/>
        <v/>
      </c>
      <c r="V81" s="44" t="str">
        <f t="shared" si="22"/>
        <v/>
      </c>
      <c r="W81" s="32"/>
      <c r="AB81">
        <f t="shared" si="23"/>
        <v>0</v>
      </c>
      <c r="AC81">
        <f t="shared" si="6"/>
        <v>0</v>
      </c>
      <c r="AD81">
        <f t="shared" si="7"/>
        <v>0</v>
      </c>
      <c r="AE81">
        <f t="shared" si="8"/>
        <v>0</v>
      </c>
      <c r="AF81">
        <f t="shared" si="9"/>
        <v>0</v>
      </c>
      <c r="AG81">
        <f t="shared" si="10"/>
        <v>0</v>
      </c>
      <c r="AH81">
        <f t="shared" si="11"/>
        <v>0</v>
      </c>
      <c r="AI81">
        <f t="shared" si="12"/>
        <v>0</v>
      </c>
      <c r="AJ81">
        <f t="shared" si="13"/>
        <v>0</v>
      </c>
      <c r="AK81">
        <f t="shared" si="14"/>
        <v>0</v>
      </c>
      <c r="AL81">
        <f t="shared" si="15"/>
        <v>0</v>
      </c>
    </row>
    <row r="82" spans="1:38" x14ac:dyDescent="0.35">
      <c r="A82" s="25">
        <f t="shared" si="18"/>
        <v>73</v>
      </c>
      <c r="B82" s="67"/>
      <c r="C82" s="31"/>
      <c r="D82" s="29"/>
      <c r="E82" s="118"/>
      <c r="F82" s="118"/>
      <c r="G82" s="37" t="str">
        <f t="shared" si="21"/>
        <v/>
      </c>
      <c r="H82" s="63"/>
      <c r="I82" s="29"/>
      <c r="J82" s="29"/>
      <c r="K82" s="29"/>
      <c r="L82" s="29"/>
      <c r="M82" s="29"/>
      <c r="N82" s="29"/>
      <c r="O82" s="29"/>
      <c r="P82" s="29"/>
      <c r="Q82" s="29"/>
      <c r="R82" s="29"/>
      <c r="S82" s="29"/>
      <c r="T82" s="42" t="str">
        <f t="shared" si="19"/>
        <v/>
      </c>
      <c r="U82" s="43" t="str">
        <f t="shared" si="20"/>
        <v/>
      </c>
      <c r="V82" s="44" t="str">
        <f t="shared" si="22"/>
        <v/>
      </c>
      <c r="W82" s="32"/>
      <c r="AB82">
        <f t="shared" si="23"/>
        <v>0</v>
      </c>
      <c r="AC82">
        <f t="shared" si="6"/>
        <v>0</v>
      </c>
      <c r="AD82">
        <f t="shared" si="7"/>
        <v>0</v>
      </c>
      <c r="AE82">
        <f t="shared" si="8"/>
        <v>0</v>
      </c>
      <c r="AF82">
        <f t="shared" si="9"/>
        <v>0</v>
      </c>
      <c r="AG82">
        <f t="shared" si="10"/>
        <v>0</v>
      </c>
      <c r="AH82">
        <f t="shared" si="11"/>
        <v>0</v>
      </c>
      <c r="AI82">
        <f t="shared" si="12"/>
        <v>0</v>
      </c>
      <c r="AJ82">
        <f t="shared" si="13"/>
        <v>0</v>
      </c>
      <c r="AK82">
        <f t="shared" si="14"/>
        <v>0</v>
      </c>
      <c r="AL82">
        <f t="shared" si="15"/>
        <v>0</v>
      </c>
    </row>
    <row r="83" spans="1:38" x14ac:dyDescent="0.35">
      <c r="A83" s="25">
        <f t="shared" si="18"/>
        <v>74</v>
      </c>
      <c r="B83" s="67"/>
      <c r="C83" s="31"/>
      <c r="D83" s="29"/>
      <c r="E83" s="118"/>
      <c r="F83" s="118"/>
      <c r="G83" s="37" t="str">
        <f t="shared" si="21"/>
        <v/>
      </c>
      <c r="H83" s="63"/>
      <c r="I83" s="29"/>
      <c r="J83" s="29"/>
      <c r="K83" s="29"/>
      <c r="L83" s="29"/>
      <c r="M83" s="29"/>
      <c r="N83" s="29"/>
      <c r="O83" s="29"/>
      <c r="P83" s="29"/>
      <c r="Q83" s="29"/>
      <c r="R83" s="29"/>
      <c r="S83" s="29"/>
      <c r="T83" s="42" t="str">
        <f t="shared" si="19"/>
        <v/>
      </c>
      <c r="U83" s="43" t="str">
        <f t="shared" si="20"/>
        <v/>
      </c>
      <c r="V83" s="44" t="str">
        <f t="shared" si="22"/>
        <v/>
      </c>
      <c r="W83" s="32"/>
      <c r="AB83">
        <f t="shared" si="23"/>
        <v>0</v>
      </c>
      <c r="AC83">
        <f t="shared" si="6"/>
        <v>0</v>
      </c>
      <c r="AD83">
        <f t="shared" si="7"/>
        <v>0</v>
      </c>
      <c r="AE83">
        <f t="shared" si="8"/>
        <v>0</v>
      </c>
      <c r="AF83">
        <f t="shared" si="9"/>
        <v>0</v>
      </c>
      <c r="AG83">
        <f t="shared" si="10"/>
        <v>0</v>
      </c>
      <c r="AH83">
        <f t="shared" si="11"/>
        <v>0</v>
      </c>
      <c r="AI83">
        <f t="shared" si="12"/>
        <v>0</v>
      </c>
      <c r="AJ83">
        <f t="shared" si="13"/>
        <v>0</v>
      </c>
      <c r="AK83">
        <f t="shared" si="14"/>
        <v>0</v>
      </c>
      <c r="AL83">
        <f t="shared" si="15"/>
        <v>0</v>
      </c>
    </row>
    <row r="84" spans="1:38" x14ac:dyDescent="0.35">
      <c r="A84" s="25">
        <f t="shared" si="18"/>
        <v>75</v>
      </c>
      <c r="B84" s="67"/>
      <c r="C84" s="31"/>
      <c r="D84" s="29"/>
      <c r="E84" s="118"/>
      <c r="F84" s="118"/>
      <c r="G84" s="37" t="str">
        <f t="shared" si="21"/>
        <v/>
      </c>
      <c r="H84" s="63"/>
      <c r="I84" s="29"/>
      <c r="J84" s="29"/>
      <c r="K84" s="29"/>
      <c r="L84" s="29"/>
      <c r="M84" s="29"/>
      <c r="N84" s="29"/>
      <c r="O84" s="29"/>
      <c r="P84" s="29"/>
      <c r="Q84" s="29"/>
      <c r="R84" s="29"/>
      <c r="S84" s="29"/>
      <c r="T84" s="42" t="str">
        <f t="shared" si="19"/>
        <v/>
      </c>
      <c r="U84" s="43" t="str">
        <f t="shared" si="20"/>
        <v/>
      </c>
      <c r="V84" s="44" t="str">
        <f t="shared" si="22"/>
        <v/>
      </c>
      <c r="W84" s="32"/>
      <c r="AB84">
        <f t="shared" si="23"/>
        <v>0</v>
      </c>
      <c r="AC84">
        <f t="shared" si="6"/>
        <v>0</v>
      </c>
      <c r="AD84">
        <f t="shared" si="7"/>
        <v>0</v>
      </c>
      <c r="AE84">
        <f t="shared" si="8"/>
        <v>0</v>
      </c>
      <c r="AF84">
        <f t="shared" si="9"/>
        <v>0</v>
      </c>
      <c r="AG84">
        <f t="shared" si="10"/>
        <v>0</v>
      </c>
      <c r="AH84">
        <f t="shared" si="11"/>
        <v>0</v>
      </c>
      <c r="AI84">
        <f t="shared" si="12"/>
        <v>0</v>
      </c>
      <c r="AJ84">
        <f t="shared" si="13"/>
        <v>0</v>
      </c>
      <c r="AK84">
        <f t="shared" si="14"/>
        <v>0</v>
      </c>
      <c r="AL84">
        <f t="shared" si="15"/>
        <v>0</v>
      </c>
    </row>
    <row r="85" spans="1:38" x14ac:dyDescent="0.35">
      <c r="A85" s="25">
        <f t="shared" si="18"/>
        <v>76</v>
      </c>
      <c r="B85" s="67"/>
      <c r="C85" s="31"/>
      <c r="D85" s="29"/>
      <c r="E85" s="118"/>
      <c r="F85" s="118"/>
      <c r="G85" s="37" t="str">
        <f t="shared" si="21"/>
        <v/>
      </c>
      <c r="H85" s="63"/>
      <c r="I85" s="29"/>
      <c r="J85" s="29"/>
      <c r="K85" s="29"/>
      <c r="L85" s="29"/>
      <c r="M85" s="29"/>
      <c r="N85" s="29"/>
      <c r="O85" s="29"/>
      <c r="P85" s="29"/>
      <c r="Q85" s="29"/>
      <c r="R85" s="29"/>
      <c r="S85" s="29"/>
      <c r="T85" s="42" t="str">
        <f t="shared" si="19"/>
        <v/>
      </c>
      <c r="U85" s="43" t="str">
        <f t="shared" si="20"/>
        <v/>
      </c>
      <c r="V85" s="44" t="str">
        <f t="shared" si="22"/>
        <v/>
      </c>
      <c r="W85" s="32"/>
      <c r="AB85">
        <f t="shared" si="23"/>
        <v>0</v>
      </c>
      <c r="AC85">
        <f t="shared" si="6"/>
        <v>0</v>
      </c>
      <c r="AD85">
        <f t="shared" si="7"/>
        <v>0</v>
      </c>
      <c r="AE85">
        <f t="shared" si="8"/>
        <v>0</v>
      </c>
      <c r="AF85">
        <f t="shared" si="9"/>
        <v>0</v>
      </c>
      <c r="AG85">
        <f t="shared" si="10"/>
        <v>0</v>
      </c>
      <c r="AH85">
        <f t="shared" si="11"/>
        <v>0</v>
      </c>
      <c r="AI85">
        <f t="shared" si="12"/>
        <v>0</v>
      </c>
      <c r="AJ85">
        <f t="shared" si="13"/>
        <v>0</v>
      </c>
      <c r="AK85">
        <f t="shared" si="14"/>
        <v>0</v>
      </c>
      <c r="AL85">
        <f t="shared" si="15"/>
        <v>0</v>
      </c>
    </row>
    <row r="86" spans="1:38" x14ac:dyDescent="0.35">
      <c r="A86" s="25">
        <f t="shared" si="18"/>
        <v>77</v>
      </c>
      <c r="B86" s="67"/>
      <c r="C86" s="31"/>
      <c r="D86" s="29"/>
      <c r="E86" s="118"/>
      <c r="F86" s="118"/>
      <c r="G86" s="37" t="str">
        <f t="shared" si="21"/>
        <v/>
      </c>
      <c r="H86" s="63"/>
      <c r="I86" s="29"/>
      <c r="J86" s="29"/>
      <c r="K86" s="29"/>
      <c r="L86" s="29"/>
      <c r="M86" s="29"/>
      <c r="N86" s="29"/>
      <c r="O86" s="29"/>
      <c r="P86" s="29"/>
      <c r="Q86" s="29"/>
      <c r="R86" s="29"/>
      <c r="S86" s="29"/>
      <c r="T86" s="42" t="str">
        <f t="shared" si="19"/>
        <v/>
      </c>
      <c r="U86" s="43" t="str">
        <f t="shared" si="20"/>
        <v/>
      </c>
      <c r="V86" s="44" t="str">
        <f t="shared" si="22"/>
        <v/>
      </c>
      <c r="W86" s="32"/>
      <c r="AB86">
        <f t="shared" si="23"/>
        <v>0</v>
      </c>
      <c r="AC86">
        <f t="shared" si="6"/>
        <v>0</v>
      </c>
      <c r="AD86">
        <f t="shared" si="7"/>
        <v>0</v>
      </c>
      <c r="AE86">
        <f t="shared" si="8"/>
        <v>0</v>
      </c>
      <c r="AF86">
        <f t="shared" si="9"/>
        <v>0</v>
      </c>
      <c r="AG86">
        <f t="shared" si="10"/>
        <v>0</v>
      </c>
      <c r="AH86">
        <f t="shared" si="11"/>
        <v>0</v>
      </c>
      <c r="AI86">
        <f t="shared" si="12"/>
        <v>0</v>
      </c>
      <c r="AJ86">
        <f t="shared" si="13"/>
        <v>0</v>
      </c>
      <c r="AK86">
        <f t="shared" si="14"/>
        <v>0</v>
      </c>
      <c r="AL86">
        <f t="shared" si="15"/>
        <v>0</v>
      </c>
    </row>
    <row r="87" spans="1:38" x14ac:dyDescent="0.35">
      <c r="A87" s="25">
        <f t="shared" si="18"/>
        <v>78</v>
      </c>
      <c r="B87" s="67"/>
      <c r="C87" s="31"/>
      <c r="D87" s="29"/>
      <c r="E87" s="118"/>
      <c r="F87" s="118"/>
      <c r="G87" s="37" t="str">
        <f t="shared" si="21"/>
        <v/>
      </c>
      <c r="H87" s="63"/>
      <c r="I87" s="29"/>
      <c r="J87" s="29"/>
      <c r="K87" s="29"/>
      <c r="L87" s="29"/>
      <c r="M87" s="29"/>
      <c r="N87" s="29"/>
      <c r="O87" s="29"/>
      <c r="P87" s="29"/>
      <c r="Q87" s="29"/>
      <c r="R87" s="29"/>
      <c r="S87" s="29"/>
      <c r="T87" s="42" t="str">
        <f t="shared" si="19"/>
        <v/>
      </c>
      <c r="U87" s="43" t="str">
        <f t="shared" si="20"/>
        <v/>
      </c>
      <c r="V87" s="44" t="str">
        <f t="shared" si="22"/>
        <v/>
      </c>
      <c r="W87" s="32"/>
      <c r="AB87">
        <f t="shared" si="23"/>
        <v>0</v>
      </c>
      <c r="AC87">
        <f t="shared" si="6"/>
        <v>0</v>
      </c>
      <c r="AD87">
        <f t="shared" si="7"/>
        <v>0</v>
      </c>
      <c r="AE87">
        <f t="shared" si="8"/>
        <v>0</v>
      </c>
      <c r="AF87">
        <f t="shared" si="9"/>
        <v>0</v>
      </c>
      <c r="AG87">
        <f t="shared" si="10"/>
        <v>0</v>
      </c>
      <c r="AH87">
        <f t="shared" si="11"/>
        <v>0</v>
      </c>
      <c r="AI87">
        <f t="shared" si="12"/>
        <v>0</v>
      </c>
      <c r="AJ87">
        <f t="shared" si="13"/>
        <v>0</v>
      </c>
      <c r="AK87">
        <f t="shared" si="14"/>
        <v>0</v>
      </c>
      <c r="AL87">
        <f t="shared" si="15"/>
        <v>0</v>
      </c>
    </row>
    <row r="88" spans="1:38" x14ac:dyDescent="0.35">
      <c r="A88" s="25">
        <f t="shared" si="18"/>
        <v>79</v>
      </c>
      <c r="B88" s="67"/>
      <c r="C88" s="31"/>
      <c r="D88" s="29"/>
      <c r="E88" s="118"/>
      <c r="F88" s="118"/>
      <c r="G88" s="37" t="str">
        <f t="shared" si="21"/>
        <v/>
      </c>
      <c r="H88" s="63"/>
      <c r="I88" s="29"/>
      <c r="J88" s="29"/>
      <c r="K88" s="29"/>
      <c r="L88" s="29"/>
      <c r="M88" s="29"/>
      <c r="N88" s="29"/>
      <c r="O88" s="29"/>
      <c r="P88" s="29"/>
      <c r="Q88" s="29"/>
      <c r="R88" s="29"/>
      <c r="S88" s="29"/>
      <c r="T88" s="42" t="str">
        <f t="shared" si="19"/>
        <v/>
      </c>
      <c r="U88" s="43" t="str">
        <f t="shared" si="20"/>
        <v/>
      </c>
      <c r="V88" s="44" t="str">
        <f t="shared" si="22"/>
        <v/>
      </c>
      <c r="W88" s="32"/>
      <c r="AB88">
        <f t="shared" si="23"/>
        <v>0</v>
      </c>
      <c r="AC88">
        <f t="shared" si="6"/>
        <v>0</v>
      </c>
      <c r="AD88">
        <f t="shared" si="7"/>
        <v>0</v>
      </c>
      <c r="AE88">
        <f t="shared" si="8"/>
        <v>0</v>
      </c>
      <c r="AF88">
        <f t="shared" si="9"/>
        <v>0</v>
      </c>
      <c r="AG88">
        <f t="shared" si="10"/>
        <v>0</v>
      </c>
      <c r="AH88">
        <f t="shared" si="11"/>
        <v>0</v>
      </c>
      <c r="AI88">
        <f t="shared" si="12"/>
        <v>0</v>
      </c>
      <c r="AJ88">
        <f t="shared" si="13"/>
        <v>0</v>
      </c>
      <c r="AK88">
        <f t="shared" si="14"/>
        <v>0</v>
      </c>
      <c r="AL88">
        <f t="shared" si="15"/>
        <v>0</v>
      </c>
    </row>
    <row r="89" spans="1:38" x14ac:dyDescent="0.35">
      <c r="A89" s="25">
        <f t="shared" si="18"/>
        <v>80</v>
      </c>
      <c r="B89" s="67"/>
      <c r="C89" s="31"/>
      <c r="D89" s="29"/>
      <c r="E89" s="118"/>
      <c r="F89" s="118"/>
      <c r="G89" s="37" t="str">
        <f t="shared" si="21"/>
        <v/>
      </c>
      <c r="H89" s="63"/>
      <c r="I89" s="29"/>
      <c r="J89" s="29"/>
      <c r="K89" s="29"/>
      <c r="L89" s="29"/>
      <c r="M89" s="29"/>
      <c r="N89" s="29"/>
      <c r="O89" s="29"/>
      <c r="P89" s="29"/>
      <c r="Q89" s="29"/>
      <c r="R89" s="29"/>
      <c r="S89" s="29"/>
      <c r="T89" s="42" t="str">
        <f t="shared" si="19"/>
        <v/>
      </c>
      <c r="U89" s="43" t="str">
        <f t="shared" si="20"/>
        <v/>
      </c>
      <c r="V89" s="44" t="str">
        <f t="shared" si="22"/>
        <v/>
      </c>
      <c r="W89" s="32"/>
      <c r="AB89">
        <f t="shared" si="23"/>
        <v>0</v>
      </c>
      <c r="AC89">
        <f t="shared" si="6"/>
        <v>0</v>
      </c>
      <c r="AD89">
        <f t="shared" si="7"/>
        <v>0</v>
      </c>
      <c r="AE89">
        <f t="shared" si="8"/>
        <v>0</v>
      </c>
      <c r="AF89">
        <f t="shared" si="9"/>
        <v>0</v>
      </c>
      <c r="AG89">
        <f t="shared" si="10"/>
        <v>0</v>
      </c>
      <c r="AH89">
        <f t="shared" si="11"/>
        <v>0</v>
      </c>
      <c r="AI89">
        <f t="shared" si="12"/>
        <v>0</v>
      </c>
      <c r="AJ89">
        <f t="shared" si="13"/>
        <v>0</v>
      </c>
      <c r="AK89">
        <f t="shared" si="14"/>
        <v>0</v>
      </c>
      <c r="AL89">
        <f t="shared" si="15"/>
        <v>0</v>
      </c>
    </row>
    <row r="90" spans="1:38" x14ac:dyDescent="0.35">
      <c r="A90" s="25">
        <f t="shared" si="18"/>
        <v>81</v>
      </c>
      <c r="B90" s="67"/>
      <c r="C90" s="31"/>
      <c r="D90" s="29"/>
      <c r="E90" s="118"/>
      <c r="F90" s="118"/>
      <c r="G90" s="37" t="str">
        <f t="shared" si="21"/>
        <v/>
      </c>
      <c r="H90" s="63"/>
      <c r="I90" s="29"/>
      <c r="J90" s="29"/>
      <c r="K90" s="29"/>
      <c r="L90" s="29"/>
      <c r="M90" s="29"/>
      <c r="N90" s="29"/>
      <c r="O90" s="29"/>
      <c r="P90" s="29"/>
      <c r="Q90" s="29"/>
      <c r="R90" s="29"/>
      <c r="S90" s="29"/>
      <c r="T90" s="42" t="str">
        <f t="shared" si="19"/>
        <v/>
      </c>
      <c r="U90" s="43" t="str">
        <f t="shared" si="20"/>
        <v/>
      </c>
      <c r="V90" s="44" t="str">
        <f t="shared" si="22"/>
        <v/>
      </c>
      <c r="W90" s="32"/>
      <c r="AB90">
        <f t="shared" si="23"/>
        <v>0</v>
      </c>
      <c r="AC90">
        <f t="shared" ref="AC90:AC109" si="24">IF(J90/J$9&gt;=75%,1,0)</f>
        <v>0</v>
      </c>
      <c r="AD90">
        <f t="shared" ref="AD90:AD109" si="25">IF(K90/K$9&gt;=75%,1,0)</f>
        <v>0</v>
      </c>
      <c r="AE90">
        <f t="shared" ref="AE90:AE109" si="26">IF(L90/L$9&gt;=75%,1,0)</f>
        <v>0</v>
      </c>
      <c r="AF90">
        <f t="shared" ref="AF90:AF109" si="27">IF(M90/M$9&gt;=75%,1,0)</f>
        <v>0</v>
      </c>
      <c r="AG90">
        <f t="shared" ref="AG90:AG109" si="28">IF(N90/N$9&gt;=75%,1,0)</f>
        <v>0</v>
      </c>
      <c r="AH90">
        <f t="shared" ref="AH90:AH109" si="29">IF(O90/O$9&gt;=75%,1,0)</f>
        <v>0</v>
      </c>
      <c r="AI90">
        <f t="shared" ref="AI90:AI109" si="30">IF(P90/P$9&gt;=75%,1,0)</f>
        <v>0</v>
      </c>
      <c r="AJ90">
        <f t="shared" ref="AJ90:AJ109" si="31">IF(Q90/Q$9&gt;=75%,1,0)</f>
        <v>0</v>
      </c>
      <c r="AK90">
        <f t="shared" ref="AK90:AK109" si="32">IF(R90/R$9&gt;=75%,1,0)</f>
        <v>0</v>
      </c>
      <c r="AL90">
        <f t="shared" ref="AL90:AL109" si="33">IF(S90/S$9&gt;=75%,1,0)</f>
        <v>0</v>
      </c>
    </row>
    <row r="91" spans="1:38" x14ac:dyDescent="0.35">
      <c r="A91" s="25">
        <f t="shared" si="18"/>
        <v>82</v>
      </c>
      <c r="B91" s="67"/>
      <c r="C91" s="31"/>
      <c r="D91" s="29"/>
      <c r="E91" s="118"/>
      <c r="F91" s="118"/>
      <c r="G91" s="37" t="str">
        <f t="shared" si="21"/>
        <v/>
      </c>
      <c r="H91" s="63"/>
      <c r="I91" s="29"/>
      <c r="J91" s="29"/>
      <c r="K91" s="29"/>
      <c r="L91" s="29"/>
      <c r="M91" s="29"/>
      <c r="N91" s="29"/>
      <c r="O91" s="29"/>
      <c r="P91" s="29"/>
      <c r="Q91" s="29"/>
      <c r="R91" s="29"/>
      <c r="S91" s="29"/>
      <c r="T91" s="42" t="str">
        <f t="shared" si="19"/>
        <v/>
      </c>
      <c r="U91" s="43" t="str">
        <f t="shared" si="20"/>
        <v/>
      </c>
      <c r="V91" s="44" t="str">
        <f t="shared" si="22"/>
        <v/>
      </c>
      <c r="W91" s="32"/>
      <c r="AB91">
        <f t="shared" si="23"/>
        <v>0</v>
      </c>
      <c r="AC91">
        <f t="shared" si="24"/>
        <v>0</v>
      </c>
      <c r="AD91">
        <f t="shared" si="25"/>
        <v>0</v>
      </c>
      <c r="AE91">
        <f t="shared" si="26"/>
        <v>0</v>
      </c>
      <c r="AF91">
        <f t="shared" si="27"/>
        <v>0</v>
      </c>
      <c r="AG91">
        <f t="shared" si="28"/>
        <v>0</v>
      </c>
      <c r="AH91">
        <f t="shared" si="29"/>
        <v>0</v>
      </c>
      <c r="AI91">
        <f t="shared" si="30"/>
        <v>0</v>
      </c>
      <c r="AJ91">
        <f t="shared" si="31"/>
        <v>0</v>
      </c>
      <c r="AK91">
        <f t="shared" si="32"/>
        <v>0</v>
      </c>
      <c r="AL91">
        <f t="shared" si="33"/>
        <v>0</v>
      </c>
    </row>
    <row r="92" spans="1:38" x14ac:dyDescent="0.35">
      <c r="A92" s="25">
        <f t="shared" si="18"/>
        <v>83</v>
      </c>
      <c r="B92" s="67"/>
      <c r="C92" s="31"/>
      <c r="D92" s="29"/>
      <c r="E92" s="118"/>
      <c r="F92" s="118"/>
      <c r="G92" s="37" t="str">
        <f t="shared" si="21"/>
        <v/>
      </c>
      <c r="H92" s="63"/>
      <c r="I92" s="29"/>
      <c r="J92" s="29"/>
      <c r="K92" s="29"/>
      <c r="L92" s="29"/>
      <c r="M92" s="29"/>
      <c r="N92" s="29"/>
      <c r="O92" s="29"/>
      <c r="P92" s="29"/>
      <c r="Q92" s="29"/>
      <c r="R92" s="29"/>
      <c r="S92" s="29"/>
      <c r="T92" s="42" t="str">
        <f t="shared" si="19"/>
        <v/>
      </c>
      <c r="U92" s="43" t="str">
        <f t="shared" si="20"/>
        <v/>
      </c>
      <c r="V92" s="44" t="str">
        <f t="shared" si="22"/>
        <v/>
      </c>
      <c r="W92" s="32"/>
      <c r="AB92">
        <f t="shared" si="23"/>
        <v>0</v>
      </c>
      <c r="AC92">
        <f t="shared" si="24"/>
        <v>0</v>
      </c>
      <c r="AD92">
        <f t="shared" si="25"/>
        <v>0</v>
      </c>
      <c r="AE92">
        <f t="shared" si="26"/>
        <v>0</v>
      </c>
      <c r="AF92">
        <f t="shared" si="27"/>
        <v>0</v>
      </c>
      <c r="AG92">
        <f t="shared" si="28"/>
        <v>0</v>
      </c>
      <c r="AH92">
        <f t="shared" si="29"/>
        <v>0</v>
      </c>
      <c r="AI92">
        <f t="shared" si="30"/>
        <v>0</v>
      </c>
      <c r="AJ92">
        <f t="shared" si="31"/>
        <v>0</v>
      </c>
      <c r="AK92">
        <f t="shared" si="32"/>
        <v>0</v>
      </c>
      <c r="AL92">
        <f t="shared" si="33"/>
        <v>0</v>
      </c>
    </row>
    <row r="93" spans="1:38" x14ac:dyDescent="0.35">
      <c r="A93" s="25">
        <f t="shared" si="18"/>
        <v>84</v>
      </c>
      <c r="B93" s="67"/>
      <c r="C93" s="31"/>
      <c r="D93" s="29"/>
      <c r="E93" s="118"/>
      <c r="F93" s="118"/>
      <c r="G93" s="37" t="str">
        <f t="shared" si="21"/>
        <v/>
      </c>
      <c r="H93" s="63"/>
      <c r="I93" s="29"/>
      <c r="J93" s="29"/>
      <c r="K93" s="29"/>
      <c r="L93" s="29"/>
      <c r="M93" s="29"/>
      <c r="N93" s="29"/>
      <c r="O93" s="29"/>
      <c r="P93" s="29"/>
      <c r="Q93" s="29"/>
      <c r="R93" s="29"/>
      <c r="S93" s="29"/>
      <c r="T93" s="42" t="str">
        <f t="shared" si="19"/>
        <v/>
      </c>
      <c r="U93" s="43" t="str">
        <f t="shared" si="20"/>
        <v/>
      </c>
      <c r="V93" s="44" t="str">
        <f t="shared" si="22"/>
        <v/>
      </c>
      <c r="W93" s="32"/>
      <c r="AB93">
        <f t="shared" si="23"/>
        <v>0</v>
      </c>
      <c r="AC93">
        <f t="shared" si="24"/>
        <v>0</v>
      </c>
      <c r="AD93">
        <f t="shared" si="25"/>
        <v>0</v>
      </c>
      <c r="AE93">
        <f t="shared" si="26"/>
        <v>0</v>
      </c>
      <c r="AF93">
        <f t="shared" si="27"/>
        <v>0</v>
      </c>
      <c r="AG93">
        <f t="shared" si="28"/>
        <v>0</v>
      </c>
      <c r="AH93">
        <f t="shared" si="29"/>
        <v>0</v>
      </c>
      <c r="AI93">
        <f t="shared" si="30"/>
        <v>0</v>
      </c>
      <c r="AJ93">
        <f t="shared" si="31"/>
        <v>0</v>
      </c>
      <c r="AK93">
        <f t="shared" si="32"/>
        <v>0</v>
      </c>
      <c r="AL93">
        <f t="shared" si="33"/>
        <v>0</v>
      </c>
    </row>
    <row r="94" spans="1:38" x14ac:dyDescent="0.35">
      <c r="A94" s="25">
        <f t="shared" si="18"/>
        <v>85</v>
      </c>
      <c r="B94" s="67"/>
      <c r="C94" s="31"/>
      <c r="D94" s="29"/>
      <c r="E94" s="118"/>
      <c r="F94" s="118"/>
      <c r="G94" s="37" t="str">
        <f t="shared" si="21"/>
        <v/>
      </c>
      <c r="H94" s="63"/>
      <c r="I94" s="29"/>
      <c r="J94" s="29"/>
      <c r="K94" s="29"/>
      <c r="L94" s="29"/>
      <c r="M94" s="29"/>
      <c r="N94" s="29"/>
      <c r="O94" s="29"/>
      <c r="P94" s="29"/>
      <c r="Q94" s="29"/>
      <c r="R94" s="29"/>
      <c r="S94" s="29"/>
      <c r="T94" s="42" t="str">
        <f t="shared" si="19"/>
        <v/>
      </c>
      <c r="U94" s="43" t="str">
        <f t="shared" si="20"/>
        <v/>
      </c>
      <c r="V94" s="44" t="str">
        <f t="shared" si="22"/>
        <v/>
      </c>
      <c r="W94" s="32"/>
      <c r="AB94">
        <f t="shared" si="23"/>
        <v>0</v>
      </c>
      <c r="AC94">
        <f t="shared" si="24"/>
        <v>0</v>
      </c>
      <c r="AD94">
        <f t="shared" si="25"/>
        <v>0</v>
      </c>
      <c r="AE94">
        <f t="shared" si="26"/>
        <v>0</v>
      </c>
      <c r="AF94">
        <f t="shared" si="27"/>
        <v>0</v>
      </c>
      <c r="AG94">
        <f t="shared" si="28"/>
        <v>0</v>
      </c>
      <c r="AH94">
        <f t="shared" si="29"/>
        <v>0</v>
      </c>
      <c r="AI94">
        <f t="shared" si="30"/>
        <v>0</v>
      </c>
      <c r="AJ94">
        <f t="shared" si="31"/>
        <v>0</v>
      </c>
      <c r="AK94">
        <f t="shared" si="32"/>
        <v>0</v>
      </c>
      <c r="AL94">
        <f t="shared" si="33"/>
        <v>0</v>
      </c>
    </row>
    <row r="95" spans="1:38" x14ac:dyDescent="0.35">
      <c r="A95" s="25">
        <f t="shared" si="18"/>
        <v>86</v>
      </c>
      <c r="B95" s="67"/>
      <c r="C95" s="31"/>
      <c r="D95" s="29"/>
      <c r="E95" s="118"/>
      <c r="F95" s="118"/>
      <c r="G95" s="37" t="str">
        <f t="shared" si="21"/>
        <v/>
      </c>
      <c r="H95" s="63"/>
      <c r="I95" s="29"/>
      <c r="J95" s="29"/>
      <c r="K95" s="29"/>
      <c r="L95" s="29"/>
      <c r="M95" s="29"/>
      <c r="N95" s="29"/>
      <c r="O95" s="29"/>
      <c r="P95" s="29"/>
      <c r="Q95" s="29"/>
      <c r="R95" s="29"/>
      <c r="S95" s="29"/>
      <c r="T95" s="42" t="str">
        <f t="shared" si="19"/>
        <v/>
      </c>
      <c r="U95" s="43" t="str">
        <f t="shared" si="20"/>
        <v/>
      </c>
      <c r="V95" s="44" t="str">
        <f t="shared" si="22"/>
        <v/>
      </c>
      <c r="W95" s="32"/>
      <c r="AB95">
        <f t="shared" si="23"/>
        <v>0</v>
      </c>
      <c r="AC95">
        <f t="shared" si="24"/>
        <v>0</v>
      </c>
      <c r="AD95">
        <f t="shared" si="25"/>
        <v>0</v>
      </c>
      <c r="AE95">
        <f t="shared" si="26"/>
        <v>0</v>
      </c>
      <c r="AF95">
        <f t="shared" si="27"/>
        <v>0</v>
      </c>
      <c r="AG95">
        <f t="shared" si="28"/>
        <v>0</v>
      </c>
      <c r="AH95">
        <f t="shared" si="29"/>
        <v>0</v>
      </c>
      <c r="AI95">
        <f t="shared" si="30"/>
        <v>0</v>
      </c>
      <c r="AJ95">
        <f t="shared" si="31"/>
        <v>0</v>
      </c>
      <c r="AK95">
        <f t="shared" si="32"/>
        <v>0</v>
      </c>
      <c r="AL95">
        <f t="shared" si="33"/>
        <v>0</v>
      </c>
    </row>
    <row r="96" spans="1:38" x14ac:dyDescent="0.35">
      <c r="A96" s="25">
        <f t="shared" si="18"/>
        <v>87</v>
      </c>
      <c r="B96" s="67"/>
      <c r="C96" s="31"/>
      <c r="D96" s="29"/>
      <c r="E96" s="118"/>
      <c r="F96" s="118"/>
      <c r="G96" s="37" t="str">
        <f t="shared" si="21"/>
        <v/>
      </c>
      <c r="H96" s="63"/>
      <c r="I96" s="29"/>
      <c r="J96" s="29"/>
      <c r="K96" s="29"/>
      <c r="L96" s="29"/>
      <c r="M96" s="29"/>
      <c r="N96" s="29"/>
      <c r="O96" s="29"/>
      <c r="P96" s="29"/>
      <c r="Q96" s="29"/>
      <c r="R96" s="29"/>
      <c r="S96" s="29"/>
      <c r="T96" s="42" t="str">
        <f t="shared" si="19"/>
        <v/>
      </c>
      <c r="U96" s="43" t="str">
        <f t="shared" si="20"/>
        <v/>
      </c>
      <c r="V96" s="44" t="str">
        <f t="shared" si="22"/>
        <v/>
      </c>
      <c r="W96" s="32"/>
      <c r="AB96">
        <f t="shared" si="23"/>
        <v>0</v>
      </c>
      <c r="AC96">
        <f t="shared" si="24"/>
        <v>0</v>
      </c>
      <c r="AD96">
        <f t="shared" si="25"/>
        <v>0</v>
      </c>
      <c r="AE96">
        <f t="shared" si="26"/>
        <v>0</v>
      </c>
      <c r="AF96">
        <f t="shared" si="27"/>
        <v>0</v>
      </c>
      <c r="AG96">
        <f t="shared" si="28"/>
        <v>0</v>
      </c>
      <c r="AH96">
        <f t="shared" si="29"/>
        <v>0</v>
      </c>
      <c r="AI96">
        <f t="shared" si="30"/>
        <v>0</v>
      </c>
      <c r="AJ96">
        <f t="shared" si="31"/>
        <v>0</v>
      </c>
      <c r="AK96">
        <f t="shared" si="32"/>
        <v>0</v>
      </c>
      <c r="AL96">
        <f t="shared" si="33"/>
        <v>0</v>
      </c>
    </row>
    <row r="97" spans="1:38" x14ac:dyDescent="0.35">
      <c r="A97" s="25">
        <f t="shared" si="18"/>
        <v>88</v>
      </c>
      <c r="B97" s="67"/>
      <c r="C97" s="31"/>
      <c r="D97" s="29"/>
      <c r="E97" s="118"/>
      <c r="F97" s="118"/>
      <c r="G97" s="37" t="str">
        <f t="shared" si="21"/>
        <v/>
      </c>
      <c r="H97" s="63"/>
      <c r="I97" s="29"/>
      <c r="J97" s="29"/>
      <c r="K97" s="29"/>
      <c r="L97" s="29"/>
      <c r="M97" s="29"/>
      <c r="N97" s="29"/>
      <c r="O97" s="29"/>
      <c r="P97" s="29"/>
      <c r="Q97" s="29"/>
      <c r="R97" s="29"/>
      <c r="S97" s="29"/>
      <c r="T97" s="42" t="str">
        <f t="shared" si="19"/>
        <v/>
      </c>
      <c r="U97" s="43" t="str">
        <f t="shared" si="20"/>
        <v/>
      </c>
      <c r="V97" s="44" t="str">
        <f t="shared" si="22"/>
        <v/>
      </c>
      <c r="W97" s="32"/>
      <c r="AB97">
        <f t="shared" si="23"/>
        <v>0</v>
      </c>
      <c r="AC97">
        <f t="shared" si="24"/>
        <v>0</v>
      </c>
      <c r="AD97">
        <f t="shared" si="25"/>
        <v>0</v>
      </c>
      <c r="AE97">
        <f t="shared" si="26"/>
        <v>0</v>
      </c>
      <c r="AF97">
        <f t="shared" si="27"/>
        <v>0</v>
      </c>
      <c r="AG97">
        <f t="shared" si="28"/>
        <v>0</v>
      </c>
      <c r="AH97">
        <f t="shared" si="29"/>
        <v>0</v>
      </c>
      <c r="AI97">
        <f t="shared" si="30"/>
        <v>0</v>
      </c>
      <c r="AJ97">
        <f t="shared" si="31"/>
        <v>0</v>
      </c>
      <c r="AK97">
        <f t="shared" si="32"/>
        <v>0</v>
      </c>
      <c r="AL97">
        <f t="shared" si="33"/>
        <v>0</v>
      </c>
    </row>
    <row r="98" spans="1:38" x14ac:dyDescent="0.35">
      <c r="A98" s="25">
        <f t="shared" si="18"/>
        <v>89</v>
      </c>
      <c r="B98" s="67"/>
      <c r="C98" s="31"/>
      <c r="D98" s="29"/>
      <c r="E98" s="118"/>
      <c r="F98" s="118"/>
      <c r="G98" s="37" t="str">
        <f t="shared" si="21"/>
        <v/>
      </c>
      <c r="H98" s="63"/>
      <c r="I98" s="29"/>
      <c r="J98" s="29"/>
      <c r="K98" s="29"/>
      <c r="L98" s="29"/>
      <c r="M98" s="29"/>
      <c r="N98" s="29"/>
      <c r="O98" s="29"/>
      <c r="P98" s="29"/>
      <c r="Q98" s="29"/>
      <c r="R98" s="29"/>
      <c r="S98" s="29"/>
      <c r="T98" s="42" t="str">
        <f t="shared" si="19"/>
        <v/>
      </c>
      <c r="U98" s="43" t="str">
        <f t="shared" si="20"/>
        <v/>
      </c>
      <c r="V98" s="44" t="str">
        <f t="shared" si="22"/>
        <v/>
      </c>
      <c r="W98" s="32"/>
      <c r="AB98">
        <f t="shared" si="23"/>
        <v>0</v>
      </c>
      <c r="AC98">
        <f t="shared" si="24"/>
        <v>0</v>
      </c>
      <c r="AD98">
        <f t="shared" si="25"/>
        <v>0</v>
      </c>
      <c r="AE98">
        <f t="shared" si="26"/>
        <v>0</v>
      </c>
      <c r="AF98">
        <f t="shared" si="27"/>
        <v>0</v>
      </c>
      <c r="AG98">
        <f t="shared" si="28"/>
        <v>0</v>
      </c>
      <c r="AH98">
        <f t="shared" si="29"/>
        <v>0</v>
      </c>
      <c r="AI98">
        <f t="shared" si="30"/>
        <v>0</v>
      </c>
      <c r="AJ98">
        <f t="shared" si="31"/>
        <v>0</v>
      </c>
      <c r="AK98">
        <f t="shared" si="32"/>
        <v>0</v>
      </c>
      <c r="AL98">
        <f t="shared" si="33"/>
        <v>0</v>
      </c>
    </row>
    <row r="99" spans="1:38" x14ac:dyDescent="0.35">
      <c r="A99" s="25">
        <f t="shared" si="18"/>
        <v>90</v>
      </c>
      <c r="B99" s="67"/>
      <c r="C99" s="31"/>
      <c r="D99" s="29"/>
      <c r="E99" s="118"/>
      <c r="F99" s="118"/>
      <c r="G99" s="37" t="str">
        <f t="shared" si="21"/>
        <v/>
      </c>
      <c r="H99" s="63"/>
      <c r="I99" s="29"/>
      <c r="J99" s="29"/>
      <c r="K99" s="29"/>
      <c r="L99" s="29"/>
      <c r="M99" s="29"/>
      <c r="N99" s="29"/>
      <c r="O99" s="29"/>
      <c r="P99" s="29"/>
      <c r="Q99" s="29"/>
      <c r="R99" s="29"/>
      <c r="S99" s="29"/>
      <c r="T99" s="42" t="str">
        <f t="shared" si="19"/>
        <v/>
      </c>
      <c r="U99" s="43" t="str">
        <f t="shared" si="20"/>
        <v/>
      </c>
      <c r="V99" s="44" t="str">
        <f t="shared" si="22"/>
        <v/>
      </c>
      <c r="W99" s="32"/>
      <c r="AB99">
        <f t="shared" si="23"/>
        <v>0</v>
      </c>
      <c r="AC99">
        <f t="shared" si="24"/>
        <v>0</v>
      </c>
      <c r="AD99">
        <f t="shared" si="25"/>
        <v>0</v>
      </c>
      <c r="AE99">
        <f t="shared" si="26"/>
        <v>0</v>
      </c>
      <c r="AF99">
        <f t="shared" si="27"/>
        <v>0</v>
      </c>
      <c r="AG99">
        <f t="shared" si="28"/>
        <v>0</v>
      </c>
      <c r="AH99">
        <f t="shared" si="29"/>
        <v>0</v>
      </c>
      <c r="AI99">
        <f t="shared" si="30"/>
        <v>0</v>
      </c>
      <c r="AJ99">
        <f t="shared" si="31"/>
        <v>0</v>
      </c>
      <c r="AK99">
        <f t="shared" si="32"/>
        <v>0</v>
      </c>
      <c r="AL99">
        <f t="shared" si="33"/>
        <v>0</v>
      </c>
    </row>
    <row r="100" spans="1:38" x14ac:dyDescent="0.35">
      <c r="A100" s="25">
        <f t="shared" si="18"/>
        <v>91</v>
      </c>
      <c r="B100" s="67"/>
      <c r="C100" s="31"/>
      <c r="D100" s="29"/>
      <c r="E100" s="118"/>
      <c r="F100" s="118"/>
      <c r="G100" s="37" t="str">
        <f t="shared" si="21"/>
        <v/>
      </c>
      <c r="H100" s="63"/>
      <c r="I100" s="29"/>
      <c r="J100" s="29"/>
      <c r="K100" s="29"/>
      <c r="L100" s="29"/>
      <c r="M100" s="29"/>
      <c r="N100" s="29"/>
      <c r="O100" s="29"/>
      <c r="P100" s="29"/>
      <c r="Q100" s="29"/>
      <c r="R100" s="29"/>
      <c r="S100" s="29"/>
      <c r="T100" s="42" t="str">
        <f t="shared" si="19"/>
        <v/>
      </c>
      <c r="U100" s="43" t="str">
        <f t="shared" si="20"/>
        <v/>
      </c>
      <c r="V100" s="44" t="str">
        <f t="shared" si="22"/>
        <v/>
      </c>
      <c r="W100" s="32"/>
      <c r="AB100">
        <f t="shared" si="23"/>
        <v>0</v>
      </c>
      <c r="AC100">
        <f t="shared" si="24"/>
        <v>0</v>
      </c>
      <c r="AD100">
        <f t="shared" si="25"/>
        <v>0</v>
      </c>
      <c r="AE100">
        <f t="shared" si="26"/>
        <v>0</v>
      </c>
      <c r="AF100">
        <f t="shared" si="27"/>
        <v>0</v>
      </c>
      <c r="AG100">
        <f t="shared" si="28"/>
        <v>0</v>
      </c>
      <c r="AH100">
        <f t="shared" si="29"/>
        <v>0</v>
      </c>
      <c r="AI100">
        <f t="shared" si="30"/>
        <v>0</v>
      </c>
      <c r="AJ100">
        <f t="shared" si="31"/>
        <v>0</v>
      </c>
      <c r="AK100">
        <f t="shared" si="32"/>
        <v>0</v>
      </c>
      <c r="AL100">
        <f t="shared" si="33"/>
        <v>0</v>
      </c>
    </row>
    <row r="101" spans="1:38" x14ac:dyDescent="0.35">
      <c r="A101" s="25">
        <f t="shared" si="18"/>
        <v>92</v>
      </c>
      <c r="B101" s="67"/>
      <c r="C101" s="31"/>
      <c r="D101" s="29"/>
      <c r="E101" s="118"/>
      <c r="F101" s="118"/>
      <c r="G101" s="37" t="str">
        <f t="shared" si="21"/>
        <v/>
      </c>
      <c r="H101" s="63"/>
      <c r="I101" s="29"/>
      <c r="J101" s="29"/>
      <c r="K101" s="29"/>
      <c r="L101" s="29"/>
      <c r="M101" s="29"/>
      <c r="N101" s="29"/>
      <c r="O101" s="29"/>
      <c r="P101" s="29"/>
      <c r="Q101" s="29"/>
      <c r="R101" s="29"/>
      <c r="S101" s="29"/>
      <c r="T101" s="42" t="str">
        <f t="shared" si="19"/>
        <v/>
      </c>
      <c r="U101" s="43" t="str">
        <f t="shared" si="20"/>
        <v/>
      </c>
      <c r="V101" s="44" t="str">
        <f t="shared" si="22"/>
        <v/>
      </c>
      <c r="W101" s="32"/>
      <c r="AB101">
        <f t="shared" si="23"/>
        <v>0</v>
      </c>
      <c r="AC101">
        <f t="shared" si="24"/>
        <v>0</v>
      </c>
      <c r="AD101">
        <f t="shared" si="25"/>
        <v>0</v>
      </c>
      <c r="AE101">
        <f t="shared" si="26"/>
        <v>0</v>
      </c>
      <c r="AF101">
        <f t="shared" si="27"/>
        <v>0</v>
      </c>
      <c r="AG101">
        <f t="shared" si="28"/>
        <v>0</v>
      </c>
      <c r="AH101">
        <f t="shared" si="29"/>
        <v>0</v>
      </c>
      <c r="AI101">
        <f t="shared" si="30"/>
        <v>0</v>
      </c>
      <c r="AJ101">
        <f t="shared" si="31"/>
        <v>0</v>
      </c>
      <c r="AK101">
        <f t="shared" si="32"/>
        <v>0</v>
      </c>
      <c r="AL101">
        <f t="shared" si="33"/>
        <v>0</v>
      </c>
    </row>
    <row r="102" spans="1:38" x14ac:dyDescent="0.35">
      <c r="A102" s="25">
        <f t="shared" si="18"/>
        <v>93</v>
      </c>
      <c r="B102" s="67"/>
      <c r="C102" s="31"/>
      <c r="D102" s="29"/>
      <c r="E102" s="118"/>
      <c r="F102" s="118"/>
      <c r="G102" s="37" t="str">
        <f t="shared" si="21"/>
        <v/>
      </c>
      <c r="H102" s="63"/>
      <c r="I102" s="29"/>
      <c r="J102" s="29"/>
      <c r="K102" s="29"/>
      <c r="L102" s="29"/>
      <c r="M102" s="29"/>
      <c r="N102" s="29"/>
      <c r="O102" s="29"/>
      <c r="P102" s="29"/>
      <c r="Q102" s="29"/>
      <c r="R102" s="29"/>
      <c r="S102" s="29"/>
      <c r="T102" s="42" t="str">
        <f t="shared" si="19"/>
        <v/>
      </c>
      <c r="U102" s="43" t="str">
        <f t="shared" si="20"/>
        <v/>
      </c>
      <c r="V102" s="44" t="str">
        <f t="shared" si="22"/>
        <v/>
      </c>
      <c r="W102" s="32"/>
      <c r="AB102">
        <f t="shared" si="23"/>
        <v>0</v>
      </c>
      <c r="AC102">
        <f t="shared" si="24"/>
        <v>0</v>
      </c>
      <c r="AD102">
        <f t="shared" si="25"/>
        <v>0</v>
      </c>
      <c r="AE102">
        <f t="shared" si="26"/>
        <v>0</v>
      </c>
      <c r="AF102">
        <f t="shared" si="27"/>
        <v>0</v>
      </c>
      <c r="AG102">
        <f t="shared" si="28"/>
        <v>0</v>
      </c>
      <c r="AH102">
        <f t="shared" si="29"/>
        <v>0</v>
      </c>
      <c r="AI102">
        <f t="shared" si="30"/>
        <v>0</v>
      </c>
      <c r="AJ102">
        <f t="shared" si="31"/>
        <v>0</v>
      </c>
      <c r="AK102">
        <f t="shared" si="32"/>
        <v>0</v>
      </c>
      <c r="AL102">
        <f t="shared" si="33"/>
        <v>0</v>
      </c>
    </row>
    <row r="103" spans="1:38" x14ac:dyDescent="0.35">
      <c r="A103" s="25">
        <f t="shared" si="18"/>
        <v>94</v>
      </c>
      <c r="B103" s="67"/>
      <c r="C103" s="31"/>
      <c r="D103" s="29"/>
      <c r="E103" s="118"/>
      <c r="F103" s="118"/>
      <c r="G103" s="37" t="str">
        <f t="shared" si="21"/>
        <v/>
      </c>
      <c r="H103" s="63"/>
      <c r="I103" s="29"/>
      <c r="J103" s="29"/>
      <c r="K103" s="29"/>
      <c r="L103" s="29"/>
      <c r="M103" s="29"/>
      <c r="N103" s="29"/>
      <c r="O103" s="29"/>
      <c r="P103" s="29"/>
      <c r="Q103" s="29"/>
      <c r="R103" s="29"/>
      <c r="S103" s="29"/>
      <c r="T103" s="42" t="str">
        <f t="shared" si="19"/>
        <v/>
      </c>
      <c r="U103" s="43" t="str">
        <f t="shared" si="20"/>
        <v/>
      </c>
      <c r="V103" s="44" t="str">
        <f t="shared" si="22"/>
        <v/>
      </c>
      <c r="W103" s="32"/>
      <c r="AB103">
        <f t="shared" si="23"/>
        <v>0</v>
      </c>
      <c r="AC103">
        <f t="shared" si="24"/>
        <v>0</v>
      </c>
      <c r="AD103">
        <f t="shared" si="25"/>
        <v>0</v>
      </c>
      <c r="AE103">
        <f t="shared" si="26"/>
        <v>0</v>
      </c>
      <c r="AF103">
        <f t="shared" si="27"/>
        <v>0</v>
      </c>
      <c r="AG103">
        <f t="shared" si="28"/>
        <v>0</v>
      </c>
      <c r="AH103">
        <f t="shared" si="29"/>
        <v>0</v>
      </c>
      <c r="AI103">
        <f t="shared" si="30"/>
        <v>0</v>
      </c>
      <c r="AJ103">
        <f t="shared" si="31"/>
        <v>0</v>
      </c>
      <c r="AK103">
        <f t="shared" si="32"/>
        <v>0</v>
      </c>
      <c r="AL103">
        <f t="shared" si="33"/>
        <v>0</v>
      </c>
    </row>
    <row r="104" spans="1:38" x14ac:dyDescent="0.35">
      <c r="A104" s="25">
        <f t="shared" si="18"/>
        <v>95</v>
      </c>
      <c r="B104" s="67"/>
      <c r="C104" s="31"/>
      <c r="D104" s="29"/>
      <c r="E104" s="118"/>
      <c r="F104" s="118"/>
      <c r="G104" s="37" t="str">
        <f t="shared" si="21"/>
        <v/>
      </c>
      <c r="H104" s="63"/>
      <c r="I104" s="29"/>
      <c r="J104" s="29"/>
      <c r="K104" s="29"/>
      <c r="L104" s="29"/>
      <c r="M104" s="29"/>
      <c r="N104" s="29"/>
      <c r="O104" s="29"/>
      <c r="P104" s="29"/>
      <c r="Q104" s="29"/>
      <c r="R104" s="29"/>
      <c r="S104" s="29"/>
      <c r="T104" s="42" t="str">
        <f t="shared" si="19"/>
        <v/>
      </c>
      <c r="U104" s="43" t="str">
        <f t="shared" si="20"/>
        <v/>
      </c>
      <c r="V104" s="44" t="str">
        <f t="shared" si="22"/>
        <v/>
      </c>
      <c r="W104" s="32"/>
      <c r="AB104">
        <f t="shared" si="23"/>
        <v>0</v>
      </c>
      <c r="AC104">
        <f t="shared" si="24"/>
        <v>0</v>
      </c>
      <c r="AD104">
        <f t="shared" si="25"/>
        <v>0</v>
      </c>
      <c r="AE104">
        <f t="shared" si="26"/>
        <v>0</v>
      </c>
      <c r="AF104">
        <f t="shared" si="27"/>
        <v>0</v>
      </c>
      <c r="AG104">
        <f t="shared" si="28"/>
        <v>0</v>
      </c>
      <c r="AH104">
        <f t="shared" si="29"/>
        <v>0</v>
      </c>
      <c r="AI104">
        <f t="shared" si="30"/>
        <v>0</v>
      </c>
      <c r="AJ104">
        <f t="shared" si="31"/>
        <v>0</v>
      </c>
      <c r="AK104">
        <f t="shared" si="32"/>
        <v>0</v>
      </c>
      <c r="AL104">
        <f t="shared" si="33"/>
        <v>0</v>
      </c>
    </row>
    <row r="105" spans="1:38" x14ac:dyDescent="0.35">
      <c r="A105" s="25">
        <f t="shared" si="18"/>
        <v>96</v>
      </c>
      <c r="B105" s="67"/>
      <c r="C105" s="31"/>
      <c r="D105" s="29"/>
      <c r="E105" s="118"/>
      <c r="F105" s="118"/>
      <c r="G105" s="37" t="str">
        <f t="shared" si="21"/>
        <v/>
      </c>
      <c r="H105" s="63"/>
      <c r="I105" s="29"/>
      <c r="J105" s="29"/>
      <c r="K105" s="29"/>
      <c r="L105" s="29"/>
      <c r="M105" s="29"/>
      <c r="N105" s="29"/>
      <c r="O105" s="29"/>
      <c r="P105" s="29"/>
      <c r="Q105" s="29"/>
      <c r="R105" s="29"/>
      <c r="S105" s="29"/>
      <c r="T105" s="42" t="str">
        <f t="shared" si="19"/>
        <v/>
      </c>
      <c r="U105" s="43" t="str">
        <f t="shared" si="20"/>
        <v/>
      </c>
      <c r="V105" s="44" t="str">
        <f t="shared" si="22"/>
        <v/>
      </c>
      <c r="W105" s="32"/>
      <c r="AB105">
        <f t="shared" si="23"/>
        <v>0</v>
      </c>
      <c r="AC105">
        <f t="shared" si="24"/>
        <v>0</v>
      </c>
      <c r="AD105">
        <f t="shared" si="25"/>
        <v>0</v>
      </c>
      <c r="AE105">
        <f t="shared" si="26"/>
        <v>0</v>
      </c>
      <c r="AF105">
        <f t="shared" si="27"/>
        <v>0</v>
      </c>
      <c r="AG105">
        <f t="shared" si="28"/>
        <v>0</v>
      </c>
      <c r="AH105">
        <f t="shared" si="29"/>
        <v>0</v>
      </c>
      <c r="AI105">
        <f t="shared" si="30"/>
        <v>0</v>
      </c>
      <c r="AJ105">
        <f t="shared" si="31"/>
        <v>0</v>
      </c>
      <c r="AK105">
        <f t="shared" si="32"/>
        <v>0</v>
      </c>
      <c r="AL105">
        <f t="shared" si="33"/>
        <v>0</v>
      </c>
    </row>
    <row r="106" spans="1:38" x14ac:dyDescent="0.35">
      <c r="A106" s="25">
        <f t="shared" si="18"/>
        <v>97</v>
      </c>
      <c r="B106" s="67"/>
      <c r="C106" s="31"/>
      <c r="D106" s="29"/>
      <c r="E106" s="118"/>
      <c r="F106" s="118"/>
      <c r="G106" s="37" t="str">
        <f t="shared" si="21"/>
        <v/>
      </c>
      <c r="H106" s="63"/>
      <c r="I106" s="29"/>
      <c r="J106" s="29"/>
      <c r="K106" s="29"/>
      <c r="L106" s="29"/>
      <c r="M106" s="29"/>
      <c r="N106" s="29"/>
      <c r="O106" s="29"/>
      <c r="P106" s="29"/>
      <c r="Q106" s="29"/>
      <c r="R106" s="29"/>
      <c r="S106" s="29"/>
      <c r="T106" s="42" t="str">
        <f t="shared" ref="T106:T109" si="34">IF(C106&lt;&gt;"",SUM(I106:S106),"")</f>
        <v/>
      </c>
      <c r="U106" s="43" t="str">
        <f t="shared" ref="U106:U109" si="35">IF(AND(T106&gt;0,C106&lt;&gt;""),T106/T$9,"")</f>
        <v/>
      </c>
      <c r="V106" s="44" t="str">
        <f t="shared" si="22"/>
        <v/>
      </c>
      <c r="W106" s="32"/>
      <c r="AB106">
        <f t="shared" si="23"/>
        <v>0</v>
      </c>
      <c r="AC106">
        <f t="shared" si="24"/>
        <v>0</v>
      </c>
      <c r="AD106">
        <f t="shared" si="25"/>
        <v>0</v>
      </c>
      <c r="AE106">
        <f t="shared" si="26"/>
        <v>0</v>
      </c>
      <c r="AF106">
        <f t="shared" si="27"/>
        <v>0</v>
      </c>
      <c r="AG106">
        <f t="shared" si="28"/>
        <v>0</v>
      </c>
      <c r="AH106">
        <f t="shared" si="29"/>
        <v>0</v>
      </c>
      <c r="AI106">
        <f t="shared" si="30"/>
        <v>0</v>
      </c>
      <c r="AJ106">
        <f t="shared" si="31"/>
        <v>0</v>
      </c>
      <c r="AK106">
        <f t="shared" si="32"/>
        <v>0</v>
      </c>
      <c r="AL106">
        <f t="shared" si="33"/>
        <v>0</v>
      </c>
    </row>
    <row r="107" spans="1:38" x14ac:dyDescent="0.35">
      <c r="A107" s="25">
        <f t="shared" si="18"/>
        <v>98</v>
      </c>
      <c r="B107" s="67"/>
      <c r="C107" s="31"/>
      <c r="D107" s="29"/>
      <c r="E107" s="118"/>
      <c r="F107" s="118"/>
      <c r="G107" s="37" t="str">
        <f t="shared" si="21"/>
        <v/>
      </c>
      <c r="H107" s="63"/>
      <c r="I107" s="29"/>
      <c r="J107" s="29"/>
      <c r="K107" s="29"/>
      <c r="L107" s="29"/>
      <c r="M107" s="29"/>
      <c r="N107" s="29"/>
      <c r="O107" s="29"/>
      <c r="P107" s="29"/>
      <c r="Q107" s="29"/>
      <c r="R107" s="29"/>
      <c r="S107" s="29"/>
      <c r="T107" s="42" t="str">
        <f t="shared" si="34"/>
        <v/>
      </c>
      <c r="U107" s="43" t="str">
        <f t="shared" si="35"/>
        <v/>
      </c>
      <c r="V107" s="44" t="str">
        <f t="shared" si="22"/>
        <v/>
      </c>
      <c r="W107" s="32"/>
      <c r="AB107">
        <f t="shared" si="23"/>
        <v>0</v>
      </c>
      <c r="AC107">
        <f t="shared" si="24"/>
        <v>0</v>
      </c>
      <c r="AD107">
        <f t="shared" si="25"/>
        <v>0</v>
      </c>
      <c r="AE107">
        <f t="shared" si="26"/>
        <v>0</v>
      </c>
      <c r="AF107">
        <f t="shared" si="27"/>
        <v>0</v>
      </c>
      <c r="AG107">
        <f t="shared" si="28"/>
        <v>0</v>
      </c>
      <c r="AH107">
        <f t="shared" si="29"/>
        <v>0</v>
      </c>
      <c r="AI107">
        <f t="shared" si="30"/>
        <v>0</v>
      </c>
      <c r="AJ107">
        <f t="shared" si="31"/>
        <v>0</v>
      </c>
      <c r="AK107">
        <f t="shared" si="32"/>
        <v>0</v>
      </c>
      <c r="AL107">
        <f t="shared" si="33"/>
        <v>0</v>
      </c>
    </row>
    <row r="108" spans="1:38" x14ac:dyDescent="0.35">
      <c r="A108" s="25">
        <f t="shared" si="18"/>
        <v>99</v>
      </c>
      <c r="B108" s="67"/>
      <c r="C108" s="31"/>
      <c r="D108" s="29"/>
      <c r="E108" s="118"/>
      <c r="F108" s="118"/>
      <c r="G108" s="37" t="str">
        <f t="shared" si="21"/>
        <v/>
      </c>
      <c r="H108" s="63"/>
      <c r="I108" s="29"/>
      <c r="J108" s="29"/>
      <c r="K108" s="29"/>
      <c r="L108" s="29"/>
      <c r="M108" s="29"/>
      <c r="N108" s="29"/>
      <c r="O108" s="29"/>
      <c r="P108" s="29"/>
      <c r="Q108" s="29"/>
      <c r="R108" s="29"/>
      <c r="S108" s="29"/>
      <c r="T108" s="42" t="str">
        <f t="shared" si="34"/>
        <v/>
      </c>
      <c r="U108" s="43" t="str">
        <f t="shared" si="35"/>
        <v/>
      </c>
      <c r="V108" s="44" t="str">
        <f t="shared" si="22"/>
        <v/>
      </c>
      <c r="W108" s="32"/>
      <c r="AB108">
        <f t="shared" si="23"/>
        <v>0</v>
      </c>
      <c r="AC108">
        <f t="shared" si="24"/>
        <v>0</v>
      </c>
      <c r="AD108">
        <f t="shared" si="25"/>
        <v>0</v>
      </c>
      <c r="AE108">
        <f t="shared" si="26"/>
        <v>0</v>
      </c>
      <c r="AF108">
        <f t="shared" si="27"/>
        <v>0</v>
      </c>
      <c r="AG108">
        <f t="shared" si="28"/>
        <v>0</v>
      </c>
      <c r="AH108">
        <f t="shared" si="29"/>
        <v>0</v>
      </c>
      <c r="AI108">
        <f t="shared" si="30"/>
        <v>0</v>
      </c>
      <c r="AJ108">
        <f t="shared" si="31"/>
        <v>0</v>
      </c>
      <c r="AK108">
        <f t="shared" si="32"/>
        <v>0</v>
      </c>
      <c r="AL108">
        <f t="shared" si="33"/>
        <v>0</v>
      </c>
    </row>
    <row r="109" spans="1:38" ht="15" thickBot="1" x14ac:dyDescent="0.4">
      <c r="A109" s="26">
        <v>100</v>
      </c>
      <c r="B109" s="68"/>
      <c r="C109" s="33"/>
      <c r="D109" s="34"/>
      <c r="E109" s="119"/>
      <c r="F109" s="119"/>
      <c r="G109" s="38" t="str">
        <f t="shared" si="21"/>
        <v/>
      </c>
      <c r="H109" s="64"/>
      <c r="I109" s="34"/>
      <c r="J109" s="34"/>
      <c r="K109" s="34"/>
      <c r="L109" s="34"/>
      <c r="M109" s="34"/>
      <c r="N109" s="34"/>
      <c r="O109" s="34"/>
      <c r="P109" s="34"/>
      <c r="Q109" s="34"/>
      <c r="R109" s="34"/>
      <c r="S109" s="34"/>
      <c r="T109" s="45" t="str">
        <f t="shared" si="34"/>
        <v/>
      </c>
      <c r="U109" s="46" t="str">
        <f t="shared" si="35"/>
        <v/>
      </c>
      <c r="V109" s="47" t="str">
        <f t="shared" si="22"/>
        <v/>
      </c>
      <c r="W109" s="35"/>
      <c r="AB109">
        <f t="shared" si="23"/>
        <v>0</v>
      </c>
      <c r="AC109">
        <f t="shared" si="24"/>
        <v>0</v>
      </c>
      <c r="AD109">
        <f t="shared" si="25"/>
        <v>0</v>
      </c>
      <c r="AE109">
        <f t="shared" si="26"/>
        <v>0</v>
      </c>
      <c r="AF109">
        <f t="shared" si="27"/>
        <v>0</v>
      </c>
      <c r="AG109">
        <f t="shared" si="28"/>
        <v>0</v>
      </c>
      <c r="AH109">
        <f t="shared" si="29"/>
        <v>0</v>
      </c>
      <c r="AI109">
        <f t="shared" si="30"/>
        <v>0</v>
      </c>
      <c r="AJ109">
        <f t="shared" si="31"/>
        <v>0</v>
      </c>
      <c r="AK109">
        <f t="shared" si="32"/>
        <v>0</v>
      </c>
      <c r="AL109">
        <f t="shared" si="33"/>
        <v>0</v>
      </c>
    </row>
    <row r="110" spans="1:38" x14ac:dyDescent="0.35">
      <c r="E110" s="120"/>
      <c r="F110" s="14"/>
    </row>
    <row r="111" spans="1:38" x14ac:dyDescent="0.35">
      <c r="E111" s="120"/>
      <c r="F111" s="14"/>
    </row>
    <row r="112" spans="1:38" ht="15" customHeight="1" x14ac:dyDescent="0.35">
      <c r="E112" s="120"/>
      <c r="F112" s="14"/>
    </row>
  </sheetData>
  <sheetProtection algorithmName="SHA-512" hashValue="dQ13z7gS6azVkqK+bwf5hTxZor5kG6JzYpFJP36JmzjyZk+atigmYg7w0nqnCwrgez+Y5/4erTKaDqlewc3tXA==" saltValue="OCELteQ9pS232ET2DKF3Mw==" spinCount="100000" sheet="1" objects="1" scenarios="1" formatColumns="0"/>
  <mergeCells count="17">
    <mergeCell ref="M6:N6"/>
    <mergeCell ref="P6:Q6"/>
    <mergeCell ref="U5:W7"/>
    <mergeCell ref="M7:N7"/>
    <mergeCell ref="A4:B4"/>
    <mergeCell ref="A5:B5"/>
    <mergeCell ref="A6:B6"/>
    <mergeCell ref="A7:B7"/>
    <mergeCell ref="D6:E6"/>
    <mergeCell ref="D7:E7"/>
    <mergeCell ref="D5:T5"/>
    <mergeCell ref="I6:J6"/>
    <mergeCell ref="F6:H6"/>
    <mergeCell ref="I7:J7"/>
    <mergeCell ref="K7:L7"/>
    <mergeCell ref="K6:L6"/>
    <mergeCell ref="F7:H7"/>
  </mergeCells>
  <conditionalFormatting sqref="C6">
    <cfRule type="containsText" dxfId="8" priority="26" operator="containsText" text="[enter school school id here]">
      <formula>NOT(ISERROR(SEARCH("[enter school school id here]",C6)))</formula>
    </cfRule>
  </conditionalFormatting>
  <conditionalFormatting sqref="C7">
    <cfRule type="containsText" dxfId="7" priority="28" operator="containsText" text="[enter teacher name here]">
      <formula>NOT(ISERROR(SEARCH("[enter teacher name here]",C7)))</formula>
    </cfRule>
  </conditionalFormatting>
  <conditionalFormatting sqref="H10">
    <cfRule type="containsText" dxfId="6" priority="5" operator="containsText" text="[choose language here]">
      <formula>NOT(ISERROR(SEARCH("[choose language here]",H10)))</formula>
    </cfRule>
  </conditionalFormatting>
  <conditionalFormatting sqref="I10:S109">
    <cfRule type="expression" dxfId="5" priority="3">
      <formula>AND(I10/I$9 &lt; 75%, $C10 &lt;&gt;"")</formula>
    </cfRule>
  </conditionalFormatting>
  <conditionalFormatting sqref="K6">
    <cfRule type="containsText" dxfId="4" priority="23" operator="containsText" text="[choose language here]">
      <formula>NOT(ISERROR(SEARCH("[choose language here]",K6)))</formula>
    </cfRule>
  </conditionalFormatting>
  <conditionalFormatting sqref="U10:U109">
    <cfRule type="cellIs" dxfId="3" priority="2" operator="lessThan">
      <formula>0.75</formula>
    </cfRule>
  </conditionalFormatting>
  <conditionalFormatting sqref="V10:V109">
    <cfRule type="containsText" dxfId="2" priority="1" operator="containsText" text="Emerging">
      <formula>NOT(ISERROR(SEARCH("Emerging",V10)))</formula>
    </cfRule>
  </conditionalFormatting>
  <dataValidations count="18">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29220</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115A36F3-2AA6-404C-A77A-31B7002D4589}">
      <formula1>29220</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must be between 0 - 4" prompt="Enter Learner Score between 0 - 4" sqref="M10:M109" xr:uid="{E6CE4C2A-BCBA-4B65-ABB7-7189B94F929E}">
      <formula1>0</formula1>
      <formula2>M$9</formula2>
    </dataValidation>
    <dataValidation type="whole" allowBlank="1" showInputMessage="1" showErrorMessage="1" error="Score must be between 0 or 1" prompt="Enter Learner Score between 0 -1" sqref="J10:J109" xr:uid="{1FD47AFC-81BE-41D1-A14B-62D54E5DA77B}">
      <formula1>0</formula1>
      <formula2>J$9</formula2>
    </dataValidation>
    <dataValidation type="whole" allowBlank="1" showInputMessage="1" showErrorMessage="1" sqref="O6:O7" xr:uid="{55BCF045-96BF-4241-B1FD-89955F31814D}">
      <formula1>1</formula1>
      <formula2>200</formula2>
    </dataValidation>
    <dataValidation type="list" allowBlank="1" showInputMessage="1" showErrorMessage="1" sqref="C4" xr:uid="{575E1B29-2D9B-478D-B075-A98950EF22E1}">
      <formula1>"BoSY, MoSY, EoSY"</formula1>
    </dataValidation>
    <dataValidation type="whole" allowBlank="1" showInputMessage="1" showErrorMessage="1" error="Score must be between 0 - 4" prompt="Enter Learner Score between 0 - 3" sqref="I10:I109 O10:O109" xr:uid="{5836675A-0285-43F2-9A1C-E56798161C23}">
      <formula1>0</formula1>
      <formula2>I$9</formula2>
    </dataValidation>
    <dataValidation type="whole" allowBlank="1" showInputMessage="1" showErrorMessage="1" error="Score must be between 0 - 4" prompt="Enter Learner Score between 0 - 2" sqref="K10:K109" xr:uid="{748D15F0-7C03-4590-8022-57F898EF3B6E}">
      <formula1>0</formula1>
      <formula2>K$9</formula2>
    </dataValidation>
    <dataValidation type="whole" allowBlank="1" showInputMessage="1" showErrorMessage="1" error="Score must be between 0 - 2" prompt="Enter Learner Score between 0 - 1" sqref="L10:L109" xr:uid="{AA07D7B0-D484-4529-B0CE-8D125E892480}">
      <formula1>0</formula1>
      <formula2>L$9</formula2>
    </dataValidation>
    <dataValidation type="whole" allowBlank="1" showInputMessage="1" showErrorMessage="1" error="Score must be between 0 - 1" prompt="Enter Learner Score between 0 -3" sqref="N10:N109" xr:uid="{6D14E84C-FE32-4784-9478-63A03DE6D284}">
      <formula1>0</formula1>
      <formula2>N$9</formula2>
    </dataValidation>
    <dataValidation type="whole" allowBlank="1" showInputMessage="1" showErrorMessage="1" error="Score must be between 0 - 6" prompt="Enter Learner Score between 0 - 4" sqref="P10:P109" xr:uid="{12215B3F-5361-495F-87CF-2BF0FB5ACA2A}">
      <formula1>0</formula1>
      <formula2>P$9</formula2>
    </dataValidation>
    <dataValidation type="whole" allowBlank="1" showInputMessage="1" showErrorMessage="1" error="Score must be between 0 - 6" prompt="Enter Learner Score between 0 - 2" sqref="Q10:Q109" xr:uid="{F7D6E515-5EDF-4FE2-AE08-F4A1B37327DB}">
      <formula1>0</formula1>
      <formula2>Q$9</formula2>
    </dataValidation>
    <dataValidation type="whole" allowBlank="1" showInputMessage="1" showErrorMessage="1" error="Score must be between 0 - 4" prompt="Enter Learner Score between 0 - 1" sqref="R10:R109" xr:uid="{F411FA5E-6B89-4750-A783-F68152FEB974}">
      <formula1>0</formula1>
      <formula2>R$9</formula2>
    </dataValidation>
    <dataValidation type="whole" allowBlank="1" showInputMessage="1" showErrorMessage="1" error="Score must be between 0 - 7" prompt="Enter Learner Score between 0 -1" sqref="S10:S109" xr:uid="{A1C210B0-0C2F-4EFD-96CE-8561B86CD396}">
      <formula1>0</formula1>
      <formula2>S$9</formula2>
    </dataValidation>
  </dataValidations>
  <pageMargins left="0.25" right="0.25" top="1.44" bottom="0.75" header="0.3" footer="0.3"/>
  <pageSetup paperSize="10000" scale="58"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50B1022-DEC9-4E0E-8558-C4009ABA09ED}">
          <x14:formula1>
            <xm:f>List!$B$2:$B$18</xm:f>
          </x14:formula1>
          <xm:sqref>C5</xm:sqref>
        </x14:dataValidation>
        <x14:dataValidation type="list" allowBlank="1" showInputMessage="1" showErrorMessage="1" prompt="Choose Language here" xr:uid="{B033A858-25E1-4DF4-B9B6-B1C4C4937454}">
          <x14:formula1>
            <xm:f>List!$C$2:$C$40</xm:f>
          </x14:formula1>
          <xm:sqref>H10:H109</xm:sqref>
        </x14:dataValidation>
        <x14:dataValidation type="list" allowBlank="1" showInputMessage="1" showErrorMessage="1" prompt="Choose Language here" xr:uid="{D4AC1C8A-BD33-4DF3-AF7F-B1B8057052EE}">
          <x14:formula1>
            <xm:f>List!$F$2:$F$20</xm:f>
          </x14:formula1>
          <xm:sqref>K6:L6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F40"/>
  <sheetViews>
    <sheetView topLeftCell="A15" workbookViewId="0">
      <selection activeCell="C2" sqref="C2:F40"/>
    </sheetView>
  </sheetViews>
  <sheetFormatPr defaultRowHeight="14.5" x14ac:dyDescent="0.35"/>
  <cols>
    <col min="2" max="2" width="22.81640625" customWidth="1"/>
    <col min="3" max="3" width="34.453125" customWidth="1"/>
  </cols>
  <sheetData>
    <row r="1" spans="2:6" x14ac:dyDescent="0.35">
      <c r="B1" s="6" t="s">
        <v>25</v>
      </c>
      <c r="C1" s="6" t="s">
        <v>15</v>
      </c>
    </row>
    <row r="2" spans="2:6" x14ac:dyDescent="0.35">
      <c r="B2" t="s">
        <v>26</v>
      </c>
      <c r="C2" t="s">
        <v>106</v>
      </c>
      <c r="F2" t="s">
        <v>27</v>
      </c>
    </row>
    <row r="3" spans="2:6" x14ac:dyDescent="0.35">
      <c r="B3" t="s">
        <v>28</v>
      </c>
      <c r="C3" s="6" t="s">
        <v>27</v>
      </c>
      <c r="F3" t="s">
        <v>29</v>
      </c>
    </row>
    <row r="4" spans="2:6" x14ac:dyDescent="0.35">
      <c r="B4" t="s">
        <v>30</v>
      </c>
      <c r="C4" s="6" t="s">
        <v>29</v>
      </c>
      <c r="F4" t="s">
        <v>8</v>
      </c>
    </row>
    <row r="5" spans="2:6" x14ac:dyDescent="0.35">
      <c r="B5" t="s">
        <v>31</v>
      </c>
      <c r="C5" s="7" t="s">
        <v>61</v>
      </c>
      <c r="F5" t="s">
        <v>32</v>
      </c>
    </row>
    <row r="6" spans="2:6" x14ac:dyDescent="0.35">
      <c r="B6" t="s">
        <v>33</v>
      </c>
      <c r="C6" s="7" t="s">
        <v>62</v>
      </c>
      <c r="F6" t="s">
        <v>7</v>
      </c>
    </row>
    <row r="7" spans="2:6" x14ac:dyDescent="0.35">
      <c r="B7" t="s">
        <v>34</v>
      </c>
      <c r="C7" s="7" t="s">
        <v>63</v>
      </c>
      <c r="F7" t="s">
        <v>35</v>
      </c>
    </row>
    <row r="8" spans="2:6" x14ac:dyDescent="0.35">
      <c r="B8" t="s">
        <v>36</v>
      </c>
      <c r="C8" s="6" t="s">
        <v>8</v>
      </c>
      <c r="F8" t="s">
        <v>37</v>
      </c>
    </row>
    <row r="9" spans="2:6" x14ac:dyDescent="0.35">
      <c r="B9" t="s">
        <v>38</v>
      </c>
      <c r="C9" s="6" t="s">
        <v>32</v>
      </c>
      <c r="F9" t="s">
        <v>41</v>
      </c>
    </row>
    <row r="10" spans="2:6" x14ac:dyDescent="0.35">
      <c r="B10" t="s">
        <v>40</v>
      </c>
      <c r="C10" t="s">
        <v>64</v>
      </c>
      <c r="F10" t="s">
        <v>43</v>
      </c>
    </row>
    <row r="11" spans="2:6" x14ac:dyDescent="0.35">
      <c r="B11" t="s">
        <v>42</v>
      </c>
      <c r="C11" s="7" t="s">
        <v>81</v>
      </c>
      <c r="F11" t="s">
        <v>107</v>
      </c>
    </row>
    <row r="12" spans="2:6" x14ac:dyDescent="0.35">
      <c r="B12" t="s">
        <v>44</v>
      </c>
      <c r="C12" s="6" t="s">
        <v>7</v>
      </c>
      <c r="F12" t="s">
        <v>46</v>
      </c>
    </row>
    <row r="13" spans="2:6" x14ac:dyDescent="0.35">
      <c r="B13" t="s">
        <v>45</v>
      </c>
      <c r="C13" s="6" t="s">
        <v>35</v>
      </c>
      <c r="F13" t="s">
        <v>48</v>
      </c>
    </row>
    <row r="14" spans="2:6" x14ac:dyDescent="0.35">
      <c r="B14" t="s">
        <v>47</v>
      </c>
      <c r="C14" t="s">
        <v>108</v>
      </c>
      <c r="F14" t="s">
        <v>53</v>
      </c>
    </row>
    <row r="15" spans="2:6" x14ac:dyDescent="0.35">
      <c r="B15" t="s">
        <v>49</v>
      </c>
      <c r="C15" s="6" t="s">
        <v>37</v>
      </c>
      <c r="F15" t="s">
        <v>55</v>
      </c>
    </row>
    <row r="16" spans="2:6" x14ac:dyDescent="0.35">
      <c r="B16" t="s">
        <v>50</v>
      </c>
      <c r="C16" s="7" t="s">
        <v>39</v>
      </c>
      <c r="F16" t="s">
        <v>56</v>
      </c>
    </row>
    <row r="17" spans="2:6" x14ac:dyDescent="0.35">
      <c r="B17" t="s">
        <v>52</v>
      </c>
      <c r="C17" t="s">
        <v>109</v>
      </c>
      <c r="F17" t="s">
        <v>58</v>
      </c>
    </row>
    <row r="18" spans="2:6" x14ac:dyDescent="0.35">
      <c r="B18" t="s">
        <v>54</v>
      </c>
      <c r="C18" s="6" t="s">
        <v>41</v>
      </c>
      <c r="F18" t="s">
        <v>11</v>
      </c>
    </row>
    <row r="19" spans="2:6" x14ac:dyDescent="0.35">
      <c r="C19" t="s">
        <v>110</v>
      </c>
      <c r="F19" t="s">
        <v>59</v>
      </c>
    </row>
    <row r="20" spans="2:6" x14ac:dyDescent="0.35">
      <c r="C20" s="6" t="s">
        <v>43</v>
      </c>
      <c r="F20" t="s">
        <v>60</v>
      </c>
    </row>
    <row r="21" spans="2:6" x14ac:dyDescent="0.35">
      <c r="C21" s="6" t="s">
        <v>107</v>
      </c>
    </row>
    <row r="22" spans="2:6" x14ac:dyDescent="0.35">
      <c r="C22" s="6" t="s">
        <v>46</v>
      </c>
    </row>
    <row r="23" spans="2:6" x14ac:dyDescent="0.35">
      <c r="C23" s="6" t="s">
        <v>48</v>
      </c>
    </row>
    <row r="24" spans="2:6" x14ac:dyDescent="0.35">
      <c r="C24" s="7" t="s">
        <v>9</v>
      </c>
    </row>
    <row r="25" spans="2:6" x14ac:dyDescent="0.35">
      <c r="C25" s="8" t="s">
        <v>51</v>
      </c>
    </row>
    <row r="26" spans="2:6" x14ac:dyDescent="0.35">
      <c r="C26" s="7" t="s">
        <v>65</v>
      </c>
    </row>
    <row r="27" spans="2:6" x14ac:dyDescent="0.35">
      <c r="C27" t="s">
        <v>67</v>
      </c>
    </row>
    <row r="28" spans="2:6" x14ac:dyDescent="0.35">
      <c r="C28" s="6" t="s">
        <v>53</v>
      </c>
    </row>
    <row r="29" spans="2:6" x14ac:dyDescent="0.35">
      <c r="C29" s="7" t="s">
        <v>10</v>
      </c>
    </row>
    <row r="30" spans="2:6" x14ac:dyDescent="0.35">
      <c r="C30" s="6" t="s">
        <v>55</v>
      </c>
    </row>
    <row r="31" spans="2:6" x14ac:dyDescent="0.35">
      <c r="C31" s="7" t="s">
        <v>111</v>
      </c>
    </row>
    <row r="32" spans="2:6" x14ac:dyDescent="0.35">
      <c r="C32" s="6" t="s">
        <v>56</v>
      </c>
    </row>
    <row r="33" spans="3:3" x14ac:dyDescent="0.35">
      <c r="C33" s="7" t="s">
        <v>66</v>
      </c>
    </row>
    <row r="34" spans="3:3" x14ac:dyDescent="0.35">
      <c r="C34" t="s">
        <v>57</v>
      </c>
    </row>
    <row r="35" spans="3:3" x14ac:dyDescent="0.35">
      <c r="C35" s="6" t="s">
        <v>58</v>
      </c>
    </row>
    <row r="36" spans="3:3" x14ac:dyDescent="0.35">
      <c r="C36" s="6" t="s">
        <v>11</v>
      </c>
    </row>
    <row r="37" spans="3:3" x14ac:dyDescent="0.35">
      <c r="C37" s="6" t="s">
        <v>59</v>
      </c>
    </row>
    <row r="38" spans="3:3" x14ac:dyDescent="0.35">
      <c r="C38" t="s">
        <v>68</v>
      </c>
    </row>
    <row r="39" spans="3:3" x14ac:dyDescent="0.35">
      <c r="C39" s="6" t="s">
        <v>60</v>
      </c>
    </row>
    <row r="40" spans="3:3" x14ac:dyDescent="0.35">
      <c r="C40" s="6"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2:AA23"/>
  <sheetViews>
    <sheetView tabSelected="1" zoomScale="54" workbookViewId="0">
      <pane ySplit="14" topLeftCell="A15" activePane="bottomLeft" state="frozen"/>
      <selection pane="bottomLeft" activeCell="E11" sqref="E11:W12"/>
    </sheetView>
  </sheetViews>
  <sheetFormatPr defaultColWidth="0" defaultRowHeight="14.5" x14ac:dyDescent="0.35"/>
  <cols>
    <col min="1" max="1" width="18.36328125" customWidth="1"/>
    <col min="2" max="2" width="16.453125" customWidth="1"/>
    <col min="3" max="3" width="14" customWidth="1"/>
    <col min="4" max="4" width="16.54296875" customWidth="1"/>
    <col min="5" max="5" width="12.6328125" customWidth="1"/>
    <col min="6" max="6" width="10.81640625" customWidth="1"/>
    <col min="7" max="7" width="11.90625" customWidth="1"/>
    <col min="8" max="8" width="10.1796875" customWidth="1"/>
    <col min="9" max="9" width="13.453125" customWidth="1"/>
    <col min="10" max="10" width="12.6328125" customWidth="1"/>
    <col min="11" max="11" width="13.6328125" customWidth="1"/>
    <col min="12" max="22" width="8.36328125" style="1" customWidth="1"/>
    <col min="23" max="23" width="9.1796875" style="1" customWidth="1"/>
    <col min="24" max="25" width="8.90625" customWidth="1"/>
    <col min="26" max="27" width="0" hidden="1" customWidth="1"/>
    <col min="28" max="16384" width="8.90625" hidden="1"/>
  </cols>
  <sheetData>
    <row r="2" spans="1:23" ht="15.5" x14ac:dyDescent="0.35">
      <c r="A2" s="179" t="s">
        <v>99</v>
      </c>
      <c r="B2" s="179"/>
      <c r="C2" s="179"/>
      <c r="D2" s="179"/>
      <c r="E2" s="179"/>
      <c r="F2" s="94"/>
      <c r="G2" s="94"/>
      <c r="H2" s="94"/>
    </row>
    <row r="4" spans="1:23" x14ac:dyDescent="0.35">
      <c r="E4" s="1"/>
      <c r="F4" s="1"/>
      <c r="G4" s="1"/>
      <c r="H4" s="1"/>
    </row>
    <row r="5" spans="1:23" x14ac:dyDescent="0.35">
      <c r="A5" s="3" t="s">
        <v>16</v>
      </c>
      <c r="B5" s="4">
        <f>'G2 RMA Scoresheet'!$C$6</f>
        <v>117443</v>
      </c>
      <c r="D5" t="s">
        <v>92</v>
      </c>
      <c r="E5" s="1">
        <f>F14</f>
        <v>15</v>
      </c>
      <c r="F5" s="184" t="s">
        <v>102</v>
      </c>
      <c r="G5" s="184"/>
      <c r="H5" s="184"/>
      <c r="I5" s="1">
        <f>E14</f>
        <v>15</v>
      </c>
    </row>
    <row r="6" spans="1:23" x14ac:dyDescent="0.35">
      <c r="A6" s="3" t="s">
        <v>17</v>
      </c>
      <c r="B6" s="178" t="str">
        <f>'G2 RMA Scoresheet'!$F$6</f>
        <v>Romana Elementary School</v>
      </c>
      <c r="C6" s="178"/>
      <c r="D6" t="s">
        <v>94</v>
      </c>
      <c r="E6" s="1" t="str" cm="1">
        <f t="array" ref="E6">'G2 RMA Scoresheet'!$K$6:$K$6</f>
        <v>Hiligaynon</v>
      </c>
      <c r="F6" s="1"/>
      <c r="G6" s="1"/>
      <c r="H6" s="1"/>
      <c r="I6" t="s">
        <v>6</v>
      </c>
    </row>
    <row r="7" spans="1:23" ht="15" thickBot="1" x14ac:dyDescent="0.4">
      <c r="A7" s="116"/>
      <c r="B7" s="110"/>
      <c r="C7" s="110"/>
      <c r="D7" s="93"/>
      <c r="E7" s="92"/>
      <c r="F7" s="92"/>
      <c r="G7" s="92"/>
      <c r="H7" s="92"/>
      <c r="I7" s="93"/>
      <c r="J7" s="93"/>
      <c r="K7" s="93"/>
      <c r="L7" s="92"/>
      <c r="M7" s="92"/>
      <c r="N7" s="92"/>
      <c r="O7" s="92"/>
      <c r="P7" s="92"/>
      <c r="Q7" s="92"/>
      <c r="R7" s="92"/>
      <c r="S7" s="92"/>
      <c r="T7" s="92"/>
      <c r="U7" s="92"/>
      <c r="V7" s="92"/>
      <c r="W7" s="92"/>
    </row>
    <row r="8" spans="1:23" ht="14.4" customHeight="1" x14ac:dyDescent="0.35">
      <c r="A8" s="166" t="s">
        <v>14</v>
      </c>
      <c r="B8" s="52"/>
      <c r="C8" s="52"/>
      <c r="D8" s="168" t="s">
        <v>93</v>
      </c>
      <c r="E8" s="170" t="s">
        <v>18</v>
      </c>
      <c r="F8" s="172" t="s">
        <v>92</v>
      </c>
      <c r="G8" s="181" t="s">
        <v>18</v>
      </c>
      <c r="H8" s="182"/>
      <c r="I8" s="182"/>
      <c r="J8" s="182"/>
      <c r="K8" s="183"/>
      <c r="L8" s="180" t="s">
        <v>123</v>
      </c>
      <c r="M8" s="180"/>
      <c r="N8" s="180"/>
      <c r="O8" s="180"/>
      <c r="P8" s="180"/>
      <c r="Q8" s="180"/>
      <c r="R8" s="180"/>
      <c r="S8" s="180"/>
      <c r="T8" s="180"/>
      <c r="U8" s="180"/>
      <c r="V8" s="180"/>
      <c r="W8" s="176" t="s">
        <v>125</v>
      </c>
    </row>
    <row r="9" spans="1:23" ht="36" x14ac:dyDescent="0.35">
      <c r="A9" s="167"/>
      <c r="B9" s="54" t="s">
        <v>12</v>
      </c>
      <c r="C9" s="54" t="s">
        <v>19</v>
      </c>
      <c r="D9" s="169"/>
      <c r="E9" s="171"/>
      <c r="F9" s="173"/>
      <c r="G9" s="128" t="s">
        <v>126</v>
      </c>
      <c r="H9" s="128" t="s">
        <v>127</v>
      </c>
      <c r="I9" s="129" t="s">
        <v>128</v>
      </c>
      <c r="J9" s="129" t="s">
        <v>129</v>
      </c>
      <c r="K9" s="129" t="s">
        <v>130</v>
      </c>
      <c r="L9" s="48" t="s">
        <v>82</v>
      </c>
      <c r="M9" s="48" t="s">
        <v>83</v>
      </c>
      <c r="N9" s="48" t="s">
        <v>84</v>
      </c>
      <c r="O9" s="48" t="s">
        <v>85</v>
      </c>
      <c r="P9" s="48" t="s">
        <v>86</v>
      </c>
      <c r="Q9" s="48" t="s">
        <v>87</v>
      </c>
      <c r="R9" s="48" t="s">
        <v>88</v>
      </c>
      <c r="S9" s="48" t="s">
        <v>89</v>
      </c>
      <c r="T9" s="108" t="s">
        <v>90</v>
      </c>
      <c r="U9" s="48" t="s">
        <v>97</v>
      </c>
      <c r="V9" s="48" t="s">
        <v>98</v>
      </c>
      <c r="W9" s="177"/>
    </row>
    <row r="10" spans="1:23" hidden="1" x14ac:dyDescent="0.35">
      <c r="A10" s="53"/>
      <c r="B10" s="54"/>
      <c r="C10" s="54"/>
      <c r="D10" s="54"/>
      <c r="E10" s="55"/>
      <c r="F10" s="55"/>
      <c r="G10" s="55"/>
      <c r="H10" s="55"/>
      <c r="I10" s="48"/>
      <c r="J10" s="48"/>
      <c r="K10" s="48"/>
      <c r="L10" s="48">
        <f>'G2 RMA Scoresheet'!I9</f>
        <v>3</v>
      </c>
      <c r="M10" s="48">
        <f>'G2 RMA Scoresheet'!J9</f>
        <v>1</v>
      </c>
      <c r="N10" s="48">
        <f>'G2 RMA Scoresheet'!K9</f>
        <v>2</v>
      </c>
      <c r="O10" s="48">
        <f>'G2 RMA Scoresheet'!L9</f>
        <v>1</v>
      </c>
      <c r="P10" s="48">
        <f>'G2 RMA Scoresheet'!M9</f>
        <v>4</v>
      </c>
      <c r="Q10" s="48">
        <f>'G2 RMA Scoresheet'!N9</f>
        <v>3</v>
      </c>
      <c r="R10" s="48">
        <f>'G2 RMA Scoresheet'!O9</f>
        <v>3</v>
      </c>
      <c r="S10" s="48">
        <f>'G2 RMA Scoresheet'!P9</f>
        <v>4</v>
      </c>
      <c r="T10" s="108">
        <f>'G2 RMA Scoresheet'!Q9</f>
        <v>2</v>
      </c>
      <c r="U10" s="48">
        <f>'G2 RMA Scoresheet'!R9</f>
        <v>1</v>
      </c>
      <c r="V10" s="48">
        <f>'G2 RMA Scoresheet'!S9</f>
        <v>1</v>
      </c>
      <c r="W10" s="112">
        <f>SUM(L10:V10)</f>
        <v>25</v>
      </c>
    </row>
    <row r="11" spans="1:23" ht="24" customHeight="1" x14ac:dyDescent="0.35">
      <c r="A11" s="56" t="s">
        <v>95</v>
      </c>
      <c r="B11" s="57">
        <f>IF('G2 RMA Scoresheet'!K7&lt;&gt;"",'G2 RMA Scoresheet'!K7,"")</f>
        <v>1</v>
      </c>
      <c r="C11" s="57" t="s">
        <v>80</v>
      </c>
      <c r="D11" s="58">
        <f>COUNTIFS('G2 RMA Scoresheet'!$D$10:$D$109,$C11,'G2 RMA Scoresheet'!$H$10:$H$109,$E$6)</f>
        <v>7</v>
      </c>
      <c r="E11" s="58">
        <f>COUNTIF('G2 RMA Scoresheet'!$D$10:$D$109,"Male")</f>
        <v>7</v>
      </c>
      <c r="F11" s="58">
        <f>'G2 RMA Scoresheet'!$O$6</f>
        <v>7</v>
      </c>
      <c r="G11" s="58">
        <f>COUNTIFS('G2 RMA Scoresheet'!$D$10:$D$109,"Male",'G2 RMA Scoresheet'!$V$10:$V$109,G$9)</f>
        <v>6</v>
      </c>
      <c r="H11" s="58">
        <f>COUNTIFS('G2 RMA Scoresheet'!$D$10:$D$109,"Male",'G2 RMA Scoresheet'!$V$10:$V$109,H$9)</f>
        <v>1</v>
      </c>
      <c r="I11" s="59">
        <f>COUNTIFS('G2 RMA Scoresheet'!$D$10:$D$109,"Male",'G2 RMA Scoresheet'!$V$10:$V$109,I$9)</f>
        <v>0</v>
      </c>
      <c r="J11" s="60">
        <f>COUNTIFS('G2 RMA Scoresheet'!$D$10:$D$109,"Male",'G2 RMA Scoresheet'!$V$10:$V$109,J$9)</f>
        <v>0</v>
      </c>
      <c r="K11" s="60">
        <f>COUNTIFS('G2 RMA Scoresheet'!$D$10:$D$109,"Male",'G2 RMA Scoresheet'!$V$10:$V$109,K$9)</f>
        <v>0</v>
      </c>
      <c r="L11" s="124">
        <f>COUNTIFS('G2 RMA Scoresheet'!$D$10:$D$109,"Male",'G2 RMA Scoresheet'!AB$10:AB$109,1)</f>
        <v>0</v>
      </c>
      <c r="M11" s="124">
        <f>COUNTIFS('G2 RMA Scoresheet'!$D$10:$D$109,"Male",'G2 RMA Scoresheet'!AC$10:AC$109,1)</f>
        <v>1</v>
      </c>
      <c r="N11" s="124">
        <f>COUNTIFS('G2 RMA Scoresheet'!$D$10:$D$109,"Male",'G2 RMA Scoresheet'!AD$10:AD$109,1)</f>
        <v>0</v>
      </c>
      <c r="O11" s="124">
        <f>COUNTIFS('G2 RMA Scoresheet'!$D$10:$D$109,"Male",'G2 RMA Scoresheet'!AE$10:AE$109,1)</f>
        <v>1</v>
      </c>
      <c r="P11" s="124">
        <f>COUNTIFS('G2 RMA Scoresheet'!$D$10:$D$109,"Male",'G2 RMA Scoresheet'!AF$10:AF$109,1)</f>
        <v>0</v>
      </c>
      <c r="Q11" s="124">
        <f>COUNTIFS('G2 RMA Scoresheet'!$D$10:$D$109,"Male",'G2 RMA Scoresheet'!AG$10:AG$109,1)</f>
        <v>0</v>
      </c>
      <c r="R11" s="124">
        <f>COUNTIFS('G2 RMA Scoresheet'!$D$10:$D$109,"Male",'G2 RMA Scoresheet'!AH$10:AH$109,1)</f>
        <v>0</v>
      </c>
      <c r="S11" s="124">
        <f>COUNTIFS('G2 RMA Scoresheet'!$D$10:$D$109,"Male",'G2 RMA Scoresheet'!AI$10:AI$109,1)</f>
        <v>0</v>
      </c>
      <c r="T11" s="124">
        <f>COUNTIFS('G2 RMA Scoresheet'!$D$10:$D$109,"Male",'G2 RMA Scoresheet'!AJ$10:AJ$109,1)</f>
        <v>2</v>
      </c>
      <c r="U11" s="124">
        <f>COUNTIFS('G2 RMA Scoresheet'!$D$10:$D$109,"Male",'G2 RMA Scoresheet'!AK$10:AK$109,1)</f>
        <v>0</v>
      </c>
      <c r="V11" s="124">
        <f>COUNTIFS('G2 RMA Scoresheet'!$D$10:$D$109,"Male",'G2 RMA Scoresheet'!AL$10:AL$109,1)</f>
        <v>6</v>
      </c>
      <c r="W11" s="113">
        <f>IFERROR(AVERAGEIFS('G2 RMA Scoresheet'!T$10:T$109,'G2 RMA Scoresheet'!$D$10:$D$109,$C11),"")</f>
        <v>4</v>
      </c>
    </row>
    <row r="12" spans="1:23" ht="19.75" customHeight="1" thickBot="1" x14ac:dyDescent="0.4">
      <c r="A12" s="56" t="str">
        <f>A11</f>
        <v>Grade 2</v>
      </c>
      <c r="B12" s="57">
        <f>B11</f>
        <v>1</v>
      </c>
      <c r="C12" s="57" t="s">
        <v>77</v>
      </c>
      <c r="D12" s="83">
        <f>COUNTIFS('G2 RMA Scoresheet'!$D$10:$D$109,$C12,'G2 RMA Scoresheet'!$H$10:$H$109,$E$6)</f>
        <v>8</v>
      </c>
      <c r="E12" s="58">
        <f>COUNTIF('G2 RMA Scoresheet'!$D$10:$D$109,"Female")</f>
        <v>8</v>
      </c>
      <c r="F12" s="58">
        <f>'G2 RMA Scoresheet'!O7</f>
        <v>8</v>
      </c>
      <c r="G12" s="58">
        <f>COUNTIFS('G2 RMA Scoresheet'!$D$10:$D$109,"Female",'G2 RMA Scoresheet'!$V$10:$V$109,G$9)</f>
        <v>3</v>
      </c>
      <c r="H12" s="58">
        <f>COUNTIFS('G2 RMA Scoresheet'!$D$10:$D$109,"Female",'G2 RMA Scoresheet'!$V$10:$V$109,H$9)</f>
        <v>5</v>
      </c>
      <c r="I12" s="59">
        <f>COUNTIFS('G2 RMA Scoresheet'!$D$10:$D$109,"Female",'G2 RMA Scoresheet'!$V$10:$V$109,I$9)</f>
        <v>0</v>
      </c>
      <c r="J12" s="60">
        <f>COUNTIFS('G2 RMA Scoresheet'!$D$10:$D$109,"Female",'G2 RMA Scoresheet'!$V$10:$V$109,J$9)</f>
        <v>0</v>
      </c>
      <c r="K12" s="60">
        <f>COUNTIFS('G2 RMA Scoresheet'!$D$10:$D$109,"Female",'G2 RMA Scoresheet'!$V$10:$V$109,K$9)</f>
        <v>0</v>
      </c>
      <c r="L12" s="60">
        <f>COUNTIFS('G2 RMA Scoresheet'!$D$10:$D$109,"Female",'G2 RMA Scoresheet'!AB$10:AB$109,1)</f>
        <v>0</v>
      </c>
      <c r="M12" s="60">
        <f>COUNTIFS('G2 RMA Scoresheet'!$D$10:$D$109,"Female",'G2 RMA Scoresheet'!AC$10:AC$109,1)</f>
        <v>5</v>
      </c>
      <c r="N12" s="60">
        <f>COUNTIFS('G2 RMA Scoresheet'!$D$10:$D$109,"Female",'G2 RMA Scoresheet'!AD$10:AD$109,1)</f>
        <v>0</v>
      </c>
      <c r="O12" s="60">
        <f>COUNTIFS('G2 RMA Scoresheet'!$D$10:$D$109,"Female",'G2 RMA Scoresheet'!AE$10:AE$109,1)</f>
        <v>2</v>
      </c>
      <c r="P12" s="60">
        <f>COUNTIFS('G2 RMA Scoresheet'!$D$10:$D$109,"Female",'G2 RMA Scoresheet'!AF$10:AF$109,1)</f>
        <v>0</v>
      </c>
      <c r="Q12" s="60">
        <f>COUNTIFS('G2 RMA Scoresheet'!$D$10:$D$109,"Female",'G2 RMA Scoresheet'!AG$10:AG$109,1)</f>
        <v>0</v>
      </c>
      <c r="R12" s="60">
        <f>COUNTIFS('G2 RMA Scoresheet'!$D$10:$D$109,"Female",'G2 RMA Scoresheet'!AH$10:AH$109,1)</f>
        <v>0</v>
      </c>
      <c r="S12" s="60">
        <f>COUNTIFS('G2 RMA Scoresheet'!$D$10:$D$109,"Female",'G2 RMA Scoresheet'!AI$10:AI$109,1)</f>
        <v>0</v>
      </c>
      <c r="T12" s="60">
        <f>COUNTIFS('G2 RMA Scoresheet'!$D$10:$D$109,"Female",'G2 RMA Scoresheet'!AJ$10:AJ$109,1)</f>
        <v>5</v>
      </c>
      <c r="U12" s="60">
        <f>COUNTIFS('G2 RMA Scoresheet'!$D$10:$D$109,"Female",'G2 RMA Scoresheet'!AK$10:AK$109,1)</f>
        <v>4</v>
      </c>
      <c r="V12" s="60">
        <f>COUNTIFS('G2 RMA Scoresheet'!$D$10:$D$109,"Female",'G2 RMA Scoresheet'!AL$10:AL$109,1)</f>
        <v>6</v>
      </c>
      <c r="W12" s="125">
        <f>IFERROR(AVERAGEIFS('G2 RMA Scoresheet'!T$10:T$109,'G2 RMA Scoresheet'!$D$10:$D$109,$C12),"")</f>
        <v>6</v>
      </c>
    </row>
    <row r="13" spans="1:23" ht="24" customHeight="1" x14ac:dyDescent="0.35">
      <c r="A13" s="103"/>
      <c r="B13" s="103"/>
      <c r="C13" s="103"/>
      <c r="D13" s="104"/>
      <c r="E13" s="105"/>
      <c r="F13" s="105"/>
      <c r="G13" s="105"/>
      <c r="H13" s="105"/>
      <c r="I13" s="106"/>
      <c r="J13" s="107"/>
      <c r="K13" s="107"/>
      <c r="L13" s="107"/>
      <c r="M13" s="107"/>
      <c r="N13" s="107"/>
      <c r="O13" s="107"/>
      <c r="P13" s="107"/>
      <c r="Q13" s="107"/>
      <c r="R13" s="107"/>
      <c r="S13" s="107"/>
      <c r="T13" s="107"/>
      <c r="U13" s="109"/>
      <c r="V13" s="107"/>
    </row>
    <row r="14" spans="1:23" ht="19.75" customHeight="1" thickBot="1" x14ac:dyDescent="0.4">
      <c r="A14" s="84" t="str">
        <f>A12</f>
        <v>Grade 2</v>
      </c>
      <c r="B14" s="85">
        <f>B12</f>
        <v>1</v>
      </c>
      <c r="C14" s="85" t="s">
        <v>91</v>
      </c>
      <c r="D14" s="86">
        <f>D11+D12</f>
        <v>15</v>
      </c>
      <c r="E14" s="87">
        <f>E11+E12</f>
        <v>15</v>
      </c>
      <c r="F14" s="87">
        <f>F11+F12</f>
        <v>15</v>
      </c>
      <c r="G14" s="87">
        <f t="shared" ref="G14:H14" si="0">G11+G12</f>
        <v>9</v>
      </c>
      <c r="H14" s="87">
        <f t="shared" si="0"/>
        <v>6</v>
      </c>
      <c r="I14" s="88">
        <f t="shared" ref="I14:V14" si="1">I11+I12</f>
        <v>0</v>
      </c>
      <c r="J14" s="89">
        <f t="shared" si="1"/>
        <v>0</v>
      </c>
      <c r="K14" s="89">
        <f t="shared" si="1"/>
        <v>0</v>
      </c>
      <c r="L14" s="89">
        <f t="shared" si="1"/>
        <v>0</v>
      </c>
      <c r="M14" s="89">
        <f t="shared" si="1"/>
        <v>6</v>
      </c>
      <c r="N14" s="89">
        <f t="shared" si="1"/>
        <v>0</v>
      </c>
      <c r="O14" s="89">
        <f t="shared" si="1"/>
        <v>3</v>
      </c>
      <c r="P14" s="89">
        <f t="shared" si="1"/>
        <v>0</v>
      </c>
      <c r="Q14" s="89">
        <f t="shared" si="1"/>
        <v>0</v>
      </c>
      <c r="R14" s="89">
        <f t="shared" si="1"/>
        <v>0</v>
      </c>
      <c r="S14" s="89">
        <f t="shared" si="1"/>
        <v>0</v>
      </c>
      <c r="T14" s="89">
        <f t="shared" si="1"/>
        <v>7</v>
      </c>
      <c r="U14" s="89">
        <f t="shared" si="1"/>
        <v>4</v>
      </c>
      <c r="V14" s="89">
        <f t="shared" si="1"/>
        <v>12</v>
      </c>
      <c r="W14" s="90">
        <f>IFERROR(AVERAGE('G2 RMA Scoresheet'!T$10:T$109),"")</f>
        <v>5.0666666666666664</v>
      </c>
    </row>
    <row r="17" spans="1:23" ht="15" thickBot="1" x14ac:dyDescent="0.4"/>
    <row r="18" spans="1:23" ht="15" customHeight="1" thickBot="1" x14ac:dyDescent="0.4">
      <c r="A18" s="70" t="s">
        <v>20</v>
      </c>
      <c r="B18" s="71"/>
      <c r="C18" s="174" t="s">
        <v>21</v>
      </c>
      <c r="D18" s="174"/>
      <c r="E18" s="174"/>
      <c r="F18" s="174"/>
      <c r="G18" s="175"/>
      <c r="H18" s="101"/>
      <c r="I18" s="3"/>
      <c r="L18" s="164" t="s">
        <v>124</v>
      </c>
      <c r="M18" s="165"/>
      <c r="N18" s="165"/>
      <c r="O18" s="165"/>
      <c r="P18" s="165"/>
      <c r="Q18" s="165"/>
      <c r="R18" s="165"/>
      <c r="S18" s="165"/>
      <c r="T18" s="165"/>
      <c r="U18" s="165"/>
      <c r="V18" s="165"/>
      <c r="W18" s="115"/>
    </row>
    <row r="19" spans="1:23" ht="36" x14ac:dyDescent="0.35">
      <c r="A19" s="72" t="s">
        <v>19</v>
      </c>
      <c r="B19" s="73" t="s">
        <v>22</v>
      </c>
      <c r="C19" s="129" t="s">
        <v>126</v>
      </c>
      <c r="D19" s="129" t="s">
        <v>127</v>
      </c>
      <c r="E19" s="129" t="s">
        <v>128</v>
      </c>
      <c r="F19" s="129" t="s">
        <v>129</v>
      </c>
      <c r="G19" s="130" t="s">
        <v>130</v>
      </c>
      <c r="H19" s="102"/>
      <c r="I19" s="69"/>
      <c r="K19" s="70" t="s">
        <v>19</v>
      </c>
      <c r="L19" s="48" t="s">
        <v>82</v>
      </c>
      <c r="M19" s="48" t="s">
        <v>83</v>
      </c>
      <c r="N19" s="48" t="s">
        <v>84</v>
      </c>
      <c r="O19" s="48" t="s">
        <v>85</v>
      </c>
      <c r="P19" s="48" t="s">
        <v>86</v>
      </c>
      <c r="Q19" s="48" t="s">
        <v>87</v>
      </c>
      <c r="R19" s="48" t="s">
        <v>88</v>
      </c>
      <c r="S19" s="48" t="s">
        <v>89</v>
      </c>
      <c r="T19" s="48" t="s">
        <v>90</v>
      </c>
      <c r="U19" s="48" t="s">
        <v>97</v>
      </c>
      <c r="V19" s="48" t="s">
        <v>98</v>
      </c>
      <c r="W19" s="114" t="s">
        <v>103</v>
      </c>
    </row>
    <row r="20" spans="1:23" x14ac:dyDescent="0.35">
      <c r="A20" s="25" t="s">
        <v>80</v>
      </c>
      <c r="B20" s="74">
        <f>IFERROR(E11/$E$5,"")</f>
        <v>0.46666666666666667</v>
      </c>
      <c r="C20" s="74">
        <f>IFERROR(G11/$E$11,"")</f>
        <v>0.8571428571428571</v>
      </c>
      <c r="D20" s="74">
        <f t="shared" ref="D20:G20" si="2">IFERROR(H11/$E$11,"")</f>
        <v>0.14285714285714285</v>
      </c>
      <c r="E20" s="74">
        <f t="shared" si="2"/>
        <v>0</v>
      </c>
      <c r="F20" s="74">
        <f t="shared" si="2"/>
        <v>0</v>
      </c>
      <c r="G20" s="74">
        <f t="shared" si="2"/>
        <v>0</v>
      </c>
      <c r="H20" s="100"/>
      <c r="I20" s="5" t="str">
        <f>IFERROR(#REF!/$I$11,"")</f>
        <v/>
      </c>
      <c r="K20" s="25" t="s">
        <v>80</v>
      </c>
      <c r="L20" s="76">
        <f>IFERROR(L11/$E11,"")</f>
        <v>0</v>
      </c>
      <c r="M20" s="76">
        <f t="shared" ref="M20:V20" si="3">IFERROR(M11/$E11,"")</f>
        <v>0.14285714285714285</v>
      </c>
      <c r="N20" s="76">
        <f t="shared" si="3"/>
        <v>0</v>
      </c>
      <c r="O20" s="76">
        <f t="shared" si="3"/>
        <v>0.14285714285714285</v>
      </c>
      <c r="P20" s="76">
        <f t="shared" si="3"/>
        <v>0</v>
      </c>
      <c r="Q20" s="76">
        <f t="shared" si="3"/>
        <v>0</v>
      </c>
      <c r="R20" s="76">
        <f t="shared" si="3"/>
        <v>0</v>
      </c>
      <c r="S20" s="76">
        <f t="shared" si="3"/>
        <v>0</v>
      </c>
      <c r="T20" s="76">
        <f t="shared" si="3"/>
        <v>0.2857142857142857</v>
      </c>
      <c r="U20" s="76">
        <f t="shared" si="3"/>
        <v>0</v>
      </c>
      <c r="V20" s="76">
        <f t="shared" si="3"/>
        <v>0.8571428571428571</v>
      </c>
      <c r="W20" s="77">
        <f t="shared" ref="W20" si="4">IFERROR(W11/W$10,"")</f>
        <v>0.16</v>
      </c>
    </row>
    <row r="21" spans="1:23" x14ac:dyDescent="0.35">
      <c r="A21" s="25" t="s">
        <v>77</v>
      </c>
      <c r="B21" s="74">
        <f>IFERROR(E12/$E$5,"")</f>
        <v>0.53333333333333333</v>
      </c>
      <c r="C21" s="74">
        <f>IFERROR(G12/$E$12,"")</f>
        <v>0.375</v>
      </c>
      <c r="D21" s="74">
        <f t="shared" ref="D21:G21" si="5">IFERROR(H12/$E$12,"")</f>
        <v>0.625</v>
      </c>
      <c r="E21" s="74">
        <f t="shared" si="5"/>
        <v>0</v>
      </c>
      <c r="F21" s="74">
        <f t="shared" si="5"/>
        <v>0</v>
      </c>
      <c r="G21" s="74">
        <f t="shared" si="5"/>
        <v>0</v>
      </c>
      <c r="H21" s="75"/>
      <c r="K21" s="25" t="s">
        <v>77</v>
      </c>
      <c r="L21" s="76">
        <f>IFERROR(L12/$E12,"")</f>
        <v>0</v>
      </c>
      <c r="M21" s="76">
        <f t="shared" ref="M21:V21" si="6">IFERROR(M12/$E12,"")</f>
        <v>0.625</v>
      </c>
      <c r="N21" s="76">
        <f t="shared" si="6"/>
        <v>0</v>
      </c>
      <c r="O21" s="76">
        <f t="shared" si="6"/>
        <v>0.25</v>
      </c>
      <c r="P21" s="76">
        <f t="shared" si="6"/>
        <v>0</v>
      </c>
      <c r="Q21" s="76">
        <f t="shared" si="6"/>
        <v>0</v>
      </c>
      <c r="R21" s="76">
        <f t="shared" si="6"/>
        <v>0</v>
      </c>
      <c r="S21" s="76">
        <f t="shared" si="6"/>
        <v>0</v>
      </c>
      <c r="T21" s="76">
        <f t="shared" si="6"/>
        <v>0.625</v>
      </c>
      <c r="U21" s="76">
        <f t="shared" si="6"/>
        <v>0.5</v>
      </c>
      <c r="V21" s="76">
        <f t="shared" si="6"/>
        <v>0.75</v>
      </c>
      <c r="W21" s="77">
        <f t="shared" ref="W21" si="7">IFERROR(W12/W$10,"")</f>
        <v>0.24</v>
      </c>
    </row>
    <row r="22" spans="1:23" ht="15" thickBot="1" x14ac:dyDescent="0.4">
      <c r="A22" s="78" t="s">
        <v>91</v>
      </c>
      <c r="B22" s="79">
        <f>IFERROR(B20+B21,"")</f>
        <v>1</v>
      </c>
      <c r="C22" s="79">
        <f>IFERROR(G14/$E$14,"")</f>
        <v>0.6</v>
      </c>
      <c r="D22" s="79">
        <f t="shared" ref="D22:G22" si="8">IFERROR(H14/$E$14,"")</f>
        <v>0.4</v>
      </c>
      <c r="E22" s="79">
        <f t="shared" si="8"/>
        <v>0</v>
      </c>
      <c r="F22" s="79">
        <f t="shared" si="8"/>
        <v>0</v>
      </c>
      <c r="G22" s="79">
        <f t="shared" si="8"/>
        <v>0</v>
      </c>
      <c r="H22" s="80"/>
      <c r="K22" s="78" t="s">
        <v>91</v>
      </c>
      <c r="L22" s="81">
        <f>IFERROR(L14/$E14,"")</f>
        <v>0</v>
      </c>
      <c r="M22" s="81">
        <f t="shared" ref="M22:V22" si="9">IFERROR(M14/$E14,"")</f>
        <v>0.4</v>
      </c>
      <c r="N22" s="81">
        <f t="shared" si="9"/>
        <v>0</v>
      </c>
      <c r="O22" s="81">
        <f t="shared" si="9"/>
        <v>0.2</v>
      </c>
      <c r="P22" s="81">
        <f t="shared" si="9"/>
        <v>0</v>
      </c>
      <c r="Q22" s="81">
        <f t="shared" si="9"/>
        <v>0</v>
      </c>
      <c r="R22" s="81">
        <f t="shared" si="9"/>
        <v>0</v>
      </c>
      <c r="S22" s="81">
        <f t="shared" si="9"/>
        <v>0</v>
      </c>
      <c r="T22" s="81">
        <f t="shared" si="9"/>
        <v>0.46666666666666667</v>
      </c>
      <c r="U22" s="81">
        <f t="shared" si="9"/>
        <v>0.26666666666666666</v>
      </c>
      <c r="V22" s="81">
        <f t="shared" si="9"/>
        <v>0.8</v>
      </c>
      <c r="W22" s="82">
        <f t="shared" ref="W22" si="10">IFERROR(W14/W$10,"")</f>
        <v>0.20266666666666666</v>
      </c>
    </row>
    <row r="23" spans="1:23" x14ac:dyDescent="0.35">
      <c r="A23" s="3"/>
      <c r="B23" s="80"/>
      <c r="C23" s="80"/>
      <c r="D23" s="80"/>
      <c r="E23" s="80"/>
      <c r="F23" s="80"/>
      <c r="G23" s="80"/>
      <c r="H23" s="80"/>
      <c r="K23" s="3"/>
      <c r="L23" s="75"/>
      <c r="M23" s="75"/>
      <c r="N23" s="75"/>
      <c r="O23" s="75"/>
      <c r="P23" s="75"/>
      <c r="Q23" s="75"/>
      <c r="R23" s="75"/>
      <c r="S23" s="75"/>
      <c r="T23" s="75"/>
      <c r="U23" s="75"/>
      <c r="V23" s="75"/>
    </row>
  </sheetData>
  <sheetProtection algorithmName="SHA-512" hashValue="/ZMnaxy8TlGW17ttjbKAqQVM1A01t7Jls0eiv0K+RZiM1PEXFea/ewZ3t52Q6Qx2PrWcBoCdUN4ksaDwB4YJ+Q==" saltValue="6QOs399ixWZRtvd6s9jKoQ==" spinCount="100000" sheet="1" objects="1" scenarios="1"/>
  <mergeCells count="12">
    <mergeCell ref="W8:W9"/>
    <mergeCell ref="B6:C6"/>
    <mergeCell ref="A2:E2"/>
    <mergeCell ref="L8:V8"/>
    <mergeCell ref="G8:K8"/>
    <mergeCell ref="F5:H5"/>
    <mergeCell ref="L18:V18"/>
    <mergeCell ref="A8:A9"/>
    <mergeCell ref="D8:D9"/>
    <mergeCell ref="E8:E9"/>
    <mergeCell ref="F8:F9"/>
    <mergeCell ref="C18:G18"/>
  </mergeCells>
  <conditionalFormatting sqref="D11 E11:H14">
    <cfRule type="containsText" dxfId="1" priority="3" operator="containsText" text="[enter class enrolment]">
      <formula>NOT(ISERROR(SEARCH("[enter class enrolment]",D11)))</formula>
    </cfRule>
  </conditionalFormatting>
  <conditionalFormatting sqref="D12:D14">
    <cfRule type="containsText" dxfId="0" priority="4" operator="containsText" text="[choose language here]">
      <formula>NOT(ISERROR(SEARCH("[choose language here]",D12)))</formula>
    </cfRule>
  </conditionalFormatting>
  <pageMargins left="0.25" right="0.25" top="0.75" bottom="0.75" header="0.3" footer="0.3"/>
  <pageSetup paperSize="10000"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61CBDB1B-6879-477E-9796-6347E875750E}"/>
</file>

<file path=customXml/itemProps2.xml><?xml version="1.0" encoding="utf-8"?>
<ds:datastoreItem xmlns:ds="http://schemas.openxmlformats.org/officeDocument/2006/customXml" ds:itemID="{8576ABDA-69D9-4059-B880-58659C891651}"/>
</file>

<file path=customXml/itemProps3.xml><?xml version="1.0" encoding="utf-8"?>
<ds:datastoreItem xmlns:ds="http://schemas.openxmlformats.org/officeDocument/2006/customXml" ds:itemID="{A71C663A-1503-4D24-9EAB-C7B0AAB5D1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G2 RMA Scoresheet</vt:lpstr>
      <vt:lpstr>Class Summary</vt:lpstr>
      <vt:lpstr>'G2 RMA Scoresheet'!Print_Area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Maricar1 Joaquin</cp:lastModifiedBy>
  <cp:lastPrinted>2025-06-27T07:25:21Z</cp:lastPrinted>
  <dcterms:created xsi:type="dcterms:W3CDTF">2021-07-15T02:28:12Z</dcterms:created>
  <dcterms:modified xsi:type="dcterms:W3CDTF">2025-06-27T07:30:47Z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Order">
    <vt:r8>964600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