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styles.xml" ContentType="application/vnd.openxmlformats-officedocument.spreadsheetml.styles+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style2.xml" ContentType="application/vnd.ms-office.chartstyle+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mc:AlternateContent xmlns:mc="http://schemas.openxmlformats.org/markup-compatibility/2006">
    <mc:Choice Requires="x15">
      <x15ac:absPath xmlns:x15ac="http://schemas.microsoft.com/office/spreadsheetml/2010/11/ac" url="https://d.docs.live.net/5cccfe913319b9e7/Desktop/SY. 2025-2026/RMA/"/>
    </mc:Choice>
  </mc:AlternateContent>
  <xr:revisionPtr revIDLastSave="218" documentId="11_2AE31232B14ADE08BF988056166FBB3148568394" xr6:coauthVersionLast="47" xr6:coauthVersionMax="47" xr10:uidLastSave="{74EEEDC8-1DDC-460D-8601-8396B35D4198}"/>
  <workbookProtection workbookAlgorithmName="SHA-512" workbookHashValue="TesTmRD48Xye3Ld+HrHIKuZonbct1wP8imBSii6szUxgfAHqRI9rq4+8kBc2NH60YTLE3BZtB58DKg07lnvfpA==" workbookSaltValue="exFVgAGZ/5LFohTo7abs1w==" workbookSpinCount="100000" lockStructure="1"/>
  <bookViews>
    <workbookView xWindow="-110" yWindow="-110" windowWidth="19420" windowHeight="10300" xr2:uid="{00000000-000D-0000-FFFF-FFFF00000000}"/>
  </bookViews>
  <sheets>
    <sheet name="G1 RMA Scoresheet" sheetId="1" r:id="rId1"/>
    <sheet name="List" sheetId="4" state="hidden" r:id="rId2"/>
    <sheet name="Class Summary" sheetId="2" r:id="rId3"/>
  </sheets>
  <definedNames>
    <definedName name="_xlnm._FilterDatabase" localSheetId="0" hidden="1">'G1 RMA Scoresheet'!$8:$8</definedName>
    <definedName name="_xlnm._FilterDatabase" localSheetId="1" hidden="1">List!$B$1:$K$40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2" l="1"/>
  <c r="M12" i="2"/>
  <c r="F12" i="2"/>
  <c r="E12" i="2"/>
  <c r="D12" i="2"/>
  <c r="A12" i="2"/>
  <c r="F11" i="2"/>
  <c r="E11" i="2"/>
  <c r="D11" i="2"/>
  <c r="B11" i="2"/>
  <c r="B12" i="2" s="1"/>
  <c r="B14" i="2" s="1"/>
  <c r="W10" i="2"/>
  <c r="S10" i="2"/>
  <c r="O10" i="2"/>
  <c r="E6" i="2" a="1"/>
  <c r="E6" i="2"/>
  <c r="B6" i="2"/>
  <c r="B5" i="2"/>
  <c r="AF109" i="1"/>
  <c r="AE109" i="1"/>
  <c r="AD109" i="1"/>
  <c r="AC109" i="1"/>
  <c r="AB109" i="1"/>
  <c r="AA109" i="1"/>
  <c r="Z109" i="1"/>
  <c r="Y109" i="1"/>
  <c r="S109" i="1"/>
  <c r="R109" i="1"/>
  <c r="Q109" i="1"/>
  <c r="G109" i="1"/>
  <c r="AF108" i="1"/>
  <c r="AE108" i="1"/>
  <c r="AD108" i="1"/>
  <c r="AC108" i="1"/>
  <c r="AB108" i="1"/>
  <c r="AA108" i="1"/>
  <c r="Z108" i="1"/>
  <c r="Y108" i="1"/>
  <c r="S108" i="1"/>
  <c r="R108" i="1"/>
  <c r="Q108" i="1"/>
  <c r="G108" i="1"/>
  <c r="A108" i="1"/>
  <c r="AF107" i="1"/>
  <c r="AE107" i="1"/>
  <c r="AD107" i="1"/>
  <c r="AC107" i="1"/>
  <c r="AB107" i="1"/>
  <c r="AA107" i="1"/>
  <c r="Z107" i="1"/>
  <c r="Y107" i="1"/>
  <c r="S107" i="1"/>
  <c r="R107" i="1"/>
  <c r="Q107" i="1"/>
  <c r="G107" i="1"/>
  <c r="A107" i="1"/>
  <c r="AF106" i="1"/>
  <c r="AE106" i="1"/>
  <c r="AD106" i="1"/>
  <c r="AC106" i="1"/>
  <c r="AB106" i="1"/>
  <c r="AA106" i="1"/>
  <c r="Z106" i="1"/>
  <c r="Y106" i="1"/>
  <c r="S106" i="1"/>
  <c r="R106" i="1"/>
  <c r="Q106" i="1"/>
  <c r="G106" i="1"/>
  <c r="A106" i="1"/>
  <c r="AF105" i="1"/>
  <c r="AE105" i="1"/>
  <c r="AD105" i="1"/>
  <c r="AC105" i="1"/>
  <c r="AB105" i="1"/>
  <c r="AA105" i="1"/>
  <c r="Z105" i="1"/>
  <c r="Y105" i="1"/>
  <c r="S105" i="1"/>
  <c r="R105" i="1"/>
  <c r="Q105" i="1"/>
  <c r="G105" i="1"/>
  <c r="A105" i="1"/>
  <c r="AF104" i="1"/>
  <c r="AE104" i="1"/>
  <c r="AD104" i="1"/>
  <c r="AC104" i="1"/>
  <c r="AB104" i="1"/>
  <c r="AA104" i="1"/>
  <c r="Z104" i="1"/>
  <c r="Y104" i="1"/>
  <c r="S104" i="1"/>
  <c r="R104" i="1"/>
  <c r="Q104" i="1"/>
  <c r="G104" i="1"/>
  <c r="A104" i="1"/>
  <c r="AF103" i="1"/>
  <c r="AE103" i="1"/>
  <c r="AD103" i="1"/>
  <c r="AC103" i="1"/>
  <c r="AB103" i="1"/>
  <c r="AA103" i="1"/>
  <c r="Z103" i="1"/>
  <c r="Y103" i="1"/>
  <c r="S103" i="1"/>
  <c r="R103" i="1"/>
  <c r="Q103" i="1"/>
  <c r="G103" i="1"/>
  <c r="A103" i="1"/>
  <c r="AF102" i="1"/>
  <c r="AE102" i="1"/>
  <c r="AD102" i="1"/>
  <c r="AC102" i="1"/>
  <c r="AB102" i="1"/>
  <c r="AA102" i="1"/>
  <c r="Z102" i="1"/>
  <c r="Y102" i="1"/>
  <c r="S102" i="1"/>
  <c r="R102" i="1"/>
  <c r="Q102" i="1"/>
  <c r="G102" i="1"/>
  <c r="A102" i="1"/>
  <c r="AF101" i="1"/>
  <c r="AE101" i="1"/>
  <c r="AD101" i="1"/>
  <c r="AC101" i="1"/>
  <c r="AB101" i="1"/>
  <c r="AA101" i="1"/>
  <c r="Z101" i="1"/>
  <c r="Y101" i="1"/>
  <c r="S101" i="1"/>
  <c r="R101" i="1"/>
  <c r="Q101" i="1"/>
  <c r="G101" i="1"/>
  <c r="A101" i="1"/>
  <c r="AF100" i="1"/>
  <c r="AE100" i="1"/>
  <c r="AD100" i="1"/>
  <c r="AC100" i="1"/>
  <c r="AB100" i="1"/>
  <c r="AA100" i="1"/>
  <c r="Z100" i="1"/>
  <c r="Y100" i="1"/>
  <c r="S100" i="1"/>
  <c r="R100" i="1"/>
  <c r="Q100" i="1"/>
  <c r="G100" i="1"/>
  <c r="A100" i="1"/>
  <c r="AF99" i="1"/>
  <c r="AE99" i="1"/>
  <c r="AD99" i="1"/>
  <c r="AC99" i="1"/>
  <c r="AB99" i="1"/>
  <c r="AA99" i="1"/>
  <c r="Z99" i="1"/>
  <c r="Y99" i="1"/>
  <c r="S99" i="1"/>
  <c r="R99" i="1"/>
  <c r="Q99" i="1"/>
  <c r="G99" i="1"/>
  <c r="A99" i="1"/>
  <c r="AF98" i="1"/>
  <c r="AE98" i="1"/>
  <c r="AD98" i="1"/>
  <c r="AC98" i="1"/>
  <c r="AB98" i="1"/>
  <c r="AA98" i="1"/>
  <c r="Z98" i="1"/>
  <c r="Y98" i="1"/>
  <c r="S98" i="1"/>
  <c r="R98" i="1"/>
  <c r="Q98" i="1"/>
  <c r="G98" i="1"/>
  <c r="A98" i="1"/>
  <c r="AF97" i="1"/>
  <c r="AE97" i="1"/>
  <c r="AD97" i="1"/>
  <c r="AC97" i="1"/>
  <c r="AB97" i="1"/>
  <c r="AA97" i="1"/>
  <c r="Z97" i="1"/>
  <c r="Y97" i="1"/>
  <c r="S97" i="1"/>
  <c r="R97" i="1"/>
  <c r="Q97" i="1"/>
  <c r="G97" i="1"/>
  <c r="A97" i="1"/>
  <c r="AF96" i="1"/>
  <c r="AE96" i="1"/>
  <c r="AD96" i="1"/>
  <c r="AC96" i="1"/>
  <c r="AB96" i="1"/>
  <c r="AA96" i="1"/>
  <c r="Z96" i="1"/>
  <c r="Y96" i="1"/>
  <c r="S96" i="1"/>
  <c r="R96" i="1"/>
  <c r="Q96" i="1"/>
  <c r="G96" i="1"/>
  <c r="A96" i="1"/>
  <c r="AF95" i="1"/>
  <c r="AE95" i="1"/>
  <c r="AD95" i="1"/>
  <c r="AC95" i="1"/>
  <c r="AB95" i="1"/>
  <c r="AA95" i="1"/>
  <c r="Z95" i="1"/>
  <c r="Y95" i="1"/>
  <c r="S95" i="1"/>
  <c r="R95" i="1"/>
  <c r="Q95" i="1"/>
  <c r="G95" i="1"/>
  <c r="A95" i="1"/>
  <c r="AF94" i="1"/>
  <c r="AE94" i="1"/>
  <c r="AD94" i="1"/>
  <c r="AC94" i="1"/>
  <c r="AB94" i="1"/>
  <c r="AA94" i="1"/>
  <c r="Z94" i="1"/>
  <c r="Y94" i="1"/>
  <c r="S94" i="1"/>
  <c r="R94" i="1"/>
  <c r="Q94" i="1"/>
  <c r="G94" i="1"/>
  <c r="A94" i="1"/>
  <c r="AF93" i="1"/>
  <c r="AE93" i="1"/>
  <c r="AD93" i="1"/>
  <c r="AC93" i="1"/>
  <c r="AB93" i="1"/>
  <c r="AA93" i="1"/>
  <c r="Z93" i="1"/>
  <c r="Y93" i="1"/>
  <c r="S93" i="1"/>
  <c r="R93" i="1"/>
  <c r="Q93" i="1"/>
  <c r="G93" i="1"/>
  <c r="A93" i="1"/>
  <c r="AF92" i="1"/>
  <c r="AE92" i="1"/>
  <c r="AD92" i="1"/>
  <c r="AC92" i="1"/>
  <c r="AB92" i="1"/>
  <c r="AA92" i="1"/>
  <c r="Z92" i="1"/>
  <c r="Y92" i="1"/>
  <c r="S92" i="1"/>
  <c r="R92" i="1"/>
  <c r="Q92" i="1"/>
  <c r="G92" i="1"/>
  <c r="A92" i="1"/>
  <c r="AF91" i="1"/>
  <c r="AE91" i="1"/>
  <c r="AD91" i="1"/>
  <c r="AC91" i="1"/>
  <c r="AB91" i="1"/>
  <c r="AA91" i="1"/>
  <c r="Z91" i="1"/>
  <c r="Y91" i="1"/>
  <c r="S91" i="1"/>
  <c r="R91" i="1"/>
  <c r="Q91" i="1"/>
  <c r="G91" i="1"/>
  <c r="A91" i="1"/>
  <c r="AF90" i="1"/>
  <c r="AE90" i="1"/>
  <c r="AD90" i="1"/>
  <c r="AC90" i="1"/>
  <c r="AB90" i="1"/>
  <c r="AA90" i="1"/>
  <c r="Z90" i="1"/>
  <c r="Y90" i="1"/>
  <c r="S90" i="1"/>
  <c r="R90" i="1"/>
  <c r="Q90" i="1"/>
  <c r="G90" i="1"/>
  <c r="A90" i="1"/>
  <c r="AF89" i="1"/>
  <c r="AE89" i="1"/>
  <c r="AD89" i="1"/>
  <c r="AC89" i="1"/>
  <c r="AB89" i="1"/>
  <c r="AA89" i="1"/>
  <c r="Z89" i="1"/>
  <c r="Y89" i="1"/>
  <c r="S89" i="1"/>
  <c r="R89" i="1"/>
  <c r="Q89" i="1"/>
  <c r="G89" i="1"/>
  <c r="A89" i="1"/>
  <c r="AF88" i="1"/>
  <c r="AE88" i="1"/>
  <c r="AD88" i="1"/>
  <c r="AC88" i="1"/>
  <c r="AB88" i="1"/>
  <c r="AA88" i="1"/>
  <c r="Z88" i="1"/>
  <c r="Y88" i="1"/>
  <c r="S88" i="1"/>
  <c r="R88" i="1"/>
  <c r="Q88" i="1"/>
  <c r="G88" i="1"/>
  <c r="A88" i="1"/>
  <c r="AF87" i="1"/>
  <c r="AE87" i="1"/>
  <c r="AD87" i="1"/>
  <c r="AC87" i="1"/>
  <c r="AB87" i="1"/>
  <c r="AA87" i="1"/>
  <c r="Z87" i="1"/>
  <c r="Y87" i="1"/>
  <c r="S87" i="1"/>
  <c r="R87" i="1"/>
  <c r="Q87" i="1"/>
  <c r="G87" i="1"/>
  <c r="A87" i="1"/>
  <c r="AF86" i="1"/>
  <c r="AE86" i="1"/>
  <c r="AD86" i="1"/>
  <c r="AC86" i="1"/>
  <c r="AB86" i="1"/>
  <c r="AA86" i="1"/>
  <c r="Z86" i="1"/>
  <c r="Y86" i="1"/>
  <c r="S86" i="1"/>
  <c r="R86" i="1"/>
  <c r="Q86" i="1"/>
  <c r="G86" i="1"/>
  <c r="A86" i="1"/>
  <c r="AF85" i="1"/>
  <c r="AE85" i="1"/>
  <c r="AD85" i="1"/>
  <c r="AC85" i="1"/>
  <c r="AB85" i="1"/>
  <c r="AA85" i="1"/>
  <c r="Z85" i="1"/>
  <c r="Y85" i="1"/>
  <c r="S85" i="1"/>
  <c r="R85" i="1"/>
  <c r="Q85" i="1"/>
  <c r="G85" i="1"/>
  <c r="A85" i="1"/>
  <c r="AF84" i="1"/>
  <c r="AE84" i="1"/>
  <c r="AD84" i="1"/>
  <c r="AC84" i="1"/>
  <c r="AB84" i="1"/>
  <c r="AA84" i="1"/>
  <c r="Z84" i="1"/>
  <c r="Y84" i="1"/>
  <c r="S84" i="1"/>
  <c r="R84" i="1"/>
  <c r="Q84" i="1"/>
  <c r="G84" i="1"/>
  <c r="A84" i="1"/>
  <c r="AF83" i="1"/>
  <c r="AE83" i="1"/>
  <c r="AD83" i="1"/>
  <c r="AC83" i="1"/>
  <c r="AB83" i="1"/>
  <c r="AA83" i="1"/>
  <c r="Z83" i="1"/>
  <c r="Y83" i="1"/>
  <c r="S83" i="1"/>
  <c r="R83" i="1"/>
  <c r="Q83" i="1"/>
  <c r="G83" i="1"/>
  <c r="A83" i="1"/>
  <c r="AF82" i="1"/>
  <c r="AE82" i="1"/>
  <c r="AD82" i="1"/>
  <c r="AC82" i="1"/>
  <c r="AB82" i="1"/>
  <c r="AA82" i="1"/>
  <c r="Z82" i="1"/>
  <c r="Y82" i="1"/>
  <c r="S82" i="1"/>
  <c r="R82" i="1"/>
  <c r="Q82" i="1"/>
  <c r="G82" i="1"/>
  <c r="A82" i="1"/>
  <c r="AF81" i="1"/>
  <c r="AE81" i="1"/>
  <c r="AD81" i="1"/>
  <c r="AC81" i="1"/>
  <c r="AB81" i="1"/>
  <c r="AA81" i="1"/>
  <c r="Z81" i="1"/>
  <c r="Y81" i="1"/>
  <c r="S81" i="1"/>
  <c r="R81" i="1"/>
  <c r="Q81" i="1"/>
  <c r="G81" i="1"/>
  <c r="A81" i="1"/>
  <c r="AF80" i="1"/>
  <c r="AE80" i="1"/>
  <c r="AD80" i="1"/>
  <c r="AC80" i="1"/>
  <c r="AB80" i="1"/>
  <c r="AA80" i="1"/>
  <c r="Z80" i="1"/>
  <c r="Y80" i="1"/>
  <c r="S80" i="1"/>
  <c r="R80" i="1"/>
  <c r="Q80" i="1"/>
  <c r="G80" i="1"/>
  <c r="A80" i="1"/>
  <c r="AF79" i="1"/>
  <c r="AE79" i="1"/>
  <c r="AD79" i="1"/>
  <c r="AC79" i="1"/>
  <c r="AB79" i="1"/>
  <c r="AA79" i="1"/>
  <c r="Z79" i="1"/>
  <c r="Y79" i="1"/>
  <c r="S79" i="1"/>
  <c r="R79" i="1"/>
  <c r="Q79" i="1"/>
  <c r="G79" i="1"/>
  <c r="A79" i="1"/>
  <c r="AF78" i="1"/>
  <c r="AE78" i="1"/>
  <c r="AD78" i="1"/>
  <c r="AC78" i="1"/>
  <c r="AB78" i="1"/>
  <c r="AA78" i="1"/>
  <c r="Z78" i="1"/>
  <c r="Y78" i="1"/>
  <c r="S78" i="1"/>
  <c r="R78" i="1"/>
  <c r="Q78" i="1"/>
  <c r="G78" i="1"/>
  <c r="A78" i="1"/>
  <c r="AF77" i="1"/>
  <c r="AE77" i="1"/>
  <c r="AD77" i="1"/>
  <c r="AC77" i="1"/>
  <c r="AB77" i="1"/>
  <c r="AA77" i="1"/>
  <c r="Z77" i="1"/>
  <c r="Y77" i="1"/>
  <c r="S77" i="1"/>
  <c r="R77" i="1"/>
  <c r="Q77" i="1"/>
  <c r="G77" i="1"/>
  <c r="A77" i="1"/>
  <c r="AF76" i="1"/>
  <c r="AE76" i="1"/>
  <c r="AD76" i="1"/>
  <c r="AC76" i="1"/>
  <c r="AB76" i="1"/>
  <c r="AA76" i="1"/>
  <c r="Z76" i="1"/>
  <c r="Y76" i="1"/>
  <c r="S76" i="1"/>
  <c r="R76" i="1"/>
  <c r="Q76" i="1"/>
  <c r="G76" i="1"/>
  <c r="A76" i="1"/>
  <c r="AF75" i="1"/>
  <c r="AE75" i="1"/>
  <c r="AD75" i="1"/>
  <c r="AC75" i="1"/>
  <c r="AB75" i="1"/>
  <c r="AA75" i="1"/>
  <c r="Z75" i="1"/>
  <c r="Y75" i="1"/>
  <c r="S75" i="1"/>
  <c r="R75" i="1"/>
  <c r="Q75" i="1"/>
  <c r="G75" i="1"/>
  <c r="A75" i="1"/>
  <c r="AF74" i="1"/>
  <c r="AE74" i="1"/>
  <c r="AD74" i="1"/>
  <c r="AC74" i="1"/>
  <c r="AB74" i="1"/>
  <c r="AA74" i="1"/>
  <c r="Z74" i="1"/>
  <c r="Y74" i="1"/>
  <c r="S74" i="1"/>
  <c r="R74" i="1"/>
  <c r="Q74" i="1"/>
  <c r="G74" i="1"/>
  <c r="A74" i="1"/>
  <c r="AF73" i="1"/>
  <c r="AE73" i="1"/>
  <c r="AD73" i="1"/>
  <c r="AC73" i="1"/>
  <c r="AB73" i="1"/>
  <c r="AA73" i="1"/>
  <c r="Z73" i="1"/>
  <c r="Y73" i="1"/>
  <c r="S73" i="1"/>
  <c r="R73" i="1"/>
  <c r="Q73" i="1"/>
  <c r="G73" i="1"/>
  <c r="A73" i="1"/>
  <c r="AF72" i="1"/>
  <c r="AE72" i="1"/>
  <c r="AD72" i="1"/>
  <c r="AC72" i="1"/>
  <c r="AB72" i="1"/>
  <c r="AA72" i="1"/>
  <c r="Z72" i="1"/>
  <c r="Y72" i="1"/>
  <c r="S72" i="1"/>
  <c r="R72" i="1"/>
  <c r="Q72" i="1"/>
  <c r="G72" i="1"/>
  <c r="A72" i="1"/>
  <c r="AF71" i="1"/>
  <c r="AE71" i="1"/>
  <c r="AD71" i="1"/>
  <c r="AC71" i="1"/>
  <c r="AB71" i="1"/>
  <c r="AA71" i="1"/>
  <c r="Z71" i="1"/>
  <c r="Y71" i="1"/>
  <c r="S71" i="1"/>
  <c r="R71" i="1"/>
  <c r="Q71" i="1"/>
  <c r="G71" i="1"/>
  <c r="A71" i="1"/>
  <c r="AF70" i="1"/>
  <c r="AE70" i="1"/>
  <c r="AD70" i="1"/>
  <c r="AC70" i="1"/>
  <c r="AB70" i="1"/>
  <c r="AA70" i="1"/>
  <c r="Z70" i="1"/>
  <c r="Y70" i="1"/>
  <c r="S70" i="1"/>
  <c r="R70" i="1"/>
  <c r="Q70" i="1"/>
  <c r="G70" i="1"/>
  <c r="A70" i="1"/>
  <c r="AF69" i="1"/>
  <c r="AE69" i="1"/>
  <c r="AD69" i="1"/>
  <c r="AC69" i="1"/>
  <c r="AB69" i="1"/>
  <c r="AA69" i="1"/>
  <c r="Z69" i="1"/>
  <c r="Y69" i="1"/>
  <c r="S69" i="1"/>
  <c r="R69" i="1"/>
  <c r="Q69" i="1"/>
  <c r="G69" i="1"/>
  <c r="A69" i="1"/>
  <c r="AF68" i="1"/>
  <c r="AE68" i="1"/>
  <c r="AD68" i="1"/>
  <c r="AC68" i="1"/>
  <c r="AB68" i="1"/>
  <c r="AA68" i="1"/>
  <c r="Z68" i="1"/>
  <c r="Y68" i="1"/>
  <c r="S68" i="1"/>
  <c r="R68" i="1"/>
  <c r="Q68" i="1"/>
  <c r="G68" i="1"/>
  <c r="AF67" i="1"/>
  <c r="AE67" i="1"/>
  <c r="AD67" i="1"/>
  <c r="AC67" i="1"/>
  <c r="AB67" i="1"/>
  <c r="AA67" i="1"/>
  <c r="Z67" i="1"/>
  <c r="Y67" i="1"/>
  <c r="S67" i="1"/>
  <c r="R67" i="1"/>
  <c r="Q67" i="1"/>
  <c r="G67" i="1"/>
  <c r="AF66" i="1"/>
  <c r="AE66" i="1"/>
  <c r="AD66" i="1"/>
  <c r="AC66" i="1"/>
  <c r="AB66" i="1"/>
  <c r="AA66" i="1"/>
  <c r="Z66" i="1"/>
  <c r="Y66" i="1"/>
  <c r="S66" i="1"/>
  <c r="R66" i="1"/>
  <c r="Q66" i="1"/>
  <c r="G66" i="1"/>
  <c r="AF65" i="1"/>
  <c r="AE65" i="1"/>
  <c r="AD65" i="1"/>
  <c r="AC65" i="1"/>
  <c r="AB65" i="1"/>
  <c r="AA65" i="1"/>
  <c r="Z65" i="1"/>
  <c r="Y65" i="1"/>
  <c r="S65" i="1"/>
  <c r="R65" i="1"/>
  <c r="Q65" i="1"/>
  <c r="G65" i="1"/>
  <c r="AF64" i="1"/>
  <c r="AE64" i="1"/>
  <c r="AD64" i="1"/>
  <c r="AC64" i="1"/>
  <c r="AB64" i="1"/>
  <c r="AA64" i="1"/>
  <c r="Z64" i="1"/>
  <c r="Y64" i="1"/>
  <c r="S64" i="1"/>
  <c r="R64" i="1"/>
  <c r="Q64" i="1"/>
  <c r="G64" i="1"/>
  <c r="AF63" i="1"/>
  <c r="AE63" i="1"/>
  <c r="AD63" i="1"/>
  <c r="AC63" i="1"/>
  <c r="AB63" i="1"/>
  <c r="AA63" i="1"/>
  <c r="Z63" i="1"/>
  <c r="Y63" i="1"/>
  <c r="S63" i="1"/>
  <c r="R63" i="1"/>
  <c r="Q63" i="1"/>
  <c r="G63" i="1"/>
  <c r="AF62" i="1"/>
  <c r="AE62" i="1"/>
  <c r="AD62" i="1"/>
  <c r="AC62" i="1"/>
  <c r="AB62" i="1"/>
  <c r="AA62" i="1"/>
  <c r="Z62" i="1"/>
  <c r="Y62" i="1"/>
  <c r="S62" i="1"/>
  <c r="R62" i="1"/>
  <c r="Q62" i="1"/>
  <c r="G62" i="1"/>
  <c r="AF61" i="1"/>
  <c r="AE61" i="1"/>
  <c r="AD61" i="1"/>
  <c r="AC61" i="1"/>
  <c r="AB61" i="1"/>
  <c r="AA61" i="1"/>
  <c r="Z61" i="1"/>
  <c r="Y61" i="1"/>
  <c r="S61" i="1"/>
  <c r="R61" i="1"/>
  <c r="Q61" i="1"/>
  <c r="G61" i="1"/>
  <c r="AF60" i="1"/>
  <c r="AE60" i="1"/>
  <c r="AD60" i="1"/>
  <c r="AC60" i="1"/>
  <c r="AB60" i="1"/>
  <c r="AA60" i="1"/>
  <c r="Z60" i="1"/>
  <c r="Y60" i="1"/>
  <c r="S60" i="1"/>
  <c r="R60" i="1"/>
  <c r="Q60" i="1"/>
  <c r="G60" i="1"/>
  <c r="AF59" i="1"/>
  <c r="AE59" i="1"/>
  <c r="AD59" i="1"/>
  <c r="AC59" i="1"/>
  <c r="AB59" i="1"/>
  <c r="AA59" i="1"/>
  <c r="Z59" i="1"/>
  <c r="Y59" i="1"/>
  <c r="S59" i="1"/>
  <c r="R59" i="1"/>
  <c r="Q59" i="1"/>
  <c r="G59" i="1"/>
  <c r="AF58" i="1"/>
  <c r="AE58" i="1"/>
  <c r="AD58" i="1"/>
  <c r="AC58" i="1"/>
  <c r="AB58" i="1"/>
  <c r="AA58" i="1"/>
  <c r="Z58" i="1"/>
  <c r="Y58" i="1"/>
  <c r="S58" i="1"/>
  <c r="R58" i="1"/>
  <c r="Q58" i="1"/>
  <c r="G58" i="1"/>
  <c r="AF57" i="1"/>
  <c r="AE57" i="1"/>
  <c r="AD57" i="1"/>
  <c r="AC57" i="1"/>
  <c r="AB57" i="1"/>
  <c r="AA57" i="1"/>
  <c r="Z57" i="1"/>
  <c r="Y57" i="1"/>
  <c r="S57" i="1"/>
  <c r="R57" i="1"/>
  <c r="Q57" i="1"/>
  <c r="G57" i="1"/>
  <c r="AF56" i="1"/>
  <c r="AE56" i="1"/>
  <c r="AD56" i="1"/>
  <c r="AC56" i="1"/>
  <c r="AB56" i="1"/>
  <c r="AA56" i="1"/>
  <c r="Z56" i="1"/>
  <c r="Y56" i="1"/>
  <c r="S56" i="1"/>
  <c r="R56" i="1"/>
  <c r="Q56" i="1"/>
  <c r="G56" i="1"/>
  <c r="AF55" i="1"/>
  <c r="AE55" i="1"/>
  <c r="AD55" i="1"/>
  <c r="AC55" i="1"/>
  <c r="AB55" i="1"/>
  <c r="AA55" i="1"/>
  <c r="Z55" i="1"/>
  <c r="Y55" i="1"/>
  <c r="S55" i="1"/>
  <c r="R55" i="1"/>
  <c r="Q55" i="1"/>
  <c r="G55" i="1"/>
  <c r="AF54" i="1"/>
  <c r="AE54" i="1"/>
  <c r="AD54" i="1"/>
  <c r="AC54" i="1"/>
  <c r="AB54" i="1"/>
  <c r="AA54" i="1"/>
  <c r="Z54" i="1"/>
  <c r="Y54" i="1"/>
  <c r="S54" i="1"/>
  <c r="R54" i="1"/>
  <c r="Q54" i="1"/>
  <c r="G54" i="1"/>
  <c r="AF53" i="1"/>
  <c r="AE53" i="1"/>
  <c r="AD53" i="1"/>
  <c r="AC53" i="1"/>
  <c r="AB53" i="1"/>
  <c r="AA53" i="1"/>
  <c r="Z53" i="1"/>
  <c r="Y53" i="1"/>
  <c r="S53" i="1"/>
  <c r="R53" i="1"/>
  <c r="Q53" i="1"/>
  <c r="G53" i="1"/>
  <c r="AF52" i="1"/>
  <c r="AE52" i="1"/>
  <c r="AD52" i="1"/>
  <c r="AC52" i="1"/>
  <c r="AB52" i="1"/>
  <c r="AA52" i="1"/>
  <c r="Z52" i="1"/>
  <c r="Y52" i="1"/>
  <c r="S52" i="1"/>
  <c r="R52" i="1"/>
  <c r="Q52" i="1"/>
  <c r="G52" i="1"/>
  <c r="AF51" i="1"/>
  <c r="AE51" i="1"/>
  <c r="AD51" i="1"/>
  <c r="AC51" i="1"/>
  <c r="AB51" i="1"/>
  <c r="AA51" i="1"/>
  <c r="Z51" i="1"/>
  <c r="Y51" i="1"/>
  <c r="S51" i="1"/>
  <c r="R51" i="1"/>
  <c r="Q51" i="1"/>
  <c r="G51" i="1"/>
  <c r="AF50" i="1"/>
  <c r="AE50" i="1"/>
  <c r="AD50" i="1"/>
  <c r="AC50" i="1"/>
  <c r="AB50" i="1"/>
  <c r="AA50" i="1"/>
  <c r="Z50" i="1"/>
  <c r="Y50" i="1"/>
  <c r="S50" i="1"/>
  <c r="R50" i="1"/>
  <c r="Q50" i="1"/>
  <c r="G50" i="1"/>
  <c r="AF49" i="1"/>
  <c r="AE49" i="1"/>
  <c r="AD49" i="1"/>
  <c r="AC49" i="1"/>
  <c r="AB49" i="1"/>
  <c r="AA49" i="1"/>
  <c r="Z49" i="1"/>
  <c r="Y49" i="1"/>
  <c r="S49" i="1"/>
  <c r="R49" i="1"/>
  <c r="Q49" i="1"/>
  <c r="G49" i="1"/>
  <c r="AF48" i="1"/>
  <c r="AE48" i="1"/>
  <c r="AD48" i="1"/>
  <c r="AC48" i="1"/>
  <c r="AB48" i="1"/>
  <c r="AA48" i="1"/>
  <c r="Z48" i="1"/>
  <c r="Y48" i="1"/>
  <c r="S48" i="1"/>
  <c r="R48" i="1"/>
  <c r="Q48" i="1"/>
  <c r="G48" i="1"/>
  <c r="AF47" i="1"/>
  <c r="AE47" i="1"/>
  <c r="AD47" i="1"/>
  <c r="AC47" i="1"/>
  <c r="AB47" i="1"/>
  <c r="AA47" i="1"/>
  <c r="Z47" i="1"/>
  <c r="Y47" i="1"/>
  <c r="S47" i="1"/>
  <c r="R47" i="1"/>
  <c r="Q47" i="1"/>
  <c r="G47" i="1"/>
  <c r="AF46" i="1"/>
  <c r="AE46" i="1"/>
  <c r="AD46" i="1"/>
  <c r="AC46" i="1"/>
  <c r="AB46" i="1"/>
  <c r="AA46" i="1"/>
  <c r="Z46" i="1"/>
  <c r="Y46" i="1"/>
  <c r="S46" i="1"/>
  <c r="R46" i="1"/>
  <c r="Q46" i="1"/>
  <c r="G46" i="1"/>
  <c r="AF45" i="1"/>
  <c r="AE45" i="1"/>
  <c r="AD45" i="1"/>
  <c r="AC45" i="1"/>
  <c r="AB45" i="1"/>
  <c r="AA45" i="1"/>
  <c r="Z45" i="1"/>
  <c r="Y45" i="1"/>
  <c r="S45" i="1"/>
  <c r="R45" i="1"/>
  <c r="Q45" i="1"/>
  <c r="G45" i="1"/>
  <c r="AF44" i="1"/>
  <c r="AE44" i="1"/>
  <c r="AD44" i="1"/>
  <c r="AC44" i="1"/>
  <c r="AB44" i="1"/>
  <c r="AA44" i="1"/>
  <c r="Z44" i="1"/>
  <c r="Y44" i="1"/>
  <c r="S44" i="1"/>
  <c r="R44" i="1"/>
  <c r="Q44" i="1"/>
  <c r="G44" i="1"/>
  <c r="AF43" i="1"/>
  <c r="AE43" i="1"/>
  <c r="AD43" i="1"/>
  <c r="AC43" i="1"/>
  <c r="AB43" i="1"/>
  <c r="AA43" i="1"/>
  <c r="Z43" i="1"/>
  <c r="Y43" i="1"/>
  <c r="S43" i="1"/>
  <c r="R43" i="1"/>
  <c r="Q43" i="1"/>
  <c r="G43" i="1"/>
  <c r="AF42" i="1"/>
  <c r="AE42" i="1"/>
  <c r="AD42" i="1"/>
  <c r="AC42" i="1"/>
  <c r="AB42" i="1"/>
  <c r="AA42" i="1"/>
  <c r="Z42" i="1"/>
  <c r="Y42" i="1"/>
  <c r="S42" i="1"/>
  <c r="R42" i="1"/>
  <c r="Q42" i="1"/>
  <c r="G42" i="1"/>
  <c r="AF41" i="1"/>
  <c r="AE41" i="1"/>
  <c r="AD41" i="1"/>
  <c r="AC41" i="1"/>
  <c r="AB41" i="1"/>
  <c r="AA41" i="1"/>
  <c r="Z41" i="1"/>
  <c r="Y41" i="1"/>
  <c r="S41" i="1"/>
  <c r="R41" i="1"/>
  <c r="Q41" i="1"/>
  <c r="G41" i="1"/>
  <c r="AF40" i="1"/>
  <c r="AE40" i="1"/>
  <c r="AD40" i="1"/>
  <c r="AC40" i="1"/>
  <c r="AB40" i="1"/>
  <c r="AA40" i="1"/>
  <c r="Z40" i="1"/>
  <c r="Y40" i="1"/>
  <c r="S40" i="1"/>
  <c r="R40" i="1"/>
  <c r="Q40" i="1"/>
  <c r="G40" i="1"/>
  <c r="AF39" i="1"/>
  <c r="AE39" i="1"/>
  <c r="AD39" i="1"/>
  <c r="AC39" i="1"/>
  <c r="AB39" i="1"/>
  <c r="AA39" i="1"/>
  <c r="Z39" i="1"/>
  <c r="Y39" i="1"/>
  <c r="S39" i="1"/>
  <c r="R39" i="1"/>
  <c r="Q39" i="1"/>
  <c r="G39" i="1"/>
  <c r="AF38" i="1"/>
  <c r="AE38" i="1"/>
  <c r="AD38" i="1"/>
  <c r="AC38" i="1"/>
  <c r="AB38" i="1"/>
  <c r="AA38" i="1"/>
  <c r="Z38" i="1"/>
  <c r="Y38" i="1"/>
  <c r="S38" i="1"/>
  <c r="R38" i="1"/>
  <c r="Q38" i="1"/>
  <c r="G38" i="1"/>
  <c r="AF37" i="1"/>
  <c r="AE37" i="1"/>
  <c r="AD37" i="1"/>
  <c r="AC37" i="1"/>
  <c r="AB37" i="1"/>
  <c r="AA37" i="1"/>
  <c r="Z37" i="1"/>
  <c r="Y37" i="1"/>
  <c r="S37" i="1"/>
  <c r="R37" i="1"/>
  <c r="Q37" i="1"/>
  <c r="G37" i="1"/>
  <c r="AF36" i="1"/>
  <c r="AE36" i="1"/>
  <c r="AD36" i="1"/>
  <c r="AC36" i="1"/>
  <c r="AB36" i="1"/>
  <c r="AA36" i="1"/>
  <c r="Z36" i="1"/>
  <c r="Y36" i="1"/>
  <c r="S36" i="1"/>
  <c r="R36" i="1"/>
  <c r="Q36" i="1"/>
  <c r="G36" i="1"/>
  <c r="AF35" i="1"/>
  <c r="AE35" i="1"/>
  <c r="AD35" i="1"/>
  <c r="AC35" i="1"/>
  <c r="AB35" i="1"/>
  <c r="AA35" i="1"/>
  <c r="Z35" i="1"/>
  <c r="Y35" i="1"/>
  <c r="S35" i="1"/>
  <c r="R35" i="1"/>
  <c r="Q35" i="1"/>
  <c r="G35" i="1"/>
  <c r="AF34" i="1"/>
  <c r="AE34" i="1"/>
  <c r="AD34" i="1"/>
  <c r="AC34" i="1"/>
  <c r="AB34" i="1"/>
  <c r="AA34" i="1"/>
  <c r="Z34" i="1"/>
  <c r="Y34" i="1"/>
  <c r="S34" i="1"/>
  <c r="R34" i="1"/>
  <c r="Q34" i="1"/>
  <c r="G34" i="1"/>
  <c r="AF33" i="1"/>
  <c r="AE33" i="1"/>
  <c r="AD33" i="1"/>
  <c r="AC33" i="1"/>
  <c r="AB33" i="1"/>
  <c r="AA33" i="1"/>
  <c r="Z33" i="1"/>
  <c r="Y33" i="1"/>
  <c r="S33" i="1"/>
  <c r="R33" i="1"/>
  <c r="Q33" i="1"/>
  <c r="G33" i="1"/>
  <c r="AF32" i="1"/>
  <c r="AE32" i="1"/>
  <c r="AD32" i="1"/>
  <c r="AC32" i="1"/>
  <c r="AB32" i="1"/>
  <c r="AA32" i="1"/>
  <c r="Z32" i="1"/>
  <c r="Y32" i="1"/>
  <c r="S32" i="1"/>
  <c r="R32" i="1"/>
  <c r="Q32" i="1"/>
  <c r="G32" i="1"/>
  <c r="AF31" i="1"/>
  <c r="AE31" i="1"/>
  <c r="AD31" i="1"/>
  <c r="AC31" i="1"/>
  <c r="AB31" i="1"/>
  <c r="AA31" i="1"/>
  <c r="Z31" i="1"/>
  <c r="Y31" i="1"/>
  <c r="S31" i="1"/>
  <c r="R31" i="1"/>
  <c r="Q31" i="1"/>
  <c r="G31" i="1"/>
  <c r="AF30" i="1"/>
  <c r="AE30" i="1"/>
  <c r="AD30" i="1"/>
  <c r="AC30" i="1"/>
  <c r="AB30" i="1"/>
  <c r="AA30" i="1"/>
  <c r="Z30" i="1"/>
  <c r="Y30" i="1"/>
  <c r="S30" i="1"/>
  <c r="R30" i="1"/>
  <c r="Q30" i="1"/>
  <c r="G30" i="1"/>
  <c r="AF29" i="1"/>
  <c r="AE29" i="1"/>
  <c r="AD29" i="1"/>
  <c r="AC29" i="1"/>
  <c r="AB29" i="1"/>
  <c r="AA29" i="1"/>
  <c r="Z29" i="1"/>
  <c r="Y29" i="1"/>
  <c r="S29" i="1"/>
  <c r="R29" i="1"/>
  <c r="Q29" i="1"/>
  <c r="G29" i="1"/>
  <c r="AF28" i="1"/>
  <c r="AE28" i="1"/>
  <c r="AD28" i="1"/>
  <c r="AC28" i="1"/>
  <c r="AB28" i="1"/>
  <c r="AA28" i="1"/>
  <c r="Z28" i="1"/>
  <c r="Y28" i="1"/>
  <c r="S28" i="1"/>
  <c r="R28" i="1"/>
  <c r="Q28" i="1"/>
  <c r="G28" i="1"/>
  <c r="AF27" i="1"/>
  <c r="AE27" i="1"/>
  <c r="AD27" i="1"/>
  <c r="AC27" i="1"/>
  <c r="AB27" i="1"/>
  <c r="AA27" i="1"/>
  <c r="Z27" i="1"/>
  <c r="Y27" i="1"/>
  <c r="S27" i="1"/>
  <c r="R27" i="1"/>
  <c r="Q27" i="1"/>
  <c r="G27" i="1"/>
  <c r="AF26" i="1"/>
  <c r="AE26" i="1"/>
  <c r="AD26" i="1"/>
  <c r="AC26" i="1"/>
  <c r="AB26" i="1"/>
  <c r="AA26" i="1"/>
  <c r="Z26" i="1"/>
  <c r="Y26" i="1"/>
  <c r="S26" i="1"/>
  <c r="R26" i="1"/>
  <c r="Q26" i="1"/>
  <c r="G26" i="1"/>
  <c r="AF25" i="1"/>
  <c r="AE25" i="1"/>
  <c r="AD25" i="1"/>
  <c r="AC25" i="1"/>
  <c r="AB25" i="1"/>
  <c r="AA25" i="1"/>
  <c r="Z25" i="1"/>
  <c r="Y25" i="1"/>
  <c r="Q25" i="1"/>
  <c r="R25" i="1" s="1"/>
  <c r="S25" i="1" s="1"/>
  <c r="G25" i="1"/>
  <c r="AF24" i="1"/>
  <c r="AE24" i="1"/>
  <c r="AD24" i="1"/>
  <c r="AC24" i="1"/>
  <c r="AB24" i="1"/>
  <c r="AA24" i="1"/>
  <c r="Z24" i="1"/>
  <c r="Y24" i="1"/>
  <c r="R24" i="1"/>
  <c r="S24" i="1" s="1"/>
  <c r="Q24" i="1"/>
  <c r="G24" i="1"/>
  <c r="AF23" i="1"/>
  <c r="AE23" i="1"/>
  <c r="AD23" i="1"/>
  <c r="AC23" i="1"/>
  <c r="AB23" i="1"/>
  <c r="AA23" i="1"/>
  <c r="Z23" i="1"/>
  <c r="Y23" i="1"/>
  <c r="Q23" i="1"/>
  <c r="R23" i="1" s="1"/>
  <c r="S23" i="1" s="1"/>
  <c r="G23" i="1"/>
  <c r="AF22" i="1"/>
  <c r="AE22" i="1"/>
  <c r="AD22" i="1"/>
  <c r="Q12" i="2" s="1"/>
  <c r="AC22" i="1"/>
  <c r="AB22" i="1"/>
  <c r="AA22" i="1"/>
  <c r="Z22" i="1"/>
  <c r="Y22" i="1"/>
  <c r="Q22" i="1"/>
  <c r="R22" i="1" s="1"/>
  <c r="S22" i="1" s="1"/>
  <c r="G22" i="1"/>
  <c r="AF21" i="1"/>
  <c r="AE21" i="1"/>
  <c r="AD21" i="1"/>
  <c r="AC21" i="1"/>
  <c r="P12" i="2" s="1"/>
  <c r="AB21" i="1"/>
  <c r="AA21" i="1"/>
  <c r="Z21" i="1"/>
  <c r="Y21" i="1"/>
  <c r="Q21" i="1"/>
  <c r="R21" i="1" s="1"/>
  <c r="S21" i="1" s="1"/>
  <c r="G21" i="1"/>
  <c r="AF20" i="1"/>
  <c r="AE20" i="1"/>
  <c r="AD20" i="1"/>
  <c r="AC20" i="1"/>
  <c r="AB20" i="1"/>
  <c r="O12" i="2" s="1"/>
  <c r="O20" i="2" s="1"/>
  <c r="AA20" i="1"/>
  <c r="N12" i="2" s="1"/>
  <c r="Z20" i="1"/>
  <c r="Y20" i="1"/>
  <c r="Q20" i="1"/>
  <c r="R20" i="1" s="1"/>
  <c r="S20" i="1" s="1"/>
  <c r="G20" i="1"/>
  <c r="AF19" i="1"/>
  <c r="AE19" i="1"/>
  <c r="AD19" i="1"/>
  <c r="AC19" i="1"/>
  <c r="AB19" i="1"/>
  <c r="AA19" i="1"/>
  <c r="Z19" i="1"/>
  <c r="Y19" i="1"/>
  <c r="Q19" i="1"/>
  <c r="R19" i="1" s="1"/>
  <c r="S19" i="1" s="1"/>
  <c r="G19" i="1"/>
  <c r="AF18" i="1"/>
  <c r="AE18" i="1"/>
  <c r="AD18" i="1"/>
  <c r="AC18" i="1"/>
  <c r="AB18" i="1"/>
  <c r="AA18" i="1"/>
  <c r="Z18" i="1"/>
  <c r="Y18" i="1"/>
  <c r="L11" i="2" s="1"/>
  <c r="Q18" i="1"/>
  <c r="G18" i="1"/>
  <c r="AF17" i="1"/>
  <c r="AE17" i="1"/>
  <c r="AD17" i="1"/>
  <c r="AC17" i="1"/>
  <c r="AB17" i="1"/>
  <c r="AA17" i="1"/>
  <c r="Z17" i="1"/>
  <c r="Y17" i="1"/>
  <c r="Q17" i="1"/>
  <c r="R17" i="1" s="1"/>
  <c r="S17" i="1" s="1"/>
  <c r="G17" i="1"/>
  <c r="AF16" i="1"/>
  <c r="AE16" i="1"/>
  <c r="AD16" i="1"/>
  <c r="AC16" i="1"/>
  <c r="AB16" i="1"/>
  <c r="AA16" i="1"/>
  <c r="Z16" i="1"/>
  <c r="Y16" i="1"/>
  <c r="Q16" i="1"/>
  <c r="R16" i="1" s="1"/>
  <c r="S16" i="1" s="1"/>
  <c r="G16" i="1"/>
  <c r="AF15" i="1"/>
  <c r="AE15" i="1"/>
  <c r="AD15" i="1"/>
  <c r="AC15" i="1"/>
  <c r="AB15" i="1"/>
  <c r="AA15" i="1"/>
  <c r="Z15" i="1"/>
  <c r="Y15" i="1"/>
  <c r="Q15" i="1"/>
  <c r="R15" i="1" s="1"/>
  <c r="S15" i="1" s="1"/>
  <c r="G15" i="1"/>
  <c r="AF14" i="1"/>
  <c r="AE14" i="1"/>
  <c r="AD14" i="1"/>
  <c r="AC14" i="1"/>
  <c r="AB14" i="1"/>
  <c r="AA14" i="1"/>
  <c r="Z14" i="1"/>
  <c r="Y14" i="1"/>
  <c r="Q14" i="1"/>
  <c r="R14" i="1" s="1"/>
  <c r="S14" i="1" s="1"/>
  <c r="G14" i="1"/>
  <c r="AF13" i="1"/>
  <c r="AE13" i="1"/>
  <c r="AD13" i="1"/>
  <c r="AC13" i="1"/>
  <c r="AB13" i="1"/>
  <c r="AA13" i="1"/>
  <c r="Z13" i="1"/>
  <c r="Y13" i="1"/>
  <c r="Q13" i="1"/>
  <c r="G13" i="1"/>
  <c r="AF12" i="1"/>
  <c r="AE12" i="1"/>
  <c r="AD12" i="1"/>
  <c r="AC12" i="1"/>
  <c r="AB12" i="1"/>
  <c r="AA12" i="1"/>
  <c r="Z12" i="1"/>
  <c r="Y12" i="1"/>
  <c r="Q12" i="1"/>
  <c r="R12" i="1" s="1"/>
  <c r="S12" i="1" s="1"/>
  <c r="G12" i="1"/>
  <c r="AF11" i="1"/>
  <c r="AE11" i="1"/>
  <c r="AD11" i="1"/>
  <c r="AC11" i="1"/>
  <c r="AB11" i="1"/>
  <c r="AA11" i="1"/>
  <c r="Z11" i="1"/>
  <c r="Y11" i="1"/>
  <c r="Q11" i="1"/>
  <c r="R11" i="1" s="1"/>
  <c r="S11" i="1" s="1"/>
  <c r="G11" i="1"/>
  <c r="AF10" i="1"/>
  <c r="AE10" i="1"/>
  <c r="AD10" i="1"/>
  <c r="AC10" i="1"/>
  <c r="AB10" i="1"/>
  <c r="AA10" i="1"/>
  <c r="Z10" i="1"/>
  <c r="Y10" i="1"/>
  <c r="Q10" i="1"/>
  <c r="R10" i="1" s="1"/>
  <c r="S10" i="1" s="1"/>
  <c r="G10" i="1"/>
  <c r="AF9" i="1"/>
  <c r="AE9" i="1"/>
  <c r="AD9" i="1"/>
  <c r="AC9" i="1"/>
  <c r="AB9" i="1"/>
  <c r="AA9" i="1"/>
  <c r="Z9" i="1"/>
  <c r="Y9" i="1"/>
  <c r="Q9" i="1"/>
  <c r="R6" i="1"/>
  <c r="L12" i="2" l="1"/>
  <c r="S12" i="2"/>
  <c r="S20" i="2" s="1"/>
  <c r="R12" i="2"/>
  <c r="R20" i="2" s="1"/>
  <c r="O11" i="2"/>
  <c r="O14" i="2" s="1"/>
  <c r="N11" i="2"/>
  <c r="N19" i="2" s="1"/>
  <c r="W12" i="2"/>
  <c r="W20" i="2" s="1"/>
  <c r="M11" i="2"/>
  <c r="M14" i="2" s="1"/>
  <c r="S11" i="2"/>
  <c r="Q11" i="2"/>
  <c r="Q14" i="2" s="1"/>
  <c r="R11" i="2"/>
  <c r="R19" i="2" s="1"/>
  <c r="P11" i="2"/>
  <c r="P19" i="2" s="1"/>
  <c r="L19" i="2"/>
  <c r="Q20" i="2"/>
  <c r="W11" i="2"/>
  <c r="W19" i="2" s="1"/>
  <c r="M20" i="2"/>
  <c r="L20" i="2"/>
  <c r="N20" i="2"/>
  <c r="D14" i="2"/>
  <c r="F14" i="2"/>
  <c r="E5" i="2" s="1"/>
  <c r="B20" i="2"/>
  <c r="P20" i="2"/>
  <c r="W14" i="2"/>
  <c r="W21" i="2" s="1"/>
  <c r="R18" i="1"/>
  <c r="S18" i="1" s="1"/>
  <c r="E14" i="2"/>
  <c r="H5" i="2" s="1"/>
  <c r="L14" i="2"/>
  <c r="L21" i="2" s="1"/>
  <c r="B19" i="2"/>
  <c r="K12" i="2"/>
  <c r="G20" i="2" s="1"/>
  <c r="J12" i="2"/>
  <c r="F20" i="2" s="1"/>
  <c r="I12" i="2"/>
  <c r="E20" i="2" s="1"/>
  <c r="H12" i="2"/>
  <c r="D20" i="2" s="1"/>
  <c r="G12" i="2"/>
  <c r="C20" i="2" s="1"/>
  <c r="R13" i="1"/>
  <c r="S13" i="1" s="1"/>
  <c r="S14" i="2" l="1"/>
  <c r="S21" i="2" s="1"/>
  <c r="Q19" i="2"/>
  <c r="O19" i="2"/>
  <c r="N14" i="2"/>
  <c r="N21" i="2" s="1"/>
  <c r="M19" i="2"/>
  <c r="H11" i="2"/>
  <c r="H14" i="2" s="1"/>
  <c r="D21" i="2" s="1"/>
  <c r="S19" i="2"/>
  <c r="I11" i="2"/>
  <c r="I14" i="2" s="1"/>
  <c r="E21" i="2" s="1"/>
  <c r="R14" i="2"/>
  <c r="R21" i="2" s="1"/>
  <c r="P14" i="2"/>
  <c r="P21" i="2" s="1"/>
  <c r="B21" i="2"/>
  <c r="Q21" i="2"/>
  <c r="M21" i="2"/>
  <c r="O21" i="2"/>
  <c r="J11" i="2"/>
  <c r="K11" i="2"/>
  <c r="G11" i="2"/>
  <c r="D19" i="2" l="1"/>
  <c r="I19" i="2"/>
  <c r="E19" i="2"/>
  <c r="G19" i="2"/>
  <c r="K14" i="2"/>
  <c r="G21" i="2" s="1"/>
  <c r="G14" i="2"/>
  <c r="C21" i="2" s="1"/>
  <c r="C19" i="2"/>
  <c r="J14" i="2"/>
  <c r="F21" i="2" s="1"/>
  <c r="F1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<sst xmlns="http://schemas.openxmlformats.org/spreadsheetml/2006/main" count="226" uniqueCount="144">
  <si>
    <t>RMA2v2</t>
  </si>
  <si>
    <t>Assement Type</t>
  </si>
  <si>
    <t>BoSY</t>
  </si>
  <si>
    <t>Region</t>
  </si>
  <si>
    <t>Region VI</t>
  </si>
  <si>
    <t>GRADE 1  Rapid Mathematics Assessment (RMA) Scoresheets</t>
  </si>
  <si>
    <t>School ID:</t>
  </si>
  <si>
    <t>School Name:</t>
  </si>
  <si>
    <t xml:space="preserve">ROMANA ELEMENTARY SCHOOL </t>
  </si>
  <si>
    <t>LOI/MOI</t>
  </si>
  <si>
    <t>Hiligaynon</t>
  </si>
  <si>
    <t>Enrolment (Male) :</t>
  </si>
  <si>
    <t>Number Assessed</t>
  </si>
  <si>
    <t>Grade:</t>
  </si>
  <si>
    <t>Grade 1</t>
  </si>
  <si>
    <t>Teacher :</t>
  </si>
  <si>
    <t>RAMONA B. PUNZALAN</t>
  </si>
  <si>
    <t>Section:</t>
  </si>
  <si>
    <t>Enrolment (Female) :</t>
  </si>
  <si>
    <t>S/N</t>
  </si>
  <si>
    <t>LRN</t>
  </si>
  <si>
    <t>Name of Learner</t>
  </si>
  <si>
    <t>Sex</t>
  </si>
  <si>
    <t>Birthdate</t>
  </si>
  <si>
    <t>Date of Asessment</t>
  </si>
  <si>
    <t>Age</t>
  </si>
  <si>
    <t>Mother Tongue</t>
  </si>
  <si>
    <t>Task A: No. Identification &amp; Discrimination
(8)</t>
  </si>
  <si>
    <t>Task B: Fractions
(2)</t>
  </si>
  <si>
    <t>Task C: Addition
(8)</t>
  </si>
  <si>
    <t>Task D: Subtraction
(6)</t>
  </si>
  <si>
    <t>Task E: Geometric Representation
(4)</t>
  </si>
  <si>
    <t>Task F: Missing Shapes in Patterns
(1)</t>
  </si>
  <si>
    <t>Task G: Time Measurement
(3)</t>
  </si>
  <si>
    <t>Task H: Linear Measurement
(3)</t>
  </si>
  <si>
    <t>TOTAL SCORE (35)</t>
  </si>
  <si>
    <t>% of Correct Answer</t>
  </si>
  <si>
    <t>Levelling of Learners</t>
  </si>
  <si>
    <t>Remarks</t>
  </si>
  <si>
    <t>Male</t>
  </si>
  <si>
    <t xml:space="preserve"> </t>
  </si>
  <si>
    <t>Female</t>
  </si>
  <si>
    <t xml:space="preserve">Region </t>
  </si>
  <si>
    <t>Language</t>
  </si>
  <si>
    <t>NCR</t>
  </si>
  <si>
    <t>Agta</t>
  </si>
  <si>
    <t>Akeanon</t>
  </si>
  <si>
    <t>CAR</t>
  </si>
  <si>
    <t>Bahasa Sug</t>
  </si>
  <si>
    <t>Region I</t>
  </si>
  <si>
    <t>Central Bikol</t>
  </si>
  <si>
    <t>Region II</t>
  </si>
  <si>
    <t>Bikol Libon</t>
  </si>
  <si>
    <t>Chavacano</t>
  </si>
  <si>
    <t>Region III</t>
  </si>
  <si>
    <t>Buhi-non</t>
  </si>
  <si>
    <t>Region IV-A</t>
  </si>
  <si>
    <t>Caluyanen</t>
  </si>
  <si>
    <t>Ibanag</t>
  </si>
  <si>
    <t xml:space="preserve">Region IV-B </t>
  </si>
  <si>
    <t>Ilocano</t>
  </si>
  <si>
    <t xml:space="preserve">Region V </t>
  </si>
  <si>
    <t>Ivatan</t>
  </si>
  <si>
    <t>Cuyonon</t>
  </si>
  <si>
    <t>Kapampangan</t>
  </si>
  <si>
    <t xml:space="preserve">Region VII </t>
  </si>
  <si>
    <t>English</t>
  </si>
  <si>
    <t>Kinaray-a</t>
  </si>
  <si>
    <t xml:space="preserve">Region VIII </t>
  </si>
  <si>
    <t>Magindanawn</t>
  </si>
  <si>
    <t>Region IX</t>
  </si>
  <si>
    <t xml:space="preserve">Meranaw </t>
  </si>
  <si>
    <t xml:space="preserve">Region X </t>
  </si>
  <si>
    <t>Ifugao</t>
  </si>
  <si>
    <t>Pangasinan</t>
  </si>
  <si>
    <t xml:space="preserve">Region XI </t>
  </si>
  <si>
    <t xml:space="preserve">Sambal </t>
  </si>
  <si>
    <t xml:space="preserve">Region XII </t>
  </si>
  <si>
    <t>Inabaknon</t>
  </si>
  <si>
    <t>Sinugbuanong Binisaya</t>
  </si>
  <si>
    <t xml:space="preserve">Region XIII </t>
  </si>
  <si>
    <t>Iranun</t>
  </si>
  <si>
    <t>Surigaonon</t>
  </si>
  <si>
    <t>BARMM</t>
  </si>
  <si>
    <t>Tagalog</t>
  </si>
  <si>
    <t>Kankanaey</t>
  </si>
  <si>
    <t>Waray</t>
  </si>
  <si>
    <t>Yakan</t>
  </si>
  <si>
    <t>Minasbate</t>
  </si>
  <si>
    <t>Miraya</t>
  </si>
  <si>
    <t>Northern Catanduanes</t>
  </si>
  <si>
    <t>Northern Sorsoganon</t>
  </si>
  <si>
    <t>Rinconada</t>
  </si>
  <si>
    <t>Sinama</t>
  </si>
  <si>
    <t>Southern Catanduanes</t>
  </si>
  <si>
    <t>Southern Sorsoganon</t>
  </si>
  <si>
    <t>West Albay Bikol</t>
  </si>
  <si>
    <t>Other MT</t>
  </si>
  <si>
    <t>GRADE 1 Assessment Scoresheet (CLASS SUMMARY)</t>
  </si>
  <si>
    <t>SCHOOL ID :</t>
  </si>
  <si>
    <t>Total Enrolment :</t>
  </si>
  <si>
    <t>Total Assessed :</t>
  </si>
  <si>
    <t>SCHOOL NAME:</t>
  </si>
  <si>
    <t>LOI / MOI</t>
  </si>
  <si>
    <t>Grade</t>
  </si>
  <si>
    <t>Language Matched
( LOI vs Learners)</t>
  </si>
  <si>
    <t>Number of Learners Assessed</t>
  </si>
  <si>
    <t>Total Enrolment</t>
  </si>
  <si>
    <t>Number of Learners with Correct Answer &gt; 50%</t>
  </si>
  <si>
    <t xml:space="preserve">Overall Score </t>
  </si>
  <si>
    <t>Section</t>
  </si>
  <si>
    <t>Emerging (Not Proficient)</t>
  </si>
  <si>
    <t>Emerging (Low Proficient)</t>
  </si>
  <si>
    <t>Developing (Nearly Proficient)</t>
  </si>
  <si>
    <t>Transitioning (Proficient)</t>
  </si>
  <si>
    <t>At Grade Level (Highly Proficient)</t>
  </si>
  <si>
    <t>Task A</t>
  </si>
  <si>
    <t>Task B</t>
  </si>
  <si>
    <t>Task C</t>
  </si>
  <si>
    <t>Task D</t>
  </si>
  <si>
    <t>Task E</t>
  </si>
  <si>
    <t>Task F</t>
  </si>
  <si>
    <t>Task G</t>
  </si>
  <si>
    <t>Task H</t>
  </si>
  <si>
    <t>Total</t>
  </si>
  <si>
    <t>Dashboard</t>
  </si>
  <si>
    <t>Percent (%) of Learners at each proficiency level</t>
  </si>
  <si>
    <t>Percentage of Learners Who Passed 75% Per Task by Grade Level</t>
  </si>
  <si>
    <t>Percent of Learners assessed</t>
  </si>
  <si>
    <t>Overall Score</t>
  </si>
  <si>
    <t>CARDINAL,CIAN, DEMIAR</t>
  </si>
  <si>
    <t>CARDINAL,REY ROES, PANGANTIHON</t>
  </si>
  <si>
    <t>FRANTE,ARK JAY, CABALLERO</t>
  </si>
  <si>
    <t>GANCIA,JELLO, GIER</t>
  </si>
  <si>
    <t>GANCIA, RHAYCO, NARCISO</t>
  </si>
  <si>
    <t>GARDOSE,KIETH DION, CADUCOY</t>
  </si>
  <si>
    <t>GILUA,ARON JAMES, SUNDAYON</t>
  </si>
  <si>
    <t>LABANZA,DAVID RHON, PALACIO</t>
  </si>
  <si>
    <t>LABANZA,JAY-K, NOBLE</t>
  </si>
  <si>
    <t>LANGYON,JOHN KENNETH, ESTOCADA</t>
  </si>
  <si>
    <t>ESLANA,SHANEL, JACOMILLA</t>
  </si>
  <si>
    <t>JUMBAS,JHANEZZA KAYE, ARCENAL</t>
  </si>
  <si>
    <t>LLAGOSO,PAULA JADE, RICABO</t>
  </si>
  <si>
    <t>MESIAS, SAVINNAH DOMINIQUE, GARDOSE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</si>
</sst>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dd/yy;@"/>
  </numFmts>
  <fonts count="17">
    <font>
      <sz val="11"/>
      <color theme="1"/>
      <name val="Calibri"/>
      <charset val="134"/>
      <scheme val="minor"/>
    </font>
    <font>
      <b/>
      <sz val="12"/>
      <color theme="0"/>
      <name val="Arial"/>
      <charset val="134"/>
    </font>
    <font>
      <b/>
      <sz val="11"/>
      <color theme="1"/>
      <name val="Calibri"/>
      <charset val="134"/>
      <scheme val="minor"/>
    </font>
    <font>
      <b/>
      <sz val="10"/>
      <color theme="1"/>
      <name val="Calibri"/>
      <charset val="134"/>
      <scheme val="minor"/>
    </font>
    <font>
      <sz val="10"/>
      <color theme="1"/>
      <name val="Calibri"/>
      <charset val="134"/>
      <scheme val="minor"/>
    </font>
    <font>
      <b/>
      <sz val="10"/>
      <color theme="1"/>
      <name val="Arial"/>
      <charset val="134"/>
    </font>
    <font>
      <sz val="14"/>
      <color theme="1"/>
      <name val="Calibri"/>
      <charset val="134"/>
      <scheme val="minor"/>
    </font>
    <font>
      <b/>
      <sz val="16"/>
      <color theme="0"/>
      <name val="Calibri"/>
      <charset val="134"/>
      <scheme val="minor"/>
    </font>
    <font>
      <sz val="10"/>
      <name val="Arial"/>
      <charset val="134"/>
    </font>
    <font>
      <b/>
      <sz val="9"/>
      <color theme="1"/>
      <name val="Arial"/>
      <charset val="134"/>
    </font>
    <font>
      <b/>
      <sz val="9"/>
      <color theme="1"/>
      <name val="Calibri"/>
      <charset val="134"/>
      <scheme val="minor"/>
    </font>
    <font>
      <sz val="12"/>
      <color theme="1"/>
      <name val="Calibri"/>
      <charset val="134"/>
      <scheme val="minor"/>
    </font>
    <font>
      <sz val="9"/>
      <color theme="1"/>
      <name val="Calibri"/>
      <charset val="134"/>
      <scheme val="minor"/>
    </font>
    <font>
      <sz val="9"/>
      <color theme="1"/>
      <name val="Arial"/>
      <charset val="134"/>
    </font>
    <font>
      <sz val="10"/>
      <color theme="1"/>
      <name val="Arial"/>
      <charset val="134"/>
    </font>
    <font>
      <b/>
      <sz val="8"/>
      <color theme="1"/>
      <name val="Calibri"/>
      <charset val="134"/>
      <scheme val="minor"/>
    </font>
    <font>
      <sz val="11"/>
      <color theme="1"/>
      <name val="Calibri"/>
      <charset val="134"/>
      <scheme val="minor"/>
    </font>
  </fonts>
  <fills count="11">
    <fill>
      <patternFill patternType="none"/>
    </fill>
    <fill>
      <patternFill patternType="gray125"/>
    </fill>
    <fill>
      <patternFill patternType="solid">
        <fgColor theme="0" tint="-0.499984740745262"/>
        <bgColor indexed="64"/>
      </patternFill>
    </fill>
    <fill>
      <patternFill patternType="solid">
        <fgColor theme="0" tint="-0.14996795556505021"/>
        <bgColor indexed="64"/>
      </patternFill>
    </fill>
    <fill>
      <patternFill patternType="solid">
        <fgColor rgb="FFFFFF00"/>
        <bgColor indexed="64"/>
      </patternFill>
    </fill>
    <fill>
      <patternFill patternType="solid">
        <fgColor theme="9" tint="0.79995117038483843"/>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2" tint="-0.249977111117893"/>
        <bgColor indexed="64"/>
      </patternFill>
    </fill>
  </fills>
  <borders count="40">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diagonal/>
    </border>
    <border>
      <left style="thin">
        <color auto="1"/>
      </left>
      <right/>
      <top/>
      <bottom/>
      <diagonal/>
    </border>
    <border>
      <left style="medium">
        <color auto="1"/>
      </left>
      <right style="thin">
        <color auto="1"/>
      </right>
      <top/>
      <bottom style="thin">
        <color auto="1"/>
      </bottom>
      <diagonal/>
    </border>
    <border>
      <left/>
      <right style="thin">
        <color auto="1"/>
      </right>
      <top style="medium">
        <color auto="1"/>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s>
  <cellStyleXfs count="2">
    <xf numFmtId="0" fontId="0" fillId="0" borderId="0"/>
    <xf numFmtId="9" fontId="16" fillId="0" borderId="0" applyFont="0" applyFill="0" applyBorder="0" applyAlignment="0" applyProtection="0"/>
  </cellStyleXfs>
  <cellXfs count="196">
    <xf numFmtId="0" fontId="0" fillId="0" borderId="0" xfId="0"/>
    <xf numFmtId="0" fontId="0" fillId="0" borderId="0" xfId="0" applyAlignment="1">
      <alignment horizontal="center"/>
    </xf>
    <xf numFmtId="0" fontId="1" fillId="2" borderId="0" xfId="0" applyFont="1" applyFill="1" applyAlignment="1">
      <alignment horizontal="left"/>
    </xf>
    <xf numFmtId="0" fontId="2" fillId="0" borderId="0" xfId="0" applyFont="1"/>
    <xf numFmtId="0" fontId="0" fillId="0" borderId="0" xfId="0" applyAlignment="1">
      <alignment horizontal="left"/>
    </xf>
    <xf numFmtId="0" fontId="0" fillId="0" borderId="0" xfId="0" applyAlignment="1">
      <alignment horizontal="right"/>
    </xf>
    <xf numFmtId="0" fontId="2" fillId="0" borderId="1" xfId="0" applyFont="1" applyBorder="1"/>
    <xf numFmtId="0" fontId="0" fillId="0" borderId="1" xfId="0" applyBorder="1" applyAlignment="1">
      <alignment horizontal="left"/>
    </xf>
    <xf numFmtId="0" fontId="0" fillId="0" borderId="1" xfId="0" applyBorder="1"/>
    <xf numFmtId="0" fontId="0" fillId="0" borderId="1" xfId="0" applyBorder="1" applyAlignment="1">
      <alignment horizontal="center"/>
    </xf>
    <xf numFmtId="0" fontId="2" fillId="3" borderId="3" xfId="0" applyFont="1" applyFill="1" applyBorder="1" applyAlignment="1" applyProtection="1">
      <alignment horizontal="center"/>
      <protection hidden="1"/>
    </xf>
    <xf numFmtId="0" fontId="3" fillId="3" borderId="3" xfId="0" applyFont="1" applyFill="1" applyBorder="1" applyAlignment="1" applyProtection="1">
      <alignment horizontal="center" vertical="center" wrapText="1"/>
      <protection hidden="1"/>
    </xf>
    <xf numFmtId="0" fontId="2" fillId="3" borderId="5" xfId="0" applyFont="1" applyFill="1" applyBorder="1" applyAlignment="1" applyProtection="1">
      <alignment horizontal="center"/>
      <protection hidden="1"/>
    </xf>
    <xf numFmtId="0" fontId="2" fillId="3" borderId="6" xfId="0" applyFont="1" applyFill="1" applyBorder="1" applyAlignment="1" applyProtection="1">
      <alignment horizontal="center"/>
      <protection hidden="1"/>
    </xf>
    <xf numFmtId="0" fontId="3" fillId="3" borderId="6" xfId="0" applyFont="1" applyFill="1" applyBorder="1" applyAlignment="1" applyProtection="1">
      <alignment horizontal="center" vertical="center" wrapText="1"/>
      <protection hidden="1"/>
    </xf>
    <xf numFmtId="0" fontId="2" fillId="3" borderId="6" xfId="0" applyFont="1" applyFill="1" applyBorder="1" applyAlignment="1" applyProtection="1">
      <alignment horizontal="center" vertical="center" wrapText="1"/>
      <protection hidden="1"/>
    </xf>
    <xf numFmtId="0" fontId="4" fillId="0" borderId="5" xfId="0" applyFont="1" applyBorder="1" applyAlignment="1" applyProtection="1">
      <alignment vertical="center"/>
      <protection hidden="1"/>
    </xf>
    <xf numFmtId="0" fontId="4" fillId="0" borderId="6" xfId="0" applyFont="1" applyBorder="1" applyAlignment="1" applyProtection="1">
      <alignment vertical="center"/>
      <protection hidden="1"/>
    </xf>
    <xf numFmtId="0" fontId="4" fillId="0" borderId="6" xfId="0" applyFont="1" applyBorder="1" applyAlignment="1" applyProtection="1">
      <alignment horizontal="center" vertical="center" wrapText="1"/>
      <protection hidden="1"/>
    </xf>
    <xf numFmtId="0" fontId="4" fillId="0" borderId="6" xfId="0" applyFont="1" applyBorder="1" applyAlignment="1" applyProtection="1">
      <alignment horizontal="center" vertical="center"/>
      <protection hidden="1"/>
    </xf>
    <xf numFmtId="0" fontId="4" fillId="0" borderId="8" xfId="0" applyFont="1" applyBorder="1" applyAlignment="1" applyProtection="1">
      <alignment vertical="center"/>
      <protection hidden="1"/>
    </xf>
    <xf numFmtId="0" fontId="4" fillId="0" borderId="8" xfId="0" applyFont="1" applyBorder="1" applyAlignment="1" applyProtection="1">
      <alignment horizontal="center" vertical="center"/>
      <protection hidden="1"/>
    </xf>
    <xf numFmtId="0" fontId="4" fillId="0" borderId="8" xfId="0" applyFont="1" applyBorder="1" applyAlignment="1" applyProtection="1">
      <alignment horizontal="center" vertical="center" wrapText="1"/>
      <protection hidden="1"/>
    </xf>
    <xf numFmtId="0" fontId="3" fillId="0" borderId="9" xfId="0" applyFont="1" applyBorder="1" applyAlignment="1" applyProtection="1">
      <alignment vertical="center"/>
      <protection hidden="1"/>
    </xf>
    <xf numFmtId="0" fontId="3" fillId="0" borderId="10" xfId="0" applyFont="1" applyBorder="1" applyAlignment="1" applyProtection="1">
      <alignment vertical="center"/>
      <protection hidden="1"/>
    </xf>
    <xf numFmtId="0" fontId="3" fillId="0" borderId="10" xfId="0" applyFont="1" applyBorder="1" applyAlignment="1" applyProtection="1">
      <alignment horizontal="center" vertical="center"/>
      <protection hidden="1"/>
    </xf>
    <xf numFmtId="0" fontId="3" fillId="0" borderId="10" xfId="0" applyFont="1" applyBorder="1" applyAlignment="1" applyProtection="1">
      <alignment horizontal="center" vertical="center" wrapText="1"/>
      <protection hidden="1"/>
    </xf>
    <xf numFmtId="0" fontId="2" fillId="0" borderId="0" xfId="0" applyFont="1" applyAlignment="1">
      <alignment horizontal="center"/>
    </xf>
    <xf numFmtId="0" fontId="2" fillId="3" borderId="5" xfId="0" applyFont="1" applyFill="1" applyBorder="1"/>
    <xf numFmtId="0" fontId="2" fillId="3" borderId="6" xfId="0" applyFont="1" applyFill="1" applyBorder="1" applyAlignment="1">
      <alignment horizontal="center" wrapText="1"/>
    </xf>
    <xf numFmtId="0" fontId="3" fillId="3" borderId="12" xfId="0" applyFont="1" applyFill="1" applyBorder="1" applyAlignment="1" applyProtection="1">
      <alignment horizontal="center" vertical="center" wrapText="1"/>
      <protection hidden="1"/>
    </xf>
    <xf numFmtId="0" fontId="3" fillId="0" borderId="0" xfId="0" applyFont="1" applyAlignment="1" applyProtection="1">
      <alignment horizontal="center" vertical="center" wrapText="1"/>
      <protection hidden="1"/>
    </xf>
    <xf numFmtId="0" fontId="0" fillId="0" borderId="5" xfId="0" applyBorder="1"/>
    <xf numFmtId="9" fontId="0" fillId="0" borderId="6" xfId="1" applyFont="1" applyBorder="1" applyAlignment="1">
      <alignment horizontal="center"/>
    </xf>
    <xf numFmtId="9" fontId="0" fillId="0" borderId="12" xfId="1" applyFont="1" applyBorder="1" applyAlignment="1">
      <alignment horizontal="center"/>
    </xf>
    <xf numFmtId="9" fontId="0" fillId="0" borderId="0" xfId="1" applyFont="1" applyBorder="1" applyAlignment="1">
      <alignment horizontal="center"/>
    </xf>
    <xf numFmtId="9" fontId="0" fillId="0" borderId="6" xfId="0" applyNumberFormat="1" applyBorder="1" applyAlignment="1">
      <alignment horizontal="center"/>
    </xf>
    <xf numFmtId="9" fontId="0" fillId="0" borderId="12" xfId="0" applyNumberFormat="1" applyBorder="1" applyAlignment="1">
      <alignment horizontal="center"/>
    </xf>
    <xf numFmtId="9" fontId="0" fillId="0" borderId="0" xfId="0" applyNumberFormat="1" applyAlignment="1">
      <alignment horizontal="center"/>
    </xf>
    <xf numFmtId="0" fontId="2" fillId="0" borderId="9" xfId="0" applyFont="1" applyBorder="1"/>
    <xf numFmtId="9" fontId="2" fillId="0" borderId="10" xfId="1" applyFont="1" applyBorder="1" applyAlignment="1">
      <alignment horizontal="center"/>
    </xf>
    <xf numFmtId="9" fontId="2" fillId="0" borderId="13" xfId="1" applyFont="1" applyBorder="1" applyAlignment="1">
      <alignment horizontal="center"/>
    </xf>
    <xf numFmtId="9" fontId="2" fillId="0" borderId="0" xfId="1" applyFont="1" applyBorder="1" applyAlignment="1">
      <alignment horizontal="center"/>
    </xf>
    <xf numFmtId="0" fontId="0" fillId="0" borderId="6" xfId="0" applyBorder="1" applyAlignment="1" applyProtection="1">
      <alignment horizontal="center" vertical="center" wrapText="1"/>
      <protection hidden="1"/>
    </xf>
    <xf numFmtId="0" fontId="0" fillId="0" borderId="6" xfId="0" applyBorder="1" applyAlignment="1" applyProtection="1">
      <alignment horizontal="center" vertical="center"/>
      <protection hidden="1"/>
    </xf>
    <xf numFmtId="1" fontId="0" fillId="0" borderId="6" xfId="0" applyNumberFormat="1" applyBorder="1" applyAlignment="1" applyProtection="1">
      <alignment horizontal="center" vertical="center"/>
      <protection hidden="1"/>
    </xf>
    <xf numFmtId="0" fontId="0" fillId="0" borderId="8" xfId="0" applyBorder="1" applyAlignment="1" applyProtection="1">
      <alignment horizontal="center" vertical="center" wrapText="1"/>
      <protection hidden="1"/>
    </xf>
    <xf numFmtId="0" fontId="0" fillId="0" borderId="8" xfId="0" applyBorder="1" applyAlignment="1" applyProtection="1">
      <alignment horizontal="center" vertical="center"/>
      <protection hidden="1"/>
    </xf>
    <xf numFmtId="0" fontId="2" fillId="0" borderId="10" xfId="0" applyFont="1" applyBorder="1" applyAlignment="1" applyProtection="1">
      <alignment horizontal="center" vertical="center" wrapText="1"/>
      <protection hidden="1"/>
    </xf>
    <xf numFmtId="0" fontId="2" fillId="0" borderId="10" xfId="0" applyFont="1" applyBorder="1" applyAlignment="1" applyProtection="1">
      <alignment horizontal="center" vertical="center"/>
      <protection hidden="1"/>
    </xf>
    <xf numFmtId="0" fontId="2" fillId="0" borderId="0" xfId="0" applyFont="1" applyAlignment="1">
      <alignment horizontal="center" wrapText="1"/>
    </xf>
    <xf numFmtId="0" fontId="2" fillId="3" borderId="2" xfId="0" applyFont="1" applyFill="1" applyBorder="1"/>
    <xf numFmtId="9" fontId="0" fillId="0" borderId="0" xfId="1" applyFont="1" applyAlignment="1">
      <alignment horizontal="center"/>
    </xf>
    <xf numFmtId="9" fontId="2" fillId="0" borderId="10" xfId="0" applyNumberFormat="1" applyFont="1" applyBorder="1" applyAlignment="1">
      <alignment horizontal="center"/>
    </xf>
    <xf numFmtId="0" fontId="2" fillId="3" borderId="16" xfId="0" applyFont="1" applyFill="1" applyBorder="1" applyAlignment="1" applyProtection="1">
      <alignment horizontal="center" wrapText="1"/>
      <protection hidden="1"/>
    </xf>
    <xf numFmtId="0" fontId="3" fillId="3" borderId="8" xfId="0" applyFont="1" applyFill="1" applyBorder="1" applyAlignment="1" applyProtection="1">
      <alignment horizontal="center" vertical="center" wrapText="1"/>
      <protection hidden="1"/>
    </xf>
    <xf numFmtId="0" fontId="2" fillId="0" borderId="18" xfId="0" applyFont="1" applyBorder="1" applyAlignment="1">
      <alignment horizontal="center"/>
    </xf>
    <xf numFmtId="1" fontId="0" fillId="0" borderId="8" xfId="0" applyNumberFormat="1" applyBorder="1" applyAlignment="1" applyProtection="1">
      <alignment horizontal="center" vertical="center"/>
      <protection hidden="1"/>
    </xf>
    <xf numFmtId="2" fontId="0" fillId="0" borderId="18" xfId="0" applyNumberFormat="1" applyBorder="1" applyAlignment="1">
      <alignment horizontal="center"/>
    </xf>
    <xf numFmtId="1" fontId="0" fillId="0" borderId="19" xfId="0" applyNumberFormat="1" applyBorder="1" applyAlignment="1" applyProtection="1">
      <alignment horizontal="center" vertical="center"/>
      <protection hidden="1"/>
    </xf>
    <xf numFmtId="2" fontId="0" fillId="0" borderId="20" xfId="0" applyNumberFormat="1" applyBorder="1" applyAlignment="1">
      <alignment horizontal="center"/>
    </xf>
    <xf numFmtId="0" fontId="0" fillId="0" borderId="0" xfId="0"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0" fillId="0" borderId="21" xfId="0" applyBorder="1" applyAlignment="1">
      <alignment horizontal="center"/>
    </xf>
    <xf numFmtId="0" fontId="2" fillId="3" borderId="22" xfId="0" applyFont="1" applyFill="1" applyBorder="1" applyAlignment="1">
      <alignment horizontal="center"/>
    </xf>
    <xf numFmtId="0" fontId="0" fillId="3" borderId="23" xfId="0" applyFill="1" applyBorder="1" applyAlignment="1">
      <alignment horizontal="center"/>
    </xf>
    <xf numFmtId="0" fontId="3" fillId="3" borderId="0" xfId="0" applyFont="1" applyFill="1" applyAlignment="1" applyProtection="1">
      <alignment horizontal="center" vertical="center" wrapText="1"/>
      <protection hidden="1"/>
    </xf>
    <xf numFmtId="2" fontId="2" fillId="3" borderId="24" xfId="0" applyNumberFormat="1" applyFont="1" applyFill="1" applyBorder="1" applyAlignment="1">
      <alignment horizontal="center" wrapText="1"/>
    </xf>
    <xf numFmtId="9" fontId="0" fillId="0" borderId="23" xfId="0" applyNumberFormat="1" applyBorder="1" applyAlignment="1">
      <alignment horizontal="center"/>
    </xf>
    <xf numFmtId="9" fontId="0" fillId="0" borderId="24" xfId="0" applyNumberFormat="1" applyBorder="1" applyAlignment="1">
      <alignment horizontal="center"/>
    </xf>
    <xf numFmtId="9" fontId="2" fillId="0" borderId="1" xfId="0" applyNumberFormat="1" applyFont="1" applyBorder="1" applyAlignment="1">
      <alignment horizontal="center"/>
    </xf>
    <xf numFmtId="9" fontId="0" fillId="0" borderId="25" xfId="0" applyNumberFormat="1" applyBorder="1" applyAlignment="1">
      <alignment horizontal="center"/>
    </xf>
    <xf numFmtId="0" fontId="0" fillId="4" borderId="0" xfId="0" applyFill="1"/>
    <xf numFmtId="0" fontId="0" fillId="5" borderId="0" xfId="0" applyFill="1"/>
    <xf numFmtId="0" fontId="0" fillId="6" borderId="0" xfId="0" applyFill="1"/>
    <xf numFmtId="0" fontId="0" fillId="0" borderId="0" xfId="0" applyAlignment="1">
      <alignment vertical="center"/>
    </xf>
    <xf numFmtId="0" fontId="0" fillId="0" borderId="0" xfId="0" applyAlignment="1">
      <alignment horizontal="center" wrapText="1"/>
    </xf>
    <xf numFmtId="0" fontId="6" fillId="0" borderId="21" xfId="0" applyFont="1" applyBorder="1" applyAlignment="1" applyProtection="1">
      <alignment vertical="center"/>
      <protection locked="0"/>
    </xf>
    <xf numFmtId="0" fontId="0" fillId="0" borderId="0" xfId="0" applyAlignment="1">
      <alignment horizontal="center" vertical="center"/>
    </xf>
    <xf numFmtId="0" fontId="0" fillId="0" borderId="0" xfId="0" applyAlignment="1">
      <alignment horizontal="left" vertical="center"/>
    </xf>
    <xf numFmtId="0" fontId="0" fillId="0" borderId="11" xfId="0" applyBorder="1" applyAlignment="1" applyProtection="1">
      <alignment vertical="center"/>
      <protection locked="0"/>
    </xf>
    <xf numFmtId="0" fontId="8" fillId="0" borderId="6" xfId="0" applyFont="1" applyBorder="1" applyAlignment="1" applyProtection="1">
      <alignment horizontal="left" vertical="center" wrapText="1"/>
      <protection locked="0"/>
    </xf>
    <xf numFmtId="0" fontId="8" fillId="9" borderId="6" xfId="0" applyFont="1" applyFill="1" applyBorder="1" applyAlignment="1">
      <alignment vertical="center" wrapText="1"/>
    </xf>
    <xf numFmtId="0" fontId="9" fillId="7" borderId="9"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9" fillId="7" borderId="21" xfId="0" applyFont="1" applyFill="1" applyBorder="1" applyAlignment="1">
      <alignment horizontal="center" vertical="center"/>
    </xf>
    <xf numFmtId="0" fontId="10" fillId="7" borderId="21" xfId="0" applyFont="1" applyFill="1" applyBorder="1" applyAlignment="1">
      <alignment horizontal="center" vertical="center"/>
    </xf>
    <xf numFmtId="0" fontId="10" fillId="7" borderId="21" xfId="0" applyFont="1" applyFill="1" applyBorder="1" applyAlignment="1">
      <alignment horizontal="center" vertical="center" wrapText="1"/>
    </xf>
    <xf numFmtId="0" fontId="5" fillId="8" borderId="29" xfId="0" applyFont="1" applyFill="1" applyBorder="1" applyAlignment="1">
      <alignment horizontal="center" vertical="center" wrapText="1"/>
    </xf>
    <xf numFmtId="0" fontId="5" fillId="8" borderId="30" xfId="0" applyFont="1" applyFill="1" applyBorder="1" applyAlignment="1">
      <alignment horizontal="center" vertical="center" wrapText="1"/>
    </xf>
    <xf numFmtId="0" fontId="2" fillId="10" borderId="0" xfId="0" applyFont="1" applyFill="1" applyAlignment="1">
      <alignment horizontal="center" vertical="center"/>
    </xf>
    <xf numFmtId="0" fontId="2" fillId="10" borderId="0" xfId="0" applyFont="1" applyFill="1" applyAlignment="1">
      <alignment horizontal="center" vertical="center" wrapText="1"/>
    </xf>
    <xf numFmtId="0" fontId="2" fillId="10" borderId="0" xfId="0" applyFont="1" applyFill="1" applyAlignment="1">
      <alignment horizontal="left" vertical="center"/>
    </xf>
    <xf numFmtId="0" fontId="0" fillId="0" borderId="31" xfId="0" applyBorder="1"/>
    <xf numFmtId="1" fontId="6" fillId="0" borderId="7" xfId="0" applyNumberFormat="1" applyFont="1" applyBorder="1" applyAlignment="1" applyProtection="1">
      <alignment horizontal="center"/>
      <protection locked="0"/>
    </xf>
    <xf numFmtId="0" fontId="11" fillId="0" borderId="7" xfId="0" applyFont="1" applyBorder="1" applyProtection="1">
      <protection locked="0"/>
    </xf>
    <xf numFmtId="0" fontId="12" fillId="0" borderId="7" xfId="0" applyFont="1" applyBorder="1" applyAlignment="1" applyProtection="1">
      <alignment horizontal="center"/>
      <protection locked="0"/>
    </xf>
    <xf numFmtId="164" fontId="12" fillId="0" borderId="7" xfId="0" applyNumberFormat="1" applyFont="1" applyBorder="1" applyAlignment="1" applyProtection="1">
      <alignment horizontal="center"/>
      <protection locked="0"/>
    </xf>
    <xf numFmtId="165" fontId="12" fillId="0" borderId="7" xfId="0" applyNumberFormat="1" applyFont="1" applyBorder="1" applyAlignment="1" applyProtection="1">
      <alignment horizontal="center"/>
      <protection locked="0"/>
    </xf>
    <xf numFmtId="1" fontId="12" fillId="9" borderId="7" xfId="0" applyNumberFormat="1" applyFont="1" applyFill="1" applyBorder="1" applyAlignment="1">
      <alignment horizontal="center"/>
    </xf>
    <xf numFmtId="0" fontId="12" fillId="0" borderId="3" xfId="0" applyFont="1" applyBorder="1" applyAlignment="1" applyProtection="1">
      <alignment horizontal="left"/>
      <protection locked="0"/>
    </xf>
    <xf numFmtId="1" fontId="6" fillId="9" borderId="6" xfId="0" applyNumberFormat="1" applyFont="1" applyFill="1" applyBorder="1" applyAlignment="1" applyProtection="1">
      <alignment horizontal="center"/>
      <protection locked="0"/>
    </xf>
    <xf numFmtId="0" fontId="11" fillId="9" borderId="6" xfId="0" applyFont="1" applyFill="1" applyBorder="1" applyProtection="1">
      <protection locked="0"/>
    </xf>
    <xf numFmtId="165" fontId="12" fillId="0" borderId="6" xfId="0" applyNumberFormat="1" applyFont="1" applyBorder="1" applyAlignment="1" applyProtection="1">
      <alignment horizontal="center"/>
      <protection locked="0"/>
    </xf>
    <xf numFmtId="1" fontId="12" fillId="9" borderId="6" xfId="0" applyNumberFormat="1" applyFont="1" applyFill="1" applyBorder="1" applyAlignment="1">
      <alignment horizontal="center"/>
    </xf>
    <xf numFmtId="1" fontId="6" fillId="0" borderId="6" xfId="0" applyNumberFormat="1" applyFont="1" applyBorder="1" applyAlignment="1" applyProtection="1">
      <alignment horizontal="center"/>
      <protection locked="0"/>
    </xf>
    <xf numFmtId="0" fontId="11" fillId="0" borderId="6" xfId="0" applyFont="1" applyBorder="1" applyProtection="1">
      <protection locked="0"/>
    </xf>
    <xf numFmtId="0" fontId="12" fillId="0" borderId="6" xfId="0" applyFont="1" applyBorder="1" applyAlignment="1" applyProtection="1">
      <alignment horizontal="center"/>
      <protection locked="0"/>
    </xf>
    <xf numFmtId="1" fontId="12" fillId="0" borderId="6" xfId="0" applyNumberFormat="1" applyFont="1" applyBorder="1" applyAlignment="1" applyProtection="1">
      <alignment horizontal="center"/>
      <protection locked="0"/>
    </xf>
    <xf numFmtId="0" fontId="12" fillId="0" borderId="6" xfId="0" applyFont="1" applyBorder="1" applyProtection="1">
      <protection locked="0"/>
    </xf>
    <xf numFmtId="0" fontId="13" fillId="0" borderId="6" xfId="0" applyFont="1" applyBorder="1" applyAlignment="1" applyProtection="1">
      <alignment horizontal="left" vertical="top" wrapText="1"/>
      <protection locked="0"/>
    </xf>
    <xf numFmtId="0" fontId="0" fillId="0" borderId="22" xfId="0" applyBorder="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5" fillId="7" borderId="2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10" fillId="7" borderId="38"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25" xfId="0" applyFont="1" applyFill="1" applyBorder="1" applyAlignment="1">
      <alignment horizontal="center" vertical="center"/>
    </xf>
    <xf numFmtId="0" fontId="2" fillId="7" borderId="25" xfId="0" applyFont="1" applyFill="1" applyBorder="1" applyAlignment="1">
      <alignment horizontal="center" vertical="center"/>
    </xf>
    <xf numFmtId="0" fontId="2" fillId="10" borderId="36" xfId="0" applyFont="1" applyFill="1" applyBorder="1" applyAlignment="1">
      <alignment horizontal="center" vertical="center"/>
    </xf>
    <xf numFmtId="0" fontId="12" fillId="9" borderId="7" xfId="0" applyFont="1" applyFill="1" applyBorder="1" applyAlignment="1">
      <alignment horizontal="center" wrapText="1"/>
    </xf>
    <xf numFmtId="10" fontId="12" fillId="9" borderId="7" xfId="0" applyNumberFormat="1" applyFont="1" applyFill="1" applyBorder="1" applyAlignment="1">
      <alignment horizontal="center" wrapText="1"/>
    </xf>
    <xf numFmtId="0" fontId="12" fillId="9" borderId="7" xfId="0" applyFont="1" applyFill="1" applyBorder="1" applyAlignment="1">
      <alignment horizontal="center"/>
    </xf>
    <xf numFmtId="0" fontId="12" fillId="0" borderId="39" xfId="0" applyFont="1" applyBorder="1" applyAlignment="1" applyProtection="1">
      <alignment horizontal="left" vertical="center" wrapText="1"/>
      <protection locked="0"/>
    </xf>
    <xf numFmtId="0" fontId="12" fillId="9" borderId="6" xfId="0" applyFont="1" applyFill="1" applyBorder="1" applyAlignment="1">
      <alignment horizontal="center" wrapText="1"/>
    </xf>
    <xf numFmtId="10" fontId="12" fillId="9" borderId="6" xfId="0" applyNumberFormat="1" applyFont="1" applyFill="1" applyBorder="1" applyAlignment="1">
      <alignment horizontal="center" wrapText="1"/>
    </xf>
    <xf numFmtId="0" fontId="12" fillId="9" borderId="6" xfId="0" applyFont="1" applyFill="1" applyBorder="1" applyAlignment="1">
      <alignment horizontal="center"/>
    </xf>
    <xf numFmtId="0" fontId="12" fillId="0" borderId="12" xfId="0" applyFont="1" applyBorder="1" applyAlignment="1" applyProtection="1">
      <alignment horizontal="left" vertical="center" wrapText="1"/>
      <protection locked="0"/>
    </xf>
    <xf numFmtId="0" fontId="0" fillId="0" borderId="9" xfId="0" applyBorder="1"/>
    <xf numFmtId="1" fontId="12" fillId="0" borderId="10" xfId="0" applyNumberFormat="1" applyFont="1" applyBorder="1" applyAlignment="1" applyProtection="1">
      <alignment horizontal="center"/>
      <protection locked="0"/>
    </xf>
    <xf numFmtId="0" fontId="12" fillId="0" borderId="10" xfId="0" applyFont="1" applyBorder="1" applyProtection="1">
      <protection locked="0"/>
    </xf>
    <xf numFmtId="0" fontId="12" fillId="0" borderId="10" xfId="0" applyFont="1" applyBorder="1" applyAlignment="1" applyProtection="1">
      <alignment horizontal="center"/>
      <protection locked="0"/>
    </xf>
    <xf numFmtId="165" fontId="12" fillId="0" borderId="10" xfId="0" applyNumberFormat="1" applyFont="1" applyBorder="1" applyAlignment="1" applyProtection="1">
      <alignment horizontal="center"/>
      <protection locked="0"/>
    </xf>
    <xf numFmtId="1" fontId="12" fillId="9" borderId="10" xfId="0" applyNumberFormat="1" applyFont="1" applyFill="1" applyBorder="1" applyAlignment="1">
      <alignment horizontal="center"/>
    </xf>
    <xf numFmtId="0" fontId="13" fillId="0" borderId="10" xfId="0" applyFont="1" applyBorder="1" applyAlignment="1" applyProtection="1">
      <alignment horizontal="left" vertical="top" wrapText="1"/>
      <protection locked="0"/>
    </xf>
    <xf numFmtId="165" fontId="0" fillId="0" borderId="0" xfId="0" applyNumberFormat="1" applyAlignment="1">
      <alignment horizontal="center"/>
    </xf>
    <xf numFmtId="0" fontId="12" fillId="9" borderId="10" xfId="0" applyFont="1" applyFill="1" applyBorder="1" applyAlignment="1">
      <alignment horizontal="center" wrapText="1"/>
    </xf>
    <xf numFmtId="10" fontId="12" fillId="9" borderId="10" xfId="0" applyNumberFormat="1" applyFont="1" applyFill="1" applyBorder="1" applyAlignment="1">
      <alignment horizontal="center" wrapText="1"/>
    </xf>
    <xf numFmtId="0" fontId="12" fillId="9" borderId="10" xfId="0" applyFont="1" applyFill="1" applyBorder="1" applyAlignment="1">
      <alignment horizontal="center"/>
    </xf>
    <xf numFmtId="0" fontId="12" fillId="0" borderId="13" xfId="0" applyFont="1" applyBorder="1" applyAlignment="1" applyProtection="1">
      <alignment horizontal="left" vertical="center" wrapText="1"/>
      <protection locked="0"/>
    </xf>
    <xf numFmtId="14" fontId="0" fillId="0" borderId="0" xfId="0" applyNumberFormat="1" applyAlignment="1" applyProtection="1">
      <alignment horizontal="center"/>
      <protection locked="0"/>
    </xf>
    <xf numFmtId="0" fontId="5" fillId="7" borderId="26" xfId="0" applyFont="1" applyFill="1" applyBorder="1" applyAlignment="1">
      <alignment horizontal="left" vertical="center" wrapText="1"/>
    </xf>
    <xf numFmtId="0" fontId="5" fillId="7" borderId="32" xfId="0" applyFont="1" applyFill="1" applyBorder="1" applyAlignment="1">
      <alignment horizontal="left" vertical="center" wrapText="1"/>
    </xf>
    <xf numFmtId="0" fontId="5" fillId="7" borderId="34" xfId="0" applyFont="1" applyFill="1" applyBorder="1" applyAlignment="1">
      <alignment horizontal="center" vertical="center"/>
    </xf>
    <xf numFmtId="0" fontId="5" fillId="7" borderId="33" xfId="0" applyFont="1" applyFill="1" applyBorder="1" applyAlignment="1">
      <alignment horizontal="center" vertical="center"/>
    </xf>
    <xf numFmtId="0" fontId="7" fillId="8" borderId="22" xfId="0" applyFont="1" applyFill="1" applyBorder="1" applyAlignment="1">
      <alignment horizontal="center" vertical="center"/>
    </xf>
    <xf numFmtId="0" fontId="7" fillId="8" borderId="35" xfId="0" applyFont="1" applyFill="1" applyBorder="1" applyAlignment="1">
      <alignment horizontal="center" vertical="center"/>
    </xf>
    <xf numFmtId="0" fontId="7" fillId="8" borderId="0" xfId="0" applyFont="1" applyFill="1" applyAlignment="1">
      <alignment horizontal="center" vertical="center"/>
    </xf>
    <xf numFmtId="0" fontId="7" fillId="8" borderId="36"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37" xfId="0" applyFont="1" applyFill="1" applyBorder="1" applyAlignment="1">
      <alignment horizontal="center" vertical="center"/>
    </xf>
    <xf numFmtId="0" fontId="5" fillId="7" borderId="5" xfId="0" applyFont="1" applyFill="1" applyBorder="1" applyAlignment="1">
      <alignment horizontal="right" vertical="center" wrapText="1"/>
    </xf>
    <xf numFmtId="0" fontId="5" fillId="7" borderId="27" xfId="0" applyFont="1" applyFill="1" applyBorder="1" applyAlignment="1">
      <alignment horizontal="right" vertical="center" wrapText="1"/>
    </xf>
    <xf numFmtId="0" fontId="5" fillId="7" borderId="27"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8" fillId="0" borderId="27" xfId="0" applyFont="1" applyBorder="1" applyAlignment="1" applyProtection="1">
      <alignment horizontal="left" vertical="center" wrapText="1"/>
      <protection locked="0"/>
    </xf>
    <xf numFmtId="0" fontId="8" fillId="0" borderId="8" xfId="0" applyFont="1" applyBorder="1" applyAlignment="1" applyProtection="1">
      <alignment horizontal="left" vertical="center" wrapText="1"/>
      <protection locked="0"/>
    </xf>
    <xf numFmtId="0" fontId="8" fillId="0" borderId="28" xfId="0" applyFont="1" applyBorder="1" applyAlignment="1" applyProtection="1">
      <alignment horizontal="left" vertical="center" wrapText="1"/>
      <protection locked="0"/>
    </xf>
    <xf numFmtId="0" fontId="5" fillId="7" borderId="27" xfId="0" applyFont="1" applyFill="1" applyBorder="1" applyAlignment="1">
      <alignment horizontal="center" vertical="center"/>
    </xf>
    <xf numFmtId="0" fontId="5" fillId="7" borderId="8" xfId="0" applyFont="1" applyFill="1" applyBorder="1" applyAlignment="1">
      <alignment horizontal="center" vertical="center"/>
    </xf>
    <xf numFmtId="0" fontId="14" fillId="0" borderId="33" xfId="0" applyFont="1" applyBorder="1" applyAlignment="1" applyProtection="1">
      <alignment horizontal="left" vertical="center"/>
      <protection locked="0"/>
    </xf>
    <xf numFmtId="0" fontId="5" fillId="7" borderId="2" xfId="0" applyFont="1" applyFill="1" applyBorder="1" applyAlignment="1">
      <alignment horizontal="right" vertical="center"/>
    </xf>
    <xf numFmtId="0" fontId="5" fillId="7" borderId="26" xfId="0" applyFont="1" applyFill="1" applyBorder="1" applyAlignment="1">
      <alignment horizontal="right" vertical="center"/>
    </xf>
    <xf numFmtId="0" fontId="7" fillId="8" borderId="14" xfId="0" applyFont="1" applyFill="1" applyBorder="1" applyAlignment="1">
      <alignment horizontal="center" vertical="center"/>
    </xf>
    <xf numFmtId="0" fontId="7" fillId="8" borderId="15" xfId="0" applyFont="1" applyFill="1" applyBorder="1" applyAlignment="1">
      <alignment horizontal="center" vertical="center"/>
    </xf>
    <xf numFmtId="0" fontId="5" fillId="7" borderId="5" xfId="0" applyFont="1" applyFill="1" applyBorder="1" applyAlignment="1">
      <alignment horizontal="right" vertical="center"/>
    </xf>
    <xf numFmtId="0" fontId="5" fillId="7" borderId="27" xfId="0" applyFont="1" applyFill="1" applyBorder="1" applyAlignment="1">
      <alignment horizontal="right" vertical="center"/>
    </xf>
    <xf numFmtId="0" fontId="5" fillId="7" borderId="2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8" fillId="0" borderId="16" xfId="0" applyFont="1" applyBorder="1" applyAlignment="1" applyProtection="1">
      <alignment horizontal="left" vertical="center" wrapText="1"/>
      <protection locked="0"/>
    </xf>
    <xf numFmtId="0" fontId="5" fillId="7" borderId="32" xfId="0" applyFont="1" applyFill="1" applyBorder="1" applyAlignment="1">
      <alignment horizontal="center" vertical="center" wrapText="1"/>
    </xf>
    <xf numFmtId="0" fontId="4" fillId="0" borderId="3" xfId="0" applyFont="1" applyBorder="1" applyAlignment="1" applyProtection="1">
      <alignment horizontal="left" vertical="center"/>
      <protection locked="0"/>
    </xf>
    <xf numFmtId="0" fontId="4" fillId="0" borderId="26" xfId="0" applyFont="1" applyBorder="1" applyAlignment="1" applyProtection="1">
      <alignment horizontal="left" vertical="center"/>
      <protection locked="0"/>
    </xf>
    <xf numFmtId="0" fontId="3" fillId="3" borderId="17" xfId="0" applyFont="1" applyFill="1" applyBorder="1" applyAlignment="1" applyProtection="1">
      <alignment horizontal="center" vertical="center" wrapText="1"/>
      <protection hidden="1"/>
    </xf>
    <xf numFmtId="0" fontId="3" fillId="3" borderId="18" xfId="0" applyFont="1" applyFill="1" applyBorder="1" applyAlignment="1" applyProtection="1">
      <alignment horizontal="center" vertical="center" wrapText="1"/>
      <protection hidden="1"/>
    </xf>
    <xf numFmtId="0" fontId="2" fillId="3" borderId="2" xfId="0" applyFont="1" applyFill="1" applyBorder="1" applyAlignment="1">
      <alignment horizontal="center"/>
    </xf>
    <xf numFmtId="0" fontId="2" fillId="3" borderId="3" xfId="0" applyFont="1" applyFill="1" applyBorder="1" applyAlignment="1">
      <alignment horizontal="center"/>
    </xf>
    <xf numFmtId="0" fontId="3" fillId="3" borderId="3" xfId="0" applyFont="1" applyFill="1" applyBorder="1" applyAlignment="1">
      <alignment horizontal="center"/>
    </xf>
    <xf numFmtId="0" fontId="3" fillId="3" borderId="11"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3" borderId="2" xfId="0" applyFont="1" applyFill="1" applyBorder="1" applyAlignment="1" applyProtection="1">
      <alignment horizontal="center"/>
      <protection hidden="1"/>
    </xf>
    <xf numFmtId="0" fontId="2" fillId="3" borderId="5" xfId="0" applyFont="1" applyFill="1" applyBorder="1" applyAlignment="1" applyProtection="1">
      <alignment horizontal="center"/>
      <protection hidden="1"/>
    </xf>
    <xf numFmtId="0" fontId="3" fillId="3" borderId="3" xfId="0" applyFont="1" applyFill="1" applyBorder="1" applyAlignment="1" applyProtection="1">
      <alignment horizontal="center" wrapText="1"/>
      <protection hidden="1"/>
    </xf>
    <xf numFmtId="0" fontId="3" fillId="3" borderId="6" xfId="0" applyFont="1" applyFill="1" applyBorder="1" applyAlignment="1" applyProtection="1">
      <alignment horizontal="center" wrapText="1"/>
      <protection hidden="1"/>
    </xf>
    <xf numFmtId="0" fontId="3" fillId="3" borderId="3" xfId="0" applyFont="1" applyFill="1" applyBorder="1" applyAlignment="1" applyProtection="1">
      <alignment horizontal="center" vertical="center" wrapText="1"/>
      <protection hidden="1"/>
    </xf>
    <xf numFmtId="0" fontId="3" fillId="3" borderId="6" xfId="0" applyFont="1" applyFill="1" applyBorder="1" applyAlignment="1" applyProtection="1">
      <alignment horizontal="center" vertical="center" wrapText="1"/>
      <protection hidden="1"/>
    </xf>
    <xf numFmtId="0" fontId="3" fillId="3" borderId="4" xfId="0" applyFont="1" applyFill="1" applyBorder="1" applyAlignment="1" applyProtection="1">
      <alignment horizontal="center" vertical="center" wrapText="1"/>
      <protection hidden="1"/>
    </xf>
    <xf numFmtId="0" fontId="3" fillId="3" borderId="7" xfId="0" applyFont="1" applyFill="1" applyBorder="1" applyAlignment="1" applyProtection="1">
      <alignment horizontal="center" vertical="center" wrapText="1"/>
      <protection hidden="1"/>
    </xf>
    <xf numFmtId="0" fontId="1" fillId="2" borderId="0" xfId="0" applyFont="1" applyFill="1" applyAlignment="1">
      <alignment horizontal="left"/>
    </xf>
    <xf numFmtId="0" fontId="0" fillId="0" borderId="0" xfId="0" applyAlignment="1">
      <alignment horizontal="right"/>
    </xf>
    <xf numFmtId="0" fontId="0" fillId="0" borderId="0" xfId="0" applyAlignment="1">
      <alignment horizontal="left"/>
    </xf>
    <xf numFmtId="0" fontId="2" fillId="3" borderId="3" xfId="0" applyFont="1" applyFill="1" applyBorder="1" applyAlignment="1" applyProtection="1">
      <alignment horizontal="center" vertical="center" wrapText="1"/>
      <protection hidden="1"/>
    </xf>
    <xf numFmtId="0" fontId="2" fillId="3" borderId="3" xfId="0" applyFont="1" applyFill="1" applyBorder="1" applyAlignment="1" applyProtection="1">
      <alignment horizontal="center" wrapText="1"/>
      <protection hidden="1"/>
    </xf>
  </cellXfs>
  <cellStyles count="2">
    <cellStyle name="Normal" xfId="0" builtinId="0"/>
    <cellStyle name="Percent" xfId="1" builtinId="5"/>
  </cellStyles>
  <dxfs count="9">
    <dxf>
      <font>
        <b val="0"/>
        <i val="0"/>
        <color theme="0" tint="-0.499984740745262"/>
      </font>
    </dxf>
    <dxf>
      <font>
        <color theme="0" tint="-0.34998626667073579"/>
      </font>
    </dxf>
    <dxf>
      <font>
        <color rgb="FF9C0006"/>
      </font>
      <fill>
        <patternFill patternType="solid">
          <bgColor rgb="FFFFC7CE"/>
        </patternFill>
      </fill>
    </dxf>
    <dxf>
      <font>
        <color rgb="FF9C0006"/>
      </font>
      <fill>
        <patternFill patternType="solid">
          <bgColor rgb="FFFFC7CE"/>
        </patternFill>
      </fill>
    </dxf>
    <dxf>
      <font>
        <b val="0"/>
        <i val="0"/>
        <color theme="0" tint="-0.499984740745262"/>
      </font>
    </dxf>
    <dxf>
      <fill>
        <patternFill patternType="solid">
          <bgColor rgb="FFFEBFB8"/>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298"/>
          <c:y val="0.106213635060323"/>
          <c:w val="0.566030942112136"/>
          <c:h val="0.7572447561701850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EB-4CF0-AED4-7C0A5CAE39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EB-4CF0-AED4-7C0A5CAE39AE}"/>
              </c:ext>
            </c:extLst>
          </c:dPt>
          <c:dLbls>
            <c:dLbl>
              <c:idx val="0"/>
              <c:layout>
                <c:manualLayout>
                  <c:x val="-0.12562814070351799"/>
                  <c:y val="-4.4817927170868403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8EB-4CF0-AED4-7C0A5CAE39AE}"/>
                </c:ext>
              </c:extLst>
            </c:dLbl>
            <c:dLbl>
              <c:idx val="1"/>
              <c:layout>
                <c:manualLayout>
                  <c:x val="0.175879396984925"/>
                  <c:y val="1.680672268907559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8EB-4CF0-AED4-7C0A5CAE39AE}"/>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1" i="0" u="none" strike="noStrike" kern="1200" baseline="0">
                    <a:solidFill>
                      <a:schemeClr val="dk1">
                        <a:lumMod val="65000"/>
                        <a:lumOff val="35000"/>
                      </a:schemeClr>
                    </a:solidFill>
                    <a:latin typeface="Arial" panose="020B0604020202020204" pitchFamily="7"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0.7142857142857143</c:v>
                </c:pt>
                <c:pt idx="1">
                  <c:v>0.2857142857142857</c:v>
                </c:pt>
              </c:numCache>
            </c:numRef>
          </c:val>
          <c:extLst>
            <c:ext xmlns:c16="http://schemas.microsoft.com/office/drawing/2014/chart" uri="{C3380CC4-5D6E-409C-BE32-E72D297353CC}">
              <c16:uniqueId val="{00000004-D8EB-4CF0-AED4-7C0A5CAE39A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dk1">
                  <a:lumMod val="75000"/>
                  <a:lumOff val="2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0.4</c:v>
                </c:pt>
                <c:pt idx="1">
                  <c:v>0</c:v>
                </c:pt>
                <c:pt idx="2">
                  <c:v>0.2857142857142857</c:v>
                </c:pt>
              </c:numCache>
            </c:numRef>
          </c:val>
          <c:extLst>
            <c:ext xmlns:c16="http://schemas.microsoft.com/office/drawing/2014/chart" uri="{C3380CC4-5D6E-409C-BE32-E72D297353CC}">
              <c16:uniqueId val="{00000000-6ED0-494F-9B88-05233DAAAFD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0.1</c:v>
                </c:pt>
                <c:pt idx="1">
                  <c:v>0</c:v>
                </c:pt>
                <c:pt idx="2">
                  <c:v>7.1428571428571425E-2</c:v>
                </c:pt>
              </c:numCache>
            </c:numRef>
          </c:val>
          <c:extLst>
            <c:ext xmlns:c16="http://schemas.microsoft.com/office/drawing/2014/chart" uri="{C3380CC4-5D6E-409C-BE32-E72D297353CC}">
              <c16:uniqueId val="{00000001-6ED0-494F-9B88-05233DAAAFD4}"/>
            </c:ext>
          </c:extLst>
        </c:ser>
        <c:ser>
          <c:idx val="2"/>
          <c:order val="2"/>
          <c:tx>
            <c:strRef>
              <c:f>'Class Summary'!$E$18</c:f>
              <c:strCache>
                <c:ptCount val="1"/>
                <c:pt idx="0">
                  <c:v>Developing (Nearly Proficient)</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0.1</c:v>
                </c:pt>
                <c:pt idx="1">
                  <c:v>0.25</c:v>
                </c:pt>
                <c:pt idx="2">
                  <c:v>0.14285714285714285</c:v>
                </c:pt>
              </c:numCache>
            </c:numRef>
          </c:val>
          <c:extLst>
            <c:ext xmlns:c16="http://schemas.microsoft.com/office/drawing/2014/chart" uri="{C3380CC4-5D6E-409C-BE32-E72D297353CC}">
              <c16:uniqueId val="{00000002-6ED0-494F-9B88-05233DAAAFD4}"/>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0.1</c:v>
                </c:pt>
                <c:pt idx="1">
                  <c:v>0.75</c:v>
                </c:pt>
                <c:pt idx="2">
                  <c:v>0.2857142857142857</c:v>
                </c:pt>
              </c:numCache>
            </c:numRef>
          </c:val>
          <c:extLst>
            <c:ext xmlns:c16="http://schemas.microsoft.com/office/drawing/2014/chart" uri="{C3380CC4-5D6E-409C-BE32-E72D297353CC}">
              <c16:uniqueId val="{00000003-6ED0-494F-9B88-05233DAAAFD4}"/>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0.1</c:v>
                </c:pt>
                <c:pt idx="1">
                  <c:v>0</c:v>
                </c:pt>
                <c:pt idx="2">
                  <c:v>7.1428571428571425E-2</c:v>
                </c:pt>
              </c:numCache>
            </c:numRef>
          </c:val>
          <c:extLst>
            <c:ext xmlns:c16="http://schemas.microsoft.com/office/drawing/2014/chart" uri="{C3380CC4-5D6E-409C-BE32-E72D297353CC}">
              <c16:uniqueId val="{00000004-6ED0-494F-9B88-05233DAAAFD4}"/>
            </c:ext>
          </c:extLst>
        </c:ser>
        <c:dLbls>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lang="en-US"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accent1"/>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Task</a:t>
            </a:r>
            <a:endParaRPr lang="en-PH" sz="1600"/>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dk1">
                  <a:lumMod val="75000"/>
                  <a:lumOff val="2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Summary'!$K$21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Summary'!$L$18:$W$18</c:f>
              <c:strCache>
                <c:ptCount val="9"/>
                <c:pt idx="0">
                  <c:v>Task A</c:v>
                </c:pt>
                <c:pt idx="1">
                  <c:v>Task B</c:v>
                </c:pt>
                <c:pt idx="2">
                  <c:v>Task C</c:v>
                </c:pt>
                <c:pt idx="3">
                  <c:v>Task D</c:v>
                </c:pt>
                <c:pt idx="4">
                  <c:v>Task E</c:v>
                </c:pt>
                <c:pt idx="5">
                  <c:v>Task F</c:v>
                </c:pt>
                <c:pt idx="6">
                  <c:v>Task G</c:v>
                </c:pt>
                <c:pt idx="7">
                  <c:v>Task H</c:v>
                </c:pt>
                <c:pt idx="8">
                  <c:v>Overall Score</c:v>
                </c:pt>
              </c:strCache>
            </c:strRef>
          </c:cat>
          <c:val>
            <c:numRef>
              <c:f>'Class Summary'!$L$21:$W$21</c:f>
              <c:numCache>
                <c:formatCode>0%</c:formatCode>
                <c:ptCount val="9"/>
                <c:pt idx="0">
                  <c:v>0.5</c:v>
                </c:pt>
                <c:pt idx="1">
                  <c:v>0.14285714285714285</c:v>
                </c:pt>
                <c:pt idx="2">
                  <c:v>0.5</c:v>
                </c:pt>
                <c:pt idx="3">
                  <c:v>0.2857142857142857</c:v>
                </c:pt>
                <c:pt idx="4">
                  <c:v>0.35714285714285715</c:v>
                </c:pt>
                <c:pt idx="5">
                  <c:v>0.35714285714285715</c:v>
                </c:pt>
                <c:pt idx="6">
                  <c:v>0</c:v>
                </c:pt>
                <c:pt idx="7">
                  <c:v>7.1428571428571425E-2</c:v>
                </c:pt>
                <c:pt idx="8">
                  <c:v>0.43877551020408162</c:v>
                </c:pt>
              </c:numCache>
            </c:numRef>
          </c:val>
          <c:extLst>
            <c:ext xmlns:c16="http://schemas.microsoft.com/office/drawing/2014/chart" uri="{C3380CC4-5D6E-409C-BE32-E72D297353CC}">
              <c16:uniqueId val="{00000000-8AEC-47F8-ABC7-F73C8A0DE91C}"/>
            </c:ext>
          </c:extLst>
        </c:ser>
        <c:dLbls>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0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showDLblsOverMax val="0"/>
  </c:chart>
  <c:spPr>
    <a:noFill/>
    <a:ln w="9525" cap="flat" cmpd="sng" algn="ctr">
      <a:solidFill>
        <a:schemeClr val="accent1"/>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11</xdr:col>
      <xdr:colOff>106680</xdr:colOff>
      <xdr:row>112</xdr:row>
      <xdr:rowOff>0</xdr:rowOff>
    </xdr:from>
    <xdr:ext cx="184731" cy="18288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9375140" y="22326600"/>
          <a:ext cx="18415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109</xdr:row>
      <xdr:rowOff>95250</xdr:rowOff>
    </xdr:from>
    <xdr:to>
      <xdr:col>12</xdr:col>
      <xdr:colOff>0</xdr:colOff>
      <xdr:row>112</xdr:row>
      <xdr:rowOff>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6200" y="21865590"/>
          <a:ext cx="997712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19</xdr:col>
      <xdr:colOff>558800</xdr:colOff>
      <xdr:row>109</xdr:row>
      <xdr:rowOff>99061</xdr:rowOff>
    </xdr:from>
    <xdr:to>
      <xdr:col>20</xdr:col>
      <xdr:colOff>93346</xdr:colOff>
      <xdr:row>111</xdr:row>
      <xdr:rowOff>95887</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6441420" y="21869400"/>
          <a:ext cx="2247265" cy="362585"/>
        </a:xfrm>
        <a:prstGeom prst="rect">
          <a:avLst/>
        </a:prstGeom>
        <a:noFill/>
        <a:ln>
          <a:noFill/>
        </a:ln>
      </xdr:spPr>
    </xdr:pic>
    <xdr:clientData/>
  </xdr:twoCellAnchor>
  <xdr:twoCellAnchor>
    <xdr:from>
      <xdr:col>18</xdr:col>
      <xdr:colOff>35943</xdr:colOff>
      <xdr:row>4</xdr:row>
      <xdr:rowOff>21566</xdr:rowOff>
    </xdr:from>
    <xdr:to>
      <xdr:col>19</xdr:col>
      <xdr:colOff>2695755</xdr:colOff>
      <xdr:row>6</xdr:row>
      <xdr:rowOff>258792</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4127480" y="1217295"/>
          <a:ext cx="4450715" cy="694690"/>
        </a:xfrm>
        <a:prstGeom prst="rect">
          <a:avLst/>
        </a:prstGeom>
      </xdr:spPr>
    </xdr:pic>
    <xdr:clientData/>
  </xdr:twoCellAnchor>
  <xdr:twoCellAnchor>
    <xdr:from>
      <xdr:col>15</xdr:col>
      <xdr:colOff>106680</xdr:colOff>
      <xdr:row>6</xdr:row>
      <xdr:rowOff>15240</xdr:rowOff>
    </xdr:from>
    <xdr:to>
      <xdr:col>17</xdr:col>
      <xdr:colOff>335280</xdr:colOff>
      <xdr:row>6</xdr:row>
      <xdr:rowOff>281939</xdr:rowOff>
    </xdr:to>
    <xdr:grpSp>
      <xdr:nvGrpSpPr>
        <xdr:cNvPr id="22" name="Group 21">
          <a:extLst>
            <a:ext uri="{FF2B5EF4-FFF2-40B4-BE49-F238E27FC236}">
              <a16:creationId xmlns:a16="http://schemas.microsoft.com/office/drawing/2014/main" id="{00000000-0008-0000-0000-000016000000}"/>
            </a:ext>
          </a:extLst>
        </xdr:cNvPr>
        <xdr:cNvGrpSpPr/>
      </xdr:nvGrpSpPr>
      <xdr:grpSpPr>
        <a:xfrm>
          <a:off x="13557135" y="1664591"/>
          <a:ext cx="1531587" cy="266699"/>
          <a:chOff x="9273540" y="1338453"/>
          <a:chExt cx="1584960" cy="226314"/>
        </a:xfrm>
      </xdr:grpSpPr>
      <xdr:sp macro="" textlink="">
        <xdr:nvSpPr>
          <xdr:cNvPr id="20" name="Rectangle 19">
            <a:extLst>
              <a:ext uri="{FF2B5EF4-FFF2-40B4-BE49-F238E27FC236}">
                <a16:creationId xmlns:a16="http://schemas.microsoft.com/office/drawing/2014/main" id="{00000000-0008-0000-0000-000014000000}"/>
              </a:ext>
            </a:extLst>
          </xdr:cNvPr>
          <xdr:cNvSpPr/>
        </xdr:nvSpPr>
        <xdr:spPr>
          <a:xfrm>
            <a:off x="9273540" y="1379220"/>
            <a:ext cx="495300" cy="160020"/>
          </a:xfrm>
          <a:prstGeom prst="rect">
            <a:avLst/>
          </a:prstGeom>
          <a:solidFill>
            <a:srgbClr val="FD9F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9768840" y="1338453"/>
            <a:ext cx="1089660" cy="22631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Below 75%</a:t>
            </a:r>
          </a:p>
        </xdr:txBody>
      </xdr:sp>
    </xdr:grpSp>
    <xdr:clientData/>
  </xdr:twoCellAnchor>
  <xdr:twoCellAnchor>
    <xdr:from>
      <xdr:col>1</xdr:col>
      <xdr:colOff>20956</xdr:colOff>
      <xdr:row>0</xdr:row>
      <xdr:rowOff>67080</xdr:rowOff>
    </xdr:from>
    <xdr:to>
      <xdr:col>6</xdr:col>
      <xdr:colOff>478155</xdr:colOff>
      <xdr:row>2</xdr:row>
      <xdr:rowOff>323850</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359073" y="67080"/>
          <a:ext cx="6790705" cy="768069"/>
          <a:chOff x="340996" y="53745"/>
          <a:chExt cx="5036819" cy="773025"/>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216851" y="226302"/>
            <a:ext cx="4160964" cy="341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a:t>
            </a:r>
          </a:p>
        </xdr:txBody>
      </xdr:sp>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0996" y="53745"/>
            <a:ext cx="883920" cy="77302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51</xdr:row>
      <xdr:rowOff>7620</xdr:rowOff>
    </xdr:from>
    <xdr:to>
      <xdr:col>8</xdr:col>
      <xdr:colOff>304800</xdr:colOff>
      <xdr:row>54</xdr:row>
      <xdr:rowOff>167640</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22860" y="10227945"/>
          <a:ext cx="819912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22</xdr:col>
      <xdr:colOff>0</xdr:colOff>
      <xdr:row>52</xdr:row>
      <xdr:rowOff>30480</xdr:rowOff>
    </xdr:from>
    <xdr:to>
      <xdr:col>25</xdr:col>
      <xdr:colOff>344171</xdr:colOff>
      <xdr:row>53</xdr:row>
      <xdr:rowOff>19686</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
        <a:stretch>
          <a:fillRect/>
        </a:stretch>
      </xdr:blipFill>
      <xdr:spPr>
        <a:xfrm>
          <a:off x="15339060" y="10433685"/>
          <a:ext cx="2249170" cy="172085"/>
        </a:xfrm>
        <a:prstGeom prst="rect">
          <a:avLst/>
        </a:prstGeom>
      </xdr:spPr>
    </xdr:pic>
    <xdr:clientData/>
  </xdr:twoCellAnchor>
  <xdr:twoCellAnchor editAs="oneCell">
    <xdr:from>
      <xdr:col>10</xdr:col>
      <xdr:colOff>667369</xdr:colOff>
      <xdr:row>0</xdr:row>
      <xdr:rowOff>160020</xdr:rowOff>
    </xdr:from>
    <xdr:to>
      <xdr:col>22</xdr:col>
      <xdr:colOff>531519</xdr:colOff>
      <xdr:row>5</xdr:row>
      <xdr:rowOff>95250</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a:fillRect/>
        </a:stretch>
      </xdr:blipFill>
      <xdr:spPr>
        <a:xfrm>
          <a:off x="10435590" y="160020"/>
          <a:ext cx="5434965" cy="864870"/>
        </a:xfrm>
        <a:prstGeom prst="rect">
          <a:avLst/>
        </a:prstGeom>
      </xdr:spPr>
    </xdr:pic>
    <xdr:clientData/>
  </xdr:twoCellAnchor>
  <xdr:oneCellAnchor>
    <xdr:from>
      <xdr:col>17</xdr:col>
      <xdr:colOff>38100</xdr:colOff>
      <xdr:row>52</xdr:row>
      <xdr:rowOff>30480</xdr:rowOff>
    </xdr:from>
    <xdr:ext cx="2249170" cy="427356"/>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
        <a:stretch>
          <a:fillRect/>
        </a:stretch>
      </xdr:blipFill>
      <xdr:spPr>
        <a:xfrm>
          <a:off x="14234160" y="10433685"/>
          <a:ext cx="2249170" cy="427355"/>
        </a:xfrm>
        <a:prstGeom prst="rect">
          <a:avLst/>
        </a:prstGeom>
      </xdr:spPr>
    </xdr:pic>
    <xdr:clientData/>
  </xdr:oneCellAnchor>
  <xdr:oneCellAnchor>
    <xdr:from>
      <xdr:col>12</xdr:col>
      <xdr:colOff>38100</xdr:colOff>
      <xdr:row>52</xdr:row>
      <xdr:rowOff>30480</xdr:rowOff>
    </xdr:from>
    <xdr:ext cx="2249170" cy="427356"/>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a:stretch>
          <a:fillRect/>
        </a:stretch>
      </xdr:blipFill>
      <xdr:spPr>
        <a:xfrm>
          <a:off x="11376660" y="10433685"/>
          <a:ext cx="2249170" cy="427355"/>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449580</xdr:colOff>
      <xdr:row>22</xdr:row>
      <xdr:rowOff>129539</xdr:rowOff>
    </xdr:from>
    <xdr:to>
      <xdr:col>9</xdr:col>
      <xdr:colOff>678180</xdr:colOff>
      <xdr:row>38</xdr:row>
      <xdr:rowOff>73445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815340</xdr:colOff>
      <xdr:row>22</xdr:row>
      <xdr:rowOff>87630</xdr:rowOff>
    </xdr:from>
    <xdr:to>
      <xdr:col>22</xdr:col>
      <xdr:colOff>662940</xdr:colOff>
      <xdr:row>38</xdr:row>
      <xdr:rowOff>91807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FC112"/>
  <sheetViews>
    <sheetView tabSelected="1" topLeftCell="B5" zoomScale="77" zoomScaleNormal="85" workbookViewId="0">
      <selection activeCell="K25" sqref="K25"/>
    </sheetView>
  </sheetViews>
  <sheetFormatPr defaultColWidth="0" defaultRowHeight="14.5" zeroHeight="1"/>
  <cols>
    <col min="1" max="1" width="4.81640625" customWidth="1"/>
    <col min="2" max="2" width="18.453125" style="1" customWidth="1"/>
    <col min="3" max="3" width="42.7265625" customWidth="1"/>
    <col min="4" max="4" width="8.08984375" style="1" customWidth="1"/>
    <col min="5" max="5" width="12.08984375" style="1" customWidth="1"/>
    <col min="6" max="6" width="9.36328125" style="1" customWidth="1"/>
    <col min="7" max="7" width="10" style="1" customWidth="1"/>
    <col min="8" max="8" width="18.36328125" style="4" customWidth="1"/>
    <col min="9" max="9" width="10.36328125" style="1" customWidth="1"/>
    <col min="10" max="11" width="7.90625" style="1" customWidth="1"/>
    <col min="12" max="12" width="11.453125" style="1" customWidth="1"/>
    <col min="13" max="13" width="10.36328125" style="1" customWidth="1"/>
    <col min="14" max="14" width="11.1796875" style="1" customWidth="1"/>
    <col min="15" max="16" width="9.36328125" style="1" customWidth="1"/>
    <col min="17" max="18" width="9.36328125" style="76" customWidth="1"/>
    <col min="19" max="19" width="26.08984375" style="1" customWidth="1"/>
    <col min="20" max="20" width="39.54296875" style="1" customWidth="1"/>
    <col min="21" max="21" width="5.6328125" customWidth="1"/>
    <col min="22" max="33" width="10.6328125" hidden="1" customWidth="1"/>
    <col min="34" max="34" width="10.6328125" customWidth="1"/>
    <col min="35" max="16383" width="10.6328125" hidden="1"/>
    <col min="16384" max="16384" width="1.453125" hidden="1"/>
  </cols>
  <sheetData>
    <row r="1" spans="1:32" ht="22.25" customHeight="1">
      <c r="T1" s="5" t="s">
        <v>0</v>
      </c>
    </row>
    <row r="2" spans="1:32" ht="18" customHeight="1"/>
    <row r="3" spans="1:32" ht="27" customHeight="1"/>
    <row r="4" spans="1:32" s="75" customFormat="1" ht="27" customHeight="1">
      <c r="A4" s="163" t="s">
        <v>1</v>
      </c>
      <c r="B4" s="164"/>
      <c r="C4" s="77" t="s">
        <v>2</v>
      </c>
      <c r="D4" s="78"/>
      <c r="E4" s="78"/>
      <c r="F4" s="78"/>
      <c r="G4" s="78"/>
      <c r="H4" s="79"/>
      <c r="I4" s="78"/>
      <c r="J4" s="78"/>
      <c r="K4" s="78"/>
      <c r="L4" s="78"/>
      <c r="M4" s="78"/>
      <c r="N4" s="78"/>
      <c r="O4" s="78"/>
      <c r="P4" s="78"/>
      <c r="Q4" s="115"/>
      <c r="R4" s="115"/>
      <c r="S4" s="78"/>
      <c r="T4" s="78"/>
    </row>
    <row r="5" spans="1:32" s="75" customFormat="1" ht="18.649999999999999" customHeight="1">
      <c r="A5" s="163" t="s">
        <v>3</v>
      </c>
      <c r="B5" s="164"/>
      <c r="C5" s="80" t="s">
        <v>4</v>
      </c>
      <c r="D5" s="165" t="s">
        <v>5</v>
      </c>
      <c r="E5" s="166"/>
      <c r="F5" s="166"/>
      <c r="G5" s="166"/>
      <c r="H5" s="166"/>
      <c r="I5" s="166"/>
      <c r="J5" s="166"/>
      <c r="K5" s="166"/>
      <c r="L5" s="166"/>
      <c r="M5" s="166"/>
      <c r="N5" s="166"/>
      <c r="O5" s="166"/>
      <c r="P5" s="166"/>
      <c r="Q5" s="166"/>
      <c r="R5" s="166"/>
      <c r="S5" s="147"/>
      <c r="T5" s="148"/>
    </row>
    <row r="6" spans="1:32" s="75" customFormat="1" ht="17.399999999999999" customHeight="1">
      <c r="A6" s="167" t="s">
        <v>6</v>
      </c>
      <c r="B6" s="168"/>
      <c r="C6" s="81">
        <v>117443</v>
      </c>
      <c r="D6" s="169" t="s">
        <v>7</v>
      </c>
      <c r="E6" s="170"/>
      <c r="F6" s="171" t="s">
        <v>8</v>
      </c>
      <c r="G6" s="171"/>
      <c r="H6" s="171"/>
      <c r="I6" s="170" t="s">
        <v>9</v>
      </c>
      <c r="J6" s="172"/>
      <c r="K6" s="173" t="s">
        <v>10</v>
      </c>
      <c r="L6" s="174"/>
      <c r="M6" s="143" t="s">
        <v>11</v>
      </c>
      <c r="N6" s="144"/>
      <c r="O6" s="111">
        <v>10</v>
      </c>
      <c r="P6" s="169" t="s">
        <v>12</v>
      </c>
      <c r="Q6" s="172"/>
      <c r="R6" s="116">
        <f>COUNTA(C10:C108)</f>
        <v>14</v>
      </c>
      <c r="S6" s="149"/>
      <c r="T6" s="150"/>
    </row>
    <row r="7" spans="1:32" s="75" customFormat="1" ht="23.4" customHeight="1">
      <c r="A7" s="153" t="s">
        <v>13</v>
      </c>
      <c r="B7" s="154"/>
      <c r="C7" s="82" t="s">
        <v>14</v>
      </c>
      <c r="D7" s="155" t="s">
        <v>15</v>
      </c>
      <c r="E7" s="156"/>
      <c r="F7" s="157" t="s">
        <v>16</v>
      </c>
      <c r="G7" s="158"/>
      <c r="H7" s="159"/>
      <c r="I7" s="160" t="s">
        <v>17</v>
      </c>
      <c r="J7" s="161"/>
      <c r="K7" s="162">
        <v>1</v>
      </c>
      <c r="L7" s="162"/>
      <c r="M7" s="143" t="s">
        <v>18</v>
      </c>
      <c r="N7" s="144"/>
      <c r="O7" s="112">
        <v>4</v>
      </c>
      <c r="P7" s="145"/>
      <c r="Q7" s="146"/>
      <c r="R7" s="146"/>
      <c r="S7" s="151"/>
      <c r="T7" s="152"/>
    </row>
    <row r="8" spans="1:32" ht="51" customHeight="1">
      <c r="A8" s="83" t="s">
        <v>19</v>
      </c>
      <c r="B8" s="84" t="s">
        <v>20</v>
      </c>
      <c r="C8" s="85" t="s">
        <v>21</v>
      </c>
      <c r="D8" s="86" t="s">
        <v>22</v>
      </c>
      <c r="E8" s="86" t="s">
        <v>23</v>
      </c>
      <c r="F8" s="87" t="s">
        <v>24</v>
      </c>
      <c r="G8" s="87" t="s">
        <v>25</v>
      </c>
      <c r="H8" s="87" t="s">
        <v>26</v>
      </c>
      <c r="I8" s="113" t="s">
        <v>27</v>
      </c>
      <c r="J8" s="113" t="s">
        <v>28</v>
      </c>
      <c r="K8" s="113" t="s">
        <v>29</v>
      </c>
      <c r="L8" s="113" t="s">
        <v>30</v>
      </c>
      <c r="M8" s="114" t="s">
        <v>31</v>
      </c>
      <c r="N8" s="114" t="s">
        <v>32</v>
      </c>
      <c r="O8" s="114" t="s">
        <v>33</v>
      </c>
      <c r="P8" s="114" t="s">
        <v>34</v>
      </c>
      <c r="Q8" s="117" t="s">
        <v>35</v>
      </c>
      <c r="R8" s="118" t="s">
        <v>36</v>
      </c>
      <c r="S8" s="119" t="s">
        <v>37</v>
      </c>
      <c r="T8" s="120" t="s">
        <v>38</v>
      </c>
      <c r="Y8" s="113" t="s">
        <v>27</v>
      </c>
      <c r="Z8" s="113" t="s">
        <v>28</v>
      </c>
      <c r="AA8" s="113" t="s">
        <v>29</v>
      </c>
      <c r="AB8" s="113" t="s">
        <v>30</v>
      </c>
      <c r="AC8" s="114" t="s">
        <v>31</v>
      </c>
      <c r="AD8" s="114" t="s">
        <v>32</v>
      </c>
      <c r="AE8" s="114" t="s">
        <v>33</v>
      </c>
      <c r="AF8" s="114" t="s">
        <v>34</v>
      </c>
    </row>
    <row r="9" spans="1:32" ht="14.4" hidden="1" customHeight="1">
      <c r="A9" s="88"/>
      <c r="B9" s="89"/>
      <c r="C9" s="90"/>
      <c r="D9" s="90"/>
      <c r="E9" s="90"/>
      <c r="F9" s="91"/>
      <c r="G9" s="91"/>
      <c r="H9" s="92"/>
      <c r="I9" s="91">
        <v>8</v>
      </c>
      <c r="J9" s="91">
        <v>2</v>
      </c>
      <c r="K9" s="91">
        <v>8</v>
      </c>
      <c r="L9" s="91">
        <v>6</v>
      </c>
      <c r="M9" s="91">
        <v>4</v>
      </c>
      <c r="N9" s="91">
        <v>1</v>
      </c>
      <c r="O9" s="91">
        <v>3</v>
      </c>
      <c r="P9" s="91">
        <v>3</v>
      </c>
      <c r="Q9" s="91">
        <f>SUM(I9:P9)</f>
        <v>35</v>
      </c>
      <c r="R9" s="91"/>
      <c r="S9" s="90"/>
      <c r="T9" s="121"/>
      <c r="Y9">
        <f>IF(I10/I$9&gt;=75%,1,0)</f>
        <v>1</v>
      </c>
      <c r="Z9">
        <f t="shared" ref="Z9:AF24" si="0">IF(J10/J$9&gt;=75%,1,0)</f>
        <v>0</v>
      </c>
      <c r="AA9">
        <f t="shared" si="0"/>
        <v>1</v>
      </c>
      <c r="AB9">
        <f t="shared" si="0"/>
        <v>1</v>
      </c>
      <c r="AC9">
        <f t="shared" si="0"/>
        <v>1</v>
      </c>
      <c r="AD9">
        <f t="shared" si="0"/>
        <v>1</v>
      </c>
      <c r="AE9">
        <f t="shared" si="0"/>
        <v>0</v>
      </c>
      <c r="AF9">
        <f t="shared" si="0"/>
        <v>1</v>
      </c>
    </row>
    <row r="10" spans="1:32" ht="18.5">
      <c r="A10" s="93">
        <v>1</v>
      </c>
      <c r="B10" s="94">
        <v>117443240002</v>
      </c>
      <c r="C10" s="95" t="s">
        <v>130</v>
      </c>
      <c r="D10" s="96" t="s">
        <v>39</v>
      </c>
      <c r="E10" s="97">
        <v>43456</v>
      </c>
      <c r="F10" s="98">
        <v>45826</v>
      </c>
      <c r="G10" s="99">
        <f t="shared" ref="G10:G19" si="1">IF(C10&lt;&gt;"",(F10-E10)/365,"")</f>
        <v>6.493150684931507</v>
      </c>
      <c r="H10" s="100" t="s">
        <v>10</v>
      </c>
      <c r="I10" s="107">
        <v>6</v>
      </c>
      <c r="J10" s="107">
        <v>1</v>
      </c>
      <c r="K10" s="107">
        <v>8</v>
      </c>
      <c r="L10" s="107">
        <v>5</v>
      </c>
      <c r="M10" s="107">
        <v>3</v>
      </c>
      <c r="N10" s="107">
        <v>1</v>
      </c>
      <c r="O10" s="107">
        <v>1</v>
      </c>
      <c r="P10" s="107">
        <v>3</v>
      </c>
      <c r="Q10" s="122">
        <f t="shared" ref="Q10:Q41" si="2">IF(C10&lt;&gt;"",SUM(I10:P10),"")</f>
        <v>28</v>
      </c>
      <c r="R10" s="123">
        <f t="shared" ref="R10:R41" si="3">IF(AND(Q10&gt;0,C10&lt;&gt;""),Q10/Q$9,"")</f>
        <v>0.8</v>
      </c>
      <c r="S10" s="124" t="str">
        <f>IF(R10&lt;&gt;"",IF($R10&lt;25%,"Emerging (Not Proficient)",IF(AND($R10&gt;=25%,$R10&lt;50%),"Emerging (Low Proficient)",IF(AND($R10&gt;=50%,$R10&lt;75%),"Developing (Nearly Proficient)",IF(AND($R10&gt;=75%,$R10&lt;85%),"Transitioning (Proficient)","At Grade Level (Highly Proficient)")))),"")</f>
        <v>Transitioning (Proficient)</v>
      </c>
      <c r="T10" s="125"/>
      <c r="U10" t="s">
        <v>40</v>
      </c>
      <c r="Y10">
        <f t="shared" ref="Y10:Y73" si="4">IF(I11/I$9&gt;=75%,1,0)</f>
        <v>1</v>
      </c>
      <c r="Z10">
        <f t="shared" si="0"/>
        <v>0</v>
      </c>
      <c r="AA10">
        <f t="shared" si="0"/>
        <v>1</v>
      </c>
      <c r="AB10">
        <f t="shared" si="0"/>
        <v>1</v>
      </c>
      <c r="AC10">
        <f t="shared" si="0"/>
        <v>1</v>
      </c>
      <c r="AD10">
        <f t="shared" si="0"/>
        <v>1</v>
      </c>
      <c r="AE10">
        <f t="shared" si="0"/>
        <v>0</v>
      </c>
      <c r="AF10">
        <f t="shared" si="0"/>
        <v>1</v>
      </c>
    </row>
    <row r="11" spans="1:32" ht="18.5">
      <c r="A11" s="32">
        <v>2</v>
      </c>
      <c r="B11" s="101">
        <v>117443240003</v>
      </c>
      <c r="C11" s="102" t="s">
        <v>131</v>
      </c>
      <c r="D11" s="96" t="s">
        <v>39</v>
      </c>
      <c r="E11" s="103">
        <v>43503</v>
      </c>
      <c r="F11" s="98">
        <v>45826</v>
      </c>
      <c r="G11" s="104">
        <f t="shared" si="1"/>
        <v>6.3643835616438356</v>
      </c>
      <c r="H11" s="100" t="s">
        <v>10</v>
      </c>
      <c r="I11" s="107">
        <v>8</v>
      </c>
      <c r="J11" s="107">
        <v>1</v>
      </c>
      <c r="K11" s="107">
        <v>8</v>
      </c>
      <c r="L11" s="107">
        <v>5</v>
      </c>
      <c r="M11" s="107">
        <v>3</v>
      </c>
      <c r="N11" s="107">
        <v>1</v>
      </c>
      <c r="O11" s="107">
        <v>2</v>
      </c>
      <c r="P11" s="107">
        <v>3</v>
      </c>
      <c r="Q11" s="126">
        <f t="shared" si="2"/>
        <v>31</v>
      </c>
      <c r="R11" s="127">
        <f t="shared" si="3"/>
        <v>0.88571428571428568</v>
      </c>
      <c r="S11" s="128" t="str">
        <f t="shared" ref="S11:S74" si="5">IF(R11&lt;&gt;"",IF($R11&lt;25%,"Emerging (Not Proficient)",IF(AND($R11&gt;=25%,$R11&lt;50%),"Emerging (Low Proficient)",IF(AND($R11&gt;=50%,$R11&lt;75%),"Developing (Nearly Proficient)",IF(AND($R11&gt;=75%,$R11&lt;85%),"Transitioning (Proficient)","At Grade Level (Highly Proficient)")))),"")</f>
        <v>At Grade Level (Highly Proficient)</v>
      </c>
      <c r="T11" s="129"/>
      <c r="Y11">
        <f t="shared" si="4"/>
        <v>0</v>
      </c>
      <c r="Z11">
        <f t="shared" si="0"/>
        <v>0</v>
      </c>
      <c r="AA11">
        <f t="shared" si="0"/>
        <v>0</v>
      </c>
      <c r="AB11">
        <f t="shared" si="0"/>
        <v>0</v>
      </c>
      <c r="AC11">
        <f t="shared" si="0"/>
        <v>0</v>
      </c>
      <c r="AD11">
        <f t="shared" si="0"/>
        <v>0</v>
      </c>
      <c r="AE11">
        <f t="shared" si="0"/>
        <v>0</v>
      </c>
      <c r="AF11">
        <f t="shared" si="0"/>
        <v>0</v>
      </c>
    </row>
    <row r="12" spans="1:32" ht="18.5">
      <c r="A12" s="32">
        <v>3</v>
      </c>
      <c r="B12" s="101">
        <v>117443240005</v>
      </c>
      <c r="C12" s="102" t="s">
        <v>132</v>
      </c>
      <c r="D12" s="96" t="s">
        <v>39</v>
      </c>
      <c r="E12" s="103">
        <v>43431</v>
      </c>
      <c r="F12" s="98">
        <v>45827</v>
      </c>
      <c r="G12" s="104">
        <f t="shared" si="1"/>
        <v>6.5643835616438357</v>
      </c>
      <c r="H12" s="100" t="s">
        <v>10</v>
      </c>
      <c r="I12" s="107">
        <v>0</v>
      </c>
      <c r="J12" s="107">
        <v>0</v>
      </c>
      <c r="K12" s="107">
        <v>0</v>
      </c>
      <c r="L12" s="107">
        <v>0</v>
      </c>
      <c r="M12" s="107">
        <v>1</v>
      </c>
      <c r="N12" s="107">
        <v>0</v>
      </c>
      <c r="O12" s="107">
        <v>1</v>
      </c>
      <c r="P12" s="107">
        <v>1</v>
      </c>
      <c r="Q12" s="126">
        <f t="shared" si="2"/>
        <v>3</v>
      </c>
      <c r="R12" s="127">
        <f t="shared" si="3"/>
        <v>8.5714285714285715E-2</v>
      </c>
      <c r="S12" s="128" t="str">
        <f t="shared" si="5"/>
        <v>Emerging (Not Proficient)</v>
      </c>
      <c r="T12" s="129"/>
      <c r="Y12">
        <f t="shared" si="4"/>
        <v>0</v>
      </c>
      <c r="Z12">
        <f t="shared" si="0"/>
        <v>0</v>
      </c>
      <c r="AA12">
        <f t="shared" si="0"/>
        <v>0</v>
      </c>
      <c r="AB12">
        <f t="shared" si="0"/>
        <v>0</v>
      </c>
      <c r="AC12">
        <f t="shared" si="0"/>
        <v>0</v>
      </c>
      <c r="AD12">
        <f t="shared" si="0"/>
        <v>0</v>
      </c>
      <c r="AE12">
        <f t="shared" si="0"/>
        <v>0</v>
      </c>
      <c r="AF12">
        <f t="shared" si="0"/>
        <v>0</v>
      </c>
    </row>
    <row r="13" spans="1:32" ht="18.5">
      <c r="A13" s="32">
        <v>4</v>
      </c>
      <c r="B13" s="101">
        <v>117443240006</v>
      </c>
      <c r="C13" s="102" t="s">
        <v>133</v>
      </c>
      <c r="D13" s="96" t="s">
        <v>39</v>
      </c>
      <c r="E13" s="103">
        <v>43677</v>
      </c>
      <c r="F13" s="98">
        <v>45826</v>
      </c>
      <c r="G13" s="104">
        <f t="shared" si="1"/>
        <v>5.8876712328767127</v>
      </c>
      <c r="H13" s="100" t="s">
        <v>10</v>
      </c>
      <c r="I13" s="107"/>
      <c r="J13" s="107"/>
      <c r="K13" s="107"/>
      <c r="L13" s="107"/>
      <c r="M13" s="107"/>
      <c r="N13" s="107"/>
      <c r="O13" s="107"/>
      <c r="P13" s="107"/>
      <c r="Q13" s="126">
        <f t="shared" si="2"/>
        <v>0</v>
      </c>
      <c r="R13" s="127" t="str">
        <f t="shared" si="3"/>
        <v/>
      </c>
      <c r="S13" s="128" t="str">
        <f t="shared" si="5"/>
        <v/>
      </c>
      <c r="T13" s="129"/>
      <c r="Y13">
        <f t="shared" si="4"/>
        <v>0</v>
      </c>
      <c r="Z13">
        <f t="shared" si="0"/>
        <v>0</v>
      </c>
      <c r="AA13">
        <f t="shared" si="0"/>
        <v>0</v>
      </c>
      <c r="AB13">
        <f t="shared" si="0"/>
        <v>0</v>
      </c>
      <c r="AC13">
        <f t="shared" si="0"/>
        <v>0</v>
      </c>
      <c r="AD13">
        <f t="shared" si="0"/>
        <v>0</v>
      </c>
      <c r="AE13">
        <f t="shared" si="0"/>
        <v>0</v>
      </c>
      <c r="AF13">
        <f t="shared" si="0"/>
        <v>0</v>
      </c>
    </row>
    <row r="14" spans="1:32" ht="18.5">
      <c r="A14" s="32">
        <v>5</v>
      </c>
      <c r="B14" s="105">
        <v>117443230006</v>
      </c>
      <c r="C14" s="106" t="s">
        <v>134</v>
      </c>
      <c r="D14" s="96" t="s">
        <v>39</v>
      </c>
      <c r="E14" s="103">
        <v>43294</v>
      </c>
      <c r="F14" s="98">
        <v>45826</v>
      </c>
      <c r="G14" s="104">
        <f t="shared" si="1"/>
        <v>6.9369863013698634</v>
      </c>
      <c r="H14" s="100" t="s">
        <v>10</v>
      </c>
      <c r="I14" s="107">
        <v>0</v>
      </c>
      <c r="J14" s="107">
        <v>0</v>
      </c>
      <c r="K14" s="107">
        <v>1</v>
      </c>
      <c r="L14" s="107">
        <v>0</v>
      </c>
      <c r="M14" s="107">
        <v>1</v>
      </c>
      <c r="N14" s="107">
        <v>0</v>
      </c>
      <c r="O14" s="107">
        <v>0</v>
      </c>
      <c r="P14" s="107">
        <v>0</v>
      </c>
      <c r="Q14" s="126">
        <f t="shared" si="2"/>
        <v>2</v>
      </c>
      <c r="R14" s="127">
        <f t="shared" si="3"/>
        <v>5.7142857142857141E-2</v>
      </c>
      <c r="S14" s="128" t="str">
        <f t="shared" si="5"/>
        <v>Emerging (Not Proficient)</v>
      </c>
      <c r="T14" s="129"/>
      <c r="Y14">
        <f t="shared" si="4"/>
        <v>0</v>
      </c>
      <c r="Z14">
        <f t="shared" si="0"/>
        <v>0</v>
      </c>
      <c r="AA14">
        <f t="shared" si="0"/>
        <v>0</v>
      </c>
      <c r="AB14">
        <f t="shared" si="0"/>
        <v>0</v>
      </c>
      <c r="AC14">
        <f t="shared" si="0"/>
        <v>0</v>
      </c>
      <c r="AD14">
        <f t="shared" si="0"/>
        <v>0</v>
      </c>
      <c r="AE14">
        <f t="shared" si="0"/>
        <v>0</v>
      </c>
      <c r="AF14">
        <f t="shared" si="0"/>
        <v>0</v>
      </c>
    </row>
    <row r="15" spans="1:32" ht="18.5">
      <c r="A15" s="32">
        <v>6</v>
      </c>
      <c r="B15" s="101">
        <v>117443240004</v>
      </c>
      <c r="C15" s="102" t="s">
        <v>135</v>
      </c>
      <c r="D15" s="96" t="s">
        <v>39</v>
      </c>
      <c r="E15" s="103">
        <v>43522</v>
      </c>
      <c r="F15" s="98">
        <v>45827</v>
      </c>
      <c r="G15" s="104">
        <f t="shared" si="1"/>
        <v>6.3150684931506849</v>
      </c>
      <c r="H15" s="100" t="s">
        <v>10</v>
      </c>
      <c r="I15" s="107">
        <v>0</v>
      </c>
      <c r="J15" s="107">
        <v>0</v>
      </c>
      <c r="K15" s="107">
        <v>2</v>
      </c>
      <c r="L15" s="107">
        <v>1</v>
      </c>
      <c r="M15" s="107">
        <v>1</v>
      </c>
      <c r="N15" s="107">
        <v>0</v>
      </c>
      <c r="O15" s="107">
        <v>0</v>
      </c>
      <c r="P15" s="107">
        <v>0</v>
      </c>
      <c r="Q15" s="126">
        <f t="shared" si="2"/>
        <v>4</v>
      </c>
      <c r="R15" s="127">
        <f t="shared" si="3"/>
        <v>0.11428571428571428</v>
      </c>
      <c r="S15" s="128" t="str">
        <f t="shared" si="5"/>
        <v>Emerging (Not Proficient)</v>
      </c>
      <c r="T15" s="129"/>
      <c r="Y15">
        <f t="shared" si="4"/>
        <v>1</v>
      </c>
      <c r="Z15">
        <f t="shared" si="0"/>
        <v>0</v>
      </c>
      <c r="AA15">
        <f t="shared" si="0"/>
        <v>1</v>
      </c>
      <c r="AB15">
        <f t="shared" si="0"/>
        <v>0</v>
      </c>
      <c r="AC15">
        <f t="shared" si="0"/>
        <v>0</v>
      </c>
      <c r="AD15">
        <f t="shared" si="0"/>
        <v>0</v>
      </c>
      <c r="AE15">
        <f t="shared" si="0"/>
        <v>0</v>
      </c>
      <c r="AF15">
        <f t="shared" si="0"/>
        <v>0</v>
      </c>
    </row>
    <row r="16" spans="1:32" ht="18.5">
      <c r="A16" s="32">
        <v>7</v>
      </c>
      <c r="B16" s="105">
        <v>117443240007</v>
      </c>
      <c r="C16" s="106" t="s">
        <v>136</v>
      </c>
      <c r="D16" s="96" t="s">
        <v>39</v>
      </c>
      <c r="E16" s="103">
        <v>43428</v>
      </c>
      <c r="F16" s="98">
        <v>45827</v>
      </c>
      <c r="G16" s="104">
        <f t="shared" si="1"/>
        <v>6.5726027397260278</v>
      </c>
      <c r="H16" s="100" t="s">
        <v>10</v>
      </c>
      <c r="I16" s="107">
        <v>6</v>
      </c>
      <c r="J16" s="107">
        <v>0</v>
      </c>
      <c r="K16" s="107">
        <v>6</v>
      </c>
      <c r="L16" s="107">
        <v>0</v>
      </c>
      <c r="M16" s="107">
        <v>1</v>
      </c>
      <c r="N16" s="107">
        <v>0</v>
      </c>
      <c r="O16" s="107">
        <v>1</v>
      </c>
      <c r="P16" s="107">
        <v>1</v>
      </c>
      <c r="Q16" s="126">
        <f t="shared" si="2"/>
        <v>15</v>
      </c>
      <c r="R16" s="127">
        <f t="shared" si="3"/>
        <v>0.42857142857142855</v>
      </c>
      <c r="S16" s="128" t="str">
        <f t="shared" si="5"/>
        <v>Emerging (Low Proficient)</v>
      </c>
      <c r="T16" s="129"/>
      <c r="Y16">
        <f t="shared" si="4"/>
        <v>1</v>
      </c>
      <c r="Z16">
        <f t="shared" si="0"/>
        <v>0</v>
      </c>
      <c r="AA16">
        <f t="shared" si="0"/>
        <v>1</v>
      </c>
      <c r="AB16">
        <f t="shared" si="0"/>
        <v>0</v>
      </c>
      <c r="AC16">
        <f t="shared" si="0"/>
        <v>1</v>
      </c>
      <c r="AD16">
        <f t="shared" si="0"/>
        <v>1</v>
      </c>
      <c r="AE16">
        <f t="shared" si="0"/>
        <v>0</v>
      </c>
      <c r="AF16">
        <f t="shared" si="0"/>
        <v>0</v>
      </c>
    </row>
    <row r="17" spans="1:32" ht="18.5">
      <c r="A17" s="32">
        <v>8</v>
      </c>
      <c r="B17" s="101">
        <v>117443240008</v>
      </c>
      <c r="C17" s="102" t="s">
        <v>137</v>
      </c>
      <c r="D17" s="96" t="s">
        <v>39</v>
      </c>
      <c r="E17" s="103">
        <v>43440</v>
      </c>
      <c r="F17" s="98">
        <v>45827</v>
      </c>
      <c r="G17" s="104">
        <f t="shared" si="1"/>
        <v>6.5397260273972604</v>
      </c>
      <c r="H17" s="100" t="s">
        <v>10</v>
      </c>
      <c r="I17" s="107">
        <v>6</v>
      </c>
      <c r="J17" s="107">
        <v>0</v>
      </c>
      <c r="K17" s="107">
        <v>6</v>
      </c>
      <c r="L17" s="107">
        <v>2</v>
      </c>
      <c r="M17" s="107">
        <v>3</v>
      </c>
      <c r="N17" s="107">
        <v>1</v>
      </c>
      <c r="O17" s="107">
        <v>1</v>
      </c>
      <c r="P17" s="107">
        <v>2</v>
      </c>
      <c r="Q17" s="126">
        <f t="shared" si="2"/>
        <v>21</v>
      </c>
      <c r="R17" s="127">
        <f t="shared" si="3"/>
        <v>0.6</v>
      </c>
      <c r="S17" s="128" t="str">
        <f t="shared" si="5"/>
        <v>Developing (Nearly Proficient)</v>
      </c>
      <c r="T17" s="129"/>
      <c r="Y17">
        <f t="shared" si="4"/>
        <v>0</v>
      </c>
      <c r="Z17">
        <f t="shared" si="0"/>
        <v>0</v>
      </c>
      <c r="AA17">
        <f t="shared" si="0"/>
        <v>0</v>
      </c>
      <c r="AB17">
        <f t="shared" si="0"/>
        <v>0</v>
      </c>
      <c r="AC17">
        <f t="shared" si="0"/>
        <v>0</v>
      </c>
      <c r="AD17">
        <f t="shared" si="0"/>
        <v>0</v>
      </c>
      <c r="AE17">
        <f t="shared" si="0"/>
        <v>0</v>
      </c>
      <c r="AF17">
        <f t="shared" si="0"/>
        <v>0</v>
      </c>
    </row>
    <row r="18" spans="1:32" ht="18.5">
      <c r="A18" s="32">
        <v>9</v>
      </c>
      <c r="B18" s="105">
        <v>117443240009</v>
      </c>
      <c r="C18" s="106" t="s">
        <v>138</v>
      </c>
      <c r="D18" s="107" t="s">
        <v>39</v>
      </c>
      <c r="E18" s="103">
        <v>43723</v>
      </c>
      <c r="F18" s="98">
        <v>45827</v>
      </c>
      <c r="G18" s="104">
        <f t="shared" si="1"/>
        <v>5.7643835616438359</v>
      </c>
      <c r="H18" s="100" t="s">
        <v>10</v>
      </c>
      <c r="I18" s="107">
        <v>0</v>
      </c>
      <c r="J18" s="107">
        <v>0</v>
      </c>
      <c r="K18" s="107">
        <v>0</v>
      </c>
      <c r="L18" s="107">
        <v>1</v>
      </c>
      <c r="M18" s="107">
        <v>0</v>
      </c>
      <c r="N18" s="107">
        <v>0</v>
      </c>
      <c r="O18" s="107">
        <v>0</v>
      </c>
      <c r="P18" s="107">
        <v>0</v>
      </c>
      <c r="Q18" s="126">
        <f t="shared" si="2"/>
        <v>1</v>
      </c>
      <c r="R18" s="127">
        <f t="shared" si="3"/>
        <v>2.8571428571428571E-2</v>
      </c>
      <c r="S18" s="128" t="str">
        <f t="shared" si="5"/>
        <v>Emerging (Not Proficient)</v>
      </c>
      <c r="T18" s="129"/>
      <c r="Y18">
        <f t="shared" si="4"/>
        <v>0</v>
      </c>
      <c r="Z18">
        <f t="shared" si="0"/>
        <v>0</v>
      </c>
      <c r="AA18">
        <f t="shared" si="0"/>
        <v>0</v>
      </c>
      <c r="AB18">
        <f t="shared" si="0"/>
        <v>0</v>
      </c>
      <c r="AC18">
        <f t="shared" si="0"/>
        <v>0</v>
      </c>
      <c r="AD18">
        <f t="shared" si="0"/>
        <v>0</v>
      </c>
      <c r="AE18">
        <f t="shared" si="0"/>
        <v>0</v>
      </c>
      <c r="AF18">
        <f t="shared" si="0"/>
        <v>0</v>
      </c>
    </row>
    <row r="19" spans="1:32" ht="18.5">
      <c r="A19" s="32">
        <v>10</v>
      </c>
      <c r="B19" s="101">
        <v>117443240010</v>
      </c>
      <c r="C19" s="102" t="s">
        <v>139</v>
      </c>
      <c r="D19" s="107" t="s">
        <v>39</v>
      </c>
      <c r="E19" s="103">
        <v>43640</v>
      </c>
      <c r="F19" s="98">
        <v>45826</v>
      </c>
      <c r="G19" s="104">
        <f t="shared" si="1"/>
        <v>5.9890410958904106</v>
      </c>
      <c r="H19" s="100" t="s">
        <v>10</v>
      </c>
      <c r="I19" s="107">
        <v>0</v>
      </c>
      <c r="J19" s="107">
        <v>0</v>
      </c>
      <c r="K19" s="107">
        <v>0</v>
      </c>
      <c r="L19" s="107">
        <v>0</v>
      </c>
      <c r="M19" s="107">
        <v>0</v>
      </c>
      <c r="N19" s="107">
        <v>0</v>
      </c>
      <c r="O19" s="107">
        <v>0</v>
      </c>
      <c r="P19" s="107">
        <v>0</v>
      </c>
      <c r="Q19" s="126">
        <f t="shared" si="2"/>
        <v>0</v>
      </c>
      <c r="R19" s="127" t="str">
        <f t="shared" si="3"/>
        <v/>
      </c>
      <c r="S19" s="128" t="str">
        <f t="shared" si="5"/>
        <v/>
      </c>
      <c r="T19" s="129"/>
      <c r="Y19">
        <f t="shared" si="4"/>
        <v>1</v>
      </c>
      <c r="Z19">
        <f t="shared" si="0"/>
        <v>1</v>
      </c>
      <c r="AA19">
        <f t="shared" si="0"/>
        <v>1</v>
      </c>
      <c r="AB19">
        <f t="shared" si="0"/>
        <v>0</v>
      </c>
      <c r="AC19">
        <f t="shared" si="0"/>
        <v>0</v>
      </c>
      <c r="AD19">
        <f t="shared" si="0"/>
        <v>0</v>
      </c>
      <c r="AE19">
        <f t="shared" si="0"/>
        <v>0</v>
      </c>
      <c r="AF19">
        <f t="shared" si="0"/>
        <v>0</v>
      </c>
    </row>
    <row r="20" spans="1:32" ht="18.5">
      <c r="A20" s="32">
        <v>11</v>
      </c>
      <c r="B20" s="105">
        <v>117443240012</v>
      </c>
      <c r="C20" s="106" t="s">
        <v>140</v>
      </c>
      <c r="D20" s="107" t="s">
        <v>41</v>
      </c>
      <c r="E20" s="103">
        <v>43664</v>
      </c>
      <c r="F20" s="98">
        <v>45826</v>
      </c>
      <c r="G20" s="104" t="e">
        <f>IF(C20&lt;&gt;"",(F20-#REF!)/365,"")</f>
        <v>#REF!</v>
      </c>
      <c r="H20" s="100" t="s">
        <v>10</v>
      </c>
      <c r="I20" s="107">
        <v>8</v>
      </c>
      <c r="J20" s="107">
        <v>2</v>
      </c>
      <c r="K20" s="107">
        <v>8</v>
      </c>
      <c r="L20" s="107">
        <v>4</v>
      </c>
      <c r="M20" s="107">
        <v>2</v>
      </c>
      <c r="N20" s="107">
        <v>0</v>
      </c>
      <c r="O20" s="107">
        <v>1</v>
      </c>
      <c r="P20" s="107">
        <v>2</v>
      </c>
      <c r="Q20" s="126">
        <f t="shared" si="2"/>
        <v>27</v>
      </c>
      <c r="R20" s="127">
        <f t="shared" si="3"/>
        <v>0.77142857142857146</v>
      </c>
      <c r="S20" s="128" t="str">
        <f t="shared" si="5"/>
        <v>Transitioning (Proficient)</v>
      </c>
      <c r="T20" s="129"/>
      <c r="Y20">
        <f t="shared" si="4"/>
        <v>1</v>
      </c>
      <c r="Z20">
        <f t="shared" si="0"/>
        <v>0</v>
      </c>
      <c r="AA20">
        <f t="shared" si="0"/>
        <v>1</v>
      </c>
      <c r="AB20">
        <f t="shared" si="0"/>
        <v>1</v>
      </c>
      <c r="AC20">
        <f t="shared" si="0"/>
        <v>1</v>
      </c>
      <c r="AD20">
        <f t="shared" si="0"/>
        <v>1</v>
      </c>
      <c r="AE20">
        <f t="shared" si="0"/>
        <v>0</v>
      </c>
      <c r="AF20">
        <f t="shared" si="0"/>
        <v>0</v>
      </c>
    </row>
    <row r="21" spans="1:32" ht="18.5">
      <c r="A21" s="32">
        <v>12</v>
      </c>
      <c r="B21" s="101">
        <v>117443240013</v>
      </c>
      <c r="C21" s="102" t="s">
        <v>141</v>
      </c>
      <c r="D21" s="107" t="s">
        <v>41</v>
      </c>
      <c r="E21" s="142">
        <v>43698</v>
      </c>
      <c r="F21" s="98">
        <v>45826</v>
      </c>
      <c r="G21" s="104">
        <f>IF(C21&lt;&gt;"",(F21-E20)/365,"")</f>
        <v>5.9232876712328766</v>
      </c>
      <c r="H21" s="100" t="s">
        <v>10</v>
      </c>
      <c r="I21" s="107">
        <v>8</v>
      </c>
      <c r="J21" s="107">
        <v>1</v>
      </c>
      <c r="K21" s="107">
        <v>8</v>
      </c>
      <c r="L21" s="107">
        <v>5</v>
      </c>
      <c r="M21" s="107">
        <v>4</v>
      </c>
      <c r="N21" s="107">
        <v>1</v>
      </c>
      <c r="O21" s="107">
        <v>1</v>
      </c>
      <c r="P21" s="107">
        <v>1</v>
      </c>
      <c r="Q21" s="126">
        <f t="shared" si="2"/>
        <v>29</v>
      </c>
      <c r="R21" s="127">
        <f t="shared" si="3"/>
        <v>0.82857142857142863</v>
      </c>
      <c r="S21" s="128" t="str">
        <f t="shared" si="5"/>
        <v>Transitioning (Proficient)</v>
      </c>
      <c r="T21" s="129"/>
      <c r="Y21">
        <f t="shared" si="4"/>
        <v>1</v>
      </c>
      <c r="Z21">
        <f t="shared" si="0"/>
        <v>0</v>
      </c>
      <c r="AA21">
        <f t="shared" si="0"/>
        <v>1</v>
      </c>
      <c r="AB21">
        <f t="shared" si="0"/>
        <v>1</v>
      </c>
      <c r="AC21">
        <f t="shared" si="0"/>
        <v>1</v>
      </c>
      <c r="AD21">
        <f t="shared" si="0"/>
        <v>1</v>
      </c>
      <c r="AE21">
        <f t="shared" si="0"/>
        <v>0</v>
      </c>
      <c r="AF21">
        <f t="shared" si="0"/>
        <v>0</v>
      </c>
    </row>
    <row r="22" spans="1:32" ht="18.5">
      <c r="A22" s="32">
        <v>13</v>
      </c>
      <c r="B22" s="105">
        <v>117443240014</v>
      </c>
      <c r="C22" s="106" t="s">
        <v>142</v>
      </c>
      <c r="D22" s="107" t="s">
        <v>41</v>
      </c>
      <c r="E22" s="103">
        <v>43475</v>
      </c>
      <c r="F22" s="98">
        <v>45826</v>
      </c>
      <c r="G22" s="104">
        <f t="shared" ref="G22:G74" si="6">IF(C22&lt;&gt;"",(F22-E22)/365,"")</f>
        <v>6.441095890410959</v>
      </c>
      <c r="H22" s="100" t="s">
        <v>10</v>
      </c>
      <c r="I22" s="107">
        <v>6</v>
      </c>
      <c r="J22" s="107">
        <v>1</v>
      </c>
      <c r="K22" s="107">
        <v>7</v>
      </c>
      <c r="L22" s="107">
        <v>5</v>
      </c>
      <c r="M22" s="107">
        <v>4</v>
      </c>
      <c r="N22" s="107">
        <v>1</v>
      </c>
      <c r="O22" s="107">
        <v>1</v>
      </c>
      <c r="P22" s="107">
        <v>1</v>
      </c>
      <c r="Q22" s="126">
        <f t="shared" si="2"/>
        <v>26</v>
      </c>
      <c r="R22" s="127">
        <f t="shared" si="3"/>
        <v>0.74285714285714288</v>
      </c>
      <c r="S22" s="128" t="str">
        <f t="shared" si="5"/>
        <v>Developing (Nearly Proficient)</v>
      </c>
      <c r="T22" s="129"/>
      <c r="Y22">
        <f t="shared" si="4"/>
        <v>1</v>
      </c>
      <c r="Z22">
        <f t="shared" si="0"/>
        <v>1</v>
      </c>
      <c r="AA22">
        <f t="shared" si="0"/>
        <v>1</v>
      </c>
      <c r="AB22">
        <f t="shared" si="0"/>
        <v>1</v>
      </c>
      <c r="AC22">
        <f t="shared" si="0"/>
        <v>1</v>
      </c>
      <c r="AD22">
        <f t="shared" si="0"/>
        <v>1</v>
      </c>
      <c r="AE22">
        <f t="shared" si="0"/>
        <v>0</v>
      </c>
      <c r="AF22">
        <f t="shared" si="0"/>
        <v>0</v>
      </c>
    </row>
    <row r="23" spans="1:32" ht="18.5">
      <c r="A23" s="32">
        <v>14</v>
      </c>
      <c r="B23" s="101">
        <v>117441240034</v>
      </c>
      <c r="C23" s="102" t="s">
        <v>143</v>
      </c>
      <c r="D23" s="107" t="s">
        <v>41</v>
      </c>
      <c r="E23" s="103"/>
      <c r="F23" s="98">
        <v>45827</v>
      </c>
      <c r="G23" s="104">
        <f t="shared" si="6"/>
        <v>125.55342465753425</v>
      </c>
      <c r="H23" s="100" t="s">
        <v>10</v>
      </c>
      <c r="I23" s="107">
        <v>6</v>
      </c>
      <c r="J23" s="107">
        <v>2</v>
      </c>
      <c r="K23" s="107">
        <v>8</v>
      </c>
      <c r="L23" s="107">
        <v>5</v>
      </c>
      <c r="M23" s="107">
        <v>3</v>
      </c>
      <c r="N23" s="107">
        <v>1</v>
      </c>
      <c r="O23" s="107">
        <v>1</v>
      </c>
      <c r="P23" s="107">
        <v>2</v>
      </c>
      <c r="Q23" s="126">
        <f t="shared" si="2"/>
        <v>28</v>
      </c>
      <c r="R23" s="127">
        <f t="shared" si="3"/>
        <v>0.8</v>
      </c>
      <c r="S23" s="128" t="str">
        <f t="shared" si="5"/>
        <v>Transitioning (Proficient)</v>
      </c>
      <c r="T23" s="129"/>
      <c r="Y23">
        <f t="shared" si="4"/>
        <v>0</v>
      </c>
      <c r="Z23">
        <f t="shared" si="0"/>
        <v>0</v>
      </c>
      <c r="AA23">
        <f t="shared" si="0"/>
        <v>0</v>
      </c>
      <c r="AB23">
        <f t="shared" si="0"/>
        <v>0</v>
      </c>
      <c r="AC23">
        <f t="shared" si="0"/>
        <v>0</v>
      </c>
      <c r="AD23">
        <f t="shared" si="0"/>
        <v>0</v>
      </c>
      <c r="AE23">
        <f t="shared" si="0"/>
        <v>0</v>
      </c>
      <c r="AF23">
        <f t="shared" si="0"/>
        <v>0</v>
      </c>
    </row>
    <row r="24" spans="1:32" ht="18.5">
      <c r="A24" s="32">
        <v>15</v>
      </c>
      <c r="B24" s="105"/>
      <c r="C24" s="106"/>
      <c r="D24" s="107"/>
      <c r="E24" s="103"/>
      <c r="F24" s="98"/>
      <c r="G24" s="104" t="str">
        <f t="shared" si="6"/>
        <v/>
      </c>
      <c r="H24" s="100"/>
      <c r="I24" s="107"/>
      <c r="J24" s="107"/>
      <c r="K24" s="107"/>
      <c r="L24" s="107"/>
      <c r="M24" s="107"/>
      <c r="N24" s="107"/>
      <c r="O24" s="107"/>
      <c r="P24" s="107"/>
      <c r="Q24" s="126" t="str">
        <f t="shared" si="2"/>
        <v/>
      </c>
      <c r="R24" s="127" t="str">
        <f t="shared" si="3"/>
        <v/>
      </c>
      <c r="S24" s="128" t="str">
        <f t="shared" si="5"/>
        <v/>
      </c>
      <c r="T24" s="129"/>
      <c r="Y24">
        <f t="shared" si="4"/>
        <v>0</v>
      </c>
      <c r="Z24">
        <f t="shared" si="0"/>
        <v>0</v>
      </c>
      <c r="AA24">
        <f t="shared" si="0"/>
        <v>0</v>
      </c>
      <c r="AB24">
        <f t="shared" si="0"/>
        <v>0</v>
      </c>
      <c r="AC24">
        <f t="shared" si="0"/>
        <v>0</v>
      </c>
      <c r="AD24">
        <f t="shared" si="0"/>
        <v>0</v>
      </c>
      <c r="AE24">
        <f t="shared" si="0"/>
        <v>0</v>
      </c>
      <c r="AF24">
        <f t="shared" si="0"/>
        <v>0</v>
      </c>
    </row>
    <row r="25" spans="1:32" ht="18.5">
      <c r="A25" s="32">
        <v>16</v>
      </c>
      <c r="B25" s="101"/>
      <c r="C25" s="102"/>
      <c r="D25" s="107"/>
      <c r="E25" s="103"/>
      <c r="F25" s="98"/>
      <c r="G25" s="104" t="str">
        <f t="shared" si="6"/>
        <v/>
      </c>
      <c r="H25" s="100"/>
      <c r="I25" s="107"/>
      <c r="J25" s="107"/>
      <c r="K25" s="107"/>
      <c r="L25" s="107"/>
      <c r="M25" s="107"/>
      <c r="N25" s="107"/>
      <c r="O25" s="107"/>
      <c r="P25" s="107"/>
      <c r="Q25" s="126" t="str">
        <f t="shared" si="2"/>
        <v/>
      </c>
      <c r="R25" s="127" t="str">
        <f t="shared" si="3"/>
        <v/>
      </c>
      <c r="S25" s="128" t="str">
        <f t="shared" si="5"/>
        <v/>
      </c>
      <c r="T25" s="129"/>
      <c r="Y25">
        <f t="shared" si="4"/>
        <v>0</v>
      </c>
      <c r="Z25">
        <f t="shared" ref="Z25:Z88" si="7">IF(J26/J$9&gt;=75%,1,0)</f>
        <v>0</v>
      </c>
      <c r="AA25">
        <f t="shared" ref="AA25:AA88" si="8">IF(K26/K$9&gt;=75%,1,0)</f>
        <v>0</v>
      </c>
      <c r="AB25">
        <f t="shared" ref="AB25:AB88" si="9">IF(L26/L$9&gt;=75%,1,0)</f>
        <v>0</v>
      </c>
      <c r="AC25">
        <f t="shared" ref="AC25:AC88" si="10">IF(M26/M$9&gt;=75%,1,0)</f>
        <v>0</v>
      </c>
      <c r="AD25">
        <f t="shared" ref="AD25:AD88" si="11">IF(N26/N$9&gt;=75%,1,0)</f>
        <v>0</v>
      </c>
      <c r="AE25">
        <f t="shared" ref="AE25:AE88" si="12">IF(O26/O$9&gt;=75%,1,0)</f>
        <v>0</v>
      </c>
      <c r="AF25">
        <f t="shared" ref="AF25:AF88" si="13">IF(P26/P$9&gt;=75%,1,0)</f>
        <v>0</v>
      </c>
    </row>
    <row r="26" spans="1:32">
      <c r="A26" s="32">
        <v>17</v>
      </c>
      <c r="B26" s="108"/>
      <c r="C26" s="109"/>
      <c r="D26" s="107"/>
      <c r="E26" s="103"/>
      <c r="F26" s="103"/>
      <c r="G26" s="104" t="str">
        <f t="shared" si="6"/>
        <v/>
      </c>
      <c r="H26" s="110"/>
      <c r="I26" s="107"/>
      <c r="J26" s="107"/>
      <c r="K26" s="107"/>
      <c r="L26" s="107"/>
      <c r="M26" s="107"/>
      <c r="N26" s="107"/>
      <c r="O26" s="107"/>
      <c r="P26" s="107"/>
      <c r="Q26" s="126" t="str">
        <f t="shared" si="2"/>
        <v/>
      </c>
      <c r="R26" s="127" t="str">
        <f t="shared" si="3"/>
        <v/>
      </c>
      <c r="S26" s="128" t="str">
        <f t="shared" si="5"/>
        <v/>
      </c>
      <c r="T26" s="129"/>
      <c r="Y26">
        <f t="shared" si="4"/>
        <v>0</v>
      </c>
      <c r="Z26">
        <f t="shared" si="7"/>
        <v>0</v>
      </c>
      <c r="AA26">
        <f t="shared" si="8"/>
        <v>0</v>
      </c>
      <c r="AB26">
        <f t="shared" si="9"/>
        <v>0</v>
      </c>
      <c r="AC26">
        <f t="shared" si="10"/>
        <v>0</v>
      </c>
      <c r="AD26">
        <f t="shared" si="11"/>
        <v>0</v>
      </c>
      <c r="AE26">
        <f t="shared" si="12"/>
        <v>0</v>
      </c>
      <c r="AF26">
        <f t="shared" si="13"/>
        <v>0</v>
      </c>
    </row>
    <row r="27" spans="1:32">
      <c r="A27" s="32">
        <v>18</v>
      </c>
      <c r="B27" s="108"/>
      <c r="C27" s="109"/>
      <c r="D27" s="107"/>
      <c r="E27" s="103"/>
      <c r="F27" s="103"/>
      <c r="G27" s="104" t="str">
        <f t="shared" si="6"/>
        <v/>
      </c>
      <c r="H27" s="110"/>
      <c r="I27" s="107"/>
      <c r="J27" s="107"/>
      <c r="K27" s="107"/>
      <c r="L27" s="107"/>
      <c r="M27" s="107"/>
      <c r="N27" s="107"/>
      <c r="O27" s="107"/>
      <c r="P27" s="107"/>
      <c r="Q27" s="126" t="str">
        <f t="shared" si="2"/>
        <v/>
      </c>
      <c r="R27" s="127" t="str">
        <f t="shared" si="3"/>
        <v/>
      </c>
      <c r="S27" s="128" t="str">
        <f t="shared" si="5"/>
        <v/>
      </c>
      <c r="T27" s="129"/>
      <c r="Y27">
        <f t="shared" si="4"/>
        <v>0</v>
      </c>
      <c r="Z27">
        <f t="shared" si="7"/>
        <v>0</v>
      </c>
      <c r="AA27">
        <f t="shared" si="8"/>
        <v>0</v>
      </c>
      <c r="AB27">
        <f t="shared" si="9"/>
        <v>0</v>
      </c>
      <c r="AC27">
        <f t="shared" si="10"/>
        <v>0</v>
      </c>
      <c r="AD27">
        <f t="shared" si="11"/>
        <v>0</v>
      </c>
      <c r="AE27">
        <f t="shared" si="12"/>
        <v>0</v>
      </c>
      <c r="AF27">
        <f t="shared" si="13"/>
        <v>0</v>
      </c>
    </row>
    <row r="28" spans="1:32">
      <c r="A28" s="32">
        <v>19</v>
      </c>
      <c r="B28" s="108"/>
      <c r="C28" s="109"/>
      <c r="D28" s="107"/>
      <c r="E28" s="103"/>
      <c r="F28" s="103"/>
      <c r="G28" s="104" t="str">
        <f t="shared" si="6"/>
        <v/>
      </c>
      <c r="H28" s="110"/>
      <c r="I28" s="107"/>
      <c r="J28" s="107"/>
      <c r="K28" s="107"/>
      <c r="L28" s="107"/>
      <c r="M28" s="107"/>
      <c r="N28" s="107"/>
      <c r="O28" s="107"/>
      <c r="P28" s="107"/>
      <c r="Q28" s="126" t="str">
        <f t="shared" si="2"/>
        <v/>
      </c>
      <c r="R28" s="127" t="str">
        <f t="shared" si="3"/>
        <v/>
      </c>
      <c r="S28" s="128" t="str">
        <f t="shared" si="5"/>
        <v/>
      </c>
      <c r="T28" s="129"/>
      <c r="Y28">
        <f t="shared" si="4"/>
        <v>0</v>
      </c>
      <c r="Z28">
        <f t="shared" si="7"/>
        <v>0</v>
      </c>
      <c r="AA28">
        <f t="shared" si="8"/>
        <v>0</v>
      </c>
      <c r="AB28">
        <f t="shared" si="9"/>
        <v>0</v>
      </c>
      <c r="AC28">
        <f t="shared" si="10"/>
        <v>0</v>
      </c>
      <c r="AD28">
        <f t="shared" si="11"/>
        <v>0</v>
      </c>
      <c r="AE28">
        <f t="shared" si="12"/>
        <v>0</v>
      </c>
      <c r="AF28">
        <f t="shared" si="13"/>
        <v>0</v>
      </c>
    </row>
    <row r="29" spans="1:32">
      <c r="A29" s="32">
        <v>20</v>
      </c>
      <c r="B29" s="108"/>
      <c r="C29" s="109"/>
      <c r="D29" s="107"/>
      <c r="E29" s="103"/>
      <c r="F29" s="103"/>
      <c r="G29" s="104" t="str">
        <f t="shared" si="6"/>
        <v/>
      </c>
      <c r="H29" s="110"/>
      <c r="I29" s="107"/>
      <c r="J29" s="107"/>
      <c r="K29" s="107"/>
      <c r="L29" s="107"/>
      <c r="M29" s="107"/>
      <c r="N29" s="107"/>
      <c r="O29" s="107"/>
      <c r="P29" s="107"/>
      <c r="Q29" s="126" t="str">
        <f t="shared" si="2"/>
        <v/>
      </c>
      <c r="R29" s="127" t="str">
        <f t="shared" si="3"/>
        <v/>
      </c>
      <c r="S29" s="128" t="str">
        <f t="shared" si="5"/>
        <v/>
      </c>
      <c r="T29" s="129"/>
      <c r="Y29">
        <f t="shared" si="4"/>
        <v>0</v>
      </c>
      <c r="Z29">
        <f t="shared" si="7"/>
        <v>0</v>
      </c>
      <c r="AA29">
        <f t="shared" si="8"/>
        <v>0</v>
      </c>
      <c r="AB29">
        <f t="shared" si="9"/>
        <v>0</v>
      </c>
      <c r="AC29">
        <f t="shared" si="10"/>
        <v>0</v>
      </c>
      <c r="AD29">
        <f t="shared" si="11"/>
        <v>0</v>
      </c>
      <c r="AE29">
        <f t="shared" si="12"/>
        <v>0</v>
      </c>
      <c r="AF29">
        <f t="shared" si="13"/>
        <v>0</v>
      </c>
    </row>
    <row r="30" spans="1:32">
      <c r="A30" s="32">
        <v>21</v>
      </c>
      <c r="B30" s="108"/>
      <c r="C30" s="109"/>
      <c r="D30" s="107"/>
      <c r="E30" s="103"/>
      <c r="F30" s="103"/>
      <c r="G30" s="104" t="str">
        <f t="shared" si="6"/>
        <v/>
      </c>
      <c r="H30" s="110"/>
      <c r="I30" s="107"/>
      <c r="J30" s="107"/>
      <c r="K30" s="107"/>
      <c r="L30" s="107"/>
      <c r="M30" s="107"/>
      <c r="N30" s="107"/>
      <c r="O30" s="107"/>
      <c r="P30" s="107"/>
      <c r="Q30" s="126" t="str">
        <f t="shared" si="2"/>
        <v/>
      </c>
      <c r="R30" s="127" t="str">
        <f t="shared" si="3"/>
        <v/>
      </c>
      <c r="S30" s="128" t="str">
        <f t="shared" si="5"/>
        <v/>
      </c>
      <c r="T30" s="129"/>
      <c r="Y30">
        <f t="shared" si="4"/>
        <v>0</v>
      </c>
      <c r="Z30">
        <f t="shared" si="7"/>
        <v>0</v>
      </c>
      <c r="AA30">
        <f t="shared" si="8"/>
        <v>0</v>
      </c>
      <c r="AB30">
        <f t="shared" si="9"/>
        <v>0</v>
      </c>
      <c r="AC30">
        <f t="shared" si="10"/>
        <v>0</v>
      </c>
      <c r="AD30">
        <f t="shared" si="11"/>
        <v>0</v>
      </c>
      <c r="AE30">
        <f t="shared" si="12"/>
        <v>0</v>
      </c>
      <c r="AF30">
        <f t="shared" si="13"/>
        <v>0</v>
      </c>
    </row>
    <row r="31" spans="1:32">
      <c r="A31" s="32">
        <v>22</v>
      </c>
      <c r="B31" s="108"/>
      <c r="C31" s="109"/>
      <c r="D31" s="107"/>
      <c r="E31" s="103"/>
      <c r="F31" s="103"/>
      <c r="G31" s="104" t="str">
        <f t="shared" si="6"/>
        <v/>
      </c>
      <c r="H31" s="110"/>
      <c r="I31" s="107"/>
      <c r="J31" s="107"/>
      <c r="K31" s="107"/>
      <c r="L31" s="107"/>
      <c r="M31" s="107"/>
      <c r="N31" s="107"/>
      <c r="O31" s="107"/>
      <c r="P31" s="107"/>
      <c r="Q31" s="126" t="str">
        <f t="shared" si="2"/>
        <v/>
      </c>
      <c r="R31" s="127" t="str">
        <f t="shared" si="3"/>
        <v/>
      </c>
      <c r="S31" s="128" t="str">
        <f t="shared" si="5"/>
        <v/>
      </c>
      <c r="T31" s="129"/>
      <c r="Y31">
        <f t="shared" si="4"/>
        <v>0</v>
      </c>
      <c r="Z31">
        <f t="shared" si="7"/>
        <v>0</v>
      </c>
      <c r="AA31">
        <f t="shared" si="8"/>
        <v>0</v>
      </c>
      <c r="AB31">
        <f t="shared" si="9"/>
        <v>0</v>
      </c>
      <c r="AC31">
        <f t="shared" si="10"/>
        <v>0</v>
      </c>
      <c r="AD31">
        <f t="shared" si="11"/>
        <v>0</v>
      </c>
      <c r="AE31">
        <f t="shared" si="12"/>
        <v>0</v>
      </c>
      <c r="AF31">
        <f t="shared" si="13"/>
        <v>0</v>
      </c>
    </row>
    <row r="32" spans="1:32">
      <c r="A32" s="32">
        <v>23</v>
      </c>
      <c r="B32" s="108"/>
      <c r="C32" s="109"/>
      <c r="D32" s="107"/>
      <c r="E32" s="103"/>
      <c r="F32" s="103"/>
      <c r="G32" s="104" t="str">
        <f t="shared" si="6"/>
        <v/>
      </c>
      <c r="H32" s="110"/>
      <c r="I32" s="107"/>
      <c r="J32" s="107"/>
      <c r="K32" s="107"/>
      <c r="L32" s="107"/>
      <c r="M32" s="107"/>
      <c r="N32" s="107"/>
      <c r="O32" s="107"/>
      <c r="P32" s="107"/>
      <c r="Q32" s="126" t="str">
        <f t="shared" si="2"/>
        <v/>
      </c>
      <c r="R32" s="127" t="str">
        <f t="shared" si="3"/>
        <v/>
      </c>
      <c r="S32" s="128" t="str">
        <f t="shared" si="5"/>
        <v/>
      </c>
      <c r="T32" s="129"/>
      <c r="Y32">
        <f t="shared" si="4"/>
        <v>0</v>
      </c>
      <c r="Z32">
        <f t="shared" si="7"/>
        <v>0</v>
      </c>
      <c r="AA32">
        <f t="shared" si="8"/>
        <v>0</v>
      </c>
      <c r="AB32">
        <f t="shared" si="9"/>
        <v>0</v>
      </c>
      <c r="AC32">
        <f t="shared" si="10"/>
        <v>0</v>
      </c>
      <c r="AD32">
        <f t="shared" si="11"/>
        <v>0</v>
      </c>
      <c r="AE32">
        <f t="shared" si="12"/>
        <v>0</v>
      </c>
      <c r="AF32">
        <f t="shared" si="13"/>
        <v>0</v>
      </c>
    </row>
    <row r="33" spans="1:32">
      <c r="A33" s="32">
        <v>24</v>
      </c>
      <c r="B33" s="108"/>
      <c r="C33" s="109"/>
      <c r="D33" s="107"/>
      <c r="E33" s="103"/>
      <c r="F33" s="103"/>
      <c r="G33" s="104" t="str">
        <f t="shared" si="6"/>
        <v/>
      </c>
      <c r="H33" s="110"/>
      <c r="I33" s="107"/>
      <c r="J33" s="107"/>
      <c r="K33" s="107"/>
      <c r="L33" s="107"/>
      <c r="M33" s="107"/>
      <c r="N33" s="107"/>
      <c r="O33" s="107"/>
      <c r="P33" s="107"/>
      <c r="Q33" s="126" t="str">
        <f t="shared" si="2"/>
        <v/>
      </c>
      <c r="R33" s="127" t="str">
        <f t="shared" si="3"/>
        <v/>
      </c>
      <c r="S33" s="128" t="str">
        <f t="shared" si="5"/>
        <v/>
      </c>
      <c r="T33" s="129"/>
      <c r="Y33">
        <f t="shared" si="4"/>
        <v>0</v>
      </c>
      <c r="Z33">
        <f t="shared" si="7"/>
        <v>0</v>
      </c>
      <c r="AA33">
        <f t="shared" si="8"/>
        <v>0</v>
      </c>
      <c r="AB33">
        <f t="shared" si="9"/>
        <v>0</v>
      </c>
      <c r="AC33">
        <f t="shared" si="10"/>
        <v>0</v>
      </c>
      <c r="AD33">
        <f t="shared" si="11"/>
        <v>0</v>
      </c>
      <c r="AE33">
        <f t="shared" si="12"/>
        <v>0</v>
      </c>
      <c r="AF33">
        <f t="shared" si="13"/>
        <v>0</v>
      </c>
    </row>
    <row r="34" spans="1:32">
      <c r="A34" s="32">
        <v>25</v>
      </c>
      <c r="B34" s="108"/>
      <c r="C34" s="109"/>
      <c r="D34" s="107"/>
      <c r="E34" s="103"/>
      <c r="F34" s="103"/>
      <c r="G34" s="104" t="str">
        <f t="shared" si="6"/>
        <v/>
      </c>
      <c r="H34" s="110"/>
      <c r="I34" s="107"/>
      <c r="J34" s="107"/>
      <c r="K34" s="107"/>
      <c r="L34" s="107"/>
      <c r="M34" s="107"/>
      <c r="N34" s="107"/>
      <c r="O34" s="107"/>
      <c r="P34" s="107"/>
      <c r="Q34" s="126" t="str">
        <f t="shared" si="2"/>
        <v/>
      </c>
      <c r="R34" s="127" t="str">
        <f t="shared" si="3"/>
        <v/>
      </c>
      <c r="S34" s="128" t="str">
        <f t="shared" si="5"/>
        <v/>
      </c>
      <c r="T34" s="129"/>
      <c r="Y34">
        <f t="shared" si="4"/>
        <v>0</v>
      </c>
      <c r="Z34">
        <f t="shared" si="7"/>
        <v>0</v>
      </c>
      <c r="AA34">
        <f t="shared" si="8"/>
        <v>0</v>
      </c>
      <c r="AB34">
        <f t="shared" si="9"/>
        <v>0</v>
      </c>
      <c r="AC34">
        <f t="shared" si="10"/>
        <v>0</v>
      </c>
      <c r="AD34">
        <f t="shared" si="11"/>
        <v>0</v>
      </c>
      <c r="AE34">
        <f t="shared" si="12"/>
        <v>0</v>
      </c>
      <c r="AF34">
        <f t="shared" si="13"/>
        <v>0</v>
      </c>
    </row>
    <row r="35" spans="1:32">
      <c r="A35" s="32">
        <v>26</v>
      </c>
      <c r="B35" s="108"/>
      <c r="C35" s="109"/>
      <c r="D35" s="107"/>
      <c r="E35" s="103"/>
      <c r="F35" s="103"/>
      <c r="G35" s="104" t="str">
        <f t="shared" si="6"/>
        <v/>
      </c>
      <c r="H35" s="110"/>
      <c r="I35" s="107"/>
      <c r="J35" s="107"/>
      <c r="K35" s="107"/>
      <c r="L35" s="107"/>
      <c r="M35" s="107"/>
      <c r="N35" s="107"/>
      <c r="O35" s="107"/>
      <c r="P35" s="107"/>
      <c r="Q35" s="126" t="str">
        <f t="shared" si="2"/>
        <v/>
      </c>
      <c r="R35" s="127" t="str">
        <f t="shared" si="3"/>
        <v/>
      </c>
      <c r="S35" s="128" t="str">
        <f t="shared" si="5"/>
        <v/>
      </c>
      <c r="T35" s="129"/>
      <c r="Y35">
        <f t="shared" si="4"/>
        <v>0</v>
      </c>
      <c r="Z35">
        <f t="shared" si="7"/>
        <v>0</v>
      </c>
      <c r="AA35">
        <f t="shared" si="8"/>
        <v>0</v>
      </c>
      <c r="AB35">
        <f t="shared" si="9"/>
        <v>0</v>
      </c>
      <c r="AC35">
        <f t="shared" si="10"/>
        <v>0</v>
      </c>
      <c r="AD35">
        <f t="shared" si="11"/>
        <v>0</v>
      </c>
      <c r="AE35">
        <f t="shared" si="12"/>
        <v>0</v>
      </c>
      <c r="AF35">
        <f t="shared" si="13"/>
        <v>0</v>
      </c>
    </row>
    <row r="36" spans="1:32">
      <c r="A36" s="32">
        <v>27</v>
      </c>
      <c r="B36" s="108"/>
      <c r="C36" s="109"/>
      <c r="D36" s="107"/>
      <c r="E36" s="103"/>
      <c r="F36" s="103"/>
      <c r="G36" s="104" t="str">
        <f t="shared" si="6"/>
        <v/>
      </c>
      <c r="H36" s="110"/>
      <c r="I36" s="107"/>
      <c r="J36" s="107"/>
      <c r="K36" s="107"/>
      <c r="L36" s="107"/>
      <c r="M36" s="107"/>
      <c r="N36" s="107"/>
      <c r="O36" s="107"/>
      <c r="P36" s="107"/>
      <c r="Q36" s="126" t="str">
        <f t="shared" si="2"/>
        <v/>
      </c>
      <c r="R36" s="127" t="str">
        <f t="shared" si="3"/>
        <v/>
      </c>
      <c r="S36" s="128" t="str">
        <f t="shared" si="5"/>
        <v/>
      </c>
      <c r="T36" s="129"/>
      <c r="Y36">
        <f t="shared" si="4"/>
        <v>0</v>
      </c>
      <c r="Z36">
        <f t="shared" si="7"/>
        <v>0</v>
      </c>
      <c r="AA36">
        <f t="shared" si="8"/>
        <v>0</v>
      </c>
      <c r="AB36">
        <f t="shared" si="9"/>
        <v>0</v>
      </c>
      <c r="AC36">
        <f t="shared" si="10"/>
        <v>0</v>
      </c>
      <c r="AD36">
        <f t="shared" si="11"/>
        <v>0</v>
      </c>
      <c r="AE36">
        <f t="shared" si="12"/>
        <v>0</v>
      </c>
      <c r="AF36">
        <f t="shared" si="13"/>
        <v>0</v>
      </c>
    </row>
    <row r="37" spans="1:32">
      <c r="A37" s="32">
        <v>28</v>
      </c>
      <c r="B37" s="108"/>
      <c r="C37" s="109"/>
      <c r="D37" s="107"/>
      <c r="E37" s="103"/>
      <c r="F37" s="103"/>
      <c r="G37" s="104" t="str">
        <f t="shared" si="6"/>
        <v/>
      </c>
      <c r="H37" s="110"/>
      <c r="I37" s="107"/>
      <c r="J37" s="107"/>
      <c r="K37" s="107"/>
      <c r="L37" s="107"/>
      <c r="M37" s="107"/>
      <c r="N37" s="107"/>
      <c r="O37" s="107"/>
      <c r="P37" s="107"/>
      <c r="Q37" s="126" t="str">
        <f t="shared" si="2"/>
        <v/>
      </c>
      <c r="R37" s="127" t="str">
        <f t="shared" si="3"/>
        <v/>
      </c>
      <c r="S37" s="128" t="str">
        <f t="shared" si="5"/>
        <v/>
      </c>
      <c r="T37" s="129"/>
      <c r="Y37">
        <f t="shared" si="4"/>
        <v>0</v>
      </c>
      <c r="Z37">
        <f t="shared" si="7"/>
        <v>0</v>
      </c>
      <c r="AA37">
        <f t="shared" si="8"/>
        <v>0</v>
      </c>
      <c r="AB37">
        <f t="shared" si="9"/>
        <v>0</v>
      </c>
      <c r="AC37">
        <f t="shared" si="10"/>
        <v>0</v>
      </c>
      <c r="AD37">
        <f t="shared" si="11"/>
        <v>0</v>
      </c>
      <c r="AE37">
        <f t="shared" si="12"/>
        <v>0</v>
      </c>
      <c r="AF37">
        <f t="shared" si="13"/>
        <v>0</v>
      </c>
    </row>
    <row r="38" spans="1:32">
      <c r="A38" s="32">
        <v>29</v>
      </c>
      <c r="B38" s="108"/>
      <c r="C38" s="109"/>
      <c r="D38" s="107"/>
      <c r="E38" s="103"/>
      <c r="F38" s="103"/>
      <c r="G38" s="104" t="str">
        <f t="shared" si="6"/>
        <v/>
      </c>
      <c r="H38" s="110"/>
      <c r="I38" s="107"/>
      <c r="J38" s="107"/>
      <c r="K38" s="107"/>
      <c r="L38" s="107"/>
      <c r="M38" s="107"/>
      <c r="N38" s="107"/>
      <c r="O38" s="107"/>
      <c r="P38" s="107"/>
      <c r="Q38" s="126" t="str">
        <f t="shared" si="2"/>
        <v/>
      </c>
      <c r="R38" s="127" t="str">
        <f t="shared" si="3"/>
        <v/>
      </c>
      <c r="S38" s="128" t="str">
        <f t="shared" si="5"/>
        <v/>
      </c>
      <c r="T38" s="129"/>
      <c r="Y38">
        <f t="shared" si="4"/>
        <v>0</v>
      </c>
      <c r="Z38">
        <f t="shared" si="7"/>
        <v>0</v>
      </c>
      <c r="AA38">
        <f t="shared" si="8"/>
        <v>0</v>
      </c>
      <c r="AB38">
        <f t="shared" si="9"/>
        <v>0</v>
      </c>
      <c r="AC38">
        <f t="shared" si="10"/>
        <v>0</v>
      </c>
      <c r="AD38">
        <f t="shared" si="11"/>
        <v>0</v>
      </c>
      <c r="AE38">
        <f t="shared" si="12"/>
        <v>0</v>
      </c>
      <c r="AF38">
        <f t="shared" si="13"/>
        <v>0</v>
      </c>
    </row>
    <row r="39" spans="1:32">
      <c r="A39" s="32">
        <v>30</v>
      </c>
      <c r="B39" s="108"/>
      <c r="C39" s="109"/>
      <c r="D39" s="107"/>
      <c r="E39" s="103"/>
      <c r="F39" s="103"/>
      <c r="G39" s="104" t="str">
        <f t="shared" si="6"/>
        <v/>
      </c>
      <c r="H39" s="110"/>
      <c r="I39" s="107"/>
      <c r="J39" s="107"/>
      <c r="K39" s="107"/>
      <c r="L39" s="107"/>
      <c r="M39" s="107"/>
      <c r="N39" s="107"/>
      <c r="O39" s="107"/>
      <c r="P39" s="107"/>
      <c r="Q39" s="126" t="str">
        <f t="shared" si="2"/>
        <v/>
      </c>
      <c r="R39" s="127" t="str">
        <f t="shared" si="3"/>
        <v/>
      </c>
      <c r="S39" s="128" t="str">
        <f t="shared" si="5"/>
        <v/>
      </c>
      <c r="T39" s="129"/>
      <c r="Y39">
        <f t="shared" si="4"/>
        <v>0</v>
      </c>
      <c r="Z39">
        <f t="shared" si="7"/>
        <v>0</v>
      </c>
      <c r="AA39">
        <f t="shared" si="8"/>
        <v>0</v>
      </c>
      <c r="AB39">
        <f t="shared" si="9"/>
        <v>0</v>
      </c>
      <c r="AC39">
        <f t="shared" si="10"/>
        <v>0</v>
      </c>
      <c r="AD39">
        <f t="shared" si="11"/>
        <v>0</v>
      </c>
      <c r="AE39">
        <f t="shared" si="12"/>
        <v>0</v>
      </c>
      <c r="AF39">
        <f t="shared" si="13"/>
        <v>0</v>
      </c>
    </row>
    <row r="40" spans="1:32">
      <c r="A40" s="32">
        <v>31</v>
      </c>
      <c r="B40" s="108"/>
      <c r="C40" s="109"/>
      <c r="D40" s="107"/>
      <c r="E40" s="103"/>
      <c r="F40" s="103"/>
      <c r="G40" s="104" t="str">
        <f t="shared" si="6"/>
        <v/>
      </c>
      <c r="H40" s="110"/>
      <c r="I40" s="107"/>
      <c r="J40" s="107"/>
      <c r="K40" s="107"/>
      <c r="L40" s="107"/>
      <c r="M40" s="107"/>
      <c r="N40" s="107"/>
      <c r="O40" s="107"/>
      <c r="P40" s="107"/>
      <c r="Q40" s="126" t="str">
        <f t="shared" si="2"/>
        <v/>
      </c>
      <c r="R40" s="127" t="str">
        <f t="shared" si="3"/>
        <v/>
      </c>
      <c r="S40" s="128" t="str">
        <f t="shared" si="5"/>
        <v/>
      </c>
      <c r="T40" s="129"/>
      <c r="Y40">
        <f t="shared" si="4"/>
        <v>0</v>
      </c>
      <c r="Z40">
        <f t="shared" si="7"/>
        <v>0</v>
      </c>
      <c r="AA40">
        <f t="shared" si="8"/>
        <v>0</v>
      </c>
      <c r="AB40">
        <f t="shared" si="9"/>
        <v>0</v>
      </c>
      <c r="AC40">
        <f t="shared" si="10"/>
        <v>0</v>
      </c>
      <c r="AD40">
        <f t="shared" si="11"/>
        <v>0</v>
      </c>
      <c r="AE40">
        <f t="shared" si="12"/>
        <v>0</v>
      </c>
      <c r="AF40">
        <f t="shared" si="13"/>
        <v>0</v>
      </c>
    </row>
    <row r="41" spans="1:32">
      <c r="A41" s="32">
        <v>32</v>
      </c>
      <c r="B41" s="108"/>
      <c r="C41" s="109"/>
      <c r="D41" s="107"/>
      <c r="E41" s="103"/>
      <c r="F41" s="103"/>
      <c r="G41" s="104" t="str">
        <f t="shared" si="6"/>
        <v/>
      </c>
      <c r="H41" s="110"/>
      <c r="I41" s="107"/>
      <c r="J41" s="107"/>
      <c r="K41" s="107"/>
      <c r="L41" s="107"/>
      <c r="M41" s="107"/>
      <c r="N41" s="107"/>
      <c r="O41" s="107"/>
      <c r="P41" s="107"/>
      <c r="Q41" s="126" t="str">
        <f t="shared" si="2"/>
        <v/>
      </c>
      <c r="R41" s="127" t="str">
        <f t="shared" si="3"/>
        <v/>
      </c>
      <c r="S41" s="128" t="str">
        <f t="shared" si="5"/>
        <v/>
      </c>
      <c r="T41" s="129"/>
      <c r="Y41">
        <f t="shared" si="4"/>
        <v>0</v>
      </c>
      <c r="Z41">
        <f t="shared" si="7"/>
        <v>0</v>
      </c>
      <c r="AA41">
        <f t="shared" si="8"/>
        <v>0</v>
      </c>
      <c r="AB41">
        <f t="shared" si="9"/>
        <v>0</v>
      </c>
      <c r="AC41">
        <f t="shared" si="10"/>
        <v>0</v>
      </c>
      <c r="AD41">
        <f t="shared" si="11"/>
        <v>0</v>
      </c>
      <c r="AE41">
        <f t="shared" si="12"/>
        <v>0</v>
      </c>
      <c r="AF41">
        <f t="shared" si="13"/>
        <v>0</v>
      </c>
    </row>
    <row r="42" spans="1:32">
      <c r="A42" s="32">
        <v>33</v>
      </c>
      <c r="B42" s="108"/>
      <c r="C42" s="109"/>
      <c r="D42" s="107"/>
      <c r="E42" s="103"/>
      <c r="F42" s="103"/>
      <c r="G42" s="104" t="str">
        <f t="shared" si="6"/>
        <v/>
      </c>
      <c r="H42" s="110"/>
      <c r="I42" s="107"/>
      <c r="J42" s="107"/>
      <c r="K42" s="107"/>
      <c r="L42" s="107"/>
      <c r="M42" s="107"/>
      <c r="N42" s="107"/>
      <c r="O42" s="107"/>
      <c r="P42" s="107"/>
      <c r="Q42" s="126" t="str">
        <f t="shared" ref="Q42:Q73" si="14">IF(C42&lt;&gt;"",SUM(I42:P42),"")</f>
        <v/>
      </c>
      <c r="R42" s="127" t="str">
        <f t="shared" ref="R42:R73" si="15">IF(AND(Q42&gt;0,C42&lt;&gt;""),Q42/Q$9,"")</f>
        <v/>
      </c>
      <c r="S42" s="128" t="str">
        <f t="shared" si="5"/>
        <v/>
      </c>
      <c r="T42" s="129"/>
      <c r="Y42">
        <f t="shared" si="4"/>
        <v>0</v>
      </c>
      <c r="Z42">
        <f t="shared" si="7"/>
        <v>0</v>
      </c>
      <c r="AA42">
        <f t="shared" si="8"/>
        <v>0</v>
      </c>
      <c r="AB42">
        <f t="shared" si="9"/>
        <v>0</v>
      </c>
      <c r="AC42">
        <f t="shared" si="10"/>
        <v>0</v>
      </c>
      <c r="AD42">
        <f t="shared" si="11"/>
        <v>0</v>
      </c>
      <c r="AE42">
        <f t="shared" si="12"/>
        <v>0</v>
      </c>
      <c r="AF42">
        <f t="shared" si="13"/>
        <v>0</v>
      </c>
    </row>
    <row r="43" spans="1:32">
      <c r="A43" s="32">
        <v>34</v>
      </c>
      <c r="B43" s="108"/>
      <c r="C43" s="109"/>
      <c r="D43" s="107"/>
      <c r="E43" s="103"/>
      <c r="F43" s="103"/>
      <c r="G43" s="104" t="str">
        <f t="shared" si="6"/>
        <v/>
      </c>
      <c r="H43" s="110"/>
      <c r="I43" s="107"/>
      <c r="J43" s="107"/>
      <c r="K43" s="107"/>
      <c r="L43" s="107"/>
      <c r="M43" s="107"/>
      <c r="N43" s="107"/>
      <c r="O43" s="107"/>
      <c r="P43" s="107"/>
      <c r="Q43" s="126" t="str">
        <f t="shared" si="14"/>
        <v/>
      </c>
      <c r="R43" s="127" t="str">
        <f t="shared" si="15"/>
        <v/>
      </c>
      <c r="S43" s="128" t="str">
        <f t="shared" si="5"/>
        <v/>
      </c>
      <c r="T43" s="129"/>
      <c r="Y43">
        <f t="shared" si="4"/>
        <v>0</v>
      </c>
      <c r="Z43">
        <f t="shared" si="7"/>
        <v>0</v>
      </c>
      <c r="AA43">
        <f t="shared" si="8"/>
        <v>0</v>
      </c>
      <c r="AB43">
        <f t="shared" si="9"/>
        <v>0</v>
      </c>
      <c r="AC43">
        <f t="shared" si="10"/>
        <v>0</v>
      </c>
      <c r="AD43">
        <f t="shared" si="11"/>
        <v>0</v>
      </c>
      <c r="AE43">
        <f t="shared" si="12"/>
        <v>0</v>
      </c>
      <c r="AF43">
        <f t="shared" si="13"/>
        <v>0</v>
      </c>
    </row>
    <row r="44" spans="1:32">
      <c r="A44" s="32">
        <v>35</v>
      </c>
      <c r="B44" s="108"/>
      <c r="C44" s="109"/>
      <c r="D44" s="107"/>
      <c r="E44" s="103"/>
      <c r="F44" s="103"/>
      <c r="G44" s="104" t="str">
        <f t="shared" si="6"/>
        <v/>
      </c>
      <c r="H44" s="110"/>
      <c r="I44" s="107"/>
      <c r="J44" s="107"/>
      <c r="K44" s="107"/>
      <c r="L44" s="107"/>
      <c r="M44" s="107"/>
      <c r="N44" s="107"/>
      <c r="O44" s="107"/>
      <c r="P44" s="107"/>
      <c r="Q44" s="126" t="str">
        <f t="shared" si="14"/>
        <v/>
      </c>
      <c r="R44" s="127" t="str">
        <f t="shared" si="15"/>
        <v/>
      </c>
      <c r="S44" s="128" t="str">
        <f t="shared" si="5"/>
        <v/>
      </c>
      <c r="T44" s="129"/>
      <c r="Y44">
        <f t="shared" si="4"/>
        <v>0</v>
      </c>
      <c r="Z44">
        <f t="shared" si="7"/>
        <v>0</v>
      </c>
      <c r="AA44">
        <f t="shared" si="8"/>
        <v>0</v>
      </c>
      <c r="AB44">
        <f t="shared" si="9"/>
        <v>0</v>
      </c>
      <c r="AC44">
        <f t="shared" si="10"/>
        <v>0</v>
      </c>
      <c r="AD44">
        <f t="shared" si="11"/>
        <v>0</v>
      </c>
      <c r="AE44">
        <f t="shared" si="12"/>
        <v>0</v>
      </c>
      <c r="AF44">
        <f t="shared" si="13"/>
        <v>0</v>
      </c>
    </row>
    <row r="45" spans="1:32">
      <c r="A45" s="32">
        <v>36</v>
      </c>
      <c r="B45" s="108"/>
      <c r="C45" s="109"/>
      <c r="D45" s="107"/>
      <c r="E45" s="103"/>
      <c r="F45" s="103"/>
      <c r="G45" s="104" t="str">
        <f t="shared" si="6"/>
        <v/>
      </c>
      <c r="H45" s="110"/>
      <c r="I45" s="107"/>
      <c r="J45" s="107"/>
      <c r="K45" s="107"/>
      <c r="L45" s="107"/>
      <c r="M45" s="107"/>
      <c r="N45" s="107"/>
      <c r="O45" s="107"/>
      <c r="P45" s="107"/>
      <c r="Q45" s="126" t="str">
        <f t="shared" si="14"/>
        <v/>
      </c>
      <c r="R45" s="127" t="str">
        <f t="shared" si="15"/>
        <v/>
      </c>
      <c r="S45" s="128" t="str">
        <f t="shared" si="5"/>
        <v/>
      </c>
      <c r="T45" s="129"/>
      <c r="Y45">
        <f t="shared" si="4"/>
        <v>0</v>
      </c>
      <c r="Z45">
        <f t="shared" si="7"/>
        <v>0</v>
      </c>
      <c r="AA45">
        <f t="shared" si="8"/>
        <v>0</v>
      </c>
      <c r="AB45">
        <f t="shared" si="9"/>
        <v>0</v>
      </c>
      <c r="AC45">
        <f t="shared" si="10"/>
        <v>0</v>
      </c>
      <c r="AD45">
        <f t="shared" si="11"/>
        <v>0</v>
      </c>
      <c r="AE45">
        <f t="shared" si="12"/>
        <v>0</v>
      </c>
      <c r="AF45">
        <f t="shared" si="13"/>
        <v>0</v>
      </c>
    </row>
    <row r="46" spans="1:32">
      <c r="A46" s="32">
        <v>37</v>
      </c>
      <c r="B46" s="108"/>
      <c r="C46" s="109"/>
      <c r="D46" s="107"/>
      <c r="E46" s="103"/>
      <c r="F46" s="103"/>
      <c r="G46" s="104" t="str">
        <f t="shared" si="6"/>
        <v/>
      </c>
      <c r="H46" s="110"/>
      <c r="I46" s="107"/>
      <c r="J46" s="107"/>
      <c r="K46" s="107"/>
      <c r="L46" s="107"/>
      <c r="M46" s="107"/>
      <c r="N46" s="107"/>
      <c r="O46" s="107"/>
      <c r="P46" s="107"/>
      <c r="Q46" s="126" t="str">
        <f t="shared" si="14"/>
        <v/>
      </c>
      <c r="R46" s="127" t="str">
        <f t="shared" si="15"/>
        <v/>
      </c>
      <c r="S46" s="128" t="str">
        <f t="shared" si="5"/>
        <v/>
      </c>
      <c r="T46" s="129"/>
      <c r="Y46">
        <f t="shared" si="4"/>
        <v>0</v>
      </c>
      <c r="Z46">
        <f t="shared" si="7"/>
        <v>0</v>
      </c>
      <c r="AA46">
        <f t="shared" si="8"/>
        <v>0</v>
      </c>
      <c r="AB46">
        <f t="shared" si="9"/>
        <v>0</v>
      </c>
      <c r="AC46">
        <f t="shared" si="10"/>
        <v>0</v>
      </c>
      <c r="AD46">
        <f t="shared" si="11"/>
        <v>0</v>
      </c>
      <c r="AE46">
        <f t="shared" si="12"/>
        <v>0</v>
      </c>
      <c r="AF46">
        <f t="shared" si="13"/>
        <v>0</v>
      </c>
    </row>
    <row r="47" spans="1:32">
      <c r="A47" s="32">
        <v>38</v>
      </c>
      <c r="B47" s="108"/>
      <c r="C47" s="109"/>
      <c r="D47" s="107"/>
      <c r="E47" s="103"/>
      <c r="F47" s="103"/>
      <c r="G47" s="104" t="str">
        <f t="shared" si="6"/>
        <v/>
      </c>
      <c r="H47" s="110"/>
      <c r="I47" s="107"/>
      <c r="J47" s="107"/>
      <c r="K47" s="107"/>
      <c r="L47" s="107"/>
      <c r="M47" s="107"/>
      <c r="N47" s="107"/>
      <c r="O47" s="107"/>
      <c r="P47" s="107"/>
      <c r="Q47" s="126" t="str">
        <f t="shared" si="14"/>
        <v/>
      </c>
      <c r="R47" s="127" t="str">
        <f t="shared" si="15"/>
        <v/>
      </c>
      <c r="S47" s="128" t="str">
        <f t="shared" si="5"/>
        <v/>
      </c>
      <c r="T47" s="129"/>
      <c r="Y47">
        <f t="shared" si="4"/>
        <v>0</v>
      </c>
      <c r="Z47">
        <f t="shared" si="7"/>
        <v>0</v>
      </c>
      <c r="AA47">
        <f t="shared" si="8"/>
        <v>0</v>
      </c>
      <c r="AB47">
        <f t="shared" si="9"/>
        <v>0</v>
      </c>
      <c r="AC47">
        <f t="shared" si="10"/>
        <v>0</v>
      </c>
      <c r="AD47">
        <f t="shared" si="11"/>
        <v>0</v>
      </c>
      <c r="AE47">
        <f t="shared" si="12"/>
        <v>0</v>
      </c>
      <c r="AF47">
        <f t="shared" si="13"/>
        <v>0</v>
      </c>
    </row>
    <row r="48" spans="1:32">
      <c r="A48" s="32">
        <v>39</v>
      </c>
      <c r="B48" s="108"/>
      <c r="C48" s="109"/>
      <c r="D48" s="107"/>
      <c r="E48" s="103"/>
      <c r="F48" s="103"/>
      <c r="G48" s="104" t="str">
        <f t="shared" si="6"/>
        <v/>
      </c>
      <c r="H48" s="110"/>
      <c r="I48" s="107"/>
      <c r="J48" s="107"/>
      <c r="K48" s="107"/>
      <c r="L48" s="107"/>
      <c r="M48" s="107"/>
      <c r="N48" s="107"/>
      <c r="O48" s="107"/>
      <c r="P48" s="107"/>
      <c r="Q48" s="126" t="str">
        <f t="shared" si="14"/>
        <v/>
      </c>
      <c r="R48" s="127" t="str">
        <f t="shared" si="15"/>
        <v/>
      </c>
      <c r="S48" s="128" t="str">
        <f t="shared" si="5"/>
        <v/>
      </c>
      <c r="T48" s="129"/>
      <c r="Y48">
        <f t="shared" si="4"/>
        <v>0</v>
      </c>
      <c r="Z48">
        <f t="shared" si="7"/>
        <v>0</v>
      </c>
      <c r="AA48">
        <f t="shared" si="8"/>
        <v>0</v>
      </c>
      <c r="AB48">
        <f t="shared" si="9"/>
        <v>0</v>
      </c>
      <c r="AC48">
        <f t="shared" si="10"/>
        <v>0</v>
      </c>
      <c r="AD48">
        <f t="shared" si="11"/>
        <v>0</v>
      </c>
      <c r="AE48">
        <f t="shared" si="12"/>
        <v>0</v>
      </c>
      <c r="AF48">
        <f t="shared" si="13"/>
        <v>0</v>
      </c>
    </row>
    <row r="49" spans="1:32">
      <c r="A49" s="32">
        <v>40</v>
      </c>
      <c r="B49" s="108"/>
      <c r="C49" s="109"/>
      <c r="D49" s="107"/>
      <c r="E49" s="103"/>
      <c r="F49" s="103"/>
      <c r="G49" s="104" t="str">
        <f t="shared" si="6"/>
        <v/>
      </c>
      <c r="H49" s="110"/>
      <c r="I49" s="107"/>
      <c r="J49" s="107"/>
      <c r="K49" s="107"/>
      <c r="L49" s="107"/>
      <c r="M49" s="107"/>
      <c r="N49" s="107"/>
      <c r="O49" s="107"/>
      <c r="P49" s="107"/>
      <c r="Q49" s="126" t="str">
        <f t="shared" si="14"/>
        <v/>
      </c>
      <c r="R49" s="127" t="str">
        <f t="shared" si="15"/>
        <v/>
      </c>
      <c r="S49" s="128" t="str">
        <f t="shared" si="5"/>
        <v/>
      </c>
      <c r="T49" s="129"/>
      <c r="Y49">
        <f t="shared" si="4"/>
        <v>0</v>
      </c>
      <c r="Z49">
        <f t="shared" si="7"/>
        <v>0</v>
      </c>
      <c r="AA49">
        <f t="shared" si="8"/>
        <v>0</v>
      </c>
      <c r="AB49">
        <f t="shared" si="9"/>
        <v>0</v>
      </c>
      <c r="AC49">
        <f t="shared" si="10"/>
        <v>0</v>
      </c>
      <c r="AD49">
        <f t="shared" si="11"/>
        <v>0</v>
      </c>
      <c r="AE49">
        <f t="shared" si="12"/>
        <v>0</v>
      </c>
      <c r="AF49">
        <f t="shared" si="13"/>
        <v>0</v>
      </c>
    </row>
    <row r="50" spans="1:32">
      <c r="A50" s="32">
        <v>41</v>
      </c>
      <c r="B50" s="108"/>
      <c r="C50" s="109"/>
      <c r="D50" s="107"/>
      <c r="E50" s="103"/>
      <c r="F50" s="103"/>
      <c r="G50" s="104" t="str">
        <f t="shared" si="6"/>
        <v/>
      </c>
      <c r="H50" s="110"/>
      <c r="I50" s="107"/>
      <c r="J50" s="107"/>
      <c r="K50" s="107"/>
      <c r="L50" s="107"/>
      <c r="M50" s="107"/>
      <c r="N50" s="107"/>
      <c r="O50" s="107"/>
      <c r="P50" s="107"/>
      <c r="Q50" s="126" t="str">
        <f t="shared" si="14"/>
        <v/>
      </c>
      <c r="R50" s="127" t="str">
        <f t="shared" si="15"/>
        <v/>
      </c>
      <c r="S50" s="128" t="str">
        <f t="shared" si="5"/>
        <v/>
      </c>
      <c r="T50" s="129"/>
      <c r="Y50">
        <f t="shared" si="4"/>
        <v>0</v>
      </c>
      <c r="Z50">
        <f t="shared" si="7"/>
        <v>0</v>
      </c>
      <c r="AA50">
        <f t="shared" si="8"/>
        <v>0</v>
      </c>
      <c r="AB50">
        <f t="shared" si="9"/>
        <v>0</v>
      </c>
      <c r="AC50">
        <f t="shared" si="10"/>
        <v>0</v>
      </c>
      <c r="AD50">
        <f t="shared" si="11"/>
        <v>0</v>
      </c>
      <c r="AE50">
        <f t="shared" si="12"/>
        <v>0</v>
      </c>
      <c r="AF50">
        <f t="shared" si="13"/>
        <v>0</v>
      </c>
    </row>
    <row r="51" spans="1:32">
      <c r="A51" s="32">
        <v>42</v>
      </c>
      <c r="B51" s="108"/>
      <c r="C51" s="109"/>
      <c r="D51" s="107"/>
      <c r="E51" s="103"/>
      <c r="F51" s="103"/>
      <c r="G51" s="104" t="str">
        <f t="shared" si="6"/>
        <v/>
      </c>
      <c r="H51" s="110"/>
      <c r="I51" s="107"/>
      <c r="J51" s="107"/>
      <c r="K51" s="107"/>
      <c r="L51" s="107"/>
      <c r="M51" s="107"/>
      <c r="N51" s="107"/>
      <c r="O51" s="107"/>
      <c r="P51" s="107"/>
      <c r="Q51" s="126" t="str">
        <f t="shared" si="14"/>
        <v/>
      </c>
      <c r="R51" s="127" t="str">
        <f t="shared" si="15"/>
        <v/>
      </c>
      <c r="S51" s="128" t="str">
        <f t="shared" si="5"/>
        <v/>
      </c>
      <c r="T51" s="129"/>
      <c r="Y51">
        <f t="shared" si="4"/>
        <v>0</v>
      </c>
      <c r="Z51">
        <f t="shared" si="7"/>
        <v>0</v>
      </c>
      <c r="AA51">
        <f t="shared" si="8"/>
        <v>0</v>
      </c>
      <c r="AB51">
        <f t="shared" si="9"/>
        <v>0</v>
      </c>
      <c r="AC51">
        <f t="shared" si="10"/>
        <v>0</v>
      </c>
      <c r="AD51">
        <f t="shared" si="11"/>
        <v>0</v>
      </c>
      <c r="AE51">
        <f t="shared" si="12"/>
        <v>0</v>
      </c>
      <c r="AF51">
        <f t="shared" si="13"/>
        <v>0</v>
      </c>
    </row>
    <row r="52" spans="1:32">
      <c r="A52" s="32">
        <v>43</v>
      </c>
      <c r="B52" s="108"/>
      <c r="C52" s="109"/>
      <c r="D52" s="107"/>
      <c r="E52" s="103"/>
      <c r="F52" s="103"/>
      <c r="G52" s="104" t="str">
        <f t="shared" si="6"/>
        <v/>
      </c>
      <c r="H52" s="110"/>
      <c r="I52" s="107"/>
      <c r="J52" s="107"/>
      <c r="K52" s="107"/>
      <c r="L52" s="107"/>
      <c r="M52" s="107"/>
      <c r="N52" s="107"/>
      <c r="O52" s="107"/>
      <c r="P52" s="107"/>
      <c r="Q52" s="126" t="str">
        <f t="shared" si="14"/>
        <v/>
      </c>
      <c r="R52" s="127" t="str">
        <f t="shared" si="15"/>
        <v/>
      </c>
      <c r="S52" s="128" t="str">
        <f t="shared" si="5"/>
        <v/>
      </c>
      <c r="T52" s="129"/>
      <c r="Y52">
        <f t="shared" si="4"/>
        <v>0</v>
      </c>
      <c r="Z52">
        <f t="shared" si="7"/>
        <v>0</v>
      </c>
      <c r="AA52">
        <f t="shared" si="8"/>
        <v>0</v>
      </c>
      <c r="AB52">
        <f t="shared" si="9"/>
        <v>0</v>
      </c>
      <c r="AC52">
        <f t="shared" si="10"/>
        <v>0</v>
      </c>
      <c r="AD52">
        <f t="shared" si="11"/>
        <v>0</v>
      </c>
      <c r="AE52">
        <f t="shared" si="12"/>
        <v>0</v>
      </c>
      <c r="AF52">
        <f t="shared" si="13"/>
        <v>0</v>
      </c>
    </row>
    <row r="53" spans="1:32">
      <c r="A53" s="32">
        <v>44</v>
      </c>
      <c r="B53" s="108"/>
      <c r="C53" s="109"/>
      <c r="D53" s="107"/>
      <c r="E53" s="103"/>
      <c r="F53" s="103"/>
      <c r="G53" s="104" t="str">
        <f t="shared" si="6"/>
        <v/>
      </c>
      <c r="H53" s="110"/>
      <c r="I53" s="107"/>
      <c r="J53" s="107"/>
      <c r="K53" s="107"/>
      <c r="L53" s="107"/>
      <c r="M53" s="107"/>
      <c r="N53" s="107"/>
      <c r="O53" s="107"/>
      <c r="P53" s="107"/>
      <c r="Q53" s="126" t="str">
        <f t="shared" si="14"/>
        <v/>
      </c>
      <c r="R53" s="127" t="str">
        <f t="shared" si="15"/>
        <v/>
      </c>
      <c r="S53" s="128" t="str">
        <f t="shared" si="5"/>
        <v/>
      </c>
      <c r="T53" s="129"/>
      <c r="Y53">
        <f t="shared" si="4"/>
        <v>0</v>
      </c>
      <c r="Z53">
        <f t="shared" si="7"/>
        <v>0</v>
      </c>
      <c r="AA53">
        <f t="shared" si="8"/>
        <v>0</v>
      </c>
      <c r="AB53">
        <f t="shared" si="9"/>
        <v>0</v>
      </c>
      <c r="AC53">
        <f t="shared" si="10"/>
        <v>0</v>
      </c>
      <c r="AD53">
        <f t="shared" si="11"/>
        <v>0</v>
      </c>
      <c r="AE53">
        <f t="shared" si="12"/>
        <v>0</v>
      </c>
      <c r="AF53">
        <f t="shared" si="13"/>
        <v>0</v>
      </c>
    </row>
    <row r="54" spans="1:32">
      <c r="A54" s="32">
        <v>45</v>
      </c>
      <c r="B54" s="108"/>
      <c r="C54" s="109"/>
      <c r="D54" s="107"/>
      <c r="E54" s="103"/>
      <c r="F54" s="103"/>
      <c r="G54" s="104" t="str">
        <f t="shared" si="6"/>
        <v/>
      </c>
      <c r="H54" s="110"/>
      <c r="I54" s="107"/>
      <c r="J54" s="107"/>
      <c r="K54" s="107"/>
      <c r="L54" s="107"/>
      <c r="M54" s="107"/>
      <c r="N54" s="107"/>
      <c r="O54" s="107"/>
      <c r="P54" s="107"/>
      <c r="Q54" s="126" t="str">
        <f t="shared" si="14"/>
        <v/>
      </c>
      <c r="R54" s="127" t="str">
        <f t="shared" si="15"/>
        <v/>
      </c>
      <c r="S54" s="128" t="str">
        <f t="shared" si="5"/>
        <v/>
      </c>
      <c r="T54" s="129"/>
      <c r="Y54">
        <f t="shared" si="4"/>
        <v>0</v>
      </c>
      <c r="Z54">
        <f t="shared" si="7"/>
        <v>0</v>
      </c>
      <c r="AA54">
        <f t="shared" si="8"/>
        <v>0</v>
      </c>
      <c r="AB54">
        <f t="shared" si="9"/>
        <v>0</v>
      </c>
      <c r="AC54">
        <f t="shared" si="10"/>
        <v>0</v>
      </c>
      <c r="AD54">
        <f t="shared" si="11"/>
        <v>0</v>
      </c>
      <c r="AE54">
        <f t="shared" si="12"/>
        <v>0</v>
      </c>
      <c r="AF54">
        <f t="shared" si="13"/>
        <v>0</v>
      </c>
    </row>
    <row r="55" spans="1:32">
      <c r="A55" s="32">
        <v>46</v>
      </c>
      <c r="B55" s="108"/>
      <c r="C55" s="109"/>
      <c r="D55" s="107"/>
      <c r="E55" s="103"/>
      <c r="F55" s="103"/>
      <c r="G55" s="104" t="str">
        <f t="shared" si="6"/>
        <v/>
      </c>
      <c r="H55" s="110"/>
      <c r="I55" s="107"/>
      <c r="J55" s="107"/>
      <c r="K55" s="107"/>
      <c r="L55" s="107"/>
      <c r="M55" s="107"/>
      <c r="N55" s="107"/>
      <c r="O55" s="107"/>
      <c r="P55" s="107"/>
      <c r="Q55" s="126" t="str">
        <f t="shared" si="14"/>
        <v/>
      </c>
      <c r="R55" s="127" t="str">
        <f t="shared" si="15"/>
        <v/>
      </c>
      <c r="S55" s="128" t="str">
        <f t="shared" si="5"/>
        <v/>
      </c>
      <c r="T55" s="129"/>
      <c r="Y55">
        <f t="shared" si="4"/>
        <v>0</v>
      </c>
      <c r="Z55">
        <f t="shared" si="7"/>
        <v>0</v>
      </c>
      <c r="AA55">
        <f t="shared" si="8"/>
        <v>0</v>
      </c>
      <c r="AB55">
        <f t="shared" si="9"/>
        <v>0</v>
      </c>
      <c r="AC55">
        <f t="shared" si="10"/>
        <v>0</v>
      </c>
      <c r="AD55">
        <f t="shared" si="11"/>
        <v>0</v>
      </c>
      <c r="AE55">
        <f t="shared" si="12"/>
        <v>0</v>
      </c>
      <c r="AF55">
        <f t="shared" si="13"/>
        <v>0</v>
      </c>
    </row>
    <row r="56" spans="1:32">
      <c r="A56" s="32">
        <v>47</v>
      </c>
      <c r="B56" s="108"/>
      <c r="C56" s="109"/>
      <c r="D56" s="107"/>
      <c r="E56" s="103"/>
      <c r="F56" s="103"/>
      <c r="G56" s="104" t="str">
        <f t="shared" si="6"/>
        <v/>
      </c>
      <c r="H56" s="110"/>
      <c r="I56" s="107"/>
      <c r="J56" s="107"/>
      <c r="K56" s="107"/>
      <c r="L56" s="107"/>
      <c r="M56" s="107"/>
      <c r="N56" s="107"/>
      <c r="O56" s="107"/>
      <c r="P56" s="107"/>
      <c r="Q56" s="126" t="str">
        <f t="shared" si="14"/>
        <v/>
      </c>
      <c r="R56" s="127" t="str">
        <f t="shared" si="15"/>
        <v/>
      </c>
      <c r="S56" s="128" t="str">
        <f t="shared" si="5"/>
        <v/>
      </c>
      <c r="T56" s="129"/>
      <c r="Y56">
        <f t="shared" si="4"/>
        <v>0</v>
      </c>
      <c r="Z56">
        <f t="shared" si="7"/>
        <v>0</v>
      </c>
      <c r="AA56">
        <f t="shared" si="8"/>
        <v>0</v>
      </c>
      <c r="AB56">
        <f t="shared" si="9"/>
        <v>0</v>
      </c>
      <c r="AC56">
        <f t="shared" si="10"/>
        <v>0</v>
      </c>
      <c r="AD56">
        <f t="shared" si="11"/>
        <v>0</v>
      </c>
      <c r="AE56">
        <f t="shared" si="12"/>
        <v>0</v>
      </c>
      <c r="AF56">
        <f t="shared" si="13"/>
        <v>0</v>
      </c>
    </row>
    <row r="57" spans="1:32">
      <c r="A57" s="32">
        <v>48</v>
      </c>
      <c r="B57" s="108"/>
      <c r="C57" s="109"/>
      <c r="D57" s="107"/>
      <c r="E57" s="103"/>
      <c r="F57" s="103"/>
      <c r="G57" s="104" t="str">
        <f t="shared" si="6"/>
        <v/>
      </c>
      <c r="H57" s="110"/>
      <c r="I57" s="107"/>
      <c r="J57" s="107"/>
      <c r="K57" s="107"/>
      <c r="L57" s="107"/>
      <c r="M57" s="107"/>
      <c r="N57" s="107"/>
      <c r="O57" s="107"/>
      <c r="P57" s="107"/>
      <c r="Q57" s="126" t="str">
        <f t="shared" si="14"/>
        <v/>
      </c>
      <c r="R57" s="127" t="str">
        <f t="shared" si="15"/>
        <v/>
      </c>
      <c r="S57" s="128" t="str">
        <f t="shared" si="5"/>
        <v/>
      </c>
      <c r="T57" s="129"/>
      <c r="Y57">
        <f t="shared" si="4"/>
        <v>0</v>
      </c>
      <c r="Z57">
        <f t="shared" si="7"/>
        <v>0</v>
      </c>
      <c r="AA57">
        <f t="shared" si="8"/>
        <v>0</v>
      </c>
      <c r="AB57">
        <f t="shared" si="9"/>
        <v>0</v>
      </c>
      <c r="AC57">
        <f t="shared" si="10"/>
        <v>0</v>
      </c>
      <c r="AD57">
        <f t="shared" si="11"/>
        <v>0</v>
      </c>
      <c r="AE57">
        <f t="shared" si="12"/>
        <v>0</v>
      </c>
      <c r="AF57">
        <f t="shared" si="13"/>
        <v>0</v>
      </c>
    </row>
    <row r="58" spans="1:32">
      <c r="A58" s="32">
        <v>49</v>
      </c>
      <c r="B58" s="108"/>
      <c r="C58" s="109"/>
      <c r="D58" s="107"/>
      <c r="E58" s="103"/>
      <c r="F58" s="103"/>
      <c r="G58" s="104" t="str">
        <f t="shared" si="6"/>
        <v/>
      </c>
      <c r="H58" s="110"/>
      <c r="I58" s="107"/>
      <c r="J58" s="107"/>
      <c r="K58" s="107"/>
      <c r="L58" s="107"/>
      <c r="M58" s="107"/>
      <c r="N58" s="107"/>
      <c r="O58" s="107"/>
      <c r="P58" s="107"/>
      <c r="Q58" s="126" t="str">
        <f t="shared" si="14"/>
        <v/>
      </c>
      <c r="R58" s="127" t="str">
        <f t="shared" si="15"/>
        <v/>
      </c>
      <c r="S58" s="128" t="str">
        <f t="shared" si="5"/>
        <v/>
      </c>
      <c r="T58" s="129"/>
      <c r="Y58">
        <f t="shared" si="4"/>
        <v>0</v>
      </c>
      <c r="Z58">
        <f t="shared" si="7"/>
        <v>0</v>
      </c>
      <c r="AA58">
        <f t="shared" si="8"/>
        <v>0</v>
      </c>
      <c r="AB58">
        <f t="shared" si="9"/>
        <v>0</v>
      </c>
      <c r="AC58">
        <f t="shared" si="10"/>
        <v>0</v>
      </c>
      <c r="AD58">
        <f t="shared" si="11"/>
        <v>0</v>
      </c>
      <c r="AE58">
        <f t="shared" si="12"/>
        <v>0</v>
      </c>
      <c r="AF58">
        <f t="shared" si="13"/>
        <v>0</v>
      </c>
    </row>
    <row r="59" spans="1:32">
      <c r="A59" s="32">
        <v>50</v>
      </c>
      <c r="B59" s="108"/>
      <c r="C59" s="109"/>
      <c r="D59" s="107"/>
      <c r="E59" s="103"/>
      <c r="F59" s="103"/>
      <c r="G59" s="104" t="str">
        <f t="shared" si="6"/>
        <v/>
      </c>
      <c r="H59" s="110"/>
      <c r="I59" s="107"/>
      <c r="J59" s="107"/>
      <c r="K59" s="107"/>
      <c r="L59" s="107"/>
      <c r="M59" s="107"/>
      <c r="N59" s="107"/>
      <c r="O59" s="107"/>
      <c r="P59" s="107"/>
      <c r="Q59" s="126" t="str">
        <f t="shared" si="14"/>
        <v/>
      </c>
      <c r="R59" s="127" t="str">
        <f t="shared" si="15"/>
        <v/>
      </c>
      <c r="S59" s="128" t="str">
        <f t="shared" si="5"/>
        <v/>
      </c>
      <c r="T59" s="129"/>
      <c r="Y59">
        <f t="shared" si="4"/>
        <v>0</v>
      </c>
      <c r="Z59">
        <f t="shared" si="7"/>
        <v>0</v>
      </c>
      <c r="AA59">
        <f t="shared" si="8"/>
        <v>0</v>
      </c>
      <c r="AB59">
        <f t="shared" si="9"/>
        <v>0</v>
      </c>
      <c r="AC59">
        <f t="shared" si="10"/>
        <v>0</v>
      </c>
      <c r="AD59">
        <f t="shared" si="11"/>
        <v>0</v>
      </c>
      <c r="AE59">
        <f t="shared" si="12"/>
        <v>0</v>
      </c>
      <c r="AF59">
        <f t="shared" si="13"/>
        <v>0</v>
      </c>
    </row>
    <row r="60" spans="1:32">
      <c r="A60" s="32">
        <v>51</v>
      </c>
      <c r="B60" s="108"/>
      <c r="C60" s="109"/>
      <c r="D60" s="107"/>
      <c r="E60" s="103"/>
      <c r="F60" s="103"/>
      <c r="G60" s="104" t="str">
        <f t="shared" si="6"/>
        <v/>
      </c>
      <c r="H60" s="110"/>
      <c r="I60" s="107"/>
      <c r="J60" s="107"/>
      <c r="K60" s="107"/>
      <c r="L60" s="107"/>
      <c r="M60" s="107"/>
      <c r="N60" s="107"/>
      <c r="O60" s="107"/>
      <c r="P60" s="107"/>
      <c r="Q60" s="126" t="str">
        <f t="shared" si="14"/>
        <v/>
      </c>
      <c r="R60" s="127" t="str">
        <f t="shared" si="15"/>
        <v/>
      </c>
      <c r="S60" s="128" t="str">
        <f t="shared" si="5"/>
        <v/>
      </c>
      <c r="T60" s="129"/>
      <c r="Y60">
        <f t="shared" si="4"/>
        <v>0</v>
      </c>
      <c r="Z60">
        <f t="shared" si="7"/>
        <v>0</v>
      </c>
      <c r="AA60">
        <f t="shared" si="8"/>
        <v>0</v>
      </c>
      <c r="AB60">
        <f t="shared" si="9"/>
        <v>0</v>
      </c>
      <c r="AC60">
        <f t="shared" si="10"/>
        <v>0</v>
      </c>
      <c r="AD60">
        <f t="shared" si="11"/>
        <v>0</v>
      </c>
      <c r="AE60">
        <f t="shared" si="12"/>
        <v>0</v>
      </c>
      <c r="AF60">
        <f t="shared" si="13"/>
        <v>0</v>
      </c>
    </row>
    <row r="61" spans="1:32">
      <c r="A61" s="32">
        <v>52</v>
      </c>
      <c r="B61" s="108"/>
      <c r="C61" s="109"/>
      <c r="D61" s="107"/>
      <c r="E61" s="103"/>
      <c r="F61" s="103"/>
      <c r="G61" s="104" t="str">
        <f t="shared" si="6"/>
        <v/>
      </c>
      <c r="H61" s="110"/>
      <c r="I61" s="107"/>
      <c r="J61" s="107"/>
      <c r="K61" s="107"/>
      <c r="L61" s="107"/>
      <c r="M61" s="107"/>
      <c r="N61" s="107"/>
      <c r="O61" s="107"/>
      <c r="P61" s="107"/>
      <c r="Q61" s="126" t="str">
        <f t="shared" si="14"/>
        <v/>
      </c>
      <c r="R61" s="127" t="str">
        <f t="shared" si="15"/>
        <v/>
      </c>
      <c r="S61" s="128" t="str">
        <f t="shared" si="5"/>
        <v/>
      </c>
      <c r="T61" s="129"/>
      <c r="Y61">
        <f t="shared" si="4"/>
        <v>0</v>
      </c>
      <c r="Z61">
        <f t="shared" si="7"/>
        <v>0</v>
      </c>
      <c r="AA61">
        <f t="shared" si="8"/>
        <v>0</v>
      </c>
      <c r="AB61">
        <f t="shared" si="9"/>
        <v>0</v>
      </c>
      <c r="AC61">
        <f t="shared" si="10"/>
        <v>0</v>
      </c>
      <c r="AD61">
        <f t="shared" si="11"/>
        <v>0</v>
      </c>
      <c r="AE61">
        <f t="shared" si="12"/>
        <v>0</v>
      </c>
      <c r="AF61">
        <f t="shared" si="13"/>
        <v>0</v>
      </c>
    </row>
    <row r="62" spans="1:32">
      <c r="A62" s="32">
        <v>53</v>
      </c>
      <c r="B62" s="108"/>
      <c r="C62" s="109"/>
      <c r="D62" s="107"/>
      <c r="E62" s="103"/>
      <c r="F62" s="103"/>
      <c r="G62" s="104" t="str">
        <f t="shared" si="6"/>
        <v/>
      </c>
      <c r="H62" s="110"/>
      <c r="I62" s="107"/>
      <c r="J62" s="107"/>
      <c r="K62" s="107"/>
      <c r="L62" s="107"/>
      <c r="M62" s="107"/>
      <c r="N62" s="107"/>
      <c r="O62" s="107"/>
      <c r="P62" s="107"/>
      <c r="Q62" s="126" t="str">
        <f t="shared" si="14"/>
        <v/>
      </c>
      <c r="R62" s="127" t="str">
        <f t="shared" si="15"/>
        <v/>
      </c>
      <c r="S62" s="128" t="str">
        <f t="shared" si="5"/>
        <v/>
      </c>
      <c r="T62" s="129"/>
      <c r="Y62">
        <f t="shared" si="4"/>
        <v>0</v>
      </c>
      <c r="Z62">
        <f t="shared" si="7"/>
        <v>0</v>
      </c>
      <c r="AA62">
        <f t="shared" si="8"/>
        <v>0</v>
      </c>
      <c r="AB62">
        <f t="shared" si="9"/>
        <v>0</v>
      </c>
      <c r="AC62">
        <f t="shared" si="10"/>
        <v>0</v>
      </c>
      <c r="AD62">
        <f t="shared" si="11"/>
        <v>0</v>
      </c>
      <c r="AE62">
        <f t="shared" si="12"/>
        <v>0</v>
      </c>
      <c r="AF62">
        <f t="shared" si="13"/>
        <v>0</v>
      </c>
    </row>
    <row r="63" spans="1:32">
      <c r="A63" s="32">
        <v>54</v>
      </c>
      <c r="B63" s="108"/>
      <c r="C63" s="109"/>
      <c r="D63" s="107"/>
      <c r="E63" s="103"/>
      <c r="F63" s="103"/>
      <c r="G63" s="104" t="str">
        <f t="shared" si="6"/>
        <v/>
      </c>
      <c r="H63" s="110"/>
      <c r="I63" s="107"/>
      <c r="J63" s="107"/>
      <c r="K63" s="107"/>
      <c r="L63" s="107"/>
      <c r="M63" s="107"/>
      <c r="N63" s="107"/>
      <c r="O63" s="107"/>
      <c r="P63" s="107"/>
      <c r="Q63" s="126" t="str">
        <f t="shared" si="14"/>
        <v/>
      </c>
      <c r="R63" s="127" t="str">
        <f t="shared" si="15"/>
        <v/>
      </c>
      <c r="S63" s="128" t="str">
        <f t="shared" si="5"/>
        <v/>
      </c>
      <c r="T63" s="129"/>
      <c r="Y63">
        <f t="shared" si="4"/>
        <v>0</v>
      </c>
      <c r="Z63">
        <f t="shared" si="7"/>
        <v>0</v>
      </c>
      <c r="AA63">
        <f t="shared" si="8"/>
        <v>0</v>
      </c>
      <c r="AB63">
        <f t="shared" si="9"/>
        <v>0</v>
      </c>
      <c r="AC63">
        <f t="shared" si="10"/>
        <v>0</v>
      </c>
      <c r="AD63">
        <f t="shared" si="11"/>
        <v>0</v>
      </c>
      <c r="AE63">
        <f t="shared" si="12"/>
        <v>0</v>
      </c>
      <c r="AF63">
        <f t="shared" si="13"/>
        <v>0</v>
      </c>
    </row>
    <row r="64" spans="1:32">
      <c r="A64" s="32">
        <v>55</v>
      </c>
      <c r="B64" s="108"/>
      <c r="C64" s="109"/>
      <c r="D64" s="107"/>
      <c r="E64" s="103"/>
      <c r="F64" s="103"/>
      <c r="G64" s="104" t="str">
        <f t="shared" si="6"/>
        <v/>
      </c>
      <c r="H64" s="110"/>
      <c r="I64" s="107"/>
      <c r="J64" s="107"/>
      <c r="K64" s="107"/>
      <c r="L64" s="107"/>
      <c r="M64" s="107"/>
      <c r="N64" s="107"/>
      <c r="O64" s="107"/>
      <c r="P64" s="107"/>
      <c r="Q64" s="126" t="str">
        <f t="shared" si="14"/>
        <v/>
      </c>
      <c r="R64" s="127" t="str">
        <f t="shared" si="15"/>
        <v/>
      </c>
      <c r="S64" s="128" t="str">
        <f t="shared" si="5"/>
        <v/>
      </c>
      <c r="T64" s="129"/>
      <c r="Y64">
        <f t="shared" si="4"/>
        <v>0</v>
      </c>
      <c r="Z64">
        <f t="shared" si="7"/>
        <v>0</v>
      </c>
      <c r="AA64">
        <f t="shared" si="8"/>
        <v>0</v>
      </c>
      <c r="AB64">
        <f t="shared" si="9"/>
        <v>0</v>
      </c>
      <c r="AC64">
        <f t="shared" si="10"/>
        <v>0</v>
      </c>
      <c r="AD64">
        <f t="shared" si="11"/>
        <v>0</v>
      </c>
      <c r="AE64">
        <f t="shared" si="12"/>
        <v>0</v>
      </c>
      <c r="AF64">
        <f t="shared" si="13"/>
        <v>0</v>
      </c>
    </row>
    <row r="65" spans="1:32">
      <c r="A65" s="32">
        <v>56</v>
      </c>
      <c r="B65" s="108"/>
      <c r="C65" s="109"/>
      <c r="D65" s="107"/>
      <c r="E65" s="103"/>
      <c r="F65" s="103"/>
      <c r="G65" s="104" t="str">
        <f t="shared" si="6"/>
        <v/>
      </c>
      <c r="H65" s="110"/>
      <c r="I65" s="107"/>
      <c r="J65" s="107"/>
      <c r="K65" s="107"/>
      <c r="L65" s="107"/>
      <c r="M65" s="107"/>
      <c r="N65" s="107"/>
      <c r="O65" s="107"/>
      <c r="P65" s="107"/>
      <c r="Q65" s="126" t="str">
        <f t="shared" si="14"/>
        <v/>
      </c>
      <c r="R65" s="127" t="str">
        <f t="shared" si="15"/>
        <v/>
      </c>
      <c r="S65" s="128" t="str">
        <f t="shared" si="5"/>
        <v/>
      </c>
      <c r="T65" s="129"/>
      <c r="Y65">
        <f t="shared" si="4"/>
        <v>0</v>
      </c>
      <c r="Z65">
        <f t="shared" si="7"/>
        <v>0</v>
      </c>
      <c r="AA65">
        <f t="shared" si="8"/>
        <v>0</v>
      </c>
      <c r="AB65">
        <f t="shared" si="9"/>
        <v>0</v>
      </c>
      <c r="AC65">
        <f t="shared" si="10"/>
        <v>0</v>
      </c>
      <c r="AD65">
        <f t="shared" si="11"/>
        <v>0</v>
      </c>
      <c r="AE65">
        <f t="shared" si="12"/>
        <v>0</v>
      </c>
      <c r="AF65">
        <f t="shared" si="13"/>
        <v>0</v>
      </c>
    </row>
    <row r="66" spans="1:32">
      <c r="A66" s="32">
        <v>57</v>
      </c>
      <c r="B66" s="108"/>
      <c r="C66" s="109"/>
      <c r="D66" s="107"/>
      <c r="E66" s="103"/>
      <c r="F66" s="103"/>
      <c r="G66" s="104" t="str">
        <f t="shared" si="6"/>
        <v/>
      </c>
      <c r="H66" s="110"/>
      <c r="I66" s="107"/>
      <c r="J66" s="107"/>
      <c r="K66" s="107"/>
      <c r="L66" s="107"/>
      <c r="M66" s="107"/>
      <c r="N66" s="107"/>
      <c r="O66" s="107"/>
      <c r="P66" s="107"/>
      <c r="Q66" s="126" t="str">
        <f t="shared" si="14"/>
        <v/>
      </c>
      <c r="R66" s="127" t="str">
        <f t="shared" si="15"/>
        <v/>
      </c>
      <c r="S66" s="128" t="str">
        <f t="shared" si="5"/>
        <v/>
      </c>
      <c r="T66" s="129"/>
      <c r="Y66">
        <f t="shared" si="4"/>
        <v>0</v>
      </c>
      <c r="Z66">
        <f t="shared" si="7"/>
        <v>0</v>
      </c>
      <c r="AA66">
        <f t="shared" si="8"/>
        <v>0</v>
      </c>
      <c r="AB66">
        <f t="shared" si="9"/>
        <v>0</v>
      </c>
      <c r="AC66">
        <f t="shared" si="10"/>
        <v>0</v>
      </c>
      <c r="AD66">
        <f t="shared" si="11"/>
        <v>0</v>
      </c>
      <c r="AE66">
        <f t="shared" si="12"/>
        <v>0</v>
      </c>
      <c r="AF66">
        <f t="shared" si="13"/>
        <v>0</v>
      </c>
    </row>
    <row r="67" spans="1:32">
      <c r="A67" s="32">
        <v>58</v>
      </c>
      <c r="B67" s="108"/>
      <c r="C67" s="109"/>
      <c r="D67" s="107"/>
      <c r="E67" s="103"/>
      <c r="F67" s="103"/>
      <c r="G67" s="104" t="str">
        <f t="shared" si="6"/>
        <v/>
      </c>
      <c r="H67" s="110"/>
      <c r="I67" s="107"/>
      <c r="J67" s="107"/>
      <c r="K67" s="107"/>
      <c r="L67" s="107"/>
      <c r="M67" s="107"/>
      <c r="N67" s="107"/>
      <c r="O67" s="107"/>
      <c r="P67" s="107"/>
      <c r="Q67" s="126" t="str">
        <f t="shared" si="14"/>
        <v/>
      </c>
      <c r="R67" s="127" t="str">
        <f t="shared" si="15"/>
        <v/>
      </c>
      <c r="S67" s="128" t="str">
        <f t="shared" si="5"/>
        <v/>
      </c>
      <c r="T67" s="129"/>
      <c r="Y67">
        <f t="shared" si="4"/>
        <v>0</v>
      </c>
      <c r="Z67">
        <f t="shared" si="7"/>
        <v>0</v>
      </c>
      <c r="AA67">
        <f t="shared" si="8"/>
        <v>0</v>
      </c>
      <c r="AB67">
        <f t="shared" si="9"/>
        <v>0</v>
      </c>
      <c r="AC67">
        <f t="shared" si="10"/>
        <v>0</v>
      </c>
      <c r="AD67">
        <f t="shared" si="11"/>
        <v>0</v>
      </c>
      <c r="AE67">
        <f t="shared" si="12"/>
        <v>0</v>
      </c>
      <c r="AF67">
        <f t="shared" si="13"/>
        <v>0</v>
      </c>
    </row>
    <row r="68" spans="1:32">
      <c r="A68" s="32">
        <v>59</v>
      </c>
      <c r="B68" s="108"/>
      <c r="C68" s="109"/>
      <c r="D68" s="107"/>
      <c r="E68" s="103"/>
      <c r="F68" s="103"/>
      <c r="G68" s="104" t="str">
        <f t="shared" si="6"/>
        <v/>
      </c>
      <c r="H68" s="110"/>
      <c r="I68" s="107"/>
      <c r="J68" s="107"/>
      <c r="K68" s="107"/>
      <c r="L68" s="107"/>
      <c r="M68" s="107"/>
      <c r="N68" s="107"/>
      <c r="O68" s="107"/>
      <c r="P68" s="107"/>
      <c r="Q68" s="126" t="str">
        <f t="shared" si="14"/>
        <v/>
      </c>
      <c r="R68" s="127" t="str">
        <f t="shared" si="15"/>
        <v/>
      </c>
      <c r="S68" s="128" t="str">
        <f t="shared" si="5"/>
        <v/>
      </c>
      <c r="T68" s="129"/>
      <c r="Y68">
        <f t="shared" si="4"/>
        <v>0</v>
      </c>
      <c r="Z68">
        <f t="shared" si="7"/>
        <v>0</v>
      </c>
      <c r="AA68">
        <f t="shared" si="8"/>
        <v>0</v>
      </c>
      <c r="AB68">
        <f t="shared" si="9"/>
        <v>0</v>
      </c>
      <c r="AC68">
        <f t="shared" si="10"/>
        <v>0</v>
      </c>
      <c r="AD68">
        <f t="shared" si="11"/>
        <v>0</v>
      </c>
      <c r="AE68">
        <f t="shared" si="12"/>
        <v>0</v>
      </c>
      <c r="AF68">
        <f t="shared" si="13"/>
        <v>0</v>
      </c>
    </row>
    <row r="69" spans="1:32">
      <c r="A69" s="32">
        <f>A68+1</f>
        <v>60</v>
      </c>
      <c r="B69" s="108"/>
      <c r="C69" s="109"/>
      <c r="D69" s="107"/>
      <c r="E69" s="103"/>
      <c r="F69" s="103"/>
      <c r="G69" s="104" t="str">
        <f t="shared" si="6"/>
        <v/>
      </c>
      <c r="H69" s="110"/>
      <c r="I69" s="107"/>
      <c r="J69" s="107"/>
      <c r="K69" s="107"/>
      <c r="L69" s="107"/>
      <c r="M69" s="107"/>
      <c r="N69" s="107"/>
      <c r="O69" s="107"/>
      <c r="P69" s="107"/>
      <c r="Q69" s="126" t="str">
        <f t="shared" si="14"/>
        <v/>
      </c>
      <c r="R69" s="127" t="str">
        <f t="shared" si="15"/>
        <v/>
      </c>
      <c r="S69" s="128" t="str">
        <f t="shared" si="5"/>
        <v/>
      </c>
      <c r="T69" s="129"/>
      <c r="Y69">
        <f t="shared" si="4"/>
        <v>0</v>
      </c>
      <c r="Z69">
        <f t="shared" si="7"/>
        <v>0</v>
      </c>
      <c r="AA69">
        <f t="shared" si="8"/>
        <v>0</v>
      </c>
      <c r="AB69">
        <f t="shared" si="9"/>
        <v>0</v>
      </c>
      <c r="AC69">
        <f t="shared" si="10"/>
        <v>0</v>
      </c>
      <c r="AD69">
        <f t="shared" si="11"/>
        <v>0</v>
      </c>
      <c r="AE69">
        <f t="shared" si="12"/>
        <v>0</v>
      </c>
      <c r="AF69">
        <f t="shared" si="13"/>
        <v>0</v>
      </c>
    </row>
    <row r="70" spans="1:32">
      <c r="A70" s="32">
        <f t="shared" ref="A70:A108" si="16">A69+1</f>
        <v>61</v>
      </c>
      <c r="B70" s="108"/>
      <c r="C70" s="109"/>
      <c r="D70" s="107"/>
      <c r="E70" s="103"/>
      <c r="F70" s="103"/>
      <c r="G70" s="104" t="str">
        <f t="shared" si="6"/>
        <v/>
      </c>
      <c r="H70" s="110"/>
      <c r="I70" s="107"/>
      <c r="J70" s="107"/>
      <c r="K70" s="107"/>
      <c r="L70" s="107"/>
      <c r="M70" s="107"/>
      <c r="N70" s="107"/>
      <c r="O70" s="107"/>
      <c r="P70" s="107"/>
      <c r="Q70" s="126" t="str">
        <f t="shared" si="14"/>
        <v/>
      </c>
      <c r="R70" s="127" t="str">
        <f t="shared" si="15"/>
        <v/>
      </c>
      <c r="S70" s="128" t="str">
        <f t="shared" si="5"/>
        <v/>
      </c>
      <c r="T70" s="129"/>
      <c r="Y70">
        <f t="shared" si="4"/>
        <v>0</v>
      </c>
      <c r="Z70">
        <f t="shared" si="7"/>
        <v>0</v>
      </c>
      <c r="AA70">
        <f t="shared" si="8"/>
        <v>0</v>
      </c>
      <c r="AB70">
        <f t="shared" si="9"/>
        <v>0</v>
      </c>
      <c r="AC70">
        <f t="shared" si="10"/>
        <v>0</v>
      </c>
      <c r="AD70">
        <f t="shared" si="11"/>
        <v>0</v>
      </c>
      <c r="AE70">
        <f t="shared" si="12"/>
        <v>0</v>
      </c>
      <c r="AF70">
        <f t="shared" si="13"/>
        <v>0</v>
      </c>
    </row>
    <row r="71" spans="1:32">
      <c r="A71" s="32">
        <f t="shared" si="16"/>
        <v>62</v>
      </c>
      <c r="B71" s="108"/>
      <c r="C71" s="109"/>
      <c r="D71" s="107"/>
      <c r="E71" s="103"/>
      <c r="F71" s="103"/>
      <c r="G71" s="104" t="str">
        <f t="shared" si="6"/>
        <v/>
      </c>
      <c r="H71" s="110"/>
      <c r="I71" s="107"/>
      <c r="J71" s="107"/>
      <c r="K71" s="107"/>
      <c r="L71" s="107"/>
      <c r="M71" s="107"/>
      <c r="N71" s="107"/>
      <c r="O71" s="107"/>
      <c r="P71" s="107"/>
      <c r="Q71" s="126" t="str">
        <f t="shared" si="14"/>
        <v/>
      </c>
      <c r="R71" s="127" t="str">
        <f t="shared" si="15"/>
        <v/>
      </c>
      <c r="S71" s="128" t="str">
        <f t="shared" si="5"/>
        <v/>
      </c>
      <c r="T71" s="129"/>
      <c r="Y71">
        <f t="shared" si="4"/>
        <v>0</v>
      </c>
      <c r="Z71">
        <f t="shared" si="7"/>
        <v>0</v>
      </c>
      <c r="AA71">
        <f t="shared" si="8"/>
        <v>0</v>
      </c>
      <c r="AB71">
        <f t="shared" si="9"/>
        <v>0</v>
      </c>
      <c r="AC71">
        <f t="shared" si="10"/>
        <v>0</v>
      </c>
      <c r="AD71">
        <f t="shared" si="11"/>
        <v>0</v>
      </c>
      <c r="AE71">
        <f t="shared" si="12"/>
        <v>0</v>
      </c>
      <c r="AF71">
        <f t="shared" si="13"/>
        <v>0</v>
      </c>
    </row>
    <row r="72" spans="1:32">
      <c r="A72" s="32">
        <f t="shared" si="16"/>
        <v>63</v>
      </c>
      <c r="B72" s="108"/>
      <c r="C72" s="109"/>
      <c r="D72" s="107"/>
      <c r="E72" s="103"/>
      <c r="F72" s="103"/>
      <c r="G72" s="104" t="str">
        <f t="shared" si="6"/>
        <v/>
      </c>
      <c r="H72" s="110"/>
      <c r="I72" s="107"/>
      <c r="J72" s="107"/>
      <c r="K72" s="107"/>
      <c r="L72" s="107"/>
      <c r="M72" s="107"/>
      <c r="N72" s="107"/>
      <c r="O72" s="107"/>
      <c r="P72" s="107"/>
      <c r="Q72" s="126" t="str">
        <f t="shared" si="14"/>
        <v/>
      </c>
      <c r="R72" s="127" t="str">
        <f t="shared" si="15"/>
        <v/>
      </c>
      <c r="S72" s="128" t="str">
        <f t="shared" si="5"/>
        <v/>
      </c>
      <c r="T72" s="129"/>
      <c r="Y72">
        <f t="shared" si="4"/>
        <v>0</v>
      </c>
      <c r="Z72">
        <f t="shared" si="7"/>
        <v>0</v>
      </c>
      <c r="AA72">
        <f t="shared" si="8"/>
        <v>0</v>
      </c>
      <c r="AB72">
        <f t="shared" si="9"/>
        <v>0</v>
      </c>
      <c r="AC72">
        <f t="shared" si="10"/>
        <v>0</v>
      </c>
      <c r="AD72">
        <f t="shared" si="11"/>
        <v>0</v>
      </c>
      <c r="AE72">
        <f t="shared" si="12"/>
        <v>0</v>
      </c>
      <c r="AF72">
        <f t="shared" si="13"/>
        <v>0</v>
      </c>
    </row>
    <row r="73" spans="1:32">
      <c r="A73" s="32">
        <f t="shared" si="16"/>
        <v>64</v>
      </c>
      <c r="B73" s="108"/>
      <c r="C73" s="109"/>
      <c r="D73" s="107"/>
      <c r="E73" s="103"/>
      <c r="F73" s="103"/>
      <c r="G73" s="104" t="str">
        <f t="shared" si="6"/>
        <v/>
      </c>
      <c r="H73" s="110"/>
      <c r="I73" s="107"/>
      <c r="J73" s="107"/>
      <c r="K73" s="107"/>
      <c r="L73" s="107"/>
      <c r="M73" s="107"/>
      <c r="N73" s="107"/>
      <c r="O73" s="107"/>
      <c r="P73" s="107"/>
      <c r="Q73" s="126" t="str">
        <f t="shared" si="14"/>
        <v/>
      </c>
      <c r="R73" s="127" t="str">
        <f t="shared" si="15"/>
        <v/>
      </c>
      <c r="S73" s="128" t="str">
        <f t="shared" si="5"/>
        <v/>
      </c>
      <c r="T73" s="129"/>
      <c r="Y73">
        <f t="shared" si="4"/>
        <v>0</v>
      </c>
      <c r="Z73">
        <f t="shared" si="7"/>
        <v>0</v>
      </c>
      <c r="AA73">
        <f t="shared" si="8"/>
        <v>0</v>
      </c>
      <c r="AB73">
        <f t="shared" si="9"/>
        <v>0</v>
      </c>
      <c r="AC73">
        <f t="shared" si="10"/>
        <v>0</v>
      </c>
      <c r="AD73">
        <f t="shared" si="11"/>
        <v>0</v>
      </c>
      <c r="AE73">
        <f t="shared" si="12"/>
        <v>0</v>
      </c>
      <c r="AF73">
        <f t="shared" si="13"/>
        <v>0</v>
      </c>
    </row>
    <row r="74" spans="1:32">
      <c r="A74" s="32">
        <f t="shared" si="16"/>
        <v>65</v>
      </c>
      <c r="B74" s="108"/>
      <c r="C74" s="109"/>
      <c r="D74" s="107"/>
      <c r="E74" s="103"/>
      <c r="F74" s="103"/>
      <c r="G74" s="104" t="str">
        <f t="shared" si="6"/>
        <v/>
      </c>
      <c r="H74" s="110"/>
      <c r="I74" s="107"/>
      <c r="J74" s="107"/>
      <c r="K74" s="107"/>
      <c r="L74" s="107"/>
      <c r="M74" s="107"/>
      <c r="N74" s="107"/>
      <c r="O74" s="107"/>
      <c r="P74" s="107"/>
      <c r="Q74" s="126" t="str">
        <f t="shared" ref="Q74:Q105" si="17">IF(C74&lt;&gt;"",SUM(I74:P74),"")</f>
        <v/>
      </c>
      <c r="R74" s="127" t="str">
        <f t="shared" ref="R74:R105" si="18">IF(AND(Q74&gt;0,C74&lt;&gt;""),Q74/Q$9,"")</f>
        <v/>
      </c>
      <c r="S74" s="128" t="str">
        <f t="shared" si="5"/>
        <v/>
      </c>
      <c r="T74" s="129"/>
      <c r="Y74">
        <f t="shared" ref="Y74:Y109" si="19">IF(I75/I$9&gt;=75%,1,0)</f>
        <v>0</v>
      </c>
      <c r="Z74">
        <f t="shared" si="7"/>
        <v>0</v>
      </c>
      <c r="AA74">
        <f t="shared" si="8"/>
        <v>0</v>
      </c>
      <c r="AB74">
        <f t="shared" si="9"/>
        <v>0</v>
      </c>
      <c r="AC74">
        <f t="shared" si="10"/>
        <v>0</v>
      </c>
      <c r="AD74">
        <f t="shared" si="11"/>
        <v>0</v>
      </c>
      <c r="AE74">
        <f t="shared" si="12"/>
        <v>0</v>
      </c>
      <c r="AF74">
        <f t="shared" si="13"/>
        <v>0</v>
      </c>
    </row>
    <row r="75" spans="1:32">
      <c r="A75" s="32">
        <f t="shared" si="16"/>
        <v>66</v>
      </c>
      <c r="B75" s="108"/>
      <c r="C75" s="109"/>
      <c r="D75" s="107"/>
      <c r="E75" s="103"/>
      <c r="F75" s="103"/>
      <c r="G75" s="104" t="str">
        <f t="shared" ref="G75:G109" si="20">IF(C75&lt;&gt;"",(F75-E75)/365,"")</f>
        <v/>
      </c>
      <c r="H75" s="110"/>
      <c r="I75" s="107"/>
      <c r="J75" s="107"/>
      <c r="K75" s="107"/>
      <c r="L75" s="107"/>
      <c r="M75" s="107"/>
      <c r="N75" s="107"/>
      <c r="O75" s="107"/>
      <c r="P75" s="107"/>
      <c r="Q75" s="126" t="str">
        <f t="shared" si="17"/>
        <v/>
      </c>
      <c r="R75" s="127" t="str">
        <f t="shared" si="18"/>
        <v/>
      </c>
      <c r="S75" s="128" t="str">
        <f t="shared" ref="S75:S109" si="21">IF(R75&lt;&gt;"",IF($R75&lt;25%,"Emerging (Not Proficient)",IF(AND($R75&gt;=25%,$R75&lt;50%),"Emerging (Low Proficient)",IF(AND($R75&gt;=50%,$R75&lt;75%),"Developing (Nearly Proficient)",IF(AND($R75&gt;=75%,$R75&lt;85%),"Transitioning (Proficient)","At Grade Level (Highly Proficient)")))),"")</f>
        <v/>
      </c>
      <c r="T75" s="129"/>
      <c r="Y75">
        <f t="shared" si="19"/>
        <v>0</v>
      </c>
      <c r="Z75">
        <f t="shared" si="7"/>
        <v>0</v>
      </c>
      <c r="AA75">
        <f t="shared" si="8"/>
        <v>0</v>
      </c>
      <c r="AB75">
        <f t="shared" si="9"/>
        <v>0</v>
      </c>
      <c r="AC75">
        <f t="shared" si="10"/>
        <v>0</v>
      </c>
      <c r="AD75">
        <f t="shared" si="11"/>
        <v>0</v>
      </c>
      <c r="AE75">
        <f t="shared" si="12"/>
        <v>0</v>
      </c>
      <c r="AF75">
        <f t="shared" si="13"/>
        <v>0</v>
      </c>
    </row>
    <row r="76" spans="1:32">
      <c r="A76" s="32">
        <f t="shared" si="16"/>
        <v>67</v>
      </c>
      <c r="B76" s="108"/>
      <c r="C76" s="109"/>
      <c r="D76" s="107"/>
      <c r="E76" s="103"/>
      <c r="F76" s="103"/>
      <c r="G76" s="104" t="str">
        <f t="shared" si="20"/>
        <v/>
      </c>
      <c r="H76" s="110"/>
      <c r="I76" s="107"/>
      <c r="J76" s="107"/>
      <c r="K76" s="107"/>
      <c r="L76" s="107"/>
      <c r="M76" s="107"/>
      <c r="N76" s="107"/>
      <c r="O76" s="107"/>
      <c r="P76" s="107"/>
      <c r="Q76" s="126" t="str">
        <f t="shared" si="17"/>
        <v/>
      </c>
      <c r="R76" s="127" t="str">
        <f t="shared" si="18"/>
        <v/>
      </c>
      <c r="S76" s="128" t="str">
        <f t="shared" si="21"/>
        <v/>
      </c>
      <c r="T76" s="129"/>
      <c r="Y76">
        <f t="shared" si="19"/>
        <v>0</v>
      </c>
      <c r="Z76">
        <f t="shared" si="7"/>
        <v>0</v>
      </c>
      <c r="AA76">
        <f t="shared" si="8"/>
        <v>0</v>
      </c>
      <c r="AB76">
        <f t="shared" si="9"/>
        <v>0</v>
      </c>
      <c r="AC76">
        <f t="shared" si="10"/>
        <v>0</v>
      </c>
      <c r="AD76">
        <f t="shared" si="11"/>
        <v>0</v>
      </c>
      <c r="AE76">
        <f t="shared" si="12"/>
        <v>0</v>
      </c>
      <c r="AF76">
        <f t="shared" si="13"/>
        <v>0</v>
      </c>
    </row>
    <row r="77" spans="1:32">
      <c r="A77" s="32">
        <f t="shared" si="16"/>
        <v>68</v>
      </c>
      <c r="B77" s="108"/>
      <c r="C77" s="109"/>
      <c r="D77" s="107"/>
      <c r="E77" s="103"/>
      <c r="F77" s="103"/>
      <c r="G77" s="104" t="str">
        <f t="shared" si="20"/>
        <v/>
      </c>
      <c r="H77" s="110"/>
      <c r="I77" s="107"/>
      <c r="J77" s="107"/>
      <c r="K77" s="107"/>
      <c r="L77" s="107"/>
      <c r="M77" s="107"/>
      <c r="N77" s="107"/>
      <c r="O77" s="107"/>
      <c r="P77" s="107"/>
      <c r="Q77" s="126" t="str">
        <f t="shared" si="17"/>
        <v/>
      </c>
      <c r="R77" s="127" t="str">
        <f t="shared" si="18"/>
        <v/>
      </c>
      <c r="S77" s="128" t="str">
        <f t="shared" si="21"/>
        <v/>
      </c>
      <c r="T77" s="129"/>
      <c r="Y77">
        <f t="shared" si="19"/>
        <v>0</v>
      </c>
      <c r="Z77">
        <f t="shared" si="7"/>
        <v>0</v>
      </c>
      <c r="AA77">
        <f t="shared" si="8"/>
        <v>0</v>
      </c>
      <c r="AB77">
        <f t="shared" si="9"/>
        <v>0</v>
      </c>
      <c r="AC77">
        <f t="shared" si="10"/>
        <v>0</v>
      </c>
      <c r="AD77">
        <f t="shared" si="11"/>
        <v>0</v>
      </c>
      <c r="AE77">
        <f t="shared" si="12"/>
        <v>0</v>
      </c>
      <c r="AF77">
        <f t="shared" si="13"/>
        <v>0</v>
      </c>
    </row>
    <row r="78" spans="1:32">
      <c r="A78" s="32">
        <f t="shared" si="16"/>
        <v>69</v>
      </c>
      <c r="B78" s="108"/>
      <c r="C78" s="109"/>
      <c r="D78" s="107"/>
      <c r="E78" s="103"/>
      <c r="F78" s="103"/>
      <c r="G78" s="104" t="str">
        <f t="shared" si="20"/>
        <v/>
      </c>
      <c r="H78" s="110"/>
      <c r="I78" s="107"/>
      <c r="J78" s="107"/>
      <c r="K78" s="107"/>
      <c r="L78" s="107"/>
      <c r="M78" s="107"/>
      <c r="N78" s="107"/>
      <c r="O78" s="107"/>
      <c r="P78" s="107"/>
      <c r="Q78" s="126" t="str">
        <f t="shared" si="17"/>
        <v/>
      </c>
      <c r="R78" s="127" t="str">
        <f t="shared" si="18"/>
        <v/>
      </c>
      <c r="S78" s="128" t="str">
        <f t="shared" si="21"/>
        <v/>
      </c>
      <c r="T78" s="129"/>
      <c r="Y78">
        <f t="shared" si="19"/>
        <v>0</v>
      </c>
      <c r="Z78">
        <f t="shared" si="7"/>
        <v>0</v>
      </c>
      <c r="AA78">
        <f t="shared" si="8"/>
        <v>0</v>
      </c>
      <c r="AB78">
        <f t="shared" si="9"/>
        <v>0</v>
      </c>
      <c r="AC78">
        <f t="shared" si="10"/>
        <v>0</v>
      </c>
      <c r="AD78">
        <f t="shared" si="11"/>
        <v>0</v>
      </c>
      <c r="AE78">
        <f t="shared" si="12"/>
        <v>0</v>
      </c>
      <c r="AF78">
        <f t="shared" si="13"/>
        <v>0</v>
      </c>
    </row>
    <row r="79" spans="1:32">
      <c r="A79" s="32">
        <f t="shared" si="16"/>
        <v>70</v>
      </c>
      <c r="B79" s="108"/>
      <c r="C79" s="109"/>
      <c r="D79" s="107"/>
      <c r="E79" s="103"/>
      <c r="F79" s="103"/>
      <c r="G79" s="104" t="str">
        <f t="shared" si="20"/>
        <v/>
      </c>
      <c r="H79" s="110"/>
      <c r="I79" s="107"/>
      <c r="J79" s="107"/>
      <c r="K79" s="107"/>
      <c r="L79" s="107"/>
      <c r="M79" s="107"/>
      <c r="N79" s="107"/>
      <c r="O79" s="107"/>
      <c r="P79" s="107"/>
      <c r="Q79" s="126" t="str">
        <f t="shared" si="17"/>
        <v/>
      </c>
      <c r="R79" s="127" t="str">
        <f t="shared" si="18"/>
        <v/>
      </c>
      <c r="S79" s="128" t="str">
        <f t="shared" si="21"/>
        <v/>
      </c>
      <c r="T79" s="129"/>
      <c r="Y79">
        <f t="shared" si="19"/>
        <v>0</v>
      </c>
      <c r="Z79">
        <f t="shared" si="7"/>
        <v>0</v>
      </c>
      <c r="AA79">
        <f t="shared" si="8"/>
        <v>0</v>
      </c>
      <c r="AB79">
        <f t="shared" si="9"/>
        <v>0</v>
      </c>
      <c r="AC79">
        <f t="shared" si="10"/>
        <v>0</v>
      </c>
      <c r="AD79">
        <f t="shared" si="11"/>
        <v>0</v>
      </c>
      <c r="AE79">
        <f t="shared" si="12"/>
        <v>0</v>
      </c>
      <c r="AF79">
        <f t="shared" si="13"/>
        <v>0</v>
      </c>
    </row>
    <row r="80" spans="1:32">
      <c r="A80" s="32">
        <f t="shared" si="16"/>
        <v>71</v>
      </c>
      <c r="B80" s="108"/>
      <c r="C80" s="109"/>
      <c r="D80" s="107"/>
      <c r="E80" s="103"/>
      <c r="F80" s="103"/>
      <c r="G80" s="104" t="str">
        <f t="shared" si="20"/>
        <v/>
      </c>
      <c r="H80" s="110"/>
      <c r="I80" s="107"/>
      <c r="J80" s="107"/>
      <c r="K80" s="107"/>
      <c r="L80" s="107"/>
      <c r="M80" s="107"/>
      <c r="N80" s="107"/>
      <c r="O80" s="107"/>
      <c r="P80" s="107"/>
      <c r="Q80" s="126" t="str">
        <f t="shared" si="17"/>
        <v/>
      </c>
      <c r="R80" s="127" t="str">
        <f t="shared" si="18"/>
        <v/>
      </c>
      <c r="S80" s="128" t="str">
        <f t="shared" si="21"/>
        <v/>
      </c>
      <c r="T80" s="129"/>
      <c r="Y80">
        <f t="shared" si="19"/>
        <v>0</v>
      </c>
      <c r="Z80">
        <f t="shared" si="7"/>
        <v>0</v>
      </c>
      <c r="AA80">
        <f t="shared" si="8"/>
        <v>0</v>
      </c>
      <c r="AB80">
        <f t="shared" si="9"/>
        <v>0</v>
      </c>
      <c r="AC80">
        <f t="shared" si="10"/>
        <v>0</v>
      </c>
      <c r="AD80">
        <f t="shared" si="11"/>
        <v>0</v>
      </c>
      <c r="AE80">
        <f t="shared" si="12"/>
        <v>0</v>
      </c>
      <c r="AF80">
        <f t="shared" si="13"/>
        <v>0</v>
      </c>
    </row>
    <row r="81" spans="1:32">
      <c r="A81" s="32">
        <f t="shared" si="16"/>
        <v>72</v>
      </c>
      <c r="B81" s="108"/>
      <c r="C81" s="109"/>
      <c r="D81" s="107"/>
      <c r="E81" s="103"/>
      <c r="F81" s="103"/>
      <c r="G81" s="104" t="str">
        <f t="shared" si="20"/>
        <v/>
      </c>
      <c r="H81" s="110"/>
      <c r="I81" s="107"/>
      <c r="J81" s="107"/>
      <c r="K81" s="107"/>
      <c r="L81" s="107"/>
      <c r="M81" s="107"/>
      <c r="N81" s="107"/>
      <c r="O81" s="107"/>
      <c r="P81" s="107"/>
      <c r="Q81" s="126" t="str">
        <f t="shared" si="17"/>
        <v/>
      </c>
      <c r="R81" s="127" t="str">
        <f t="shared" si="18"/>
        <v/>
      </c>
      <c r="S81" s="128" t="str">
        <f t="shared" si="21"/>
        <v/>
      </c>
      <c r="T81" s="129"/>
      <c r="Y81">
        <f t="shared" si="19"/>
        <v>0</v>
      </c>
      <c r="Z81">
        <f t="shared" si="7"/>
        <v>0</v>
      </c>
      <c r="AA81">
        <f t="shared" si="8"/>
        <v>0</v>
      </c>
      <c r="AB81">
        <f t="shared" si="9"/>
        <v>0</v>
      </c>
      <c r="AC81">
        <f t="shared" si="10"/>
        <v>0</v>
      </c>
      <c r="AD81">
        <f t="shared" si="11"/>
        <v>0</v>
      </c>
      <c r="AE81">
        <f t="shared" si="12"/>
        <v>0</v>
      </c>
      <c r="AF81">
        <f t="shared" si="13"/>
        <v>0</v>
      </c>
    </row>
    <row r="82" spans="1:32">
      <c r="A82" s="32">
        <f t="shared" si="16"/>
        <v>73</v>
      </c>
      <c r="B82" s="108"/>
      <c r="C82" s="109"/>
      <c r="D82" s="107"/>
      <c r="E82" s="103"/>
      <c r="F82" s="103"/>
      <c r="G82" s="104" t="str">
        <f t="shared" si="20"/>
        <v/>
      </c>
      <c r="H82" s="110"/>
      <c r="I82" s="107"/>
      <c r="J82" s="107"/>
      <c r="K82" s="107"/>
      <c r="L82" s="107"/>
      <c r="M82" s="107"/>
      <c r="N82" s="107"/>
      <c r="O82" s="107"/>
      <c r="P82" s="107"/>
      <c r="Q82" s="126" t="str">
        <f t="shared" si="17"/>
        <v/>
      </c>
      <c r="R82" s="127" t="str">
        <f t="shared" si="18"/>
        <v/>
      </c>
      <c r="S82" s="128" t="str">
        <f t="shared" si="21"/>
        <v/>
      </c>
      <c r="T82" s="129"/>
      <c r="Y82">
        <f t="shared" si="19"/>
        <v>0</v>
      </c>
      <c r="Z82">
        <f t="shared" si="7"/>
        <v>0</v>
      </c>
      <c r="AA82">
        <f t="shared" si="8"/>
        <v>0</v>
      </c>
      <c r="AB82">
        <f t="shared" si="9"/>
        <v>0</v>
      </c>
      <c r="AC82">
        <f t="shared" si="10"/>
        <v>0</v>
      </c>
      <c r="AD82">
        <f t="shared" si="11"/>
        <v>0</v>
      </c>
      <c r="AE82">
        <f t="shared" si="12"/>
        <v>0</v>
      </c>
      <c r="AF82">
        <f t="shared" si="13"/>
        <v>0</v>
      </c>
    </row>
    <row r="83" spans="1:32">
      <c r="A83" s="32">
        <f t="shared" si="16"/>
        <v>74</v>
      </c>
      <c r="B83" s="108"/>
      <c r="C83" s="109"/>
      <c r="D83" s="107"/>
      <c r="E83" s="103"/>
      <c r="F83" s="103"/>
      <c r="G83" s="104" t="str">
        <f t="shared" si="20"/>
        <v/>
      </c>
      <c r="H83" s="110"/>
      <c r="I83" s="107"/>
      <c r="J83" s="107"/>
      <c r="K83" s="107"/>
      <c r="L83" s="107"/>
      <c r="M83" s="107"/>
      <c r="N83" s="107"/>
      <c r="O83" s="107"/>
      <c r="P83" s="107"/>
      <c r="Q83" s="126" t="str">
        <f t="shared" si="17"/>
        <v/>
      </c>
      <c r="R83" s="127" t="str">
        <f t="shared" si="18"/>
        <v/>
      </c>
      <c r="S83" s="128" t="str">
        <f t="shared" si="21"/>
        <v/>
      </c>
      <c r="T83" s="129"/>
      <c r="Y83">
        <f t="shared" si="19"/>
        <v>0</v>
      </c>
      <c r="Z83">
        <f t="shared" si="7"/>
        <v>0</v>
      </c>
      <c r="AA83">
        <f t="shared" si="8"/>
        <v>0</v>
      </c>
      <c r="AB83">
        <f t="shared" si="9"/>
        <v>0</v>
      </c>
      <c r="AC83">
        <f t="shared" si="10"/>
        <v>0</v>
      </c>
      <c r="AD83">
        <f t="shared" si="11"/>
        <v>0</v>
      </c>
      <c r="AE83">
        <f t="shared" si="12"/>
        <v>0</v>
      </c>
      <c r="AF83">
        <f t="shared" si="13"/>
        <v>0</v>
      </c>
    </row>
    <row r="84" spans="1:32">
      <c r="A84" s="32">
        <f t="shared" si="16"/>
        <v>75</v>
      </c>
      <c r="B84" s="108"/>
      <c r="C84" s="109"/>
      <c r="D84" s="107"/>
      <c r="E84" s="103"/>
      <c r="F84" s="103"/>
      <c r="G84" s="104" t="str">
        <f t="shared" si="20"/>
        <v/>
      </c>
      <c r="H84" s="110"/>
      <c r="I84" s="107"/>
      <c r="J84" s="107"/>
      <c r="K84" s="107"/>
      <c r="L84" s="107"/>
      <c r="M84" s="107"/>
      <c r="N84" s="107"/>
      <c r="O84" s="107"/>
      <c r="P84" s="107"/>
      <c r="Q84" s="126" t="str">
        <f t="shared" si="17"/>
        <v/>
      </c>
      <c r="R84" s="127" t="str">
        <f t="shared" si="18"/>
        <v/>
      </c>
      <c r="S84" s="128" t="str">
        <f t="shared" si="21"/>
        <v/>
      </c>
      <c r="T84" s="129"/>
      <c r="Y84">
        <f t="shared" si="19"/>
        <v>0</v>
      </c>
      <c r="Z84">
        <f t="shared" si="7"/>
        <v>0</v>
      </c>
      <c r="AA84">
        <f t="shared" si="8"/>
        <v>0</v>
      </c>
      <c r="AB84">
        <f t="shared" si="9"/>
        <v>0</v>
      </c>
      <c r="AC84">
        <f t="shared" si="10"/>
        <v>0</v>
      </c>
      <c r="AD84">
        <f t="shared" si="11"/>
        <v>0</v>
      </c>
      <c r="AE84">
        <f t="shared" si="12"/>
        <v>0</v>
      </c>
      <c r="AF84">
        <f t="shared" si="13"/>
        <v>0</v>
      </c>
    </row>
    <row r="85" spans="1:32">
      <c r="A85" s="32">
        <f t="shared" si="16"/>
        <v>76</v>
      </c>
      <c r="B85" s="108"/>
      <c r="C85" s="109"/>
      <c r="D85" s="107"/>
      <c r="E85" s="103"/>
      <c r="F85" s="103"/>
      <c r="G85" s="104" t="str">
        <f t="shared" si="20"/>
        <v/>
      </c>
      <c r="H85" s="110"/>
      <c r="I85" s="107"/>
      <c r="J85" s="107"/>
      <c r="K85" s="107"/>
      <c r="L85" s="107"/>
      <c r="M85" s="107"/>
      <c r="N85" s="107"/>
      <c r="O85" s="107"/>
      <c r="P85" s="107"/>
      <c r="Q85" s="126" t="str">
        <f t="shared" si="17"/>
        <v/>
      </c>
      <c r="R85" s="127" t="str">
        <f t="shared" si="18"/>
        <v/>
      </c>
      <c r="S85" s="128" t="str">
        <f t="shared" si="21"/>
        <v/>
      </c>
      <c r="T85" s="129"/>
      <c r="Y85">
        <f t="shared" si="19"/>
        <v>0</v>
      </c>
      <c r="Z85">
        <f t="shared" si="7"/>
        <v>0</v>
      </c>
      <c r="AA85">
        <f t="shared" si="8"/>
        <v>0</v>
      </c>
      <c r="AB85">
        <f t="shared" si="9"/>
        <v>0</v>
      </c>
      <c r="AC85">
        <f t="shared" si="10"/>
        <v>0</v>
      </c>
      <c r="AD85">
        <f t="shared" si="11"/>
        <v>0</v>
      </c>
      <c r="AE85">
        <f t="shared" si="12"/>
        <v>0</v>
      </c>
      <c r="AF85">
        <f t="shared" si="13"/>
        <v>0</v>
      </c>
    </row>
    <row r="86" spans="1:32">
      <c r="A86" s="32">
        <f t="shared" si="16"/>
        <v>77</v>
      </c>
      <c r="B86" s="108"/>
      <c r="C86" s="109"/>
      <c r="D86" s="107"/>
      <c r="E86" s="103"/>
      <c r="F86" s="103"/>
      <c r="G86" s="104" t="str">
        <f t="shared" si="20"/>
        <v/>
      </c>
      <c r="H86" s="110"/>
      <c r="I86" s="107"/>
      <c r="J86" s="107"/>
      <c r="K86" s="107"/>
      <c r="L86" s="107"/>
      <c r="M86" s="107"/>
      <c r="N86" s="107"/>
      <c r="O86" s="107"/>
      <c r="P86" s="107"/>
      <c r="Q86" s="126" t="str">
        <f t="shared" si="17"/>
        <v/>
      </c>
      <c r="R86" s="127" t="str">
        <f t="shared" si="18"/>
        <v/>
      </c>
      <c r="S86" s="128" t="str">
        <f t="shared" si="21"/>
        <v/>
      </c>
      <c r="T86" s="129"/>
      <c r="Y86">
        <f t="shared" si="19"/>
        <v>0</v>
      </c>
      <c r="Z86">
        <f t="shared" si="7"/>
        <v>0</v>
      </c>
      <c r="AA86">
        <f t="shared" si="8"/>
        <v>0</v>
      </c>
      <c r="AB86">
        <f t="shared" si="9"/>
        <v>0</v>
      </c>
      <c r="AC86">
        <f t="shared" si="10"/>
        <v>0</v>
      </c>
      <c r="AD86">
        <f t="shared" si="11"/>
        <v>0</v>
      </c>
      <c r="AE86">
        <f t="shared" si="12"/>
        <v>0</v>
      </c>
      <c r="AF86">
        <f t="shared" si="13"/>
        <v>0</v>
      </c>
    </row>
    <row r="87" spans="1:32">
      <c r="A87" s="32">
        <f t="shared" si="16"/>
        <v>78</v>
      </c>
      <c r="B87" s="108"/>
      <c r="C87" s="109"/>
      <c r="D87" s="107"/>
      <c r="E87" s="103"/>
      <c r="F87" s="103"/>
      <c r="G87" s="104" t="str">
        <f t="shared" si="20"/>
        <v/>
      </c>
      <c r="H87" s="110"/>
      <c r="I87" s="107"/>
      <c r="J87" s="107"/>
      <c r="K87" s="107"/>
      <c r="L87" s="107"/>
      <c r="M87" s="107"/>
      <c r="N87" s="107"/>
      <c r="O87" s="107"/>
      <c r="P87" s="107"/>
      <c r="Q87" s="126" t="str">
        <f t="shared" si="17"/>
        <v/>
      </c>
      <c r="R87" s="127" t="str">
        <f t="shared" si="18"/>
        <v/>
      </c>
      <c r="S87" s="128" t="str">
        <f t="shared" si="21"/>
        <v/>
      </c>
      <c r="T87" s="129"/>
      <c r="Y87">
        <f t="shared" si="19"/>
        <v>0</v>
      </c>
      <c r="Z87">
        <f t="shared" si="7"/>
        <v>0</v>
      </c>
      <c r="AA87">
        <f t="shared" si="8"/>
        <v>0</v>
      </c>
      <c r="AB87">
        <f t="shared" si="9"/>
        <v>0</v>
      </c>
      <c r="AC87">
        <f t="shared" si="10"/>
        <v>0</v>
      </c>
      <c r="AD87">
        <f t="shared" si="11"/>
        <v>0</v>
      </c>
      <c r="AE87">
        <f t="shared" si="12"/>
        <v>0</v>
      </c>
      <c r="AF87">
        <f t="shared" si="13"/>
        <v>0</v>
      </c>
    </row>
    <row r="88" spans="1:32">
      <c r="A88" s="32">
        <f t="shared" si="16"/>
        <v>79</v>
      </c>
      <c r="B88" s="108"/>
      <c r="C88" s="109"/>
      <c r="D88" s="107"/>
      <c r="E88" s="103"/>
      <c r="F88" s="103"/>
      <c r="G88" s="104" t="str">
        <f t="shared" si="20"/>
        <v/>
      </c>
      <c r="H88" s="110"/>
      <c r="I88" s="107"/>
      <c r="J88" s="107"/>
      <c r="K88" s="107"/>
      <c r="L88" s="107"/>
      <c r="M88" s="107"/>
      <c r="N88" s="107"/>
      <c r="O88" s="107"/>
      <c r="P88" s="107"/>
      <c r="Q88" s="126" t="str">
        <f t="shared" si="17"/>
        <v/>
      </c>
      <c r="R88" s="127" t="str">
        <f t="shared" si="18"/>
        <v/>
      </c>
      <c r="S88" s="128" t="str">
        <f t="shared" si="21"/>
        <v/>
      </c>
      <c r="T88" s="129"/>
      <c r="Y88">
        <f t="shared" si="19"/>
        <v>0</v>
      </c>
      <c r="Z88">
        <f t="shared" si="7"/>
        <v>0</v>
      </c>
      <c r="AA88">
        <f t="shared" si="8"/>
        <v>0</v>
      </c>
      <c r="AB88">
        <f t="shared" si="9"/>
        <v>0</v>
      </c>
      <c r="AC88">
        <f t="shared" si="10"/>
        <v>0</v>
      </c>
      <c r="AD88">
        <f t="shared" si="11"/>
        <v>0</v>
      </c>
      <c r="AE88">
        <f t="shared" si="12"/>
        <v>0</v>
      </c>
      <c r="AF88">
        <f t="shared" si="13"/>
        <v>0</v>
      </c>
    </row>
    <row r="89" spans="1:32">
      <c r="A89" s="32">
        <f t="shared" si="16"/>
        <v>80</v>
      </c>
      <c r="B89" s="108"/>
      <c r="C89" s="109"/>
      <c r="D89" s="107"/>
      <c r="E89" s="103"/>
      <c r="F89" s="103"/>
      <c r="G89" s="104" t="str">
        <f t="shared" si="20"/>
        <v/>
      </c>
      <c r="H89" s="110"/>
      <c r="I89" s="107"/>
      <c r="J89" s="107"/>
      <c r="K89" s="107"/>
      <c r="L89" s="107"/>
      <c r="M89" s="107"/>
      <c r="N89" s="107"/>
      <c r="O89" s="107"/>
      <c r="P89" s="107"/>
      <c r="Q89" s="126" t="str">
        <f t="shared" si="17"/>
        <v/>
      </c>
      <c r="R89" s="127" t="str">
        <f t="shared" si="18"/>
        <v/>
      </c>
      <c r="S89" s="128" t="str">
        <f t="shared" si="21"/>
        <v/>
      </c>
      <c r="T89" s="129"/>
      <c r="Y89">
        <f t="shared" si="19"/>
        <v>0</v>
      </c>
      <c r="Z89">
        <f t="shared" ref="Z89:Z109" si="22">IF(J90/J$9&gt;=75%,1,0)</f>
        <v>0</v>
      </c>
      <c r="AA89">
        <f t="shared" ref="AA89:AA109" si="23">IF(K90/K$9&gt;=75%,1,0)</f>
        <v>0</v>
      </c>
      <c r="AB89">
        <f t="shared" ref="AB89:AB109" si="24">IF(L90/L$9&gt;=75%,1,0)</f>
        <v>0</v>
      </c>
      <c r="AC89">
        <f t="shared" ref="AC89:AC109" si="25">IF(M90/M$9&gt;=75%,1,0)</f>
        <v>0</v>
      </c>
      <c r="AD89">
        <f t="shared" ref="AD89:AD109" si="26">IF(N90/N$9&gt;=75%,1,0)</f>
        <v>0</v>
      </c>
      <c r="AE89">
        <f t="shared" ref="AE89:AE109" si="27">IF(O90/O$9&gt;=75%,1,0)</f>
        <v>0</v>
      </c>
      <c r="AF89">
        <f t="shared" ref="AF89:AF109" si="28">IF(P90/P$9&gt;=75%,1,0)</f>
        <v>0</v>
      </c>
    </row>
    <row r="90" spans="1:32">
      <c r="A90" s="32">
        <f t="shared" si="16"/>
        <v>81</v>
      </c>
      <c r="B90" s="108"/>
      <c r="C90" s="109"/>
      <c r="D90" s="107"/>
      <c r="E90" s="103"/>
      <c r="F90" s="103"/>
      <c r="G90" s="104" t="str">
        <f t="shared" si="20"/>
        <v/>
      </c>
      <c r="H90" s="110"/>
      <c r="I90" s="107"/>
      <c r="J90" s="107"/>
      <c r="K90" s="107"/>
      <c r="L90" s="107"/>
      <c r="M90" s="107"/>
      <c r="N90" s="107"/>
      <c r="O90" s="107"/>
      <c r="P90" s="107"/>
      <c r="Q90" s="126" t="str">
        <f t="shared" si="17"/>
        <v/>
      </c>
      <c r="R90" s="127" t="str">
        <f t="shared" si="18"/>
        <v/>
      </c>
      <c r="S90" s="128" t="str">
        <f t="shared" si="21"/>
        <v/>
      </c>
      <c r="T90" s="129"/>
      <c r="Y90">
        <f t="shared" si="19"/>
        <v>0</v>
      </c>
      <c r="Z90">
        <f t="shared" si="22"/>
        <v>0</v>
      </c>
      <c r="AA90">
        <f t="shared" si="23"/>
        <v>0</v>
      </c>
      <c r="AB90">
        <f t="shared" si="24"/>
        <v>0</v>
      </c>
      <c r="AC90">
        <f t="shared" si="25"/>
        <v>0</v>
      </c>
      <c r="AD90">
        <f t="shared" si="26"/>
        <v>0</v>
      </c>
      <c r="AE90">
        <f t="shared" si="27"/>
        <v>0</v>
      </c>
      <c r="AF90">
        <f t="shared" si="28"/>
        <v>0</v>
      </c>
    </row>
    <row r="91" spans="1:32">
      <c r="A91" s="32">
        <f t="shared" si="16"/>
        <v>82</v>
      </c>
      <c r="B91" s="108"/>
      <c r="C91" s="109"/>
      <c r="D91" s="107"/>
      <c r="E91" s="103"/>
      <c r="F91" s="103"/>
      <c r="G91" s="104" t="str">
        <f t="shared" si="20"/>
        <v/>
      </c>
      <c r="H91" s="110"/>
      <c r="I91" s="107"/>
      <c r="J91" s="107"/>
      <c r="K91" s="107"/>
      <c r="L91" s="107"/>
      <c r="M91" s="107"/>
      <c r="N91" s="107"/>
      <c r="O91" s="107"/>
      <c r="P91" s="107"/>
      <c r="Q91" s="126" t="str">
        <f t="shared" si="17"/>
        <v/>
      </c>
      <c r="R91" s="127" t="str">
        <f t="shared" si="18"/>
        <v/>
      </c>
      <c r="S91" s="128" t="str">
        <f t="shared" si="21"/>
        <v/>
      </c>
      <c r="T91" s="129"/>
      <c r="Y91">
        <f t="shared" si="19"/>
        <v>0</v>
      </c>
      <c r="Z91">
        <f t="shared" si="22"/>
        <v>0</v>
      </c>
      <c r="AA91">
        <f t="shared" si="23"/>
        <v>0</v>
      </c>
      <c r="AB91">
        <f t="shared" si="24"/>
        <v>0</v>
      </c>
      <c r="AC91">
        <f t="shared" si="25"/>
        <v>0</v>
      </c>
      <c r="AD91">
        <f t="shared" si="26"/>
        <v>0</v>
      </c>
      <c r="AE91">
        <f t="shared" si="27"/>
        <v>0</v>
      </c>
      <c r="AF91">
        <f t="shared" si="28"/>
        <v>0</v>
      </c>
    </row>
    <row r="92" spans="1:32">
      <c r="A92" s="32">
        <f t="shared" si="16"/>
        <v>83</v>
      </c>
      <c r="B92" s="108"/>
      <c r="C92" s="109"/>
      <c r="D92" s="107"/>
      <c r="E92" s="103"/>
      <c r="F92" s="103"/>
      <c r="G92" s="104" t="str">
        <f t="shared" si="20"/>
        <v/>
      </c>
      <c r="H92" s="110"/>
      <c r="I92" s="107"/>
      <c r="J92" s="107"/>
      <c r="K92" s="107"/>
      <c r="L92" s="107"/>
      <c r="M92" s="107"/>
      <c r="N92" s="107"/>
      <c r="O92" s="107"/>
      <c r="P92" s="107"/>
      <c r="Q92" s="126" t="str">
        <f t="shared" si="17"/>
        <v/>
      </c>
      <c r="R92" s="127" t="str">
        <f t="shared" si="18"/>
        <v/>
      </c>
      <c r="S92" s="128" t="str">
        <f t="shared" si="21"/>
        <v/>
      </c>
      <c r="T92" s="129"/>
      <c r="Y92">
        <f t="shared" si="19"/>
        <v>0</v>
      </c>
      <c r="Z92">
        <f t="shared" si="22"/>
        <v>0</v>
      </c>
      <c r="AA92">
        <f t="shared" si="23"/>
        <v>0</v>
      </c>
      <c r="AB92">
        <f t="shared" si="24"/>
        <v>0</v>
      </c>
      <c r="AC92">
        <f t="shared" si="25"/>
        <v>0</v>
      </c>
      <c r="AD92">
        <f t="shared" si="26"/>
        <v>0</v>
      </c>
      <c r="AE92">
        <f t="shared" si="27"/>
        <v>0</v>
      </c>
      <c r="AF92">
        <f t="shared" si="28"/>
        <v>0</v>
      </c>
    </row>
    <row r="93" spans="1:32">
      <c r="A93" s="32">
        <f t="shared" si="16"/>
        <v>84</v>
      </c>
      <c r="B93" s="108"/>
      <c r="C93" s="109"/>
      <c r="D93" s="107"/>
      <c r="E93" s="103"/>
      <c r="F93" s="103"/>
      <c r="G93" s="104" t="str">
        <f t="shared" si="20"/>
        <v/>
      </c>
      <c r="H93" s="110"/>
      <c r="I93" s="107"/>
      <c r="J93" s="107"/>
      <c r="K93" s="107"/>
      <c r="L93" s="107"/>
      <c r="M93" s="107"/>
      <c r="N93" s="107"/>
      <c r="O93" s="107"/>
      <c r="P93" s="107"/>
      <c r="Q93" s="126" t="str">
        <f t="shared" si="17"/>
        <v/>
      </c>
      <c r="R93" s="127" t="str">
        <f t="shared" si="18"/>
        <v/>
      </c>
      <c r="S93" s="128" t="str">
        <f t="shared" si="21"/>
        <v/>
      </c>
      <c r="T93" s="129"/>
      <c r="Y93">
        <f t="shared" si="19"/>
        <v>0</v>
      </c>
      <c r="Z93">
        <f t="shared" si="22"/>
        <v>0</v>
      </c>
      <c r="AA93">
        <f t="shared" si="23"/>
        <v>0</v>
      </c>
      <c r="AB93">
        <f t="shared" si="24"/>
        <v>0</v>
      </c>
      <c r="AC93">
        <f t="shared" si="25"/>
        <v>0</v>
      </c>
      <c r="AD93">
        <f t="shared" si="26"/>
        <v>0</v>
      </c>
      <c r="AE93">
        <f t="shared" si="27"/>
        <v>0</v>
      </c>
      <c r="AF93">
        <f t="shared" si="28"/>
        <v>0</v>
      </c>
    </row>
    <row r="94" spans="1:32">
      <c r="A94" s="32">
        <f t="shared" si="16"/>
        <v>85</v>
      </c>
      <c r="B94" s="108"/>
      <c r="C94" s="109"/>
      <c r="D94" s="107"/>
      <c r="E94" s="103"/>
      <c r="F94" s="103"/>
      <c r="G94" s="104" t="str">
        <f t="shared" si="20"/>
        <v/>
      </c>
      <c r="H94" s="110"/>
      <c r="I94" s="107"/>
      <c r="J94" s="107"/>
      <c r="K94" s="107"/>
      <c r="L94" s="107"/>
      <c r="M94" s="107"/>
      <c r="N94" s="107"/>
      <c r="O94" s="107"/>
      <c r="P94" s="107"/>
      <c r="Q94" s="126" t="str">
        <f t="shared" si="17"/>
        <v/>
      </c>
      <c r="R94" s="127" t="str">
        <f t="shared" si="18"/>
        <v/>
      </c>
      <c r="S94" s="128" t="str">
        <f t="shared" si="21"/>
        <v/>
      </c>
      <c r="T94" s="129"/>
      <c r="Y94">
        <f t="shared" si="19"/>
        <v>0</v>
      </c>
      <c r="Z94">
        <f t="shared" si="22"/>
        <v>0</v>
      </c>
      <c r="AA94">
        <f t="shared" si="23"/>
        <v>0</v>
      </c>
      <c r="AB94">
        <f t="shared" si="24"/>
        <v>0</v>
      </c>
      <c r="AC94">
        <f t="shared" si="25"/>
        <v>0</v>
      </c>
      <c r="AD94">
        <f t="shared" si="26"/>
        <v>0</v>
      </c>
      <c r="AE94">
        <f t="shared" si="27"/>
        <v>0</v>
      </c>
      <c r="AF94">
        <f t="shared" si="28"/>
        <v>0</v>
      </c>
    </row>
    <row r="95" spans="1:32">
      <c r="A95" s="32">
        <f t="shared" si="16"/>
        <v>86</v>
      </c>
      <c r="B95" s="108"/>
      <c r="C95" s="109"/>
      <c r="D95" s="107"/>
      <c r="E95" s="103"/>
      <c r="F95" s="103"/>
      <c r="G95" s="104" t="str">
        <f t="shared" si="20"/>
        <v/>
      </c>
      <c r="H95" s="110"/>
      <c r="I95" s="107"/>
      <c r="J95" s="107"/>
      <c r="K95" s="107"/>
      <c r="L95" s="107"/>
      <c r="M95" s="107"/>
      <c r="N95" s="107"/>
      <c r="O95" s="107"/>
      <c r="P95" s="107"/>
      <c r="Q95" s="126" t="str">
        <f t="shared" si="17"/>
        <v/>
      </c>
      <c r="R95" s="127" t="str">
        <f t="shared" si="18"/>
        <v/>
      </c>
      <c r="S95" s="128" t="str">
        <f t="shared" si="21"/>
        <v/>
      </c>
      <c r="T95" s="129"/>
      <c r="Y95">
        <f t="shared" si="19"/>
        <v>0</v>
      </c>
      <c r="Z95">
        <f t="shared" si="22"/>
        <v>0</v>
      </c>
      <c r="AA95">
        <f t="shared" si="23"/>
        <v>0</v>
      </c>
      <c r="AB95">
        <f t="shared" si="24"/>
        <v>0</v>
      </c>
      <c r="AC95">
        <f t="shared" si="25"/>
        <v>0</v>
      </c>
      <c r="AD95">
        <f t="shared" si="26"/>
        <v>0</v>
      </c>
      <c r="AE95">
        <f t="shared" si="27"/>
        <v>0</v>
      </c>
      <c r="AF95">
        <f t="shared" si="28"/>
        <v>0</v>
      </c>
    </row>
    <row r="96" spans="1:32">
      <c r="A96" s="32">
        <f t="shared" si="16"/>
        <v>87</v>
      </c>
      <c r="B96" s="108"/>
      <c r="C96" s="109"/>
      <c r="D96" s="107"/>
      <c r="E96" s="103"/>
      <c r="F96" s="103"/>
      <c r="G96" s="104" t="str">
        <f t="shared" si="20"/>
        <v/>
      </c>
      <c r="H96" s="110"/>
      <c r="I96" s="107"/>
      <c r="J96" s="107"/>
      <c r="K96" s="107"/>
      <c r="L96" s="107"/>
      <c r="M96" s="107"/>
      <c r="N96" s="107"/>
      <c r="O96" s="107"/>
      <c r="P96" s="107"/>
      <c r="Q96" s="126" t="str">
        <f t="shared" si="17"/>
        <v/>
      </c>
      <c r="R96" s="127" t="str">
        <f t="shared" si="18"/>
        <v/>
      </c>
      <c r="S96" s="128" t="str">
        <f t="shared" si="21"/>
        <v/>
      </c>
      <c r="T96" s="129"/>
      <c r="Y96">
        <f t="shared" si="19"/>
        <v>0</v>
      </c>
      <c r="Z96">
        <f t="shared" si="22"/>
        <v>0</v>
      </c>
      <c r="AA96">
        <f t="shared" si="23"/>
        <v>0</v>
      </c>
      <c r="AB96">
        <f t="shared" si="24"/>
        <v>0</v>
      </c>
      <c r="AC96">
        <f t="shared" si="25"/>
        <v>0</v>
      </c>
      <c r="AD96">
        <f t="shared" si="26"/>
        <v>0</v>
      </c>
      <c r="AE96">
        <f t="shared" si="27"/>
        <v>0</v>
      </c>
      <c r="AF96">
        <f t="shared" si="28"/>
        <v>0</v>
      </c>
    </row>
    <row r="97" spans="1:32">
      <c r="A97" s="32">
        <f t="shared" si="16"/>
        <v>88</v>
      </c>
      <c r="B97" s="108"/>
      <c r="C97" s="109"/>
      <c r="D97" s="107"/>
      <c r="E97" s="103"/>
      <c r="F97" s="103"/>
      <c r="G97" s="104" t="str">
        <f t="shared" si="20"/>
        <v/>
      </c>
      <c r="H97" s="110"/>
      <c r="I97" s="107"/>
      <c r="J97" s="107"/>
      <c r="K97" s="107"/>
      <c r="L97" s="107"/>
      <c r="M97" s="107"/>
      <c r="N97" s="107"/>
      <c r="O97" s="107"/>
      <c r="P97" s="107"/>
      <c r="Q97" s="126" t="str">
        <f t="shared" si="17"/>
        <v/>
      </c>
      <c r="R97" s="127" t="str">
        <f t="shared" si="18"/>
        <v/>
      </c>
      <c r="S97" s="128" t="str">
        <f t="shared" si="21"/>
        <v/>
      </c>
      <c r="T97" s="129"/>
      <c r="Y97">
        <f t="shared" si="19"/>
        <v>0</v>
      </c>
      <c r="Z97">
        <f t="shared" si="22"/>
        <v>0</v>
      </c>
      <c r="AA97">
        <f t="shared" si="23"/>
        <v>0</v>
      </c>
      <c r="AB97">
        <f t="shared" si="24"/>
        <v>0</v>
      </c>
      <c r="AC97">
        <f t="shared" si="25"/>
        <v>0</v>
      </c>
      <c r="AD97">
        <f t="shared" si="26"/>
        <v>0</v>
      </c>
      <c r="AE97">
        <f t="shared" si="27"/>
        <v>0</v>
      </c>
      <c r="AF97">
        <f t="shared" si="28"/>
        <v>0</v>
      </c>
    </row>
    <row r="98" spans="1:32">
      <c r="A98" s="32">
        <f t="shared" si="16"/>
        <v>89</v>
      </c>
      <c r="B98" s="108"/>
      <c r="C98" s="109"/>
      <c r="D98" s="107"/>
      <c r="E98" s="103"/>
      <c r="F98" s="103"/>
      <c r="G98" s="104" t="str">
        <f t="shared" si="20"/>
        <v/>
      </c>
      <c r="H98" s="110"/>
      <c r="I98" s="107"/>
      <c r="J98" s="107"/>
      <c r="K98" s="107"/>
      <c r="L98" s="107"/>
      <c r="M98" s="107"/>
      <c r="N98" s="107"/>
      <c r="O98" s="107"/>
      <c r="P98" s="107"/>
      <c r="Q98" s="126" t="str">
        <f t="shared" si="17"/>
        <v/>
      </c>
      <c r="R98" s="127" t="str">
        <f t="shared" si="18"/>
        <v/>
      </c>
      <c r="S98" s="128" t="str">
        <f t="shared" si="21"/>
        <v/>
      </c>
      <c r="T98" s="129"/>
      <c r="Y98">
        <f t="shared" si="19"/>
        <v>0</v>
      </c>
      <c r="Z98">
        <f t="shared" si="22"/>
        <v>0</v>
      </c>
      <c r="AA98">
        <f t="shared" si="23"/>
        <v>0</v>
      </c>
      <c r="AB98">
        <f t="shared" si="24"/>
        <v>0</v>
      </c>
      <c r="AC98">
        <f t="shared" si="25"/>
        <v>0</v>
      </c>
      <c r="AD98">
        <f t="shared" si="26"/>
        <v>0</v>
      </c>
      <c r="AE98">
        <f t="shared" si="27"/>
        <v>0</v>
      </c>
      <c r="AF98">
        <f t="shared" si="28"/>
        <v>0</v>
      </c>
    </row>
    <row r="99" spans="1:32">
      <c r="A99" s="32">
        <f t="shared" si="16"/>
        <v>90</v>
      </c>
      <c r="B99" s="108"/>
      <c r="C99" s="109"/>
      <c r="D99" s="107"/>
      <c r="E99" s="103"/>
      <c r="F99" s="103"/>
      <c r="G99" s="104" t="str">
        <f t="shared" si="20"/>
        <v/>
      </c>
      <c r="H99" s="110"/>
      <c r="I99" s="107"/>
      <c r="J99" s="107"/>
      <c r="K99" s="107"/>
      <c r="L99" s="107"/>
      <c r="M99" s="107"/>
      <c r="N99" s="107"/>
      <c r="O99" s="107"/>
      <c r="P99" s="107"/>
      <c r="Q99" s="126" t="str">
        <f t="shared" si="17"/>
        <v/>
      </c>
      <c r="R99" s="127" t="str">
        <f t="shared" si="18"/>
        <v/>
      </c>
      <c r="S99" s="128" t="str">
        <f t="shared" si="21"/>
        <v/>
      </c>
      <c r="T99" s="129"/>
      <c r="Y99">
        <f t="shared" si="19"/>
        <v>0</v>
      </c>
      <c r="Z99">
        <f t="shared" si="22"/>
        <v>0</v>
      </c>
      <c r="AA99">
        <f t="shared" si="23"/>
        <v>0</v>
      </c>
      <c r="AB99">
        <f t="shared" si="24"/>
        <v>0</v>
      </c>
      <c r="AC99">
        <f t="shared" si="25"/>
        <v>0</v>
      </c>
      <c r="AD99">
        <f t="shared" si="26"/>
        <v>0</v>
      </c>
      <c r="AE99">
        <f t="shared" si="27"/>
        <v>0</v>
      </c>
      <c r="AF99">
        <f t="shared" si="28"/>
        <v>0</v>
      </c>
    </row>
    <row r="100" spans="1:32">
      <c r="A100" s="32">
        <f t="shared" si="16"/>
        <v>91</v>
      </c>
      <c r="B100" s="108"/>
      <c r="C100" s="109"/>
      <c r="D100" s="107"/>
      <c r="E100" s="103"/>
      <c r="F100" s="103"/>
      <c r="G100" s="104" t="str">
        <f t="shared" si="20"/>
        <v/>
      </c>
      <c r="H100" s="110"/>
      <c r="I100" s="107"/>
      <c r="J100" s="107"/>
      <c r="K100" s="107"/>
      <c r="L100" s="107"/>
      <c r="M100" s="107"/>
      <c r="N100" s="107"/>
      <c r="O100" s="107"/>
      <c r="P100" s="107"/>
      <c r="Q100" s="126" t="str">
        <f t="shared" si="17"/>
        <v/>
      </c>
      <c r="R100" s="127" t="str">
        <f t="shared" si="18"/>
        <v/>
      </c>
      <c r="S100" s="128" t="str">
        <f t="shared" si="21"/>
        <v/>
      </c>
      <c r="T100" s="129"/>
      <c r="Y100">
        <f t="shared" si="19"/>
        <v>0</v>
      </c>
      <c r="Z100">
        <f t="shared" si="22"/>
        <v>0</v>
      </c>
      <c r="AA100">
        <f t="shared" si="23"/>
        <v>0</v>
      </c>
      <c r="AB100">
        <f t="shared" si="24"/>
        <v>0</v>
      </c>
      <c r="AC100">
        <f t="shared" si="25"/>
        <v>0</v>
      </c>
      <c r="AD100">
        <f t="shared" si="26"/>
        <v>0</v>
      </c>
      <c r="AE100">
        <f t="shared" si="27"/>
        <v>0</v>
      </c>
      <c r="AF100">
        <f t="shared" si="28"/>
        <v>0</v>
      </c>
    </row>
    <row r="101" spans="1:32">
      <c r="A101" s="32">
        <f t="shared" si="16"/>
        <v>92</v>
      </c>
      <c r="B101" s="108"/>
      <c r="C101" s="109"/>
      <c r="D101" s="107"/>
      <c r="E101" s="103"/>
      <c r="F101" s="103"/>
      <c r="G101" s="104" t="str">
        <f t="shared" si="20"/>
        <v/>
      </c>
      <c r="H101" s="110"/>
      <c r="I101" s="107"/>
      <c r="J101" s="107"/>
      <c r="K101" s="107"/>
      <c r="L101" s="107"/>
      <c r="M101" s="107"/>
      <c r="N101" s="107"/>
      <c r="O101" s="107"/>
      <c r="P101" s="107"/>
      <c r="Q101" s="126" t="str">
        <f t="shared" si="17"/>
        <v/>
      </c>
      <c r="R101" s="127" t="str">
        <f t="shared" si="18"/>
        <v/>
      </c>
      <c r="S101" s="128" t="str">
        <f t="shared" si="21"/>
        <v/>
      </c>
      <c r="T101" s="129"/>
      <c r="Y101">
        <f t="shared" si="19"/>
        <v>0</v>
      </c>
      <c r="Z101">
        <f t="shared" si="22"/>
        <v>0</v>
      </c>
      <c r="AA101">
        <f t="shared" si="23"/>
        <v>0</v>
      </c>
      <c r="AB101">
        <f t="shared" si="24"/>
        <v>0</v>
      </c>
      <c r="AC101">
        <f t="shared" si="25"/>
        <v>0</v>
      </c>
      <c r="AD101">
        <f t="shared" si="26"/>
        <v>0</v>
      </c>
      <c r="AE101">
        <f t="shared" si="27"/>
        <v>0</v>
      </c>
      <c r="AF101">
        <f t="shared" si="28"/>
        <v>0</v>
      </c>
    </row>
    <row r="102" spans="1:32">
      <c r="A102" s="32">
        <f t="shared" si="16"/>
        <v>93</v>
      </c>
      <c r="B102" s="108"/>
      <c r="C102" s="109"/>
      <c r="D102" s="107"/>
      <c r="E102" s="103"/>
      <c r="F102" s="103"/>
      <c r="G102" s="104" t="str">
        <f t="shared" si="20"/>
        <v/>
      </c>
      <c r="H102" s="110"/>
      <c r="I102" s="107"/>
      <c r="J102" s="107"/>
      <c r="K102" s="107"/>
      <c r="L102" s="107"/>
      <c r="M102" s="107"/>
      <c r="N102" s="107"/>
      <c r="O102" s="107"/>
      <c r="P102" s="107"/>
      <c r="Q102" s="126" t="str">
        <f t="shared" si="17"/>
        <v/>
      </c>
      <c r="R102" s="127" t="str">
        <f t="shared" si="18"/>
        <v/>
      </c>
      <c r="S102" s="128" t="str">
        <f t="shared" si="21"/>
        <v/>
      </c>
      <c r="T102" s="129"/>
      <c r="Y102">
        <f t="shared" si="19"/>
        <v>0</v>
      </c>
      <c r="Z102">
        <f t="shared" si="22"/>
        <v>0</v>
      </c>
      <c r="AA102">
        <f t="shared" si="23"/>
        <v>0</v>
      </c>
      <c r="AB102">
        <f t="shared" si="24"/>
        <v>0</v>
      </c>
      <c r="AC102">
        <f t="shared" si="25"/>
        <v>0</v>
      </c>
      <c r="AD102">
        <f t="shared" si="26"/>
        <v>0</v>
      </c>
      <c r="AE102">
        <f t="shared" si="27"/>
        <v>0</v>
      </c>
      <c r="AF102">
        <f t="shared" si="28"/>
        <v>0</v>
      </c>
    </row>
    <row r="103" spans="1:32">
      <c r="A103" s="32">
        <f t="shared" si="16"/>
        <v>94</v>
      </c>
      <c r="B103" s="108"/>
      <c r="C103" s="109"/>
      <c r="D103" s="107"/>
      <c r="E103" s="103"/>
      <c r="F103" s="103"/>
      <c r="G103" s="104" t="str">
        <f t="shared" si="20"/>
        <v/>
      </c>
      <c r="H103" s="110"/>
      <c r="I103" s="107"/>
      <c r="J103" s="107"/>
      <c r="K103" s="107"/>
      <c r="L103" s="107"/>
      <c r="M103" s="107"/>
      <c r="N103" s="107"/>
      <c r="O103" s="107"/>
      <c r="P103" s="107"/>
      <c r="Q103" s="126" t="str">
        <f t="shared" si="17"/>
        <v/>
      </c>
      <c r="R103" s="127" t="str">
        <f t="shared" si="18"/>
        <v/>
      </c>
      <c r="S103" s="128" t="str">
        <f t="shared" si="21"/>
        <v/>
      </c>
      <c r="T103" s="129"/>
      <c r="Y103">
        <f t="shared" si="19"/>
        <v>0</v>
      </c>
      <c r="Z103">
        <f t="shared" si="22"/>
        <v>0</v>
      </c>
      <c r="AA103">
        <f t="shared" si="23"/>
        <v>0</v>
      </c>
      <c r="AB103">
        <f t="shared" si="24"/>
        <v>0</v>
      </c>
      <c r="AC103">
        <f t="shared" si="25"/>
        <v>0</v>
      </c>
      <c r="AD103">
        <f t="shared" si="26"/>
        <v>0</v>
      </c>
      <c r="AE103">
        <f t="shared" si="27"/>
        <v>0</v>
      </c>
      <c r="AF103">
        <f t="shared" si="28"/>
        <v>0</v>
      </c>
    </row>
    <row r="104" spans="1:32">
      <c r="A104" s="32">
        <f t="shared" si="16"/>
        <v>95</v>
      </c>
      <c r="B104" s="108"/>
      <c r="C104" s="109"/>
      <c r="D104" s="107"/>
      <c r="E104" s="103"/>
      <c r="F104" s="103"/>
      <c r="G104" s="104" t="str">
        <f t="shared" si="20"/>
        <v/>
      </c>
      <c r="H104" s="110"/>
      <c r="I104" s="107"/>
      <c r="J104" s="107"/>
      <c r="K104" s="107"/>
      <c r="L104" s="107"/>
      <c r="M104" s="107"/>
      <c r="N104" s="107"/>
      <c r="O104" s="107"/>
      <c r="P104" s="107"/>
      <c r="Q104" s="126" t="str">
        <f t="shared" si="17"/>
        <v/>
      </c>
      <c r="R104" s="127" t="str">
        <f t="shared" si="18"/>
        <v/>
      </c>
      <c r="S104" s="128" t="str">
        <f t="shared" si="21"/>
        <v/>
      </c>
      <c r="T104" s="129"/>
      <c r="Y104">
        <f t="shared" si="19"/>
        <v>0</v>
      </c>
      <c r="Z104">
        <f t="shared" si="22"/>
        <v>0</v>
      </c>
      <c r="AA104">
        <f t="shared" si="23"/>
        <v>0</v>
      </c>
      <c r="AB104">
        <f t="shared" si="24"/>
        <v>0</v>
      </c>
      <c r="AC104">
        <f t="shared" si="25"/>
        <v>0</v>
      </c>
      <c r="AD104">
        <f t="shared" si="26"/>
        <v>0</v>
      </c>
      <c r="AE104">
        <f t="shared" si="27"/>
        <v>0</v>
      </c>
      <c r="AF104">
        <f t="shared" si="28"/>
        <v>0</v>
      </c>
    </row>
    <row r="105" spans="1:32">
      <c r="A105" s="32">
        <f t="shared" si="16"/>
        <v>96</v>
      </c>
      <c r="B105" s="108"/>
      <c r="C105" s="109"/>
      <c r="D105" s="107"/>
      <c r="E105" s="103"/>
      <c r="F105" s="103"/>
      <c r="G105" s="104" t="str">
        <f t="shared" si="20"/>
        <v/>
      </c>
      <c r="H105" s="110"/>
      <c r="I105" s="107"/>
      <c r="J105" s="107"/>
      <c r="K105" s="107"/>
      <c r="L105" s="107"/>
      <c r="M105" s="107"/>
      <c r="N105" s="107"/>
      <c r="O105" s="107"/>
      <c r="P105" s="107"/>
      <c r="Q105" s="126" t="str">
        <f t="shared" si="17"/>
        <v/>
      </c>
      <c r="R105" s="127" t="str">
        <f t="shared" si="18"/>
        <v/>
      </c>
      <c r="S105" s="128" t="str">
        <f t="shared" si="21"/>
        <v/>
      </c>
      <c r="T105" s="129"/>
      <c r="Y105">
        <f t="shared" si="19"/>
        <v>0</v>
      </c>
      <c r="Z105">
        <f t="shared" si="22"/>
        <v>0</v>
      </c>
      <c r="AA105">
        <f t="shared" si="23"/>
        <v>0</v>
      </c>
      <c r="AB105">
        <f t="shared" si="24"/>
        <v>0</v>
      </c>
      <c r="AC105">
        <f t="shared" si="25"/>
        <v>0</v>
      </c>
      <c r="AD105">
        <f t="shared" si="26"/>
        <v>0</v>
      </c>
      <c r="AE105">
        <f t="shared" si="27"/>
        <v>0</v>
      </c>
      <c r="AF105">
        <f t="shared" si="28"/>
        <v>0</v>
      </c>
    </row>
    <row r="106" spans="1:32">
      <c r="A106" s="32">
        <f t="shared" si="16"/>
        <v>97</v>
      </c>
      <c r="B106" s="108"/>
      <c r="C106" s="109"/>
      <c r="D106" s="107"/>
      <c r="E106" s="103"/>
      <c r="F106" s="103"/>
      <c r="G106" s="104" t="str">
        <f t="shared" si="20"/>
        <v/>
      </c>
      <c r="H106" s="110"/>
      <c r="I106" s="107"/>
      <c r="J106" s="107"/>
      <c r="K106" s="107"/>
      <c r="L106" s="107"/>
      <c r="M106" s="107"/>
      <c r="N106" s="107"/>
      <c r="O106" s="107"/>
      <c r="P106" s="107"/>
      <c r="Q106" s="126" t="str">
        <f t="shared" ref="Q106:Q109" si="29">IF(C106&lt;&gt;"",SUM(I106:P106),"")</f>
        <v/>
      </c>
      <c r="R106" s="127" t="str">
        <f t="shared" ref="R106:R109" si="30">IF(AND(Q106&gt;0,C106&lt;&gt;""),Q106/Q$9,"")</f>
        <v/>
      </c>
      <c r="S106" s="128" t="str">
        <f t="shared" si="21"/>
        <v/>
      </c>
      <c r="T106" s="129"/>
      <c r="Y106">
        <f t="shared" si="19"/>
        <v>0</v>
      </c>
      <c r="Z106">
        <f t="shared" si="22"/>
        <v>0</v>
      </c>
      <c r="AA106">
        <f t="shared" si="23"/>
        <v>0</v>
      </c>
      <c r="AB106">
        <f t="shared" si="24"/>
        <v>0</v>
      </c>
      <c r="AC106">
        <f t="shared" si="25"/>
        <v>0</v>
      </c>
      <c r="AD106">
        <f t="shared" si="26"/>
        <v>0</v>
      </c>
      <c r="AE106">
        <f t="shared" si="27"/>
        <v>0</v>
      </c>
      <c r="AF106">
        <f t="shared" si="28"/>
        <v>0</v>
      </c>
    </row>
    <row r="107" spans="1:32">
      <c r="A107" s="32">
        <f t="shared" si="16"/>
        <v>98</v>
      </c>
      <c r="B107" s="108"/>
      <c r="C107" s="109"/>
      <c r="D107" s="107"/>
      <c r="E107" s="103"/>
      <c r="F107" s="103"/>
      <c r="G107" s="104" t="str">
        <f t="shared" si="20"/>
        <v/>
      </c>
      <c r="H107" s="110"/>
      <c r="I107" s="107"/>
      <c r="J107" s="107"/>
      <c r="K107" s="107"/>
      <c r="L107" s="107"/>
      <c r="M107" s="107"/>
      <c r="N107" s="107"/>
      <c r="O107" s="107"/>
      <c r="P107" s="107"/>
      <c r="Q107" s="126" t="str">
        <f t="shared" si="29"/>
        <v/>
      </c>
      <c r="R107" s="127" t="str">
        <f t="shared" si="30"/>
        <v/>
      </c>
      <c r="S107" s="128" t="str">
        <f t="shared" si="21"/>
        <v/>
      </c>
      <c r="T107" s="129"/>
      <c r="Y107">
        <f t="shared" si="19"/>
        <v>0</v>
      </c>
      <c r="Z107">
        <f t="shared" si="22"/>
        <v>0</v>
      </c>
      <c r="AA107">
        <f t="shared" si="23"/>
        <v>0</v>
      </c>
      <c r="AB107">
        <f t="shared" si="24"/>
        <v>0</v>
      </c>
      <c r="AC107">
        <f t="shared" si="25"/>
        <v>0</v>
      </c>
      <c r="AD107">
        <f t="shared" si="26"/>
        <v>0</v>
      </c>
      <c r="AE107">
        <f t="shared" si="27"/>
        <v>0</v>
      </c>
      <c r="AF107">
        <f t="shared" si="28"/>
        <v>0</v>
      </c>
    </row>
    <row r="108" spans="1:32">
      <c r="A108" s="32">
        <f t="shared" si="16"/>
        <v>99</v>
      </c>
      <c r="B108" s="108"/>
      <c r="C108" s="109"/>
      <c r="D108" s="107"/>
      <c r="E108" s="103"/>
      <c r="F108" s="103"/>
      <c r="G108" s="104" t="str">
        <f t="shared" si="20"/>
        <v/>
      </c>
      <c r="H108" s="110"/>
      <c r="I108" s="107"/>
      <c r="J108" s="107"/>
      <c r="K108" s="107"/>
      <c r="L108" s="107"/>
      <c r="M108" s="107"/>
      <c r="N108" s="107"/>
      <c r="O108" s="107"/>
      <c r="P108" s="107"/>
      <c r="Q108" s="126" t="str">
        <f t="shared" si="29"/>
        <v/>
      </c>
      <c r="R108" s="127" t="str">
        <f t="shared" si="30"/>
        <v/>
      </c>
      <c r="S108" s="128" t="str">
        <f t="shared" si="21"/>
        <v/>
      </c>
      <c r="T108" s="129"/>
      <c r="Y108">
        <f t="shared" si="19"/>
        <v>0</v>
      </c>
      <c r="Z108">
        <f t="shared" si="22"/>
        <v>0</v>
      </c>
      <c r="AA108">
        <f t="shared" si="23"/>
        <v>0</v>
      </c>
      <c r="AB108">
        <f t="shared" si="24"/>
        <v>0</v>
      </c>
      <c r="AC108">
        <f t="shared" si="25"/>
        <v>0</v>
      </c>
      <c r="AD108">
        <f t="shared" si="26"/>
        <v>0</v>
      </c>
      <c r="AE108">
        <f t="shared" si="27"/>
        <v>0</v>
      </c>
      <c r="AF108">
        <f t="shared" si="28"/>
        <v>0</v>
      </c>
    </row>
    <row r="109" spans="1:32">
      <c r="A109" s="130">
        <v>100</v>
      </c>
      <c r="B109" s="131"/>
      <c r="C109" s="132"/>
      <c r="D109" s="133"/>
      <c r="E109" s="134"/>
      <c r="F109" s="134"/>
      <c r="G109" s="135" t="str">
        <f t="shared" si="20"/>
        <v/>
      </c>
      <c r="H109" s="136"/>
      <c r="I109" s="133"/>
      <c r="J109" s="133"/>
      <c r="K109" s="133"/>
      <c r="L109" s="133"/>
      <c r="M109" s="133"/>
      <c r="N109" s="133"/>
      <c r="O109" s="133"/>
      <c r="P109" s="133"/>
      <c r="Q109" s="138" t="str">
        <f t="shared" si="29"/>
        <v/>
      </c>
      <c r="R109" s="139" t="str">
        <f t="shared" si="30"/>
        <v/>
      </c>
      <c r="S109" s="140" t="str">
        <f t="shared" si="21"/>
        <v/>
      </c>
      <c r="T109" s="141"/>
      <c r="Y109">
        <f t="shared" si="19"/>
        <v>0</v>
      </c>
      <c r="Z109">
        <f t="shared" si="22"/>
        <v>0</v>
      </c>
      <c r="AA109">
        <f t="shared" si="23"/>
        <v>0</v>
      </c>
      <c r="AB109">
        <f t="shared" si="24"/>
        <v>0</v>
      </c>
      <c r="AC109">
        <f t="shared" si="25"/>
        <v>0</v>
      </c>
      <c r="AD109">
        <f t="shared" si="26"/>
        <v>0</v>
      </c>
      <c r="AE109">
        <f t="shared" si="27"/>
        <v>0</v>
      </c>
      <c r="AF109">
        <f t="shared" si="28"/>
        <v>0</v>
      </c>
    </row>
    <row r="110" spans="1:32">
      <c r="E110" s="137"/>
      <c r="F110" s="137"/>
    </row>
    <row r="111" spans="1:32">
      <c r="E111" s="137"/>
      <c r="F111" s="137"/>
    </row>
    <row r="112" spans="1:32" ht="15" customHeight="1">
      <c r="E112" s="137"/>
      <c r="F112" s="137"/>
    </row>
  </sheetData>
  <sheetProtection algorithmName="SHA-512" hashValue="6TZIiJi7BBYmuwOWW3pHEAwg53c5XrazPTuGhKV6TDsdd5Ux6/fqEoxgzVTQGm1cq6dCTowx6eBYOqMCDGbgZQ==" saltValue="jrzMfHb8DyrclAzZRAq52Q==" spinCount="100000" sheet="1" objects="1" scenarios="1" formatColumns="0" formatRows="0"/>
  <mergeCells count="18">
    <mergeCell ref="A4:B4"/>
    <mergeCell ref="A5:B5"/>
    <mergeCell ref="D5:R5"/>
    <mergeCell ref="A6:B6"/>
    <mergeCell ref="D6:E6"/>
    <mergeCell ref="F6:H6"/>
    <mergeCell ref="I6:J6"/>
    <mergeCell ref="K6:L6"/>
    <mergeCell ref="M6:N6"/>
    <mergeCell ref="P6:Q6"/>
    <mergeCell ref="M7:N7"/>
    <mergeCell ref="P7:R7"/>
    <mergeCell ref="S5:T7"/>
    <mergeCell ref="A7:B7"/>
    <mergeCell ref="D7:E7"/>
    <mergeCell ref="F7:H7"/>
    <mergeCell ref="I7:J7"/>
    <mergeCell ref="K7:L7"/>
  </mergeCells>
  <conditionalFormatting sqref="C6">
    <cfRule type="containsText" dxfId="8" priority="27" operator="containsText" text="[enter school school id here]">
      <formula>NOT(ISERROR(SEARCH("[enter school school id here]",C6)))</formula>
    </cfRule>
  </conditionalFormatting>
  <conditionalFormatting sqref="C7">
    <cfRule type="containsText" dxfId="7" priority="29" operator="containsText" text="[enter teacher name here]">
      <formula>NOT(ISERROR(SEARCH("[enter teacher name here]",C7)))</formula>
    </cfRule>
  </conditionalFormatting>
  <conditionalFormatting sqref="H10:H25">
    <cfRule type="containsText" dxfId="6" priority="1" operator="containsText" text="[choose language here]">
      <formula>NOT(ISERROR(SEARCH("[choose language here]",H10)))</formula>
    </cfRule>
  </conditionalFormatting>
  <conditionalFormatting sqref="I10:P109">
    <cfRule type="expression" dxfId="5" priority="4">
      <formula>AND(I10/I$9&lt;75%,$C10&lt;&gt;"")</formula>
    </cfRule>
  </conditionalFormatting>
  <conditionalFormatting sqref="K6">
    <cfRule type="containsText" dxfId="4" priority="24" operator="containsText" text="[choose language here]">
      <formula>NOT(ISERROR(SEARCH("[choose language here]",K6)))</formula>
    </cfRule>
  </conditionalFormatting>
  <conditionalFormatting sqref="R10:R109">
    <cfRule type="cellIs" dxfId="3" priority="3" operator="lessThanOrEqual">
      <formula>0.5</formula>
    </cfRule>
  </conditionalFormatting>
  <conditionalFormatting sqref="S10:S109">
    <cfRule type="containsText" dxfId="2" priority="2" operator="containsText" text="Emerging">
      <formula>NOT(ISERROR(SEARCH("Emerging",S10)))</formula>
    </cfRule>
  </conditionalFormatting>
  <dataValidations count="16">
    <dataValidation type="list" allowBlank="1" showInputMessage="1" showErrorMessage="1" sqref="C4" xr:uid="{00000000-0002-0000-0000-000000000000}">
      <formula1>"BoSY, MoSY, EoSY"</formula1>
    </dataValidation>
    <dataValidation type="whole" allowBlank="1" showInputMessage="1" showErrorMessage="1" error="Enter the 6-digit School ID" sqref="C6" xr:uid="{00000000-0002-0000-0000-000002000000}">
      <formula1>100000</formula1>
      <formula2>999999</formula2>
    </dataValidation>
    <dataValidation allowBlank="1" showInputMessage="1" showErrorMessage="1" error="Enter the 6-digit School ID" sqref="D6:E6" xr:uid="{00000000-0002-0000-0000-000003000000}"/>
    <dataValidation type="list" allowBlank="1" showInputMessage="1" showErrorMessage="1" sqref="D10:D109" xr:uid="{00000000-0002-0000-0000-000005000000}">
      <formula1>"Male, Female"</formula1>
    </dataValidation>
    <dataValidation type="date" errorStyle="warning" allowBlank="1" showInputMessage="1" showErrorMessage="1" error="Enter the Date of Assessment in Correct Format (mm/dd/yy)" sqref="F10:F109" xr:uid="{00000000-0002-0000-0000-000007000000}">
      <formula1>44197</formula1>
      <formula2>55153</formula2>
    </dataValidation>
    <dataValidation errorStyle="warning" allowBlank="1" showInputMessage="1" showErrorMessage="1" error="Enter the Date of Assessment in Correct Format (mm/dd/yy)" sqref="G10:G109" xr:uid="{00000000-0002-0000-0000-000008000000}"/>
    <dataValidation type="whole" allowBlank="1" showInputMessage="1" showErrorMessage="1" error="Score must be between 0 - 19" prompt="Enter Learner Score between 0 -8" sqref="I10:I109" xr:uid="{00000000-0002-0000-0000-00000A000000}">
      <formula1>0</formula1>
      <formula2>I$9</formula2>
    </dataValidation>
    <dataValidation type="whole" allowBlank="1" showInputMessage="1" showErrorMessage="1" error="Score must be between 0 - 4" prompt="Enter Learner Score between 0 - 2" sqref="J10:J109" xr:uid="{00000000-0002-0000-0000-00000B000000}">
      <formula1>0</formula1>
      <formula2>J$9</formula2>
    </dataValidation>
    <dataValidation type="whole" allowBlank="1" showInputMessage="1" showErrorMessage="1" error="Score must be between 0 - 9" prompt="Enter Learner Score between 0 - 8" sqref="K10:K109" xr:uid="{00000000-0002-0000-0000-00000C000000}">
      <formula1>0</formula1>
      <formula2>K$9</formula2>
    </dataValidation>
    <dataValidation type="whole" allowBlank="1" showInputMessage="1" showErrorMessage="1" error="Score must be between 0 - 6" prompt="Enter Learner Score between 0 - 6" sqref="L10:L109" xr:uid="{00000000-0002-0000-0000-00000D000000}">
      <formula1>0</formula1>
      <formula2>L$9</formula2>
    </dataValidation>
    <dataValidation type="whole" allowBlank="1" showInputMessage="1" showErrorMessage="1" error="Score must be between 0 - 11" prompt="Enter Learner Score between 0 - 4" sqref="M10:M109" xr:uid="{00000000-0002-0000-0000-00000E000000}">
      <formula1>0</formula1>
      <formula2>M$9</formula2>
    </dataValidation>
    <dataValidation type="whole" allowBlank="1" showInputMessage="1" showErrorMessage="1" error="Score must be between 0 - 4" prompt="Enter Learner Score between 0 -1" sqref="N10:N109" xr:uid="{00000000-0002-0000-0000-00000F000000}">
      <formula1>0</formula1>
      <formula2>N$9</formula2>
    </dataValidation>
    <dataValidation type="whole" allowBlank="1" showInputMessage="1" showErrorMessage="1" sqref="O6:O7" xr:uid="{00000000-0002-0000-0000-000010000000}">
      <formula1>1</formula1>
      <formula2>150</formula2>
    </dataValidation>
    <dataValidation type="whole" allowBlank="1" showInputMessage="1" showErrorMessage="1" error="Score must be between 0 - 6" prompt="Enter Learner Score between 0 - 3" sqref="O10:O109" xr:uid="{00000000-0002-0000-0000-000011000000}">
      <formula1>0</formula1>
      <formula2>O$9</formula2>
    </dataValidation>
    <dataValidation type="whole" allowBlank="1" showInputMessage="1" showErrorMessage="1" error="Score must be between 0 - 3" prompt="Enter Learner Score between 0 - 3" sqref="P10:P109" xr:uid="{00000000-0002-0000-0000-000012000000}">
      <formula1>0</formula1>
      <formula2>P$9</formula2>
    </dataValidation>
    <dataValidation type="date" operator="greaterThan" allowBlank="1" showInputMessage="1" showErrorMessage="1" sqref="E22:E109 E10:E20" xr:uid="{00000000-0002-0000-0000-000006000000}">
      <formula1>29220</formula1>
    </dataValidation>
  </dataValidations>
  <pageMargins left="0.7" right="0.7" top="0.75" bottom="0.75" header="0.3" footer="0.3"/>
  <pageSetup paperSize="5" scale="60"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List!$B$2:$B$18</xm:f>
          </x14:formula1>
          <xm:sqref>C5</xm:sqref>
        </x14:dataValidation>
        <x14:dataValidation type="list" allowBlank="1" showInputMessage="1" showErrorMessage="1" prompt="Choose Language here" xr:uid="{00000000-0002-0000-0000-000004000000}">
          <x14:formula1>
            <xm:f>List!$F$2:$F$20</xm:f>
          </x14:formula1>
          <xm:sqref>K6:L6</xm:sqref>
        </x14:dataValidation>
        <x14:dataValidation type="list" allowBlank="1" showInputMessage="1" showErrorMessage="1" prompt="Choose Language here" xr:uid="{00000000-0002-0000-0000-000009000000}">
          <x14:formula1>
            <xm:f>List!$C$2:$C$40</xm:f>
          </x14:formula1>
          <xm:sqref>H10:H109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1:F40"/>
  <sheetViews>
    <sheetView workbookViewId="0">
      <selection activeCell="C2" sqref="C2:F40"/>
    </sheetView>
  </sheetViews>
  <sheetFormatPr defaultColWidth="9" defaultRowHeight="14.5"/>
  <cols>
    <col min="2" max="2" width="22.81640625" customWidth="1"/>
    <col min="3" max="3" width="34.453125" customWidth="1"/>
    <col min="6" max="6" width="19.54296875" customWidth="1"/>
  </cols>
  <sheetData>
    <row r="1" spans="2:6">
      <c r="B1" s="72" t="s">
        <v>42</v>
      </c>
      <c r="C1" s="72" t="s">
        <v>43</v>
      </c>
    </row>
    <row r="2" spans="2:6">
      <c r="B2" t="s">
        <v>44</v>
      </c>
      <c r="C2" t="s">
        <v>45</v>
      </c>
      <c r="F2" t="s">
        <v>46</v>
      </c>
    </row>
    <row r="3" spans="2:6">
      <c r="B3" t="s">
        <v>47</v>
      </c>
      <c r="C3" s="72" t="s">
        <v>46</v>
      </c>
      <c r="F3" t="s">
        <v>48</v>
      </c>
    </row>
    <row r="4" spans="2:6">
      <c r="B4" t="s">
        <v>49</v>
      </c>
      <c r="C4" s="72" t="s">
        <v>48</v>
      </c>
      <c r="F4" t="s">
        <v>50</v>
      </c>
    </row>
    <row r="5" spans="2:6">
      <c r="B5" t="s">
        <v>51</v>
      </c>
      <c r="C5" s="73" t="s">
        <v>52</v>
      </c>
      <c r="F5" t="s">
        <v>53</v>
      </c>
    </row>
    <row r="6" spans="2:6">
      <c r="B6" t="s">
        <v>54</v>
      </c>
      <c r="C6" s="73" t="s">
        <v>55</v>
      </c>
      <c r="F6" t="s">
        <v>10</v>
      </c>
    </row>
    <row r="7" spans="2:6">
      <c r="B7" t="s">
        <v>56</v>
      </c>
      <c r="C7" s="73" t="s">
        <v>57</v>
      </c>
      <c r="F7" t="s">
        <v>58</v>
      </c>
    </row>
    <row r="8" spans="2:6">
      <c r="B8" t="s">
        <v>59</v>
      </c>
      <c r="C8" s="72" t="s">
        <v>50</v>
      </c>
      <c r="F8" t="s">
        <v>60</v>
      </c>
    </row>
    <row r="9" spans="2:6">
      <c r="B9" t="s">
        <v>61</v>
      </c>
      <c r="C9" s="72" t="s">
        <v>53</v>
      </c>
      <c r="F9" t="s">
        <v>62</v>
      </c>
    </row>
    <row r="10" spans="2:6">
      <c r="B10" t="s">
        <v>4</v>
      </c>
      <c r="C10" t="s">
        <v>63</v>
      </c>
      <c r="F10" t="s">
        <v>64</v>
      </c>
    </row>
    <row r="11" spans="2:6">
      <c r="B11" t="s">
        <v>65</v>
      </c>
      <c r="C11" s="73" t="s">
        <v>66</v>
      </c>
      <c r="F11" t="s">
        <v>67</v>
      </c>
    </row>
    <row r="12" spans="2:6">
      <c r="B12" t="s">
        <v>68</v>
      </c>
      <c r="C12" s="72" t="s">
        <v>10</v>
      </c>
      <c r="F12" t="s">
        <v>69</v>
      </c>
    </row>
    <row r="13" spans="2:6">
      <c r="B13" t="s">
        <v>70</v>
      </c>
      <c r="C13" s="72" t="s">
        <v>58</v>
      </c>
      <c r="F13" t="s">
        <v>71</v>
      </c>
    </row>
    <row r="14" spans="2:6">
      <c r="B14" t="s">
        <v>72</v>
      </c>
      <c r="C14" t="s">
        <v>73</v>
      </c>
      <c r="F14" t="s">
        <v>74</v>
      </c>
    </row>
    <row r="15" spans="2:6">
      <c r="B15" t="s">
        <v>75</v>
      </c>
      <c r="C15" s="72" t="s">
        <v>60</v>
      </c>
      <c r="F15" t="s">
        <v>76</v>
      </c>
    </row>
    <row r="16" spans="2:6">
      <c r="B16" t="s">
        <v>77</v>
      </c>
      <c r="C16" s="73" t="s">
        <v>78</v>
      </c>
      <c r="F16" t="s">
        <v>79</v>
      </c>
    </row>
    <row r="17" spans="2:6">
      <c r="B17" t="s">
        <v>80</v>
      </c>
      <c r="C17" t="s">
        <v>81</v>
      </c>
      <c r="F17" t="s">
        <v>82</v>
      </c>
    </row>
    <row r="18" spans="2:6">
      <c r="B18" t="s">
        <v>83</v>
      </c>
      <c r="C18" s="72" t="s">
        <v>62</v>
      </c>
      <c r="F18" t="s">
        <v>84</v>
      </c>
    </row>
    <row r="19" spans="2:6">
      <c r="C19" t="s">
        <v>85</v>
      </c>
      <c r="F19" t="s">
        <v>86</v>
      </c>
    </row>
    <row r="20" spans="2:6">
      <c r="C20" s="72" t="s">
        <v>64</v>
      </c>
      <c r="F20" t="s">
        <v>87</v>
      </c>
    </row>
    <row r="21" spans="2:6">
      <c r="C21" s="72" t="s">
        <v>67</v>
      </c>
    </row>
    <row r="22" spans="2:6">
      <c r="C22" s="72" t="s">
        <v>69</v>
      </c>
    </row>
    <row r="23" spans="2:6">
      <c r="C23" s="72" t="s">
        <v>71</v>
      </c>
    </row>
    <row r="24" spans="2:6">
      <c r="C24" s="73" t="s">
        <v>88</v>
      </c>
    </row>
    <row r="25" spans="2:6">
      <c r="C25" s="74" t="s">
        <v>89</v>
      </c>
    </row>
    <row r="26" spans="2:6">
      <c r="C26" s="73" t="s">
        <v>90</v>
      </c>
    </row>
    <row r="27" spans="2:6">
      <c r="C27" t="s">
        <v>91</v>
      </c>
    </row>
    <row r="28" spans="2:6">
      <c r="C28" s="72" t="s">
        <v>74</v>
      </c>
    </row>
    <row r="29" spans="2:6">
      <c r="C29" s="73" t="s">
        <v>92</v>
      </c>
    </row>
    <row r="30" spans="2:6">
      <c r="C30" s="72" t="s">
        <v>76</v>
      </c>
    </row>
    <row r="31" spans="2:6">
      <c r="C31" s="73" t="s">
        <v>93</v>
      </c>
    </row>
    <row r="32" spans="2:6">
      <c r="C32" s="72" t="s">
        <v>79</v>
      </c>
    </row>
    <row r="33" spans="3:3">
      <c r="C33" s="73" t="s">
        <v>94</v>
      </c>
    </row>
    <row r="34" spans="3:3">
      <c r="C34" t="s">
        <v>95</v>
      </c>
    </row>
    <row r="35" spans="3:3">
      <c r="C35" s="72" t="s">
        <v>82</v>
      </c>
    </row>
    <row r="36" spans="3:3">
      <c r="C36" s="72" t="s">
        <v>84</v>
      </c>
    </row>
    <row r="37" spans="3:3">
      <c r="C37" s="72" t="s">
        <v>86</v>
      </c>
    </row>
    <row r="38" spans="3:3">
      <c r="C38" t="s">
        <v>96</v>
      </c>
    </row>
    <row r="39" spans="3:3">
      <c r="C39" s="72" t="s">
        <v>87</v>
      </c>
    </row>
    <row r="40" spans="3:3">
      <c r="C40" s="72" t="s">
        <v>97</v>
      </c>
    </row>
  </sheetData>
  <autoFilter ref="B1:K40" xr:uid="{00000000-0009-0000-0000-000001000000}"/>
  <sortState xmlns:xlrd2="http://schemas.microsoft.com/office/spreadsheetml/2017/richdata2" ref="C2:C39">
    <sortCondition ref="C2:C39"/>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W22"/>
  <sheetViews>
    <sheetView showGridLines="0" zoomScale="83" zoomScaleNormal="83" workbookViewId="0">
      <pane ySplit="14" topLeftCell="A15" activePane="bottomLeft" state="frozen"/>
      <selection pane="bottomLeft" activeCell="Y22" sqref="Y22"/>
    </sheetView>
  </sheetViews>
  <sheetFormatPr defaultColWidth="8.90625" defaultRowHeight="14.5"/>
  <cols>
    <col min="1" max="1" width="18.36328125" customWidth="1"/>
    <col min="2" max="2" width="17.81640625" customWidth="1"/>
    <col min="3" max="3" width="12.453125" customWidth="1"/>
    <col min="4" max="4" width="15.81640625" customWidth="1"/>
    <col min="5" max="5" width="12.6328125" customWidth="1"/>
    <col min="6" max="6" width="11.1796875" customWidth="1"/>
    <col min="7" max="7" width="12.81640625" customWidth="1"/>
    <col min="8" max="8" width="14.453125" customWidth="1"/>
    <col min="9" max="9" width="14.81640625" customWidth="1"/>
    <col min="10" max="10" width="12.1796875" customWidth="1"/>
    <col min="11" max="11" width="14.54296875" customWidth="1"/>
    <col min="12" max="19" width="8.36328125" style="1" customWidth="1"/>
    <col min="20" max="22" width="8.36328125" style="1" hidden="1" customWidth="1"/>
    <col min="23" max="23" width="10" style="1" customWidth="1"/>
  </cols>
  <sheetData>
    <row r="2" spans="1:23" ht="15.5">
      <c r="A2" s="191" t="s">
        <v>98</v>
      </c>
      <c r="B2" s="191"/>
      <c r="C2" s="191"/>
      <c r="D2" s="191"/>
      <c r="E2" s="191"/>
      <c r="F2" s="2"/>
      <c r="G2" s="2"/>
      <c r="H2" s="2"/>
    </row>
    <row r="4" spans="1:23">
      <c r="E4" s="1"/>
      <c r="F4" s="1"/>
      <c r="G4" s="1"/>
      <c r="H4" s="1"/>
    </row>
    <row r="5" spans="1:23">
      <c r="A5" s="3" t="s">
        <v>99</v>
      </c>
      <c r="B5" s="4">
        <f>'G1 RMA Scoresheet'!$C$6</f>
        <v>117443</v>
      </c>
      <c r="D5" t="s">
        <v>100</v>
      </c>
      <c r="E5" s="1">
        <f>F14</f>
        <v>14</v>
      </c>
      <c r="F5" s="192" t="s">
        <v>101</v>
      </c>
      <c r="G5" s="192"/>
      <c r="H5" s="1">
        <f>$E$14</f>
        <v>14</v>
      </c>
    </row>
    <row r="6" spans="1:23">
      <c r="A6" s="3" t="s">
        <v>102</v>
      </c>
      <c r="B6" s="193" t="str">
        <f>'G1 RMA Scoresheet'!$F$6</f>
        <v xml:space="preserve">ROMANA ELEMENTARY SCHOOL </v>
      </c>
      <c r="C6" s="193"/>
      <c r="D6" t="s">
        <v>103</v>
      </c>
      <c r="E6" s="1" t="str" cm="1">
        <f t="array" ref="E6">'G1 RMA Scoresheet'!$K$6:$K$6</f>
        <v>Hiligaynon</v>
      </c>
      <c r="F6" s="1"/>
      <c r="G6" s="1"/>
      <c r="H6" s="1"/>
      <c r="I6" t="s">
        <v>40</v>
      </c>
    </row>
    <row r="7" spans="1:23">
      <c r="A7" s="6"/>
      <c r="B7" s="7"/>
      <c r="C7" s="7"/>
      <c r="D7" s="8"/>
      <c r="E7" s="9"/>
      <c r="F7" s="9"/>
      <c r="G7" s="9"/>
      <c r="H7" s="9"/>
      <c r="I7" s="8"/>
      <c r="J7" s="8"/>
      <c r="K7" s="8"/>
      <c r="L7" s="9"/>
      <c r="M7" s="9"/>
      <c r="N7" s="9"/>
      <c r="O7" s="9"/>
      <c r="P7" s="9"/>
      <c r="Q7" s="9"/>
      <c r="R7" s="9"/>
      <c r="S7" s="9"/>
      <c r="T7" s="9"/>
      <c r="U7" s="9"/>
      <c r="V7" s="9"/>
      <c r="W7" s="9"/>
    </row>
    <row r="8" spans="1:23" ht="14.4" customHeight="1">
      <c r="A8" s="183" t="s">
        <v>104</v>
      </c>
      <c r="B8" s="10"/>
      <c r="C8" s="10"/>
      <c r="D8" s="185" t="s">
        <v>105</v>
      </c>
      <c r="E8" s="187" t="s">
        <v>106</v>
      </c>
      <c r="F8" s="189" t="s">
        <v>107</v>
      </c>
      <c r="G8" s="194" t="s">
        <v>106</v>
      </c>
      <c r="H8" s="194"/>
      <c r="I8" s="194"/>
      <c r="J8" s="194"/>
      <c r="K8" s="194"/>
      <c r="L8" s="195" t="s">
        <v>108</v>
      </c>
      <c r="M8" s="195"/>
      <c r="N8" s="195"/>
      <c r="O8" s="195"/>
      <c r="P8" s="195"/>
      <c r="Q8" s="195"/>
      <c r="R8" s="195"/>
      <c r="S8" s="195"/>
      <c r="T8" s="54"/>
      <c r="U8" s="54"/>
      <c r="V8" s="54"/>
      <c r="W8" s="175" t="s">
        <v>109</v>
      </c>
    </row>
    <row r="9" spans="1:23" ht="39">
      <c r="A9" s="184"/>
      <c r="B9" s="13" t="s">
        <v>110</v>
      </c>
      <c r="C9" s="13" t="s">
        <v>22</v>
      </c>
      <c r="D9" s="186"/>
      <c r="E9" s="188"/>
      <c r="F9" s="190"/>
      <c r="G9" s="14" t="s">
        <v>111</v>
      </c>
      <c r="H9" s="14" t="s">
        <v>112</v>
      </c>
      <c r="I9" s="14" t="s">
        <v>113</v>
      </c>
      <c r="J9" s="14" t="s">
        <v>114</v>
      </c>
      <c r="K9" s="14" t="s">
        <v>115</v>
      </c>
      <c r="L9" s="14" t="s">
        <v>116</v>
      </c>
      <c r="M9" s="14" t="s">
        <v>117</v>
      </c>
      <c r="N9" s="14" t="s">
        <v>118</v>
      </c>
      <c r="O9" s="14" t="s">
        <v>119</v>
      </c>
      <c r="P9" s="14" t="s">
        <v>120</v>
      </c>
      <c r="Q9" s="14" t="s">
        <v>121</v>
      </c>
      <c r="R9" s="14" t="s">
        <v>122</v>
      </c>
      <c r="S9" s="14" t="s">
        <v>123</v>
      </c>
      <c r="T9" s="55"/>
      <c r="U9" s="55"/>
      <c r="V9" s="55"/>
      <c r="W9" s="176"/>
    </row>
    <row r="10" spans="1:23" hidden="1">
      <c r="A10" s="12"/>
      <c r="B10" s="13"/>
      <c r="C10" s="13"/>
      <c r="D10" s="13"/>
      <c r="E10" s="15"/>
      <c r="F10" s="15"/>
      <c r="G10" s="15"/>
      <c r="H10" s="15"/>
      <c r="I10" s="14"/>
      <c r="J10" s="14"/>
      <c r="K10" s="14"/>
      <c r="L10" s="14">
        <v>8</v>
      </c>
      <c r="M10" s="14">
        <v>2</v>
      </c>
      <c r="N10" s="14">
        <v>8</v>
      </c>
      <c r="O10" s="14">
        <f>'G1 RMA Scoresheet'!L9</f>
        <v>6</v>
      </c>
      <c r="P10" s="14">
        <v>4</v>
      </c>
      <c r="Q10" s="14">
        <v>1</v>
      </c>
      <c r="R10" s="14">
        <v>3</v>
      </c>
      <c r="S10" s="14">
        <f>'G1 RMA Scoresheet'!P9</f>
        <v>3</v>
      </c>
      <c r="T10" s="55"/>
      <c r="U10" s="55"/>
      <c r="V10" s="55"/>
      <c r="W10" s="56">
        <f>SUM(L10:S10)</f>
        <v>35</v>
      </c>
    </row>
    <row r="11" spans="1:23" ht="24" customHeight="1">
      <c r="A11" s="16" t="s">
        <v>14</v>
      </c>
      <c r="B11" s="17">
        <f>IF('G1 RMA Scoresheet'!K7&lt;&gt;"",'G1 RMA Scoresheet'!K7,"")</f>
        <v>1</v>
      </c>
      <c r="C11" s="17" t="s">
        <v>39</v>
      </c>
      <c r="D11" s="18">
        <f>COUNTIFS('G1 RMA Scoresheet'!$D$10:$D$109,$C11,'G1 RMA Scoresheet'!$H$10:$H$109,$E$6)</f>
        <v>10</v>
      </c>
      <c r="E11" s="18">
        <f>COUNTIF('G1 RMA Scoresheet'!$D$10:$D$109,"Male")</f>
        <v>10</v>
      </c>
      <c r="F11" s="18">
        <f>'G1 RMA Scoresheet'!$O$6</f>
        <v>10</v>
      </c>
      <c r="G11" s="18">
        <f>COUNTIFS('G1 RMA Scoresheet'!$D$10:$D$109,"Male",'G1 RMA Scoresheet'!$S$10:$S$109,G$9)</f>
        <v>4</v>
      </c>
      <c r="H11" s="18">
        <f>COUNTIFS('G1 RMA Scoresheet'!$D$10:$D$109,"Male",'G1 RMA Scoresheet'!$S$10:$S$109,H$9)</f>
        <v>1</v>
      </c>
      <c r="I11" s="43">
        <f>COUNTIFS('G1 RMA Scoresheet'!$D$10:$D$109,"Male",'G1 RMA Scoresheet'!$S$10:$S$109,I$9)</f>
        <v>1</v>
      </c>
      <c r="J11" s="44">
        <f>COUNTIFS('G1 RMA Scoresheet'!$D$10:$D$109,"Male",'G1 RMA Scoresheet'!$S$10:$S$109,J$9)</f>
        <v>1</v>
      </c>
      <c r="K11" s="44">
        <f>COUNTIFS('G1 RMA Scoresheet'!$D$10:$D$109,"Male",'G1 RMA Scoresheet'!$S$10:$S$109,K$9)</f>
        <v>1</v>
      </c>
      <c r="L11" s="45">
        <f>COUNTIFS('G1 RMA Scoresheet'!$D$10:$D$109,"Male",'G1 RMA Scoresheet'!Y$10:Y$109,1)</f>
        <v>4</v>
      </c>
      <c r="M11" s="45">
        <f>COUNTIFS('G1 RMA Scoresheet'!$D$10:$D$109,"Male",'G1 RMA Scoresheet'!Z$10:Z$109,1)</f>
        <v>1</v>
      </c>
      <c r="N11" s="45">
        <f>COUNTIFS('G1 RMA Scoresheet'!$D$10:$D$109,"Male",'G1 RMA Scoresheet'!AA$10:AA$109,1)</f>
        <v>4</v>
      </c>
      <c r="O11" s="45">
        <f>COUNTIFS('G1 RMA Scoresheet'!$D$10:$D$109,"Male",'G1 RMA Scoresheet'!AB$10:AB$109,1)</f>
        <v>1</v>
      </c>
      <c r="P11" s="45">
        <f>COUNTIFS('G1 RMA Scoresheet'!$D$10:$D$109,"Male",'G1 RMA Scoresheet'!AC$10:AC$109,1)</f>
        <v>2</v>
      </c>
      <c r="Q11" s="45">
        <f>COUNTIFS('G1 RMA Scoresheet'!$D$10:$D$109,"Male",'G1 RMA Scoresheet'!AD$10:AD$109,1)</f>
        <v>2</v>
      </c>
      <c r="R11" s="45">
        <f>COUNTIFS('G1 RMA Scoresheet'!$D$10:$D$109,"Male",'G1 RMA Scoresheet'!AE$10:AE$109,1)</f>
        <v>0</v>
      </c>
      <c r="S11" s="45">
        <f>COUNTIFS('G1 RMA Scoresheet'!$D$10:$D$109,"Male",'G1 RMA Scoresheet'!AF$10:AF$109,1)</f>
        <v>1</v>
      </c>
      <c r="T11" s="57"/>
      <c r="U11" s="57"/>
      <c r="V11" s="57"/>
      <c r="W11" s="58">
        <f>IFERROR(AVERAGEIFS('G1 RMA Scoresheet'!Q$10:Q$109,'G1 RMA Scoresheet'!$D$10:$D$109,$C11),"")</f>
        <v>10.5</v>
      </c>
    </row>
    <row r="12" spans="1:23" ht="19.75" customHeight="1">
      <c r="A12" s="16" t="str">
        <f>A11</f>
        <v>Grade 1</v>
      </c>
      <c r="B12" s="17">
        <f>B11</f>
        <v>1</v>
      </c>
      <c r="C12" s="17" t="s">
        <v>41</v>
      </c>
      <c r="D12" s="19">
        <f>COUNTIFS('G1 RMA Scoresheet'!$D$10:$D$109,$C12,'G1 RMA Scoresheet'!$H$10:$H$109,$E$6)</f>
        <v>4</v>
      </c>
      <c r="E12" s="18">
        <f>COUNTIF('G1 RMA Scoresheet'!$D$10:$D$109,"Female")</f>
        <v>4</v>
      </c>
      <c r="F12" s="18">
        <f>'G1 RMA Scoresheet'!$O$7</f>
        <v>4</v>
      </c>
      <c r="G12" s="18">
        <f>COUNTIFS('G1 RMA Scoresheet'!$D$10:$D$109,"Female",'G1 RMA Scoresheet'!$S$10:$S$109,G$9)</f>
        <v>0</v>
      </c>
      <c r="H12" s="18">
        <f>COUNTIFS('G1 RMA Scoresheet'!$D$10:$D$109,"Female",'G1 RMA Scoresheet'!$S$10:$S$109,H$9)</f>
        <v>0</v>
      </c>
      <c r="I12" s="43">
        <f>COUNTIFS('G1 RMA Scoresheet'!$D$10:$D$109,"Female",'G1 RMA Scoresheet'!$S$10:$S$109,I$9)</f>
        <v>1</v>
      </c>
      <c r="J12" s="44">
        <f>COUNTIFS('G1 RMA Scoresheet'!$D$10:$D$109,"Female",'G1 RMA Scoresheet'!$S$10:$S$109,J$9)</f>
        <v>3</v>
      </c>
      <c r="K12" s="44">
        <f>COUNTIFS('G1 RMA Scoresheet'!$D$10:$D$109,"Female",'G1 RMA Scoresheet'!$S$10:$S$109,K$9)</f>
        <v>0</v>
      </c>
      <c r="L12" s="45">
        <f>COUNTIFS('G1 RMA Scoresheet'!$D$10:$D$109,"Female",'G1 RMA Scoresheet'!Y$10:Y$109,1)</f>
        <v>3</v>
      </c>
      <c r="M12" s="45">
        <f>COUNTIFS('G1 RMA Scoresheet'!$D$10:$D$109,"Female",'G1 RMA Scoresheet'!Z$10:Z$109,1)</f>
        <v>1</v>
      </c>
      <c r="N12" s="45">
        <f>COUNTIFS('G1 RMA Scoresheet'!$D$10:$D$109,"Female",'G1 RMA Scoresheet'!AA$10:AA$109,1)</f>
        <v>3</v>
      </c>
      <c r="O12" s="45">
        <f>COUNTIFS('G1 RMA Scoresheet'!$D$10:$D$109,"Female",'G1 RMA Scoresheet'!AB$10:AB$109,1)</f>
        <v>3</v>
      </c>
      <c r="P12" s="45">
        <f>COUNTIFS('G1 RMA Scoresheet'!$D$10:$D$109,"Female",'G1 RMA Scoresheet'!AC$10:AC$109,1)</f>
        <v>3</v>
      </c>
      <c r="Q12" s="45">
        <f>COUNTIFS('G1 RMA Scoresheet'!$D$10:$D$109,"Female",'G1 RMA Scoresheet'!AD$10:AD$109,1)</f>
        <v>3</v>
      </c>
      <c r="R12" s="45">
        <f>COUNTIFS('G1 RMA Scoresheet'!$D$10:$D$109,"Female",'G1 RMA Scoresheet'!AE$10:AE$109,1)</f>
        <v>0</v>
      </c>
      <c r="S12" s="45">
        <f>COUNTIFS('G1 RMA Scoresheet'!$D$10:$D$109,"Female",'G1 RMA Scoresheet'!AF$10:AF$109,1)</f>
        <v>0</v>
      </c>
      <c r="T12" s="59"/>
      <c r="U12" s="59"/>
      <c r="V12" s="59"/>
      <c r="W12" s="60">
        <f>IFERROR(AVERAGEIFS('G1 RMA Scoresheet'!Q$10:Q$109,'G1 RMA Scoresheet'!$D$10:$D$109,$C12),"")</f>
        <v>27.5</v>
      </c>
    </row>
    <row r="13" spans="1:23" ht="19.75" customHeight="1">
      <c r="A13" s="20"/>
      <c r="B13" s="20"/>
      <c r="C13" s="20"/>
      <c r="D13" s="21"/>
      <c r="E13" s="22"/>
      <c r="F13" s="22"/>
      <c r="G13" s="22"/>
      <c r="H13" s="22"/>
      <c r="I13" s="46"/>
      <c r="J13" s="47"/>
      <c r="K13" s="47"/>
      <c r="L13" s="47"/>
      <c r="M13" s="47"/>
      <c r="N13" s="47"/>
      <c r="O13" s="47"/>
      <c r="P13" s="47"/>
      <c r="Q13" s="47"/>
      <c r="R13" s="47"/>
      <c r="S13" s="47"/>
      <c r="T13" s="61"/>
      <c r="U13" s="61"/>
      <c r="V13" s="61"/>
    </row>
    <row r="14" spans="1:23" ht="19.75" customHeight="1">
      <c r="A14" s="23" t="str">
        <f>A12</f>
        <v>Grade 1</v>
      </c>
      <c r="B14" s="24">
        <f>B12</f>
        <v>1</v>
      </c>
      <c r="C14" s="24" t="s">
        <v>124</v>
      </c>
      <c r="D14" s="25">
        <f>D11+D12</f>
        <v>14</v>
      </c>
      <c r="E14" s="26">
        <f>E11+E12</f>
        <v>14</v>
      </c>
      <c r="F14" s="26">
        <f>F11+F12</f>
        <v>14</v>
      </c>
      <c r="G14" s="26">
        <f t="shared" ref="G14:H14" si="0">G11+G12</f>
        <v>4</v>
      </c>
      <c r="H14" s="26">
        <f t="shared" si="0"/>
        <v>1</v>
      </c>
      <c r="I14" s="48">
        <f t="shared" ref="I14:S14" si="1">I11+I12</f>
        <v>2</v>
      </c>
      <c r="J14" s="49">
        <f t="shared" si="1"/>
        <v>4</v>
      </c>
      <c r="K14" s="49">
        <f t="shared" si="1"/>
        <v>1</v>
      </c>
      <c r="L14" s="49">
        <f t="shared" si="1"/>
        <v>7</v>
      </c>
      <c r="M14" s="49">
        <f t="shared" si="1"/>
        <v>2</v>
      </c>
      <c r="N14" s="49">
        <f t="shared" si="1"/>
        <v>7</v>
      </c>
      <c r="O14" s="49">
        <f t="shared" si="1"/>
        <v>4</v>
      </c>
      <c r="P14" s="49">
        <f t="shared" si="1"/>
        <v>5</v>
      </c>
      <c r="Q14" s="49">
        <f t="shared" si="1"/>
        <v>5</v>
      </c>
      <c r="R14" s="49">
        <f t="shared" si="1"/>
        <v>0</v>
      </c>
      <c r="S14" s="49">
        <f t="shared" si="1"/>
        <v>1</v>
      </c>
      <c r="T14" s="62"/>
      <c r="U14" s="62"/>
      <c r="V14" s="62"/>
      <c r="W14" s="63">
        <f>IFERROR(AVERAGE('G1 RMA Scoresheet'!Q$10:Q$109),"")</f>
        <v>15.357142857142858</v>
      </c>
    </row>
    <row r="17" spans="1:23">
      <c r="A17" s="177" t="s">
        <v>125</v>
      </c>
      <c r="B17" s="178"/>
      <c r="C17" s="179" t="s">
        <v>126</v>
      </c>
      <c r="D17" s="179"/>
      <c r="E17" s="179"/>
      <c r="F17" s="179"/>
      <c r="G17" s="180"/>
      <c r="H17" s="27"/>
      <c r="I17" s="3"/>
      <c r="L17" s="181" t="s">
        <v>127</v>
      </c>
      <c r="M17" s="182"/>
      <c r="N17" s="182"/>
      <c r="O17" s="182"/>
      <c r="P17" s="182"/>
      <c r="Q17" s="182"/>
      <c r="R17" s="182"/>
      <c r="S17" s="182"/>
      <c r="T17" s="64"/>
      <c r="U17" s="64"/>
      <c r="V17" s="64"/>
      <c r="W17" s="65"/>
    </row>
    <row r="18" spans="1:23" ht="39">
      <c r="A18" s="28" t="s">
        <v>22</v>
      </c>
      <c r="B18" s="29" t="s">
        <v>128</v>
      </c>
      <c r="C18" s="14" t="s">
        <v>111</v>
      </c>
      <c r="D18" s="14" t="s">
        <v>112</v>
      </c>
      <c r="E18" s="14" t="s">
        <v>113</v>
      </c>
      <c r="F18" s="14" t="s">
        <v>114</v>
      </c>
      <c r="G18" s="30" t="s">
        <v>115</v>
      </c>
      <c r="H18" s="31"/>
      <c r="I18" s="50"/>
      <c r="K18" s="51" t="s">
        <v>22</v>
      </c>
      <c r="L18" s="11" t="s">
        <v>116</v>
      </c>
      <c r="M18" s="11" t="s">
        <v>117</v>
      </c>
      <c r="N18" s="11" t="s">
        <v>118</v>
      </c>
      <c r="O18" s="11" t="s">
        <v>119</v>
      </c>
      <c r="P18" s="11" t="s">
        <v>120</v>
      </c>
      <c r="Q18" s="11" t="s">
        <v>121</v>
      </c>
      <c r="R18" s="11" t="s">
        <v>122</v>
      </c>
      <c r="S18" s="11" t="s">
        <v>123</v>
      </c>
      <c r="T18" s="66"/>
      <c r="U18" s="66"/>
      <c r="V18" s="66"/>
      <c r="W18" s="67" t="s">
        <v>129</v>
      </c>
    </row>
    <row r="19" spans="1:23">
      <c r="A19" s="32" t="s">
        <v>39</v>
      </c>
      <c r="B19" s="33">
        <f>IFERROR(E11/$E$5,"")</f>
        <v>0.7142857142857143</v>
      </c>
      <c r="C19" s="33">
        <f>IFERROR(G11/$E$11,"")</f>
        <v>0.4</v>
      </c>
      <c r="D19" s="33">
        <f t="shared" ref="D19:G19" si="2">IFERROR(H11/$E$11,"")</f>
        <v>0.1</v>
      </c>
      <c r="E19" s="33">
        <f t="shared" si="2"/>
        <v>0.1</v>
      </c>
      <c r="F19" s="33">
        <f t="shared" si="2"/>
        <v>0.1</v>
      </c>
      <c r="G19" s="34">
        <f t="shared" si="2"/>
        <v>0.1</v>
      </c>
      <c r="H19" s="35"/>
      <c r="I19" s="52" t="str">
        <f>IFERROR(#REF!/$I$11,"")</f>
        <v/>
      </c>
      <c r="K19" s="32" t="s">
        <v>39</v>
      </c>
      <c r="L19" s="36">
        <f>IFERROR(L11/$E11,"")</f>
        <v>0.4</v>
      </c>
      <c r="M19" s="36">
        <f t="shared" ref="M19:S19" si="3">IFERROR(M11/$E11,"")</f>
        <v>0.1</v>
      </c>
      <c r="N19" s="36">
        <f t="shared" si="3"/>
        <v>0.4</v>
      </c>
      <c r="O19" s="36">
        <f t="shared" si="3"/>
        <v>0.1</v>
      </c>
      <c r="P19" s="36">
        <f t="shared" si="3"/>
        <v>0.2</v>
      </c>
      <c r="Q19" s="36">
        <f t="shared" si="3"/>
        <v>0.2</v>
      </c>
      <c r="R19" s="36">
        <f t="shared" si="3"/>
        <v>0</v>
      </c>
      <c r="S19" s="36">
        <f t="shared" si="3"/>
        <v>0.1</v>
      </c>
      <c r="T19" s="38"/>
      <c r="U19" s="38"/>
      <c r="V19" s="38"/>
      <c r="W19" s="68">
        <f>IFERROR(W11/W$10,"")</f>
        <v>0.3</v>
      </c>
    </row>
    <row r="20" spans="1:23">
      <c r="A20" s="32" t="s">
        <v>41</v>
      </c>
      <c r="B20" s="33">
        <f>IFERROR(E12/$E$5,"")</f>
        <v>0.2857142857142857</v>
      </c>
      <c r="C20" s="33">
        <f>IFERROR(G12/$E$12,"")</f>
        <v>0</v>
      </c>
      <c r="D20" s="36">
        <f t="shared" ref="D20:G20" si="4">IFERROR(H12/$E$12,"")</f>
        <v>0</v>
      </c>
      <c r="E20" s="36">
        <f t="shared" si="4"/>
        <v>0.25</v>
      </c>
      <c r="F20" s="36">
        <f t="shared" si="4"/>
        <v>0.75</v>
      </c>
      <c r="G20" s="37">
        <f t="shared" si="4"/>
        <v>0</v>
      </c>
      <c r="H20" s="38"/>
      <c r="K20" s="32" t="s">
        <v>41</v>
      </c>
      <c r="L20" s="36">
        <f>IFERROR(L12/$E12,"")</f>
        <v>0.75</v>
      </c>
      <c r="M20" s="36">
        <f t="shared" ref="M20:S20" si="5">IFERROR(M12/$E12,"")</f>
        <v>0.25</v>
      </c>
      <c r="N20" s="36">
        <f t="shared" si="5"/>
        <v>0.75</v>
      </c>
      <c r="O20" s="36">
        <f t="shared" si="5"/>
        <v>0.75</v>
      </c>
      <c r="P20" s="36">
        <f t="shared" si="5"/>
        <v>0.75</v>
      </c>
      <c r="Q20" s="36">
        <f t="shared" si="5"/>
        <v>0.75</v>
      </c>
      <c r="R20" s="36">
        <f t="shared" si="5"/>
        <v>0</v>
      </c>
      <c r="S20" s="36">
        <f t="shared" si="5"/>
        <v>0</v>
      </c>
      <c r="T20" s="38"/>
      <c r="U20" s="38"/>
      <c r="V20" s="38"/>
      <c r="W20" s="69">
        <f>IFERROR(W12/W$10,"")</f>
        <v>0.7857142857142857</v>
      </c>
    </row>
    <row r="21" spans="1:23">
      <c r="A21" s="39" t="s">
        <v>124</v>
      </c>
      <c r="B21" s="40">
        <f>IFERROR(B19+B20,"")</f>
        <v>1</v>
      </c>
      <c r="C21" s="40">
        <f>IFERROR(G14/$E14,"")</f>
        <v>0.2857142857142857</v>
      </c>
      <c r="D21" s="40">
        <f t="shared" ref="D21:G21" si="6">IFERROR(H14/$E14,"")</f>
        <v>7.1428571428571425E-2</v>
      </c>
      <c r="E21" s="40">
        <f t="shared" si="6"/>
        <v>0.14285714285714285</v>
      </c>
      <c r="F21" s="40">
        <f t="shared" si="6"/>
        <v>0.2857142857142857</v>
      </c>
      <c r="G21" s="41">
        <f t="shared" si="6"/>
        <v>7.1428571428571425E-2</v>
      </c>
      <c r="H21" s="42"/>
      <c r="K21" s="39" t="s">
        <v>124</v>
      </c>
      <c r="L21" s="53">
        <f>IFERROR(L14/$E14,"")</f>
        <v>0.5</v>
      </c>
      <c r="M21" s="53">
        <f t="shared" ref="M21:S21" si="7">IFERROR(M14/$E14,"")</f>
        <v>0.14285714285714285</v>
      </c>
      <c r="N21" s="53">
        <f t="shared" si="7"/>
        <v>0.5</v>
      </c>
      <c r="O21" s="53">
        <f t="shared" si="7"/>
        <v>0.2857142857142857</v>
      </c>
      <c r="P21" s="53">
        <f t="shared" si="7"/>
        <v>0.35714285714285715</v>
      </c>
      <c r="Q21" s="53">
        <f t="shared" si="7"/>
        <v>0.35714285714285715</v>
      </c>
      <c r="R21" s="53">
        <f t="shared" si="7"/>
        <v>0</v>
      </c>
      <c r="S21" s="53">
        <f t="shared" si="7"/>
        <v>7.1428571428571425E-2</v>
      </c>
      <c r="T21" s="70"/>
      <c r="U21" s="70"/>
      <c r="V21" s="70"/>
      <c r="W21" s="71">
        <f>IFERROR(W14/W$10,"")</f>
        <v>0.43877551020408162</v>
      </c>
    </row>
    <row r="22" spans="1:23">
      <c r="A22" s="3"/>
      <c r="B22" s="42"/>
      <c r="C22" s="42"/>
      <c r="D22" s="42"/>
      <c r="E22" s="42"/>
      <c r="F22" s="42"/>
      <c r="G22" s="42"/>
      <c r="H22" s="42"/>
      <c r="K22" s="3"/>
      <c r="L22" s="38"/>
      <c r="M22" s="38"/>
      <c r="N22" s="38"/>
      <c r="O22" s="38"/>
      <c r="P22" s="38"/>
      <c r="Q22" s="38"/>
      <c r="R22" s="38"/>
      <c r="S22" s="38"/>
      <c r="T22" s="38"/>
      <c r="U22" s="38"/>
      <c r="V22" s="38"/>
    </row>
  </sheetData>
  <sheetProtection algorithmName="SHA-512" hashValue="KWaYUWSGjHVMjKs/wkG9FhbYpd6MLVLXu1OE0xXFtC3As1zF4XvCIX1U/cbhlfrEp9U582MMamwbrarWeyg3+w==" saltValue="K/qrcr9j0GlHDY8hvAOG+A==" spinCount="100000" sheet="1" objects="1" scenarios="1"/>
  <mergeCells count="13">
    <mergeCell ref="A2:E2"/>
    <mergeCell ref="F5:G5"/>
    <mergeCell ref="B6:C6"/>
    <mergeCell ref="G8:K8"/>
    <mergeCell ref="L8:S8"/>
    <mergeCell ref="W8:W9"/>
    <mergeCell ref="A17:B17"/>
    <mergeCell ref="C17:G17"/>
    <mergeCell ref="L17:S17"/>
    <mergeCell ref="A8:A9"/>
    <mergeCell ref="D8:D9"/>
    <mergeCell ref="E8:E9"/>
    <mergeCell ref="F8:F9"/>
  </mergeCells>
  <conditionalFormatting sqref="D11 E11:H14">
    <cfRule type="containsText" dxfId="1" priority="2" operator="containsText" text="[enter class enrolment]">
      <formula>NOT(ISERROR(SEARCH("[enter class enrolment]",D11)))</formula>
    </cfRule>
  </conditionalFormatting>
  <conditionalFormatting sqref="D12:D14">
    <cfRule type="containsText" dxfId="0" priority="3" operator="containsText" text="[choose language here]">
      <formula>NOT(ISERROR(SEARCH("[choose language here]",D12)))</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allowEditUser>
</file>

<file path=customXml/item2.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A4E1906-6B0C-4E3B-924D-080003D3BA1B}"/>
</file>

<file path=customXml/itemProps3.xml><?xml version="1.0" encoding="utf-8"?>
<ds:datastoreItem xmlns:ds="http://schemas.openxmlformats.org/officeDocument/2006/customXml" ds:itemID="{5F291ADC-E551-43BD-9126-2B186FB499E9}"/>
</file>

<file path=customXml/itemProps4.xml><?xml version="1.0" encoding="utf-8"?>
<ds:datastoreItem xmlns:ds="http://schemas.openxmlformats.org/officeDocument/2006/customXml" ds:itemID="{5EB1D71B-8A86-4D6F-9054-6C07D0DEAC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G1 RMA Scoresheet</vt:lpstr>
      <vt:lpstr>List</vt:lpstr>
      <vt:lpstr>Class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Emil Monroy</dc:creator>
  <cp:lastModifiedBy>Ramona Punzalan</cp:lastModifiedBy>
  <cp:lastPrinted>2025-06-25T00:21:47Z</cp:lastPrinted>
  <dcterms:created xsi:type="dcterms:W3CDTF">2021-07-15T02:28:00Z</dcterms:created>
  <dcterms:modified xsi:type="dcterms:W3CDTF">2025-06-25T11:54:19Z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4C028CA94CAA4FB0BF29384BD6804FB5_12</vt:lpwstr>
  </property>
  <property fmtid="{D5CDD505-2E9C-101B-9397-08002B2CF9AE}" pid="3" name="KSOProductBuildVer">
    <vt:lpwstr>1033-12.2.0.18165</vt:lpwstr>
  </property>
  <property fmtid="{D5CDD505-2E9C-101B-9397-08002B2CF9AE}" pid="4" name="ContentTypeId">
    <vt:lpwstr>0x010100E389F3844E834B438EAF4C3974A5E888</vt:lpwstr>
  </property>
  <property fmtid="{D5CDD505-2E9C-101B-9397-08002B2CF9AE}" pid="5" name="Order">
    <vt:r8>964700</vt:r8>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ies>
</file>