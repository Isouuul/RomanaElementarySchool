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2"/>
  <workbookPr codeName="ThisWorkbook" defaultThemeVersion="166925"/>
  <mc:AlternateContent xmlns:mc="http://schemas.openxmlformats.org/markup-compatibility/2006">
    <mc:Choice Requires="x15">
      <x15ac:absPath xmlns:x15ac="http://schemas.microsoft.com/office/spreadsheetml/2010/11/ac" url="C:\Users\Acer\Desktop\RMA\RMA REPORT\EOSY\KS2\"/>
    </mc:Choice>
  </mc:AlternateContent>
  <xr:revisionPtr revIDLastSave="0" documentId="13_ncr:1_{69D3C385-D3D6-42B6-86FA-F276EE83587A}" xr6:coauthVersionLast="47" xr6:coauthVersionMax="47" xr10:uidLastSave="{00000000-0000-0000-0000-000000000000}"/>
  <workbookProtection workbookAlgorithmName="SHA-512" workbookHashValue="8qJB5VreB5QRCrMWSR9FjbDZJykGeEjXeEN0mZuNYVh+ZSnBnFb3Y1A9deWkaIlF6Lmz3I0kZeEBOcwshzdKEg==" workbookSaltValue="S1XFLm2cgmDK62qZYW5+HQ==" workbookSpinCount="100000" lockStructure="1"/>
  <bookViews>
    <workbookView xWindow="-108" yWindow="-108" windowWidth="23256" windowHeight="12456" firstSheet="2" activeTab="2" xr2:uid="{D501B255-9284-4472-90C8-6B6C392E841B}"/>
  </bookViews>
  <sheets>
    <sheet name="RMAKS2 Scoresheet" sheetId="1" r:id="rId1"/>
    <sheet name="List" sheetId="4" state="hidden" r:id="rId2"/>
    <sheet name="Class Summary" sheetId="2" r:id="rId3"/>
  </sheets>
  <definedNames>
    <definedName name="_xlnm._FilterDatabase" localSheetId="1" hidden="1">List!$B$1:$B$41</definedName>
    <definedName name="_xlnm._FilterDatabase" localSheetId="0" hidden="1">'RMAKS2 Scoresheet'!$8:$8</definedName>
    <definedName name="BoSY">'RMAKS2 Scoresheet'!$BL$10:$BL$12</definedName>
    <definedName name="EoSY">'RMAKS2 Scoresheet'!$BM$10:$BM$11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98" i="1" l="1"/>
  <c r="BC90" i="1"/>
  <c r="BC82" i="1"/>
  <c r="BC74" i="1"/>
  <c r="BC66" i="1"/>
  <c r="BC58" i="1"/>
  <c r="BC50" i="1"/>
  <c r="BC42" i="1"/>
  <c r="BC34" i="1"/>
  <c r="BA109" i="1"/>
  <c r="BB109" i="1" s="1"/>
  <c r="BA108" i="1"/>
  <c r="BB108" i="1" s="1"/>
  <c r="BA107" i="1"/>
  <c r="BB107" i="1" s="1"/>
  <c r="BA106" i="1"/>
  <c r="BI106" i="1" s="1"/>
  <c r="BA105" i="1"/>
  <c r="BI105" i="1" s="1"/>
  <c r="BA104" i="1"/>
  <c r="BG104" i="1" s="1"/>
  <c r="BA103" i="1"/>
  <c r="BB103" i="1" s="1"/>
  <c r="BA102" i="1"/>
  <c r="BB102" i="1" s="1"/>
  <c r="BA101" i="1"/>
  <c r="BB101" i="1" s="1"/>
  <c r="BA100" i="1"/>
  <c r="BB100" i="1" s="1"/>
  <c r="BA99" i="1"/>
  <c r="BB99" i="1" s="1"/>
  <c r="BA98" i="1"/>
  <c r="BB98" i="1" s="1"/>
  <c r="BA97" i="1"/>
  <c r="BB97" i="1" s="1"/>
  <c r="BA96" i="1"/>
  <c r="BB96" i="1" s="1"/>
  <c r="BA95" i="1"/>
  <c r="BB95" i="1" s="1"/>
  <c r="BA94" i="1"/>
  <c r="BB94" i="1" s="1"/>
  <c r="BA93" i="1"/>
  <c r="BB93" i="1" s="1"/>
  <c r="BA92" i="1"/>
  <c r="BB92" i="1" s="1"/>
  <c r="BA91" i="1"/>
  <c r="BB91" i="1" s="1"/>
  <c r="BA90" i="1"/>
  <c r="BB90" i="1" s="1"/>
  <c r="BA89" i="1"/>
  <c r="BB89" i="1" s="1"/>
  <c r="BA88" i="1"/>
  <c r="BB88" i="1" s="1"/>
  <c r="BA87" i="1"/>
  <c r="BB87" i="1" s="1"/>
  <c r="BA86" i="1"/>
  <c r="BB86" i="1" s="1"/>
  <c r="BA85" i="1"/>
  <c r="BB85" i="1" s="1"/>
  <c r="BA84" i="1"/>
  <c r="BB84" i="1" s="1"/>
  <c r="BA83" i="1"/>
  <c r="BB83" i="1" s="1"/>
  <c r="BA82" i="1"/>
  <c r="BB82" i="1" s="1"/>
  <c r="BA81" i="1"/>
  <c r="BB81" i="1" s="1"/>
  <c r="BA80" i="1"/>
  <c r="BB80" i="1" s="1"/>
  <c r="BA79" i="1"/>
  <c r="BB79" i="1" s="1"/>
  <c r="BA78" i="1"/>
  <c r="BB78" i="1" s="1"/>
  <c r="BA77" i="1"/>
  <c r="BB77" i="1" s="1"/>
  <c r="BA76" i="1"/>
  <c r="BB76" i="1" s="1"/>
  <c r="BA75" i="1"/>
  <c r="BB75" i="1" s="1"/>
  <c r="BA74" i="1"/>
  <c r="BB74" i="1" s="1"/>
  <c r="BA73" i="1"/>
  <c r="BB73" i="1" s="1"/>
  <c r="BA72" i="1"/>
  <c r="BB72" i="1" s="1"/>
  <c r="BA71" i="1"/>
  <c r="BB71" i="1" s="1"/>
  <c r="BA70" i="1"/>
  <c r="BB70" i="1" s="1"/>
  <c r="BA69" i="1"/>
  <c r="BB69" i="1" s="1"/>
  <c r="BA68" i="1"/>
  <c r="BB68" i="1" s="1"/>
  <c r="BA67" i="1"/>
  <c r="BB67" i="1" s="1"/>
  <c r="BA66" i="1"/>
  <c r="BI66" i="1" s="1"/>
  <c r="BA65" i="1"/>
  <c r="BB65" i="1" s="1"/>
  <c r="BA64" i="1"/>
  <c r="BB64" i="1" s="1"/>
  <c r="BA63" i="1"/>
  <c r="BB63" i="1" s="1"/>
  <c r="BA62" i="1"/>
  <c r="BB62" i="1" s="1"/>
  <c r="BA61" i="1"/>
  <c r="BB61" i="1" s="1"/>
  <c r="BA60" i="1"/>
  <c r="BB60" i="1" s="1"/>
  <c r="BA59" i="1"/>
  <c r="BB59" i="1" s="1"/>
  <c r="BA58" i="1"/>
  <c r="BB58" i="1" s="1"/>
  <c r="BA57" i="1"/>
  <c r="BB57" i="1" s="1"/>
  <c r="BA56" i="1"/>
  <c r="BB56" i="1" s="1"/>
  <c r="BA55" i="1"/>
  <c r="BB55" i="1" s="1"/>
  <c r="BA54" i="1"/>
  <c r="BB54" i="1" s="1"/>
  <c r="BA53" i="1"/>
  <c r="BB53" i="1" s="1"/>
  <c r="BA52" i="1"/>
  <c r="BB52" i="1" s="1"/>
  <c r="BA51" i="1"/>
  <c r="BB51" i="1" s="1"/>
  <c r="BA50" i="1"/>
  <c r="BB50" i="1" s="1"/>
  <c r="BA49" i="1"/>
  <c r="BB49" i="1" s="1"/>
  <c r="BA48" i="1"/>
  <c r="BB48" i="1" s="1"/>
  <c r="BA47" i="1"/>
  <c r="BB47" i="1" s="1"/>
  <c r="BA46" i="1"/>
  <c r="BB46" i="1" s="1"/>
  <c r="BA45" i="1"/>
  <c r="BB45" i="1" s="1"/>
  <c r="BA44" i="1"/>
  <c r="BB44" i="1" s="1"/>
  <c r="BA43" i="1"/>
  <c r="BB43" i="1" s="1"/>
  <c r="BA42" i="1"/>
  <c r="BB42" i="1" s="1"/>
  <c r="BA41" i="1"/>
  <c r="BB41" i="1" s="1"/>
  <c r="BA40" i="1"/>
  <c r="BB40" i="1" s="1"/>
  <c r="BA39" i="1"/>
  <c r="BB39" i="1" s="1"/>
  <c r="BA38" i="1"/>
  <c r="BB38" i="1" s="1"/>
  <c r="BA37" i="1"/>
  <c r="BB37" i="1" s="1"/>
  <c r="BA36" i="1"/>
  <c r="BB36" i="1" s="1"/>
  <c r="BA35" i="1"/>
  <c r="BB35" i="1" s="1"/>
  <c r="BA34" i="1"/>
  <c r="BB34" i="1" s="1"/>
  <c r="BC35" i="1" l="1"/>
  <c r="BC43" i="1"/>
  <c r="BC51" i="1"/>
  <c r="BC59" i="1"/>
  <c r="BC67" i="1"/>
  <c r="BC75" i="1"/>
  <c r="BC83" i="1"/>
  <c r="BC91" i="1"/>
  <c r="BC99" i="1"/>
  <c r="BC38" i="1"/>
  <c r="BC46" i="1"/>
  <c r="BC54" i="1"/>
  <c r="BC62" i="1"/>
  <c r="BC70" i="1"/>
  <c r="BC78" i="1"/>
  <c r="BC86" i="1"/>
  <c r="BC94" i="1"/>
  <c r="BC102" i="1"/>
  <c r="BB104" i="1"/>
  <c r="BC39" i="1"/>
  <c r="BC47" i="1"/>
  <c r="BC55" i="1"/>
  <c r="BC63" i="1"/>
  <c r="BC71" i="1"/>
  <c r="BC79" i="1"/>
  <c r="BC87" i="1"/>
  <c r="BC95" i="1"/>
  <c r="BC103" i="1"/>
  <c r="BC106" i="1"/>
  <c r="BC107" i="1"/>
  <c r="BB106" i="1"/>
  <c r="BC36" i="1"/>
  <c r="BC40" i="1"/>
  <c r="BC44" i="1"/>
  <c r="BC48" i="1"/>
  <c r="BC52" i="1"/>
  <c r="BC56" i="1"/>
  <c r="BC60" i="1"/>
  <c r="BC64" i="1"/>
  <c r="BC68" i="1"/>
  <c r="BC72" i="1"/>
  <c r="BC76" i="1"/>
  <c r="BC80" i="1"/>
  <c r="BC84" i="1"/>
  <c r="BC88" i="1"/>
  <c r="BC92" i="1"/>
  <c r="BC96" i="1"/>
  <c r="BC100" i="1"/>
  <c r="BC104" i="1"/>
  <c r="BC108" i="1"/>
  <c r="BB105" i="1"/>
  <c r="BB66" i="1"/>
  <c r="BC37" i="1"/>
  <c r="BC41" i="1"/>
  <c r="BC45" i="1"/>
  <c r="BC49" i="1"/>
  <c r="BC53" i="1"/>
  <c r="BC57" i="1"/>
  <c r="BC61" i="1"/>
  <c r="BC65" i="1"/>
  <c r="BC69" i="1"/>
  <c r="BC73" i="1"/>
  <c r="BC77" i="1"/>
  <c r="BC81" i="1"/>
  <c r="BC85" i="1"/>
  <c r="BC89" i="1"/>
  <c r="BC93" i="1"/>
  <c r="BC97" i="1"/>
  <c r="BC101" i="1"/>
  <c r="BC105" i="1"/>
  <c r="BC109" i="1"/>
  <c r="BF107" i="1"/>
  <c r="BF35" i="1"/>
  <c r="BF99" i="1"/>
  <c r="BF43" i="1"/>
  <c r="BH64" i="1"/>
  <c r="BF67" i="1"/>
  <c r="BF75" i="1"/>
  <c r="BH96" i="1"/>
  <c r="BH36" i="1"/>
  <c r="BF47" i="1"/>
  <c r="BD58" i="1"/>
  <c r="BH68" i="1"/>
  <c r="BF79" i="1"/>
  <c r="BD90" i="1"/>
  <c r="BH100" i="1"/>
  <c r="BD46" i="1"/>
  <c r="BH56" i="1"/>
  <c r="BH88" i="1"/>
  <c r="BD38" i="1"/>
  <c r="BH48" i="1"/>
  <c r="BF59" i="1"/>
  <c r="BD70" i="1"/>
  <c r="BH80" i="1"/>
  <c r="BF91" i="1"/>
  <c r="BD102" i="1"/>
  <c r="BD86" i="1"/>
  <c r="BD78" i="1"/>
  <c r="BF39" i="1"/>
  <c r="BD50" i="1"/>
  <c r="BH60" i="1"/>
  <c r="BF71" i="1"/>
  <c r="BD82" i="1"/>
  <c r="BH92" i="1"/>
  <c r="BF103" i="1"/>
  <c r="BH40" i="1"/>
  <c r="BF51" i="1"/>
  <c r="BD62" i="1"/>
  <c r="BH72" i="1"/>
  <c r="BF83" i="1"/>
  <c r="BD94" i="1"/>
  <c r="BH104" i="1"/>
  <c r="BD54" i="1"/>
  <c r="BD42" i="1"/>
  <c r="BH52" i="1"/>
  <c r="BF63" i="1"/>
  <c r="BD74" i="1"/>
  <c r="BH84" i="1"/>
  <c r="BF95" i="1"/>
  <c r="BD106" i="1"/>
  <c r="BD34" i="1"/>
  <c r="BH44" i="1"/>
  <c r="BF55" i="1"/>
  <c r="BD66" i="1"/>
  <c r="BH76" i="1"/>
  <c r="BF87" i="1"/>
  <c r="BD98" i="1"/>
  <c r="BH108" i="1"/>
  <c r="BE34" i="1"/>
  <c r="BG35" i="1"/>
  <c r="BI36" i="1"/>
  <c r="BE38" i="1"/>
  <c r="BG39" i="1"/>
  <c r="BI40" i="1"/>
  <c r="BE42" i="1"/>
  <c r="BG43" i="1"/>
  <c r="BI44" i="1"/>
  <c r="BE46" i="1"/>
  <c r="BG47" i="1"/>
  <c r="BI48" i="1"/>
  <c r="BE50" i="1"/>
  <c r="BG51" i="1"/>
  <c r="BI52" i="1"/>
  <c r="BE54" i="1"/>
  <c r="BG55" i="1"/>
  <c r="BI56" i="1"/>
  <c r="BE58" i="1"/>
  <c r="BG59" i="1"/>
  <c r="BI60" i="1"/>
  <c r="BE62" i="1"/>
  <c r="BG63" i="1"/>
  <c r="BI64" i="1"/>
  <c r="BE66" i="1"/>
  <c r="BG67" i="1"/>
  <c r="BI68" i="1"/>
  <c r="BE70" i="1"/>
  <c r="BG71" i="1"/>
  <c r="BI72" i="1"/>
  <c r="BE74" i="1"/>
  <c r="BG75" i="1"/>
  <c r="BI76" i="1"/>
  <c r="BE78" i="1"/>
  <c r="BG79" i="1"/>
  <c r="BI80" i="1"/>
  <c r="BE82" i="1"/>
  <c r="BG83" i="1"/>
  <c r="BI84" i="1"/>
  <c r="BE86" i="1"/>
  <c r="BG87" i="1"/>
  <c r="BI88" i="1"/>
  <c r="BE90" i="1"/>
  <c r="BG91" i="1"/>
  <c r="BI92" i="1"/>
  <c r="BE94" i="1"/>
  <c r="BG95" i="1"/>
  <c r="BI96" i="1"/>
  <c r="BE98" i="1"/>
  <c r="BG99" i="1"/>
  <c r="BI100" i="1"/>
  <c r="BE102" i="1"/>
  <c r="BG103" i="1"/>
  <c r="BI104" i="1"/>
  <c r="BE106" i="1"/>
  <c r="BG107" i="1"/>
  <c r="BI108" i="1"/>
  <c r="BF34" i="1"/>
  <c r="BH35" i="1"/>
  <c r="BD37" i="1"/>
  <c r="BF38" i="1"/>
  <c r="BH39" i="1"/>
  <c r="BD41" i="1"/>
  <c r="BF42" i="1"/>
  <c r="BH43" i="1"/>
  <c r="BD45" i="1"/>
  <c r="BF46" i="1"/>
  <c r="BH47" i="1"/>
  <c r="BD49" i="1"/>
  <c r="BF50" i="1"/>
  <c r="BH51" i="1"/>
  <c r="BD53" i="1"/>
  <c r="BF54" i="1"/>
  <c r="BH55" i="1"/>
  <c r="BD57" i="1"/>
  <c r="BF58" i="1"/>
  <c r="BH59" i="1"/>
  <c r="BD61" i="1"/>
  <c r="BF62" i="1"/>
  <c r="BH63" i="1"/>
  <c r="BD65" i="1"/>
  <c r="BF66" i="1"/>
  <c r="BH67" i="1"/>
  <c r="BD69" i="1"/>
  <c r="BF70" i="1"/>
  <c r="BH71" i="1"/>
  <c r="BD73" i="1"/>
  <c r="BF74" i="1"/>
  <c r="BH75" i="1"/>
  <c r="BD77" i="1"/>
  <c r="BF78" i="1"/>
  <c r="BH79" i="1"/>
  <c r="BD81" i="1"/>
  <c r="BF82" i="1"/>
  <c r="BH83" i="1"/>
  <c r="BD85" i="1"/>
  <c r="BF86" i="1"/>
  <c r="BH87" i="1"/>
  <c r="BD89" i="1"/>
  <c r="BF90" i="1"/>
  <c r="BH91" i="1"/>
  <c r="BD93" i="1"/>
  <c r="BF94" i="1"/>
  <c r="BH95" i="1"/>
  <c r="BD97" i="1"/>
  <c r="BF98" i="1"/>
  <c r="BH99" i="1"/>
  <c r="BD101" i="1"/>
  <c r="BF102" i="1"/>
  <c r="BH103" i="1"/>
  <c r="BD105" i="1"/>
  <c r="BF106" i="1"/>
  <c r="BH107" i="1"/>
  <c r="BD109" i="1"/>
  <c r="BG34" i="1"/>
  <c r="BI35" i="1"/>
  <c r="BE37" i="1"/>
  <c r="BG38" i="1"/>
  <c r="BI39" i="1"/>
  <c r="BE41" i="1"/>
  <c r="BG42" i="1"/>
  <c r="BI43" i="1"/>
  <c r="BE45" i="1"/>
  <c r="BG46" i="1"/>
  <c r="BI47" i="1"/>
  <c r="BE49" i="1"/>
  <c r="BG50" i="1"/>
  <c r="BI51" i="1"/>
  <c r="BE53" i="1"/>
  <c r="BG54" i="1"/>
  <c r="BI55" i="1"/>
  <c r="BE57" i="1"/>
  <c r="BG58" i="1"/>
  <c r="BI59" i="1"/>
  <c r="BE61" i="1"/>
  <c r="BG62" i="1"/>
  <c r="BI63" i="1"/>
  <c r="BE65" i="1"/>
  <c r="BG66" i="1"/>
  <c r="BI67" i="1"/>
  <c r="BE69" i="1"/>
  <c r="BG70" i="1"/>
  <c r="BI71" i="1"/>
  <c r="BE73" i="1"/>
  <c r="BG74" i="1"/>
  <c r="BI75" i="1"/>
  <c r="BE77" i="1"/>
  <c r="BG78" i="1"/>
  <c r="BI79" i="1"/>
  <c r="BE81" i="1"/>
  <c r="BG82" i="1"/>
  <c r="BI83" i="1"/>
  <c r="BE85" i="1"/>
  <c r="BG86" i="1"/>
  <c r="BI87" i="1"/>
  <c r="BE89" i="1"/>
  <c r="BG90" i="1"/>
  <c r="BI91" i="1"/>
  <c r="BE93" i="1"/>
  <c r="BG94" i="1"/>
  <c r="BI95" i="1"/>
  <c r="BE97" i="1"/>
  <c r="BG98" i="1"/>
  <c r="BI99" i="1"/>
  <c r="BE101" i="1"/>
  <c r="BG102" i="1"/>
  <c r="BI103" i="1"/>
  <c r="BE105" i="1"/>
  <c r="BG106" i="1"/>
  <c r="BI107" i="1"/>
  <c r="BE109" i="1"/>
  <c r="BH34" i="1"/>
  <c r="BD36" i="1"/>
  <c r="BF37" i="1"/>
  <c r="BH38" i="1"/>
  <c r="BD40" i="1"/>
  <c r="BF41" i="1"/>
  <c r="BH42" i="1"/>
  <c r="BD44" i="1"/>
  <c r="BF45" i="1"/>
  <c r="BH46" i="1"/>
  <c r="BD48" i="1"/>
  <c r="BF49" i="1"/>
  <c r="BH50" i="1"/>
  <c r="BD52" i="1"/>
  <c r="BF53" i="1"/>
  <c r="BH54" i="1"/>
  <c r="BD56" i="1"/>
  <c r="BF57" i="1"/>
  <c r="BH58" i="1"/>
  <c r="BD60" i="1"/>
  <c r="BF61" i="1"/>
  <c r="BH62" i="1"/>
  <c r="BD64" i="1"/>
  <c r="BF65" i="1"/>
  <c r="BH66" i="1"/>
  <c r="BD68" i="1"/>
  <c r="BF69" i="1"/>
  <c r="BH70" i="1"/>
  <c r="BD72" i="1"/>
  <c r="BF73" i="1"/>
  <c r="BH74" i="1"/>
  <c r="BD76" i="1"/>
  <c r="BF77" i="1"/>
  <c r="BH78" i="1"/>
  <c r="BD80" i="1"/>
  <c r="BF81" i="1"/>
  <c r="BH82" i="1"/>
  <c r="BD84" i="1"/>
  <c r="BF85" i="1"/>
  <c r="BH86" i="1"/>
  <c r="BD88" i="1"/>
  <c r="BF89" i="1"/>
  <c r="BH90" i="1"/>
  <c r="BD92" i="1"/>
  <c r="BF93" i="1"/>
  <c r="BH94" i="1"/>
  <c r="BD96" i="1"/>
  <c r="BF97" i="1"/>
  <c r="BH98" i="1"/>
  <c r="BD100" i="1"/>
  <c r="BF101" i="1"/>
  <c r="BH102" i="1"/>
  <c r="BD104" i="1"/>
  <c r="BF105" i="1"/>
  <c r="BH106" i="1"/>
  <c r="BD108" i="1"/>
  <c r="BF109" i="1"/>
  <c r="BI34" i="1"/>
  <c r="BE36" i="1"/>
  <c r="BG37" i="1"/>
  <c r="BI38" i="1"/>
  <c r="BE40" i="1"/>
  <c r="BG41" i="1"/>
  <c r="BI42" i="1"/>
  <c r="BE44" i="1"/>
  <c r="BG45" i="1"/>
  <c r="BI46" i="1"/>
  <c r="BE48" i="1"/>
  <c r="BG49" i="1"/>
  <c r="BI50" i="1"/>
  <c r="BE52" i="1"/>
  <c r="BG53" i="1"/>
  <c r="BI54" i="1"/>
  <c r="BE56" i="1"/>
  <c r="BG57" i="1"/>
  <c r="BI58" i="1"/>
  <c r="BE60" i="1"/>
  <c r="BG61" i="1"/>
  <c r="BI62" i="1"/>
  <c r="BE64" i="1"/>
  <c r="BG65" i="1"/>
  <c r="BE68" i="1"/>
  <c r="BG69" i="1"/>
  <c r="BI70" i="1"/>
  <c r="BE72" i="1"/>
  <c r="BG73" i="1"/>
  <c r="BI74" i="1"/>
  <c r="BE76" i="1"/>
  <c r="BG77" i="1"/>
  <c r="BI78" i="1"/>
  <c r="BE80" i="1"/>
  <c r="BG81" i="1"/>
  <c r="BI82" i="1"/>
  <c r="BE84" i="1"/>
  <c r="BG85" i="1"/>
  <c r="BI86" i="1"/>
  <c r="BE88" i="1"/>
  <c r="BG89" i="1"/>
  <c r="BI90" i="1"/>
  <c r="BE92" i="1"/>
  <c r="BG93" i="1"/>
  <c r="BI94" i="1"/>
  <c r="BE96" i="1"/>
  <c r="BG97" i="1"/>
  <c r="BI98" i="1"/>
  <c r="BE100" i="1"/>
  <c r="BG101" i="1"/>
  <c r="BI102" i="1"/>
  <c r="BE104" i="1"/>
  <c r="BG105" i="1"/>
  <c r="BE108" i="1"/>
  <c r="BG109" i="1"/>
  <c r="BD35" i="1"/>
  <c r="BF36" i="1"/>
  <c r="BH37" i="1"/>
  <c r="BD39" i="1"/>
  <c r="BF40" i="1"/>
  <c r="BH41" i="1"/>
  <c r="BD43" i="1"/>
  <c r="BF44" i="1"/>
  <c r="BH45" i="1"/>
  <c r="BD47" i="1"/>
  <c r="BF48" i="1"/>
  <c r="BH49" i="1"/>
  <c r="BD51" i="1"/>
  <c r="BF52" i="1"/>
  <c r="BH53" i="1"/>
  <c r="BD55" i="1"/>
  <c r="BF56" i="1"/>
  <c r="BH57" i="1"/>
  <c r="BD59" i="1"/>
  <c r="BF60" i="1"/>
  <c r="BH61" i="1"/>
  <c r="BD63" i="1"/>
  <c r="BF64" i="1"/>
  <c r="BH65" i="1"/>
  <c r="BD67" i="1"/>
  <c r="BF68" i="1"/>
  <c r="BH69" i="1"/>
  <c r="BD71" i="1"/>
  <c r="BF72" i="1"/>
  <c r="BH73" i="1"/>
  <c r="BD75" i="1"/>
  <c r="BF76" i="1"/>
  <c r="BH77" i="1"/>
  <c r="BD79" i="1"/>
  <c r="BF80" i="1"/>
  <c r="BH81" i="1"/>
  <c r="BD83" i="1"/>
  <c r="BF84" i="1"/>
  <c r="BH85" i="1"/>
  <c r="BD87" i="1"/>
  <c r="BF88" i="1"/>
  <c r="BH89" i="1"/>
  <c r="BD91" i="1"/>
  <c r="BF92" i="1"/>
  <c r="BH93" i="1"/>
  <c r="BD95" i="1"/>
  <c r="BF96" i="1"/>
  <c r="BH97" i="1"/>
  <c r="BD99" i="1"/>
  <c r="BF100" i="1"/>
  <c r="BH101" i="1"/>
  <c r="BD103" i="1"/>
  <c r="BF104" i="1"/>
  <c r="BH105" i="1"/>
  <c r="BD107" i="1"/>
  <c r="BF108" i="1"/>
  <c r="BH109" i="1"/>
  <c r="BE35" i="1"/>
  <c r="BG36" i="1"/>
  <c r="BI37" i="1"/>
  <c r="BE39" i="1"/>
  <c r="BG40" i="1"/>
  <c r="BI41" i="1"/>
  <c r="BE43" i="1"/>
  <c r="BG44" i="1"/>
  <c r="BI45" i="1"/>
  <c r="BE47" i="1"/>
  <c r="BG48" i="1"/>
  <c r="BI49" i="1"/>
  <c r="BE51" i="1"/>
  <c r="BG52" i="1"/>
  <c r="BI53" i="1"/>
  <c r="BE55" i="1"/>
  <c r="BG56" i="1"/>
  <c r="BI57" i="1"/>
  <c r="BE59" i="1"/>
  <c r="BG60" i="1"/>
  <c r="BI61" i="1"/>
  <c r="BE63" i="1"/>
  <c r="BG64" i="1"/>
  <c r="BI65" i="1"/>
  <c r="BE67" i="1"/>
  <c r="BG68" i="1"/>
  <c r="BI69" i="1"/>
  <c r="BE71" i="1"/>
  <c r="BG72" i="1"/>
  <c r="BI73" i="1"/>
  <c r="BE75" i="1"/>
  <c r="BG76" i="1"/>
  <c r="BI77" i="1"/>
  <c r="BE79" i="1"/>
  <c r="BG80" i="1"/>
  <c r="BI81" i="1"/>
  <c r="BE83" i="1"/>
  <c r="BG84" i="1"/>
  <c r="BI85" i="1"/>
  <c r="BE87" i="1"/>
  <c r="BG88" i="1"/>
  <c r="BI89" i="1"/>
  <c r="BE91" i="1"/>
  <c r="BG92" i="1"/>
  <c r="BI93" i="1"/>
  <c r="BE95" i="1"/>
  <c r="BG96" i="1"/>
  <c r="BI97" i="1"/>
  <c r="BE99" i="1"/>
  <c r="BG100" i="1"/>
  <c r="BI101" i="1"/>
  <c r="BE103" i="1"/>
  <c r="BE107" i="1"/>
  <c r="BG108" i="1"/>
  <c r="BI109" i="1"/>
  <c r="BA9" i="1"/>
  <c r="BI9" i="1" l="1"/>
  <c r="BH9" i="1"/>
  <c r="BG9" i="1"/>
  <c r="BD9" i="1"/>
  <c r="BE9" i="1"/>
  <c r="BF9" i="1"/>
  <c r="A1" i="2"/>
  <c r="E12" i="2" l="1"/>
  <c r="E11" i="2"/>
  <c r="D12" i="2"/>
  <c r="D11" i="2"/>
  <c r="E6" i="2"/>
  <c r="B11" i="2"/>
  <c r="A11" i="2"/>
  <c r="AZ109" i="1"/>
  <c r="AY109" i="1"/>
  <c r="AX109" i="1"/>
  <c r="AZ108" i="1"/>
  <c r="AY108" i="1"/>
  <c r="AX108" i="1"/>
  <c r="AZ107" i="1"/>
  <c r="AY107" i="1"/>
  <c r="AX107" i="1"/>
  <c r="AZ106" i="1"/>
  <c r="AY106" i="1"/>
  <c r="AX106" i="1"/>
  <c r="AZ105" i="1"/>
  <c r="AY105" i="1"/>
  <c r="AX105" i="1"/>
  <c r="AZ104" i="1"/>
  <c r="AY104" i="1"/>
  <c r="AX104" i="1"/>
  <c r="AZ103" i="1"/>
  <c r="AY103" i="1"/>
  <c r="AX103" i="1"/>
  <c r="AZ102" i="1"/>
  <c r="AY102" i="1"/>
  <c r="AX102" i="1"/>
  <c r="AZ101" i="1"/>
  <c r="AY101" i="1"/>
  <c r="AX101" i="1"/>
  <c r="AZ100" i="1"/>
  <c r="AY100" i="1"/>
  <c r="AX100" i="1"/>
  <c r="AZ99" i="1"/>
  <c r="AY99" i="1"/>
  <c r="AX99" i="1"/>
  <c r="AZ98" i="1"/>
  <c r="AY98" i="1"/>
  <c r="AX98" i="1"/>
  <c r="AZ97" i="1"/>
  <c r="AY97" i="1"/>
  <c r="AX97" i="1"/>
  <c r="AZ96" i="1"/>
  <c r="AY96" i="1"/>
  <c r="AX96" i="1"/>
  <c r="AZ95" i="1"/>
  <c r="AY95" i="1"/>
  <c r="AX95" i="1"/>
  <c r="AZ94" i="1"/>
  <c r="AY94" i="1"/>
  <c r="AX94" i="1"/>
  <c r="AZ93" i="1"/>
  <c r="AY93" i="1"/>
  <c r="AX93" i="1"/>
  <c r="AZ92" i="1"/>
  <c r="AY92" i="1"/>
  <c r="AX92" i="1"/>
  <c r="AZ91" i="1"/>
  <c r="AY91" i="1"/>
  <c r="AX91" i="1"/>
  <c r="AZ90" i="1"/>
  <c r="AY90" i="1"/>
  <c r="AX90" i="1"/>
  <c r="AZ89" i="1"/>
  <c r="AY89" i="1"/>
  <c r="AX89" i="1"/>
  <c r="AZ88" i="1"/>
  <c r="AY88" i="1"/>
  <c r="AX88" i="1"/>
  <c r="AZ87" i="1"/>
  <c r="AY87" i="1"/>
  <c r="AX87" i="1"/>
  <c r="AZ86" i="1"/>
  <c r="AY86" i="1"/>
  <c r="AX86" i="1"/>
  <c r="AZ85" i="1"/>
  <c r="AY85" i="1"/>
  <c r="AX85" i="1"/>
  <c r="AZ84" i="1"/>
  <c r="AY84" i="1"/>
  <c r="AX84" i="1"/>
  <c r="AZ83" i="1"/>
  <c r="AY83" i="1"/>
  <c r="AX83" i="1"/>
  <c r="AZ82" i="1"/>
  <c r="AY82" i="1"/>
  <c r="AX82" i="1"/>
  <c r="AZ81" i="1"/>
  <c r="AY81" i="1"/>
  <c r="AX81" i="1"/>
  <c r="AZ80" i="1"/>
  <c r="AY80" i="1"/>
  <c r="AX80" i="1"/>
  <c r="AZ79" i="1"/>
  <c r="AY79" i="1"/>
  <c r="AX79" i="1"/>
  <c r="AZ78" i="1"/>
  <c r="AY78" i="1"/>
  <c r="AX78" i="1"/>
  <c r="AZ77" i="1"/>
  <c r="AY77" i="1"/>
  <c r="AX77" i="1"/>
  <c r="AZ76" i="1"/>
  <c r="AY76" i="1"/>
  <c r="AX76" i="1"/>
  <c r="AZ75" i="1"/>
  <c r="AY75" i="1"/>
  <c r="AX75" i="1"/>
  <c r="AZ74" i="1"/>
  <c r="AY74" i="1"/>
  <c r="AX74" i="1"/>
  <c r="AZ73" i="1"/>
  <c r="AY73" i="1"/>
  <c r="AX73" i="1"/>
  <c r="AZ72" i="1"/>
  <c r="AY72" i="1"/>
  <c r="AX72" i="1"/>
  <c r="AZ71" i="1"/>
  <c r="AY71" i="1"/>
  <c r="AX71" i="1"/>
  <c r="AZ70" i="1"/>
  <c r="AY70" i="1"/>
  <c r="AX70" i="1"/>
  <c r="AZ69" i="1"/>
  <c r="AY69" i="1"/>
  <c r="AX69" i="1"/>
  <c r="AZ68" i="1"/>
  <c r="AY68" i="1"/>
  <c r="AX68" i="1"/>
  <c r="AZ67" i="1"/>
  <c r="AY67" i="1"/>
  <c r="AX67" i="1"/>
  <c r="AZ66" i="1"/>
  <c r="AY66" i="1"/>
  <c r="AX66" i="1"/>
  <c r="AZ65" i="1"/>
  <c r="AY65" i="1"/>
  <c r="AX65" i="1"/>
  <c r="AZ64" i="1"/>
  <c r="AY64" i="1"/>
  <c r="AX64" i="1"/>
  <c r="AZ63" i="1"/>
  <c r="AY63" i="1"/>
  <c r="AX63" i="1"/>
  <c r="AZ62" i="1"/>
  <c r="AY62" i="1"/>
  <c r="AX62" i="1"/>
  <c r="AZ61" i="1"/>
  <c r="AY61" i="1"/>
  <c r="AX61" i="1"/>
  <c r="AZ60" i="1"/>
  <c r="AY60" i="1"/>
  <c r="AX60" i="1"/>
  <c r="AZ59" i="1"/>
  <c r="AY59" i="1"/>
  <c r="AX59" i="1"/>
  <c r="AZ58" i="1"/>
  <c r="AY58" i="1"/>
  <c r="AX58" i="1"/>
  <c r="AZ57" i="1"/>
  <c r="AY57" i="1"/>
  <c r="AX57" i="1"/>
  <c r="AZ56" i="1"/>
  <c r="AY56" i="1"/>
  <c r="AX56" i="1"/>
  <c r="AZ55" i="1"/>
  <c r="AY55" i="1"/>
  <c r="AX55" i="1"/>
  <c r="AZ54" i="1"/>
  <c r="AY54" i="1"/>
  <c r="AX54" i="1"/>
  <c r="AZ53" i="1"/>
  <c r="AY53" i="1"/>
  <c r="AX53" i="1"/>
  <c r="AZ52" i="1"/>
  <c r="AY52" i="1"/>
  <c r="AX52" i="1"/>
  <c r="AZ51" i="1"/>
  <c r="AY51" i="1"/>
  <c r="AX51" i="1"/>
  <c r="AZ50" i="1"/>
  <c r="AY50" i="1"/>
  <c r="AX50" i="1"/>
  <c r="AZ49" i="1"/>
  <c r="AY49" i="1"/>
  <c r="AX49" i="1"/>
  <c r="AZ48" i="1"/>
  <c r="AY48" i="1"/>
  <c r="AX48" i="1"/>
  <c r="AZ47" i="1"/>
  <c r="AY47" i="1"/>
  <c r="AX47" i="1"/>
  <c r="AZ46" i="1"/>
  <c r="AY46" i="1"/>
  <c r="AX46" i="1"/>
  <c r="AZ45" i="1"/>
  <c r="AY45" i="1"/>
  <c r="AX45" i="1"/>
  <c r="AZ44" i="1"/>
  <c r="AY44" i="1"/>
  <c r="AX44" i="1"/>
  <c r="AZ43" i="1"/>
  <c r="AY43" i="1"/>
  <c r="AX43" i="1"/>
  <c r="AZ42" i="1"/>
  <c r="AY42" i="1"/>
  <c r="AX42" i="1"/>
  <c r="AZ41" i="1"/>
  <c r="AY41" i="1"/>
  <c r="AX41" i="1"/>
  <c r="AZ40" i="1"/>
  <c r="AY40" i="1"/>
  <c r="AX40" i="1"/>
  <c r="AZ39" i="1"/>
  <c r="AY39" i="1"/>
  <c r="AX39" i="1"/>
  <c r="AZ38" i="1"/>
  <c r="AY38" i="1"/>
  <c r="AX38" i="1"/>
  <c r="AZ37" i="1"/>
  <c r="AY37" i="1"/>
  <c r="AX37" i="1"/>
  <c r="AZ36" i="1"/>
  <c r="AY36" i="1"/>
  <c r="AX36" i="1"/>
  <c r="AZ35" i="1"/>
  <c r="AY35" i="1"/>
  <c r="AX35" i="1"/>
  <c r="AZ34" i="1"/>
  <c r="AY34" i="1"/>
  <c r="AX34" i="1"/>
  <c r="AZ33" i="1"/>
  <c r="AY33" i="1"/>
  <c r="AX33" i="1"/>
  <c r="BA33" i="1" s="1"/>
  <c r="AZ32" i="1"/>
  <c r="AY32" i="1"/>
  <c r="AX32" i="1"/>
  <c r="BA32" i="1" s="1"/>
  <c r="AZ31" i="1"/>
  <c r="AY31" i="1"/>
  <c r="AX31" i="1"/>
  <c r="BA31" i="1" s="1"/>
  <c r="AZ30" i="1"/>
  <c r="AY30" i="1"/>
  <c r="AX30" i="1"/>
  <c r="BA30" i="1" s="1"/>
  <c r="AZ29" i="1"/>
  <c r="AY29" i="1"/>
  <c r="AX29" i="1"/>
  <c r="BA29" i="1" s="1"/>
  <c r="AZ28" i="1"/>
  <c r="AY28" i="1"/>
  <c r="AX28" i="1"/>
  <c r="BA28" i="1" s="1"/>
  <c r="AZ27" i="1"/>
  <c r="AY27" i="1"/>
  <c r="AX27" i="1"/>
  <c r="BA27" i="1" s="1"/>
  <c r="AZ26" i="1"/>
  <c r="AY26" i="1"/>
  <c r="AX26" i="1"/>
  <c r="BA26" i="1" s="1"/>
  <c r="AZ25" i="1"/>
  <c r="AY25" i="1"/>
  <c r="AX25" i="1"/>
  <c r="BA25" i="1" s="1"/>
  <c r="AZ24" i="1"/>
  <c r="AY24" i="1"/>
  <c r="AX24" i="1"/>
  <c r="BA24" i="1" s="1"/>
  <c r="AZ23" i="1"/>
  <c r="AY23" i="1"/>
  <c r="AX23" i="1"/>
  <c r="BA23" i="1" s="1"/>
  <c r="AZ22" i="1"/>
  <c r="AY22" i="1"/>
  <c r="AX22" i="1"/>
  <c r="BA22" i="1" s="1"/>
  <c r="AZ21" i="1"/>
  <c r="AY21" i="1"/>
  <c r="AX21" i="1"/>
  <c r="BA21" i="1" s="1"/>
  <c r="AZ20" i="1"/>
  <c r="AY20" i="1"/>
  <c r="AX20" i="1"/>
  <c r="BA20" i="1" s="1"/>
  <c r="AZ19" i="1"/>
  <c r="AY19" i="1"/>
  <c r="AX19" i="1"/>
  <c r="AZ18" i="1"/>
  <c r="AY18" i="1"/>
  <c r="AX18" i="1"/>
  <c r="AZ17" i="1"/>
  <c r="AY17" i="1"/>
  <c r="AX17" i="1"/>
  <c r="BA17" i="1" s="1"/>
  <c r="BC17" i="1" s="1"/>
  <c r="AZ16" i="1"/>
  <c r="AY16" i="1"/>
  <c r="AX16" i="1"/>
  <c r="BA16" i="1" s="1"/>
  <c r="BC16" i="1" s="1"/>
  <c r="AZ15" i="1"/>
  <c r="AY15" i="1"/>
  <c r="AX15" i="1"/>
  <c r="AZ14" i="1"/>
  <c r="AY14" i="1"/>
  <c r="AX14" i="1"/>
  <c r="BA14" i="1" s="1"/>
  <c r="BC14" i="1" s="1"/>
  <c r="AZ13" i="1"/>
  <c r="AY13" i="1"/>
  <c r="AX13" i="1"/>
  <c r="BA13" i="1" s="1"/>
  <c r="BC13" i="1" s="1"/>
  <c r="AZ12" i="1"/>
  <c r="AY12" i="1"/>
  <c r="AX12" i="1"/>
  <c r="BA12" i="1" s="1"/>
  <c r="BC12" i="1" s="1"/>
  <c r="AZ11" i="1"/>
  <c r="AY11" i="1"/>
  <c r="AX11" i="1"/>
  <c r="AZ10" i="1"/>
  <c r="AY10" i="1"/>
  <c r="AX10" i="1"/>
  <c r="AS6" i="1"/>
  <c r="AJ6" i="1"/>
  <c r="E5" i="2" s="1"/>
  <c r="BB24" i="1" l="1"/>
  <c r="BC24" i="1"/>
  <c r="BE24" i="1"/>
  <c r="BG24" i="1"/>
  <c r="BI24" i="1"/>
  <c r="BD24" i="1"/>
  <c r="BF24" i="1"/>
  <c r="BH24" i="1"/>
  <c r="BB28" i="1"/>
  <c r="BC28" i="1"/>
  <c r="BH28" i="1"/>
  <c r="BI28" i="1"/>
  <c r="BD28" i="1"/>
  <c r="BF28" i="1"/>
  <c r="BE28" i="1"/>
  <c r="BG28" i="1"/>
  <c r="BB32" i="1"/>
  <c r="BI32" i="1"/>
  <c r="BD32" i="1"/>
  <c r="BF32" i="1"/>
  <c r="BE32" i="1"/>
  <c r="BG32" i="1"/>
  <c r="BC32" i="1"/>
  <c r="BH32" i="1"/>
  <c r="BB27" i="1"/>
  <c r="BG27" i="1"/>
  <c r="BH27" i="1"/>
  <c r="BI27" i="1"/>
  <c r="BD27" i="1"/>
  <c r="BF27" i="1"/>
  <c r="BC27" i="1"/>
  <c r="BE27" i="1"/>
  <c r="BB31" i="1"/>
  <c r="BE31" i="1"/>
  <c r="BI31" i="1"/>
  <c r="BG31" i="1"/>
  <c r="BH31" i="1"/>
  <c r="BC31" i="1"/>
  <c r="BF31" i="1"/>
  <c r="BD31" i="1"/>
  <c r="BI26" i="1"/>
  <c r="BC26" i="1"/>
  <c r="BH26" i="1"/>
  <c r="BF26" i="1"/>
  <c r="BD26" i="1"/>
  <c r="BB26" i="1"/>
  <c r="BE26" i="1"/>
  <c r="BG26" i="1"/>
  <c r="BB30" i="1"/>
  <c r="BI30" i="1"/>
  <c r="BC30" i="1"/>
  <c r="BD30" i="1"/>
  <c r="BE30" i="1"/>
  <c r="BF30" i="1"/>
  <c r="BG30" i="1"/>
  <c r="BH30" i="1"/>
  <c r="BB25" i="1"/>
  <c r="BC25" i="1"/>
  <c r="BI25" i="1"/>
  <c r="BF25" i="1"/>
  <c r="BH25" i="1"/>
  <c r="BG25" i="1"/>
  <c r="BD25" i="1"/>
  <c r="BE25" i="1"/>
  <c r="BB29" i="1"/>
  <c r="BG29" i="1"/>
  <c r="BI29" i="1"/>
  <c r="BC29" i="1"/>
  <c r="BD29" i="1"/>
  <c r="BE29" i="1"/>
  <c r="BF29" i="1"/>
  <c r="BH29" i="1"/>
  <c r="BI33" i="1"/>
  <c r="BD33" i="1"/>
  <c r="BE33" i="1"/>
  <c r="BF33" i="1"/>
  <c r="BH33" i="1"/>
  <c r="BB33" i="1"/>
  <c r="BC33" i="1"/>
  <c r="BG33" i="1"/>
  <c r="BB20" i="1"/>
  <c r="BH20" i="1"/>
  <c r="BE20" i="1"/>
  <c r="BI20" i="1"/>
  <c r="BC20" i="1"/>
  <c r="BF20" i="1"/>
  <c r="BG20" i="1"/>
  <c r="BD20" i="1"/>
  <c r="BB21" i="1"/>
  <c r="BC21" i="1"/>
  <c r="BE21" i="1"/>
  <c r="BF21" i="1"/>
  <c r="BH21" i="1"/>
  <c r="BD21" i="1"/>
  <c r="BG21" i="1"/>
  <c r="BI21" i="1"/>
  <c r="BB23" i="1"/>
  <c r="BC23" i="1"/>
  <c r="BG23" i="1"/>
  <c r="BH23" i="1"/>
  <c r="BF23" i="1"/>
  <c r="BI23" i="1"/>
  <c r="BD23" i="1"/>
  <c r="BE23" i="1"/>
  <c r="BB22" i="1"/>
  <c r="BC22" i="1"/>
  <c r="BD22" i="1"/>
  <c r="BG22" i="1"/>
  <c r="BH22" i="1"/>
  <c r="BF22" i="1"/>
  <c r="BI22" i="1"/>
  <c r="BE22" i="1"/>
  <c r="BG12" i="1"/>
  <c r="BF12" i="1"/>
  <c r="BE12" i="1"/>
  <c r="BH12" i="1"/>
  <c r="BD12" i="1"/>
  <c r="BI12" i="1"/>
  <c r="BB12" i="1"/>
  <c r="BA15" i="1"/>
  <c r="BC15" i="1" s="1"/>
  <c r="BI17" i="1"/>
  <c r="BF17" i="1"/>
  <c r="BD17" i="1"/>
  <c r="BE17" i="1"/>
  <c r="BH17" i="1"/>
  <c r="BG17" i="1"/>
  <c r="BB17" i="1"/>
  <c r="BA18" i="1"/>
  <c r="BC18" i="1" s="1"/>
  <c r="BI14" i="1"/>
  <c r="BH14" i="1"/>
  <c r="BE14" i="1"/>
  <c r="BD14" i="1"/>
  <c r="BF14" i="1"/>
  <c r="BG14" i="1"/>
  <c r="BB14" i="1"/>
  <c r="BI13" i="1"/>
  <c r="BF13" i="1"/>
  <c r="BH13" i="1"/>
  <c r="BG13" i="1"/>
  <c r="BD13" i="1"/>
  <c r="BE13" i="1"/>
  <c r="BB13" i="1"/>
  <c r="BG16" i="1"/>
  <c r="BH16" i="1"/>
  <c r="BD16" i="1"/>
  <c r="BF16" i="1"/>
  <c r="BE16" i="1"/>
  <c r="BI16" i="1"/>
  <c r="BB16" i="1"/>
  <c r="BA11" i="1"/>
  <c r="BC11" i="1" s="1"/>
  <c r="BA19" i="1"/>
  <c r="BC19" i="1" s="1"/>
  <c r="BA10" i="1"/>
  <c r="I6" i="2"/>
  <c r="BE19" i="1" l="1"/>
  <c r="BG19" i="1"/>
  <c r="BH19" i="1"/>
  <c r="BI19" i="1"/>
  <c r="BF19" i="1"/>
  <c r="BD19" i="1"/>
  <c r="BB19" i="1"/>
  <c r="BI18" i="1"/>
  <c r="BF18" i="1"/>
  <c r="BD18" i="1"/>
  <c r="BG18" i="1"/>
  <c r="BH18" i="1"/>
  <c r="BE18" i="1"/>
  <c r="BB18" i="1"/>
  <c r="BE11" i="1"/>
  <c r="BG11" i="1"/>
  <c r="BH11" i="1"/>
  <c r="BI11" i="1"/>
  <c r="BF11" i="1"/>
  <c r="BD11" i="1"/>
  <c r="BB11" i="1"/>
  <c r="BE15" i="1"/>
  <c r="BI15" i="1"/>
  <c r="BD15" i="1"/>
  <c r="BF15" i="1"/>
  <c r="BG15" i="1"/>
  <c r="BH15" i="1"/>
  <c r="BB15" i="1"/>
  <c r="BI10" i="1"/>
  <c r="BH10" i="1"/>
  <c r="BG10" i="1"/>
  <c r="BF10" i="1"/>
  <c r="BD10" i="1"/>
  <c r="BE10" i="1"/>
  <c r="BN88" i="1"/>
  <c r="BC10" i="1"/>
  <c r="BP9" i="1"/>
  <c r="BP31" i="1" s="1"/>
  <c r="BT9" i="1"/>
  <c r="BT30" i="1" s="1"/>
  <c r="BS9" i="1"/>
  <c r="BS80" i="1" s="1"/>
  <c r="BR9" i="1"/>
  <c r="BR86" i="1" s="1"/>
  <c r="BN9" i="1"/>
  <c r="BN102" i="1" s="1"/>
  <c r="BO9" i="1"/>
  <c r="BO95" i="1" s="1"/>
  <c r="BB10" i="1"/>
  <c r="I8" i="1"/>
  <c r="J8" i="1" s="1"/>
  <c r="K8" i="1" s="1"/>
  <c r="L8" i="1" s="1"/>
  <c r="M8" i="1" s="1"/>
  <c r="N8" i="1" s="1"/>
  <c r="O8" i="1" s="1"/>
  <c r="P8" i="1" s="1"/>
  <c r="Q8" i="1" s="1"/>
  <c r="R8" i="1" s="1"/>
  <c r="S8" i="1" s="1"/>
  <c r="T8" i="1" s="1"/>
  <c r="U8" i="1" s="1"/>
  <c r="V8" i="1" s="1"/>
  <c r="W8" i="1" s="1"/>
  <c r="X8" i="1" s="1"/>
  <c r="Y8" i="1" s="1"/>
  <c r="Z8" i="1" s="1"/>
  <c r="AA8" i="1" s="1"/>
  <c r="AB8" i="1" s="1"/>
  <c r="AC8" i="1" s="1"/>
  <c r="AD8" i="1" s="1"/>
  <c r="AE8" i="1" s="1"/>
  <c r="AF8" i="1" s="1"/>
  <c r="AG8" i="1" s="1"/>
  <c r="AH8" i="1" s="1"/>
  <c r="AI8" i="1" s="1"/>
  <c r="AJ8" i="1" s="1"/>
  <c r="AN8" i="1" s="1"/>
  <c r="AO8" i="1" s="1"/>
  <c r="AP8" i="1" s="1"/>
  <c r="AQ8" i="1" s="1"/>
  <c r="AV8" i="1" s="1"/>
  <c r="AW8" i="1" s="1"/>
  <c r="BN24" i="1" l="1"/>
  <c r="BT84" i="1"/>
  <c r="BR42" i="1"/>
  <c r="BP102" i="1"/>
  <c r="BN39" i="1"/>
  <c r="BR33" i="1"/>
  <c r="BS69" i="1"/>
  <c r="BS67" i="1"/>
  <c r="BT29" i="1"/>
  <c r="BN103" i="1"/>
  <c r="BT101" i="1"/>
  <c r="BO45" i="1"/>
  <c r="BP40" i="1"/>
  <c r="BT89" i="1"/>
  <c r="BN25" i="1"/>
  <c r="BN107" i="1"/>
  <c r="BO23" i="1"/>
  <c r="BO29" i="1"/>
  <c r="BO24" i="1"/>
  <c r="BO21" i="1"/>
  <c r="BO26" i="1"/>
  <c r="BO34" i="1"/>
  <c r="BO59" i="1"/>
  <c r="BO83" i="1"/>
  <c r="BO99" i="1"/>
  <c r="BO68" i="1"/>
  <c r="BO30" i="1"/>
  <c r="BO38" i="1"/>
  <c r="BO46" i="1"/>
  <c r="BO54" i="1"/>
  <c r="BO70" i="1"/>
  <c r="BO78" i="1"/>
  <c r="BO86" i="1"/>
  <c r="BO94" i="1"/>
  <c r="BO102" i="1"/>
  <c r="BO84" i="1"/>
  <c r="BO100" i="1"/>
  <c r="BO108" i="1"/>
  <c r="BO61" i="1"/>
  <c r="BO85" i="1"/>
  <c r="BO93" i="1"/>
  <c r="BO101" i="1"/>
  <c r="BO39" i="1"/>
  <c r="BO47" i="1"/>
  <c r="BO55" i="1"/>
  <c r="BO71" i="1"/>
  <c r="BO79" i="1"/>
  <c r="BO87" i="1"/>
  <c r="BO103" i="1"/>
  <c r="BO50" i="1"/>
  <c r="BO66" i="1"/>
  <c r="BO82" i="1"/>
  <c r="BO98" i="1"/>
  <c r="BO106" i="1"/>
  <c r="BO43" i="1"/>
  <c r="BO67" i="1"/>
  <c r="BO36" i="1"/>
  <c r="BO44" i="1"/>
  <c r="BO52" i="1"/>
  <c r="BO76" i="1"/>
  <c r="BO53" i="1"/>
  <c r="BO32" i="1"/>
  <c r="BO40" i="1"/>
  <c r="BO48" i="1"/>
  <c r="BO56" i="1"/>
  <c r="BO64" i="1"/>
  <c r="BO72" i="1"/>
  <c r="BO80" i="1"/>
  <c r="BO88" i="1"/>
  <c r="BO96" i="1"/>
  <c r="BO104" i="1"/>
  <c r="BO58" i="1"/>
  <c r="BO74" i="1"/>
  <c r="BO90" i="1"/>
  <c r="BO35" i="1"/>
  <c r="BO51" i="1"/>
  <c r="BO75" i="1"/>
  <c r="BO91" i="1"/>
  <c r="BO107" i="1"/>
  <c r="BO37" i="1"/>
  <c r="BO69" i="1"/>
  <c r="BO33" i="1"/>
  <c r="BO41" i="1"/>
  <c r="BO27" i="1"/>
  <c r="BO22" i="1"/>
  <c r="BO20" i="1"/>
  <c r="BO65" i="1"/>
  <c r="BO73" i="1"/>
  <c r="BO81" i="1"/>
  <c r="BO89" i="1"/>
  <c r="BO97" i="1"/>
  <c r="BO105" i="1"/>
  <c r="BO57" i="1"/>
  <c r="BO49" i="1"/>
  <c r="BO25" i="1"/>
  <c r="BT25" i="1"/>
  <c r="BT20" i="1"/>
  <c r="BR106" i="1"/>
  <c r="BS68" i="1"/>
  <c r="BO42" i="1"/>
  <c r="BP61" i="1"/>
  <c r="BT90" i="1"/>
  <c r="BN11" i="1"/>
  <c r="BN27" i="1"/>
  <c r="BN20" i="1"/>
  <c r="BN22" i="1"/>
  <c r="BN29" i="1"/>
  <c r="BN34" i="1"/>
  <c r="BN59" i="1"/>
  <c r="BN83" i="1"/>
  <c r="BN99" i="1"/>
  <c r="BN68" i="1"/>
  <c r="BN30" i="1"/>
  <c r="BN38" i="1"/>
  <c r="BN46" i="1"/>
  <c r="BN54" i="1"/>
  <c r="BN62" i="1"/>
  <c r="BN70" i="1"/>
  <c r="BN78" i="1"/>
  <c r="BN86" i="1"/>
  <c r="BN94" i="1"/>
  <c r="BN84" i="1"/>
  <c r="BN108" i="1"/>
  <c r="BN45" i="1"/>
  <c r="BN77" i="1"/>
  <c r="BN85" i="1"/>
  <c r="BN93" i="1"/>
  <c r="BN101" i="1"/>
  <c r="BN31" i="1"/>
  <c r="BN47" i="1"/>
  <c r="BN55" i="1"/>
  <c r="BN63" i="1"/>
  <c r="BN71" i="1"/>
  <c r="BN79" i="1"/>
  <c r="BN87" i="1"/>
  <c r="BN95" i="1"/>
  <c r="BN50" i="1"/>
  <c r="BN66" i="1"/>
  <c r="BN98" i="1"/>
  <c r="BN106" i="1"/>
  <c r="BN67" i="1"/>
  <c r="BN36" i="1"/>
  <c r="BN44" i="1"/>
  <c r="BN52" i="1"/>
  <c r="BN60" i="1"/>
  <c r="BN76" i="1"/>
  <c r="BN92" i="1"/>
  <c r="BN53" i="1"/>
  <c r="BN109" i="1"/>
  <c r="BN32" i="1"/>
  <c r="BN40" i="1"/>
  <c r="BN48" i="1"/>
  <c r="BN56" i="1"/>
  <c r="BN64" i="1"/>
  <c r="BN72" i="1"/>
  <c r="BN80" i="1"/>
  <c r="BN96" i="1"/>
  <c r="BN104" i="1"/>
  <c r="BN42" i="1"/>
  <c r="BN58" i="1"/>
  <c r="BN74" i="1"/>
  <c r="BN90" i="1"/>
  <c r="BN35" i="1"/>
  <c r="BN51" i="1"/>
  <c r="BN75" i="1"/>
  <c r="BN91" i="1"/>
  <c r="BN37" i="1"/>
  <c r="BN69" i="1"/>
  <c r="BN33" i="1"/>
  <c r="BN41" i="1"/>
  <c r="BN23" i="1"/>
  <c r="BN26" i="1"/>
  <c r="BN57" i="1"/>
  <c r="BN28" i="1"/>
  <c r="BN65" i="1"/>
  <c r="BN73" i="1"/>
  <c r="BN81" i="1"/>
  <c r="BN97" i="1"/>
  <c r="BN105" i="1"/>
  <c r="BN21" i="1"/>
  <c r="BN49" i="1"/>
  <c r="BP63" i="1"/>
  <c r="BN89" i="1"/>
  <c r="BO60" i="1"/>
  <c r="BT24" i="1"/>
  <c r="BP95" i="1"/>
  <c r="BR15" i="1"/>
  <c r="BR22" i="1"/>
  <c r="BR26" i="1"/>
  <c r="BR20" i="1"/>
  <c r="BR29" i="1"/>
  <c r="BR65" i="1"/>
  <c r="BR68" i="1"/>
  <c r="BR78" i="1"/>
  <c r="BR93" i="1"/>
  <c r="BR82" i="1"/>
  <c r="BR58" i="1"/>
  <c r="BR105" i="1"/>
  <c r="BR59" i="1"/>
  <c r="BR54" i="1"/>
  <c r="BR61" i="1"/>
  <c r="BR101" i="1"/>
  <c r="BR79" i="1"/>
  <c r="BR98" i="1"/>
  <c r="BR32" i="1"/>
  <c r="BR64" i="1"/>
  <c r="BR96" i="1"/>
  <c r="BR74" i="1"/>
  <c r="BR107" i="1"/>
  <c r="BR69" i="1"/>
  <c r="BR57" i="1"/>
  <c r="BR92" i="1"/>
  <c r="BR81" i="1"/>
  <c r="BR23" i="1"/>
  <c r="BR28" i="1"/>
  <c r="BR75" i="1"/>
  <c r="BR49" i="1"/>
  <c r="BR83" i="1"/>
  <c r="BR30" i="1"/>
  <c r="BR62" i="1"/>
  <c r="BR94" i="1"/>
  <c r="BR108" i="1"/>
  <c r="BR77" i="1"/>
  <c r="BR55" i="1"/>
  <c r="BR87" i="1"/>
  <c r="BR50" i="1"/>
  <c r="BR60" i="1"/>
  <c r="BR53" i="1"/>
  <c r="BR40" i="1"/>
  <c r="BR72" i="1"/>
  <c r="BR104" i="1"/>
  <c r="BR90" i="1"/>
  <c r="BR25" i="1"/>
  <c r="BR44" i="1"/>
  <c r="BR21" i="1"/>
  <c r="BR45" i="1"/>
  <c r="BR103" i="1"/>
  <c r="BR56" i="1"/>
  <c r="BR51" i="1"/>
  <c r="BR73" i="1"/>
  <c r="BR97" i="1"/>
  <c r="BR34" i="1"/>
  <c r="BR99" i="1"/>
  <c r="BR38" i="1"/>
  <c r="BR70" i="1"/>
  <c r="BR102" i="1"/>
  <c r="BR85" i="1"/>
  <c r="BR31" i="1"/>
  <c r="BR63" i="1"/>
  <c r="BR95" i="1"/>
  <c r="BR66" i="1"/>
  <c r="BR43" i="1"/>
  <c r="BR36" i="1"/>
  <c r="BR109" i="1"/>
  <c r="BR80" i="1"/>
  <c r="BR35" i="1"/>
  <c r="BR91" i="1"/>
  <c r="BR37" i="1"/>
  <c r="BR41" i="1"/>
  <c r="BR46" i="1"/>
  <c r="BR84" i="1"/>
  <c r="BR39" i="1"/>
  <c r="BR67" i="1"/>
  <c r="BR88" i="1"/>
  <c r="BR89" i="1"/>
  <c r="BR27" i="1"/>
  <c r="BR24" i="1"/>
  <c r="BR71" i="1"/>
  <c r="BT12" i="1"/>
  <c r="BT27" i="1"/>
  <c r="BT23" i="1"/>
  <c r="BT22" i="1"/>
  <c r="BT28" i="1"/>
  <c r="BT34" i="1"/>
  <c r="BT59" i="1"/>
  <c r="BT99" i="1"/>
  <c r="BT68" i="1"/>
  <c r="BT38" i="1"/>
  <c r="BT46" i="1"/>
  <c r="BT54" i="1"/>
  <c r="BT62" i="1"/>
  <c r="BT70" i="1"/>
  <c r="BT78" i="1"/>
  <c r="BT86" i="1"/>
  <c r="BT94" i="1"/>
  <c r="BT102" i="1"/>
  <c r="BT100" i="1"/>
  <c r="BT108" i="1"/>
  <c r="BT61" i="1"/>
  <c r="BT77" i="1"/>
  <c r="BT85" i="1"/>
  <c r="BT31" i="1"/>
  <c r="BT47" i="1"/>
  <c r="BT55" i="1"/>
  <c r="BT63" i="1"/>
  <c r="BT71" i="1"/>
  <c r="BT79" i="1"/>
  <c r="BT87" i="1"/>
  <c r="BT95" i="1"/>
  <c r="BT103" i="1"/>
  <c r="BT50" i="1"/>
  <c r="BT66" i="1"/>
  <c r="BT82" i="1"/>
  <c r="BT98" i="1"/>
  <c r="BT106" i="1"/>
  <c r="BT67" i="1"/>
  <c r="BT36" i="1"/>
  <c r="BT44" i="1"/>
  <c r="BT52" i="1"/>
  <c r="BT60" i="1"/>
  <c r="BT76" i="1"/>
  <c r="BT92" i="1"/>
  <c r="BT53" i="1"/>
  <c r="BT109" i="1"/>
  <c r="BT32" i="1"/>
  <c r="BT40" i="1"/>
  <c r="BT48" i="1"/>
  <c r="BT56" i="1"/>
  <c r="BT72" i="1"/>
  <c r="BT80" i="1"/>
  <c r="BT88" i="1"/>
  <c r="BT96" i="1"/>
  <c r="BT104" i="1"/>
  <c r="BT42" i="1"/>
  <c r="BT58" i="1"/>
  <c r="BT74" i="1"/>
  <c r="BT35" i="1"/>
  <c r="BT51" i="1"/>
  <c r="BT75" i="1"/>
  <c r="BT91" i="1"/>
  <c r="BT107" i="1"/>
  <c r="BT69" i="1"/>
  <c r="BT33" i="1"/>
  <c r="BT49" i="1"/>
  <c r="BT37" i="1"/>
  <c r="BT57" i="1"/>
  <c r="BT41" i="1"/>
  <c r="BT73" i="1"/>
  <c r="BT81" i="1"/>
  <c r="BT97" i="1"/>
  <c r="BT105" i="1"/>
  <c r="BT65" i="1"/>
  <c r="BR100" i="1"/>
  <c r="BT26" i="1"/>
  <c r="BT39" i="1"/>
  <c r="BN61" i="1"/>
  <c r="BT45" i="1"/>
  <c r="BT83" i="1"/>
  <c r="BO62" i="1"/>
  <c r="BO31" i="1"/>
  <c r="BS12" i="1"/>
  <c r="BS24" i="1"/>
  <c r="BS25" i="1"/>
  <c r="BS27" i="1"/>
  <c r="BS23" i="1"/>
  <c r="BS20" i="1"/>
  <c r="BS21" i="1"/>
  <c r="BS28" i="1"/>
  <c r="BS34" i="1"/>
  <c r="BS59" i="1"/>
  <c r="BS83" i="1"/>
  <c r="BS99" i="1"/>
  <c r="BS30" i="1"/>
  <c r="BS38" i="1"/>
  <c r="BS46" i="1"/>
  <c r="BS54" i="1"/>
  <c r="BS62" i="1"/>
  <c r="BS70" i="1"/>
  <c r="BS78" i="1"/>
  <c r="BS86" i="1"/>
  <c r="BS94" i="1"/>
  <c r="BS102" i="1"/>
  <c r="BS84" i="1"/>
  <c r="BS100" i="1"/>
  <c r="BS108" i="1"/>
  <c r="BS45" i="1"/>
  <c r="BS61" i="1"/>
  <c r="BS77" i="1"/>
  <c r="BS85" i="1"/>
  <c r="BS93" i="1"/>
  <c r="BS101" i="1"/>
  <c r="BS31" i="1"/>
  <c r="BS39" i="1"/>
  <c r="BS47" i="1"/>
  <c r="BS55" i="1"/>
  <c r="BS71" i="1"/>
  <c r="BS79" i="1"/>
  <c r="BS87" i="1"/>
  <c r="BS95" i="1"/>
  <c r="BS103" i="1"/>
  <c r="BS50" i="1"/>
  <c r="BS82" i="1"/>
  <c r="BS98" i="1"/>
  <c r="BS106" i="1"/>
  <c r="BS43" i="1"/>
  <c r="BS36" i="1"/>
  <c r="BS44" i="1"/>
  <c r="BS52" i="1"/>
  <c r="BS60" i="1"/>
  <c r="BS76" i="1"/>
  <c r="BS92" i="1"/>
  <c r="BS29" i="1"/>
  <c r="BS53" i="1"/>
  <c r="BS109" i="1"/>
  <c r="BS32" i="1"/>
  <c r="BS40" i="1"/>
  <c r="BS48" i="1"/>
  <c r="BS64" i="1"/>
  <c r="BS72" i="1"/>
  <c r="BS88" i="1"/>
  <c r="BS96" i="1"/>
  <c r="BS104" i="1"/>
  <c r="BS42" i="1"/>
  <c r="BS58" i="1"/>
  <c r="BS74" i="1"/>
  <c r="BS90" i="1"/>
  <c r="BS35" i="1"/>
  <c r="BS51" i="1"/>
  <c r="BS75" i="1"/>
  <c r="BS91" i="1"/>
  <c r="BS107" i="1"/>
  <c r="BS37" i="1"/>
  <c r="BS33" i="1"/>
  <c r="BS41" i="1"/>
  <c r="BS57" i="1"/>
  <c r="BS65" i="1"/>
  <c r="BS22" i="1"/>
  <c r="BS26" i="1"/>
  <c r="BS49" i="1"/>
  <c r="BS73" i="1"/>
  <c r="BS81" i="1"/>
  <c r="BS89" i="1"/>
  <c r="BS97" i="1"/>
  <c r="BS105" i="1"/>
  <c r="BP19" i="1"/>
  <c r="BP22" i="1"/>
  <c r="BP26" i="1"/>
  <c r="BP28" i="1"/>
  <c r="BP34" i="1"/>
  <c r="BP59" i="1"/>
  <c r="BP83" i="1"/>
  <c r="BP99" i="1"/>
  <c r="BP68" i="1"/>
  <c r="BP30" i="1"/>
  <c r="BP46" i="1"/>
  <c r="BP54" i="1"/>
  <c r="BP62" i="1"/>
  <c r="BP78" i="1"/>
  <c r="BP86" i="1"/>
  <c r="BP94" i="1"/>
  <c r="BP84" i="1"/>
  <c r="BP100" i="1"/>
  <c r="BP108" i="1"/>
  <c r="BP45" i="1"/>
  <c r="BP77" i="1"/>
  <c r="BP85" i="1"/>
  <c r="BP93" i="1"/>
  <c r="BP101" i="1"/>
  <c r="BP39" i="1"/>
  <c r="BP47" i="1"/>
  <c r="BP55" i="1"/>
  <c r="BP71" i="1"/>
  <c r="BP79" i="1"/>
  <c r="BP87" i="1"/>
  <c r="BP103" i="1"/>
  <c r="BP50" i="1"/>
  <c r="BP66" i="1"/>
  <c r="BP82" i="1"/>
  <c r="BP98" i="1"/>
  <c r="BP106" i="1"/>
  <c r="BP43" i="1"/>
  <c r="BP67" i="1"/>
  <c r="BP36" i="1"/>
  <c r="BP44" i="1"/>
  <c r="BP52" i="1"/>
  <c r="BP60" i="1"/>
  <c r="BP76" i="1"/>
  <c r="BP92" i="1"/>
  <c r="BP53" i="1"/>
  <c r="BP109" i="1"/>
  <c r="BP32" i="1"/>
  <c r="BP48" i="1"/>
  <c r="BP56" i="1"/>
  <c r="BP64" i="1"/>
  <c r="BP80" i="1"/>
  <c r="BP88" i="1"/>
  <c r="BP96" i="1"/>
  <c r="BP42" i="1"/>
  <c r="BP58" i="1"/>
  <c r="BP74" i="1"/>
  <c r="BP90" i="1"/>
  <c r="BP35" i="1"/>
  <c r="BP51" i="1"/>
  <c r="BP75" i="1"/>
  <c r="BP91" i="1"/>
  <c r="BP107" i="1"/>
  <c r="BP37" i="1"/>
  <c r="BP69" i="1"/>
  <c r="BP33" i="1"/>
  <c r="BP41" i="1"/>
  <c r="BP49" i="1"/>
  <c r="BP65" i="1"/>
  <c r="BP25" i="1"/>
  <c r="BP20" i="1"/>
  <c r="BP29" i="1"/>
  <c r="BP73" i="1"/>
  <c r="BP81" i="1"/>
  <c r="BP89" i="1"/>
  <c r="BP97" i="1"/>
  <c r="BP24" i="1"/>
  <c r="BP23" i="1"/>
  <c r="BP27" i="1"/>
  <c r="BT21" i="1"/>
  <c r="BN82" i="1"/>
  <c r="BR47" i="1"/>
  <c r="BP57" i="1"/>
  <c r="BP72" i="1"/>
  <c r="BN43" i="1"/>
  <c r="BT93" i="1"/>
  <c r="BT43" i="1"/>
  <c r="BS56" i="1"/>
  <c r="BO28" i="1"/>
  <c r="BR52" i="1"/>
  <c r="BO77" i="1"/>
  <c r="BP38" i="1"/>
  <c r="BP70" i="1"/>
  <c r="BO63" i="1"/>
  <c r="BR76" i="1"/>
  <c r="BS66" i="1"/>
  <c r="BS63" i="1"/>
  <c r="BT64" i="1"/>
  <c r="BP105" i="1"/>
  <c r="BN100" i="1"/>
  <c r="BP104" i="1"/>
  <c r="BR48" i="1"/>
  <c r="BP21" i="1"/>
  <c r="BO109" i="1"/>
  <c r="BO92" i="1"/>
  <c r="BO17" i="1"/>
  <c r="BR12" i="1"/>
  <c r="BR17" i="1"/>
  <c r="BR10" i="1"/>
  <c r="BP12" i="1"/>
  <c r="BP18" i="1"/>
  <c r="BP14" i="1"/>
  <c r="BS14" i="1"/>
  <c r="BS19" i="1"/>
  <c r="BT17" i="1"/>
  <c r="BS11" i="1"/>
  <c r="BT16" i="1"/>
  <c r="BS15" i="1"/>
  <c r="BP13" i="1"/>
  <c r="BP16" i="1"/>
  <c r="BS13" i="1"/>
  <c r="BS16" i="1"/>
  <c r="BS17" i="1"/>
  <c r="BS10" i="1"/>
  <c r="BS18" i="1"/>
  <c r="BP17" i="1"/>
  <c r="BT18" i="1"/>
  <c r="BP10" i="1"/>
  <c r="BP11" i="1"/>
  <c r="BP15" i="1"/>
  <c r="BN13" i="1"/>
  <c r="BO18" i="1"/>
  <c r="BN10" i="1"/>
  <c r="BU9" i="1"/>
  <c r="BT15" i="1"/>
  <c r="BT19" i="1"/>
  <c r="BQ9" i="1"/>
  <c r="BT10" i="1"/>
  <c r="BT14" i="1"/>
  <c r="BT13" i="1"/>
  <c r="BT11" i="1"/>
  <c r="BO15" i="1"/>
  <c r="BO10" i="1"/>
  <c r="BO11" i="1"/>
  <c r="BO16" i="1"/>
  <c r="BO14" i="1"/>
  <c r="BO12" i="1"/>
  <c r="BN19" i="1"/>
  <c r="BN14" i="1"/>
  <c r="BO13" i="1"/>
  <c r="BO19" i="1"/>
  <c r="BN15" i="1"/>
  <c r="BN16" i="1"/>
  <c r="BN18" i="1"/>
  <c r="BN17" i="1"/>
  <c r="BN12" i="1"/>
  <c r="BR16" i="1"/>
  <c r="BR14" i="1"/>
  <c r="BR11" i="1"/>
  <c r="BR19" i="1"/>
  <c r="BR18" i="1"/>
  <c r="BR13" i="1"/>
  <c r="F11" i="2"/>
  <c r="C19" i="2" s="1"/>
  <c r="H11" i="2"/>
  <c r="E19" i="2" s="1"/>
  <c r="I11" i="2"/>
  <c r="F19" i="2" s="1"/>
  <c r="G11" i="2"/>
  <c r="D19" i="2" s="1"/>
  <c r="J11" i="2"/>
  <c r="G19" i="2" s="1"/>
  <c r="H12" i="2"/>
  <c r="E20" i="2" s="1"/>
  <c r="G12" i="2"/>
  <c r="D20" i="2" s="1"/>
  <c r="F12" i="2"/>
  <c r="C20" i="2" s="1"/>
  <c r="J12" i="2"/>
  <c r="G20" i="2" s="1"/>
  <c r="I12" i="2"/>
  <c r="F20" i="2" s="1"/>
  <c r="G20" i="1"/>
  <c r="G19" i="1"/>
  <c r="G18" i="1"/>
  <c r="G17" i="1"/>
  <c r="G16" i="1"/>
  <c r="G15" i="1"/>
  <c r="G14" i="1"/>
  <c r="G13" i="1"/>
  <c r="G12" i="1"/>
  <c r="G11" i="1"/>
  <c r="G10" i="1"/>
  <c r="BU19" i="1" l="1"/>
  <c r="BU27" i="1"/>
  <c r="BU23" i="1"/>
  <c r="BU22" i="1"/>
  <c r="BU28" i="1"/>
  <c r="BU59" i="1"/>
  <c r="BU54" i="1"/>
  <c r="BU61" i="1"/>
  <c r="BU79" i="1"/>
  <c r="BU98" i="1"/>
  <c r="BU32" i="1"/>
  <c r="BU96" i="1"/>
  <c r="BU74" i="1"/>
  <c r="BU73" i="1"/>
  <c r="BU75" i="1"/>
  <c r="BU97" i="1"/>
  <c r="BU107" i="1"/>
  <c r="BU62" i="1"/>
  <c r="BU94" i="1"/>
  <c r="BU108" i="1"/>
  <c r="BU77" i="1"/>
  <c r="BU55" i="1"/>
  <c r="BU87" i="1"/>
  <c r="BU50" i="1"/>
  <c r="BU60" i="1"/>
  <c r="BU53" i="1"/>
  <c r="BU40" i="1"/>
  <c r="BU72" i="1"/>
  <c r="BU104" i="1"/>
  <c r="BU105" i="1"/>
  <c r="BU37" i="1"/>
  <c r="BU41" i="1"/>
  <c r="BU91" i="1"/>
  <c r="BU49" i="1"/>
  <c r="BU34" i="1"/>
  <c r="BU99" i="1"/>
  <c r="BU38" i="1"/>
  <c r="BU70" i="1"/>
  <c r="BU102" i="1"/>
  <c r="BU85" i="1"/>
  <c r="BU31" i="1"/>
  <c r="BU95" i="1"/>
  <c r="BU36" i="1"/>
  <c r="BU109" i="1"/>
  <c r="BU35" i="1"/>
  <c r="BU81" i="1"/>
  <c r="BU65" i="1"/>
  <c r="BU69" i="1"/>
  <c r="BU78" i="1"/>
  <c r="BU45" i="1"/>
  <c r="BU71" i="1"/>
  <c r="BU103" i="1"/>
  <c r="BU82" i="1"/>
  <c r="BU44" i="1"/>
  <c r="BU92" i="1"/>
  <c r="BU88" i="1"/>
  <c r="BU58" i="1"/>
  <c r="BU51" i="1"/>
  <c r="BU57" i="1"/>
  <c r="BU33" i="1"/>
  <c r="BU47" i="1"/>
  <c r="BU42" i="1"/>
  <c r="BU93" i="1"/>
  <c r="BU66" i="1"/>
  <c r="BU64" i="1"/>
  <c r="BU56" i="1"/>
  <c r="BU84" i="1"/>
  <c r="BU46" i="1"/>
  <c r="BU63" i="1"/>
  <c r="BU101" i="1"/>
  <c r="BU68" i="1"/>
  <c r="BU48" i="1"/>
  <c r="BU100" i="1"/>
  <c r="BU26" i="1"/>
  <c r="BU52" i="1"/>
  <c r="BU67" i="1"/>
  <c r="BU24" i="1"/>
  <c r="BU43" i="1"/>
  <c r="BU106" i="1"/>
  <c r="BU39" i="1"/>
  <c r="BU21" i="1"/>
  <c r="BU20" i="1"/>
  <c r="BU25" i="1"/>
  <c r="BU89" i="1"/>
  <c r="BU90" i="1"/>
  <c r="BU29" i="1"/>
  <c r="BU86" i="1"/>
  <c r="BU76" i="1"/>
  <c r="BU80" i="1"/>
  <c r="BU30" i="1"/>
  <c r="BU83" i="1"/>
  <c r="BQ14" i="1"/>
  <c r="BQ34" i="1"/>
  <c r="BQ59" i="1"/>
  <c r="BQ83" i="1"/>
  <c r="BQ99" i="1"/>
  <c r="BQ68" i="1"/>
  <c r="BQ30" i="1"/>
  <c r="BQ46" i="1"/>
  <c r="BQ54" i="1"/>
  <c r="BQ78" i="1"/>
  <c r="BQ86" i="1"/>
  <c r="BQ94" i="1"/>
  <c r="BQ84" i="1"/>
  <c r="BQ108" i="1"/>
  <c r="BQ85" i="1"/>
  <c r="BQ93" i="1"/>
  <c r="BQ101" i="1"/>
  <c r="BQ47" i="1"/>
  <c r="BQ55" i="1"/>
  <c r="BQ71" i="1"/>
  <c r="BQ79" i="1"/>
  <c r="BQ87" i="1"/>
  <c r="BQ50" i="1"/>
  <c r="BQ66" i="1"/>
  <c r="BQ98" i="1"/>
  <c r="BQ106" i="1"/>
  <c r="BQ67" i="1"/>
  <c r="BQ36" i="1"/>
  <c r="BQ44" i="1"/>
  <c r="BQ52" i="1"/>
  <c r="BQ76" i="1"/>
  <c r="BQ53" i="1"/>
  <c r="BQ32" i="1"/>
  <c r="BQ48" i="1"/>
  <c r="BQ56" i="1"/>
  <c r="BQ64" i="1"/>
  <c r="BQ80" i="1"/>
  <c r="BQ96" i="1"/>
  <c r="BQ58" i="1"/>
  <c r="BQ74" i="1"/>
  <c r="BQ90" i="1"/>
  <c r="BQ35" i="1"/>
  <c r="BQ27" i="1"/>
  <c r="BQ22" i="1"/>
  <c r="BQ23" i="1"/>
  <c r="BQ26" i="1"/>
  <c r="BQ20" i="1"/>
  <c r="BQ29" i="1"/>
  <c r="BQ51" i="1"/>
  <c r="BQ73" i="1"/>
  <c r="BQ81" i="1"/>
  <c r="BQ97" i="1"/>
  <c r="BQ65" i="1"/>
  <c r="BQ69" i="1"/>
  <c r="BQ33" i="1"/>
  <c r="BQ75" i="1"/>
  <c r="BQ49" i="1"/>
  <c r="BQ91" i="1"/>
  <c r="BQ37" i="1"/>
  <c r="BQ41" i="1"/>
  <c r="BQ63" i="1"/>
  <c r="BQ70" i="1"/>
  <c r="BQ38" i="1"/>
  <c r="BQ77" i="1"/>
  <c r="BQ104" i="1"/>
  <c r="BQ100" i="1"/>
  <c r="BQ89" i="1"/>
  <c r="BQ21" i="1"/>
  <c r="BQ43" i="1"/>
  <c r="BQ72" i="1"/>
  <c r="BQ82" i="1"/>
  <c r="BQ31" i="1"/>
  <c r="BQ62" i="1"/>
  <c r="BQ61" i="1"/>
  <c r="BQ105" i="1"/>
  <c r="BQ28" i="1"/>
  <c r="BQ60" i="1"/>
  <c r="BQ57" i="1"/>
  <c r="BQ92" i="1"/>
  <c r="BQ42" i="1"/>
  <c r="BQ102" i="1"/>
  <c r="BQ107" i="1"/>
  <c r="BQ25" i="1"/>
  <c r="BQ95" i="1"/>
  <c r="BQ40" i="1"/>
  <c r="BQ45" i="1"/>
  <c r="BQ103" i="1"/>
  <c r="BQ109" i="1"/>
  <c r="BQ24" i="1"/>
  <c r="BQ88" i="1"/>
  <c r="BQ39" i="1"/>
  <c r="M11" i="2"/>
  <c r="M19" i="2" s="1"/>
  <c r="BQ13" i="1"/>
  <c r="R12" i="2"/>
  <c r="R20" i="2" s="1"/>
  <c r="Q12" i="2"/>
  <c r="Q20" i="2" s="1"/>
  <c r="BQ16" i="1"/>
  <c r="M12" i="2"/>
  <c r="M20" i="2" s="1"/>
  <c r="BQ11" i="1"/>
  <c r="Q11" i="2"/>
  <c r="Q19" i="2" s="1"/>
  <c r="BU17" i="1"/>
  <c r="BU16" i="1"/>
  <c r="BU15" i="1"/>
  <c r="BU11" i="1"/>
  <c r="BU14" i="1"/>
  <c r="R11" i="2"/>
  <c r="R19" i="2" s="1"/>
  <c r="BU13" i="1"/>
  <c r="BU10" i="1"/>
  <c r="BU18" i="1"/>
  <c r="BU12" i="1"/>
  <c r="L12" i="2"/>
  <c r="L20" i="2" s="1"/>
  <c r="BQ18" i="1"/>
  <c r="BQ19" i="1"/>
  <c r="BQ17" i="1"/>
  <c r="BQ15" i="1"/>
  <c r="BQ12" i="1"/>
  <c r="BQ10" i="1"/>
  <c r="L11" i="2"/>
  <c r="L19" i="2" s="1"/>
  <c r="O12" i="2"/>
  <c r="O20" i="2" s="1"/>
  <c r="K12" i="2"/>
  <c r="K20" i="2" s="1"/>
  <c r="K11" i="2"/>
  <c r="K19" i="2" s="1"/>
  <c r="O11" i="2"/>
  <c r="O19" i="2" s="1"/>
  <c r="B12" i="2"/>
  <c r="B14" i="2" s="1"/>
  <c r="A12" i="2"/>
  <c r="A14" i="2" s="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N12" i="2" l="1"/>
  <c r="N20" i="2" s="1"/>
  <c r="S11" i="2"/>
  <c r="S19" i="2" s="1"/>
  <c r="S12" i="2"/>
  <c r="S20" i="2" s="1"/>
  <c r="N11" i="2"/>
  <c r="N19" i="2" s="1"/>
  <c r="Q14" i="2"/>
  <c r="M14" i="2"/>
  <c r="K14" i="2"/>
  <c r="R14" i="2"/>
  <c r="O14" i="2"/>
  <c r="L14" i="2"/>
  <c r="E14" i="2"/>
  <c r="D14" i="2"/>
  <c r="I5" i="2" s="1"/>
  <c r="M21" i="2" l="1"/>
  <c r="S14" i="2"/>
  <c r="S21" i="2" s="1"/>
  <c r="N14" i="2"/>
  <c r="N21" i="2" s="1"/>
  <c r="B20" i="2"/>
  <c r="B19" i="2"/>
  <c r="O21" i="2"/>
  <c r="K21" i="2"/>
  <c r="Q21" i="2"/>
  <c r="L21" i="2"/>
  <c r="R21" i="2"/>
  <c r="A69" i="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B6" i="2"/>
  <c r="B5" i="2"/>
  <c r="B21" i="2" l="1"/>
  <c r="J14" i="2"/>
  <c r="G21" i="2" s="1"/>
  <c r="H19" i="2"/>
  <c r="H14" i="2"/>
  <c r="E21" i="2" s="1"/>
  <c r="F14" i="2"/>
  <c r="C21" i="2" s="1"/>
  <c r="G14" i="2"/>
  <c r="D21" i="2" s="1"/>
  <c r="I14" i="2"/>
  <c r="F21" i="2"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<sst xmlns="http://schemas.openxmlformats.org/spreadsheetml/2006/main" count="213" uniqueCount="142">
  <si>
    <t>RMAKS2v4</t>
  </si>
  <si>
    <t>Assement Type</t>
  </si>
  <si>
    <t>EoSY</t>
  </si>
  <si>
    <t>Region</t>
  </si>
  <si>
    <t>NIR</t>
  </si>
  <si>
    <t xml:space="preserve">  Rapid Mathematics Assessment (RMA) Scoresheets</t>
  </si>
  <si>
    <t>Content Domain</t>
  </si>
  <si>
    <t>Cognitive Domain</t>
  </si>
  <si>
    <t>School ID:</t>
  </si>
  <si>
    <t>School Name:</t>
  </si>
  <si>
    <t>ROMANA ES</t>
  </si>
  <si>
    <t>Teacher :</t>
  </si>
  <si>
    <t>RAMONA B. PUNZALAN</t>
  </si>
  <si>
    <t>Enrolment (Male) :</t>
  </si>
  <si>
    <t>Enrolment (Female) :</t>
  </si>
  <si>
    <t>Total</t>
  </si>
  <si>
    <t>Number Assessed</t>
  </si>
  <si>
    <t xml:space="preserve"> </t>
  </si>
  <si>
    <t>Grade Level Scores</t>
  </si>
  <si>
    <t>Grade:</t>
  </si>
  <si>
    <t>Grade 4</t>
  </si>
  <si>
    <t>Section</t>
  </si>
  <si>
    <t>ITEM NUMBER</t>
  </si>
  <si>
    <t>Grade 4
(13)</t>
  </si>
  <si>
    <t>Grade 5
(19)</t>
  </si>
  <si>
    <t>Grade 6
(18)</t>
  </si>
  <si>
    <t xml:space="preserve">No and Algebra </t>
  </si>
  <si>
    <t xml:space="preserve">Meas and Geom
</t>
  </si>
  <si>
    <t xml:space="preserve">Data and Prob
</t>
  </si>
  <si>
    <t xml:space="preserve">Knowing
</t>
  </si>
  <si>
    <t xml:space="preserve">Applying
</t>
  </si>
  <si>
    <t xml:space="preserve">Reasoning
</t>
  </si>
  <si>
    <t>S/N</t>
  </si>
  <si>
    <t>LRN</t>
  </si>
  <si>
    <t>Name of Learner</t>
  </si>
  <si>
    <t>Sex</t>
  </si>
  <si>
    <t>Birthdate</t>
  </si>
  <si>
    <t>Date of Asessment</t>
  </si>
  <si>
    <t>Age</t>
  </si>
  <si>
    <t>30a</t>
  </si>
  <si>
    <t>30b</t>
  </si>
  <si>
    <t>37a</t>
  </si>
  <si>
    <t>37b</t>
  </si>
  <si>
    <t>TOTAL SCORE</t>
  </si>
  <si>
    <t>% of Correct Answer</t>
  </si>
  <si>
    <t>Levelling of Learners</t>
  </si>
  <si>
    <t>Remarks</t>
  </si>
  <si>
    <t>Total Points / Scores</t>
  </si>
  <si>
    <t>BoSY</t>
  </si>
  <si>
    <t>117443210001</t>
  </si>
  <si>
    <t>ANDAYA,KURT JOSEPH, LABANZA</t>
  </si>
  <si>
    <t>Male</t>
  </si>
  <si>
    <t>117443210002</t>
  </si>
  <si>
    <t>ANTONIO,ARNEL, JR PALACIOS</t>
  </si>
  <si>
    <t>Grade 5</t>
  </si>
  <si>
    <t>117443210004</t>
  </si>
  <si>
    <t>BANHAO, ZAYN ETHAN, JUMBAS</t>
  </si>
  <si>
    <t>Grade 6</t>
  </si>
  <si>
    <t>CUÑADO,TIERENCE, AMARO</t>
  </si>
  <si>
    <t>117443210007</t>
  </si>
  <si>
    <t>DUMAGAT,CLARK YVAN, DOMANIEL</t>
  </si>
  <si>
    <t>ESTOCADA,JOSHUA, SIASAT</t>
  </si>
  <si>
    <t>ESTOCADA,LYNWEL, QUIRANTE</t>
  </si>
  <si>
    <t>ESTOCADA,PRINCE JENMAR, BALONSONG</t>
  </si>
  <si>
    <t>GREGORIO,JOSHUA, ABELLAR</t>
  </si>
  <si>
    <t>117025210065</t>
  </si>
  <si>
    <t>JOCSON,JAYSON, ABAY</t>
  </si>
  <si>
    <t>117443210012</t>
  </si>
  <si>
    <t>JUMBAS,JERRYL, GOLE</t>
  </si>
  <si>
    <t>117443210024</t>
  </si>
  <si>
    <t>LABANZA,DANIEL REY, PALACIO</t>
  </si>
  <si>
    <t>117443210013</t>
  </si>
  <si>
    <t>LLAGOSO,RENS, PADERNAL</t>
  </si>
  <si>
    <t>117447210077</t>
  </si>
  <si>
    <t>PATRICIO,NOEL, JR ESPINOSA</t>
  </si>
  <si>
    <t>117443210015</t>
  </si>
  <si>
    <t>ABAY,QUEENSIE ANNE, -</t>
  </si>
  <si>
    <t>Female</t>
  </si>
  <si>
    <t>136651210213</t>
  </si>
  <si>
    <t>ABRINILLO,AMANDA, SIASAT</t>
  </si>
  <si>
    <t>120244190056</t>
  </si>
  <si>
    <t>ALEJARSO,JENNY MAE, INSIK</t>
  </si>
  <si>
    <t>117443210016</t>
  </si>
  <si>
    <t>ARCENAL,KEANE, CARDINAL</t>
  </si>
  <si>
    <t>117443210017</t>
  </si>
  <si>
    <t>BRONA,MARY MELCLYN, JUMBAS</t>
  </si>
  <si>
    <t>117443210019</t>
  </si>
  <si>
    <t>FRANTE,MA. NADINE, CABALLERO</t>
  </si>
  <si>
    <t>117443210027</t>
  </si>
  <si>
    <t>JONSON,SYRA, BAUTISTA</t>
  </si>
  <si>
    <t>117443210020</t>
  </si>
  <si>
    <t>LABANZA,CYLA ALEXA, PEREZ</t>
  </si>
  <si>
    <t>117443210021</t>
  </si>
  <si>
    <t>LLAGOSO,PATRICIA MARIE, RICABO</t>
  </si>
  <si>
    <t>117443210022</t>
  </si>
  <si>
    <t>PANGANTIHON,MICHAELLA, PACIENTE</t>
  </si>
  <si>
    <t xml:space="preserve">Region </t>
  </si>
  <si>
    <t>NCR</t>
  </si>
  <si>
    <t>CAR</t>
  </si>
  <si>
    <t>Region I</t>
  </si>
  <si>
    <t>Region II</t>
  </si>
  <si>
    <t>Region III</t>
  </si>
  <si>
    <t>Region IV-A</t>
  </si>
  <si>
    <t xml:space="preserve">Region IV-B </t>
  </si>
  <si>
    <t xml:space="preserve">Region V </t>
  </si>
  <si>
    <t>Region VI</t>
  </si>
  <si>
    <t xml:space="preserve">Region VII </t>
  </si>
  <si>
    <t xml:space="preserve">Region VIII </t>
  </si>
  <si>
    <t>Region IX</t>
  </si>
  <si>
    <t xml:space="preserve">Region X </t>
  </si>
  <si>
    <t xml:space="preserve">Region XI </t>
  </si>
  <si>
    <t xml:space="preserve">Region XII </t>
  </si>
  <si>
    <t>CARAGA</t>
  </si>
  <si>
    <t>BARMM</t>
  </si>
  <si>
    <t>CLASS SUMMARY</t>
  </si>
  <si>
    <t>`</t>
  </si>
  <si>
    <t>SCHOOL ID :</t>
  </si>
  <si>
    <t>Total Assessed :</t>
  </si>
  <si>
    <t>SCHOOL NAME:</t>
  </si>
  <si>
    <t>Teacher</t>
  </si>
  <si>
    <t>Total Enrolment :</t>
  </si>
  <si>
    <t>Number of Learners Assessed</t>
  </si>
  <si>
    <t>Number of Learners with Correct Answer &gt;= 75% (Passed)</t>
  </si>
  <si>
    <t>Grade</t>
  </si>
  <si>
    <t>Total Enrolment</t>
  </si>
  <si>
    <t>Total Assessed</t>
  </si>
  <si>
    <t>Emerging (Not Proficient)</t>
  </si>
  <si>
    <t>Emerging (Low Proficient)</t>
  </si>
  <si>
    <t>Developing (Nearly Proficient)</t>
  </si>
  <si>
    <t>Transitioning (Proficient)</t>
  </si>
  <si>
    <t>At Grade Level (Highly Proficient)</t>
  </si>
  <si>
    <t>No and Algebra</t>
  </si>
  <si>
    <t>Means and Geom</t>
  </si>
  <si>
    <t>Data and Prob</t>
  </si>
  <si>
    <t>Knowing</t>
  </si>
  <si>
    <t>Inter-preting</t>
  </si>
  <si>
    <t>Applying</t>
  </si>
  <si>
    <t>Reasoning</t>
  </si>
  <si>
    <t>Percentage of Learners Who Passed 75% Per Domain</t>
  </si>
  <si>
    <t>Dashboard</t>
  </si>
  <si>
    <t>Percent (%) of Learners at each proficiency level</t>
  </si>
  <si>
    <t>Percent of Learners assessed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</si>
</sst>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m/d/yyyy;@"/>
  </numFmts>
  <fonts count="22">
    <font>
      <sz val="11"/>
      <color theme="1"/>
      <name val="Calibri"/>
      <family val="2"/>
      <scheme val="minor"/>
    </font>
    <font>
      <b/>
      <sz val="11"/>
      <color theme="1"/>
      <name val="Calibri"/>
      <family val="2"/>
      <scheme val="minor"/>
    </font>
    <font>
      <b/>
      <sz val="10"/>
      <color theme="1"/>
      <name val="Arial"/>
      <family val="2"/>
    </font>
    <font>
      <sz val="10"/>
      <name val="Arial"/>
      <family val="2"/>
    </font>
    <font>
      <sz val="10"/>
      <color theme="1"/>
      <name val="Calibri"/>
      <family val="2"/>
      <scheme val="minor"/>
    </font>
    <font>
      <b/>
      <sz val="9"/>
      <color theme="1"/>
      <name val="Arial"/>
      <family val="2"/>
    </font>
    <font>
      <b/>
      <sz val="12"/>
      <color theme="0"/>
      <name val="Arial"/>
      <family val="2"/>
    </font>
    <font>
      <b/>
      <sz val="10"/>
      <color theme="1"/>
      <name val="Calibri"/>
      <family val="2"/>
      <scheme val="minor"/>
    </font>
    <font>
      <sz val="11"/>
      <color theme="1"/>
      <name val="Calibri"/>
      <family val="2"/>
      <scheme val="minor"/>
    </font>
    <font>
      <b/>
      <sz val="9"/>
      <color theme="1"/>
      <name val="Calibri"/>
      <family val="2"/>
      <scheme val="minor"/>
    </font>
    <font>
      <b/>
      <sz val="16"/>
      <color theme="0"/>
      <name val="Calibri"/>
      <family val="2"/>
      <scheme val="minor"/>
    </font>
    <font>
      <sz val="9"/>
      <color theme="1"/>
      <name val="Calibri"/>
      <family val="2"/>
      <scheme val="minor"/>
    </font>
    <font>
      <sz val="14"/>
      <color theme="1"/>
      <name val="Calibri"/>
      <family val="2"/>
      <scheme val="minor"/>
    </font>
    <font>
      <sz val="11"/>
      <color theme="0"/>
      <name val="Calibri"/>
      <family val="2"/>
      <scheme val="minor"/>
    </font>
    <font>
      <b/>
      <sz val="10"/>
      <name val="Arial"/>
      <family val="2"/>
    </font>
    <font>
      <b/>
      <sz val="14"/>
      <color theme="0"/>
      <name val="Arial"/>
      <family val="2"/>
    </font>
    <font>
      <b/>
      <sz val="11"/>
      <name val="Calibri"/>
      <family val="2"/>
      <scheme val="minor"/>
    </font>
    <font>
      <sz val="10"/>
      <color theme="1"/>
      <name val="Arial"/>
      <family val="2"/>
    </font>
    <font>
      <b/>
      <sz val="12"/>
      <color theme="1"/>
      <name val="Calibri"/>
      <family val="2"/>
      <scheme val="minor"/>
    </font>
    <font>
      <sz val="12"/>
      <color theme="1"/>
      <name val="Calibri"/>
      <family val="2"/>
      <scheme val="minor"/>
    </font>
    <font>
      <b/>
      <sz val="9"/>
      <name val="Arial"/>
      <family val="2"/>
    </font>
    <font>
      <b/>
      <sz val="9"/>
      <name val="Calibri"/>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79998168889431442"/>
        <bgColor indexed="64"/>
      </patternFill>
    </fill>
    <fill>
      <patternFill patternType="solid">
        <fgColor theme="0"/>
        <bgColor indexed="64"/>
      </patternFill>
    </fill>
    <fill>
      <patternFill patternType="solid">
        <fgColor theme="7" tint="0.59999389629810485"/>
        <bgColor indexed="64"/>
      </patternFill>
    </fill>
  </fills>
  <borders count="45">
    <border>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bottom style="medium">
        <color auto="1"/>
      </bottom>
      <diagonal/>
    </border>
    <border>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right style="medium">
        <color auto="1"/>
      </right>
      <top/>
      <bottom/>
      <diagonal/>
    </border>
    <border>
      <left style="medium">
        <color auto="1"/>
      </left>
      <right style="medium">
        <color auto="1"/>
      </right>
      <top/>
      <bottom style="medium">
        <color auto="1"/>
      </bottom>
      <diagonal/>
    </border>
    <border>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bottom style="medium">
        <color auto="1"/>
      </bottom>
      <diagonal/>
    </border>
    <border>
      <left style="thin">
        <color auto="1"/>
      </left>
      <right/>
      <top style="medium">
        <color auto="1"/>
      </top>
      <bottom/>
      <diagonal/>
    </border>
    <border>
      <left style="thin">
        <color auto="1"/>
      </left>
      <right/>
      <top/>
      <bottom style="medium">
        <color auto="1"/>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diagonal/>
    </border>
    <border>
      <left/>
      <right/>
      <top/>
      <bottom style="thin">
        <color auto="1"/>
      </bottom>
      <diagonal/>
    </border>
    <border>
      <left/>
      <right style="thin">
        <color auto="1"/>
      </right>
      <top style="medium">
        <color auto="1"/>
      </top>
      <bottom/>
      <diagonal/>
    </border>
    <border>
      <left/>
      <right style="thin">
        <color auto="1"/>
      </right>
      <top/>
      <bottom style="thin">
        <color auto="1"/>
      </bottom>
      <diagonal/>
    </border>
    <border>
      <left style="medium">
        <color auto="1"/>
      </left>
      <right/>
      <top style="medium">
        <color auto="1"/>
      </top>
      <bottom/>
      <diagonal/>
    </border>
    <border>
      <left style="thin">
        <color auto="1"/>
      </left>
      <right style="thin">
        <color auto="1"/>
      </right>
      <top style="thin">
        <color auto="1"/>
      </top>
      <bottom/>
      <diagonal/>
    </border>
    <border>
      <left/>
      <right style="thin">
        <color auto="1"/>
      </right>
      <top/>
      <bottom style="medium">
        <color auto="1"/>
      </bottom>
      <diagonal/>
    </border>
  </borders>
  <cellStyleXfs count="2">
    <xf numFmtId="0" fontId="0" fillId="0" borderId="0"/>
    <xf numFmtId="9" fontId="8" fillId="0" borderId="0" applyFont="0" applyFill="0" applyBorder="0" applyAlignment="0" applyProtection="0"/>
  </cellStyleXfs>
  <cellXfs count="238">
    <xf numFmtId="0" fontId="0" fillId="0" borderId="0" xfId="0"/>
    <xf numFmtId="0" fontId="0" fillId="0" borderId="0" xfId="0" applyAlignment="1">
      <alignment horizontal="center"/>
    </xf>
    <xf numFmtId="0" fontId="1" fillId="0" borderId="0" xfId="0" applyFont="1"/>
    <xf numFmtId="9" fontId="0" fillId="0" borderId="0" xfId="1" applyFont="1" applyAlignment="1">
      <alignment horizontal="center"/>
    </xf>
    <xf numFmtId="0" fontId="0" fillId="7" borderId="0" xfId="0" applyFill="1"/>
    <xf numFmtId="0" fontId="0" fillId="0" borderId="8" xfId="0" applyBorder="1"/>
    <xf numFmtId="0" fontId="7" fillId="5" borderId="9" xfId="0" applyFont="1" applyFill="1" applyBorder="1" applyAlignment="1" applyProtection="1">
      <alignment horizontal="center" vertical="center" wrapText="1"/>
      <protection hidden="1"/>
    </xf>
    <xf numFmtId="0" fontId="7" fillId="5" borderId="10" xfId="0" applyFont="1" applyFill="1" applyBorder="1" applyAlignment="1" applyProtection="1">
      <alignment horizontal="center" vertical="center" wrapText="1"/>
      <protection hidden="1"/>
    </xf>
    <xf numFmtId="0" fontId="0" fillId="0" borderId="0" xfId="0" applyAlignment="1">
      <alignment vertical="center"/>
    </xf>
    <xf numFmtId="0" fontId="4" fillId="0" borderId="8" xfId="0" applyFont="1" applyBorder="1" applyAlignment="1" applyProtection="1">
      <alignment vertical="center"/>
      <protection hidden="1"/>
    </xf>
    <xf numFmtId="0" fontId="4" fillId="0" borderId="9" xfId="0" applyFont="1" applyBorder="1" applyAlignment="1" applyProtection="1">
      <alignment vertical="center"/>
      <protection hidden="1"/>
    </xf>
    <xf numFmtId="0" fontId="4" fillId="0" borderId="9" xfId="0" applyFont="1" applyBorder="1" applyAlignment="1" applyProtection="1">
      <alignment horizontal="center" vertical="center" wrapText="1"/>
      <protection hidden="1"/>
    </xf>
    <xf numFmtId="0" fontId="0" fillId="0" borderId="9" xfId="0" applyBorder="1" applyAlignment="1" applyProtection="1">
      <alignment horizontal="center" vertical="center" wrapText="1"/>
      <protection hidden="1"/>
    </xf>
    <xf numFmtId="0" fontId="0" fillId="0" borderId="9" xfId="0" applyBorder="1" applyAlignment="1" applyProtection="1">
      <alignment horizontal="center" vertical="center"/>
      <protection hidden="1"/>
    </xf>
    <xf numFmtId="0" fontId="1" fillId="0" borderId="0" xfId="0" applyFont="1" applyAlignment="1">
      <alignment horizontal="center" wrapText="1"/>
    </xf>
    <xf numFmtId="0" fontId="1" fillId="5" borderId="8" xfId="0" applyFont="1" applyFill="1" applyBorder="1"/>
    <xf numFmtId="0" fontId="1" fillId="5" borderId="9" xfId="0" applyFont="1" applyFill="1" applyBorder="1" applyAlignment="1">
      <alignment horizontal="center" wrapText="1"/>
    </xf>
    <xf numFmtId="9" fontId="0" fillId="0" borderId="9" xfId="1" applyFont="1" applyBorder="1" applyAlignment="1">
      <alignment horizontal="center"/>
    </xf>
    <xf numFmtId="9" fontId="0" fillId="0" borderId="10" xfId="1" applyFont="1" applyBorder="1" applyAlignment="1">
      <alignment horizontal="center"/>
    </xf>
    <xf numFmtId="9" fontId="0" fillId="0" borderId="0" xfId="0" applyNumberFormat="1" applyAlignment="1">
      <alignment horizontal="center"/>
    </xf>
    <xf numFmtId="9" fontId="0" fillId="0" borderId="9" xfId="0" applyNumberFormat="1" applyBorder="1" applyAlignment="1">
      <alignment horizontal="center"/>
    </xf>
    <xf numFmtId="9" fontId="0" fillId="0" borderId="10" xfId="0" applyNumberFormat="1" applyBorder="1" applyAlignment="1">
      <alignment horizontal="center"/>
    </xf>
    <xf numFmtId="0" fontId="1" fillId="0" borderId="7" xfId="0" applyFont="1" applyBorder="1"/>
    <xf numFmtId="9" fontId="1" fillId="0" borderId="5" xfId="1" applyFont="1" applyBorder="1" applyAlignment="1">
      <alignment horizontal="center"/>
    </xf>
    <xf numFmtId="9" fontId="1" fillId="0" borderId="6" xfId="1" applyFont="1" applyBorder="1" applyAlignment="1">
      <alignment horizontal="center"/>
    </xf>
    <xf numFmtId="9" fontId="1" fillId="0" borderId="0" xfId="1" applyFont="1" applyBorder="1" applyAlignment="1">
      <alignment horizontal="center"/>
    </xf>
    <xf numFmtId="9" fontId="1" fillId="0" borderId="5" xfId="0" applyNumberFormat="1" applyFont="1" applyBorder="1" applyAlignment="1">
      <alignment horizontal="center"/>
    </xf>
    <xf numFmtId="0" fontId="7" fillId="0" borderId="7" xfId="0" applyFont="1" applyBorder="1" applyAlignment="1" applyProtection="1">
      <alignment vertical="center"/>
      <protection hidden="1"/>
    </xf>
    <xf numFmtId="0" fontId="7" fillId="0" borderId="5" xfId="0" applyFont="1" applyBorder="1" applyAlignment="1" applyProtection="1">
      <alignment vertical="center"/>
      <protection hidden="1"/>
    </xf>
    <xf numFmtId="0" fontId="7" fillId="0" borderId="5" xfId="0" applyFont="1" applyBorder="1" applyAlignment="1" applyProtection="1">
      <alignment horizontal="center" vertical="center" wrapText="1"/>
      <protection hidden="1"/>
    </xf>
    <xf numFmtId="0" fontId="1" fillId="0" borderId="5" xfId="0" applyFont="1" applyBorder="1" applyAlignment="1" applyProtection="1">
      <alignment horizontal="center" vertical="center" wrapText="1"/>
      <protection hidden="1"/>
    </xf>
    <xf numFmtId="0" fontId="1" fillId="0" borderId="5" xfId="0" applyFont="1" applyBorder="1" applyAlignment="1" applyProtection="1">
      <alignment horizontal="center" vertical="center"/>
      <protection hidden="1"/>
    </xf>
    <xf numFmtId="0" fontId="0" fillId="0" borderId="16" xfId="0" applyBorder="1" applyAlignment="1">
      <alignment horizontal="center"/>
    </xf>
    <xf numFmtId="0" fontId="0" fillId="0" borderId="16" xfId="0" applyBorder="1"/>
    <xf numFmtId="0" fontId="6" fillId="3" borderId="0" xfId="0" applyFont="1" applyFill="1" applyAlignment="1">
      <alignment horizontal="left"/>
    </xf>
    <xf numFmtId="0" fontId="4" fillId="0" borderId="20" xfId="0" applyFont="1" applyBorder="1" applyAlignment="1" applyProtection="1">
      <alignment vertical="center"/>
      <protection hidden="1"/>
    </xf>
    <xf numFmtId="0" fontId="4" fillId="0" borderId="20" xfId="0" applyFont="1" applyBorder="1" applyAlignment="1" applyProtection="1">
      <alignment horizontal="center" vertical="center" wrapText="1"/>
      <protection hidden="1"/>
    </xf>
    <xf numFmtId="0" fontId="0" fillId="0" borderId="20" xfId="0" applyBorder="1" applyAlignment="1" applyProtection="1">
      <alignment horizontal="center" vertical="center" wrapText="1"/>
      <protection hidden="1"/>
    </xf>
    <xf numFmtId="0" fontId="0" fillId="0" borderId="20" xfId="0" applyBorder="1" applyAlignment="1" applyProtection="1">
      <alignment horizontal="center" vertical="center"/>
      <protection hidden="1"/>
    </xf>
    <xf numFmtId="0" fontId="0" fillId="0" borderId="16" xfId="0" applyBorder="1" applyAlignment="1">
      <alignment horizontal="left"/>
    </xf>
    <xf numFmtId="0" fontId="1" fillId="0" borderId="16" xfId="0" applyFont="1" applyBorder="1"/>
    <xf numFmtId="0" fontId="0" fillId="0" borderId="0" xfId="0" applyAlignment="1">
      <alignment horizontal="center" vertical="center"/>
    </xf>
    <xf numFmtId="1" fontId="0" fillId="0" borderId="9" xfId="0" applyNumberFormat="1" applyBorder="1" applyAlignment="1" applyProtection="1">
      <alignment horizontal="center" vertical="center"/>
      <protection hidden="1"/>
    </xf>
    <xf numFmtId="1" fontId="11" fillId="2" borderId="14" xfId="0" applyNumberFormat="1" applyFont="1" applyFill="1" applyBorder="1" applyAlignment="1">
      <alignment horizontal="center" wrapText="1"/>
    </xf>
    <xf numFmtId="0" fontId="0" fillId="0" borderId="0" xfId="0" applyAlignment="1">
      <alignment horizontal="left"/>
    </xf>
    <xf numFmtId="0" fontId="7" fillId="6" borderId="0" xfId="0" applyFont="1" applyFill="1" applyAlignment="1">
      <alignment horizontal="center" vertical="center" wrapText="1"/>
    </xf>
    <xf numFmtId="1" fontId="7" fillId="6" borderId="0" xfId="0" applyNumberFormat="1" applyFont="1" applyFill="1" applyAlignment="1">
      <alignment horizontal="center" vertical="center" wrapText="1"/>
    </xf>
    <xf numFmtId="0" fontId="6" fillId="3" borderId="0" xfId="0" applyFont="1" applyFill="1"/>
    <xf numFmtId="1" fontId="4" fillId="0" borderId="9" xfId="0" applyNumberFormat="1" applyFont="1" applyBorder="1" applyAlignment="1" applyProtection="1">
      <alignment horizontal="center" vertical="center" wrapText="1"/>
      <protection hidden="1"/>
    </xf>
    <xf numFmtId="0" fontId="18" fillId="0" borderId="0" xfId="0" applyFont="1"/>
    <xf numFmtId="0" fontId="18" fillId="0" borderId="0" xfId="0" applyFont="1" applyAlignment="1">
      <alignment horizontal="right" indent="1"/>
    </xf>
    <xf numFmtId="0" fontId="19" fillId="0" borderId="0" xfId="0" applyFont="1" applyAlignment="1">
      <alignment horizontal="center"/>
    </xf>
    <xf numFmtId="0" fontId="19" fillId="0" borderId="0" xfId="0" applyFont="1"/>
    <xf numFmtId="0" fontId="19" fillId="0" borderId="0" xfId="0" applyFont="1" applyAlignment="1">
      <alignment horizontal="left"/>
    </xf>
    <xf numFmtId="0" fontId="16" fillId="6" borderId="24" xfId="0" applyFont="1" applyFill="1" applyBorder="1" applyAlignment="1">
      <alignment horizontal="center" vertical="center"/>
    </xf>
    <xf numFmtId="0" fontId="16" fillId="6" borderId="39" xfId="0" applyFont="1" applyFill="1" applyBorder="1" applyAlignment="1">
      <alignment horizontal="center" vertical="center"/>
    </xf>
    <xf numFmtId="0" fontId="0" fillId="0" borderId="0" xfId="0" applyProtection="1">
      <protection hidden="1"/>
    </xf>
    <xf numFmtId="0" fontId="0" fillId="0" borderId="0" xfId="0" applyAlignment="1" applyProtection="1">
      <alignment horizontal="center"/>
      <protection hidden="1"/>
    </xf>
    <xf numFmtId="0" fontId="0" fillId="0" borderId="0" xfId="0" applyAlignment="1" applyProtection="1">
      <alignment horizontal="center" wrapText="1"/>
      <protection hidden="1"/>
    </xf>
    <xf numFmtId="0" fontId="0" fillId="0" borderId="0" xfId="0" applyAlignment="1" applyProtection="1">
      <alignment horizontal="left"/>
      <protection hidden="1"/>
    </xf>
    <xf numFmtId="1" fontId="0" fillId="0" borderId="0" xfId="0" applyNumberFormat="1" applyAlignment="1" applyProtection="1">
      <alignment horizontal="center" wrapText="1"/>
      <protection hidden="1"/>
    </xf>
    <xf numFmtId="0" fontId="0" fillId="0" borderId="0" xfId="0" applyAlignment="1" applyProtection="1">
      <alignment horizontal="right"/>
      <protection hidden="1"/>
    </xf>
    <xf numFmtId="0" fontId="13" fillId="0" borderId="0" xfId="0" applyFont="1" applyAlignment="1" applyProtection="1">
      <alignment horizontal="center"/>
      <protection hidden="1"/>
    </xf>
    <xf numFmtId="1" fontId="0" fillId="0" borderId="0" xfId="0" applyNumberFormat="1" applyAlignment="1" applyProtection="1">
      <alignment horizontal="center"/>
      <protection hidden="1"/>
    </xf>
    <xf numFmtId="0" fontId="0" fillId="0" borderId="0" xfId="0" applyAlignment="1" applyProtection="1">
      <alignment horizontal="center" vertical="center"/>
      <protection hidden="1"/>
    </xf>
    <xf numFmtId="0" fontId="0" fillId="0" borderId="0" xfId="0" applyAlignment="1" applyProtection="1">
      <alignment horizontal="center" vertical="center" wrapText="1"/>
      <protection hidden="1"/>
    </xf>
    <xf numFmtId="0" fontId="0" fillId="0" borderId="0" xfId="0" applyAlignment="1" applyProtection="1">
      <alignment horizontal="left" vertical="center"/>
      <protection hidden="1"/>
    </xf>
    <xf numFmtId="1" fontId="0" fillId="0" borderId="0" xfId="0" applyNumberFormat="1" applyAlignment="1" applyProtection="1">
      <alignment horizontal="center" vertical="center" wrapText="1"/>
      <protection hidden="1"/>
    </xf>
    <xf numFmtId="0" fontId="0" fillId="0" borderId="3" xfId="0" applyBorder="1" applyAlignment="1" applyProtection="1">
      <alignment vertical="center"/>
      <protection locked="0" hidden="1"/>
    </xf>
    <xf numFmtId="0" fontId="10" fillId="6" borderId="37" xfId="0" applyFont="1" applyFill="1" applyBorder="1" applyAlignment="1" applyProtection="1">
      <alignment vertical="center"/>
      <protection hidden="1"/>
    </xf>
    <xf numFmtId="0" fontId="3" fillId="0" borderId="9" xfId="0" applyFont="1" applyBorder="1" applyAlignment="1" applyProtection="1">
      <alignment horizontal="left" vertical="center" wrapText="1"/>
      <protection locked="0" hidden="1"/>
    </xf>
    <xf numFmtId="0" fontId="10" fillId="6" borderId="38" xfId="0" applyFont="1" applyFill="1" applyBorder="1" applyAlignment="1" applyProtection="1">
      <alignment vertical="center"/>
      <protection hidden="1"/>
    </xf>
    <xf numFmtId="0" fontId="2" fillId="6" borderId="7" xfId="0" applyFont="1" applyFill="1" applyBorder="1" applyAlignment="1" applyProtection="1">
      <alignment horizontal="right" vertical="center" wrapText="1"/>
      <protection hidden="1"/>
    </xf>
    <xf numFmtId="0" fontId="2" fillId="6" borderId="5" xfId="0" applyFont="1" applyFill="1" applyBorder="1" applyAlignment="1" applyProtection="1">
      <alignment horizontal="right" vertical="center" wrapText="1"/>
      <protection hidden="1"/>
    </xf>
    <xf numFmtId="0" fontId="3" fillId="2" borderId="5" xfId="0" applyFont="1" applyFill="1" applyBorder="1" applyAlignment="1" applyProtection="1">
      <alignment vertical="center" wrapText="1"/>
      <protection locked="0" hidden="1"/>
    </xf>
    <xf numFmtId="0" fontId="5" fillId="6" borderId="28" xfId="0" applyFont="1" applyFill="1" applyBorder="1" applyAlignment="1" applyProtection="1">
      <alignment horizontal="center" vertical="center" wrapText="1"/>
      <protection hidden="1"/>
    </xf>
    <xf numFmtId="0" fontId="5" fillId="6" borderId="29" xfId="0" applyFont="1" applyFill="1" applyBorder="1" applyAlignment="1" applyProtection="1">
      <alignment horizontal="center" vertical="center" wrapText="1"/>
      <protection hidden="1"/>
    </xf>
    <xf numFmtId="0" fontId="5" fillId="6" borderId="23" xfId="0" applyFont="1" applyFill="1" applyBorder="1" applyAlignment="1" applyProtection="1">
      <alignment horizontal="center" vertical="center"/>
      <protection hidden="1"/>
    </xf>
    <xf numFmtId="0" fontId="9" fillId="6" borderId="23" xfId="0" applyFont="1" applyFill="1" applyBorder="1" applyAlignment="1" applyProtection="1">
      <alignment horizontal="center" vertical="center"/>
      <protection hidden="1"/>
    </xf>
    <xf numFmtId="0" fontId="9" fillId="6" borderId="23" xfId="0" applyFont="1" applyFill="1" applyBorder="1" applyAlignment="1" applyProtection="1">
      <alignment horizontal="center" vertical="center" wrapText="1"/>
      <protection hidden="1"/>
    </xf>
    <xf numFmtId="0" fontId="7" fillId="6" borderId="28" xfId="0" applyFont="1" applyFill="1" applyBorder="1" applyAlignment="1" applyProtection="1">
      <alignment horizontal="center" vertical="center" wrapText="1"/>
      <protection hidden="1"/>
    </xf>
    <xf numFmtId="0" fontId="7" fillId="6" borderId="30" xfId="0" applyFont="1" applyFill="1" applyBorder="1" applyAlignment="1" applyProtection="1">
      <alignment horizontal="center" vertical="center" wrapText="1"/>
      <protection hidden="1"/>
    </xf>
    <xf numFmtId="0" fontId="7" fillId="8" borderId="30" xfId="0" applyFont="1" applyFill="1" applyBorder="1" applyAlignment="1" applyProtection="1">
      <alignment horizontal="center" vertical="center" wrapText="1"/>
      <protection hidden="1"/>
    </xf>
    <xf numFmtId="0" fontId="7" fillId="10" borderId="30" xfId="0" applyFont="1" applyFill="1" applyBorder="1" applyAlignment="1" applyProtection="1">
      <alignment horizontal="center" vertical="center" wrapText="1"/>
      <protection hidden="1"/>
    </xf>
    <xf numFmtId="0" fontId="7" fillId="6" borderId="29" xfId="0" applyFont="1" applyFill="1" applyBorder="1" applyAlignment="1" applyProtection="1">
      <alignment horizontal="center" vertical="center" wrapText="1"/>
      <protection hidden="1"/>
    </xf>
    <xf numFmtId="0" fontId="9" fillId="6" borderId="28" xfId="0" applyFont="1" applyFill="1" applyBorder="1" applyAlignment="1" applyProtection="1">
      <alignment horizontal="center" vertical="center" wrapText="1"/>
      <protection hidden="1"/>
    </xf>
    <xf numFmtId="0" fontId="9" fillId="6" borderId="16" xfId="0" applyFont="1" applyFill="1" applyBorder="1" applyAlignment="1" applyProtection="1">
      <alignment horizontal="center" vertical="center" wrapText="1"/>
      <protection hidden="1"/>
    </xf>
    <xf numFmtId="0" fontId="1" fillId="6" borderId="29" xfId="0" applyFont="1" applyFill="1" applyBorder="1" applyAlignment="1" applyProtection="1">
      <alignment horizontal="center" vertical="center"/>
      <protection hidden="1"/>
    </xf>
    <xf numFmtId="0" fontId="7" fillId="6" borderId="33" xfId="0" applyFont="1" applyFill="1" applyBorder="1" applyAlignment="1" applyProtection="1">
      <alignment horizontal="center" vertical="center" wrapText="1"/>
      <protection hidden="1"/>
    </xf>
    <xf numFmtId="0" fontId="7" fillId="6" borderId="34" xfId="0" applyFont="1" applyFill="1" applyBorder="1" applyAlignment="1" applyProtection="1">
      <alignment horizontal="center" vertical="center" wrapText="1"/>
      <protection hidden="1"/>
    </xf>
    <xf numFmtId="0" fontId="4" fillId="6" borderId="34" xfId="0" applyFont="1" applyFill="1" applyBorder="1" applyAlignment="1" applyProtection="1">
      <alignment horizontal="center" vertical="center" wrapText="1"/>
      <protection hidden="1"/>
    </xf>
    <xf numFmtId="0" fontId="4" fillId="8" borderId="34" xfId="0" applyFont="1" applyFill="1" applyBorder="1" applyAlignment="1" applyProtection="1">
      <alignment horizontal="center" vertical="center" wrapText="1"/>
      <protection hidden="1"/>
    </xf>
    <xf numFmtId="0" fontId="4" fillId="10" borderId="34" xfId="0" applyFont="1" applyFill="1" applyBorder="1" applyAlignment="1" applyProtection="1">
      <alignment horizontal="center" vertical="center" wrapText="1"/>
      <protection hidden="1"/>
    </xf>
    <xf numFmtId="0" fontId="4" fillId="6" borderId="21"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0" xfId="0" applyFont="1" applyFill="1" applyAlignment="1" applyProtection="1">
      <alignment horizontal="left" vertical="center"/>
      <protection hidden="1"/>
    </xf>
    <xf numFmtId="1" fontId="7" fillId="6" borderId="0" xfId="0" applyNumberFormat="1" applyFont="1" applyFill="1" applyAlignment="1" applyProtection="1">
      <alignment horizontal="center" vertical="center" wrapText="1"/>
      <protection hidden="1"/>
    </xf>
    <xf numFmtId="0" fontId="1" fillId="6" borderId="22" xfId="0" applyFont="1" applyFill="1" applyBorder="1" applyAlignment="1" applyProtection="1">
      <alignment horizontal="center" vertical="center"/>
      <protection hidden="1"/>
    </xf>
    <xf numFmtId="0" fontId="0" fillId="0" borderId="13" xfId="0" applyBorder="1" applyProtection="1">
      <protection hidden="1"/>
    </xf>
    <xf numFmtId="1" fontId="11" fillId="0" borderId="14" xfId="0" applyNumberFormat="1" applyFont="1" applyBorder="1" applyAlignment="1" applyProtection="1">
      <alignment horizontal="center"/>
      <protection locked="0" hidden="1"/>
    </xf>
    <xf numFmtId="0" fontId="11" fillId="0" borderId="14" xfId="0" applyFont="1" applyBorder="1" applyProtection="1">
      <protection locked="0" hidden="1"/>
    </xf>
    <xf numFmtId="0" fontId="11" fillId="0" borderId="14" xfId="0" applyFont="1" applyBorder="1" applyAlignment="1" applyProtection="1">
      <alignment horizontal="center"/>
      <protection locked="0" hidden="1"/>
    </xf>
    <xf numFmtId="165" fontId="11" fillId="0" borderId="14" xfId="0" applyNumberFormat="1" applyFont="1" applyBorder="1" applyAlignment="1" applyProtection="1">
      <alignment horizontal="center"/>
      <protection locked="0" hidden="1"/>
    </xf>
    <xf numFmtId="164" fontId="11" fillId="0" borderId="14" xfId="0" applyNumberFormat="1" applyFont="1" applyBorder="1" applyAlignment="1" applyProtection="1">
      <alignment horizontal="center"/>
      <protection locked="0" hidden="1"/>
    </xf>
    <xf numFmtId="1" fontId="11" fillId="2" borderId="14" xfId="0" applyNumberFormat="1" applyFont="1" applyFill="1" applyBorder="1" applyAlignment="1" applyProtection="1">
      <alignment horizontal="center"/>
      <protection hidden="1"/>
    </xf>
    <xf numFmtId="1" fontId="11" fillId="8" borderId="14" xfId="0" applyNumberFormat="1" applyFont="1" applyFill="1" applyBorder="1" applyAlignment="1" applyProtection="1">
      <alignment horizontal="center"/>
      <protection locked="0" hidden="1"/>
    </xf>
    <xf numFmtId="1" fontId="11" fillId="10" borderId="14" xfId="0" applyNumberFormat="1" applyFont="1" applyFill="1" applyBorder="1" applyAlignment="1" applyProtection="1">
      <alignment horizontal="center"/>
      <protection locked="0" hidden="1"/>
    </xf>
    <xf numFmtId="1" fontId="11" fillId="9" borderId="14" xfId="0" applyNumberFormat="1" applyFont="1" applyFill="1" applyBorder="1" applyAlignment="1" applyProtection="1">
      <alignment horizontal="center"/>
      <protection locked="0" hidden="1"/>
    </xf>
    <xf numFmtId="0" fontId="11" fillId="8" borderId="9" xfId="0" applyFont="1" applyFill="1" applyBorder="1" applyAlignment="1" applyProtection="1">
      <alignment horizontal="center"/>
      <protection locked="0" hidden="1"/>
    </xf>
    <xf numFmtId="0" fontId="11" fillId="0" borderId="9" xfId="0" applyFont="1" applyBorder="1" applyAlignment="1" applyProtection="1">
      <alignment horizontal="center"/>
      <protection locked="0" hidden="1"/>
    </xf>
    <xf numFmtId="1" fontId="11" fillId="2" borderId="14" xfId="0" applyNumberFormat="1" applyFont="1" applyFill="1" applyBorder="1" applyAlignment="1" applyProtection="1">
      <alignment horizontal="center" wrapText="1"/>
      <protection hidden="1"/>
    </xf>
    <xf numFmtId="0" fontId="11" fillId="5" borderId="14" xfId="0" applyFont="1" applyFill="1" applyBorder="1" applyAlignment="1" applyProtection="1">
      <alignment horizontal="center" wrapText="1"/>
      <protection hidden="1"/>
    </xf>
    <xf numFmtId="10" fontId="11" fillId="5" borderId="14" xfId="0" applyNumberFormat="1" applyFont="1" applyFill="1" applyBorder="1" applyAlignment="1" applyProtection="1">
      <alignment horizontal="center" wrapText="1"/>
      <protection hidden="1"/>
    </xf>
    <xf numFmtId="0" fontId="11" fillId="2" borderId="14" xfId="0" applyFont="1" applyFill="1" applyBorder="1" applyAlignment="1" applyProtection="1">
      <alignment horizontal="left"/>
      <protection hidden="1"/>
    </xf>
    <xf numFmtId="0" fontId="11" fillId="0" borderId="15" xfId="0" applyFont="1" applyBorder="1" applyAlignment="1" applyProtection="1">
      <alignment horizontal="left" vertical="center" wrapText="1"/>
      <protection locked="0" hidden="1"/>
    </xf>
    <xf numFmtId="0" fontId="0" fillId="0" borderId="8" xfId="0" applyBorder="1" applyProtection="1">
      <protection hidden="1"/>
    </xf>
    <xf numFmtId="1" fontId="11" fillId="0" borderId="9" xfId="0" applyNumberFormat="1" applyFont="1" applyBorder="1" applyAlignment="1" applyProtection="1">
      <alignment horizontal="center"/>
      <protection locked="0" hidden="1"/>
    </xf>
    <xf numFmtId="0" fontId="11" fillId="0" borderId="9" xfId="0" applyFont="1" applyBorder="1" applyProtection="1">
      <protection locked="0" hidden="1"/>
    </xf>
    <xf numFmtId="164" fontId="11" fillId="0" borderId="9" xfId="0" applyNumberFormat="1" applyFont="1" applyBorder="1" applyAlignment="1" applyProtection="1">
      <alignment horizontal="center"/>
      <protection locked="0" hidden="1"/>
    </xf>
    <xf numFmtId="1" fontId="11" fillId="2" borderId="9" xfId="0" applyNumberFormat="1" applyFont="1" applyFill="1" applyBorder="1" applyAlignment="1" applyProtection="1">
      <alignment horizontal="center"/>
      <protection hidden="1"/>
    </xf>
    <xf numFmtId="1" fontId="11" fillId="8" borderId="9" xfId="0" applyNumberFormat="1" applyFont="1" applyFill="1" applyBorder="1" applyAlignment="1" applyProtection="1">
      <alignment horizontal="center"/>
      <protection locked="0" hidden="1"/>
    </xf>
    <xf numFmtId="1" fontId="11" fillId="10" borderId="9" xfId="0" applyNumberFormat="1" applyFont="1" applyFill="1" applyBorder="1" applyAlignment="1" applyProtection="1">
      <alignment horizontal="center"/>
      <protection locked="0" hidden="1"/>
    </xf>
    <xf numFmtId="1" fontId="11" fillId="9" borderId="9" xfId="0" applyNumberFormat="1" applyFont="1" applyFill="1" applyBorder="1" applyAlignment="1" applyProtection="1">
      <alignment horizontal="center"/>
      <protection locked="0" hidden="1"/>
    </xf>
    <xf numFmtId="1" fontId="11" fillId="2" borderId="9" xfId="0" applyNumberFormat="1" applyFont="1" applyFill="1" applyBorder="1" applyAlignment="1" applyProtection="1">
      <alignment horizontal="center" wrapText="1"/>
      <protection hidden="1"/>
    </xf>
    <xf numFmtId="0" fontId="11" fillId="5" borderId="9" xfId="0" applyFont="1" applyFill="1" applyBorder="1" applyAlignment="1" applyProtection="1">
      <alignment horizontal="center" wrapText="1"/>
      <protection hidden="1"/>
    </xf>
    <xf numFmtId="10" fontId="11" fillId="5" borderId="9" xfId="0" applyNumberFormat="1" applyFont="1" applyFill="1" applyBorder="1" applyAlignment="1" applyProtection="1">
      <alignment horizontal="center" wrapText="1"/>
      <protection hidden="1"/>
    </xf>
    <xf numFmtId="0" fontId="11" fillId="2" borderId="9" xfId="0" applyFont="1" applyFill="1" applyBorder="1" applyAlignment="1" applyProtection="1">
      <alignment horizontal="left"/>
      <protection hidden="1"/>
    </xf>
    <xf numFmtId="0" fontId="11" fillId="0" borderId="10" xfId="0" applyFont="1" applyBorder="1" applyAlignment="1" applyProtection="1">
      <alignment horizontal="left" vertical="center" wrapText="1"/>
      <protection locked="0" hidden="1"/>
    </xf>
    <xf numFmtId="0" fontId="0" fillId="0" borderId="7" xfId="0" applyBorder="1" applyProtection="1">
      <protection hidden="1"/>
    </xf>
    <xf numFmtId="1" fontId="11" fillId="0" borderId="5" xfId="0" applyNumberFormat="1" applyFont="1" applyBorder="1" applyAlignment="1" applyProtection="1">
      <alignment horizontal="center"/>
      <protection locked="0" hidden="1"/>
    </xf>
    <xf numFmtId="0" fontId="11" fillId="0" borderId="5" xfId="0" applyFont="1" applyBorder="1" applyProtection="1">
      <protection locked="0" hidden="1"/>
    </xf>
    <xf numFmtId="0" fontId="11" fillId="0" borderId="5" xfId="0" applyFont="1" applyBorder="1" applyAlignment="1" applyProtection="1">
      <alignment horizontal="center"/>
      <protection locked="0" hidden="1"/>
    </xf>
    <xf numFmtId="164" fontId="11" fillId="0" borderId="5" xfId="0" applyNumberFormat="1" applyFont="1" applyBorder="1" applyAlignment="1" applyProtection="1">
      <alignment horizontal="center"/>
      <protection locked="0" hidden="1"/>
    </xf>
    <xf numFmtId="1" fontId="11" fillId="2" borderId="5" xfId="0" applyNumberFormat="1" applyFont="1" applyFill="1" applyBorder="1" applyAlignment="1" applyProtection="1">
      <alignment horizontal="center"/>
      <protection hidden="1"/>
    </xf>
    <xf numFmtId="1" fontId="11" fillId="8" borderId="5" xfId="0" applyNumberFormat="1" applyFont="1" applyFill="1" applyBorder="1" applyAlignment="1" applyProtection="1">
      <alignment horizontal="center"/>
      <protection locked="0" hidden="1"/>
    </xf>
    <xf numFmtId="1" fontId="11" fillId="10" borderId="5" xfId="0" applyNumberFormat="1" applyFont="1" applyFill="1" applyBorder="1" applyAlignment="1" applyProtection="1">
      <alignment horizontal="center"/>
      <protection locked="0" hidden="1"/>
    </xf>
    <xf numFmtId="1" fontId="11" fillId="9" borderId="5" xfId="0" applyNumberFormat="1" applyFont="1" applyFill="1" applyBorder="1" applyAlignment="1" applyProtection="1">
      <alignment horizontal="center"/>
      <protection locked="0" hidden="1"/>
    </xf>
    <xf numFmtId="1" fontId="11" fillId="2" borderId="5" xfId="0" applyNumberFormat="1" applyFont="1" applyFill="1" applyBorder="1" applyAlignment="1" applyProtection="1">
      <alignment horizontal="center" wrapText="1"/>
      <protection hidden="1"/>
    </xf>
    <xf numFmtId="0" fontId="11" fillId="5" borderId="5" xfId="0" applyFont="1" applyFill="1" applyBorder="1" applyAlignment="1" applyProtection="1">
      <alignment horizontal="center" wrapText="1"/>
      <protection hidden="1"/>
    </xf>
    <xf numFmtId="10" fontId="11" fillId="5" borderId="5" xfId="0" applyNumberFormat="1" applyFont="1" applyFill="1" applyBorder="1" applyAlignment="1" applyProtection="1">
      <alignment horizontal="center" wrapText="1"/>
      <protection hidden="1"/>
    </xf>
    <xf numFmtId="0" fontId="11" fillId="2" borderId="5" xfId="0" applyFont="1" applyFill="1" applyBorder="1" applyAlignment="1" applyProtection="1">
      <alignment horizontal="left"/>
      <protection hidden="1"/>
    </xf>
    <xf numFmtId="0" fontId="11" fillId="0" borderId="6" xfId="0" applyFont="1" applyBorder="1" applyAlignment="1" applyProtection="1">
      <alignment horizontal="left" vertical="center" wrapText="1"/>
      <protection locked="0" hidden="1"/>
    </xf>
    <xf numFmtId="164" fontId="0" fillId="0" borderId="0" xfId="0" applyNumberFormat="1" applyAlignment="1" applyProtection="1">
      <alignment horizontal="center"/>
      <protection hidden="1"/>
    </xf>
    <xf numFmtId="0" fontId="12" fillId="9" borderId="1" xfId="0" applyFont="1" applyFill="1" applyBorder="1" applyAlignment="1" applyProtection="1">
      <alignment vertical="center"/>
      <protection locked="0" hidden="1"/>
    </xf>
    <xf numFmtId="0" fontId="1" fillId="5" borderId="3" xfId="0" applyFont="1" applyFill="1" applyBorder="1" applyAlignment="1" applyProtection="1">
      <alignment horizontal="center" wrapText="1"/>
      <protection hidden="1"/>
    </xf>
    <xf numFmtId="0" fontId="1" fillId="5" borderId="4" xfId="0" applyFont="1" applyFill="1" applyBorder="1" applyAlignment="1" applyProtection="1">
      <alignment horizontal="center" wrapText="1"/>
      <protection hidden="1"/>
    </xf>
    <xf numFmtId="0" fontId="1" fillId="5" borderId="25" xfId="0" applyFont="1" applyFill="1" applyBorder="1" applyAlignment="1">
      <alignment horizontal="center"/>
    </xf>
    <xf numFmtId="0" fontId="1" fillId="5" borderId="26" xfId="0" applyFont="1" applyFill="1" applyBorder="1" applyAlignment="1">
      <alignment horizontal="center"/>
    </xf>
    <xf numFmtId="0" fontId="1" fillId="5" borderId="2" xfId="0" applyFont="1" applyFill="1" applyBorder="1" applyAlignment="1" applyProtection="1">
      <alignment horizontal="center" vertical="center"/>
      <protection hidden="1"/>
    </xf>
    <xf numFmtId="0" fontId="1" fillId="5" borderId="8" xfId="0" applyFont="1" applyFill="1" applyBorder="1" applyAlignment="1" applyProtection="1">
      <alignment horizontal="center" vertical="center"/>
      <protection hidden="1"/>
    </xf>
    <xf numFmtId="0" fontId="7" fillId="5" borderId="27" xfId="0" applyFont="1" applyFill="1" applyBorder="1" applyAlignment="1" applyProtection="1">
      <alignment horizontal="center" vertical="center" wrapText="1"/>
      <protection hidden="1"/>
    </xf>
    <xf numFmtId="0" fontId="7" fillId="5" borderId="14" xfId="0" applyFont="1" applyFill="1" applyBorder="1" applyAlignment="1" applyProtection="1">
      <alignment horizontal="center" vertical="center" wrapText="1"/>
      <protection hidden="1"/>
    </xf>
    <xf numFmtId="0" fontId="7" fillId="5" borderId="31" xfId="0" applyFont="1" applyFill="1" applyBorder="1" applyAlignment="1" applyProtection="1">
      <alignment horizontal="center" vertical="center" wrapText="1"/>
      <protection hidden="1"/>
    </xf>
    <xf numFmtId="0" fontId="7" fillId="5" borderId="3" xfId="0" applyFont="1" applyFill="1" applyBorder="1" applyAlignment="1">
      <alignment horizontal="center"/>
    </xf>
    <xf numFmtId="0" fontId="7" fillId="5" borderId="4" xfId="0" applyFont="1" applyFill="1" applyBorder="1" applyAlignment="1">
      <alignment horizontal="center"/>
    </xf>
    <xf numFmtId="0" fontId="1" fillId="5" borderId="2" xfId="0" applyFont="1" applyFill="1" applyBorder="1" applyAlignment="1">
      <alignment horizontal="center"/>
    </xf>
    <xf numFmtId="0" fontId="1" fillId="5" borderId="3" xfId="0" applyFont="1" applyFill="1" applyBorder="1" applyAlignment="1">
      <alignment horizontal="center"/>
    </xf>
    <xf numFmtId="0" fontId="1" fillId="5" borderId="9" xfId="0" applyFont="1" applyFill="1" applyBorder="1" applyAlignment="1" applyProtection="1">
      <alignment horizontal="center" wrapText="1"/>
      <protection hidden="1"/>
    </xf>
    <xf numFmtId="0" fontId="1" fillId="5" borderId="10" xfId="0" applyFont="1" applyFill="1" applyBorder="1" applyAlignment="1" applyProtection="1">
      <alignment horizontal="center" wrapText="1"/>
      <protection hidden="1"/>
    </xf>
    <xf numFmtId="0" fontId="1" fillId="5" borderId="11" xfId="0" applyFont="1" applyFill="1" applyBorder="1" applyAlignment="1" applyProtection="1">
      <alignment horizontal="center" wrapText="1"/>
      <protection hidden="1"/>
    </xf>
    <xf numFmtId="0" fontId="1" fillId="5" borderId="18" xfId="0" applyFont="1" applyFill="1" applyBorder="1" applyAlignment="1" applyProtection="1">
      <alignment horizontal="center" wrapText="1"/>
      <protection hidden="1"/>
    </xf>
    <xf numFmtId="0" fontId="1" fillId="5" borderId="17" xfId="0" applyFont="1" applyFill="1" applyBorder="1" applyAlignment="1" applyProtection="1">
      <alignment horizontal="center" wrapText="1"/>
      <protection hidden="1"/>
    </xf>
    <xf numFmtId="0" fontId="1" fillId="5" borderId="43" xfId="0" applyFont="1" applyFill="1" applyBorder="1" applyAlignment="1">
      <alignment horizontal="center"/>
    </xf>
    <xf numFmtId="0" fontId="1" fillId="5" borderId="14" xfId="0" applyFont="1" applyFill="1" applyBorder="1" applyAlignment="1">
      <alignment horizontal="center"/>
    </xf>
    <xf numFmtId="0" fontId="18" fillId="0" borderId="0" xfId="0" applyFont="1" applyAlignment="1">
      <alignment horizontal="right" indent="2"/>
    </xf>
    <xf numFmtId="0" fontId="19" fillId="0" borderId="0" xfId="0" applyFont="1" applyAlignment="1">
      <alignment horizontal="left"/>
    </xf>
    <xf numFmtId="0" fontId="1" fillId="5" borderId="2" xfId="0" applyFont="1" applyFill="1" applyBorder="1" applyAlignment="1" applyProtection="1">
      <alignment horizontal="center" vertical="center" wrapText="1"/>
      <protection hidden="1"/>
    </xf>
    <xf numFmtId="0" fontId="1" fillId="5" borderId="3" xfId="0" applyFont="1" applyFill="1" applyBorder="1" applyAlignment="1" applyProtection="1">
      <alignment horizontal="center" vertical="center" wrapText="1"/>
      <protection hidden="1"/>
    </xf>
    <xf numFmtId="0" fontId="1" fillId="5" borderId="8" xfId="0" applyFont="1" applyFill="1" applyBorder="1" applyAlignment="1" applyProtection="1">
      <alignment horizontal="center" vertical="center" wrapText="1"/>
      <protection hidden="1"/>
    </xf>
    <xf numFmtId="0" fontId="1" fillId="5" borderId="9" xfId="0" applyFont="1" applyFill="1" applyBorder="1" applyAlignment="1" applyProtection="1">
      <alignment horizontal="center" vertical="center" wrapText="1"/>
      <protection hidden="1"/>
    </xf>
    <xf numFmtId="0" fontId="1" fillId="5" borderId="27" xfId="0" applyFont="1" applyFill="1" applyBorder="1" applyAlignment="1" applyProtection="1">
      <alignment horizontal="center" vertical="center"/>
      <protection hidden="1"/>
    </xf>
    <xf numFmtId="0" fontId="1" fillId="5" borderId="14" xfId="0" applyFont="1" applyFill="1" applyBorder="1" applyAlignment="1" applyProtection="1">
      <alignment horizontal="center" vertical="center"/>
      <protection hidden="1"/>
    </xf>
    <xf numFmtId="0" fontId="9" fillId="6" borderId="9" xfId="0" applyFont="1" applyFill="1" applyBorder="1" applyAlignment="1" applyProtection="1">
      <alignment horizontal="center" vertical="center" wrapText="1"/>
      <protection hidden="1"/>
    </xf>
    <xf numFmtId="0" fontId="9" fillId="6" borderId="5" xfId="0" applyFont="1" applyFill="1" applyBorder="1" applyAlignment="1" applyProtection="1">
      <alignment horizontal="center" vertical="center" wrapText="1"/>
      <protection hidden="1"/>
    </xf>
    <xf numFmtId="0" fontId="9" fillId="6" borderId="12" xfId="0" applyFont="1" applyFill="1" applyBorder="1" applyAlignment="1" applyProtection="1">
      <alignment horizontal="center" vertical="center" wrapText="1"/>
      <protection hidden="1"/>
    </xf>
    <xf numFmtId="0" fontId="9" fillId="6" borderId="36" xfId="0" applyFont="1" applyFill="1" applyBorder="1" applyAlignment="1" applyProtection="1">
      <alignment horizontal="center" vertical="center" wrapText="1"/>
      <protection hidden="1"/>
    </xf>
    <xf numFmtId="0" fontId="0" fillId="0" borderId="0" xfId="0" applyAlignment="1" applyProtection="1">
      <alignment horizontal="center"/>
      <protection hidden="1"/>
    </xf>
    <xf numFmtId="0" fontId="0" fillId="2" borderId="9" xfId="0" applyFill="1" applyBorder="1" applyAlignment="1" applyProtection="1">
      <alignment horizontal="center" vertical="center" wrapText="1"/>
      <protection hidden="1"/>
    </xf>
    <xf numFmtId="0" fontId="21" fillId="4" borderId="31" xfId="0" applyFont="1" applyFill="1" applyBorder="1" applyAlignment="1" applyProtection="1">
      <alignment horizontal="center" vertical="center"/>
      <protection hidden="1"/>
    </xf>
    <xf numFmtId="0" fontId="21" fillId="4" borderId="24" xfId="0" applyFont="1" applyFill="1" applyBorder="1" applyAlignment="1" applyProtection="1">
      <alignment horizontal="center" vertical="center"/>
      <protection hidden="1"/>
    </xf>
    <xf numFmtId="0" fontId="21" fillId="4" borderId="40" xfId="0" applyFont="1" applyFill="1" applyBorder="1" applyAlignment="1" applyProtection="1">
      <alignment horizontal="center" vertical="center"/>
      <protection hidden="1"/>
    </xf>
    <xf numFmtId="0" fontId="21" fillId="4" borderId="21" xfId="0" applyFont="1" applyFill="1" applyBorder="1" applyAlignment="1" applyProtection="1">
      <alignment horizontal="center" vertical="center"/>
      <protection hidden="1"/>
    </xf>
    <xf numFmtId="0" fontId="21" fillId="4" borderId="0" xfId="0" applyFont="1" applyFill="1" applyAlignment="1" applyProtection="1">
      <alignment horizontal="center" vertical="center"/>
      <protection hidden="1"/>
    </xf>
    <xf numFmtId="0" fontId="21" fillId="4" borderId="33" xfId="0" applyFont="1" applyFill="1" applyBorder="1" applyAlignment="1" applyProtection="1">
      <alignment horizontal="center" vertical="center"/>
      <protection hidden="1"/>
    </xf>
    <xf numFmtId="0" fontId="21" fillId="4" borderId="32" xfId="0" applyFont="1" applyFill="1" applyBorder="1" applyAlignment="1" applyProtection="1">
      <alignment horizontal="center" vertical="center"/>
      <protection hidden="1"/>
    </xf>
    <xf numFmtId="0" fontId="21" fillId="4" borderId="16" xfId="0" applyFont="1" applyFill="1" applyBorder="1" applyAlignment="1" applyProtection="1">
      <alignment horizontal="center" vertical="center"/>
      <protection hidden="1"/>
    </xf>
    <xf numFmtId="0" fontId="21" fillId="4" borderId="44" xfId="0" applyFont="1" applyFill="1" applyBorder="1" applyAlignment="1" applyProtection="1">
      <alignment horizontal="center" vertical="center"/>
      <protection hidden="1"/>
    </xf>
    <xf numFmtId="0" fontId="15" fillId="6" borderId="5" xfId="0" applyFont="1" applyFill="1" applyBorder="1" applyAlignment="1" applyProtection="1">
      <alignment horizontal="center" vertical="center" wrapText="1"/>
      <protection locked="0" hidden="1"/>
    </xf>
    <xf numFmtId="0" fontId="2" fillId="6" borderId="12" xfId="0" applyFont="1" applyFill="1" applyBorder="1" applyAlignment="1" applyProtection="1">
      <alignment horizontal="center" vertical="center" wrapText="1"/>
      <protection hidden="1"/>
    </xf>
    <xf numFmtId="0" fontId="2" fillId="6" borderId="20" xfId="0" applyFont="1" applyFill="1" applyBorder="1" applyAlignment="1" applyProtection="1">
      <alignment horizontal="center" vertical="center" wrapText="1"/>
      <protection hidden="1"/>
    </xf>
    <xf numFmtId="0" fontId="2" fillId="6" borderId="19" xfId="0" applyFont="1" applyFill="1" applyBorder="1" applyAlignment="1" applyProtection="1">
      <alignment horizontal="center" vertical="center" wrapText="1"/>
      <protection hidden="1"/>
    </xf>
    <xf numFmtId="1" fontId="17" fillId="0" borderId="9" xfId="0" applyNumberFormat="1" applyFont="1" applyBorder="1" applyAlignment="1" applyProtection="1">
      <alignment horizontal="center" vertical="center" wrapText="1"/>
      <protection locked="0" hidden="1"/>
    </xf>
    <xf numFmtId="0" fontId="3" fillId="2" borderId="9" xfId="0" applyFont="1" applyFill="1" applyBorder="1" applyAlignment="1" applyProtection="1">
      <alignment horizontal="center" vertical="center" wrapText="1"/>
      <protection hidden="1"/>
    </xf>
    <xf numFmtId="0" fontId="2" fillId="6" borderId="9" xfId="0" applyFont="1" applyFill="1" applyBorder="1" applyAlignment="1" applyProtection="1">
      <alignment horizontal="center" vertical="center" wrapText="1"/>
      <protection hidden="1"/>
    </xf>
    <xf numFmtId="0" fontId="2" fillId="6" borderId="2" xfId="0" applyFont="1" applyFill="1" applyBorder="1" applyAlignment="1" applyProtection="1">
      <alignment horizontal="right" vertical="center"/>
      <protection hidden="1"/>
    </xf>
    <xf numFmtId="0" fontId="2" fillId="6" borderId="11" xfId="0" applyFont="1" applyFill="1" applyBorder="1" applyAlignment="1" applyProtection="1">
      <alignment horizontal="right" vertical="center"/>
      <protection hidden="1"/>
    </xf>
    <xf numFmtId="0" fontId="2" fillId="6" borderId="3" xfId="0" applyFont="1" applyFill="1" applyBorder="1" applyAlignment="1" applyProtection="1">
      <alignment horizontal="right" vertical="center"/>
      <protection hidden="1"/>
    </xf>
    <xf numFmtId="0" fontId="2" fillId="6" borderId="8" xfId="0" applyFont="1" applyFill="1" applyBorder="1" applyAlignment="1" applyProtection="1">
      <alignment horizontal="right" vertical="center"/>
      <protection hidden="1"/>
    </xf>
    <xf numFmtId="0" fontId="2" fillId="6" borderId="9" xfId="0" applyFont="1" applyFill="1" applyBorder="1" applyAlignment="1" applyProtection="1">
      <alignment horizontal="right" vertical="center"/>
      <protection hidden="1"/>
    </xf>
    <xf numFmtId="0" fontId="3" fillId="0" borderId="9" xfId="0" applyFont="1" applyBorder="1" applyAlignment="1" applyProtection="1">
      <alignment horizontal="center" vertical="center" wrapText="1"/>
      <protection locked="0" hidden="1"/>
    </xf>
    <xf numFmtId="0" fontId="10" fillId="4" borderId="11" xfId="0" applyFont="1" applyFill="1" applyBorder="1" applyAlignment="1" applyProtection="1">
      <alignment horizontal="center" vertical="center"/>
      <protection hidden="1"/>
    </xf>
    <xf numFmtId="0" fontId="10" fillId="4" borderId="18" xfId="0" applyFont="1" applyFill="1" applyBorder="1" applyAlignment="1" applyProtection="1">
      <alignment horizontal="center" vertical="center"/>
      <protection hidden="1"/>
    </xf>
    <xf numFmtId="0" fontId="10" fillId="4" borderId="17" xfId="0" applyFont="1" applyFill="1" applyBorder="1" applyAlignment="1" applyProtection="1">
      <alignment horizontal="center" vertical="center"/>
      <protection hidden="1"/>
    </xf>
    <xf numFmtId="0" fontId="17" fillId="0" borderId="9" xfId="0" applyFont="1" applyBorder="1" applyAlignment="1" applyProtection="1">
      <alignment horizontal="left" vertical="center" wrapText="1"/>
      <protection locked="0" hidden="1"/>
    </xf>
    <xf numFmtId="0" fontId="5" fillId="6" borderId="9" xfId="0" applyFont="1" applyFill="1" applyBorder="1" applyAlignment="1" applyProtection="1">
      <alignment horizontal="center" vertical="center" wrapText="1"/>
      <protection hidden="1"/>
    </xf>
    <xf numFmtId="0" fontId="5" fillId="6" borderId="42" xfId="0" applyFont="1" applyFill="1" applyBorder="1" applyAlignment="1" applyProtection="1">
      <alignment horizontal="right" vertical="center" wrapText="1" indent="1"/>
      <protection hidden="1"/>
    </xf>
    <xf numFmtId="0" fontId="5" fillId="6" borderId="24" xfId="0" applyFont="1" applyFill="1" applyBorder="1" applyAlignment="1" applyProtection="1">
      <alignment horizontal="right" vertical="center" wrapText="1" indent="1"/>
      <protection hidden="1"/>
    </xf>
    <xf numFmtId="0" fontId="16" fillId="6" borderId="31" xfId="0" applyFont="1" applyFill="1" applyBorder="1" applyAlignment="1">
      <alignment horizontal="center" vertical="center"/>
    </xf>
    <xf numFmtId="0" fontId="16" fillId="6" borderId="24" xfId="0" applyFont="1" applyFill="1" applyBorder="1" applyAlignment="1">
      <alignment horizontal="center" vertical="center"/>
    </xf>
    <xf numFmtId="0" fontId="16" fillId="6" borderId="40" xfId="0" applyFont="1" applyFill="1" applyBorder="1" applyAlignment="1">
      <alignment horizontal="center" vertical="center"/>
    </xf>
    <xf numFmtId="0" fontId="16" fillId="6" borderId="35" xfId="0" applyFont="1" applyFill="1" applyBorder="1" applyAlignment="1">
      <alignment horizontal="center" vertical="center"/>
    </xf>
    <xf numFmtId="0" fontId="16" fillId="6" borderId="39" xfId="0" applyFont="1" applyFill="1" applyBorder="1" applyAlignment="1">
      <alignment horizontal="center" vertical="center"/>
    </xf>
    <xf numFmtId="0" fontId="16" fillId="6" borderId="41" xfId="0" applyFont="1" applyFill="1" applyBorder="1" applyAlignment="1">
      <alignment horizontal="center" vertical="center"/>
    </xf>
    <xf numFmtId="1" fontId="9" fillId="6" borderId="9" xfId="0" applyNumberFormat="1" applyFont="1" applyFill="1" applyBorder="1" applyAlignment="1" applyProtection="1">
      <alignment horizontal="center" vertical="center" wrapText="1"/>
      <protection hidden="1"/>
    </xf>
    <xf numFmtId="1" fontId="9" fillId="6" borderId="5" xfId="0" applyNumberFormat="1" applyFont="1" applyFill="1" applyBorder="1" applyAlignment="1" applyProtection="1">
      <alignment horizontal="center" vertical="center" wrapText="1"/>
      <protection hidden="1"/>
    </xf>
    <xf numFmtId="0" fontId="20" fillId="6" borderId="9" xfId="0" applyFont="1" applyFill="1" applyBorder="1" applyAlignment="1" applyProtection="1">
      <alignment horizontal="center" vertical="center" wrapText="1"/>
      <protection locked="0" hidden="1"/>
    </xf>
    <xf numFmtId="0" fontId="14" fillId="6" borderId="12" xfId="0" applyFont="1" applyFill="1" applyBorder="1" applyAlignment="1" applyProtection="1">
      <alignment horizontal="center" vertical="center" wrapText="1"/>
      <protection locked="0" hidden="1"/>
    </xf>
    <xf numFmtId="0" fontId="14" fillId="6" borderId="20" xfId="0" applyFont="1" applyFill="1" applyBorder="1" applyAlignment="1" applyProtection="1">
      <alignment horizontal="center" vertical="center" wrapText="1"/>
      <protection locked="0" hidden="1"/>
    </xf>
    <xf numFmtId="0" fontId="14" fillId="6" borderId="19" xfId="0" applyFont="1" applyFill="1" applyBorder="1" applyAlignment="1" applyProtection="1">
      <alignment horizontal="center" vertical="center" wrapText="1"/>
      <protection locked="0" hidden="1"/>
    </xf>
    <xf numFmtId="0" fontId="16" fillId="6" borderId="12" xfId="0" applyFont="1" applyFill="1" applyBorder="1" applyAlignment="1" applyProtection="1">
      <alignment horizontal="center" vertical="center"/>
      <protection hidden="1"/>
    </xf>
    <xf numFmtId="0" fontId="16" fillId="6" borderId="20" xfId="0" applyFont="1" applyFill="1" applyBorder="1" applyAlignment="1" applyProtection="1">
      <alignment horizontal="center" vertical="center"/>
      <protection hidden="1"/>
    </xf>
    <xf numFmtId="0" fontId="16" fillId="6" borderId="19" xfId="0" applyFont="1" applyFill="1" applyBorder="1" applyAlignment="1" applyProtection="1">
      <alignment horizontal="center" vertical="center"/>
      <protection hidden="1"/>
    </xf>
    <xf numFmtId="0" fontId="2" fillId="6" borderId="5" xfId="0" applyFont="1" applyFill="1" applyBorder="1" applyAlignment="1" applyProtection="1">
      <alignment horizontal="center" vertical="center" wrapText="1"/>
      <protection hidden="1"/>
    </xf>
    <xf numFmtId="0" fontId="3" fillId="0" borderId="5" xfId="0" applyFont="1" applyBorder="1" applyAlignment="1" applyProtection="1">
      <alignment horizontal="center" vertical="center" wrapText="1"/>
      <protection locked="0" hidden="1"/>
    </xf>
    <xf numFmtId="0" fontId="16" fillId="6" borderId="31" xfId="0" applyFont="1" applyFill="1" applyBorder="1" applyAlignment="1" applyProtection="1">
      <alignment horizontal="center" vertical="center"/>
      <protection hidden="1"/>
    </xf>
    <xf numFmtId="0" fontId="16" fillId="6" borderId="24" xfId="0" applyFont="1" applyFill="1" applyBorder="1" applyAlignment="1" applyProtection="1">
      <alignment horizontal="center" vertical="center"/>
      <protection hidden="1"/>
    </xf>
    <xf numFmtId="0" fontId="16" fillId="6" borderId="40" xfId="0" applyFont="1" applyFill="1" applyBorder="1" applyAlignment="1" applyProtection="1">
      <alignment horizontal="center" vertical="center"/>
      <protection hidden="1"/>
    </xf>
    <xf numFmtId="0" fontId="16" fillId="6" borderId="35" xfId="0" applyFont="1" applyFill="1" applyBorder="1" applyAlignment="1" applyProtection="1">
      <alignment horizontal="center" vertical="center"/>
      <protection hidden="1"/>
    </xf>
    <xf numFmtId="0" fontId="16" fillId="6" borderId="39" xfId="0" applyFont="1" applyFill="1" applyBorder="1" applyAlignment="1" applyProtection="1">
      <alignment horizontal="center" vertical="center"/>
      <protection hidden="1"/>
    </xf>
    <xf numFmtId="0" fontId="16" fillId="6" borderId="41" xfId="0" applyFont="1" applyFill="1" applyBorder="1" applyAlignment="1" applyProtection="1">
      <alignment horizontal="center" vertical="center"/>
      <protection hidden="1"/>
    </xf>
    <xf numFmtId="0" fontId="9" fillId="6" borderId="43" xfId="0" applyFont="1" applyFill="1" applyBorder="1" applyAlignment="1">
      <alignment horizontal="center" vertical="center" wrapText="1"/>
    </xf>
    <xf numFmtId="0" fontId="9" fillId="6" borderId="30" xfId="0" applyFont="1" applyFill="1" applyBorder="1" applyAlignment="1">
      <alignment horizontal="center" vertical="center" wrapText="1"/>
    </xf>
    <xf numFmtId="0" fontId="9" fillId="6" borderId="9" xfId="0" applyFont="1" applyFill="1" applyBorder="1" applyAlignment="1">
      <alignment horizontal="center" vertical="center" wrapText="1"/>
    </xf>
    <xf numFmtId="0" fontId="9" fillId="6" borderId="5" xfId="0" applyFont="1" applyFill="1" applyBorder="1" applyAlignment="1">
      <alignment horizontal="center" vertical="center" wrapText="1"/>
    </xf>
    <xf numFmtId="1" fontId="9" fillId="6" borderId="9" xfId="0" applyNumberFormat="1" applyFont="1" applyFill="1" applyBorder="1" applyAlignment="1">
      <alignment horizontal="center" vertical="center" wrapText="1"/>
    </xf>
    <xf numFmtId="1" fontId="9" fillId="6" borderId="5" xfId="0" applyNumberFormat="1" applyFont="1" applyFill="1" applyBorder="1" applyAlignment="1">
      <alignment horizontal="center" vertical="center" wrapText="1"/>
    </xf>
    <xf numFmtId="0" fontId="9" fillId="6" borderId="12" xfId="0" applyFont="1" applyFill="1" applyBorder="1" applyAlignment="1">
      <alignment horizontal="center" vertical="center" wrapText="1"/>
    </xf>
    <xf numFmtId="0" fontId="9" fillId="6" borderId="36" xfId="0" applyFont="1" applyFill="1" applyBorder="1" applyAlignment="1">
      <alignment horizontal="center" vertical="center" wrapText="1"/>
    </xf>
  </cellXfs>
  <cellStyles count="2">
    <cellStyle name="Normal" xfId="0" builtinId="0"/>
    <cellStyle name="Percent" xfId="1" builtinId="5"/>
  </cellStyles>
  <dxfs count="6">
    <dxf>
      <font>
        <color theme="0" tint="-0.3499862666707357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tint="-0.24994659260841701"/>
      </font>
    </dxf>
    <dxf>
      <font>
        <color theme="0" tint="-0.24994659260841701"/>
      </font>
    </dxf>
  </dxfs>
  <tableStyles count="0" defaultTableStyle="TableStyleMedium2" defaultPivotStyle="PivotStyleLight16"/>
  <colors>
    <mruColors>
      <color rgb="FFFD9F95"/>
      <color rgb="FFFEBF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5" Type="http://schemas.openxmlformats.org/officeDocument/2006/relationships/customXml" Target="../customXml/item3.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095437819016343"/>
          <c:y val="0.10621363506032336"/>
          <c:w val="0.56603094211213556"/>
          <c:h val="0.75724475617018472"/>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5B0-4148-9D3F-2DE92A8214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85B0-4148-9D3F-2DE92A82141F}"/>
              </c:ext>
            </c:extLst>
          </c:dPt>
          <c:dLbls>
            <c:dLbl>
              <c:idx val="0"/>
              <c:layout>
                <c:manualLayout>
                  <c:x val="-0.12562814070351766"/>
                  <c:y val="-4.481792717086839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5B0-4148-9D3F-2DE92A82141F}"/>
                </c:ext>
              </c:extLst>
            </c:dLbl>
            <c:dLbl>
              <c:idx val="1"/>
              <c:layout>
                <c:manualLayout>
                  <c:x val="0.17587939698492464"/>
                  <c:y val="1.68067226890756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5B0-4148-9D3F-2DE92A82141F}"/>
                </c:ext>
              </c:extLst>
            </c:dLbl>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'Class Summary'!$A$19:$A$20</c:f>
              <c:strCache>
                <c:ptCount val="2"/>
                <c:pt idx="0">
                  <c:v>Male</c:v>
                </c:pt>
                <c:pt idx="1">
                  <c:v>Female</c:v>
                </c:pt>
              </c:strCache>
            </c:strRef>
          </c:cat>
          <c:val>
            <c:numRef>
              <c:f>'Class Summary'!$B$19:$B$20</c:f>
              <c:numCache>
                <c:formatCode>0%</c:formatCode>
                <c:ptCount val="2"/>
                <c:pt idx="0">
                  <c:v>0.58333333333333337</c:v>
                </c:pt>
                <c:pt idx="1">
                  <c:v>0.41666666666666669</c:v>
                </c:pt>
              </c:numCache>
            </c:numRef>
          </c:val>
          <c:extLst>
            <c:ext xmlns:c16="http://schemas.microsoft.com/office/drawing/2014/chart" uri="{C3380CC4-5D6E-409C-BE32-E72D297353CC}">
              <c16:uniqueId val="{00000000-85B0-4148-9D3F-2DE92A82141F}"/>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PH" sz="1600"/>
              <a:t>Levelling of Learners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Summary'!$C$18</c:f>
              <c:strCache>
                <c:ptCount val="1"/>
                <c:pt idx="0">
                  <c:v>Emerging (Not Proficient)</c:v>
                </c:pt>
              </c:strCache>
            </c:strRef>
          </c:tx>
          <c:spPr>
            <a:solidFill>
              <a:srgbClr val="C0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Summary'!$C$19:$C$21</c:f>
              <c:numCache>
                <c:formatCode>0%</c:formatCode>
                <c:ptCount val="3"/>
                <c:pt idx="0">
                  <c:v>7.1428571428571425E-2</c:v>
                </c:pt>
                <c:pt idx="1">
                  <c:v>0</c:v>
                </c:pt>
                <c:pt idx="2">
                  <c:v>4.1666666666666664E-2</c:v>
                </c:pt>
              </c:numCache>
            </c:numRef>
          </c:val>
          <c:extLst>
            <c:ext xmlns:c16="http://schemas.microsoft.com/office/drawing/2014/chart" uri="{C3380CC4-5D6E-409C-BE32-E72D297353CC}">
              <c16:uniqueId val="{00000000-F077-4CA6-AB20-A3C64B2D1194}"/>
            </c:ext>
          </c:extLst>
        </c:ser>
        <c:ser>
          <c:idx val="1"/>
          <c:order val="1"/>
          <c:tx>
            <c:strRef>
              <c:f>'Class Summary'!$D$18</c:f>
              <c:strCache>
                <c:ptCount val="1"/>
                <c:pt idx="0">
                  <c:v>Emerging (Low Proficient)</c:v>
                </c:pt>
              </c:strCache>
            </c:strRef>
          </c:tx>
          <c:spPr>
            <a:solidFill>
              <a:srgbClr val="FF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Summary'!$D$19:$D$21</c:f>
              <c:numCache>
                <c:formatCode>0%</c:formatCode>
                <c:ptCount val="3"/>
                <c:pt idx="0">
                  <c:v>0.2857142857142857</c:v>
                </c:pt>
                <c:pt idx="1">
                  <c:v>0.2</c:v>
                </c:pt>
                <c:pt idx="2">
                  <c:v>0.25</c:v>
                </c:pt>
              </c:numCache>
            </c:numRef>
          </c:val>
          <c:extLst>
            <c:ext xmlns:c16="http://schemas.microsoft.com/office/drawing/2014/chart" uri="{C3380CC4-5D6E-409C-BE32-E72D297353CC}">
              <c16:uniqueId val="{00000000-6634-44F0-8F87-83222778C7DB}"/>
            </c:ext>
          </c:extLst>
        </c:ser>
        <c:ser>
          <c:idx val="2"/>
          <c:order val="2"/>
          <c:tx>
            <c:strRef>
              <c:f>'Class Summary'!$E$18</c:f>
              <c:strCache>
                <c:ptCount val="1"/>
                <c:pt idx="0">
                  <c:v>Developing (Nearly Proficient)</c:v>
                </c:pt>
              </c:strCache>
            </c:strRef>
          </c:tx>
          <c:spPr>
            <a:solidFill>
              <a:schemeClr val="accent2"/>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Summary'!$E$19:$E$21</c:f>
              <c:numCache>
                <c:formatCode>0%</c:formatCode>
                <c:ptCount val="3"/>
                <c:pt idx="0">
                  <c:v>0.5</c:v>
                </c:pt>
                <c:pt idx="1">
                  <c:v>0.6</c:v>
                </c:pt>
                <c:pt idx="2">
                  <c:v>0.54166666666666663</c:v>
                </c:pt>
              </c:numCache>
            </c:numRef>
          </c:val>
          <c:extLst>
            <c:ext xmlns:c16="http://schemas.microsoft.com/office/drawing/2014/chart" uri="{C3380CC4-5D6E-409C-BE32-E72D297353CC}">
              <c16:uniqueId val="{00000001-6634-44F0-8F87-83222778C7DB}"/>
            </c:ext>
          </c:extLst>
        </c:ser>
        <c:ser>
          <c:idx val="3"/>
          <c:order val="3"/>
          <c:tx>
            <c:strRef>
              <c:f>'Class Summary'!$F$18</c:f>
              <c:strCache>
                <c:ptCount val="1"/>
                <c:pt idx="0">
                  <c:v>Transitioning (Proficient)</c:v>
                </c:pt>
              </c:strCache>
            </c:strRef>
          </c:tx>
          <c:spPr>
            <a:solidFill>
              <a:srgbClr val="00B0F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Summary'!$F$19:$F$21</c:f>
              <c:numCache>
                <c:formatCode>0%</c:formatCode>
                <c:ptCount val="3"/>
                <c:pt idx="0">
                  <c:v>0.14285714285714285</c:v>
                </c:pt>
                <c:pt idx="1">
                  <c:v>0.1</c:v>
                </c:pt>
                <c:pt idx="2">
                  <c:v>0.125</c:v>
                </c:pt>
              </c:numCache>
            </c:numRef>
          </c:val>
          <c:extLst>
            <c:ext xmlns:c16="http://schemas.microsoft.com/office/drawing/2014/chart" uri="{C3380CC4-5D6E-409C-BE32-E72D297353CC}">
              <c16:uniqueId val="{00000002-6634-44F0-8F87-83222778C7DB}"/>
            </c:ext>
          </c:extLst>
        </c:ser>
        <c:ser>
          <c:idx val="4"/>
          <c:order val="4"/>
          <c:tx>
            <c:strRef>
              <c:f>'Class Summary'!$G$18</c:f>
              <c:strCache>
                <c:ptCount val="1"/>
                <c:pt idx="0">
                  <c:v>At Grade Level (Highly Proficient)</c:v>
                </c:pt>
              </c:strCache>
            </c:strRef>
          </c:tx>
          <c:spPr>
            <a:solidFill>
              <a:srgbClr val="00B05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Summary'!$G$19:$G$21</c:f>
              <c:numCache>
                <c:formatCode>0%</c:formatCode>
                <c:ptCount val="3"/>
                <c:pt idx="0">
                  <c:v>0</c:v>
                </c:pt>
                <c:pt idx="1">
                  <c:v>0.1</c:v>
                </c:pt>
                <c:pt idx="2">
                  <c:v>4.1666666666666664E-2</c:v>
                </c:pt>
              </c:numCache>
            </c:numRef>
          </c:val>
          <c:extLst>
            <c:ext xmlns:c16="http://schemas.microsoft.com/office/drawing/2014/chart" uri="{C3380CC4-5D6E-409C-BE32-E72D297353CC}">
              <c16:uniqueId val="{00000003-6634-44F0-8F87-83222778C7DB}"/>
            </c:ext>
          </c:extLst>
        </c:ser>
        <c:dLbls>
          <c:dLblPos val="inEnd"/>
          <c:showLegendKey val="0"/>
          <c:showVal val="1"/>
          <c:showCatName val="0"/>
          <c:showSerName val="0"/>
          <c:showPercent val="0"/>
          <c:showBubbleSize val="0"/>
        </c:dLbls>
        <c:gapWidth val="65"/>
        <c:axId val="1617901775"/>
        <c:axId val="1617896015"/>
      </c:barChart>
      <c:catAx>
        <c:axId val="16179017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dk1">
                    <a:lumMod val="75000"/>
                    <a:lumOff val="25000"/>
                  </a:schemeClr>
                </a:solidFill>
                <a:latin typeface="+mn-lt"/>
                <a:ea typeface="+mn-ea"/>
                <a:cs typeface="+mn-cs"/>
              </a:defRPr>
            </a:pPr>
            <a:endParaRPr lang="en-US"/>
          </a:p>
        </c:txPr>
        <c:crossAx val="1617896015"/>
        <c:crosses val="autoZero"/>
        <c:auto val="1"/>
        <c:lblAlgn val="ctr"/>
        <c:lblOffset val="100"/>
        <c:noMultiLvlLbl val="0"/>
      </c:catAx>
      <c:valAx>
        <c:axId val="16178960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61790177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PH" sz="1600"/>
              <a:t>% of  Proficient Learners </a:t>
            </a:r>
            <a:r>
              <a:rPr lang="en-PH" sz="1600" baseline="0"/>
              <a:t>by Domain</a:t>
            </a:r>
            <a:endParaRPr lang="en-PH" sz="16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PH"/>
        </a:p>
      </c:txPr>
    </c:title>
    <c:autoTitleDeleted val="0"/>
    <c:plotArea>
      <c:layout/>
      <c:barChart>
        <c:barDir val="col"/>
        <c:grouping val="clustered"/>
        <c:varyColors val="0"/>
        <c:ser>
          <c:idx val="0"/>
          <c:order val="0"/>
          <c:tx>
            <c:strRef>
              <c:f>'Class Summary'!$J$21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'Class Summary'!$K$17:$S$18</c:f>
              <c:multiLvlStrCache>
                <c:ptCount val="8"/>
                <c:lvl>
                  <c:pt idx="0">
                    <c:v>No and Algebra</c:v>
                  </c:pt>
                  <c:pt idx="1">
                    <c:v>Means and Geom</c:v>
                  </c:pt>
                  <c:pt idx="2">
                    <c:v>Data and Prob</c:v>
                  </c:pt>
                  <c:pt idx="3">
                    <c:v>Total</c:v>
                  </c:pt>
                  <c:pt idx="4">
                    <c:v>Knowing</c:v>
                  </c:pt>
                  <c:pt idx="5">
                    <c:v>Applying</c:v>
                  </c:pt>
                  <c:pt idx="6">
                    <c:v>Reasoning</c:v>
                  </c:pt>
                  <c:pt idx="7">
                    <c:v>Total</c:v>
                  </c:pt>
                </c:lvl>
                <c:lvl>
                  <c:pt idx="0">
                    <c:v>Content Domain</c:v>
                  </c:pt>
                  <c:pt idx="4">
                    <c:v>Cognitive Domain</c:v>
                  </c:pt>
                </c:lvl>
              </c:multiLvlStrCache>
            </c:multiLvlStrRef>
          </c:cat>
          <c:val>
            <c:numRef>
              <c:f>'Class Summary'!$K$21:$S$21</c:f>
              <c:numCache>
                <c:formatCode>0%</c:formatCode>
                <c:ptCount val="8"/>
                <c:pt idx="0">
                  <c:v>8.3333333333333329E-2</c:v>
                </c:pt>
                <c:pt idx="1">
                  <c:v>4.1666666666666664E-2</c:v>
                </c:pt>
                <c:pt idx="2">
                  <c:v>0.58333333333333337</c:v>
                </c:pt>
                <c:pt idx="3">
                  <c:v>8.3333333333333329E-2</c:v>
                </c:pt>
                <c:pt idx="4">
                  <c:v>0.54166666666666663</c:v>
                </c:pt>
                <c:pt idx="5">
                  <c:v>8.3333333333333329E-2</c:v>
                </c:pt>
                <c:pt idx="6">
                  <c:v>0.20833333333333334</c:v>
                </c:pt>
                <c:pt idx="7">
                  <c:v>8.3333333333333329E-2</c:v>
                </c:pt>
              </c:numCache>
            </c:numRef>
          </c:val>
          <c:extLst>
            <c:ext xmlns:c16="http://schemas.microsoft.com/office/drawing/2014/chart" uri="{C3380CC4-5D6E-409C-BE32-E72D297353CC}">
              <c16:uniqueId val="{00000000-2BF8-4424-82F6-4798C1D37736}"/>
            </c:ext>
          </c:extLst>
        </c:ser>
        <c:dLbls>
          <c:dLblPos val="inEnd"/>
          <c:showLegendKey val="0"/>
          <c:showVal val="1"/>
          <c:showCatName val="0"/>
          <c:showSerName val="0"/>
          <c:showPercent val="0"/>
          <c:showBubbleSize val="0"/>
        </c:dLbls>
        <c:gapWidth val="65"/>
        <c:axId val="263911007"/>
        <c:axId val="251680527"/>
      </c:barChart>
      <c:catAx>
        <c:axId val="2639110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none" baseline="0">
                <a:solidFill>
                  <a:schemeClr val="dk1">
                    <a:lumMod val="75000"/>
                    <a:lumOff val="25000"/>
                  </a:schemeClr>
                </a:solidFill>
                <a:latin typeface="+mn-lt"/>
                <a:ea typeface="+mn-ea"/>
                <a:cs typeface="+mn-cs"/>
              </a:defRPr>
            </a:pPr>
            <a:endParaRPr lang="en-US"/>
          </a:p>
        </c:txPr>
        <c:crossAx val="251680527"/>
        <c:crosses val="autoZero"/>
        <c:auto val="1"/>
        <c:lblAlgn val="ctr"/>
        <c:lblOffset val="100"/>
        <c:noMultiLvlLbl val="0"/>
      </c:catAx>
      <c:valAx>
        <c:axId val="2516805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26391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44</xdr:col>
      <xdr:colOff>106680</xdr:colOff>
      <xdr:row>112</xdr:row>
      <xdr:rowOff>0</xdr:rowOff>
    </xdr:from>
    <xdr:ext cx="184731" cy="264560"/>
    <xdr:sp macro="" textlink="">
      <xdr:nvSpPr>
        <xdr:cNvPr id="6" name="TextBox 5">
          <a:extLst>
            <a:ext uri="{FF2B5EF4-FFF2-40B4-BE49-F238E27FC236}">
              <a16:creationId xmlns:a16="http://schemas.microsoft.com/office/drawing/2014/main" id="{73A6197B-04EC-4177-9CF2-F640343ADA47}"/>
            </a:ext>
          </a:extLst>
        </xdr:cNvPr>
        <xdr:cNvSpPr txBox="1"/>
      </xdr:nvSpPr>
      <xdr:spPr>
        <a:xfrm>
          <a:off x="7002780" y="13975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8986</xdr:colOff>
      <xdr:row>111</xdr:row>
      <xdr:rowOff>59307</xdr:rowOff>
    </xdr:from>
    <xdr:to>
      <xdr:col>18</xdr:col>
      <xdr:colOff>25593</xdr:colOff>
      <xdr:row>113</xdr:row>
      <xdr:rowOff>143774</xdr:rowOff>
    </xdr:to>
    <xdr:sp macro="" textlink="">
      <xdr:nvSpPr>
        <xdr:cNvPr id="11" name="TextBox 10">
          <a:extLst>
            <a:ext uri="{FF2B5EF4-FFF2-40B4-BE49-F238E27FC236}">
              <a16:creationId xmlns:a16="http://schemas.microsoft.com/office/drawing/2014/main" id="{BBBD7262-22D1-4548-966A-8F71F37DAA0F}"/>
            </a:ext>
          </a:extLst>
        </xdr:cNvPr>
        <xdr:cNvSpPr txBox="1"/>
      </xdr:nvSpPr>
      <xdr:spPr>
        <a:xfrm>
          <a:off x="8986" y="20969378"/>
          <a:ext cx="7933140" cy="452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0</xdr:col>
      <xdr:colOff>101950</xdr:colOff>
      <xdr:row>109</xdr:row>
      <xdr:rowOff>32352</xdr:rowOff>
    </xdr:from>
    <xdr:to>
      <xdr:col>2</xdr:col>
      <xdr:colOff>1364027</xdr:colOff>
      <xdr:row>111</xdr:row>
      <xdr:rowOff>93130</xdr:rowOff>
    </xdr:to>
    <xdr:pic>
      <xdr:nvPicPr>
        <xdr:cNvPr id="14" name="Picture 13">
          <a:extLst>
            <a:ext uri="{FF2B5EF4-FFF2-40B4-BE49-F238E27FC236}">
              <a16:creationId xmlns:a16="http://schemas.microsoft.com/office/drawing/2014/main" id="{2FEBAA6E-FD4F-4DB7-B5ED-A9CA289EB0EA}"/>
            </a:ext>
          </a:extLst>
        </xdr:cNvPr>
        <xdr:cNvPicPr>
          <a:picLocks noChangeAspect="1"/>
        </xdr:cNvPicPr>
      </xdr:nvPicPr>
      <xdr:blipFill>
        <a:blip xmlns:r="http://schemas.openxmlformats.org/officeDocument/2006/relationships" r:embed="rId1"/>
        <a:stretch>
          <a:fillRect/>
        </a:stretch>
      </xdr:blipFill>
      <xdr:spPr>
        <a:xfrm>
          <a:off x="101950" y="20582989"/>
          <a:ext cx="2632913" cy="414497"/>
        </a:xfrm>
        <a:prstGeom prst="rect">
          <a:avLst/>
        </a:prstGeom>
        <a:noFill/>
        <a:ln>
          <a:noFill/>
        </a:ln>
      </xdr:spPr>
    </xdr:pic>
    <xdr:clientData/>
  </xdr:twoCellAnchor>
  <xdr:twoCellAnchor>
    <xdr:from>
      <xdr:col>0</xdr:col>
      <xdr:colOff>257860</xdr:colOff>
      <xdr:row>0</xdr:row>
      <xdr:rowOff>86265</xdr:rowOff>
    </xdr:from>
    <xdr:to>
      <xdr:col>10</xdr:col>
      <xdr:colOff>152114</xdr:colOff>
      <xdr:row>3</xdr:row>
      <xdr:rowOff>72997</xdr:rowOff>
    </xdr:to>
    <xdr:grpSp>
      <xdr:nvGrpSpPr>
        <xdr:cNvPr id="2" name="Group 1">
          <a:extLst>
            <a:ext uri="{FF2B5EF4-FFF2-40B4-BE49-F238E27FC236}">
              <a16:creationId xmlns:a16="http://schemas.microsoft.com/office/drawing/2014/main" id="{0A27E8E6-06BA-C671-8BC4-63B72032440A}"/>
            </a:ext>
          </a:extLst>
        </xdr:cNvPr>
        <xdr:cNvGrpSpPr/>
      </xdr:nvGrpSpPr>
      <xdr:grpSpPr>
        <a:xfrm>
          <a:off x="257860" y="86265"/>
          <a:ext cx="5980729" cy="739207"/>
          <a:chOff x="257860" y="115669"/>
          <a:chExt cx="5731462" cy="719327"/>
        </a:xfrm>
      </xdr:grpSpPr>
      <xdr:sp macro="" textlink="">
        <xdr:nvSpPr>
          <xdr:cNvPr id="5" name="TextBox 4">
            <a:extLst>
              <a:ext uri="{FF2B5EF4-FFF2-40B4-BE49-F238E27FC236}">
                <a16:creationId xmlns:a16="http://schemas.microsoft.com/office/drawing/2014/main" id="{FBB8382C-B4C9-458D-8D2D-18A77E20D265}"/>
              </a:ext>
            </a:extLst>
          </xdr:cNvPr>
          <xdr:cNvSpPr txBox="1"/>
        </xdr:nvSpPr>
        <xdr:spPr>
          <a:xfrm>
            <a:off x="1457114" y="120454"/>
            <a:ext cx="4532208" cy="7145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PH" sz="1600" b="1"/>
              <a:t>RAPID MATHEMATICS ASSESSMENT(RMA) </a:t>
            </a:r>
          </a:p>
          <a:p>
            <a:pPr algn="l"/>
            <a:r>
              <a:rPr lang="en-PH" sz="1600" b="1"/>
              <a:t>FOR KEY</a:t>
            </a:r>
            <a:r>
              <a:rPr lang="en-PH" sz="1600" b="1" baseline="0"/>
              <a:t> STAGE 2 (Grades 4-6)</a:t>
            </a:r>
            <a:endParaRPr lang="en-PH" sz="1600" b="1"/>
          </a:p>
        </xdr:txBody>
      </xdr:sp>
      <xdr:pic>
        <xdr:nvPicPr>
          <xdr:cNvPr id="3" name="Picture 2">
            <a:extLst>
              <a:ext uri="{FF2B5EF4-FFF2-40B4-BE49-F238E27FC236}">
                <a16:creationId xmlns:a16="http://schemas.microsoft.com/office/drawing/2014/main" id="{3A99F5A6-A961-A85E-4AE5-394E33252E0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57860" y="115669"/>
            <a:ext cx="1063701" cy="520529"/>
          </a:xfrm>
          <a:prstGeom prst="rect">
            <a:avLst/>
          </a:prstGeom>
        </xdr:spPr>
      </xdr:pic>
    </xdr:grpSp>
    <xdr:clientData/>
  </xdr:twoCellAnchor>
  <xdr:twoCellAnchor>
    <xdr:from>
      <xdr:col>37</xdr:col>
      <xdr:colOff>35943</xdr:colOff>
      <xdr:row>6</xdr:row>
      <xdr:rowOff>17971</xdr:rowOff>
    </xdr:from>
    <xdr:to>
      <xdr:col>47</xdr:col>
      <xdr:colOff>172291</xdr:colOff>
      <xdr:row>6</xdr:row>
      <xdr:rowOff>253081</xdr:rowOff>
    </xdr:to>
    <xdr:grpSp>
      <xdr:nvGrpSpPr>
        <xdr:cNvPr id="4" name="Group 3">
          <a:extLst>
            <a:ext uri="{FF2B5EF4-FFF2-40B4-BE49-F238E27FC236}">
              <a16:creationId xmlns:a16="http://schemas.microsoft.com/office/drawing/2014/main" id="{6E4A8A0E-0076-4D58-8E52-92FE7446EDE6}"/>
            </a:ext>
          </a:extLst>
        </xdr:cNvPr>
        <xdr:cNvGrpSpPr/>
      </xdr:nvGrpSpPr>
      <xdr:grpSpPr>
        <a:xfrm>
          <a:off x="12808968" y="1551496"/>
          <a:ext cx="2612848" cy="235110"/>
          <a:chOff x="14247235" y="1652031"/>
          <a:chExt cx="2746054" cy="233205"/>
        </a:xfrm>
      </xdr:grpSpPr>
      <xdr:sp macro="" textlink="">
        <xdr:nvSpPr>
          <xdr:cNvPr id="8" name="Rectangle 7">
            <a:extLst>
              <a:ext uri="{FF2B5EF4-FFF2-40B4-BE49-F238E27FC236}">
                <a16:creationId xmlns:a16="http://schemas.microsoft.com/office/drawing/2014/main" id="{E6EC2A95-EED7-5322-9A21-389A620DFCAD}"/>
              </a:ext>
            </a:extLst>
          </xdr:cNvPr>
          <xdr:cNvSpPr/>
        </xdr:nvSpPr>
        <xdr:spPr>
          <a:xfrm>
            <a:off x="14247235" y="1688765"/>
            <a:ext cx="323850" cy="15430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9" name="TextBox 8">
            <a:extLst>
              <a:ext uri="{FF2B5EF4-FFF2-40B4-BE49-F238E27FC236}">
                <a16:creationId xmlns:a16="http://schemas.microsoft.com/office/drawing/2014/main" id="{4EC5B279-E5BF-4D7C-279F-06C3C87FDFF5}"/>
              </a:ext>
            </a:extLst>
          </xdr:cNvPr>
          <xdr:cNvSpPr txBox="1"/>
        </xdr:nvSpPr>
        <xdr:spPr>
          <a:xfrm>
            <a:off x="14594232" y="1652031"/>
            <a:ext cx="523028"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900" b="1" i="0"/>
              <a:t>1 Point</a:t>
            </a:r>
          </a:p>
        </xdr:txBody>
      </xdr:sp>
      <xdr:sp macro="" textlink="">
        <xdr:nvSpPr>
          <xdr:cNvPr id="10" name="TextBox 9">
            <a:extLst>
              <a:ext uri="{FF2B5EF4-FFF2-40B4-BE49-F238E27FC236}">
                <a16:creationId xmlns:a16="http://schemas.microsoft.com/office/drawing/2014/main" id="{B4F70576-C07F-8FD2-80BB-B91641EE5641}"/>
              </a:ext>
            </a:extLst>
          </xdr:cNvPr>
          <xdr:cNvSpPr txBox="1"/>
        </xdr:nvSpPr>
        <xdr:spPr>
          <a:xfrm>
            <a:off x="15458454" y="1652031"/>
            <a:ext cx="569067"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900" b="1" i="0"/>
              <a:t>2 Points</a:t>
            </a:r>
          </a:p>
        </xdr:txBody>
      </xdr:sp>
      <xdr:sp macro="" textlink="">
        <xdr:nvSpPr>
          <xdr:cNvPr id="17" name="TextBox 16">
            <a:extLst>
              <a:ext uri="{FF2B5EF4-FFF2-40B4-BE49-F238E27FC236}">
                <a16:creationId xmlns:a16="http://schemas.microsoft.com/office/drawing/2014/main" id="{48C30FD5-DC01-A4D0-160A-1CB56DD9681F}"/>
              </a:ext>
            </a:extLst>
          </xdr:cNvPr>
          <xdr:cNvSpPr txBox="1"/>
        </xdr:nvSpPr>
        <xdr:spPr>
          <a:xfrm>
            <a:off x="16424222" y="1652031"/>
            <a:ext cx="569067"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900" b="1" i="0"/>
              <a:t>3 Points</a:t>
            </a:r>
          </a:p>
        </xdr:txBody>
      </xdr:sp>
      <xdr:sp macro="" textlink="">
        <xdr:nvSpPr>
          <xdr:cNvPr id="18" name="Rectangle 17">
            <a:extLst>
              <a:ext uri="{FF2B5EF4-FFF2-40B4-BE49-F238E27FC236}">
                <a16:creationId xmlns:a16="http://schemas.microsoft.com/office/drawing/2014/main" id="{6EA12C5F-1FFE-30E8-4893-624DCF43013F}"/>
              </a:ext>
            </a:extLst>
          </xdr:cNvPr>
          <xdr:cNvSpPr/>
        </xdr:nvSpPr>
        <xdr:spPr>
          <a:xfrm>
            <a:off x="15123184" y="1688765"/>
            <a:ext cx="327660" cy="154305"/>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9" name="Rectangle 18">
            <a:extLst>
              <a:ext uri="{FF2B5EF4-FFF2-40B4-BE49-F238E27FC236}">
                <a16:creationId xmlns:a16="http://schemas.microsoft.com/office/drawing/2014/main" id="{8D6CEF14-9D3C-E1AF-FE07-AC762B70CE10}"/>
              </a:ext>
            </a:extLst>
          </xdr:cNvPr>
          <xdr:cNvSpPr/>
        </xdr:nvSpPr>
        <xdr:spPr>
          <a:xfrm>
            <a:off x="16072410" y="1693149"/>
            <a:ext cx="324450" cy="154305"/>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22859</xdr:colOff>
      <xdr:row>54</xdr:row>
      <xdr:rowOff>7620</xdr:rowOff>
    </xdr:from>
    <xdr:to>
      <xdr:col>9</xdr:col>
      <xdr:colOff>596746</xdr:colOff>
      <xdr:row>57</xdr:row>
      <xdr:rowOff>167640</xdr:rowOff>
    </xdr:to>
    <xdr:sp macro="" textlink="">
      <xdr:nvSpPr>
        <xdr:cNvPr id="11" name="TextBox 10">
          <a:extLst>
            <a:ext uri="{FF2B5EF4-FFF2-40B4-BE49-F238E27FC236}">
              <a16:creationId xmlns:a16="http://schemas.microsoft.com/office/drawing/2014/main" id="{917380CD-9643-4E21-9ADB-33B7D02CA7F7}"/>
            </a:ext>
          </a:extLst>
        </xdr:cNvPr>
        <xdr:cNvSpPr txBox="1"/>
      </xdr:nvSpPr>
      <xdr:spPr>
        <a:xfrm>
          <a:off x="22859" y="11189740"/>
          <a:ext cx="9111959" cy="710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050"/>
            <a:t>This Scoresheet is made possible with the assistance of USAID through </a:t>
          </a:r>
          <a:r>
            <a:rPr lang="en-PH" sz="1050">
              <a:solidFill>
                <a:srgbClr val="FF0000"/>
              </a:solidFill>
            </a:rPr>
            <a:t>ABC+:</a:t>
          </a:r>
          <a:r>
            <a:rPr lang="en-PH" sz="1050">
              <a:solidFill>
                <a:srgbClr val="0070C0"/>
              </a:solidFill>
            </a:rPr>
            <a:t> Advancing Basic Education in the Philippines</a:t>
          </a:r>
          <a:r>
            <a:rPr lang="en-PH" sz="1050"/>
            <a:t>. ABC+ Project is an early grades education project of the Department of Education in partnership with USAID and implemented by RTI International </a:t>
          </a:r>
        </a:p>
      </xdr:txBody>
    </xdr:sp>
    <xdr:clientData/>
  </xdr:twoCellAnchor>
  <xdr:twoCellAnchor editAs="oneCell">
    <xdr:from>
      <xdr:col>9</xdr:col>
      <xdr:colOff>373582</xdr:colOff>
      <xdr:row>1</xdr:row>
      <xdr:rowOff>152832</xdr:rowOff>
    </xdr:from>
    <xdr:to>
      <xdr:col>19</xdr:col>
      <xdr:colOff>436048</xdr:colOff>
      <xdr:row>5</xdr:row>
      <xdr:rowOff>98738</xdr:rowOff>
    </xdr:to>
    <xdr:pic>
      <xdr:nvPicPr>
        <xdr:cNvPr id="9" name="Picture 8">
          <a:extLst>
            <a:ext uri="{FF2B5EF4-FFF2-40B4-BE49-F238E27FC236}">
              <a16:creationId xmlns:a16="http://schemas.microsoft.com/office/drawing/2014/main" id="{57D943F7-36C5-D5DD-2879-36E05BE8B55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a:xfrm>
          <a:off x="8911654" y="336446"/>
          <a:ext cx="5770627" cy="728517"/>
        </a:xfrm>
        <a:prstGeom prst="rect">
          <a:avLst/>
        </a:prstGeom>
      </xdr:spPr>
    </xdr:pic>
    <xdr:clientData/>
  </xdr:twoCellAnchor>
  <xdr:oneCellAnchor>
    <xdr:from>
      <xdr:col>0</xdr:col>
      <xdr:colOff>106719</xdr:colOff>
      <xdr:row>51</xdr:row>
      <xdr:rowOff>137711</xdr:rowOff>
    </xdr:from>
    <xdr:ext cx="2602864" cy="494560"/>
    <xdr:pic>
      <xdr:nvPicPr>
        <xdr:cNvPr id="13" name="Picture 12">
          <a:extLst>
            <a:ext uri="{FF2B5EF4-FFF2-40B4-BE49-F238E27FC236}">
              <a16:creationId xmlns:a16="http://schemas.microsoft.com/office/drawing/2014/main" id="{5076C941-205A-4CDC-BC1D-D1EBAB0BA5DC}"/>
            </a:ext>
          </a:extLst>
        </xdr:cNvPr>
        <xdr:cNvPicPr>
          <a:picLocks noChangeAspect="1"/>
        </xdr:cNvPicPr>
      </xdr:nvPicPr>
      <xdr:blipFill>
        <a:blip xmlns:r="http://schemas.openxmlformats.org/officeDocument/2006/relationships" r:embed="rId3"/>
        <a:stretch>
          <a:fillRect/>
        </a:stretch>
      </xdr:blipFill>
      <xdr:spPr>
        <a:xfrm>
          <a:off x="106719" y="10768988"/>
          <a:ext cx="2602864" cy="494560"/>
        </a:xfrm>
        <a:prstGeom prst="rect">
          <a:avLst/>
        </a:prstGeom>
      </xdr:spPr>
    </xdr:pic>
    <xdr:clientData/>
  </xdr:oneCellAnchor>
  <xdr:twoCellAnchor>
    <xdr:from>
      <xdr:col>0</xdr:col>
      <xdr:colOff>76016</xdr:colOff>
      <xdr:row>24</xdr:row>
      <xdr:rowOff>82765</xdr:rowOff>
    </xdr:from>
    <xdr:to>
      <xdr:col>2</xdr:col>
      <xdr:colOff>220796</xdr:colOff>
      <xdr:row>37</xdr:row>
      <xdr:rowOff>56095</xdr:rowOff>
    </xdr:to>
    <xdr:graphicFrame macro="">
      <xdr:nvGraphicFramePr>
        <xdr:cNvPr id="2" name="Chart 1">
          <a:extLst>
            <a:ext uri="{FF2B5EF4-FFF2-40B4-BE49-F238E27FC236}">
              <a16:creationId xmlns:a16="http://schemas.microsoft.com/office/drawing/2014/main" id="{F4BED9B9-957F-B203-6132-6F7E1362A6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504663</xdr:colOff>
      <xdr:row>22</xdr:row>
      <xdr:rowOff>129539</xdr:rowOff>
    </xdr:from>
    <xdr:to>
      <xdr:col>18</xdr:col>
      <xdr:colOff>468217</xdr:colOff>
      <xdr:row>38</xdr:row>
      <xdr:rowOff>45904</xdr:rowOff>
    </xdr:to>
    <xdr:graphicFrame macro="">
      <xdr:nvGraphicFramePr>
        <xdr:cNvPr id="4" name="Chart 3">
          <a:extLst>
            <a:ext uri="{FF2B5EF4-FFF2-40B4-BE49-F238E27FC236}">
              <a16:creationId xmlns:a16="http://schemas.microsoft.com/office/drawing/2014/main" id="{800DD140-4070-C898-EAA1-43F66CF77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503196</xdr:colOff>
      <xdr:row>38</xdr:row>
      <xdr:rowOff>165254</xdr:rowOff>
    </xdr:from>
    <xdr:to>
      <xdr:col>18</xdr:col>
      <xdr:colOff>459037</xdr:colOff>
      <xdr:row>50</xdr:row>
      <xdr:rowOff>156071</xdr:rowOff>
    </xdr:to>
    <xdr:graphicFrame macro="">
      <xdr:nvGraphicFramePr>
        <xdr:cNvPr id="6" name="Chart 5">
          <a:extLst>
            <a:ext uri="{FF2B5EF4-FFF2-40B4-BE49-F238E27FC236}">
              <a16:creationId xmlns:a16="http://schemas.microsoft.com/office/drawing/2014/main" id="{639115DA-CC96-2808-AEEC-48992B8A2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0C3AE-0684-48D6-8DFD-528DDA524424}">
  <sheetPr codeName="Sheet1"/>
  <dimension ref="A1:BW114"/>
  <sheetViews>
    <sheetView zoomScaleNormal="100" workbookViewId="0">
      <pane xSplit="4" ySplit="9" topLeftCell="F10" activePane="bottomRight" state="frozen"/>
      <selection pane="bottomRight" activeCell="F35" sqref="F35"/>
      <selection pane="bottomLeft" activeCell="A10" sqref="A10"/>
      <selection pane="topRight" activeCell="E1" sqref="E1"/>
    </sheetView>
  </sheetViews>
  <sheetFormatPr defaultColWidth="0" defaultRowHeight="14.45" zeroHeight="1"/>
  <cols>
    <col min="1" max="1" width="4.7109375" style="56" customWidth="1"/>
    <col min="2" max="2" width="15.28515625" style="57" customWidth="1"/>
    <col min="3" max="3" width="25.7109375" style="56" customWidth="1"/>
    <col min="4" max="4" width="8.140625" style="57" customWidth="1"/>
    <col min="5" max="5" width="9" style="57" customWidth="1"/>
    <col min="6" max="6" width="9.28515625" style="57" customWidth="1"/>
    <col min="7" max="7" width="8" style="57" customWidth="1"/>
    <col min="8" max="49" width="3.7109375" style="57" customWidth="1"/>
    <col min="50" max="50" width="6.7109375" style="58" customWidth="1"/>
    <col min="51" max="51" width="7" style="58" customWidth="1"/>
    <col min="52" max="52" width="7.85546875" style="58" customWidth="1"/>
    <col min="53" max="53" width="8.42578125" style="58" customWidth="1"/>
    <col min="54" max="54" width="9.28515625" style="58" customWidth="1"/>
    <col min="55" max="55" width="28.7109375" style="59" customWidth="1"/>
    <col min="56" max="56" width="6.85546875" style="58" hidden="1" customWidth="1"/>
    <col min="57" max="57" width="6.5703125" style="60" hidden="1" customWidth="1"/>
    <col min="58" max="58" width="5.7109375" style="58" hidden="1" customWidth="1"/>
    <col min="59" max="59" width="6.7109375" style="58" hidden="1" customWidth="1"/>
    <col min="60" max="60" width="7" style="58" hidden="1" customWidth="1"/>
    <col min="61" max="61" width="7.85546875" style="58" hidden="1" customWidth="1"/>
    <col min="62" max="62" width="24.140625" style="57" customWidth="1"/>
    <col min="63" max="63" width="5.85546875" customWidth="1"/>
    <col min="64" max="64" width="9.28515625" hidden="1" customWidth="1"/>
    <col min="65" max="65" width="8.85546875" hidden="1" customWidth="1"/>
    <col min="66" max="73" width="8.85546875" style="1" hidden="1" customWidth="1"/>
    <col min="74" max="74" width="8.85546875" customWidth="1"/>
    <col min="75" max="75" width="5.7109375" customWidth="1"/>
    <col min="76" max="16384" width="10.7109375" hidden="1"/>
  </cols>
  <sheetData>
    <row r="1" spans="1:73" ht="22.15" customHeight="1">
      <c r="BJ1" s="61" t="s">
        <v>0</v>
      </c>
    </row>
    <row r="2" spans="1:73" ht="18" customHeight="1">
      <c r="AU2" s="62"/>
      <c r="AV2" s="176"/>
      <c r="AW2" s="176"/>
    </row>
    <row r="3" spans="1:73" ht="19.899999999999999" customHeight="1" thickBot="1">
      <c r="AV3" s="176"/>
      <c r="AW3" s="176"/>
      <c r="AX3" s="57"/>
      <c r="AY3" s="57"/>
      <c r="AZ3" s="57"/>
      <c r="BB3" s="57"/>
      <c r="BD3" s="57"/>
      <c r="BE3" s="63"/>
      <c r="BF3" s="57"/>
      <c r="BG3" s="57"/>
      <c r="BH3" s="57"/>
      <c r="BI3" s="57"/>
    </row>
    <row r="4" spans="1:73" s="8" customFormat="1" ht="27" customHeight="1" thickBot="1">
      <c r="A4" s="194" t="s">
        <v>1</v>
      </c>
      <c r="B4" s="195"/>
      <c r="C4" s="143" t="s">
        <v>2</v>
      </c>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c r="AX4" s="65"/>
      <c r="AY4" s="65"/>
      <c r="AZ4" s="65"/>
      <c r="BA4" s="65"/>
      <c r="BB4" s="65"/>
      <c r="BC4" s="66"/>
      <c r="BD4" s="65"/>
      <c r="BE4" s="67"/>
      <c r="BF4" s="65"/>
      <c r="BG4" s="65"/>
      <c r="BH4" s="65"/>
      <c r="BI4" s="65"/>
      <c r="BJ4" s="64"/>
      <c r="BN4" s="41"/>
      <c r="BO4" s="41"/>
      <c r="BP4" s="41"/>
      <c r="BQ4" s="41"/>
      <c r="BR4" s="41"/>
      <c r="BS4" s="41"/>
      <c r="BT4" s="41"/>
      <c r="BU4" s="41"/>
    </row>
    <row r="5" spans="1:73" s="8" customFormat="1" ht="18.600000000000001" customHeight="1">
      <c r="A5" s="194" t="s">
        <v>3</v>
      </c>
      <c r="B5" s="196"/>
      <c r="C5" s="68" t="s">
        <v>4</v>
      </c>
      <c r="D5" s="200" t="s">
        <v>5</v>
      </c>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2"/>
      <c r="BA5" s="178" t="e" vm="1">
        <v>#VALUE!</v>
      </c>
      <c r="BB5" s="179"/>
      <c r="BC5" s="180"/>
      <c r="BD5" s="224" t="s">
        <v>6</v>
      </c>
      <c r="BE5" s="225"/>
      <c r="BF5" s="226"/>
      <c r="BG5" s="225" t="s">
        <v>7</v>
      </c>
      <c r="BH5" s="225"/>
      <c r="BI5" s="226"/>
      <c r="BJ5" s="69"/>
      <c r="BN5" s="207" t="s">
        <v>6</v>
      </c>
      <c r="BO5" s="208"/>
      <c r="BP5" s="209"/>
      <c r="BQ5" s="54"/>
      <c r="BR5" s="208" t="s">
        <v>7</v>
      </c>
      <c r="BS5" s="208"/>
      <c r="BT5" s="209"/>
      <c r="BU5" s="41"/>
    </row>
    <row r="6" spans="1:73" s="8" customFormat="1" ht="16.899999999999999" customHeight="1">
      <c r="A6" s="197" t="s">
        <v>8</v>
      </c>
      <c r="B6" s="198"/>
      <c r="C6" s="70">
        <v>117443</v>
      </c>
      <c r="D6" s="193" t="s">
        <v>9</v>
      </c>
      <c r="E6" s="193"/>
      <c r="F6" s="199" t="s">
        <v>10</v>
      </c>
      <c r="G6" s="199"/>
      <c r="H6" s="199"/>
      <c r="I6" s="199"/>
      <c r="J6" s="193" t="s">
        <v>11</v>
      </c>
      <c r="K6" s="193"/>
      <c r="L6" s="193"/>
      <c r="M6" s="203" t="s">
        <v>12</v>
      </c>
      <c r="N6" s="203"/>
      <c r="O6" s="203"/>
      <c r="P6" s="203"/>
      <c r="Q6" s="203"/>
      <c r="R6" s="203"/>
      <c r="S6" s="204" t="s">
        <v>13</v>
      </c>
      <c r="T6" s="204"/>
      <c r="U6" s="204"/>
      <c r="V6" s="204"/>
      <c r="W6" s="204"/>
      <c r="X6" s="191">
        <v>14</v>
      </c>
      <c r="Y6" s="191"/>
      <c r="Z6" s="215" t="s">
        <v>14</v>
      </c>
      <c r="AA6" s="215"/>
      <c r="AB6" s="215"/>
      <c r="AC6" s="215"/>
      <c r="AD6" s="215"/>
      <c r="AE6" s="191">
        <v>10</v>
      </c>
      <c r="AF6" s="191"/>
      <c r="AG6" s="193" t="s">
        <v>15</v>
      </c>
      <c r="AH6" s="193"/>
      <c r="AI6" s="193"/>
      <c r="AJ6" s="192">
        <f>AE6+X6</f>
        <v>24</v>
      </c>
      <c r="AK6" s="192"/>
      <c r="AL6" s="192"/>
      <c r="AM6" s="216" t="s">
        <v>16</v>
      </c>
      <c r="AN6" s="217"/>
      <c r="AO6" s="217"/>
      <c r="AP6" s="217"/>
      <c r="AQ6" s="217"/>
      <c r="AR6" s="218"/>
      <c r="AS6" s="177">
        <f>COUNTA(C10:C108)</f>
        <v>24</v>
      </c>
      <c r="AT6" s="177"/>
      <c r="AU6" s="188" t="s">
        <v>17</v>
      </c>
      <c r="AV6" s="189"/>
      <c r="AW6" s="190"/>
      <c r="AX6" s="219" t="s">
        <v>18</v>
      </c>
      <c r="AY6" s="220"/>
      <c r="AZ6" s="221"/>
      <c r="BA6" s="181"/>
      <c r="BB6" s="182"/>
      <c r="BC6" s="183"/>
      <c r="BD6" s="227"/>
      <c r="BE6" s="228"/>
      <c r="BF6" s="229"/>
      <c r="BG6" s="228"/>
      <c r="BH6" s="228"/>
      <c r="BI6" s="229"/>
      <c r="BJ6" s="71"/>
      <c r="BN6" s="210"/>
      <c r="BO6" s="211"/>
      <c r="BP6" s="212"/>
      <c r="BQ6" s="55"/>
      <c r="BR6" s="211"/>
      <c r="BS6" s="211"/>
      <c r="BT6" s="212"/>
      <c r="BU6" s="41"/>
    </row>
    <row r="7" spans="1:73" s="8" customFormat="1" ht="21" customHeight="1" thickBot="1">
      <c r="A7" s="72"/>
      <c r="B7" s="73" t="s">
        <v>19</v>
      </c>
      <c r="C7" s="74" t="s">
        <v>20</v>
      </c>
      <c r="D7" s="222" t="s">
        <v>21</v>
      </c>
      <c r="E7" s="222"/>
      <c r="F7" s="223">
        <v>1</v>
      </c>
      <c r="G7" s="223"/>
      <c r="H7" s="187" t="s">
        <v>22</v>
      </c>
      <c r="I7" s="187"/>
      <c r="J7" s="187"/>
      <c r="K7" s="187"/>
      <c r="L7" s="187"/>
      <c r="M7" s="187"/>
      <c r="N7" s="187"/>
      <c r="O7" s="187"/>
      <c r="P7" s="187"/>
      <c r="Q7" s="187"/>
      <c r="R7" s="187"/>
      <c r="S7" s="187"/>
      <c r="T7" s="187"/>
      <c r="U7" s="187"/>
      <c r="V7" s="187"/>
      <c r="W7" s="187"/>
      <c r="X7" s="187"/>
      <c r="Y7" s="187"/>
      <c r="Z7" s="187"/>
      <c r="AA7" s="187"/>
      <c r="AB7" s="187"/>
      <c r="AC7" s="187"/>
      <c r="AD7" s="187"/>
      <c r="AE7" s="187"/>
      <c r="AF7" s="187"/>
      <c r="AG7" s="187"/>
      <c r="AH7" s="187"/>
      <c r="AI7" s="187"/>
      <c r="AJ7" s="187"/>
      <c r="AK7" s="187"/>
      <c r="AL7" s="187"/>
      <c r="AM7" s="187"/>
      <c r="AN7" s="187"/>
      <c r="AO7" s="187"/>
      <c r="AP7" s="187"/>
      <c r="AQ7" s="187"/>
      <c r="AR7" s="187"/>
      <c r="AS7" s="187"/>
      <c r="AT7" s="187"/>
      <c r="AU7" s="187"/>
      <c r="AV7" s="187"/>
      <c r="AW7" s="187"/>
      <c r="AX7" s="172" t="s">
        <v>23</v>
      </c>
      <c r="AY7" s="172" t="s">
        <v>24</v>
      </c>
      <c r="AZ7" s="172" t="s">
        <v>25</v>
      </c>
      <c r="BA7" s="184"/>
      <c r="BB7" s="185"/>
      <c r="BC7" s="186"/>
      <c r="BD7" s="172" t="s">
        <v>26</v>
      </c>
      <c r="BE7" s="213" t="s">
        <v>27</v>
      </c>
      <c r="BF7" s="172" t="s">
        <v>28</v>
      </c>
      <c r="BG7" s="172" t="s">
        <v>29</v>
      </c>
      <c r="BH7" s="172" t="s">
        <v>30</v>
      </c>
      <c r="BI7" s="174" t="s">
        <v>31</v>
      </c>
      <c r="BJ7" s="71"/>
      <c r="BN7" s="232" t="s">
        <v>26</v>
      </c>
      <c r="BO7" s="234" t="s">
        <v>27</v>
      </c>
      <c r="BP7" s="232" t="s">
        <v>28</v>
      </c>
      <c r="BQ7" s="230" t="s">
        <v>15</v>
      </c>
      <c r="BR7" s="232" t="s">
        <v>29</v>
      </c>
      <c r="BS7" s="232" t="s">
        <v>30</v>
      </c>
      <c r="BT7" s="236" t="s">
        <v>31</v>
      </c>
      <c r="BU7" s="230" t="s">
        <v>15</v>
      </c>
    </row>
    <row r="8" spans="1:73" ht="36" customHeight="1" thickBot="1">
      <c r="A8" s="75" t="s">
        <v>32</v>
      </c>
      <c r="B8" s="76" t="s">
        <v>33</v>
      </c>
      <c r="C8" s="77" t="s">
        <v>34</v>
      </c>
      <c r="D8" s="78" t="s">
        <v>35</v>
      </c>
      <c r="E8" s="78" t="s">
        <v>36</v>
      </c>
      <c r="F8" s="79" t="s">
        <v>37</v>
      </c>
      <c r="G8" s="79" t="s">
        <v>38</v>
      </c>
      <c r="H8" s="80">
        <v>1</v>
      </c>
      <c r="I8" s="81">
        <f>H8+1</f>
        <v>2</v>
      </c>
      <c r="J8" s="81">
        <f t="shared" ref="J8:AW8" si="0">I8+1</f>
        <v>3</v>
      </c>
      <c r="K8" s="81">
        <f t="shared" si="0"/>
        <v>4</v>
      </c>
      <c r="L8" s="82">
        <f t="shared" si="0"/>
        <v>5</v>
      </c>
      <c r="M8" s="81">
        <f t="shared" si="0"/>
        <v>6</v>
      </c>
      <c r="N8" s="81">
        <f t="shared" si="0"/>
        <v>7</v>
      </c>
      <c r="O8" s="81">
        <f t="shared" si="0"/>
        <v>8</v>
      </c>
      <c r="P8" s="81">
        <f t="shared" si="0"/>
        <v>9</v>
      </c>
      <c r="Q8" s="81">
        <f t="shared" si="0"/>
        <v>10</v>
      </c>
      <c r="R8" s="81">
        <f t="shared" si="0"/>
        <v>11</v>
      </c>
      <c r="S8" s="81">
        <f t="shared" si="0"/>
        <v>12</v>
      </c>
      <c r="T8" s="81">
        <f t="shared" si="0"/>
        <v>13</v>
      </c>
      <c r="U8" s="81">
        <f t="shared" si="0"/>
        <v>14</v>
      </c>
      <c r="V8" s="81">
        <f t="shared" si="0"/>
        <v>15</v>
      </c>
      <c r="W8" s="81">
        <f t="shared" si="0"/>
        <v>16</v>
      </c>
      <c r="X8" s="83">
        <f t="shared" si="0"/>
        <v>17</v>
      </c>
      <c r="Y8" s="81">
        <f t="shared" si="0"/>
        <v>18</v>
      </c>
      <c r="Z8" s="81">
        <f t="shared" si="0"/>
        <v>19</v>
      </c>
      <c r="AA8" s="81">
        <f t="shared" si="0"/>
        <v>20</v>
      </c>
      <c r="AB8" s="82">
        <f t="shared" si="0"/>
        <v>21</v>
      </c>
      <c r="AC8" s="81">
        <f t="shared" si="0"/>
        <v>22</v>
      </c>
      <c r="AD8" s="82">
        <f t="shared" si="0"/>
        <v>23</v>
      </c>
      <c r="AE8" s="81">
        <f t="shared" si="0"/>
        <v>24</v>
      </c>
      <c r="AF8" s="81">
        <f t="shared" si="0"/>
        <v>25</v>
      </c>
      <c r="AG8" s="81">
        <f t="shared" si="0"/>
        <v>26</v>
      </c>
      <c r="AH8" s="81">
        <f t="shared" si="0"/>
        <v>27</v>
      </c>
      <c r="AI8" s="81">
        <f t="shared" si="0"/>
        <v>28</v>
      </c>
      <c r="AJ8" s="81">
        <f t="shared" si="0"/>
        <v>29</v>
      </c>
      <c r="AK8" s="81" t="s">
        <v>39</v>
      </c>
      <c r="AL8" s="81" t="s">
        <v>40</v>
      </c>
      <c r="AM8" s="81">
        <v>31</v>
      </c>
      <c r="AN8" s="82">
        <f t="shared" si="0"/>
        <v>32</v>
      </c>
      <c r="AO8" s="82">
        <f t="shared" si="0"/>
        <v>33</v>
      </c>
      <c r="AP8" s="81">
        <f t="shared" si="0"/>
        <v>34</v>
      </c>
      <c r="AQ8" s="81">
        <f t="shared" si="0"/>
        <v>35</v>
      </c>
      <c r="AR8" s="81">
        <v>36</v>
      </c>
      <c r="AS8" s="81" t="s">
        <v>41</v>
      </c>
      <c r="AT8" s="81" t="s">
        <v>42</v>
      </c>
      <c r="AU8" s="81">
        <v>38</v>
      </c>
      <c r="AV8" s="82">
        <f t="shared" si="0"/>
        <v>39</v>
      </c>
      <c r="AW8" s="84">
        <f t="shared" si="0"/>
        <v>40</v>
      </c>
      <c r="AX8" s="173"/>
      <c r="AY8" s="173"/>
      <c r="AZ8" s="173"/>
      <c r="BA8" s="85" t="s">
        <v>43</v>
      </c>
      <c r="BB8" s="86" t="s">
        <v>44</v>
      </c>
      <c r="BC8" s="78" t="s">
        <v>45</v>
      </c>
      <c r="BD8" s="173"/>
      <c r="BE8" s="214"/>
      <c r="BF8" s="173"/>
      <c r="BG8" s="173"/>
      <c r="BH8" s="173"/>
      <c r="BI8" s="175"/>
      <c r="BJ8" s="87" t="s">
        <v>46</v>
      </c>
      <c r="BN8" s="233"/>
      <c r="BO8" s="235"/>
      <c r="BP8" s="233"/>
      <c r="BQ8" s="231"/>
      <c r="BR8" s="233"/>
      <c r="BS8" s="233"/>
      <c r="BT8" s="237"/>
      <c r="BU8" s="231"/>
    </row>
    <row r="9" spans="1:73" ht="16.149999999999999" customHeight="1">
      <c r="A9" s="205" t="s">
        <v>47</v>
      </c>
      <c r="B9" s="206"/>
      <c r="C9" s="206"/>
      <c r="D9" s="206"/>
      <c r="E9" s="206"/>
      <c r="F9" s="206"/>
      <c r="G9" s="206"/>
      <c r="H9" s="88">
        <v>1</v>
      </c>
      <c r="I9" s="89">
        <v>1</v>
      </c>
      <c r="J9" s="89">
        <v>1</v>
      </c>
      <c r="K9" s="90">
        <v>1</v>
      </c>
      <c r="L9" s="91">
        <v>2</v>
      </c>
      <c r="M9" s="90">
        <v>1</v>
      </c>
      <c r="N9" s="90">
        <v>1</v>
      </c>
      <c r="O9" s="90">
        <v>1</v>
      </c>
      <c r="P9" s="90">
        <v>1</v>
      </c>
      <c r="Q9" s="90">
        <v>1</v>
      </c>
      <c r="R9" s="90">
        <v>1</v>
      </c>
      <c r="S9" s="90">
        <v>1</v>
      </c>
      <c r="T9" s="90">
        <v>1</v>
      </c>
      <c r="U9" s="90">
        <v>1</v>
      </c>
      <c r="V9" s="90">
        <v>1</v>
      </c>
      <c r="W9" s="90">
        <v>1</v>
      </c>
      <c r="X9" s="92">
        <v>3</v>
      </c>
      <c r="Y9" s="90">
        <v>1</v>
      </c>
      <c r="Z9" s="90">
        <v>1</v>
      </c>
      <c r="AA9" s="90">
        <v>1</v>
      </c>
      <c r="AB9" s="91">
        <v>2</v>
      </c>
      <c r="AC9" s="90">
        <v>1</v>
      </c>
      <c r="AD9" s="91">
        <v>2</v>
      </c>
      <c r="AE9" s="90">
        <v>1</v>
      </c>
      <c r="AF9" s="90">
        <v>1</v>
      </c>
      <c r="AG9" s="90">
        <v>1</v>
      </c>
      <c r="AH9" s="90">
        <v>1</v>
      </c>
      <c r="AI9" s="90">
        <v>1</v>
      </c>
      <c r="AJ9" s="90">
        <v>1</v>
      </c>
      <c r="AK9" s="90">
        <v>1</v>
      </c>
      <c r="AL9" s="90">
        <v>1</v>
      </c>
      <c r="AM9" s="90">
        <v>1</v>
      </c>
      <c r="AN9" s="91">
        <v>2</v>
      </c>
      <c r="AO9" s="91">
        <v>2</v>
      </c>
      <c r="AP9" s="90">
        <v>1</v>
      </c>
      <c r="AQ9" s="90">
        <v>1</v>
      </c>
      <c r="AR9" s="90">
        <v>1</v>
      </c>
      <c r="AS9" s="90">
        <v>1</v>
      </c>
      <c r="AT9" s="90">
        <v>1</v>
      </c>
      <c r="AU9" s="90">
        <v>1</v>
      </c>
      <c r="AV9" s="91">
        <v>2</v>
      </c>
      <c r="AW9" s="93">
        <v>1</v>
      </c>
      <c r="AX9" s="94">
        <v>13</v>
      </c>
      <c r="AY9" s="94">
        <v>19</v>
      </c>
      <c r="AZ9" s="94">
        <v>18</v>
      </c>
      <c r="BA9" s="88">
        <f>IF($C$7="Grade 4",AX9,IF($C$7="Grade 5",AY9+AX9,IF($C$7="Grade 6",AZ9+AY9+AX9,0)))</f>
        <v>13</v>
      </c>
      <c r="BB9" s="94"/>
      <c r="BC9" s="95"/>
      <c r="BD9" s="94">
        <f>IF($BA9&lt;&gt;0,IF($C$7="Grade 6",SUM(H9:J9)+SUM(M9:O9)+SUM(Q9:S9)+U9+V9+Z9+AB9+AF9+AJ9+SUM(AM9:AQ9)+AU9+AV9,IF($C$7="Grade 5",SUM(H9:J9)+SUM(M9:O9)+SUM(Q9:S9)+U9+V9+Z9+AB9+AF9,IF($C$7="Grade 4",SUM(H9:J9)+SUM(M9:O9)+SUM(Q9:S9),0))),0)</f>
        <v>9</v>
      </c>
      <c r="BE9" s="96">
        <f>IF($BA9&lt;&gt;0,IF($C$7="Grade 6",L9+P9+T9+SUM(W9:Y9)+AA9+SUM(AC9:AE9)+AG9+AI9+AT9,IF($C$7="Grade 5",L9+P9+T9+SUM(W9:Y9)+AA9+SUM(AC9:AE9)+AG9,IF($C$7="Grade 4",L9+P9,0))),0)</f>
        <v>3</v>
      </c>
      <c r="BF9" s="94">
        <f>IF($BA9&lt;&gt;0,IF($C$7="Grade 6",K9+AH9+AK9+AL9+AR9+AS9+AW9,IF($C$7="Grade 5",K9+AH9,IF($C$7="Grade 4",K9,0))),0)</f>
        <v>1</v>
      </c>
      <c r="BG9" s="94">
        <f>IF($BA9&lt;&gt;0,IF($C$7="Grade 6",H9+K9+M9+S9+T9+V9+W9+Z9+AB9+AC9+SUM(AH9:AJ9)+AN9+AP9+AQ9+AS9+AT9,IF($C$7="Grade 5",H9+K9+M9+S9+T9+V9+W9+Z9+AB9+AC9+AH9,IF($C$7="Grade 4",H9+K9+M9+S9,0))),0)</f>
        <v>4</v>
      </c>
      <c r="BH9" s="94">
        <f>IF($BA9&lt;&gt;0,IF($C$7="Grade 6",I9+J9+L9+N9+O9+R9+U9+Y9+SUM(AE9:AG9)+AK9+AM9+AO9+AU9+AV9+AW9,IF($C$7="Grade 5",I9+J9+L9+N9+O9+R9+U9+Y9+SUM(AE9:AG9),IF($C$7="Grade 4",I9+J9+L9+N9+O9+R9,0))),0)</f>
        <v>7</v>
      </c>
      <c r="BI9" s="94">
        <f>IF($BA9&lt;&gt;0,IF($C$7="Grade 6",P9+Q9+X9+AA9+AD9+AL9+AR9,IF($C$7="Grade 5",P9+Q9+X9+AA9+AD9,IF($C$7="Grade 4",P9+Q9,0))),0)</f>
        <v>2</v>
      </c>
      <c r="BJ9" s="97"/>
      <c r="BL9" t="s">
        <v>48</v>
      </c>
      <c r="BM9" t="s">
        <v>2</v>
      </c>
      <c r="BN9" s="45">
        <f>BD9</f>
        <v>9</v>
      </c>
      <c r="BO9" s="46">
        <f>BE9</f>
        <v>3</v>
      </c>
      <c r="BP9" s="45">
        <f>BF9</f>
        <v>1</v>
      </c>
      <c r="BQ9" s="46">
        <f>BN9+BO9+BP9</f>
        <v>13</v>
      </c>
      <c r="BR9" s="45">
        <f>BG9</f>
        <v>4</v>
      </c>
      <c r="BS9" s="45">
        <f>BH9</f>
        <v>7</v>
      </c>
      <c r="BT9" s="45">
        <f>BI9</f>
        <v>2</v>
      </c>
      <c r="BU9" s="46">
        <f>BR9+BS9+BT9</f>
        <v>13</v>
      </c>
    </row>
    <row r="10" spans="1:73">
      <c r="A10" s="98">
        <v>1</v>
      </c>
      <c r="B10" s="99" t="s">
        <v>49</v>
      </c>
      <c r="C10" s="100" t="s">
        <v>50</v>
      </c>
      <c r="D10" s="101" t="s">
        <v>51</v>
      </c>
      <c r="E10" s="102">
        <v>42452</v>
      </c>
      <c r="F10" s="103">
        <v>46083</v>
      </c>
      <c r="G10" s="104">
        <f t="shared" ref="G10:G20" si="1">IF(C10&lt;&gt;"",(F10-E10)/365,"")</f>
        <v>9.9479452054794528</v>
      </c>
      <c r="H10" s="99">
        <v>1</v>
      </c>
      <c r="I10" s="99">
        <v>1</v>
      </c>
      <c r="J10" s="99">
        <v>0</v>
      </c>
      <c r="K10" s="99">
        <v>1</v>
      </c>
      <c r="L10" s="105">
        <v>1</v>
      </c>
      <c r="M10" s="99">
        <v>1</v>
      </c>
      <c r="N10" s="99">
        <v>1</v>
      </c>
      <c r="O10" s="99">
        <v>0</v>
      </c>
      <c r="P10" s="99">
        <v>1</v>
      </c>
      <c r="Q10" s="99">
        <v>0</v>
      </c>
      <c r="R10" s="99">
        <v>0</v>
      </c>
      <c r="S10" s="99">
        <v>0</v>
      </c>
      <c r="T10" s="99">
        <v>0</v>
      </c>
      <c r="U10" s="99">
        <v>0</v>
      </c>
      <c r="V10" s="99">
        <v>0</v>
      </c>
      <c r="W10" s="99">
        <v>0</v>
      </c>
      <c r="X10" s="106">
        <v>0</v>
      </c>
      <c r="Y10" s="99">
        <v>0</v>
      </c>
      <c r="Z10" s="99">
        <v>0</v>
      </c>
      <c r="AA10" s="99">
        <v>0</v>
      </c>
      <c r="AB10" s="105">
        <v>0</v>
      </c>
      <c r="AC10" s="99">
        <v>1</v>
      </c>
      <c r="AD10" s="105">
        <v>0</v>
      </c>
      <c r="AE10" s="99">
        <v>0</v>
      </c>
      <c r="AF10" s="99">
        <v>0</v>
      </c>
      <c r="AG10" s="99">
        <v>0</v>
      </c>
      <c r="AH10" s="99">
        <v>0</v>
      </c>
      <c r="AI10" s="99">
        <v>0</v>
      </c>
      <c r="AJ10" s="99">
        <v>1</v>
      </c>
      <c r="AK10" s="99">
        <v>0</v>
      </c>
      <c r="AL10" s="107">
        <v>0</v>
      </c>
      <c r="AM10" s="99">
        <v>1</v>
      </c>
      <c r="AN10" s="105">
        <v>0</v>
      </c>
      <c r="AO10" s="108">
        <v>0</v>
      </c>
      <c r="AP10" s="109">
        <v>0</v>
      </c>
      <c r="AQ10" s="109">
        <v>0</v>
      </c>
      <c r="AR10" s="109">
        <v>0</v>
      </c>
      <c r="AS10" s="109">
        <v>0</v>
      </c>
      <c r="AT10" s="109">
        <v>0</v>
      </c>
      <c r="AU10" s="109">
        <v>0</v>
      </c>
      <c r="AV10" s="108">
        <v>0</v>
      </c>
      <c r="AW10" s="109">
        <v>1</v>
      </c>
      <c r="AX10" s="110">
        <f>IF($C10&lt;&gt;"",SUM(H10:S10),"")</f>
        <v>7</v>
      </c>
      <c r="AY10" s="110">
        <f>IF($C10&lt;&gt;"",SUM(T10:AH10),"")</f>
        <v>1</v>
      </c>
      <c r="AZ10" s="110">
        <f>IF($C10&lt;&gt;"",SUM(AI10:AW10),"")</f>
        <v>3</v>
      </c>
      <c r="BA10" s="111">
        <f>_xlfn.IFNA(IF(AND($C$4&lt;&gt;"",$C$7&lt;&gt;"",C10&lt;&gt;""),IF($C$7="Grade 4",AX10,IF($C$7="Grade 5",AX10+AY10,IF($C$7="Grade 6",AX10+AY10+AZ10,0))),""),"")</f>
        <v>7</v>
      </c>
      <c r="BB10" s="112">
        <f>IFERROR(IF(AND(BA10&gt;0,C10&lt;&gt;""),BA10/$BA$9,""),"")</f>
        <v>0.53846153846153844</v>
      </c>
      <c r="BC10" s="113" t="str">
        <f>IF($BA10="","",IF($BA$9=50,IF($BA10&gt;=45,"At Grade Level (Highly Proficient)",IF($BA10&gt;=39,"Transitioning (Proficient)",IF($BA10&gt;=29,"Developing (Nearly Proficient)",IF($BA10&gt;=15,"Emerging (Low Proficient)","Emerging (Not Proficient)")))),IF($BA$9=32,IF($BA10&gt;=27,"At Grade Level (Highly Proficient)",IF($BA10&gt;=21,"Transitioning (Proficient)",IF($BA10&gt;=14,"Developing (Nearly Proficient)",IF($BA10&gt;=7,"Emerging (Low Proficient)","Emerging (Not Proficient)")))),IF($BA$9=13,IF($BA10&gt;=11,"At Grade Level (Highly Proficient)",IF($BA10&gt;=8,"Transitioning (Proficient)",IF($BA10&gt;=5,"Developing (Nearly Proficient)",IF($BA10&gt;=3,"Emerging (Low Proficient)","Emerging (Not Proficient)")))),""))))</f>
        <v>Developing (Nearly Proficient)</v>
      </c>
      <c r="BD10" s="110">
        <f t="shared" ref="BD10:BD73" si="2">IF($BA10&lt;&gt;0,IF($C$7="Grade 6",SUM(H10:J10)+SUM(M10:O10)+SUM(Q10:S10)+U10+V10+Z10+AB10+AF10+AJ10+SUM(AM10:AQ10)+AU10+AV10,IF($C$7="Grade 5",SUM(H10:J10)+SUM(M10:O10)+SUM(Q10:S10)+U10+V10+Z10+AB10+AF10,IF($C$7="Grade 4",SUM(H10:J10)+SUM(M10:O10)+SUM(Q10:S10),0))),0)</f>
        <v>4</v>
      </c>
      <c r="BE10" s="110">
        <f t="shared" ref="BE10:BE73" si="3">IF($BA10&lt;&gt;0,IF($C$7="Grade 6",L10+P10+T10+SUM(W10:Y10)+AA10+SUM(AC10:AE10)+AG10+AI10+AT10,IF($C$7="Grade 5",L10+P10+T10+SUM(W10:Y10)+AA10+SUM(AC10:AE10)+AG10,IF($C$7="Grade 4",L10+P10,0))),0)</f>
        <v>2</v>
      </c>
      <c r="BF10" s="110">
        <f t="shared" ref="BF10:BF73" si="4">IF($BA10&lt;&gt;0,IF($C$7="Grade 6",K10+AH10+AK10+AL10+AR10+AS10+AW10,IF($C$7="Grade 5",K10+AH10,IF($C$7="Grade 4",K10,0))),0)</f>
        <v>1</v>
      </c>
      <c r="BG10" s="110">
        <f t="shared" ref="BG10:BG73" si="5">IF($BA10&lt;&gt;0,IF($C$7="Grade 6",H10+K10+M10+S10+T10+V10+W10+Z10+AB10+AC10+SUM(AH10:AJ10)+AN10+AP10+AQ10+AS10+AT10,IF($C$7="Grade 5",H10+K10+M10+S10+T10+V10+W10+Z10+AB10+AC10+AH10,IF($C$7="Grade 4",H10+K10+M10+S10,0))),0)</f>
        <v>3</v>
      </c>
      <c r="BH10" s="110">
        <f t="shared" ref="BH10:BH73" si="6">IF($BA10&lt;&gt;0,IF($C$7="Grade 6",I10+J10+L10+N10+O10+R10+U10+Y10+SUM(AE10:AG10)+AK10+AM10+AO10+AU10+AV10+AW10,IF($C$7="Grade 5",I10+J10+L10+N10+O10+R10+U10+Y10+SUM(AE10:AG10),IF($C$7="Grade 4",I10+J10+L10+N10+O10+R10,0))),0)</f>
        <v>3</v>
      </c>
      <c r="BI10" s="110">
        <f t="shared" ref="BI10:BI73" si="7">IF($BA10&lt;&gt;0,IF($C$7="Grade 6",P10+Q10+X10+AA10+AD10+AL10+AR10,IF($C$7="Grade 5",P10+Q10+X10+AA10+AD10,IF($C$7="Grade 4",P10+Q10,0))),0)</f>
        <v>1</v>
      </c>
      <c r="BJ10" s="114"/>
      <c r="BK10" t="s">
        <v>17</v>
      </c>
      <c r="BL10" t="s">
        <v>20</v>
      </c>
      <c r="BM10" t="s">
        <v>20</v>
      </c>
      <c r="BN10" s="43">
        <f>IF($BA10&lt;&gt;"",IF(BD10/BN$9&gt;=0.75,1,0),"")</f>
        <v>0</v>
      </c>
      <c r="BO10" s="43">
        <f>IF($BA10&lt;&gt;"",IF(BE10/BO$9&gt;=0.75,1,0),"")</f>
        <v>0</v>
      </c>
      <c r="BP10" s="43">
        <f>IF($BA10&lt;&gt;"",IF(BF10/BP$9&gt;=0.75,1,0),"")</f>
        <v>1</v>
      </c>
      <c r="BQ10" s="43">
        <f>IF($BA10&lt;&gt;"",IF(SUM(BD10:BF10)/BQ$9&gt;=0.75,1,0),"")</f>
        <v>0</v>
      </c>
      <c r="BR10" s="43">
        <f>IF($BA10&lt;&gt;"",IF(BG10/BR$9&gt;=0.75,1,0),"")</f>
        <v>1</v>
      </c>
      <c r="BS10" s="43">
        <f>IF($BA10&lt;&gt;"",IF(BH10/BS$9&gt;=0.75,1,0),"")</f>
        <v>0</v>
      </c>
      <c r="BT10" s="43">
        <f>IF($BA10&lt;&gt;"",IF(BI10/BT$9&gt;=0.75,1,0),"")</f>
        <v>0</v>
      </c>
      <c r="BU10" s="43">
        <f>IF($BA10&lt;&gt;"",IF(SUM(BG10:BI10)/BU$9&gt;=0.75,1,0),"")</f>
        <v>0</v>
      </c>
    </row>
    <row r="11" spans="1:73">
      <c r="A11" s="115">
        <v>2</v>
      </c>
      <c r="B11" s="116" t="s">
        <v>52</v>
      </c>
      <c r="C11" s="117" t="s">
        <v>53</v>
      </c>
      <c r="D11" s="109" t="s">
        <v>51</v>
      </c>
      <c r="E11" s="118">
        <v>42305</v>
      </c>
      <c r="F11" s="118">
        <v>46083</v>
      </c>
      <c r="G11" s="119">
        <f t="shared" si="1"/>
        <v>10.35068493150685</v>
      </c>
      <c r="H11" s="116">
        <v>0</v>
      </c>
      <c r="I11" s="116">
        <v>0</v>
      </c>
      <c r="J11" s="116">
        <v>1</v>
      </c>
      <c r="K11" s="116">
        <v>1</v>
      </c>
      <c r="L11" s="120">
        <v>0</v>
      </c>
      <c r="M11" s="116">
        <v>1</v>
      </c>
      <c r="N11" s="116">
        <v>0</v>
      </c>
      <c r="O11" s="116">
        <v>0</v>
      </c>
      <c r="P11" s="116">
        <v>1</v>
      </c>
      <c r="Q11" s="116">
        <v>1</v>
      </c>
      <c r="R11" s="116">
        <v>0</v>
      </c>
      <c r="S11" s="116">
        <v>1</v>
      </c>
      <c r="T11" s="116">
        <v>1</v>
      </c>
      <c r="U11" s="116">
        <v>0</v>
      </c>
      <c r="V11" s="116">
        <v>0</v>
      </c>
      <c r="W11" s="116">
        <v>0</v>
      </c>
      <c r="X11" s="121">
        <v>0</v>
      </c>
      <c r="Y11" s="116">
        <v>1</v>
      </c>
      <c r="Z11" s="116">
        <v>1</v>
      </c>
      <c r="AA11" s="116">
        <v>0</v>
      </c>
      <c r="AB11" s="120">
        <v>0</v>
      </c>
      <c r="AC11" s="116">
        <v>0</v>
      </c>
      <c r="AD11" s="120">
        <v>0</v>
      </c>
      <c r="AE11" s="116">
        <v>0</v>
      </c>
      <c r="AF11" s="116">
        <v>0</v>
      </c>
      <c r="AG11" s="116">
        <v>0</v>
      </c>
      <c r="AH11" s="116">
        <v>0</v>
      </c>
      <c r="AI11" s="116">
        <v>0</v>
      </c>
      <c r="AJ11" s="116">
        <v>0</v>
      </c>
      <c r="AK11" s="116">
        <v>0</v>
      </c>
      <c r="AL11" s="122">
        <v>0</v>
      </c>
      <c r="AM11" s="116">
        <v>1</v>
      </c>
      <c r="AN11" s="120">
        <v>0</v>
      </c>
      <c r="AO11" s="120">
        <v>0</v>
      </c>
      <c r="AP11" s="116">
        <v>1</v>
      </c>
      <c r="AQ11" s="116">
        <v>0</v>
      </c>
      <c r="AR11" s="116">
        <v>0</v>
      </c>
      <c r="AS11" s="116">
        <v>0</v>
      </c>
      <c r="AT11" s="116">
        <v>0</v>
      </c>
      <c r="AU11" s="116">
        <v>1</v>
      </c>
      <c r="AV11" s="120">
        <v>0</v>
      </c>
      <c r="AW11" s="116">
        <v>1</v>
      </c>
      <c r="AX11" s="123">
        <f t="shared" ref="AX11:AX74" si="8">IF($C11&lt;&gt;"",SUM(H11:S11),"")</f>
        <v>6</v>
      </c>
      <c r="AY11" s="123">
        <f t="shared" ref="AY11:AY74" si="9">IF($C11&lt;&gt;"",SUM(T11:AH11),"")</f>
        <v>3</v>
      </c>
      <c r="AZ11" s="123">
        <f t="shared" ref="AZ11:AZ74" si="10">IF($C11&lt;&gt;"",SUM(AI11:AW11),"")</f>
        <v>4</v>
      </c>
      <c r="BA11" s="124">
        <f t="shared" ref="BA11:BA74" si="11">_xlfn.IFNA(IF(AND($C$4&lt;&gt;"",$C$7&lt;&gt;"",C11&lt;&gt;""),IF($C$7="Grade 4",AX11,IF($C$7="Grade 5",AX11+AY11,IF($C$7="Grade 6",AX11+AY11+AZ11,0))),""),"")</f>
        <v>6</v>
      </c>
      <c r="BB11" s="125">
        <f t="shared" ref="BB11:BB74" si="12">IFERROR(IF(AND(BA11&gt;0,C11&lt;&gt;""),BA11/$BA$9,""),"")</f>
        <v>0.46153846153846156</v>
      </c>
      <c r="BC11" s="126" t="str">
        <f t="shared" ref="BC11:BC74" si="13">IF($BA11="","",IF($BA$9=50,IF($BA11&gt;=45,"At Grade Level (Highly Proficient)",IF($BA11&gt;=39,"Transitioning (Proficient)",IF($BA11&gt;=29,"Developing (Nearly Proficient)",IF($BA11&gt;=15,"Emerging (Low Proficient)","Emerging (Not Proficient)")))),IF($BA$9=32,IF($BA11&gt;=27,"At Grade Level (Highly Proficient)",IF($BA11&gt;=21,"Transitioning (Proficient)",IF($BA11&gt;=14,"Developing (Nearly Proficient)",IF($BA11&gt;=7,"Emerging (Low Proficient)","Emerging (Not Proficient)")))),IF($BA$9=13,IF($BA11&gt;=11,"At Grade Level (Highly Proficient)",IF($BA11&gt;=8,"Transitioning (Proficient)",IF($BA11&gt;=5,"Developing (Nearly Proficient)",IF($BA11&gt;=3,"Emerging (Low Proficient)","Emerging (Not Proficient)")))),""))))</f>
        <v>Developing (Nearly Proficient)</v>
      </c>
      <c r="BD11" s="123">
        <f t="shared" si="2"/>
        <v>4</v>
      </c>
      <c r="BE11" s="123">
        <f t="shared" si="3"/>
        <v>1</v>
      </c>
      <c r="BF11" s="123">
        <f t="shared" si="4"/>
        <v>1</v>
      </c>
      <c r="BG11" s="123">
        <f t="shared" si="5"/>
        <v>3</v>
      </c>
      <c r="BH11" s="123">
        <f t="shared" si="6"/>
        <v>1</v>
      </c>
      <c r="BI11" s="123">
        <f t="shared" si="7"/>
        <v>2</v>
      </c>
      <c r="BJ11" s="127"/>
      <c r="BL11" t="s">
        <v>54</v>
      </c>
      <c r="BM11" t="s">
        <v>54</v>
      </c>
      <c r="BN11" s="43">
        <f t="shared" ref="BN11:BN74" si="14">IF($BA11&lt;&gt;"",IF(BD11/BN$9&gt;=0.75,1,0),"")</f>
        <v>0</v>
      </c>
      <c r="BO11" s="43">
        <f t="shared" ref="BO11:BO74" si="15">IF($BA11&lt;&gt;"",IF(BE11/BO$9&gt;=0.75,1,0),"")</f>
        <v>0</v>
      </c>
      <c r="BP11" s="43">
        <f t="shared" ref="BP11:BP74" si="16">IF($BA11&lt;&gt;"",IF(BF11/BP$9&gt;=0.75,1,0),"")</f>
        <v>1</v>
      </c>
      <c r="BQ11" s="43">
        <f t="shared" ref="BQ11:BQ74" si="17">IF($BA11&lt;&gt;"",IF(SUM(BD11:BF11)/BQ$9&gt;=0.75,1,0),"")</f>
        <v>0</v>
      </c>
      <c r="BR11" s="43">
        <f t="shared" ref="BR11:BR74" si="18">IF($BA11&lt;&gt;"",IF(BG11/BR$9&gt;=0.75,1,0),"")</f>
        <v>1</v>
      </c>
      <c r="BS11" s="43">
        <f t="shared" ref="BS11:BS74" si="19">IF($BA11&lt;&gt;"",IF(BH11/BS$9&gt;=0.75,1,0),"")</f>
        <v>0</v>
      </c>
      <c r="BT11" s="43">
        <f t="shared" ref="BT11:BT74" si="20">IF($BA11&lt;&gt;"",IF(BI11/BT$9&gt;=0.75,1,0),"")</f>
        <v>1</v>
      </c>
      <c r="BU11" s="1">
        <f t="shared" ref="BU11:BU74" si="21">IF($BA11&lt;&gt;"",IF(SUM(BG11:BI11)/BU$9&gt;=0.75,1,0),"")</f>
        <v>0</v>
      </c>
    </row>
    <row r="12" spans="1:73">
      <c r="A12" s="115">
        <v>3</v>
      </c>
      <c r="B12" s="116" t="s">
        <v>55</v>
      </c>
      <c r="C12" s="117" t="s">
        <v>56</v>
      </c>
      <c r="D12" s="109" t="s">
        <v>51</v>
      </c>
      <c r="E12" s="118">
        <v>42488</v>
      </c>
      <c r="F12" s="118">
        <v>46083</v>
      </c>
      <c r="G12" s="119">
        <f t="shared" si="1"/>
        <v>9.8493150684931514</v>
      </c>
      <c r="H12" s="116">
        <v>1</v>
      </c>
      <c r="I12" s="116">
        <v>1</v>
      </c>
      <c r="J12" s="116">
        <v>1</v>
      </c>
      <c r="K12" s="116">
        <v>1</v>
      </c>
      <c r="L12" s="120">
        <v>2</v>
      </c>
      <c r="M12" s="116">
        <v>1</v>
      </c>
      <c r="N12" s="116">
        <v>1</v>
      </c>
      <c r="O12" s="116">
        <v>0</v>
      </c>
      <c r="P12" s="116">
        <v>0</v>
      </c>
      <c r="Q12" s="116">
        <v>0</v>
      </c>
      <c r="R12" s="116">
        <v>1</v>
      </c>
      <c r="S12" s="116">
        <v>1</v>
      </c>
      <c r="T12" s="116">
        <v>0</v>
      </c>
      <c r="U12" s="116">
        <v>0</v>
      </c>
      <c r="V12" s="116">
        <v>1</v>
      </c>
      <c r="W12" s="116">
        <v>1</v>
      </c>
      <c r="X12" s="121">
        <v>1</v>
      </c>
      <c r="Y12" s="116">
        <v>1</v>
      </c>
      <c r="Z12" s="116">
        <v>1</v>
      </c>
      <c r="AA12" s="116">
        <v>0</v>
      </c>
      <c r="AB12" s="120">
        <v>0</v>
      </c>
      <c r="AC12" s="116">
        <v>1</v>
      </c>
      <c r="AD12" s="120">
        <v>0</v>
      </c>
      <c r="AE12" s="116">
        <v>0</v>
      </c>
      <c r="AF12" s="116">
        <v>0</v>
      </c>
      <c r="AG12" s="116">
        <v>0</v>
      </c>
      <c r="AH12" s="116">
        <v>0</v>
      </c>
      <c r="AI12" s="116">
        <v>0</v>
      </c>
      <c r="AJ12" s="116">
        <v>0</v>
      </c>
      <c r="AK12" s="116">
        <v>0</v>
      </c>
      <c r="AL12" s="122">
        <v>0</v>
      </c>
      <c r="AM12" s="116">
        <v>0</v>
      </c>
      <c r="AN12" s="120">
        <v>0</v>
      </c>
      <c r="AO12" s="120">
        <v>0</v>
      </c>
      <c r="AP12" s="116">
        <v>1</v>
      </c>
      <c r="AQ12" s="116">
        <v>0</v>
      </c>
      <c r="AR12" s="116">
        <v>0</v>
      </c>
      <c r="AS12" s="116">
        <v>1</v>
      </c>
      <c r="AT12" s="116">
        <v>1</v>
      </c>
      <c r="AU12" s="116">
        <v>0</v>
      </c>
      <c r="AV12" s="120">
        <v>0</v>
      </c>
      <c r="AW12" s="116">
        <v>1</v>
      </c>
      <c r="AX12" s="123">
        <f t="shared" si="8"/>
        <v>10</v>
      </c>
      <c r="AY12" s="123">
        <f t="shared" si="9"/>
        <v>6</v>
      </c>
      <c r="AZ12" s="123">
        <f t="shared" si="10"/>
        <v>4</v>
      </c>
      <c r="BA12" s="124">
        <f t="shared" si="11"/>
        <v>10</v>
      </c>
      <c r="BB12" s="125">
        <f t="shared" si="12"/>
        <v>0.76923076923076927</v>
      </c>
      <c r="BC12" s="126" t="str">
        <f t="shared" si="13"/>
        <v>Transitioning (Proficient)</v>
      </c>
      <c r="BD12" s="123">
        <f t="shared" si="2"/>
        <v>7</v>
      </c>
      <c r="BE12" s="123">
        <f t="shared" si="3"/>
        <v>2</v>
      </c>
      <c r="BF12" s="123">
        <f t="shared" si="4"/>
        <v>1</v>
      </c>
      <c r="BG12" s="123">
        <f t="shared" si="5"/>
        <v>4</v>
      </c>
      <c r="BH12" s="123">
        <f t="shared" si="6"/>
        <v>6</v>
      </c>
      <c r="BI12" s="123">
        <f t="shared" si="7"/>
        <v>0</v>
      </c>
      <c r="BJ12" s="127"/>
      <c r="BL12" t="s">
        <v>57</v>
      </c>
      <c r="BN12" s="43">
        <f t="shared" si="14"/>
        <v>1</v>
      </c>
      <c r="BO12" s="43">
        <f t="shared" si="15"/>
        <v>0</v>
      </c>
      <c r="BP12" s="43">
        <f t="shared" si="16"/>
        <v>1</v>
      </c>
      <c r="BQ12" s="43">
        <f t="shared" si="17"/>
        <v>1</v>
      </c>
      <c r="BR12" s="43">
        <f t="shared" si="18"/>
        <v>1</v>
      </c>
      <c r="BS12" s="43">
        <f t="shared" si="19"/>
        <v>1</v>
      </c>
      <c r="BT12" s="43">
        <f t="shared" si="20"/>
        <v>0</v>
      </c>
      <c r="BU12" s="1">
        <f t="shared" si="21"/>
        <v>1</v>
      </c>
    </row>
    <row r="13" spans="1:73">
      <c r="A13" s="115">
        <v>4</v>
      </c>
      <c r="B13" s="116">
        <v>117443210026</v>
      </c>
      <c r="C13" s="117" t="s">
        <v>58</v>
      </c>
      <c r="D13" s="109" t="s">
        <v>51</v>
      </c>
      <c r="E13" s="118">
        <v>42267</v>
      </c>
      <c r="F13" s="118">
        <v>46083</v>
      </c>
      <c r="G13" s="119">
        <f t="shared" si="1"/>
        <v>10.454794520547946</v>
      </c>
      <c r="H13" s="116">
        <v>1</v>
      </c>
      <c r="I13" s="116">
        <v>0</v>
      </c>
      <c r="J13" s="116">
        <v>0</v>
      </c>
      <c r="K13" s="116">
        <v>0</v>
      </c>
      <c r="L13" s="120">
        <v>0</v>
      </c>
      <c r="M13" s="116">
        <v>1</v>
      </c>
      <c r="N13" s="116">
        <v>0</v>
      </c>
      <c r="O13" s="116">
        <v>1</v>
      </c>
      <c r="P13" s="116">
        <v>1</v>
      </c>
      <c r="Q13" s="116">
        <v>0</v>
      </c>
      <c r="R13" s="116">
        <v>0</v>
      </c>
      <c r="S13" s="116">
        <v>0</v>
      </c>
      <c r="T13" s="116">
        <v>0</v>
      </c>
      <c r="U13" s="116">
        <v>0</v>
      </c>
      <c r="V13" s="116">
        <v>0</v>
      </c>
      <c r="W13" s="116">
        <v>0</v>
      </c>
      <c r="X13" s="121">
        <v>0</v>
      </c>
      <c r="Y13" s="116">
        <v>1</v>
      </c>
      <c r="Z13" s="116">
        <v>0</v>
      </c>
      <c r="AA13" s="116">
        <v>0</v>
      </c>
      <c r="AB13" s="120">
        <v>0</v>
      </c>
      <c r="AC13" s="116">
        <v>0</v>
      </c>
      <c r="AD13" s="120">
        <v>1</v>
      </c>
      <c r="AE13" s="116">
        <v>0</v>
      </c>
      <c r="AF13" s="116">
        <v>0</v>
      </c>
      <c r="AG13" s="116">
        <v>0</v>
      </c>
      <c r="AH13" s="116">
        <v>0</v>
      </c>
      <c r="AI13" s="116">
        <v>0</v>
      </c>
      <c r="AJ13" s="116">
        <v>0</v>
      </c>
      <c r="AK13" s="116">
        <v>0</v>
      </c>
      <c r="AL13" s="122">
        <v>0</v>
      </c>
      <c r="AM13" s="116">
        <v>0</v>
      </c>
      <c r="AN13" s="120">
        <v>0</v>
      </c>
      <c r="AO13" s="120">
        <v>0</v>
      </c>
      <c r="AP13" s="116">
        <v>0</v>
      </c>
      <c r="AQ13" s="116">
        <v>0</v>
      </c>
      <c r="AR13" s="116">
        <v>1</v>
      </c>
      <c r="AS13" s="116">
        <v>0</v>
      </c>
      <c r="AT13" s="116">
        <v>0</v>
      </c>
      <c r="AU13" s="116">
        <v>0</v>
      </c>
      <c r="AV13" s="120">
        <v>0</v>
      </c>
      <c r="AW13" s="116">
        <v>1</v>
      </c>
      <c r="AX13" s="123">
        <f t="shared" si="8"/>
        <v>4</v>
      </c>
      <c r="AY13" s="123">
        <f t="shared" si="9"/>
        <v>2</v>
      </c>
      <c r="AZ13" s="123">
        <f t="shared" si="10"/>
        <v>2</v>
      </c>
      <c r="BA13" s="124">
        <f t="shared" si="11"/>
        <v>4</v>
      </c>
      <c r="BB13" s="125">
        <f t="shared" si="12"/>
        <v>0.30769230769230771</v>
      </c>
      <c r="BC13" s="126" t="str">
        <f t="shared" si="13"/>
        <v>Emerging (Low Proficient)</v>
      </c>
      <c r="BD13" s="123">
        <f t="shared" si="2"/>
        <v>3</v>
      </c>
      <c r="BE13" s="123">
        <f t="shared" si="3"/>
        <v>1</v>
      </c>
      <c r="BF13" s="123">
        <f t="shared" si="4"/>
        <v>0</v>
      </c>
      <c r="BG13" s="123">
        <f t="shared" si="5"/>
        <v>2</v>
      </c>
      <c r="BH13" s="123">
        <f t="shared" si="6"/>
        <v>1</v>
      </c>
      <c r="BI13" s="123">
        <f t="shared" si="7"/>
        <v>1</v>
      </c>
      <c r="BJ13" s="127"/>
      <c r="BN13" s="43">
        <f t="shared" si="14"/>
        <v>0</v>
      </c>
      <c r="BO13" s="43">
        <f t="shared" si="15"/>
        <v>0</v>
      </c>
      <c r="BP13" s="43">
        <f t="shared" si="16"/>
        <v>0</v>
      </c>
      <c r="BQ13" s="43">
        <f t="shared" si="17"/>
        <v>0</v>
      </c>
      <c r="BR13" s="43">
        <f t="shared" si="18"/>
        <v>0</v>
      </c>
      <c r="BS13" s="43">
        <f t="shared" si="19"/>
        <v>0</v>
      </c>
      <c r="BT13" s="43">
        <f t="shared" si="20"/>
        <v>0</v>
      </c>
      <c r="BU13" s="1">
        <f t="shared" si="21"/>
        <v>0</v>
      </c>
    </row>
    <row r="14" spans="1:73">
      <c r="A14" s="115">
        <v>5</v>
      </c>
      <c r="B14" s="116" t="s">
        <v>59</v>
      </c>
      <c r="C14" s="117" t="s">
        <v>60</v>
      </c>
      <c r="D14" s="109" t="s">
        <v>51</v>
      </c>
      <c r="E14" s="118">
        <v>42290</v>
      </c>
      <c r="F14" s="118">
        <v>46083</v>
      </c>
      <c r="G14" s="119">
        <f t="shared" si="1"/>
        <v>10.391780821917807</v>
      </c>
      <c r="H14" s="116">
        <v>0</v>
      </c>
      <c r="I14" s="116">
        <v>0</v>
      </c>
      <c r="J14" s="116">
        <v>0</v>
      </c>
      <c r="K14" s="116">
        <v>0</v>
      </c>
      <c r="L14" s="120">
        <v>1</v>
      </c>
      <c r="M14" s="116">
        <v>1</v>
      </c>
      <c r="N14" s="116">
        <v>0</v>
      </c>
      <c r="O14" s="116">
        <v>1</v>
      </c>
      <c r="P14" s="116">
        <v>0</v>
      </c>
      <c r="Q14" s="116">
        <v>1</v>
      </c>
      <c r="R14" s="116">
        <v>1</v>
      </c>
      <c r="S14" s="116">
        <v>1</v>
      </c>
      <c r="T14" s="116">
        <v>0</v>
      </c>
      <c r="U14" s="116">
        <v>0</v>
      </c>
      <c r="V14" s="116">
        <v>1</v>
      </c>
      <c r="W14" s="116">
        <v>0</v>
      </c>
      <c r="X14" s="121">
        <v>0</v>
      </c>
      <c r="Y14" s="116">
        <v>0</v>
      </c>
      <c r="Z14" s="116">
        <v>1</v>
      </c>
      <c r="AA14" s="116">
        <v>0</v>
      </c>
      <c r="AB14" s="120">
        <v>0</v>
      </c>
      <c r="AC14" s="116">
        <v>0</v>
      </c>
      <c r="AD14" s="120">
        <v>0</v>
      </c>
      <c r="AE14" s="116">
        <v>0</v>
      </c>
      <c r="AF14" s="116">
        <v>0</v>
      </c>
      <c r="AG14" s="116">
        <v>0</v>
      </c>
      <c r="AH14" s="116">
        <v>1</v>
      </c>
      <c r="AI14" s="116">
        <v>0</v>
      </c>
      <c r="AJ14" s="116">
        <v>0</v>
      </c>
      <c r="AK14" s="116">
        <v>0</v>
      </c>
      <c r="AL14" s="122">
        <v>0</v>
      </c>
      <c r="AM14" s="116">
        <v>1</v>
      </c>
      <c r="AN14" s="120">
        <v>0</v>
      </c>
      <c r="AO14" s="120">
        <v>0</v>
      </c>
      <c r="AP14" s="116">
        <v>1</v>
      </c>
      <c r="AQ14" s="116">
        <v>0</v>
      </c>
      <c r="AR14" s="116">
        <v>1</v>
      </c>
      <c r="AS14" s="116">
        <v>1</v>
      </c>
      <c r="AT14" s="116">
        <v>0</v>
      </c>
      <c r="AU14" s="116">
        <v>0</v>
      </c>
      <c r="AV14" s="120">
        <v>0</v>
      </c>
      <c r="AW14" s="116">
        <v>0</v>
      </c>
      <c r="AX14" s="123">
        <f t="shared" si="8"/>
        <v>6</v>
      </c>
      <c r="AY14" s="123">
        <f t="shared" si="9"/>
        <v>3</v>
      </c>
      <c r="AZ14" s="123">
        <f t="shared" si="10"/>
        <v>4</v>
      </c>
      <c r="BA14" s="124">
        <f t="shared" si="11"/>
        <v>6</v>
      </c>
      <c r="BB14" s="125">
        <f t="shared" si="12"/>
        <v>0.46153846153846156</v>
      </c>
      <c r="BC14" s="126" t="str">
        <f t="shared" si="13"/>
        <v>Developing (Nearly Proficient)</v>
      </c>
      <c r="BD14" s="123">
        <f t="shared" si="2"/>
        <v>5</v>
      </c>
      <c r="BE14" s="123">
        <f t="shared" si="3"/>
        <v>1</v>
      </c>
      <c r="BF14" s="123">
        <f t="shared" si="4"/>
        <v>0</v>
      </c>
      <c r="BG14" s="123">
        <f t="shared" si="5"/>
        <v>2</v>
      </c>
      <c r="BH14" s="123">
        <f t="shared" si="6"/>
        <v>3</v>
      </c>
      <c r="BI14" s="123">
        <f t="shared" si="7"/>
        <v>1</v>
      </c>
      <c r="BJ14" s="127"/>
      <c r="BN14" s="43">
        <f t="shared" si="14"/>
        <v>0</v>
      </c>
      <c r="BO14" s="43">
        <f t="shared" si="15"/>
        <v>0</v>
      </c>
      <c r="BP14" s="43">
        <f t="shared" si="16"/>
        <v>0</v>
      </c>
      <c r="BQ14" s="43">
        <f t="shared" si="17"/>
        <v>0</v>
      </c>
      <c r="BR14" s="43">
        <f t="shared" si="18"/>
        <v>0</v>
      </c>
      <c r="BS14" s="43">
        <f t="shared" si="19"/>
        <v>0</v>
      </c>
      <c r="BT14" s="43">
        <f t="shared" si="20"/>
        <v>0</v>
      </c>
      <c r="BU14" s="1">
        <f t="shared" si="21"/>
        <v>0</v>
      </c>
    </row>
    <row r="15" spans="1:73">
      <c r="A15" s="115">
        <v>6</v>
      </c>
      <c r="B15" s="116">
        <v>117443210009</v>
      </c>
      <c r="C15" s="117" t="s">
        <v>61</v>
      </c>
      <c r="D15" s="109" t="s">
        <v>51</v>
      </c>
      <c r="E15" s="118">
        <v>42510</v>
      </c>
      <c r="F15" s="118">
        <v>46083</v>
      </c>
      <c r="G15" s="119">
        <f t="shared" si="1"/>
        <v>9.7890410958904113</v>
      </c>
      <c r="H15" s="116">
        <v>1</v>
      </c>
      <c r="I15" s="116">
        <v>1</v>
      </c>
      <c r="J15" s="116">
        <v>1</v>
      </c>
      <c r="K15" s="116">
        <v>1</v>
      </c>
      <c r="L15" s="120">
        <v>0</v>
      </c>
      <c r="M15" s="116">
        <v>1</v>
      </c>
      <c r="N15" s="116">
        <v>0</v>
      </c>
      <c r="O15" s="116">
        <v>1</v>
      </c>
      <c r="P15" s="116">
        <v>0</v>
      </c>
      <c r="Q15" s="116">
        <v>0</v>
      </c>
      <c r="R15" s="116">
        <v>0</v>
      </c>
      <c r="S15" s="116">
        <v>0</v>
      </c>
      <c r="T15" s="116">
        <v>0</v>
      </c>
      <c r="U15" s="116">
        <v>1</v>
      </c>
      <c r="V15" s="116">
        <v>0</v>
      </c>
      <c r="W15" s="116">
        <v>0</v>
      </c>
      <c r="X15" s="121">
        <v>0</v>
      </c>
      <c r="Y15" s="116">
        <v>0</v>
      </c>
      <c r="Z15" s="116">
        <v>0</v>
      </c>
      <c r="AA15" s="116">
        <v>0</v>
      </c>
      <c r="AB15" s="120">
        <v>0</v>
      </c>
      <c r="AC15" s="116">
        <v>0</v>
      </c>
      <c r="AD15" s="120">
        <v>0</v>
      </c>
      <c r="AE15" s="116">
        <v>0</v>
      </c>
      <c r="AF15" s="116">
        <v>0</v>
      </c>
      <c r="AG15" s="116">
        <v>0</v>
      </c>
      <c r="AH15" s="116">
        <v>1</v>
      </c>
      <c r="AI15" s="116">
        <v>0</v>
      </c>
      <c r="AJ15" s="116">
        <v>0</v>
      </c>
      <c r="AK15" s="116">
        <v>1</v>
      </c>
      <c r="AL15" s="122">
        <v>1</v>
      </c>
      <c r="AM15" s="116">
        <v>1</v>
      </c>
      <c r="AN15" s="120">
        <v>0</v>
      </c>
      <c r="AO15" s="120">
        <v>0</v>
      </c>
      <c r="AP15" s="116">
        <v>0</v>
      </c>
      <c r="AQ15" s="116">
        <v>0</v>
      </c>
      <c r="AR15" s="116">
        <v>1</v>
      </c>
      <c r="AS15" s="116">
        <v>1</v>
      </c>
      <c r="AT15" s="116">
        <v>1</v>
      </c>
      <c r="AU15" s="116">
        <v>1</v>
      </c>
      <c r="AV15" s="120">
        <v>0</v>
      </c>
      <c r="AW15" s="116">
        <v>0</v>
      </c>
      <c r="AX15" s="123">
        <f t="shared" si="8"/>
        <v>6</v>
      </c>
      <c r="AY15" s="123">
        <f t="shared" si="9"/>
        <v>2</v>
      </c>
      <c r="AZ15" s="123">
        <f t="shared" si="10"/>
        <v>7</v>
      </c>
      <c r="BA15" s="124">
        <f t="shared" si="11"/>
        <v>6</v>
      </c>
      <c r="BB15" s="125">
        <f t="shared" si="12"/>
        <v>0.46153846153846156</v>
      </c>
      <c r="BC15" s="126" t="str">
        <f t="shared" si="13"/>
        <v>Developing (Nearly Proficient)</v>
      </c>
      <c r="BD15" s="123">
        <f t="shared" si="2"/>
        <v>5</v>
      </c>
      <c r="BE15" s="123">
        <f t="shared" si="3"/>
        <v>0</v>
      </c>
      <c r="BF15" s="123">
        <f t="shared" si="4"/>
        <v>1</v>
      </c>
      <c r="BG15" s="123">
        <f t="shared" si="5"/>
        <v>3</v>
      </c>
      <c r="BH15" s="123">
        <f t="shared" si="6"/>
        <v>3</v>
      </c>
      <c r="BI15" s="123">
        <f t="shared" si="7"/>
        <v>0</v>
      </c>
      <c r="BJ15" s="127"/>
      <c r="BN15" s="43">
        <f t="shared" si="14"/>
        <v>0</v>
      </c>
      <c r="BO15" s="43">
        <f t="shared" si="15"/>
        <v>0</v>
      </c>
      <c r="BP15" s="43">
        <f t="shared" si="16"/>
        <v>1</v>
      </c>
      <c r="BQ15" s="43">
        <f t="shared" si="17"/>
        <v>0</v>
      </c>
      <c r="BR15" s="43">
        <f t="shared" si="18"/>
        <v>1</v>
      </c>
      <c r="BS15" s="43">
        <f t="shared" si="19"/>
        <v>0</v>
      </c>
      <c r="BT15" s="43">
        <f t="shared" si="20"/>
        <v>0</v>
      </c>
      <c r="BU15" s="1">
        <f t="shared" si="21"/>
        <v>0</v>
      </c>
    </row>
    <row r="16" spans="1:73">
      <c r="A16" s="115">
        <v>7</v>
      </c>
      <c r="B16" s="116">
        <v>117443210010</v>
      </c>
      <c r="C16" s="117" t="s">
        <v>62</v>
      </c>
      <c r="D16" s="109" t="s">
        <v>51</v>
      </c>
      <c r="E16" s="118">
        <v>42314</v>
      </c>
      <c r="F16" s="118">
        <v>46084</v>
      </c>
      <c r="G16" s="119">
        <f t="shared" si="1"/>
        <v>10.328767123287671</v>
      </c>
      <c r="H16" s="116">
        <v>0</v>
      </c>
      <c r="I16" s="116">
        <v>0</v>
      </c>
      <c r="J16" s="116">
        <v>0</v>
      </c>
      <c r="K16" s="116">
        <v>0</v>
      </c>
      <c r="L16" s="120">
        <v>0</v>
      </c>
      <c r="M16" s="116">
        <v>1</v>
      </c>
      <c r="N16" s="116">
        <v>0</v>
      </c>
      <c r="O16" s="116">
        <v>0</v>
      </c>
      <c r="P16" s="116">
        <v>0</v>
      </c>
      <c r="Q16" s="116">
        <v>1</v>
      </c>
      <c r="R16" s="116">
        <v>0</v>
      </c>
      <c r="S16" s="116">
        <v>1</v>
      </c>
      <c r="T16" s="116">
        <v>0</v>
      </c>
      <c r="U16" s="116">
        <v>0</v>
      </c>
      <c r="V16" s="116">
        <v>0</v>
      </c>
      <c r="W16" s="116">
        <v>0</v>
      </c>
      <c r="X16" s="121">
        <v>0</v>
      </c>
      <c r="Y16" s="116">
        <v>1</v>
      </c>
      <c r="Z16" s="116">
        <v>0</v>
      </c>
      <c r="AA16" s="116">
        <v>0</v>
      </c>
      <c r="AB16" s="120">
        <v>0</v>
      </c>
      <c r="AC16" s="116">
        <v>0</v>
      </c>
      <c r="AD16" s="120">
        <v>0</v>
      </c>
      <c r="AE16" s="116">
        <v>1</v>
      </c>
      <c r="AF16" s="116">
        <v>0</v>
      </c>
      <c r="AG16" s="116">
        <v>0</v>
      </c>
      <c r="AH16" s="116">
        <v>0</v>
      </c>
      <c r="AI16" s="116">
        <v>0</v>
      </c>
      <c r="AJ16" s="116">
        <v>0</v>
      </c>
      <c r="AK16" s="116">
        <v>0</v>
      </c>
      <c r="AL16" s="122">
        <v>0</v>
      </c>
      <c r="AM16" s="116">
        <v>0</v>
      </c>
      <c r="AN16" s="120">
        <v>0</v>
      </c>
      <c r="AO16" s="120">
        <v>0</v>
      </c>
      <c r="AP16" s="116">
        <v>1</v>
      </c>
      <c r="AQ16" s="116">
        <v>0</v>
      </c>
      <c r="AR16" s="116">
        <v>0</v>
      </c>
      <c r="AS16" s="116">
        <v>0</v>
      </c>
      <c r="AT16" s="116">
        <v>0</v>
      </c>
      <c r="AU16" s="116">
        <v>0</v>
      </c>
      <c r="AV16" s="120">
        <v>0</v>
      </c>
      <c r="AW16" s="116">
        <v>1</v>
      </c>
      <c r="AX16" s="123">
        <f t="shared" si="8"/>
        <v>3</v>
      </c>
      <c r="AY16" s="123">
        <f t="shared" si="9"/>
        <v>2</v>
      </c>
      <c r="AZ16" s="123">
        <f t="shared" si="10"/>
        <v>2</v>
      </c>
      <c r="BA16" s="124">
        <f t="shared" si="11"/>
        <v>3</v>
      </c>
      <c r="BB16" s="125">
        <f t="shared" si="12"/>
        <v>0.23076923076923078</v>
      </c>
      <c r="BC16" s="126" t="str">
        <f t="shared" si="13"/>
        <v>Emerging (Low Proficient)</v>
      </c>
      <c r="BD16" s="123">
        <f t="shared" si="2"/>
        <v>3</v>
      </c>
      <c r="BE16" s="123">
        <f t="shared" si="3"/>
        <v>0</v>
      </c>
      <c r="BF16" s="123">
        <f t="shared" si="4"/>
        <v>0</v>
      </c>
      <c r="BG16" s="123">
        <f t="shared" si="5"/>
        <v>2</v>
      </c>
      <c r="BH16" s="123">
        <f t="shared" si="6"/>
        <v>0</v>
      </c>
      <c r="BI16" s="123">
        <f t="shared" si="7"/>
        <v>1</v>
      </c>
      <c r="BJ16" s="127"/>
      <c r="BN16" s="43">
        <f t="shared" si="14"/>
        <v>0</v>
      </c>
      <c r="BO16" s="43">
        <f t="shared" si="15"/>
        <v>0</v>
      </c>
      <c r="BP16" s="43">
        <f t="shared" si="16"/>
        <v>0</v>
      </c>
      <c r="BQ16" s="43">
        <f t="shared" si="17"/>
        <v>0</v>
      </c>
      <c r="BR16" s="43">
        <f t="shared" si="18"/>
        <v>0</v>
      </c>
      <c r="BS16" s="43">
        <f t="shared" si="19"/>
        <v>0</v>
      </c>
      <c r="BT16" s="43">
        <f t="shared" si="20"/>
        <v>0</v>
      </c>
      <c r="BU16" s="1">
        <f t="shared" si="21"/>
        <v>0</v>
      </c>
    </row>
    <row r="17" spans="1:73">
      <c r="A17" s="115">
        <v>8</v>
      </c>
      <c r="B17" s="116">
        <v>117447210030</v>
      </c>
      <c r="C17" s="117" t="s">
        <v>63</v>
      </c>
      <c r="D17" s="109" t="s">
        <v>51</v>
      </c>
      <c r="E17" s="118">
        <v>42212</v>
      </c>
      <c r="F17" s="118">
        <v>46084</v>
      </c>
      <c r="G17" s="119">
        <f t="shared" si="1"/>
        <v>10.608219178082193</v>
      </c>
      <c r="H17" s="116">
        <v>1</v>
      </c>
      <c r="I17" s="116">
        <v>1</v>
      </c>
      <c r="J17" s="116">
        <v>1</v>
      </c>
      <c r="K17" s="116">
        <v>1</v>
      </c>
      <c r="L17" s="120">
        <v>0</v>
      </c>
      <c r="M17" s="116">
        <v>0</v>
      </c>
      <c r="N17" s="116">
        <v>1</v>
      </c>
      <c r="O17" s="116">
        <v>0</v>
      </c>
      <c r="P17" s="116">
        <v>1</v>
      </c>
      <c r="Q17" s="116">
        <v>0</v>
      </c>
      <c r="R17" s="116">
        <v>0</v>
      </c>
      <c r="S17" s="116">
        <v>0</v>
      </c>
      <c r="T17" s="116">
        <v>0</v>
      </c>
      <c r="U17" s="116">
        <v>0</v>
      </c>
      <c r="V17" s="116">
        <v>1</v>
      </c>
      <c r="W17" s="116">
        <v>0</v>
      </c>
      <c r="X17" s="121">
        <v>0</v>
      </c>
      <c r="Y17" s="116">
        <v>0</v>
      </c>
      <c r="Z17" s="116">
        <v>0</v>
      </c>
      <c r="AA17" s="116">
        <v>0</v>
      </c>
      <c r="AB17" s="120">
        <v>0</v>
      </c>
      <c r="AC17" s="116">
        <v>0</v>
      </c>
      <c r="AD17" s="120">
        <v>0</v>
      </c>
      <c r="AE17" s="116">
        <v>0</v>
      </c>
      <c r="AF17" s="116">
        <v>0</v>
      </c>
      <c r="AG17" s="116">
        <v>0</v>
      </c>
      <c r="AH17" s="116">
        <v>0</v>
      </c>
      <c r="AI17" s="116">
        <v>0</v>
      </c>
      <c r="AJ17" s="116">
        <v>0</v>
      </c>
      <c r="AK17" s="116">
        <v>0</v>
      </c>
      <c r="AL17" s="122">
        <v>0</v>
      </c>
      <c r="AM17" s="116">
        <v>1</v>
      </c>
      <c r="AN17" s="120">
        <v>0</v>
      </c>
      <c r="AO17" s="120">
        <v>0</v>
      </c>
      <c r="AP17" s="116">
        <v>0</v>
      </c>
      <c r="AQ17" s="116">
        <v>0</v>
      </c>
      <c r="AR17" s="116">
        <v>1</v>
      </c>
      <c r="AS17" s="116">
        <v>1</v>
      </c>
      <c r="AT17" s="116">
        <v>1</v>
      </c>
      <c r="AU17" s="116">
        <v>0</v>
      </c>
      <c r="AV17" s="120">
        <v>0</v>
      </c>
      <c r="AW17" s="116">
        <v>0</v>
      </c>
      <c r="AX17" s="123">
        <f t="shared" si="8"/>
        <v>6</v>
      </c>
      <c r="AY17" s="123">
        <f t="shared" si="9"/>
        <v>1</v>
      </c>
      <c r="AZ17" s="123">
        <f t="shared" si="10"/>
        <v>4</v>
      </c>
      <c r="BA17" s="124">
        <f t="shared" si="11"/>
        <v>6</v>
      </c>
      <c r="BB17" s="125">
        <f t="shared" si="12"/>
        <v>0.46153846153846156</v>
      </c>
      <c r="BC17" s="126" t="str">
        <f t="shared" si="13"/>
        <v>Developing (Nearly Proficient)</v>
      </c>
      <c r="BD17" s="123">
        <f t="shared" si="2"/>
        <v>4</v>
      </c>
      <c r="BE17" s="123">
        <f t="shared" si="3"/>
        <v>1</v>
      </c>
      <c r="BF17" s="123">
        <f t="shared" si="4"/>
        <v>1</v>
      </c>
      <c r="BG17" s="123">
        <f t="shared" si="5"/>
        <v>2</v>
      </c>
      <c r="BH17" s="123">
        <f t="shared" si="6"/>
        <v>3</v>
      </c>
      <c r="BI17" s="123">
        <f t="shared" si="7"/>
        <v>1</v>
      </c>
      <c r="BJ17" s="127"/>
      <c r="BN17" s="43">
        <f t="shared" si="14"/>
        <v>0</v>
      </c>
      <c r="BO17" s="43">
        <f t="shared" si="15"/>
        <v>0</v>
      </c>
      <c r="BP17" s="43">
        <f t="shared" si="16"/>
        <v>1</v>
      </c>
      <c r="BQ17" s="43">
        <f t="shared" si="17"/>
        <v>0</v>
      </c>
      <c r="BR17" s="43">
        <f t="shared" si="18"/>
        <v>0</v>
      </c>
      <c r="BS17" s="43">
        <f t="shared" si="19"/>
        <v>0</v>
      </c>
      <c r="BT17" s="43">
        <f t="shared" si="20"/>
        <v>0</v>
      </c>
      <c r="BU17" s="1">
        <f t="shared" si="21"/>
        <v>0</v>
      </c>
    </row>
    <row r="18" spans="1:73">
      <c r="A18" s="115">
        <v>9</v>
      </c>
      <c r="B18" s="116">
        <v>117443210011</v>
      </c>
      <c r="C18" s="117" t="s">
        <v>64</v>
      </c>
      <c r="D18" s="109" t="s">
        <v>51</v>
      </c>
      <c r="E18" s="118">
        <v>42054</v>
      </c>
      <c r="F18" s="118">
        <v>46084</v>
      </c>
      <c r="G18" s="119">
        <f t="shared" si="1"/>
        <v>11.04109589041096</v>
      </c>
      <c r="H18" s="116">
        <v>1</v>
      </c>
      <c r="I18" s="116">
        <v>0</v>
      </c>
      <c r="J18" s="116">
        <v>0</v>
      </c>
      <c r="K18" s="116">
        <v>0</v>
      </c>
      <c r="L18" s="120">
        <v>0</v>
      </c>
      <c r="M18" s="116">
        <v>1</v>
      </c>
      <c r="N18" s="116">
        <v>1</v>
      </c>
      <c r="O18" s="116">
        <v>0</v>
      </c>
      <c r="P18" s="116">
        <v>0</v>
      </c>
      <c r="Q18" s="116">
        <v>0</v>
      </c>
      <c r="R18" s="116">
        <v>1</v>
      </c>
      <c r="S18" s="116">
        <v>0</v>
      </c>
      <c r="T18" s="116">
        <v>0</v>
      </c>
      <c r="U18" s="116">
        <v>0</v>
      </c>
      <c r="V18" s="116">
        <v>0</v>
      </c>
      <c r="W18" s="116">
        <v>0</v>
      </c>
      <c r="X18" s="121">
        <v>0</v>
      </c>
      <c r="Y18" s="116">
        <v>0</v>
      </c>
      <c r="Z18" s="116">
        <v>0</v>
      </c>
      <c r="AA18" s="116">
        <v>0</v>
      </c>
      <c r="AB18" s="120">
        <v>0</v>
      </c>
      <c r="AC18" s="116">
        <v>1</v>
      </c>
      <c r="AD18" s="120">
        <v>0</v>
      </c>
      <c r="AE18" s="116">
        <v>0</v>
      </c>
      <c r="AF18" s="116">
        <v>0</v>
      </c>
      <c r="AG18" s="116">
        <v>0</v>
      </c>
      <c r="AH18" s="116">
        <v>1</v>
      </c>
      <c r="AI18" s="116">
        <v>0</v>
      </c>
      <c r="AJ18" s="116">
        <v>0</v>
      </c>
      <c r="AK18" s="116">
        <v>0</v>
      </c>
      <c r="AL18" s="122">
        <v>0</v>
      </c>
      <c r="AM18" s="116">
        <v>0</v>
      </c>
      <c r="AN18" s="120">
        <v>0</v>
      </c>
      <c r="AO18" s="120">
        <v>0</v>
      </c>
      <c r="AP18" s="116">
        <v>0</v>
      </c>
      <c r="AQ18" s="116">
        <v>0</v>
      </c>
      <c r="AR18" s="116">
        <v>0</v>
      </c>
      <c r="AS18" s="116">
        <v>0</v>
      </c>
      <c r="AT18" s="116">
        <v>0</v>
      </c>
      <c r="AU18" s="116">
        <v>0</v>
      </c>
      <c r="AV18" s="120">
        <v>0</v>
      </c>
      <c r="AW18" s="116">
        <v>1</v>
      </c>
      <c r="AX18" s="123">
        <f t="shared" si="8"/>
        <v>4</v>
      </c>
      <c r="AY18" s="123">
        <f t="shared" si="9"/>
        <v>2</v>
      </c>
      <c r="AZ18" s="123">
        <f t="shared" si="10"/>
        <v>1</v>
      </c>
      <c r="BA18" s="124">
        <f t="shared" si="11"/>
        <v>4</v>
      </c>
      <c r="BB18" s="125">
        <f t="shared" si="12"/>
        <v>0.30769230769230771</v>
      </c>
      <c r="BC18" s="126" t="str">
        <f t="shared" si="13"/>
        <v>Emerging (Low Proficient)</v>
      </c>
      <c r="BD18" s="123">
        <f t="shared" si="2"/>
        <v>4</v>
      </c>
      <c r="BE18" s="123">
        <f t="shared" si="3"/>
        <v>0</v>
      </c>
      <c r="BF18" s="123">
        <f t="shared" si="4"/>
        <v>0</v>
      </c>
      <c r="BG18" s="123">
        <f t="shared" si="5"/>
        <v>2</v>
      </c>
      <c r="BH18" s="123">
        <f t="shared" si="6"/>
        <v>2</v>
      </c>
      <c r="BI18" s="123">
        <f t="shared" si="7"/>
        <v>0</v>
      </c>
      <c r="BJ18" s="127"/>
      <c r="BN18" s="43">
        <f t="shared" si="14"/>
        <v>0</v>
      </c>
      <c r="BO18" s="43">
        <f t="shared" si="15"/>
        <v>0</v>
      </c>
      <c r="BP18" s="43">
        <f t="shared" si="16"/>
        <v>0</v>
      </c>
      <c r="BQ18" s="43">
        <f t="shared" si="17"/>
        <v>0</v>
      </c>
      <c r="BR18" s="43">
        <f t="shared" si="18"/>
        <v>0</v>
      </c>
      <c r="BS18" s="43">
        <f t="shared" si="19"/>
        <v>0</v>
      </c>
      <c r="BT18" s="43">
        <f t="shared" si="20"/>
        <v>0</v>
      </c>
      <c r="BU18" s="1">
        <f t="shared" si="21"/>
        <v>0</v>
      </c>
    </row>
    <row r="19" spans="1:73">
      <c r="A19" s="115">
        <v>10</v>
      </c>
      <c r="B19" s="116" t="s">
        <v>65</v>
      </c>
      <c r="C19" s="117" t="s">
        <v>66</v>
      </c>
      <c r="D19" s="109" t="s">
        <v>51</v>
      </c>
      <c r="E19" s="118">
        <v>42407</v>
      </c>
      <c r="F19" s="118">
        <v>46084</v>
      </c>
      <c r="G19" s="119">
        <f t="shared" si="1"/>
        <v>10.073972602739726</v>
      </c>
      <c r="H19" s="116">
        <v>1</v>
      </c>
      <c r="I19" s="116">
        <v>0</v>
      </c>
      <c r="J19" s="116">
        <v>1</v>
      </c>
      <c r="K19" s="116">
        <v>1</v>
      </c>
      <c r="L19" s="120">
        <v>0</v>
      </c>
      <c r="M19" s="116">
        <v>0</v>
      </c>
      <c r="N19" s="116">
        <v>0</v>
      </c>
      <c r="O19" s="116">
        <v>1</v>
      </c>
      <c r="P19" s="116">
        <v>1</v>
      </c>
      <c r="Q19" s="116">
        <v>0</v>
      </c>
      <c r="R19" s="116">
        <v>1</v>
      </c>
      <c r="S19" s="116">
        <v>1</v>
      </c>
      <c r="T19" s="116">
        <v>0</v>
      </c>
      <c r="U19" s="116">
        <v>1</v>
      </c>
      <c r="V19" s="116">
        <v>0</v>
      </c>
      <c r="W19" s="116">
        <v>0</v>
      </c>
      <c r="X19" s="121">
        <v>0</v>
      </c>
      <c r="Y19" s="116">
        <v>0</v>
      </c>
      <c r="Z19" s="116">
        <v>0</v>
      </c>
      <c r="AA19" s="116">
        <v>1</v>
      </c>
      <c r="AB19" s="120">
        <v>0</v>
      </c>
      <c r="AC19" s="116">
        <v>0</v>
      </c>
      <c r="AD19" s="120">
        <v>0</v>
      </c>
      <c r="AE19" s="116">
        <v>0</v>
      </c>
      <c r="AF19" s="116">
        <v>1</v>
      </c>
      <c r="AG19" s="116">
        <v>0</v>
      </c>
      <c r="AH19" s="116">
        <v>0</v>
      </c>
      <c r="AI19" s="116">
        <v>0</v>
      </c>
      <c r="AJ19" s="116">
        <v>1</v>
      </c>
      <c r="AK19" s="116">
        <v>0</v>
      </c>
      <c r="AL19" s="122">
        <v>0</v>
      </c>
      <c r="AM19" s="116">
        <v>0</v>
      </c>
      <c r="AN19" s="120">
        <v>0</v>
      </c>
      <c r="AO19" s="120">
        <v>0</v>
      </c>
      <c r="AP19" s="116">
        <v>1</v>
      </c>
      <c r="AQ19" s="116">
        <v>1</v>
      </c>
      <c r="AR19" s="116">
        <v>1</v>
      </c>
      <c r="AS19" s="116">
        <v>1</v>
      </c>
      <c r="AT19" s="116">
        <v>1</v>
      </c>
      <c r="AU19" s="116">
        <v>1</v>
      </c>
      <c r="AV19" s="120">
        <v>0</v>
      </c>
      <c r="AW19" s="116">
        <v>0</v>
      </c>
      <c r="AX19" s="123">
        <f t="shared" si="8"/>
        <v>7</v>
      </c>
      <c r="AY19" s="123">
        <f t="shared" si="9"/>
        <v>3</v>
      </c>
      <c r="AZ19" s="123">
        <f t="shared" si="10"/>
        <v>7</v>
      </c>
      <c r="BA19" s="124">
        <f t="shared" si="11"/>
        <v>7</v>
      </c>
      <c r="BB19" s="125">
        <f t="shared" si="12"/>
        <v>0.53846153846153844</v>
      </c>
      <c r="BC19" s="126" t="str">
        <f t="shared" si="13"/>
        <v>Developing (Nearly Proficient)</v>
      </c>
      <c r="BD19" s="123">
        <f t="shared" si="2"/>
        <v>5</v>
      </c>
      <c r="BE19" s="123">
        <f t="shared" si="3"/>
        <v>1</v>
      </c>
      <c r="BF19" s="123">
        <f t="shared" si="4"/>
        <v>1</v>
      </c>
      <c r="BG19" s="123">
        <f t="shared" si="5"/>
        <v>3</v>
      </c>
      <c r="BH19" s="123">
        <f t="shared" si="6"/>
        <v>3</v>
      </c>
      <c r="BI19" s="123">
        <f t="shared" si="7"/>
        <v>1</v>
      </c>
      <c r="BJ19" s="127"/>
      <c r="BN19" s="43">
        <f t="shared" si="14"/>
        <v>0</v>
      </c>
      <c r="BO19" s="43">
        <f t="shared" si="15"/>
        <v>0</v>
      </c>
      <c r="BP19" s="43">
        <f t="shared" si="16"/>
        <v>1</v>
      </c>
      <c r="BQ19" s="43">
        <f t="shared" si="17"/>
        <v>0</v>
      </c>
      <c r="BR19" s="43">
        <f t="shared" si="18"/>
        <v>1</v>
      </c>
      <c r="BS19" s="43">
        <f t="shared" si="19"/>
        <v>0</v>
      </c>
      <c r="BT19" s="43">
        <f t="shared" si="20"/>
        <v>0</v>
      </c>
      <c r="BU19" s="1">
        <f t="shared" si="21"/>
        <v>0</v>
      </c>
    </row>
    <row r="20" spans="1:73">
      <c r="A20" s="115">
        <v>11</v>
      </c>
      <c r="B20" s="116" t="s">
        <v>67</v>
      </c>
      <c r="C20" s="117" t="s">
        <v>68</v>
      </c>
      <c r="D20" s="109" t="s">
        <v>51</v>
      </c>
      <c r="E20" s="118">
        <v>42459</v>
      </c>
      <c r="F20" s="118">
        <v>46084</v>
      </c>
      <c r="G20" s="119">
        <f t="shared" si="1"/>
        <v>9.9315068493150687</v>
      </c>
      <c r="H20" s="116">
        <v>1</v>
      </c>
      <c r="I20" s="116">
        <v>0</v>
      </c>
      <c r="J20" s="116">
        <v>1</v>
      </c>
      <c r="K20" s="116">
        <v>1</v>
      </c>
      <c r="L20" s="120">
        <v>1</v>
      </c>
      <c r="M20" s="116">
        <v>0</v>
      </c>
      <c r="N20" s="116">
        <v>1</v>
      </c>
      <c r="O20" s="116">
        <v>1</v>
      </c>
      <c r="P20" s="116">
        <v>1</v>
      </c>
      <c r="Q20" s="116">
        <v>1</v>
      </c>
      <c r="R20" s="116">
        <v>0</v>
      </c>
      <c r="S20" s="116">
        <v>1</v>
      </c>
      <c r="T20" s="116">
        <v>0</v>
      </c>
      <c r="U20" s="116">
        <v>0</v>
      </c>
      <c r="V20" s="116">
        <v>0</v>
      </c>
      <c r="W20" s="116">
        <v>0</v>
      </c>
      <c r="X20" s="121">
        <v>0</v>
      </c>
      <c r="Y20" s="116">
        <v>0</v>
      </c>
      <c r="Z20" s="116">
        <v>0</v>
      </c>
      <c r="AA20" s="116">
        <v>0</v>
      </c>
      <c r="AB20" s="120">
        <v>0</v>
      </c>
      <c r="AC20" s="116">
        <v>0</v>
      </c>
      <c r="AD20" s="120">
        <v>0</v>
      </c>
      <c r="AE20" s="116">
        <v>0</v>
      </c>
      <c r="AF20" s="116">
        <v>0</v>
      </c>
      <c r="AG20" s="116">
        <v>0</v>
      </c>
      <c r="AH20" s="116">
        <v>0</v>
      </c>
      <c r="AI20" s="116">
        <v>0</v>
      </c>
      <c r="AJ20" s="116">
        <v>0</v>
      </c>
      <c r="AK20" s="116">
        <v>0</v>
      </c>
      <c r="AL20" s="122">
        <v>0</v>
      </c>
      <c r="AM20" s="116">
        <v>0</v>
      </c>
      <c r="AN20" s="120">
        <v>0</v>
      </c>
      <c r="AO20" s="120">
        <v>0</v>
      </c>
      <c r="AP20" s="116">
        <v>1</v>
      </c>
      <c r="AQ20" s="116">
        <v>0</v>
      </c>
      <c r="AR20" s="116">
        <v>1</v>
      </c>
      <c r="AS20" s="116">
        <v>1</v>
      </c>
      <c r="AT20" s="116">
        <v>1</v>
      </c>
      <c r="AU20" s="116">
        <v>1</v>
      </c>
      <c r="AV20" s="120">
        <v>0</v>
      </c>
      <c r="AW20" s="116">
        <v>0</v>
      </c>
      <c r="AX20" s="123">
        <f t="shared" si="8"/>
        <v>9</v>
      </c>
      <c r="AY20" s="123">
        <f t="shared" si="9"/>
        <v>0</v>
      </c>
      <c r="AZ20" s="123">
        <f t="shared" si="10"/>
        <v>5</v>
      </c>
      <c r="BA20" s="124">
        <f t="shared" si="11"/>
        <v>9</v>
      </c>
      <c r="BB20" s="125">
        <f t="shared" si="12"/>
        <v>0.69230769230769229</v>
      </c>
      <c r="BC20" s="126" t="str">
        <f t="shared" si="13"/>
        <v>Transitioning (Proficient)</v>
      </c>
      <c r="BD20" s="123">
        <f t="shared" si="2"/>
        <v>6</v>
      </c>
      <c r="BE20" s="123">
        <f t="shared" si="3"/>
        <v>2</v>
      </c>
      <c r="BF20" s="123">
        <f t="shared" si="4"/>
        <v>1</v>
      </c>
      <c r="BG20" s="123">
        <f t="shared" si="5"/>
        <v>3</v>
      </c>
      <c r="BH20" s="123">
        <f t="shared" si="6"/>
        <v>4</v>
      </c>
      <c r="BI20" s="123">
        <f t="shared" si="7"/>
        <v>2</v>
      </c>
      <c r="BJ20" s="127"/>
      <c r="BN20" s="43">
        <f t="shared" si="14"/>
        <v>0</v>
      </c>
      <c r="BO20" s="43">
        <f t="shared" si="15"/>
        <v>0</v>
      </c>
      <c r="BP20" s="43">
        <f t="shared" si="16"/>
        <v>1</v>
      </c>
      <c r="BQ20" s="43">
        <f t="shared" si="17"/>
        <v>0</v>
      </c>
      <c r="BR20" s="43">
        <f t="shared" si="18"/>
        <v>1</v>
      </c>
      <c r="BS20" s="43">
        <f t="shared" si="19"/>
        <v>0</v>
      </c>
      <c r="BT20" s="43">
        <f t="shared" si="20"/>
        <v>1</v>
      </c>
      <c r="BU20" s="1">
        <f t="shared" si="21"/>
        <v>0</v>
      </c>
    </row>
    <row r="21" spans="1:73">
      <c r="A21" s="115">
        <v>12</v>
      </c>
      <c r="B21" s="116" t="s">
        <v>69</v>
      </c>
      <c r="C21" s="117" t="s">
        <v>70</v>
      </c>
      <c r="D21" s="109" t="s">
        <v>51</v>
      </c>
      <c r="E21" s="118">
        <v>42325</v>
      </c>
      <c r="F21" s="118">
        <v>46084</v>
      </c>
      <c r="G21" s="119">
        <f t="shared" ref="G21:G74" si="22">IF(C21&lt;&gt;"",(F21-E21)/365,"")</f>
        <v>10.298630136986301</v>
      </c>
      <c r="H21" s="116">
        <v>1</v>
      </c>
      <c r="I21" s="116">
        <v>0</v>
      </c>
      <c r="J21" s="116">
        <v>0</v>
      </c>
      <c r="K21" s="116">
        <v>1</v>
      </c>
      <c r="L21" s="120">
        <v>1</v>
      </c>
      <c r="M21" s="116">
        <v>1</v>
      </c>
      <c r="N21" s="116">
        <v>0</v>
      </c>
      <c r="O21" s="116">
        <v>1</v>
      </c>
      <c r="P21" s="116">
        <v>1</v>
      </c>
      <c r="Q21" s="116">
        <v>1</v>
      </c>
      <c r="R21" s="116">
        <v>0</v>
      </c>
      <c r="S21" s="116">
        <v>0</v>
      </c>
      <c r="T21" s="116">
        <v>0</v>
      </c>
      <c r="U21" s="116">
        <v>1</v>
      </c>
      <c r="V21" s="116">
        <v>1</v>
      </c>
      <c r="W21" s="116">
        <v>0</v>
      </c>
      <c r="X21" s="121">
        <v>0</v>
      </c>
      <c r="Y21" s="116">
        <v>0</v>
      </c>
      <c r="Z21" s="116">
        <v>1</v>
      </c>
      <c r="AA21" s="116">
        <v>1</v>
      </c>
      <c r="AB21" s="120">
        <v>0</v>
      </c>
      <c r="AC21" s="116">
        <v>1</v>
      </c>
      <c r="AD21" s="120">
        <v>0</v>
      </c>
      <c r="AE21" s="116">
        <v>0</v>
      </c>
      <c r="AF21" s="116">
        <v>1</v>
      </c>
      <c r="AG21" s="116">
        <v>0</v>
      </c>
      <c r="AH21" s="116">
        <v>0</v>
      </c>
      <c r="AI21" s="116">
        <v>0</v>
      </c>
      <c r="AJ21" s="116">
        <v>0</v>
      </c>
      <c r="AK21" s="116">
        <v>0</v>
      </c>
      <c r="AL21" s="122">
        <v>0</v>
      </c>
      <c r="AM21" s="116">
        <v>0</v>
      </c>
      <c r="AN21" s="120">
        <v>0</v>
      </c>
      <c r="AO21" s="120">
        <v>0</v>
      </c>
      <c r="AP21" s="116">
        <v>0</v>
      </c>
      <c r="AQ21" s="116">
        <v>0</v>
      </c>
      <c r="AR21" s="116">
        <v>0</v>
      </c>
      <c r="AS21" s="116">
        <v>0</v>
      </c>
      <c r="AT21" s="116">
        <v>0</v>
      </c>
      <c r="AU21" s="116">
        <v>0</v>
      </c>
      <c r="AV21" s="120">
        <v>0</v>
      </c>
      <c r="AW21" s="116">
        <v>0</v>
      </c>
      <c r="AX21" s="123">
        <f t="shared" si="8"/>
        <v>7</v>
      </c>
      <c r="AY21" s="123">
        <f t="shared" si="9"/>
        <v>6</v>
      </c>
      <c r="AZ21" s="123">
        <f t="shared" si="10"/>
        <v>0</v>
      </c>
      <c r="BA21" s="124">
        <f t="shared" si="11"/>
        <v>7</v>
      </c>
      <c r="BB21" s="125">
        <f t="shared" si="12"/>
        <v>0.53846153846153844</v>
      </c>
      <c r="BC21" s="126" t="str">
        <f t="shared" si="13"/>
        <v>Developing (Nearly Proficient)</v>
      </c>
      <c r="BD21" s="123">
        <f t="shared" si="2"/>
        <v>4</v>
      </c>
      <c r="BE21" s="123">
        <f t="shared" si="3"/>
        <v>2</v>
      </c>
      <c r="BF21" s="123">
        <f t="shared" si="4"/>
        <v>1</v>
      </c>
      <c r="BG21" s="123">
        <f t="shared" si="5"/>
        <v>3</v>
      </c>
      <c r="BH21" s="123">
        <f t="shared" si="6"/>
        <v>2</v>
      </c>
      <c r="BI21" s="123">
        <f t="shared" si="7"/>
        <v>2</v>
      </c>
      <c r="BJ21" s="127"/>
      <c r="BN21" s="43">
        <f t="shared" si="14"/>
        <v>0</v>
      </c>
      <c r="BO21" s="43">
        <f t="shared" si="15"/>
        <v>0</v>
      </c>
      <c r="BP21" s="43">
        <f t="shared" si="16"/>
        <v>1</v>
      </c>
      <c r="BQ21" s="43">
        <f t="shared" si="17"/>
        <v>0</v>
      </c>
      <c r="BR21" s="43">
        <f t="shared" si="18"/>
        <v>1</v>
      </c>
      <c r="BS21" s="43">
        <f t="shared" si="19"/>
        <v>0</v>
      </c>
      <c r="BT21" s="43">
        <f t="shared" si="20"/>
        <v>1</v>
      </c>
      <c r="BU21" s="1">
        <f t="shared" si="21"/>
        <v>0</v>
      </c>
    </row>
    <row r="22" spans="1:73">
      <c r="A22" s="115">
        <v>13</v>
      </c>
      <c r="B22" s="116" t="s">
        <v>71</v>
      </c>
      <c r="C22" s="117" t="s">
        <v>72</v>
      </c>
      <c r="D22" s="109" t="s">
        <v>51</v>
      </c>
      <c r="E22" s="118">
        <v>42279</v>
      </c>
      <c r="F22" s="118">
        <v>46085</v>
      </c>
      <c r="G22" s="119">
        <f t="shared" si="22"/>
        <v>10.427397260273972</v>
      </c>
      <c r="H22" s="116">
        <v>1</v>
      </c>
      <c r="I22" s="116">
        <v>0</v>
      </c>
      <c r="J22" s="116">
        <v>1</v>
      </c>
      <c r="K22" s="116">
        <v>0</v>
      </c>
      <c r="L22" s="120">
        <v>0</v>
      </c>
      <c r="M22" s="116">
        <v>0</v>
      </c>
      <c r="N22" s="116">
        <v>0</v>
      </c>
      <c r="O22" s="116">
        <v>1</v>
      </c>
      <c r="P22" s="116">
        <v>1</v>
      </c>
      <c r="Q22" s="116">
        <v>0</v>
      </c>
      <c r="R22" s="116">
        <v>0</v>
      </c>
      <c r="S22" s="116">
        <v>0</v>
      </c>
      <c r="T22" s="116">
        <v>0</v>
      </c>
      <c r="U22" s="116">
        <v>0</v>
      </c>
      <c r="V22" s="116">
        <v>0</v>
      </c>
      <c r="W22" s="116">
        <v>0</v>
      </c>
      <c r="X22" s="121">
        <v>0</v>
      </c>
      <c r="Y22" s="116">
        <v>0</v>
      </c>
      <c r="Z22" s="116">
        <v>1</v>
      </c>
      <c r="AA22" s="116">
        <v>1</v>
      </c>
      <c r="AB22" s="120">
        <v>0</v>
      </c>
      <c r="AC22" s="116">
        <v>0</v>
      </c>
      <c r="AD22" s="120">
        <v>0</v>
      </c>
      <c r="AE22" s="116">
        <v>0</v>
      </c>
      <c r="AF22" s="116">
        <v>0</v>
      </c>
      <c r="AG22" s="116">
        <v>0</v>
      </c>
      <c r="AH22" s="116">
        <v>0</v>
      </c>
      <c r="AI22" s="116">
        <v>0</v>
      </c>
      <c r="AJ22" s="116">
        <v>0</v>
      </c>
      <c r="AK22" s="116">
        <v>0</v>
      </c>
      <c r="AL22" s="122">
        <v>0</v>
      </c>
      <c r="AM22" s="116">
        <v>0</v>
      </c>
      <c r="AN22" s="120">
        <v>0</v>
      </c>
      <c r="AO22" s="120">
        <v>0</v>
      </c>
      <c r="AP22" s="116">
        <v>1</v>
      </c>
      <c r="AQ22" s="116">
        <v>0</v>
      </c>
      <c r="AR22" s="116">
        <v>0</v>
      </c>
      <c r="AS22" s="116">
        <v>0</v>
      </c>
      <c r="AT22" s="116">
        <v>0</v>
      </c>
      <c r="AU22" s="116">
        <v>0</v>
      </c>
      <c r="AV22" s="120">
        <v>0</v>
      </c>
      <c r="AW22" s="116">
        <v>1</v>
      </c>
      <c r="AX22" s="123">
        <f t="shared" si="8"/>
        <v>4</v>
      </c>
      <c r="AY22" s="123">
        <f t="shared" si="9"/>
        <v>2</v>
      </c>
      <c r="AZ22" s="123">
        <f t="shared" si="10"/>
        <v>2</v>
      </c>
      <c r="BA22" s="124">
        <f t="shared" si="11"/>
        <v>4</v>
      </c>
      <c r="BB22" s="125">
        <f t="shared" si="12"/>
        <v>0.30769230769230771</v>
      </c>
      <c r="BC22" s="126" t="str">
        <f t="shared" si="13"/>
        <v>Emerging (Low Proficient)</v>
      </c>
      <c r="BD22" s="123">
        <f t="shared" si="2"/>
        <v>3</v>
      </c>
      <c r="BE22" s="123">
        <f t="shared" si="3"/>
        <v>1</v>
      </c>
      <c r="BF22" s="123">
        <f t="shared" si="4"/>
        <v>0</v>
      </c>
      <c r="BG22" s="123">
        <f t="shared" si="5"/>
        <v>1</v>
      </c>
      <c r="BH22" s="123">
        <f t="shared" si="6"/>
        <v>2</v>
      </c>
      <c r="BI22" s="123">
        <f t="shared" si="7"/>
        <v>1</v>
      </c>
      <c r="BJ22" s="127"/>
      <c r="BN22" s="43">
        <f t="shared" si="14"/>
        <v>0</v>
      </c>
      <c r="BO22" s="43">
        <f t="shared" si="15"/>
        <v>0</v>
      </c>
      <c r="BP22" s="43">
        <f t="shared" si="16"/>
        <v>0</v>
      </c>
      <c r="BQ22" s="43">
        <f t="shared" si="17"/>
        <v>0</v>
      </c>
      <c r="BR22" s="43">
        <f t="shared" si="18"/>
        <v>0</v>
      </c>
      <c r="BS22" s="43">
        <f t="shared" si="19"/>
        <v>0</v>
      </c>
      <c r="BT22" s="43">
        <f t="shared" si="20"/>
        <v>0</v>
      </c>
      <c r="BU22" s="1">
        <f t="shared" si="21"/>
        <v>0</v>
      </c>
    </row>
    <row r="23" spans="1:73">
      <c r="A23" s="115">
        <v>14</v>
      </c>
      <c r="B23" s="116" t="s">
        <v>73</v>
      </c>
      <c r="C23" s="117" t="s">
        <v>74</v>
      </c>
      <c r="D23" s="109" t="s">
        <v>51</v>
      </c>
      <c r="E23" s="118">
        <v>42638</v>
      </c>
      <c r="F23" s="118">
        <v>46085</v>
      </c>
      <c r="G23" s="119">
        <f t="shared" si="22"/>
        <v>9.4438356164383563</v>
      </c>
      <c r="H23" s="116">
        <v>0</v>
      </c>
      <c r="I23" s="116">
        <v>1</v>
      </c>
      <c r="J23" s="116">
        <v>0</v>
      </c>
      <c r="K23" s="116">
        <v>0</v>
      </c>
      <c r="L23" s="120">
        <v>0</v>
      </c>
      <c r="M23" s="116">
        <v>0</v>
      </c>
      <c r="N23" s="116">
        <v>1</v>
      </c>
      <c r="O23" s="116">
        <v>0</v>
      </c>
      <c r="P23" s="116">
        <v>0</v>
      </c>
      <c r="Q23" s="116">
        <v>0</v>
      </c>
      <c r="R23" s="116">
        <v>0</v>
      </c>
      <c r="S23" s="116">
        <v>0</v>
      </c>
      <c r="T23" s="116">
        <v>0</v>
      </c>
      <c r="U23" s="116">
        <v>0</v>
      </c>
      <c r="V23" s="116">
        <v>0</v>
      </c>
      <c r="W23" s="116">
        <v>0</v>
      </c>
      <c r="X23" s="121">
        <v>0</v>
      </c>
      <c r="Y23" s="116">
        <v>0</v>
      </c>
      <c r="Z23" s="116">
        <v>0</v>
      </c>
      <c r="AA23" s="116">
        <v>0</v>
      </c>
      <c r="AB23" s="120">
        <v>0</v>
      </c>
      <c r="AC23" s="116">
        <v>0</v>
      </c>
      <c r="AD23" s="120">
        <v>0</v>
      </c>
      <c r="AE23" s="116">
        <v>0</v>
      </c>
      <c r="AF23" s="116">
        <v>0</v>
      </c>
      <c r="AG23" s="116">
        <v>0</v>
      </c>
      <c r="AH23" s="116">
        <v>0</v>
      </c>
      <c r="AI23" s="116">
        <v>0</v>
      </c>
      <c r="AJ23" s="116">
        <v>0</v>
      </c>
      <c r="AK23" s="116">
        <v>0</v>
      </c>
      <c r="AL23" s="122">
        <v>0</v>
      </c>
      <c r="AM23" s="116">
        <v>0</v>
      </c>
      <c r="AN23" s="120">
        <v>0</v>
      </c>
      <c r="AO23" s="120">
        <v>0</v>
      </c>
      <c r="AP23" s="116">
        <v>0</v>
      </c>
      <c r="AQ23" s="116">
        <v>0</v>
      </c>
      <c r="AR23" s="116">
        <v>0</v>
      </c>
      <c r="AS23" s="116">
        <v>0</v>
      </c>
      <c r="AT23" s="116">
        <v>0</v>
      </c>
      <c r="AU23" s="116">
        <v>0</v>
      </c>
      <c r="AV23" s="120">
        <v>0</v>
      </c>
      <c r="AW23" s="116">
        <v>1</v>
      </c>
      <c r="AX23" s="123">
        <f t="shared" si="8"/>
        <v>2</v>
      </c>
      <c r="AY23" s="123">
        <f t="shared" si="9"/>
        <v>0</v>
      </c>
      <c r="AZ23" s="123">
        <f t="shared" si="10"/>
        <v>1</v>
      </c>
      <c r="BA23" s="124">
        <f t="shared" si="11"/>
        <v>2</v>
      </c>
      <c r="BB23" s="125">
        <f t="shared" si="12"/>
        <v>0.15384615384615385</v>
      </c>
      <c r="BC23" s="126" t="str">
        <f t="shared" si="13"/>
        <v>Emerging (Not Proficient)</v>
      </c>
      <c r="BD23" s="123">
        <f t="shared" si="2"/>
        <v>2</v>
      </c>
      <c r="BE23" s="123">
        <f t="shared" si="3"/>
        <v>0</v>
      </c>
      <c r="BF23" s="123">
        <f t="shared" si="4"/>
        <v>0</v>
      </c>
      <c r="BG23" s="123">
        <f t="shared" si="5"/>
        <v>0</v>
      </c>
      <c r="BH23" s="123">
        <f t="shared" si="6"/>
        <v>2</v>
      </c>
      <c r="BI23" s="123">
        <f t="shared" si="7"/>
        <v>0</v>
      </c>
      <c r="BJ23" s="127"/>
      <c r="BN23" s="43">
        <f t="shared" si="14"/>
        <v>0</v>
      </c>
      <c r="BO23" s="43">
        <f t="shared" si="15"/>
        <v>0</v>
      </c>
      <c r="BP23" s="43">
        <f t="shared" si="16"/>
        <v>0</v>
      </c>
      <c r="BQ23" s="43">
        <f t="shared" si="17"/>
        <v>0</v>
      </c>
      <c r="BR23" s="43">
        <f t="shared" si="18"/>
        <v>0</v>
      </c>
      <c r="BS23" s="43">
        <f t="shared" si="19"/>
        <v>0</v>
      </c>
      <c r="BT23" s="43">
        <f t="shared" si="20"/>
        <v>0</v>
      </c>
      <c r="BU23" s="1">
        <f t="shared" si="21"/>
        <v>0</v>
      </c>
    </row>
    <row r="24" spans="1:73">
      <c r="A24" s="115">
        <v>15</v>
      </c>
      <c r="B24" s="116" t="s">
        <v>75</v>
      </c>
      <c r="C24" s="117" t="s">
        <v>76</v>
      </c>
      <c r="D24" s="109" t="s">
        <v>77</v>
      </c>
      <c r="E24" s="118">
        <v>42391</v>
      </c>
      <c r="F24" s="118">
        <v>46085</v>
      </c>
      <c r="G24" s="119">
        <f t="shared" si="22"/>
        <v>10.12054794520548</v>
      </c>
      <c r="H24" s="116">
        <v>1</v>
      </c>
      <c r="I24" s="116">
        <v>0</v>
      </c>
      <c r="J24" s="116">
        <v>1</v>
      </c>
      <c r="K24" s="116">
        <v>0</v>
      </c>
      <c r="L24" s="120">
        <v>0</v>
      </c>
      <c r="M24" s="116">
        <v>1</v>
      </c>
      <c r="N24" s="116">
        <v>0</v>
      </c>
      <c r="O24" s="116">
        <v>1</v>
      </c>
      <c r="P24" s="116">
        <v>1</v>
      </c>
      <c r="Q24" s="116">
        <v>0</v>
      </c>
      <c r="R24" s="116">
        <v>1</v>
      </c>
      <c r="S24" s="116">
        <v>0</v>
      </c>
      <c r="T24" s="116">
        <v>0</v>
      </c>
      <c r="U24" s="116">
        <v>1</v>
      </c>
      <c r="V24" s="116">
        <v>0</v>
      </c>
      <c r="W24" s="116">
        <v>0</v>
      </c>
      <c r="X24" s="121">
        <v>0</v>
      </c>
      <c r="Y24" s="116">
        <v>0</v>
      </c>
      <c r="Z24" s="116">
        <v>0</v>
      </c>
      <c r="AA24" s="116">
        <v>1</v>
      </c>
      <c r="AB24" s="120">
        <v>0</v>
      </c>
      <c r="AC24" s="116">
        <v>1</v>
      </c>
      <c r="AD24" s="120">
        <v>0</v>
      </c>
      <c r="AE24" s="116">
        <v>0</v>
      </c>
      <c r="AF24" s="116">
        <v>0</v>
      </c>
      <c r="AG24" s="116">
        <v>0</v>
      </c>
      <c r="AH24" s="116">
        <v>1</v>
      </c>
      <c r="AI24" s="116">
        <v>1</v>
      </c>
      <c r="AJ24" s="116">
        <v>0</v>
      </c>
      <c r="AK24" s="116">
        <v>0</v>
      </c>
      <c r="AL24" s="122">
        <v>0</v>
      </c>
      <c r="AM24" s="116">
        <v>0</v>
      </c>
      <c r="AN24" s="120">
        <v>0</v>
      </c>
      <c r="AO24" s="120">
        <v>0</v>
      </c>
      <c r="AP24" s="116">
        <v>1</v>
      </c>
      <c r="AQ24" s="116">
        <v>1</v>
      </c>
      <c r="AR24" s="116">
        <v>0</v>
      </c>
      <c r="AS24" s="116">
        <v>1</v>
      </c>
      <c r="AT24" s="116">
        <v>0</v>
      </c>
      <c r="AU24" s="116">
        <v>0</v>
      </c>
      <c r="AV24" s="120">
        <v>0</v>
      </c>
      <c r="AW24" s="116">
        <v>0</v>
      </c>
      <c r="AX24" s="123">
        <f t="shared" si="8"/>
        <v>6</v>
      </c>
      <c r="AY24" s="123">
        <f t="shared" si="9"/>
        <v>4</v>
      </c>
      <c r="AZ24" s="123">
        <f t="shared" si="10"/>
        <v>4</v>
      </c>
      <c r="BA24" s="124">
        <f t="shared" si="11"/>
        <v>6</v>
      </c>
      <c r="BB24" s="125">
        <f t="shared" si="12"/>
        <v>0.46153846153846156</v>
      </c>
      <c r="BC24" s="126" t="str">
        <f t="shared" si="13"/>
        <v>Developing (Nearly Proficient)</v>
      </c>
      <c r="BD24" s="123">
        <f t="shared" si="2"/>
        <v>5</v>
      </c>
      <c r="BE24" s="123">
        <f t="shared" si="3"/>
        <v>1</v>
      </c>
      <c r="BF24" s="123">
        <f t="shared" si="4"/>
        <v>0</v>
      </c>
      <c r="BG24" s="123">
        <f t="shared" si="5"/>
        <v>2</v>
      </c>
      <c r="BH24" s="123">
        <f t="shared" si="6"/>
        <v>3</v>
      </c>
      <c r="BI24" s="123">
        <f t="shared" si="7"/>
        <v>1</v>
      </c>
      <c r="BJ24" s="127"/>
      <c r="BN24" s="43">
        <f t="shared" si="14"/>
        <v>0</v>
      </c>
      <c r="BO24" s="43">
        <f t="shared" si="15"/>
        <v>0</v>
      </c>
      <c r="BP24" s="43">
        <f t="shared" si="16"/>
        <v>0</v>
      </c>
      <c r="BQ24" s="43">
        <f t="shared" si="17"/>
        <v>0</v>
      </c>
      <c r="BR24" s="43">
        <f t="shared" si="18"/>
        <v>0</v>
      </c>
      <c r="BS24" s="43">
        <f t="shared" si="19"/>
        <v>0</v>
      </c>
      <c r="BT24" s="43">
        <f t="shared" si="20"/>
        <v>0</v>
      </c>
      <c r="BU24" s="1">
        <f t="shared" si="21"/>
        <v>0</v>
      </c>
    </row>
    <row r="25" spans="1:73">
      <c r="A25" s="115">
        <v>16</v>
      </c>
      <c r="B25" s="116" t="s">
        <v>78</v>
      </c>
      <c r="C25" s="117" t="s">
        <v>79</v>
      </c>
      <c r="D25" s="109" t="s">
        <v>77</v>
      </c>
      <c r="E25" s="118">
        <v>42407</v>
      </c>
      <c r="F25" s="118">
        <v>46085</v>
      </c>
      <c r="G25" s="119">
        <f t="shared" si="22"/>
        <v>10.076712328767123</v>
      </c>
      <c r="H25" s="116">
        <v>1</v>
      </c>
      <c r="I25" s="116">
        <v>0</v>
      </c>
      <c r="J25" s="116">
        <v>1</v>
      </c>
      <c r="K25" s="116">
        <v>0</v>
      </c>
      <c r="L25" s="120">
        <v>0</v>
      </c>
      <c r="M25" s="116">
        <v>1</v>
      </c>
      <c r="N25" s="116">
        <v>0</v>
      </c>
      <c r="O25" s="116">
        <v>1</v>
      </c>
      <c r="P25" s="116">
        <v>1</v>
      </c>
      <c r="Q25" s="116">
        <v>0</v>
      </c>
      <c r="R25" s="116">
        <v>1</v>
      </c>
      <c r="S25" s="116">
        <v>1</v>
      </c>
      <c r="T25" s="116">
        <v>0</v>
      </c>
      <c r="U25" s="116">
        <v>1</v>
      </c>
      <c r="V25" s="116">
        <v>0</v>
      </c>
      <c r="W25" s="116">
        <v>0</v>
      </c>
      <c r="X25" s="121">
        <v>0</v>
      </c>
      <c r="Y25" s="116">
        <v>0</v>
      </c>
      <c r="Z25" s="116">
        <v>1</v>
      </c>
      <c r="AA25" s="116">
        <v>1</v>
      </c>
      <c r="AB25" s="120">
        <v>0</v>
      </c>
      <c r="AC25" s="116">
        <v>0</v>
      </c>
      <c r="AD25" s="120">
        <v>0</v>
      </c>
      <c r="AE25" s="116">
        <v>0</v>
      </c>
      <c r="AF25" s="116">
        <v>1</v>
      </c>
      <c r="AG25" s="116">
        <v>0</v>
      </c>
      <c r="AH25" s="116">
        <v>1</v>
      </c>
      <c r="AI25" s="116">
        <v>0</v>
      </c>
      <c r="AJ25" s="116">
        <v>1</v>
      </c>
      <c r="AK25" s="116">
        <v>0</v>
      </c>
      <c r="AL25" s="122">
        <v>0</v>
      </c>
      <c r="AM25" s="116">
        <v>0</v>
      </c>
      <c r="AN25" s="120">
        <v>0</v>
      </c>
      <c r="AO25" s="120">
        <v>0</v>
      </c>
      <c r="AP25" s="116">
        <v>1</v>
      </c>
      <c r="AQ25" s="116">
        <v>1</v>
      </c>
      <c r="AR25" s="116">
        <v>0</v>
      </c>
      <c r="AS25" s="116">
        <v>1</v>
      </c>
      <c r="AT25" s="116">
        <v>0</v>
      </c>
      <c r="AU25" s="116">
        <v>0</v>
      </c>
      <c r="AV25" s="120">
        <v>0</v>
      </c>
      <c r="AW25" s="116">
        <v>0</v>
      </c>
      <c r="AX25" s="123">
        <f t="shared" si="8"/>
        <v>7</v>
      </c>
      <c r="AY25" s="123">
        <f t="shared" si="9"/>
        <v>5</v>
      </c>
      <c r="AZ25" s="123">
        <f t="shared" si="10"/>
        <v>4</v>
      </c>
      <c r="BA25" s="124">
        <f t="shared" si="11"/>
        <v>7</v>
      </c>
      <c r="BB25" s="125">
        <f t="shared" si="12"/>
        <v>0.53846153846153844</v>
      </c>
      <c r="BC25" s="126" t="str">
        <f t="shared" si="13"/>
        <v>Developing (Nearly Proficient)</v>
      </c>
      <c r="BD25" s="123">
        <f t="shared" si="2"/>
        <v>6</v>
      </c>
      <c r="BE25" s="123">
        <f t="shared" si="3"/>
        <v>1</v>
      </c>
      <c r="BF25" s="123">
        <f t="shared" si="4"/>
        <v>0</v>
      </c>
      <c r="BG25" s="123">
        <f t="shared" si="5"/>
        <v>3</v>
      </c>
      <c r="BH25" s="123">
        <f t="shared" si="6"/>
        <v>3</v>
      </c>
      <c r="BI25" s="123">
        <f t="shared" si="7"/>
        <v>1</v>
      </c>
      <c r="BJ25" s="127"/>
      <c r="BN25" s="43">
        <f t="shared" si="14"/>
        <v>0</v>
      </c>
      <c r="BO25" s="43">
        <f t="shared" si="15"/>
        <v>0</v>
      </c>
      <c r="BP25" s="43">
        <f t="shared" si="16"/>
        <v>0</v>
      </c>
      <c r="BQ25" s="43">
        <f t="shared" si="17"/>
        <v>0</v>
      </c>
      <c r="BR25" s="43">
        <f t="shared" si="18"/>
        <v>1</v>
      </c>
      <c r="BS25" s="43">
        <f t="shared" si="19"/>
        <v>0</v>
      </c>
      <c r="BT25" s="43">
        <f t="shared" si="20"/>
        <v>0</v>
      </c>
      <c r="BU25" s="1">
        <f t="shared" si="21"/>
        <v>0</v>
      </c>
    </row>
    <row r="26" spans="1:73">
      <c r="A26" s="115">
        <v>17</v>
      </c>
      <c r="B26" s="116" t="s">
        <v>80</v>
      </c>
      <c r="C26" s="117" t="s">
        <v>81</v>
      </c>
      <c r="D26" s="109" t="s">
        <v>77</v>
      </c>
      <c r="E26" s="118">
        <v>41736</v>
      </c>
      <c r="F26" s="118">
        <v>46085</v>
      </c>
      <c r="G26" s="119">
        <f t="shared" si="22"/>
        <v>11.915068493150685</v>
      </c>
      <c r="H26" s="116">
        <v>0</v>
      </c>
      <c r="I26" s="116">
        <v>0</v>
      </c>
      <c r="J26" s="116">
        <v>0</v>
      </c>
      <c r="K26" s="116">
        <v>0</v>
      </c>
      <c r="L26" s="120">
        <v>0</v>
      </c>
      <c r="M26" s="116">
        <v>1</v>
      </c>
      <c r="N26" s="116">
        <v>1</v>
      </c>
      <c r="O26" s="116">
        <v>1</v>
      </c>
      <c r="P26" s="116">
        <v>1</v>
      </c>
      <c r="Q26" s="116">
        <v>0</v>
      </c>
      <c r="R26" s="116">
        <v>1</v>
      </c>
      <c r="S26" s="116">
        <v>1</v>
      </c>
      <c r="T26" s="116">
        <v>0</v>
      </c>
      <c r="U26" s="116">
        <v>1</v>
      </c>
      <c r="V26" s="116">
        <v>1</v>
      </c>
      <c r="W26" s="116">
        <v>0</v>
      </c>
      <c r="X26" s="121">
        <v>0</v>
      </c>
      <c r="Y26" s="116">
        <v>1</v>
      </c>
      <c r="Z26" s="116">
        <v>1</v>
      </c>
      <c r="AA26" s="116">
        <v>0</v>
      </c>
      <c r="AB26" s="120">
        <v>0</v>
      </c>
      <c r="AC26" s="116">
        <v>0</v>
      </c>
      <c r="AD26" s="120">
        <v>0</v>
      </c>
      <c r="AE26" s="116">
        <v>0</v>
      </c>
      <c r="AF26" s="116">
        <v>1</v>
      </c>
      <c r="AG26" s="116">
        <v>0</v>
      </c>
      <c r="AH26" s="116">
        <v>0</v>
      </c>
      <c r="AI26" s="116">
        <v>0</v>
      </c>
      <c r="AJ26" s="116">
        <v>0</v>
      </c>
      <c r="AK26" s="116">
        <v>0</v>
      </c>
      <c r="AL26" s="122">
        <v>0</v>
      </c>
      <c r="AM26" s="116">
        <v>0</v>
      </c>
      <c r="AN26" s="120">
        <v>0</v>
      </c>
      <c r="AO26" s="120">
        <v>0</v>
      </c>
      <c r="AP26" s="116">
        <v>1</v>
      </c>
      <c r="AQ26" s="116">
        <v>0</v>
      </c>
      <c r="AR26" s="116">
        <v>0</v>
      </c>
      <c r="AS26" s="116">
        <v>0</v>
      </c>
      <c r="AT26" s="116">
        <v>0</v>
      </c>
      <c r="AU26" s="116">
        <v>1</v>
      </c>
      <c r="AV26" s="120">
        <v>0</v>
      </c>
      <c r="AW26" s="116">
        <v>0</v>
      </c>
      <c r="AX26" s="123">
        <f t="shared" si="8"/>
        <v>6</v>
      </c>
      <c r="AY26" s="123">
        <f t="shared" si="9"/>
        <v>5</v>
      </c>
      <c r="AZ26" s="123">
        <f t="shared" si="10"/>
        <v>2</v>
      </c>
      <c r="BA26" s="124">
        <f t="shared" si="11"/>
        <v>6</v>
      </c>
      <c r="BB26" s="125">
        <f t="shared" si="12"/>
        <v>0.46153846153846156</v>
      </c>
      <c r="BC26" s="126" t="str">
        <f t="shared" si="13"/>
        <v>Developing (Nearly Proficient)</v>
      </c>
      <c r="BD26" s="123">
        <f t="shared" si="2"/>
        <v>5</v>
      </c>
      <c r="BE26" s="123">
        <f t="shared" si="3"/>
        <v>1</v>
      </c>
      <c r="BF26" s="123">
        <f t="shared" si="4"/>
        <v>0</v>
      </c>
      <c r="BG26" s="123">
        <f t="shared" si="5"/>
        <v>2</v>
      </c>
      <c r="BH26" s="123">
        <f t="shared" si="6"/>
        <v>3</v>
      </c>
      <c r="BI26" s="123">
        <f t="shared" si="7"/>
        <v>1</v>
      </c>
      <c r="BJ26" s="127"/>
      <c r="BN26" s="43">
        <f t="shared" si="14"/>
        <v>0</v>
      </c>
      <c r="BO26" s="43">
        <f t="shared" si="15"/>
        <v>0</v>
      </c>
      <c r="BP26" s="43">
        <f t="shared" si="16"/>
        <v>0</v>
      </c>
      <c r="BQ26" s="43">
        <f t="shared" si="17"/>
        <v>0</v>
      </c>
      <c r="BR26" s="43">
        <f t="shared" si="18"/>
        <v>0</v>
      </c>
      <c r="BS26" s="43">
        <f t="shared" si="19"/>
        <v>0</v>
      </c>
      <c r="BT26" s="43">
        <f t="shared" si="20"/>
        <v>0</v>
      </c>
      <c r="BU26" s="1">
        <f t="shared" si="21"/>
        <v>0</v>
      </c>
    </row>
    <row r="27" spans="1:73">
      <c r="A27" s="115">
        <v>18</v>
      </c>
      <c r="B27" s="116" t="s">
        <v>82</v>
      </c>
      <c r="C27" s="117" t="s">
        <v>83</v>
      </c>
      <c r="D27" s="109" t="s">
        <v>77</v>
      </c>
      <c r="E27" s="118">
        <v>42383</v>
      </c>
      <c r="F27" s="118">
        <v>46085</v>
      </c>
      <c r="G27" s="119">
        <f t="shared" si="22"/>
        <v>10.142465753424657</v>
      </c>
      <c r="H27" s="116">
        <v>1</v>
      </c>
      <c r="I27" s="116">
        <v>1</v>
      </c>
      <c r="J27" s="116">
        <v>1</v>
      </c>
      <c r="K27" s="116">
        <v>1</v>
      </c>
      <c r="L27" s="120">
        <v>2</v>
      </c>
      <c r="M27" s="116">
        <v>1</v>
      </c>
      <c r="N27" s="116">
        <v>0</v>
      </c>
      <c r="O27" s="116">
        <v>1</v>
      </c>
      <c r="P27" s="116">
        <v>1</v>
      </c>
      <c r="Q27" s="116">
        <v>1</v>
      </c>
      <c r="R27" s="116">
        <v>1</v>
      </c>
      <c r="S27" s="116">
        <v>1</v>
      </c>
      <c r="T27" s="116">
        <v>1</v>
      </c>
      <c r="U27" s="116">
        <v>0</v>
      </c>
      <c r="V27" s="116">
        <v>0</v>
      </c>
      <c r="W27" s="116">
        <v>1</v>
      </c>
      <c r="X27" s="121">
        <v>1</v>
      </c>
      <c r="Y27" s="116">
        <v>1</v>
      </c>
      <c r="Z27" s="116">
        <v>0</v>
      </c>
      <c r="AA27" s="116">
        <v>0</v>
      </c>
      <c r="AB27" s="120">
        <v>0</v>
      </c>
      <c r="AC27" s="116">
        <v>1</v>
      </c>
      <c r="AD27" s="120">
        <v>1</v>
      </c>
      <c r="AE27" s="116">
        <v>1</v>
      </c>
      <c r="AF27" s="116">
        <v>0</v>
      </c>
      <c r="AG27" s="116">
        <v>0</v>
      </c>
      <c r="AH27" s="116">
        <v>0</v>
      </c>
      <c r="AI27" s="116">
        <v>0</v>
      </c>
      <c r="AJ27" s="116">
        <v>0</v>
      </c>
      <c r="AK27" s="116">
        <v>0</v>
      </c>
      <c r="AL27" s="122">
        <v>0</v>
      </c>
      <c r="AM27" s="116">
        <v>0</v>
      </c>
      <c r="AN27" s="120">
        <v>0</v>
      </c>
      <c r="AO27" s="120">
        <v>0</v>
      </c>
      <c r="AP27" s="116">
        <v>0</v>
      </c>
      <c r="AQ27" s="116">
        <v>1</v>
      </c>
      <c r="AR27" s="116">
        <v>0</v>
      </c>
      <c r="AS27" s="116">
        <v>0</v>
      </c>
      <c r="AT27" s="116">
        <v>0</v>
      </c>
      <c r="AU27" s="116">
        <v>0</v>
      </c>
      <c r="AV27" s="120">
        <v>0</v>
      </c>
      <c r="AW27" s="116">
        <v>1</v>
      </c>
      <c r="AX27" s="123">
        <f t="shared" si="8"/>
        <v>12</v>
      </c>
      <c r="AY27" s="123">
        <f t="shared" si="9"/>
        <v>7</v>
      </c>
      <c r="AZ27" s="123">
        <f t="shared" si="10"/>
        <v>2</v>
      </c>
      <c r="BA27" s="124">
        <f t="shared" si="11"/>
        <v>12</v>
      </c>
      <c r="BB27" s="125">
        <f t="shared" si="12"/>
        <v>0.92307692307692313</v>
      </c>
      <c r="BC27" s="126" t="str">
        <f t="shared" si="13"/>
        <v>At Grade Level (Highly Proficient)</v>
      </c>
      <c r="BD27" s="123">
        <f t="shared" si="2"/>
        <v>8</v>
      </c>
      <c r="BE27" s="123">
        <f t="shared" si="3"/>
        <v>3</v>
      </c>
      <c r="BF27" s="123">
        <f t="shared" si="4"/>
        <v>1</v>
      </c>
      <c r="BG27" s="123">
        <f t="shared" si="5"/>
        <v>4</v>
      </c>
      <c r="BH27" s="123">
        <f t="shared" si="6"/>
        <v>6</v>
      </c>
      <c r="BI27" s="123">
        <f t="shared" si="7"/>
        <v>2</v>
      </c>
      <c r="BJ27" s="127"/>
      <c r="BN27" s="43">
        <f t="shared" si="14"/>
        <v>1</v>
      </c>
      <c r="BO27" s="43">
        <f t="shared" si="15"/>
        <v>1</v>
      </c>
      <c r="BP27" s="43">
        <f t="shared" si="16"/>
        <v>1</v>
      </c>
      <c r="BQ27" s="43">
        <f t="shared" si="17"/>
        <v>1</v>
      </c>
      <c r="BR27" s="43">
        <f t="shared" si="18"/>
        <v>1</v>
      </c>
      <c r="BS27" s="43">
        <f t="shared" si="19"/>
        <v>1</v>
      </c>
      <c r="BT27" s="43">
        <f t="shared" si="20"/>
        <v>1</v>
      </c>
      <c r="BU27" s="1">
        <f t="shared" si="21"/>
        <v>1</v>
      </c>
    </row>
    <row r="28" spans="1:73">
      <c r="A28" s="115">
        <v>19</v>
      </c>
      <c r="B28" s="116" t="s">
        <v>84</v>
      </c>
      <c r="C28" s="117" t="s">
        <v>85</v>
      </c>
      <c r="D28" s="109" t="s">
        <v>77</v>
      </c>
      <c r="E28" s="118">
        <v>42343</v>
      </c>
      <c r="F28" s="118">
        <v>46086</v>
      </c>
      <c r="G28" s="119">
        <f t="shared" si="22"/>
        <v>10.254794520547945</v>
      </c>
      <c r="H28" s="116">
        <v>1</v>
      </c>
      <c r="I28" s="116">
        <v>1</v>
      </c>
      <c r="J28" s="116">
        <v>0</v>
      </c>
      <c r="K28" s="116">
        <v>1</v>
      </c>
      <c r="L28" s="120">
        <v>1</v>
      </c>
      <c r="M28" s="116">
        <v>1</v>
      </c>
      <c r="N28" s="116">
        <v>0</v>
      </c>
      <c r="O28" s="116">
        <v>0</v>
      </c>
      <c r="P28" s="116">
        <v>0</v>
      </c>
      <c r="Q28" s="116">
        <v>1</v>
      </c>
      <c r="R28" s="116">
        <v>1</v>
      </c>
      <c r="S28" s="116">
        <v>1</v>
      </c>
      <c r="T28" s="116">
        <v>0</v>
      </c>
      <c r="U28" s="116">
        <v>0</v>
      </c>
      <c r="V28" s="116">
        <v>1</v>
      </c>
      <c r="W28" s="116">
        <v>0</v>
      </c>
      <c r="X28" s="121">
        <v>0</v>
      </c>
      <c r="Y28" s="116">
        <v>1</v>
      </c>
      <c r="Z28" s="116">
        <v>1</v>
      </c>
      <c r="AA28" s="116">
        <v>0</v>
      </c>
      <c r="AB28" s="120">
        <v>0</v>
      </c>
      <c r="AC28" s="116">
        <v>1</v>
      </c>
      <c r="AD28" s="120">
        <v>0</v>
      </c>
      <c r="AE28" s="116">
        <v>0</v>
      </c>
      <c r="AF28" s="116">
        <v>0</v>
      </c>
      <c r="AG28" s="116">
        <v>0</v>
      </c>
      <c r="AH28" s="116">
        <v>0</v>
      </c>
      <c r="AI28" s="116">
        <v>0</v>
      </c>
      <c r="AJ28" s="116">
        <v>0</v>
      </c>
      <c r="AK28" s="116">
        <v>0</v>
      </c>
      <c r="AL28" s="122">
        <v>0</v>
      </c>
      <c r="AM28" s="116">
        <v>1</v>
      </c>
      <c r="AN28" s="120">
        <v>1</v>
      </c>
      <c r="AO28" s="120">
        <v>1</v>
      </c>
      <c r="AP28" s="116">
        <v>1</v>
      </c>
      <c r="AQ28" s="116">
        <v>0</v>
      </c>
      <c r="AR28" s="116">
        <v>0</v>
      </c>
      <c r="AS28" s="116">
        <v>1</v>
      </c>
      <c r="AT28" s="116">
        <v>1</v>
      </c>
      <c r="AU28" s="116">
        <v>0</v>
      </c>
      <c r="AV28" s="120">
        <v>0</v>
      </c>
      <c r="AW28" s="116">
        <v>0</v>
      </c>
      <c r="AX28" s="123">
        <f t="shared" si="8"/>
        <v>8</v>
      </c>
      <c r="AY28" s="123">
        <f t="shared" si="9"/>
        <v>4</v>
      </c>
      <c r="AZ28" s="123">
        <f t="shared" si="10"/>
        <v>6</v>
      </c>
      <c r="BA28" s="124">
        <f t="shared" si="11"/>
        <v>8</v>
      </c>
      <c r="BB28" s="125">
        <f t="shared" si="12"/>
        <v>0.61538461538461542</v>
      </c>
      <c r="BC28" s="126" t="str">
        <f t="shared" si="13"/>
        <v>Transitioning (Proficient)</v>
      </c>
      <c r="BD28" s="123">
        <f t="shared" si="2"/>
        <v>6</v>
      </c>
      <c r="BE28" s="123">
        <f t="shared" si="3"/>
        <v>1</v>
      </c>
      <c r="BF28" s="123">
        <f t="shared" si="4"/>
        <v>1</v>
      </c>
      <c r="BG28" s="123">
        <f t="shared" si="5"/>
        <v>4</v>
      </c>
      <c r="BH28" s="123">
        <f t="shared" si="6"/>
        <v>3</v>
      </c>
      <c r="BI28" s="123">
        <f t="shared" si="7"/>
        <v>1</v>
      </c>
      <c r="BJ28" s="127"/>
      <c r="BN28" s="43">
        <f t="shared" si="14"/>
        <v>0</v>
      </c>
      <c r="BO28" s="43">
        <f t="shared" si="15"/>
        <v>0</v>
      </c>
      <c r="BP28" s="43">
        <f t="shared" si="16"/>
        <v>1</v>
      </c>
      <c r="BQ28" s="43">
        <f t="shared" si="17"/>
        <v>0</v>
      </c>
      <c r="BR28" s="43">
        <f t="shared" si="18"/>
        <v>1</v>
      </c>
      <c r="BS28" s="43">
        <f t="shared" si="19"/>
        <v>0</v>
      </c>
      <c r="BT28" s="43">
        <f t="shared" si="20"/>
        <v>0</v>
      </c>
      <c r="BU28" s="1">
        <f t="shared" si="21"/>
        <v>0</v>
      </c>
    </row>
    <row r="29" spans="1:73">
      <c r="A29" s="115">
        <v>20</v>
      </c>
      <c r="B29" s="116" t="s">
        <v>86</v>
      </c>
      <c r="C29" s="117" t="s">
        <v>87</v>
      </c>
      <c r="D29" s="109" t="s">
        <v>77</v>
      </c>
      <c r="E29" s="118">
        <v>42418</v>
      </c>
      <c r="F29" s="118">
        <v>46086</v>
      </c>
      <c r="G29" s="119">
        <f t="shared" si="22"/>
        <v>10.049315068493151</v>
      </c>
      <c r="H29" s="116">
        <v>1</v>
      </c>
      <c r="I29" s="116">
        <v>1</v>
      </c>
      <c r="J29" s="116">
        <v>1</v>
      </c>
      <c r="K29" s="116">
        <v>1</v>
      </c>
      <c r="L29" s="120">
        <v>0</v>
      </c>
      <c r="M29" s="116">
        <v>1</v>
      </c>
      <c r="N29" s="116">
        <v>0</v>
      </c>
      <c r="O29" s="116">
        <v>1</v>
      </c>
      <c r="P29" s="116">
        <v>0</v>
      </c>
      <c r="Q29" s="116">
        <v>0</v>
      </c>
      <c r="R29" s="116">
        <v>0</v>
      </c>
      <c r="S29" s="116">
        <v>0</v>
      </c>
      <c r="T29" s="116">
        <v>0</v>
      </c>
      <c r="U29" s="116">
        <v>0</v>
      </c>
      <c r="V29" s="116">
        <v>0</v>
      </c>
      <c r="W29" s="116">
        <v>0</v>
      </c>
      <c r="X29" s="121">
        <v>0</v>
      </c>
      <c r="Y29" s="116">
        <v>0</v>
      </c>
      <c r="Z29" s="116">
        <v>1</v>
      </c>
      <c r="AA29" s="116">
        <v>1</v>
      </c>
      <c r="AB29" s="120">
        <v>0</v>
      </c>
      <c r="AC29" s="116">
        <v>0</v>
      </c>
      <c r="AD29" s="120">
        <v>0</v>
      </c>
      <c r="AE29" s="116">
        <v>0</v>
      </c>
      <c r="AF29" s="116">
        <v>0</v>
      </c>
      <c r="AG29" s="116">
        <v>0</v>
      </c>
      <c r="AH29" s="116">
        <v>0</v>
      </c>
      <c r="AI29" s="116">
        <v>0</v>
      </c>
      <c r="AJ29" s="116">
        <v>0</v>
      </c>
      <c r="AK29" s="116">
        <v>0</v>
      </c>
      <c r="AL29" s="122">
        <v>0</v>
      </c>
      <c r="AM29" s="116">
        <v>0</v>
      </c>
      <c r="AN29" s="120">
        <v>0</v>
      </c>
      <c r="AO29" s="120">
        <v>0</v>
      </c>
      <c r="AP29" s="116">
        <v>0</v>
      </c>
      <c r="AQ29" s="116">
        <v>0</v>
      </c>
      <c r="AR29" s="116">
        <v>1</v>
      </c>
      <c r="AS29" s="116">
        <v>0</v>
      </c>
      <c r="AT29" s="116">
        <v>0</v>
      </c>
      <c r="AU29" s="116">
        <v>0</v>
      </c>
      <c r="AV29" s="120">
        <v>0</v>
      </c>
      <c r="AW29" s="116">
        <v>0</v>
      </c>
      <c r="AX29" s="123">
        <f t="shared" si="8"/>
        <v>6</v>
      </c>
      <c r="AY29" s="123">
        <f t="shared" si="9"/>
        <v>2</v>
      </c>
      <c r="AZ29" s="123">
        <f t="shared" si="10"/>
        <v>1</v>
      </c>
      <c r="BA29" s="124">
        <f t="shared" si="11"/>
        <v>6</v>
      </c>
      <c r="BB29" s="125">
        <f t="shared" si="12"/>
        <v>0.46153846153846156</v>
      </c>
      <c r="BC29" s="126" t="str">
        <f t="shared" si="13"/>
        <v>Developing (Nearly Proficient)</v>
      </c>
      <c r="BD29" s="123">
        <f t="shared" si="2"/>
        <v>5</v>
      </c>
      <c r="BE29" s="123">
        <f t="shared" si="3"/>
        <v>0</v>
      </c>
      <c r="BF29" s="123">
        <f t="shared" si="4"/>
        <v>1</v>
      </c>
      <c r="BG29" s="123">
        <f t="shared" si="5"/>
        <v>3</v>
      </c>
      <c r="BH29" s="123">
        <f t="shared" si="6"/>
        <v>3</v>
      </c>
      <c r="BI29" s="123">
        <f t="shared" si="7"/>
        <v>0</v>
      </c>
      <c r="BJ29" s="127"/>
      <c r="BN29" s="43">
        <f t="shared" si="14"/>
        <v>0</v>
      </c>
      <c r="BO29" s="43">
        <f t="shared" si="15"/>
        <v>0</v>
      </c>
      <c r="BP29" s="43">
        <f t="shared" si="16"/>
        <v>1</v>
      </c>
      <c r="BQ29" s="43">
        <f t="shared" si="17"/>
        <v>0</v>
      </c>
      <c r="BR29" s="43">
        <f t="shared" si="18"/>
        <v>1</v>
      </c>
      <c r="BS29" s="43">
        <f t="shared" si="19"/>
        <v>0</v>
      </c>
      <c r="BT29" s="43">
        <f t="shared" si="20"/>
        <v>0</v>
      </c>
      <c r="BU29" s="1">
        <f t="shared" si="21"/>
        <v>0</v>
      </c>
    </row>
    <row r="30" spans="1:73">
      <c r="A30" s="115">
        <v>21</v>
      </c>
      <c r="B30" s="116" t="s">
        <v>88</v>
      </c>
      <c r="C30" s="117" t="s">
        <v>89</v>
      </c>
      <c r="D30" s="109" t="s">
        <v>77</v>
      </c>
      <c r="E30" s="118">
        <v>42427</v>
      </c>
      <c r="F30" s="118">
        <v>46086</v>
      </c>
      <c r="G30" s="119">
        <f t="shared" si="22"/>
        <v>10.024657534246575</v>
      </c>
      <c r="H30" s="116">
        <v>0</v>
      </c>
      <c r="I30" s="116">
        <v>0</v>
      </c>
      <c r="J30" s="116">
        <v>0</v>
      </c>
      <c r="K30" s="116">
        <v>1</v>
      </c>
      <c r="L30" s="120">
        <v>0</v>
      </c>
      <c r="M30" s="116">
        <v>1</v>
      </c>
      <c r="N30" s="116">
        <v>0</v>
      </c>
      <c r="O30" s="116">
        <v>1</v>
      </c>
      <c r="P30" s="116">
        <v>0</v>
      </c>
      <c r="Q30" s="116">
        <v>0</v>
      </c>
      <c r="R30" s="116">
        <v>0</v>
      </c>
      <c r="S30" s="116">
        <v>0</v>
      </c>
      <c r="T30" s="116">
        <v>0</v>
      </c>
      <c r="U30" s="116">
        <v>0</v>
      </c>
      <c r="V30" s="116">
        <v>0</v>
      </c>
      <c r="W30" s="116">
        <v>1</v>
      </c>
      <c r="X30" s="121">
        <v>1</v>
      </c>
      <c r="Y30" s="116">
        <v>1</v>
      </c>
      <c r="Z30" s="116">
        <v>1</v>
      </c>
      <c r="AA30" s="116">
        <v>1</v>
      </c>
      <c r="AB30" s="120">
        <v>0</v>
      </c>
      <c r="AC30" s="116">
        <v>0</v>
      </c>
      <c r="AD30" s="120">
        <v>0</v>
      </c>
      <c r="AE30" s="116">
        <v>1</v>
      </c>
      <c r="AF30" s="116">
        <v>0</v>
      </c>
      <c r="AG30" s="116">
        <v>0</v>
      </c>
      <c r="AH30" s="116">
        <v>0</v>
      </c>
      <c r="AI30" s="116">
        <v>1</v>
      </c>
      <c r="AJ30" s="116">
        <v>0</v>
      </c>
      <c r="AK30" s="116">
        <v>0</v>
      </c>
      <c r="AL30" s="122">
        <v>0</v>
      </c>
      <c r="AM30" s="116">
        <v>0</v>
      </c>
      <c r="AN30" s="120">
        <v>0</v>
      </c>
      <c r="AO30" s="120">
        <v>0</v>
      </c>
      <c r="AP30" s="116">
        <v>0</v>
      </c>
      <c r="AQ30" s="116">
        <v>0</v>
      </c>
      <c r="AR30" s="116">
        <v>0</v>
      </c>
      <c r="AS30" s="116">
        <v>0</v>
      </c>
      <c r="AT30" s="116">
        <v>0</v>
      </c>
      <c r="AU30" s="116">
        <v>0</v>
      </c>
      <c r="AV30" s="120">
        <v>0</v>
      </c>
      <c r="AW30" s="116">
        <v>1</v>
      </c>
      <c r="AX30" s="123">
        <f t="shared" si="8"/>
        <v>3</v>
      </c>
      <c r="AY30" s="123">
        <f t="shared" si="9"/>
        <v>6</v>
      </c>
      <c r="AZ30" s="123">
        <f t="shared" si="10"/>
        <v>2</v>
      </c>
      <c r="BA30" s="124">
        <f t="shared" si="11"/>
        <v>3</v>
      </c>
      <c r="BB30" s="125">
        <f t="shared" si="12"/>
        <v>0.23076923076923078</v>
      </c>
      <c r="BC30" s="126" t="str">
        <f t="shared" si="13"/>
        <v>Emerging (Low Proficient)</v>
      </c>
      <c r="BD30" s="123">
        <f t="shared" si="2"/>
        <v>2</v>
      </c>
      <c r="BE30" s="123">
        <f t="shared" si="3"/>
        <v>0</v>
      </c>
      <c r="BF30" s="123">
        <f t="shared" si="4"/>
        <v>1</v>
      </c>
      <c r="BG30" s="123">
        <f t="shared" si="5"/>
        <v>2</v>
      </c>
      <c r="BH30" s="123">
        <f t="shared" si="6"/>
        <v>1</v>
      </c>
      <c r="BI30" s="123">
        <f t="shared" si="7"/>
        <v>0</v>
      </c>
      <c r="BJ30" s="127"/>
      <c r="BN30" s="43">
        <f t="shared" si="14"/>
        <v>0</v>
      </c>
      <c r="BO30" s="43">
        <f t="shared" si="15"/>
        <v>0</v>
      </c>
      <c r="BP30" s="43">
        <f t="shared" si="16"/>
        <v>1</v>
      </c>
      <c r="BQ30" s="43">
        <f t="shared" si="17"/>
        <v>0</v>
      </c>
      <c r="BR30" s="43">
        <f t="shared" si="18"/>
        <v>0</v>
      </c>
      <c r="BS30" s="43">
        <f t="shared" si="19"/>
        <v>0</v>
      </c>
      <c r="BT30" s="43">
        <f t="shared" si="20"/>
        <v>0</v>
      </c>
      <c r="BU30" s="1">
        <f t="shared" si="21"/>
        <v>0</v>
      </c>
    </row>
    <row r="31" spans="1:73">
      <c r="A31" s="115">
        <v>22</v>
      </c>
      <c r="B31" s="116" t="s">
        <v>90</v>
      </c>
      <c r="C31" s="117" t="s">
        <v>91</v>
      </c>
      <c r="D31" s="109" t="s">
        <v>77</v>
      </c>
      <c r="E31" s="118">
        <v>42612</v>
      </c>
      <c r="F31" s="118">
        <v>46086</v>
      </c>
      <c r="G31" s="119">
        <f t="shared" si="22"/>
        <v>9.5178082191780824</v>
      </c>
      <c r="H31" s="116">
        <v>1</v>
      </c>
      <c r="I31" s="116">
        <v>0</v>
      </c>
      <c r="J31" s="116">
        <v>0</v>
      </c>
      <c r="K31" s="116">
        <v>0</v>
      </c>
      <c r="L31" s="120">
        <v>0</v>
      </c>
      <c r="M31" s="116">
        <v>0</v>
      </c>
      <c r="N31" s="116">
        <v>1</v>
      </c>
      <c r="O31" s="116">
        <v>0</v>
      </c>
      <c r="P31" s="116">
        <v>1</v>
      </c>
      <c r="Q31" s="116">
        <v>1</v>
      </c>
      <c r="R31" s="116">
        <v>0</v>
      </c>
      <c r="S31" s="116">
        <v>0</v>
      </c>
      <c r="T31" s="116">
        <v>0</v>
      </c>
      <c r="U31" s="116">
        <v>0</v>
      </c>
      <c r="V31" s="116">
        <v>0</v>
      </c>
      <c r="W31" s="116">
        <v>0</v>
      </c>
      <c r="X31" s="121">
        <v>0</v>
      </c>
      <c r="Y31" s="116">
        <v>0</v>
      </c>
      <c r="Z31" s="116">
        <v>0</v>
      </c>
      <c r="AA31" s="116">
        <v>1</v>
      </c>
      <c r="AB31" s="120">
        <v>0</v>
      </c>
      <c r="AC31" s="116">
        <v>1</v>
      </c>
      <c r="AD31" s="120">
        <v>0</v>
      </c>
      <c r="AE31" s="116">
        <v>0</v>
      </c>
      <c r="AF31" s="116">
        <v>0</v>
      </c>
      <c r="AG31" s="116">
        <v>0</v>
      </c>
      <c r="AH31" s="116">
        <v>0</v>
      </c>
      <c r="AI31" s="116">
        <v>1</v>
      </c>
      <c r="AJ31" s="116">
        <v>1</v>
      </c>
      <c r="AK31" s="116">
        <v>0</v>
      </c>
      <c r="AL31" s="122">
        <v>0</v>
      </c>
      <c r="AM31" s="116">
        <v>1</v>
      </c>
      <c r="AN31" s="120">
        <v>0</v>
      </c>
      <c r="AO31" s="120">
        <v>0</v>
      </c>
      <c r="AP31" s="116">
        <v>1</v>
      </c>
      <c r="AQ31" s="116">
        <v>0</v>
      </c>
      <c r="AR31" s="116">
        <v>1</v>
      </c>
      <c r="AS31" s="116">
        <v>0</v>
      </c>
      <c r="AT31" s="116">
        <v>0</v>
      </c>
      <c r="AU31" s="116">
        <v>1</v>
      </c>
      <c r="AV31" s="120">
        <v>0</v>
      </c>
      <c r="AW31" s="116">
        <v>0</v>
      </c>
      <c r="AX31" s="123">
        <f t="shared" si="8"/>
        <v>4</v>
      </c>
      <c r="AY31" s="123">
        <f t="shared" si="9"/>
        <v>2</v>
      </c>
      <c r="AZ31" s="123">
        <f t="shared" si="10"/>
        <v>6</v>
      </c>
      <c r="BA31" s="124">
        <f t="shared" si="11"/>
        <v>4</v>
      </c>
      <c r="BB31" s="125">
        <f t="shared" si="12"/>
        <v>0.30769230769230771</v>
      </c>
      <c r="BC31" s="126" t="str">
        <f t="shared" si="13"/>
        <v>Emerging (Low Proficient)</v>
      </c>
      <c r="BD31" s="123">
        <f t="shared" si="2"/>
        <v>3</v>
      </c>
      <c r="BE31" s="123">
        <f t="shared" si="3"/>
        <v>1</v>
      </c>
      <c r="BF31" s="123">
        <f t="shared" si="4"/>
        <v>0</v>
      </c>
      <c r="BG31" s="123">
        <f t="shared" si="5"/>
        <v>1</v>
      </c>
      <c r="BH31" s="123">
        <f t="shared" si="6"/>
        <v>1</v>
      </c>
      <c r="BI31" s="123">
        <f t="shared" si="7"/>
        <v>2</v>
      </c>
      <c r="BJ31" s="127"/>
      <c r="BN31" s="43">
        <f t="shared" si="14"/>
        <v>0</v>
      </c>
      <c r="BO31" s="43">
        <f t="shared" si="15"/>
        <v>0</v>
      </c>
      <c r="BP31" s="43">
        <f t="shared" si="16"/>
        <v>0</v>
      </c>
      <c r="BQ31" s="43">
        <f t="shared" si="17"/>
        <v>0</v>
      </c>
      <c r="BR31" s="43">
        <f t="shared" si="18"/>
        <v>0</v>
      </c>
      <c r="BS31" s="43">
        <f t="shared" si="19"/>
        <v>0</v>
      </c>
      <c r="BT31" s="43">
        <f t="shared" si="20"/>
        <v>1</v>
      </c>
      <c r="BU31" s="1">
        <f t="shared" si="21"/>
        <v>0</v>
      </c>
    </row>
    <row r="32" spans="1:73">
      <c r="A32" s="115">
        <v>23</v>
      </c>
      <c r="B32" s="116" t="s">
        <v>92</v>
      </c>
      <c r="C32" s="117" t="s">
        <v>93</v>
      </c>
      <c r="D32" s="109" t="s">
        <v>77</v>
      </c>
      <c r="E32" s="118">
        <v>42423</v>
      </c>
      <c r="F32" s="118">
        <v>46086</v>
      </c>
      <c r="G32" s="119">
        <f t="shared" si="22"/>
        <v>10.035616438356165</v>
      </c>
      <c r="H32" s="116">
        <v>1</v>
      </c>
      <c r="I32" s="116">
        <v>1</v>
      </c>
      <c r="J32" s="116">
        <v>0</v>
      </c>
      <c r="K32" s="116">
        <v>1</v>
      </c>
      <c r="L32" s="120">
        <v>0</v>
      </c>
      <c r="M32" s="116">
        <v>1</v>
      </c>
      <c r="N32" s="116">
        <v>1</v>
      </c>
      <c r="O32" s="116">
        <v>1</v>
      </c>
      <c r="P32" s="116">
        <v>1</v>
      </c>
      <c r="Q32" s="116">
        <v>0</v>
      </c>
      <c r="R32" s="116">
        <v>0</v>
      </c>
      <c r="S32" s="116">
        <v>0</v>
      </c>
      <c r="T32" s="116">
        <v>0</v>
      </c>
      <c r="U32" s="116">
        <v>0</v>
      </c>
      <c r="V32" s="116">
        <v>1</v>
      </c>
      <c r="W32" s="116">
        <v>0</v>
      </c>
      <c r="X32" s="121">
        <v>0</v>
      </c>
      <c r="Y32" s="116">
        <v>1</v>
      </c>
      <c r="Z32" s="116">
        <v>0</v>
      </c>
      <c r="AA32" s="116">
        <v>0</v>
      </c>
      <c r="AB32" s="120">
        <v>0</v>
      </c>
      <c r="AC32" s="116">
        <v>0</v>
      </c>
      <c r="AD32" s="120">
        <v>0</v>
      </c>
      <c r="AE32" s="116">
        <v>0</v>
      </c>
      <c r="AF32" s="116">
        <v>0</v>
      </c>
      <c r="AG32" s="116">
        <v>0</v>
      </c>
      <c r="AH32" s="116">
        <v>0</v>
      </c>
      <c r="AI32" s="116">
        <v>0</v>
      </c>
      <c r="AJ32" s="116">
        <v>0</v>
      </c>
      <c r="AK32" s="116">
        <v>0</v>
      </c>
      <c r="AL32" s="122">
        <v>0</v>
      </c>
      <c r="AM32" s="116">
        <v>1</v>
      </c>
      <c r="AN32" s="120">
        <v>0</v>
      </c>
      <c r="AO32" s="120">
        <v>0</v>
      </c>
      <c r="AP32" s="116">
        <v>1</v>
      </c>
      <c r="AQ32" s="116">
        <v>1</v>
      </c>
      <c r="AR32" s="116">
        <v>0</v>
      </c>
      <c r="AS32" s="116">
        <v>1</v>
      </c>
      <c r="AT32" s="116">
        <v>1</v>
      </c>
      <c r="AU32" s="116">
        <v>1</v>
      </c>
      <c r="AV32" s="120">
        <v>0</v>
      </c>
      <c r="AW32" s="116">
        <v>1</v>
      </c>
      <c r="AX32" s="123">
        <f t="shared" si="8"/>
        <v>7</v>
      </c>
      <c r="AY32" s="123">
        <f t="shared" si="9"/>
        <v>2</v>
      </c>
      <c r="AZ32" s="123">
        <f t="shared" si="10"/>
        <v>7</v>
      </c>
      <c r="BA32" s="124">
        <f t="shared" si="11"/>
        <v>7</v>
      </c>
      <c r="BB32" s="125">
        <f t="shared" si="12"/>
        <v>0.53846153846153844</v>
      </c>
      <c r="BC32" s="126" t="str">
        <f t="shared" si="13"/>
        <v>Developing (Nearly Proficient)</v>
      </c>
      <c r="BD32" s="123">
        <f t="shared" si="2"/>
        <v>5</v>
      </c>
      <c r="BE32" s="123">
        <f t="shared" si="3"/>
        <v>1</v>
      </c>
      <c r="BF32" s="123">
        <f t="shared" si="4"/>
        <v>1</v>
      </c>
      <c r="BG32" s="123">
        <f t="shared" si="5"/>
        <v>3</v>
      </c>
      <c r="BH32" s="123">
        <f t="shared" si="6"/>
        <v>3</v>
      </c>
      <c r="BI32" s="123">
        <f t="shared" si="7"/>
        <v>1</v>
      </c>
      <c r="BJ32" s="127"/>
      <c r="BN32" s="43">
        <f t="shared" si="14"/>
        <v>0</v>
      </c>
      <c r="BO32" s="43">
        <f t="shared" si="15"/>
        <v>0</v>
      </c>
      <c r="BP32" s="43">
        <f t="shared" si="16"/>
        <v>1</v>
      </c>
      <c r="BQ32" s="43">
        <f t="shared" si="17"/>
        <v>0</v>
      </c>
      <c r="BR32" s="43">
        <f t="shared" si="18"/>
        <v>1</v>
      </c>
      <c r="BS32" s="43">
        <f t="shared" si="19"/>
        <v>0</v>
      </c>
      <c r="BT32" s="43">
        <f t="shared" si="20"/>
        <v>0</v>
      </c>
      <c r="BU32" s="1">
        <f t="shared" si="21"/>
        <v>0</v>
      </c>
    </row>
    <row r="33" spans="1:73">
      <c r="A33" s="115">
        <v>24</v>
      </c>
      <c r="B33" s="116" t="s">
        <v>94</v>
      </c>
      <c r="C33" s="117" t="s">
        <v>95</v>
      </c>
      <c r="D33" s="109" t="s">
        <v>77</v>
      </c>
      <c r="E33" s="118">
        <v>42492</v>
      </c>
      <c r="F33" s="118">
        <v>46086</v>
      </c>
      <c r="G33" s="119">
        <f t="shared" si="22"/>
        <v>9.8465753424657532</v>
      </c>
      <c r="H33" s="116">
        <v>1</v>
      </c>
      <c r="I33" s="116">
        <v>1</v>
      </c>
      <c r="J33" s="116">
        <v>0</v>
      </c>
      <c r="K33" s="116">
        <v>1</v>
      </c>
      <c r="L33" s="120">
        <v>0</v>
      </c>
      <c r="M33" s="116">
        <v>1</v>
      </c>
      <c r="N33" s="116">
        <v>0</v>
      </c>
      <c r="O33" s="116">
        <v>1</v>
      </c>
      <c r="P33" s="116">
        <v>0</v>
      </c>
      <c r="Q33" s="116">
        <v>0</v>
      </c>
      <c r="R33" s="116">
        <v>0</v>
      </c>
      <c r="S33" s="116">
        <v>0</v>
      </c>
      <c r="T33" s="116">
        <v>1</v>
      </c>
      <c r="U33" s="116">
        <v>1</v>
      </c>
      <c r="V33" s="116">
        <v>0</v>
      </c>
      <c r="W33" s="116">
        <v>0</v>
      </c>
      <c r="X33" s="121">
        <v>0</v>
      </c>
      <c r="Y33" s="116">
        <v>0</v>
      </c>
      <c r="Z33" s="116">
        <v>1</v>
      </c>
      <c r="AA33" s="116">
        <v>1</v>
      </c>
      <c r="AB33" s="120">
        <v>0</v>
      </c>
      <c r="AC33" s="116">
        <v>1</v>
      </c>
      <c r="AD33" s="120">
        <v>0</v>
      </c>
      <c r="AE33" s="116">
        <v>0</v>
      </c>
      <c r="AF33" s="116">
        <v>0</v>
      </c>
      <c r="AG33" s="116">
        <v>0</v>
      </c>
      <c r="AH33" s="116">
        <v>0</v>
      </c>
      <c r="AI33" s="116">
        <v>0</v>
      </c>
      <c r="AJ33" s="116">
        <v>0</v>
      </c>
      <c r="AK33" s="116">
        <v>0</v>
      </c>
      <c r="AL33" s="122">
        <v>0</v>
      </c>
      <c r="AM33" s="116">
        <v>0</v>
      </c>
      <c r="AN33" s="120">
        <v>0</v>
      </c>
      <c r="AO33" s="120">
        <v>0</v>
      </c>
      <c r="AP33" s="116">
        <v>0</v>
      </c>
      <c r="AQ33" s="116">
        <v>0</v>
      </c>
      <c r="AR33" s="116">
        <v>0</v>
      </c>
      <c r="AS33" s="116">
        <v>0</v>
      </c>
      <c r="AT33" s="116">
        <v>0</v>
      </c>
      <c r="AU33" s="116">
        <v>0</v>
      </c>
      <c r="AV33" s="120">
        <v>0</v>
      </c>
      <c r="AW33" s="116">
        <v>1</v>
      </c>
      <c r="AX33" s="123">
        <f t="shared" si="8"/>
        <v>5</v>
      </c>
      <c r="AY33" s="123">
        <f t="shared" si="9"/>
        <v>5</v>
      </c>
      <c r="AZ33" s="123">
        <f t="shared" si="10"/>
        <v>1</v>
      </c>
      <c r="BA33" s="124">
        <f t="shared" si="11"/>
        <v>5</v>
      </c>
      <c r="BB33" s="125">
        <f t="shared" si="12"/>
        <v>0.38461538461538464</v>
      </c>
      <c r="BC33" s="126" t="str">
        <f t="shared" si="13"/>
        <v>Developing (Nearly Proficient)</v>
      </c>
      <c r="BD33" s="123">
        <f t="shared" si="2"/>
        <v>4</v>
      </c>
      <c r="BE33" s="123">
        <f t="shared" si="3"/>
        <v>0</v>
      </c>
      <c r="BF33" s="123">
        <f t="shared" si="4"/>
        <v>1</v>
      </c>
      <c r="BG33" s="123">
        <f t="shared" si="5"/>
        <v>3</v>
      </c>
      <c r="BH33" s="123">
        <f t="shared" si="6"/>
        <v>2</v>
      </c>
      <c r="BI33" s="123">
        <f t="shared" si="7"/>
        <v>0</v>
      </c>
      <c r="BJ33" s="127"/>
      <c r="BN33" s="43">
        <f t="shared" si="14"/>
        <v>0</v>
      </c>
      <c r="BO33" s="43">
        <f t="shared" si="15"/>
        <v>0</v>
      </c>
      <c r="BP33" s="43">
        <f t="shared" si="16"/>
        <v>1</v>
      </c>
      <c r="BQ33" s="43">
        <f t="shared" si="17"/>
        <v>0</v>
      </c>
      <c r="BR33" s="43">
        <f t="shared" si="18"/>
        <v>1</v>
      </c>
      <c r="BS33" s="43">
        <f t="shared" si="19"/>
        <v>0</v>
      </c>
      <c r="BT33" s="43">
        <f t="shared" si="20"/>
        <v>0</v>
      </c>
      <c r="BU33" s="1">
        <f t="shared" si="21"/>
        <v>0</v>
      </c>
    </row>
    <row r="34" spans="1:73">
      <c r="A34" s="115">
        <v>25</v>
      </c>
      <c r="B34" s="116"/>
      <c r="C34" s="117"/>
      <c r="D34" s="109"/>
      <c r="E34" s="118"/>
      <c r="F34" s="118"/>
      <c r="G34" s="119" t="str">
        <f t="shared" si="22"/>
        <v/>
      </c>
      <c r="H34" s="116"/>
      <c r="I34" s="116"/>
      <c r="J34" s="116"/>
      <c r="K34" s="116"/>
      <c r="L34" s="120"/>
      <c r="M34" s="116"/>
      <c r="N34" s="116"/>
      <c r="O34" s="116"/>
      <c r="P34" s="116"/>
      <c r="Q34" s="116"/>
      <c r="R34" s="116"/>
      <c r="S34" s="116"/>
      <c r="T34" s="116"/>
      <c r="U34" s="116"/>
      <c r="V34" s="116"/>
      <c r="W34" s="116"/>
      <c r="X34" s="121"/>
      <c r="Y34" s="116"/>
      <c r="Z34" s="116"/>
      <c r="AA34" s="116"/>
      <c r="AB34" s="120"/>
      <c r="AC34" s="116"/>
      <c r="AD34" s="120"/>
      <c r="AE34" s="116"/>
      <c r="AF34" s="116"/>
      <c r="AG34" s="116"/>
      <c r="AH34" s="116"/>
      <c r="AI34" s="116"/>
      <c r="AJ34" s="116"/>
      <c r="AK34" s="116"/>
      <c r="AL34" s="122"/>
      <c r="AM34" s="116"/>
      <c r="AN34" s="120"/>
      <c r="AO34" s="120"/>
      <c r="AP34" s="116"/>
      <c r="AQ34" s="116"/>
      <c r="AR34" s="116"/>
      <c r="AS34" s="116"/>
      <c r="AT34" s="116"/>
      <c r="AU34" s="116"/>
      <c r="AV34" s="120"/>
      <c r="AW34" s="116"/>
      <c r="AX34" s="123" t="str">
        <f t="shared" si="8"/>
        <v/>
      </c>
      <c r="AY34" s="123" t="str">
        <f t="shared" si="9"/>
        <v/>
      </c>
      <c r="AZ34" s="123" t="str">
        <f t="shared" si="10"/>
        <v/>
      </c>
      <c r="BA34" s="124" t="str">
        <f t="shared" si="11"/>
        <v/>
      </c>
      <c r="BB34" s="125" t="str">
        <f t="shared" si="12"/>
        <v/>
      </c>
      <c r="BC34" s="126" t="str">
        <f t="shared" si="13"/>
        <v/>
      </c>
      <c r="BD34" s="123">
        <f t="shared" si="2"/>
        <v>0</v>
      </c>
      <c r="BE34" s="123">
        <f t="shared" si="3"/>
        <v>0</v>
      </c>
      <c r="BF34" s="123">
        <f t="shared" si="4"/>
        <v>0</v>
      </c>
      <c r="BG34" s="123">
        <f t="shared" si="5"/>
        <v>0</v>
      </c>
      <c r="BH34" s="123">
        <f t="shared" si="6"/>
        <v>0</v>
      </c>
      <c r="BI34" s="123">
        <f t="shared" si="7"/>
        <v>0</v>
      </c>
      <c r="BJ34" s="127"/>
      <c r="BN34" s="43" t="str">
        <f t="shared" si="14"/>
        <v/>
      </c>
      <c r="BO34" s="43" t="str">
        <f t="shared" si="15"/>
        <v/>
      </c>
      <c r="BP34" s="43" t="str">
        <f t="shared" si="16"/>
        <v/>
      </c>
      <c r="BQ34" s="43" t="str">
        <f t="shared" si="17"/>
        <v/>
      </c>
      <c r="BR34" s="43" t="str">
        <f t="shared" si="18"/>
        <v/>
      </c>
      <c r="BS34" s="43" t="str">
        <f t="shared" si="19"/>
        <v/>
      </c>
      <c r="BT34" s="43" t="str">
        <f t="shared" si="20"/>
        <v/>
      </c>
      <c r="BU34" s="1" t="str">
        <f t="shared" si="21"/>
        <v/>
      </c>
    </row>
    <row r="35" spans="1:73">
      <c r="A35" s="115">
        <v>26</v>
      </c>
      <c r="B35" s="116"/>
      <c r="C35" s="117"/>
      <c r="D35" s="109"/>
      <c r="E35" s="118"/>
      <c r="F35" s="118"/>
      <c r="G35" s="119" t="str">
        <f t="shared" si="22"/>
        <v/>
      </c>
      <c r="H35" s="116"/>
      <c r="I35" s="116"/>
      <c r="J35" s="116"/>
      <c r="K35" s="116"/>
      <c r="L35" s="120"/>
      <c r="M35" s="116"/>
      <c r="N35" s="116"/>
      <c r="O35" s="116"/>
      <c r="P35" s="116"/>
      <c r="Q35" s="116"/>
      <c r="R35" s="116"/>
      <c r="S35" s="116"/>
      <c r="T35" s="116"/>
      <c r="U35" s="116"/>
      <c r="V35" s="116"/>
      <c r="W35" s="116"/>
      <c r="X35" s="121"/>
      <c r="Y35" s="116"/>
      <c r="Z35" s="116"/>
      <c r="AA35" s="116"/>
      <c r="AB35" s="120"/>
      <c r="AC35" s="116"/>
      <c r="AD35" s="120"/>
      <c r="AE35" s="116"/>
      <c r="AF35" s="116"/>
      <c r="AG35" s="116"/>
      <c r="AH35" s="116"/>
      <c r="AI35" s="116"/>
      <c r="AJ35" s="116"/>
      <c r="AK35" s="116"/>
      <c r="AL35" s="122"/>
      <c r="AM35" s="116"/>
      <c r="AN35" s="120"/>
      <c r="AO35" s="120"/>
      <c r="AP35" s="116"/>
      <c r="AQ35" s="116"/>
      <c r="AR35" s="116"/>
      <c r="AS35" s="116"/>
      <c r="AT35" s="116"/>
      <c r="AU35" s="116"/>
      <c r="AV35" s="120"/>
      <c r="AW35" s="116"/>
      <c r="AX35" s="123" t="str">
        <f t="shared" si="8"/>
        <v/>
      </c>
      <c r="AY35" s="123" t="str">
        <f t="shared" si="9"/>
        <v/>
      </c>
      <c r="AZ35" s="123" t="str">
        <f t="shared" si="10"/>
        <v/>
      </c>
      <c r="BA35" s="124" t="str">
        <f t="shared" si="11"/>
        <v/>
      </c>
      <c r="BB35" s="125" t="str">
        <f t="shared" si="12"/>
        <v/>
      </c>
      <c r="BC35" s="126" t="str">
        <f t="shared" si="13"/>
        <v/>
      </c>
      <c r="BD35" s="123">
        <f t="shared" si="2"/>
        <v>0</v>
      </c>
      <c r="BE35" s="123">
        <f t="shared" si="3"/>
        <v>0</v>
      </c>
      <c r="BF35" s="123">
        <f t="shared" si="4"/>
        <v>0</v>
      </c>
      <c r="BG35" s="123">
        <f t="shared" si="5"/>
        <v>0</v>
      </c>
      <c r="BH35" s="123">
        <f t="shared" si="6"/>
        <v>0</v>
      </c>
      <c r="BI35" s="123">
        <f t="shared" si="7"/>
        <v>0</v>
      </c>
      <c r="BJ35" s="127"/>
      <c r="BN35" s="43" t="str">
        <f t="shared" si="14"/>
        <v/>
      </c>
      <c r="BO35" s="43" t="str">
        <f t="shared" si="15"/>
        <v/>
      </c>
      <c r="BP35" s="43" t="str">
        <f t="shared" si="16"/>
        <v/>
      </c>
      <c r="BQ35" s="43" t="str">
        <f t="shared" si="17"/>
        <v/>
      </c>
      <c r="BR35" s="43" t="str">
        <f t="shared" si="18"/>
        <v/>
      </c>
      <c r="BS35" s="43" t="str">
        <f t="shared" si="19"/>
        <v/>
      </c>
      <c r="BT35" s="43" t="str">
        <f t="shared" si="20"/>
        <v/>
      </c>
      <c r="BU35" s="1" t="str">
        <f t="shared" si="21"/>
        <v/>
      </c>
    </row>
    <row r="36" spans="1:73">
      <c r="A36" s="115">
        <v>27</v>
      </c>
      <c r="B36" s="116"/>
      <c r="C36" s="117"/>
      <c r="D36" s="109"/>
      <c r="E36" s="118"/>
      <c r="F36" s="118"/>
      <c r="G36" s="119" t="str">
        <f t="shared" si="22"/>
        <v/>
      </c>
      <c r="H36" s="116"/>
      <c r="I36" s="116"/>
      <c r="J36" s="116"/>
      <c r="K36" s="116"/>
      <c r="L36" s="120"/>
      <c r="M36" s="116"/>
      <c r="N36" s="116"/>
      <c r="O36" s="116"/>
      <c r="P36" s="116"/>
      <c r="Q36" s="116"/>
      <c r="R36" s="116"/>
      <c r="S36" s="116"/>
      <c r="T36" s="116"/>
      <c r="U36" s="116"/>
      <c r="V36" s="116"/>
      <c r="W36" s="116"/>
      <c r="X36" s="121"/>
      <c r="Y36" s="116"/>
      <c r="Z36" s="116"/>
      <c r="AA36" s="116"/>
      <c r="AB36" s="120"/>
      <c r="AC36" s="116"/>
      <c r="AD36" s="120"/>
      <c r="AE36" s="116"/>
      <c r="AF36" s="116"/>
      <c r="AG36" s="116"/>
      <c r="AH36" s="116"/>
      <c r="AI36" s="116"/>
      <c r="AJ36" s="116"/>
      <c r="AK36" s="116"/>
      <c r="AL36" s="122"/>
      <c r="AM36" s="116"/>
      <c r="AN36" s="120"/>
      <c r="AO36" s="120"/>
      <c r="AP36" s="116"/>
      <c r="AQ36" s="116"/>
      <c r="AR36" s="116"/>
      <c r="AS36" s="116"/>
      <c r="AT36" s="116"/>
      <c r="AU36" s="116"/>
      <c r="AV36" s="120"/>
      <c r="AW36" s="116"/>
      <c r="AX36" s="123" t="str">
        <f t="shared" si="8"/>
        <v/>
      </c>
      <c r="AY36" s="123" t="str">
        <f t="shared" si="9"/>
        <v/>
      </c>
      <c r="AZ36" s="123" t="str">
        <f t="shared" si="10"/>
        <v/>
      </c>
      <c r="BA36" s="124" t="str">
        <f t="shared" si="11"/>
        <v/>
      </c>
      <c r="BB36" s="125" t="str">
        <f t="shared" si="12"/>
        <v/>
      </c>
      <c r="BC36" s="126" t="str">
        <f t="shared" si="13"/>
        <v/>
      </c>
      <c r="BD36" s="123">
        <f t="shared" si="2"/>
        <v>0</v>
      </c>
      <c r="BE36" s="123">
        <f t="shared" si="3"/>
        <v>0</v>
      </c>
      <c r="BF36" s="123">
        <f t="shared" si="4"/>
        <v>0</v>
      </c>
      <c r="BG36" s="123">
        <f t="shared" si="5"/>
        <v>0</v>
      </c>
      <c r="BH36" s="123">
        <f t="shared" si="6"/>
        <v>0</v>
      </c>
      <c r="BI36" s="123">
        <f t="shared" si="7"/>
        <v>0</v>
      </c>
      <c r="BJ36" s="127"/>
      <c r="BN36" s="43" t="str">
        <f t="shared" si="14"/>
        <v/>
      </c>
      <c r="BO36" s="43" t="str">
        <f t="shared" si="15"/>
        <v/>
      </c>
      <c r="BP36" s="43" t="str">
        <f t="shared" si="16"/>
        <v/>
      </c>
      <c r="BQ36" s="43" t="str">
        <f t="shared" si="17"/>
        <v/>
      </c>
      <c r="BR36" s="43" t="str">
        <f t="shared" si="18"/>
        <v/>
      </c>
      <c r="BS36" s="43" t="str">
        <f t="shared" si="19"/>
        <v/>
      </c>
      <c r="BT36" s="43" t="str">
        <f t="shared" si="20"/>
        <v/>
      </c>
      <c r="BU36" s="1" t="str">
        <f t="shared" si="21"/>
        <v/>
      </c>
    </row>
    <row r="37" spans="1:73">
      <c r="A37" s="115">
        <v>28</v>
      </c>
      <c r="B37" s="116"/>
      <c r="C37" s="117"/>
      <c r="D37" s="109"/>
      <c r="E37" s="118"/>
      <c r="F37" s="118"/>
      <c r="G37" s="119" t="str">
        <f t="shared" si="22"/>
        <v/>
      </c>
      <c r="H37" s="116"/>
      <c r="I37" s="116"/>
      <c r="J37" s="116"/>
      <c r="K37" s="116"/>
      <c r="L37" s="120"/>
      <c r="M37" s="116"/>
      <c r="N37" s="116"/>
      <c r="O37" s="116"/>
      <c r="P37" s="116"/>
      <c r="Q37" s="116"/>
      <c r="R37" s="116"/>
      <c r="S37" s="116"/>
      <c r="T37" s="116"/>
      <c r="U37" s="116"/>
      <c r="V37" s="116"/>
      <c r="W37" s="116"/>
      <c r="X37" s="121"/>
      <c r="Y37" s="116"/>
      <c r="Z37" s="116"/>
      <c r="AA37" s="116"/>
      <c r="AB37" s="120"/>
      <c r="AC37" s="116"/>
      <c r="AD37" s="120"/>
      <c r="AE37" s="116"/>
      <c r="AF37" s="116"/>
      <c r="AG37" s="116"/>
      <c r="AH37" s="116"/>
      <c r="AI37" s="116"/>
      <c r="AJ37" s="116"/>
      <c r="AK37" s="116"/>
      <c r="AL37" s="122"/>
      <c r="AM37" s="116"/>
      <c r="AN37" s="120"/>
      <c r="AO37" s="120"/>
      <c r="AP37" s="116"/>
      <c r="AQ37" s="116"/>
      <c r="AR37" s="116"/>
      <c r="AS37" s="116"/>
      <c r="AT37" s="116"/>
      <c r="AU37" s="116"/>
      <c r="AV37" s="120"/>
      <c r="AW37" s="116"/>
      <c r="AX37" s="123" t="str">
        <f t="shared" si="8"/>
        <v/>
      </c>
      <c r="AY37" s="123" t="str">
        <f t="shared" si="9"/>
        <v/>
      </c>
      <c r="AZ37" s="123" t="str">
        <f t="shared" si="10"/>
        <v/>
      </c>
      <c r="BA37" s="124" t="str">
        <f t="shared" si="11"/>
        <v/>
      </c>
      <c r="BB37" s="125" t="str">
        <f t="shared" si="12"/>
        <v/>
      </c>
      <c r="BC37" s="126" t="str">
        <f t="shared" si="13"/>
        <v/>
      </c>
      <c r="BD37" s="123">
        <f t="shared" si="2"/>
        <v>0</v>
      </c>
      <c r="BE37" s="123">
        <f t="shared" si="3"/>
        <v>0</v>
      </c>
      <c r="BF37" s="123">
        <f t="shared" si="4"/>
        <v>0</v>
      </c>
      <c r="BG37" s="123">
        <f t="shared" si="5"/>
        <v>0</v>
      </c>
      <c r="BH37" s="123">
        <f t="shared" si="6"/>
        <v>0</v>
      </c>
      <c r="BI37" s="123">
        <f t="shared" si="7"/>
        <v>0</v>
      </c>
      <c r="BJ37" s="127"/>
      <c r="BN37" s="43" t="str">
        <f t="shared" si="14"/>
        <v/>
      </c>
      <c r="BO37" s="43" t="str">
        <f t="shared" si="15"/>
        <v/>
      </c>
      <c r="BP37" s="43" t="str">
        <f t="shared" si="16"/>
        <v/>
      </c>
      <c r="BQ37" s="43" t="str">
        <f t="shared" si="17"/>
        <v/>
      </c>
      <c r="BR37" s="43" t="str">
        <f t="shared" si="18"/>
        <v/>
      </c>
      <c r="BS37" s="43" t="str">
        <f t="shared" si="19"/>
        <v/>
      </c>
      <c r="BT37" s="43" t="str">
        <f t="shared" si="20"/>
        <v/>
      </c>
      <c r="BU37" s="1" t="str">
        <f t="shared" si="21"/>
        <v/>
      </c>
    </row>
    <row r="38" spans="1:73">
      <c r="A38" s="115">
        <v>29</v>
      </c>
      <c r="B38" s="116"/>
      <c r="C38" s="117"/>
      <c r="D38" s="109"/>
      <c r="E38" s="118"/>
      <c r="F38" s="118"/>
      <c r="G38" s="119" t="str">
        <f t="shared" si="22"/>
        <v/>
      </c>
      <c r="H38" s="116"/>
      <c r="I38" s="116"/>
      <c r="J38" s="116"/>
      <c r="K38" s="116"/>
      <c r="L38" s="120"/>
      <c r="M38" s="116"/>
      <c r="N38" s="116"/>
      <c r="O38" s="116"/>
      <c r="P38" s="116"/>
      <c r="Q38" s="116"/>
      <c r="R38" s="116"/>
      <c r="S38" s="116"/>
      <c r="T38" s="116"/>
      <c r="U38" s="116"/>
      <c r="V38" s="116"/>
      <c r="W38" s="116"/>
      <c r="X38" s="121"/>
      <c r="Y38" s="116"/>
      <c r="Z38" s="116"/>
      <c r="AA38" s="116"/>
      <c r="AB38" s="120"/>
      <c r="AC38" s="116"/>
      <c r="AD38" s="120"/>
      <c r="AE38" s="116"/>
      <c r="AF38" s="116"/>
      <c r="AG38" s="116"/>
      <c r="AH38" s="116"/>
      <c r="AI38" s="116"/>
      <c r="AJ38" s="116"/>
      <c r="AK38" s="116"/>
      <c r="AL38" s="122"/>
      <c r="AM38" s="116"/>
      <c r="AN38" s="120"/>
      <c r="AO38" s="120"/>
      <c r="AP38" s="116"/>
      <c r="AQ38" s="116"/>
      <c r="AR38" s="116"/>
      <c r="AS38" s="116"/>
      <c r="AT38" s="116"/>
      <c r="AU38" s="116"/>
      <c r="AV38" s="120"/>
      <c r="AW38" s="116"/>
      <c r="AX38" s="123" t="str">
        <f t="shared" si="8"/>
        <v/>
      </c>
      <c r="AY38" s="123" t="str">
        <f t="shared" si="9"/>
        <v/>
      </c>
      <c r="AZ38" s="123" t="str">
        <f t="shared" si="10"/>
        <v/>
      </c>
      <c r="BA38" s="124" t="str">
        <f t="shared" si="11"/>
        <v/>
      </c>
      <c r="BB38" s="125" t="str">
        <f t="shared" si="12"/>
        <v/>
      </c>
      <c r="BC38" s="126" t="str">
        <f t="shared" si="13"/>
        <v/>
      </c>
      <c r="BD38" s="123">
        <f t="shared" si="2"/>
        <v>0</v>
      </c>
      <c r="BE38" s="123">
        <f t="shared" si="3"/>
        <v>0</v>
      </c>
      <c r="BF38" s="123">
        <f t="shared" si="4"/>
        <v>0</v>
      </c>
      <c r="BG38" s="123">
        <f t="shared" si="5"/>
        <v>0</v>
      </c>
      <c r="BH38" s="123">
        <f t="shared" si="6"/>
        <v>0</v>
      </c>
      <c r="BI38" s="123">
        <f t="shared" si="7"/>
        <v>0</v>
      </c>
      <c r="BJ38" s="127"/>
      <c r="BN38" s="43" t="str">
        <f t="shared" si="14"/>
        <v/>
      </c>
      <c r="BO38" s="43" t="str">
        <f t="shared" si="15"/>
        <v/>
      </c>
      <c r="BP38" s="43" t="str">
        <f t="shared" si="16"/>
        <v/>
      </c>
      <c r="BQ38" s="43" t="str">
        <f t="shared" si="17"/>
        <v/>
      </c>
      <c r="BR38" s="43" t="str">
        <f t="shared" si="18"/>
        <v/>
      </c>
      <c r="BS38" s="43" t="str">
        <f t="shared" si="19"/>
        <v/>
      </c>
      <c r="BT38" s="43" t="str">
        <f t="shared" si="20"/>
        <v/>
      </c>
      <c r="BU38" s="1" t="str">
        <f t="shared" si="21"/>
        <v/>
      </c>
    </row>
    <row r="39" spans="1:73">
      <c r="A39" s="115">
        <v>30</v>
      </c>
      <c r="B39" s="116"/>
      <c r="C39" s="117"/>
      <c r="D39" s="109"/>
      <c r="E39" s="118"/>
      <c r="F39" s="118"/>
      <c r="G39" s="119" t="str">
        <f t="shared" si="22"/>
        <v/>
      </c>
      <c r="H39" s="116"/>
      <c r="I39" s="116"/>
      <c r="J39" s="116"/>
      <c r="K39" s="116"/>
      <c r="L39" s="120"/>
      <c r="M39" s="116"/>
      <c r="N39" s="116"/>
      <c r="O39" s="116"/>
      <c r="P39" s="116"/>
      <c r="Q39" s="116"/>
      <c r="R39" s="116"/>
      <c r="S39" s="116"/>
      <c r="T39" s="116"/>
      <c r="U39" s="116"/>
      <c r="V39" s="116"/>
      <c r="W39" s="116"/>
      <c r="X39" s="121"/>
      <c r="Y39" s="116"/>
      <c r="Z39" s="116"/>
      <c r="AA39" s="116"/>
      <c r="AB39" s="120"/>
      <c r="AC39" s="116"/>
      <c r="AD39" s="120"/>
      <c r="AE39" s="116"/>
      <c r="AF39" s="116"/>
      <c r="AG39" s="116"/>
      <c r="AH39" s="116"/>
      <c r="AI39" s="116"/>
      <c r="AJ39" s="116"/>
      <c r="AK39" s="116"/>
      <c r="AL39" s="122"/>
      <c r="AM39" s="116"/>
      <c r="AN39" s="120"/>
      <c r="AO39" s="120"/>
      <c r="AP39" s="116"/>
      <c r="AQ39" s="116"/>
      <c r="AR39" s="116"/>
      <c r="AS39" s="116"/>
      <c r="AT39" s="116"/>
      <c r="AU39" s="116"/>
      <c r="AV39" s="120"/>
      <c r="AW39" s="116"/>
      <c r="AX39" s="123" t="str">
        <f t="shared" si="8"/>
        <v/>
      </c>
      <c r="AY39" s="123" t="str">
        <f t="shared" si="9"/>
        <v/>
      </c>
      <c r="AZ39" s="123" t="str">
        <f t="shared" si="10"/>
        <v/>
      </c>
      <c r="BA39" s="124" t="str">
        <f t="shared" si="11"/>
        <v/>
      </c>
      <c r="BB39" s="125" t="str">
        <f t="shared" si="12"/>
        <v/>
      </c>
      <c r="BC39" s="126" t="str">
        <f t="shared" si="13"/>
        <v/>
      </c>
      <c r="BD39" s="123">
        <f t="shared" si="2"/>
        <v>0</v>
      </c>
      <c r="BE39" s="123">
        <f t="shared" si="3"/>
        <v>0</v>
      </c>
      <c r="BF39" s="123">
        <f t="shared" si="4"/>
        <v>0</v>
      </c>
      <c r="BG39" s="123">
        <f t="shared" si="5"/>
        <v>0</v>
      </c>
      <c r="BH39" s="123">
        <f t="shared" si="6"/>
        <v>0</v>
      </c>
      <c r="BI39" s="123">
        <f t="shared" si="7"/>
        <v>0</v>
      </c>
      <c r="BJ39" s="127"/>
      <c r="BN39" s="43" t="str">
        <f t="shared" si="14"/>
        <v/>
      </c>
      <c r="BO39" s="43" t="str">
        <f t="shared" si="15"/>
        <v/>
      </c>
      <c r="BP39" s="43" t="str">
        <f t="shared" si="16"/>
        <v/>
      </c>
      <c r="BQ39" s="43" t="str">
        <f t="shared" si="17"/>
        <v/>
      </c>
      <c r="BR39" s="43" t="str">
        <f t="shared" si="18"/>
        <v/>
      </c>
      <c r="BS39" s="43" t="str">
        <f t="shared" si="19"/>
        <v/>
      </c>
      <c r="BT39" s="43" t="str">
        <f t="shared" si="20"/>
        <v/>
      </c>
      <c r="BU39" s="1" t="str">
        <f t="shared" si="21"/>
        <v/>
      </c>
    </row>
    <row r="40" spans="1:73">
      <c r="A40" s="115">
        <v>31</v>
      </c>
      <c r="B40" s="116"/>
      <c r="C40" s="117"/>
      <c r="D40" s="109"/>
      <c r="E40" s="118"/>
      <c r="F40" s="118"/>
      <c r="G40" s="119" t="str">
        <f t="shared" si="22"/>
        <v/>
      </c>
      <c r="H40" s="116"/>
      <c r="I40" s="116"/>
      <c r="J40" s="116"/>
      <c r="K40" s="116"/>
      <c r="L40" s="120"/>
      <c r="M40" s="116"/>
      <c r="N40" s="116"/>
      <c r="O40" s="116"/>
      <c r="P40" s="116"/>
      <c r="Q40" s="116"/>
      <c r="R40" s="116"/>
      <c r="S40" s="116"/>
      <c r="T40" s="116"/>
      <c r="U40" s="116"/>
      <c r="V40" s="116"/>
      <c r="W40" s="116"/>
      <c r="X40" s="121"/>
      <c r="Y40" s="116"/>
      <c r="Z40" s="116"/>
      <c r="AA40" s="116"/>
      <c r="AB40" s="120"/>
      <c r="AC40" s="116"/>
      <c r="AD40" s="120"/>
      <c r="AE40" s="116"/>
      <c r="AF40" s="116"/>
      <c r="AG40" s="116"/>
      <c r="AH40" s="116"/>
      <c r="AI40" s="116"/>
      <c r="AJ40" s="116"/>
      <c r="AK40" s="116"/>
      <c r="AL40" s="122"/>
      <c r="AM40" s="116"/>
      <c r="AN40" s="120"/>
      <c r="AO40" s="120"/>
      <c r="AP40" s="116"/>
      <c r="AQ40" s="116"/>
      <c r="AR40" s="116"/>
      <c r="AS40" s="116"/>
      <c r="AT40" s="116"/>
      <c r="AU40" s="116"/>
      <c r="AV40" s="120"/>
      <c r="AW40" s="116"/>
      <c r="AX40" s="123" t="str">
        <f t="shared" si="8"/>
        <v/>
      </c>
      <c r="AY40" s="123" t="str">
        <f t="shared" si="9"/>
        <v/>
      </c>
      <c r="AZ40" s="123" t="str">
        <f t="shared" si="10"/>
        <v/>
      </c>
      <c r="BA40" s="124" t="str">
        <f t="shared" si="11"/>
        <v/>
      </c>
      <c r="BB40" s="125" t="str">
        <f t="shared" si="12"/>
        <v/>
      </c>
      <c r="BC40" s="126" t="str">
        <f t="shared" si="13"/>
        <v/>
      </c>
      <c r="BD40" s="123">
        <f t="shared" si="2"/>
        <v>0</v>
      </c>
      <c r="BE40" s="123">
        <f t="shared" si="3"/>
        <v>0</v>
      </c>
      <c r="BF40" s="123">
        <f t="shared" si="4"/>
        <v>0</v>
      </c>
      <c r="BG40" s="123">
        <f t="shared" si="5"/>
        <v>0</v>
      </c>
      <c r="BH40" s="123">
        <f t="shared" si="6"/>
        <v>0</v>
      </c>
      <c r="BI40" s="123">
        <f t="shared" si="7"/>
        <v>0</v>
      </c>
      <c r="BJ40" s="127"/>
      <c r="BN40" s="43" t="str">
        <f t="shared" si="14"/>
        <v/>
      </c>
      <c r="BO40" s="43" t="str">
        <f t="shared" si="15"/>
        <v/>
      </c>
      <c r="BP40" s="43" t="str">
        <f t="shared" si="16"/>
        <v/>
      </c>
      <c r="BQ40" s="43" t="str">
        <f t="shared" si="17"/>
        <v/>
      </c>
      <c r="BR40" s="43" t="str">
        <f t="shared" si="18"/>
        <v/>
      </c>
      <c r="BS40" s="43" t="str">
        <f t="shared" si="19"/>
        <v/>
      </c>
      <c r="BT40" s="43" t="str">
        <f t="shared" si="20"/>
        <v/>
      </c>
      <c r="BU40" s="1" t="str">
        <f t="shared" si="21"/>
        <v/>
      </c>
    </row>
    <row r="41" spans="1:73">
      <c r="A41" s="115">
        <v>32</v>
      </c>
      <c r="B41" s="116"/>
      <c r="C41" s="117"/>
      <c r="D41" s="109"/>
      <c r="E41" s="118"/>
      <c r="F41" s="118"/>
      <c r="G41" s="119" t="str">
        <f t="shared" si="22"/>
        <v/>
      </c>
      <c r="H41" s="116"/>
      <c r="I41" s="116"/>
      <c r="J41" s="116"/>
      <c r="K41" s="116"/>
      <c r="L41" s="120"/>
      <c r="M41" s="116"/>
      <c r="N41" s="116"/>
      <c r="O41" s="116"/>
      <c r="P41" s="116"/>
      <c r="Q41" s="116"/>
      <c r="R41" s="116"/>
      <c r="S41" s="116"/>
      <c r="T41" s="116"/>
      <c r="U41" s="116"/>
      <c r="V41" s="116"/>
      <c r="W41" s="116"/>
      <c r="X41" s="121"/>
      <c r="Y41" s="116"/>
      <c r="Z41" s="116"/>
      <c r="AA41" s="116"/>
      <c r="AB41" s="120"/>
      <c r="AC41" s="116"/>
      <c r="AD41" s="120"/>
      <c r="AE41" s="116"/>
      <c r="AF41" s="116"/>
      <c r="AG41" s="116"/>
      <c r="AH41" s="116"/>
      <c r="AI41" s="116"/>
      <c r="AJ41" s="116"/>
      <c r="AK41" s="116"/>
      <c r="AL41" s="122"/>
      <c r="AM41" s="116"/>
      <c r="AN41" s="120"/>
      <c r="AO41" s="120"/>
      <c r="AP41" s="116"/>
      <c r="AQ41" s="116"/>
      <c r="AR41" s="116"/>
      <c r="AS41" s="116"/>
      <c r="AT41" s="116"/>
      <c r="AU41" s="116"/>
      <c r="AV41" s="120"/>
      <c r="AW41" s="116"/>
      <c r="AX41" s="123" t="str">
        <f t="shared" si="8"/>
        <v/>
      </c>
      <c r="AY41" s="123" t="str">
        <f t="shared" si="9"/>
        <v/>
      </c>
      <c r="AZ41" s="123" t="str">
        <f t="shared" si="10"/>
        <v/>
      </c>
      <c r="BA41" s="124" t="str">
        <f t="shared" si="11"/>
        <v/>
      </c>
      <c r="BB41" s="125" t="str">
        <f t="shared" si="12"/>
        <v/>
      </c>
      <c r="BC41" s="126" t="str">
        <f t="shared" si="13"/>
        <v/>
      </c>
      <c r="BD41" s="123">
        <f t="shared" si="2"/>
        <v>0</v>
      </c>
      <c r="BE41" s="123">
        <f t="shared" si="3"/>
        <v>0</v>
      </c>
      <c r="BF41" s="123">
        <f t="shared" si="4"/>
        <v>0</v>
      </c>
      <c r="BG41" s="123">
        <f t="shared" si="5"/>
        <v>0</v>
      </c>
      <c r="BH41" s="123">
        <f t="shared" si="6"/>
        <v>0</v>
      </c>
      <c r="BI41" s="123">
        <f t="shared" si="7"/>
        <v>0</v>
      </c>
      <c r="BJ41" s="127"/>
      <c r="BN41" s="43" t="str">
        <f t="shared" si="14"/>
        <v/>
      </c>
      <c r="BO41" s="43" t="str">
        <f t="shared" si="15"/>
        <v/>
      </c>
      <c r="BP41" s="43" t="str">
        <f t="shared" si="16"/>
        <v/>
      </c>
      <c r="BQ41" s="43" t="str">
        <f t="shared" si="17"/>
        <v/>
      </c>
      <c r="BR41" s="43" t="str">
        <f t="shared" si="18"/>
        <v/>
      </c>
      <c r="BS41" s="43" t="str">
        <f t="shared" si="19"/>
        <v/>
      </c>
      <c r="BT41" s="43" t="str">
        <f t="shared" si="20"/>
        <v/>
      </c>
      <c r="BU41" s="1" t="str">
        <f t="shared" si="21"/>
        <v/>
      </c>
    </row>
    <row r="42" spans="1:73">
      <c r="A42" s="115">
        <v>33</v>
      </c>
      <c r="B42" s="116"/>
      <c r="C42" s="117"/>
      <c r="D42" s="109"/>
      <c r="E42" s="118"/>
      <c r="F42" s="118"/>
      <c r="G42" s="119" t="str">
        <f t="shared" si="22"/>
        <v/>
      </c>
      <c r="H42" s="116"/>
      <c r="I42" s="116"/>
      <c r="J42" s="116"/>
      <c r="K42" s="116"/>
      <c r="L42" s="120"/>
      <c r="M42" s="116"/>
      <c r="N42" s="116"/>
      <c r="O42" s="116"/>
      <c r="P42" s="116"/>
      <c r="Q42" s="116"/>
      <c r="R42" s="116"/>
      <c r="S42" s="116"/>
      <c r="T42" s="116"/>
      <c r="U42" s="116"/>
      <c r="V42" s="116"/>
      <c r="W42" s="116"/>
      <c r="X42" s="121"/>
      <c r="Y42" s="116"/>
      <c r="Z42" s="116"/>
      <c r="AA42" s="116"/>
      <c r="AB42" s="120"/>
      <c r="AC42" s="116"/>
      <c r="AD42" s="120"/>
      <c r="AE42" s="116"/>
      <c r="AF42" s="116"/>
      <c r="AG42" s="116"/>
      <c r="AH42" s="116"/>
      <c r="AI42" s="116"/>
      <c r="AJ42" s="116"/>
      <c r="AK42" s="116"/>
      <c r="AL42" s="122"/>
      <c r="AM42" s="116"/>
      <c r="AN42" s="120"/>
      <c r="AO42" s="120"/>
      <c r="AP42" s="116"/>
      <c r="AQ42" s="116"/>
      <c r="AR42" s="116"/>
      <c r="AS42" s="116"/>
      <c r="AT42" s="116"/>
      <c r="AU42" s="116"/>
      <c r="AV42" s="120"/>
      <c r="AW42" s="116"/>
      <c r="AX42" s="123" t="str">
        <f t="shared" si="8"/>
        <v/>
      </c>
      <c r="AY42" s="123" t="str">
        <f t="shared" si="9"/>
        <v/>
      </c>
      <c r="AZ42" s="123" t="str">
        <f t="shared" si="10"/>
        <v/>
      </c>
      <c r="BA42" s="124" t="str">
        <f t="shared" si="11"/>
        <v/>
      </c>
      <c r="BB42" s="125" t="str">
        <f t="shared" si="12"/>
        <v/>
      </c>
      <c r="BC42" s="126" t="str">
        <f t="shared" si="13"/>
        <v/>
      </c>
      <c r="BD42" s="123">
        <f t="shared" si="2"/>
        <v>0</v>
      </c>
      <c r="BE42" s="123">
        <f t="shared" si="3"/>
        <v>0</v>
      </c>
      <c r="BF42" s="123">
        <f t="shared" si="4"/>
        <v>0</v>
      </c>
      <c r="BG42" s="123">
        <f t="shared" si="5"/>
        <v>0</v>
      </c>
      <c r="BH42" s="123">
        <f t="shared" si="6"/>
        <v>0</v>
      </c>
      <c r="BI42" s="123">
        <f t="shared" si="7"/>
        <v>0</v>
      </c>
      <c r="BJ42" s="127"/>
      <c r="BN42" s="43" t="str">
        <f t="shared" si="14"/>
        <v/>
      </c>
      <c r="BO42" s="43" t="str">
        <f t="shared" si="15"/>
        <v/>
      </c>
      <c r="BP42" s="43" t="str">
        <f t="shared" si="16"/>
        <v/>
      </c>
      <c r="BQ42" s="43" t="str">
        <f t="shared" si="17"/>
        <v/>
      </c>
      <c r="BR42" s="43" t="str">
        <f t="shared" si="18"/>
        <v/>
      </c>
      <c r="BS42" s="43" t="str">
        <f t="shared" si="19"/>
        <v/>
      </c>
      <c r="BT42" s="43" t="str">
        <f t="shared" si="20"/>
        <v/>
      </c>
      <c r="BU42" s="1" t="str">
        <f t="shared" si="21"/>
        <v/>
      </c>
    </row>
    <row r="43" spans="1:73">
      <c r="A43" s="115">
        <v>34</v>
      </c>
      <c r="B43" s="116"/>
      <c r="C43" s="117"/>
      <c r="D43" s="109"/>
      <c r="E43" s="118"/>
      <c r="F43" s="118"/>
      <c r="G43" s="119" t="str">
        <f t="shared" si="22"/>
        <v/>
      </c>
      <c r="H43" s="116"/>
      <c r="I43" s="116"/>
      <c r="J43" s="116"/>
      <c r="K43" s="116"/>
      <c r="L43" s="120"/>
      <c r="M43" s="116"/>
      <c r="N43" s="116"/>
      <c r="O43" s="116"/>
      <c r="P43" s="116"/>
      <c r="Q43" s="116"/>
      <c r="R43" s="116"/>
      <c r="S43" s="116"/>
      <c r="T43" s="116"/>
      <c r="U43" s="116"/>
      <c r="V43" s="116"/>
      <c r="W43" s="116"/>
      <c r="X43" s="121"/>
      <c r="Y43" s="116"/>
      <c r="Z43" s="116"/>
      <c r="AA43" s="116"/>
      <c r="AB43" s="120"/>
      <c r="AC43" s="116"/>
      <c r="AD43" s="120"/>
      <c r="AE43" s="116"/>
      <c r="AF43" s="116"/>
      <c r="AG43" s="116"/>
      <c r="AH43" s="116"/>
      <c r="AI43" s="116"/>
      <c r="AJ43" s="116"/>
      <c r="AK43" s="116"/>
      <c r="AL43" s="122"/>
      <c r="AM43" s="116"/>
      <c r="AN43" s="120"/>
      <c r="AO43" s="120"/>
      <c r="AP43" s="116"/>
      <c r="AQ43" s="116"/>
      <c r="AR43" s="116"/>
      <c r="AS43" s="116"/>
      <c r="AT43" s="116"/>
      <c r="AU43" s="116"/>
      <c r="AV43" s="120"/>
      <c r="AW43" s="116"/>
      <c r="AX43" s="123" t="str">
        <f t="shared" si="8"/>
        <v/>
      </c>
      <c r="AY43" s="123" t="str">
        <f t="shared" si="9"/>
        <v/>
      </c>
      <c r="AZ43" s="123" t="str">
        <f t="shared" si="10"/>
        <v/>
      </c>
      <c r="BA43" s="124" t="str">
        <f t="shared" si="11"/>
        <v/>
      </c>
      <c r="BB43" s="125" t="str">
        <f t="shared" si="12"/>
        <v/>
      </c>
      <c r="BC43" s="126" t="str">
        <f t="shared" si="13"/>
        <v/>
      </c>
      <c r="BD43" s="123">
        <f t="shared" si="2"/>
        <v>0</v>
      </c>
      <c r="BE43" s="123">
        <f t="shared" si="3"/>
        <v>0</v>
      </c>
      <c r="BF43" s="123">
        <f t="shared" si="4"/>
        <v>0</v>
      </c>
      <c r="BG43" s="123">
        <f t="shared" si="5"/>
        <v>0</v>
      </c>
      <c r="BH43" s="123">
        <f t="shared" si="6"/>
        <v>0</v>
      </c>
      <c r="BI43" s="123">
        <f t="shared" si="7"/>
        <v>0</v>
      </c>
      <c r="BJ43" s="127"/>
      <c r="BN43" s="43" t="str">
        <f t="shared" si="14"/>
        <v/>
      </c>
      <c r="BO43" s="43" t="str">
        <f t="shared" si="15"/>
        <v/>
      </c>
      <c r="BP43" s="43" t="str">
        <f t="shared" si="16"/>
        <v/>
      </c>
      <c r="BQ43" s="43" t="str">
        <f t="shared" si="17"/>
        <v/>
      </c>
      <c r="BR43" s="43" t="str">
        <f t="shared" si="18"/>
        <v/>
      </c>
      <c r="BS43" s="43" t="str">
        <f t="shared" si="19"/>
        <v/>
      </c>
      <c r="BT43" s="43" t="str">
        <f t="shared" si="20"/>
        <v/>
      </c>
      <c r="BU43" s="1" t="str">
        <f t="shared" si="21"/>
        <v/>
      </c>
    </row>
    <row r="44" spans="1:73">
      <c r="A44" s="115">
        <v>35</v>
      </c>
      <c r="B44" s="116"/>
      <c r="C44" s="117"/>
      <c r="D44" s="109"/>
      <c r="E44" s="118"/>
      <c r="F44" s="118"/>
      <c r="G44" s="119" t="str">
        <f t="shared" si="22"/>
        <v/>
      </c>
      <c r="H44" s="116"/>
      <c r="I44" s="116"/>
      <c r="J44" s="116"/>
      <c r="K44" s="116"/>
      <c r="L44" s="120"/>
      <c r="M44" s="116"/>
      <c r="N44" s="116"/>
      <c r="O44" s="116"/>
      <c r="P44" s="116"/>
      <c r="Q44" s="116"/>
      <c r="R44" s="116"/>
      <c r="S44" s="116"/>
      <c r="T44" s="116"/>
      <c r="U44" s="116"/>
      <c r="V44" s="116"/>
      <c r="W44" s="116"/>
      <c r="X44" s="121"/>
      <c r="Y44" s="116"/>
      <c r="Z44" s="116"/>
      <c r="AA44" s="116"/>
      <c r="AB44" s="120"/>
      <c r="AC44" s="116"/>
      <c r="AD44" s="120"/>
      <c r="AE44" s="116"/>
      <c r="AF44" s="116"/>
      <c r="AG44" s="116"/>
      <c r="AH44" s="116"/>
      <c r="AI44" s="116"/>
      <c r="AJ44" s="116"/>
      <c r="AK44" s="116"/>
      <c r="AL44" s="122"/>
      <c r="AM44" s="116"/>
      <c r="AN44" s="120"/>
      <c r="AO44" s="120"/>
      <c r="AP44" s="116"/>
      <c r="AQ44" s="116"/>
      <c r="AR44" s="116"/>
      <c r="AS44" s="116"/>
      <c r="AT44" s="116"/>
      <c r="AU44" s="116"/>
      <c r="AV44" s="120"/>
      <c r="AW44" s="116"/>
      <c r="AX44" s="123" t="str">
        <f t="shared" si="8"/>
        <v/>
      </c>
      <c r="AY44" s="123" t="str">
        <f t="shared" si="9"/>
        <v/>
      </c>
      <c r="AZ44" s="123" t="str">
        <f t="shared" si="10"/>
        <v/>
      </c>
      <c r="BA44" s="124" t="str">
        <f t="shared" si="11"/>
        <v/>
      </c>
      <c r="BB44" s="125" t="str">
        <f t="shared" si="12"/>
        <v/>
      </c>
      <c r="BC44" s="126" t="str">
        <f t="shared" si="13"/>
        <v/>
      </c>
      <c r="BD44" s="123">
        <f t="shared" si="2"/>
        <v>0</v>
      </c>
      <c r="BE44" s="123">
        <f t="shared" si="3"/>
        <v>0</v>
      </c>
      <c r="BF44" s="123">
        <f t="shared" si="4"/>
        <v>0</v>
      </c>
      <c r="BG44" s="123">
        <f t="shared" si="5"/>
        <v>0</v>
      </c>
      <c r="BH44" s="123">
        <f t="shared" si="6"/>
        <v>0</v>
      </c>
      <c r="BI44" s="123">
        <f t="shared" si="7"/>
        <v>0</v>
      </c>
      <c r="BJ44" s="127"/>
      <c r="BN44" s="43" t="str">
        <f t="shared" si="14"/>
        <v/>
      </c>
      <c r="BO44" s="43" t="str">
        <f t="shared" si="15"/>
        <v/>
      </c>
      <c r="BP44" s="43" t="str">
        <f t="shared" si="16"/>
        <v/>
      </c>
      <c r="BQ44" s="43" t="str">
        <f t="shared" si="17"/>
        <v/>
      </c>
      <c r="BR44" s="43" t="str">
        <f t="shared" si="18"/>
        <v/>
      </c>
      <c r="BS44" s="43" t="str">
        <f t="shared" si="19"/>
        <v/>
      </c>
      <c r="BT44" s="43" t="str">
        <f t="shared" si="20"/>
        <v/>
      </c>
      <c r="BU44" s="1" t="str">
        <f t="shared" si="21"/>
        <v/>
      </c>
    </row>
    <row r="45" spans="1:73">
      <c r="A45" s="115">
        <v>36</v>
      </c>
      <c r="B45" s="116"/>
      <c r="C45" s="117"/>
      <c r="D45" s="109"/>
      <c r="E45" s="118"/>
      <c r="F45" s="118"/>
      <c r="G45" s="119" t="str">
        <f t="shared" si="22"/>
        <v/>
      </c>
      <c r="H45" s="116"/>
      <c r="I45" s="116"/>
      <c r="J45" s="116"/>
      <c r="K45" s="116"/>
      <c r="L45" s="120"/>
      <c r="M45" s="116"/>
      <c r="N45" s="116"/>
      <c r="O45" s="116"/>
      <c r="P45" s="116"/>
      <c r="Q45" s="116"/>
      <c r="R45" s="116"/>
      <c r="S45" s="116"/>
      <c r="T45" s="116"/>
      <c r="U45" s="116"/>
      <c r="V45" s="116"/>
      <c r="W45" s="116"/>
      <c r="X45" s="121"/>
      <c r="Y45" s="116"/>
      <c r="Z45" s="116"/>
      <c r="AA45" s="116"/>
      <c r="AB45" s="120"/>
      <c r="AC45" s="116"/>
      <c r="AD45" s="120"/>
      <c r="AE45" s="116"/>
      <c r="AF45" s="116"/>
      <c r="AG45" s="116"/>
      <c r="AH45" s="116"/>
      <c r="AI45" s="116"/>
      <c r="AJ45" s="116"/>
      <c r="AK45" s="116"/>
      <c r="AL45" s="122"/>
      <c r="AM45" s="116"/>
      <c r="AN45" s="120"/>
      <c r="AO45" s="120"/>
      <c r="AP45" s="116"/>
      <c r="AQ45" s="116"/>
      <c r="AR45" s="116"/>
      <c r="AS45" s="116"/>
      <c r="AT45" s="116"/>
      <c r="AU45" s="116"/>
      <c r="AV45" s="120"/>
      <c r="AW45" s="116"/>
      <c r="AX45" s="123" t="str">
        <f t="shared" si="8"/>
        <v/>
      </c>
      <c r="AY45" s="123" t="str">
        <f t="shared" si="9"/>
        <v/>
      </c>
      <c r="AZ45" s="123" t="str">
        <f t="shared" si="10"/>
        <v/>
      </c>
      <c r="BA45" s="124" t="str">
        <f t="shared" si="11"/>
        <v/>
      </c>
      <c r="BB45" s="125" t="str">
        <f t="shared" si="12"/>
        <v/>
      </c>
      <c r="BC45" s="126" t="str">
        <f t="shared" si="13"/>
        <v/>
      </c>
      <c r="BD45" s="123">
        <f t="shared" si="2"/>
        <v>0</v>
      </c>
      <c r="BE45" s="123">
        <f t="shared" si="3"/>
        <v>0</v>
      </c>
      <c r="BF45" s="123">
        <f t="shared" si="4"/>
        <v>0</v>
      </c>
      <c r="BG45" s="123">
        <f t="shared" si="5"/>
        <v>0</v>
      </c>
      <c r="BH45" s="123">
        <f t="shared" si="6"/>
        <v>0</v>
      </c>
      <c r="BI45" s="123">
        <f t="shared" si="7"/>
        <v>0</v>
      </c>
      <c r="BJ45" s="127"/>
      <c r="BN45" s="43" t="str">
        <f t="shared" si="14"/>
        <v/>
      </c>
      <c r="BO45" s="43" t="str">
        <f t="shared" si="15"/>
        <v/>
      </c>
      <c r="BP45" s="43" t="str">
        <f t="shared" si="16"/>
        <v/>
      </c>
      <c r="BQ45" s="43" t="str">
        <f t="shared" si="17"/>
        <v/>
      </c>
      <c r="BR45" s="43" t="str">
        <f t="shared" si="18"/>
        <v/>
      </c>
      <c r="BS45" s="43" t="str">
        <f t="shared" si="19"/>
        <v/>
      </c>
      <c r="BT45" s="43" t="str">
        <f t="shared" si="20"/>
        <v/>
      </c>
      <c r="BU45" s="1" t="str">
        <f t="shared" si="21"/>
        <v/>
      </c>
    </row>
    <row r="46" spans="1:73">
      <c r="A46" s="115">
        <v>37</v>
      </c>
      <c r="B46" s="116"/>
      <c r="C46" s="117"/>
      <c r="D46" s="109"/>
      <c r="E46" s="118"/>
      <c r="F46" s="118"/>
      <c r="G46" s="119" t="str">
        <f t="shared" si="22"/>
        <v/>
      </c>
      <c r="H46" s="116"/>
      <c r="I46" s="116"/>
      <c r="J46" s="116"/>
      <c r="K46" s="116"/>
      <c r="L46" s="120"/>
      <c r="M46" s="116"/>
      <c r="N46" s="116"/>
      <c r="O46" s="116"/>
      <c r="P46" s="116"/>
      <c r="Q46" s="116"/>
      <c r="R46" s="116"/>
      <c r="S46" s="116"/>
      <c r="T46" s="116"/>
      <c r="U46" s="116"/>
      <c r="V46" s="116"/>
      <c r="W46" s="116"/>
      <c r="X46" s="121"/>
      <c r="Y46" s="116"/>
      <c r="Z46" s="116"/>
      <c r="AA46" s="116"/>
      <c r="AB46" s="120"/>
      <c r="AC46" s="116"/>
      <c r="AD46" s="120"/>
      <c r="AE46" s="116"/>
      <c r="AF46" s="116"/>
      <c r="AG46" s="116"/>
      <c r="AH46" s="116"/>
      <c r="AI46" s="116"/>
      <c r="AJ46" s="116"/>
      <c r="AK46" s="116"/>
      <c r="AL46" s="122"/>
      <c r="AM46" s="116"/>
      <c r="AN46" s="120"/>
      <c r="AO46" s="120"/>
      <c r="AP46" s="116"/>
      <c r="AQ46" s="116"/>
      <c r="AR46" s="116"/>
      <c r="AS46" s="116"/>
      <c r="AT46" s="116"/>
      <c r="AU46" s="116"/>
      <c r="AV46" s="120"/>
      <c r="AW46" s="116"/>
      <c r="AX46" s="123" t="str">
        <f t="shared" si="8"/>
        <v/>
      </c>
      <c r="AY46" s="123" t="str">
        <f t="shared" si="9"/>
        <v/>
      </c>
      <c r="AZ46" s="123" t="str">
        <f t="shared" si="10"/>
        <v/>
      </c>
      <c r="BA46" s="124" t="str">
        <f t="shared" si="11"/>
        <v/>
      </c>
      <c r="BB46" s="125" t="str">
        <f t="shared" si="12"/>
        <v/>
      </c>
      <c r="BC46" s="126" t="str">
        <f t="shared" si="13"/>
        <v/>
      </c>
      <c r="BD46" s="123">
        <f t="shared" si="2"/>
        <v>0</v>
      </c>
      <c r="BE46" s="123">
        <f t="shared" si="3"/>
        <v>0</v>
      </c>
      <c r="BF46" s="123">
        <f t="shared" si="4"/>
        <v>0</v>
      </c>
      <c r="BG46" s="123">
        <f t="shared" si="5"/>
        <v>0</v>
      </c>
      <c r="BH46" s="123">
        <f t="shared" si="6"/>
        <v>0</v>
      </c>
      <c r="BI46" s="123">
        <f t="shared" si="7"/>
        <v>0</v>
      </c>
      <c r="BJ46" s="127"/>
      <c r="BN46" s="43" t="str">
        <f t="shared" si="14"/>
        <v/>
      </c>
      <c r="BO46" s="43" t="str">
        <f t="shared" si="15"/>
        <v/>
      </c>
      <c r="BP46" s="43" t="str">
        <f t="shared" si="16"/>
        <v/>
      </c>
      <c r="BQ46" s="43" t="str">
        <f t="shared" si="17"/>
        <v/>
      </c>
      <c r="BR46" s="43" t="str">
        <f t="shared" si="18"/>
        <v/>
      </c>
      <c r="BS46" s="43" t="str">
        <f t="shared" si="19"/>
        <v/>
      </c>
      <c r="BT46" s="43" t="str">
        <f t="shared" si="20"/>
        <v/>
      </c>
      <c r="BU46" s="1" t="str">
        <f t="shared" si="21"/>
        <v/>
      </c>
    </row>
    <row r="47" spans="1:73">
      <c r="A47" s="115">
        <v>38</v>
      </c>
      <c r="B47" s="116"/>
      <c r="C47" s="117"/>
      <c r="D47" s="109"/>
      <c r="E47" s="118"/>
      <c r="F47" s="118"/>
      <c r="G47" s="119" t="str">
        <f t="shared" si="22"/>
        <v/>
      </c>
      <c r="H47" s="116"/>
      <c r="I47" s="116"/>
      <c r="J47" s="116"/>
      <c r="K47" s="116"/>
      <c r="L47" s="120"/>
      <c r="M47" s="116"/>
      <c r="N47" s="116"/>
      <c r="O47" s="116"/>
      <c r="P47" s="116"/>
      <c r="Q47" s="116"/>
      <c r="R47" s="116"/>
      <c r="S47" s="116"/>
      <c r="T47" s="116"/>
      <c r="U47" s="116"/>
      <c r="V47" s="116"/>
      <c r="W47" s="116"/>
      <c r="X47" s="121"/>
      <c r="Y47" s="116"/>
      <c r="Z47" s="116"/>
      <c r="AA47" s="116"/>
      <c r="AB47" s="120"/>
      <c r="AC47" s="116"/>
      <c r="AD47" s="120"/>
      <c r="AE47" s="116"/>
      <c r="AF47" s="116"/>
      <c r="AG47" s="116"/>
      <c r="AH47" s="116"/>
      <c r="AI47" s="116"/>
      <c r="AJ47" s="116"/>
      <c r="AK47" s="116"/>
      <c r="AL47" s="122"/>
      <c r="AM47" s="116"/>
      <c r="AN47" s="120"/>
      <c r="AO47" s="120"/>
      <c r="AP47" s="116"/>
      <c r="AQ47" s="116"/>
      <c r="AR47" s="116"/>
      <c r="AS47" s="116"/>
      <c r="AT47" s="116"/>
      <c r="AU47" s="116"/>
      <c r="AV47" s="120"/>
      <c r="AW47" s="116"/>
      <c r="AX47" s="123" t="str">
        <f t="shared" si="8"/>
        <v/>
      </c>
      <c r="AY47" s="123" t="str">
        <f t="shared" si="9"/>
        <v/>
      </c>
      <c r="AZ47" s="123" t="str">
        <f t="shared" si="10"/>
        <v/>
      </c>
      <c r="BA47" s="124" t="str">
        <f t="shared" si="11"/>
        <v/>
      </c>
      <c r="BB47" s="125" t="str">
        <f t="shared" si="12"/>
        <v/>
      </c>
      <c r="BC47" s="126" t="str">
        <f t="shared" si="13"/>
        <v/>
      </c>
      <c r="BD47" s="123">
        <f t="shared" si="2"/>
        <v>0</v>
      </c>
      <c r="BE47" s="123">
        <f t="shared" si="3"/>
        <v>0</v>
      </c>
      <c r="BF47" s="123">
        <f t="shared" si="4"/>
        <v>0</v>
      </c>
      <c r="BG47" s="123">
        <f t="shared" si="5"/>
        <v>0</v>
      </c>
      <c r="BH47" s="123">
        <f t="shared" si="6"/>
        <v>0</v>
      </c>
      <c r="BI47" s="123">
        <f t="shared" si="7"/>
        <v>0</v>
      </c>
      <c r="BJ47" s="127"/>
      <c r="BN47" s="43" t="str">
        <f t="shared" si="14"/>
        <v/>
      </c>
      <c r="BO47" s="43" t="str">
        <f t="shared" si="15"/>
        <v/>
      </c>
      <c r="BP47" s="43" t="str">
        <f t="shared" si="16"/>
        <v/>
      </c>
      <c r="BQ47" s="43" t="str">
        <f t="shared" si="17"/>
        <v/>
      </c>
      <c r="BR47" s="43" t="str">
        <f t="shared" si="18"/>
        <v/>
      </c>
      <c r="BS47" s="43" t="str">
        <f t="shared" si="19"/>
        <v/>
      </c>
      <c r="BT47" s="43" t="str">
        <f t="shared" si="20"/>
        <v/>
      </c>
      <c r="BU47" s="1" t="str">
        <f t="shared" si="21"/>
        <v/>
      </c>
    </row>
    <row r="48" spans="1:73">
      <c r="A48" s="115">
        <v>39</v>
      </c>
      <c r="B48" s="116"/>
      <c r="C48" s="117"/>
      <c r="D48" s="109"/>
      <c r="E48" s="118"/>
      <c r="F48" s="118"/>
      <c r="G48" s="119" t="str">
        <f t="shared" si="22"/>
        <v/>
      </c>
      <c r="H48" s="116"/>
      <c r="I48" s="116"/>
      <c r="J48" s="116"/>
      <c r="K48" s="116"/>
      <c r="L48" s="120"/>
      <c r="M48" s="116"/>
      <c r="N48" s="116"/>
      <c r="O48" s="116"/>
      <c r="P48" s="116"/>
      <c r="Q48" s="116"/>
      <c r="R48" s="116"/>
      <c r="S48" s="116"/>
      <c r="T48" s="116"/>
      <c r="U48" s="116"/>
      <c r="V48" s="116"/>
      <c r="W48" s="116"/>
      <c r="X48" s="121"/>
      <c r="Y48" s="116"/>
      <c r="Z48" s="116"/>
      <c r="AA48" s="116"/>
      <c r="AB48" s="120"/>
      <c r="AC48" s="116"/>
      <c r="AD48" s="120"/>
      <c r="AE48" s="116"/>
      <c r="AF48" s="116"/>
      <c r="AG48" s="116"/>
      <c r="AH48" s="116"/>
      <c r="AI48" s="116"/>
      <c r="AJ48" s="116"/>
      <c r="AK48" s="116"/>
      <c r="AL48" s="122"/>
      <c r="AM48" s="116"/>
      <c r="AN48" s="120"/>
      <c r="AO48" s="120"/>
      <c r="AP48" s="116"/>
      <c r="AQ48" s="116"/>
      <c r="AR48" s="116"/>
      <c r="AS48" s="116"/>
      <c r="AT48" s="116"/>
      <c r="AU48" s="116"/>
      <c r="AV48" s="120"/>
      <c r="AW48" s="116"/>
      <c r="AX48" s="123" t="str">
        <f t="shared" si="8"/>
        <v/>
      </c>
      <c r="AY48" s="123" t="str">
        <f t="shared" si="9"/>
        <v/>
      </c>
      <c r="AZ48" s="123" t="str">
        <f t="shared" si="10"/>
        <v/>
      </c>
      <c r="BA48" s="124" t="str">
        <f t="shared" si="11"/>
        <v/>
      </c>
      <c r="BB48" s="125" t="str">
        <f t="shared" si="12"/>
        <v/>
      </c>
      <c r="BC48" s="126" t="str">
        <f t="shared" si="13"/>
        <v/>
      </c>
      <c r="BD48" s="123">
        <f t="shared" si="2"/>
        <v>0</v>
      </c>
      <c r="BE48" s="123">
        <f t="shared" si="3"/>
        <v>0</v>
      </c>
      <c r="BF48" s="123">
        <f t="shared" si="4"/>
        <v>0</v>
      </c>
      <c r="BG48" s="123">
        <f t="shared" si="5"/>
        <v>0</v>
      </c>
      <c r="BH48" s="123">
        <f t="shared" si="6"/>
        <v>0</v>
      </c>
      <c r="BI48" s="123">
        <f t="shared" si="7"/>
        <v>0</v>
      </c>
      <c r="BJ48" s="127"/>
      <c r="BN48" s="43" t="str">
        <f t="shared" si="14"/>
        <v/>
      </c>
      <c r="BO48" s="43" t="str">
        <f t="shared" si="15"/>
        <v/>
      </c>
      <c r="BP48" s="43" t="str">
        <f t="shared" si="16"/>
        <v/>
      </c>
      <c r="BQ48" s="43" t="str">
        <f t="shared" si="17"/>
        <v/>
      </c>
      <c r="BR48" s="43" t="str">
        <f t="shared" si="18"/>
        <v/>
      </c>
      <c r="BS48" s="43" t="str">
        <f t="shared" si="19"/>
        <v/>
      </c>
      <c r="BT48" s="43" t="str">
        <f t="shared" si="20"/>
        <v/>
      </c>
      <c r="BU48" s="1" t="str">
        <f t="shared" si="21"/>
        <v/>
      </c>
    </row>
    <row r="49" spans="1:73">
      <c r="A49" s="115">
        <v>40</v>
      </c>
      <c r="B49" s="116"/>
      <c r="C49" s="117"/>
      <c r="D49" s="109"/>
      <c r="E49" s="118"/>
      <c r="F49" s="118"/>
      <c r="G49" s="119" t="str">
        <f t="shared" si="22"/>
        <v/>
      </c>
      <c r="H49" s="116"/>
      <c r="I49" s="116"/>
      <c r="J49" s="116"/>
      <c r="K49" s="116"/>
      <c r="L49" s="120"/>
      <c r="M49" s="116"/>
      <c r="N49" s="116"/>
      <c r="O49" s="116"/>
      <c r="P49" s="116"/>
      <c r="Q49" s="116"/>
      <c r="R49" s="116"/>
      <c r="S49" s="116"/>
      <c r="T49" s="116"/>
      <c r="U49" s="116"/>
      <c r="V49" s="116"/>
      <c r="W49" s="116"/>
      <c r="X49" s="121"/>
      <c r="Y49" s="116"/>
      <c r="Z49" s="116"/>
      <c r="AA49" s="116"/>
      <c r="AB49" s="120"/>
      <c r="AC49" s="116"/>
      <c r="AD49" s="120"/>
      <c r="AE49" s="116"/>
      <c r="AF49" s="116"/>
      <c r="AG49" s="116"/>
      <c r="AH49" s="116"/>
      <c r="AI49" s="116"/>
      <c r="AJ49" s="116"/>
      <c r="AK49" s="116"/>
      <c r="AL49" s="122"/>
      <c r="AM49" s="116"/>
      <c r="AN49" s="120"/>
      <c r="AO49" s="120"/>
      <c r="AP49" s="116"/>
      <c r="AQ49" s="116"/>
      <c r="AR49" s="116"/>
      <c r="AS49" s="116"/>
      <c r="AT49" s="116"/>
      <c r="AU49" s="116"/>
      <c r="AV49" s="120"/>
      <c r="AW49" s="116"/>
      <c r="AX49" s="123" t="str">
        <f t="shared" si="8"/>
        <v/>
      </c>
      <c r="AY49" s="123" t="str">
        <f t="shared" si="9"/>
        <v/>
      </c>
      <c r="AZ49" s="123" t="str">
        <f t="shared" si="10"/>
        <v/>
      </c>
      <c r="BA49" s="124" t="str">
        <f t="shared" si="11"/>
        <v/>
      </c>
      <c r="BB49" s="125" t="str">
        <f t="shared" si="12"/>
        <v/>
      </c>
      <c r="BC49" s="126" t="str">
        <f t="shared" si="13"/>
        <v/>
      </c>
      <c r="BD49" s="123">
        <f t="shared" si="2"/>
        <v>0</v>
      </c>
      <c r="BE49" s="123">
        <f t="shared" si="3"/>
        <v>0</v>
      </c>
      <c r="BF49" s="123">
        <f t="shared" si="4"/>
        <v>0</v>
      </c>
      <c r="BG49" s="123">
        <f t="shared" si="5"/>
        <v>0</v>
      </c>
      <c r="BH49" s="123">
        <f t="shared" si="6"/>
        <v>0</v>
      </c>
      <c r="BI49" s="123">
        <f t="shared" si="7"/>
        <v>0</v>
      </c>
      <c r="BJ49" s="127"/>
      <c r="BN49" s="43" t="str">
        <f t="shared" si="14"/>
        <v/>
      </c>
      <c r="BO49" s="43" t="str">
        <f t="shared" si="15"/>
        <v/>
      </c>
      <c r="BP49" s="43" t="str">
        <f t="shared" si="16"/>
        <v/>
      </c>
      <c r="BQ49" s="43" t="str">
        <f t="shared" si="17"/>
        <v/>
      </c>
      <c r="BR49" s="43" t="str">
        <f t="shared" si="18"/>
        <v/>
      </c>
      <c r="BS49" s="43" t="str">
        <f t="shared" si="19"/>
        <v/>
      </c>
      <c r="BT49" s="43" t="str">
        <f t="shared" si="20"/>
        <v/>
      </c>
      <c r="BU49" s="1" t="str">
        <f t="shared" si="21"/>
        <v/>
      </c>
    </row>
    <row r="50" spans="1:73">
      <c r="A50" s="115">
        <v>41</v>
      </c>
      <c r="B50" s="116"/>
      <c r="C50" s="117"/>
      <c r="D50" s="109"/>
      <c r="E50" s="118"/>
      <c r="F50" s="118"/>
      <c r="G50" s="119" t="str">
        <f t="shared" si="22"/>
        <v/>
      </c>
      <c r="H50" s="116"/>
      <c r="I50" s="116"/>
      <c r="J50" s="116"/>
      <c r="K50" s="116"/>
      <c r="L50" s="120"/>
      <c r="M50" s="116"/>
      <c r="N50" s="116"/>
      <c r="O50" s="116"/>
      <c r="P50" s="116"/>
      <c r="Q50" s="116"/>
      <c r="R50" s="116"/>
      <c r="S50" s="116"/>
      <c r="T50" s="116"/>
      <c r="U50" s="116"/>
      <c r="V50" s="116"/>
      <c r="W50" s="116"/>
      <c r="X50" s="121"/>
      <c r="Y50" s="116"/>
      <c r="Z50" s="116"/>
      <c r="AA50" s="116"/>
      <c r="AB50" s="120"/>
      <c r="AC50" s="116"/>
      <c r="AD50" s="120"/>
      <c r="AE50" s="116"/>
      <c r="AF50" s="116"/>
      <c r="AG50" s="116"/>
      <c r="AH50" s="116"/>
      <c r="AI50" s="116"/>
      <c r="AJ50" s="116"/>
      <c r="AK50" s="116"/>
      <c r="AL50" s="122"/>
      <c r="AM50" s="116"/>
      <c r="AN50" s="120"/>
      <c r="AO50" s="120"/>
      <c r="AP50" s="116"/>
      <c r="AQ50" s="116"/>
      <c r="AR50" s="116"/>
      <c r="AS50" s="116"/>
      <c r="AT50" s="116"/>
      <c r="AU50" s="116"/>
      <c r="AV50" s="120"/>
      <c r="AW50" s="116"/>
      <c r="AX50" s="123" t="str">
        <f t="shared" si="8"/>
        <v/>
      </c>
      <c r="AY50" s="123" t="str">
        <f t="shared" si="9"/>
        <v/>
      </c>
      <c r="AZ50" s="123" t="str">
        <f t="shared" si="10"/>
        <v/>
      </c>
      <c r="BA50" s="124" t="str">
        <f t="shared" si="11"/>
        <v/>
      </c>
      <c r="BB50" s="125" t="str">
        <f t="shared" si="12"/>
        <v/>
      </c>
      <c r="BC50" s="126" t="str">
        <f t="shared" si="13"/>
        <v/>
      </c>
      <c r="BD50" s="123">
        <f t="shared" si="2"/>
        <v>0</v>
      </c>
      <c r="BE50" s="123">
        <f t="shared" si="3"/>
        <v>0</v>
      </c>
      <c r="BF50" s="123">
        <f t="shared" si="4"/>
        <v>0</v>
      </c>
      <c r="BG50" s="123">
        <f t="shared" si="5"/>
        <v>0</v>
      </c>
      <c r="BH50" s="123">
        <f t="shared" si="6"/>
        <v>0</v>
      </c>
      <c r="BI50" s="123">
        <f t="shared" si="7"/>
        <v>0</v>
      </c>
      <c r="BJ50" s="127"/>
      <c r="BN50" s="43" t="str">
        <f t="shared" si="14"/>
        <v/>
      </c>
      <c r="BO50" s="43" t="str">
        <f t="shared" si="15"/>
        <v/>
      </c>
      <c r="BP50" s="43" t="str">
        <f t="shared" si="16"/>
        <v/>
      </c>
      <c r="BQ50" s="43" t="str">
        <f t="shared" si="17"/>
        <v/>
      </c>
      <c r="BR50" s="43" t="str">
        <f t="shared" si="18"/>
        <v/>
      </c>
      <c r="BS50" s="43" t="str">
        <f t="shared" si="19"/>
        <v/>
      </c>
      <c r="BT50" s="43" t="str">
        <f t="shared" si="20"/>
        <v/>
      </c>
      <c r="BU50" s="1" t="str">
        <f t="shared" si="21"/>
        <v/>
      </c>
    </row>
    <row r="51" spans="1:73">
      <c r="A51" s="115">
        <v>42</v>
      </c>
      <c r="B51" s="116"/>
      <c r="C51" s="117"/>
      <c r="D51" s="109"/>
      <c r="E51" s="118"/>
      <c r="F51" s="118"/>
      <c r="G51" s="119" t="str">
        <f t="shared" si="22"/>
        <v/>
      </c>
      <c r="H51" s="116"/>
      <c r="I51" s="116"/>
      <c r="J51" s="116"/>
      <c r="K51" s="116"/>
      <c r="L51" s="120"/>
      <c r="M51" s="116"/>
      <c r="N51" s="116"/>
      <c r="O51" s="116"/>
      <c r="P51" s="116"/>
      <c r="Q51" s="116"/>
      <c r="R51" s="116"/>
      <c r="S51" s="116"/>
      <c r="T51" s="116"/>
      <c r="U51" s="116"/>
      <c r="V51" s="116"/>
      <c r="W51" s="116"/>
      <c r="X51" s="121"/>
      <c r="Y51" s="116"/>
      <c r="Z51" s="116"/>
      <c r="AA51" s="116"/>
      <c r="AB51" s="120"/>
      <c r="AC51" s="116"/>
      <c r="AD51" s="120"/>
      <c r="AE51" s="116"/>
      <c r="AF51" s="116"/>
      <c r="AG51" s="116"/>
      <c r="AH51" s="116"/>
      <c r="AI51" s="116"/>
      <c r="AJ51" s="116"/>
      <c r="AK51" s="116"/>
      <c r="AL51" s="122"/>
      <c r="AM51" s="116"/>
      <c r="AN51" s="120"/>
      <c r="AO51" s="120"/>
      <c r="AP51" s="116"/>
      <c r="AQ51" s="116"/>
      <c r="AR51" s="116"/>
      <c r="AS51" s="116"/>
      <c r="AT51" s="116"/>
      <c r="AU51" s="116"/>
      <c r="AV51" s="120"/>
      <c r="AW51" s="116"/>
      <c r="AX51" s="123" t="str">
        <f t="shared" si="8"/>
        <v/>
      </c>
      <c r="AY51" s="123" t="str">
        <f t="shared" si="9"/>
        <v/>
      </c>
      <c r="AZ51" s="123" t="str">
        <f t="shared" si="10"/>
        <v/>
      </c>
      <c r="BA51" s="124" t="str">
        <f t="shared" si="11"/>
        <v/>
      </c>
      <c r="BB51" s="125" t="str">
        <f t="shared" si="12"/>
        <v/>
      </c>
      <c r="BC51" s="126" t="str">
        <f t="shared" si="13"/>
        <v/>
      </c>
      <c r="BD51" s="123">
        <f t="shared" si="2"/>
        <v>0</v>
      </c>
      <c r="BE51" s="123">
        <f t="shared" si="3"/>
        <v>0</v>
      </c>
      <c r="BF51" s="123">
        <f t="shared" si="4"/>
        <v>0</v>
      </c>
      <c r="BG51" s="123">
        <f t="shared" si="5"/>
        <v>0</v>
      </c>
      <c r="BH51" s="123">
        <f t="shared" si="6"/>
        <v>0</v>
      </c>
      <c r="BI51" s="123">
        <f t="shared" si="7"/>
        <v>0</v>
      </c>
      <c r="BJ51" s="127"/>
      <c r="BN51" s="43" t="str">
        <f t="shared" si="14"/>
        <v/>
      </c>
      <c r="BO51" s="43" t="str">
        <f t="shared" si="15"/>
        <v/>
      </c>
      <c r="BP51" s="43" t="str">
        <f t="shared" si="16"/>
        <v/>
      </c>
      <c r="BQ51" s="43" t="str">
        <f t="shared" si="17"/>
        <v/>
      </c>
      <c r="BR51" s="43" t="str">
        <f t="shared" si="18"/>
        <v/>
      </c>
      <c r="BS51" s="43" t="str">
        <f t="shared" si="19"/>
        <v/>
      </c>
      <c r="BT51" s="43" t="str">
        <f t="shared" si="20"/>
        <v/>
      </c>
      <c r="BU51" s="1" t="str">
        <f t="shared" si="21"/>
        <v/>
      </c>
    </row>
    <row r="52" spans="1:73">
      <c r="A52" s="115">
        <v>43</v>
      </c>
      <c r="B52" s="116"/>
      <c r="C52" s="117"/>
      <c r="D52" s="109"/>
      <c r="E52" s="118"/>
      <c r="F52" s="118"/>
      <c r="G52" s="119" t="str">
        <f t="shared" si="22"/>
        <v/>
      </c>
      <c r="H52" s="116"/>
      <c r="I52" s="116"/>
      <c r="J52" s="116"/>
      <c r="K52" s="116"/>
      <c r="L52" s="120"/>
      <c r="M52" s="116"/>
      <c r="N52" s="116"/>
      <c r="O52" s="116"/>
      <c r="P52" s="116"/>
      <c r="Q52" s="116"/>
      <c r="R52" s="116"/>
      <c r="S52" s="116"/>
      <c r="T52" s="116"/>
      <c r="U52" s="116"/>
      <c r="V52" s="116"/>
      <c r="W52" s="116"/>
      <c r="X52" s="121"/>
      <c r="Y52" s="116"/>
      <c r="Z52" s="116"/>
      <c r="AA52" s="116"/>
      <c r="AB52" s="120"/>
      <c r="AC52" s="116"/>
      <c r="AD52" s="120"/>
      <c r="AE52" s="116"/>
      <c r="AF52" s="116"/>
      <c r="AG52" s="116"/>
      <c r="AH52" s="116"/>
      <c r="AI52" s="116"/>
      <c r="AJ52" s="116"/>
      <c r="AK52" s="116"/>
      <c r="AL52" s="122"/>
      <c r="AM52" s="116"/>
      <c r="AN52" s="120"/>
      <c r="AO52" s="120"/>
      <c r="AP52" s="116"/>
      <c r="AQ52" s="116"/>
      <c r="AR52" s="116"/>
      <c r="AS52" s="116"/>
      <c r="AT52" s="116"/>
      <c r="AU52" s="116"/>
      <c r="AV52" s="120"/>
      <c r="AW52" s="116"/>
      <c r="AX52" s="123" t="str">
        <f t="shared" si="8"/>
        <v/>
      </c>
      <c r="AY52" s="123" t="str">
        <f t="shared" si="9"/>
        <v/>
      </c>
      <c r="AZ52" s="123" t="str">
        <f t="shared" si="10"/>
        <v/>
      </c>
      <c r="BA52" s="124" t="str">
        <f t="shared" si="11"/>
        <v/>
      </c>
      <c r="BB52" s="125" t="str">
        <f t="shared" si="12"/>
        <v/>
      </c>
      <c r="BC52" s="126" t="str">
        <f t="shared" si="13"/>
        <v/>
      </c>
      <c r="BD52" s="123">
        <f t="shared" si="2"/>
        <v>0</v>
      </c>
      <c r="BE52" s="123">
        <f t="shared" si="3"/>
        <v>0</v>
      </c>
      <c r="BF52" s="123">
        <f t="shared" si="4"/>
        <v>0</v>
      </c>
      <c r="BG52" s="123">
        <f t="shared" si="5"/>
        <v>0</v>
      </c>
      <c r="BH52" s="123">
        <f t="shared" si="6"/>
        <v>0</v>
      </c>
      <c r="BI52" s="123">
        <f t="shared" si="7"/>
        <v>0</v>
      </c>
      <c r="BJ52" s="127"/>
      <c r="BN52" s="43" t="str">
        <f t="shared" si="14"/>
        <v/>
      </c>
      <c r="BO52" s="43" t="str">
        <f t="shared" si="15"/>
        <v/>
      </c>
      <c r="BP52" s="43" t="str">
        <f t="shared" si="16"/>
        <v/>
      </c>
      <c r="BQ52" s="43" t="str">
        <f t="shared" si="17"/>
        <v/>
      </c>
      <c r="BR52" s="43" t="str">
        <f t="shared" si="18"/>
        <v/>
      </c>
      <c r="BS52" s="43" t="str">
        <f t="shared" si="19"/>
        <v/>
      </c>
      <c r="BT52" s="43" t="str">
        <f t="shared" si="20"/>
        <v/>
      </c>
      <c r="BU52" s="1" t="str">
        <f t="shared" si="21"/>
        <v/>
      </c>
    </row>
    <row r="53" spans="1:73">
      <c r="A53" s="115">
        <v>44</v>
      </c>
      <c r="B53" s="116"/>
      <c r="C53" s="117"/>
      <c r="D53" s="109"/>
      <c r="E53" s="118"/>
      <c r="F53" s="118"/>
      <c r="G53" s="119" t="str">
        <f t="shared" si="22"/>
        <v/>
      </c>
      <c r="H53" s="116"/>
      <c r="I53" s="116"/>
      <c r="J53" s="116"/>
      <c r="K53" s="116"/>
      <c r="L53" s="120"/>
      <c r="M53" s="116"/>
      <c r="N53" s="116"/>
      <c r="O53" s="116"/>
      <c r="P53" s="116"/>
      <c r="Q53" s="116"/>
      <c r="R53" s="116"/>
      <c r="S53" s="116"/>
      <c r="T53" s="116"/>
      <c r="U53" s="116"/>
      <c r="V53" s="116"/>
      <c r="W53" s="116"/>
      <c r="X53" s="121"/>
      <c r="Y53" s="116"/>
      <c r="Z53" s="116"/>
      <c r="AA53" s="116"/>
      <c r="AB53" s="120"/>
      <c r="AC53" s="116"/>
      <c r="AD53" s="120"/>
      <c r="AE53" s="116"/>
      <c r="AF53" s="116"/>
      <c r="AG53" s="116"/>
      <c r="AH53" s="116"/>
      <c r="AI53" s="116"/>
      <c r="AJ53" s="116"/>
      <c r="AK53" s="116"/>
      <c r="AL53" s="122"/>
      <c r="AM53" s="116"/>
      <c r="AN53" s="120"/>
      <c r="AO53" s="120"/>
      <c r="AP53" s="116"/>
      <c r="AQ53" s="116"/>
      <c r="AR53" s="116"/>
      <c r="AS53" s="116"/>
      <c r="AT53" s="116"/>
      <c r="AU53" s="116"/>
      <c r="AV53" s="120"/>
      <c r="AW53" s="116"/>
      <c r="AX53" s="123" t="str">
        <f t="shared" si="8"/>
        <v/>
      </c>
      <c r="AY53" s="123" t="str">
        <f t="shared" si="9"/>
        <v/>
      </c>
      <c r="AZ53" s="123" t="str">
        <f t="shared" si="10"/>
        <v/>
      </c>
      <c r="BA53" s="124" t="str">
        <f t="shared" si="11"/>
        <v/>
      </c>
      <c r="BB53" s="125" t="str">
        <f t="shared" si="12"/>
        <v/>
      </c>
      <c r="BC53" s="126" t="str">
        <f t="shared" si="13"/>
        <v/>
      </c>
      <c r="BD53" s="123">
        <f t="shared" si="2"/>
        <v>0</v>
      </c>
      <c r="BE53" s="123">
        <f t="shared" si="3"/>
        <v>0</v>
      </c>
      <c r="BF53" s="123">
        <f t="shared" si="4"/>
        <v>0</v>
      </c>
      <c r="BG53" s="123">
        <f t="shared" si="5"/>
        <v>0</v>
      </c>
      <c r="BH53" s="123">
        <f t="shared" si="6"/>
        <v>0</v>
      </c>
      <c r="BI53" s="123">
        <f t="shared" si="7"/>
        <v>0</v>
      </c>
      <c r="BJ53" s="127"/>
      <c r="BN53" s="43" t="str">
        <f t="shared" si="14"/>
        <v/>
      </c>
      <c r="BO53" s="43" t="str">
        <f t="shared" si="15"/>
        <v/>
      </c>
      <c r="BP53" s="43" t="str">
        <f t="shared" si="16"/>
        <v/>
      </c>
      <c r="BQ53" s="43" t="str">
        <f t="shared" si="17"/>
        <v/>
      </c>
      <c r="BR53" s="43" t="str">
        <f t="shared" si="18"/>
        <v/>
      </c>
      <c r="BS53" s="43" t="str">
        <f t="shared" si="19"/>
        <v/>
      </c>
      <c r="BT53" s="43" t="str">
        <f t="shared" si="20"/>
        <v/>
      </c>
      <c r="BU53" s="1" t="str">
        <f t="shared" si="21"/>
        <v/>
      </c>
    </row>
    <row r="54" spans="1:73">
      <c r="A54" s="115">
        <v>45</v>
      </c>
      <c r="B54" s="116"/>
      <c r="C54" s="117"/>
      <c r="D54" s="109"/>
      <c r="E54" s="118"/>
      <c r="F54" s="118"/>
      <c r="G54" s="119" t="str">
        <f t="shared" si="22"/>
        <v/>
      </c>
      <c r="H54" s="116"/>
      <c r="I54" s="116"/>
      <c r="J54" s="116"/>
      <c r="K54" s="116"/>
      <c r="L54" s="120"/>
      <c r="M54" s="116"/>
      <c r="N54" s="116"/>
      <c r="O54" s="116"/>
      <c r="P54" s="116"/>
      <c r="Q54" s="116"/>
      <c r="R54" s="116"/>
      <c r="S54" s="116"/>
      <c r="T54" s="116"/>
      <c r="U54" s="116"/>
      <c r="V54" s="116"/>
      <c r="W54" s="116"/>
      <c r="X54" s="121"/>
      <c r="Y54" s="116"/>
      <c r="Z54" s="116"/>
      <c r="AA54" s="116"/>
      <c r="AB54" s="120"/>
      <c r="AC54" s="116"/>
      <c r="AD54" s="120"/>
      <c r="AE54" s="116"/>
      <c r="AF54" s="116"/>
      <c r="AG54" s="116"/>
      <c r="AH54" s="116"/>
      <c r="AI54" s="116"/>
      <c r="AJ54" s="116"/>
      <c r="AK54" s="116"/>
      <c r="AL54" s="122"/>
      <c r="AM54" s="116"/>
      <c r="AN54" s="120"/>
      <c r="AO54" s="120"/>
      <c r="AP54" s="116"/>
      <c r="AQ54" s="116"/>
      <c r="AR54" s="116"/>
      <c r="AS54" s="116"/>
      <c r="AT54" s="116"/>
      <c r="AU54" s="116"/>
      <c r="AV54" s="120"/>
      <c r="AW54" s="116"/>
      <c r="AX54" s="123" t="str">
        <f t="shared" si="8"/>
        <v/>
      </c>
      <c r="AY54" s="123" t="str">
        <f t="shared" si="9"/>
        <v/>
      </c>
      <c r="AZ54" s="123" t="str">
        <f t="shared" si="10"/>
        <v/>
      </c>
      <c r="BA54" s="124" t="str">
        <f t="shared" si="11"/>
        <v/>
      </c>
      <c r="BB54" s="125" t="str">
        <f t="shared" si="12"/>
        <v/>
      </c>
      <c r="BC54" s="126" t="str">
        <f t="shared" si="13"/>
        <v/>
      </c>
      <c r="BD54" s="123">
        <f t="shared" si="2"/>
        <v>0</v>
      </c>
      <c r="BE54" s="123">
        <f t="shared" si="3"/>
        <v>0</v>
      </c>
      <c r="BF54" s="123">
        <f t="shared" si="4"/>
        <v>0</v>
      </c>
      <c r="BG54" s="123">
        <f t="shared" si="5"/>
        <v>0</v>
      </c>
      <c r="BH54" s="123">
        <f t="shared" si="6"/>
        <v>0</v>
      </c>
      <c r="BI54" s="123">
        <f t="shared" si="7"/>
        <v>0</v>
      </c>
      <c r="BJ54" s="127"/>
      <c r="BN54" s="43" t="str">
        <f t="shared" si="14"/>
        <v/>
      </c>
      <c r="BO54" s="43" t="str">
        <f t="shared" si="15"/>
        <v/>
      </c>
      <c r="BP54" s="43" t="str">
        <f t="shared" si="16"/>
        <v/>
      </c>
      <c r="BQ54" s="43" t="str">
        <f t="shared" si="17"/>
        <v/>
      </c>
      <c r="BR54" s="43" t="str">
        <f t="shared" si="18"/>
        <v/>
      </c>
      <c r="BS54" s="43" t="str">
        <f t="shared" si="19"/>
        <v/>
      </c>
      <c r="BT54" s="43" t="str">
        <f t="shared" si="20"/>
        <v/>
      </c>
      <c r="BU54" s="1" t="str">
        <f t="shared" si="21"/>
        <v/>
      </c>
    </row>
    <row r="55" spans="1:73">
      <c r="A55" s="115">
        <v>46</v>
      </c>
      <c r="B55" s="116"/>
      <c r="C55" s="117"/>
      <c r="D55" s="109"/>
      <c r="E55" s="118"/>
      <c r="F55" s="118"/>
      <c r="G55" s="119" t="str">
        <f t="shared" si="22"/>
        <v/>
      </c>
      <c r="H55" s="116"/>
      <c r="I55" s="116"/>
      <c r="J55" s="116"/>
      <c r="K55" s="116"/>
      <c r="L55" s="120"/>
      <c r="M55" s="116"/>
      <c r="N55" s="116"/>
      <c r="O55" s="116"/>
      <c r="P55" s="116"/>
      <c r="Q55" s="116"/>
      <c r="R55" s="116"/>
      <c r="S55" s="116"/>
      <c r="T55" s="116"/>
      <c r="U55" s="116"/>
      <c r="V55" s="116"/>
      <c r="W55" s="116"/>
      <c r="X55" s="121"/>
      <c r="Y55" s="116"/>
      <c r="Z55" s="116"/>
      <c r="AA55" s="116"/>
      <c r="AB55" s="120"/>
      <c r="AC55" s="116"/>
      <c r="AD55" s="120"/>
      <c r="AE55" s="116"/>
      <c r="AF55" s="116"/>
      <c r="AG55" s="116"/>
      <c r="AH55" s="116"/>
      <c r="AI55" s="116"/>
      <c r="AJ55" s="116"/>
      <c r="AK55" s="116"/>
      <c r="AL55" s="122"/>
      <c r="AM55" s="116"/>
      <c r="AN55" s="120"/>
      <c r="AO55" s="120"/>
      <c r="AP55" s="116"/>
      <c r="AQ55" s="116"/>
      <c r="AR55" s="116"/>
      <c r="AS55" s="116"/>
      <c r="AT55" s="116"/>
      <c r="AU55" s="116"/>
      <c r="AV55" s="120"/>
      <c r="AW55" s="116"/>
      <c r="AX55" s="123" t="str">
        <f t="shared" si="8"/>
        <v/>
      </c>
      <c r="AY55" s="123" t="str">
        <f t="shared" si="9"/>
        <v/>
      </c>
      <c r="AZ55" s="123" t="str">
        <f t="shared" si="10"/>
        <v/>
      </c>
      <c r="BA55" s="124" t="str">
        <f t="shared" si="11"/>
        <v/>
      </c>
      <c r="BB55" s="125" t="str">
        <f t="shared" si="12"/>
        <v/>
      </c>
      <c r="BC55" s="126" t="str">
        <f t="shared" si="13"/>
        <v/>
      </c>
      <c r="BD55" s="123">
        <f t="shared" si="2"/>
        <v>0</v>
      </c>
      <c r="BE55" s="123">
        <f t="shared" si="3"/>
        <v>0</v>
      </c>
      <c r="BF55" s="123">
        <f t="shared" si="4"/>
        <v>0</v>
      </c>
      <c r="BG55" s="123">
        <f t="shared" si="5"/>
        <v>0</v>
      </c>
      <c r="BH55" s="123">
        <f t="shared" si="6"/>
        <v>0</v>
      </c>
      <c r="BI55" s="123">
        <f t="shared" si="7"/>
        <v>0</v>
      </c>
      <c r="BJ55" s="127"/>
      <c r="BN55" s="43" t="str">
        <f t="shared" si="14"/>
        <v/>
      </c>
      <c r="BO55" s="43" t="str">
        <f t="shared" si="15"/>
        <v/>
      </c>
      <c r="BP55" s="43" t="str">
        <f t="shared" si="16"/>
        <v/>
      </c>
      <c r="BQ55" s="43" t="str">
        <f t="shared" si="17"/>
        <v/>
      </c>
      <c r="BR55" s="43" t="str">
        <f t="shared" si="18"/>
        <v/>
      </c>
      <c r="BS55" s="43" t="str">
        <f t="shared" si="19"/>
        <v/>
      </c>
      <c r="BT55" s="43" t="str">
        <f t="shared" si="20"/>
        <v/>
      </c>
      <c r="BU55" s="1" t="str">
        <f t="shared" si="21"/>
        <v/>
      </c>
    </row>
    <row r="56" spans="1:73">
      <c r="A56" s="115">
        <v>47</v>
      </c>
      <c r="B56" s="116"/>
      <c r="C56" s="117"/>
      <c r="D56" s="109"/>
      <c r="E56" s="118"/>
      <c r="F56" s="118"/>
      <c r="G56" s="119" t="str">
        <f t="shared" si="22"/>
        <v/>
      </c>
      <c r="H56" s="116"/>
      <c r="I56" s="116"/>
      <c r="J56" s="116"/>
      <c r="K56" s="116"/>
      <c r="L56" s="120"/>
      <c r="M56" s="116"/>
      <c r="N56" s="116"/>
      <c r="O56" s="116"/>
      <c r="P56" s="116"/>
      <c r="Q56" s="116"/>
      <c r="R56" s="116"/>
      <c r="S56" s="116"/>
      <c r="T56" s="116"/>
      <c r="U56" s="116"/>
      <c r="V56" s="116"/>
      <c r="W56" s="116"/>
      <c r="X56" s="121"/>
      <c r="Y56" s="116"/>
      <c r="Z56" s="116"/>
      <c r="AA56" s="116"/>
      <c r="AB56" s="120"/>
      <c r="AC56" s="116"/>
      <c r="AD56" s="120"/>
      <c r="AE56" s="116"/>
      <c r="AF56" s="116"/>
      <c r="AG56" s="116"/>
      <c r="AH56" s="116"/>
      <c r="AI56" s="116"/>
      <c r="AJ56" s="116"/>
      <c r="AK56" s="116"/>
      <c r="AL56" s="122"/>
      <c r="AM56" s="116"/>
      <c r="AN56" s="120"/>
      <c r="AO56" s="120"/>
      <c r="AP56" s="116"/>
      <c r="AQ56" s="116"/>
      <c r="AR56" s="116"/>
      <c r="AS56" s="116"/>
      <c r="AT56" s="116"/>
      <c r="AU56" s="116"/>
      <c r="AV56" s="120"/>
      <c r="AW56" s="116"/>
      <c r="AX56" s="123" t="str">
        <f t="shared" si="8"/>
        <v/>
      </c>
      <c r="AY56" s="123" t="str">
        <f t="shared" si="9"/>
        <v/>
      </c>
      <c r="AZ56" s="123" t="str">
        <f t="shared" si="10"/>
        <v/>
      </c>
      <c r="BA56" s="124" t="str">
        <f t="shared" si="11"/>
        <v/>
      </c>
      <c r="BB56" s="125" t="str">
        <f t="shared" si="12"/>
        <v/>
      </c>
      <c r="BC56" s="126" t="str">
        <f t="shared" si="13"/>
        <v/>
      </c>
      <c r="BD56" s="123">
        <f t="shared" si="2"/>
        <v>0</v>
      </c>
      <c r="BE56" s="123">
        <f t="shared" si="3"/>
        <v>0</v>
      </c>
      <c r="BF56" s="123">
        <f t="shared" si="4"/>
        <v>0</v>
      </c>
      <c r="BG56" s="123">
        <f t="shared" si="5"/>
        <v>0</v>
      </c>
      <c r="BH56" s="123">
        <f t="shared" si="6"/>
        <v>0</v>
      </c>
      <c r="BI56" s="123">
        <f t="shared" si="7"/>
        <v>0</v>
      </c>
      <c r="BJ56" s="127"/>
      <c r="BN56" s="43" t="str">
        <f t="shared" si="14"/>
        <v/>
      </c>
      <c r="BO56" s="43" t="str">
        <f t="shared" si="15"/>
        <v/>
      </c>
      <c r="BP56" s="43" t="str">
        <f t="shared" si="16"/>
        <v/>
      </c>
      <c r="BQ56" s="43" t="str">
        <f t="shared" si="17"/>
        <v/>
      </c>
      <c r="BR56" s="43" t="str">
        <f t="shared" si="18"/>
        <v/>
      </c>
      <c r="BS56" s="43" t="str">
        <f t="shared" si="19"/>
        <v/>
      </c>
      <c r="BT56" s="43" t="str">
        <f t="shared" si="20"/>
        <v/>
      </c>
      <c r="BU56" s="1" t="str">
        <f t="shared" si="21"/>
        <v/>
      </c>
    </row>
    <row r="57" spans="1:73">
      <c r="A57" s="115">
        <v>48</v>
      </c>
      <c r="B57" s="116"/>
      <c r="C57" s="117"/>
      <c r="D57" s="109"/>
      <c r="E57" s="118"/>
      <c r="F57" s="118"/>
      <c r="G57" s="119" t="str">
        <f t="shared" si="22"/>
        <v/>
      </c>
      <c r="H57" s="116"/>
      <c r="I57" s="116"/>
      <c r="J57" s="116"/>
      <c r="K57" s="116"/>
      <c r="L57" s="120"/>
      <c r="M57" s="116"/>
      <c r="N57" s="116"/>
      <c r="O57" s="116"/>
      <c r="P57" s="116"/>
      <c r="Q57" s="116"/>
      <c r="R57" s="116"/>
      <c r="S57" s="116"/>
      <c r="T57" s="116"/>
      <c r="U57" s="116"/>
      <c r="V57" s="116"/>
      <c r="W57" s="116"/>
      <c r="X57" s="121"/>
      <c r="Y57" s="116"/>
      <c r="Z57" s="116"/>
      <c r="AA57" s="116"/>
      <c r="AB57" s="120"/>
      <c r="AC57" s="116"/>
      <c r="AD57" s="120"/>
      <c r="AE57" s="116"/>
      <c r="AF57" s="116"/>
      <c r="AG57" s="116"/>
      <c r="AH57" s="116"/>
      <c r="AI57" s="116"/>
      <c r="AJ57" s="116"/>
      <c r="AK57" s="116"/>
      <c r="AL57" s="122"/>
      <c r="AM57" s="116"/>
      <c r="AN57" s="120"/>
      <c r="AO57" s="120"/>
      <c r="AP57" s="116"/>
      <c r="AQ57" s="116"/>
      <c r="AR57" s="116"/>
      <c r="AS57" s="116"/>
      <c r="AT57" s="116"/>
      <c r="AU57" s="116"/>
      <c r="AV57" s="120"/>
      <c r="AW57" s="116"/>
      <c r="AX57" s="123" t="str">
        <f t="shared" si="8"/>
        <v/>
      </c>
      <c r="AY57" s="123" t="str">
        <f t="shared" si="9"/>
        <v/>
      </c>
      <c r="AZ57" s="123" t="str">
        <f t="shared" si="10"/>
        <v/>
      </c>
      <c r="BA57" s="124" t="str">
        <f t="shared" si="11"/>
        <v/>
      </c>
      <c r="BB57" s="125" t="str">
        <f t="shared" si="12"/>
        <v/>
      </c>
      <c r="BC57" s="126" t="str">
        <f t="shared" si="13"/>
        <v/>
      </c>
      <c r="BD57" s="123">
        <f t="shared" si="2"/>
        <v>0</v>
      </c>
      <c r="BE57" s="123">
        <f t="shared" si="3"/>
        <v>0</v>
      </c>
      <c r="BF57" s="123">
        <f t="shared" si="4"/>
        <v>0</v>
      </c>
      <c r="BG57" s="123">
        <f t="shared" si="5"/>
        <v>0</v>
      </c>
      <c r="BH57" s="123">
        <f t="shared" si="6"/>
        <v>0</v>
      </c>
      <c r="BI57" s="123">
        <f t="shared" si="7"/>
        <v>0</v>
      </c>
      <c r="BJ57" s="127"/>
      <c r="BN57" s="43" t="str">
        <f t="shared" si="14"/>
        <v/>
      </c>
      <c r="BO57" s="43" t="str">
        <f t="shared" si="15"/>
        <v/>
      </c>
      <c r="BP57" s="43" t="str">
        <f t="shared" si="16"/>
        <v/>
      </c>
      <c r="BQ57" s="43" t="str">
        <f t="shared" si="17"/>
        <v/>
      </c>
      <c r="BR57" s="43" t="str">
        <f t="shared" si="18"/>
        <v/>
      </c>
      <c r="BS57" s="43" t="str">
        <f t="shared" si="19"/>
        <v/>
      </c>
      <c r="BT57" s="43" t="str">
        <f t="shared" si="20"/>
        <v/>
      </c>
      <c r="BU57" s="1" t="str">
        <f t="shared" si="21"/>
        <v/>
      </c>
    </row>
    <row r="58" spans="1:73">
      <c r="A58" s="115">
        <v>49</v>
      </c>
      <c r="B58" s="116"/>
      <c r="C58" s="117"/>
      <c r="D58" s="109"/>
      <c r="E58" s="118"/>
      <c r="F58" s="118"/>
      <c r="G58" s="119" t="str">
        <f t="shared" si="22"/>
        <v/>
      </c>
      <c r="H58" s="116"/>
      <c r="I58" s="116"/>
      <c r="J58" s="116"/>
      <c r="K58" s="116"/>
      <c r="L58" s="120"/>
      <c r="M58" s="116"/>
      <c r="N58" s="116"/>
      <c r="O58" s="116"/>
      <c r="P58" s="116"/>
      <c r="Q58" s="116"/>
      <c r="R58" s="116"/>
      <c r="S58" s="116"/>
      <c r="T58" s="116"/>
      <c r="U58" s="116"/>
      <c r="V58" s="116"/>
      <c r="W58" s="116"/>
      <c r="X58" s="121"/>
      <c r="Y58" s="116"/>
      <c r="Z58" s="116"/>
      <c r="AA58" s="116"/>
      <c r="AB58" s="120"/>
      <c r="AC58" s="116"/>
      <c r="AD58" s="120"/>
      <c r="AE58" s="116"/>
      <c r="AF58" s="116"/>
      <c r="AG58" s="116"/>
      <c r="AH58" s="116"/>
      <c r="AI58" s="116"/>
      <c r="AJ58" s="116"/>
      <c r="AK58" s="116"/>
      <c r="AL58" s="122"/>
      <c r="AM58" s="116"/>
      <c r="AN58" s="120"/>
      <c r="AO58" s="120"/>
      <c r="AP58" s="116"/>
      <c r="AQ58" s="116"/>
      <c r="AR58" s="116"/>
      <c r="AS58" s="116"/>
      <c r="AT58" s="116"/>
      <c r="AU58" s="116"/>
      <c r="AV58" s="120"/>
      <c r="AW58" s="116"/>
      <c r="AX58" s="123" t="str">
        <f t="shared" si="8"/>
        <v/>
      </c>
      <c r="AY58" s="123" t="str">
        <f t="shared" si="9"/>
        <v/>
      </c>
      <c r="AZ58" s="123" t="str">
        <f t="shared" si="10"/>
        <v/>
      </c>
      <c r="BA58" s="124" t="str">
        <f t="shared" si="11"/>
        <v/>
      </c>
      <c r="BB58" s="125" t="str">
        <f t="shared" si="12"/>
        <v/>
      </c>
      <c r="BC58" s="126" t="str">
        <f t="shared" si="13"/>
        <v/>
      </c>
      <c r="BD58" s="123">
        <f t="shared" si="2"/>
        <v>0</v>
      </c>
      <c r="BE58" s="123">
        <f t="shared" si="3"/>
        <v>0</v>
      </c>
      <c r="BF58" s="123">
        <f t="shared" si="4"/>
        <v>0</v>
      </c>
      <c r="BG58" s="123">
        <f t="shared" si="5"/>
        <v>0</v>
      </c>
      <c r="BH58" s="123">
        <f t="shared" si="6"/>
        <v>0</v>
      </c>
      <c r="BI58" s="123">
        <f t="shared" si="7"/>
        <v>0</v>
      </c>
      <c r="BJ58" s="127"/>
      <c r="BN58" s="43" t="str">
        <f t="shared" si="14"/>
        <v/>
      </c>
      <c r="BO58" s="43" t="str">
        <f t="shared" si="15"/>
        <v/>
      </c>
      <c r="BP58" s="43" t="str">
        <f t="shared" si="16"/>
        <v/>
      </c>
      <c r="BQ58" s="43" t="str">
        <f t="shared" si="17"/>
        <v/>
      </c>
      <c r="BR58" s="43" t="str">
        <f t="shared" si="18"/>
        <v/>
      </c>
      <c r="BS58" s="43" t="str">
        <f t="shared" si="19"/>
        <v/>
      </c>
      <c r="BT58" s="43" t="str">
        <f t="shared" si="20"/>
        <v/>
      </c>
      <c r="BU58" s="1" t="str">
        <f t="shared" si="21"/>
        <v/>
      </c>
    </row>
    <row r="59" spans="1:73">
      <c r="A59" s="115">
        <v>50</v>
      </c>
      <c r="B59" s="116"/>
      <c r="C59" s="117"/>
      <c r="D59" s="109"/>
      <c r="E59" s="118"/>
      <c r="F59" s="118"/>
      <c r="G59" s="119" t="str">
        <f t="shared" si="22"/>
        <v/>
      </c>
      <c r="H59" s="116"/>
      <c r="I59" s="116"/>
      <c r="J59" s="116"/>
      <c r="K59" s="116"/>
      <c r="L59" s="120"/>
      <c r="M59" s="116"/>
      <c r="N59" s="116"/>
      <c r="O59" s="116"/>
      <c r="P59" s="116"/>
      <c r="Q59" s="116"/>
      <c r="R59" s="116"/>
      <c r="S59" s="116"/>
      <c r="T59" s="116"/>
      <c r="U59" s="116"/>
      <c r="V59" s="116"/>
      <c r="W59" s="116"/>
      <c r="X59" s="121"/>
      <c r="Y59" s="116"/>
      <c r="Z59" s="116"/>
      <c r="AA59" s="116"/>
      <c r="AB59" s="120"/>
      <c r="AC59" s="116"/>
      <c r="AD59" s="120"/>
      <c r="AE59" s="116"/>
      <c r="AF59" s="116"/>
      <c r="AG59" s="116"/>
      <c r="AH59" s="116"/>
      <c r="AI59" s="116"/>
      <c r="AJ59" s="116"/>
      <c r="AK59" s="116"/>
      <c r="AL59" s="122"/>
      <c r="AM59" s="116"/>
      <c r="AN59" s="120"/>
      <c r="AO59" s="120"/>
      <c r="AP59" s="116"/>
      <c r="AQ59" s="116"/>
      <c r="AR59" s="116"/>
      <c r="AS59" s="116"/>
      <c r="AT59" s="116"/>
      <c r="AU59" s="116"/>
      <c r="AV59" s="120"/>
      <c r="AW59" s="116"/>
      <c r="AX59" s="123" t="str">
        <f t="shared" si="8"/>
        <v/>
      </c>
      <c r="AY59" s="123" t="str">
        <f t="shared" si="9"/>
        <v/>
      </c>
      <c r="AZ59" s="123" t="str">
        <f t="shared" si="10"/>
        <v/>
      </c>
      <c r="BA59" s="124" t="str">
        <f t="shared" si="11"/>
        <v/>
      </c>
      <c r="BB59" s="125" t="str">
        <f t="shared" si="12"/>
        <v/>
      </c>
      <c r="BC59" s="126" t="str">
        <f t="shared" si="13"/>
        <v/>
      </c>
      <c r="BD59" s="123">
        <f t="shared" si="2"/>
        <v>0</v>
      </c>
      <c r="BE59" s="123">
        <f t="shared" si="3"/>
        <v>0</v>
      </c>
      <c r="BF59" s="123">
        <f t="shared" si="4"/>
        <v>0</v>
      </c>
      <c r="BG59" s="123">
        <f t="shared" si="5"/>
        <v>0</v>
      </c>
      <c r="BH59" s="123">
        <f t="shared" si="6"/>
        <v>0</v>
      </c>
      <c r="BI59" s="123">
        <f t="shared" si="7"/>
        <v>0</v>
      </c>
      <c r="BJ59" s="127"/>
      <c r="BN59" s="43" t="str">
        <f t="shared" si="14"/>
        <v/>
      </c>
      <c r="BO59" s="43" t="str">
        <f t="shared" si="15"/>
        <v/>
      </c>
      <c r="BP59" s="43" t="str">
        <f t="shared" si="16"/>
        <v/>
      </c>
      <c r="BQ59" s="43" t="str">
        <f t="shared" si="17"/>
        <v/>
      </c>
      <c r="BR59" s="43" t="str">
        <f t="shared" si="18"/>
        <v/>
      </c>
      <c r="BS59" s="43" t="str">
        <f t="shared" si="19"/>
        <v/>
      </c>
      <c r="BT59" s="43" t="str">
        <f t="shared" si="20"/>
        <v/>
      </c>
      <c r="BU59" s="1" t="str">
        <f t="shared" si="21"/>
        <v/>
      </c>
    </row>
    <row r="60" spans="1:73">
      <c r="A60" s="115">
        <v>51</v>
      </c>
      <c r="B60" s="116"/>
      <c r="C60" s="117"/>
      <c r="D60" s="109"/>
      <c r="E60" s="118"/>
      <c r="F60" s="118"/>
      <c r="G60" s="119" t="str">
        <f t="shared" si="22"/>
        <v/>
      </c>
      <c r="H60" s="116"/>
      <c r="I60" s="116"/>
      <c r="J60" s="116"/>
      <c r="K60" s="116"/>
      <c r="L60" s="120"/>
      <c r="M60" s="116"/>
      <c r="N60" s="116"/>
      <c r="O60" s="116"/>
      <c r="P60" s="116"/>
      <c r="Q60" s="116"/>
      <c r="R60" s="116"/>
      <c r="S60" s="116"/>
      <c r="T60" s="116"/>
      <c r="U60" s="116"/>
      <c r="V60" s="116"/>
      <c r="W60" s="116"/>
      <c r="X60" s="121"/>
      <c r="Y60" s="116"/>
      <c r="Z60" s="116"/>
      <c r="AA60" s="116"/>
      <c r="AB60" s="120"/>
      <c r="AC60" s="116"/>
      <c r="AD60" s="120"/>
      <c r="AE60" s="116"/>
      <c r="AF60" s="116"/>
      <c r="AG60" s="116"/>
      <c r="AH60" s="116"/>
      <c r="AI60" s="116"/>
      <c r="AJ60" s="116"/>
      <c r="AK60" s="116"/>
      <c r="AL60" s="122"/>
      <c r="AM60" s="116"/>
      <c r="AN60" s="120"/>
      <c r="AO60" s="120"/>
      <c r="AP60" s="116"/>
      <c r="AQ60" s="116"/>
      <c r="AR60" s="116"/>
      <c r="AS60" s="116"/>
      <c r="AT60" s="116"/>
      <c r="AU60" s="116"/>
      <c r="AV60" s="120"/>
      <c r="AW60" s="116"/>
      <c r="AX60" s="123" t="str">
        <f t="shared" si="8"/>
        <v/>
      </c>
      <c r="AY60" s="123" t="str">
        <f t="shared" si="9"/>
        <v/>
      </c>
      <c r="AZ60" s="123" t="str">
        <f t="shared" si="10"/>
        <v/>
      </c>
      <c r="BA60" s="124" t="str">
        <f t="shared" si="11"/>
        <v/>
      </c>
      <c r="BB60" s="125" t="str">
        <f t="shared" si="12"/>
        <v/>
      </c>
      <c r="BC60" s="126" t="str">
        <f t="shared" si="13"/>
        <v/>
      </c>
      <c r="BD60" s="123">
        <f t="shared" si="2"/>
        <v>0</v>
      </c>
      <c r="BE60" s="123">
        <f t="shared" si="3"/>
        <v>0</v>
      </c>
      <c r="BF60" s="123">
        <f t="shared" si="4"/>
        <v>0</v>
      </c>
      <c r="BG60" s="123">
        <f t="shared" si="5"/>
        <v>0</v>
      </c>
      <c r="BH60" s="123">
        <f t="shared" si="6"/>
        <v>0</v>
      </c>
      <c r="BI60" s="123">
        <f t="shared" si="7"/>
        <v>0</v>
      </c>
      <c r="BJ60" s="127"/>
      <c r="BN60" s="43" t="str">
        <f t="shared" si="14"/>
        <v/>
      </c>
      <c r="BO60" s="43" t="str">
        <f t="shared" si="15"/>
        <v/>
      </c>
      <c r="BP60" s="43" t="str">
        <f t="shared" si="16"/>
        <v/>
      </c>
      <c r="BQ60" s="43" t="str">
        <f t="shared" si="17"/>
        <v/>
      </c>
      <c r="BR60" s="43" t="str">
        <f t="shared" si="18"/>
        <v/>
      </c>
      <c r="BS60" s="43" t="str">
        <f t="shared" si="19"/>
        <v/>
      </c>
      <c r="BT60" s="43" t="str">
        <f t="shared" si="20"/>
        <v/>
      </c>
      <c r="BU60" s="1" t="str">
        <f t="shared" si="21"/>
        <v/>
      </c>
    </row>
    <row r="61" spans="1:73">
      <c r="A61" s="115">
        <v>52</v>
      </c>
      <c r="B61" s="116"/>
      <c r="C61" s="117"/>
      <c r="D61" s="109"/>
      <c r="E61" s="118"/>
      <c r="F61" s="118"/>
      <c r="G61" s="119" t="str">
        <f t="shared" si="22"/>
        <v/>
      </c>
      <c r="H61" s="116"/>
      <c r="I61" s="116"/>
      <c r="J61" s="116"/>
      <c r="K61" s="116"/>
      <c r="L61" s="120"/>
      <c r="M61" s="116"/>
      <c r="N61" s="116"/>
      <c r="O61" s="116"/>
      <c r="P61" s="116"/>
      <c r="Q61" s="116"/>
      <c r="R61" s="116"/>
      <c r="S61" s="116"/>
      <c r="T61" s="116"/>
      <c r="U61" s="116"/>
      <c r="V61" s="116"/>
      <c r="W61" s="116"/>
      <c r="X61" s="121"/>
      <c r="Y61" s="116"/>
      <c r="Z61" s="116"/>
      <c r="AA61" s="116"/>
      <c r="AB61" s="120"/>
      <c r="AC61" s="116"/>
      <c r="AD61" s="120"/>
      <c r="AE61" s="116"/>
      <c r="AF61" s="116"/>
      <c r="AG61" s="116"/>
      <c r="AH61" s="116"/>
      <c r="AI61" s="116"/>
      <c r="AJ61" s="116"/>
      <c r="AK61" s="116"/>
      <c r="AL61" s="122"/>
      <c r="AM61" s="116"/>
      <c r="AN61" s="120"/>
      <c r="AO61" s="120"/>
      <c r="AP61" s="116"/>
      <c r="AQ61" s="116"/>
      <c r="AR61" s="116"/>
      <c r="AS61" s="116"/>
      <c r="AT61" s="116"/>
      <c r="AU61" s="116"/>
      <c r="AV61" s="120"/>
      <c r="AW61" s="116"/>
      <c r="AX61" s="123" t="str">
        <f t="shared" si="8"/>
        <v/>
      </c>
      <c r="AY61" s="123" t="str">
        <f t="shared" si="9"/>
        <v/>
      </c>
      <c r="AZ61" s="123" t="str">
        <f t="shared" si="10"/>
        <v/>
      </c>
      <c r="BA61" s="124" t="str">
        <f t="shared" si="11"/>
        <v/>
      </c>
      <c r="BB61" s="125" t="str">
        <f t="shared" si="12"/>
        <v/>
      </c>
      <c r="BC61" s="126" t="str">
        <f t="shared" si="13"/>
        <v/>
      </c>
      <c r="BD61" s="123">
        <f t="shared" si="2"/>
        <v>0</v>
      </c>
      <c r="BE61" s="123">
        <f t="shared" si="3"/>
        <v>0</v>
      </c>
      <c r="BF61" s="123">
        <f t="shared" si="4"/>
        <v>0</v>
      </c>
      <c r="BG61" s="123">
        <f t="shared" si="5"/>
        <v>0</v>
      </c>
      <c r="BH61" s="123">
        <f t="shared" si="6"/>
        <v>0</v>
      </c>
      <c r="BI61" s="123">
        <f t="shared" si="7"/>
        <v>0</v>
      </c>
      <c r="BJ61" s="127"/>
      <c r="BN61" s="43" t="str">
        <f t="shared" si="14"/>
        <v/>
      </c>
      <c r="BO61" s="43" t="str">
        <f t="shared" si="15"/>
        <v/>
      </c>
      <c r="BP61" s="43" t="str">
        <f t="shared" si="16"/>
        <v/>
      </c>
      <c r="BQ61" s="43" t="str">
        <f t="shared" si="17"/>
        <v/>
      </c>
      <c r="BR61" s="43" t="str">
        <f t="shared" si="18"/>
        <v/>
      </c>
      <c r="BS61" s="43" t="str">
        <f t="shared" si="19"/>
        <v/>
      </c>
      <c r="BT61" s="43" t="str">
        <f t="shared" si="20"/>
        <v/>
      </c>
      <c r="BU61" s="1" t="str">
        <f t="shared" si="21"/>
        <v/>
      </c>
    </row>
    <row r="62" spans="1:73">
      <c r="A62" s="115">
        <v>53</v>
      </c>
      <c r="B62" s="116"/>
      <c r="C62" s="117"/>
      <c r="D62" s="109"/>
      <c r="E62" s="118"/>
      <c r="F62" s="118"/>
      <c r="G62" s="119" t="str">
        <f t="shared" si="22"/>
        <v/>
      </c>
      <c r="H62" s="116"/>
      <c r="I62" s="116"/>
      <c r="J62" s="116"/>
      <c r="K62" s="116"/>
      <c r="L62" s="120"/>
      <c r="M62" s="116"/>
      <c r="N62" s="116"/>
      <c r="O62" s="116"/>
      <c r="P62" s="116"/>
      <c r="Q62" s="116"/>
      <c r="R62" s="116"/>
      <c r="S62" s="116"/>
      <c r="T62" s="116"/>
      <c r="U62" s="116"/>
      <c r="V62" s="116"/>
      <c r="W62" s="116"/>
      <c r="X62" s="121"/>
      <c r="Y62" s="116"/>
      <c r="Z62" s="116"/>
      <c r="AA62" s="116"/>
      <c r="AB62" s="120"/>
      <c r="AC62" s="116"/>
      <c r="AD62" s="120"/>
      <c r="AE62" s="116"/>
      <c r="AF62" s="116"/>
      <c r="AG62" s="116"/>
      <c r="AH62" s="116"/>
      <c r="AI62" s="116"/>
      <c r="AJ62" s="116"/>
      <c r="AK62" s="116"/>
      <c r="AL62" s="122"/>
      <c r="AM62" s="116"/>
      <c r="AN62" s="120"/>
      <c r="AO62" s="120"/>
      <c r="AP62" s="116"/>
      <c r="AQ62" s="116"/>
      <c r="AR62" s="116"/>
      <c r="AS62" s="116"/>
      <c r="AT62" s="116"/>
      <c r="AU62" s="116"/>
      <c r="AV62" s="120"/>
      <c r="AW62" s="116"/>
      <c r="AX62" s="123" t="str">
        <f t="shared" si="8"/>
        <v/>
      </c>
      <c r="AY62" s="123" t="str">
        <f t="shared" si="9"/>
        <v/>
      </c>
      <c r="AZ62" s="123" t="str">
        <f t="shared" si="10"/>
        <v/>
      </c>
      <c r="BA62" s="124" t="str">
        <f t="shared" si="11"/>
        <v/>
      </c>
      <c r="BB62" s="125" t="str">
        <f t="shared" si="12"/>
        <v/>
      </c>
      <c r="BC62" s="126" t="str">
        <f t="shared" si="13"/>
        <v/>
      </c>
      <c r="BD62" s="123">
        <f t="shared" si="2"/>
        <v>0</v>
      </c>
      <c r="BE62" s="123">
        <f t="shared" si="3"/>
        <v>0</v>
      </c>
      <c r="BF62" s="123">
        <f t="shared" si="4"/>
        <v>0</v>
      </c>
      <c r="BG62" s="123">
        <f t="shared" si="5"/>
        <v>0</v>
      </c>
      <c r="BH62" s="123">
        <f t="shared" si="6"/>
        <v>0</v>
      </c>
      <c r="BI62" s="123">
        <f t="shared" si="7"/>
        <v>0</v>
      </c>
      <c r="BJ62" s="127"/>
      <c r="BN62" s="43" t="str">
        <f t="shared" si="14"/>
        <v/>
      </c>
      <c r="BO62" s="43" t="str">
        <f t="shared" si="15"/>
        <v/>
      </c>
      <c r="BP62" s="43" t="str">
        <f t="shared" si="16"/>
        <v/>
      </c>
      <c r="BQ62" s="43" t="str">
        <f t="shared" si="17"/>
        <v/>
      </c>
      <c r="BR62" s="43" t="str">
        <f t="shared" si="18"/>
        <v/>
      </c>
      <c r="BS62" s="43" t="str">
        <f t="shared" si="19"/>
        <v/>
      </c>
      <c r="BT62" s="43" t="str">
        <f t="shared" si="20"/>
        <v/>
      </c>
      <c r="BU62" s="1" t="str">
        <f t="shared" si="21"/>
        <v/>
      </c>
    </row>
    <row r="63" spans="1:73">
      <c r="A63" s="115">
        <v>54</v>
      </c>
      <c r="B63" s="116"/>
      <c r="C63" s="117"/>
      <c r="D63" s="109"/>
      <c r="E63" s="118"/>
      <c r="F63" s="118"/>
      <c r="G63" s="119" t="str">
        <f t="shared" si="22"/>
        <v/>
      </c>
      <c r="H63" s="116"/>
      <c r="I63" s="116"/>
      <c r="J63" s="116"/>
      <c r="K63" s="116"/>
      <c r="L63" s="120"/>
      <c r="M63" s="116"/>
      <c r="N63" s="116"/>
      <c r="O63" s="116"/>
      <c r="P63" s="116"/>
      <c r="Q63" s="116"/>
      <c r="R63" s="116"/>
      <c r="S63" s="116"/>
      <c r="T63" s="116"/>
      <c r="U63" s="116"/>
      <c r="V63" s="116"/>
      <c r="W63" s="116"/>
      <c r="X63" s="121"/>
      <c r="Y63" s="116"/>
      <c r="Z63" s="116"/>
      <c r="AA63" s="116"/>
      <c r="AB63" s="120"/>
      <c r="AC63" s="116"/>
      <c r="AD63" s="120"/>
      <c r="AE63" s="116"/>
      <c r="AF63" s="116"/>
      <c r="AG63" s="116"/>
      <c r="AH63" s="116"/>
      <c r="AI63" s="116"/>
      <c r="AJ63" s="116"/>
      <c r="AK63" s="116"/>
      <c r="AL63" s="122"/>
      <c r="AM63" s="116"/>
      <c r="AN63" s="120"/>
      <c r="AO63" s="120"/>
      <c r="AP63" s="116"/>
      <c r="AQ63" s="116"/>
      <c r="AR63" s="116"/>
      <c r="AS63" s="116"/>
      <c r="AT63" s="116"/>
      <c r="AU63" s="116"/>
      <c r="AV63" s="120"/>
      <c r="AW63" s="116"/>
      <c r="AX63" s="123" t="str">
        <f t="shared" si="8"/>
        <v/>
      </c>
      <c r="AY63" s="123" t="str">
        <f t="shared" si="9"/>
        <v/>
      </c>
      <c r="AZ63" s="123" t="str">
        <f t="shared" si="10"/>
        <v/>
      </c>
      <c r="BA63" s="124" t="str">
        <f t="shared" si="11"/>
        <v/>
      </c>
      <c r="BB63" s="125" t="str">
        <f t="shared" si="12"/>
        <v/>
      </c>
      <c r="BC63" s="126" t="str">
        <f t="shared" si="13"/>
        <v/>
      </c>
      <c r="BD63" s="123">
        <f t="shared" si="2"/>
        <v>0</v>
      </c>
      <c r="BE63" s="123">
        <f t="shared" si="3"/>
        <v>0</v>
      </c>
      <c r="BF63" s="123">
        <f t="shared" si="4"/>
        <v>0</v>
      </c>
      <c r="BG63" s="123">
        <f t="shared" si="5"/>
        <v>0</v>
      </c>
      <c r="BH63" s="123">
        <f t="shared" si="6"/>
        <v>0</v>
      </c>
      <c r="BI63" s="123">
        <f t="shared" si="7"/>
        <v>0</v>
      </c>
      <c r="BJ63" s="127"/>
      <c r="BN63" s="43" t="str">
        <f t="shared" si="14"/>
        <v/>
      </c>
      <c r="BO63" s="43" t="str">
        <f t="shared" si="15"/>
        <v/>
      </c>
      <c r="BP63" s="43" t="str">
        <f t="shared" si="16"/>
        <v/>
      </c>
      <c r="BQ63" s="43" t="str">
        <f t="shared" si="17"/>
        <v/>
      </c>
      <c r="BR63" s="43" t="str">
        <f t="shared" si="18"/>
        <v/>
      </c>
      <c r="BS63" s="43" t="str">
        <f t="shared" si="19"/>
        <v/>
      </c>
      <c r="BT63" s="43" t="str">
        <f t="shared" si="20"/>
        <v/>
      </c>
      <c r="BU63" s="1" t="str">
        <f t="shared" si="21"/>
        <v/>
      </c>
    </row>
    <row r="64" spans="1:73">
      <c r="A64" s="115">
        <v>55</v>
      </c>
      <c r="B64" s="116"/>
      <c r="C64" s="117"/>
      <c r="D64" s="109"/>
      <c r="E64" s="118"/>
      <c r="F64" s="118"/>
      <c r="G64" s="119" t="str">
        <f t="shared" si="22"/>
        <v/>
      </c>
      <c r="H64" s="116"/>
      <c r="I64" s="116"/>
      <c r="J64" s="116"/>
      <c r="K64" s="116"/>
      <c r="L64" s="120"/>
      <c r="M64" s="116"/>
      <c r="N64" s="116"/>
      <c r="O64" s="116"/>
      <c r="P64" s="116"/>
      <c r="Q64" s="116"/>
      <c r="R64" s="116"/>
      <c r="S64" s="116"/>
      <c r="T64" s="116"/>
      <c r="U64" s="116"/>
      <c r="V64" s="116"/>
      <c r="W64" s="116"/>
      <c r="X64" s="121"/>
      <c r="Y64" s="116"/>
      <c r="Z64" s="116"/>
      <c r="AA64" s="116"/>
      <c r="AB64" s="120"/>
      <c r="AC64" s="116"/>
      <c r="AD64" s="120"/>
      <c r="AE64" s="116"/>
      <c r="AF64" s="116"/>
      <c r="AG64" s="116"/>
      <c r="AH64" s="116"/>
      <c r="AI64" s="116"/>
      <c r="AJ64" s="116"/>
      <c r="AK64" s="116"/>
      <c r="AL64" s="122"/>
      <c r="AM64" s="116"/>
      <c r="AN64" s="120"/>
      <c r="AO64" s="120"/>
      <c r="AP64" s="116"/>
      <c r="AQ64" s="116"/>
      <c r="AR64" s="116"/>
      <c r="AS64" s="116"/>
      <c r="AT64" s="116"/>
      <c r="AU64" s="116"/>
      <c r="AV64" s="120"/>
      <c r="AW64" s="116"/>
      <c r="AX64" s="123" t="str">
        <f t="shared" si="8"/>
        <v/>
      </c>
      <c r="AY64" s="123" t="str">
        <f t="shared" si="9"/>
        <v/>
      </c>
      <c r="AZ64" s="123" t="str">
        <f t="shared" si="10"/>
        <v/>
      </c>
      <c r="BA64" s="124" t="str">
        <f t="shared" si="11"/>
        <v/>
      </c>
      <c r="BB64" s="125" t="str">
        <f t="shared" si="12"/>
        <v/>
      </c>
      <c r="BC64" s="126" t="str">
        <f t="shared" si="13"/>
        <v/>
      </c>
      <c r="BD64" s="123">
        <f t="shared" si="2"/>
        <v>0</v>
      </c>
      <c r="BE64" s="123">
        <f t="shared" si="3"/>
        <v>0</v>
      </c>
      <c r="BF64" s="123">
        <f t="shared" si="4"/>
        <v>0</v>
      </c>
      <c r="BG64" s="123">
        <f t="shared" si="5"/>
        <v>0</v>
      </c>
      <c r="BH64" s="123">
        <f t="shared" si="6"/>
        <v>0</v>
      </c>
      <c r="BI64" s="123">
        <f t="shared" si="7"/>
        <v>0</v>
      </c>
      <c r="BJ64" s="127"/>
      <c r="BN64" s="43" t="str">
        <f t="shared" si="14"/>
        <v/>
      </c>
      <c r="BO64" s="43" t="str">
        <f t="shared" si="15"/>
        <v/>
      </c>
      <c r="BP64" s="43" t="str">
        <f t="shared" si="16"/>
        <v/>
      </c>
      <c r="BQ64" s="43" t="str">
        <f t="shared" si="17"/>
        <v/>
      </c>
      <c r="BR64" s="43" t="str">
        <f t="shared" si="18"/>
        <v/>
      </c>
      <c r="BS64" s="43" t="str">
        <f t="shared" si="19"/>
        <v/>
      </c>
      <c r="BT64" s="43" t="str">
        <f t="shared" si="20"/>
        <v/>
      </c>
      <c r="BU64" s="1" t="str">
        <f t="shared" si="21"/>
        <v/>
      </c>
    </row>
    <row r="65" spans="1:73">
      <c r="A65" s="115">
        <v>56</v>
      </c>
      <c r="B65" s="116"/>
      <c r="C65" s="117"/>
      <c r="D65" s="109"/>
      <c r="E65" s="118"/>
      <c r="F65" s="118"/>
      <c r="G65" s="119" t="str">
        <f t="shared" si="22"/>
        <v/>
      </c>
      <c r="H65" s="116"/>
      <c r="I65" s="116"/>
      <c r="J65" s="116"/>
      <c r="K65" s="116"/>
      <c r="L65" s="120"/>
      <c r="M65" s="116"/>
      <c r="N65" s="116"/>
      <c r="O65" s="116"/>
      <c r="P65" s="116"/>
      <c r="Q65" s="116"/>
      <c r="R65" s="116"/>
      <c r="S65" s="116"/>
      <c r="T65" s="116"/>
      <c r="U65" s="116"/>
      <c r="V65" s="116"/>
      <c r="W65" s="116"/>
      <c r="X65" s="121"/>
      <c r="Y65" s="116"/>
      <c r="Z65" s="116"/>
      <c r="AA65" s="116"/>
      <c r="AB65" s="120"/>
      <c r="AC65" s="116"/>
      <c r="AD65" s="120"/>
      <c r="AE65" s="116"/>
      <c r="AF65" s="116"/>
      <c r="AG65" s="116"/>
      <c r="AH65" s="116"/>
      <c r="AI65" s="116"/>
      <c r="AJ65" s="116"/>
      <c r="AK65" s="116"/>
      <c r="AL65" s="122"/>
      <c r="AM65" s="116"/>
      <c r="AN65" s="120"/>
      <c r="AO65" s="120"/>
      <c r="AP65" s="116"/>
      <c r="AQ65" s="116"/>
      <c r="AR65" s="116"/>
      <c r="AS65" s="116"/>
      <c r="AT65" s="116"/>
      <c r="AU65" s="116"/>
      <c r="AV65" s="120"/>
      <c r="AW65" s="116"/>
      <c r="AX65" s="123" t="str">
        <f t="shared" si="8"/>
        <v/>
      </c>
      <c r="AY65" s="123" t="str">
        <f t="shared" si="9"/>
        <v/>
      </c>
      <c r="AZ65" s="123" t="str">
        <f t="shared" si="10"/>
        <v/>
      </c>
      <c r="BA65" s="124" t="str">
        <f t="shared" si="11"/>
        <v/>
      </c>
      <c r="BB65" s="125" t="str">
        <f t="shared" si="12"/>
        <v/>
      </c>
      <c r="BC65" s="126" t="str">
        <f t="shared" si="13"/>
        <v/>
      </c>
      <c r="BD65" s="123">
        <f t="shared" si="2"/>
        <v>0</v>
      </c>
      <c r="BE65" s="123">
        <f t="shared" si="3"/>
        <v>0</v>
      </c>
      <c r="BF65" s="123">
        <f t="shared" si="4"/>
        <v>0</v>
      </c>
      <c r="BG65" s="123">
        <f t="shared" si="5"/>
        <v>0</v>
      </c>
      <c r="BH65" s="123">
        <f t="shared" si="6"/>
        <v>0</v>
      </c>
      <c r="BI65" s="123">
        <f t="shared" si="7"/>
        <v>0</v>
      </c>
      <c r="BJ65" s="127"/>
      <c r="BN65" s="43" t="str">
        <f t="shared" si="14"/>
        <v/>
      </c>
      <c r="BO65" s="43" t="str">
        <f t="shared" si="15"/>
        <v/>
      </c>
      <c r="BP65" s="43" t="str">
        <f t="shared" si="16"/>
        <v/>
      </c>
      <c r="BQ65" s="43" t="str">
        <f t="shared" si="17"/>
        <v/>
      </c>
      <c r="BR65" s="43" t="str">
        <f t="shared" si="18"/>
        <v/>
      </c>
      <c r="BS65" s="43" t="str">
        <f t="shared" si="19"/>
        <v/>
      </c>
      <c r="BT65" s="43" t="str">
        <f t="shared" si="20"/>
        <v/>
      </c>
      <c r="BU65" s="1" t="str">
        <f t="shared" si="21"/>
        <v/>
      </c>
    </row>
    <row r="66" spans="1:73">
      <c r="A66" s="115">
        <v>57</v>
      </c>
      <c r="B66" s="116"/>
      <c r="C66" s="117"/>
      <c r="D66" s="109"/>
      <c r="E66" s="118"/>
      <c r="F66" s="118"/>
      <c r="G66" s="119" t="str">
        <f t="shared" si="22"/>
        <v/>
      </c>
      <c r="H66" s="116"/>
      <c r="I66" s="116"/>
      <c r="J66" s="116"/>
      <c r="K66" s="116"/>
      <c r="L66" s="120"/>
      <c r="M66" s="116"/>
      <c r="N66" s="116"/>
      <c r="O66" s="116"/>
      <c r="P66" s="116"/>
      <c r="Q66" s="116"/>
      <c r="R66" s="116"/>
      <c r="S66" s="116"/>
      <c r="T66" s="116"/>
      <c r="U66" s="116"/>
      <c r="V66" s="116"/>
      <c r="W66" s="116"/>
      <c r="X66" s="121"/>
      <c r="Y66" s="116"/>
      <c r="Z66" s="116"/>
      <c r="AA66" s="116"/>
      <c r="AB66" s="120"/>
      <c r="AC66" s="116"/>
      <c r="AD66" s="120"/>
      <c r="AE66" s="116"/>
      <c r="AF66" s="116"/>
      <c r="AG66" s="116"/>
      <c r="AH66" s="116"/>
      <c r="AI66" s="116"/>
      <c r="AJ66" s="116"/>
      <c r="AK66" s="116"/>
      <c r="AL66" s="122"/>
      <c r="AM66" s="116"/>
      <c r="AN66" s="120"/>
      <c r="AO66" s="120"/>
      <c r="AP66" s="116"/>
      <c r="AQ66" s="116"/>
      <c r="AR66" s="116"/>
      <c r="AS66" s="116"/>
      <c r="AT66" s="116"/>
      <c r="AU66" s="116"/>
      <c r="AV66" s="120"/>
      <c r="AW66" s="116"/>
      <c r="AX66" s="123" t="str">
        <f t="shared" si="8"/>
        <v/>
      </c>
      <c r="AY66" s="123" t="str">
        <f t="shared" si="9"/>
        <v/>
      </c>
      <c r="AZ66" s="123" t="str">
        <f t="shared" si="10"/>
        <v/>
      </c>
      <c r="BA66" s="124" t="str">
        <f t="shared" si="11"/>
        <v/>
      </c>
      <c r="BB66" s="125" t="str">
        <f t="shared" si="12"/>
        <v/>
      </c>
      <c r="BC66" s="126" t="str">
        <f t="shared" si="13"/>
        <v/>
      </c>
      <c r="BD66" s="123">
        <f t="shared" si="2"/>
        <v>0</v>
      </c>
      <c r="BE66" s="123">
        <f t="shared" si="3"/>
        <v>0</v>
      </c>
      <c r="BF66" s="123">
        <f t="shared" si="4"/>
        <v>0</v>
      </c>
      <c r="BG66" s="123">
        <f t="shared" si="5"/>
        <v>0</v>
      </c>
      <c r="BH66" s="123">
        <f t="shared" si="6"/>
        <v>0</v>
      </c>
      <c r="BI66" s="123">
        <f t="shared" si="7"/>
        <v>0</v>
      </c>
      <c r="BJ66" s="127"/>
      <c r="BN66" s="43" t="str">
        <f t="shared" si="14"/>
        <v/>
      </c>
      <c r="BO66" s="43" t="str">
        <f t="shared" si="15"/>
        <v/>
      </c>
      <c r="BP66" s="43" t="str">
        <f t="shared" si="16"/>
        <v/>
      </c>
      <c r="BQ66" s="43" t="str">
        <f t="shared" si="17"/>
        <v/>
      </c>
      <c r="BR66" s="43" t="str">
        <f t="shared" si="18"/>
        <v/>
      </c>
      <c r="BS66" s="43" t="str">
        <f t="shared" si="19"/>
        <v/>
      </c>
      <c r="BT66" s="43" t="str">
        <f t="shared" si="20"/>
        <v/>
      </c>
      <c r="BU66" s="1" t="str">
        <f t="shared" si="21"/>
        <v/>
      </c>
    </row>
    <row r="67" spans="1:73">
      <c r="A67" s="115">
        <v>58</v>
      </c>
      <c r="B67" s="116"/>
      <c r="C67" s="117"/>
      <c r="D67" s="109"/>
      <c r="E67" s="118"/>
      <c r="F67" s="118"/>
      <c r="G67" s="119" t="str">
        <f t="shared" si="22"/>
        <v/>
      </c>
      <c r="H67" s="116"/>
      <c r="I67" s="116"/>
      <c r="J67" s="116"/>
      <c r="K67" s="116"/>
      <c r="L67" s="120"/>
      <c r="M67" s="116"/>
      <c r="N67" s="116"/>
      <c r="O67" s="116"/>
      <c r="P67" s="116"/>
      <c r="Q67" s="116"/>
      <c r="R67" s="116"/>
      <c r="S67" s="116"/>
      <c r="T67" s="116"/>
      <c r="U67" s="116"/>
      <c r="V67" s="116"/>
      <c r="W67" s="116"/>
      <c r="X67" s="121"/>
      <c r="Y67" s="116"/>
      <c r="Z67" s="116"/>
      <c r="AA67" s="116"/>
      <c r="AB67" s="120"/>
      <c r="AC67" s="116"/>
      <c r="AD67" s="120"/>
      <c r="AE67" s="116"/>
      <c r="AF67" s="116"/>
      <c r="AG67" s="116"/>
      <c r="AH67" s="116"/>
      <c r="AI67" s="116"/>
      <c r="AJ67" s="116"/>
      <c r="AK67" s="116"/>
      <c r="AL67" s="122"/>
      <c r="AM67" s="116"/>
      <c r="AN67" s="120"/>
      <c r="AO67" s="120"/>
      <c r="AP67" s="116"/>
      <c r="AQ67" s="116"/>
      <c r="AR67" s="116"/>
      <c r="AS67" s="116"/>
      <c r="AT67" s="116"/>
      <c r="AU67" s="116"/>
      <c r="AV67" s="120"/>
      <c r="AW67" s="116"/>
      <c r="AX67" s="123" t="str">
        <f t="shared" si="8"/>
        <v/>
      </c>
      <c r="AY67" s="123" t="str">
        <f t="shared" si="9"/>
        <v/>
      </c>
      <c r="AZ67" s="123" t="str">
        <f t="shared" si="10"/>
        <v/>
      </c>
      <c r="BA67" s="124" t="str">
        <f t="shared" si="11"/>
        <v/>
      </c>
      <c r="BB67" s="125" t="str">
        <f t="shared" si="12"/>
        <v/>
      </c>
      <c r="BC67" s="126" t="str">
        <f t="shared" si="13"/>
        <v/>
      </c>
      <c r="BD67" s="123">
        <f t="shared" si="2"/>
        <v>0</v>
      </c>
      <c r="BE67" s="123">
        <f t="shared" si="3"/>
        <v>0</v>
      </c>
      <c r="BF67" s="123">
        <f t="shared" si="4"/>
        <v>0</v>
      </c>
      <c r="BG67" s="123">
        <f t="shared" si="5"/>
        <v>0</v>
      </c>
      <c r="BH67" s="123">
        <f t="shared" si="6"/>
        <v>0</v>
      </c>
      <c r="BI67" s="123">
        <f t="shared" si="7"/>
        <v>0</v>
      </c>
      <c r="BJ67" s="127"/>
      <c r="BN67" s="43" t="str">
        <f t="shared" si="14"/>
        <v/>
      </c>
      <c r="BO67" s="43" t="str">
        <f t="shared" si="15"/>
        <v/>
      </c>
      <c r="BP67" s="43" t="str">
        <f t="shared" si="16"/>
        <v/>
      </c>
      <c r="BQ67" s="43" t="str">
        <f t="shared" si="17"/>
        <v/>
      </c>
      <c r="BR67" s="43" t="str">
        <f t="shared" si="18"/>
        <v/>
      </c>
      <c r="BS67" s="43" t="str">
        <f t="shared" si="19"/>
        <v/>
      </c>
      <c r="BT67" s="43" t="str">
        <f t="shared" si="20"/>
        <v/>
      </c>
      <c r="BU67" s="1" t="str">
        <f t="shared" si="21"/>
        <v/>
      </c>
    </row>
    <row r="68" spans="1:73">
      <c r="A68" s="115">
        <v>59</v>
      </c>
      <c r="B68" s="116"/>
      <c r="C68" s="117"/>
      <c r="D68" s="109"/>
      <c r="E68" s="118"/>
      <c r="F68" s="118"/>
      <c r="G68" s="119" t="str">
        <f t="shared" si="22"/>
        <v/>
      </c>
      <c r="H68" s="116"/>
      <c r="I68" s="116"/>
      <c r="J68" s="116"/>
      <c r="K68" s="116"/>
      <c r="L68" s="120"/>
      <c r="M68" s="116"/>
      <c r="N68" s="116"/>
      <c r="O68" s="116"/>
      <c r="P68" s="116"/>
      <c r="Q68" s="116"/>
      <c r="R68" s="116"/>
      <c r="S68" s="116"/>
      <c r="T68" s="116"/>
      <c r="U68" s="116"/>
      <c r="V68" s="116"/>
      <c r="W68" s="116"/>
      <c r="X68" s="121"/>
      <c r="Y68" s="116"/>
      <c r="Z68" s="116"/>
      <c r="AA68" s="116"/>
      <c r="AB68" s="120"/>
      <c r="AC68" s="116"/>
      <c r="AD68" s="120"/>
      <c r="AE68" s="116"/>
      <c r="AF68" s="116"/>
      <c r="AG68" s="116"/>
      <c r="AH68" s="116"/>
      <c r="AI68" s="116"/>
      <c r="AJ68" s="116"/>
      <c r="AK68" s="116"/>
      <c r="AL68" s="122"/>
      <c r="AM68" s="116"/>
      <c r="AN68" s="120"/>
      <c r="AO68" s="120"/>
      <c r="AP68" s="116"/>
      <c r="AQ68" s="116"/>
      <c r="AR68" s="116"/>
      <c r="AS68" s="116"/>
      <c r="AT68" s="116"/>
      <c r="AU68" s="116"/>
      <c r="AV68" s="120"/>
      <c r="AW68" s="116"/>
      <c r="AX68" s="123" t="str">
        <f t="shared" si="8"/>
        <v/>
      </c>
      <c r="AY68" s="123" t="str">
        <f t="shared" si="9"/>
        <v/>
      </c>
      <c r="AZ68" s="123" t="str">
        <f t="shared" si="10"/>
        <v/>
      </c>
      <c r="BA68" s="124" t="str">
        <f t="shared" si="11"/>
        <v/>
      </c>
      <c r="BB68" s="125" t="str">
        <f t="shared" si="12"/>
        <v/>
      </c>
      <c r="BC68" s="126" t="str">
        <f t="shared" si="13"/>
        <v/>
      </c>
      <c r="BD68" s="123">
        <f t="shared" si="2"/>
        <v>0</v>
      </c>
      <c r="BE68" s="123">
        <f t="shared" si="3"/>
        <v>0</v>
      </c>
      <c r="BF68" s="123">
        <f t="shared" si="4"/>
        <v>0</v>
      </c>
      <c r="BG68" s="123">
        <f t="shared" si="5"/>
        <v>0</v>
      </c>
      <c r="BH68" s="123">
        <f t="shared" si="6"/>
        <v>0</v>
      </c>
      <c r="BI68" s="123">
        <f t="shared" si="7"/>
        <v>0</v>
      </c>
      <c r="BJ68" s="127"/>
      <c r="BN68" s="43" t="str">
        <f t="shared" si="14"/>
        <v/>
      </c>
      <c r="BO68" s="43" t="str">
        <f t="shared" si="15"/>
        <v/>
      </c>
      <c r="BP68" s="43" t="str">
        <f t="shared" si="16"/>
        <v/>
      </c>
      <c r="BQ68" s="43" t="str">
        <f t="shared" si="17"/>
        <v/>
      </c>
      <c r="BR68" s="43" t="str">
        <f t="shared" si="18"/>
        <v/>
      </c>
      <c r="BS68" s="43" t="str">
        <f t="shared" si="19"/>
        <v/>
      </c>
      <c r="BT68" s="43" t="str">
        <f t="shared" si="20"/>
        <v/>
      </c>
      <c r="BU68" s="1" t="str">
        <f t="shared" si="21"/>
        <v/>
      </c>
    </row>
    <row r="69" spans="1:73">
      <c r="A69" s="115">
        <f>A68+1</f>
        <v>60</v>
      </c>
      <c r="B69" s="116"/>
      <c r="C69" s="117"/>
      <c r="D69" s="109"/>
      <c r="E69" s="118"/>
      <c r="F69" s="118"/>
      <c r="G69" s="119" t="str">
        <f t="shared" si="22"/>
        <v/>
      </c>
      <c r="H69" s="116"/>
      <c r="I69" s="116"/>
      <c r="J69" s="116"/>
      <c r="K69" s="116"/>
      <c r="L69" s="120"/>
      <c r="M69" s="116"/>
      <c r="N69" s="116"/>
      <c r="O69" s="116"/>
      <c r="P69" s="116"/>
      <c r="Q69" s="116"/>
      <c r="R69" s="116"/>
      <c r="S69" s="116"/>
      <c r="T69" s="116"/>
      <c r="U69" s="116"/>
      <c r="V69" s="116"/>
      <c r="W69" s="116"/>
      <c r="X69" s="121"/>
      <c r="Y69" s="116"/>
      <c r="Z69" s="116"/>
      <c r="AA69" s="116"/>
      <c r="AB69" s="120"/>
      <c r="AC69" s="116"/>
      <c r="AD69" s="120"/>
      <c r="AE69" s="116"/>
      <c r="AF69" s="116"/>
      <c r="AG69" s="116"/>
      <c r="AH69" s="116"/>
      <c r="AI69" s="116"/>
      <c r="AJ69" s="116"/>
      <c r="AK69" s="116"/>
      <c r="AL69" s="122"/>
      <c r="AM69" s="116"/>
      <c r="AN69" s="120"/>
      <c r="AO69" s="120"/>
      <c r="AP69" s="116"/>
      <c r="AQ69" s="116"/>
      <c r="AR69" s="116"/>
      <c r="AS69" s="116"/>
      <c r="AT69" s="116"/>
      <c r="AU69" s="116"/>
      <c r="AV69" s="120"/>
      <c r="AW69" s="116"/>
      <c r="AX69" s="123" t="str">
        <f t="shared" si="8"/>
        <v/>
      </c>
      <c r="AY69" s="123" t="str">
        <f t="shared" si="9"/>
        <v/>
      </c>
      <c r="AZ69" s="123" t="str">
        <f t="shared" si="10"/>
        <v/>
      </c>
      <c r="BA69" s="124" t="str">
        <f t="shared" si="11"/>
        <v/>
      </c>
      <c r="BB69" s="125" t="str">
        <f t="shared" si="12"/>
        <v/>
      </c>
      <c r="BC69" s="126" t="str">
        <f t="shared" si="13"/>
        <v/>
      </c>
      <c r="BD69" s="123">
        <f t="shared" si="2"/>
        <v>0</v>
      </c>
      <c r="BE69" s="123">
        <f t="shared" si="3"/>
        <v>0</v>
      </c>
      <c r="BF69" s="123">
        <f t="shared" si="4"/>
        <v>0</v>
      </c>
      <c r="BG69" s="123">
        <f t="shared" si="5"/>
        <v>0</v>
      </c>
      <c r="BH69" s="123">
        <f t="shared" si="6"/>
        <v>0</v>
      </c>
      <c r="BI69" s="123">
        <f t="shared" si="7"/>
        <v>0</v>
      </c>
      <c r="BJ69" s="127"/>
      <c r="BN69" s="43" t="str">
        <f t="shared" si="14"/>
        <v/>
      </c>
      <c r="BO69" s="43" t="str">
        <f t="shared" si="15"/>
        <v/>
      </c>
      <c r="BP69" s="43" t="str">
        <f t="shared" si="16"/>
        <v/>
      </c>
      <c r="BQ69" s="43" t="str">
        <f t="shared" si="17"/>
        <v/>
      </c>
      <c r="BR69" s="43" t="str">
        <f t="shared" si="18"/>
        <v/>
      </c>
      <c r="BS69" s="43" t="str">
        <f t="shared" si="19"/>
        <v/>
      </c>
      <c r="BT69" s="43" t="str">
        <f t="shared" si="20"/>
        <v/>
      </c>
      <c r="BU69" s="1" t="str">
        <f t="shared" si="21"/>
        <v/>
      </c>
    </row>
    <row r="70" spans="1:73">
      <c r="A70" s="115">
        <f t="shared" ref="A70:A108" si="23">A69+1</f>
        <v>61</v>
      </c>
      <c r="B70" s="116"/>
      <c r="C70" s="117"/>
      <c r="D70" s="109"/>
      <c r="E70" s="118"/>
      <c r="F70" s="118"/>
      <c r="G70" s="119" t="str">
        <f t="shared" si="22"/>
        <v/>
      </c>
      <c r="H70" s="116"/>
      <c r="I70" s="116"/>
      <c r="J70" s="116"/>
      <c r="K70" s="116"/>
      <c r="L70" s="120"/>
      <c r="M70" s="116"/>
      <c r="N70" s="116"/>
      <c r="O70" s="116"/>
      <c r="P70" s="116"/>
      <c r="Q70" s="116"/>
      <c r="R70" s="116"/>
      <c r="S70" s="116"/>
      <c r="T70" s="116"/>
      <c r="U70" s="116"/>
      <c r="V70" s="116"/>
      <c r="W70" s="116"/>
      <c r="X70" s="121"/>
      <c r="Y70" s="116"/>
      <c r="Z70" s="116"/>
      <c r="AA70" s="116"/>
      <c r="AB70" s="120"/>
      <c r="AC70" s="116"/>
      <c r="AD70" s="120"/>
      <c r="AE70" s="116"/>
      <c r="AF70" s="116"/>
      <c r="AG70" s="116"/>
      <c r="AH70" s="116"/>
      <c r="AI70" s="116"/>
      <c r="AJ70" s="116"/>
      <c r="AK70" s="116"/>
      <c r="AL70" s="122"/>
      <c r="AM70" s="116"/>
      <c r="AN70" s="120"/>
      <c r="AO70" s="120"/>
      <c r="AP70" s="116"/>
      <c r="AQ70" s="116"/>
      <c r="AR70" s="116"/>
      <c r="AS70" s="116"/>
      <c r="AT70" s="116"/>
      <c r="AU70" s="116"/>
      <c r="AV70" s="120"/>
      <c r="AW70" s="116"/>
      <c r="AX70" s="123" t="str">
        <f t="shared" si="8"/>
        <v/>
      </c>
      <c r="AY70" s="123" t="str">
        <f t="shared" si="9"/>
        <v/>
      </c>
      <c r="AZ70" s="123" t="str">
        <f t="shared" si="10"/>
        <v/>
      </c>
      <c r="BA70" s="124" t="str">
        <f t="shared" si="11"/>
        <v/>
      </c>
      <c r="BB70" s="125" t="str">
        <f t="shared" si="12"/>
        <v/>
      </c>
      <c r="BC70" s="126" t="str">
        <f t="shared" si="13"/>
        <v/>
      </c>
      <c r="BD70" s="123">
        <f t="shared" si="2"/>
        <v>0</v>
      </c>
      <c r="BE70" s="123">
        <f t="shared" si="3"/>
        <v>0</v>
      </c>
      <c r="BF70" s="123">
        <f t="shared" si="4"/>
        <v>0</v>
      </c>
      <c r="BG70" s="123">
        <f t="shared" si="5"/>
        <v>0</v>
      </c>
      <c r="BH70" s="123">
        <f t="shared" si="6"/>
        <v>0</v>
      </c>
      <c r="BI70" s="123">
        <f t="shared" si="7"/>
        <v>0</v>
      </c>
      <c r="BJ70" s="127"/>
      <c r="BN70" s="43" t="str">
        <f t="shared" si="14"/>
        <v/>
      </c>
      <c r="BO70" s="43" t="str">
        <f t="shared" si="15"/>
        <v/>
      </c>
      <c r="BP70" s="43" t="str">
        <f t="shared" si="16"/>
        <v/>
      </c>
      <c r="BQ70" s="43" t="str">
        <f t="shared" si="17"/>
        <v/>
      </c>
      <c r="BR70" s="43" t="str">
        <f t="shared" si="18"/>
        <v/>
      </c>
      <c r="BS70" s="43" t="str">
        <f t="shared" si="19"/>
        <v/>
      </c>
      <c r="BT70" s="43" t="str">
        <f t="shared" si="20"/>
        <v/>
      </c>
      <c r="BU70" s="1" t="str">
        <f t="shared" si="21"/>
        <v/>
      </c>
    </row>
    <row r="71" spans="1:73">
      <c r="A71" s="115">
        <f t="shared" si="23"/>
        <v>62</v>
      </c>
      <c r="B71" s="116"/>
      <c r="C71" s="117"/>
      <c r="D71" s="109"/>
      <c r="E71" s="118"/>
      <c r="F71" s="118"/>
      <c r="G71" s="119" t="str">
        <f t="shared" si="22"/>
        <v/>
      </c>
      <c r="H71" s="116"/>
      <c r="I71" s="116"/>
      <c r="J71" s="116"/>
      <c r="K71" s="116"/>
      <c r="L71" s="120"/>
      <c r="M71" s="116"/>
      <c r="N71" s="116"/>
      <c r="O71" s="116"/>
      <c r="P71" s="116"/>
      <c r="Q71" s="116"/>
      <c r="R71" s="116"/>
      <c r="S71" s="116"/>
      <c r="T71" s="116"/>
      <c r="U71" s="116"/>
      <c r="V71" s="116"/>
      <c r="W71" s="116"/>
      <c r="X71" s="121"/>
      <c r="Y71" s="116"/>
      <c r="Z71" s="116"/>
      <c r="AA71" s="116"/>
      <c r="AB71" s="120"/>
      <c r="AC71" s="116"/>
      <c r="AD71" s="120"/>
      <c r="AE71" s="116"/>
      <c r="AF71" s="116"/>
      <c r="AG71" s="116"/>
      <c r="AH71" s="116"/>
      <c r="AI71" s="116"/>
      <c r="AJ71" s="116"/>
      <c r="AK71" s="116"/>
      <c r="AL71" s="122"/>
      <c r="AM71" s="116"/>
      <c r="AN71" s="120"/>
      <c r="AO71" s="120"/>
      <c r="AP71" s="116"/>
      <c r="AQ71" s="116"/>
      <c r="AR71" s="116"/>
      <c r="AS71" s="116"/>
      <c r="AT71" s="116"/>
      <c r="AU71" s="116"/>
      <c r="AV71" s="120"/>
      <c r="AW71" s="116"/>
      <c r="AX71" s="123" t="str">
        <f t="shared" si="8"/>
        <v/>
      </c>
      <c r="AY71" s="123" t="str">
        <f t="shared" si="9"/>
        <v/>
      </c>
      <c r="AZ71" s="123" t="str">
        <f t="shared" si="10"/>
        <v/>
      </c>
      <c r="BA71" s="124" t="str">
        <f t="shared" si="11"/>
        <v/>
      </c>
      <c r="BB71" s="125" t="str">
        <f t="shared" si="12"/>
        <v/>
      </c>
      <c r="BC71" s="126" t="str">
        <f t="shared" si="13"/>
        <v/>
      </c>
      <c r="BD71" s="123">
        <f t="shared" si="2"/>
        <v>0</v>
      </c>
      <c r="BE71" s="123">
        <f t="shared" si="3"/>
        <v>0</v>
      </c>
      <c r="BF71" s="123">
        <f t="shared" si="4"/>
        <v>0</v>
      </c>
      <c r="BG71" s="123">
        <f t="shared" si="5"/>
        <v>0</v>
      </c>
      <c r="BH71" s="123">
        <f t="shared" si="6"/>
        <v>0</v>
      </c>
      <c r="BI71" s="123">
        <f t="shared" si="7"/>
        <v>0</v>
      </c>
      <c r="BJ71" s="127"/>
      <c r="BN71" s="43" t="str">
        <f t="shared" si="14"/>
        <v/>
      </c>
      <c r="BO71" s="43" t="str">
        <f t="shared" si="15"/>
        <v/>
      </c>
      <c r="BP71" s="43" t="str">
        <f t="shared" si="16"/>
        <v/>
      </c>
      <c r="BQ71" s="43" t="str">
        <f t="shared" si="17"/>
        <v/>
      </c>
      <c r="BR71" s="43" t="str">
        <f t="shared" si="18"/>
        <v/>
      </c>
      <c r="BS71" s="43" t="str">
        <f t="shared" si="19"/>
        <v/>
      </c>
      <c r="BT71" s="43" t="str">
        <f t="shared" si="20"/>
        <v/>
      </c>
      <c r="BU71" s="1" t="str">
        <f t="shared" si="21"/>
        <v/>
      </c>
    </row>
    <row r="72" spans="1:73">
      <c r="A72" s="115">
        <f t="shared" si="23"/>
        <v>63</v>
      </c>
      <c r="B72" s="116"/>
      <c r="C72" s="117"/>
      <c r="D72" s="109"/>
      <c r="E72" s="118"/>
      <c r="F72" s="118"/>
      <c r="G72" s="119" t="str">
        <f t="shared" si="22"/>
        <v/>
      </c>
      <c r="H72" s="116"/>
      <c r="I72" s="116"/>
      <c r="J72" s="116"/>
      <c r="K72" s="116"/>
      <c r="L72" s="120"/>
      <c r="M72" s="116"/>
      <c r="N72" s="116"/>
      <c r="O72" s="116"/>
      <c r="P72" s="116"/>
      <c r="Q72" s="116"/>
      <c r="R72" s="116"/>
      <c r="S72" s="116"/>
      <c r="T72" s="116"/>
      <c r="U72" s="116"/>
      <c r="V72" s="116"/>
      <c r="W72" s="116"/>
      <c r="X72" s="121"/>
      <c r="Y72" s="116"/>
      <c r="Z72" s="116"/>
      <c r="AA72" s="116"/>
      <c r="AB72" s="120"/>
      <c r="AC72" s="116"/>
      <c r="AD72" s="120"/>
      <c r="AE72" s="116"/>
      <c r="AF72" s="116"/>
      <c r="AG72" s="116"/>
      <c r="AH72" s="116"/>
      <c r="AI72" s="116"/>
      <c r="AJ72" s="116"/>
      <c r="AK72" s="116"/>
      <c r="AL72" s="122"/>
      <c r="AM72" s="116"/>
      <c r="AN72" s="120"/>
      <c r="AO72" s="120"/>
      <c r="AP72" s="116"/>
      <c r="AQ72" s="116"/>
      <c r="AR72" s="116"/>
      <c r="AS72" s="116"/>
      <c r="AT72" s="116"/>
      <c r="AU72" s="116"/>
      <c r="AV72" s="120"/>
      <c r="AW72" s="116"/>
      <c r="AX72" s="123" t="str">
        <f t="shared" si="8"/>
        <v/>
      </c>
      <c r="AY72" s="123" t="str">
        <f t="shared" si="9"/>
        <v/>
      </c>
      <c r="AZ72" s="123" t="str">
        <f t="shared" si="10"/>
        <v/>
      </c>
      <c r="BA72" s="124" t="str">
        <f t="shared" si="11"/>
        <v/>
      </c>
      <c r="BB72" s="125" t="str">
        <f t="shared" si="12"/>
        <v/>
      </c>
      <c r="BC72" s="126" t="str">
        <f t="shared" si="13"/>
        <v/>
      </c>
      <c r="BD72" s="123">
        <f t="shared" si="2"/>
        <v>0</v>
      </c>
      <c r="BE72" s="123">
        <f t="shared" si="3"/>
        <v>0</v>
      </c>
      <c r="BF72" s="123">
        <f t="shared" si="4"/>
        <v>0</v>
      </c>
      <c r="BG72" s="123">
        <f t="shared" si="5"/>
        <v>0</v>
      </c>
      <c r="BH72" s="123">
        <f t="shared" si="6"/>
        <v>0</v>
      </c>
      <c r="BI72" s="123">
        <f t="shared" si="7"/>
        <v>0</v>
      </c>
      <c r="BJ72" s="127"/>
      <c r="BN72" s="43" t="str">
        <f t="shared" si="14"/>
        <v/>
      </c>
      <c r="BO72" s="43" t="str">
        <f t="shared" si="15"/>
        <v/>
      </c>
      <c r="BP72" s="43" t="str">
        <f t="shared" si="16"/>
        <v/>
      </c>
      <c r="BQ72" s="43" t="str">
        <f t="shared" si="17"/>
        <v/>
      </c>
      <c r="BR72" s="43" t="str">
        <f t="shared" si="18"/>
        <v/>
      </c>
      <c r="BS72" s="43" t="str">
        <f t="shared" si="19"/>
        <v/>
      </c>
      <c r="BT72" s="43" t="str">
        <f t="shared" si="20"/>
        <v/>
      </c>
      <c r="BU72" s="1" t="str">
        <f t="shared" si="21"/>
        <v/>
      </c>
    </row>
    <row r="73" spans="1:73">
      <c r="A73" s="115">
        <f t="shared" si="23"/>
        <v>64</v>
      </c>
      <c r="B73" s="116"/>
      <c r="C73" s="117"/>
      <c r="D73" s="109"/>
      <c r="E73" s="118"/>
      <c r="F73" s="118"/>
      <c r="G73" s="119" t="str">
        <f t="shared" si="22"/>
        <v/>
      </c>
      <c r="H73" s="116"/>
      <c r="I73" s="116"/>
      <c r="J73" s="116"/>
      <c r="K73" s="116"/>
      <c r="L73" s="120"/>
      <c r="M73" s="116"/>
      <c r="N73" s="116"/>
      <c r="O73" s="116"/>
      <c r="P73" s="116"/>
      <c r="Q73" s="116"/>
      <c r="R73" s="116"/>
      <c r="S73" s="116"/>
      <c r="T73" s="116"/>
      <c r="U73" s="116"/>
      <c r="V73" s="116"/>
      <c r="W73" s="116"/>
      <c r="X73" s="121"/>
      <c r="Y73" s="116"/>
      <c r="Z73" s="116"/>
      <c r="AA73" s="116"/>
      <c r="AB73" s="120"/>
      <c r="AC73" s="116"/>
      <c r="AD73" s="120"/>
      <c r="AE73" s="116"/>
      <c r="AF73" s="116"/>
      <c r="AG73" s="116"/>
      <c r="AH73" s="116"/>
      <c r="AI73" s="116"/>
      <c r="AJ73" s="116"/>
      <c r="AK73" s="116"/>
      <c r="AL73" s="122"/>
      <c r="AM73" s="116"/>
      <c r="AN73" s="120"/>
      <c r="AO73" s="120"/>
      <c r="AP73" s="116"/>
      <c r="AQ73" s="116"/>
      <c r="AR73" s="116"/>
      <c r="AS73" s="116"/>
      <c r="AT73" s="116"/>
      <c r="AU73" s="116"/>
      <c r="AV73" s="120"/>
      <c r="AW73" s="116"/>
      <c r="AX73" s="123" t="str">
        <f t="shared" si="8"/>
        <v/>
      </c>
      <c r="AY73" s="123" t="str">
        <f t="shared" si="9"/>
        <v/>
      </c>
      <c r="AZ73" s="123" t="str">
        <f t="shared" si="10"/>
        <v/>
      </c>
      <c r="BA73" s="124" t="str">
        <f t="shared" si="11"/>
        <v/>
      </c>
      <c r="BB73" s="125" t="str">
        <f t="shared" si="12"/>
        <v/>
      </c>
      <c r="BC73" s="126" t="str">
        <f t="shared" si="13"/>
        <v/>
      </c>
      <c r="BD73" s="123">
        <f t="shared" si="2"/>
        <v>0</v>
      </c>
      <c r="BE73" s="123">
        <f t="shared" si="3"/>
        <v>0</v>
      </c>
      <c r="BF73" s="123">
        <f t="shared" si="4"/>
        <v>0</v>
      </c>
      <c r="BG73" s="123">
        <f t="shared" si="5"/>
        <v>0</v>
      </c>
      <c r="BH73" s="123">
        <f t="shared" si="6"/>
        <v>0</v>
      </c>
      <c r="BI73" s="123">
        <f t="shared" si="7"/>
        <v>0</v>
      </c>
      <c r="BJ73" s="127"/>
      <c r="BN73" s="43" t="str">
        <f t="shared" si="14"/>
        <v/>
      </c>
      <c r="BO73" s="43" t="str">
        <f t="shared" si="15"/>
        <v/>
      </c>
      <c r="BP73" s="43" t="str">
        <f t="shared" si="16"/>
        <v/>
      </c>
      <c r="BQ73" s="43" t="str">
        <f t="shared" si="17"/>
        <v/>
      </c>
      <c r="BR73" s="43" t="str">
        <f t="shared" si="18"/>
        <v/>
      </c>
      <c r="BS73" s="43" t="str">
        <f t="shared" si="19"/>
        <v/>
      </c>
      <c r="BT73" s="43" t="str">
        <f t="shared" si="20"/>
        <v/>
      </c>
      <c r="BU73" s="1" t="str">
        <f t="shared" si="21"/>
        <v/>
      </c>
    </row>
    <row r="74" spans="1:73">
      <c r="A74" s="115">
        <f t="shared" si="23"/>
        <v>65</v>
      </c>
      <c r="B74" s="116"/>
      <c r="C74" s="117"/>
      <c r="D74" s="109"/>
      <c r="E74" s="118"/>
      <c r="F74" s="118"/>
      <c r="G74" s="119" t="str">
        <f t="shared" si="22"/>
        <v/>
      </c>
      <c r="H74" s="116"/>
      <c r="I74" s="116"/>
      <c r="J74" s="116"/>
      <c r="K74" s="116"/>
      <c r="L74" s="120"/>
      <c r="M74" s="116"/>
      <c r="N74" s="116"/>
      <c r="O74" s="116"/>
      <c r="P74" s="116"/>
      <c r="Q74" s="116"/>
      <c r="R74" s="116"/>
      <c r="S74" s="116"/>
      <c r="T74" s="116"/>
      <c r="U74" s="116"/>
      <c r="V74" s="116"/>
      <c r="W74" s="116"/>
      <c r="X74" s="121"/>
      <c r="Y74" s="116"/>
      <c r="Z74" s="116"/>
      <c r="AA74" s="116"/>
      <c r="AB74" s="120"/>
      <c r="AC74" s="116"/>
      <c r="AD74" s="120"/>
      <c r="AE74" s="116"/>
      <c r="AF74" s="116"/>
      <c r="AG74" s="116"/>
      <c r="AH74" s="116"/>
      <c r="AI74" s="116"/>
      <c r="AJ74" s="116"/>
      <c r="AK74" s="116"/>
      <c r="AL74" s="122"/>
      <c r="AM74" s="116"/>
      <c r="AN74" s="120"/>
      <c r="AO74" s="120"/>
      <c r="AP74" s="116"/>
      <c r="AQ74" s="116"/>
      <c r="AR74" s="116"/>
      <c r="AS74" s="116"/>
      <c r="AT74" s="116"/>
      <c r="AU74" s="116"/>
      <c r="AV74" s="120"/>
      <c r="AW74" s="116"/>
      <c r="AX74" s="123" t="str">
        <f t="shared" si="8"/>
        <v/>
      </c>
      <c r="AY74" s="123" t="str">
        <f t="shared" si="9"/>
        <v/>
      </c>
      <c r="AZ74" s="123" t="str">
        <f t="shared" si="10"/>
        <v/>
      </c>
      <c r="BA74" s="124" t="str">
        <f t="shared" si="11"/>
        <v/>
      </c>
      <c r="BB74" s="125" t="str">
        <f t="shared" si="12"/>
        <v/>
      </c>
      <c r="BC74" s="126" t="str">
        <f t="shared" si="13"/>
        <v/>
      </c>
      <c r="BD74" s="123">
        <f t="shared" ref="BD74:BD109" si="24">IF($BA74&lt;&gt;0,IF($C$7="Grade 6",SUM(H74:J74)+SUM(M74:O74)+SUM(Q74:S74)+U74+V74+Z74+AB74+AF74+AJ74+SUM(AM74:AQ74)+AU74+AV74,IF($C$7="Grade 5",SUM(H74:J74)+SUM(M74:O74)+SUM(Q74:S74)+U74+V74+Z74+AB74+AF74,IF($C$7="Grade 4",SUM(H74:J74)+SUM(M74:O74)+SUM(Q74:S74),0))),0)</f>
        <v>0</v>
      </c>
      <c r="BE74" s="123">
        <f t="shared" ref="BE74:BE109" si="25">IF($BA74&lt;&gt;0,IF($C$7="Grade 6",L74+P74+T74+SUM(W74:Y74)+AA74+SUM(AC74:AE74)+AG74+AI74+AT74,IF($C$7="Grade 5",L74+P74+T74+SUM(W74:Y74)+AA74+SUM(AC74:AE74)+AG74,IF($C$7="Grade 4",L74+P74,0))),0)</f>
        <v>0</v>
      </c>
      <c r="BF74" s="123">
        <f t="shared" ref="BF74:BF109" si="26">IF($BA74&lt;&gt;0,IF($C$7="Grade 6",K74+AH74+AK74+AL74+AR74+AS74+AW74,IF($C$7="Grade 5",K74+AH74,IF($C$7="Grade 4",K74,0))),0)</f>
        <v>0</v>
      </c>
      <c r="BG74" s="123">
        <f t="shared" ref="BG74:BG109" si="27">IF($BA74&lt;&gt;0,IF($C$7="Grade 6",H74+K74+M74+S74+T74+V74+W74+Z74+AB74+AC74+SUM(AH74:AJ74)+AN74+AP74+AQ74+AS74+AT74,IF($C$7="Grade 5",H74+K74+M74+S74+T74+V74+W74+Z74+AB74+AC74+AH74,IF($C$7="Grade 4",H74+K74+M74+S74,0))),0)</f>
        <v>0</v>
      </c>
      <c r="BH74" s="123">
        <f t="shared" ref="BH74:BH109" si="28">IF($BA74&lt;&gt;0,IF($C$7="Grade 6",I74+J74+L74+N74+O74+R74+U74+Y74+SUM(AE74:AG74)+AK74+AM74+AO74+AU74+AV74+AW74,IF($C$7="Grade 5",I74+J74+L74+N74+O74+R74+U74+Y74+SUM(AE74:AG74),IF($C$7="Grade 4",I74+J74+L74+N74+O74+R74,0))),0)</f>
        <v>0</v>
      </c>
      <c r="BI74" s="123">
        <f t="shared" ref="BI74:BI109" si="29">IF($BA74&lt;&gt;0,IF($C$7="Grade 6",P74+Q74+X74+AA74+AD74+AL74+AR74,IF($C$7="Grade 5",P74+Q74+X74+AA74+AD74,IF($C$7="Grade 4",P74+Q74,0))),0)</f>
        <v>0</v>
      </c>
      <c r="BJ74" s="127"/>
      <c r="BN74" s="43" t="str">
        <f t="shared" si="14"/>
        <v/>
      </c>
      <c r="BO74" s="43" t="str">
        <f t="shared" si="15"/>
        <v/>
      </c>
      <c r="BP74" s="43" t="str">
        <f t="shared" si="16"/>
        <v/>
      </c>
      <c r="BQ74" s="43" t="str">
        <f t="shared" si="17"/>
        <v/>
      </c>
      <c r="BR74" s="43" t="str">
        <f t="shared" si="18"/>
        <v/>
      </c>
      <c r="BS74" s="43" t="str">
        <f t="shared" si="19"/>
        <v/>
      </c>
      <c r="BT74" s="43" t="str">
        <f t="shared" si="20"/>
        <v/>
      </c>
      <c r="BU74" s="1" t="str">
        <f t="shared" si="21"/>
        <v/>
      </c>
    </row>
    <row r="75" spans="1:73">
      <c r="A75" s="115">
        <f t="shared" si="23"/>
        <v>66</v>
      </c>
      <c r="B75" s="116"/>
      <c r="C75" s="117"/>
      <c r="D75" s="109"/>
      <c r="E75" s="118"/>
      <c r="F75" s="118"/>
      <c r="G75" s="119" t="str">
        <f t="shared" ref="G75:G109" si="30">IF(C75&lt;&gt;"",(F75-E75)/365,"")</f>
        <v/>
      </c>
      <c r="H75" s="116"/>
      <c r="I75" s="116"/>
      <c r="J75" s="116"/>
      <c r="K75" s="116"/>
      <c r="L75" s="120"/>
      <c r="M75" s="116"/>
      <c r="N75" s="116"/>
      <c r="O75" s="116"/>
      <c r="P75" s="116"/>
      <c r="Q75" s="116"/>
      <c r="R75" s="116"/>
      <c r="S75" s="116"/>
      <c r="T75" s="116"/>
      <c r="U75" s="116"/>
      <c r="V75" s="116"/>
      <c r="W75" s="116"/>
      <c r="X75" s="121"/>
      <c r="Y75" s="116"/>
      <c r="Z75" s="116"/>
      <c r="AA75" s="116"/>
      <c r="AB75" s="120"/>
      <c r="AC75" s="116"/>
      <c r="AD75" s="120"/>
      <c r="AE75" s="116"/>
      <c r="AF75" s="116"/>
      <c r="AG75" s="116"/>
      <c r="AH75" s="116"/>
      <c r="AI75" s="116"/>
      <c r="AJ75" s="116"/>
      <c r="AK75" s="116"/>
      <c r="AL75" s="122"/>
      <c r="AM75" s="116"/>
      <c r="AN75" s="120"/>
      <c r="AO75" s="120"/>
      <c r="AP75" s="116"/>
      <c r="AQ75" s="116"/>
      <c r="AR75" s="116"/>
      <c r="AS75" s="116"/>
      <c r="AT75" s="116"/>
      <c r="AU75" s="116"/>
      <c r="AV75" s="120"/>
      <c r="AW75" s="116"/>
      <c r="AX75" s="123" t="str">
        <f t="shared" ref="AX75:AX109" si="31">IF($C75&lt;&gt;"",SUM(H75:S75),"")</f>
        <v/>
      </c>
      <c r="AY75" s="123" t="str">
        <f t="shared" ref="AY75:AY109" si="32">IF($C75&lt;&gt;"",SUM(T75:AH75),"")</f>
        <v/>
      </c>
      <c r="AZ75" s="123" t="str">
        <f t="shared" ref="AZ75:AZ109" si="33">IF($C75&lt;&gt;"",SUM(AI75:AW75),"")</f>
        <v/>
      </c>
      <c r="BA75" s="124" t="str">
        <f t="shared" ref="BA75:BA109" si="34">_xlfn.IFNA(IF(AND($C$4&lt;&gt;"",$C$7&lt;&gt;"",C75&lt;&gt;""),IF($C$7="Grade 4",AX75,IF($C$7="Grade 5",AX75+AY75,IF($C$7="Grade 6",AX75+AY75+AZ75,0))),""),"")</f>
        <v/>
      </c>
      <c r="BB75" s="125" t="str">
        <f t="shared" ref="BB75:BB109" si="35">IFERROR(IF(AND(BA75&gt;0,C75&lt;&gt;""),BA75/$BA$9,""),"")</f>
        <v/>
      </c>
      <c r="BC75" s="126" t="str">
        <f t="shared" ref="BC75:BC109" si="36">IF($BA75="","",IF($BA$9=50,IF($BA75&gt;=45,"At Grade Level (Highly Proficient)",IF($BA75&gt;=39,"Transitioning (Proficient)",IF($BA75&gt;=29,"Developing (Nearly Proficient)",IF($BA75&gt;=15,"Emerging (Low Proficient)","Emerging (Not Proficient)")))),IF($BA$9=32,IF($BA75&gt;=27,"At Grade Level (Highly Proficient)",IF($BA75&gt;=21,"Transitioning (Proficient)",IF($BA75&gt;=14,"Developing (Nearly Proficient)",IF($BA75&gt;=7,"Emerging (Low Proficient)","Emerging (Not Proficient)")))),IF($BA$9=13,IF($BA75&gt;=11,"At Grade Level (Highly Proficient)",IF($BA75&gt;=8,"Transitioning (Proficient)",IF($BA75&gt;=5,"Developing (Nearly Proficient)",IF($BA75&gt;=3,"Emerging (Low Proficient)","Emerging (Not Proficient)")))),""))))</f>
        <v/>
      </c>
      <c r="BD75" s="123">
        <f t="shared" si="24"/>
        <v>0</v>
      </c>
      <c r="BE75" s="123">
        <f t="shared" si="25"/>
        <v>0</v>
      </c>
      <c r="BF75" s="123">
        <f t="shared" si="26"/>
        <v>0</v>
      </c>
      <c r="BG75" s="123">
        <f t="shared" si="27"/>
        <v>0</v>
      </c>
      <c r="BH75" s="123">
        <f t="shared" si="28"/>
        <v>0</v>
      </c>
      <c r="BI75" s="123">
        <f t="shared" si="29"/>
        <v>0</v>
      </c>
      <c r="BJ75" s="127"/>
      <c r="BN75" s="43" t="str">
        <f t="shared" ref="BN75:BN109" si="37">IF($BA75&lt;&gt;"",IF(BD75/BN$9&gt;=0.75,1,0),"")</f>
        <v/>
      </c>
      <c r="BO75" s="43" t="str">
        <f t="shared" ref="BO75:BO109" si="38">IF($BA75&lt;&gt;"",IF(BE75/BO$9&gt;=0.75,1,0),"")</f>
        <v/>
      </c>
      <c r="BP75" s="43" t="str">
        <f t="shared" ref="BP75:BP109" si="39">IF($BA75&lt;&gt;"",IF(BF75/BP$9&gt;=0.75,1,0),"")</f>
        <v/>
      </c>
      <c r="BQ75" s="43" t="str">
        <f t="shared" ref="BQ75:BQ109" si="40">IF($BA75&lt;&gt;"",IF(SUM(BD75:BF75)/BQ$9&gt;=0.75,1,0),"")</f>
        <v/>
      </c>
      <c r="BR75" s="43" t="str">
        <f t="shared" ref="BR75:BR109" si="41">IF($BA75&lt;&gt;"",IF(BG75/BR$9&gt;=0.75,1,0),"")</f>
        <v/>
      </c>
      <c r="BS75" s="43" t="str">
        <f t="shared" ref="BS75:BS109" si="42">IF($BA75&lt;&gt;"",IF(BH75/BS$9&gt;=0.75,1,0),"")</f>
        <v/>
      </c>
      <c r="BT75" s="43" t="str">
        <f t="shared" ref="BT75:BT109" si="43">IF($BA75&lt;&gt;"",IF(BI75/BT$9&gt;=0.75,1,0),"")</f>
        <v/>
      </c>
      <c r="BU75" s="1" t="str">
        <f t="shared" ref="BU75:BU109" si="44">IF($BA75&lt;&gt;"",IF(SUM(BG75:BI75)/BU$9&gt;=0.75,1,0),"")</f>
        <v/>
      </c>
    </row>
    <row r="76" spans="1:73">
      <c r="A76" s="115">
        <f t="shared" si="23"/>
        <v>67</v>
      </c>
      <c r="B76" s="116"/>
      <c r="C76" s="117"/>
      <c r="D76" s="109"/>
      <c r="E76" s="118"/>
      <c r="F76" s="118"/>
      <c r="G76" s="119" t="str">
        <f t="shared" si="30"/>
        <v/>
      </c>
      <c r="H76" s="116"/>
      <c r="I76" s="116"/>
      <c r="J76" s="116"/>
      <c r="K76" s="116"/>
      <c r="L76" s="120"/>
      <c r="M76" s="116"/>
      <c r="N76" s="116"/>
      <c r="O76" s="116"/>
      <c r="P76" s="116"/>
      <c r="Q76" s="116"/>
      <c r="R76" s="116"/>
      <c r="S76" s="116"/>
      <c r="T76" s="116"/>
      <c r="U76" s="116"/>
      <c r="V76" s="116"/>
      <c r="W76" s="116"/>
      <c r="X76" s="121"/>
      <c r="Y76" s="116"/>
      <c r="Z76" s="116"/>
      <c r="AA76" s="116"/>
      <c r="AB76" s="120"/>
      <c r="AC76" s="116"/>
      <c r="AD76" s="120"/>
      <c r="AE76" s="116"/>
      <c r="AF76" s="116"/>
      <c r="AG76" s="116"/>
      <c r="AH76" s="116"/>
      <c r="AI76" s="116"/>
      <c r="AJ76" s="116"/>
      <c r="AK76" s="116"/>
      <c r="AL76" s="122"/>
      <c r="AM76" s="116"/>
      <c r="AN76" s="120"/>
      <c r="AO76" s="120"/>
      <c r="AP76" s="116"/>
      <c r="AQ76" s="116"/>
      <c r="AR76" s="116"/>
      <c r="AS76" s="116"/>
      <c r="AT76" s="116"/>
      <c r="AU76" s="116"/>
      <c r="AV76" s="120"/>
      <c r="AW76" s="116"/>
      <c r="AX76" s="123" t="str">
        <f t="shared" si="31"/>
        <v/>
      </c>
      <c r="AY76" s="123" t="str">
        <f t="shared" si="32"/>
        <v/>
      </c>
      <c r="AZ76" s="123" t="str">
        <f t="shared" si="33"/>
        <v/>
      </c>
      <c r="BA76" s="124" t="str">
        <f t="shared" si="34"/>
        <v/>
      </c>
      <c r="BB76" s="125" t="str">
        <f t="shared" si="35"/>
        <v/>
      </c>
      <c r="BC76" s="126" t="str">
        <f t="shared" si="36"/>
        <v/>
      </c>
      <c r="BD76" s="123">
        <f t="shared" si="24"/>
        <v>0</v>
      </c>
      <c r="BE76" s="123">
        <f t="shared" si="25"/>
        <v>0</v>
      </c>
      <c r="BF76" s="123">
        <f t="shared" si="26"/>
        <v>0</v>
      </c>
      <c r="BG76" s="123">
        <f t="shared" si="27"/>
        <v>0</v>
      </c>
      <c r="BH76" s="123">
        <f t="shared" si="28"/>
        <v>0</v>
      </c>
      <c r="BI76" s="123">
        <f t="shared" si="29"/>
        <v>0</v>
      </c>
      <c r="BJ76" s="127"/>
      <c r="BN76" s="43" t="str">
        <f t="shared" si="37"/>
        <v/>
      </c>
      <c r="BO76" s="43" t="str">
        <f t="shared" si="38"/>
        <v/>
      </c>
      <c r="BP76" s="43" t="str">
        <f t="shared" si="39"/>
        <v/>
      </c>
      <c r="BQ76" s="43" t="str">
        <f t="shared" si="40"/>
        <v/>
      </c>
      <c r="BR76" s="43" t="str">
        <f t="shared" si="41"/>
        <v/>
      </c>
      <c r="BS76" s="43" t="str">
        <f t="shared" si="42"/>
        <v/>
      </c>
      <c r="BT76" s="43" t="str">
        <f t="shared" si="43"/>
        <v/>
      </c>
      <c r="BU76" s="1" t="str">
        <f t="shared" si="44"/>
        <v/>
      </c>
    </row>
    <row r="77" spans="1:73">
      <c r="A77" s="115">
        <f t="shared" si="23"/>
        <v>68</v>
      </c>
      <c r="B77" s="116"/>
      <c r="C77" s="117"/>
      <c r="D77" s="109"/>
      <c r="E77" s="118"/>
      <c r="F77" s="118"/>
      <c r="G77" s="119" t="str">
        <f t="shared" si="30"/>
        <v/>
      </c>
      <c r="H77" s="116"/>
      <c r="I77" s="116"/>
      <c r="J77" s="116"/>
      <c r="K77" s="116"/>
      <c r="L77" s="120"/>
      <c r="M77" s="116"/>
      <c r="N77" s="116"/>
      <c r="O77" s="116"/>
      <c r="P77" s="116"/>
      <c r="Q77" s="116"/>
      <c r="R77" s="116"/>
      <c r="S77" s="116"/>
      <c r="T77" s="116"/>
      <c r="U77" s="116"/>
      <c r="V77" s="116"/>
      <c r="W77" s="116"/>
      <c r="X77" s="121"/>
      <c r="Y77" s="116"/>
      <c r="Z77" s="116"/>
      <c r="AA77" s="116"/>
      <c r="AB77" s="120"/>
      <c r="AC77" s="116"/>
      <c r="AD77" s="120"/>
      <c r="AE77" s="116"/>
      <c r="AF77" s="116"/>
      <c r="AG77" s="116"/>
      <c r="AH77" s="116"/>
      <c r="AI77" s="116"/>
      <c r="AJ77" s="116"/>
      <c r="AK77" s="116"/>
      <c r="AL77" s="122"/>
      <c r="AM77" s="116"/>
      <c r="AN77" s="120"/>
      <c r="AO77" s="120"/>
      <c r="AP77" s="116"/>
      <c r="AQ77" s="116"/>
      <c r="AR77" s="116"/>
      <c r="AS77" s="116"/>
      <c r="AT77" s="116"/>
      <c r="AU77" s="116"/>
      <c r="AV77" s="120"/>
      <c r="AW77" s="116"/>
      <c r="AX77" s="123" t="str">
        <f t="shared" si="31"/>
        <v/>
      </c>
      <c r="AY77" s="123" t="str">
        <f t="shared" si="32"/>
        <v/>
      </c>
      <c r="AZ77" s="123" t="str">
        <f t="shared" si="33"/>
        <v/>
      </c>
      <c r="BA77" s="124" t="str">
        <f t="shared" si="34"/>
        <v/>
      </c>
      <c r="BB77" s="125" t="str">
        <f t="shared" si="35"/>
        <v/>
      </c>
      <c r="BC77" s="126" t="str">
        <f t="shared" si="36"/>
        <v/>
      </c>
      <c r="BD77" s="123">
        <f t="shared" si="24"/>
        <v>0</v>
      </c>
      <c r="BE77" s="123">
        <f t="shared" si="25"/>
        <v>0</v>
      </c>
      <c r="BF77" s="123">
        <f t="shared" si="26"/>
        <v>0</v>
      </c>
      <c r="BG77" s="123">
        <f t="shared" si="27"/>
        <v>0</v>
      </c>
      <c r="BH77" s="123">
        <f t="shared" si="28"/>
        <v>0</v>
      </c>
      <c r="BI77" s="123">
        <f t="shared" si="29"/>
        <v>0</v>
      </c>
      <c r="BJ77" s="127"/>
      <c r="BN77" s="43" t="str">
        <f t="shared" si="37"/>
        <v/>
      </c>
      <c r="BO77" s="43" t="str">
        <f t="shared" si="38"/>
        <v/>
      </c>
      <c r="BP77" s="43" t="str">
        <f t="shared" si="39"/>
        <v/>
      </c>
      <c r="BQ77" s="43" t="str">
        <f t="shared" si="40"/>
        <v/>
      </c>
      <c r="BR77" s="43" t="str">
        <f t="shared" si="41"/>
        <v/>
      </c>
      <c r="BS77" s="43" t="str">
        <f t="shared" si="42"/>
        <v/>
      </c>
      <c r="BT77" s="43" t="str">
        <f t="shared" si="43"/>
        <v/>
      </c>
      <c r="BU77" s="1" t="str">
        <f t="shared" si="44"/>
        <v/>
      </c>
    </row>
    <row r="78" spans="1:73">
      <c r="A78" s="115">
        <f t="shared" si="23"/>
        <v>69</v>
      </c>
      <c r="B78" s="116"/>
      <c r="C78" s="117"/>
      <c r="D78" s="109"/>
      <c r="E78" s="118"/>
      <c r="F78" s="118"/>
      <c r="G78" s="119" t="str">
        <f t="shared" si="30"/>
        <v/>
      </c>
      <c r="H78" s="116"/>
      <c r="I78" s="116"/>
      <c r="J78" s="116"/>
      <c r="K78" s="116"/>
      <c r="L78" s="120"/>
      <c r="M78" s="116"/>
      <c r="N78" s="116"/>
      <c r="O78" s="116"/>
      <c r="P78" s="116"/>
      <c r="Q78" s="116"/>
      <c r="R78" s="116"/>
      <c r="S78" s="116"/>
      <c r="T78" s="116"/>
      <c r="U78" s="116"/>
      <c r="V78" s="116"/>
      <c r="W78" s="116"/>
      <c r="X78" s="121"/>
      <c r="Y78" s="116"/>
      <c r="Z78" s="116"/>
      <c r="AA78" s="116"/>
      <c r="AB78" s="120"/>
      <c r="AC78" s="116"/>
      <c r="AD78" s="120"/>
      <c r="AE78" s="116"/>
      <c r="AF78" s="116"/>
      <c r="AG78" s="116"/>
      <c r="AH78" s="116"/>
      <c r="AI78" s="116"/>
      <c r="AJ78" s="116"/>
      <c r="AK78" s="116"/>
      <c r="AL78" s="122"/>
      <c r="AM78" s="116"/>
      <c r="AN78" s="120"/>
      <c r="AO78" s="120"/>
      <c r="AP78" s="116"/>
      <c r="AQ78" s="116"/>
      <c r="AR78" s="116"/>
      <c r="AS78" s="116"/>
      <c r="AT78" s="116"/>
      <c r="AU78" s="116"/>
      <c r="AV78" s="120"/>
      <c r="AW78" s="116"/>
      <c r="AX78" s="123" t="str">
        <f t="shared" si="31"/>
        <v/>
      </c>
      <c r="AY78" s="123" t="str">
        <f t="shared" si="32"/>
        <v/>
      </c>
      <c r="AZ78" s="123" t="str">
        <f t="shared" si="33"/>
        <v/>
      </c>
      <c r="BA78" s="124" t="str">
        <f t="shared" si="34"/>
        <v/>
      </c>
      <c r="BB78" s="125" t="str">
        <f t="shared" si="35"/>
        <v/>
      </c>
      <c r="BC78" s="126" t="str">
        <f t="shared" si="36"/>
        <v/>
      </c>
      <c r="BD78" s="123">
        <f t="shared" si="24"/>
        <v>0</v>
      </c>
      <c r="BE78" s="123">
        <f t="shared" si="25"/>
        <v>0</v>
      </c>
      <c r="BF78" s="123">
        <f t="shared" si="26"/>
        <v>0</v>
      </c>
      <c r="BG78" s="123">
        <f t="shared" si="27"/>
        <v>0</v>
      </c>
      <c r="BH78" s="123">
        <f t="shared" si="28"/>
        <v>0</v>
      </c>
      <c r="BI78" s="123">
        <f t="shared" si="29"/>
        <v>0</v>
      </c>
      <c r="BJ78" s="127"/>
      <c r="BN78" s="43" t="str">
        <f t="shared" si="37"/>
        <v/>
      </c>
      <c r="BO78" s="43" t="str">
        <f t="shared" si="38"/>
        <v/>
      </c>
      <c r="BP78" s="43" t="str">
        <f t="shared" si="39"/>
        <v/>
      </c>
      <c r="BQ78" s="43" t="str">
        <f t="shared" si="40"/>
        <v/>
      </c>
      <c r="BR78" s="43" t="str">
        <f t="shared" si="41"/>
        <v/>
      </c>
      <c r="BS78" s="43" t="str">
        <f t="shared" si="42"/>
        <v/>
      </c>
      <c r="BT78" s="43" t="str">
        <f t="shared" si="43"/>
        <v/>
      </c>
      <c r="BU78" s="1" t="str">
        <f t="shared" si="44"/>
        <v/>
      </c>
    </row>
    <row r="79" spans="1:73">
      <c r="A79" s="115">
        <f t="shared" si="23"/>
        <v>70</v>
      </c>
      <c r="B79" s="116"/>
      <c r="C79" s="117"/>
      <c r="D79" s="109"/>
      <c r="E79" s="118"/>
      <c r="F79" s="118"/>
      <c r="G79" s="119" t="str">
        <f t="shared" si="30"/>
        <v/>
      </c>
      <c r="H79" s="116"/>
      <c r="I79" s="116"/>
      <c r="J79" s="116"/>
      <c r="K79" s="116"/>
      <c r="L79" s="120"/>
      <c r="M79" s="116"/>
      <c r="N79" s="116"/>
      <c r="O79" s="116"/>
      <c r="P79" s="116"/>
      <c r="Q79" s="116"/>
      <c r="R79" s="116"/>
      <c r="S79" s="116"/>
      <c r="T79" s="116"/>
      <c r="U79" s="116"/>
      <c r="V79" s="116"/>
      <c r="W79" s="116"/>
      <c r="X79" s="121"/>
      <c r="Y79" s="116"/>
      <c r="Z79" s="116"/>
      <c r="AA79" s="116"/>
      <c r="AB79" s="120"/>
      <c r="AC79" s="116"/>
      <c r="AD79" s="120"/>
      <c r="AE79" s="116"/>
      <c r="AF79" s="116"/>
      <c r="AG79" s="116"/>
      <c r="AH79" s="116"/>
      <c r="AI79" s="116"/>
      <c r="AJ79" s="116"/>
      <c r="AK79" s="116"/>
      <c r="AL79" s="122"/>
      <c r="AM79" s="116"/>
      <c r="AN79" s="120"/>
      <c r="AO79" s="120"/>
      <c r="AP79" s="116"/>
      <c r="AQ79" s="116"/>
      <c r="AR79" s="116"/>
      <c r="AS79" s="116"/>
      <c r="AT79" s="116"/>
      <c r="AU79" s="116"/>
      <c r="AV79" s="120"/>
      <c r="AW79" s="116"/>
      <c r="AX79" s="123" t="str">
        <f t="shared" si="31"/>
        <v/>
      </c>
      <c r="AY79" s="123" t="str">
        <f t="shared" si="32"/>
        <v/>
      </c>
      <c r="AZ79" s="123" t="str">
        <f t="shared" si="33"/>
        <v/>
      </c>
      <c r="BA79" s="124" t="str">
        <f t="shared" si="34"/>
        <v/>
      </c>
      <c r="BB79" s="125" t="str">
        <f t="shared" si="35"/>
        <v/>
      </c>
      <c r="BC79" s="126" t="str">
        <f t="shared" si="36"/>
        <v/>
      </c>
      <c r="BD79" s="123">
        <f t="shared" si="24"/>
        <v>0</v>
      </c>
      <c r="BE79" s="123">
        <f t="shared" si="25"/>
        <v>0</v>
      </c>
      <c r="BF79" s="123">
        <f t="shared" si="26"/>
        <v>0</v>
      </c>
      <c r="BG79" s="123">
        <f t="shared" si="27"/>
        <v>0</v>
      </c>
      <c r="BH79" s="123">
        <f t="shared" si="28"/>
        <v>0</v>
      </c>
      <c r="BI79" s="123">
        <f t="shared" si="29"/>
        <v>0</v>
      </c>
      <c r="BJ79" s="127"/>
      <c r="BN79" s="43" t="str">
        <f t="shared" si="37"/>
        <v/>
      </c>
      <c r="BO79" s="43" t="str">
        <f t="shared" si="38"/>
        <v/>
      </c>
      <c r="BP79" s="43" t="str">
        <f t="shared" si="39"/>
        <v/>
      </c>
      <c r="BQ79" s="43" t="str">
        <f t="shared" si="40"/>
        <v/>
      </c>
      <c r="BR79" s="43" t="str">
        <f t="shared" si="41"/>
        <v/>
      </c>
      <c r="BS79" s="43" t="str">
        <f t="shared" si="42"/>
        <v/>
      </c>
      <c r="BT79" s="43" t="str">
        <f t="shared" si="43"/>
        <v/>
      </c>
      <c r="BU79" s="1" t="str">
        <f t="shared" si="44"/>
        <v/>
      </c>
    </row>
    <row r="80" spans="1:73">
      <c r="A80" s="115">
        <f t="shared" si="23"/>
        <v>71</v>
      </c>
      <c r="B80" s="116"/>
      <c r="C80" s="117"/>
      <c r="D80" s="109"/>
      <c r="E80" s="118"/>
      <c r="F80" s="118"/>
      <c r="G80" s="119" t="str">
        <f t="shared" si="30"/>
        <v/>
      </c>
      <c r="H80" s="116"/>
      <c r="I80" s="116"/>
      <c r="J80" s="116"/>
      <c r="K80" s="116"/>
      <c r="L80" s="120"/>
      <c r="M80" s="116"/>
      <c r="N80" s="116"/>
      <c r="O80" s="116"/>
      <c r="P80" s="116"/>
      <c r="Q80" s="116"/>
      <c r="R80" s="116"/>
      <c r="S80" s="116"/>
      <c r="T80" s="116"/>
      <c r="U80" s="116"/>
      <c r="V80" s="116"/>
      <c r="W80" s="116"/>
      <c r="X80" s="121"/>
      <c r="Y80" s="116"/>
      <c r="Z80" s="116"/>
      <c r="AA80" s="116"/>
      <c r="AB80" s="120"/>
      <c r="AC80" s="116"/>
      <c r="AD80" s="120"/>
      <c r="AE80" s="116"/>
      <c r="AF80" s="116"/>
      <c r="AG80" s="116"/>
      <c r="AH80" s="116"/>
      <c r="AI80" s="116"/>
      <c r="AJ80" s="116"/>
      <c r="AK80" s="116"/>
      <c r="AL80" s="122"/>
      <c r="AM80" s="116"/>
      <c r="AN80" s="120"/>
      <c r="AO80" s="120"/>
      <c r="AP80" s="116"/>
      <c r="AQ80" s="116"/>
      <c r="AR80" s="116"/>
      <c r="AS80" s="116"/>
      <c r="AT80" s="116"/>
      <c r="AU80" s="116"/>
      <c r="AV80" s="120"/>
      <c r="AW80" s="116"/>
      <c r="AX80" s="123" t="str">
        <f t="shared" si="31"/>
        <v/>
      </c>
      <c r="AY80" s="123" t="str">
        <f t="shared" si="32"/>
        <v/>
      </c>
      <c r="AZ80" s="123" t="str">
        <f t="shared" si="33"/>
        <v/>
      </c>
      <c r="BA80" s="124" t="str">
        <f t="shared" si="34"/>
        <v/>
      </c>
      <c r="BB80" s="125" t="str">
        <f t="shared" si="35"/>
        <v/>
      </c>
      <c r="BC80" s="126" t="str">
        <f t="shared" si="36"/>
        <v/>
      </c>
      <c r="BD80" s="123">
        <f t="shared" si="24"/>
        <v>0</v>
      </c>
      <c r="BE80" s="123">
        <f t="shared" si="25"/>
        <v>0</v>
      </c>
      <c r="BF80" s="123">
        <f t="shared" si="26"/>
        <v>0</v>
      </c>
      <c r="BG80" s="123">
        <f t="shared" si="27"/>
        <v>0</v>
      </c>
      <c r="BH80" s="123">
        <f t="shared" si="28"/>
        <v>0</v>
      </c>
      <c r="BI80" s="123">
        <f t="shared" si="29"/>
        <v>0</v>
      </c>
      <c r="BJ80" s="127"/>
      <c r="BN80" s="43" t="str">
        <f t="shared" si="37"/>
        <v/>
      </c>
      <c r="BO80" s="43" t="str">
        <f t="shared" si="38"/>
        <v/>
      </c>
      <c r="BP80" s="43" t="str">
        <f t="shared" si="39"/>
        <v/>
      </c>
      <c r="BQ80" s="43" t="str">
        <f t="shared" si="40"/>
        <v/>
      </c>
      <c r="BR80" s="43" t="str">
        <f t="shared" si="41"/>
        <v/>
      </c>
      <c r="BS80" s="43" t="str">
        <f t="shared" si="42"/>
        <v/>
      </c>
      <c r="BT80" s="43" t="str">
        <f t="shared" si="43"/>
        <v/>
      </c>
      <c r="BU80" s="1" t="str">
        <f t="shared" si="44"/>
        <v/>
      </c>
    </row>
    <row r="81" spans="1:73">
      <c r="A81" s="115">
        <f t="shared" si="23"/>
        <v>72</v>
      </c>
      <c r="B81" s="116"/>
      <c r="C81" s="117"/>
      <c r="D81" s="109"/>
      <c r="E81" s="118"/>
      <c r="F81" s="118"/>
      <c r="G81" s="119" t="str">
        <f t="shared" si="30"/>
        <v/>
      </c>
      <c r="H81" s="116"/>
      <c r="I81" s="116"/>
      <c r="J81" s="116"/>
      <c r="K81" s="116"/>
      <c r="L81" s="120"/>
      <c r="M81" s="116"/>
      <c r="N81" s="116"/>
      <c r="O81" s="116"/>
      <c r="P81" s="116"/>
      <c r="Q81" s="116"/>
      <c r="R81" s="116"/>
      <c r="S81" s="116"/>
      <c r="T81" s="116"/>
      <c r="U81" s="116"/>
      <c r="V81" s="116"/>
      <c r="W81" s="116"/>
      <c r="X81" s="121"/>
      <c r="Y81" s="116"/>
      <c r="Z81" s="116"/>
      <c r="AA81" s="116"/>
      <c r="AB81" s="120"/>
      <c r="AC81" s="116"/>
      <c r="AD81" s="120"/>
      <c r="AE81" s="116"/>
      <c r="AF81" s="116"/>
      <c r="AG81" s="116"/>
      <c r="AH81" s="116"/>
      <c r="AI81" s="116"/>
      <c r="AJ81" s="116"/>
      <c r="AK81" s="116"/>
      <c r="AL81" s="122"/>
      <c r="AM81" s="116"/>
      <c r="AN81" s="120"/>
      <c r="AO81" s="120"/>
      <c r="AP81" s="116"/>
      <c r="AQ81" s="116"/>
      <c r="AR81" s="116"/>
      <c r="AS81" s="116"/>
      <c r="AT81" s="116"/>
      <c r="AU81" s="116"/>
      <c r="AV81" s="120"/>
      <c r="AW81" s="116"/>
      <c r="AX81" s="123" t="str">
        <f t="shared" si="31"/>
        <v/>
      </c>
      <c r="AY81" s="123" t="str">
        <f t="shared" si="32"/>
        <v/>
      </c>
      <c r="AZ81" s="123" t="str">
        <f t="shared" si="33"/>
        <v/>
      </c>
      <c r="BA81" s="124" t="str">
        <f t="shared" si="34"/>
        <v/>
      </c>
      <c r="BB81" s="125" t="str">
        <f t="shared" si="35"/>
        <v/>
      </c>
      <c r="BC81" s="126" t="str">
        <f t="shared" si="36"/>
        <v/>
      </c>
      <c r="BD81" s="123">
        <f t="shared" si="24"/>
        <v>0</v>
      </c>
      <c r="BE81" s="123">
        <f t="shared" si="25"/>
        <v>0</v>
      </c>
      <c r="BF81" s="123">
        <f t="shared" si="26"/>
        <v>0</v>
      </c>
      <c r="BG81" s="123">
        <f t="shared" si="27"/>
        <v>0</v>
      </c>
      <c r="BH81" s="123">
        <f t="shared" si="28"/>
        <v>0</v>
      </c>
      <c r="BI81" s="123">
        <f t="shared" si="29"/>
        <v>0</v>
      </c>
      <c r="BJ81" s="127"/>
      <c r="BN81" s="43" t="str">
        <f t="shared" si="37"/>
        <v/>
      </c>
      <c r="BO81" s="43" t="str">
        <f t="shared" si="38"/>
        <v/>
      </c>
      <c r="BP81" s="43" t="str">
        <f t="shared" si="39"/>
        <v/>
      </c>
      <c r="BQ81" s="43" t="str">
        <f t="shared" si="40"/>
        <v/>
      </c>
      <c r="BR81" s="43" t="str">
        <f t="shared" si="41"/>
        <v/>
      </c>
      <c r="BS81" s="43" t="str">
        <f t="shared" si="42"/>
        <v/>
      </c>
      <c r="BT81" s="43" t="str">
        <f t="shared" si="43"/>
        <v/>
      </c>
      <c r="BU81" s="1" t="str">
        <f t="shared" si="44"/>
        <v/>
      </c>
    </row>
    <row r="82" spans="1:73">
      <c r="A82" s="115">
        <f t="shared" si="23"/>
        <v>73</v>
      </c>
      <c r="B82" s="116"/>
      <c r="C82" s="117"/>
      <c r="D82" s="109"/>
      <c r="E82" s="118"/>
      <c r="F82" s="118"/>
      <c r="G82" s="119" t="str">
        <f t="shared" si="30"/>
        <v/>
      </c>
      <c r="H82" s="116"/>
      <c r="I82" s="116"/>
      <c r="J82" s="116"/>
      <c r="K82" s="116"/>
      <c r="L82" s="120"/>
      <c r="M82" s="116"/>
      <c r="N82" s="116"/>
      <c r="O82" s="116"/>
      <c r="P82" s="116"/>
      <c r="Q82" s="116"/>
      <c r="R82" s="116"/>
      <c r="S82" s="116"/>
      <c r="T82" s="116"/>
      <c r="U82" s="116"/>
      <c r="V82" s="116"/>
      <c r="W82" s="116"/>
      <c r="X82" s="121"/>
      <c r="Y82" s="116"/>
      <c r="Z82" s="116"/>
      <c r="AA82" s="116"/>
      <c r="AB82" s="120"/>
      <c r="AC82" s="116"/>
      <c r="AD82" s="120"/>
      <c r="AE82" s="116"/>
      <c r="AF82" s="116"/>
      <c r="AG82" s="116"/>
      <c r="AH82" s="116"/>
      <c r="AI82" s="116"/>
      <c r="AJ82" s="116"/>
      <c r="AK82" s="116"/>
      <c r="AL82" s="122"/>
      <c r="AM82" s="116"/>
      <c r="AN82" s="120"/>
      <c r="AO82" s="120"/>
      <c r="AP82" s="116"/>
      <c r="AQ82" s="116"/>
      <c r="AR82" s="116"/>
      <c r="AS82" s="116"/>
      <c r="AT82" s="116"/>
      <c r="AU82" s="116"/>
      <c r="AV82" s="120"/>
      <c r="AW82" s="116"/>
      <c r="AX82" s="123" t="str">
        <f t="shared" si="31"/>
        <v/>
      </c>
      <c r="AY82" s="123" t="str">
        <f t="shared" si="32"/>
        <v/>
      </c>
      <c r="AZ82" s="123" t="str">
        <f t="shared" si="33"/>
        <v/>
      </c>
      <c r="BA82" s="124" t="str">
        <f t="shared" si="34"/>
        <v/>
      </c>
      <c r="BB82" s="125" t="str">
        <f t="shared" si="35"/>
        <v/>
      </c>
      <c r="BC82" s="126" t="str">
        <f t="shared" si="36"/>
        <v/>
      </c>
      <c r="BD82" s="123">
        <f t="shared" si="24"/>
        <v>0</v>
      </c>
      <c r="BE82" s="123">
        <f t="shared" si="25"/>
        <v>0</v>
      </c>
      <c r="BF82" s="123">
        <f t="shared" si="26"/>
        <v>0</v>
      </c>
      <c r="BG82" s="123">
        <f t="shared" si="27"/>
        <v>0</v>
      </c>
      <c r="BH82" s="123">
        <f t="shared" si="28"/>
        <v>0</v>
      </c>
      <c r="BI82" s="123">
        <f t="shared" si="29"/>
        <v>0</v>
      </c>
      <c r="BJ82" s="127"/>
      <c r="BN82" s="43" t="str">
        <f t="shared" si="37"/>
        <v/>
      </c>
      <c r="BO82" s="43" t="str">
        <f t="shared" si="38"/>
        <v/>
      </c>
      <c r="BP82" s="43" t="str">
        <f t="shared" si="39"/>
        <v/>
      </c>
      <c r="BQ82" s="43" t="str">
        <f t="shared" si="40"/>
        <v/>
      </c>
      <c r="BR82" s="43" t="str">
        <f t="shared" si="41"/>
        <v/>
      </c>
      <c r="BS82" s="43" t="str">
        <f t="shared" si="42"/>
        <v/>
      </c>
      <c r="BT82" s="43" t="str">
        <f t="shared" si="43"/>
        <v/>
      </c>
      <c r="BU82" s="1" t="str">
        <f t="shared" si="44"/>
        <v/>
      </c>
    </row>
    <row r="83" spans="1:73">
      <c r="A83" s="115">
        <f t="shared" si="23"/>
        <v>74</v>
      </c>
      <c r="B83" s="116"/>
      <c r="C83" s="117"/>
      <c r="D83" s="109"/>
      <c r="E83" s="118"/>
      <c r="F83" s="118"/>
      <c r="G83" s="119" t="str">
        <f t="shared" si="30"/>
        <v/>
      </c>
      <c r="H83" s="116"/>
      <c r="I83" s="116"/>
      <c r="J83" s="116"/>
      <c r="K83" s="116"/>
      <c r="L83" s="120"/>
      <c r="M83" s="116"/>
      <c r="N83" s="116"/>
      <c r="O83" s="116"/>
      <c r="P83" s="116"/>
      <c r="Q83" s="116"/>
      <c r="R83" s="116"/>
      <c r="S83" s="116"/>
      <c r="T83" s="116"/>
      <c r="U83" s="116"/>
      <c r="V83" s="116"/>
      <c r="W83" s="116"/>
      <c r="X83" s="121"/>
      <c r="Y83" s="116"/>
      <c r="Z83" s="116"/>
      <c r="AA83" s="116"/>
      <c r="AB83" s="120"/>
      <c r="AC83" s="116"/>
      <c r="AD83" s="120"/>
      <c r="AE83" s="116"/>
      <c r="AF83" s="116"/>
      <c r="AG83" s="116"/>
      <c r="AH83" s="116"/>
      <c r="AI83" s="116"/>
      <c r="AJ83" s="116"/>
      <c r="AK83" s="116"/>
      <c r="AL83" s="122"/>
      <c r="AM83" s="116"/>
      <c r="AN83" s="120"/>
      <c r="AO83" s="120"/>
      <c r="AP83" s="116"/>
      <c r="AQ83" s="116"/>
      <c r="AR83" s="116"/>
      <c r="AS83" s="116"/>
      <c r="AT83" s="116"/>
      <c r="AU83" s="116"/>
      <c r="AV83" s="120"/>
      <c r="AW83" s="116"/>
      <c r="AX83" s="123" t="str">
        <f t="shared" si="31"/>
        <v/>
      </c>
      <c r="AY83" s="123" t="str">
        <f t="shared" si="32"/>
        <v/>
      </c>
      <c r="AZ83" s="123" t="str">
        <f t="shared" si="33"/>
        <v/>
      </c>
      <c r="BA83" s="124" t="str">
        <f t="shared" si="34"/>
        <v/>
      </c>
      <c r="BB83" s="125" t="str">
        <f t="shared" si="35"/>
        <v/>
      </c>
      <c r="BC83" s="126" t="str">
        <f t="shared" si="36"/>
        <v/>
      </c>
      <c r="BD83" s="123">
        <f t="shared" si="24"/>
        <v>0</v>
      </c>
      <c r="BE83" s="123">
        <f t="shared" si="25"/>
        <v>0</v>
      </c>
      <c r="BF83" s="123">
        <f t="shared" si="26"/>
        <v>0</v>
      </c>
      <c r="BG83" s="123">
        <f t="shared" si="27"/>
        <v>0</v>
      </c>
      <c r="BH83" s="123">
        <f t="shared" si="28"/>
        <v>0</v>
      </c>
      <c r="BI83" s="123">
        <f t="shared" si="29"/>
        <v>0</v>
      </c>
      <c r="BJ83" s="127"/>
      <c r="BN83" s="43" t="str">
        <f t="shared" si="37"/>
        <v/>
      </c>
      <c r="BO83" s="43" t="str">
        <f t="shared" si="38"/>
        <v/>
      </c>
      <c r="BP83" s="43" t="str">
        <f t="shared" si="39"/>
        <v/>
      </c>
      <c r="BQ83" s="43" t="str">
        <f t="shared" si="40"/>
        <v/>
      </c>
      <c r="BR83" s="43" t="str">
        <f t="shared" si="41"/>
        <v/>
      </c>
      <c r="BS83" s="43" t="str">
        <f t="shared" si="42"/>
        <v/>
      </c>
      <c r="BT83" s="43" t="str">
        <f t="shared" si="43"/>
        <v/>
      </c>
      <c r="BU83" s="1" t="str">
        <f t="shared" si="44"/>
        <v/>
      </c>
    </row>
    <row r="84" spans="1:73">
      <c r="A84" s="115">
        <f t="shared" si="23"/>
        <v>75</v>
      </c>
      <c r="B84" s="116"/>
      <c r="C84" s="117"/>
      <c r="D84" s="109"/>
      <c r="E84" s="118"/>
      <c r="F84" s="118"/>
      <c r="G84" s="119" t="str">
        <f t="shared" si="30"/>
        <v/>
      </c>
      <c r="H84" s="116"/>
      <c r="I84" s="116"/>
      <c r="J84" s="116"/>
      <c r="K84" s="116"/>
      <c r="L84" s="120"/>
      <c r="M84" s="116"/>
      <c r="N84" s="116"/>
      <c r="O84" s="116"/>
      <c r="P84" s="116"/>
      <c r="Q84" s="116"/>
      <c r="R84" s="116"/>
      <c r="S84" s="116"/>
      <c r="T84" s="116"/>
      <c r="U84" s="116"/>
      <c r="V84" s="116"/>
      <c r="W84" s="116"/>
      <c r="X84" s="121"/>
      <c r="Y84" s="116"/>
      <c r="Z84" s="116"/>
      <c r="AA84" s="116"/>
      <c r="AB84" s="120"/>
      <c r="AC84" s="116"/>
      <c r="AD84" s="120"/>
      <c r="AE84" s="116"/>
      <c r="AF84" s="116"/>
      <c r="AG84" s="116"/>
      <c r="AH84" s="116"/>
      <c r="AI84" s="116"/>
      <c r="AJ84" s="116"/>
      <c r="AK84" s="116"/>
      <c r="AL84" s="122"/>
      <c r="AM84" s="116"/>
      <c r="AN84" s="120"/>
      <c r="AO84" s="120"/>
      <c r="AP84" s="116"/>
      <c r="AQ84" s="116"/>
      <c r="AR84" s="116"/>
      <c r="AS84" s="116"/>
      <c r="AT84" s="116"/>
      <c r="AU84" s="116"/>
      <c r="AV84" s="120"/>
      <c r="AW84" s="116"/>
      <c r="AX84" s="123" t="str">
        <f t="shared" si="31"/>
        <v/>
      </c>
      <c r="AY84" s="123" t="str">
        <f t="shared" si="32"/>
        <v/>
      </c>
      <c r="AZ84" s="123" t="str">
        <f t="shared" si="33"/>
        <v/>
      </c>
      <c r="BA84" s="124" t="str">
        <f t="shared" si="34"/>
        <v/>
      </c>
      <c r="BB84" s="125" t="str">
        <f t="shared" si="35"/>
        <v/>
      </c>
      <c r="BC84" s="126" t="str">
        <f t="shared" si="36"/>
        <v/>
      </c>
      <c r="BD84" s="123">
        <f t="shared" si="24"/>
        <v>0</v>
      </c>
      <c r="BE84" s="123">
        <f t="shared" si="25"/>
        <v>0</v>
      </c>
      <c r="BF84" s="123">
        <f t="shared" si="26"/>
        <v>0</v>
      </c>
      <c r="BG84" s="123">
        <f t="shared" si="27"/>
        <v>0</v>
      </c>
      <c r="BH84" s="123">
        <f t="shared" si="28"/>
        <v>0</v>
      </c>
      <c r="BI84" s="123">
        <f t="shared" si="29"/>
        <v>0</v>
      </c>
      <c r="BJ84" s="127"/>
      <c r="BN84" s="43" t="str">
        <f t="shared" si="37"/>
        <v/>
      </c>
      <c r="BO84" s="43" t="str">
        <f t="shared" si="38"/>
        <v/>
      </c>
      <c r="BP84" s="43" t="str">
        <f t="shared" si="39"/>
        <v/>
      </c>
      <c r="BQ84" s="43" t="str">
        <f t="shared" si="40"/>
        <v/>
      </c>
      <c r="BR84" s="43" t="str">
        <f t="shared" si="41"/>
        <v/>
      </c>
      <c r="BS84" s="43" t="str">
        <f t="shared" si="42"/>
        <v/>
      </c>
      <c r="BT84" s="43" t="str">
        <f t="shared" si="43"/>
        <v/>
      </c>
      <c r="BU84" s="1" t="str">
        <f t="shared" si="44"/>
        <v/>
      </c>
    </row>
    <row r="85" spans="1:73">
      <c r="A85" s="115">
        <f t="shared" si="23"/>
        <v>76</v>
      </c>
      <c r="B85" s="116"/>
      <c r="C85" s="117"/>
      <c r="D85" s="109"/>
      <c r="E85" s="118"/>
      <c r="F85" s="118"/>
      <c r="G85" s="119" t="str">
        <f t="shared" si="30"/>
        <v/>
      </c>
      <c r="H85" s="116"/>
      <c r="I85" s="116"/>
      <c r="J85" s="116"/>
      <c r="K85" s="116"/>
      <c r="L85" s="120"/>
      <c r="M85" s="116"/>
      <c r="N85" s="116"/>
      <c r="O85" s="116"/>
      <c r="P85" s="116"/>
      <c r="Q85" s="116"/>
      <c r="R85" s="116"/>
      <c r="S85" s="116"/>
      <c r="T85" s="116"/>
      <c r="U85" s="116"/>
      <c r="V85" s="116"/>
      <c r="W85" s="116"/>
      <c r="X85" s="121"/>
      <c r="Y85" s="116"/>
      <c r="Z85" s="116"/>
      <c r="AA85" s="116"/>
      <c r="AB85" s="120"/>
      <c r="AC85" s="116"/>
      <c r="AD85" s="120"/>
      <c r="AE85" s="116"/>
      <c r="AF85" s="116"/>
      <c r="AG85" s="116"/>
      <c r="AH85" s="116"/>
      <c r="AI85" s="116"/>
      <c r="AJ85" s="116"/>
      <c r="AK85" s="116"/>
      <c r="AL85" s="122"/>
      <c r="AM85" s="116"/>
      <c r="AN85" s="120"/>
      <c r="AO85" s="120"/>
      <c r="AP85" s="116"/>
      <c r="AQ85" s="116"/>
      <c r="AR85" s="116"/>
      <c r="AS85" s="116"/>
      <c r="AT85" s="116"/>
      <c r="AU85" s="116"/>
      <c r="AV85" s="120"/>
      <c r="AW85" s="116"/>
      <c r="AX85" s="123" t="str">
        <f t="shared" si="31"/>
        <v/>
      </c>
      <c r="AY85" s="123" t="str">
        <f t="shared" si="32"/>
        <v/>
      </c>
      <c r="AZ85" s="123" t="str">
        <f t="shared" si="33"/>
        <v/>
      </c>
      <c r="BA85" s="124" t="str">
        <f t="shared" si="34"/>
        <v/>
      </c>
      <c r="BB85" s="125" t="str">
        <f t="shared" si="35"/>
        <v/>
      </c>
      <c r="BC85" s="126" t="str">
        <f t="shared" si="36"/>
        <v/>
      </c>
      <c r="BD85" s="123">
        <f t="shared" si="24"/>
        <v>0</v>
      </c>
      <c r="BE85" s="123">
        <f t="shared" si="25"/>
        <v>0</v>
      </c>
      <c r="BF85" s="123">
        <f t="shared" si="26"/>
        <v>0</v>
      </c>
      <c r="BG85" s="123">
        <f t="shared" si="27"/>
        <v>0</v>
      </c>
      <c r="BH85" s="123">
        <f t="shared" si="28"/>
        <v>0</v>
      </c>
      <c r="BI85" s="123">
        <f t="shared" si="29"/>
        <v>0</v>
      </c>
      <c r="BJ85" s="127"/>
      <c r="BN85" s="43" t="str">
        <f t="shared" si="37"/>
        <v/>
      </c>
      <c r="BO85" s="43" t="str">
        <f t="shared" si="38"/>
        <v/>
      </c>
      <c r="BP85" s="43" t="str">
        <f t="shared" si="39"/>
        <v/>
      </c>
      <c r="BQ85" s="43" t="str">
        <f t="shared" si="40"/>
        <v/>
      </c>
      <c r="BR85" s="43" t="str">
        <f t="shared" si="41"/>
        <v/>
      </c>
      <c r="BS85" s="43" t="str">
        <f t="shared" si="42"/>
        <v/>
      </c>
      <c r="BT85" s="43" t="str">
        <f t="shared" si="43"/>
        <v/>
      </c>
      <c r="BU85" s="1" t="str">
        <f t="shared" si="44"/>
        <v/>
      </c>
    </row>
    <row r="86" spans="1:73">
      <c r="A86" s="115">
        <f t="shared" si="23"/>
        <v>77</v>
      </c>
      <c r="B86" s="116"/>
      <c r="C86" s="117"/>
      <c r="D86" s="109"/>
      <c r="E86" s="118"/>
      <c r="F86" s="118"/>
      <c r="G86" s="119" t="str">
        <f t="shared" si="30"/>
        <v/>
      </c>
      <c r="H86" s="116"/>
      <c r="I86" s="116"/>
      <c r="J86" s="116"/>
      <c r="K86" s="116"/>
      <c r="L86" s="120"/>
      <c r="M86" s="116"/>
      <c r="N86" s="116"/>
      <c r="O86" s="116"/>
      <c r="P86" s="116"/>
      <c r="Q86" s="116"/>
      <c r="R86" s="116"/>
      <c r="S86" s="116"/>
      <c r="T86" s="116"/>
      <c r="U86" s="116"/>
      <c r="V86" s="116"/>
      <c r="W86" s="116"/>
      <c r="X86" s="121"/>
      <c r="Y86" s="116"/>
      <c r="Z86" s="116"/>
      <c r="AA86" s="116"/>
      <c r="AB86" s="120"/>
      <c r="AC86" s="116"/>
      <c r="AD86" s="120"/>
      <c r="AE86" s="116"/>
      <c r="AF86" s="116"/>
      <c r="AG86" s="116"/>
      <c r="AH86" s="116"/>
      <c r="AI86" s="116"/>
      <c r="AJ86" s="116"/>
      <c r="AK86" s="116"/>
      <c r="AL86" s="122"/>
      <c r="AM86" s="116"/>
      <c r="AN86" s="120"/>
      <c r="AO86" s="120"/>
      <c r="AP86" s="116"/>
      <c r="AQ86" s="116"/>
      <c r="AR86" s="116"/>
      <c r="AS86" s="116"/>
      <c r="AT86" s="116"/>
      <c r="AU86" s="116"/>
      <c r="AV86" s="120"/>
      <c r="AW86" s="116"/>
      <c r="AX86" s="123" t="str">
        <f t="shared" si="31"/>
        <v/>
      </c>
      <c r="AY86" s="123" t="str">
        <f t="shared" si="32"/>
        <v/>
      </c>
      <c r="AZ86" s="123" t="str">
        <f t="shared" si="33"/>
        <v/>
      </c>
      <c r="BA86" s="124" t="str">
        <f t="shared" si="34"/>
        <v/>
      </c>
      <c r="BB86" s="125" t="str">
        <f t="shared" si="35"/>
        <v/>
      </c>
      <c r="BC86" s="126" t="str">
        <f t="shared" si="36"/>
        <v/>
      </c>
      <c r="BD86" s="123">
        <f t="shared" si="24"/>
        <v>0</v>
      </c>
      <c r="BE86" s="123">
        <f t="shared" si="25"/>
        <v>0</v>
      </c>
      <c r="BF86" s="123">
        <f t="shared" si="26"/>
        <v>0</v>
      </c>
      <c r="BG86" s="123">
        <f t="shared" si="27"/>
        <v>0</v>
      </c>
      <c r="BH86" s="123">
        <f t="shared" si="28"/>
        <v>0</v>
      </c>
      <c r="BI86" s="123">
        <f t="shared" si="29"/>
        <v>0</v>
      </c>
      <c r="BJ86" s="127"/>
      <c r="BN86" s="43" t="str">
        <f t="shared" si="37"/>
        <v/>
      </c>
      <c r="BO86" s="43" t="str">
        <f t="shared" si="38"/>
        <v/>
      </c>
      <c r="BP86" s="43" t="str">
        <f t="shared" si="39"/>
        <v/>
      </c>
      <c r="BQ86" s="43" t="str">
        <f t="shared" si="40"/>
        <v/>
      </c>
      <c r="BR86" s="43" t="str">
        <f t="shared" si="41"/>
        <v/>
      </c>
      <c r="BS86" s="43" t="str">
        <f t="shared" si="42"/>
        <v/>
      </c>
      <c r="BT86" s="43" t="str">
        <f t="shared" si="43"/>
        <v/>
      </c>
      <c r="BU86" s="1" t="str">
        <f t="shared" si="44"/>
        <v/>
      </c>
    </row>
    <row r="87" spans="1:73">
      <c r="A87" s="115">
        <f t="shared" si="23"/>
        <v>78</v>
      </c>
      <c r="B87" s="116"/>
      <c r="C87" s="117"/>
      <c r="D87" s="109"/>
      <c r="E87" s="118"/>
      <c r="F87" s="118"/>
      <c r="G87" s="119" t="str">
        <f t="shared" si="30"/>
        <v/>
      </c>
      <c r="H87" s="116"/>
      <c r="I87" s="116"/>
      <c r="J87" s="116"/>
      <c r="K87" s="116"/>
      <c r="L87" s="120"/>
      <c r="M87" s="116"/>
      <c r="N87" s="116"/>
      <c r="O87" s="116"/>
      <c r="P87" s="116"/>
      <c r="Q87" s="116"/>
      <c r="R87" s="116"/>
      <c r="S87" s="116"/>
      <c r="T87" s="116"/>
      <c r="U87" s="116"/>
      <c r="V87" s="116"/>
      <c r="W87" s="116"/>
      <c r="X87" s="121"/>
      <c r="Y87" s="116"/>
      <c r="Z87" s="116"/>
      <c r="AA87" s="116"/>
      <c r="AB87" s="120"/>
      <c r="AC87" s="116"/>
      <c r="AD87" s="120"/>
      <c r="AE87" s="116"/>
      <c r="AF87" s="116"/>
      <c r="AG87" s="116"/>
      <c r="AH87" s="116"/>
      <c r="AI87" s="116"/>
      <c r="AJ87" s="116"/>
      <c r="AK87" s="116"/>
      <c r="AL87" s="122"/>
      <c r="AM87" s="116"/>
      <c r="AN87" s="120"/>
      <c r="AO87" s="120"/>
      <c r="AP87" s="116"/>
      <c r="AQ87" s="116"/>
      <c r="AR87" s="116"/>
      <c r="AS87" s="116"/>
      <c r="AT87" s="116"/>
      <c r="AU87" s="116"/>
      <c r="AV87" s="120"/>
      <c r="AW87" s="116"/>
      <c r="AX87" s="123" t="str">
        <f t="shared" si="31"/>
        <v/>
      </c>
      <c r="AY87" s="123" t="str">
        <f t="shared" si="32"/>
        <v/>
      </c>
      <c r="AZ87" s="123" t="str">
        <f t="shared" si="33"/>
        <v/>
      </c>
      <c r="BA87" s="124" t="str">
        <f t="shared" si="34"/>
        <v/>
      </c>
      <c r="BB87" s="125" t="str">
        <f t="shared" si="35"/>
        <v/>
      </c>
      <c r="BC87" s="126" t="str">
        <f t="shared" si="36"/>
        <v/>
      </c>
      <c r="BD87" s="123">
        <f t="shared" si="24"/>
        <v>0</v>
      </c>
      <c r="BE87" s="123">
        <f t="shared" si="25"/>
        <v>0</v>
      </c>
      <c r="BF87" s="123">
        <f t="shared" si="26"/>
        <v>0</v>
      </c>
      <c r="BG87" s="123">
        <f t="shared" si="27"/>
        <v>0</v>
      </c>
      <c r="BH87" s="123">
        <f t="shared" si="28"/>
        <v>0</v>
      </c>
      <c r="BI87" s="123">
        <f t="shared" si="29"/>
        <v>0</v>
      </c>
      <c r="BJ87" s="127"/>
      <c r="BN87" s="43" t="str">
        <f t="shared" si="37"/>
        <v/>
      </c>
      <c r="BO87" s="43" t="str">
        <f t="shared" si="38"/>
        <v/>
      </c>
      <c r="BP87" s="43" t="str">
        <f t="shared" si="39"/>
        <v/>
      </c>
      <c r="BQ87" s="43" t="str">
        <f t="shared" si="40"/>
        <v/>
      </c>
      <c r="BR87" s="43" t="str">
        <f t="shared" si="41"/>
        <v/>
      </c>
      <c r="BS87" s="43" t="str">
        <f t="shared" si="42"/>
        <v/>
      </c>
      <c r="BT87" s="43" t="str">
        <f t="shared" si="43"/>
        <v/>
      </c>
      <c r="BU87" s="1" t="str">
        <f t="shared" si="44"/>
        <v/>
      </c>
    </row>
    <row r="88" spans="1:73">
      <c r="A88" s="115">
        <f t="shared" si="23"/>
        <v>79</v>
      </c>
      <c r="B88" s="116"/>
      <c r="C88" s="117"/>
      <c r="D88" s="109"/>
      <c r="E88" s="118"/>
      <c r="F88" s="118"/>
      <c r="G88" s="119" t="str">
        <f t="shared" si="30"/>
        <v/>
      </c>
      <c r="H88" s="116"/>
      <c r="I88" s="116"/>
      <c r="J88" s="116"/>
      <c r="K88" s="116"/>
      <c r="L88" s="120"/>
      <c r="M88" s="116"/>
      <c r="N88" s="116"/>
      <c r="O88" s="116"/>
      <c r="P88" s="116"/>
      <c r="Q88" s="116"/>
      <c r="R88" s="116"/>
      <c r="S88" s="116"/>
      <c r="T88" s="116"/>
      <c r="U88" s="116"/>
      <c r="V88" s="116"/>
      <c r="W88" s="116"/>
      <c r="X88" s="121"/>
      <c r="Y88" s="116"/>
      <c r="Z88" s="116"/>
      <c r="AA88" s="116"/>
      <c r="AB88" s="120"/>
      <c r="AC88" s="116"/>
      <c r="AD88" s="120"/>
      <c r="AE88" s="116"/>
      <c r="AF88" s="116"/>
      <c r="AG88" s="116"/>
      <c r="AH88" s="116"/>
      <c r="AI88" s="116"/>
      <c r="AJ88" s="116"/>
      <c r="AK88" s="116"/>
      <c r="AL88" s="122"/>
      <c r="AM88" s="116"/>
      <c r="AN88" s="120"/>
      <c r="AO88" s="120"/>
      <c r="AP88" s="116"/>
      <c r="AQ88" s="116"/>
      <c r="AR88" s="116"/>
      <c r="AS88" s="116"/>
      <c r="AT88" s="116"/>
      <c r="AU88" s="116"/>
      <c r="AV88" s="120"/>
      <c r="AW88" s="116"/>
      <c r="AX88" s="123" t="str">
        <f t="shared" si="31"/>
        <v/>
      </c>
      <c r="AY88" s="123" t="str">
        <f t="shared" si="32"/>
        <v/>
      </c>
      <c r="AZ88" s="123" t="str">
        <f t="shared" si="33"/>
        <v/>
      </c>
      <c r="BA88" s="124" t="str">
        <f t="shared" si="34"/>
        <v/>
      </c>
      <c r="BB88" s="125" t="str">
        <f t="shared" si="35"/>
        <v/>
      </c>
      <c r="BC88" s="126" t="str">
        <f t="shared" si="36"/>
        <v/>
      </c>
      <c r="BD88" s="123">
        <f t="shared" si="24"/>
        <v>0</v>
      </c>
      <c r="BE88" s="123">
        <f t="shared" si="25"/>
        <v>0</v>
      </c>
      <c r="BF88" s="123">
        <f t="shared" si="26"/>
        <v>0</v>
      </c>
      <c r="BG88" s="123">
        <f t="shared" si="27"/>
        <v>0</v>
      </c>
      <c r="BH88" s="123">
        <f t="shared" si="28"/>
        <v>0</v>
      </c>
      <c r="BI88" s="123">
        <f t="shared" si="29"/>
        <v>0</v>
      </c>
      <c r="BJ88" s="127"/>
      <c r="BN88" s="43" t="str">
        <f t="shared" si="37"/>
        <v/>
      </c>
      <c r="BO88" s="43" t="str">
        <f t="shared" si="38"/>
        <v/>
      </c>
      <c r="BP88" s="43" t="str">
        <f t="shared" si="39"/>
        <v/>
      </c>
      <c r="BQ88" s="43" t="str">
        <f t="shared" si="40"/>
        <v/>
      </c>
      <c r="BR88" s="43" t="str">
        <f t="shared" si="41"/>
        <v/>
      </c>
      <c r="BS88" s="43" t="str">
        <f t="shared" si="42"/>
        <v/>
      </c>
      <c r="BT88" s="43" t="str">
        <f t="shared" si="43"/>
        <v/>
      </c>
      <c r="BU88" s="1" t="str">
        <f t="shared" si="44"/>
        <v/>
      </c>
    </row>
    <row r="89" spans="1:73">
      <c r="A89" s="115">
        <f t="shared" si="23"/>
        <v>80</v>
      </c>
      <c r="B89" s="116"/>
      <c r="C89" s="117"/>
      <c r="D89" s="109"/>
      <c r="E89" s="118"/>
      <c r="F89" s="118"/>
      <c r="G89" s="119" t="str">
        <f t="shared" si="30"/>
        <v/>
      </c>
      <c r="H89" s="116"/>
      <c r="I89" s="116"/>
      <c r="J89" s="116"/>
      <c r="K89" s="116"/>
      <c r="L89" s="120"/>
      <c r="M89" s="116"/>
      <c r="N89" s="116"/>
      <c r="O89" s="116"/>
      <c r="P89" s="116"/>
      <c r="Q89" s="116"/>
      <c r="R89" s="116"/>
      <c r="S89" s="116"/>
      <c r="T89" s="116"/>
      <c r="U89" s="116"/>
      <c r="V89" s="116"/>
      <c r="W89" s="116"/>
      <c r="X89" s="121"/>
      <c r="Y89" s="116"/>
      <c r="Z89" s="116"/>
      <c r="AA89" s="116"/>
      <c r="AB89" s="120"/>
      <c r="AC89" s="116"/>
      <c r="AD89" s="120"/>
      <c r="AE89" s="116"/>
      <c r="AF89" s="116"/>
      <c r="AG89" s="116"/>
      <c r="AH89" s="116"/>
      <c r="AI89" s="116"/>
      <c r="AJ89" s="116"/>
      <c r="AK89" s="116"/>
      <c r="AL89" s="122"/>
      <c r="AM89" s="116"/>
      <c r="AN89" s="120"/>
      <c r="AO89" s="120"/>
      <c r="AP89" s="116"/>
      <c r="AQ89" s="116"/>
      <c r="AR89" s="116"/>
      <c r="AS89" s="116"/>
      <c r="AT89" s="116"/>
      <c r="AU89" s="116"/>
      <c r="AV89" s="120"/>
      <c r="AW89" s="116"/>
      <c r="AX89" s="123" t="str">
        <f t="shared" si="31"/>
        <v/>
      </c>
      <c r="AY89" s="123" t="str">
        <f t="shared" si="32"/>
        <v/>
      </c>
      <c r="AZ89" s="123" t="str">
        <f t="shared" si="33"/>
        <v/>
      </c>
      <c r="BA89" s="124" t="str">
        <f t="shared" si="34"/>
        <v/>
      </c>
      <c r="BB89" s="125" t="str">
        <f t="shared" si="35"/>
        <v/>
      </c>
      <c r="BC89" s="126" t="str">
        <f t="shared" si="36"/>
        <v/>
      </c>
      <c r="BD89" s="123">
        <f t="shared" si="24"/>
        <v>0</v>
      </c>
      <c r="BE89" s="123">
        <f t="shared" si="25"/>
        <v>0</v>
      </c>
      <c r="BF89" s="123">
        <f t="shared" si="26"/>
        <v>0</v>
      </c>
      <c r="BG89" s="123">
        <f t="shared" si="27"/>
        <v>0</v>
      </c>
      <c r="BH89" s="123">
        <f t="shared" si="28"/>
        <v>0</v>
      </c>
      <c r="BI89" s="123">
        <f t="shared" si="29"/>
        <v>0</v>
      </c>
      <c r="BJ89" s="127"/>
      <c r="BN89" s="43" t="str">
        <f t="shared" si="37"/>
        <v/>
      </c>
      <c r="BO89" s="43" t="str">
        <f t="shared" si="38"/>
        <v/>
      </c>
      <c r="BP89" s="43" t="str">
        <f t="shared" si="39"/>
        <v/>
      </c>
      <c r="BQ89" s="43" t="str">
        <f t="shared" si="40"/>
        <v/>
      </c>
      <c r="BR89" s="43" t="str">
        <f t="shared" si="41"/>
        <v/>
      </c>
      <c r="BS89" s="43" t="str">
        <f t="shared" si="42"/>
        <v/>
      </c>
      <c r="BT89" s="43" t="str">
        <f t="shared" si="43"/>
        <v/>
      </c>
      <c r="BU89" s="1" t="str">
        <f t="shared" si="44"/>
        <v/>
      </c>
    </row>
    <row r="90" spans="1:73">
      <c r="A90" s="115">
        <f t="shared" si="23"/>
        <v>81</v>
      </c>
      <c r="B90" s="116"/>
      <c r="C90" s="117"/>
      <c r="D90" s="109"/>
      <c r="E90" s="118"/>
      <c r="F90" s="118"/>
      <c r="G90" s="119" t="str">
        <f t="shared" si="30"/>
        <v/>
      </c>
      <c r="H90" s="116"/>
      <c r="I90" s="116"/>
      <c r="J90" s="116"/>
      <c r="K90" s="116"/>
      <c r="L90" s="120"/>
      <c r="M90" s="116"/>
      <c r="N90" s="116"/>
      <c r="O90" s="116"/>
      <c r="P90" s="116"/>
      <c r="Q90" s="116"/>
      <c r="R90" s="116"/>
      <c r="S90" s="116"/>
      <c r="T90" s="116"/>
      <c r="U90" s="116"/>
      <c r="V90" s="116"/>
      <c r="W90" s="116"/>
      <c r="X90" s="121"/>
      <c r="Y90" s="116"/>
      <c r="Z90" s="116"/>
      <c r="AA90" s="116"/>
      <c r="AB90" s="120"/>
      <c r="AC90" s="116"/>
      <c r="AD90" s="120"/>
      <c r="AE90" s="116"/>
      <c r="AF90" s="116"/>
      <c r="AG90" s="116"/>
      <c r="AH90" s="116"/>
      <c r="AI90" s="116"/>
      <c r="AJ90" s="116"/>
      <c r="AK90" s="116"/>
      <c r="AL90" s="122"/>
      <c r="AM90" s="116"/>
      <c r="AN90" s="120"/>
      <c r="AO90" s="120"/>
      <c r="AP90" s="116"/>
      <c r="AQ90" s="116"/>
      <c r="AR90" s="116"/>
      <c r="AS90" s="116"/>
      <c r="AT90" s="116"/>
      <c r="AU90" s="116"/>
      <c r="AV90" s="120"/>
      <c r="AW90" s="116"/>
      <c r="AX90" s="123" t="str">
        <f t="shared" si="31"/>
        <v/>
      </c>
      <c r="AY90" s="123" t="str">
        <f t="shared" si="32"/>
        <v/>
      </c>
      <c r="AZ90" s="123" t="str">
        <f t="shared" si="33"/>
        <v/>
      </c>
      <c r="BA90" s="124" t="str">
        <f t="shared" si="34"/>
        <v/>
      </c>
      <c r="BB90" s="125" t="str">
        <f t="shared" si="35"/>
        <v/>
      </c>
      <c r="BC90" s="126" t="str">
        <f t="shared" si="36"/>
        <v/>
      </c>
      <c r="BD90" s="123">
        <f t="shared" si="24"/>
        <v>0</v>
      </c>
      <c r="BE90" s="123">
        <f t="shared" si="25"/>
        <v>0</v>
      </c>
      <c r="BF90" s="123">
        <f t="shared" si="26"/>
        <v>0</v>
      </c>
      <c r="BG90" s="123">
        <f t="shared" si="27"/>
        <v>0</v>
      </c>
      <c r="BH90" s="123">
        <f t="shared" si="28"/>
        <v>0</v>
      </c>
      <c r="BI90" s="123">
        <f t="shared" si="29"/>
        <v>0</v>
      </c>
      <c r="BJ90" s="127"/>
      <c r="BN90" s="43" t="str">
        <f t="shared" si="37"/>
        <v/>
      </c>
      <c r="BO90" s="43" t="str">
        <f t="shared" si="38"/>
        <v/>
      </c>
      <c r="BP90" s="43" t="str">
        <f t="shared" si="39"/>
        <v/>
      </c>
      <c r="BQ90" s="43" t="str">
        <f t="shared" si="40"/>
        <v/>
      </c>
      <c r="BR90" s="43" t="str">
        <f t="shared" si="41"/>
        <v/>
      </c>
      <c r="BS90" s="43" t="str">
        <f t="shared" si="42"/>
        <v/>
      </c>
      <c r="BT90" s="43" t="str">
        <f t="shared" si="43"/>
        <v/>
      </c>
      <c r="BU90" s="1" t="str">
        <f t="shared" si="44"/>
        <v/>
      </c>
    </row>
    <row r="91" spans="1:73">
      <c r="A91" s="115">
        <f t="shared" si="23"/>
        <v>82</v>
      </c>
      <c r="B91" s="116"/>
      <c r="C91" s="117"/>
      <c r="D91" s="109"/>
      <c r="E91" s="118"/>
      <c r="F91" s="118"/>
      <c r="G91" s="119" t="str">
        <f t="shared" si="30"/>
        <v/>
      </c>
      <c r="H91" s="116"/>
      <c r="I91" s="116"/>
      <c r="J91" s="116"/>
      <c r="K91" s="116"/>
      <c r="L91" s="120"/>
      <c r="M91" s="116"/>
      <c r="N91" s="116"/>
      <c r="O91" s="116"/>
      <c r="P91" s="116"/>
      <c r="Q91" s="116"/>
      <c r="R91" s="116"/>
      <c r="S91" s="116"/>
      <c r="T91" s="116"/>
      <c r="U91" s="116"/>
      <c r="V91" s="116"/>
      <c r="W91" s="116"/>
      <c r="X91" s="121"/>
      <c r="Y91" s="116"/>
      <c r="Z91" s="116"/>
      <c r="AA91" s="116"/>
      <c r="AB91" s="120"/>
      <c r="AC91" s="116"/>
      <c r="AD91" s="120"/>
      <c r="AE91" s="116"/>
      <c r="AF91" s="116"/>
      <c r="AG91" s="116"/>
      <c r="AH91" s="116"/>
      <c r="AI91" s="116"/>
      <c r="AJ91" s="116"/>
      <c r="AK91" s="116"/>
      <c r="AL91" s="122"/>
      <c r="AM91" s="116"/>
      <c r="AN91" s="120"/>
      <c r="AO91" s="120"/>
      <c r="AP91" s="116"/>
      <c r="AQ91" s="116"/>
      <c r="AR91" s="116"/>
      <c r="AS91" s="116"/>
      <c r="AT91" s="116"/>
      <c r="AU91" s="116"/>
      <c r="AV91" s="120"/>
      <c r="AW91" s="116"/>
      <c r="AX91" s="123" t="str">
        <f t="shared" si="31"/>
        <v/>
      </c>
      <c r="AY91" s="123" t="str">
        <f t="shared" si="32"/>
        <v/>
      </c>
      <c r="AZ91" s="123" t="str">
        <f t="shared" si="33"/>
        <v/>
      </c>
      <c r="BA91" s="124" t="str">
        <f t="shared" si="34"/>
        <v/>
      </c>
      <c r="BB91" s="125" t="str">
        <f t="shared" si="35"/>
        <v/>
      </c>
      <c r="BC91" s="126" t="str">
        <f t="shared" si="36"/>
        <v/>
      </c>
      <c r="BD91" s="123">
        <f t="shared" si="24"/>
        <v>0</v>
      </c>
      <c r="BE91" s="123">
        <f t="shared" si="25"/>
        <v>0</v>
      </c>
      <c r="BF91" s="123">
        <f t="shared" si="26"/>
        <v>0</v>
      </c>
      <c r="BG91" s="123">
        <f t="shared" si="27"/>
        <v>0</v>
      </c>
      <c r="BH91" s="123">
        <f t="shared" si="28"/>
        <v>0</v>
      </c>
      <c r="BI91" s="123">
        <f t="shared" si="29"/>
        <v>0</v>
      </c>
      <c r="BJ91" s="127"/>
      <c r="BN91" s="43" t="str">
        <f t="shared" si="37"/>
        <v/>
      </c>
      <c r="BO91" s="43" t="str">
        <f t="shared" si="38"/>
        <v/>
      </c>
      <c r="BP91" s="43" t="str">
        <f t="shared" si="39"/>
        <v/>
      </c>
      <c r="BQ91" s="43" t="str">
        <f t="shared" si="40"/>
        <v/>
      </c>
      <c r="BR91" s="43" t="str">
        <f t="shared" si="41"/>
        <v/>
      </c>
      <c r="BS91" s="43" t="str">
        <f t="shared" si="42"/>
        <v/>
      </c>
      <c r="BT91" s="43" t="str">
        <f t="shared" si="43"/>
        <v/>
      </c>
      <c r="BU91" s="1" t="str">
        <f t="shared" si="44"/>
        <v/>
      </c>
    </row>
    <row r="92" spans="1:73">
      <c r="A92" s="115">
        <f t="shared" si="23"/>
        <v>83</v>
      </c>
      <c r="B92" s="116"/>
      <c r="C92" s="117"/>
      <c r="D92" s="109"/>
      <c r="E92" s="118"/>
      <c r="F92" s="118"/>
      <c r="G92" s="119" t="str">
        <f t="shared" si="30"/>
        <v/>
      </c>
      <c r="H92" s="116"/>
      <c r="I92" s="116"/>
      <c r="J92" s="116"/>
      <c r="K92" s="116"/>
      <c r="L92" s="120"/>
      <c r="M92" s="116"/>
      <c r="N92" s="116"/>
      <c r="O92" s="116"/>
      <c r="P92" s="116"/>
      <c r="Q92" s="116"/>
      <c r="R92" s="116"/>
      <c r="S92" s="116"/>
      <c r="T92" s="116"/>
      <c r="U92" s="116"/>
      <c r="V92" s="116"/>
      <c r="W92" s="116"/>
      <c r="X92" s="121"/>
      <c r="Y92" s="116"/>
      <c r="Z92" s="116"/>
      <c r="AA92" s="116"/>
      <c r="AB92" s="120"/>
      <c r="AC92" s="116"/>
      <c r="AD92" s="120"/>
      <c r="AE92" s="116"/>
      <c r="AF92" s="116"/>
      <c r="AG92" s="116"/>
      <c r="AH92" s="116"/>
      <c r="AI92" s="116"/>
      <c r="AJ92" s="116"/>
      <c r="AK92" s="116"/>
      <c r="AL92" s="122"/>
      <c r="AM92" s="116"/>
      <c r="AN92" s="120"/>
      <c r="AO92" s="120"/>
      <c r="AP92" s="116"/>
      <c r="AQ92" s="116"/>
      <c r="AR92" s="116"/>
      <c r="AS92" s="116"/>
      <c r="AT92" s="116"/>
      <c r="AU92" s="116"/>
      <c r="AV92" s="120"/>
      <c r="AW92" s="116"/>
      <c r="AX92" s="123" t="str">
        <f t="shared" si="31"/>
        <v/>
      </c>
      <c r="AY92" s="123" t="str">
        <f t="shared" si="32"/>
        <v/>
      </c>
      <c r="AZ92" s="123" t="str">
        <f t="shared" si="33"/>
        <v/>
      </c>
      <c r="BA92" s="124" t="str">
        <f t="shared" si="34"/>
        <v/>
      </c>
      <c r="BB92" s="125" t="str">
        <f t="shared" si="35"/>
        <v/>
      </c>
      <c r="BC92" s="126" t="str">
        <f t="shared" si="36"/>
        <v/>
      </c>
      <c r="BD92" s="123">
        <f t="shared" si="24"/>
        <v>0</v>
      </c>
      <c r="BE92" s="123">
        <f t="shared" si="25"/>
        <v>0</v>
      </c>
      <c r="BF92" s="123">
        <f t="shared" si="26"/>
        <v>0</v>
      </c>
      <c r="BG92" s="123">
        <f t="shared" si="27"/>
        <v>0</v>
      </c>
      <c r="BH92" s="123">
        <f t="shared" si="28"/>
        <v>0</v>
      </c>
      <c r="BI92" s="123">
        <f t="shared" si="29"/>
        <v>0</v>
      </c>
      <c r="BJ92" s="127"/>
      <c r="BN92" s="43" t="str">
        <f t="shared" si="37"/>
        <v/>
      </c>
      <c r="BO92" s="43" t="str">
        <f t="shared" si="38"/>
        <v/>
      </c>
      <c r="BP92" s="43" t="str">
        <f t="shared" si="39"/>
        <v/>
      </c>
      <c r="BQ92" s="43" t="str">
        <f t="shared" si="40"/>
        <v/>
      </c>
      <c r="BR92" s="43" t="str">
        <f t="shared" si="41"/>
        <v/>
      </c>
      <c r="BS92" s="43" t="str">
        <f t="shared" si="42"/>
        <v/>
      </c>
      <c r="BT92" s="43" t="str">
        <f t="shared" si="43"/>
        <v/>
      </c>
      <c r="BU92" s="1" t="str">
        <f t="shared" si="44"/>
        <v/>
      </c>
    </row>
    <row r="93" spans="1:73">
      <c r="A93" s="115">
        <f t="shared" si="23"/>
        <v>84</v>
      </c>
      <c r="B93" s="116"/>
      <c r="C93" s="117"/>
      <c r="D93" s="109"/>
      <c r="E93" s="118"/>
      <c r="F93" s="118"/>
      <c r="G93" s="119" t="str">
        <f t="shared" si="30"/>
        <v/>
      </c>
      <c r="H93" s="116"/>
      <c r="I93" s="116"/>
      <c r="J93" s="116"/>
      <c r="K93" s="116"/>
      <c r="L93" s="120"/>
      <c r="M93" s="116"/>
      <c r="N93" s="116"/>
      <c r="O93" s="116"/>
      <c r="P93" s="116"/>
      <c r="Q93" s="116"/>
      <c r="R93" s="116"/>
      <c r="S93" s="116"/>
      <c r="T93" s="116"/>
      <c r="U93" s="116"/>
      <c r="V93" s="116"/>
      <c r="W93" s="116"/>
      <c r="X93" s="121"/>
      <c r="Y93" s="116"/>
      <c r="Z93" s="116"/>
      <c r="AA93" s="116"/>
      <c r="AB93" s="120"/>
      <c r="AC93" s="116"/>
      <c r="AD93" s="120"/>
      <c r="AE93" s="116"/>
      <c r="AF93" s="116"/>
      <c r="AG93" s="116"/>
      <c r="AH93" s="116"/>
      <c r="AI93" s="116"/>
      <c r="AJ93" s="116"/>
      <c r="AK93" s="116"/>
      <c r="AL93" s="122"/>
      <c r="AM93" s="116"/>
      <c r="AN93" s="120"/>
      <c r="AO93" s="120"/>
      <c r="AP93" s="116"/>
      <c r="AQ93" s="116"/>
      <c r="AR93" s="116"/>
      <c r="AS93" s="116"/>
      <c r="AT93" s="116"/>
      <c r="AU93" s="116"/>
      <c r="AV93" s="120"/>
      <c r="AW93" s="116"/>
      <c r="AX93" s="123" t="str">
        <f t="shared" si="31"/>
        <v/>
      </c>
      <c r="AY93" s="123" t="str">
        <f t="shared" si="32"/>
        <v/>
      </c>
      <c r="AZ93" s="123" t="str">
        <f t="shared" si="33"/>
        <v/>
      </c>
      <c r="BA93" s="124" t="str">
        <f t="shared" si="34"/>
        <v/>
      </c>
      <c r="BB93" s="125" t="str">
        <f t="shared" si="35"/>
        <v/>
      </c>
      <c r="BC93" s="126" t="str">
        <f t="shared" si="36"/>
        <v/>
      </c>
      <c r="BD93" s="123">
        <f t="shared" si="24"/>
        <v>0</v>
      </c>
      <c r="BE93" s="123">
        <f t="shared" si="25"/>
        <v>0</v>
      </c>
      <c r="BF93" s="123">
        <f t="shared" si="26"/>
        <v>0</v>
      </c>
      <c r="BG93" s="123">
        <f t="shared" si="27"/>
        <v>0</v>
      </c>
      <c r="BH93" s="123">
        <f t="shared" si="28"/>
        <v>0</v>
      </c>
      <c r="BI93" s="123">
        <f t="shared" si="29"/>
        <v>0</v>
      </c>
      <c r="BJ93" s="127"/>
      <c r="BN93" s="43" t="str">
        <f t="shared" si="37"/>
        <v/>
      </c>
      <c r="BO93" s="43" t="str">
        <f t="shared" si="38"/>
        <v/>
      </c>
      <c r="BP93" s="43" t="str">
        <f t="shared" si="39"/>
        <v/>
      </c>
      <c r="BQ93" s="43" t="str">
        <f t="shared" si="40"/>
        <v/>
      </c>
      <c r="BR93" s="43" t="str">
        <f t="shared" si="41"/>
        <v/>
      </c>
      <c r="BS93" s="43" t="str">
        <f t="shared" si="42"/>
        <v/>
      </c>
      <c r="BT93" s="43" t="str">
        <f t="shared" si="43"/>
        <v/>
      </c>
      <c r="BU93" s="1" t="str">
        <f t="shared" si="44"/>
        <v/>
      </c>
    </row>
    <row r="94" spans="1:73">
      <c r="A94" s="115">
        <f t="shared" si="23"/>
        <v>85</v>
      </c>
      <c r="B94" s="116"/>
      <c r="C94" s="117"/>
      <c r="D94" s="109"/>
      <c r="E94" s="118"/>
      <c r="F94" s="118"/>
      <c r="G94" s="119" t="str">
        <f t="shared" si="30"/>
        <v/>
      </c>
      <c r="H94" s="116"/>
      <c r="I94" s="116"/>
      <c r="J94" s="116"/>
      <c r="K94" s="116"/>
      <c r="L94" s="120"/>
      <c r="M94" s="116"/>
      <c r="N94" s="116"/>
      <c r="O94" s="116"/>
      <c r="P94" s="116"/>
      <c r="Q94" s="116"/>
      <c r="R94" s="116"/>
      <c r="S94" s="116"/>
      <c r="T94" s="116"/>
      <c r="U94" s="116"/>
      <c r="V94" s="116"/>
      <c r="W94" s="116"/>
      <c r="X94" s="121"/>
      <c r="Y94" s="116"/>
      <c r="Z94" s="116"/>
      <c r="AA94" s="116"/>
      <c r="AB94" s="120"/>
      <c r="AC94" s="116"/>
      <c r="AD94" s="120"/>
      <c r="AE94" s="116"/>
      <c r="AF94" s="116"/>
      <c r="AG94" s="116"/>
      <c r="AH94" s="116"/>
      <c r="AI94" s="116"/>
      <c r="AJ94" s="116"/>
      <c r="AK94" s="116"/>
      <c r="AL94" s="122"/>
      <c r="AM94" s="116"/>
      <c r="AN94" s="120"/>
      <c r="AO94" s="120"/>
      <c r="AP94" s="116"/>
      <c r="AQ94" s="116"/>
      <c r="AR94" s="116"/>
      <c r="AS94" s="116"/>
      <c r="AT94" s="116"/>
      <c r="AU94" s="116"/>
      <c r="AV94" s="120"/>
      <c r="AW94" s="116"/>
      <c r="AX94" s="123" t="str">
        <f t="shared" si="31"/>
        <v/>
      </c>
      <c r="AY94" s="123" t="str">
        <f t="shared" si="32"/>
        <v/>
      </c>
      <c r="AZ94" s="123" t="str">
        <f t="shared" si="33"/>
        <v/>
      </c>
      <c r="BA94" s="124" t="str">
        <f t="shared" si="34"/>
        <v/>
      </c>
      <c r="BB94" s="125" t="str">
        <f t="shared" si="35"/>
        <v/>
      </c>
      <c r="BC94" s="126" t="str">
        <f t="shared" si="36"/>
        <v/>
      </c>
      <c r="BD94" s="123">
        <f t="shared" si="24"/>
        <v>0</v>
      </c>
      <c r="BE94" s="123">
        <f t="shared" si="25"/>
        <v>0</v>
      </c>
      <c r="BF94" s="123">
        <f t="shared" si="26"/>
        <v>0</v>
      </c>
      <c r="BG94" s="123">
        <f t="shared" si="27"/>
        <v>0</v>
      </c>
      <c r="BH94" s="123">
        <f t="shared" si="28"/>
        <v>0</v>
      </c>
      <c r="BI94" s="123">
        <f t="shared" si="29"/>
        <v>0</v>
      </c>
      <c r="BJ94" s="127"/>
      <c r="BN94" s="43" t="str">
        <f t="shared" si="37"/>
        <v/>
      </c>
      <c r="BO94" s="43" t="str">
        <f t="shared" si="38"/>
        <v/>
      </c>
      <c r="BP94" s="43" t="str">
        <f t="shared" si="39"/>
        <v/>
      </c>
      <c r="BQ94" s="43" t="str">
        <f t="shared" si="40"/>
        <v/>
      </c>
      <c r="BR94" s="43" t="str">
        <f t="shared" si="41"/>
        <v/>
      </c>
      <c r="BS94" s="43" t="str">
        <f t="shared" si="42"/>
        <v/>
      </c>
      <c r="BT94" s="43" t="str">
        <f t="shared" si="43"/>
        <v/>
      </c>
      <c r="BU94" s="1" t="str">
        <f t="shared" si="44"/>
        <v/>
      </c>
    </row>
    <row r="95" spans="1:73">
      <c r="A95" s="115">
        <f t="shared" si="23"/>
        <v>86</v>
      </c>
      <c r="B95" s="116"/>
      <c r="C95" s="117"/>
      <c r="D95" s="109"/>
      <c r="E95" s="118"/>
      <c r="F95" s="118"/>
      <c r="G95" s="119" t="str">
        <f t="shared" si="30"/>
        <v/>
      </c>
      <c r="H95" s="116"/>
      <c r="I95" s="116"/>
      <c r="J95" s="116"/>
      <c r="K95" s="116"/>
      <c r="L95" s="120"/>
      <c r="M95" s="116"/>
      <c r="N95" s="116"/>
      <c r="O95" s="116"/>
      <c r="P95" s="116"/>
      <c r="Q95" s="116"/>
      <c r="R95" s="116"/>
      <c r="S95" s="116"/>
      <c r="T95" s="116"/>
      <c r="U95" s="116"/>
      <c r="V95" s="116"/>
      <c r="W95" s="116"/>
      <c r="X95" s="121"/>
      <c r="Y95" s="116"/>
      <c r="Z95" s="116"/>
      <c r="AA95" s="116"/>
      <c r="AB95" s="120"/>
      <c r="AC95" s="116"/>
      <c r="AD95" s="120"/>
      <c r="AE95" s="116"/>
      <c r="AF95" s="116"/>
      <c r="AG95" s="116"/>
      <c r="AH95" s="116"/>
      <c r="AI95" s="116"/>
      <c r="AJ95" s="116"/>
      <c r="AK95" s="116"/>
      <c r="AL95" s="122"/>
      <c r="AM95" s="116"/>
      <c r="AN95" s="120"/>
      <c r="AO95" s="120"/>
      <c r="AP95" s="116"/>
      <c r="AQ95" s="116"/>
      <c r="AR95" s="116"/>
      <c r="AS95" s="116"/>
      <c r="AT95" s="116"/>
      <c r="AU95" s="116"/>
      <c r="AV95" s="120"/>
      <c r="AW95" s="116"/>
      <c r="AX95" s="123" t="str">
        <f t="shared" si="31"/>
        <v/>
      </c>
      <c r="AY95" s="123" t="str">
        <f t="shared" si="32"/>
        <v/>
      </c>
      <c r="AZ95" s="123" t="str">
        <f t="shared" si="33"/>
        <v/>
      </c>
      <c r="BA95" s="124" t="str">
        <f t="shared" si="34"/>
        <v/>
      </c>
      <c r="BB95" s="125" t="str">
        <f t="shared" si="35"/>
        <v/>
      </c>
      <c r="BC95" s="126" t="str">
        <f t="shared" si="36"/>
        <v/>
      </c>
      <c r="BD95" s="123">
        <f t="shared" si="24"/>
        <v>0</v>
      </c>
      <c r="BE95" s="123">
        <f t="shared" si="25"/>
        <v>0</v>
      </c>
      <c r="BF95" s="123">
        <f t="shared" si="26"/>
        <v>0</v>
      </c>
      <c r="BG95" s="123">
        <f t="shared" si="27"/>
        <v>0</v>
      </c>
      <c r="BH95" s="123">
        <f t="shared" si="28"/>
        <v>0</v>
      </c>
      <c r="BI95" s="123">
        <f t="shared" si="29"/>
        <v>0</v>
      </c>
      <c r="BJ95" s="127"/>
      <c r="BN95" s="43" t="str">
        <f t="shared" si="37"/>
        <v/>
      </c>
      <c r="BO95" s="43" t="str">
        <f t="shared" si="38"/>
        <v/>
      </c>
      <c r="BP95" s="43" t="str">
        <f t="shared" si="39"/>
        <v/>
      </c>
      <c r="BQ95" s="43" t="str">
        <f t="shared" si="40"/>
        <v/>
      </c>
      <c r="BR95" s="43" t="str">
        <f t="shared" si="41"/>
        <v/>
      </c>
      <c r="BS95" s="43" t="str">
        <f t="shared" si="42"/>
        <v/>
      </c>
      <c r="BT95" s="43" t="str">
        <f t="shared" si="43"/>
        <v/>
      </c>
      <c r="BU95" s="1" t="str">
        <f t="shared" si="44"/>
        <v/>
      </c>
    </row>
    <row r="96" spans="1:73">
      <c r="A96" s="115">
        <f t="shared" si="23"/>
        <v>87</v>
      </c>
      <c r="B96" s="116"/>
      <c r="C96" s="117"/>
      <c r="D96" s="109"/>
      <c r="E96" s="118"/>
      <c r="F96" s="118"/>
      <c r="G96" s="119" t="str">
        <f t="shared" si="30"/>
        <v/>
      </c>
      <c r="H96" s="116"/>
      <c r="I96" s="116"/>
      <c r="J96" s="116"/>
      <c r="K96" s="116"/>
      <c r="L96" s="120"/>
      <c r="M96" s="116"/>
      <c r="N96" s="116"/>
      <c r="O96" s="116"/>
      <c r="P96" s="116"/>
      <c r="Q96" s="116"/>
      <c r="R96" s="116"/>
      <c r="S96" s="116"/>
      <c r="T96" s="116"/>
      <c r="U96" s="116"/>
      <c r="V96" s="116"/>
      <c r="W96" s="116"/>
      <c r="X96" s="121"/>
      <c r="Y96" s="116"/>
      <c r="Z96" s="116"/>
      <c r="AA96" s="116"/>
      <c r="AB96" s="120"/>
      <c r="AC96" s="116"/>
      <c r="AD96" s="120"/>
      <c r="AE96" s="116"/>
      <c r="AF96" s="116"/>
      <c r="AG96" s="116"/>
      <c r="AH96" s="116"/>
      <c r="AI96" s="116"/>
      <c r="AJ96" s="116"/>
      <c r="AK96" s="116"/>
      <c r="AL96" s="122"/>
      <c r="AM96" s="116"/>
      <c r="AN96" s="120"/>
      <c r="AO96" s="120"/>
      <c r="AP96" s="116"/>
      <c r="AQ96" s="116"/>
      <c r="AR96" s="116"/>
      <c r="AS96" s="116"/>
      <c r="AT96" s="116"/>
      <c r="AU96" s="116"/>
      <c r="AV96" s="120"/>
      <c r="AW96" s="116"/>
      <c r="AX96" s="123" t="str">
        <f t="shared" si="31"/>
        <v/>
      </c>
      <c r="AY96" s="123" t="str">
        <f t="shared" si="32"/>
        <v/>
      </c>
      <c r="AZ96" s="123" t="str">
        <f t="shared" si="33"/>
        <v/>
      </c>
      <c r="BA96" s="124" t="str">
        <f t="shared" si="34"/>
        <v/>
      </c>
      <c r="BB96" s="125" t="str">
        <f t="shared" si="35"/>
        <v/>
      </c>
      <c r="BC96" s="126" t="str">
        <f t="shared" si="36"/>
        <v/>
      </c>
      <c r="BD96" s="123">
        <f t="shared" si="24"/>
        <v>0</v>
      </c>
      <c r="BE96" s="123">
        <f t="shared" si="25"/>
        <v>0</v>
      </c>
      <c r="BF96" s="123">
        <f t="shared" si="26"/>
        <v>0</v>
      </c>
      <c r="BG96" s="123">
        <f t="shared" si="27"/>
        <v>0</v>
      </c>
      <c r="BH96" s="123">
        <f t="shared" si="28"/>
        <v>0</v>
      </c>
      <c r="BI96" s="123">
        <f t="shared" si="29"/>
        <v>0</v>
      </c>
      <c r="BJ96" s="127"/>
      <c r="BN96" s="43" t="str">
        <f t="shared" si="37"/>
        <v/>
      </c>
      <c r="BO96" s="43" t="str">
        <f t="shared" si="38"/>
        <v/>
      </c>
      <c r="BP96" s="43" t="str">
        <f t="shared" si="39"/>
        <v/>
      </c>
      <c r="BQ96" s="43" t="str">
        <f t="shared" si="40"/>
        <v/>
      </c>
      <c r="BR96" s="43" t="str">
        <f t="shared" si="41"/>
        <v/>
      </c>
      <c r="BS96" s="43" t="str">
        <f t="shared" si="42"/>
        <v/>
      </c>
      <c r="BT96" s="43" t="str">
        <f t="shared" si="43"/>
        <v/>
      </c>
      <c r="BU96" s="1" t="str">
        <f t="shared" si="44"/>
        <v/>
      </c>
    </row>
    <row r="97" spans="1:73">
      <c r="A97" s="115">
        <f t="shared" si="23"/>
        <v>88</v>
      </c>
      <c r="B97" s="116"/>
      <c r="C97" s="117"/>
      <c r="D97" s="109"/>
      <c r="E97" s="118"/>
      <c r="F97" s="118"/>
      <c r="G97" s="119" t="str">
        <f t="shared" si="30"/>
        <v/>
      </c>
      <c r="H97" s="116"/>
      <c r="I97" s="116"/>
      <c r="J97" s="116"/>
      <c r="K97" s="116"/>
      <c r="L97" s="120"/>
      <c r="M97" s="116"/>
      <c r="N97" s="116"/>
      <c r="O97" s="116"/>
      <c r="P97" s="116"/>
      <c r="Q97" s="116"/>
      <c r="R97" s="116"/>
      <c r="S97" s="116"/>
      <c r="T97" s="116"/>
      <c r="U97" s="116"/>
      <c r="V97" s="116"/>
      <c r="W97" s="116"/>
      <c r="X97" s="121"/>
      <c r="Y97" s="116"/>
      <c r="Z97" s="116"/>
      <c r="AA97" s="116"/>
      <c r="AB97" s="120"/>
      <c r="AC97" s="116"/>
      <c r="AD97" s="120"/>
      <c r="AE97" s="116"/>
      <c r="AF97" s="116"/>
      <c r="AG97" s="116"/>
      <c r="AH97" s="116"/>
      <c r="AI97" s="116"/>
      <c r="AJ97" s="116"/>
      <c r="AK97" s="116"/>
      <c r="AL97" s="122"/>
      <c r="AM97" s="116"/>
      <c r="AN97" s="120"/>
      <c r="AO97" s="120"/>
      <c r="AP97" s="116"/>
      <c r="AQ97" s="116"/>
      <c r="AR97" s="116"/>
      <c r="AS97" s="116"/>
      <c r="AT97" s="116"/>
      <c r="AU97" s="116"/>
      <c r="AV97" s="120"/>
      <c r="AW97" s="116"/>
      <c r="AX97" s="123" t="str">
        <f t="shared" si="31"/>
        <v/>
      </c>
      <c r="AY97" s="123" t="str">
        <f t="shared" si="32"/>
        <v/>
      </c>
      <c r="AZ97" s="123" t="str">
        <f t="shared" si="33"/>
        <v/>
      </c>
      <c r="BA97" s="124" t="str">
        <f t="shared" si="34"/>
        <v/>
      </c>
      <c r="BB97" s="125" t="str">
        <f t="shared" si="35"/>
        <v/>
      </c>
      <c r="BC97" s="126" t="str">
        <f t="shared" si="36"/>
        <v/>
      </c>
      <c r="BD97" s="123">
        <f t="shared" si="24"/>
        <v>0</v>
      </c>
      <c r="BE97" s="123">
        <f t="shared" si="25"/>
        <v>0</v>
      </c>
      <c r="BF97" s="123">
        <f t="shared" si="26"/>
        <v>0</v>
      </c>
      <c r="BG97" s="123">
        <f t="shared" si="27"/>
        <v>0</v>
      </c>
      <c r="BH97" s="123">
        <f t="shared" si="28"/>
        <v>0</v>
      </c>
      <c r="BI97" s="123">
        <f t="shared" si="29"/>
        <v>0</v>
      </c>
      <c r="BJ97" s="127"/>
      <c r="BN97" s="43" t="str">
        <f t="shared" si="37"/>
        <v/>
      </c>
      <c r="BO97" s="43" t="str">
        <f t="shared" si="38"/>
        <v/>
      </c>
      <c r="BP97" s="43" t="str">
        <f t="shared" si="39"/>
        <v/>
      </c>
      <c r="BQ97" s="43" t="str">
        <f t="shared" si="40"/>
        <v/>
      </c>
      <c r="BR97" s="43" t="str">
        <f t="shared" si="41"/>
        <v/>
      </c>
      <c r="BS97" s="43" t="str">
        <f t="shared" si="42"/>
        <v/>
      </c>
      <c r="BT97" s="43" t="str">
        <f t="shared" si="43"/>
        <v/>
      </c>
      <c r="BU97" s="1" t="str">
        <f t="shared" si="44"/>
        <v/>
      </c>
    </row>
    <row r="98" spans="1:73">
      <c r="A98" s="115">
        <f t="shared" si="23"/>
        <v>89</v>
      </c>
      <c r="B98" s="116"/>
      <c r="C98" s="117"/>
      <c r="D98" s="109"/>
      <c r="E98" s="118"/>
      <c r="F98" s="118"/>
      <c r="G98" s="119" t="str">
        <f t="shared" si="30"/>
        <v/>
      </c>
      <c r="H98" s="116"/>
      <c r="I98" s="116"/>
      <c r="J98" s="116"/>
      <c r="K98" s="116"/>
      <c r="L98" s="120"/>
      <c r="M98" s="116"/>
      <c r="N98" s="116"/>
      <c r="O98" s="116"/>
      <c r="P98" s="116"/>
      <c r="Q98" s="116"/>
      <c r="R98" s="116"/>
      <c r="S98" s="116"/>
      <c r="T98" s="116"/>
      <c r="U98" s="116"/>
      <c r="V98" s="116"/>
      <c r="W98" s="116"/>
      <c r="X98" s="121"/>
      <c r="Y98" s="116"/>
      <c r="Z98" s="116"/>
      <c r="AA98" s="116"/>
      <c r="AB98" s="120"/>
      <c r="AC98" s="116"/>
      <c r="AD98" s="120"/>
      <c r="AE98" s="116"/>
      <c r="AF98" s="116"/>
      <c r="AG98" s="116"/>
      <c r="AH98" s="116"/>
      <c r="AI98" s="116"/>
      <c r="AJ98" s="116"/>
      <c r="AK98" s="116"/>
      <c r="AL98" s="122"/>
      <c r="AM98" s="116"/>
      <c r="AN98" s="120"/>
      <c r="AO98" s="120"/>
      <c r="AP98" s="116"/>
      <c r="AQ98" s="116"/>
      <c r="AR98" s="116"/>
      <c r="AS98" s="116"/>
      <c r="AT98" s="116"/>
      <c r="AU98" s="116"/>
      <c r="AV98" s="120"/>
      <c r="AW98" s="116"/>
      <c r="AX98" s="123" t="str">
        <f t="shared" si="31"/>
        <v/>
      </c>
      <c r="AY98" s="123" t="str">
        <f t="shared" si="32"/>
        <v/>
      </c>
      <c r="AZ98" s="123" t="str">
        <f t="shared" si="33"/>
        <v/>
      </c>
      <c r="BA98" s="124" t="str">
        <f t="shared" si="34"/>
        <v/>
      </c>
      <c r="BB98" s="125" t="str">
        <f t="shared" si="35"/>
        <v/>
      </c>
      <c r="BC98" s="126" t="str">
        <f t="shared" si="36"/>
        <v/>
      </c>
      <c r="BD98" s="123">
        <f t="shared" si="24"/>
        <v>0</v>
      </c>
      <c r="BE98" s="123">
        <f t="shared" si="25"/>
        <v>0</v>
      </c>
      <c r="BF98" s="123">
        <f t="shared" si="26"/>
        <v>0</v>
      </c>
      <c r="BG98" s="123">
        <f t="shared" si="27"/>
        <v>0</v>
      </c>
      <c r="BH98" s="123">
        <f t="shared" si="28"/>
        <v>0</v>
      </c>
      <c r="BI98" s="123">
        <f t="shared" si="29"/>
        <v>0</v>
      </c>
      <c r="BJ98" s="127"/>
      <c r="BN98" s="43" t="str">
        <f t="shared" si="37"/>
        <v/>
      </c>
      <c r="BO98" s="43" t="str">
        <f t="shared" si="38"/>
        <v/>
      </c>
      <c r="BP98" s="43" t="str">
        <f t="shared" si="39"/>
        <v/>
      </c>
      <c r="BQ98" s="43" t="str">
        <f t="shared" si="40"/>
        <v/>
      </c>
      <c r="BR98" s="43" t="str">
        <f t="shared" si="41"/>
        <v/>
      </c>
      <c r="BS98" s="43" t="str">
        <f t="shared" si="42"/>
        <v/>
      </c>
      <c r="BT98" s="43" t="str">
        <f t="shared" si="43"/>
        <v/>
      </c>
      <c r="BU98" s="1" t="str">
        <f t="shared" si="44"/>
        <v/>
      </c>
    </row>
    <row r="99" spans="1:73">
      <c r="A99" s="115">
        <f t="shared" si="23"/>
        <v>90</v>
      </c>
      <c r="B99" s="116"/>
      <c r="C99" s="117"/>
      <c r="D99" s="109"/>
      <c r="E99" s="118"/>
      <c r="F99" s="118"/>
      <c r="G99" s="119" t="str">
        <f t="shared" si="30"/>
        <v/>
      </c>
      <c r="H99" s="116"/>
      <c r="I99" s="116"/>
      <c r="J99" s="116"/>
      <c r="K99" s="116"/>
      <c r="L99" s="120"/>
      <c r="M99" s="116"/>
      <c r="N99" s="116"/>
      <c r="O99" s="116"/>
      <c r="P99" s="116"/>
      <c r="Q99" s="116"/>
      <c r="R99" s="116"/>
      <c r="S99" s="116"/>
      <c r="T99" s="116"/>
      <c r="U99" s="116"/>
      <c r="V99" s="116"/>
      <c r="W99" s="116"/>
      <c r="X99" s="121"/>
      <c r="Y99" s="116"/>
      <c r="Z99" s="116"/>
      <c r="AA99" s="116"/>
      <c r="AB99" s="120"/>
      <c r="AC99" s="116"/>
      <c r="AD99" s="120"/>
      <c r="AE99" s="116"/>
      <c r="AF99" s="116"/>
      <c r="AG99" s="116"/>
      <c r="AH99" s="116"/>
      <c r="AI99" s="116"/>
      <c r="AJ99" s="116"/>
      <c r="AK99" s="116"/>
      <c r="AL99" s="122"/>
      <c r="AM99" s="116"/>
      <c r="AN99" s="120"/>
      <c r="AO99" s="120"/>
      <c r="AP99" s="116"/>
      <c r="AQ99" s="116"/>
      <c r="AR99" s="116"/>
      <c r="AS99" s="116"/>
      <c r="AT99" s="116"/>
      <c r="AU99" s="116"/>
      <c r="AV99" s="120"/>
      <c r="AW99" s="116"/>
      <c r="AX99" s="123" t="str">
        <f t="shared" si="31"/>
        <v/>
      </c>
      <c r="AY99" s="123" t="str">
        <f t="shared" si="32"/>
        <v/>
      </c>
      <c r="AZ99" s="123" t="str">
        <f t="shared" si="33"/>
        <v/>
      </c>
      <c r="BA99" s="124" t="str">
        <f t="shared" si="34"/>
        <v/>
      </c>
      <c r="BB99" s="125" t="str">
        <f t="shared" si="35"/>
        <v/>
      </c>
      <c r="BC99" s="126" t="str">
        <f t="shared" si="36"/>
        <v/>
      </c>
      <c r="BD99" s="123">
        <f t="shared" si="24"/>
        <v>0</v>
      </c>
      <c r="BE99" s="123">
        <f t="shared" si="25"/>
        <v>0</v>
      </c>
      <c r="BF99" s="123">
        <f t="shared" si="26"/>
        <v>0</v>
      </c>
      <c r="BG99" s="123">
        <f t="shared" si="27"/>
        <v>0</v>
      </c>
      <c r="BH99" s="123">
        <f t="shared" si="28"/>
        <v>0</v>
      </c>
      <c r="BI99" s="123">
        <f t="shared" si="29"/>
        <v>0</v>
      </c>
      <c r="BJ99" s="127"/>
      <c r="BN99" s="43" t="str">
        <f t="shared" si="37"/>
        <v/>
      </c>
      <c r="BO99" s="43" t="str">
        <f t="shared" si="38"/>
        <v/>
      </c>
      <c r="BP99" s="43" t="str">
        <f t="shared" si="39"/>
        <v/>
      </c>
      <c r="BQ99" s="43" t="str">
        <f t="shared" si="40"/>
        <v/>
      </c>
      <c r="BR99" s="43" t="str">
        <f t="shared" si="41"/>
        <v/>
      </c>
      <c r="BS99" s="43" t="str">
        <f t="shared" si="42"/>
        <v/>
      </c>
      <c r="BT99" s="43" t="str">
        <f t="shared" si="43"/>
        <v/>
      </c>
      <c r="BU99" s="1" t="str">
        <f t="shared" si="44"/>
        <v/>
      </c>
    </row>
    <row r="100" spans="1:73">
      <c r="A100" s="115">
        <f t="shared" si="23"/>
        <v>91</v>
      </c>
      <c r="B100" s="116"/>
      <c r="C100" s="117"/>
      <c r="D100" s="109"/>
      <c r="E100" s="118"/>
      <c r="F100" s="118"/>
      <c r="G100" s="119" t="str">
        <f t="shared" si="30"/>
        <v/>
      </c>
      <c r="H100" s="116"/>
      <c r="I100" s="116"/>
      <c r="J100" s="116"/>
      <c r="K100" s="116"/>
      <c r="L100" s="120"/>
      <c r="M100" s="116"/>
      <c r="N100" s="116"/>
      <c r="O100" s="116"/>
      <c r="P100" s="116"/>
      <c r="Q100" s="116"/>
      <c r="R100" s="116"/>
      <c r="S100" s="116"/>
      <c r="T100" s="116"/>
      <c r="U100" s="116"/>
      <c r="V100" s="116"/>
      <c r="W100" s="116"/>
      <c r="X100" s="121"/>
      <c r="Y100" s="116"/>
      <c r="Z100" s="116"/>
      <c r="AA100" s="116"/>
      <c r="AB100" s="120"/>
      <c r="AC100" s="116"/>
      <c r="AD100" s="120"/>
      <c r="AE100" s="116"/>
      <c r="AF100" s="116"/>
      <c r="AG100" s="116"/>
      <c r="AH100" s="116"/>
      <c r="AI100" s="116"/>
      <c r="AJ100" s="116"/>
      <c r="AK100" s="116"/>
      <c r="AL100" s="122"/>
      <c r="AM100" s="116"/>
      <c r="AN100" s="120"/>
      <c r="AO100" s="120"/>
      <c r="AP100" s="116"/>
      <c r="AQ100" s="116"/>
      <c r="AR100" s="116"/>
      <c r="AS100" s="116"/>
      <c r="AT100" s="116"/>
      <c r="AU100" s="116"/>
      <c r="AV100" s="120"/>
      <c r="AW100" s="116"/>
      <c r="AX100" s="123" t="str">
        <f t="shared" si="31"/>
        <v/>
      </c>
      <c r="AY100" s="123" t="str">
        <f t="shared" si="32"/>
        <v/>
      </c>
      <c r="AZ100" s="123" t="str">
        <f t="shared" si="33"/>
        <v/>
      </c>
      <c r="BA100" s="124" t="str">
        <f t="shared" si="34"/>
        <v/>
      </c>
      <c r="BB100" s="125" t="str">
        <f t="shared" si="35"/>
        <v/>
      </c>
      <c r="BC100" s="126" t="str">
        <f t="shared" si="36"/>
        <v/>
      </c>
      <c r="BD100" s="123">
        <f t="shared" si="24"/>
        <v>0</v>
      </c>
      <c r="BE100" s="123">
        <f t="shared" si="25"/>
        <v>0</v>
      </c>
      <c r="BF100" s="123">
        <f t="shared" si="26"/>
        <v>0</v>
      </c>
      <c r="BG100" s="123">
        <f t="shared" si="27"/>
        <v>0</v>
      </c>
      <c r="BH100" s="123">
        <f t="shared" si="28"/>
        <v>0</v>
      </c>
      <c r="BI100" s="123">
        <f t="shared" si="29"/>
        <v>0</v>
      </c>
      <c r="BJ100" s="127"/>
      <c r="BN100" s="43" t="str">
        <f t="shared" si="37"/>
        <v/>
      </c>
      <c r="BO100" s="43" t="str">
        <f t="shared" si="38"/>
        <v/>
      </c>
      <c r="BP100" s="43" t="str">
        <f t="shared" si="39"/>
        <v/>
      </c>
      <c r="BQ100" s="43" t="str">
        <f t="shared" si="40"/>
        <v/>
      </c>
      <c r="BR100" s="43" t="str">
        <f t="shared" si="41"/>
        <v/>
      </c>
      <c r="BS100" s="43" t="str">
        <f t="shared" si="42"/>
        <v/>
      </c>
      <c r="BT100" s="43" t="str">
        <f t="shared" si="43"/>
        <v/>
      </c>
      <c r="BU100" s="1" t="str">
        <f t="shared" si="44"/>
        <v/>
      </c>
    </row>
    <row r="101" spans="1:73">
      <c r="A101" s="115">
        <f t="shared" si="23"/>
        <v>92</v>
      </c>
      <c r="B101" s="116"/>
      <c r="C101" s="117"/>
      <c r="D101" s="109"/>
      <c r="E101" s="118"/>
      <c r="F101" s="118"/>
      <c r="G101" s="119" t="str">
        <f t="shared" si="30"/>
        <v/>
      </c>
      <c r="H101" s="116"/>
      <c r="I101" s="116"/>
      <c r="J101" s="116"/>
      <c r="K101" s="116"/>
      <c r="L101" s="120"/>
      <c r="M101" s="116"/>
      <c r="N101" s="116"/>
      <c r="O101" s="116"/>
      <c r="P101" s="116"/>
      <c r="Q101" s="116"/>
      <c r="R101" s="116"/>
      <c r="S101" s="116"/>
      <c r="T101" s="116"/>
      <c r="U101" s="116"/>
      <c r="V101" s="116"/>
      <c r="W101" s="116"/>
      <c r="X101" s="121"/>
      <c r="Y101" s="116"/>
      <c r="Z101" s="116"/>
      <c r="AA101" s="116"/>
      <c r="AB101" s="120"/>
      <c r="AC101" s="116"/>
      <c r="AD101" s="120"/>
      <c r="AE101" s="116"/>
      <c r="AF101" s="116"/>
      <c r="AG101" s="116"/>
      <c r="AH101" s="116"/>
      <c r="AI101" s="116"/>
      <c r="AJ101" s="116"/>
      <c r="AK101" s="116"/>
      <c r="AL101" s="122"/>
      <c r="AM101" s="116"/>
      <c r="AN101" s="120"/>
      <c r="AO101" s="120"/>
      <c r="AP101" s="116"/>
      <c r="AQ101" s="116"/>
      <c r="AR101" s="116"/>
      <c r="AS101" s="116"/>
      <c r="AT101" s="116"/>
      <c r="AU101" s="116"/>
      <c r="AV101" s="120"/>
      <c r="AW101" s="116"/>
      <c r="AX101" s="123" t="str">
        <f t="shared" si="31"/>
        <v/>
      </c>
      <c r="AY101" s="123" t="str">
        <f t="shared" si="32"/>
        <v/>
      </c>
      <c r="AZ101" s="123" t="str">
        <f t="shared" si="33"/>
        <v/>
      </c>
      <c r="BA101" s="124" t="str">
        <f t="shared" si="34"/>
        <v/>
      </c>
      <c r="BB101" s="125" t="str">
        <f t="shared" si="35"/>
        <v/>
      </c>
      <c r="BC101" s="126" t="str">
        <f t="shared" si="36"/>
        <v/>
      </c>
      <c r="BD101" s="123">
        <f t="shared" si="24"/>
        <v>0</v>
      </c>
      <c r="BE101" s="123">
        <f t="shared" si="25"/>
        <v>0</v>
      </c>
      <c r="BF101" s="123">
        <f t="shared" si="26"/>
        <v>0</v>
      </c>
      <c r="BG101" s="123">
        <f t="shared" si="27"/>
        <v>0</v>
      </c>
      <c r="BH101" s="123">
        <f t="shared" si="28"/>
        <v>0</v>
      </c>
      <c r="BI101" s="123">
        <f t="shared" si="29"/>
        <v>0</v>
      </c>
      <c r="BJ101" s="127"/>
      <c r="BN101" s="43" t="str">
        <f t="shared" si="37"/>
        <v/>
      </c>
      <c r="BO101" s="43" t="str">
        <f t="shared" si="38"/>
        <v/>
      </c>
      <c r="BP101" s="43" t="str">
        <f t="shared" si="39"/>
        <v/>
      </c>
      <c r="BQ101" s="43" t="str">
        <f t="shared" si="40"/>
        <v/>
      </c>
      <c r="BR101" s="43" t="str">
        <f t="shared" si="41"/>
        <v/>
      </c>
      <c r="BS101" s="43" t="str">
        <f t="shared" si="42"/>
        <v/>
      </c>
      <c r="BT101" s="43" t="str">
        <f t="shared" si="43"/>
        <v/>
      </c>
      <c r="BU101" s="1" t="str">
        <f t="shared" si="44"/>
        <v/>
      </c>
    </row>
    <row r="102" spans="1:73">
      <c r="A102" s="115">
        <f t="shared" si="23"/>
        <v>93</v>
      </c>
      <c r="B102" s="116"/>
      <c r="C102" s="117"/>
      <c r="D102" s="109"/>
      <c r="E102" s="118"/>
      <c r="F102" s="118"/>
      <c r="G102" s="119" t="str">
        <f t="shared" si="30"/>
        <v/>
      </c>
      <c r="H102" s="116"/>
      <c r="I102" s="116"/>
      <c r="J102" s="116"/>
      <c r="K102" s="116"/>
      <c r="L102" s="120"/>
      <c r="M102" s="116"/>
      <c r="N102" s="116"/>
      <c r="O102" s="116"/>
      <c r="P102" s="116"/>
      <c r="Q102" s="116"/>
      <c r="R102" s="116"/>
      <c r="S102" s="116"/>
      <c r="T102" s="116"/>
      <c r="U102" s="116"/>
      <c r="V102" s="116"/>
      <c r="W102" s="116"/>
      <c r="X102" s="121"/>
      <c r="Y102" s="116"/>
      <c r="Z102" s="116"/>
      <c r="AA102" s="116"/>
      <c r="AB102" s="120"/>
      <c r="AC102" s="116"/>
      <c r="AD102" s="120"/>
      <c r="AE102" s="116"/>
      <c r="AF102" s="116"/>
      <c r="AG102" s="116"/>
      <c r="AH102" s="116"/>
      <c r="AI102" s="116"/>
      <c r="AJ102" s="116"/>
      <c r="AK102" s="116"/>
      <c r="AL102" s="122"/>
      <c r="AM102" s="116"/>
      <c r="AN102" s="120"/>
      <c r="AO102" s="120"/>
      <c r="AP102" s="116"/>
      <c r="AQ102" s="116"/>
      <c r="AR102" s="116"/>
      <c r="AS102" s="116"/>
      <c r="AT102" s="116"/>
      <c r="AU102" s="116"/>
      <c r="AV102" s="120"/>
      <c r="AW102" s="116"/>
      <c r="AX102" s="123" t="str">
        <f t="shared" si="31"/>
        <v/>
      </c>
      <c r="AY102" s="123" t="str">
        <f t="shared" si="32"/>
        <v/>
      </c>
      <c r="AZ102" s="123" t="str">
        <f t="shared" si="33"/>
        <v/>
      </c>
      <c r="BA102" s="124" t="str">
        <f t="shared" si="34"/>
        <v/>
      </c>
      <c r="BB102" s="125" t="str">
        <f t="shared" si="35"/>
        <v/>
      </c>
      <c r="BC102" s="126" t="str">
        <f t="shared" si="36"/>
        <v/>
      </c>
      <c r="BD102" s="123">
        <f t="shared" si="24"/>
        <v>0</v>
      </c>
      <c r="BE102" s="123">
        <f t="shared" si="25"/>
        <v>0</v>
      </c>
      <c r="BF102" s="123">
        <f t="shared" si="26"/>
        <v>0</v>
      </c>
      <c r="BG102" s="123">
        <f t="shared" si="27"/>
        <v>0</v>
      </c>
      <c r="BH102" s="123">
        <f t="shared" si="28"/>
        <v>0</v>
      </c>
      <c r="BI102" s="123">
        <f t="shared" si="29"/>
        <v>0</v>
      </c>
      <c r="BJ102" s="127"/>
      <c r="BN102" s="43" t="str">
        <f t="shared" si="37"/>
        <v/>
      </c>
      <c r="BO102" s="43" t="str">
        <f t="shared" si="38"/>
        <v/>
      </c>
      <c r="BP102" s="43" t="str">
        <f t="shared" si="39"/>
        <v/>
      </c>
      <c r="BQ102" s="43" t="str">
        <f t="shared" si="40"/>
        <v/>
      </c>
      <c r="BR102" s="43" t="str">
        <f t="shared" si="41"/>
        <v/>
      </c>
      <c r="BS102" s="43" t="str">
        <f t="shared" si="42"/>
        <v/>
      </c>
      <c r="BT102" s="43" t="str">
        <f t="shared" si="43"/>
        <v/>
      </c>
      <c r="BU102" s="1" t="str">
        <f t="shared" si="44"/>
        <v/>
      </c>
    </row>
    <row r="103" spans="1:73">
      <c r="A103" s="115">
        <f t="shared" si="23"/>
        <v>94</v>
      </c>
      <c r="B103" s="116"/>
      <c r="C103" s="117"/>
      <c r="D103" s="109"/>
      <c r="E103" s="118"/>
      <c r="F103" s="118"/>
      <c r="G103" s="119" t="str">
        <f t="shared" si="30"/>
        <v/>
      </c>
      <c r="H103" s="116"/>
      <c r="I103" s="116"/>
      <c r="J103" s="116"/>
      <c r="K103" s="116"/>
      <c r="L103" s="120"/>
      <c r="M103" s="116"/>
      <c r="N103" s="116"/>
      <c r="O103" s="116"/>
      <c r="P103" s="116"/>
      <c r="Q103" s="116"/>
      <c r="R103" s="116"/>
      <c r="S103" s="116"/>
      <c r="T103" s="116"/>
      <c r="U103" s="116"/>
      <c r="V103" s="116"/>
      <c r="W103" s="116"/>
      <c r="X103" s="121"/>
      <c r="Y103" s="116"/>
      <c r="Z103" s="116"/>
      <c r="AA103" s="116"/>
      <c r="AB103" s="120"/>
      <c r="AC103" s="116"/>
      <c r="AD103" s="120"/>
      <c r="AE103" s="116"/>
      <c r="AF103" s="116"/>
      <c r="AG103" s="116"/>
      <c r="AH103" s="116"/>
      <c r="AI103" s="116"/>
      <c r="AJ103" s="116"/>
      <c r="AK103" s="116"/>
      <c r="AL103" s="122"/>
      <c r="AM103" s="116"/>
      <c r="AN103" s="120"/>
      <c r="AO103" s="120"/>
      <c r="AP103" s="116"/>
      <c r="AQ103" s="116"/>
      <c r="AR103" s="116"/>
      <c r="AS103" s="116"/>
      <c r="AT103" s="116"/>
      <c r="AU103" s="116"/>
      <c r="AV103" s="120"/>
      <c r="AW103" s="116"/>
      <c r="AX103" s="123" t="str">
        <f t="shared" si="31"/>
        <v/>
      </c>
      <c r="AY103" s="123" t="str">
        <f t="shared" si="32"/>
        <v/>
      </c>
      <c r="AZ103" s="123" t="str">
        <f t="shared" si="33"/>
        <v/>
      </c>
      <c r="BA103" s="124" t="str">
        <f t="shared" si="34"/>
        <v/>
      </c>
      <c r="BB103" s="125" t="str">
        <f t="shared" si="35"/>
        <v/>
      </c>
      <c r="BC103" s="126" t="str">
        <f t="shared" si="36"/>
        <v/>
      </c>
      <c r="BD103" s="123">
        <f t="shared" si="24"/>
        <v>0</v>
      </c>
      <c r="BE103" s="123">
        <f t="shared" si="25"/>
        <v>0</v>
      </c>
      <c r="BF103" s="123">
        <f t="shared" si="26"/>
        <v>0</v>
      </c>
      <c r="BG103" s="123">
        <f t="shared" si="27"/>
        <v>0</v>
      </c>
      <c r="BH103" s="123">
        <f t="shared" si="28"/>
        <v>0</v>
      </c>
      <c r="BI103" s="123">
        <f t="shared" si="29"/>
        <v>0</v>
      </c>
      <c r="BJ103" s="127"/>
      <c r="BN103" s="43" t="str">
        <f t="shared" si="37"/>
        <v/>
      </c>
      <c r="BO103" s="43" t="str">
        <f t="shared" si="38"/>
        <v/>
      </c>
      <c r="BP103" s="43" t="str">
        <f t="shared" si="39"/>
        <v/>
      </c>
      <c r="BQ103" s="43" t="str">
        <f t="shared" si="40"/>
        <v/>
      </c>
      <c r="BR103" s="43" t="str">
        <f t="shared" si="41"/>
        <v/>
      </c>
      <c r="BS103" s="43" t="str">
        <f t="shared" si="42"/>
        <v/>
      </c>
      <c r="BT103" s="43" t="str">
        <f t="shared" si="43"/>
        <v/>
      </c>
      <c r="BU103" s="1" t="str">
        <f t="shared" si="44"/>
        <v/>
      </c>
    </row>
    <row r="104" spans="1:73">
      <c r="A104" s="115">
        <f t="shared" si="23"/>
        <v>95</v>
      </c>
      <c r="B104" s="116"/>
      <c r="C104" s="117"/>
      <c r="D104" s="109"/>
      <c r="E104" s="118"/>
      <c r="F104" s="118"/>
      <c r="G104" s="119" t="str">
        <f t="shared" si="30"/>
        <v/>
      </c>
      <c r="H104" s="116"/>
      <c r="I104" s="116"/>
      <c r="J104" s="116"/>
      <c r="K104" s="116"/>
      <c r="L104" s="120"/>
      <c r="M104" s="116"/>
      <c r="N104" s="116"/>
      <c r="O104" s="116"/>
      <c r="P104" s="116"/>
      <c r="Q104" s="116"/>
      <c r="R104" s="116"/>
      <c r="S104" s="116"/>
      <c r="T104" s="116"/>
      <c r="U104" s="116"/>
      <c r="V104" s="116"/>
      <c r="W104" s="116"/>
      <c r="X104" s="121"/>
      <c r="Y104" s="116"/>
      <c r="Z104" s="116"/>
      <c r="AA104" s="116"/>
      <c r="AB104" s="120"/>
      <c r="AC104" s="116"/>
      <c r="AD104" s="120"/>
      <c r="AE104" s="116"/>
      <c r="AF104" s="116"/>
      <c r="AG104" s="116"/>
      <c r="AH104" s="116"/>
      <c r="AI104" s="116"/>
      <c r="AJ104" s="116"/>
      <c r="AK104" s="116"/>
      <c r="AL104" s="122"/>
      <c r="AM104" s="116"/>
      <c r="AN104" s="120"/>
      <c r="AO104" s="120"/>
      <c r="AP104" s="116"/>
      <c r="AQ104" s="116"/>
      <c r="AR104" s="116"/>
      <c r="AS104" s="116"/>
      <c r="AT104" s="116"/>
      <c r="AU104" s="116"/>
      <c r="AV104" s="120"/>
      <c r="AW104" s="116"/>
      <c r="AX104" s="123" t="str">
        <f t="shared" si="31"/>
        <v/>
      </c>
      <c r="AY104" s="123" t="str">
        <f t="shared" si="32"/>
        <v/>
      </c>
      <c r="AZ104" s="123" t="str">
        <f t="shared" si="33"/>
        <v/>
      </c>
      <c r="BA104" s="124" t="str">
        <f t="shared" si="34"/>
        <v/>
      </c>
      <c r="BB104" s="125" t="str">
        <f t="shared" si="35"/>
        <v/>
      </c>
      <c r="BC104" s="126" t="str">
        <f t="shared" si="36"/>
        <v/>
      </c>
      <c r="BD104" s="123">
        <f t="shared" si="24"/>
        <v>0</v>
      </c>
      <c r="BE104" s="123">
        <f t="shared" si="25"/>
        <v>0</v>
      </c>
      <c r="BF104" s="123">
        <f t="shared" si="26"/>
        <v>0</v>
      </c>
      <c r="BG104" s="123">
        <f t="shared" si="27"/>
        <v>0</v>
      </c>
      <c r="BH104" s="123">
        <f t="shared" si="28"/>
        <v>0</v>
      </c>
      <c r="BI104" s="123">
        <f t="shared" si="29"/>
        <v>0</v>
      </c>
      <c r="BJ104" s="127"/>
      <c r="BN104" s="43" t="str">
        <f t="shared" si="37"/>
        <v/>
      </c>
      <c r="BO104" s="43" t="str">
        <f t="shared" si="38"/>
        <v/>
      </c>
      <c r="BP104" s="43" t="str">
        <f t="shared" si="39"/>
        <v/>
      </c>
      <c r="BQ104" s="43" t="str">
        <f t="shared" si="40"/>
        <v/>
      </c>
      <c r="BR104" s="43" t="str">
        <f t="shared" si="41"/>
        <v/>
      </c>
      <c r="BS104" s="43" t="str">
        <f t="shared" si="42"/>
        <v/>
      </c>
      <c r="BT104" s="43" t="str">
        <f t="shared" si="43"/>
        <v/>
      </c>
      <c r="BU104" s="1" t="str">
        <f t="shared" si="44"/>
        <v/>
      </c>
    </row>
    <row r="105" spans="1:73">
      <c r="A105" s="115">
        <f t="shared" si="23"/>
        <v>96</v>
      </c>
      <c r="B105" s="116"/>
      <c r="C105" s="117"/>
      <c r="D105" s="109"/>
      <c r="E105" s="118"/>
      <c r="F105" s="118"/>
      <c r="G105" s="119" t="str">
        <f t="shared" si="30"/>
        <v/>
      </c>
      <c r="H105" s="116"/>
      <c r="I105" s="116"/>
      <c r="J105" s="116"/>
      <c r="K105" s="116"/>
      <c r="L105" s="120"/>
      <c r="M105" s="116"/>
      <c r="N105" s="116"/>
      <c r="O105" s="116"/>
      <c r="P105" s="116"/>
      <c r="Q105" s="116"/>
      <c r="R105" s="116"/>
      <c r="S105" s="116"/>
      <c r="T105" s="116"/>
      <c r="U105" s="116"/>
      <c r="V105" s="116"/>
      <c r="W105" s="116"/>
      <c r="X105" s="121"/>
      <c r="Y105" s="116"/>
      <c r="Z105" s="116"/>
      <c r="AA105" s="116"/>
      <c r="AB105" s="120"/>
      <c r="AC105" s="116"/>
      <c r="AD105" s="120"/>
      <c r="AE105" s="116"/>
      <c r="AF105" s="116"/>
      <c r="AG105" s="116"/>
      <c r="AH105" s="116"/>
      <c r="AI105" s="116"/>
      <c r="AJ105" s="116"/>
      <c r="AK105" s="116"/>
      <c r="AL105" s="122"/>
      <c r="AM105" s="116"/>
      <c r="AN105" s="120"/>
      <c r="AO105" s="120"/>
      <c r="AP105" s="116"/>
      <c r="AQ105" s="116"/>
      <c r="AR105" s="116"/>
      <c r="AS105" s="116"/>
      <c r="AT105" s="116"/>
      <c r="AU105" s="116"/>
      <c r="AV105" s="120"/>
      <c r="AW105" s="116"/>
      <c r="AX105" s="123" t="str">
        <f t="shared" si="31"/>
        <v/>
      </c>
      <c r="AY105" s="123" t="str">
        <f t="shared" si="32"/>
        <v/>
      </c>
      <c r="AZ105" s="123" t="str">
        <f t="shared" si="33"/>
        <v/>
      </c>
      <c r="BA105" s="124" t="str">
        <f t="shared" si="34"/>
        <v/>
      </c>
      <c r="BB105" s="125" t="str">
        <f t="shared" si="35"/>
        <v/>
      </c>
      <c r="BC105" s="126" t="str">
        <f t="shared" si="36"/>
        <v/>
      </c>
      <c r="BD105" s="123">
        <f t="shared" si="24"/>
        <v>0</v>
      </c>
      <c r="BE105" s="123">
        <f t="shared" si="25"/>
        <v>0</v>
      </c>
      <c r="BF105" s="123">
        <f t="shared" si="26"/>
        <v>0</v>
      </c>
      <c r="BG105" s="123">
        <f t="shared" si="27"/>
        <v>0</v>
      </c>
      <c r="BH105" s="123">
        <f t="shared" si="28"/>
        <v>0</v>
      </c>
      <c r="BI105" s="123">
        <f t="shared" si="29"/>
        <v>0</v>
      </c>
      <c r="BJ105" s="127"/>
      <c r="BN105" s="43" t="str">
        <f t="shared" si="37"/>
        <v/>
      </c>
      <c r="BO105" s="43" t="str">
        <f t="shared" si="38"/>
        <v/>
      </c>
      <c r="BP105" s="43" t="str">
        <f t="shared" si="39"/>
        <v/>
      </c>
      <c r="BQ105" s="43" t="str">
        <f t="shared" si="40"/>
        <v/>
      </c>
      <c r="BR105" s="43" t="str">
        <f t="shared" si="41"/>
        <v/>
      </c>
      <c r="BS105" s="43" t="str">
        <f t="shared" si="42"/>
        <v/>
      </c>
      <c r="BT105" s="43" t="str">
        <f t="shared" si="43"/>
        <v/>
      </c>
      <c r="BU105" s="1" t="str">
        <f t="shared" si="44"/>
        <v/>
      </c>
    </row>
    <row r="106" spans="1:73">
      <c r="A106" s="115">
        <f t="shared" si="23"/>
        <v>97</v>
      </c>
      <c r="B106" s="116"/>
      <c r="C106" s="117"/>
      <c r="D106" s="109"/>
      <c r="E106" s="118"/>
      <c r="F106" s="118"/>
      <c r="G106" s="119" t="str">
        <f t="shared" si="30"/>
        <v/>
      </c>
      <c r="H106" s="116"/>
      <c r="I106" s="116"/>
      <c r="J106" s="116"/>
      <c r="K106" s="116"/>
      <c r="L106" s="120"/>
      <c r="M106" s="116"/>
      <c r="N106" s="116"/>
      <c r="O106" s="116"/>
      <c r="P106" s="116"/>
      <c r="Q106" s="116"/>
      <c r="R106" s="116"/>
      <c r="S106" s="116"/>
      <c r="T106" s="116"/>
      <c r="U106" s="116"/>
      <c r="V106" s="116"/>
      <c r="W106" s="116"/>
      <c r="X106" s="121"/>
      <c r="Y106" s="116"/>
      <c r="Z106" s="116"/>
      <c r="AA106" s="116"/>
      <c r="AB106" s="120"/>
      <c r="AC106" s="116"/>
      <c r="AD106" s="120"/>
      <c r="AE106" s="116"/>
      <c r="AF106" s="116"/>
      <c r="AG106" s="116"/>
      <c r="AH106" s="116"/>
      <c r="AI106" s="116"/>
      <c r="AJ106" s="116"/>
      <c r="AK106" s="116"/>
      <c r="AL106" s="122"/>
      <c r="AM106" s="116"/>
      <c r="AN106" s="120"/>
      <c r="AO106" s="120"/>
      <c r="AP106" s="116"/>
      <c r="AQ106" s="116"/>
      <c r="AR106" s="116"/>
      <c r="AS106" s="116"/>
      <c r="AT106" s="116"/>
      <c r="AU106" s="116"/>
      <c r="AV106" s="120"/>
      <c r="AW106" s="116"/>
      <c r="AX106" s="123" t="str">
        <f t="shared" si="31"/>
        <v/>
      </c>
      <c r="AY106" s="123" t="str">
        <f t="shared" si="32"/>
        <v/>
      </c>
      <c r="AZ106" s="123" t="str">
        <f t="shared" si="33"/>
        <v/>
      </c>
      <c r="BA106" s="124" t="str">
        <f t="shared" si="34"/>
        <v/>
      </c>
      <c r="BB106" s="125" t="str">
        <f t="shared" si="35"/>
        <v/>
      </c>
      <c r="BC106" s="126" t="str">
        <f t="shared" si="36"/>
        <v/>
      </c>
      <c r="BD106" s="123">
        <f t="shared" si="24"/>
        <v>0</v>
      </c>
      <c r="BE106" s="123">
        <f t="shared" si="25"/>
        <v>0</v>
      </c>
      <c r="BF106" s="123">
        <f t="shared" si="26"/>
        <v>0</v>
      </c>
      <c r="BG106" s="123">
        <f t="shared" si="27"/>
        <v>0</v>
      </c>
      <c r="BH106" s="123">
        <f t="shared" si="28"/>
        <v>0</v>
      </c>
      <c r="BI106" s="123">
        <f t="shared" si="29"/>
        <v>0</v>
      </c>
      <c r="BJ106" s="127"/>
      <c r="BN106" s="43" t="str">
        <f t="shared" si="37"/>
        <v/>
      </c>
      <c r="BO106" s="43" t="str">
        <f t="shared" si="38"/>
        <v/>
      </c>
      <c r="BP106" s="43" t="str">
        <f t="shared" si="39"/>
        <v/>
      </c>
      <c r="BQ106" s="43" t="str">
        <f t="shared" si="40"/>
        <v/>
      </c>
      <c r="BR106" s="43" t="str">
        <f t="shared" si="41"/>
        <v/>
      </c>
      <c r="BS106" s="43" t="str">
        <f t="shared" si="42"/>
        <v/>
      </c>
      <c r="BT106" s="43" t="str">
        <f t="shared" si="43"/>
        <v/>
      </c>
      <c r="BU106" s="1" t="str">
        <f t="shared" si="44"/>
        <v/>
      </c>
    </row>
    <row r="107" spans="1:73">
      <c r="A107" s="115">
        <f t="shared" si="23"/>
        <v>98</v>
      </c>
      <c r="B107" s="116"/>
      <c r="C107" s="117"/>
      <c r="D107" s="109"/>
      <c r="E107" s="118"/>
      <c r="F107" s="118"/>
      <c r="G107" s="119" t="str">
        <f t="shared" si="30"/>
        <v/>
      </c>
      <c r="H107" s="116"/>
      <c r="I107" s="116"/>
      <c r="J107" s="116"/>
      <c r="K107" s="116"/>
      <c r="L107" s="120"/>
      <c r="M107" s="116"/>
      <c r="N107" s="116"/>
      <c r="O107" s="116"/>
      <c r="P107" s="116"/>
      <c r="Q107" s="116"/>
      <c r="R107" s="116"/>
      <c r="S107" s="116"/>
      <c r="T107" s="116"/>
      <c r="U107" s="116"/>
      <c r="V107" s="116"/>
      <c r="W107" s="116"/>
      <c r="X107" s="121"/>
      <c r="Y107" s="116"/>
      <c r="Z107" s="116"/>
      <c r="AA107" s="116"/>
      <c r="AB107" s="120"/>
      <c r="AC107" s="116"/>
      <c r="AD107" s="120"/>
      <c r="AE107" s="116"/>
      <c r="AF107" s="116"/>
      <c r="AG107" s="116"/>
      <c r="AH107" s="116"/>
      <c r="AI107" s="116"/>
      <c r="AJ107" s="116"/>
      <c r="AK107" s="116"/>
      <c r="AL107" s="122"/>
      <c r="AM107" s="116"/>
      <c r="AN107" s="120"/>
      <c r="AO107" s="120"/>
      <c r="AP107" s="116"/>
      <c r="AQ107" s="116"/>
      <c r="AR107" s="116"/>
      <c r="AS107" s="116"/>
      <c r="AT107" s="116"/>
      <c r="AU107" s="116"/>
      <c r="AV107" s="120"/>
      <c r="AW107" s="116"/>
      <c r="AX107" s="123" t="str">
        <f t="shared" si="31"/>
        <v/>
      </c>
      <c r="AY107" s="123" t="str">
        <f t="shared" si="32"/>
        <v/>
      </c>
      <c r="AZ107" s="123" t="str">
        <f t="shared" si="33"/>
        <v/>
      </c>
      <c r="BA107" s="124" t="str">
        <f t="shared" si="34"/>
        <v/>
      </c>
      <c r="BB107" s="125" t="str">
        <f t="shared" si="35"/>
        <v/>
      </c>
      <c r="BC107" s="126" t="str">
        <f t="shared" si="36"/>
        <v/>
      </c>
      <c r="BD107" s="123">
        <f t="shared" si="24"/>
        <v>0</v>
      </c>
      <c r="BE107" s="123">
        <f t="shared" si="25"/>
        <v>0</v>
      </c>
      <c r="BF107" s="123">
        <f t="shared" si="26"/>
        <v>0</v>
      </c>
      <c r="BG107" s="123">
        <f t="shared" si="27"/>
        <v>0</v>
      </c>
      <c r="BH107" s="123">
        <f t="shared" si="28"/>
        <v>0</v>
      </c>
      <c r="BI107" s="123">
        <f t="shared" si="29"/>
        <v>0</v>
      </c>
      <c r="BJ107" s="127"/>
      <c r="BN107" s="43" t="str">
        <f t="shared" si="37"/>
        <v/>
      </c>
      <c r="BO107" s="43" t="str">
        <f t="shared" si="38"/>
        <v/>
      </c>
      <c r="BP107" s="43" t="str">
        <f t="shared" si="39"/>
        <v/>
      </c>
      <c r="BQ107" s="43" t="str">
        <f t="shared" si="40"/>
        <v/>
      </c>
      <c r="BR107" s="43" t="str">
        <f t="shared" si="41"/>
        <v/>
      </c>
      <c r="BS107" s="43" t="str">
        <f t="shared" si="42"/>
        <v/>
      </c>
      <c r="BT107" s="43" t="str">
        <f t="shared" si="43"/>
        <v/>
      </c>
      <c r="BU107" s="1" t="str">
        <f t="shared" si="44"/>
        <v/>
      </c>
    </row>
    <row r="108" spans="1:73">
      <c r="A108" s="115">
        <f t="shared" si="23"/>
        <v>99</v>
      </c>
      <c r="B108" s="116"/>
      <c r="C108" s="117"/>
      <c r="D108" s="109"/>
      <c r="E108" s="118"/>
      <c r="F108" s="118"/>
      <c r="G108" s="119" t="str">
        <f t="shared" si="30"/>
        <v/>
      </c>
      <c r="H108" s="116"/>
      <c r="I108" s="116"/>
      <c r="J108" s="116"/>
      <c r="K108" s="116"/>
      <c r="L108" s="120"/>
      <c r="M108" s="116"/>
      <c r="N108" s="116"/>
      <c r="O108" s="116"/>
      <c r="P108" s="116"/>
      <c r="Q108" s="116"/>
      <c r="R108" s="116"/>
      <c r="S108" s="116"/>
      <c r="T108" s="116"/>
      <c r="U108" s="116"/>
      <c r="V108" s="116"/>
      <c r="W108" s="116"/>
      <c r="X108" s="121"/>
      <c r="Y108" s="116"/>
      <c r="Z108" s="116"/>
      <c r="AA108" s="116"/>
      <c r="AB108" s="120"/>
      <c r="AC108" s="116"/>
      <c r="AD108" s="120"/>
      <c r="AE108" s="116"/>
      <c r="AF108" s="116"/>
      <c r="AG108" s="116"/>
      <c r="AH108" s="116"/>
      <c r="AI108" s="116"/>
      <c r="AJ108" s="116"/>
      <c r="AK108" s="116"/>
      <c r="AL108" s="122"/>
      <c r="AM108" s="116"/>
      <c r="AN108" s="120"/>
      <c r="AO108" s="120"/>
      <c r="AP108" s="116"/>
      <c r="AQ108" s="116"/>
      <c r="AR108" s="116"/>
      <c r="AS108" s="116"/>
      <c r="AT108" s="116"/>
      <c r="AU108" s="116"/>
      <c r="AV108" s="120"/>
      <c r="AW108" s="116"/>
      <c r="AX108" s="123" t="str">
        <f t="shared" si="31"/>
        <v/>
      </c>
      <c r="AY108" s="123" t="str">
        <f t="shared" si="32"/>
        <v/>
      </c>
      <c r="AZ108" s="123" t="str">
        <f t="shared" si="33"/>
        <v/>
      </c>
      <c r="BA108" s="124" t="str">
        <f t="shared" si="34"/>
        <v/>
      </c>
      <c r="BB108" s="125" t="str">
        <f t="shared" si="35"/>
        <v/>
      </c>
      <c r="BC108" s="126" t="str">
        <f t="shared" si="36"/>
        <v/>
      </c>
      <c r="BD108" s="123">
        <f t="shared" si="24"/>
        <v>0</v>
      </c>
      <c r="BE108" s="123">
        <f t="shared" si="25"/>
        <v>0</v>
      </c>
      <c r="BF108" s="123">
        <f t="shared" si="26"/>
        <v>0</v>
      </c>
      <c r="BG108" s="123">
        <f t="shared" si="27"/>
        <v>0</v>
      </c>
      <c r="BH108" s="123">
        <f t="shared" si="28"/>
        <v>0</v>
      </c>
      <c r="BI108" s="123">
        <f t="shared" si="29"/>
        <v>0</v>
      </c>
      <c r="BJ108" s="127"/>
      <c r="BN108" s="43" t="str">
        <f t="shared" si="37"/>
        <v/>
      </c>
      <c r="BO108" s="43" t="str">
        <f t="shared" si="38"/>
        <v/>
      </c>
      <c r="BP108" s="43" t="str">
        <f t="shared" si="39"/>
        <v/>
      </c>
      <c r="BQ108" s="43" t="str">
        <f t="shared" si="40"/>
        <v/>
      </c>
      <c r="BR108" s="43" t="str">
        <f t="shared" si="41"/>
        <v/>
      </c>
      <c r="BS108" s="43" t="str">
        <f t="shared" si="42"/>
        <v/>
      </c>
      <c r="BT108" s="43" t="str">
        <f t="shared" si="43"/>
        <v/>
      </c>
      <c r="BU108" s="1" t="str">
        <f t="shared" si="44"/>
        <v/>
      </c>
    </row>
    <row r="109" spans="1:73" ht="15" thickBot="1">
      <c r="A109" s="128">
        <v>100</v>
      </c>
      <c r="B109" s="129"/>
      <c r="C109" s="130"/>
      <c r="D109" s="131"/>
      <c r="E109" s="132"/>
      <c r="F109" s="132"/>
      <c r="G109" s="133" t="str">
        <f t="shared" si="30"/>
        <v/>
      </c>
      <c r="H109" s="129"/>
      <c r="I109" s="129"/>
      <c r="J109" s="129"/>
      <c r="K109" s="129"/>
      <c r="L109" s="134"/>
      <c r="M109" s="129"/>
      <c r="N109" s="129"/>
      <c r="O109" s="129"/>
      <c r="P109" s="129"/>
      <c r="Q109" s="129"/>
      <c r="R109" s="129"/>
      <c r="S109" s="129"/>
      <c r="T109" s="129"/>
      <c r="U109" s="129"/>
      <c r="V109" s="129"/>
      <c r="W109" s="129"/>
      <c r="X109" s="135"/>
      <c r="Y109" s="129"/>
      <c r="Z109" s="129"/>
      <c r="AA109" s="129"/>
      <c r="AB109" s="134"/>
      <c r="AC109" s="129"/>
      <c r="AD109" s="134"/>
      <c r="AE109" s="129"/>
      <c r="AF109" s="129"/>
      <c r="AG109" s="129"/>
      <c r="AH109" s="129"/>
      <c r="AI109" s="129"/>
      <c r="AJ109" s="129"/>
      <c r="AK109" s="129"/>
      <c r="AL109" s="136"/>
      <c r="AM109" s="129"/>
      <c r="AN109" s="134"/>
      <c r="AO109" s="134"/>
      <c r="AP109" s="129"/>
      <c r="AQ109" s="129"/>
      <c r="AR109" s="129"/>
      <c r="AS109" s="129"/>
      <c r="AT109" s="129"/>
      <c r="AU109" s="129"/>
      <c r="AV109" s="134"/>
      <c r="AW109" s="129"/>
      <c r="AX109" s="137" t="str">
        <f t="shared" si="31"/>
        <v/>
      </c>
      <c r="AY109" s="137" t="str">
        <f t="shared" si="32"/>
        <v/>
      </c>
      <c r="AZ109" s="137" t="str">
        <f t="shared" si="33"/>
        <v/>
      </c>
      <c r="BA109" s="138" t="str">
        <f t="shared" si="34"/>
        <v/>
      </c>
      <c r="BB109" s="139" t="str">
        <f t="shared" si="35"/>
        <v/>
      </c>
      <c r="BC109" s="140" t="str">
        <f t="shared" si="36"/>
        <v/>
      </c>
      <c r="BD109" s="137">
        <f t="shared" si="24"/>
        <v>0</v>
      </c>
      <c r="BE109" s="137">
        <f t="shared" si="25"/>
        <v>0</v>
      </c>
      <c r="BF109" s="137">
        <f t="shared" si="26"/>
        <v>0</v>
      </c>
      <c r="BG109" s="137">
        <f t="shared" si="27"/>
        <v>0</v>
      </c>
      <c r="BH109" s="137">
        <f t="shared" si="28"/>
        <v>0</v>
      </c>
      <c r="BI109" s="137">
        <f t="shared" si="29"/>
        <v>0</v>
      </c>
      <c r="BJ109" s="141">
        <v>0</v>
      </c>
      <c r="BN109" s="43" t="str">
        <f t="shared" si="37"/>
        <v/>
      </c>
      <c r="BO109" s="43" t="str">
        <f t="shared" si="38"/>
        <v/>
      </c>
      <c r="BP109" s="43" t="str">
        <f t="shared" si="39"/>
        <v/>
      </c>
      <c r="BQ109" s="43" t="str">
        <f t="shared" si="40"/>
        <v/>
      </c>
      <c r="BR109" s="43" t="str">
        <f t="shared" si="41"/>
        <v/>
      </c>
      <c r="BS109" s="43" t="str">
        <f t="shared" si="42"/>
        <v/>
      </c>
      <c r="BT109" s="43" t="str">
        <f t="shared" si="43"/>
        <v/>
      </c>
      <c r="BU109" s="1" t="str">
        <f t="shared" si="44"/>
        <v/>
      </c>
    </row>
    <row r="110" spans="1:73">
      <c r="E110" s="142"/>
      <c r="F110" s="142"/>
    </row>
    <row r="111" spans="1:73">
      <c r="E111" s="142"/>
      <c r="F111" s="142"/>
    </row>
    <row r="112" spans="1:73" ht="15" customHeight="1">
      <c r="E112" s="142"/>
      <c r="F112" s="142"/>
    </row>
    <row r="113"/>
    <row r="114"/>
  </sheetData>
  <sheetProtection algorithmName="SHA-512" hashValue="kqSZbtyPgdKAQjpDaTjDlBoTOAn41i12q+ZslQpjWsyfpR8WVx6C6do6gvmnMxcdPovFAWDI8lWdIHmM6m+Rfg==" saltValue="6pXDQQ1bUQbLVVTlp7khYA==" spinCount="100000" sheet="1" objects="1" scenarios="1" formatColumns="0" formatRows="0" selectLockedCells="1"/>
  <mergeCells count="46">
    <mergeCell ref="BU7:BU8"/>
    <mergeCell ref="BR5:BT6"/>
    <mergeCell ref="BN7:BN8"/>
    <mergeCell ref="BO7:BO8"/>
    <mergeCell ref="BP7:BP8"/>
    <mergeCell ref="BR7:BR8"/>
    <mergeCell ref="BS7:BS8"/>
    <mergeCell ref="BT7:BT8"/>
    <mergeCell ref="BQ7:BQ8"/>
    <mergeCell ref="A9:G9"/>
    <mergeCell ref="BN5:BP6"/>
    <mergeCell ref="BD7:BD8"/>
    <mergeCell ref="BE7:BE8"/>
    <mergeCell ref="BF7:BF8"/>
    <mergeCell ref="Z6:AD6"/>
    <mergeCell ref="AM6:AR6"/>
    <mergeCell ref="AX6:AZ6"/>
    <mergeCell ref="AX7:AX8"/>
    <mergeCell ref="AY7:AY8"/>
    <mergeCell ref="AZ7:AZ8"/>
    <mergeCell ref="D7:E7"/>
    <mergeCell ref="F7:G7"/>
    <mergeCell ref="BD5:BF6"/>
    <mergeCell ref="BG5:BI6"/>
    <mergeCell ref="BG7:BG8"/>
    <mergeCell ref="A4:B4"/>
    <mergeCell ref="A5:B5"/>
    <mergeCell ref="A6:B6"/>
    <mergeCell ref="D6:E6"/>
    <mergeCell ref="F6:I6"/>
    <mergeCell ref="D5:AZ5"/>
    <mergeCell ref="J6:L6"/>
    <mergeCell ref="M6:R6"/>
    <mergeCell ref="S6:W6"/>
    <mergeCell ref="BH7:BH8"/>
    <mergeCell ref="BI7:BI8"/>
    <mergeCell ref="AV2:AW2"/>
    <mergeCell ref="AV3:AW3"/>
    <mergeCell ref="AS6:AT6"/>
    <mergeCell ref="BA5:BC7"/>
    <mergeCell ref="H7:AW7"/>
    <mergeCell ref="AU6:AW6"/>
    <mergeCell ref="AE6:AF6"/>
    <mergeCell ref="AJ6:AL6"/>
    <mergeCell ref="X6:Y6"/>
    <mergeCell ref="AG6:AI6"/>
  </mergeCells>
  <conditionalFormatting sqref="C6">
    <cfRule type="containsText" dxfId="5" priority="32" operator="containsText" text="[enter school school id here]">
      <formula>NOT(ISERROR(SEARCH("[enter school school id here]",C6)))</formula>
    </cfRule>
  </conditionalFormatting>
  <conditionalFormatting sqref="C7">
    <cfRule type="containsText" dxfId="4" priority="34" operator="containsText" text="[enter teacher name here]">
      <formula>NOT(ISERROR(SEARCH("[enter teacher name here]",C7)))</formula>
    </cfRule>
  </conditionalFormatting>
  <conditionalFormatting sqref="BC10:BI109">
    <cfRule type="containsText" dxfId="3" priority="7" operator="containsText" text="Emerging">
      <formula>NOT(ISERROR(SEARCH("Emerging",BC10)))</formula>
    </cfRule>
  </conditionalFormatting>
  <conditionalFormatting sqref="BN10:BT109">
    <cfRule type="containsText" dxfId="2" priority="2" operator="containsText" text="Emerging">
      <formula>NOT(ISERROR(SEARCH("Emerging",BN10)))</formula>
    </cfRule>
  </conditionalFormatting>
  <conditionalFormatting sqref="BU10">
    <cfRule type="containsText" dxfId="1" priority="1" operator="containsText" text="Emerging">
      <formula>NOT(ISERROR(SEARCH("Emerging",BU10)))</formula>
    </cfRule>
  </conditionalFormatting>
  <dataValidations count="13">
    <dataValidation type="whole" allowBlank="1" showInputMessage="1" showErrorMessage="1" error="Enter the 6-digit School ID" sqref="C6" xr:uid="{76A45308-7524-41EB-ACCE-FBD9D2967848}">
      <formula1>100000</formula1>
      <formula2>999999</formula2>
    </dataValidation>
    <dataValidation type="list" allowBlank="1" showInputMessage="1" showErrorMessage="1" sqref="D10:D109" xr:uid="{80BC7A6B-E6B0-4FEF-B7E8-757A458DA4A7}">
      <formula1>"Male, Female"</formula1>
    </dataValidation>
    <dataValidation type="date" errorStyle="warning" allowBlank="1" showInputMessage="1" showErrorMessage="1" error="Enter the Date of Assessment in Correct Format (mm/dd/yy)" sqref="F10:F109" xr:uid="{72CBBCA9-6CA2-4AEA-B71E-CA182B544CB1}">
      <formula1>44197</formula1>
      <formula2>55153</formula2>
    </dataValidation>
    <dataValidation allowBlank="1" showInputMessage="1" showErrorMessage="1" error="Enter the 6-digit School ID" sqref="D6:E6" xr:uid="{D756ADE7-3C47-4900-B41C-B6696876F693}"/>
    <dataValidation type="date" operator="greaterThan" allowBlank="1" showInputMessage="1" showErrorMessage="1" sqref="E10:E109" xr:uid="{433E98AE-1305-416A-9A61-B79850C7505C}">
      <formula1>29220</formula1>
    </dataValidation>
    <dataValidation type="list" allowBlank="1" showInputMessage="1" showErrorMessage="1" sqref="C4" xr:uid="{D777E5BA-2787-4DC7-8EBE-566AE6A9A454}">
      <formula1>"BoSY, EoSY"</formula1>
    </dataValidation>
    <dataValidation type="list" allowBlank="1" showInputMessage="1" showErrorMessage="1" sqref="C7" xr:uid="{A8FC2CDE-022D-449D-B2EE-7ADD8EB2D3D8}">
      <formula1>"Grade 4, Grade 5, Grade 6"</formula1>
    </dataValidation>
    <dataValidation errorStyle="warning" allowBlank="1" showInputMessage="1" showErrorMessage="1" error="Enter the Date of Assessment in Correct Format (mm/dd/yy)" sqref="G10:G109" xr:uid="{ECCCEA35-96AA-4DD9-9BE4-62689C2B334D}"/>
    <dataValidation type="whole" allowBlank="1" showInputMessage="1" showErrorMessage="1" error="Score : 1 point" prompt="Score : 1 point" sqref="H110:K114" xr:uid="{1C87915B-6CDA-45F6-9322-EC79B4CA29BD}">
      <formula1>0</formula1>
      <formula2>1</formula2>
    </dataValidation>
    <dataValidation type="whole" allowBlank="1" showErrorMessage="1" error="Score : 1 point Only" sqref="H10:K109" xr:uid="{15DE87D3-2814-4108-B736-6864D321A882}">
      <formula1>0</formula1>
      <formula2>1</formula2>
    </dataValidation>
    <dataValidation type="whole" allowBlank="1" showErrorMessage="1" error="Score: 1 point Only" sqref="Y10:AA109 AP10:AU109 AE10:AM109 AC10:AC109 M10:W109 AW10:AW109" xr:uid="{C7C5F3A4-C86B-4F89-8DE9-0CC52C707FCB}">
      <formula1>0</formula1>
      <formula2>1</formula2>
    </dataValidation>
    <dataValidation type="whole" allowBlank="1" showErrorMessage="1" error="Total Points : 2" sqref="AB10:AB109 AV10:AV109 AN10:AO109 L10:L109 AD10:AD109" xr:uid="{26E93B4A-2535-4BE7-B5A0-44B18D59BF74}">
      <formula1>0</formula1>
      <formula2>2</formula2>
    </dataValidation>
    <dataValidation type="whole" allowBlank="1" showErrorMessage="1" error="Max Score: 3 points" sqref="X10:X109" xr:uid="{ADC498CF-C495-42DE-9786-A49093DF2892}">
      <formula1>0</formula1>
      <formula2>3</formula2>
    </dataValidation>
  </dataValidations>
  <pageMargins left="0.7" right="0.7" top="0.75" bottom="0.75" header="0.3" footer="0.3"/>
  <pageSetup paperSize="14" scale="45"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50B1022-DEC9-4E0E-8558-C4009ABA09ED}">
          <x14:formula1>
            <xm:f>List!$B$2:$B$19</xm:f>
          </x14:formula1>
          <xm:sqref>C5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B33B-A961-41C5-95A7-E7110ADD0BF4}">
  <sheetPr codeName="Sheet4"/>
  <dimension ref="B1:B19"/>
  <sheetViews>
    <sheetView workbookViewId="0">
      <selection activeCell="E16" sqref="E16"/>
    </sheetView>
  </sheetViews>
  <sheetFormatPr defaultRowHeight="14.45"/>
  <cols>
    <col min="2" max="2" width="22.7109375" customWidth="1"/>
  </cols>
  <sheetData>
    <row r="1" spans="2:2">
      <c r="B1" s="4" t="s">
        <v>96</v>
      </c>
    </row>
    <row r="2" spans="2:2">
      <c r="B2" t="s">
        <v>97</v>
      </c>
    </row>
    <row r="3" spans="2:2">
      <c r="B3" t="s">
        <v>98</v>
      </c>
    </row>
    <row r="4" spans="2:2">
      <c r="B4" t="s">
        <v>99</v>
      </c>
    </row>
    <row r="5" spans="2:2">
      <c r="B5" t="s">
        <v>100</v>
      </c>
    </row>
    <row r="6" spans="2:2">
      <c r="B6" t="s">
        <v>101</v>
      </c>
    </row>
    <row r="7" spans="2:2">
      <c r="B7" t="s">
        <v>102</v>
      </c>
    </row>
    <row r="8" spans="2:2">
      <c r="B8" t="s">
        <v>103</v>
      </c>
    </row>
    <row r="9" spans="2:2">
      <c r="B9" t="s">
        <v>104</v>
      </c>
    </row>
    <row r="10" spans="2:2">
      <c r="B10" t="s">
        <v>105</v>
      </c>
    </row>
    <row r="11" spans="2:2">
      <c r="B11" t="s">
        <v>106</v>
      </c>
    </row>
    <row r="12" spans="2:2">
      <c r="B12" t="s">
        <v>107</v>
      </c>
    </row>
    <row r="13" spans="2:2">
      <c r="B13" t="s">
        <v>108</v>
      </c>
    </row>
    <row r="14" spans="2:2">
      <c r="B14" t="s">
        <v>109</v>
      </c>
    </row>
    <row r="15" spans="2:2">
      <c r="B15" t="s">
        <v>110</v>
      </c>
    </row>
    <row r="16" spans="2:2">
      <c r="B16" t="s">
        <v>111</v>
      </c>
    </row>
    <row r="17" spans="2:2">
      <c r="B17" t="s">
        <v>112</v>
      </c>
    </row>
    <row r="18" spans="2:2">
      <c r="B18" t="s">
        <v>4</v>
      </c>
    </row>
    <row r="19" spans="2:2">
      <c r="B19" t="s">
        <v>113</v>
      </c>
    </row>
  </sheetData>
  <autoFilter ref="B1:B41" xr:uid="{1178B33B-A961-41C5-95A7-E7110ADD0BF4}"/>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19565-2417-4E71-A27E-F892CDC9EB34}">
  <sheetPr codeName="Sheet3"/>
  <dimension ref="A1:AB22"/>
  <sheetViews>
    <sheetView showGridLines="0" tabSelected="1" zoomScale="83" zoomScaleNormal="83" workbookViewId="0">
      <pane ySplit="7" topLeftCell="A8" activePane="bottomLeft" state="frozen"/>
      <selection pane="bottomLeft" activeCell="E15" sqref="E15"/>
    </sheetView>
  </sheetViews>
  <sheetFormatPr defaultColWidth="0" defaultRowHeight="14.45"/>
  <cols>
    <col min="1" max="1" width="18.28515625" customWidth="1"/>
    <col min="2" max="2" width="17.7109375" customWidth="1"/>
    <col min="3" max="3" width="12.42578125" customWidth="1"/>
    <col min="4" max="4" width="12.7109375" customWidth="1"/>
    <col min="5" max="5" width="11.28515625" customWidth="1"/>
    <col min="6" max="6" width="12.7109375" customWidth="1"/>
    <col min="7" max="7" width="12.28515625" customWidth="1"/>
    <col min="8" max="8" width="14.7109375" customWidth="1"/>
    <col min="9" max="9" width="12.28515625" customWidth="1"/>
    <col min="10" max="10" width="14.5703125" customWidth="1"/>
    <col min="11" max="11" width="8.28515625" style="1" customWidth="1"/>
    <col min="12" max="12" width="9.5703125" style="1" customWidth="1"/>
    <col min="13" max="15" width="8.28515625" style="1" customWidth="1"/>
    <col min="16" max="16" width="8.28515625" style="1" hidden="1" customWidth="1"/>
    <col min="17" max="17" width="8.28515625" style="1" customWidth="1"/>
    <col min="18" max="18" width="9.42578125" style="1" customWidth="1"/>
    <col min="19" max="19" width="8.28515625" style="1" customWidth="1"/>
    <col min="20" max="21" width="8.85546875" customWidth="1"/>
    <col min="22" max="24" width="8.85546875" hidden="1" customWidth="1"/>
    <col min="25" max="28" width="0" hidden="1" customWidth="1"/>
    <col min="29" max="16384" width="8.85546875" hidden="1"/>
  </cols>
  <sheetData>
    <row r="1" spans="1:19">
      <c r="A1" t="str">
        <f>'RMAKS2 Scoresheet'!$BJ$1</f>
        <v>RMAKS2v4</v>
      </c>
    </row>
    <row r="2" spans="1:19" ht="15.6">
      <c r="A2" s="47" t="s">
        <v>114</v>
      </c>
      <c r="B2" s="47"/>
      <c r="C2" s="47"/>
      <c r="D2" s="47"/>
      <c r="E2" s="34"/>
      <c r="F2" s="34"/>
      <c r="G2" s="34"/>
    </row>
    <row r="3" spans="1:19">
      <c r="J3" t="s">
        <v>115</v>
      </c>
    </row>
    <row r="4" spans="1:19">
      <c r="D4" s="1"/>
      <c r="E4" s="1"/>
      <c r="F4" s="1"/>
      <c r="G4" s="1"/>
    </row>
    <row r="5" spans="1:19" ht="15.6">
      <c r="A5" s="49" t="s">
        <v>116</v>
      </c>
      <c r="B5" s="165">
        <f>'RMAKS2 Scoresheet'!$C$6</f>
        <v>117443</v>
      </c>
      <c r="C5" s="165"/>
      <c r="D5" s="50" t="s">
        <v>21</v>
      </c>
      <c r="E5" s="51">
        <f>'RMAKS2 Scoresheet'!$AJ$6</f>
        <v>24</v>
      </c>
      <c r="F5" s="52"/>
      <c r="G5" s="164" t="s">
        <v>117</v>
      </c>
      <c r="H5" s="164"/>
      <c r="I5" s="53">
        <f>$D$14</f>
        <v>24</v>
      </c>
    </row>
    <row r="6" spans="1:19" ht="15.6">
      <c r="A6" s="49" t="s">
        <v>118</v>
      </c>
      <c r="B6" s="165" t="str">
        <f>'RMAKS2 Scoresheet'!$F$6</f>
        <v>ROMANA ES</v>
      </c>
      <c r="C6" s="165"/>
      <c r="D6" s="50" t="s">
        <v>119</v>
      </c>
      <c r="E6" s="165" t="str">
        <f>'RMAKS2 Scoresheet'!$M$6</f>
        <v>RAMONA B. PUNZALAN</v>
      </c>
      <c r="F6" s="165"/>
      <c r="G6" s="164" t="s">
        <v>120</v>
      </c>
      <c r="H6" s="164"/>
      <c r="I6" s="53">
        <f>'RMAKS2 Scoresheet'!$AJ$6</f>
        <v>24</v>
      </c>
    </row>
    <row r="7" spans="1:19" ht="15" thickBot="1">
      <c r="A7" s="2"/>
      <c r="B7" s="44"/>
      <c r="C7" s="44"/>
      <c r="D7" s="1"/>
      <c r="E7" s="1"/>
      <c r="F7" s="32"/>
      <c r="G7" s="32"/>
      <c r="H7" s="33"/>
      <c r="I7" s="33"/>
      <c r="J7" s="33"/>
      <c r="K7" s="32"/>
      <c r="L7" s="32"/>
      <c r="M7" s="32"/>
      <c r="N7" s="32"/>
      <c r="O7" s="32"/>
      <c r="P7" s="32"/>
      <c r="Q7" s="32"/>
      <c r="R7" s="32"/>
      <c r="S7" s="32"/>
    </row>
    <row r="8" spans="1:19" ht="17.45" customHeight="1" thickBot="1">
      <c r="A8" s="40"/>
      <c r="B8" s="39"/>
      <c r="C8" s="39"/>
      <c r="D8" s="32"/>
      <c r="E8" s="32"/>
      <c r="F8" s="166" t="s">
        <v>121</v>
      </c>
      <c r="G8" s="167"/>
      <c r="H8" s="167"/>
      <c r="I8" s="167"/>
      <c r="J8" s="167"/>
      <c r="K8" s="144" t="s">
        <v>122</v>
      </c>
      <c r="L8" s="144"/>
      <c r="M8" s="144"/>
      <c r="N8" s="144"/>
      <c r="O8" s="144"/>
      <c r="P8" s="144"/>
      <c r="Q8" s="144"/>
      <c r="R8" s="144"/>
      <c r="S8" s="145"/>
    </row>
    <row r="9" spans="1:19" ht="14.45" customHeight="1">
      <c r="A9" s="148" t="s">
        <v>123</v>
      </c>
      <c r="B9" s="170" t="s">
        <v>21</v>
      </c>
      <c r="C9" s="170" t="s">
        <v>35</v>
      </c>
      <c r="D9" s="150" t="s">
        <v>124</v>
      </c>
      <c r="E9" s="152" t="s">
        <v>125</v>
      </c>
      <c r="F9" s="168"/>
      <c r="G9" s="169"/>
      <c r="H9" s="169"/>
      <c r="I9" s="169"/>
      <c r="J9" s="169"/>
      <c r="K9" s="157" t="s">
        <v>6</v>
      </c>
      <c r="L9" s="157"/>
      <c r="M9" s="157"/>
      <c r="N9" s="157"/>
      <c r="O9" s="157" t="s">
        <v>7</v>
      </c>
      <c r="P9" s="157"/>
      <c r="Q9" s="157"/>
      <c r="R9" s="157"/>
      <c r="S9" s="158"/>
    </row>
    <row r="10" spans="1:19" ht="41.45">
      <c r="A10" s="149"/>
      <c r="B10" s="171"/>
      <c r="C10" s="171"/>
      <c r="D10" s="151"/>
      <c r="E10" s="151"/>
      <c r="F10" s="6" t="s">
        <v>126</v>
      </c>
      <c r="G10" s="6" t="s">
        <v>127</v>
      </c>
      <c r="H10" s="6" t="s">
        <v>128</v>
      </c>
      <c r="I10" s="6" t="s">
        <v>129</v>
      </c>
      <c r="J10" s="6" t="s">
        <v>130</v>
      </c>
      <c r="K10" s="6" t="s">
        <v>131</v>
      </c>
      <c r="L10" s="6" t="s">
        <v>132</v>
      </c>
      <c r="M10" s="6" t="s">
        <v>133</v>
      </c>
      <c r="N10" s="6" t="s">
        <v>15</v>
      </c>
      <c r="O10" s="6" t="s">
        <v>134</v>
      </c>
      <c r="P10" s="6" t="s">
        <v>135</v>
      </c>
      <c r="Q10" s="6" t="s">
        <v>136</v>
      </c>
      <c r="R10" s="6" t="s">
        <v>137</v>
      </c>
      <c r="S10" s="6" t="s">
        <v>15</v>
      </c>
    </row>
    <row r="11" spans="1:19" ht="24" customHeight="1">
      <c r="A11" s="9" t="str">
        <f>'RMAKS2 Scoresheet'!$C$7</f>
        <v>Grade 4</v>
      </c>
      <c r="B11" s="10">
        <f>'RMAKS2 Scoresheet'!$F$7</f>
        <v>1</v>
      </c>
      <c r="C11" s="10" t="s">
        <v>51</v>
      </c>
      <c r="D11" s="48">
        <f>'RMAKS2 Scoresheet'!$X$6</f>
        <v>14</v>
      </c>
      <c r="E11" s="11">
        <f>COUNTIFS('RMAKS2 Scoresheet'!$D$10:$D$109,$C11)</f>
        <v>14</v>
      </c>
      <c r="F11" s="11">
        <f>COUNTIFS('RMAKS2 Scoresheet'!$D$10:$D$109,$C11,'RMAKS2 Scoresheet'!$BC$10:$BC$109,F$10)</f>
        <v>1</v>
      </c>
      <c r="G11" s="11">
        <f>COUNTIFS('RMAKS2 Scoresheet'!$D$10:$D$109,$C11,'RMAKS2 Scoresheet'!$BC$10:$BC$109,G$10)</f>
        <v>4</v>
      </c>
      <c r="H11" s="12">
        <f>COUNTIFS('RMAKS2 Scoresheet'!$D$10:$D$109,$C11,'RMAKS2 Scoresheet'!$BC$10:$BC$109,H$10)</f>
        <v>7</v>
      </c>
      <c r="I11" s="13">
        <f>COUNTIFS('RMAKS2 Scoresheet'!$D$10:$D$109,$C11,'RMAKS2 Scoresheet'!$BC$10:$BC$109,I$10)</f>
        <v>2</v>
      </c>
      <c r="J11" s="13">
        <f>COUNTIFS('RMAKS2 Scoresheet'!$D$10:$D$109,$C11,'RMAKS2 Scoresheet'!$BC$10:$BC$109,J$10)</f>
        <v>0</v>
      </c>
      <c r="K11" s="42">
        <f>COUNTIFS('RMAKS2 Scoresheet'!$D$10:$D$109,$C11,'RMAKS2 Scoresheet'!BN$10:BN$109,1)</f>
        <v>1</v>
      </c>
      <c r="L11" s="42">
        <f>COUNTIFS('RMAKS2 Scoresheet'!$D$10:$D$109,$C11,'RMAKS2 Scoresheet'!BO$10:BO$109,1)</f>
        <v>0</v>
      </c>
      <c r="M11" s="42">
        <f>COUNTIFS('RMAKS2 Scoresheet'!$D$10:$D$109,$C11,'RMAKS2 Scoresheet'!BP$10:BP$109,1)</f>
        <v>8</v>
      </c>
      <c r="N11" s="42">
        <f>COUNTIFS('RMAKS2 Scoresheet'!$D$10:$D$109,$C11,'RMAKS2 Scoresheet'!BQ$10:BQ$109,1)</f>
        <v>1</v>
      </c>
      <c r="O11" s="42">
        <f>COUNTIFS('RMAKS2 Scoresheet'!$D$10:$D$109,$C11,'RMAKS2 Scoresheet'!BR$10:BR$109,1)</f>
        <v>7</v>
      </c>
      <c r="P11" s="42"/>
      <c r="Q11" s="42">
        <f>COUNTIFS('RMAKS2 Scoresheet'!$D$10:$D$109,$C11,'RMAKS2 Scoresheet'!BS$10:BS$109,1)</f>
        <v>1</v>
      </c>
      <c r="R11" s="42">
        <f>COUNTIFS('RMAKS2 Scoresheet'!$D$10:$D$109,$C11,'RMAKS2 Scoresheet'!BT$10:BT$109,1)</f>
        <v>3</v>
      </c>
      <c r="S11" s="42">
        <f>COUNTIFS('RMAKS2 Scoresheet'!$D$10:$D$109,$C11,'RMAKS2 Scoresheet'!BU$10:BU$109,1)</f>
        <v>1</v>
      </c>
    </row>
    <row r="12" spans="1:19" ht="19.899999999999999" customHeight="1">
      <c r="A12" s="9" t="str">
        <f>A11</f>
        <v>Grade 4</v>
      </c>
      <c r="B12" s="10">
        <f>B11</f>
        <v>1</v>
      </c>
      <c r="C12" s="10" t="s">
        <v>77</v>
      </c>
      <c r="D12" s="48">
        <f>'RMAKS2 Scoresheet'!$AE$6</f>
        <v>10</v>
      </c>
      <c r="E12" s="11">
        <f>COUNTIFS('RMAKS2 Scoresheet'!$D$10:$D$109,$C12)</f>
        <v>10</v>
      </c>
      <c r="F12" s="11">
        <f>COUNTIFS('RMAKS2 Scoresheet'!$D$10:$D$109,$C12,'RMAKS2 Scoresheet'!$BC$10:$BC$109,F$10)</f>
        <v>0</v>
      </c>
      <c r="G12" s="11">
        <f>COUNTIFS('RMAKS2 Scoresheet'!$D$10:$D$109,$C12,'RMAKS2 Scoresheet'!$BC$10:$BC$109,G$10)</f>
        <v>2</v>
      </c>
      <c r="H12" s="12">
        <f>COUNTIFS('RMAKS2 Scoresheet'!$D$10:$D$109,$C12,'RMAKS2 Scoresheet'!$BC$10:$BC$109,H$10)</f>
        <v>6</v>
      </c>
      <c r="I12" s="13">
        <f>COUNTIFS('RMAKS2 Scoresheet'!$D$10:$D$109,$C12,'RMAKS2 Scoresheet'!$BC$10:$BC$109,I$10)</f>
        <v>1</v>
      </c>
      <c r="J12" s="13">
        <f>COUNTIFS('RMAKS2 Scoresheet'!$D$10:$D$109,$C12,'RMAKS2 Scoresheet'!$BC$10:$BC$109,J$10)</f>
        <v>1</v>
      </c>
      <c r="K12" s="42">
        <f>COUNTIFS('RMAKS2 Scoresheet'!$D$10:$D$109,$C12,'RMAKS2 Scoresheet'!BN$10:BN$109,1)</f>
        <v>1</v>
      </c>
      <c r="L12" s="42">
        <f>COUNTIFS('RMAKS2 Scoresheet'!$D$10:$D$109,$C12,'RMAKS2 Scoresheet'!BO$10:BO$109,1)</f>
        <v>1</v>
      </c>
      <c r="M12" s="42">
        <f>COUNTIFS('RMAKS2 Scoresheet'!$D$10:$D$109,$C12,'RMAKS2 Scoresheet'!BP$10:BP$109,1)</f>
        <v>6</v>
      </c>
      <c r="N12" s="42">
        <f>COUNTIFS('RMAKS2 Scoresheet'!$D$10:$D$109,$C12,'RMAKS2 Scoresheet'!BQ$10:BQ$109,1)</f>
        <v>1</v>
      </c>
      <c r="O12" s="42">
        <f>COUNTIFS('RMAKS2 Scoresheet'!$D$10:$D$109,$C12,'RMAKS2 Scoresheet'!BR$10:BR$109,1)</f>
        <v>6</v>
      </c>
      <c r="P12" s="42"/>
      <c r="Q12" s="42">
        <f>COUNTIFS('RMAKS2 Scoresheet'!$D$10:$D$109,$C12,'RMAKS2 Scoresheet'!BS$10:BS$109,1)</f>
        <v>1</v>
      </c>
      <c r="R12" s="42">
        <f>COUNTIFS('RMAKS2 Scoresheet'!$D$10:$D$109,$C12,'RMAKS2 Scoresheet'!BT$10:BT$109,1)</f>
        <v>2</v>
      </c>
      <c r="S12" s="42">
        <f>COUNTIFS('RMAKS2 Scoresheet'!$D$10:$D$109,$C12,'RMAKS2 Scoresheet'!BU$10:BU$109,1)</f>
        <v>1</v>
      </c>
    </row>
    <row r="13" spans="1:19" ht="19.899999999999999" customHeight="1">
      <c r="A13" s="35"/>
      <c r="B13" s="35"/>
      <c r="C13" s="35"/>
      <c r="D13" s="36"/>
      <c r="E13" s="36"/>
      <c r="F13" s="36"/>
      <c r="G13" s="36"/>
      <c r="H13" s="37"/>
      <c r="I13" s="38"/>
      <c r="J13" s="38"/>
      <c r="K13" s="38"/>
      <c r="L13" s="38"/>
      <c r="M13" s="38"/>
      <c r="N13" s="38"/>
      <c r="O13" s="38"/>
      <c r="P13" s="38"/>
      <c r="Q13" s="38"/>
      <c r="R13" s="38"/>
      <c r="S13" s="38"/>
    </row>
    <row r="14" spans="1:19" ht="19.899999999999999" customHeight="1" thickBot="1">
      <c r="A14" s="27" t="str">
        <f>A12</f>
        <v>Grade 4</v>
      </c>
      <c r="B14" s="28">
        <f>B12</f>
        <v>1</v>
      </c>
      <c r="C14" s="28" t="s">
        <v>15</v>
      </c>
      <c r="D14" s="29">
        <f>D11+D12</f>
        <v>24</v>
      </c>
      <c r="E14" s="29">
        <f>E11+E12</f>
        <v>24</v>
      </c>
      <c r="F14" s="29">
        <f t="shared" ref="F14:G14" si="0">F11+F12</f>
        <v>1</v>
      </c>
      <c r="G14" s="29">
        <f t="shared" si="0"/>
        <v>6</v>
      </c>
      <c r="H14" s="30">
        <f t="shared" ref="H14:S14" si="1">H11+H12</f>
        <v>13</v>
      </c>
      <c r="I14" s="31">
        <f t="shared" si="1"/>
        <v>3</v>
      </c>
      <c r="J14" s="31">
        <f t="shared" si="1"/>
        <v>1</v>
      </c>
      <c r="K14" s="31">
        <f t="shared" si="1"/>
        <v>2</v>
      </c>
      <c r="L14" s="31">
        <f t="shared" si="1"/>
        <v>1</v>
      </c>
      <c r="M14" s="31">
        <f t="shared" si="1"/>
        <v>14</v>
      </c>
      <c r="N14" s="31">
        <f t="shared" si="1"/>
        <v>2</v>
      </c>
      <c r="O14" s="31">
        <f t="shared" si="1"/>
        <v>13</v>
      </c>
      <c r="P14" s="31"/>
      <c r="Q14" s="31">
        <f t="shared" si="1"/>
        <v>2</v>
      </c>
      <c r="R14" s="31">
        <f t="shared" si="1"/>
        <v>5</v>
      </c>
      <c r="S14" s="31">
        <f t="shared" si="1"/>
        <v>2</v>
      </c>
    </row>
    <row r="15" spans="1:19" ht="26.45" customHeight="1" thickBot="1"/>
    <row r="16" spans="1:19" ht="15" thickBot="1">
      <c r="K16" s="146" t="s">
        <v>138</v>
      </c>
      <c r="L16" s="147"/>
      <c r="M16" s="147"/>
      <c r="N16" s="147"/>
      <c r="O16" s="147"/>
      <c r="P16" s="147"/>
      <c r="Q16" s="147"/>
      <c r="R16" s="147"/>
      <c r="S16" s="147"/>
    </row>
    <row r="17" spans="1:19">
      <c r="A17" s="155" t="s">
        <v>139</v>
      </c>
      <c r="B17" s="156"/>
      <c r="C17" s="153" t="s">
        <v>140</v>
      </c>
      <c r="D17" s="153"/>
      <c r="E17" s="153"/>
      <c r="F17" s="153"/>
      <c r="G17" s="154"/>
      <c r="H17" s="2"/>
      <c r="J17" s="162" t="s">
        <v>35</v>
      </c>
      <c r="K17" s="159" t="s">
        <v>6</v>
      </c>
      <c r="L17" s="160"/>
      <c r="M17" s="160"/>
      <c r="N17" s="161"/>
      <c r="O17" s="159" t="s">
        <v>7</v>
      </c>
      <c r="P17" s="160"/>
      <c r="Q17" s="160"/>
      <c r="R17" s="160"/>
      <c r="S17" s="161"/>
    </row>
    <row r="18" spans="1:19" ht="41.45">
      <c r="A18" s="15" t="s">
        <v>35</v>
      </c>
      <c r="B18" s="16" t="s">
        <v>141</v>
      </c>
      <c r="C18" s="6" t="s">
        <v>126</v>
      </c>
      <c r="D18" s="6" t="s">
        <v>127</v>
      </c>
      <c r="E18" s="6" t="s">
        <v>128</v>
      </c>
      <c r="F18" s="6" t="s">
        <v>129</v>
      </c>
      <c r="G18" s="7" t="s">
        <v>130</v>
      </c>
      <c r="H18" s="14"/>
      <c r="J18" s="163"/>
      <c r="K18" s="6" t="s">
        <v>131</v>
      </c>
      <c r="L18" s="6" t="s">
        <v>132</v>
      </c>
      <c r="M18" s="6" t="s">
        <v>133</v>
      </c>
      <c r="N18" s="6" t="s">
        <v>15</v>
      </c>
      <c r="O18" s="6" t="s">
        <v>134</v>
      </c>
      <c r="P18" s="6"/>
      <c r="Q18" s="6" t="s">
        <v>136</v>
      </c>
      <c r="R18" s="6" t="s">
        <v>137</v>
      </c>
      <c r="S18" s="6" t="s">
        <v>15</v>
      </c>
    </row>
    <row r="19" spans="1:19">
      <c r="A19" s="5" t="s">
        <v>51</v>
      </c>
      <c r="B19" s="17">
        <f>IFERROR(E11/$I$5,"")</f>
        <v>0.58333333333333337</v>
      </c>
      <c r="C19" s="17">
        <f>IFERROR(F11/$E$11,"")</f>
        <v>7.1428571428571425E-2</v>
      </c>
      <c r="D19" s="17">
        <f t="shared" ref="D19:G19" si="2">IFERROR(G11/$E$11,"")</f>
        <v>0.2857142857142857</v>
      </c>
      <c r="E19" s="17">
        <f t="shared" si="2"/>
        <v>0.5</v>
      </c>
      <c r="F19" s="17">
        <f t="shared" si="2"/>
        <v>0.14285714285714285</v>
      </c>
      <c r="G19" s="18">
        <f t="shared" si="2"/>
        <v>0</v>
      </c>
      <c r="H19" s="3" t="str">
        <f>IFERROR(#REF!/$H$11,"")</f>
        <v/>
      </c>
      <c r="J19" s="5" t="s">
        <v>51</v>
      </c>
      <c r="K19" s="20">
        <f>IFERROR(K11/$E11,"")</f>
        <v>7.1428571428571425E-2</v>
      </c>
      <c r="L19" s="20">
        <f t="shared" ref="L19:S19" si="3">IFERROR(L11/$E11,"")</f>
        <v>0</v>
      </c>
      <c r="M19" s="20">
        <f t="shared" si="3"/>
        <v>0.5714285714285714</v>
      </c>
      <c r="N19" s="20">
        <f t="shared" si="3"/>
        <v>7.1428571428571425E-2</v>
      </c>
      <c r="O19" s="20">
        <f t="shared" si="3"/>
        <v>0.5</v>
      </c>
      <c r="P19" s="20"/>
      <c r="Q19" s="20">
        <f t="shared" si="3"/>
        <v>7.1428571428571425E-2</v>
      </c>
      <c r="R19" s="20">
        <f t="shared" si="3"/>
        <v>0.21428571428571427</v>
      </c>
      <c r="S19" s="20">
        <f t="shared" si="3"/>
        <v>7.1428571428571425E-2</v>
      </c>
    </row>
    <row r="20" spans="1:19">
      <c r="A20" s="5" t="s">
        <v>77</v>
      </c>
      <c r="B20" s="17">
        <f>IFERROR(E12/$I$5,"")</f>
        <v>0.41666666666666669</v>
      </c>
      <c r="C20" s="17">
        <f>IFERROR(F12/$E$12,"")</f>
        <v>0</v>
      </c>
      <c r="D20" s="20">
        <f t="shared" ref="D20:G20" si="4">IFERROR(G12/$E$12,"")</f>
        <v>0.2</v>
      </c>
      <c r="E20" s="20">
        <f t="shared" si="4"/>
        <v>0.6</v>
      </c>
      <c r="F20" s="20">
        <f t="shared" si="4"/>
        <v>0.1</v>
      </c>
      <c r="G20" s="21">
        <f t="shared" si="4"/>
        <v>0.1</v>
      </c>
      <c r="J20" s="5" t="s">
        <v>77</v>
      </c>
      <c r="K20" s="20">
        <f>IFERROR(K12/$E12,"")</f>
        <v>0.1</v>
      </c>
      <c r="L20" s="20">
        <f t="shared" ref="L20:S20" si="5">IFERROR(L12/$E12,"")</f>
        <v>0.1</v>
      </c>
      <c r="M20" s="20">
        <f t="shared" si="5"/>
        <v>0.6</v>
      </c>
      <c r="N20" s="20">
        <f t="shared" si="5"/>
        <v>0.1</v>
      </c>
      <c r="O20" s="20">
        <f t="shared" si="5"/>
        <v>0.6</v>
      </c>
      <c r="P20" s="20"/>
      <c r="Q20" s="20">
        <f t="shared" si="5"/>
        <v>0.1</v>
      </c>
      <c r="R20" s="20">
        <f t="shared" si="5"/>
        <v>0.2</v>
      </c>
      <c r="S20" s="20">
        <f t="shared" si="5"/>
        <v>0.1</v>
      </c>
    </row>
    <row r="21" spans="1:19" ht="15" thickBot="1">
      <c r="A21" s="22" t="s">
        <v>15</v>
      </c>
      <c r="B21" s="23">
        <f>IFERROR(B19+B20,"")</f>
        <v>1</v>
      </c>
      <c r="C21" s="23">
        <f>IFERROR(F14/$E14,"")</f>
        <v>4.1666666666666664E-2</v>
      </c>
      <c r="D21" s="23">
        <f t="shared" ref="D21:G21" si="6">IFERROR(G14/$E14,"")</f>
        <v>0.25</v>
      </c>
      <c r="E21" s="23">
        <f t="shared" si="6"/>
        <v>0.54166666666666663</v>
      </c>
      <c r="F21" s="23">
        <f t="shared" si="6"/>
        <v>0.125</v>
      </c>
      <c r="G21" s="24">
        <f t="shared" si="6"/>
        <v>4.1666666666666664E-2</v>
      </c>
      <c r="J21" s="22" t="s">
        <v>15</v>
      </c>
      <c r="K21" s="26">
        <f>IFERROR(K14/$E14,"")</f>
        <v>8.3333333333333329E-2</v>
      </c>
      <c r="L21" s="26">
        <f t="shared" ref="L21:S21" si="7">IFERROR(L14/$E14,"")</f>
        <v>4.1666666666666664E-2</v>
      </c>
      <c r="M21" s="26">
        <f t="shared" si="7"/>
        <v>0.58333333333333337</v>
      </c>
      <c r="N21" s="26">
        <f t="shared" si="7"/>
        <v>8.3333333333333329E-2</v>
      </c>
      <c r="O21" s="26">
        <f t="shared" si="7"/>
        <v>0.54166666666666663</v>
      </c>
      <c r="P21" s="26"/>
      <c r="Q21" s="26">
        <f t="shared" si="7"/>
        <v>8.3333333333333329E-2</v>
      </c>
      <c r="R21" s="26">
        <f t="shared" si="7"/>
        <v>0.20833333333333334</v>
      </c>
      <c r="S21" s="26">
        <f t="shared" si="7"/>
        <v>8.3333333333333329E-2</v>
      </c>
    </row>
    <row r="22" spans="1:19">
      <c r="A22" s="2"/>
      <c r="B22" s="25"/>
      <c r="C22" s="25"/>
      <c r="D22" s="25"/>
      <c r="E22" s="25"/>
      <c r="F22" s="25"/>
      <c r="G22" s="25"/>
      <c r="J22" s="2"/>
      <c r="K22" s="19"/>
      <c r="L22" s="19"/>
      <c r="M22" s="19"/>
      <c r="N22" s="19"/>
      <c r="O22" s="19"/>
      <c r="P22" s="19"/>
      <c r="Q22" s="19"/>
      <c r="R22" s="19"/>
      <c r="S22" s="19"/>
    </row>
  </sheetData>
  <sheetProtection algorithmName="SHA-512" hashValue="TrJVGWmylksF1NxaYbFe5oRB1+s4SUXIjZP53oc0UQMwKsh/UJ+LMOZMEciKjmFOue09ImH+egNXY4wb9UR5wQ==" saltValue="B4+thBLJZjNK9spI8PS1yw==" spinCount="100000" sheet="1" objects="1" scenarios="1"/>
  <mergeCells count="20">
    <mergeCell ref="G5:H5"/>
    <mergeCell ref="G6:H6"/>
    <mergeCell ref="B5:C5"/>
    <mergeCell ref="F8:J9"/>
    <mergeCell ref="B9:B10"/>
    <mergeCell ref="C9:C10"/>
    <mergeCell ref="B6:C6"/>
    <mergeCell ref="E6:F6"/>
    <mergeCell ref="C17:G17"/>
    <mergeCell ref="A17:B17"/>
    <mergeCell ref="K9:N9"/>
    <mergeCell ref="O9:S9"/>
    <mergeCell ref="K17:N17"/>
    <mergeCell ref="O17:S17"/>
    <mergeCell ref="J17:J18"/>
    <mergeCell ref="K8:S8"/>
    <mergeCell ref="K16:S16"/>
    <mergeCell ref="A9:A10"/>
    <mergeCell ref="D9:D10"/>
    <mergeCell ref="E9:E10"/>
  </mergeCells>
  <conditionalFormatting sqref="D11:G14">
    <cfRule type="containsText" dxfId="0" priority="2" operator="containsText" text="[enter class enrolment]">
      <formula>NOT(ISERROR(SEARCH("[enter class enrolment]",D11)))</formula>
    </cfRule>
  </conditionalFormatting>
  <pageMargins left="0.7" right="0.7" top="0.75" bottom="0.75" header="0.3" footer="0.3"/>
  <pageSetup paperSize="14" scale="55"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e44e982-49b1-48d0-a492-bcf8ba0a9108">
      <Terms xmlns="http://schemas.microsoft.com/office/infopath/2007/PartnerControls"/>
    </lcf76f155ced4ddcb4097134ff3c332f>
    <TaxCatchAll xmlns="7be803ac-07b3-4e6d-8a33-6b4a239830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389F3844E834B438EAF4C3974A5E888" ma:contentTypeVersion="11" ma:contentTypeDescription="Create a new document." ma:contentTypeScope="" ma:versionID="d7d0bc0a52076bfc36c16fd9f572c575">
  <xsd:schema xmlns:xsd="http://www.w3.org/2001/XMLSchema" xmlns:xs="http://www.w3.org/2001/XMLSchema" xmlns:p="http://schemas.microsoft.com/office/2006/metadata/properties" xmlns:ns2="ce44e982-49b1-48d0-a492-bcf8ba0a9108" xmlns:ns3="7be803ac-07b3-4e6d-8a33-6b4a239830db" targetNamespace="http://schemas.microsoft.com/office/2006/metadata/properties" ma:root="true" ma:fieldsID="20704a03d38483fbc5311fc860a03327" ns2:_="" ns3:_="">
    <xsd:import namespace="ce44e982-49b1-48d0-a492-bcf8ba0a9108"/>
    <xsd:import namespace="7be803ac-07b3-4e6d-8a33-6b4a239830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44e982-49b1-48d0-a492-bcf8ba0a91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e803ac-07b3-4e6d-8a33-6b4a239830d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16fe3e7-c3dc-4b79-a838-9d087c3829a1}" ma:internalName="TaxCatchAll" ma:showField="CatchAllData" ma:web="7be803ac-07b3-4e6d-8a33-6b4a239830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E27DDD-190F-48A9-A73D-EE48C911D61B}"/>
</file>

<file path=customXml/itemProps2.xml><?xml version="1.0" encoding="utf-8"?>
<ds:datastoreItem xmlns:ds="http://schemas.openxmlformats.org/officeDocument/2006/customXml" ds:itemID="{2037A096-1BD3-453E-980B-8CBE8A8E90ED}"/>
</file>

<file path=customXml/itemProps3.xml><?xml version="1.0" encoding="utf-8"?>
<ds:datastoreItem xmlns:ds="http://schemas.openxmlformats.org/officeDocument/2006/customXml" ds:itemID="{9C86A566-A308-428C-A506-440EAB10E88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 Monroy</dc:creator>
  <cp:keywords/>
  <dc:description/>
  <cp:lastModifiedBy>Marian Grace De La Torre</cp:lastModifiedBy>
  <cp:revision/>
  <dcterms:created xsi:type="dcterms:W3CDTF">2021-07-15T02:28:12Z</dcterms:created>
  <dcterms:modified xsi:type="dcterms:W3CDTF">2026-05-05T09:39:11Z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0x010100E389F3844E834B438EAF4C3974A5E888</vt:lpwstr>
  </property>
  <property fmtid="{D5CDD505-2E9C-101B-9397-08002B2CF9AE}" pid="3" name="MediaServiceImageTags">
    <vt:lpwstr/>
  </property>
</Properties>
</file>