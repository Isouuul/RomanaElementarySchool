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05"/>
  <workbookPr codeName="ThisWorkbook"/>
  <mc:AlternateContent xmlns:mc="http://schemas.openxmlformats.org/markup-compatibility/2006">
    <mc:Choice Requires="x15">
      <x15ac:absPath xmlns:x15ac="http://schemas.microsoft.com/office/spreadsheetml/2010/11/ac" url="C:\Users\maric\OneDrive\Desktop\ROMANA\CRLA RESULT\"/>
    </mc:Choice>
  </mc:AlternateContent>
  <xr:revisionPtr revIDLastSave="0" documentId="13_ncr:1_{757FDE93-35EA-4DA8-B70E-A36B9B73CC6F}" xr6:coauthVersionLast="47" xr6:coauthVersionMax="47" xr10:uidLastSave="{00000000-0000-0000-0000-000000000000}"/>
  <workbookProtection workbookAlgorithmName="SHA-512" workbookHashValue="UM6o5XEEDNoWpHlMWzb1bJGU4gbXbasM5m/sneL1Gcr8P/H3OSNzgyqyPM4OqFNZ5JfDXnEcmlQcWC2ZloHBEw==" workbookSaltValue="vEIAN6k6frO5Mt7ovYGLoQ==" workbookSpinCount="100000" lockStructure="1"/>
  <bookViews>
    <workbookView xWindow="-110" yWindow="-110" windowWidth="19420" windowHeight="10300" tabRatio="958" xr2:uid="{00000000-000D-0000-FFFF-FFFF00000000}"/>
  </bookViews>
  <sheets>
    <sheet name="G2 MT Reading Scoresheet" sheetId="1" r:id="rId1"/>
    <sheet name="G2 FIL Reading Scoresheet" sheetId="7" r:id="rId2"/>
    <sheet name="Class Record" sheetId="3" r:id="rId3"/>
    <sheet name="Class Summary" sheetId="2" r:id="rId4"/>
    <sheet name="Scoring Reference" sheetId="5" r:id="rId5"/>
    <sheet name="List" sheetId="4" state="hidden" r:id="rId6"/>
  </sheets>
  <definedNames>
    <definedName name="_xlnm._FilterDatabase" localSheetId="2" hidden="1">'Class Record'!$A$8:$R$108</definedName>
    <definedName name="_xlnm._FilterDatabase" localSheetId="1" hidden="1">'G2 FIL Reading Scoresheet'!$B$10:$U$110</definedName>
    <definedName name="_xlnm._FilterDatabase" localSheetId="0" hidden="1">'G2 MT Reading Scoresheet'!$C$10:$U$110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4" i="2" l="1"/>
  <c r="A23" i="2"/>
  <c r="A22" i="2"/>
  <c r="A21" i="2"/>
  <c r="A20" i="2"/>
  <c r="A19" i="2"/>
  <c r="D14" i="2"/>
  <c r="C14" i="2"/>
  <c r="B14" i="2"/>
  <c r="A14" i="2"/>
  <c r="D13" i="2"/>
  <c r="C13" i="2"/>
  <c r="B13" i="2"/>
  <c r="A13" i="2"/>
  <c r="D11" i="2"/>
  <c r="C11" i="2"/>
  <c r="B11" i="2"/>
  <c r="A11" i="2"/>
  <c r="C10" i="2"/>
  <c r="B10" i="2"/>
  <c r="A10" i="2"/>
  <c r="G9" i="2"/>
  <c r="F9" i="2"/>
  <c r="F13" i="2" s="1"/>
  <c r="D9" i="2"/>
  <c r="C9" i="2"/>
  <c r="B9" i="2"/>
  <c r="A9" i="2"/>
  <c r="G8" i="2"/>
  <c r="F8" i="2"/>
  <c r="D8" i="2"/>
  <c r="C8" i="2"/>
  <c r="B8" i="2"/>
  <c r="C5" i="2"/>
  <c r="C4" i="2"/>
  <c r="Q108" i="3"/>
  <c r="P108" i="3"/>
  <c r="O108" i="3"/>
  <c r="N108" i="3"/>
  <c r="M108" i="3"/>
  <c r="L108" i="3"/>
  <c r="K108" i="3"/>
  <c r="J108" i="3"/>
  <c r="H108" i="3"/>
  <c r="G108" i="3"/>
  <c r="F108" i="3"/>
  <c r="I108" i="3" s="1"/>
  <c r="E108" i="3"/>
  <c r="D108" i="3"/>
  <c r="C108" i="3"/>
  <c r="B108" i="3"/>
  <c r="Q107" i="3"/>
  <c r="P107" i="3"/>
  <c r="O107" i="3"/>
  <c r="N107" i="3"/>
  <c r="M107" i="3"/>
  <c r="L107" i="3"/>
  <c r="K107" i="3"/>
  <c r="J107" i="3"/>
  <c r="I107" i="3"/>
  <c r="H107" i="3"/>
  <c r="G107" i="3"/>
  <c r="F107" i="3"/>
  <c r="E107" i="3"/>
  <c r="D107" i="3"/>
  <c r="C107" i="3"/>
  <c r="B107" i="3"/>
  <c r="A107" i="3"/>
  <c r="Q106" i="3"/>
  <c r="P106" i="3"/>
  <c r="O106" i="3"/>
  <c r="N106" i="3"/>
  <c r="M106" i="3"/>
  <c r="L106" i="3"/>
  <c r="K106" i="3"/>
  <c r="J106" i="3"/>
  <c r="I106" i="3"/>
  <c r="H106" i="3"/>
  <c r="G106" i="3"/>
  <c r="F106" i="3"/>
  <c r="E106" i="3"/>
  <c r="D106" i="3"/>
  <c r="C106" i="3"/>
  <c r="B106" i="3"/>
  <c r="A106" i="3"/>
  <c r="Q105" i="3"/>
  <c r="P105" i="3"/>
  <c r="O105" i="3"/>
  <c r="N105" i="3"/>
  <c r="M105" i="3"/>
  <c r="L105" i="3"/>
  <c r="K105" i="3"/>
  <c r="J105" i="3"/>
  <c r="I105" i="3"/>
  <c r="H105" i="3"/>
  <c r="G105" i="3"/>
  <c r="F105" i="3"/>
  <c r="E105" i="3"/>
  <c r="D105" i="3"/>
  <c r="C105" i="3"/>
  <c r="B105" i="3"/>
  <c r="A105" i="3"/>
  <c r="Q104" i="3"/>
  <c r="P104" i="3"/>
  <c r="O104" i="3"/>
  <c r="N104" i="3"/>
  <c r="M104" i="3"/>
  <c r="L104" i="3"/>
  <c r="K104" i="3"/>
  <c r="J104" i="3"/>
  <c r="I104" i="3"/>
  <c r="H104" i="3"/>
  <c r="G104" i="3"/>
  <c r="F104" i="3"/>
  <c r="E104" i="3"/>
  <c r="D104" i="3"/>
  <c r="C104" i="3"/>
  <c r="B104" i="3"/>
  <c r="A104" i="3"/>
  <c r="Q103" i="3"/>
  <c r="P103" i="3"/>
  <c r="O103" i="3"/>
  <c r="N103" i="3"/>
  <c r="M103" i="3"/>
  <c r="L103" i="3"/>
  <c r="K103" i="3"/>
  <c r="J103" i="3"/>
  <c r="I103" i="3"/>
  <c r="H103" i="3"/>
  <c r="G103" i="3"/>
  <c r="F103" i="3"/>
  <c r="E103" i="3"/>
  <c r="D103" i="3"/>
  <c r="C103" i="3"/>
  <c r="B103" i="3"/>
  <c r="A103" i="3"/>
  <c r="Q102" i="3"/>
  <c r="P102" i="3"/>
  <c r="O102" i="3"/>
  <c r="N102" i="3"/>
  <c r="M102" i="3"/>
  <c r="L102" i="3"/>
  <c r="K102" i="3"/>
  <c r="J102" i="3"/>
  <c r="I102" i="3"/>
  <c r="H102" i="3"/>
  <c r="G102" i="3"/>
  <c r="F102" i="3"/>
  <c r="E102" i="3"/>
  <c r="D102" i="3"/>
  <c r="C102" i="3"/>
  <c r="B102" i="3"/>
  <c r="A102" i="3"/>
  <c r="Q101" i="3"/>
  <c r="P101" i="3"/>
  <c r="O101" i="3"/>
  <c r="N101" i="3"/>
  <c r="M101" i="3"/>
  <c r="L101" i="3"/>
  <c r="K101" i="3"/>
  <c r="J101" i="3"/>
  <c r="I101" i="3"/>
  <c r="H101" i="3"/>
  <c r="G101" i="3"/>
  <c r="F101" i="3"/>
  <c r="E101" i="3"/>
  <c r="D101" i="3"/>
  <c r="C101" i="3"/>
  <c r="B101" i="3"/>
  <c r="A101" i="3"/>
  <c r="Q100" i="3"/>
  <c r="P100" i="3"/>
  <c r="O100" i="3"/>
  <c r="N100" i="3"/>
  <c r="M100" i="3"/>
  <c r="L100" i="3"/>
  <c r="K100" i="3"/>
  <c r="J100" i="3"/>
  <c r="I100" i="3"/>
  <c r="H100" i="3"/>
  <c r="G100" i="3"/>
  <c r="F100" i="3"/>
  <c r="E100" i="3"/>
  <c r="D100" i="3"/>
  <c r="C100" i="3"/>
  <c r="B100" i="3"/>
  <c r="A100" i="3"/>
  <c r="Q99" i="3"/>
  <c r="P99" i="3"/>
  <c r="O99" i="3"/>
  <c r="N99" i="3"/>
  <c r="M99" i="3"/>
  <c r="L99" i="3"/>
  <c r="K99" i="3"/>
  <c r="J99" i="3"/>
  <c r="I99" i="3"/>
  <c r="H99" i="3"/>
  <c r="G99" i="3"/>
  <c r="F99" i="3"/>
  <c r="E99" i="3"/>
  <c r="D99" i="3"/>
  <c r="C99" i="3"/>
  <c r="B99" i="3"/>
  <c r="A99" i="3"/>
  <c r="Q98" i="3"/>
  <c r="P98" i="3"/>
  <c r="O98" i="3"/>
  <c r="N98" i="3"/>
  <c r="M98" i="3"/>
  <c r="L98" i="3"/>
  <c r="K98" i="3"/>
  <c r="J98" i="3"/>
  <c r="I98" i="3"/>
  <c r="H98" i="3"/>
  <c r="G98" i="3"/>
  <c r="F98" i="3"/>
  <c r="E98" i="3"/>
  <c r="D98" i="3"/>
  <c r="C98" i="3"/>
  <c r="B98" i="3"/>
  <c r="A98" i="3"/>
  <c r="Q97" i="3"/>
  <c r="P97" i="3"/>
  <c r="O97" i="3"/>
  <c r="N97" i="3"/>
  <c r="M97" i="3"/>
  <c r="L97" i="3"/>
  <c r="K97" i="3"/>
  <c r="J97" i="3"/>
  <c r="I97" i="3"/>
  <c r="H97" i="3"/>
  <c r="G97" i="3"/>
  <c r="F97" i="3"/>
  <c r="E97" i="3"/>
  <c r="D97" i="3"/>
  <c r="C97" i="3"/>
  <c r="B97" i="3"/>
  <c r="A97" i="3"/>
  <c r="Q96" i="3"/>
  <c r="P96" i="3"/>
  <c r="O96" i="3"/>
  <c r="N96" i="3"/>
  <c r="M96" i="3"/>
  <c r="L96" i="3"/>
  <c r="K96" i="3"/>
  <c r="J96" i="3"/>
  <c r="I96" i="3"/>
  <c r="H96" i="3"/>
  <c r="G96" i="3"/>
  <c r="F96" i="3"/>
  <c r="E96" i="3"/>
  <c r="D96" i="3"/>
  <c r="C96" i="3"/>
  <c r="B96" i="3"/>
  <c r="A96" i="3"/>
  <c r="Q95" i="3"/>
  <c r="P95" i="3"/>
  <c r="O95" i="3"/>
  <c r="N95" i="3"/>
  <c r="M95" i="3"/>
  <c r="L95" i="3"/>
  <c r="K95" i="3"/>
  <c r="J95" i="3"/>
  <c r="I95" i="3"/>
  <c r="H95" i="3"/>
  <c r="G95" i="3"/>
  <c r="F95" i="3"/>
  <c r="E95" i="3"/>
  <c r="D95" i="3"/>
  <c r="C95" i="3"/>
  <c r="B95" i="3"/>
  <c r="A95" i="3"/>
  <c r="Q94" i="3"/>
  <c r="P94" i="3"/>
  <c r="O94" i="3"/>
  <c r="N94" i="3"/>
  <c r="M94" i="3"/>
  <c r="L94" i="3"/>
  <c r="K94" i="3"/>
  <c r="J94" i="3"/>
  <c r="I94" i="3"/>
  <c r="H94" i="3"/>
  <c r="G94" i="3"/>
  <c r="F94" i="3"/>
  <c r="E94" i="3"/>
  <c r="D94" i="3"/>
  <c r="C94" i="3"/>
  <c r="B94" i="3"/>
  <c r="A94" i="3"/>
  <c r="Q93" i="3"/>
  <c r="P93" i="3"/>
  <c r="O93" i="3"/>
  <c r="N93" i="3"/>
  <c r="M93" i="3"/>
  <c r="L93" i="3"/>
  <c r="K93" i="3"/>
  <c r="J93" i="3"/>
  <c r="I93" i="3"/>
  <c r="H93" i="3"/>
  <c r="G93" i="3"/>
  <c r="F93" i="3"/>
  <c r="E93" i="3"/>
  <c r="D93" i="3"/>
  <c r="C93" i="3"/>
  <c r="B93" i="3"/>
  <c r="A93" i="3"/>
  <c r="Q92" i="3"/>
  <c r="P92" i="3"/>
  <c r="O92" i="3"/>
  <c r="N92" i="3"/>
  <c r="M92" i="3"/>
  <c r="L92" i="3"/>
  <c r="K92" i="3"/>
  <c r="J92" i="3"/>
  <c r="I92" i="3"/>
  <c r="H92" i="3"/>
  <c r="G92" i="3"/>
  <c r="F92" i="3"/>
  <c r="E92" i="3"/>
  <c r="D92" i="3"/>
  <c r="C92" i="3"/>
  <c r="B92" i="3"/>
  <c r="A92" i="3"/>
  <c r="Q91" i="3"/>
  <c r="P91" i="3"/>
  <c r="O91" i="3"/>
  <c r="N91" i="3"/>
  <c r="M91" i="3"/>
  <c r="L91" i="3"/>
  <c r="K91" i="3"/>
  <c r="J91" i="3"/>
  <c r="I91" i="3"/>
  <c r="H91" i="3"/>
  <c r="G91" i="3"/>
  <c r="F91" i="3"/>
  <c r="E91" i="3"/>
  <c r="D91" i="3"/>
  <c r="C91" i="3"/>
  <c r="B91" i="3"/>
  <c r="A91" i="3"/>
  <c r="Q90" i="3"/>
  <c r="P90" i="3"/>
  <c r="O90" i="3"/>
  <c r="N90" i="3"/>
  <c r="M90" i="3"/>
  <c r="L90" i="3"/>
  <c r="K90" i="3"/>
  <c r="J90" i="3"/>
  <c r="I90" i="3"/>
  <c r="H90" i="3"/>
  <c r="G90" i="3"/>
  <c r="F90" i="3"/>
  <c r="E90" i="3"/>
  <c r="D90" i="3"/>
  <c r="C90" i="3"/>
  <c r="B90" i="3"/>
  <c r="A90" i="3"/>
  <c r="Q89" i="3"/>
  <c r="P89" i="3"/>
  <c r="O89" i="3"/>
  <c r="N89" i="3"/>
  <c r="M89" i="3"/>
  <c r="L89" i="3"/>
  <c r="K89" i="3"/>
  <c r="J89" i="3"/>
  <c r="I89" i="3"/>
  <c r="H89" i="3"/>
  <c r="G89" i="3"/>
  <c r="F89" i="3"/>
  <c r="E89" i="3"/>
  <c r="D89" i="3"/>
  <c r="C89" i="3"/>
  <c r="B89" i="3"/>
  <c r="A89" i="3"/>
  <c r="Q88" i="3"/>
  <c r="P88" i="3"/>
  <c r="O88" i="3"/>
  <c r="N88" i="3"/>
  <c r="M88" i="3"/>
  <c r="L88" i="3"/>
  <c r="K88" i="3"/>
  <c r="J88" i="3"/>
  <c r="I88" i="3"/>
  <c r="H88" i="3"/>
  <c r="G88" i="3"/>
  <c r="F88" i="3"/>
  <c r="E88" i="3"/>
  <c r="D88" i="3"/>
  <c r="C88" i="3"/>
  <c r="B88" i="3"/>
  <c r="A88" i="3"/>
  <c r="Q87" i="3"/>
  <c r="P87" i="3"/>
  <c r="O87" i="3"/>
  <c r="N87" i="3"/>
  <c r="M87" i="3"/>
  <c r="L87" i="3"/>
  <c r="K87" i="3"/>
  <c r="J87" i="3"/>
  <c r="I87" i="3"/>
  <c r="H87" i="3"/>
  <c r="G87" i="3"/>
  <c r="F87" i="3"/>
  <c r="E87" i="3"/>
  <c r="D87" i="3"/>
  <c r="C87" i="3"/>
  <c r="B87" i="3"/>
  <c r="A87" i="3"/>
  <c r="Q86" i="3"/>
  <c r="P86" i="3"/>
  <c r="O86" i="3"/>
  <c r="N86" i="3"/>
  <c r="M86" i="3"/>
  <c r="L86" i="3"/>
  <c r="K86" i="3"/>
  <c r="J86" i="3"/>
  <c r="I86" i="3"/>
  <c r="H86" i="3"/>
  <c r="G86" i="3"/>
  <c r="F86" i="3"/>
  <c r="E86" i="3"/>
  <c r="D86" i="3"/>
  <c r="C86" i="3"/>
  <c r="B86" i="3"/>
  <c r="A86" i="3"/>
  <c r="Q85" i="3"/>
  <c r="P85" i="3"/>
  <c r="O85" i="3"/>
  <c r="N85" i="3"/>
  <c r="M85" i="3"/>
  <c r="L85" i="3"/>
  <c r="K85" i="3"/>
  <c r="J85" i="3"/>
  <c r="I85" i="3"/>
  <c r="H85" i="3"/>
  <c r="G85" i="3"/>
  <c r="F85" i="3"/>
  <c r="E85" i="3"/>
  <c r="D85" i="3"/>
  <c r="C85" i="3"/>
  <c r="B85" i="3"/>
  <c r="A85" i="3"/>
  <c r="Q84" i="3"/>
  <c r="P84" i="3"/>
  <c r="O84" i="3"/>
  <c r="N84" i="3"/>
  <c r="M84" i="3"/>
  <c r="L84" i="3"/>
  <c r="K84" i="3"/>
  <c r="J84" i="3"/>
  <c r="I84" i="3"/>
  <c r="H84" i="3"/>
  <c r="G84" i="3"/>
  <c r="F84" i="3"/>
  <c r="E84" i="3"/>
  <c r="D84" i="3"/>
  <c r="C84" i="3"/>
  <c r="B84" i="3"/>
  <c r="A84" i="3"/>
  <c r="Q83" i="3"/>
  <c r="P83" i="3"/>
  <c r="O83" i="3"/>
  <c r="N83" i="3"/>
  <c r="M83" i="3"/>
  <c r="L83" i="3"/>
  <c r="K83" i="3"/>
  <c r="J83" i="3"/>
  <c r="I83" i="3"/>
  <c r="H83" i="3"/>
  <c r="G83" i="3"/>
  <c r="F83" i="3"/>
  <c r="E83" i="3"/>
  <c r="D83" i="3"/>
  <c r="C83" i="3"/>
  <c r="B83" i="3"/>
  <c r="A83" i="3"/>
  <c r="Q82" i="3"/>
  <c r="P82" i="3"/>
  <c r="O82" i="3"/>
  <c r="N82" i="3"/>
  <c r="M82" i="3"/>
  <c r="L82" i="3"/>
  <c r="K82" i="3"/>
  <c r="J82" i="3"/>
  <c r="I82" i="3"/>
  <c r="H82" i="3"/>
  <c r="G82" i="3"/>
  <c r="F82" i="3"/>
  <c r="E82" i="3"/>
  <c r="D82" i="3"/>
  <c r="C82" i="3"/>
  <c r="B82" i="3"/>
  <c r="A82" i="3"/>
  <c r="Q81" i="3"/>
  <c r="P81" i="3"/>
  <c r="O81" i="3"/>
  <c r="N81" i="3"/>
  <c r="M81" i="3"/>
  <c r="L81" i="3"/>
  <c r="K81" i="3"/>
  <c r="J81" i="3"/>
  <c r="I81" i="3"/>
  <c r="H81" i="3"/>
  <c r="G81" i="3"/>
  <c r="F81" i="3"/>
  <c r="E81" i="3"/>
  <c r="D81" i="3"/>
  <c r="C81" i="3"/>
  <c r="B81" i="3"/>
  <c r="A81" i="3"/>
  <c r="Q80" i="3"/>
  <c r="P80" i="3"/>
  <c r="O80" i="3"/>
  <c r="N80" i="3"/>
  <c r="M80" i="3"/>
  <c r="L80" i="3"/>
  <c r="K80" i="3"/>
  <c r="J80" i="3"/>
  <c r="I80" i="3"/>
  <c r="H80" i="3"/>
  <c r="G80" i="3"/>
  <c r="F80" i="3"/>
  <c r="E80" i="3"/>
  <c r="D80" i="3"/>
  <c r="C80" i="3"/>
  <c r="B80" i="3"/>
  <c r="A80" i="3"/>
  <c r="Q79" i="3"/>
  <c r="P79" i="3"/>
  <c r="O79" i="3"/>
  <c r="N79" i="3"/>
  <c r="M79" i="3"/>
  <c r="L79" i="3"/>
  <c r="K79" i="3"/>
  <c r="J79" i="3"/>
  <c r="I79" i="3"/>
  <c r="H79" i="3"/>
  <c r="G79" i="3"/>
  <c r="F79" i="3"/>
  <c r="E79" i="3"/>
  <c r="D79" i="3"/>
  <c r="C79" i="3"/>
  <c r="B79" i="3"/>
  <c r="A79" i="3"/>
  <c r="Q78" i="3"/>
  <c r="P78" i="3"/>
  <c r="O78" i="3"/>
  <c r="N78" i="3"/>
  <c r="M78" i="3"/>
  <c r="L78" i="3"/>
  <c r="K78" i="3"/>
  <c r="J78" i="3"/>
  <c r="I78" i="3"/>
  <c r="H78" i="3"/>
  <c r="G78" i="3"/>
  <c r="F78" i="3"/>
  <c r="E78" i="3"/>
  <c r="D78" i="3"/>
  <c r="C78" i="3"/>
  <c r="B78" i="3"/>
  <c r="A78" i="3"/>
  <c r="Q77" i="3"/>
  <c r="P77" i="3"/>
  <c r="O77" i="3"/>
  <c r="N77" i="3"/>
  <c r="M77" i="3"/>
  <c r="L77" i="3"/>
  <c r="K77" i="3"/>
  <c r="J77" i="3"/>
  <c r="I77" i="3"/>
  <c r="H77" i="3"/>
  <c r="G77" i="3"/>
  <c r="F77" i="3"/>
  <c r="E77" i="3"/>
  <c r="D77" i="3"/>
  <c r="C77" i="3"/>
  <c r="B77" i="3"/>
  <c r="A77" i="3"/>
  <c r="Q76" i="3"/>
  <c r="P76" i="3"/>
  <c r="O76" i="3"/>
  <c r="N76" i="3"/>
  <c r="M76" i="3"/>
  <c r="L76" i="3"/>
  <c r="K76" i="3"/>
  <c r="J76" i="3"/>
  <c r="I76" i="3"/>
  <c r="H76" i="3"/>
  <c r="G76" i="3"/>
  <c r="F76" i="3"/>
  <c r="E76" i="3"/>
  <c r="D76" i="3"/>
  <c r="C76" i="3"/>
  <c r="B76" i="3"/>
  <c r="A76" i="3"/>
  <c r="Q75" i="3"/>
  <c r="P75" i="3"/>
  <c r="O75" i="3"/>
  <c r="N75" i="3"/>
  <c r="M75" i="3"/>
  <c r="L75" i="3"/>
  <c r="K75" i="3"/>
  <c r="J75" i="3"/>
  <c r="I75" i="3"/>
  <c r="H75" i="3"/>
  <c r="G75" i="3"/>
  <c r="F75" i="3"/>
  <c r="E75" i="3"/>
  <c r="D75" i="3"/>
  <c r="C75" i="3"/>
  <c r="B75" i="3"/>
  <c r="A75" i="3"/>
  <c r="Q74" i="3"/>
  <c r="P74" i="3"/>
  <c r="O74" i="3"/>
  <c r="N74" i="3"/>
  <c r="M74" i="3"/>
  <c r="L74" i="3"/>
  <c r="K74" i="3"/>
  <c r="J74" i="3"/>
  <c r="I74" i="3"/>
  <c r="H74" i="3"/>
  <c r="G74" i="3"/>
  <c r="F74" i="3"/>
  <c r="E74" i="3"/>
  <c r="D74" i="3"/>
  <c r="C74" i="3"/>
  <c r="B74" i="3"/>
  <c r="A74" i="3"/>
  <c r="Q73" i="3"/>
  <c r="P73" i="3"/>
  <c r="O73" i="3"/>
  <c r="N73" i="3"/>
  <c r="M73" i="3"/>
  <c r="L73" i="3"/>
  <c r="K73" i="3"/>
  <c r="J73" i="3"/>
  <c r="I73" i="3"/>
  <c r="H73" i="3"/>
  <c r="G73" i="3"/>
  <c r="F73" i="3"/>
  <c r="E73" i="3"/>
  <c r="D73" i="3"/>
  <c r="C73" i="3"/>
  <c r="B73" i="3"/>
  <c r="A73" i="3"/>
  <c r="Q72" i="3"/>
  <c r="P72" i="3"/>
  <c r="O72" i="3"/>
  <c r="N72" i="3"/>
  <c r="M72" i="3"/>
  <c r="L72" i="3"/>
  <c r="K72" i="3"/>
  <c r="J72" i="3"/>
  <c r="I72" i="3"/>
  <c r="H72" i="3"/>
  <c r="G72" i="3"/>
  <c r="F72" i="3"/>
  <c r="E72" i="3"/>
  <c r="D72" i="3"/>
  <c r="C72" i="3"/>
  <c r="B72" i="3"/>
  <c r="A72" i="3"/>
  <c r="Q71" i="3"/>
  <c r="P71" i="3"/>
  <c r="O71" i="3"/>
  <c r="N71" i="3"/>
  <c r="M71" i="3"/>
  <c r="L71" i="3"/>
  <c r="K71" i="3"/>
  <c r="J71" i="3"/>
  <c r="I71" i="3"/>
  <c r="H71" i="3"/>
  <c r="G71" i="3"/>
  <c r="F71" i="3"/>
  <c r="E71" i="3"/>
  <c r="D71" i="3"/>
  <c r="C71" i="3"/>
  <c r="B71" i="3"/>
  <c r="A71" i="3"/>
  <c r="Q70" i="3"/>
  <c r="P70" i="3"/>
  <c r="O70" i="3"/>
  <c r="N70" i="3"/>
  <c r="M70" i="3"/>
  <c r="L70" i="3"/>
  <c r="K70" i="3"/>
  <c r="J70" i="3"/>
  <c r="I70" i="3"/>
  <c r="H70" i="3"/>
  <c r="G70" i="3"/>
  <c r="F70" i="3"/>
  <c r="E70" i="3"/>
  <c r="D70" i="3"/>
  <c r="C70" i="3"/>
  <c r="B70" i="3"/>
  <c r="A70" i="3"/>
  <c r="Q69" i="3"/>
  <c r="P69" i="3"/>
  <c r="O69" i="3"/>
  <c r="N69" i="3"/>
  <c r="M69" i="3"/>
  <c r="L69" i="3"/>
  <c r="K69" i="3"/>
  <c r="J69" i="3"/>
  <c r="I69" i="3"/>
  <c r="H69" i="3"/>
  <c r="G69" i="3"/>
  <c r="F69" i="3"/>
  <c r="E69" i="3"/>
  <c r="D69" i="3"/>
  <c r="C69" i="3"/>
  <c r="B69" i="3"/>
  <c r="A69" i="3"/>
  <c r="Q68" i="3"/>
  <c r="P68" i="3"/>
  <c r="O68" i="3"/>
  <c r="N68" i="3"/>
  <c r="M68" i="3"/>
  <c r="L68" i="3"/>
  <c r="K68" i="3"/>
  <c r="J68" i="3"/>
  <c r="I68" i="3"/>
  <c r="H68" i="3"/>
  <c r="G68" i="3"/>
  <c r="F68" i="3"/>
  <c r="E68" i="3"/>
  <c r="D68" i="3"/>
  <c r="C68" i="3"/>
  <c r="B68" i="3"/>
  <c r="A68" i="3"/>
  <c r="Q67" i="3"/>
  <c r="P67" i="3"/>
  <c r="O67" i="3"/>
  <c r="N67" i="3"/>
  <c r="M67" i="3"/>
  <c r="L67" i="3"/>
  <c r="K67" i="3"/>
  <c r="J67" i="3"/>
  <c r="I67" i="3"/>
  <c r="H67" i="3"/>
  <c r="G67" i="3"/>
  <c r="F67" i="3"/>
  <c r="E67" i="3"/>
  <c r="D67" i="3"/>
  <c r="C67" i="3"/>
  <c r="B67" i="3"/>
  <c r="Q66" i="3"/>
  <c r="P66" i="3"/>
  <c r="O66" i="3"/>
  <c r="N66" i="3"/>
  <c r="M66" i="3"/>
  <c r="L66" i="3"/>
  <c r="K66" i="3"/>
  <c r="J66" i="3"/>
  <c r="I66" i="3"/>
  <c r="H66" i="3"/>
  <c r="G66" i="3"/>
  <c r="F66" i="3"/>
  <c r="E66" i="3"/>
  <c r="D66" i="3"/>
  <c r="C66" i="3"/>
  <c r="B66" i="3"/>
  <c r="Q65" i="3"/>
  <c r="P65" i="3"/>
  <c r="O65" i="3"/>
  <c r="N65" i="3"/>
  <c r="M65" i="3"/>
  <c r="L65" i="3"/>
  <c r="K65" i="3"/>
  <c r="J65" i="3"/>
  <c r="I65" i="3"/>
  <c r="H65" i="3"/>
  <c r="G65" i="3"/>
  <c r="F65" i="3"/>
  <c r="E65" i="3"/>
  <c r="D65" i="3"/>
  <c r="C65" i="3"/>
  <c r="B65" i="3"/>
  <c r="Q64" i="3"/>
  <c r="P64" i="3"/>
  <c r="O64" i="3"/>
  <c r="N64" i="3"/>
  <c r="M64" i="3"/>
  <c r="L64" i="3"/>
  <c r="K64" i="3"/>
  <c r="J64" i="3"/>
  <c r="I64" i="3"/>
  <c r="H64" i="3"/>
  <c r="G64" i="3"/>
  <c r="F64" i="3"/>
  <c r="E64" i="3"/>
  <c r="D64" i="3"/>
  <c r="C64" i="3"/>
  <c r="B64" i="3"/>
  <c r="Q63" i="3"/>
  <c r="P63" i="3"/>
  <c r="O63" i="3"/>
  <c r="N63" i="3"/>
  <c r="M63" i="3"/>
  <c r="L63" i="3"/>
  <c r="K63" i="3"/>
  <c r="J63" i="3"/>
  <c r="I63" i="3"/>
  <c r="H63" i="3"/>
  <c r="G63" i="3"/>
  <c r="F63" i="3"/>
  <c r="E63" i="3"/>
  <c r="D63" i="3"/>
  <c r="C63" i="3"/>
  <c r="B63" i="3"/>
  <c r="Q62" i="3"/>
  <c r="P62" i="3"/>
  <c r="O62" i="3"/>
  <c r="N62" i="3"/>
  <c r="M62" i="3"/>
  <c r="L62" i="3"/>
  <c r="K62" i="3"/>
  <c r="J62" i="3"/>
  <c r="I62" i="3"/>
  <c r="H62" i="3"/>
  <c r="G62" i="3"/>
  <c r="F62" i="3"/>
  <c r="E62" i="3"/>
  <c r="D62" i="3"/>
  <c r="C62" i="3"/>
  <c r="B62" i="3"/>
  <c r="Q61" i="3"/>
  <c r="P61" i="3"/>
  <c r="O61" i="3"/>
  <c r="N61" i="3"/>
  <c r="M61" i="3"/>
  <c r="L61" i="3"/>
  <c r="K61" i="3"/>
  <c r="J61" i="3"/>
  <c r="I61" i="3"/>
  <c r="H61" i="3"/>
  <c r="G61" i="3"/>
  <c r="F61" i="3"/>
  <c r="E61" i="3"/>
  <c r="D61" i="3"/>
  <c r="C61" i="3"/>
  <c r="B61" i="3"/>
  <c r="Q60" i="3"/>
  <c r="P60" i="3"/>
  <c r="O60" i="3"/>
  <c r="N60" i="3"/>
  <c r="M60" i="3"/>
  <c r="L60" i="3"/>
  <c r="K60" i="3"/>
  <c r="J60" i="3"/>
  <c r="I60" i="3"/>
  <c r="H60" i="3"/>
  <c r="G60" i="3"/>
  <c r="F60" i="3"/>
  <c r="E60" i="3"/>
  <c r="D60" i="3"/>
  <c r="C60" i="3"/>
  <c r="B60" i="3"/>
  <c r="Q59" i="3"/>
  <c r="P59" i="3"/>
  <c r="O59" i="3"/>
  <c r="N59" i="3"/>
  <c r="M59" i="3"/>
  <c r="L59" i="3"/>
  <c r="K59" i="3"/>
  <c r="J59" i="3"/>
  <c r="I59" i="3"/>
  <c r="H59" i="3"/>
  <c r="G59" i="3"/>
  <c r="F59" i="3"/>
  <c r="E59" i="3"/>
  <c r="D59" i="3"/>
  <c r="C59" i="3"/>
  <c r="B59" i="3"/>
  <c r="Q58" i="3"/>
  <c r="P58" i="3"/>
  <c r="O58" i="3"/>
  <c r="N58" i="3"/>
  <c r="M58" i="3"/>
  <c r="L58" i="3"/>
  <c r="K58" i="3"/>
  <c r="J58" i="3"/>
  <c r="I58" i="3"/>
  <c r="H58" i="3"/>
  <c r="G58" i="3"/>
  <c r="F58" i="3"/>
  <c r="E58" i="3"/>
  <c r="D58" i="3"/>
  <c r="C58" i="3"/>
  <c r="B58" i="3"/>
  <c r="Q57" i="3"/>
  <c r="P57" i="3"/>
  <c r="O57" i="3"/>
  <c r="N57" i="3"/>
  <c r="M57" i="3"/>
  <c r="L57" i="3"/>
  <c r="K57" i="3"/>
  <c r="J57" i="3"/>
  <c r="I57" i="3"/>
  <c r="H57" i="3"/>
  <c r="G57" i="3"/>
  <c r="F57" i="3"/>
  <c r="E57" i="3"/>
  <c r="D57" i="3"/>
  <c r="C57" i="3"/>
  <c r="B57" i="3"/>
  <c r="Q56" i="3"/>
  <c r="P56" i="3"/>
  <c r="O56" i="3"/>
  <c r="N56" i="3"/>
  <c r="M56" i="3"/>
  <c r="L56" i="3"/>
  <c r="K56" i="3"/>
  <c r="J56" i="3"/>
  <c r="I56" i="3"/>
  <c r="H56" i="3"/>
  <c r="G56" i="3"/>
  <c r="F56" i="3"/>
  <c r="E56" i="3"/>
  <c r="D56" i="3"/>
  <c r="C56" i="3"/>
  <c r="B56" i="3"/>
  <c r="Q55" i="3"/>
  <c r="P55" i="3"/>
  <c r="O55" i="3"/>
  <c r="N55" i="3"/>
  <c r="M55" i="3"/>
  <c r="L55" i="3"/>
  <c r="K55" i="3"/>
  <c r="J55" i="3"/>
  <c r="I55" i="3"/>
  <c r="H55" i="3"/>
  <c r="G55" i="3"/>
  <c r="F55" i="3"/>
  <c r="E55" i="3"/>
  <c r="D55" i="3"/>
  <c r="C55" i="3"/>
  <c r="B55" i="3"/>
  <c r="Q54" i="3"/>
  <c r="P54" i="3"/>
  <c r="O54" i="3"/>
  <c r="N54" i="3"/>
  <c r="M54" i="3"/>
  <c r="L54" i="3"/>
  <c r="K54" i="3"/>
  <c r="J54" i="3"/>
  <c r="I54" i="3"/>
  <c r="H54" i="3"/>
  <c r="G54" i="3"/>
  <c r="F54" i="3"/>
  <c r="E54" i="3"/>
  <c r="D54" i="3"/>
  <c r="C54" i="3"/>
  <c r="B54" i="3"/>
  <c r="Q53" i="3"/>
  <c r="P53" i="3"/>
  <c r="O53" i="3"/>
  <c r="N53" i="3"/>
  <c r="M53" i="3"/>
  <c r="L53" i="3"/>
  <c r="K53" i="3"/>
  <c r="J53" i="3"/>
  <c r="I53" i="3"/>
  <c r="H53" i="3"/>
  <c r="G53" i="3"/>
  <c r="F53" i="3"/>
  <c r="E53" i="3"/>
  <c r="D53" i="3"/>
  <c r="C53" i="3"/>
  <c r="B53" i="3"/>
  <c r="Q52" i="3"/>
  <c r="P52" i="3"/>
  <c r="O52" i="3"/>
  <c r="N52" i="3"/>
  <c r="M52" i="3"/>
  <c r="L52" i="3"/>
  <c r="K52" i="3"/>
  <c r="J52" i="3"/>
  <c r="I52" i="3"/>
  <c r="H52" i="3"/>
  <c r="G52" i="3"/>
  <c r="F52" i="3"/>
  <c r="E52" i="3"/>
  <c r="D52" i="3"/>
  <c r="C52" i="3"/>
  <c r="B52" i="3"/>
  <c r="Q51" i="3"/>
  <c r="P51" i="3"/>
  <c r="O51" i="3"/>
  <c r="N51" i="3"/>
  <c r="M51" i="3"/>
  <c r="L51" i="3"/>
  <c r="K51" i="3"/>
  <c r="J51" i="3"/>
  <c r="I51" i="3"/>
  <c r="H51" i="3"/>
  <c r="G51" i="3"/>
  <c r="F51" i="3"/>
  <c r="E51" i="3"/>
  <c r="D51" i="3"/>
  <c r="C51" i="3"/>
  <c r="B51" i="3"/>
  <c r="Q50" i="3"/>
  <c r="P50" i="3"/>
  <c r="O50" i="3"/>
  <c r="N50" i="3"/>
  <c r="M50" i="3"/>
  <c r="L50" i="3"/>
  <c r="K50" i="3"/>
  <c r="J50" i="3"/>
  <c r="I50" i="3"/>
  <c r="H50" i="3"/>
  <c r="G50" i="3"/>
  <c r="F50" i="3"/>
  <c r="E50" i="3"/>
  <c r="D50" i="3"/>
  <c r="C50" i="3"/>
  <c r="B50" i="3"/>
  <c r="Q49" i="3"/>
  <c r="P49" i="3"/>
  <c r="O49" i="3"/>
  <c r="N49" i="3"/>
  <c r="M49" i="3"/>
  <c r="L49" i="3"/>
  <c r="K49" i="3"/>
  <c r="J49" i="3"/>
  <c r="I49" i="3"/>
  <c r="H49" i="3"/>
  <c r="G49" i="3"/>
  <c r="F49" i="3"/>
  <c r="E49" i="3"/>
  <c r="D49" i="3"/>
  <c r="C49" i="3"/>
  <c r="B49" i="3"/>
  <c r="Q48" i="3"/>
  <c r="P48" i="3"/>
  <c r="O48" i="3"/>
  <c r="N48" i="3"/>
  <c r="M48" i="3"/>
  <c r="L48" i="3"/>
  <c r="K48" i="3"/>
  <c r="J48" i="3"/>
  <c r="I48" i="3"/>
  <c r="H48" i="3"/>
  <c r="G48" i="3"/>
  <c r="F48" i="3"/>
  <c r="E48" i="3"/>
  <c r="D48" i="3"/>
  <c r="C48" i="3"/>
  <c r="B48" i="3"/>
  <c r="Q47" i="3"/>
  <c r="P47" i="3"/>
  <c r="O47" i="3"/>
  <c r="N47" i="3"/>
  <c r="M47" i="3"/>
  <c r="L47" i="3"/>
  <c r="K47" i="3"/>
  <c r="J47" i="3"/>
  <c r="I47" i="3"/>
  <c r="H47" i="3"/>
  <c r="G47" i="3"/>
  <c r="F47" i="3"/>
  <c r="E47" i="3"/>
  <c r="D47" i="3"/>
  <c r="C47" i="3"/>
  <c r="B47" i="3"/>
  <c r="Q46" i="3"/>
  <c r="P46" i="3"/>
  <c r="O46" i="3"/>
  <c r="N46" i="3"/>
  <c r="M46" i="3"/>
  <c r="L46" i="3"/>
  <c r="K46" i="3"/>
  <c r="J46" i="3"/>
  <c r="I46" i="3"/>
  <c r="H46" i="3"/>
  <c r="G46" i="3"/>
  <c r="F46" i="3"/>
  <c r="E46" i="3"/>
  <c r="D46" i="3"/>
  <c r="C46" i="3"/>
  <c r="B46" i="3"/>
  <c r="Q45" i="3"/>
  <c r="P45" i="3"/>
  <c r="O45" i="3"/>
  <c r="N45" i="3"/>
  <c r="M45" i="3"/>
  <c r="L45" i="3"/>
  <c r="K45" i="3"/>
  <c r="J45" i="3"/>
  <c r="I45" i="3"/>
  <c r="H45" i="3"/>
  <c r="G45" i="3"/>
  <c r="F45" i="3"/>
  <c r="E45" i="3"/>
  <c r="D45" i="3"/>
  <c r="C45" i="3"/>
  <c r="B45" i="3"/>
  <c r="Q44" i="3"/>
  <c r="P44" i="3"/>
  <c r="O44" i="3"/>
  <c r="N44" i="3"/>
  <c r="M44" i="3"/>
  <c r="L44" i="3"/>
  <c r="K44" i="3"/>
  <c r="J44" i="3"/>
  <c r="I44" i="3"/>
  <c r="H44" i="3"/>
  <c r="G44" i="3"/>
  <c r="F44" i="3"/>
  <c r="E44" i="3"/>
  <c r="D44" i="3"/>
  <c r="C44" i="3"/>
  <c r="B44" i="3"/>
  <c r="Q43" i="3"/>
  <c r="P43" i="3"/>
  <c r="O43" i="3"/>
  <c r="N43" i="3"/>
  <c r="M43" i="3"/>
  <c r="L43" i="3"/>
  <c r="K43" i="3"/>
  <c r="J43" i="3"/>
  <c r="I43" i="3"/>
  <c r="H43" i="3"/>
  <c r="G43" i="3"/>
  <c r="F43" i="3"/>
  <c r="E43" i="3"/>
  <c r="D43" i="3"/>
  <c r="C43" i="3"/>
  <c r="B43" i="3"/>
  <c r="Q42" i="3"/>
  <c r="P42" i="3"/>
  <c r="O42" i="3"/>
  <c r="N42" i="3"/>
  <c r="M42" i="3"/>
  <c r="L42" i="3"/>
  <c r="K42" i="3"/>
  <c r="J42" i="3"/>
  <c r="I42" i="3"/>
  <c r="H42" i="3"/>
  <c r="G42" i="3"/>
  <c r="F42" i="3"/>
  <c r="E42" i="3"/>
  <c r="D42" i="3"/>
  <c r="C42" i="3"/>
  <c r="B42" i="3"/>
  <c r="Q41" i="3"/>
  <c r="P41" i="3"/>
  <c r="O41" i="3"/>
  <c r="N41" i="3"/>
  <c r="M41" i="3"/>
  <c r="L41" i="3"/>
  <c r="K41" i="3"/>
  <c r="J41" i="3"/>
  <c r="I41" i="3"/>
  <c r="H41" i="3"/>
  <c r="G41" i="3"/>
  <c r="F41" i="3"/>
  <c r="E41" i="3"/>
  <c r="D41" i="3"/>
  <c r="C41" i="3"/>
  <c r="B41" i="3"/>
  <c r="Q40" i="3"/>
  <c r="P40" i="3"/>
  <c r="O40" i="3"/>
  <c r="N40" i="3"/>
  <c r="M40" i="3"/>
  <c r="L40" i="3"/>
  <c r="K40" i="3"/>
  <c r="J40" i="3"/>
  <c r="I40" i="3"/>
  <c r="H40" i="3"/>
  <c r="G40" i="3"/>
  <c r="F40" i="3"/>
  <c r="E40" i="3"/>
  <c r="D40" i="3"/>
  <c r="C40" i="3"/>
  <c r="B40" i="3"/>
  <c r="Q39" i="3"/>
  <c r="P39" i="3"/>
  <c r="O39" i="3"/>
  <c r="N39" i="3"/>
  <c r="M39" i="3"/>
  <c r="L39" i="3"/>
  <c r="K39" i="3"/>
  <c r="J39" i="3"/>
  <c r="I39" i="3"/>
  <c r="H39" i="3"/>
  <c r="G39" i="3"/>
  <c r="F39" i="3"/>
  <c r="E39" i="3"/>
  <c r="D39" i="3"/>
  <c r="C39" i="3"/>
  <c r="B39" i="3"/>
  <c r="Q38" i="3"/>
  <c r="P38" i="3"/>
  <c r="O38" i="3"/>
  <c r="N38" i="3"/>
  <c r="M38" i="3"/>
  <c r="L38" i="3"/>
  <c r="K38" i="3"/>
  <c r="J38" i="3"/>
  <c r="I38" i="3"/>
  <c r="H38" i="3"/>
  <c r="G38" i="3"/>
  <c r="F38" i="3"/>
  <c r="E38" i="3"/>
  <c r="D38" i="3"/>
  <c r="C38" i="3"/>
  <c r="B38" i="3"/>
  <c r="Q37" i="3"/>
  <c r="O37" i="3"/>
  <c r="N37" i="3"/>
  <c r="M37" i="3"/>
  <c r="L37" i="3"/>
  <c r="K37" i="3"/>
  <c r="J37" i="3"/>
  <c r="I37" i="3"/>
  <c r="H37" i="3"/>
  <c r="G37" i="3"/>
  <c r="F37" i="3"/>
  <c r="E37" i="3"/>
  <c r="D37" i="3"/>
  <c r="C37" i="3"/>
  <c r="B37" i="3"/>
  <c r="Q36" i="3"/>
  <c r="O36" i="3"/>
  <c r="N36" i="3"/>
  <c r="M36" i="3"/>
  <c r="L36" i="3"/>
  <c r="K36" i="3"/>
  <c r="J36" i="3"/>
  <c r="I36" i="3"/>
  <c r="H36" i="3"/>
  <c r="G36" i="3"/>
  <c r="F36" i="3"/>
  <c r="E36" i="3"/>
  <c r="D36" i="3"/>
  <c r="C36" i="3"/>
  <c r="B36" i="3"/>
  <c r="Q35" i="3"/>
  <c r="O35" i="3"/>
  <c r="N35" i="3"/>
  <c r="M35" i="3"/>
  <c r="L35" i="3"/>
  <c r="K35" i="3"/>
  <c r="J35" i="3"/>
  <c r="I35" i="3"/>
  <c r="H35" i="3"/>
  <c r="G35" i="3"/>
  <c r="F35" i="3"/>
  <c r="E35" i="3"/>
  <c r="D35" i="3"/>
  <c r="C35" i="3"/>
  <c r="B35" i="3"/>
  <c r="Q34" i="3"/>
  <c r="L34" i="3"/>
  <c r="I34" i="3"/>
  <c r="F34" i="3"/>
  <c r="D34" i="3"/>
  <c r="C34" i="3"/>
  <c r="B34" i="3"/>
  <c r="Q33" i="3"/>
  <c r="D33" i="3"/>
  <c r="C33" i="3"/>
  <c r="B33" i="3"/>
  <c r="Q32" i="3"/>
  <c r="D32" i="3"/>
  <c r="C32" i="3"/>
  <c r="B32" i="3"/>
  <c r="Q31" i="3"/>
  <c r="D31" i="3"/>
  <c r="C31" i="3"/>
  <c r="B31" i="3"/>
  <c r="Q30" i="3"/>
  <c r="D30" i="3"/>
  <c r="C30" i="3"/>
  <c r="B30" i="3"/>
  <c r="Q29" i="3"/>
  <c r="D29" i="3"/>
  <c r="C29" i="3"/>
  <c r="B29" i="3"/>
  <c r="Q28" i="3"/>
  <c r="D28" i="3"/>
  <c r="C28" i="3"/>
  <c r="B28" i="3"/>
  <c r="Q27" i="3"/>
  <c r="D27" i="3"/>
  <c r="C27" i="3"/>
  <c r="B27" i="3"/>
  <c r="Q26" i="3"/>
  <c r="D26" i="3"/>
  <c r="C26" i="3"/>
  <c r="B26" i="3"/>
  <c r="Q25" i="3"/>
  <c r="D25" i="3"/>
  <c r="C25" i="3"/>
  <c r="B25" i="3"/>
  <c r="Q24" i="3"/>
  <c r="D24" i="3"/>
  <c r="C24" i="3"/>
  <c r="B24" i="3"/>
  <c r="Q23" i="3"/>
  <c r="D23" i="3"/>
  <c r="C23" i="3"/>
  <c r="B23" i="3"/>
  <c r="Q22" i="3"/>
  <c r="D22" i="3"/>
  <c r="C22" i="3"/>
  <c r="B22" i="3"/>
  <c r="Q21" i="3"/>
  <c r="D21" i="3"/>
  <c r="C21" i="3"/>
  <c r="B21" i="3"/>
  <c r="Q20" i="3"/>
  <c r="D20" i="3"/>
  <c r="C20" i="3"/>
  <c r="B20" i="3"/>
  <c r="Q19" i="3"/>
  <c r="D19" i="3"/>
  <c r="C19" i="3"/>
  <c r="B19" i="3"/>
  <c r="Q18" i="3"/>
  <c r="D18" i="3"/>
  <c r="C18" i="3"/>
  <c r="B18" i="3"/>
  <c r="Q17" i="3"/>
  <c r="D17" i="3"/>
  <c r="C17" i="3"/>
  <c r="B17" i="3"/>
  <c r="Q16" i="3"/>
  <c r="D16" i="3"/>
  <c r="C16" i="3"/>
  <c r="B16" i="3"/>
  <c r="Q15" i="3"/>
  <c r="D15" i="3"/>
  <c r="C15" i="3"/>
  <c r="B15" i="3"/>
  <c r="Q14" i="3"/>
  <c r="D14" i="3"/>
  <c r="C14" i="3"/>
  <c r="B14" i="3"/>
  <c r="Q13" i="3"/>
  <c r="D13" i="3"/>
  <c r="C13" i="3"/>
  <c r="L13" i="3" s="1"/>
  <c r="B13" i="3"/>
  <c r="Q12" i="3"/>
  <c r="D12" i="3"/>
  <c r="C12" i="3"/>
  <c r="B12" i="3"/>
  <c r="Q11" i="3"/>
  <c r="D11" i="3"/>
  <c r="C11" i="3"/>
  <c r="B11" i="3"/>
  <c r="Q10" i="3"/>
  <c r="D10" i="3"/>
  <c r="C10" i="3"/>
  <c r="B10" i="3"/>
  <c r="Q9" i="3"/>
  <c r="D9" i="3"/>
  <c r="C9" i="3"/>
  <c r="B9" i="3"/>
  <c r="E6" i="3"/>
  <c r="C6" i="3"/>
  <c r="C5" i="3"/>
  <c r="Y110" i="7"/>
  <c r="U110" i="7"/>
  <c r="Q110" i="7"/>
  <c r="P110" i="7"/>
  <c r="M110" i="7"/>
  <c r="J110" i="7"/>
  <c r="I110" i="7"/>
  <c r="E110" i="7"/>
  <c r="D110" i="7"/>
  <c r="C110" i="7"/>
  <c r="B110" i="7"/>
  <c r="Y109" i="7"/>
  <c r="U109" i="7"/>
  <c r="Q109" i="7"/>
  <c r="P109" i="7"/>
  <c r="M109" i="7"/>
  <c r="J109" i="7"/>
  <c r="I109" i="7"/>
  <c r="E109" i="7"/>
  <c r="D109" i="7"/>
  <c r="C109" i="7"/>
  <c r="B109" i="7"/>
  <c r="A109" i="7"/>
  <c r="Y108" i="7"/>
  <c r="U108" i="7"/>
  <c r="Q108" i="7"/>
  <c r="P108" i="7"/>
  <c r="M108" i="7"/>
  <c r="J108" i="7"/>
  <c r="I108" i="7"/>
  <c r="E108" i="7"/>
  <c r="D108" i="7"/>
  <c r="C108" i="7"/>
  <c r="B108" i="7"/>
  <c r="A108" i="7"/>
  <c r="Y107" i="7"/>
  <c r="U107" i="7"/>
  <c r="Q107" i="7"/>
  <c r="P107" i="7"/>
  <c r="M107" i="7"/>
  <c r="J107" i="7"/>
  <c r="I107" i="7"/>
  <c r="E107" i="7"/>
  <c r="D107" i="7"/>
  <c r="C107" i="7"/>
  <c r="B107" i="7"/>
  <c r="A107" i="7"/>
  <c r="Y106" i="7"/>
  <c r="U106" i="7"/>
  <c r="Q106" i="7"/>
  <c r="P106" i="7"/>
  <c r="M106" i="7"/>
  <c r="J106" i="7"/>
  <c r="I106" i="7"/>
  <c r="E106" i="7"/>
  <c r="D106" i="7"/>
  <c r="C106" i="7"/>
  <c r="B106" i="7"/>
  <c r="A106" i="7"/>
  <c r="Y105" i="7"/>
  <c r="U105" i="7"/>
  <c r="Q105" i="7"/>
  <c r="P105" i="7"/>
  <c r="M105" i="7"/>
  <c r="J105" i="7"/>
  <c r="I105" i="7"/>
  <c r="E105" i="7"/>
  <c r="D105" i="7"/>
  <c r="C105" i="7"/>
  <c r="B105" i="7"/>
  <c r="A105" i="7"/>
  <c r="Y104" i="7"/>
  <c r="U104" i="7"/>
  <c r="Q104" i="7"/>
  <c r="P104" i="7"/>
  <c r="M104" i="7"/>
  <c r="J104" i="7"/>
  <c r="I104" i="7"/>
  <c r="E104" i="7"/>
  <c r="D104" i="7"/>
  <c r="C104" i="7"/>
  <c r="B104" i="7"/>
  <c r="A104" i="7"/>
  <c r="Y103" i="7"/>
  <c r="U103" i="7"/>
  <c r="Q103" i="7"/>
  <c r="P103" i="7"/>
  <c r="M103" i="7"/>
  <c r="J103" i="7"/>
  <c r="I103" i="7"/>
  <c r="E103" i="7"/>
  <c r="D103" i="7"/>
  <c r="C103" i="7"/>
  <c r="B103" i="7"/>
  <c r="A103" i="7"/>
  <c r="Y102" i="7"/>
  <c r="U102" i="7"/>
  <c r="Q102" i="7"/>
  <c r="P102" i="7"/>
  <c r="M102" i="7"/>
  <c r="J102" i="7"/>
  <c r="I102" i="7"/>
  <c r="E102" i="7"/>
  <c r="D102" i="7"/>
  <c r="C102" i="7"/>
  <c r="B102" i="7"/>
  <c r="A102" i="7"/>
  <c r="Y101" i="7"/>
  <c r="U101" i="7"/>
  <c r="Q101" i="7"/>
  <c r="P101" i="7"/>
  <c r="M101" i="7"/>
  <c r="J101" i="7"/>
  <c r="I101" i="7"/>
  <c r="E101" i="7"/>
  <c r="D101" i="7"/>
  <c r="C101" i="7"/>
  <c r="B101" i="7"/>
  <c r="A101" i="7"/>
  <c r="Y100" i="7"/>
  <c r="U100" i="7"/>
  <c r="Q100" i="7"/>
  <c r="P100" i="7"/>
  <c r="M100" i="7"/>
  <c r="J100" i="7"/>
  <c r="I100" i="7"/>
  <c r="E100" i="7"/>
  <c r="D100" i="7"/>
  <c r="C100" i="7"/>
  <c r="B100" i="7"/>
  <c r="A100" i="7"/>
  <c r="Y99" i="7"/>
  <c r="U99" i="7"/>
  <c r="Q99" i="7"/>
  <c r="P99" i="7"/>
  <c r="M99" i="7"/>
  <c r="J99" i="7"/>
  <c r="I99" i="7"/>
  <c r="E99" i="7"/>
  <c r="D99" i="7"/>
  <c r="C99" i="7"/>
  <c r="B99" i="7"/>
  <c r="A99" i="7"/>
  <c r="Y98" i="7"/>
  <c r="U98" i="7"/>
  <c r="Q98" i="7"/>
  <c r="P98" i="7"/>
  <c r="M98" i="7"/>
  <c r="J98" i="7"/>
  <c r="I98" i="7"/>
  <c r="E98" i="7"/>
  <c r="D98" i="7"/>
  <c r="C98" i="7"/>
  <c r="B98" i="7"/>
  <c r="A98" i="7"/>
  <c r="Y97" i="7"/>
  <c r="U97" i="7"/>
  <c r="Q97" i="7"/>
  <c r="P97" i="7"/>
  <c r="M97" i="7"/>
  <c r="J97" i="7"/>
  <c r="I97" i="7"/>
  <c r="E97" i="7"/>
  <c r="D97" i="7"/>
  <c r="C97" i="7"/>
  <c r="B97" i="7"/>
  <c r="A97" i="7"/>
  <c r="Y96" i="7"/>
  <c r="U96" i="7"/>
  <c r="Q96" i="7"/>
  <c r="P96" i="7"/>
  <c r="M96" i="7"/>
  <c r="J96" i="7"/>
  <c r="I96" i="7"/>
  <c r="E96" i="7"/>
  <c r="D96" i="7"/>
  <c r="C96" i="7"/>
  <c r="B96" i="7"/>
  <c r="A96" i="7"/>
  <c r="Y95" i="7"/>
  <c r="U95" i="7"/>
  <c r="Q95" i="7"/>
  <c r="P95" i="7"/>
  <c r="M95" i="7"/>
  <c r="J95" i="7"/>
  <c r="I95" i="7"/>
  <c r="E95" i="7"/>
  <c r="D95" i="7"/>
  <c r="C95" i="7"/>
  <c r="B95" i="7"/>
  <c r="A95" i="7"/>
  <c r="Y94" i="7"/>
  <c r="U94" i="7"/>
  <c r="Q94" i="7"/>
  <c r="P94" i="7"/>
  <c r="M94" i="7"/>
  <c r="J94" i="7"/>
  <c r="I94" i="7"/>
  <c r="E94" i="7"/>
  <c r="D94" i="7"/>
  <c r="C94" i="7"/>
  <c r="B94" i="7"/>
  <c r="A94" i="7"/>
  <c r="Y93" i="7"/>
  <c r="U93" i="7"/>
  <c r="Q93" i="7"/>
  <c r="P93" i="7"/>
  <c r="M93" i="7"/>
  <c r="J93" i="7"/>
  <c r="I93" i="7"/>
  <c r="E93" i="7"/>
  <c r="D93" i="7"/>
  <c r="C93" i="7"/>
  <c r="B93" i="7"/>
  <c r="A93" i="7"/>
  <c r="Y92" i="7"/>
  <c r="U92" i="7"/>
  <c r="Q92" i="7"/>
  <c r="P92" i="7"/>
  <c r="M92" i="7"/>
  <c r="J92" i="7"/>
  <c r="I92" i="7"/>
  <c r="E92" i="7"/>
  <c r="D92" i="7"/>
  <c r="C92" i="7"/>
  <c r="B92" i="7"/>
  <c r="A92" i="7"/>
  <c r="Y91" i="7"/>
  <c r="U91" i="7"/>
  <c r="Q91" i="7"/>
  <c r="P91" i="7"/>
  <c r="M91" i="7"/>
  <c r="J91" i="7"/>
  <c r="I91" i="7"/>
  <c r="E91" i="7"/>
  <c r="D91" i="7"/>
  <c r="C91" i="7"/>
  <c r="B91" i="7"/>
  <c r="A91" i="7"/>
  <c r="Y90" i="7"/>
  <c r="U90" i="7"/>
  <c r="Q90" i="7"/>
  <c r="P90" i="7"/>
  <c r="M90" i="7"/>
  <c r="J90" i="7"/>
  <c r="I90" i="7"/>
  <c r="E90" i="7"/>
  <c r="D90" i="7"/>
  <c r="C90" i="7"/>
  <c r="B90" i="7"/>
  <c r="A90" i="7"/>
  <c r="Y89" i="7"/>
  <c r="U89" i="7"/>
  <c r="Q89" i="7"/>
  <c r="P89" i="7"/>
  <c r="M89" i="7"/>
  <c r="J89" i="7"/>
  <c r="I89" i="7"/>
  <c r="E89" i="7"/>
  <c r="D89" i="7"/>
  <c r="C89" i="7"/>
  <c r="B89" i="7"/>
  <c r="A89" i="7"/>
  <c r="Y88" i="7"/>
  <c r="U88" i="7"/>
  <c r="Q88" i="7"/>
  <c r="P88" i="7"/>
  <c r="M88" i="7"/>
  <c r="J88" i="7"/>
  <c r="I88" i="7"/>
  <c r="E88" i="7"/>
  <c r="D88" i="7"/>
  <c r="C88" i="7"/>
  <c r="B88" i="7"/>
  <c r="A88" i="7"/>
  <c r="Y87" i="7"/>
  <c r="U87" i="7"/>
  <c r="Q87" i="7"/>
  <c r="P87" i="7"/>
  <c r="M87" i="7"/>
  <c r="J87" i="7"/>
  <c r="I87" i="7"/>
  <c r="E87" i="7"/>
  <c r="D87" i="7"/>
  <c r="C87" i="7"/>
  <c r="B87" i="7"/>
  <c r="A87" i="7"/>
  <c r="Y86" i="7"/>
  <c r="U86" i="7"/>
  <c r="Q86" i="7"/>
  <c r="P86" i="7"/>
  <c r="M86" i="7"/>
  <c r="J86" i="7"/>
  <c r="I86" i="7"/>
  <c r="E86" i="7"/>
  <c r="D86" i="7"/>
  <c r="C86" i="7"/>
  <c r="B86" i="7"/>
  <c r="A86" i="7"/>
  <c r="Y85" i="7"/>
  <c r="U85" i="7"/>
  <c r="Q85" i="7"/>
  <c r="P85" i="7"/>
  <c r="M85" i="7"/>
  <c r="J85" i="7"/>
  <c r="I85" i="7"/>
  <c r="E85" i="7"/>
  <c r="D85" i="7"/>
  <c r="C85" i="7"/>
  <c r="B85" i="7"/>
  <c r="A85" i="7"/>
  <c r="Y84" i="7"/>
  <c r="U84" i="7"/>
  <c r="Q84" i="7"/>
  <c r="P84" i="7"/>
  <c r="M84" i="7"/>
  <c r="J84" i="7"/>
  <c r="I84" i="7"/>
  <c r="E84" i="7"/>
  <c r="D84" i="7"/>
  <c r="C84" i="7"/>
  <c r="B84" i="7"/>
  <c r="A84" i="7"/>
  <c r="Y83" i="7"/>
  <c r="U83" i="7"/>
  <c r="Q83" i="7"/>
  <c r="P83" i="7"/>
  <c r="M83" i="7"/>
  <c r="J83" i="7"/>
  <c r="I83" i="7"/>
  <c r="E83" i="7"/>
  <c r="D83" i="7"/>
  <c r="C83" i="7"/>
  <c r="B83" i="7"/>
  <c r="A83" i="7"/>
  <c r="Y82" i="7"/>
  <c r="U82" i="7"/>
  <c r="Q82" i="7"/>
  <c r="P82" i="7"/>
  <c r="M82" i="7"/>
  <c r="J82" i="7"/>
  <c r="I82" i="7"/>
  <c r="E82" i="7"/>
  <c r="D82" i="7"/>
  <c r="C82" i="7"/>
  <c r="B82" i="7"/>
  <c r="A82" i="7"/>
  <c r="Y81" i="7"/>
  <c r="U81" i="7"/>
  <c r="Q81" i="7"/>
  <c r="P81" i="7"/>
  <c r="M81" i="7"/>
  <c r="J81" i="7"/>
  <c r="I81" i="7"/>
  <c r="E81" i="7"/>
  <c r="D81" i="7"/>
  <c r="C81" i="7"/>
  <c r="B81" i="7"/>
  <c r="A81" i="7"/>
  <c r="Y80" i="7"/>
  <c r="U80" i="7"/>
  <c r="Q80" i="7"/>
  <c r="P80" i="7"/>
  <c r="M80" i="7"/>
  <c r="J80" i="7"/>
  <c r="I80" i="7"/>
  <c r="E80" i="7"/>
  <c r="D80" i="7"/>
  <c r="C80" i="7"/>
  <c r="B80" i="7"/>
  <c r="A80" i="7"/>
  <c r="Y79" i="7"/>
  <c r="U79" i="7"/>
  <c r="Q79" i="7"/>
  <c r="P79" i="7"/>
  <c r="M79" i="7"/>
  <c r="J79" i="7"/>
  <c r="I79" i="7"/>
  <c r="E79" i="7"/>
  <c r="D79" i="7"/>
  <c r="C79" i="7"/>
  <c r="B79" i="7"/>
  <c r="A79" i="7"/>
  <c r="Y78" i="7"/>
  <c r="U78" i="7"/>
  <c r="Q78" i="7"/>
  <c r="P78" i="7"/>
  <c r="M78" i="7"/>
  <c r="J78" i="7"/>
  <c r="I78" i="7"/>
  <c r="E78" i="7"/>
  <c r="D78" i="7"/>
  <c r="C78" i="7"/>
  <c r="B78" i="7"/>
  <c r="A78" i="7"/>
  <c r="Y77" i="7"/>
  <c r="U77" i="7"/>
  <c r="Q77" i="7"/>
  <c r="P77" i="7"/>
  <c r="M77" i="7"/>
  <c r="J77" i="7"/>
  <c r="I77" i="7"/>
  <c r="E77" i="7"/>
  <c r="D77" i="7"/>
  <c r="C77" i="7"/>
  <c r="B77" i="7"/>
  <c r="A77" i="7"/>
  <c r="Y76" i="7"/>
  <c r="U76" i="7"/>
  <c r="Q76" i="7"/>
  <c r="P76" i="7"/>
  <c r="M76" i="7"/>
  <c r="J76" i="7"/>
  <c r="I76" i="7"/>
  <c r="E76" i="7"/>
  <c r="D76" i="7"/>
  <c r="C76" i="7"/>
  <c r="B76" i="7"/>
  <c r="A76" i="7"/>
  <c r="Y75" i="7"/>
  <c r="U75" i="7"/>
  <c r="Q75" i="7"/>
  <c r="P75" i="7"/>
  <c r="M75" i="7"/>
  <c r="J75" i="7"/>
  <c r="I75" i="7"/>
  <c r="E75" i="7"/>
  <c r="D75" i="7"/>
  <c r="C75" i="7"/>
  <c r="B75" i="7"/>
  <c r="A75" i="7"/>
  <c r="Y74" i="7"/>
  <c r="U74" i="7"/>
  <c r="Q74" i="7"/>
  <c r="P74" i="7"/>
  <c r="M74" i="7"/>
  <c r="J74" i="7"/>
  <c r="I74" i="7"/>
  <c r="E74" i="7"/>
  <c r="D74" i="7"/>
  <c r="C74" i="7"/>
  <c r="B74" i="7"/>
  <c r="A74" i="7"/>
  <c r="Y73" i="7"/>
  <c r="U73" i="7"/>
  <c r="Q73" i="7"/>
  <c r="P73" i="7"/>
  <c r="M73" i="7"/>
  <c r="J73" i="7"/>
  <c r="I73" i="7"/>
  <c r="E73" i="7"/>
  <c r="D73" i="7"/>
  <c r="C73" i="7"/>
  <c r="B73" i="7"/>
  <c r="A73" i="7"/>
  <c r="Y72" i="7"/>
  <c r="U72" i="7"/>
  <c r="Q72" i="7"/>
  <c r="P72" i="7"/>
  <c r="M72" i="7"/>
  <c r="J72" i="7"/>
  <c r="I72" i="7"/>
  <c r="E72" i="7"/>
  <c r="D72" i="7"/>
  <c r="C72" i="7"/>
  <c r="B72" i="7"/>
  <c r="A72" i="7"/>
  <c r="Y71" i="7"/>
  <c r="U71" i="7"/>
  <c r="Q71" i="7"/>
  <c r="P71" i="7"/>
  <c r="M71" i="7"/>
  <c r="J71" i="7"/>
  <c r="I71" i="7"/>
  <c r="E71" i="7"/>
  <c r="D71" i="7"/>
  <c r="C71" i="7"/>
  <c r="B71" i="7"/>
  <c r="A71" i="7"/>
  <c r="Y70" i="7"/>
  <c r="U70" i="7"/>
  <c r="Q70" i="7"/>
  <c r="P70" i="7"/>
  <c r="M70" i="7"/>
  <c r="J70" i="7"/>
  <c r="I70" i="7"/>
  <c r="E70" i="7"/>
  <c r="D70" i="7"/>
  <c r="C70" i="7"/>
  <c r="B70" i="7"/>
  <c r="A70" i="7"/>
  <c r="Y69" i="7"/>
  <c r="U69" i="7"/>
  <c r="Q69" i="7"/>
  <c r="P69" i="7"/>
  <c r="M69" i="7"/>
  <c r="J69" i="7"/>
  <c r="I69" i="7"/>
  <c r="E69" i="7"/>
  <c r="D69" i="7"/>
  <c r="C69" i="7"/>
  <c r="B69" i="7"/>
  <c r="Y68" i="7"/>
  <c r="U68" i="7"/>
  <c r="Q68" i="7"/>
  <c r="P68" i="7"/>
  <c r="M68" i="7"/>
  <c r="J68" i="7"/>
  <c r="I68" i="7"/>
  <c r="E68" i="7"/>
  <c r="D68" i="7"/>
  <c r="C68" i="7"/>
  <c r="B68" i="7"/>
  <c r="Y67" i="7"/>
  <c r="U67" i="7"/>
  <c r="Q67" i="7"/>
  <c r="P67" i="7"/>
  <c r="M67" i="7"/>
  <c r="J67" i="7"/>
  <c r="I67" i="7"/>
  <c r="E67" i="7"/>
  <c r="D67" i="7"/>
  <c r="C67" i="7"/>
  <c r="B67" i="7"/>
  <c r="Y66" i="7"/>
  <c r="U66" i="7"/>
  <c r="Q66" i="7"/>
  <c r="P66" i="7"/>
  <c r="M66" i="7"/>
  <c r="J66" i="7"/>
  <c r="I66" i="7"/>
  <c r="E66" i="7"/>
  <c r="D66" i="7"/>
  <c r="C66" i="7"/>
  <c r="B66" i="7"/>
  <c r="Y65" i="7"/>
  <c r="U65" i="7"/>
  <c r="Q65" i="7"/>
  <c r="P65" i="7"/>
  <c r="M65" i="7"/>
  <c r="J65" i="7"/>
  <c r="I65" i="7"/>
  <c r="E65" i="7"/>
  <c r="D65" i="7"/>
  <c r="C65" i="7"/>
  <c r="B65" i="7"/>
  <c r="Y64" i="7"/>
  <c r="U64" i="7"/>
  <c r="Q64" i="7"/>
  <c r="P64" i="7"/>
  <c r="M64" i="7"/>
  <c r="J64" i="7"/>
  <c r="I64" i="7"/>
  <c r="E64" i="7"/>
  <c r="D64" i="7"/>
  <c r="C64" i="7"/>
  <c r="B64" i="7"/>
  <c r="Y63" i="7"/>
  <c r="U63" i="7"/>
  <c r="Q63" i="7"/>
  <c r="P63" i="7"/>
  <c r="M63" i="7"/>
  <c r="J63" i="7"/>
  <c r="I63" i="7"/>
  <c r="E63" i="7"/>
  <c r="D63" i="7"/>
  <c r="C63" i="7"/>
  <c r="B63" i="7"/>
  <c r="Y62" i="7"/>
  <c r="U62" i="7"/>
  <c r="Q62" i="7"/>
  <c r="P62" i="7"/>
  <c r="M62" i="7"/>
  <c r="J62" i="7"/>
  <c r="I62" i="7"/>
  <c r="E62" i="7"/>
  <c r="D62" i="7"/>
  <c r="C62" i="7"/>
  <c r="B62" i="7"/>
  <c r="Y61" i="7"/>
  <c r="U61" i="7"/>
  <c r="Q61" i="7"/>
  <c r="P61" i="7"/>
  <c r="M61" i="7"/>
  <c r="J61" i="7"/>
  <c r="I61" i="7"/>
  <c r="E61" i="7"/>
  <c r="D61" i="7"/>
  <c r="C61" i="7"/>
  <c r="B61" i="7"/>
  <c r="Y60" i="7"/>
  <c r="U60" i="7"/>
  <c r="Q60" i="7"/>
  <c r="P60" i="7"/>
  <c r="M60" i="7"/>
  <c r="J60" i="7"/>
  <c r="I60" i="7"/>
  <c r="E60" i="7"/>
  <c r="D60" i="7"/>
  <c r="C60" i="7"/>
  <c r="B60" i="7"/>
  <c r="Y59" i="7"/>
  <c r="U59" i="7"/>
  <c r="Q59" i="7"/>
  <c r="P59" i="7"/>
  <c r="M59" i="7"/>
  <c r="J59" i="7"/>
  <c r="I59" i="7"/>
  <c r="E59" i="7"/>
  <c r="D59" i="7"/>
  <c r="C59" i="7"/>
  <c r="B59" i="7"/>
  <c r="Y58" i="7"/>
  <c r="U58" i="7"/>
  <c r="Q58" i="7"/>
  <c r="P58" i="7"/>
  <c r="M58" i="7"/>
  <c r="J58" i="7"/>
  <c r="I58" i="7"/>
  <c r="E58" i="7"/>
  <c r="D58" i="7"/>
  <c r="C58" i="7"/>
  <c r="B58" i="7"/>
  <c r="Y57" i="7"/>
  <c r="U57" i="7"/>
  <c r="Q57" i="7"/>
  <c r="P57" i="7"/>
  <c r="M57" i="7"/>
  <c r="J57" i="7"/>
  <c r="I57" i="7"/>
  <c r="E57" i="7"/>
  <c r="D57" i="7"/>
  <c r="C57" i="7"/>
  <c r="B57" i="7"/>
  <c r="Y56" i="7"/>
  <c r="U56" i="7"/>
  <c r="Q56" i="7"/>
  <c r="P56" i="7"/>
  <c r="M56" i="7"/>
  <c r="J56" i="7"/>
  <c r="I56" i="7"/>
  <c r="E56" i="7"/>
  <c r="D56" i="7"/>
  <c r="C56" i="7"/>
  <c r="B56" i="7"/>
  <c r="Y55" i="7"/>
  <c r="U55" i="7"/>
  <c r="Q55" i="7"/>
  <c r="P55" i="7"/>
  <c r="M55" i="7"/>
  <c r="J55" i="7"/>
  <c r="I55" i="7"/>
  <c r="E55" i="7"/>
  <c r="D55" i="7"/>
  <c r="C55" i="7"/>
  <c r="B55" i="7"/>
  <c r="Y54" i="7"/>
  <c r="U54" i="7"/>
  <c r="Q54" i="7"/>
  <c r="P54" i="7"/>
  <c r="M54" i="7"/>
  <c r="J54" i="7"/>
  <c r="I54" i="7"/>
  <c r="E54" i="7"/>
  <c r="D54" i="7"/>
  <c r="C54" i="7"/>
  <c r="B54" i="7"/>
  <c r="Y53" i="7"/>
  <c r="U53" i="7"/>
  <c r="Q53" i="7"/>
  <c r="P53" i="7"/>
  <c r="M53" i="7"/>
  <c r="J53" i="7"/>
  <c r="I53" i="7"/>
  <c r="E53" i="7"/>
  <c r="D53" i="7"/>
  <c r="C53" i="7"/>
  <c r="B53" i="7"/>
  <c r="Y52" i="7"/>
  <c r="U52" i="7"/>
  <c r="Q52" i="7"/>
  <c r="P52" i="7"/>
  <c r="M52" i="7"/>
  <c r="J52" i="7"/>
  <c r="I52" i="7"/>
  <c r="E52" i="7"/>
  <c r="D52" i="7"/>
  <c r="C52" i="7"/>
  <c r="B52" i="7"/>
  <c r="Y51" i="7"/>
  <c r="U51" i="7"/>
  <c r="Q51" i="7"/>
  <c r="P51" i="7"/>
  <c r="M51" i="7"/>
  <c r="J51" i="7"/>
  <c r="I51" i="7"/>
  <c r="E51" i="7"/>
  <c r="D51" i="7"/>
  <c r="C51" i="7"/>
  <c r="B51" i="7"/>
  <c r="Y50" i="7"/>
  <c r="U50" i="7"/>
  <c r="Q50" i="7"/>
  <c r="P50" i="7"/>
  <c r="M50" i="7"/>
  <c r="J50" i="7"/>
  <c r="I50" i="7"/>
  <c r="E50" i="7"/>
  <c r="D50" i="7"/>
  <c r="C50" i="7"/>
  <c r="B50" i="7"/>
  <c r="Y49" i="7"/>
  <c r="U49" i="7"/>
  <c r="Q49" i="7"/>
  <c r="P49" i="7"/>
  <c r="M49" i="7"/>
  <c r="J49" i="7"/>
  <c r="I49" i="7"/>
  <c r="E49" i="7"/>
  <c r="D49" i="7"/>
  <c r="C49" i="7"/>
  <c r="B49" i="7"/>
  <c r="Y48" i="7"/>
  <c r="U48" i="7"/>
  <c r="Q48" i="7"/>
  <c r="P48" i="7"/>
  <c r="M48" i="7"/>
  <c r="J48" i="7"/>
  <c r="I48" i="7"/>
  <c r="E48" i="7"/>
  <c r="D48" i="7"/>
  <c r="C48" i="7"/>
  <c r="B48" i="7"/>
  <c r="Y47" i="7"/>
  <c r="U47" i="7"/>
  <c r="Q47" i="7"/>
  <c r="P47" i="7"/>
  <c r="M47" i="7"/>
  <c r="J47" i="7"/>
  <c r="I47" i="7"/>
  <c r="E47" i="7"/>
  <c r="D47" i="7"/>
  <c r="C47" i="7"/>
  <c r="B47" i="7"/>
  <c r="Y46" i="7"/>
  <c r="U46" i="7"/>
  <c r="Q46" i="7"/>
  <c r="P46" i="7"/>
  <c r="M46" i="7"/>
  <c r="J46" i="7"/>
  <c r="I46" i="7"/>
  <c r="E46" i="7"/>
  <c r="D46" i="7"/>
  <c r="C46" i="7"/>
  <c r="B46" i="7"/>
  <c r="Y45" i="7"/>
  <c r="U45" i="7"/>
  <c r="Q45" i="7"/>
  <c r="P45" i="7"/>
  <c r="M45" i="7"/>
  <c r="J45" i="7"/>
  <c r="I45" i="7"/>
  <c r="E45" i="7"/>
  <c r="D45" i="7"/>
  <c r="C45" i="7"/>
  <c r="B45" i="7"/>
  <c r="Y44" i="7"/>
  <c r="U44" i="7"/>
  <c r="Q44" i="7"/>
  <c r="P44" i="7"/>
  <c r="M44" i="7"/>
  <c r="J44" i="7"/>
  <c r="I44" i="7"/>
  <c r="E44" i="7"/>
  <c r="D44" i="7"/>
  <c r="C44" i="7"/>
  <c r="B44" i="7"/>
  <c r="Y43" i="7"/>
  <c r="U43" i="7"/>
  <c r="Q43" i="7"/>
  <c r="P43" i="7"/>
  <c r="M43" i="7"/>
  <c r="J43" i="7"/>
  <c r="I43" i="7"/>
  <c r="E43" i="7"/>
  <c r="D43" i="7"/>
  <c r="C43" i="7"/>
  <c r="B43" i="7"/>
  <c r="Y42" i="7"/>
  <c r="U42" i="7"/>
  <c r="Q42" i="7"/>
  <c r="P42" i="7"/>
  <c r="M42" i="7"/>
  <c r="J42" i="7"/>
  <c r="I42" i="7"/>
  <c r="E42" i="7"/>
  <c r="D42" i="7"/>
  <c r="C42" i="7"/>
  <c r="B42" i="7"/>
  <c r="Y41" i="7"/>
  <c r="U41" i="7"/>
  <c r="Q41" i="7"/>
  <c r="P41" i="7"/>
  <c r="M41" i="7"/>
  <c r="J41" i="7"/>
  <c r="I41" i="7"/>
  <c r="E41" i="7"/>
  <c r="D41" i="7"/>
  <c r="C41" i="7"/>
  <c r="B41" i="7"/>
  <c r="Y40" i="7"/>
  <c r="U40" i="7"/>
  <c r="Q40" i="7"/>
  <c r="P40" i="7"/>
  <c r="M40" i="7"/>
  <c r="J40" i="7"/>
  <c r="I40" i="7"/>
  <c r="E40" i="7"/>
  <c r="D40" i="7"/>
  <c r="C40" i="7"/>
  <c r="B40" i="7"/>
  <c r="Y39" i="7"/>
  <c r="U39" i="7"/>
  <c r="P37" i="3" s="1"/>
  <c r="Q39" i="7"/>
  <c r="P39" i="7"/>
  <c r="M39" i="7"/>
  <c r="J39" i="7"/>
  <c r="I39" i="7"/>
  <c r="E39" i="7"/>
  <c r="D39" i="7"/>
  <c r="C39" i="7"/>
  <c r="B39" i="7"/>
  <c r="Y38" i="7"/>
  <c r="U38" i="7"/>
  <c r="P36" i="3" s="1"/>
  <c r="Q38" i="7"/>
  <c r="P38" i="7"/>
  <c r="M38" i="7"/>
  <c r="J38" i="7"/>
  <c r="I38" i="7"/>
  <c r="E38" i="7"/>
  <c r="D38" i="7"/>
  <c r="C38" i="7"/>
  <c r="B38" i="7"/>
  <c r="Y37" i="7"/>
  <c r="U37" i="7"/>
  <c r="P35" i="3" s="1"/>
  <c r="Q37" i="7"/>
  <c r="M37" i="7"/>
  <c r="P37" i="7" s="1"/>
  <c r="J37" i="7"/>
  <c r="I37" i="7"/>
  <c r="E37" i="7"/>
  <c r="D37" i="7"/>
  <c r="C37" i="7"/>
  <c r="B37" i="7"/>
  <c r="Y36" i="7"/>
  <c r="Q36" i="7"/>
  <c r="M36" i="7"/>
  <c r="P36" i="7" s="1"/>
  <c r="I36" i="7"/>
  <c r="J36" i="7" s="1"/>
  <c r="E36" i="7"/>
  <c r="D36" i="7"/>
  <c r="C36" i="7"/>
  <c r="B36" i="7"/>
  <c r="Y35" i="7"/>
  <c r="M35" i="7"/>
  <c r="P35" i="7" s="1"/>
  <c r="I35" i="7"/>
  <c r="E35" i="7"/>
  <c r="D35" i="7"/>
  <c r="C35" i="7"/>
  <c r="B35" i="7"/>
  <c r="M34" i="7"/>
  <c r="P34" i="7" s="1"/>
  <c r="I34" i="7"/>
  <c r="J34" i="7" s="1"/>
  <c r="E34" i="7"/>
  <c r="D34" i="7"/>
  <c r="C34" i="7"/>
  <c r="Y34" i="7" s="1"/>
  <c r="B34" i="7"/>
  <c r="M33" i="7"/>
  <c r="P33" i="7" s="1"/>
  <c r="I33" i="7"/>
  <c r="E33" i="7"/>
  <c r="D33" i="7"/>
  <c r="C33" i="7"/>
  <c r="Y33" i="7" s="1"/>
  <c r="B33" i="7"/>
  <c r="M32" i="7"/>
  <c r="P32" i="7" s="1"/>
  <c r="I32" i="7"/>
  <c r="E32" i="7"/>
  <c r="D32" i="7"/>
  <c r="C32" i="7"/>
  <c r="Y32" i="7" s="1"/>
  <c r="B32" i="7"/>
  <c r="M31" i="7"/>
  <c r="P31" i="7" s="1"/>
  <c r="I31" i="7"/>
  <c r="J31" i="7" s="1"/>
  <c r="E31" i="7"/>
  <c r="D31" i="7"/>
  <c r="C31" i="7"/>
  <c r="Y31" i="7" s="1"/>
  <c r="B31" i="7"/>
  <c r="Y30" i="7"/>
  <c r="M30" i="7"/>
  <c r="P30" i="7" s="1"/>
  <c r="I30" i="7"/>
  <c r="J30" i="7" s="1"/>
  <c r="K28" i="3" s="1"/>
  <c r="E30" i="7"/>
  <c r="D30" i="7"/>
  <c r="C30" i="7"/>
  <c r="B30" i="7"/>
  <c r="Y29" i="7"/>
  <c r="M29" i="7"/>
  <c r="P29" i="7" s="1"/>
  <c r="I29" i="7"/>
  <c r="E29" i="7"/>
  <c r="D29" i="7"/>
  <c r="C29" i="7"/>
  <c r="B29" i="7"/>
  <c r="Y28" i="7"/>
  <c r="Q28" i="7"/>
  <c r="P28" i="7"/>
  <c r="M28" i="7"/>
  <c r="I28" i="7"/>
  <c r="J28" i="7" s="1"/>
  <c r="E28" i="7"/>
  <c r="D28" i="7"/>
  <c r="C28" i="7"/>
  <c r="B28" i="7"/>
  <c r="Q27" i="7"/>
  <c r="M27" i="7"/>
  <c r="P27" i="7" s="1"/>
  <c r="I27" i="7"/>
  <c r="E27" i="7"/>
  <c r="D27" i="7"/>
  <c r="C27" i="7"/>
  <c r="Y27" i="7" s="1"/>
  <c r="B27" i="7"/>
  <c r="Y26" i="7"/>
  <c r="M26" i="7"/>
  <c r="P26" i="7" s="1"/>
  <c r="I26" i="7"/>
  <c r="J26" i="7" s="1"/>
  <c r="E26" i="7"/>
  <c r="D26" i="7"/>
  <c r="C26" i="7"/>
  <c r="B26" i="7"/>
  <c r="M25" i="7"/>
  <c r="P25" i="7" s="1"/>
  <c r="I25" i="7"/>
  <c r="E25" i="7"/>
  <c r="D25" i="7"/>
  <c r="C25" i="7"/>
  <c r="Y25" i="7" s="1"/>
  <c r="B25" i="7"/>
  <c r="M24" i="7"/>
  <c r="P24" i="7" s="1"/>
  <c r="I24" i="7"/>
  <c r="E24" i="7"/>
  <c r="D24" i="7"/>
  <c r="C24" i="7"/>
  <c r="Y24" i="7" s="1"/>
  <c r="B24" i="7"/>
  <c r="M23" i="7"/>
  <c r="P23" i="7" s="1"/>
  <c r="I23" i="7"/>
  <c r="J23" i="7" s="1"/>
  <c r="E23" i="7"/>
  <c r="D23" i="7"/>
  <c r="C23" i="7"/>
  <c r="Y23" i="7" s="1"/>
  <c r="B23" i="7"/>
  <c r="M22" i="7"/>
  <c r="P22" i="7" s="1"/>
  <c r="I22" i="7"/>
  <c r="E22" i="7"/>
  <c r="D22" i="7"/>
  <c r="C22" i="7"/>
  <c r="Y22" i="7" s="1"/>
  <c r="B22" i="7"/>
  <c r="M21" i="7"/>
  <c r="P21" i="7" s="1"/>
  <c r="I21" i="7"/>
  <c r="L19" i="3" s="1"/>
  <c r="E21" i="7"/>
  <c r="D21" i="7"/>
  <c r="C21" i="7"/>
  <c r="Y21" i="7" s="1"/>
  <c r="B21" i="7"/>
  <c r="Q20" i="7"/>
  <c r="M20" i="7"/>
  <c r="P20" i="7" s="1"/>
  <c r="I20" i="7"/>
  <c r="J20" i="7" s="1"/>
  <c r="E20" i="7"/>
  <c r="D20" i="7"/>
  <c r="C20" i="7"/>
  <c r="Y20" i="7" s="1"/>
  <c r="B20" i="7"/>
  <c r="M19" i="7"/>
  <c r="Q19" i="7" s="1"/>
  <c r="I19" i="7"/>
  <c r="J19" i="7" s="1"/>
  <c r="E19" i="7"/>
  <c r="D19" i="7"/>
  <c r="C19" i="7"/>
  <c r="Y19" i="7" s="1"/>
  <c r="B19" i="7"/>
  <c r="Y18" i="7"/>
  <c r="Q18" i="7"/>
  <c r="M18" i="7"/>
  <c r="P18" i="7" s="1"/>
  <c r="I18" i="7"/>
  <c r="E18" i="7"/>
  <c r="D18" i="7"/>
  <c r="C18" i="7"/>
  <c r="B18" i="7"/>
  <c r="M17" i="7"/>
  <c r="P17" i="7" s="1"/>
  <c r="I17" i="7"/>
  <c r="E17" i="7"/>
  <c r="D17" i="7"/>
  <c r="C17" i="7"/>
  <c r="Y17" i="7" s="1"/>
  <c r="B17" i="7"/>
  <c r="M16" i="7"/>
  <c r="P16" i="7" s="1"/>
  <c r="I16" i="7"/>
  <c r="E16" i="7"/>
  <c r="D16" i="7"/>
  <c r="C16" i="7"/>
  <c r="Y16" i="7" s="1"/>
  <c r="B16" i="7"/>
  <c r="M15" i="7"/>
  <c r="P15" i="7" s="1"/>
  <c r="I15" i="7"/>
  <c r="J15" i="7" s="1"/>
  <c r="E15" i="7"/>
  <c r="D15" i="7"/>
  <c r="C15" i="7"/>
  <c r="Y15" i="7" s="1"/>
  <c r="B15" i="7"/>
  <c r="Y14" i="7"/>
  <c r="M14" i="7"/>
  <c r="P14" i="7" s="1"/>
  <c r="I14" i="7"/>
  <c r="E14" i="7"/>
  <c r="D14" i="7"/>
  <c r="C14" i="7"/>
  <c r="B14" i="7"/>
  <c r="Y13" i="7"/>
  <c r="M13" i="7"/>
  <c r="P13" i="7" s="1"/>
  <c r="I13" i="7"/>
  <c r="E13" i="7"/>
  <c r="D13" i="7"/>
  <c r="C13" i="7"/>
  <c r="B13" i="7"/>
  <c r="Y12" i="7"/>
  <c r="M12" i="7"/>
  <c r="P12" i="7" s="1"/>
  <c r="I12" i="7"/>
  <c r="J12" i="7" s="1"/>
  <c r="E12" i="7"/>
  <c r="D12" i="7"/>
  <c r="C12" i="7"/>
  <c r="B12" i="7"/>
  <c r="Y11" i="7"/>
  <c r="M11" i="7"/>
  <c r="P11" i="7" s="1"/>
  <c r="I11" i="7"/>
  <c r="J11" i="7" s="1"/>
  <c r="K9" i="3" s="1"/>
  <c r="E11" i="7"/>
  <c r="D11" i="7"/>
  <c r="C11" i="7"/>
  <c r="B11" i="7"/>
  <c r="Z9" i="7"/>
  <c r="Y9" i="7"/>
  <c r="X9" i="7"/>
  <c r="C8" i="7"/>
  <c r="P7" i="7"/>
  <c r="M7" i="7"/>
  <c r="C7" i="7"/>
  <c r="E6" i="7"/>
  <c r="F11" i="2" s="1"/>
  <c r="D6" i="7"/>
  <c r="F4" i="7" s="1"/>
  <c r="C6" i="7"/>
  <c r="C5" i="7"/>
  <c r="I4" i="7"/>
  <c r="C4" i="7"/>
  <c r="C3" i="7"/>
  <c r="A1" i="7"/>
  <c r="Y110" i="1"/>
  <c r="U110" i="1"/>
  <c r="Q110" i="1"/>
  <c r="P110" i="1"/>
  <c r="M110" i="1"/>
  <c r="J110" i="1"/>
  <c r="I110" i="1"/>
  <c r="Y109" i="1"/>
  <c r="U109" i="1"/>
  <c r="Q109" i="1"/>
  <c r="P109" i="1"/>
  <c r="M109" i="1"/>
  <c r="J109" i="1"/>
  <c r="I109" i="1"/>
  <c r="A109" i="1"/>
  <c r="Y108" i="1"/>
  <c r="U108" i="1"/>
  <c r="Q108" i="1"/>
  <c r="P108" i="1"/>
  <c r="M108" i="1"/>
  <c r="J108" i="1"/>
  <c r="I108" i="1"/>
  <c r="A108" i="1"/>
  <c r="Y107" i="1"/>
  <c r="U107" i="1"/>
  <c r="Q107" i="1"/>
  <c r="P107" i="1"/>
  <c r="M107" i="1"/>
  <c r="J107" i="1"/>
  <c r="I107" i="1"/>
  <c r="A107" i="1"/>
  <c r="Y106" i="1"/>
  <c r="U106" i="1"/>
  <c r="Q106" i="1"/>
  <c r="P106" i="1"/>
  <c r="M106" i="1"/>
  <c r="J106" i="1"/>
  <c r="I106" i="1"/>
  <c r="A106" i="1"/>
  <c r="Y105" i="1"/>
  <c r="U105" i="1"/>
  <c r="Q105" i="1"/>
  <c r="P105" i="1"/>
  <c r="M105" i="1"/>
  <c r="J105" i="1"/>
  <c r="I105" i="1"/>
  <c r="A105" i="1"/>
  <c r="Y104" i="1"/>
  <c r="U104" i="1"/>
  <c r="Q104" i="1"/>
  <c r="P104" i="1"/>
  <c r="M104" i="1"/>
  <c r="J104" i="1"/>
  <c r="I104" i="1"/>
  <c r="A104" i="1"/>
  <c r="Y103" i="1"/>
  <c r="U103" i="1"/>
  <c r="Q103" i="1"/>
  <c r="P103" i="1"/>
  <c r="M103" i="1"/>
  <c r="J103" i="1"/>
  <c r="I103" i="1"/>
  <c r="A103" i="1"/>
  <c r="Y102" i="1"/>
  <c r="U102" i="1"/>
  <c r="Q102" i="1"/>
  <c r="P102" i="1"/>
  <c r="M102" i="1"/>
  <c r="J102" i="1"/>
  <c r="I102" i="1"/>
  <c r="A102" i="1"/>
  <c r="Y101" i="1"/>
  <c r="U101" i="1"/>
  <c r="Q101" i="1"/>
  <c r="P101" i="1"/>
  <c r="M101" i="1"/>
  <c r="J101" i="1"/>
  <c r="I101" i="1"/>
  <c r="A101" i="1"/>
  <c r="Y100" i="1"/>
  <c r="U100" i="1"/>
  <c r="Q100" i="1"/>
  <c r="P100" i="1"/>
  <c r="M100" i="1"/>
  <c r="J100" i="1"/>
  <c r="I100" i="1"/>
  <c r="A100" i="1"/>
  <c r="Y99" i="1"/>
  <c r="U99" i="1"/>
  <c r="Q99" i="1"/>
  <c r="P99" i="1"/>
  <c r="M99" i="1"/>
  <c r="J99" i="1"/>
  <c r="I99" i="1"/>
  <c r="A99" i="1"/>
  <c r="Y98" i="1"/>
  <c r="U98" i="1"/>
  <c r="Q98" i="1"/>
  <c r="P98" i="1"/>
  <c r="M98" i="1"/>
  <c r="J98" i="1"/>
  <c r="I98" i="1"/>
  <c r="A98" i="1"/>
  <c r="Y97" i="1"/>
  <c r="U97" i="1"/>
  <c r="Q97" i="1"/>
  <c r="P97" i="1"/>
  <c r="M97" i="1"/>
  <c r="J97" i="1"/>
  <c r="I97" i="1"/>
  <c r="A97" i="1"/>
  <c r="Y96" i="1"/>
  <c r="U96" i="1"/>
  <c r="Q96" i="1"/>
  <c r="P96" i="1"/>
  <c r="M96" i="1"/>
  <c r="J96" i="1"/>
  <c r="I96" i="1"/>
  <c r="A96" i="1"/>
  <c r="Y95" i="1"/>
  <c r="U95" i="1"/>
  <c r="Q95" i="1"/>
  <c r="P95" i="1"/>
  <c r="M95" i="1"/>
  <c r="J95" i="1"/>
  <c r="I95" i="1"/>
  <c r="A95" i="1"/>
  <c r="Y94" i="1"/>
  <c r="U94" i="1"/>
  <c r="Q94" i="1"/>
  <c r="P94" i="1"/>
  <c r="M94" i="1"/>
  <c r="J94" i="1"/>
  <c r="I94" i="1"/>
  <c r="A94" i="1"/>
  <c r="Y93" i="1"/>
  <c r="U93" i="1"/>
  <c r="Q93" i="1"/>
  <c r="P93" i="1"/>
  <c r="M93" i="1"/>
  <c r="J93" i="1"/>
  <c r="I93" i="1"/>
  <c r="A93" i="1"/>
  <c r="Y92" i="1"/>
  <c r="U92" i="1"/>
  <c r="Q92" i="1"/>
  <c r="P92" i="1"/>
  <c r="M92" i="1"/>
  <c r="J92" i="1"/>
  <c r="I92" i="1"/>
  <c r="A92" i="1"/>
  <c r="Y91" i="1"/>
  <c r="U91" i="1"/>
  <c r="Q91" i="1"/>
  <c r="P91" i="1"/>
  <c r="M91" i="1"/>
  <c r="J91" i="1"/>
  <c r="I91" i="1"/>
  <c r="A91" i="1"/>
  <c r="Y90" i="1"/>
  <c r="U90" i="1"/>
  <c r="Q90" i="1"/>
  <c r="P90" i="1"/>
  <c r="M90" i="1"/>
  <c r="J90" i="1"/>
  <c r="I90" i="1"/>
  <c r="A90" i="1"/>
  <c r="Y89" i="1"/>
  <c r="U89" i="1"/>
  <c r="Q89" i="1"/>
  <c r="P89" i="1"/>
  <c r="M89" i="1"/>
  <c r="J89" i="1"/>
  <c r="I89" i="1"/>
  <c r="A89" i="1"/>
  <c r="Y88" i="1"/>
  <c r="U88" i="1"/>
  <c r="Q88" i="1"/>
  <c r="P88" i="1"/>
  <c r="M88" i="1"/>
  <c r="J88" i="1"/>
  <c r="I88" i="1"/>
  <c r="A88" i="1"/>
  <c r="Y87" i="1"/>
  <c r="U87" i="1"/>
  <c r="Q87" i="1"/>
  <c r="P87" i="1"/>
  <c r="M87" i="1"/>
  <c r="J87" i="1"/>
  <c r="I87" i="1"/>
  <c r="A87" i="1"/>
  <c r="Y86" i="1"/>
  <c r="U86" i="1"/>
  <c r="Q86" i="1"/>
  <c r="P86" i="1"/>
  <c r="M86" i="1"/>
  <c r="J86" i="1"/>
  <c r="I86" i="1"/>
  <c r="A86" i="1"/>
  <c r="Y85" i="1"/>
  <c r="U85" i="1"/>
  <c r="Q85" i="1"/>
  <c r="P85" i="1"/>
  <c r="M85" i="1"/>
  <c r="J85" i="1"/>
  <c r="I85" i="1"/>
  <c r="A85" i="1"/>
  <c r="Y84" i="1"/>
  <c r="U84" i="1"/>
  <c r="Q84" i="1"/>
  <c r="P84" i="1"/>
  <c r="M84" i="1"/>
  <c r="J84" i="1"/>
  <c r="I84" i="1"/>
  <c r="A84" i="1"/>
  <c r="Y83" i="1"/>
  <c r="U83" i="1"/>
  <c r="Q83" i="1"/>
  <c r="P83" i="1"/>
  <c r="M83" i="1"/>
  <c r="J83" i="1"/>
  <c r="I83" i="1"/>
  <c r="A83" i="1"/>
  <c r="Y82" i="1"/>
  <c r="U82" i="1"/>
  <c r="Q82" i="1"/>
  <c r="P82" i="1"/>
  <c r="M82" i="1"/>
  <c r="J82" i="1"/>
  <c r="I82" i="1"/>
  <c r="A82" i="1"/>
  <c r="Y81" i="1"/>
  <c r="U81" i="1"/>
  <c r="Q81" i="1"/>
  <c r="P81" i="1"/>
  <c r="M81" i="1"/>
  <c r="J81" i="1"/>
  <c r="I81" i="1"/>
  <c r="A81" i="1"/>
  <c r="Y80" i="1"/>
  <c r="U80" i="1"/>
  <c r="Q80" i="1"/>
  <c r="P80" i="1"/>
  <c r="M80" i="1"/>
  <c r="J80" i="1"/>
  <c r="I80" i="1"/>
  <c r="A80" i="1"/>
  <c r="Y79" i="1"/>
  <c r="U79" i="1"/>
  <c r="Q79" i="1"/>
  <c r="P79" i="1"/>
  <c r="M79" i="1"/>
  <c r="J79" i="1"/>
  <c r="I79" i="1"/>
  <c r="A79" i="1"/>
  <c r="Y78" i="1"/>
  <c r="U78" i="1"/>
  <c r="Q78" i="1"/>
  <c r="P78" i="1"/>
  <c r="M78" i="1"/>
  <c r="J78" i="1"/>
  <c r="I78" i="1"/>
  <c r="A78" i="1"/>
  <c r="Y77" i="1"/>
  <c r="U77" i="1"/>
  <c r="Q77" i="1"/>
  <c r="P77" i="1"/>
  <c r="M77" i="1"/>
  <c r="J77" i="1"/>
  <c r="I77" i="1"/>
  <c r="A77" i="1"/>
  <c r="Y76" i="1"/>
  <c r="U76" i="1"/>
  <c r="Q76" i="1"/>
  <c r="P76" i="1"/>
  <c r="M76" i="1"/>
  <c r="J76" i="1"/>
  <c r="I76" i="1"/>
  <c r="A76" i="1"/>
  <c r="Y75" i="1"/>
  <c r="U75" i="1"/>
  <c r="Q75" i="1"/>
  <c r="P75" i="1"/>
  <c r="M75" i="1"/>
  <c r="J75" i="1"/>
  <c r="I75" i="1"/>
  <c r="A75" i="1"/>
  <c r="Y74" i="1"/>
  <c r="U74" i="1"/>
  <c r="Q74" i="1"/>
  <c r="P74" i="1"/>
  <c r="M74" i="1"/>
  <c r="J74" i="1"/>
  <c r="I74" i="1"/>
  <c r="A74" i="1"/>
  <c r="Y73" i="1"/>
  <c r="U73" i="1"/>
  <c r="Q73" i="1"/>
  <c r="P73" i="1"/>
  <c r="M73" i="1"/>
  <c r="J73" i="1"/>
  <c r="I73" i="1"/>
  <c r="A73" i="1"/>
  <c r="Y72" i="1"/>
  <c r="U72" i="1"/>
  <c r="Q72" i="1"/>
  <c r="P72" i="1"/>
  <c r="M72" i="1"/>
  <c r="J72" i="1"/>
  <c r="I72" i="1"/>
  <c r="A72" i="1"/>
  <c r="Y71" i="1"/>
  <c r="U71" i="1"/>
  <c r="Q71" i="1"/>
  <c r="P71" i="1"/>
  <c r="M71" i="1"/>
  <c r="J71" i="1"/>
  <c r="I71" i="1"/>
  <c r="A71" i="1"/>
  <c r="Y70" i="1"/>
  <c r="U70" i="1"/>
  <c r="Q70" i="1"/>
  <c r="P70" i="1"/>
  <c r="M70" i="1"/>
  <c r="J70" i="1"/>
  <c r="I70" i="1"/>
  <c r="A70" i="1"/>
  <c r="Y69" i="1"/>
  <c r="U69" i="1"/>
  <c r="Q69" i="1"/>
  <c r="P69" i="1"/>
  <c r="M69" i="1"/>
  <c r="J69" i="1"/>
  <c r="I69" i="1"/>
  <c r="Y68" i="1"/>
  <c r="U68" i="1"/>
  <c r="Q68" i="1"/>
  <c r="P68" i="1"/>
  <c r="M68" i="1"/>
  <c r="J68" i="1"/>
  <c r="I68" i="1"/>
  <c r="Y67" i="1"/>
  <c r="U67" i="1"/>
  <c r="Q67" i="1"/>
  <c r="P67" i="1"/>
  <c r="M67" i="1"/>
  <c r="J67" i="1"/>
  <c r="I67" i="1"/>
  <c r="Y66" i="1"/>
  <c r="U66" i="1"/>
  <c r="Q66" i="1"/>
  <c r="P66" i="1"/>
  <c r="M66" i="1"/>
  <c r="J66" i="1"/>
  <c r="I66" i="1"/>
  <c r="Y65" i="1"/>
  <c r="U65" i="1"/>
  <c r="Q65" i="1"/>
  <c r="P65" i="1"/>
  <c r="M65" i="1"/>
  <c r="J65" i="1"/>
  <c r="I65" i="1"/>
  <c r="Y64" i="1"/>
  <c r="U64" i="1"/>
  <c r="Q64" i="1"/>
  <c r="P64" i="1"/>
  <c r="M64" i="1"/>
  <c r="J64" i="1"/>
  <c r="I64" i="1"/>
  <c r="Y63" i="1"/>
  <c r="U63" i="1"/>
  <c r="Q63" i="1"/>
  <c r="P63" i="1"/>
  <c r="M63" i="1"/>
  <c r="J63" i="1"/>
  <c r="I63" i="1"/>
  <c r="Y62" i="1"/>
  <c r="U62" i="1"/>
  <c r="Q62" i="1"/>
  <c r="P62" i="1"/>
  <c r="M62" i="1"/>
  <c r="J62" i="1"/>
  <c r="I62" i="1"/>
  <c r="Y61" i="1"/>
  <c r="U61" i="1"/>
  <c r="Q61" i="1"/>
  <c r="P61" i="1"/>
  <c r="M61" i="1"/>
  <c r="J61" i="1"/>
  <c r="I61" i="1"/>
  <c r="Y60" i="1"/>
  <c r="U60" i="1"/>
  <c r="Q60" i="1"/>
  <c r="P60" i="1"/>
  <c r="M60" i="1"/>
  <c r="J60" i="1"/>
  <c r="I60" i="1"/>
  <c r="Y59" i="1"/>
  <c r="U59" i="1"/>
  <c r="Q59" i="1"/>
  <c r="P59" i="1"/>
  <c r="M59" i="1"/>
  <c r="J59" i="1"/>
  <c r="I59" i="1"/>
  <c r="Y58" i="1"/>
  <c r="U58" i="1"/>
  <c r="Q58" i="1"/>
  <c r="P58" i="1"/>
  <c r="M58" i="1"/>
  <c r="J58" i="1"/>
  <c r="I58" i="1"/>
  <c r="Y57" i="1"/>
  <c r="U57" i="1"/>
  <c r="Q57" i="1"/>
  <c r="P57" i="1"/>
  <c r="M57" i="1"/>
  <c r="J57" i="1"/>
  <c r="I57" i="1"/>
  <c r="Y56" i="1"/>
  <c r="U56" i="1"/>
  <c r="Q56" i="1"/>
  <c r="P56" i="1"/>
  <c r="M56" i="1"/>
  <c r="J56" i="1"/>
  <c r="I56" i="1"/>
  <c r="Y55" i="1"/>
  <c r="U55" i="1"/>
  <c r="Q55" i="1"/>
  <c r="P55" i="1"/>
  <c r="M55" i="1"/>
  <c r="J55" i="1"/>
  <c r="I55" i="1"/>
  <c r="Y54" i="1"/>
  <c r="U54" i="1"/>
  <c r="Q54" i="1"/>
  <c r="P54" i="1"/>
  <c r="M54" i="1"/>
  <c r="J54" i="1"/>
  <c r="I54" i="1"/>
  <c r="Y53" i="1"/>
  <c r="U53" i="1"/>
  <c r="Q53" i="1"/>
  <c r="P53" i="1"/>
  <c r="M53" i="1"/>
  <c r="J53" i="1"/>
  <c r="I53" i="1"/>
  <c r="Y52" i="1"/>
  <c r="U52" i="1"/>
  <c r="Q52" i="1"/>
  <c r="P52" i="1"/>
  <c r="M52" i="1"/>
  <c r="J52" i="1"/>
  <c r="I52" i="1"/>
  <c r="Y51" i="1"/>
  <c r="U51" i="1"/>
  <c r="Q51" i="1"/>
  <c r="P51" i="1"/>
  <c r="M51" i="1"/>
  <c r="J51" i="1"/>
  <c r="I51" i="1"/>
  <c r="Y50" i="1"/>
  <c r="U50" i="1"/>
  <c r="Q50" i="1"/>
  <c r="P50" i="1"/>
  <c r="M50" i="1"/>
  <c r="J50" i="1"/>
  <c r="I50" i="1"/>
  <c r="Y49" i="1"/>
  <c r="U49" i="1"/>
  <c r="Q49" i="1"/>
  <c r="P49" i="1"/>
  <c r="M49" i="1"/>
  <c r="J49" i="1"/>
  <c r="I49" i="1"/>
  <c r="Y48" i="1"/>
  <c r="U48" i="1"/>
  <c r="Q48" i="1"/>
  <c r="P48" i="1"/>
  <c r="M48" i="1"/>
  <c r="J48" i="1"/>
  <c r="I48" i="1"/>
  <c r="Y47" i="1"/>
  <c r="U47" i="1"/>
  <c r="Q47" i="1"/>
  <c r="P47" i="1"/>
  <c r="M47" i="1"/>
  <c r="J47" i="1"/>
  <c r="I47" i="1"/>
  <c r="Y46" i="1"/>
  <c r="U46" i="1"/>
  <c r="Q46" i="1"/>
  <c r="P46" i="1"/>
  <c r="M46" i="1"/>
  <c r="J46" i="1"/>
  <c r="I46" i="1"/>
  <c r="Y45" i="1"/>
  <c r="U45" i="1"/>
  <c r="Q45" i="1"/>
  <c r="P45" i="1"/>
  <c r="M45" i="1"/>
  <c r="J45" i="1"/>
  <c r="I45" i="1"/>
  <c r="Y44" i="1"/>
  <c r="U44" i="1"/>
  <c r="Q44" i="1"/>
  <c r="P44" i="1"/>
  <c r="M44" i="1"/>
  <c r="J44" i="1"/>
  <c r="I44" i="1"/>
  <c r="Y43" i="1"/>
  <c r="U43" i="1"/>
  <c r="Q43" i="1"/>
  <c r="P43" i="1"/>
  <c r="M43" i="1"/>
  <c r="J43" i="1"/>
  <c r="I43" i="1"/>
  <c r="Y42" i="1"/>
  <c r="U42" i="1"/>
  <c r="Q42" i="1"/>
  <c r="P42" i="1"/>
  <c r="M42" i="1"/>
  <c r="J42" i="1"/>
  <c r="I42" i="1"/>
  <c r="Y41" i="1"/>
  <c r="U41" i="1"/>
  <c r="Q41" i="1"/>
  <c r="P41" i="1"/>
  <c r="M41" i="1"/>
  <c r="J41" i="1"/>
  <c r="I41" i="1"/>
  <c r="Y40" i="1"/>
  <c r="U40" i="1"/>
  <c r="Q40" i="1"/>
  <c r="P40" i="1"/>
  <c r="M40" i="1"/>
  <c r="J40" i="1"/>
  <c r="I40" i="1"/>
  <c r="Y39" i="1"/>
  <c r="U39" i="1"/>
  <c r="Q39" i="1"/>
  <c r="P39" i="1"/>
  <c r="M39" i="1"/>
  <c r="J39" i="1"/>
  <c r="I39" i="1"/>
  <c r="Y38" i="1"/>
  <c r="U38" i="1"/>
  <c r="Q38" i="1"/>
  <c r="P38" i="1"/>
  <c r="M38" i="1"/>
  <c r="J38" i="1"/>
  <c r="I38" i="1"/>
  <c r="Y37" i="1"/>
  <c r="U37" i="1"/>
  <c r="Q37" i="1"/>
  <c r="P37" i="1"/>
  <c r="M37" i="1"/>
  <c r="J37" i="1"/>
  <c r="I37" i="1"/>
  <c r="Y36" i="1"/>
  <c r="Q36" i="1"/>
  <c r="M36" i="1"/>
  <c r="P36" i="1" s="1"/>
  <c r="J36" i="1"/>
  <c r="U36" i="1" s="1"/>
  <c r="J34" i="3" s="1"/>
  <c r="I36" i="1"/>
  <c r="Y35" i="1"/>
  <c r="M35" i="1"/>
  <c r="P35" i="1" s="1"/>
  <c r="I35" i="1"/>
  <c r="J35" i="1" s="1"/>
  <c r="Y34" i="1"/>
  <c r="M34" i="1"/>
  <c r="P34" i="1" s="1"/>
  <c r="I34" i="1"/>
  <c r="J34" i="1" s="1"/>
  <c r="Y33" i="1"/>
  <c r="M33" i="1"/>
  <c r="P33" i="1" s="1"/>
  <c r="I33" i="1"/>
  <c r="Y32" i="1"/>
  <c r="M32" i="1"/>
  <c r="P32" i="1" s="1"/>
  <c r="I32" i="1"/>
  <c r="F30" i="3" s="1"/>
  <c r="Y31" i="1"/>
  <c r="M31" i="1"/>
  <c r="P31" i="1" s="1"/>
  <c r="I31" i="1"/>
  <c r="F29" i="3" s="1"/>
  <c r="Y30" i="1"/>
  <c r="M30" i="1"/>
  <c r="P30" i="1" s="1"/>
  <c r="I30" i="1"/>
  <c r="F28" i="3" s="1"/>
  <c r="Y29" i="1"/>
  <c r="M29" i="1"/>
  <c r="P29" i="1" s="1"/>
  <c r="I29" i="1"/>
  <c r="J29" i="1" s="1"/>
  <c r="Y28" i="1"/>
  <c r="M28" i="1"/>
  <c r="P28" i="1" s="1"/>
  <c r="I28" i="1"/>
  <c r="F26" i="3" s="1"/>
  <c r="Y27" i="1"/>
  <c r="M27" i="1"/>
  <c r="P27" i="1" s="1"/>
  <c r="I27" i="1"/>
  <c r="J27" i="1" s="1"/>
  <c r="Y26" i="1"/>
  <c r="M26" i="1"/>
  <c r="P26" i="1" s="1"/>
  <c r="I26" i="1"/>
  <c r="F24" i="3" s="1"/>
  <c r="Y25" i="1"/>
  <c r="Q25" i="1"/>
  <c r="M25" i="1"/>
  <c r="P25" i="1" s="1"/>
  <c r="I25" i="1"/>
  <c r="Y24" i="1"/>
  <c r="M24" i="1"/>
  <c r="P24" i="1" s="1"/>
  <c r="I24" i="1"/>
  <c r="F22" i="3" s="1"/>
  <c r="Y23" i="1"/>
  <c r="M23" i="1"/>
  <c r="P23" i="1" s="1"/>
  <c r="I23" i="1"/>
  <c r="F21" i="3" s="1"/>
  <c r="Y22" i="1"/>
  <c r="M22" i="1"/>
  <c r="P22" i="1" s="1"/>
  <c r="I22" i="1"/>
  <c r="F20" i="3" s="1"/>
  <c r="Y21" i="1"/>
  <c r="M21" i="1"/>
  <c r="P21" i="1" s="1"/>
  <c r="I21" i="1"/>
  <c r="F19" i="3" s="1"/>
  <c r="Y20" i="1"/>
  <c r="Q20" i="1"/>
  <c r="M20" i="1"/>
  <c r="P20" i="1" s="1"/>
  <c r="I20" i="1"/>
  <c r="J20" i="1" s="1"/>
  <c r="Y19" i="1"/>
  <c r="M19" i="1"/>
  <c r="P19" i="1" s="1"/>
  <c r="I19" i="1"/>
  <c r="J19" i="1" s="1"/>
  <c r="Y18" i="1"/>
  <c r="Q18" i="1"/>
  <c r="M18" i="1"/>
  <c r="P18" i="1" s="1"/>
  <c r="I18" i="1"/>
  <c r="J18" i="1" s="1"/>
  <c r="Y17" i="1"/>
  <c r="M17" i="1"/>
  <c r="P17" i="1" s="1"/>
  <c r="I17" i="1"/>
  <c r="Y16" i="1"/>
  <c r="M16" i="1"/>
  <c r="P16" i="1" s="1"/>
  <c r="I16" i="1"/>
  <c r="J16" i="1" s="1"/>
  <c r="Y15" i="1"/>
  <c r="M15" i="1"/>
  <c r="P15" i="1" s="1"/>
  <c r="I15" i="1"/>
  <c r="F13" i="3" s="1"/>
  <c r="Y14" i="1"/>
  <c r="M14" i="1"/>
  <c r="P14" i="1" s="1"/>
  <c r="I14" i="1"/>
  <c r="F12" i="3" s="1"/>
  <c r="Y13" i="1"/>
  <c r="M13" i="1"/>
  <c r="P13" i="1" s="1"/>
  <c r="I13" i="1"/>
  <c r="J13" i="1" s="1"/>
  <c r="Y12" i="1"/>
  <c r="M12" i="1"/>
  <c r="P12" i="1" s="1"/>
  <c r="I12" i="1"/>
  <c r="J12" i="1" s="1"/>
  <c r="Y11" i="1"/>
  <c r="M11" i="1"/>
  <c r="P11" i="1" s="1"/>
  <c r="I11" i="1"/>
  <c r="J11" i="1" s="1"/>
  <c r="Z9" i="1"/>
  <c r="Y9" i="1"/>
  <c r="X9" i="1"/>
  <c r="P7" i="1"/>
  <c r="M7" i="1"/>
  <c r="I4" i="1"/>
  <c r="F4" i="1"/>
  <c r="Q25" i="7" l="1"/>
  <c r="Q24" i="1"/>
  <c r="L21" i="3"/>
  <c r="Q22" i="7"/>
  <c r="Q21" i="7"/>
  <c r="L17" i="3"/>
  <c r="G11" i="2"/>
  <c r="C23" i="2" s="1"/>
  <c r="G10" i="2"/>
  <c r="L16" i="3"/>
  <c r="L11" i="3"/>
  <c r="C20" i="2"/>
  <c r="F10" i="2"/>
  <c r="F14" i="2" s="1"/>
  <c r="C19" i="2"/>
  <c r="E34" i="3"/>
  <c r="L15" i="3"/>
  <c r="L31" i="3"/>
  <c r="F15" i="3"/>
  <c r="I15" i="3" s="1"/>
  <c r="I13" i="3"/>
  <c r="L12" i="3"/>
  <c r="L25" i="3"/>
  <c r="F23" i="3"/>
  <c r="I23" i="3" s="1"/>
  <c r="L23" i="3"/>
  <c r="L27" i="3"/>
  <c r="I21" i="3"/>
  <c r="F31" i="3"/>
  <c r="L20" i="3"/>
  <c r="L33" i="3"/>
  <c r="G13" i="2"/>
  <c r="C21" i="2" s="1"/>
  <c r="Q30" i="1"/>
  <c r="I30" i="3"/>
  <c r="Q32" i="1"/>
  <c r="I29" i="3"/>
  <c r="I31" i="3"/>
  <c r="Q31" i="1"/>
  <c r="I26" i="3"/>
  <c r="Q13" i="1"/>
  <c r="U13" i="1" s="1"/>
  <c r="J11" i="3" s="1"/>
  <c r="Q30" i="7"/>
  <c r="Q35" i="1"/>
  <c r="U35" i="1" s="1"/>
  <c r="J33" i="3" s="1"/>
  <c r="Q34" i="1"/>
  <c r="U34" i="1" s="1"/>
  <c r="J32" i="3" s="1"/>
  <c r="Q33" i="1"/>
  <c r="I28" i="3"/>
  <c r="Q28" i="1"/>
  <c r="Q27" i="1"/>
  <c r="U27" i="1" s="1"/>
  <c r="J25" i="3" s="1"/>
  <c r="I22" i="3"/>
  <c r="Q22" i="1"/>
  <c r="I20" i="3"/>
  <c r="I24" i="3"/>
  <c r="Q26" i="1"/>
  <c r="J26" i="1"/>
  <c r="Q26" i="7"/>
  <c r="U26" i="7" s="1"/>
  <c r="P24" i="3" s="1"/>
  <c r="I19" i="3"/>
  <c r="Q21" i="1"/>
  <c r="Q19" i="1"/>
  <c r="U19" i="1" s="1"/>
  <c r="J17" i="3" s="1"/>
  <c r="Q17" i="1"/>
  <c r="Q16" i="1"/>
  <c r="Q29" i="1"/>
  <c r="Q29" i="7"/>
  <c r="Q12" i="1"/>
  <c r="U12" i="1" s="1"/>
  <c r="J10" i="3" s="1"/>
  <c r="Q12" i="7"/>
  <c r="U12" i="7" s="1"/>
  <c r="P10" i="3" s="1"/>
  <c r="Q15" i="1"/>
  <c r="I12" i="3"/>
  <c r="Q14" i="1"/>
  <c r="Q11" i="1"/>
  <c r="U11" i="1" s="1"/>
  <c r="J9" i="3" s="1"/>
  <c r="Q16" i="7"/>
  <c r="Q13" i="7"/>
  <c r="Q32" i="7"/>
  <c r="P19" i="7"/>
  <c r="U19" i="7"/>
  <c r="P17" i="3" s="1"/>
  <c r="Q35" i="7"/>
  <c r="Q34" i="7"/>
  <c r="U34" i="7"/>
  <c r="P32" i="3" s="1"/>
  <c r="Q33" i="7"/>
  <c r="Q31" i="7"/>
  <c r="U31" i="7" s="1"/>
  <c r="P29" i="3" s="1"/>
  <c r="Q24" i="7"/>
  <c r="Q17" i="7"/>
  <c r="Q15" i="7"/>
  <c r="U15" i="7" s="1"/>
  <c r="P13" i="3" s="1"/>
  <c r="Q14" i="7"/>
  <c r="Q11" i="7"/>
  <c r="U11" i="7" s="1"/>
  <c r="P9" i="3" s="1"/>
  <c r="Q23" i="7"/>
  <c r="U23" i="7"/>
  <c r="P21" i="3" s="1"/>
  <c r="Q23" i="1"/>
  <c r="K13" i="3"/>
  <c r="K29" i="3"/>
  <c r="O29" i="3" s="1"/>
  <c r="K24" i="3"/>
  <c r="O24" i="3" s="1"/>
  <c r="L32" i="3"/>
  <c r="K21" i="3"/>
  <c r="O21" i="3" s="1"/>
  <c r="L24" i="3"/>
  <c r="J21" i="7"/>
  <c r="K19" i="3" s="1"/>
  <c r="U30" i="7"/>
  <c r="P28" i="3" s="1"/>
  <c r="L9" i="3"/>
  <c r="L28" i="3"/>
  <c r="L18" i="3"/>
  <c r="J18" i="7"/>
  <c r="K16" i="3" s="1"/>
  <c r="L10" i="3"/>
  <c r="L29" i="3"/>
  <c r="N28" i="3"/>
  <c r="M28" i="3"/>
  <c r="O28" i="3"/>
  <c r="J13" i="7"/>
  <c r="K34" i="3"/>
  <c r="U36" i="7"/>
  <c r="P34" i="3" s="1"/>
  <c r="K26" i="3"/>
  <c r="U28" i="7"/>
  <c r="P26" i="3" s="1"/>
  <c r="L22" i="3"/>
  <c r="J24" i="7"/>
  <c r="J29" i="7"/>
  <c r="K32" i="3"/>
  <c r="O9" i="3"/>
  <c r="N9" i="3"/>
  <c r="L30" i="3"/>
  <c r="J32" i="7"/>
  <c r="K18" i="3"/>
  <c r="U20" i="7"/>
  <c r="P18" i="3" s="1"/>
  <c r="K10" i="3"/>
  <c r="J16" i="7"/>
  <c r="L14" i="3"/>
  <c r="K17" i="3"/>
  <c r="J27" i="7"/>
  <c r="J14" i="7"/>
  <c r="J22" i="7"/>
  <c r="J17" i="7"/>
  <c r="J25" i="7"/>
  <c r="J33" i="7"/>
  <c r="L26" i="3"/>
  <c r="J35" i="7"/>
  <c r="U18" i="1"/>
  <c r="J16" i="3" s="1"/>
  <c r="E16" i="3"/>
  <c r="H16" i="3" s="1"/>
  <c r="E32" i="3"/>
  <c r="H32" i="3" s="1"/>
  <c r="J22" i="1"/>
  <c r="U22" i="1" s="1"/>
  <c r="J20" i="3" s="1"/>
  <c r="J14" i="1"/>
  <c r="J17" i="1"/>
  <c r="E15" i="3" s="1"/>
  <c r="H15" i="3" s="1"/>
  <c r="J30" i="1"/>
  <c r="J33" i="1"/>
  <c r="F9" i="3"/>
  <c r="I9" i="3" s="1"/>
  <c r="F16" i="3"/>
  <c r="I16" i="3" s="1"/>
  <c r="F25" i="3"/>
  <c r="I25" i="3" s="1"/>
  <c r="F32" i="3"/>
  <c r="I32" i="3" s="1"/>
  <c r="J25" i="1"/>
  <c r="U25" i="1" s="1"/>
  <c r="J23" i="3" s="1"/>
  <c r="F17" i="3"/>
  <c r="I17" i="3" s="1"/>
  <c r="F33" i="3"/>
  <c r="I33" i="3" s="1"/>
  <c r="E10" i="3"/>
  <c r="E17" i="3"/>
  <c r="E33" i="3"/>
  <c r="E9" i="3"/>
  <c r="E18" i="3"/>
  <c r="U20" i="1"/>
  <c r="J18" i="3" s="1"/>
  <c r="E25" i="3"/>
  <c r="E11" i="3"/>
  <c r="U16" i="1"/>
  <c r="J14" i="3" s="1"/>
  <c r="E14" i="3"/>
  <c r="E27" i="3"/>
  <c r="U29" i="1"/>
  <c r="J27" i="3" s="1"/>
  <c r="J32" i="1"/>
  <c r="J15" i="1"/>
  <c r="J23" i="1"/>
  <c r="J31" i="1"/>
  <c r="J24" i="1"/>
  <c r="F10" i="3"/>
  <c r="I10" i="3" s="1"/>
  <c r="F14" i="3"/>
  <c r="I14" i="3" s="1"/>
  <c r="F27" i="3"/>
  <c r="I27" i="3" s="1"/>
  <c r="J21" i="1"/>
  <c r="F11" i="3"/>
  <c r="I11" i="3" s="1"/>
  <c r="F18" i="3"/>
  <c r="I18" i="3" s="1"/>
  <c r="J28" i="1"/>
  <c r="M13" i="3" l="1"/>
  <c r="N13" i="3"/>
  <c r="O13" i="3"/>
  <c r="G14" i="2"/>
  <c r="C24" i="2" s="1"/>
  <c r="C22" i="2"/>
  <c r="G16" i="3"/>
  <c r="H34" i="3"/>
  <c r="G34" i="3"/>
  <c r="U30" i="1"/>
  <c r="J28" i="3" s="1"/>
  <c r="N9" i="2"/>
  <c r="J20" i="2" s="1"/>
  <c r="U18" i="7"/>
  <c r="P16" i="3" s="1"/>
  <c r="U33" i="1"/>
  <c r="J31" i="3" s="1"/>
  <c r="E31" i="3"/>
  <c r="H31" i="3" s="1"/>
  <c r="G32" i="3"/>
  <c r="U26" i="1"/>
  <c r="J24" i="3" s="1"/>
  <c r="E24" i="3"/>
  <c r="M24" i="3"/>
  <c r="N24" i="3"/>
  <c r="N8" i="2"/>
  <c r="J19" i="2" s="1"/>
  <c r="U14" i="1"/>
  <c r="J12" i="3" s="1"/>
  <c r="E12" i="3"/>
  <c r="H12" i="3" s="1"/>
  <c r="N29" i="3"/>
  <c r="U21" i="7"/>
  <c r="P19" i="3" s="1"/>
  <c r="M9" i="3"/>
  <c r="M21" i="3"/>
  <c r="N21" i="3"/>
  <c r="M29" i="3"/>
  <c r="U35" i="7"/>
  <c r="P33" i="3" s="1"/>
  <c r="K33" i="3"/>
  <c r="K12" i="3"/>
  <c r="U14" i="7"/>
  <c r="P12" i="3" s="1"/>
  <c r="O10" i="3"/>
  <c r="N10" i="3"/>
  <c r="M10" i="3"/>
  <c r="N32" i="3"/>
  <c r="M32" i="3"/>
  <c r="O32" i="3"/>
  <c r="U27" i="7"/>
  <c r="P25" i="3" s="1"/>
  <c r="K25" i="3"/>
  <c r="O34" i="3"/>
  <c r="M34" i="3"/>
  <c r="N34" i="3"/>
  <c r="O17" i="3"/>
  <c r="M17" i="3"/>
  <c r="N17" i="3"/>
  <c r="O18" i="3"/>
  <c r="M18" i="3"/>
  <c r="N18" i="3"/>
  <c r="N26" i="3"/>
  <c r="M26" i="3"/>
  <c r="O26" i="3"/>
  <c r="K11" i="3"/>
  <c r="U13" i="7"/>
  <c r="P11" i="3" s="1"/>
  <c r="K31" i="3"/>
  <c r="U33" i="7"/>
  <c r="P31" i="3" s="1"/>
  <c r="U32" i="7"/>
  <c r="P30" i="3" s="1"/>
  <c r="K30" i="3"/>
  <c r="K23" i="3"/>
  <c r="U25" i="7"/>
  <c r="P23" i="3" s="1"/>
  <c r="N19" i="3"/>
  <c r="M19" i="3"/>
  <c r="O19" i="3"/>
  <c r="O16" i="3"/>
  <c r="N16" i="3"/>
  <c r="M16" i="3"/>
  <c r="K15" i="3"/>
  <c r="U17" i="7"/>
  <c r="P15" i="3" s="1"/>
  <c r="U16" i="7"/>
  <c r="P14" i="3" s="1"/>
  <c r="K14" i="3"/>
  <c r="K27" i="3"/>
  <c r="U29" i="7"/>
  <c r="P27" i="3" s="1"/>
  <c r="K20" i="3"/>
  <c r="U22" i="7"/>
  <c r="P20" i="3" s="1"/>
  <c r="K22" i="3"/>
  <c r="U24" i="7"/>
  <c r="P22" i="3" s="1"/>
  <c r="E20" i="3"/>
  <c r="G20" i="3" s="1"/>
  <c r="U17" i="1"/>
  <c r="J15" i="3" s="1"/>
  <c r="G15" i="3"/>
  <c r="E28" i="3"/>
  <c r="G28" i="3" s="1"/>
  <c r="E23" i="3"/>
  <c r="H23" i="3" s="1"/>
  <c r="U23" i="1"/>
  <c r="J21" i="3" s="1"/>
  <c r="E21" i="3"/>
  <c r="H11" i="3"/>
  <c r="G11" i="3"/>
  <c r="U15" i="1"/>
  <c r="J13" i="3" s="1"/>
  <c r="E13" i="3"/>
  <c r="E30" i="3"/>
  <c r="U32" i="1"/>
  <c r="J30" i="3" s="1"/>
  <c r="H25" i="3"/>
  <c r="G25" i="3"/>
  <c r="H9" i="3"/>
  <c r="G9" i="3"/>
  <c r="E26" i="3"/>
  <c r="U28" i="1"/>
  <c r="J26" i="3" s="1"/>
  <c r="H27" i="3"/>
  <c r="G27" i="3"/>
  <c r="H18" i="3"/>
  <c r="G18" i="3"/>
  <c r="H33" i="3"/>
  <c r="G33" i="3"/>
  <c r="G31" i="3"/>
  <c r="H14" i="3"/>
  <c r="G14" i="3"/>
  <c r="U24" i="1"/>
  <c r="J22" i="3" s="1"/>
  <c r="E22" i="3"/>
  <c r="H17" i="3"/>
  <c r="G17" i="3"/>
  <c r="U31" i="1"/>
  <c r="J29" i="3" s="1"/>
  <c r="E29" i="3"/>
  <c r="U21" i="1"/>
  <c r="J19" i="3" s="1"/>
  <c r="E19" i="3"/>
  <c r="H28" i="3"/>
  <c r="H10" i="3"/>
  <c r="G10" i="3"/>
  <c r="G23" i="3" l="1"/>
  <c r="H20" i="3"/>
  <c r="G12" i="3"/>
  <c r="H24" i="3"/>
  <c r="G24" i="3"/>
  <c r="N13" i="2"/>
  <c r="J21" i="2" s="1"/>
  <c r="J11" i="2"/>
  <c r="F23" i="2" s="1"/>
  <c r="K11" i="2"/>
  <c r="G23" i="2" s="1"/>
  <c r="O20" i="3"/>
  <c r="N20" i="3"/>
  <c r="M20" i="3"/>
  <c r="J10" i="2"/>
  <c r="M22" i="3"/>
  <c r="O22" i="3"/>
  <c r="N22" i="3"/>
  <c r="H10" i="2"/>
  <c r="I11" i="2"/>
  <c r="E23" i="2" s="1"/>
  <c r="M33" i="3"/>
  <c r="O33" i="3"/>
  <c r="N33" i="3"/>
  <c r="O31" i="3"/>
  <c r="N31" i="3"/>
  <c r="M31" i="3"/>
  <c r="R10" i="2"/>
  <c r="S11" i="2"/>
  <c r="O23" i="2" s="1"/>
  <c r="O11" i="2"/>
  <c r="K23" i="2" s="1"/>
  <c r="Q10" i="2"/>
  <c r="P10" i="2"/>
  <c r="O10" i="2"/>
  <c r="R11" i="2"/>
  <c r="N23" i="2" s="1"/>
  <c r="Q11" i="2"/>
  <c r="M23" i="2" s="1"/>
  <c r="S10" i="2"/>
  <c r="O12" i="3"/>
  <c r="N12" i="3"/>
  <c r="M12" i="3"/>
  <c r="O14" i="3"/>
  <c r="N14" i="3"/>
  <c r="M14" i="3"/>
  <c r="N30" i="3"/>
  <c r="M30" i="3"/>
  <c r="O30" i="3"/>
  <c r="O25" i="3"/>
  <c r="M25" i="3"/>
  <c r="N25" i="3"/>
  <c r="O27" i="3"/>
  <c r="N27" i="3"/>
  <c r="M27" i="3"/>
  <c r="N15" i="3"/>
  <c r="M15" i="3"/>
  <c r="O15" i="3"/>
  <c r="N11" i="3"/>
  <c r="M11" i="3"/>
  <c r="O11" i="3"/>
  <c r="N23" i="3"/>
  <c r="M23" i="3"/>
  <c r="O23" i="3"/>
  <c r="H11" i="2"/>
  <c r="D23" i="2" s="1"/>
  <c r="K10" i="2"/>
  <c r="I10" i="2"/>
  <c r="P11" i="2"/>
  <c r="L23" i="2" s="1"/>
  <c r="Q9" i="2"/>
  <c r="M20" i="2" s="1"/>
  <c r="S8" i="2"/>
  <c r="O19" i="2" s="1"/>
  <c r="H19" i="3"/>
  <c r="G19" i="3"/>
  <c r="K8" i="2"/>
  <c r="S9" i="2"/>
  <c r="O20" i="2" s="1"/>
  <c r="H29" i="3"/>
  <c r="G29" i="3"/>
  <c r="K9" i="2"/>
  <c r="G20" i="2" s="1"/>
  <c r="R9" i="2"/>
  <c r="N20" i="2" s="1"/>
  <c r="I8" i="2"/>
  <c r="H30" i="3"/>
  <c r="G30" i="3"/>
  <c r="Q8" i="2"/>
  <c r="I9" i="2"/>
  <c r="E20" i="2" s="1"/>
  <c r="O9" i="2"/>
  <c r="K20" i="2" s="1"/>
  <c r="H21" i="3"/>
  <c r="G21" i="3"/>
  <c r="J9" i="2"/>
  <c r="F20" i="2" s="1"/>
  <c r="R8" i="2"/>
  <c r="H22" i="3"/>
  <c r="G22" i="3"/>
  <c r="J8" i="2"/>
  <c r="P9" i="2"/>
  <c r="L20" i="2" s="1"/>
  <c r="H13" i="3"/>
  <c r="G13" i="3"/>
  <c r="O8" i="2"/>
  <c r="H26" i="3"/>
  <c r="G26" i="3"/>
  <c r="P8" i="2"/>
  <c r="H9" i="2"/>
  <c r="D20" i="2" s="1"/>
  <c r="H8" i="2"/>
  <c r="N10" i="2" l="1"/>
  <c r="J22" i="2" s="1"/>
  <c r="L10" i="2"/>
  <c r="H22" i="2" s="1"/>
  <c r="M10" i="2"/>
  <c r="I22" i="2" s="1"/>
  <c r="F22" i="2"/>
  <c r="J14" i="2"/>
  <c r="F24" i="2" s="1"/>
  <c r="K14" i="2"/>
  <c r="G24" i="2" s="1"/>
  <c r="G22" i="2"/>
  <c r="N11" i="2"/>
  <c r="J23" i="2" s="1"/>
  <c r="K22" i="2"/>
  <c r="O14" i="2"/>
  <c r="K24" i="2" s="1"/>
  <c r="Q14" i="2"/>
  <c r="M24" i="2" s="1"/>
  <c r="M22" i="2"/>
  <c r="M11" i="2"/>
  <c r="I23" i="2" s="1"/>
  <c r="S14" i="2"/>
  <c r="O24" i="2" s="1"/>
  <c r="O22" i="2"/>
  <c r="R14" i="2"/>
  <c r="N24" i="2" s="1"/>
  <c r="N22" i="2"/>
  <c r="H14" i="2"/>
  <c r="D24" i="2" s="1"/>
  <c r="D22" i="2"/>
  <c r="P14" i="2"/>
  <c r="L24" i="2" s="1"/>
  <c r="L22" i="2"/>
  <c r="E22" i="2"/>
  <c r="I14" i="2"/>
  <c r="E24" i="2" s="1"/>
  <c r="L11" i="2"/>
  <c r="H23" i="2" s="1"/>
  <c r="L8" i="2"/>
  <c r="H19" i="2" s="1"/>
  <c r="L9" i="2"/>
  <c r="H20" i="2" s="1"/>
  <c r="M9" i="2"/>
  <c r="I20" i="2" s="1"/>
  <c r="M8" i="2"/>
  <c r="I19" i="2" s="1"/>
  <c r="K19" i="2"/>
  <c r="O13" i="2"/>
  <c r="K21" i="2" s="1"/>
  <c r="G19" i="2"/>
  <c r="K13" i="2"/>
  <c r="G21" i="2" s="1"/>
  <c r="E19" i="2"/>
  <c r="I13" i="2"/>
  <c r="E21" i="2" s="1"/>
  <c r="L19" i="2"/>
  <c r="P13" i="2"/>
  <c r="L21" i="2" s="1"/>
  <c r="S13" i="2"/>
  <c r="O21" i="2" s="1"/>
  <c r="M19" i="2"/>
  <c r="Q13" i="2"/>
  <c r="M21" i="2" s="1"/>
  <c r="N19" i="2"/>
  <c r="R13" i="2"/>
  <c r="N21" i="2" s="1"/>
  <c r="D19" i="2"/>
  <c r="H13" i="2"/>
  <c r="D21" i="2" s="1"/>
  <c r="F19" i="2"/>
  <c r="J13" i="2"/>
  <c r="F21" i="2" s="1"/>
  <c r="M14" i="2" l="1"/>
  <c r="I24" i="2" s="1"/>
  <c r="L14" i="2"/>
  <c r="H24" i="2" s="1"/>
  <c r="N14" i="2"/>
  <c r="J24" i="2" s="1"/>
  <c r="L13" i="2"/>
  <c r="H21" i="2" s="1"/>
  <c r="M13" i="2"/>
  <c r="I21" i="2" s="1"/>
</calcChain>
</file>

<file path=xl/sharedStrings.xml><?xml version="1.0" encoding="utf-8"?>
<sst xmlns="http://schemas.openxmlformats.org/spreadsheetml/2006/main" count="389" uniqueCount="210">
  <si>
    <t>CRLA2v1</t>
  </si>
  <si>
    <t>ASSESSMENT TYPE</t>
  </si>
  <si>
    <t>EoSY</t>
  </si>
  <si>
    <t>School ID:</t>
  </si>
  <si>
    <t>Total Enrolment</t>
  </si>
  <si>
    <t>Total Assessed :</t>
  </si>
  <si>
    <t>Schoo Name:</t>
  </si>
  <si>
    <t>ROMANA ELEMETARY SCHOOL</t>
  </si>
  <si>
    <t>Male</t>
  </si>
  <si>
    <t>Female</t>
  </si>
  <si>
    <t>Assessment Part 1
(Word Recognition and Sentences Reading)</t>
  </si>
  <si>
    <r>
      <rPr>
        <b/>
        <sz val="9"/>
        <color theme="1"/>
        <rFont val="Calibri"/>
        <family val="2"/>
        <scheme val="minor"/>
      </rPr>
      <t xml:space="preserve">WORDS SCORE 
</t>
    </r>
    <r>
      <rPr>
        <sz val="9"/>
        <color theme="1"/>
        <rFont val="Calibri"/>
        <family val="2"/>
        <scheme val="minor"/>
      </rPr>
      <t xml:space="preserve">0 to 10 – Full Refresher
11 to 16 – Moderate Refresher
</t>
    </r>
    <r>
      <rPr>
        <b/>
        <sz val="9"/>
        <color theme="1"/>
        <rFont val="Calibri"/>
        <family val="2"/>
        <scheme val="minor"/>
      </rPr>
      <t xml:space="preserve">SENTENCE SCORE </t>
    </r>
    <r>
      <rPr>
        <sz val="9"/>
        <color theme="1"/>
        <rFont val="Calibri"/>
        <family val="2"/>
        <scheme val="minor"/>
      </rPr>
      <t xml:space="preserve">
17 to 26 – Light Refresher
27 to 30 – Grade Ready</t>
    </r>
  </si>
  <si>
    <t>Assessment Part 2
 (Reading Fluency and Comprehension)</t>
  </si>
  <si>
    <t>Teacher:</t>
  </si>
  <si>
    <t>MARICAR F. JOAQUIN</t>
  </si>
  <si>
    <t>Grade:</t>
  </si>
  <si>
    <t>Grade 2</t>
  </si>
  <si>
    <t>Total Words per Story</t>
  </si>
  <si>
    <t>Task 1 – Write the number of Words sounded out correctly</t>
  </si>
  <si>
    <t>Rhymes 
(Task 2) 
If task 1 score is 0 to 6</t>
  </si>
  <si>
    <t>Sentence
 (Task 2) 
If task 1 score is 7 to 10
Task 2L=10</t>
  </si>
  <si>
    <t>Total Score = Task 1 Score + Task 2L+Task 2H Score</t>
  </si>
  <si>
    <t>Total Words Per Story</t>
  </si>
  <si>
    <t>Story 1</t>
  </si>
  <si>
    <t>Story 2</t>
  </si>
  <si>
    <t>Section:</t>
  </si>
  <si>
    <t>Story Number 
1 or 2</t>
  </si>
  <si>
    <t>Total Reading Miscues</t>
  </si>
  <si>
    <t>Number of words read within 2 mins</t>
  </si>
  <si>
    <t>Total Time Used in Reading 
(Max : 2 Mins)</t>
  </si>
  <si>
    <t>Number of Words per Minute (WPM)</t>
  </si>
  <si>
    <t>Language:</t>
  </si>
  <si>
    <t>Hiligaynon</t>
  </si>
  <si>
    <t>S/N</t>
  </si>
  <si>
    <t>LRN</t>
  </si>
  <si>
    <t>Name of Learner</t>
  </si>
  <si>
    <t>Sex</t>
  </si>
  <si>
    <t>Date of Asessment</t>
  </si>
  <si>
    <t>Task 1 
(10)</t>
  </si>
  <si>
    <t>Task 2L
Words 
(10)</t>
  </si>
  <si>
    <t>Task 2H
Sentences
(10)</t>
  </si>
  <si>
    <t>Total Score</t>
  </si>
  <si>
    <t>Part 1 Reading Level</t>
  </si>
  <si>
    <t>Story Number</t>
  </si>
  <si>
    <t>Number of Miscue</t>
  </si>
  <si>
    <t>Words Read</t>
  </si>
  <si>
    <r>
      <rPr>
        <b/>
        <sz val="10"/>
        <color theme="1"/>
        <rFont val="Calibri"/>
        <family val="2"/>
        <scheme val="minor"/>
      </rPr>
      <t xml:space="preserve">Total 
</t>
    </r>
    <r>
      <rPr>
        <b/>
        <sz val="9"/>
        <color theme="1"/>
        <rFont val="Calibri"/>
        <family val="2"/>
        <scheme val="minor"/>
      </rPr>
      <t>Mins    Secs</t>
    </r>
  </si>
  <si>
    <t>WPM</t>
  </si>
  <si>
    <t>% of Correct Words Read</t>
  </si>
  <si>
    <t>Total Correct Answer</t>
  </si>
  <si>
    <t>Leaner Experience
(Rating 1-5)</t>
  </si>
  <si>
    <t>Observation Level</t>
  </si>
  <si>
    <t>READING PROFILE</t>
  </si>
  <si>
    <t>Remarks</t>
  </si>
  <si>
    <t>BARGASA, REY JOHN V.</t>
  </si>
  <si>
    <t>06/20/2025</t>
  </si>
  <si>
    <t>Level 1</t>
  </si>
  <si>
    <t xml:space="preserve">BESANES, ZANDER G. </t>
  </si>
  <si>
    <t xml:space="preserve">BERIZAL, KENT ANGELO C. </t>
  </si>
  <si>
    <t xml:space="preserve">DARAS, REYNASH R. </t>
  </si>
  <si>
    <t>ORTILANO, KLENT Y.</t>
  </si>
  <si>
    <t>Level 2</t>
  </si>
  <si>
    <t>PATRICIO, SEAN E.</t>
  </si>
  <si>
    <t>06/23/2025</t>
  </si>
  <si>
    <t>ZONITA, NELJOHN E.</t>
  </si>
  <si>
    <t>ANTONIO, JELAISA JEAN P.</t>
  </si>
  <si>
    <t>CUSTODIO, MARICAR C.</t>
  </si>
  <si>
    <t>DUMAICOS, NOVELYN F.</t>
  </si>
  <si>
    <t>DUMANIEL, SHANAYA A.</t>
  </si>
  <si>
    <t>ESTOCADA, JULIANA Q.</t>
  </si>
  <si>
    <t>06/24/2025</t>
  </si>
  <si>
    <t>GANCIA, CRISSUN V.</t>
  </si>
  <si>
    <t>JUMBAS, JHAZMAINE KHATE A.</t>
  </si>
  <si>
    <t>LABANZA, ALEJANDRINE AMIAH G.</t>
  </si>
  <si>
    <t>WORDS SCORE 
0 to 10 – Full Refresher
11 to 16 – Moderate Refresher
SENTENCE SCORE 
17 to 26 – Light Refresher
27 to 30 – Grade Ready</t>
  </si>
  <si>
    <t>Filipino</t>
  </si>
  <si>
    <t>Words
(10)</t>
  </si>
  <si>
    <t>Sentences
(10)</t>
  </si>
  <si>
    <t xml:space="preserve"> </t>
  </si>
  <si>
    <t>School:</t>
  </si>
  <si>
    <t>GRADE 2 Reading Assessment CLASS RECORD</t>
  </si>
  <si>
    <t>FILIPINO</t>
  </si>
  <si>
    <t>Grade 1</t>
  </si>
  <si>
    <t>Assessment Part 1</t>
  </si>
  <si>
    <t>Assessment Part 2</t>
  </si>
  <si>
    <t>Assessment Part 1 Reading Level</t>
  </si>
  <si>
    <t>% of Total Score</t>
  </si>
  <si>
    <t>Reading Fluency</t>
  </si>
  <si>
    <t>Reading Comprehension</t>
  </si>
  <si>
    <t>Average Word Per Minute</t>
  </si>
  <si>
    <t>GRADE 2 Assessment CLASS SUMMARY</t>
  </si>
  <si>
    <t>SCHOOL ID :</t>
  </si>
  <si>
    <t>SCHOOL NAME:</t>
  </si>
  <si>
    <t>Grade</t>
  </si>
  <si>
    <t>Language</t>
  </si>
  <si>
    <t>Number of Learners Enrolled</t>
  </si>
  <si>
    <t>Number of Learners Assessed</t>
  </si>
  <si>
    <t>Assessment Part 2 Average Score</t>
  </si>
  <si>
    <t>Section</t>
  </si>
  <si>
    <t>Teacher</t>
  </si>
  <si>
    <t>Full Refresher</t>
  </si>
  <si>
    <t>Moderate Refresher</t>
  </si>
  <si>
    <t>Light Refresher</t>
  </si>
  <si>
    <t>Grade Ready</t>
  </si>
  <si>
    <t>Ave. WPM</t>
  </si>
  <si>
    <t>Low Emerging Reader</t>
  </si>
  <si>
    <t>High Emerging Reader</t>
  </si>
  <si>
    <t>Developing Reader</t>
  </si>
  <si>
    <t>Transitioning Reader</t>
  </si>
  <si>
    <t>Reading At Grade Level</t>
  </si>
  <si>
    <t>Total</t>
  </si>
  <si>
    <t>Percent (%) of Learners at Each Proficiency Level</t>
  </si>
  <si>
    <t>Average Score</t>
  </si>
  <si>
    <t>Percent of Learners assessed</t>
  </si>
  <si>
    <t>Words Per Minute</t>
  </si>
  <si>
    <t>Reading Level</t>
  </si>
  <si>
    <t>Criteria</t>
  </si>
  <si>
    <t>Observations Level</t>
  </si>
  <si>
    <t>Learner scores 0 to 10 in Assessment Part 1</t>
  </si>
  <si>
    <t>Learner reads less than 25% of the passage in 2 minutes and cannot answer any of the questions</t>
  </si>
  <si>
    <t>Reads word by word</t>
  </si>
  <si>
    <t>Learner reads between 26% to 50% of  passage accurately in 2 minutes  and answers 1 to 2 question correctly</t>
  </si>
  <si>
    <t>Reads word in chunks</t>
  </si>
  <si>
    <t>Learner reads between 51% to 75% of  passage accurately in 2 minutes  AND answers 3 to 4 questions correctly.</t>
  </si>
  <si>
    <t>Level 3</t>
  </si>
  <si>
    <t>Reads fluently but not observing functuation marks</t>
  </si>
  <si>
    <t>Learner reads between 76% to 100% of  passage accurately in 2 minutes AND answers 5 to 6 questions correctly.</t>
  </si>
  <si>
    <t>Level 4</t>
  </si>
  <si>
    <t>Reads fluently with proper expression</t>
  </si>
  <si>
    <t>Reading</t>
  </si>
  <si>
    <t xml:space="preserve">Region </t>
  </si>
  <si>
    <t>Grade Level</t>
  </si>
  <si>
    <t>Passage Title</t>
  </si>
  <si>
    <t>Number of Words</t>
  </si>
  <si>
    <t xml:space="preserve"> Story 2</t>
  </si>
  <si>
    <t>0%</t>
  </si>
  <si>
    <t>NCR</t>
  </si>
  <si>
    <t>Akeanon</t>
  </si>
  <si>
    <t>Central Bikol</t>
  </si>
  <si>
    <t>An Pagsaud</t>
  </si>
  <si>
    <t>An Sorpresa ni Nanay</t>
  </si>
  <si>
    <t>&lt;50%</t>
  </si>
  <si>
    <t>CAR</t>
  </si>
  <si>
    <t>Bahasa Sug</t>
  </si>
  <si>
    <t>Tagalog</t>
  </si>
  <si>
    <t>Isang Kakaibang Araw</t>
  </si>
  <si>
    <t>Ang Pagong at ang Kuheno</t>
  </si>
  <si>
    <t>50%</t>
  </si>
  <si>
    <t>Region I</t>
  </si>
  <si>
    <t>Bikol Libon</t>
  </si>
  <si>
    <t>Rinconada</t>
  </si>
  <si>
    <t>SI PLUTO</t>
  </si>
  <si>
    <t>SA KADLAGAN</t>
  </si>
  <si>
    <t>&gt;50%</t>
  </si>
  <si>
    <t>Region II</t>
  </si>
  <si>
    <t>Buhi-non</t>
  </si>
  <si>
    <t>Minasbate</t>
  </si>
  <si>
    <t>MAY ESKWELA NA</t>
  </si>
  <si>
    <t xml:space="preserve">SA BARYO NI KALOY </t>
  </si>
  <si>
    <t>100%</t>
  </si>
  <si>
    <t>Region III</t>
  </si>
  <si>
    <t>Caluyanen</t>
  </si>
  <si>
    <t>Region IV-A</t>
  </si>
  <si>
    <t>Sinugbuanong Binisaya</t>
  </si>
  <si>
    <t>Palda ni Perla</t>
  </si>
  <si>
    <t>Si Ana, Ang Batang Matinahuron</t>
  </si>
  <si>
    <t xml:space="preserve">Region IV-B </t>
  </si>
  <si>
    <t>Chavacano</t>
  </si>
  <si>
    <t>Ang Damgo ni Marko</t>
  </si>
  <si>
    <t>Ang Sorpresa</t>
  </si>
  <si>
    <t xml:space="preserve">Region V </t>
  </si>
  <si>
    <t>Cuyonon</t>
  </si>
  <si>
    <t xml:space="preserve">Naduea Ro Tubi </t>
  </si>
  <si>
    <t>Ro Magmaeanghud</t>
  </si>
  <si>
    <t>Region VI</t>
  </si>
  <si>
    <t xml:space="preserve">Kinaray-a </t>
  </si>
  <si>
    <t>Ang Bata nga Parasipal kang Damang</t>
  </si>
  <si>
    <t>Ang Handum ni Lisa</t>
  </si>
  <si>
    <t xml:space="preserve">Region VII </t>
  </si>
  <si>
    <t>Hiliray-a (Kinaray-a Iloilo)</t>
  </si>
  <si>
    <t>Magindanawn</t>
  </si>
  <si>
    <t>Su Bayabas Nila Kamad</t>
  </si>
  <si>
    <t>Su Manga Bedung Ni Saida</t>
  </si>
  <si>
    <t xml:space="preserve">Region VIII </t>
  </si>
  <si>
    <t>Ibanag</t>
  </si>
  <si>
    <t>ANG BOLA NI GLENDA</t>
  </si>
  <si>
    <t>SI BIMBOY</t>
  </si>
  <si>
    <t>Region IX</t>
  </si>
  <si>
    <t>Ilocano</t>
  </si>
  <si>
    <t xml:space="preserve">Region X </t>
  </si>
  <si>
    <t>Inabaknon</t>
  </si>
  <si>
    <t xml:space="preserve">Region XI </t>
  </si>
  <si>
    <t>Ivatan</t>
  </si>
  <si>
    <t xml:space="preserve">Region XII </t>
  </si>
  <si>
    <t>Kapampangan</t>
  </si>
  <si>
    <t xml:space="preserve">Region XIII </t>
  </si>
  <si>
    <t>BARMM</t>
  </si>
  <si>
    <t xml:space="preserve">Meranaw </t>
  </si>
  <si>
    <t>Miraya</t>
  </si>
  <si>
    <t>Northern Catanduanes</t>
  </si>
  <si>
    <t>Northern Sorsoganon</t>
  </si>
  <si>
    <t>Pangasinan</t>
  </si>
  <si>
    <t xml:space="preserve">Sambal </t>
  </si>
  <si>
    <t>Southern Catanduanes</t>
  </si>
  <si>
    <t>Southern Sorsoganon</t>
  </si>
  <si>
    <t>Surigaonon</t>
  </si>
  <si>
    <t>Waray</t>
  </si>
  <si>
    <t>West Albay Bikol</t>
  </si>
  <si>
    <t>Yakan</t>
  </si>
  <si>
    <t>Other MT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</si>
</sst>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30">
    <font>
      <sz val="11"/>
      <color theme="1"/>
      <name val="Calibri"/>
      <charset val="134"/>
      <scheme val="minor"/>
    </font>
    <font>
      <b/>
      <sz val="12"/>
      <color theme="1"/>
      <name val="Calibri"/>
      <family val="2"/>
      <scheme val="minor"/>
    </font>
    <font>
      <b/>
      <sz val="11"/>
      <color theme="1"/>
      <name val="Calibri"/>
      <family val="2"/>
      <scheme val="minor"/>
    </font>
    <font>
      <b/>
      <sz val="12"/>
      <color theme="0"/>
      <name val="Arial"/>
      <family val="2"/>
    </font>
    <font>
      <b/>
      <sz val="9"/>
      <color theme="1"/>
      <name val="Calibri"/>
      <family val="2"/>
      <scheme val="minor"/>
    </font>
    <font>
      <b/>
      <sz val="10"/>
      <color theme="1"/>
      <name val="Calibri"/>
      <family val="2"/>
      <scheme val="minor"/>
    </font>
    <font>
      <sz val="10"/>
      <color theme="1"/>
      <name val="Calibri"/>
      <family val="2"/>
      <scheme val="minor"/>
    </font>
    <font>
      <sz val="9"/>
      <color theme="1"/>
      <name val="Arial"/>
      <family val="2"/>
    </font>
    <font>
      <b/>
      <sz val="10"/>
      <color theme="1"/>
      <name val="Arial"/>
      <family val="2"/>
    </font>
    <font>
      <sz val="10"/>
      <name val="Arial"/>
      <family val="2"/>
    </font>
    <font>
      <b/>
      <sz val="14"/>
      <color theme="0"/>
      <name val="Arial"/>
      <family val="2"/>
    </font>
    <font>
      <b/>
      <sz val="9"/>
      <color theme="1"/>
      <name val="Arial"/>
      <family val="2"/>
    </font>
    <font>
      <b/>
      <sz val="8"/>
      <color theme="1"/>
      <name val="Arial"/>
      <family val="2"/>
    </font>
    <font>
      <b/>
      <sz val="11"/>
      <color theme="0"/>
      <name val="Calibri"/>
      <family val="2"/>
      <scheme val="minor"/>
    </font>
    <font>
      <sz val="18"/>
      <color theme="1"/>
      <name val="Calibri"/>
      <family val="2"/>
      <scheme val="minor"/>
    </font>
    <font>
      <sz val="11"/>
      <color theme="1"/>
      <name val="Arial"/>
      <family val="2"/>
    </font>
    <font>
      <b/>
      <sz val="10"/>
      <name val="Arial"/>
      <family val="2"/>
    </font>
    <font>
      <b/>
      <sz val="9"/>
      <name val="Arial"/>
      <family val="2"/>
    </font>
    <font>
      <sz val="8"/>
      <color theme="1"/>
      <name val="Arial"/>
      <family val="2"/>
    </font>
    <font>
      <b/>
      <sz val="8"/>
      <name val="Arial"/>
      <family val="2"/>
    </font>
    <font>
      <sz val="10"/>
      <color theme="1"/>
      <name val="Arial"/>
      <family val="2"/>
    </font>
    <font>
      <i/>
      <sz val="10"/>
      <name val="Arial"/>
      <family val="2"/>
    </font>
    <font>
      <i/>
      <sz val="10"/>
      <color theme="1"/>
      <name val="Arial"/>
      <family val="2"/>
    </font>
    <font>
      <sz val="11"/>
      <color rgb="FF000000"/>
      <name val="Arial"/>
      <family val="2"/>
    </font>
    <font>
      <sz val="9"/>
      <color theme="1"/>
      <name val="Calibri"/>
      <family val="2"/>
      <scheme val="minor"/>
    </font>
    <font>
      <b/>
      <i/>
      <sz val="8"/>
      <color theme="1"/>
      <name val="Arial"/>
      <family val="2"/>
    </font>
    <font>
      <sz val="8"/>
      <color theme="1"/>
      <name val="Calibri"/>
      <family val="2"/>
      <scheme val="minor"/>
    </font>
    <font>
      <sz val="11"/>
      <color rgb="FF000000"/>
      <name val="Calibri"/>
      <family val="2"/>
    </font>
    <font>
      <sz val="11"/>
      <color rgb="FFFF0000"/>
      <name val="Calibri"/>
      <family val="2"/>
      <scheme val="minor"/>
    </font>
    <font>
      <sz val="11"/>
      <color theme="1"/>
      <name val="Calibri"/>
      <family val="2"/>
      <scheme val="minor"/>
    </font>
  </fonts>
  <fills count="17">
    <fill>
      <patternFill patternType="none"/>
    </fill>
    <fill>
      <patternFill patternType="gray125"/>
    </fill>
    <fill>
      <patternFill patternType="solid">
        <fgColor rgb="FFFFFF00"/>
        <bgColor indexed="64"/>
      </patternFill>
    </fill>
    <fill>
      <patternFill patternType="solid">
        <fgColor theme="9" tint="0.79995117038483843"/>
        <bgColor indexed="64"/>
      </patternFill>
    </fill>
    <fill>
      <patternFill patternType="solid">
        <fgColor rgb="FFFFC000"/>
        <bgColor indexed="64"/>
      </patternFill>
    </fill>
    <fill>
      <patternFill patternType="solid">
        <fgColor theme="0" tint="-0.14996795556505021"/>
        <bgColor indexed="64"/>
      </patternFill>
    </fill>
    <fill>
      <patternFill patternType="solid">
        <fgColor theme="0" tint="-0.499984740745262"/>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4" tint="0.79995117038483843"/>
        <bgColor indexed="64"/>
      </patternFill>
    </fill>
    <fill>
      <patternFill patternType="solid">
        <fgColor theme="7" tint="0.79995117038483843"/>
        <bgColor indexed="64"/>
      </patternFill>
    </fill>
    <fill>
      <patternFill patternType="solid">
        <fgColor theme="1" tint="0.499984740745262"/>
        <bgColor indexed="64"/>
      </patternFill>
    </fill>
    <fill>
      <patternFill patternType="solid">
        <fgColor rgb="FFFFFFFF"/>
        <bgColor indexed="64"/>
      </patternFill>
    </fill>
    <fill>
      <patternFill patternType="solid">
        <fgColor rgb="FFF2F2F2"/>
        <bgColor indexed="64"/>
      </patternFill>
    </fill>
    <fill>
      <patternFill patternType="solid">
        <fgColor theme="0"/>
        <bgColor indexed="64"/>
      </patternFill>
    </fill>
    <fill>
      <patternFill patternType="solid">
        <fgColor theme="2" tint="-0.249977111117893"/>
        <bgColor indexed="64"/>
      </patternFill>
    </fill>
  </fills>
  <borders count="58">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medium">
        <color auto="1"/>
      </left>
      <right style="thin">
        <color auto="1"/>
      </right>
      <top/>
      <bottom/>
      <diagonal/>
    </border>
    <border>
      <left style="thin">
        <color auto="1"/>
      </left>
      <right style="thin">
        <color auto="1"/>
      </right>
      <top/>
      <bottom/>
      <diagonal/>
    </border>
    <border>
      <left style="thin">
        <color auto="1"/>
      </left>
      <right/>
      <top style="thin">
        <color auto="1"/>
      </top>
      <bottom style="thin">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top style="medium">
        <color auto="1"/>
      </top>
      <bottom style="thin">
        <color auto="1"/>
      </bottom>
      <diagonal/>
    </border>
    <border>
      <left style="medium">
        <color auto="1"/>
      </left>
      <right/>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medium">
        <color auto="1"/>
      </right>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style="medium">
        <color auto="1"/>
      </left>
      <right style="medium">
        <color auto="1"/>
      </right>
      <top style="medium">
        <color auto="1"/>
      </top>
      <bottom style="medium">
        <color auto="1"/>
      </bottom>
      <diagonal/>
    </border>
    <border>
      <left/>
      <right style="medium">
        <color auto="1"/>
      </right>
      <top style="medium">
        <color auto="1"/>
      </top>
      <bottom style="thin">
        <color auto="1"/>
      </bottom>
      <diagonal/>
    </border>
    <border>
      <left style="medium">
        <color auto="1"/>
      </left>
      <right/>
      <top/>
      <bottom style="thin">
        <color auto="1"/>
      </bottom>
      <diagonal/>
    </border>
    <border>
      <left/>
      <right style="thin">
        <color auto="1"/>
      </right>
      <top/>
      <bottom style="thin">
        <color auto="1"/>
      </bottom>
      <diagonal/>
    </border>
    <border>
      <left style="medium">
        <color auto="1"/>
      </left>
      <right/>
      <top style="thin">
        <color auto="1"/>
      </top>
      <bottom/>
      <diagonal/>
    </border>
    <border>
      <left/>
      <right/>
      <top style="thin">
        <color auto="1"/>
      </top>
      <bottom/>
      <diagonal/>
    </border>
    <border>
      <left/>
      <right/>
      <top/>
      <bottom style="thin">
        <color auto="1"/>
      </bottom>
      <diagonal/>
    </border>
    <border>
      <left style="thin">
        <color auto="1"/>
      </left>
      <right style="thin">
        <color auto="1"/>
      </right>
      <top style="thin">
        <color auto="1"/>
      </top>
      <bottom/>
      <diagonal/>
    </border>
    <border>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style="thin">
        <color auto="1"/>
      </left>
      <right style="thin">
        <color auto="1"/>
      </right>
      <top style="medium">
        <color auto="1"/>
      </top>
      <bottom style="medium">
        <color auto="1"/>
      </bottom>
      <diagonal/>
    </border>
    <border>
      <left/>
      <right/>
      <top style="medium">
        <color auto="1"/>
      </top>
      <bottom style="medium">
        <color auto="1"/>
      </bottom>
      <diagonal/>
    </border>
    <border>
      <left/>
      <right/>
      <top style="medium">
        <color auto="1"/>
      </top>
      <bottom/>
      <diagonal/>
    </border>
    <border>
      <left/>
      <right style="medium">
        <color auto="1"/>
      </right>
      <top style="medium">
        <color auto="1"/>
      </top>
      <bottom/>
      <diagonal/>
    </border>
    <border>
      <left/>
      <right style="medium">
        <color auto="1"/>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medium">
        <color auto="1"/>
      </bottom>
      <diagonal/>
    </border>
    <border>
      <left/>
      <right style="thin">
        <color auto="1"/>
      </right>
      <top/>
      <bottom style="medium">
        <color auto="1"/>
      </bottom>
      <diagonal/>
    </border>
    <border>
      <left/>
      <right style="medium">
        <color auto="1"/>
      </right>
      <top style="medium">
        <color auto="1"/>
      </top>
      <bottom style="medium">
        <color auto="1"/>
      </bottom>
      <diagonal/>
    </border>
    <border>
      <left/>
      <right style="thin">
        <color auto="1"/>
      </right>
      <top style="medium">
        <color auto="1"/>
      </top>
      <bottom style="medium">
        <color auto="1"/>
      </bottom>
      <diagonal/>
    </border>
    <border>
      <left/>
      <right style="medium">
        <color auto="1"/>
      </right>
      <top style="thin">
        <color auto="1"/>
      </top>
      <bottom/>
      <diagonal/>
    </border>
    <border>
      <left style="thin">
        <color auto="1"/>
      </left>
      <right/>
      <top/>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right style="thin">
        <color auto="1"/>
      </right>
      <top style="medium">
        <color auto="1"/>
      </top>
      <bottom style="thin">
        <color auto="1"/>
      </bottom>
      <diagonal/>
    </border>
    <border>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s>
  <cellStyleXfs count="2">
    <xf numFmtId="0" fontId="0" fillId="0" borderId="0"/>
    <xf numFmtId="9" fontId="29" fillId="0" borderId="0" applyFont="0" applyFill="0" applyBorder="0" applyAlignment="0" applyProtection="0"/>
  </cellStyleXfs>
  <cellXfs count="364">
    <xf numFmtId="0" fontId="0" fillId="0" borderId="0" xfId="0"/>
    <xf numFmtId="0" fontId="0" fillId="0" borderId="0" xfId="0" applyAlignment="1">
      <alignment horizontal="center"/>
    </xf>
    <xf numFmtId="0" fontId="0" fillId="0" borderId="0" xfId="0" applyAlignment="1">
      <alignment horizontal="left"/>
    </xf>
    <xf numFmtId="0" fontId="0" fillId="2" borderId="0" xfId="0" applyFill="1"/>
    <xf numFmtId="0" fontId="0" fillId="3" borderId="0" xfId="0" applyFill="1"/>
    <xf numFmtId="0" fontId="0" fillId="4" borderId="0" xfId="0" applyFill="1"/>
    <xf numFmtId="0" fontId="1" fillId="5" borderId="1" xfId="0" applyFont="1" applyFill="1" applyBorder="1" applyAlignment="1">
      <alignment horizontal="center" vertical="center"/>
    </xf>
    <xf numFmtId="0" fontId="1" fillId="5" borderId="2" xfId="0" applyFont="1" applyFill="1" applyBorder="1" applyAlignment="1">
      <alignment horizontal="center" vertical="center" wrapText="1"/>
    </xf>
    <xf numFmtId="0" fontId="2" fillId="0" borderId="4" xfId="0" applyFont="1" applyBorder="1" applyAlignment="1">
      <alignment vertical="center"/>
    </xf>
    <xf numFmtId="0" fontId="0" fillId="0" borderId="0" xfId="0" applyAlignment="1">
      <alignment vertical="center" wrapText="1"/>
    </xf>
    <xf numFmtId="0" fontId="2" fillId="0" borderId="5" xfId="0" applyFont="1" applyBorder="1" applyAlignment="1">
      <alignment horizontal="left" vertical="center" indent="1"/>
    </xf>
    <xf numFmtId="0" fontId="0" fillId="0" borderId="6" xfId="0" applyBorder="1" applyAlignment="1">
      <alignment vertical="center" wrapText="1"/>
    </xf>
    <xf numFmtId="0" fontId="0" fillId="0" borderId="5" xfId="0" applyBorder="1" applyAlignment="1">
      <alignment vertical="center" wrapText="1"/>
    </xf>
    <xf numFmtId="0" fontId="2" fillId="0" borderId="7" xfId="0" applyFont="1" applyBorder="1" applyAlignment="1">
      <alignment vertical="center"/>
    </xf>
    <xf numFmtId="0" fontId="2" fillId="0" borderId="8" xfId="0" applyFont="1" applyBorder="1" applyAlignment="1">
      <alignment vertical="center"/>
    </xf>
    <xf numFmtId="0" fontId="0" fillId="0" borderId="9" xfId="0" applyBorder="1" applyAlignment="1">
      <alignment vertical="center" wrapText="1"/>
    </xf>
    <xf numFmtId="0" fontId="2" fillId="0" borderId="9" xfId="0" applyFont="1" applyBorder="1" applyAlignment="1">
      <alignment horizontal="left" vertical="center" indent="1"/>
    </xf>
    <xf numFmtId="0" fontId="0" fillId="0" borderId="10" xfId="0" applyBorder="1" applyAlignment="1">
      <alignment vertical="center" wrapText="1"/>
    </xf>
    <xf numFmtId="0" fontId="2" fillId="5" borderId="2" xfId="0" applyFont="1" applyFill="1" applyBorder="1" applyAlignment="1" applyProtection="1">
      <alignment horizontal="center"/>
      <protection hidden="1"/>
    </xf>
    <xf numFmtId="0" fontId="2" fillId="5" borderId="5" xfId="0" applyFont="1" applyFill="1" applyBorder="1" applyAlignment="1" applyProtection="1">
      <alignment horizontal="center"/>
      <protection hidden="1"/>
    </xf>
    <xf numFmtId="0" fontId="4" fillId="5" borderId="5" xfId="0" applyFont="1" applyFill="1" applyBorder="1" applyAlignment="1" applyProtection="1">
      <alignment horizontal="center" vertical="center" wrapText="1"/>
      <protection hidden="1"/>
    </xf>
    <xf numFmtId="0" fontId="6" fillId="0" borderId="4" xfId="0" applyFont="1" applyBorder="1" applyAlignment="1" applyProtection="1">
      <alignment vertical="center"/>
      <protection hidden="1"/>
    </xf>
    <xf numFmtId="0" fontId="6" fillId="0" borderId="5" xfId="0" applyFont="1" applyBorder="1" applyAlignment="1" applyProtection="1">
      <alignment vertical="center"/>
      <protection hidden="1"/>
    </xf>
    <xf numFmtId="0" fontId="6" fillId="0" borderId="5" xfId="0" applyFont="1" applyBorder="1" applyAlignment="1" applyProtection="1">
      <alignment horizontal="center" vertical="center"/>
      <protection hidden="1"/>
    </xf>
    <xf numFmtId="0" fontId="6" fillId="0" borderId="5" xfId="0" applyFont="1" applyBorder="1" applyAlignment="1" applyProtection="1">
      <alignment horizontal="center" vertical="center" wrapText="1"/>
      <protection hidden="1"/>
    </xf>
    <xf numFmtId="0" fontId="0" fillId="0" borderId="5" xfId="0" applyBorder="1" applyAlignment="1" applyProtection="1">
      <alignment horizontal="center" vertical="center"/>
      <protection hidden="1"/>
    </xf>
    <xf numFmtId="0" fontId="0" fillId="0" borderId="5" xfId="0" applyBorder="1" applyAlignment="1" applyProtection="1">
      <alignment horizontal="center" vertical="center" wrapText="1"/>
      <protection hidden="1"/>
    </xf>
    <xf numFmtId="0" fontId="6" fillId="0" borderId="8" xfId="0" applyFont="1" applyBorder="1" applyAlignment="1" applyProtection="1">
      <alignment vertical="center"/>
      <protection hidden="1"/>
    </xf>
    <xf numFmtId="0" fontId="6" fillId="0" borderId="9" xfId="0" applyFont="1" applyBorder="1" applyAlignment="1" applyProtection="1">
      <alignment vertical="center"/>
      <protection hidden="1"/>
    </xf>
    <xf numFmtId="0" fontId="6" fillId="0" borderId="9" xfId="0" applyFont="1" applyBorder="1" applyAlignment="1" applyProtection="1">
      <alignment horizontal="center" vertical="center"/>
      <protection hidden="1"/>
    </xf>
    <xf numFmtId="0" fontId="6" fillId="0" borderId="9" xfId="0" applyFont="1" applyBorder="1" applyAlignment="1" applyProtection="1">
      <alignment horizontal="center" vertical="center" wrapText="1"/>
      <protection hidden="1"/>
    </xf>
    <xf numFmtId="0" fontId="0" fillId="0" borderId="9" xfId="0" applyBorder="1" applyAlignment="1" applyProtection="1">
      <alignment horizontal="center" vertical="center" wrapText="1"/>
      <protection hidden="1"/>
    </xf>
    <xf numFmtId="0" fontId="0" fillId="0" borderId="9" xfId="0" applyBorder="1" applyAlignment="1" applyProtection="1">
      <alignment horizontal="center" vertical="center"/>
      <protection hidden="1"/>
    </xf>
    <xf numFmtId="0" fontId="6" fillId="0" borderId="0" xfId="0" applyFont="1" applyAlignment="1" applyProtection="1">
      <alignment vertical="center"/>
      <protection hidden="1"/>
    </xf>
    <xf numFmtId="0" fontId="6" fillId="0" borderId="0" xfId="0" applyFont="1" applyAlignment="1" applyProtection="1">
      <alignment horizontal="center" vertical="center"/>
      <protection hidden="1"/>
    </xf>
    <xf numFmtId="0" fontId="6" fillId="0" borderId="0" xfId="0" applyFont="1" applyAlignment="1" applyProtection="1">
      <alignment horizontal="center" vertical="center" wrapText="1"/>
      <protection hidden="1"/>
    </xf>
    <xf numFmtId="0" fontId="0" fillId="0" borderId="0" xfId="0" applyAlignment="1" applyProtection="1">
      <alignment horizontal="center" vertical="center" wrapText="1"/>
      <protection hidden="1"/>
    </xf>
    <xf numFmtId="0" fontId="0" fillId="0" borderId="0" xfId="0" applyAlignment="1" applyProtection="1">
      <alignment horizontal="center" vertical="center"/>
      <protection hidden="1"/>
    </xf>
    <xf numFmtId="0" fontId="5" fillId="0" borderId="1" xfId="0" applyFont="1" applyBorder="1" applyAlignment="1" applyProtection="1">
      <alignment vertical="center"/>
      <protection hidden="1"/>
    </xf>
    <xf numFmtId="0" fontId="5" fillId="0" borderId="2" xfId="0" applyFont="1" applyBorder="1" applyAlignment="1" applyProtection="1">
      <alignment vertical="center"/>
      <protection hidden="1"/>
    </xf>
    <xf numFmtId="0" fontId="5" fillId="0" borderId="2" xfId="0" applyFont="1" applyBorder="1" applyAlignment="1" applyProtection="1">
      <alignment horizontal="center" vertical="center"/>
      <protection hidden="1"/>
    </xf>
    <xf numFmtId="0" fontId="5" fillId="0" borderId="2" xfId="0" applyFont="1" applyBorder="1" applyAlignment="1" applyProtection="1">
      <alignment horizontal="center" vertical="center" wrapText="1"/>
      <protection hidden="1"/>
    </xf>
    <xf numFmtId="0" fontId="2" fillId="0" borderId="2" xfId="0" applyFont="1" applyBorder="1" applyAlignment="1" applyProtection="1">
      <alignment horizontal="center" vertical="center" wrapText="1"/>
      <protection hidden="1"/>
    </xf>
    <xf numFmtId="0" fontId="2" fillId="0" borderId="2" xfId="0" applyFont="1" applyBorder="1" applyAlignment="1" applyProtection="1">
      <alignment horizontal="center" vertical="center"/>
      <protection hidden="1"/>
    </xf>
    <xf numFmtId="0" fontId="5" fillId="0" borderId="8" xfId="0" applyFont="1" applyBorder="1" applyAlignment="1" applyProtection="1">
      <alignment vertical="center"/>
      <protection hidden="1"/>
    </xf>
    <xf numFmtId="0" fontId="5" fillId="0" borderId="9" xfId="0" applyFont="1" applyBorder="1" applyAlignment="1" applyProtection="1">
      <alignment vertical="center"/>
      <protection hidden="1"/>
    </xf>
    <xf numFmtId="0" fontId="5" fillId="0" borderId="9" xfId="0" applyFont="1" applyBorder="1" applyAlignment="1" applyProtection="1">
      <alignment horizontal="center" vertical="center"/>
      <protection hidden="1"/>
    </xf>
    <xf numFmtId="0" fontId="5" fillId="0" borderId="9" xfId="0" applyFont="1" applyBorder="1" applyAlignment="1" applyProtection="1">
      <alignment horizontal="center" vertical="center" wrapText="1"/>
      <protection hidden="1"/>
    </xf>
    <xf numFmtId="0" fontId="2" fillId="0" borderId="9" xfId="0" applyFont="1" applyBorder="1" applyAlignment="1" applyProtection="1">
      <alignment horizontal="center" vertical="center" wrapText="1"/>
      <protection hidden="1"/>
    </xf>
    <xf numFmtId="0" fontId="2" fillId="0" borderId="9" xfId="0" applyFont="1" applyBorder="1" applyAlignment="1" applyProtection="1">
      <alignment horizontal="center" vertical="center"/>
      <protection hidden="1"/>
    </xf>
    <xf numFmtId="0" fontId="2" fillId="5" borderId="13" xfId="0" applyFont="1" applyFill="1" applyBorder="1" applyAlignment="1">
      <alignment wrapText="1"/>
    </xf>
    <xf numFmtId="0" fontId="2" fillId="5" borderId="14" xfId="0" applyFont="1" applyFill="1" applyBorder="1" applyAlignment="1">
      <alignment horizontal="center"/>
    </xf>
    <xf numFmtId="0" fontId="2" fillId="5" borderId="15" xfId="0" applyFont="1" applyFill="1" applyBorder="1" applyAlignment="1">
      <alignment horizontal="center"/>
    </xf>
    <xf numFmtId="0" fontId="2" fillId="5" borderId="15" xfId="0" applyFont="1" applyFill="1" applyBorder="1" applyAlignment="1">
      <alignment wrapText="1"/>
    </xf>
    <xf numFmtId="0" fontId="2" fillId="5" borderId="17" xfId="0" applyFont="1" applyFill="1" applyBorder="1"/>
    <xf numFmtId="0" fontId="2" fillId="5" borderId="18" xfId="0" applyFont="1" applyFill="1" applyBorder="1"/>
    <xf numFmtId="0" fontId="2" fillId="5" borderId="18" xfId="0" applyFont="1" applyFill="1" applyBorder="1" applyAlignment="1">
      <alignment horizontal="center" wrapText="1"/>
    </xf>
    <xf numFmtId="0" fontId="0" fillId="0" borderId="4" xfId="0" applyBorder="1"/>
    <xf numFmtId="0" fontId="0" fillId="0" borderId="5" xfId="0" applyBorder="1"/>
    <xf numFmtId="9" fontId="0" fillId="0" borderId="5" xfId="1" applyFont="1" applyBorder="1" applyAlignment="1">
      <alignment horizontal="center"/>
    </xf>
    <xf numFmtId="9" fontId="0" fillId="0" borderId="5" xfId="0" applyNumberFormat="1" applyBorder="1" applyAlignment="1">
      <alignment horizontal="center"/>
    </xf>
    <xf numFmtId="0" fontId="2" fillId="7" borderId="8" xfId="0" applyFont="1" applyFill="1" applyBorder="1"/>
    <xf numFmtId="0" fontId="2" fillId="0" borderId="9" xfId="0" applyFont="1" applyBorder="1"/>
    <xf numFmtId="9" fontId="2" fillId="7" borderId="9" xfId="0" applyNumberFormat="1" applyFont="1" applyFill="1" applyBorder="1" applyAlignment="1">
      <alignment horizontal="center"/>
    </xf>
    <xf numFmtId="0" fontId="0" fillId="0" borderId="17" xfId="0" applyBorder="1"/>
    <xf numFmtId="0" fontId="0" fillId="0" borderId="18" xfId="0" applyBorder="1"/>
    <xf numFmtId="9" fontId="0" fillId="0" borderId="18" xfId="1" applyFont="1" applyBorder="1" applyAlignment="1">
      <alignment horizontal="center"/>
    </xf>
    <xf numFmtId="0" fontId="2" fillId="0" borderId="0" xfId="0" applyFont="1"/>
    <xf numFmtId="9" fontId="2" fillId="0" borderId="0" xfId="0" applyNumberFormat="1" applyFont="1" applyAlignment="1">
      <alignment horizontal="center"/>
    </xf>
    <xf numFmtId="0" fontId="5" fillId="3" borderId="2" xfId="0" applyFont="1" applyFill="1" applyBorder="1" applyAlignment="1" applyProtection="1">
      <alignment wrapText="1"/>
      <protection hidden="1"/>
    </xf>
    <xf numFmtId="0" fontId="4" fillId="3" borderId="5" xfId="0" applyFont="1" applyFill="1" applyBorder="1" applyAlignment="1" applyProtection="1">
      <alignment horizontal="center" vertical="center" wrapText="1"/>
      <protection hidden="1"/>
    </xf>
    <xf numFmtId="10" fontId="0" fillId="0" borderId="5" xfId="0" applyNumberFormat="1" applyBorder="1" applyAlignment="1">
      <alignment horizontal="center" vertical="center"/>
    </xf>
    <xf numFmtId="2" fontId="0" fillId="0" borderId="5" xfId="0" applyNumberFormat="1" applyBorder="1" applyAlignment="1">
      <alignment horizontal="center" vertical="center"/>
    </xf>
    <xf numFmtId="0" fontId="0" fillId="3" borderId="5" xfId="0" applyFill="1" applyBorder="1" applyAlignment="1" applyProtection="1">
      <alignment horizontal="center" vertical="center"/>
      <protection hidden="1"/>
    </xf>
    <xf numFmtId="10" fontId="0" fillId="0" borderId="9" xfId="0" applyNumberFormat="1" applyBorder="1" applyAlignment="1">
      <alignment horizontal="center" vertical="center"/>
    </xf>
    <xf numFmtId="2" fontId="0" fillId="0" borderId="9" xfId="0" applyNumberFormat="1" applyBorder="1" applyAlignment="1">
      <alignment horizontal="center" vertical="center"/>
    </xf>
    <xf numFmtId="0" fontId="0" fillId="3" borderId="9" xfId="0" applyFill="1" applyBorder="1" applyAlignment="1" applyProtection="1">
      <alignment horizontal="center" vertical="center"/>
      <protection hidden="1"/>
    </xf>
    <xf numFmtId="2" fontId="0" fillId="0" borderId="0" xfId="0" applyNumberFormat="1" applyAlignment="1">
      <alignment horizontal="center" vertical="center"/>
    </xf>
    <xf numFmtId="10" fontId="0" fillId="0" borderId="2" xfId="0" applyNumberFormat="1" applyBorder="1" applyAlignment="1">
      <alignment horizontal="center" vertical="center"/>
    </xf>
    <xf numFmtId="2" fontId="0" fillId="0" borderId="2" xfId="0" applyNumberFormat="1" applyBorder="1" applyAlignment="1">
      <alignment horizontal="center" vertical="center"/>
    </xf>
    <xf numFmtId="0" fontId="2" fillId="3" borderId="2" xfId="0" applyFont="1" applyFill="1" applyBorder="1" applyAlignment="1" applyProtection="1">
      <alignment horizontal="center" vertical="center"/>
      <protection hidden="1"/>
    </xf>
    <xf numFmtId="0" fontId="2" fillId="3" borderId="9" xfId="0" applyFont="1" applyFill="1" applyBorder="1" applyAlignment="1" applyProtection="1">
      <alignment horizontal="center" vertical="center"/>
      <protection hidden="1"/>
    </xf>
    <xf numFmtId="0" fontId="0" fillId="0" borderId="20" xfId="0" applyBorder="1"/>
    <xf numFmtId="0" fontId="4" fillId="3" borderId="6" xfId="0" applyFont="1" applyFill="1" applyBorder="1" applyAlignment="1" applyProtection="1">
      <alignment horizontal="center" vertical="center" wrapText="1"/>
      <protection hidden="1"/>
    </xf>
    <xf numFmtId="0" fontId="4" fillId="0" borderId="20" xfId="0" applyFont="1" applyBorder="1" applyAlignment="1" applyProtection="1">
      <alignment horizontal="center" vertical="center" wrapText="1"/>
      <protection hidden="1"/>
    </xf>
    <xf numFmtId="2" fontId="0" fillId="0" borderId="5" xfId="1" applyNumberFormat="1" applyFont="1" applyBorder="1" applyAlignment="1">
      <alignment horizontal="center"/>
    </xf>
    <xf numFmtId="9" fontId="0" fillId="3" borderId="5" xfId="1" applyFont="1" applyFill="1" applyBorder="1" applyAlignment="1">
      <alignment horizontal="center"/>
    </xf>
    <xf numFmtId="9" fontId="0" fillId="3" borderId="6" xfId="1" applyFont="1" applyFill="1" applyBorder="1" applyAlignment="1">
      <alignment horizontal="center"/>
    </xf>
    <xf numFmtId="2" fontId="0" fillId="0" borderId="5" xfId="0" applyNumberFormat="1" applyBorder="1" applyAlignment="1">
      <alignment horizontal="center"/>
    </xf>
    <xf numFmtId="9" fontId="0" fillId="3" borderId="5" xfId="0" applyNumberFormat="1" applyFill="1" applyBorder="1" applyAlignment="1">
      <alignment horizontal="center"/>
    </xf>
    <xf numFmtId="9" fontId="0" fillId="3" borderId="6" xfId="0" applyNumberFormat="1" applyFill="1" applyBorder="1" applyAlignment="1">
      <alignment horizontal="center"/>
    </xf>
    <xf numFmtId="2" fontId="2" fillId="7" borderId="9" xfId="0" applyNumberFormat="1" applyFont="1" applyFill="1" applyBorder="1" applyAlignment="1">
      <alignment horizontal="center"/>
    </xf>
    <xf numFmtId="9" fontId="2" fillId="3" borderId="5" xfId="0" applyNumberFormat="1" applyFont="1" applyFill="1" applyBorder="1" applyAlignment="1">
      <alignment horizontal="center"/>
    </xf>
    <xf numFmtId="9" fontId="2" fillId="3" borderId="9" xfId="0" applyNumberFormat="1" applyFont="1" applyFill="1" applyBorder="1" applyAlignment="1">
      <alignment horizontal="center"/>
    </xf>
    <xf numFmtId="9" fontId="2" fillId="3" borderId="10" xfId="0" applyNumberFormat="1" applyFont="1" applyFill="1" applyBorder="1" applyAlignment="1">
      <alignment horizontal="center"/>
    </xf>
    <xf numFmtId="2" fontId="0" fillId="0" borderId="18" xfId="1" applyNumberFormat="1" applyFont="1" applyBorder="1" applyAlignment="1">
      <alignment horizontal="center"/>
    </xf>
    <xf numFmtId="9" fontId="0" fillId="3" borderId="18" xfId="1" applyFont="1" applyFill="1" applyBorder="1" applyAlignment="1">
      <alignment horizontal="center"/>
    </xf>
    <xf numFmtId="9" fontId="0" fillId="3" borderId="23" xfId="1" applyFont="1" applyFill="1" applyBorder="1" applyAlignment="1">
      <alignment horizontal="center"/>
    </xf>
    <xf numFmtId="0" fontId="0" fillId="0" borderId="0" xfId="0" applyAlignment="1">
      <alignment vertical="center"/>
    </xf>
    <xf numFmtId="0" fontId="7" fillId="0" borderId="0" xfId="0" applyFont="1" applyAlignment="1">
      <alignment horizontal="center"/>
    </xf>
    <xf numFmtId="0" fontId="11" fillId="10" borderId="5" xfId="0" applyFont="1" applyFill="1" applyBorder="1" applyAlignment="1">
      <alignment horizontal="center" vertical="center" wrapText="1"/>
    </xf>
    <xf numFmtId="0" fontId="11" fillId="8" borderId="4" xfId="0" applyFont="1" applyFill="1" applyBorder="1" applyAlignment="1">
      <alignment horizontal="center" vertical="center" wrapText="1"/>
    </xf>
    <xf numFmtId="0" fontId="11" fillId="8" borderId="5" xfId="0" applyFont="1" applyFill="1" applyBorder="1" applyAlignment="1">
      <alignment horizontal="center" vertical="center" wrapText="1"/>
    </xf>
    <xf numFmtId="0" fontId="11" fillId="8" borderId="5" xfId="0" applyFont="1" applyFill="1" applyBorder="1" applyAlignment="1">
      <alignment vertical="center"/>
    </xf>
    <xf numFmtId="0" fontId="11" fillId="8" borderId="5" xfId="0" applyFont="1" applyFill="1" applyBorder="1" applyAlignment="1">
      <alignment horizontal="center" vertical="center"/>
    </xf>
    <xf numFmtId="0" fontId="12" fillId="10" borderId="5" xfId="0" applyFont="1" applyFill="1" applyBorder="1" applyAlignment="1">
      <alignment horizontal="center" vertical="center" wrapText="1"/>
    </xf>
    <xf numFmtId="0" fontId="0" fillId="0" borderId="4" xfId="0" applyBorder="1" applyAlignment="1">
      <alignment vertical="center"/>
    </xf>
    <xf numFmtId="1" fontId="0" fillId="0" borderId="5" xfId="0" applyNumberFormat="1" applyBorder="1" applyAlignment="1">
      <alignment horizontal="left" vertical="center"/>
    </xf>
    <xf numFmtId="0" fontId="0" fillId="0" borderId="5" xfId="0" applyBorder="1" applyAlignment="1">
      <alignment vertical="center"/>
    </xf>
    <xf numFmtId="0" fontId="0" fillId="0" borderId="5" xfId="0" applyBorder="1" applyAlignment="1">
      <alignment horizontal="center" vertical="center"/>
    </xf>
    <xf numFmtId="1" fontId="0" fillId="10" borderId="5" xfId="0" applyNumberFormat="1" applyFill="1" applyBorder="1" applyAlignment="1">
      <alignment horizontal="center" vertical="center"/>
    </xf>
    <xf numFmtId="9" fontId="0" fillId="10" borderId="5" xfId="0" applyNumberFormat="1" applyFill="1" applyBorder="1" applyAlignment="1">
      <alignment horizontal="center" vertical="center"/>
    </xf>
    <xf numFmtId="0" fontId="0" fillId="7" borderId="4" xfId="0" applyFill="1" applyBorder="1" applyAlignment="1">
      <alignment vertical="center"/>
    </xf>
    <xf numFmtId="1" fontId="0" fillId="7" borderId="5" xfId="0" applyNumberFormat="1" applyFill="1" applyBorder="1" applyAlignment="1">
      <alignment horizontal="left" vertical="center"/>
    </xf>
    <xf numFmtId="0" fontId="0" fillId="7" borderId="5" xfId="0" applyFill="1" applyBorder="1" applyAlignment="1">
      <alignment vertical="center"/>
    </xf>
    <xf numFmtId="0" fontId="0" fillId="7" borderId="5" xfId="0" applyFill="1" applyBorder="1" applyAlignment="1">
      <alignment horizontal="center" vertical="center"/>
    </xf>
    <xf numFmtId="0" fontId="11" fillId="11" borderId="5" xfId="0" applyFont="1" applyFill="1" applyBorder="1" applyAlignment="1">
      <alignment horizontal="center" vertical="center" wrapText="1"/>
    </xf>
    <xf numFmtId="0" fontId="8" fillId="11" borderId="5" xfId="0" applyFont="1" applyFill="1" applyBorder="1" applyAlignment="1">
      <alignment vertical="center" wrapText="1"/>
    </xf>
    <xf numFmtId="0" fontId="12" fillId="11" borderId="5" xfId="0" applyFont="1" applyFill="1" applyBorder="1" applyAlignment="1">
      <alignment horizontal="center" vertical="center" wrapText="1"/>
    </xf>
    <xf numFmtId="0" fontId="11" fillId="11" borderId="5" xfId="0" applyFont="1" applyFill="1" applyBorder="1" applyAlignment="1">
      <alignment horizontal="center" vertical="center"/>
    </xf>
    <xf numFmtId="1" fontId="0" fillId="10" borderId="5" xfId="0" applyNumberFormat="1" applyFill="1" applyBorder="1" applyAlignment="1">
      <alignment horizontal="center" vertical="center" wrapText="1"/>
    </xf>
    <xf numFmtId="1" fontId="0" fillId="11" borderId="5" xfId="0" applyNumberFormat="1" applyFill="1" applyBorder="1" applyAlignment="1">
      <alignment horizontal="center" vertical="center"/>
    </xf>
    <xf numFmtId="9" fontId="0" fillId="11" borderId="5" xfId="0" applyNumberFormat="1" applyFill="1" applyBorder="1" applyAlignment="1">
      <alignment horizontal="center" vertical="center"/>
    </xf>
    <xf numFmtId="1" fontId="0" fillId="11" borderId="5" xfId="0" applyNumberFormat="1" applyFill="1" applyBorder="1" applyAlignment="1">
      <alignment horizontal="center" vertical="center" wrapText="1"/>
    </xf>
    <xf numFmtId="0" fontId="0" fillId="10" borderId="5" xfId="0" applyFill="1" applyBorder="1" applyAlignment="1">
      <alignment horizontal="center" vertical="center" wrapText="1"/>
    </xf>
    <xf numFmtId="0" fontId="0" fillId="11" borderId="5" xfId="0" applyFill="1" applyBorder="1" applyAlignment="1">
      <alignment horizontal="center" vertical="center" wrapText="1"/>
    </xf>
    <xf numFmtId="0" fontId="0" fillId="0" borderId="6" xfId="0" applyBorder="1" applyAlignment="1">
      <alignment horizontal="left" vertical="center" wrapText="1"/>
    </xf>
    <xf numFmtId="0" fontId="0" fillId="7" borderId="6" xfId="0" applyFill="1" applyBorder="1" applyAlignment="1">
      <alignment horizontal="left" vertical="center" wrapText="1"/>
    </xf>
    <xf numFmtId="0" fontId="0" fillId="7" borderId="8" xfId="0" applyFill="1" applyBorder="1" applyAlignment="1">
      <alignment vertical="center"/>
    </xf>
    <xf numFmtId="1" fontId="0" fillId="7" borderId="9" xfId="0" applyNumberFormat="1" applyFill="1" applyBorder="1" applyAlignment="1">
      <alignment horizontal="left" vertical="center"/>
    </xf>
    <xf numFmtId="0" fontId="0" fillId="7" borderId="9" xfId="0" applyFill="1" applyBorder="1" applyAlignment="1">
      <alignment vertical="center"/>
    </xf>
    <xf numFmtId="0" fontId="0" fillId="7" borderId="9" xfId="0" applyFill="1" applyBorder="1" applyAlignment="1">
      <alignment horizontal="center" vertical="center"/>
    </xf>
    <xf numFmtId="1" fontId="0" fillId="10" borderId="9" xfId="0" applyNumberFormat="1" applyFill="1" applyBorder="1" applyAlignment="1">
      <alignment horizontal="center" vertical="center"/>
    </xf>
    <xf numFmtId="9" fontId="0" fillId="10" borderId="9" xfId="0" applyNumberFormat="1" applyFill="1" applyBorder="1" applyAlignment="1">
      <alignment horizontal="center" vertical="center"/>
    </xf>
    <xf numFmtId="0" fontId="0" fillId="10" borderId="9" xfId="0" applyFill="1" applyBorder="1" applyAlignment="1">
      <alignment horizontal="center" vertical="center" wrapText="1"/>
    </xf>
    <xf numFmtId="1" fontId="0" fillId="11" borderId="9" xfId="0" applyNumberFormat="1" applyFill="1" applyBorder="1" applyAlignment="1">
      <alignment horizontal="center" vertical="center"/>
    </xf>
    <xf numFmtId="9" fontId="0" fillId="11" borderId="9" xfId="0" applyNumberFormat="1" applyFill="1" applyBorder="1" applyAlignment="1">
      <alignment horizontal="center" vertical="center"/>
    </xf>
    <xf numFmtId="0" fontId="0" fillId="11" borderId="9" xfId="0" applyFill="1" applyBorder="1" applyAlignment="1">
      <alignment horizontal="center" vertical="center" wrapText="1"/>
    </xf>
    <xf numFmtId="0" fontId="0" fillId="7" borderId="10" xfId="0" applyFill="1" applyBorder="1" applyAlignment="1">
      <alignment horizontal="left" vertical="center" wrapText="1"/>
    </xf>
    <xf numFmtId="0" fontId="0" fillId="0" borderId="0" xfId="0" applyAlignment="1">
      <alignment horizontal="center" wrapText="1"/>
    </xf>
    <xf numFmtId="0" fontId="14" fillId="5" borderId="26" xfId="0" applyFont="1" applyFill="1" applyBorder="1" applyAlignment="1">
      <alignment vertical="center"/>
    </xf>
    <xf numFmtId="0" fontId="15" fillId="5" borderId="2" xfId="0" applyFont="1" applyFill="1" applyBorder="1" applyAlignment="1">
      <alignment horizontal="left"/>
    </xf>
    <xf numFmtId="0" fontId="16" fillId="5" borderId="1" xfId="0" applyFont="1" applyFill="1" applyBorder="1" applyAlignment="1">
      <alignment horizontal="center" wrapText="1"/>
    </xf>
    <xf numFmtId="0" fontId="9" fillId="5" borderId="5" xfId="0" applyFont="1" applyFill="1" applyBorder="1" applyAlignment="1">
      <alignment horizontal="left" wrapText="1"/>
    </xf>
    <xf numFmtId="0" fontId="17" fillId="9" borderId="22" xfId="0" applyFont="1" applyFill="1" applyBorder="1" applyAlignment="1">
      <alignment horizontal="center" wrapText="1"/>
    </xf>
    <xf numFmtId="0" fontId="17" fillId="9" borderId="6" xfId="0" applyFont="1" applyFill="1" applyBorder="1" applyAlignment="1">
      <alignment horizontal="center" wrapText="1"/>
    </xf>
    <xf numFmtId="0" fontId="0" fillId="8" borderId="22" xfId="0" applyFill="1" applyBorder="1" applyAlignment="1">
      <alignment horizontal="center"/>
    </xf>
    <xf numFmtId="0" fontId="0" fillId="8" borderId="6" xfId="0" applyFill="1" applyBorder="1" applyAlignment="1">
      <alignment horizontal="center"/>
    </xf>
    <xf numFmtId="0" fontId="19" fillId="9" borderId="22" xfId="0" applyFont="1" applyFill="1" applyBorder="1" applyAlignment="1">
      <alignment horizontal="center" wrapText="1"/>
    </xf>
    <xf numFmtId="0" fontId="12" fillId="9" borderId="6" xfId="0" applyFont="1" applyFill="1" applyBorder="1" applyAlignment="1">
      <alignment horizontal="center" wrapText="1"/>
    </xf>
    <xf numFmtId="0" fontId="20" fillId="5" borderId="9" xfId="0" applyFont="1" applyFill="1" applyBorder="1" applyAlignment="1">
      <alignment horizontal="left"/>
    </xf>
    <xf numFmtId="0" fontId="21" fillId="0" borderId="34" xfId="0" applyFont="1" applyBorder="1" applyAlignment="1">
      <alignment horizontal="center" wrapText="1"/>
    </xf>
    <xf numFmtId="0" fontId="22" fillId="0" borderId="10" xfId="0" applyFont="1" applyBorder="1" applyAlignment="1">
      <alignment horizontal="center" wrapText="1"/>
    </xf>
    <xf numFmtId="0" fontId="8" fillId="8" borderId="37" xfId="0" applyFont="1" applyFill="1" applyBorder="1" applyAlignment="1">
      <alignment horizontal="center" vertical="center" wrapText="1"/>
    </xf>
    <xf numFmtId="0" fontId="8" fillId="8" borderId="38" xfId="0" applyFont="1" applyFill="1" applyBorder="1" applyAlignment="1">
      <alignment horizontal="center" vertical="center" wrapText="1"/>
    </xf>
    <xf numFmtId="0" fontId="5" fillId="8" borderId="39" xfId="0" applyFont="1" applyFill="1" applyBorder="1" applyAlignment="1">
      <alignment horizontal="center" vertical="center"/>
    </xf>
    <xf numFmtId="0" fontId="5" fillId="8" borderId="40" xfId="0" applyFont="1" applyFill="1" applyBorder="1" applyAlignment="1">
      <alignment horizontal="center" vertical="center"/>
    </xf>
    <xf numFmtId="0" fontId="5" fillId="8" borderId="38" xfId="0" applyFont="1" applyFill="1" applyBorder="1" applyAlignment="1">
      <alignment horizontal="center" vertical="center" wrapText="1"/>
    </xf>
    <xf numFmtId="0" fontId="5" fillId="8" borderId="37" xfId="0" applyFont="1" applyFill="1" applyBorder="1" applyAlignment="1">
      <alignment horizontal="center" vertical="center" wrapText="1"/>
    </xf>
    <xf numFmtId="0" fontId="5" fillId="8" borderId="40" xfId="0" applyFont="1" applyFill="1" applyBorder="1" applyAlignment="1">
      <alignment horizontal="center" vertical="center" wrapText="1"/>
    </xf>
    <xf numFmtId="1" fontId="0" fillId="5" borderId="18" xfId="0" applyNumberFormat="1" applyFill="1" applyBorder="1" applyAlignment="1">
      <alignment horizontal="center"/>
    </xf>
    <xf numFmtId="1" fontId="0" fillId="5" borderId="18" xfId="0" applyNumberFormat="1" applyFill="1" applyBorder="1" applyAlignment="1">
      <alignment horizontal="left"/>
    </xf>
    <xf numFmtId="164" fontId="0" fillId="5" borderId="23" xfId="0" applyNumberFormat="1" applyFill="1" applyBorder="1" applyAlignment="1">
      <alignment horizontal="center"/>
    </xf>
    <xf numFmtId="0" fontId="0" fillId="0" borderId="17" xfId="0" applyBorder="1" applyAlignment="1" applyProtection="1">
      <alignment horizontal="center" wrapText="1"/>
      <protection locked="0"/>
    </xf>
    <xf numFmtId="0" fontId="0" fillId="0" borderId="18" xfId="0" applyBorder="1" applyAlignment="1" applyProtection="1">
      <alignment horizontal="center" wrapText="1"/>
      <protection locked="0"/>
    </xf>
    <xf numFmtId="0" fontId="0" fillId="7" borderId="4" xfId="0" applyFill="1" applyBorder="1"/>
    <xf numFmtId="1" fontId="0" fillId="5" borderId="5" xfId="0" applyNumberFormat="1" applyFill="1" applyBorder="1" applyAlignment="1">
      <alignment horizontal="center"/>
    </xf>
    <xf numFmtId="0" fontId="0" fillId="5" borderId="5" xfId="0" applyFill="1" applyBorder="1"/>
    <xf numFmtId="0" fontId="0" fillId="5" borderId="5" xfId="0" applyFill="1" applyBorder="1" applyAlignment="1">
      <alignment horizontal="center"/>
    </xf>
    <xf numFmtId="164" fontId="0" fillId="5" borderId="6" xfId="0" applyNumberFormat="1" applyFill="1" applyBorder="1" applyAlignment="1">
      <alignment horizontal="center"/>
    </xf>
    <xf numFmtId="0" fontId="15" fillId="7" borderId="4" xfId="0" applyFont="1" applyFill="1" applyBorder="1" applyAlignment="1" applyProtection="1">
      <alignment horizontal="center" vertical="top" wrapText="1"/>
      <protection locked="0"/>
    </xf>
    <xf numFmtId="0" fontId="0" fillId="7" borderId="5" xfId="0" applyFill="1" applyBorder="1" applyAlignment="1" applyProtection="1">
      <alignment horizontal="center" wrapText="1"/>
      <protection locked="0"/>
    </xf>
    <xf numFmtId="0" fontId="15" fillId="13" borderId="4" xfId="0" applyFont="1" applyFill="1" applyBorder="1" applyAlignment="1" applyProtection="1">
      <alignment horizontal="center" vertical="top" wrapText="1"/>
      <protection locked="0"/>
    </xf>
    <xf numFmtId="1" fontId="0" fillId="0" borderId="5" xfId="0" applyNumberFormat="1" applyBorder="1" applyAlignment="1" applyProtection="1">
      <alignment horizontal="center"/>
      <protection locked="0"/>
    </xf>
    <xf numFmtId="1" fontId="0" fillId="7" borderId="5" xfId="0" applyNumberFormat="1" applyFill="1" applyBorder="1" applyAlignment="1" applyProtection="1">
      <alignment horizontal="center"/>
      <protection locked="0"/>
    </xf>
    <xf numFmtId="1" fontId="0" fillId="5" borderId="5" xfId="0" applyNumberFormat="1" applyFill="1" applyBorder="1" applyAlignment="1">
      <alignment horizontal="left"/>
    </xf>
    <xf numFmtId="0" fontId="23" fillId="13" borderId="4" xfId="0" applyFont="1" applyFill="1" applyBorder="1" applyAlignment="1" applyProtection="1">
      <alignment horizontal="center" vertical="top" wrapText="1"/>
      <protection locked="0"/>
    </xf>
    <xf numFmtId="0" fontId="23" fillId="14" borderId="4" xfId="0" applyFont="1" applyFill="1" applyBorder="1" applyAlignment="1" applyProtection="1">
      <alignment horizontal="center" vertical="top" wrapText="1"/>
      <protection locked="0"/>
    </xf>
    <xf numFmtId="0" fontId="8" fillId="5" borderId="2" xfId="0" applyFont="1" applyFill="1" applyBorder="1" applyAlignment="1" applyProtection="1">
      <alignment horizontal="center" vertical="center" wrapText="1"/>
      <protection hidden="1"/>
    </xf>
    <xf numFmtId="0" fontId="3" fillId="6" borderId="41" xfId="0" applyFont="1" applyFill="1" applyBorder="1"/>
    <xf numFmtId="0" fontId="3" fillId="6" borderId="42" xfId="0" applyFont="1" applyFill="1" applyBorder="1"/>
    <xf numFmtId="0" fontId="12" fillId="8" borderId="4" xfId="0" applyFont="1" applyFill="1" applyBorder="1" applyAlignment="1">
      <alignment horizontal="center" vertical="center" wrapText="1"/>
    </xf>
    <xf numFmtId="0" fontId="25" fillId="8" borderId="5" xfId="0" applyFont="1" applyFill="1" applyBorder="1" applyAlignment="1">
      <alignment horizontal="center" vertical="center" wrapText="1"/>
    </xf>
    <xf numFmtId="0" fontId="20" fillId="5" borderId="5" xfId="0" applyFont="1" applyFill="1" applyBorder="1" applyAlignment="1">
      <alignment horizontal="center" vertical="center" wrapText="1"/>
    </xf>
    <xf numFmtId="0" fontId="5" fillId="8" borderId="49" xfId="0" applyFont="1" applyFill="1" applyBorder="1" applyAlignment="1">
      <alignment horizontal="center" vertical="center"/>
    </xf>
    <xf numFmtId="0" fontId="5" fillId="16" borderId="37" xfId="0" applyFont="1" applyFill="1" applyBorder="1" applyAlignment="1">
      <alignment horizontal="center" vertical="center" wrapText="1"/>
    </xf>
    <xf numFmtId="0" fontId="4" fillId="16" borderId="50" xfId="0" applyFont="1" applyFill="1" applyBorder="1" applyAlignment="1">
      <alignment horizontal="center" vertical="center" wrapText="1"/>
    </xf>
    <xf numFmtId="0" fontId="5" fillId="16" borderId="40" xfId="0" applyFont="1" applyFill="1" applyBorder="1" applyAlignment="1">
      <alignment horizontal="center" vertical="center" wrapText="1"/>
    </xf>
    <xf numFmtId="1" fontId="0" fillId="7" borderId="18" xfId="0" applyNumberFormat="1" applyFill="1" applyBorder="1" applyAlignment="1">
      <alignment horizontal="center"/>
    </xf>
    <xf numFmtId="1" fontId="0" fillId="7" borderId="23" xfId="0" applyNumberFormat="1" applyFill="1" applyBorder="1" applyAlignment="1">
      <alignment horizontal="center"/>
    </xf>
    <xf numFmtId="1" fontId="0" fillId="0" borderId="17" xfId="0" applyNumberFormat="1" applyBorder="1" applyAlignment="1" applyProtection="1">
      <alignment horizontal="center"/>
      <protection locked="0"/>
    </xf>
    <xf numFmtId="1" fontId="0" fillId="0" borderId="29" xfId="0" applyNumberFormat="1" applyBorder="1" applyAlignment="1" applyProtection="1">
      <alignment horizontal="center"/>
      <protection locked="0"/>
    </xf>
    <xf numFmtId="1" fontId="0" fillId="0" borderId="18" xfId="0" applyNumberFormat="1" applyBorder="1" applyAlignment="1" applyProtection="1">
      <alignment horizontal="center"/>
      <protection locked="0"/>
    </xf>
    <xf numFmtId="1" fontId="0" fillId="7" borderId="5" xfId="0" applyNumberFormat="1" applyFill="1" applyBorder="1" applyAlignment="1">
      <alignment horizontal="center"/>
    </xf>
    <xf numFmtId="1" fontId="0" fillId="7" borderId="6" xfId="0" applyNumberFormat="1" applyFill="1" applyBorder="1" applyAlignment="1">
      <alignment horizontal="center"/>
    </xf>
    <xf numFmtId="1" fontId="0" fillId="7" borderId="4" xfId="0" applyNumberFormat="1" applyFill="1" applyBorder="1" applyAlignment="1" applyProtection="1">
      <alignment horizontal="center"/>
      <protection locked="0"/>
    </xf>
    <xf numFmtId="1" fontId="0" fillId="7" borderId="22" xfId="0" applyNumberFormat="1" applyFill="1" applyBorder="1" applyAlignment="1" applyProtection="1">
      <alignment horizontal="center"/>
      <protection locked="0"/>
    </xf>
    <xf numFmtId="1" fontId="0" fillId="0" borderId="4" xfId="0" applyNumberFormat="1" applyBorder="1" applyAlignment="1" applyProtection="1">
      <alignment horizontal="center"/>
      <protection locked="0"/>
    </xf>
    <xf numFmtId="1" fontId="0" fillId="0" borderId="22" xfId="0" applyNumberFormat="1" applyBorder="1" applyAlignment="1" applyProtection="1">
      <alignment horizontal="center"/>
      <protection locked="0"/>
    </xf>
    <xf numFmtId="1" fontId="27" fillId="14" borderId="22" xfId="0" applyNumberFormat="1" applyFont="1" applyFill="1" applyBorder="1" applyAlignment="1" applyProtection="1">
      <alignment horizontal="center"/>
      <protection locked="0"/>
    </xf>
    <xf numFmtId="1" fontId="27" fillId="0" borderId="22" xfId="0" applyNumberFormat="1" applyFont="1" applyBorder="1" applyAlignment="1" applyProtection="1">
      <alignment horizontal="center"/>
      <protection locked="0"/>
    </xf>
    <xf numFmtId="0" fontId="3" fillId="6" borderId="43" xfId="0" applyFont="1" applyFill="1" applyBorder="1"/>
    <xf numFmtId="0" fontId="3" fillId="6" borderId="0" xfId="0" applyFont="1" applyFill="1"/>
    <xf numFmtId="0" fontId="3" fillId="6" borderId="44" xfId="0" applyFont="1" applyFill="1" applyBorder="1"/>
    <xf numFmtId="0" fontId="28" fillId="15" borderId="0" xfId="0" applyFont="1" applyFill="1"/>
    <xf numFmtId="0" fontId="4" fillId="16" borderId="40" xfId="0" applyFont="1" applyFill="1" applyBorder="1" applyAlignment="1">
      <alignment horizontal="center" vertical="center" wrapText="1"/>
    </xf>
    <xf numFmtId="0" fontId="5" fillId="16" borderId="38" xfId="0" applyFont="1" applyFill="1" applyBorder="1" applyAlignment="1">
      <alignment horizontal="center" vertical="center" wrapText="1"/>
    </xf>
    <xf numFmtId="0" fontId="5" fillId="16" borderId="49" xfId="0" applyFont="1" applyFill="1" applyBorder="1" applyAlignment="1">
      <alignment horizontal="center" vertical="center" wrapText="1"/>
    </xf>
    <xf numFmtId="0" fontId="5" fillId="16" borderId="26" xfId="0" applyFont="1" applyFill="1" applyBorder="1" applyAlignment="1">
      <alignment horizontal="center" vertical="center"/>
    </xf>
    <xf numFmtId="9" fontId="0" fillId="5" borderId="18" xfId="0" applyNumberFormat="1" applyFill="1" applyBorder="1" applyAlignment="1">
      <alignment horizontal="center"/>
    </xf>
    <xf numFmtId="1" fontId="0" fillId="0" borderId="23" xfId="0" applyNumberFormat="1" applyBorder="1" applyAlignment="1" applyProtection="1">
      <alignment horizontal="center"/>
      <protection locked="0"/>
    </xf>
    <xf numFmtId="1" fontId="0" fillId="7" borderId="29" xfId="0" applyNumberFormat="1" applyFill="1" applyBorder="1" applyAlignment="1">
      <alignment horizontal="center"/>
    </xf>
    <xf numFmtId="1" fontId="0" fillId="0" borderId="23" xfId="0" applyNumberFormat="1" applyBorder="1" applyProtection="1">
      <protection locked="0"/>
    </xf>
    <xf numFmtId="9" fontId="0" fillId="5" borderId="5" xfId="0" applyNumberFormat="1" applyFill="1" applyBorder="1" applyAlignment="1">
      <alignment horizontal="center"/>
    </xf>
    <xf numFmtId="1" fontId="0" fillId="7" borderId="6" xfId="0" applyNumberFormat="1" applyFill="1" applyBorder="1" applyAlignment="1" applyProtection="1">
      <alignment horizontal="center"/>
      <protection locked="0"/>
    </xf>
    <xf numFmtId="1" fontId="0" fillId="7" borderId="22" xfId="0" applyNumberFormat="1" applyFill="1" applyBorder="1" applyAlignment="1">
      <alignment horizontal="center"/>
    </xf>
    <xf numFmtId="1" fontId="0" fillId="7" borderId="6" xfId="0" applyNumberFormat="1" applyFill="1" applyBorder="1" applyProtection="1">
      <protection locked="0"/>
    </xf>
    <xf numFmtId="1" fontId="0" fillId="0" borderId="6" xfId="0" applyNumberFormat="1" applyBorder="1" applyAlignment="1" applyProtection="1">
      <alignment horizontal="center"/>
      <protection locked="0"/>
    </xf>
    <xf numFmtId="1" fontId="0" fillId="0" borderId="6" xfId="0" applyNumberFormat="1" applyBorder="1" applyProtection="1">
      <protection locked="0"/>
    </xf>
    <xf numFmtId="10" fontId="0" fillId="0" borderId="0" xfId="0" applyNumberFormat="1"/>
    <xf numFmtId="0" fontId="0" fillId="7" borderId="8" xfId="0" applyFill="1" applyBorder="1"/>
    <xf numFmtId="1" fontId="0" fillId="5" borderId="9" xfId="0" applyNumberFormat="1" applyFill="1" applyBorder="1" applyAlignment="1">
      <alignment horizontal="left"/>
    </xf>
    <xf numFmtId="0" fontId="0" fillId="5" borderId="9" xfId="0" applyFill="1" applyBorder="1"/>
    <xf numFmtId="0" fontId="0" fillId="5" borderId="9" xfId="0" applyFill="1" applyBorder="1" applyAlignment="1">
      <alignment horizontal="center"/>
    </xf>
    <xf numFmtId="164" fontId="0" fillId="5" borderId="10" xfId="0" applyNumberFormat="1" applyFill="1" applyBorder="1" applyAlignment="1">
      <alignment horizontal="center"/>
    </xf>
    <xf numFmtId="0" fontId="15" fillId="0" borderId="8" xfId="0" applyFont="1" applyBorder="1" applyAlignment="1" applyProtection="1">
      <alignment horizontal="center" vertical="top" wrapText="1"/>
      <protection locked="0"/>
    </xf>
    <xf numFmtId="0" fontId="0" fillId="7" borderId="9" xfId="0" applyFill="1" applyBorder="1" applyAlignment="1" applyProtection="1">
      <alignment horizontal="center" wrapText="1"/>
      <protection locked="0"/>
    </xf>
    <xf numFmtId="1" fontId="0" fillId="7" borderId="9" xfId="0" applyNumberFormat="1" applyFill="1" applyBorder="1" applyAlignment="1" applyProtection="1">
      <alignment horizontal="center"/>
      <protection locked="0"/>
    </xf>
    <xf numFmtId="1" fontId="0" fillId="7" borderId="9" xfId="0" applyNumberFormat="1" applyFill="1" applyBorder="1" applyAlignment="1">
      <alignment horizontal="center"/>
    </xf>
    <xf numFmtId="1" fontId="0" fillId="7" borderId="10" xfId="0" applyNumberFormat="1" applyFill="1" applyBorder="1" applyAlignment="1">
      <alignment horizontal="center"/>
    </xf>
    <xf numFmtId="1" fontId="0" fillId="7" borderId="8" xfId="0" applyNumberFormat="1" applyFill="1" applyBorder="1" applyAlignment="1" applyProtection="1">
      <alignment horizontal="center"/>
      <protection locked="0"/>
    </xf>
    <xf numFmtId="1" fontId="0" fillId="7" borderId="34" xfId="0" applyNumberFormat="1" applyFill="1" applyBorder="1" applyAlignment="1" applyProtection="1">
      <alignment horizontal="center"/>
      <protection locked="0"/>
    </xf>
    <xf numFmtId="1" fontId="0" fillId="5" borderId="9" xfId="0" applyNumberFormat="1" applyFill="1" applyBorder="1" applyAlignment="1">
      <alignment horizontal="center"/>
    </xf>
    <xf numFmtId="9" fontId="0" fillId="5" borderId="9" xfId="0" applyNumberFormat="1" applyFill="1" applyBorder="1" applyAlignment="1">
      <alignment horizontal="center"/>
    </xf>
    <xf numFmtId="1" fontId="0" fillId="7" borderId="10" xfId="0" applyNumberFormat="1" applyFill="1" applyBorder="1" applyAlignment="1" applyProtection="1">
      <alignment horizontal="center"/>
      <protection locked="0"/>
    </xf>
    <xf numFmtId="1" fontId="0" fillId="7" borderId="34" xfId="0" applyNumberFormat="1" applyFill="1" applyBorder="1" applyAlignment="1">
      <alignment horizontal="center"/>
    </xf>
    <xf numFmtId="1" fontId="0" fillId="7" borderId="10" xfId="0" applyNumberFormat="1" applyFill="1" applyBorder="1" applyProtection="1">
      <protection locked="0"/>
    </xf>
    <xf numFmtId="0" fontId="14" fillId="0" borderId="53" xfId="0" applyFont="1" applyBorder="1" applyAlignment="1" applyProtection="1">
      <alignment vertical="center"/>
      <protection locked="0"/>
    </xf>
    <xf numFmtId="0" fontId="0" fillId="0" borderId="54" xfId="0" applyBorder="1" applyAlignment="1" applyProtection="1">
      <alignment horizontal="left" vertical="center"/>
      <protection locked="0"/>
    </xf>
    <xf numFmtId="0" fontId="16" fillId="8" borderId="55" xfId="0" applyFont="1" applyFill="1" applyBorder="1" applyAlignment="1" applyProtection="1">
      <alignment horizontal="center" wrapText="1"/>
      <protection locked="0"/>
    </xf>
    <xf numFmtId="0" fontId="16" fillId="8" borderId="3" xfId="0" applyFont="1" applyFill="1" applyBorder="1" applyAlignment="1" applyProtection="1">
      <alignment horizontal="center" wrapText="1"/>
      <protection locked="0"/>
    </xf>
    <xf numFmtId="0" fontId="9" fillId="0" borderId="54" xfId="0" applyFont="1" applyBorder="1" applyAlignment="1" applyProtection="1">
      <alignment vertical="center" wrapText="1"/>
      <protection locked="0"/>
    </xf>
    <xf numFmtId="0" fontId="17" fillId="8" borderId="22" xfId="0" applyFont="1" applyFill="1" applyBorder="1" applyAlignment="1" applyProtection="1">
      <alignment horizontal="center" wrapText="1"/>
      <protection locked="0"/>
    </xf>
    <xf numFmtId="0" fontId="17" fillId="8" borderId="6" xfId="0" applyFont="1" applyFill="1" applyBorder="1" applyAlignment="1" applyProtection="1">
      <alignment horizontal="center" wrapText="1"/>
      <protection locked="0"/>
    </xf>
    <xf numFmtId="0" fontId="0" fillId="0" borderId="22" xfId="0" applyBorder="1" applyAlignment="1" applyProtection="1">
      <alignment horizontal="center"/>
      <protection locked="0"/>
    </xf>
    <xf numFmtId="0" fontId="0" fillId="0" borderId="6" xfId="0" applyBorder="1" applyAlignment="1" applyProtection="1">
      <alignment horizontal="center"/>
      <protection locked="0"/>
    </xf>
    <xf numFmtId="0" fontId="9" fillId="5" borderId="54" xfId="0" applyFont="1" applyFill="1" applyBorder="1" applyAlignment="1">
      <alignment vertical="center" wrapText="1"/>
    </xf>
    <xf numFmtId="0" fontId="19" fillId="9" borderId="0" xfId="0" applyFont="1" applyFill="1" applyAlignment="1">
      <alignment horizontal="center" wrapText="1"/>
    </xf>
    <xf numFmtId="0" fontId="12" fillId="9" borderId="44" xfId="0" applyFont="1" applyFill="1" applyBorder="1" applyAlignment="1">
      <alignment horizontal="center" wrapText="1"/>
    </xf>
    <xf numFmtId="0" fontId="6" fillId="0" borderId="57" xfId="0" applyFont="1" applyBorder="1" applyAlignment="1" applyProtection="1">
      <alignment vertical="center"/>
      <protection locked="0"/>
    </xf>
    <xf numFmtId="0" fontId="9" fillId="0" borderId="34" xfId="0" applyFont="1" applyBorder="1" applyAlignment="1" applyProtection="1">
      <alignment horizontal="center" wrapText="1"/>
      <protection locked="0"/>
    </xf>
    <xf numFmtId="0" fontId="20" fillId="0" borderId="10" xfId="0" applyFont="1" applyBorder="1" applyAlignment="1" applyProtection="1">
      <alignment horizontal="center" wrapText="1"/>
      <protection locked="0"/>
    </xf>
    <xf numFmtId="0" fontId="4" fillId="8" borderId="37" xfId="0" applyFont="1" applyFill="1" applyBorder="1" applyAlignment="1">
      <alignment horizontal="center" vertical="center" wrapText="1"/>
    </xf>
    <xf numFmtId="0" fontId="4" fillId="8" borderId="40" xfId="0" applyFont="1" applyFill="1" applyBorder="1" applyAlignment="1">
      <alignment horizontal="center" vertical="center" wrapText="1"/>
    </xf>
    <xf numFmtId="0" fontId="0" fillId="0" borderId="18" xfId="0" applyBorder="1" applyProtection="1">
      <protection locked="0"/>
    </xf>
    <xf numFmtId="0" fontId="0" fillId="0" borderId="18" xfId="0" applyBorder="1" applyAlignment="1" applyProtection="1">
      <alignment horizontal="center"/>
      <protection locked="0"/>
    </xf>
    <xf numFmtId="164" fontId="0" fillId="0" borderId="23" xfId="0" applyNumberFormat="1" applyBorder="1" applyAlignment="1" applyProtection="1">
      <alignment horizontal="center"/>
      <protection locked="0"/>
    </xf>
    <xf numFmtId="0" fontId="0" fillId="7" borderId="5" xfId="0" applyFill="1" applyBorder="1" applyProtection="1">
      <protection locked="0"/>
    </xf>
    <xf numFmtId="0" fontId="0" fillId="0" borderId="5" xfId="0" applyBorder="1" applyProtection="1">
      <protection locked="0"/>
    </xf>
    <xf numFmtId="0" fontId="0" fillId="7" borderId="5" xfId="0" applyFill="1" applyBorder="1" applyAlignment="1" applyProtection="1">
      <alignment horizontal="center"/>
      <protection locked="0"/>
    </xf>
    <xf numFmtId="164" fontId="0" fillId="7" borderId="6" xfId="0" applyNumberFormat="1" applyFill="1" applyBorder="1" applyAlignment="1" applyProtection="1">
      <alignment horizontal="center"/>
      <protection locked="0"/>
    </xf>
    <xf numFmtId="0" fontId="0" fillId="0" borderId="5" xfId="0" applyBorder="1" applyAlignment="1" applyProtection="1">
      <alignment horizontal="center"/>
      <protection locked="0"/>
    </xf>
    <xf numFmtId="164" fontId="0" fillId="0" borderId="6" xfId="0" applyNumberFormat="1" applyBorder="1" applyAlignment="1" applyProtection="1">
      <alignment horizontal="center"/>
      <protection locked="0"/>
    </xf>
    <xf numFmtId="1" fontId="0" fillId="0" borderId="9" xfId="0" applyNumberFormat="1" applyBorder="1" applyAlignment="1" applyProtection="1">
      <alignment horizontal="center"/>
      <protection locked="0"/>
    </xf>
    <xf numFmtId="0" fontId="0" fillId="0" borderId="9" xfId="0" applyBorder="1" applyProtection="1">
      <protection locked="0"/>
    </xf>
    <xf numFmtId="0" fontId="0" fillId="0" borderId="9" xfId="0" applyBorder="1" applyAlignment="1" applyProtection="1">
      <alignment horizontal="center"/>
      <protection locked="0"/>
    </xf>
    <xf numFmtId="164" fontId="0" fillId="0" borderId="10" xfId="0" applyNumberFormat="1" applyBorder="1" applyAlignment="1" applyProtection="1">
      <alignment horizontal="center"/>
      <protection locked="0"/>
    </xf>
    <xf numFmtId="0" fontId="0" fillId="0" borderId="0" xfId="0" quotePrefix="1"/>
    <xf numFmtId="0" fontId="26" fillId="0" borderId="33" xfId="0" applyFont="1" applyBorder="1" applyAlignment="1">
      <alignment horizontal="center" vertical="center" wrapText="1"/>
    </xf>
    <xf numFmtId="0" fontId="26" fillId="0" borderId="36" xfId="0" applyFont="1" applyBorder="1" applyAlignment="1">
      <alignment horizontal="center" vertical="center" wrapText="1"/>
    </xf>
    <xf numFmtId="0" fontId="2" fillId="0" borderId="0" xfId="0" applyFont="1" applyAlignment="1">
      <alignment horizontal="center"/>
    </xf>
    <xf numFmtId="0" fontId="2" fillId="0" borderId="44" xfId="0" applyFont="1" applyBorder="1" applyAlignment="1">
      <alignment horizontal="center"/>
    </xf>
    <xf numFmtId="0" fontId="5" fillId="8" borderId="30" xfId="0" applyFont="1" applyFill="1" applyBorder="1" applyAlignment="1">
      <alignment horizontal="center" vertical="center" wrapText="1"/>
    </xf>
    <xf numFmtId="0" fontId="5" fillId="8" borderId="31" xfId="0" applyFont="1" applyFill="1" applyBorder="1" applyAlignment="1">
      <alignment horizontal="center" vertical="center"/>
    </xf>
    <xf numFmtId="0" fontId="5" fillId="8" borderId="28" xfId="0" applyFont="1" applyFill="1" applyBorder="1" applyAlignment="1">
      <alignment horizontal="center" vertical="center"/>
    </xf>
    <xf numFmtId="0" fontId="5" fillId="8" borderId="32" xfId="0" applyFont="1" applyFill="1" applyBorder="1" applyAlignment="1">
      <alignment horizontal="center" vertical="center"/>
    </xf>
    <xf numFmtId="0" fontId="2" fillId="8" borderId="20" xfId="0" applyFont="1" applyFill="1" applyBorder="1" applyAlignment="1">
      <alignment horizontal="center" vertical="center" wrapText="1"/>
    </xf>
    <xf numFmtId="0" fontId="2" fillId="8" borderId="0" xfId="0" applyFont="1" applyFill="1" applyAlignment="1">
      <alignment horizontal="center" vertical="center" wrapText="1"/>
    </xf>
    <xf numFmtId="0" fontId="2" fillId="8" borderId="28" xfId="0" applyFont="1" applyFill="1" applyBorder="1" applyAlignment="1">
      <alignment horizontal="center" vertical="center" wrapText="1"/>
    </xf>
    <xf numFmtId="0" fontId="2" fillId="8" borderId="32" xfId="0" applyFont="1" applyFill="1" applyBorder="1" applyAlignment="1">
      <alignment horizontal="center" vertical="center" wrapText="1"/>
    </xf>
    <xf numFmtId="0" fontId="2" fillId="0" borderId="45" xfId="0" applyFont="1" applyBorder="1" applyAlignment="1">
      <alignment horizontal="center"/>
    </xf>
    <xf numFmtId="0" fontId="2" fillId="0" borderId="31" xfId="0" applyFont="1" applyBorder="1" applyAlignment="1">
      <alignment horizontal="center"/>
    </xf>
    <xf numFmtId="0" fontId="2" fillId="0" borderId="51" xfId="0" applyFont="1" applyBorder="1" applyAlignment="1">
      <alignment horizontal="center"/>
    </xf>
    <xf numFmtId="0" fontId="2" fillId="0" borderId="52" xfId="0" applyFont="1" applyBorder="1" applyAlignment="1">
      <alignment horizontal="center"/>
    </xf>
    <xf numFmtId="0" fontId="18" fillId="0" borderId="45" xfId="0" applyFont="1" applyBorder="1" applyAlignment="1">
      <alignment horizontal="center" vertical="center" wrapText="1"/>
    </xf>
    <xf numFmtId="0" fontId="18" fillId="0" borderId="46" xfId="0" applyFont="1" applyBorder="1" applyAlignment="1">
      <alignment horizontal="center" vertical="center" wrapText="1"/>
    </xf>
    <xf numFmtId="0" fontId="18" fillId="0" borderId="47" xfId="0" applyFont="1" applyBorder="1" applyAlignment="1">
      <alignment horizontal="center" vertical="center" wrapText="1"/>
    </xf>
    <xf numFmtId="0" fontId="18" fillId="0" borderId="48" xfId="0" applyFont="1" applyBorder="1" applyAlignment="1">
      <alignment horizontal="center" vertical="center" wrapText="1"/>
    </xf>
    <xf numFmtId="0" fontId="5" fillId="16" borderId="40" xfId="0" applyFont="1" applyFill="1" applyBorder="1" applyAlignment="1">
      <alignment horizontal="center" vertical="center" wrapText="1"/>
    </xf>
    <xf numFmtId="0" fontId="18" fillId="0" borderId="4" xfId="0" applyFont="1" applyBorder="1" applyAlignment="1">
      <alignment horizontal="center" vertical="center" wrapText="1"/>
    </xf>
    <xf numFmtId="0" fontId="18" fillId="0" borderId="7" xfId="0" applyFont="1" applyBorder="1" applyAlignment="1">
      <alignment horizontal="center" vertical="center" wrapText="1"/>
    </xf>
    <xf numFmtId="0" fontId="18" fillId="0" borderId="5" xfId="0" applyFont="1" applyBorder="1" applyAlignment="1">
      <alignment horizontal="center" vertical="center" wrapText="1"/>
    </xf>
    <xf numFmtId="0" fontId="18" fillId="0" borderId="33" xfId="0" applyFont="1" applyBorder="1" applyAlignment="1">
      <alignment horizontal="center" vertical="center" wrapText="1"/>
    </xf>
    <xf numFmtId="0" fontId="18" fillId="0" borderId="15" xfId="0" applyFont="1" applyBorder="1" applyAlignment="1">
      <alignment horizontal="center" vertical="center" wrapText="1"/>
    </xf>
    <xf numFmtId="0" fontId="24" fillId="15" borderId="43" xfId="0" applyFont="1" applyFill="1" applyBorder="1" applyAlignment="1">
      <alignment horizontal="center" vertical="center" wrapText="1"/>
    </xf>
    <xf numFmtId="0" fontId="24" fillId="15" borderId="44" xfId="0" applyFont="1" applyFill="1" applyBorder="1" applyAlignment="1">
      <alignment horizontal="center" vertical="center" wrapText="1"/>
    </xf>
    <xf numFmtId="0" fontId="18" fillId="0" borderId="35" xfId="0" applyFont="1" applyBorder="1" applyAlignment="1">
      <alignment horizontal="center" vertical="center" wrapText="1"/>
    </xf>
    <xf numFmtId="0" fontId="18" fillId="0" borderId="36" xfId="0" applyFont="1" applyBorder="1" applyAlignment="1">
      <alignment horizontal="center" vertical="center" wrapText="1"/>
    </xf>
    <xf numFmtId="0" fontId="8" fillId="8" borderId="4" xfId="0" applyFont="1" applyFill="1" applyBorder="1" applyAlignment="1">
      <alignment horizontal="right" wrapText="1"/>
    </xf>
    <xf numFmtId="0" fontId="8" fillId="8" borderId="16" xfId="0" applyFont="1" applyFill="1" applyBorder="1" applyAlignment="1">
      <alignment horizontal="right" wrapText="1"/>
    </xf>
    <xf numFmtId="0" fontId="17" fillId="9" borderId="21" xfId="0" applyFont="1" applyFill="1" applyBorder="1" applyAlignment="1">
      <alignment horizontal="center" vertical="center" wrapText="1"/>
    </xf>
    <xf numFmtId="0" fontId="17" fillId="9" borderId="56" xfId="0" applyFont="1" applyFill="1" applyBorder="1" applyAlignment="1">
      <alignment horizontal="center" vertical="center" wrapText="1"/>
    </xf>
    <xf numFmtId="0" fontId="25" fillId="8" borderId="5" xfId="0" applyFont="1" applyFill="1" applyBorder="1" applyAlignment="1">
      <alignment horizontal="center" vertical="center" wrapText="1"/>
    </xf>
    <xf numFmtId="0" fontId="2" fillId="8" borderId="30" xfId="0" applyFont="1" applyFill="1" applyBorder="1" applyAlignment="1">
      <alignment horizontal="right"/>
    </xf>
    <xf numFmtId="0" fontId="2" fillId="8" borderId="31" xfId="0" applyFont="1" applyFill="1" applyBorder="1" applyAlignment="1">
      <alignment horizontal="right"/>
    </xf>
    <xf numFmtId="0" fontId="13" fillId="12" borderId="24" xfId="0" applyFont="1" applyFill="1" applyBorder="1" applyAlignment="1">
      <alignment horizontal="center" vertical="center"/>
    </xf>
    <xf numFmtId="0" fontId="13" fillId="12" borderId="25" xfId="0" applyFont="1" applyFill="1" applyBorder="1" applyAlignment="1">
      <alignment horizontal="center" vertical="center"/>
    </xf>
    <xf numFmtId="0" fontId="8" fillId="8" borderId="4" xfId="0" applyFont="1" applyFill="1" applyBorder="1" applyAlignment="1">
      <alignment horizontal="right"/>
    </xf>
    <xf numFmtId="0" fontId="8" fillId="8" borderId="16" xfId="0" applyFont="1" applyFill="1" applyBorder="1" applyAlignment="1">
      <alignment horizontal="right"/>
    </xf>
    <xf numFmtId="0" fontId="11" fillId="8" borderId="2" xfId="0" applyFont="1" applyFill="1" applyBorder="1" applyAlignment="1">
      <alignment horizontal="center" vertical="center"/>
    </xf>
    <xf numFmtId="0" fontId="8" fillId="8" borderId="28" xfId="0" applyFont="1" applyFill="1" applyBorder="1" applyAlignment="1">
      <alignment horizontal="right" wrapText="1"/>
    </xf>
    <xf numFmtId="0" fontId="8" fillId="8" borderId="32" xfId="0" applyFont="1" applyFill="1" applyBorder="1" applyAlignment="1">
      <alignment horizontal="right" wrapText="1"/>
    </xf>
    <xf numFmtId="0" fontId="18" fillId="0" borderId="14" xfId="0" applyFont="1" applyBorder="1" applyAlignment="1">
      <alignment horizontal="center" vertical="center" wrapText="1"/>
    </xf>
    <xf numFmtId="0" fontId="2" fillId="8" borderId="30" xfId="0" applyFont="1" applyFill="1" applyBorder="1" applyAlignment="1">
      <alignment horizontal="center" vertical="center" wrapText="1"/>
    </xf>
    <xf numFmtId="0" fontId="2" fillId="8" borderId="31" xfId="0" applyFont="1" applyFill="1" applyBorder="1" applyAlignment="1">
      <alignment horizontal="center" vertical="center"/>
    </xf>
    <xf numFmtId="0" fontId="2" fillId="8" borderId="28" xfId="0" applyFont="1" applyFill="1" applyBorder="1" applyAlignment="1">
      <alignment horizontal="center" vertical="center"/>
    </xf>
    <xf numFmtId="0" fontId="2" fillId="8" borderId="32" xfId="0" applyFont="1" applyFill="1" applyBorder="1" applyAlignment="1">
      <alignment horizontal="center" vertical="center"/>
    </xf>
    <xf numFmtId="0" fontId="17" fillId="9" borderId="22" xfId="0" applyFont="1" applyFill="1" applyBorder="1" applyAlignment="1">
      <alignment horizontal="center" vertical="center" wrapText="1"/>
    </xf>
    <xf numFmtId="0" fontId="17" fillId="9" borderId="6" xfId="0" applyFont="1" applyFill="1" applyBorder="1" applyAlignment="1">
      <alignment horizontal="center" vertical="center" wrapText="1"/>
    </xf>
    <xf numFmtId="0" fontId="16" fillId="9" borderId="25" xfId="0" applyFont="1" applyFill="1" applyBorder="1" applyAlignment="1">
      <alignment horizontal="center" wrapText="1"/>
    </xf>
    <xf numFmtId="0" fontId="16" fillId="9" borderId="27" xfId="0" applyFont="1" applyFill="1" applyBorder="1" applyAlignment="1">
      <alignment horizontal="center" wrapText="1"/>
    </xf>
    <xf numFmtId="0" fontId="8" fillId="8" borderId="29" xfId="0" applyFont="1" applyFill="1" applyBorder="1" applyAlignment="1">
      <alignment horizontal="right" wrapText="1"/>
    </xf>
    <xf numFmtId="0" fontId="11" fillId="11" borderId="16" xfId="0" applyFont="1" applyFill="1" applyBorder="1" applyAlignment="1">
      <alignment horizontal="center" vertical="center" wrapText="1"/>
    </xf>
    <xf numFmtId="0" fontId="11" fillId="11" borderId="21" xfId="0" applyFont="1" applyFill="1" applyBorder="1" applyAlignment="1">
      <alignment horizontal="center" vertical="center" wrapText="1"/>
    </xf>
    <xf numFmtId="0" fontId="11" fillId="11" borderId="22" xfId="0" applyFont="1" applyFill="1" applyBorder="1" applyAlignment="1">
      <alignment horizontal="center" vertical="center" wrapText="1"/>
    </xf>
    <xf numFmtId="0" fontId="11" fillId="10" borderId="5" xfId="0" applyFont="1" applyFill="1" applyBorder="1" applyAlignment="1">
      <alignment horizontal="center" vertical="center"/>
    </xf>
    <xf numFmtId="0" fontId="11" fillId="8" borderId="6" xfId="0" applyFont="1" applyFill="1" applyBorder="1" applyAlignment="1">
      <alignment horizontal="center" vertical="center" wrapText="1"/>
    </xf>
    <xf numFmtId="0" fontId="8" fillId="8" borderId="4" xfId="0" applyFont="1" applyFill="1" applyBorder="1" applyAlignment="1">
      <alignment horizontal="center" vertical="center" wrapText="1"/>
    </xf>
    <xf numFmtId="0" fontId="8" fillId="8" borderId="5" xfId="0" applyFont="1" applyFill="1" applyBorder="1" applyAlignment="1">
      <alignment horizontal="center" vertical="center" wrapText="1"/>
    </xf>
    <xf numFmtId="0" fontId="9" fillId="8" borderId="5" xfId="0" applyFont="1" applyFill="1" applyBorder="1" applyAlignment="1">
      <alignment horizontal="left" vertical="center" wrapText="1"/>
    </xf>
    <xf numFmtId="0" fontId="11" fillId="10" borderId="5" xfId="0" applyFont="1" applyFill="1" applyBorder="1" applyAlignment="1">
      <alignment horizontal="center" vertical="center" wrapText="1"/>
    </xf>
    <xf numFmtId="0" fontId="11" fillId="11" borderId="5" xfId="0" applyFont="1" applyFill="1" applyBorder="1" applyAlignment="1">
      <alignment horizontal="center" vertical="center" wrapText="1"/>
    </xf>
    <xf numFmtId="0" fontId="8" fillId="8" borderId="1" xfId="0" applyFont="1" applyFill="1" applyBorder="1" applyAlignment="1">
      <alignment horizontal="center" vertical="center" wrapText="1"/>
    </xf>
    <xf numFmtId="0" fontId="8" fillId="8" borderId="2" xfId="0" applyFont="1" applyFill="1" applyBorder="1" applyAlignment="1">
      <alignment horizontal="center" vertical="center" wrapText="1"/>
    </xf>
    <xf numFmtId="0" fontId="9" fillId="8" borderId="2" xfId="0" applyFont="1" applyFill="1" applyBorder="1" applyAlignment="1">
      <alignment horizontal="left" vertical="center" wrapText="1"/>
    </xf>
    <xf numFmtId="0" fontId="10" fillId="9" borderId="2" xfId="0" applyFont="1" applyFill="1" applyBorder="1" applyAlignment="1">
      <alignment horizontal="right" vertical="center" wrapText="1"/>
    </xf>
    <xf numFmtId="0" fontId="10" fillId="9" borderId="3" xfId="0" applyFont="1" applyFill="1" applyBorder="1" applyAlignment="1">
      <alignment horizontal="right" vertical="center" wrapText="1"/>
    </xf>
    <xf numFmtId="0" fontId="8" fillId="10" borderId="5" xfId="0" applyFont="1" applyFill="1" applyBorder="1" applyAlignment="1">
      <alignment horizontal="center" vertical="center" wrapText="1"/>
    </xf>
    <xf numFmtId="0" fontId="8" fillId="11" borderId="5" xfId="0" applyFont="1" applyFill="1" applyBorder="1" applyAlignment="1">
      <alignment horizontal="center" vertical="center" wrapText="1"/>
    </xf>
    <xf numFmtId="0" fontId="5" fillId="5" borderId="2" xfId="0" applyFont="1" applyFill="1" applyBorder="1" applyAlignment="1" applyProtection="1">
      <alignment horizontal="center" wrapText="1"/>
      <protection hidden="1"/>
    </xf>
    <xf numFmtId="0" fontId="5" fillId="3" borderId="2" xfId="0" applyFont="1" applyFill="1" applyBorder="1" applyAlignment="1" applyProtection="1">
      <alignment horizontal="center" wrapText="1"/>
      <protection hidden="1"/>
    </xf>
    <xf numFmtId="0" fontId="2" fillId="5" borderId="12" xfId="0" applyFont="1" applyFill="1" applyBorder="1" applyAlignment="1">
      <alignment horizontal="center"/>
    </xf>
    <xf numFmtId="0" fontId="2" fillId="5" borderId="13" xfId="0" applyFont="1" applyFill="1" applyBorder="1" applyAlignment="1">
      <alignment horizontal="center"/>
    </xf>
    <xf numFmtId="0" fontId="2" fillId="5" borderId="2" xfId="0" applyFont="1" applyFill="1" applyBorder="1" applyAlignment="1">
      <alignment horizontal="center"/>
    </xf>
    <xf numFmtId="0" fontId="2" fillId="5" borderId="19" xfId="0" applyFont="1" applyFill="1" applyBorder="1" applyAlignment="1">
      <alignment horizontal="center"/>
    </xf>
    <xf numFmtId="0" fontId="5" fillId="5" borderId="5" xfId="0" applyFont="1" applyFill="1" applyBorder="1" applyAlignment="1" applyProtection="1">
      <alignment horizontal="center" wrapText="1"/>
      <protection hidden="1"/>
    </xf>
    <xf numFmtId="0" fontId="5" fillId="5" borderId="16" xfId="0" applyFont="1" applyFill="1" applyBorder="1" applyAlignment="1" applyProtection="1">
      <alignment horizontal="center" wrapText="1"/>
      <protection hidden="1"/>
    </xf>
    <xf numFmtId="0" fontId="5" fillId="5" borderId="21" xfId="0" applyFont="1" applyFill="1" applyBorder="1" applyAlignment="1" applyProtection="1">
      <alignment horizontal="center" wrapText="1"/>
      <protection hidden="1"/>
    </xf>
    <xf numFmtId="0" fontId="5" fillId="5" borderId="22" xfId="0" applyFont="1" applyFill="1" applyBorder="1" applyAlignment="1" applyProtection="1">
      <alignment horizontal="center" wrapText="1"/>
      <protection hidden="1"/>
    </xf>
    <xf numFmtId="0" fontId="5" fillId="5" borderId="6" xfId="0" applyFont="1" applyFill="1" applyBorder="1" applyAlignment="1" applyProtection="1">
      <alignment horizontal="center" wrapText="1"/>
      <protection hidden="1"/>
    </xf>
    <xf numFmtId="0" fontId="2" fillId="5" borderId="1" xfId="0" applyFont="1" applyFill="1" applyBorder="1" applyAlignment="1" applyProtection="1">
      <alignment horizontal="center"/>
      <protection hidden="1"/>
    </xf>
    <xf numFmtId="0" fontId="2" fillId="5" borderId="4" xfId="0" applyFont="1" applyFill="1" applyBorder="1" applyAlignment="1" applyProtection="1">
      <alignment horizontal="center"/>
      <protection hidden="1"/>
    </xf>
    <xf numFmtId="0" fontId="2" fillId="5" borderId="2" xfId="0" applyFont="1" applyFill="1" applyBorder="1" applyAlignment="1" applyProtection="1">
      <alignment horizontal="center"/>
      <protection hidden="1"/>
    </xf>
    <xf numFmtId="0" fontId="2" fillId="5" borderId="5" xfId="0" applyFont="1" applyFill="1" applyBorder="1" applyAlignment="1" applyProtection="1">
      <alignment horizontal="center"/>
      <protection hidden="1"/>
    </xf>
    <xf numFmtId="0" fontId="4" fillId="5" borderId="2" xfId="0" applyFont="1" applyFill="1" applyBorder="1" applyAlignment="1" applyProtection="1">
      <alignment horizontal="center" wrapText="1"/>
      <protection hidden="1"/>
    </xf>
    <xf numFmtId="0" fontId="4" fillId="5" borderId="5" xfId="0" applyFont="1" applyFill="1" applyBorder="1" applyAlignment="1" applyProtection="1">
      <alignment horizontal="center" wrapText="1"/>
      <protection hidden="1"/>
    </xf>
    <xf numFmtId="0" fontId="4" fillId="5" borderId="2" xfId="0" applyFont="1" applyFill="1" applyBorder="1" applyAlignment="1" applyProtection="1">
      <alignment horizontal="center" vertical="center" wrapText="1"/>
      <protection hidden="1"/>
    </xf>
    <xf numFmtId="0" fontId="4" fillId="5" borderId="5" xfId="0" applyFont="1" applyFill="1" applyBorder="1" applyAlignment="1" applyProtection="1">
      <alignment horizontal="center" vertical="center" wrapText="1"/>
      <protection hidden="1"/>
    </xf>
    <xf numFmtId="0" fontId="3" fillId="6" borderId="0" xfId="0" applyFont="1" applyFill="1" applyAlignment="1">
      <alignment horizontal="left"/>
    </xf>
    <xf numFmtId="0" fontId="2" fillId="0" borderId="0" xfId="0" applyFont="1" applyAlignment="1">
      <alignment horizontal="right" indent="3"/>
    </xf>
    <xf numFmtId="0" fontId="2" fillId="0" borderId="11" xfId="0" applyFont="1" applyBorder="1" applyAlignment="1">
      <alignment horizontal="right" indent="3"/>
    </xf>
    <xf numFmtId="0" fontId="0" fillId="0" borderId="11" xfId="0" applyBorder="1" applyAlignment="1">
      <alignment horizontal="left"/>
    </xf>
    <xf numFmtId="0" fontId="1" fillId="5" borderId="2" xfId="0" applyFont="1" applyFill="1" applyBorder="1" applyAlignment="1">
      <alignment horizontal="center" vertical="center"/>
    </xf>
    <xf numFmtId="0" fontId="1" fillId="5" borderId="3" xfId="0" applyFont="1" applyFill="1" applyBorder="1" applyAlignment="1">
      <alignment horizontal="center" vertical="center"/>
    </xf>
  </cellXfs>
  <cellStyles count="2">
    <cellStyle name="Normal" xfId="0" builtinId="0"/>
    <cellStyle name="Percent" xfId="1" builtinId="5"/>
  </cellStyles>
  <dxfs count="38">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tint="-0.24994659260841701"/>
      </font>
    </dxf>
    <dxf>
      <font>
        <color theme="0" tint="-0.24994659260841701"/>
      </font>
    </dxf>
    <dxf>
      <fill>
        <patternFill patternType="solid">
          <bgColor theme="5" tint="0.59996337778862885"/>
        </patternFill>
      </fill>
    </dxf>
    <dxf>
      <font>
        <color rgb="FF9C0006"/>
      </font>
      <fill>
        <patternFill patternType="solid">
          <bgColor rgb="FFFFC7CE"/>
        </patternFill>
      </fill>
    </dxf>
    <dxf>
      <font>
        <color rgb="FF006100"/>
      </font>
      <fill>
        <patternFill patternType="solid">
          <bgColor rgb="FFC6EFCE"/>
        </patternFill>
      </fill>
    </dxf>
    <dxf>
      <fill>
        <patternFill patternType="solid">
          <bgColor rgb="FF262626"/>
        </patternFill>
      </fill>
    </dxf>
    <dxf>
      <fill>
        <patternFill patternType="solid">
          <bgColor theme="1" tint="0.14993743705557422"/>
        </patternFill>
      </fill>
    </dxf>
    <dxf>
      <font>
        <color rgb="FF9C0006"/>
      </font>
      <fill>
        <patternFill patternType="solid">
          <bgColor rgb="FFFFC7CE"/>
        </patternFill>
      </fill>
    </dxf>
    <dxf>
      <font>
        <b/>
        <i val="0"/>
        <color rgb="FFFF0000"/>
      </font>
    </dxf>
    <dxf>
      <font>
        <color rgb="FF9C0006"/>
      </font>
      <fill>
        <patternFill patternType="solid">
          <bgColor rgb="FFFFC7CE"/>
        </patternFill>
      </fill>
    </dxf>
    <dxf>
      <fill>
        <patternFill patternType="solid">
          <bgColor rgb="FFF69582"/>
        </patternFill>
      </fill>
    </dxf>
    <dxf>
      <font>
        <color theme="1" tint="0.24994659260841701"/>
      </font>
      <fill>
        <patternFill patternType="solid">
          <bgColor theme="1" tint="0.24994659260841701"/>
        </patternFill>
      </fill>
    </dxf>
    <dxf>
      <font>
        <color theme="1" tint="0.24994659260841701"/>
      </font>
      <fill>
        <patternFill patternType="solid">
          <bgColor theme="1" tint="0.24994659260841701"/>
        </patternFill>
      </fill>
    </dxf>
    <dxf>
      <font>
        <color theme="1"/>
      </font>
      <fill>
        <patternFill patternType="solid">
          <bgColor theme="1"/>
        </patternFill>
      </fill>
    </dxf>
    <dxf>
      <font>
        <b val="0"/>
        <i val="0"/>
        <color theme="0" tint="-0.499984740745262"/>
      </font>
    </dxf>
    <dxf>
      <font>
        <color theme="0" tint="-0.24994659260841701"/>
      </font>
    </dxf>
    <dxf>
      <font>
        <color theme="0" tint="-0.24994659260841701"/>
      </font>
    </dxf>
    <dxf>
      <fill>
        <patternFill patternType="solid">
          <bgColor theme="5" tint="0.59996337778862885"/>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ill>
        <patternFill patternType="solid">
          <bgColor theme="1" tint="0.14993743705557422"/>
        </patternFill>
      </fill>
    </dxf>
    <dxf>
      <font>
        <color rgb="FF9C0006"/>
      </font>
      <fill>
        <patternFill patternType="solid">
          <bgColor rgb="FFFFC7CE"/>
        </patternFill>
      </fill>
    </dxf>
    <dxf>
      <font>
        <b/>
        <i val="0"/>
        <color rgb="FFFF0000"/>
      </font>
    </dxf>
    <dxf>
      <font>
        <color rgb="FF9C0006"/>
      </font>
      <fill>
        <patternFill patternType="solid">
          <bgColor rgb="FFFFC7CE"/>
        </patternFill>
      </fill>
    </dxf>
    <dxf>
      <fill>
        <patternFill patternType="solid">
          <bgColor rgb="FFF69582"/>
        </patternFill>
      </fill>
    </dxf>
    <dxf>
      <font>
        <color theme="1" tint="0.24994659260841701"/>
      </font>
      <fill>
        <patternFill patternType="solid">
          <bgColor theme="1" tint="0.24994659260841701"/>
        </patternFill>
      </fill>
    </dxf>
    <dxf>
      <font>
        <color theme="1" tint="0.24994659260841701"/>
      </font>
      <fill>
        <patternFill patternType="solid">
          <bgColor theme="1" tint="0.24994659260841701"/>
        </patternFill>
      </fill>
    </dxf>
    <dxf>
      <font>
        <color theme="1"/>
      </font>
      <fill>
        <patternFill patternType="solid">
          <bgColor theme="1"/>
        </patternFill>
      </fill>
    </dxf>
    <dxf>
      <font>
        <b val="0"/>
        <i val="0"/>
        <color theme="0" tint="-0.499984740745262"/>
      </font>
    </dxf>
    <dxf>
      <font>
        <color theme="0" tint="-0.24994659260841701"/>
      </font>
    </dxf>
    <dxf>
      <font>
        <color theme="0" tint="-0.24994659260841701"/>
      </font>
    </dxf>
  </dxfs>
  <tableStyles count="0" defaultTableStyle="TableStyleMedium2" defaultPivotStyle="PivotStyleLight16"/>
  <colors>
    <mruColors>
      <color rgb="FFF6958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customXml" Target="../customXml/item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baseline="0"/>
              <a:t>Assessment Part 1 Reading Level</a:t>
            </a:r>
            <a:endParaRPr lang="en-US"/>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'Class Summary'!$D$18</c:f>
              <c:strCache>
                <c:ptCount val="1"/>
                <c:pt idx="0">
                  <c:v>Full Refresher</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'Class Summary'!$A$19:$B$24</c:f>
              <c:multiLvlStrCache>
                <c:ptCount val="6"/>
                <c:lvl>
                  <c:pt idx="0">
                    <c:v>Male</c:v>
                  </c:pt>
                  <c:pt idx="1">
                    <c:v>Female</c:v>
                  </c:pt>
                  <c:pt idx="2">
                    <c:v>Total</c:v>
                  </c:pt>
                  <c:pt idx="3">
                    <c:v>Male</c:v>
                  </c:pt>
                  <c:pt idx="4">
                    <c:v>Female</c:v>
                  </c:pt>
                  <c:pt idx="5">
                    <c:v>Total</c:v>
                  </c:pt>
                </c:lvl>
                <c:lvl>
                  <c:pt idx="0">
                    <c:v>Hiligaynon</c:v>
                  </c:pt>
                  <c:pt idx="1">
                    <c:v>Hiligaynon</c:v>
                  </c:pt>
                  <c:pt idx="2">
                    <c:v>Hiligaynon</c:v>
                  </c:pt>
                  <c:pt idx="3">
                    <c:v>Filipino</c:v>
                  </c:pt>
                  <c:pt idx="4">
                    <c:v>Filipino</c:v>
                  </c:pt>
                  <c:pt idx="5">
                    <c:v>Filipino</c:v>
                  </c:pt>
                </c:lvl>
              </c:multiLvlStrCache>
            </c:multiLvlStrRef>
          </c:cat>
          <c:val>
            <c:numRef>
              <c:f>'Class Summary'!$D$19:$D$24</c:f>
              <c:numCache>
                <c:formatCode>0%</c:formatCode>
                <c:ptCount val="6"/>
                <c:pt idx="0">
                  <c:v>0.5714285714285714</c:v>
                </c:pt>
                <c:pt idx="1">
                  <c:v>0.375</c:v>
                </c:pt>
                <c:pt idx="2">
                  <c:v>0.46666666666666667</c:v>
                </c:pt>
                <c:pt idx="3">
                  <c:v>0.5714285714285714</c:v>
                </c:pt>
                <c:pt idx="4">
                  <c:v>0.375</c:v>
                </c:pt>
                <c:pt idx="5">
                  <c:v>0.46666666666666667</c:v>
                </c:pt>
              </c:numCache>
            </c:numRef>
          </c:val>
          <c:extLst>
            <c:ext xmlns:c16="http://schemas.microsoft.com/office/drawing/2014/chart" uri="{C3380CC4-5D6E-409C-BE32-E72D297353CC}">
              <c16:uniqueId val="{00000000-9FDC-4BFA-8516-6BE47A630580}"/>
            </c:ext>
          </c:extLst>
        </c:ser>
        <c:ser>
          <c:idx val="1"/>
          <c:order val="1"/>
          <c:tx>
            <c:strRef>
              <c:f>'Class Summary'!$E$18</c:f>
              <c:strCache>
                <c:ptCount val="1"/>
                <c:pt idx="0">
                  <c:v>Moderate Refresher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'Class Summary'!$A$19:$B$24</c:f>
              <c:multiLvlStrCache>
                <c:ptCount val="6"/>
                <c:lvl>
                  <c:pt idx="0">
                    <c:v>Male</c:v>
                  </c:pt>
                  <c:pt idx="1">
                    <c:v>Female</c:v>
                  </c:pt>
                  <c:pt idx="2">
                    <c:v>Total</c:v>
                  </c:pt>
                  <c:pt idx="3">
                    <c:v>Male</c:v>
                  </c:pt>
                  <c:pt idx="4">
                    <c:v>Female</c:v>
                  </c:pt>
                  <c:pt idx="5">
                    <c:v>Total</c:v>
                  </c:pt>
                </c:lvl>
                <c:lvl>
                  <c:pt idx="0">
                    <c:v>Hiligaynon</c:v>
                  </c:pt>
                  <c:pt idx="1">
                    <c:v>Hiligaynon</c:v>
                  </c:pt>
                  <c:pt idx="2">
                    <c:v>Hiligaynon</c:v>
                  </c:pt>
                  <c:pt idx="3">
                    <c:v>Filipino</c:v>
                  </c:pt>
                  <c:pt idx="4">
                    <c:v>Filipino</c:v>
                  </c:pt>
                  <c:pt idx="5">
                    <c:v>Filipino</c:v>
                  </c:pt>
                </c:lvl>
              </c:multiLvlStrCache>
            </c:multiLvlStrRef>
          </c:cat>
          <c:val>
            <c:numRef>
              <c:f>'Class Summary'!$E$19:$E$24</c:f>
              <c:numCache>
                <c:formatCode>0%</c:formatCode>
                <c:ptCount val="6"/>
                <c:pt idx="0">
                  <c:v>0.14285714285714285</c:v>
                </c:pt>
                <c:pt idx="1">
                  <c:v>0</c:v>
                </c:pt>
                <c:pt idx="2">
                  <c:v>6.6666666666666666E-2</c:v>
                </c:pt>
                <c:pt idx="3">
                  <c:v>0</c:v>
                </c:pt>
                <c:pt idx="4">
                  <c:v>0</c:v>
                </c:pt>
                <c:pt idx="5">
                  <c:v>0</c:v>
                </c:pt>
              </c:numCache>
            </c:numRef>
          </c:val>
          <c:extLst>
            <c:ext xmlns:c16="http://schemas.microsoft.com/office/drawing/2014/chart" uri="{C3380CC4-5D6E-409C-BE32-E72D297353CC}">
              <c16:uniqueId val="{00000001-9FDC-4BFA-8516-6BE47A630580}"/>
            </c:ext>
          </c:extLst>
        </c:ser>
        <c:ser>
          <c:idx val="2"/>
          <c:order val="2"/>
          <c:tx>
            <c:strRef>
              <c:f>'Class Summary'!$F$18</c:f>
              <c:strCache>
                <c:ptCount val="1"/>
                <c:pt idx="0">
                  <c:v>Light Refresher</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'Class Summary'!$A$19:$B$24</c:f>
              <c:multiLvlStrCache>
                <c:ptCount val="6"/>
                <c:lvl>
                  <c:pt idx="0">
                    <c:v>Male</c:v>
                  </c:pt>
                  <c:pt idx="1">
                    <c:v>Female</c:v>
                  </c:pt>
                  <c:pt idx="2">
                    <c:v>Total</c:v>
                  </c:pt>
                  <c:pt idx="3">
                    <c:v>Male</c:v>
                  </c:pt>
                  <c:pt idx="4">
                    <c:v>Female</c:v>
                  </c:pt>
                  <c:pt idx="5">
                    <c:v>Total</c:v>
                  </c:pt>
                </c:lvl>
                <c:lvl>
                  <c:pt idx="0">
                    <c:v>Hiligaynon</c:v>
                  </c:pt>
                  <c:pt idx="1">
                    <c:v>Hiligaynon</c:v>
                  </c:pt>
                  <c:pt idx="2">
                    <c:v>Hiligaynon</c:v>
                  </c:pt>
                  <c:pt idx="3">
                    <c:v>Filipino</c:v>
                  </c:pt>
                  <c:pt idx="4">
                    <c:v>Filipino</c:v>
                  </c:pt>
                  <c:pt idx="5">
                    <c:v>Filipino</c:v>
                  </c:pt>
                </c:lvl>
              </c:multiLvlStrCache>
            </c:multiLvlStrRef>
          </c:cat>
          <c:val>
            <c:numRef>
              <c:f>'Class Summary'!$F$19:$F$24</c:f>
              <c:numCache>
                <c:formatCode>0%</c:formatCode>
                <c:ptCount val="6"/>
                <c:pt idx="0">
                  <c:v>0.14285714285714285</c:v>
                </c:pt>
                <c:pt idx="1">
                  <c:v>0.5</c:v>
                </c:pt>
                <c:pt idx="2">
                  <c:v>0.33333333333333331</c:v>
                </c:pt>
                <c:pt idx="3">
                  <c:v>0.14285714285714285</c:v>
                </c:pt>
                <c:pt idx="4">
                  <c:v>0.5</c:v>
                </c:pt>
                <c:pt idx="5">
                  <c:v>0.33333333333333331</c:v>
                </c:pt>
              </c:numCache>
            </c:numRef>
          </c:val>
          <c:extLst>
            <c:ext xmlns:c16="http://schemas.microsoft.com/office/drawing/2014/chart" uri="{C3380CC4-5D6E-409C-BE32-E72D297353CC}">
              <c16:uniqueId val="{00000002-9FDC-4BFA-8516-6BE47A630580}"/>
            </c:ext>
          </c:extLst>
        </c:ser>
        <c:ser>
          <c:idx val="3"/>
          <c:order val="3"/>
          <c:tx>
            <c:strRef>
              <c:f>'Class Summary'!$G$18</c:f>
              <c:strCache>
                <c:ptCount val="1"/>
                <c:pt idx="0">
                  <c:v>Grade Ready</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'Class Summary'!$A$19:$B$24</c:f>
              <c:multiLvlStrCache>
                <c:ptCount val="6"/>
                <c:lvl>
                  <c:pt idx="0">
                    <c:v>Male</c:v>
                  </c:pt>
                  <c:pt idx="1">
                    <c:v>Female</c:v>
                  </c:pt>
                  <c:pt idx="2">
                    <c:v>Total</c:v>
                  </c:pt>
                  <c:pt idx="3">
                    <c:v>Male</c:v>
                  </c:pt>
                  <c:pt idx="4">
                    <c:v>Female</c:v>
                  </c:pt>
                  <c:pt idx="5">
                    <c:v>Total</c:v>
                  </c:pt>
                </c:lvl>
                <c:lvl>
                  <c:pt idx="0">
                    <c:v>Hiligaynon</c:v>
                  </c:pt>
                  <c:pt idx="1">
                    <c:v>Hiligaynon</c:v>
                  </c:pt>
                  <c:pt idx="2">
                    <c:v>Hiligaynon</c:v>
                  </c:pt>
                  <c:pt idx="3">
                    <c:v>Filipino</c:v>
                  </c:pt>
                  <c:pt idx="4">
                    <c:v>Filipino</c:v>
                  </c:pt>
                  <c:pt idx="5">
                    <c:v>Filipino</c:v>
                  </c:pt>
                </c:lvl>
              </c:multiLvlStrCache>
            </c:multiLvlStrRef>
          </c:cat>
          <c:val>
            <c:numRef>
              <c:f>'Class Summary'!$G$19:$G$24</c:f>
              <c:numCache>
                <c:formatCode>0%</c:formatCode>
                <c:ptCount val="6"/>
                <c:pt idx="0">
                  <c:v>0.14285714285714285</c:v>
                </c:pt>
                <c:pt idx="1">
                  <c:v>0.125</c:v>
                </c:pt>
                <c:pt idx="2">
                  <c:v>0.13333333333333333</c:v>
                </c:pt>
                <c:pt idx="3">
                  <c:v>0.2857142857142857</c:v>
                </c:pt>
                <c:pt idx="4">
                  <c:v>0.125</c:v>
                </c:pt>
                <c:pt idx="5">
                  <c:v>0.2</c:v>
                </c:pt>
              </c:numCache>
            </c:numRef>
          </c:val>
          <c:extLst>
            <c:ext xmlns:c16="http://schemas.microsoft.com/office/drawing/2014/chart" uri="{C3380CC4-5D6E-409C-BE32-E72D297353CC}">
              <c16:uniqueId val="{00000003-9FDC-4BFA-8516-6BE47A630580}"/>
            </c:ext>
          </c:extLst>
        </c:ser>
        <c:dLbls>
          <c:showLegendKey val="0"/>
          <c:showVal val="1"/>
          <c:showCatName val="0"/>
          <c:showSerName val="0"/>
          <c:showPercent val="0"/>
          <c:showBubbleSize val="0"/>
        </c:dLbls>
        <c:gapWidth val="219"/>
        <c:overlap val="-27"/>
        <c:axId val="194928544"/>
        <c:axId val="194934368"/>
      </c:barChart>
      <c:catAx>
        <c:axId val="194928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94934368"/>
        <c:crosses val="autoZero"/>
        <c:auto val="1"/>
        <c:lblAlgn val="ctr"/>
        <c:lblOffset val="100"/>
        <c:noMultiLvlLbl val="0"/>
      </c:catAx>
      <c:valAx>
        <c:axId val="1949343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949285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en-US"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36875773739122"/>
          <c:y val="0.27247273154613699"/>
          <c:w val="0.58518877316998696"/>
          <c:h val="0.52127123878447301"/>
        </c:manualLayout>
      </c:layout>
      <c:pieChart>
        <c:varyColors val="1"/>
        <c:ser>
          <c:idx val="0"/>
          <c:order val="0"/>
          <c:tx>
            <c:strRef>
              <c:f>'Class Summary'!$G$6</c:f>
              <c:strCache>
                <c:ptCount val="1"/>
                <c:pt idx="0">
                  <c:v>Number of Learners Assessed</c:v>
                </c:pt>
              </c:strCache>
            </c:strRef>
          </c:tx>
          <c:spPr>
            <a:solidFill>
              <a:srgbClr val="FF0000"/>
            </a:solidFill>
          </c:spPr>
          <c:explosion val="7"/>
          <c:dPt>
            <c:idx val="0"/>
            <c:bubble3D val="0"/>
            <c:spPr>
              <a:solidFill>
                <a:srgbClr val="0070C0"/>
              </a:solidFill>
              <a:ln w="19050">
                <a:solidFill>
                  <a:schemeClr val="lt1"/>
                </a:solidFill>
              </a:ln>
              <a:effectLst/>
            </c:spPr>
            <c:extLst>
              <c:ext xmlns:c16="http://schemas.microsoft.com/office/drawing/2014/chart" uri="{C3380CC4-5D6E-409C-BE32-E72D297353CC}">
                <c16:uniqueId val="{00000001-EE6A-4CCD-AE0C-979646AE3E96}"/>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EE6A-4CCD-AE0C-979646AE3E96}"/>
              </c:ext>
            </c:extLst>
          </c:dPt>
          <c:dLbls>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'Class Summary'!$E$7:$E$9</c15:sqref>
                  </c15:fullRef>
                </c:ext>
              </c:extLst>
              <c:f>'Class Summary'!$E$8:$E$9</c:f>
              <c:strCache>
                <c:ptCount val="2"/>
                <c:pt idx="0">
                  <c:v>Male</c:v>
                </c:pt>
                <c:pt idx="1">
                  <c:v>Female</c:v>
                </c:pt>
              </c:strCache>
            </c:strRef>
          </c:cat>
          <c:val>
            <c:numRef>
              <c:extLst>
                <c:ext xmlns:c15="http://schemas.microsoft.com/office/drawing/2012/chart" uri="{02D57815-91ED-43cb-92C2-25804820EDAC}">
                  <c15:fullRef>
                    <c15:sqref>'Class Summary'!$G$7:$G$9</c15:sqref>
                  </c15:fullRef>
                </c:ext>
              </c:extLst>
              <c:f>'Class Summary'!$G$8:$G$9</c:f>
              <c:numCache>
                <c:formatCode>General</c:formatCode>
                <c:ptCount val="2"/>
                <c:pt idx="0">
                  <c:v>7</c:v>
                </c:pt>
                <c:pt idx="1">
                  <c:v>8</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4-EE6A-4CCD-AE0C-979646AE3E96}"/>
            </c:ext>
          </c:extLst>
        </c:ser>
        <c:dLbls>
          <c:showLegendKey val="0"/>
          <c:showVal val="1"/>
          <c:showCatName val="0"/>
          <c:showSerName val="0"/>
          <c:showPercent val="0"/>
          <c:showBubbleSize val="0"/>
          <c:showLeaderLines val="1"/>
        </c:dLbls>
        <c:firstSliceAng val="0"/>
      </c:pieChart>
      <c:spPr>
        <a:noFill/>
        <a:ln>
          <a:noFill/>
        </a:ln>
        <a:effectLst/>
      </c:spPr>
    </c:plotArea>
    <c:legend>
      <c:legendPos val="b"/>
      <c:layout>
        <c:manualLayout>
          <c:xMode val="edge"/>
          <c:yMode val="edge"/>
          <c:x val="0.30494602426568601"/>
          <c:y val="0.80684492168603905"/>
          <c:w val="0.46427377056976299"/>
          <c:h val="8.3716749704153298E-2"/>
        </c:manualLayout>
      </c:layout>
      <c:overlay val="0"/>
      <c:spPr>
        <a:noFill/>
        <a:ln>
          <a:noFill/>
        </a:ln>
        <a:effectLst/>
      </c:spPr>
      <c:txPr>
        <a:bodyPr rot="0" spcFirstLastPara="1" vertOverflow="ellipsis" vert="horz" wrap="square" anchor="ctr" anchorCtr="1"/>
        <a:lstStyle/>
        <a:p>
          <a:pPr>
            <a:defRPr lang="en-US"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lang="en-US"/>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a:t>% of Grade 2 Learners Assessed In</a:t>
            </a:r>
            <a:r>
              <a:rPr lang="en-US" baseline="0"/>
              <a:t> Mother Tongue and Filipino</a:t>
            </a:r>
          </a:p>
          <a:p>
            <a:pPr>
              <a:defRPr/>
            </a:pPr>
            <a:r>
              <a:rPr lang="en-US" baseline="0"/>
              <a:t>By Reading Profile</a:t>
            </a:r>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'Class Summary'!$K$18</c:f>
              <c:strCache>
                <c:ptCount val="1"/>
                <c:pt idx="0">
                  <c:v>Low Emerging Reader</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'Class Summary'!$A$19:$B$24</c:f>
              <c:multiLvlStrCache>
                <c:ptCount val="6"/>
                <c:lvl>
                  <c:pt idx="0">
                    <c:v>Male</c:v>
                  </c:pt>
                  <c:pt idx="1">
                    <c:v>Female</c:v>
                  </c:pt>
                  <c:pt idx="2">
                    <c:v>Total</c:v>
                  </c:pt>
                  <c:pt idx="3">
                    <c:v>Male</c:v>
                  </c:pt>
                  <c:pt idx="4">
                    <c:v>Female</c:v>
                  </c:pt>
                  <c:pt idx="5">
                    <c:v>Total</c:v>
                  </c:pt>
                </c:lvl>
                <c:lvl>
                  <c:pt idx="0">
                    <c:v>Hiligaynon</c:v>
                  </c:pt>
                  <c:pt idx="1">
                    <c:v>Hiligaynon</c:v>
                  </c:pt>
                  <c:pt idx="2">
                    <c:v>Hiligaynon</c:v>
                  </c:pt>
                  <c:pt idx="3">
                    <c:v>Filipino</c:v>
                  </c:pt>
                  <c:pt idx="4">
                    <c:v>Filipino</c:v>
                  </c:pt>
                  <c:pt idx="5">
                    <c:v>Filipino</c:v>
                  </c:pt>
                </c:lvl>
              </c:multiLvlStrCache>
            </c:multiLvlStrRef>
          </c:cat>
          <c:val>
            <c:numRef>
              <c:f>'Class Summary'!$K$19:$K$24</c:f>
              <c:numCache>
                <c:formatCode>0%</c:formatCode>
                <c:ptCount val="6"/>
                <c:pt idx="0">
                  <c:v>0.5714285714285714</c:v>
                </c:pt>
                <c:pt idx="1">
                  <c:v>0.375</c:v>
                </c:pt>
                <c:pt idx="2">
                  <c:v>0.46666666666666667</c:v>
                </c:pt>
                <c:pt idx="3">
                  <c:v>0.5714285714285714</c:v>
                </c:pt>
                <c:pt idx="4">
                  <c:v>0.375</c:v>
                </c:pt>
                <c:pt idx="5">
                  <c:v>0.46666666666666667</c:v>
                </c:pt>
              </c:numCache>
            </c:numRef>
          </c:val>
          <c:extLst>
            <c:ext xmlns:c16="http://schemas.microsoft.com/office/drawing/2014/chart" uri="{C3380CC4-5D6E-409C-BE32-E72D297353CC}">
              <c16:uniqueId val="{00000000-CADB-4BF9-AF69-60261DF8D93A}"/>
            </c:ext>
          </c:extLst>
        </c:ser>
        <c:ser>
          <c:idx val="1"/>
          <c:order val="1"/>
          <c:tx>
            <c:strRef>
              <c:f>'Class Summary'!$L$18</c:f>
              <c:strCache>
                <c:ptCount val="1"/>
                <c:pt idx="0">
                  <c:v>High Emerging Reader</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'Class Summary'!$A$19:$B$24</c:f>
              <c:multiLvlStrCache>
                <c:ptCount val="6"/>
                <c:lvl>
                  <c:pt idx="0">
                    <c:v>Male</c:v>
                  </c:pt>
                  <c:pt idx="1">
                    <c:v>Female</c:v>
                  </c:pt>
                  <c:pt idx="2">
                    <c:v>Total</c:v>
                  </c:pt>
                  <c:pt idx="3">
                    <c:v>Male</c:v>
                  </c:pt>
                  <c:pt idx="4">
                    <c:v>Female</c:v>
                  </c:pt>
                  <c:pt idx="5">
                    <c:v>Total</c:v>
                  </c:pt>
                </c:lvl>
                <c:lvl>
                  <c:pt idx="0">
                    <c:v>Hiligaynon</c:v>
                  </c:pt>
                  <c:pt idx="1">
                    <c:v>Hiligaynon</c:v>
                  </c:pt>
                  <c:pt idx="2">
                    <c:v>Hiligaynon</c:v>
                  </c:pt>
                  <c:pt idx="3">
                    <c:v>Filipino</c:v>
                  </c:pt>
                  <c:pt idx="4">
                    <c:v>Filipino</c:v>
                  </c:pt>
                  <c:pt idx="5">
                    <c:v>Filipino</c:v>
                  </c:pt>
                </c:lvl>
              </c:multiLvlStrCache>
            </c:multiLvlStrRef>
          </c:cat>
          <c:val>
            <c:numRef>
              <c:f>'Class Summary'!$L$19:$L$24</c:f>
              <c:numCache>
                <c:formatCode>0%</c:formatCode>
                <c:ptCount val="6"/>
                <c:pt idx="0">
                  <c:v>0.2857142857142857</c:v>
                </c:pt>
                <c:pt idx="1">
                  <c:v>0.125</c:v>
                </c:pt>
                <c:pt idx="2">
                  <c:v>0.2</c:v>
                </c:pt>
                <c:pt idx="3">
                  <c:v>0.2857142857142857</c:v>
                </c:pt>
                <c:pt idx="4">
                  <c:v>0.375</c:v>
                </c:pt>
                <c:pt idx="5">
                  <c:v>0.33333333333333331</c:v>
                </c:pt>
              </c:numCache>
            </c:numRef>
          </c:val>
          <c:extLst>
            <c:ext xmlns:c16="http://schemas.microsoft.com/office/drawing/2014/chart" uri="{C3380CC4-5D6E-409C-BE32-E72D297353CC}">
              <c16:uniqueId val="{00000001-CADB-4BF9-AF69-60261DF8D93A}"/>
            </c:ext>
          </c:extLst>
        </c:ser>
        <c:ser>
          <c:idx val="2"/>
          <c:order val="2"/>
          <c:tx>
            <c:strRef>
              <c:f>'Class Summary'!$M$18</c:f>
              <c:strCache>
                <c:ptCount val="1"/>
                <c:pt idx="0">
                  <c:v>Developing Reader</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'Class Summary'!$A$19:$B$24</c:f>
              <c:multiLvlStrCache>
                <c:ptCount val="6"/>
                <c:lvl>
                  <c:pt idx="0">
                    <c:v>Male</c:v>
                  </c:pt>
                  <c:pt idx="1">
                    <c:v>Female</c:v>
                  </c:pt>
                  <c:pt idx="2">
                    <c:v>Total</c:v>
                  </c:pt>
                  <c:pt idx="3">
                    <c:v>Male</c:v>
                  </c:pt>
                  <c:pt idx="4">
                    <c:v>Female</c:v>
                  </c:pt>
                  <c:pt idx="5">
                    <c:v>Total</c:v>
                  </c:pt>
                </c:lvl>
                <c:lvl>
                  <c:pt idx="0">
                    <c:v>Hiligaynon</c:v>
                  </c:pt>
                  <c:pt idx="1">
                    <c:v>Hiligaynon</c:v>
                  </c:pt>
                  <c:pt idx="2">
                    <c:v>Hiligaynon</c:v>
                  </c:pt>
                  <c:pt idx="3">
                    <c:v>Filipino</c:v>
                  </c:pt>
                  <c:pt idx="4">
                    <c:v>Filipino</c:v>
                  </c:pt>
                  <c:pt idx="5">
                    <c:v>Filipino</c:v>
                  </c:pt>
                </c:lvl>
              </c:multiLvlStrCache>
            </c:multiLvlStrRef>
          </c:cat>
          <c:val>
            <c:numRef>
              <c:f>'Class Summary'!$M$19:$M$24</c:f>
              <c:numCache>
                <c:formatCode>0%</c:formatCode>
                <c:ptCount val="6"/>
                <c:pt idx="0">
                  <c:v>0.14285714285714285</c:v>
                </c:pt>
                <c:pt idx="1">
                  <c:v>0.5</c:v>
                </c:pt>
                <c:pt idx="2">
                  <c:v>0.33333333333333331</c:v>
                </c:pt>
                <c:pt idx="3">
                  <c:v>0.14285714285714285</c:v>
                </c:pt>
                <c:pt idx="4">
                  <c:v>0.25</c:v>
                </c:pt>
                <c:pt idx="5">
                  <c:v>0.2</c:v>
                </c:pt>
              </c:numCache>
            </c:numRef>
          </c:val>
          <c:extLst>
            <c:ext xmlns:c16="http://schemas.microsoft.com/office/drawing/2014/chart" uri="{C3380CC4-5D6E-409C-BE32-E72D297353CC}">
              <c16:uniqueId val="{00000002-CADB-4BF9-AF69-60261DF8D93A}"/>
            </c:ext>
          </c:extLst>
        </c:ser>
        <c:ser>
          <c:idx val="3"/>
          <c:order val="3"/>
          <c:tx>
            <c:strRef>
              <c:f>'Class Summary'!$N$18</c:f>
              <c:strCache>
                <c:ptCount val="1"/>
                <c:pt idx="0">
                  <c:v>Transitioning Reader</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'Class Summary'!$A$19:$B$24</c:f>
              <c:multiLvlStrCache>
                <c:ptCount val="6"/>
                <c:lvl>
                  <c:pt idx="0">
                    <c:v>Male</c:v>
                  </c:pt>
                  <c:pt idx="1">
                    <c:v>Female</c:v>
                  </c:pt>
                  <c:pt idx="2">
                    <c:v>Total</c:v>
                  </c:pt>
                  <c:pt idx="3">
                    <c:v>Male</c:v>
                  </c:pt>
                  <c:pt idx="4">
                    <c:v>Female</c:v>
                  </c:pt>
                  <c:pt idx="5">
                    <c:v>Total</c:v>
                  </c:pt>
                </c:lvl>
                <c:lvl>
                  <c:pt idx="0">
                    <c:v>Hiligaynon</c:v>
                  </c:pt>
                  <c:pt idx="1">
                    <c:v>Hiligaynon</c:v>
                  </c:pt>
                  <c:pt idx="2">
                    <c:v>Hiligaynon</c:v>
                  </c:pt>
                  <c:pt idx="3">
                    <c:v>Filipino</c:v>
                  </c:pt>
                  <c:pt idx="4">
                    <c:v>Filipino</c:v>
                  </c:pt>
                  <c:pt idx="5">
                    <c:v>Filipino</c:v>
                  </c:pt>
                </c:lvl>
              </c:multiLvlStrCache>
            </c:multiLvlStrRef>
          </c:cat>
          <c:val>
            <c:numRef>
              <c:f>'Class Summary'!$N$19:$N$24</c:f>
              <c:numCache>
                <c:formatCode>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3-CADB-4BF9-AF69-60261DF8D93A}"/>
            </c:ext>
          </c:extLst>
        </c:ser>
        <c:ser>
          <c:idx val="4"/>
          <c:order val="4"/>
          <c:tx>
            <c:strRef>
              <c:f>'Class Summary'!$O$18</c:f>
              <c:strCache>
                <c:ptCount val="1"/>
                <c:pt idx="0">
                  <c:v>Reading At Grade Level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'Class Summary'!$A$19:$B$24</c:f>
              <c:multiLvlStrCache>
                <c:ptCount val="6"/>
                <c:lvl>
                  <c:pt idx="0">
                    <c:v>Male</c:v>
                  </c:pt>
                  <c:pt idx="1">
                    <c:v>Female</c:v>
                  </c:pt>
                  <c:pt idx="2">
                    <c:v>Total</c:v>
                  </c:pt>
                  <c:pt idx="3">
                    <c:v>Male</c:v>
                  </c:pt>
                  <c:pt idx="4">
                    <c:v>Female</c:v>
                  </c:pt>
                  <c:pt idx="5">
                    <c:v>Total</c:v>
                  </c:pt>
                </c:lvl>
                <c:lvl>
                  <c:pt idx="0">
                    <c:v>Hiligaynon</c:v>
                  </c:pt>
                  <c:pt idx="1">
                    <c:v>Hiligaynon</c:v>
                  </c:pt>
                  <c:pt idx="2">
                    <c:v>Hiligaynon</c:v>
                  </c:pt>
                  <c:pt idx="3">
                    <c:v>Filipino</c:v>
                  </c:pt>
                  <c:pt idx="4">
                    <c:v>Filipino</c:v>
                  </c:pt>
                  <c:pt idx="5">
                    <c:v>Filipino</c:v>
                  </c:pt>
                </c:lvl>
              </c:multiLvlStrCache>
            </c:multiLvlStrRef>
          </c:cat>
          <c:val>
            <c:numRef>
              <c:f>'Class Summary'!$O$19:$O$24</c:f>
              <c:numCache>
                <c:formatCode>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4-CADB-4BF9-AF69-60261DF8D93A}"/>
            </c:ext>
          </c:extLst>
        </c:ser>
        <c:dLbls>
          <c:showLegendKey val="0"/>
          <c:showVal val="1"/>
          <c:showCatName val="0"/>
          <c:showSerName val="0"/>
          <c:showPercent val="0"/>
          <c:showBubbleSize val="0"/>
        </c:dLbls>
        <c:gapWidth val="219"/>
        <c:overlap val="-27"/>
        <c:axId val="194928544"/>
        <c:axId val="194934368"/>
      </c:barChart>
      <c:catAx>
        <c:axId val="194928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0" i="0" u="none" strike="noStrike" kern="1200" baseline="0">
                <a:solidFill>
                  <a:schemeClr val="tx1">
                    <a:lumMod val="65000"/>
                    <a:lumOff val="35000"/>
                  </a:schemeClr>
                </a:solidFill>
                <a:latin typeface="+mn-lt"/>
                <a:ea typeface="+mn-ea"/>
                <a:cs typeface="+mn-cs"/>
              </a:defRPr>
            </a:pPr>
            <a:endParaRPr lang="en-US"/>
          </a:p>
        </c:txPr>
        <c:crossAx val="194934368"/>
        <c:crosses val="autoZero"/>
        <c:auto val="1"/>
        <c:lblAlgn val="ctr"/>
        <c:lblOffset val="100"/>
        <c:noMultiLvlLbl val="0"/>
      </c:catAx>
      <c:valAx>
        <c:axId val="1949343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949285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en-US"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baseline="0"/>
              <a:t>Reading Fluency and Comprehension Average Percentage</a:t>
            </a:r>
            <a:endParaRPr lang="en-US"/>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'Class Summary'!$H$18</c:f>
              <c:strCache>
                <c:ptCount val="1"/>
                <c:pt idx="0">
                  <c:v>Reading Fluency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'Class Summary'!$A$19:$B$24</c:f>
              <c:multiLvlStrCache>
                <c:ptCount val="6"/>
                <c:lvl>
                  <c:pt idx="0">
                    <c:v>Male</c:v>
                  </c:pt>
                  <c:pt idx="1">
                    <c:v>Female</c:v>
                  </c:pt>
                  <c:pt idx="2">
                    <c:v>Total</c:v>
                  </c:pt>
                  <c:pt idx="3">
                    <c:v>Male</c:v>
                  </c:pt>
                  <c:pt idx="4">
                    <c:v>Female</c:v>
                  </c:pt>
                  <c:pt idx="5">
                    <c:v>Total</c:v>
                  </c:pt>
                </c:lvl>
                <c:lvl>
                  <c:pt idx="0">
                    <c:v>Hiligaynon</c:v>
                  </c:pt>
                  <c:pt idx="1">
                    <c:v>Hiligaynon</c:v>
                  </c:pt>
                  <c:pt idx="2">
                    <c:v>Hiligaynon</c:v>
                  </c:pt>
                  <c:pt idx="3">
                    <c:v>Filipino</c:v>
                  </c:pt>
                  <c:pt idx="4">
                    <c:v>Filipino</c:v>
                  </c:pt>
                  <c:pt idx="5">
                    <c:v>Filipino</c:v>
                  </c:pt>
                </c:lvl>
              </c:multiLvlStrCache>
            </c:multiLvlStrRef>
          </c:cat>
          <c:val>
            <c:numRef>
              <c:f>'Class Summary'!$H$19:$H$24</c:f>
              <c:numCache>
                <c:formatCode>0%</c:formatCode>
                <c:ptCount val="6"/>
                <c:pt idx="0">
                  <c:v>0.26174645390070922</c:v>
                </c:pt>
                <c:pt idx="1">
                  <c:v>0.32553191489361699</c:v>
                </c:pt>
                <c:pt idx="2">
                  <c:v>0.29363918439716308</c:v>
                </c:pt>
                <c:pt idx="3">
                  <c:v>0.17481725146198832</c:v>
                </c:pt>
                <c:pt idx="4">
                  <c:v>0.25048245614035086</c:v>
                </c:pt>
                <c:pt idx="5">
                  <c:v>0.21264985380116957</c:v>
                </c:pt>
              </c:numCache>
            </c:numRef>
          </c:val>
          <c:extLst>
            <c:ext xmlns:c16="http://schemas.microsoft.com/office/drawing/2014/chart" uri="{C3380CC4-5D6E-409C-BE32-E72D297353CC}">
              <c16:uniqueId val="{00000000-2FDF-4A45-A758-52CC23AB013C}"/>
            </c:ext>
          </c:extLst>
        </c:ser>
        <c:ser>
          <c:idx val="1"/>
          <c:order val="1"/>
          <c:tx>
            <c:strRef>
              <c:f>'Class Summary'!$I$18</c:f>
              <c:strCache>
                <c:ptCount val="1"/>
                <c:pt idx="0">
                  <c:v>Reading Comprehension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'Class Summary'!$A$19:$B$24</c:f>
              <c:multiLvlStrCache>
                <c:ptCount val="6"/>
                <c:lvl>
                  <c:pt idx="0">
                    <c:v>Male</c:v>
                  </c:pt>
                  <c:pt idx="1">
                    <c:v>Female</c:v>
                  </c:pt>
                  <c:pt idx="2">
                    <c:v>Total</c:v>
                  </c:pt>
                  <c:pt idx="3">
                    <c:v>Male</c:v>
                  </c:pt>
                  <c:pt idx="4">
                    <c:v>Female</c:v>
                  </c:pt>
                  <c:pt idx="5">
                    <c:v>Total</c:v>
                  </c:pt>
                </c:lvl>
                <c:lvl>
                  <c:pt idx="0">
                    <c:v>Hiligaynon</c:v>
                  </c:pt>
                  <c:pt idx="1">
                    <c:v>Hiligaynon</c:v>
                  </c:pt>
                  <c:pt idx="2">
                    <c:v>Hiligaynon</c:v>
                  </c:pt>
                  <c:pt idx="3">
                    <c:v>Filipino</c:v>
                  </c:pt>
                  <c:pt idx="4">
                    <c:v>Filipino</c:v>
                  </c:pt>
                  <c:pt idx="5">
                    <c:v>Filipino</c:v>
                  </c:pt>
                </c:lvl>
              </c:multiLvlStrCache>
            </c:multiLvlStrRef>
          </c:cat>
          <c:val>
            <c:numRef>
              <c:f>'Class Summary'!$I$19:$I$24</c:f>
              <c:numCache>
                <c:formatCode>0%</c:formatCode>
                <c:ptCount val="6"/>
                <c:pt idx="0">
                  <c:v>0.1111111111111111</c:v>
                </c:pt>
                <c:pt idx="1">
                  <c:v>0.3</c:v>
                </c:pt>
                <c:pt idx="2">
                  <c:v>0.20555555555555555</c:v>
                </c:pt>
                <c:pt idx="3">
                  <c:v>0.16666666666666666</c:v>
                </c:pt>
                <c:pt idx="4">
                  <c:v>0.26666666666666666</c:v>
                </c:pt>
                <c:pt idx="5">
                  <c:v>0.21666666666666667</c:v>
                </c:pt>
              </c:numCache>
            </c:numRef>
          </c:val>
          <c:extLst>
            <c:ext xmlns:c16="http://schemas.microsoft.com/office/drawing/2014/chart" uri="{C3380CC4-5D6E-409C-BE32-E72D297353CC}">
              <c16:uniqueId val="{00000001-2FDF-4A45-A758-52CC23AB013C}"/>
            </c:ext>
          </c:extLst>
        </c:ser>
        <c:dLbls>
          <c:showLegendKey val="0"/>
          <c:showVal val="1"/>
          <c:showCatName val="0"/>
          <c:showSerName val="0"/>
          <c:showPercent val="0"/>
          <c:showBubbleSize val="0"/>
        </c:dLbls>
        <c:gapWidth val="219"/>
        <c:overlap val="-27"/>
        <c:axId val="194928544"/>
        <c:axId val="194934368"/>
      </c:barChart>
      <c:catAx>
        <c:axId val="194928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94934368"/>
        <c:crosses val="autoZero"/>
        <c:auto val="1"/>
        <c:lblAlgn val="ctr"/>
        <c:lblOffset val="100"/>
        <c:noMultiLvlLbl val="0"/>
      </c:catAx>
      <c:valAx>
        <c:axId val="1949343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949285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en-US"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baseline="0"/>
              <a:t>Reading Fluency and Comprehension Average Words Per Minute</a:t>
            </a:r>
            <a:endParaRPr lang="en-US"/>
          </a:p>
        </c:rich>
      </c:tx>
      <c:layout>
        <c:manualLayout>
          <c:xMode val="edge"/>
          <c:yMode val="edge"/>
          <c:x val="0.14729887035536399"/>
          <c:y val="2.8561228132809698E-2"/>
        </c:manualLayout>
      </c:layout>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'Class Summary'!$J$18</c:f>
              <c:strCache>
                <c:ptCount val="1"/>
                <c:pt idx="0">
                  <c:v>Words Per Minute</c:v>
                </c:pt>
              </c:strCache>
            </c:strRef>
          </c:tx>
          <c:spPr>
            <a:solidFill>
              <a:schemeClr val="accent1"/>
            </a:solidFill>
            <a:ln>
              <a:noFill/>
            </a:ln>
            <a:effectLst/>
          </c:spPr>
          <c:invertIfNegative val="0"/>
          <c:dPt>
            <c:idx val="1"/>
            <c:invertIfNegative val="0"/>
            <c:bubble3D val="0"/>
            <c:spPr>
              <a:solidFill>
                <a:schemeClr val="accent2"/>
              </a:solidFill>
              <a:ln>
                <a:noFill/>
              </a:ln>
              <a:effectLst/>
            </c:spPr>
            <c:extLst>
              <c:ext xmlns:c16="http://schemas.microsoft.com/office/drawing/2014/chart" uri="{C3380CC4-5D6E-409C-BE32-E72D297353CC}">
                <c16:uniqueId val="{00000001-B10B-4950-BAE5-9254365D0383}"/>
              </c:ext>
            </c:extLst>
          </c:dPt>
          <c:dPt>
            <c:idx val="2"/>
            <c:invertIfNegative val="0"/>
            <c:bubble3D val="0"/>
            <c:spPr>
              <a:solidFill>
                <a:schemeClr val="accent6"/>
              </a:solidFill>
              <a:ln>
                <a:noFill/>
              </a:ln>
              <a:effectLst/>
            </c:spPr>
            <c:extLst>
              <c:ext xmlns:c16="http://schemas.microsoft.com/office/drawing/2014/chart" uri="{C3380CC4-5D6E-409C-BE32-E72D297353CC}">
                <c16:uniqueId val="{00000003-B10B-4950-BAE5-9254365D0383}"/>
              </c:ext>
            </c:extLst>
          </c:dPt>
          <c:dPt>
            <c:idx val="4"/>
            <c:invertIfNegative val="0"/>
            <c:bubble3D val="0"/>
            <c:spPr>
              <a:solidFill>
                <a:schemeClr val="accent2"/>
              </a:solidFill>
              <a:ln>
                <a:noFill/>
              </a:ln>
              <a:effectLst/>
            </c:spPr>
            <c:extLst>
              <c:ext xmlns:c16="http://schemas.microsoft.com/office/drawing/2014/chart" uri="{C3380CC4-5D6E-409C-BE32-E72D297353CC}">
                <c16:uniqueId val="{00000005-B10B-4950-BAE5-9254365D0383}"/>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7-B10B-4950-BAE5-9254365D0383}"/>
              </c:ext>
            </c:extLst>
          </c:dPt>
          <c:dLbls>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'Class Summary'!$A$19:$B$24</c:f>
              <c:multiLvlStrCache>
                <c:ptCount val="6"/>
                <c:lvl>
                  <c:pt idx="0">
                    <c:v>Male</c:v>
                  </c:pt>
                  <c:pt idx="1">
                    <c:v>Female</c:v>
                  </c:pt>
                  <c:pt idx="2">
                    <c:v>Total</c:v>
                  </c:pt>
                  <c:pt idx="3">
                    <c:v>Male</c:v>
                  </c:pt>
                  <c:pt idx="4">
                    <c:v>Female</c:v>
                  </c:pt>
                  <c:pt idx="5">
                    <c:v>Total</c:v>
                  </c:pt>
                </c:lvl>
                <c:lvl>
                  <c:pt idx="0">
                    <c:v>Hiligaynon</c:v>
                  </c:pt>
                  <c:pt idx="1">
                    <c:v>Hiligaynon</c:v>
                  </c:pt>
                  <c:pt idx="2">
                    <c:v>Hiligaynon</c:v>
                  </c:pt>
                  <c:pt idx="3">
                    <c:v>Filipino</c:v>
                  </c:pt>
                  <c:pt idx="4">
                    <c:v>Filipino</c:v>
                  </c:pt>
                  <c:pt idx="5">
                    <c:v>Filipino</c:v>
                  </c:pt>
                </c:lvl>
              </c:multiLvlStrCache>
            </c:multiLvlStrRef>
          </c:cat>
          <c:val>
            <c:numRef>
              <c:f>'Class Summary'!$J$19:$J$24</c:f>
              <c:numCache>
                <c:formatCode>0.00</c:formatCode>
                <c:ptCount val="6"/>
                <c:pt idx="0">
                  <c:v>12.333333333333334</c:v>
                </c:pt>
                <c:pt idx="1">
                  <c:v>15.3</c:v>
                </c:pt>
                <c:pt idx="2">
                  <c:v>13.816666666666666</c:v>
                </c:pt>
                <c:pt idx="3">
                  <c:v>8.3333333333333339</c:v>
                </c:pt>
                <c:pt idx="4">
                  <c:v>12</c:v>
                </c:pt>
                <c:pt idx="5">
                  <c:v>10.166666666666668</c:v>
                </c:pt>
              </c:numCache>
            </c:numRef>
          </c:val>
          <c:extLst>
            <c:ext xmlns:c16="http://schemas.microsoft.com/office/drawing/2014/chart" uri="{C3380CC4-5D6E-409C-BE32-E72D297353CC}">
              <c16:uniqueId val="{00000008-B10B-4950-BAE5-9254365D0383}"/>
            </c:ext>
          </c:extLst>
        </c:ser>
        <c:dLbls>
          <c:showLegendKey val="0"/>
          <c:showVal val="1"/>
          <c:showCatName val="0"/>
          <c:showSerName val="0"/>
          <c:showPercent val="0"/>
          <c:showBubbleSize val="0"/>
        </c:dLbls>
        <c:gapWidth val="219"/>
        <c:overlap val="-27"/>
        <c:axId val="194928544"/>
        <c:axId val="194934368"/>
      </c:barChart>
      <c:catAx>
        <c:axId val="194928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94934368"/>
        <c:crosses val="autoZero"/>
        <c:auto val="1"/>
        <c:lblAlgn val="ctr"/>
        <c:lblOffset val="100"/>
        <c:noMultiLvlLbl val="0"/>
      </c:catAx>
      <c:valAx>
        <c:axId val="19493436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949285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media/image7.png"/><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image" Target="../media/image7.png"/><Relationship Id="rId2" Type="http://schemas.openxmlformats.org/officeDocument/2006/relationships/image" Target="../media/image1.png"/><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oneCellAnchor>
    <xdr:from>
      <xdr:col>7</xdr:col>
      <xdr:colOff>106680</xdr:colOff>
      <xdr:row>115</xdr:row>
      <xdr:rowOff>30480</xdr:rowOff>
    </xdr:from>
    <xdr:ext cx="184731" cy="264560"/>
    <xdr:sp macro="" textlink="">
      <xdr:nvSpPr>
        <xdr:cNvPr id="6" name="TextBox 5">
          <a:extLst>
            <a:ext uri="{FF2B5EF4-FFF2-40B4-BE49-F238E27FC236}">
              <a16:creationId xmlns:a16="http://schemas.microsoft.com/office/drawing/2014/main" id="{00000000-0008-0000-0000-000006000000}"/>
            </a:ext>
          </a:extLst>
        </xdr:cNvPr>
        <xdr:cNvSpPr txBox="1"/>
      </xdr:nvSpPr>
      <xdr:spPr>
        <a:xfrm>
          <a:off x="7223760" y="22198965"/>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twoCellAnchor>
    <xdr:from>
      <xdr:col>0</xdr:col>
      <xdr:colOff>76199</xdr:colOff>
      <xdr:row>110</xdr:row>
      <xdr:rowOff>91440</xdr:rowOff>
    </xdr:from>
    <xdr:to>
      <xdr:col>9</xdr:col>
      <xdr:colOff>1133474</xdr:colOff>
      <xdr:row>113</xdr:row>
      <xdr:rowOff>38100</xdr:rowOff>
    </xdr:to>
    <xdr:sp macro="" textlink="">
      <xdr:nvSpPr>
        <xdr:cNvPr id="11" name="TextBox 10">
          <a:extLst>
            <a:ext uri="{FF2B5EF4-FFF2-40B4-BE49-F238E27FC236}">
              <a16:creationId xmlns:a16="http://schemas.microsoft.com/office/drawing/2014/main" id="{00000000-0008-0000-0000-00000B000000}"/>
            </a:ext>
          </a:extLst>
        </xdr:cNvPr>
        <xdr:cNvSpPr txBox="1"/>
      </xdr:nvSpPr>
      <xdr:spPr>
        <a:xfrm>
          <a:off x="75565" y="21345525"/>
          <a:ext cx="953008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900"/>
            <a:t>This Scoresheet is made possible with the assistance of USAID through </a:t>
          </a:r>
          <a:r>
            <a:rPr lang="en-PH" sz="900">
              <a:solidFill>
                <a:srgbClr val="FF0000"/>
              </a:solidFill>
            </a:rPr>
            <a:t>ABC+:</a:t>
          </a:r>
          <a:r>
            <a:rPr lang="en-PH" sz="900">
              <a:solidFill>
                <a:srgbClr val="0070C0"/>
              </a:solidFill>
            </a:rPr>
            <a:t> Advancing Basic Education in the Philippines</a:t>
          </a:r>
          <a:r>
            <a:rPr lang="en-PH" sz="900"/>
            <a:t>. ABC+ Project is an early grades education project of the Department of Education in partnership with USAID and implemented by RTI International together with The Asia Foundation, SIL LEAD, and Florida State University.</a:t>
          </a:r>
        </a:p>
      </xdr:txBody>
    </xdr:sp>
    <xdr:clientData/>
  </xdr:twoCellAnchor>
  <xdr:twoCellAnchor editAs="oneCell">
    <xdr:from>
      <xdr:col>20</xdr:col>
      <xdr:colOff>848360</xdr:colOff>
      <xdr:row>110</xdr:row>
      <xdr:rowOff>57150</xdr:rowOff>
    </xdr:from>
    <xdr:to>
      <xdr:col>21</xdr:col>
      <xdr:colOff>1501140</xdr:colOff>
      <xdr:row>113</xdr:row>
      <xdr:rowOff>133349</xdr:rowOff>
    </xdr:to>
    <xdr:pic>
      <xdr:nvPicPr>
        <xdr:cNvPr id="14" name="Picture 13">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
        <a:stretch>
          <a:fillRect/>
        </a:stretch>
      </xdr:blipFill>
      <xdr:spPr>
        <a:xfrm>
          <a:off x="17054195" y="21311235"/>
          <a:ext cx="2252980" cy="624205"/>
        </a:xfrm>
        <a:prstGeom prst="rect">
          <a:avLst/>
        </a:prstGeom>
        <a:noFill/>
        <a:ln>
          <a:noFill/>
        </a:ln>
      </xdr:spPr>
    </xdr:pic>
    <xdr:clientData/>
  </xdr:twoCellAnchor>
  <xdr:twoCellAnchor>
    <xdr:from>
      <xdr:col>18</xdr:col>
      <xdr:colOff>0</xdr:colOff>
      <xdr:row>3</xdr:row>
      <xdr:rowOff>53340</xdr:rowOff>
    </xdr:from>
    <xdr:to>
      <xdr:col>21</xdr:col>
      <xdr:colOff>1950720</xdr:colOff>
      <xdr:row>4</xdr:row>
      <xdr:rowOff>152400</xdr:rowOff>
    </xdr:to>
    <xdr:sp macro="" textlink="">
      <xdr:nvSpPr>
        <xdr:cNvPr id="17" name="TextBox 16">
          <a:extLst>
            <a:ext uri="{FF2B5EF4-FFF2-40B4-BE49-F238E27FC236}">
              <a16:creationId xmlns:a16="http://schemas.microsoft.com/office/drawing/2014/main" id="{00000000-0008-0000-0000-000011000000}"/>
            </a:ext>
          </a:extLst>
        </xdr:cNvPr>
        <xdr:cNvSpPr txBox="1"/>
      </xdr:nvSpPr>
      <xdr:spPr>
        <a:xfrm>
          <a:off x="14658975" y="906780"/>
          <a:ext cx="5097780" cy="33528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PH" sz="1800" b="1">
              <a:solidFill>
                <a:schemeClr val="bg1"/>
              </a:solidFill>
            </a:rPr>
            <a:t>GRADE 2  Mother Tongue Reading Assessment Scoresheet</a:t>
          </a:r>
        </a:p>
      </xdr:txBody>
    </xdr:sp>
    <xdr:clientData/>
  </xdr:twoCellAnchor>
  <xdr:twoCellAnchor>
    <xdr:from>
      <xdr:col>20</xdr:col>
      <xdr:colOff>533400</xdr:colOff>
      <xdr:row>0</xdr:row>
      <xdr:rowOff>95250</xdr:rowOff>
    </xdr:from>
    <xdr:to>
      <xdr:col>21</xdr:col>
      <xdr:colOff>2292484</xdr:colOff>
      <xdr:row>2</xdr:row>
      <xdr:rowOff>228048</xdr:rowOff>
    </xdr:to>
    <xdr:grpSp>
      <xdr:nvGrpSpPr>
        <xdr:cNvPr id="2" name="Group 1">
          <a:extLst>
            <a:ext uri="{FF2B5EF4-FFF2-40B4-BE49-F238E27FC236}">
              <a16:creationId xmlns:a16="http://schemas.microsoft.com/office/drawing/2014/main" id="{00000000-0008-0000-0000-000002000000}"/>
            </a:ext>
          </a:extLst>
        </xdr:cNvPr>
        <xdr:cNvGrpSpPr/>
      </xdr:nvGrpSpPr>
      <xdr:grpSpPr>
        <a:xfrm>
          <a:off x="17506950" y="95250"/>
          <a:ext cx="3540259" cy="637623"/>
          <a:chOff x="16253460" y="45720"/>
          <a:chExt cx="3198311" cy="645560"/>
        </a:xfrm>
      </xdr:grpSpPr>
      <xdr:pic>
        <xdr:nvPicPr>
          <xdr:cNvPr id="8" name="Picture 7">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1"/>
          <a:stretch>
            <a:fillRect/>
          </a:stretch>
        </xdr:blipFill>
        <xdr:spPr>
          <a:xfrm>
            <a:off x="16524208" y="45720"/>
            <a:ext cx="2551828" cy="480696"/>
          </a:xfrm>
          <a:prstGeom prst="rect">
            <a:avLst/>
          </a:prstGeom>
          <a:noFill/>
          <a:ln>
            <a:noFill/>
          </a:ln>
        </xdr:spPr>
      </xdr:pic>
      <xdr:sp macro="" textlink="">
        <xdr:nvSpPr>
          <xdr:cNvPr id="9" name="TextBox 8">
            <a:extLst>
              <a:ext uri="{FF2B5EF4-FFF2-40B4-BE49-F238E27FC236}">
                <a16:creationId xmlns:a16="http://schemas.microsoft.com/office/drawing/2014/main" id="{00000000-0008-0000-0000-000009000000}"/>
              </a:ext>
            </a:extLst>
          </xdr:cNvPr>
          <xdr:cNvSpPr txBox="1"/>
        </xdr:nvSpPr>
        <xdr:spPr>
          <a:xfrm>
            <a:off x="16253460" y="426720"/>
            <a:ext cx="319831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PH" sz="1100" b="1">
                <a:solidFill>
                  <a:srgbClr val="FF0000"/>
                </a:solidFill>
              </a:rPr>
              <a:t>ABC+</a:t>
            </a:r>
            <a:r>
              <a:rPr lang="en-PH" sz="1100" b="1" baseline="0">
                <a:solidFill>
                  <a:srgbClr val="FF0000"/>
                </a:solidFill>
              </a:rPr>
              <a:t> : </a:t>
            </a:r>
            <a:r>
              <a:rPr lang="en-PH" sz="1100" b="1" baseline="0">
                <a:solidFill>
                  <a:srgbClr val="0070C0"/>
                </a:solidFill>
              </a:rPr>
              <a:t>Advancing Basic Education in the Philippines</a:t>
            </a:r>
            <a:endParaRPr lang="en-PH" sz="1100" b="1">
              <a:solidFill>
                <a:srgbClr val="0070C0"/>
              </a:solidFill>
            </a:endParaRPr>
          </a:p>
        </xdr:txBody>
      </xdr:sp>
    </xdr:grpSp>
    <xdr:clientData/>
  </xdr:twoCellAnchor>
  <xdr:twoCellAnchor>
    <xdr:from>
      <xdr:col>3</xdr:col>
      <xdr:colOff>148591</xdr:colOff>
      <xdr:row>0</xdr:row>
      <xdr:rowOff>92232</xdr:rowOff>
    </xdr:from>
    <xdr:to>
      <xdr:col>12</xdr:col>
      <xdr:colOff>617220</xdr:colOff>
      <xdr:row>2</xdr:row>
      <xdr:rowOff>325755</xdr:rowOff>
    </xdr:to>
    <xdr:grpSp>
      <xdr:nvGrpSpPr>
        <xdr:cNvPr id="12" name="Group 11">
          <a:extLst>
            <a:ext uri="{FF2B5EF4-FFF2-40B4-BE49-F238E27FC236}">
              <a16:creationId xmlns:a16="http://schemas.microsoft.com/office/drawing/2014/main" id="{00000000-0008-0000-0000-00000C000000}"/>
            </a:ext>
          </a:extLst>
        </xdr:cNvPr>
        <xdr:cNvGrpSpPr/>
      </xdr:nvGrpSpPr>
      <xdr:grpSpPr>
        <a:xfrm>
          <a:off x="3853816" y="92232"/>
          <a:ext cx="8079104" cy="738348"/>
          <a:chOff x="3408046" y="50322"/>
          <a:chExt cx="7315199" cy="755493"/>
        </a:xfrm>
      </xdr:grpSpPr>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4274756" y="117677"/>
            <a:ext cx="6448489" cy="6881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l"/>
            <a:r>
              <a:rPr lang="en-PH" sz="1800" b="1"/>
              <a:t>Department of Education</a:t>
            </a:r>
          </a:p>
          <a:p>
            <a:pPr algn="l"/>
            <a:r>
              <a:rPr lang="en-PH" sz="1800" b="1"/>
              <a:t>Comprehensive Rapid Literacy Assessment (CRLA)</a:t>
            </a:r>
          </a:p>
        </xdr:txBody>
      </xdr:sp>
      <xdr:pic>
        <xdr:nvPicPr>
          <xdr:cNvPr id="7" name="Picture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408046" y="50322"/>
            <a:ext cx="859154" cy="746768"/>
          </a:xfrm>
          <a:prstGeom prst="rect">
            <a:avLst/>
          </a:prstGeom>
        </xdr:spPr>
      </xdr:pic>
    </xdr:grpSp>
    <xdr:clientData/>
  </xdr:twoCellAnchor>
  <xdr:twoCellAnchor editAs="oneCell">
    <xdr:from>
      <xdr:col>16</xdr:col>
      <xdr:colOff>22859</xdr:colOff>
      <xdr:row>5</xdr:row>
      <xdr:rowOff>19051</xdr:rowOff>
    </xdr:from>
    <xdr:to>
      <xdr:col>22</xdr:col>
      <xdr:colOff>0</xdr:colOff>
      <xdr:row>8</xdr:row>
      <xdr:rowOff>254000</xdr:rowOff>
    </xdr:to>
    <xdr:pic>
      <xdr:nvPicPr>
        <xdr:cNvPr id="10" name="Picture 9">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3"/>
        <a:stretch>
          <a:fillRect/>
        </a:stretch>
      </xdr:blipFill>
      <xdr:spPr>
        <a:xfrm>
          <a:off x="13279120" y="1337310"/>
          <a:ext cx="6858635" cy="116967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7</xdr:col>
      <xdr:colOff>106680</xdr:colOff>
      <xdr:row>115</xdr:row>
      <xdr:rowOff>30480</xdr:rowOff>
    </xdr:from>
    <xdr:ext cx="184731" cy="60960"/>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7270750" y="22084665"/>
          <a:ext cx="184150" cy="60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twoCellAnchor>
    <xdr:from>
      <xdr:col>0</xdr:col>
      <xdr:colOff>76199</xdr:colOff>
      <xdr:row>110</xdr:row>
      <xdr:rowOff>95250</xdr:rowOff>
    </xdr:from>
    <xdr:to>
      <xdr:col>9</xdr:col>
      <xdr:colOff>1304925</xdr:colOff>
      <xdr:row>113</xdr:row>
      <xdr:rowOff>38100</xdr:rowOff>
    </xdr:to>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75565" y="21265515"/>
          <a:ext cx="9664700" cy="491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900"/>
            <a:t>This Scoresheet is made possible with the assistance of USAID through </a:t>
          </a:r>
          <a:r>
            <a:rPr lang="en-PH" sz="900">
              <a:solidFill>
                <a:srgbClr val="FF0000"/>
              </a:solidFill>
            </a:rPr>
            <a:t>ABC+:</a:t>
          </a:r>
          <a:r>
            <a:rPr lang="en-PH" sz="900">
              <a:solidFill>
                <a:srgbClr val="0070C0"/>
              </a:solidFill>
            </a:rPr>
            <a:t> Advancing Basic Education in the Philippines</a:t>
          </a:r>
          <a:r>
            <a:rPr lang="en-PH" sz="900"/>
            <a:t>. ABC+ Project is an early grades education project of the Department of Education in partnership with USAID and implemented by RTI International together with The Asia Foundation, SIL LEAD, and Florida State University.</a:t>
          </a:r>
        </a:p>
      </xdr:txBody>
    </xdr:sp>
    <xdr:clientData/>
  </xdr:twoCellAnchor>
  <xdr:twoCellAnchor editAs="oneCell">
    <xdr:from>
      <xdr:col>20</xdr:col>
      <xdr:colOff>549275</xdr:colOff>
      <xdr:row>110</xdr:row>
      <xdr:rowOff>15241</xdr:rowOff>
    </xdr:from>
    <xdr:to>
      <xdr:col>21</xdr:col>
      <xdr:colOff>1348740</xdr:colOff>
      <xdr:row>113</xdr:row>
      <xdr:rowOff>15240</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1"/>
        <a:stretch>
          <a:fillRect/>
        </a:stretch>
      </xdr:blipFill>
      <xdr:spPr>
        <a:xfrm>
          <a:off x="16694785" y="21185505"/>
          <a:ext cx="2239645" cy="548640"/>
        </a:xfrm>
        <a:prstGeom prst="rect">
          <a:avLst/>
        </a:prstGeom>
        <a:noFill/>
        <a:ln>
          <a:noFill/>
        </a:ln>
      </xdr:spPr>
    </xdr:pic>
    <xdr:clientData/>
  </xdr:twoCellAnchor>
  <xdr:twoCellAnchor>
    <xdr:from>
      <xdr:col>4</xdr:col>
      <xdr:colOff>325691</xdr:colOff>
      <xdr:row>0</xdr:row>
      <xdr:rowOff>66242</xdr:rowOff>
    </xdr:from>
    <xdr:to>
      <xdr:col>13</xdr:col>
      <xdr:colOff>93345</xdr:colOff>
      <xdr:row>2</xdr:row>
      <xdr:rowOff>240030</xdr:rowOff>
    </xdr:to>
    <xdr:sp macro="" textlink="">
      <xdr:nvSpPr>
        <xdr:cNvPr id="5" name="TextBox 4">
          <a:extLst>
            <a:ext uri="{FF2B5EF4-FFF2-40B4-BE49-F238E27FC236}">
              <a16:creationId xmlns:a16="http://schemas.microsoft.com/office/drawing/2014/main" id="{00000000-0008-0000-0100-000005000000}"/>
            </a:ext>
          </a:extLst>
        </xdr:cNvPr>
        <xdr:cNvSpPr txBox="1"/>
      </xdr:nvSpPr>
      <xdr:spPr>
        <a:xfrm>
          <a:off x="5256530" y="66040"/>
          <a:ext cx="6556375" cy="6845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l"/>
          <a:r>
            <a:rPr lang="en-PH" sz="1800" b="1"/>
            <a:t>Department of Education</a:t>
          </a:r>
        </a:p>
        <a:p>
          <a:pPr algn="l"/>
          <a:r>
            <a:rPr lang="en-PH" sz="1800" b="1"/>
            <a:t>Comprehensive Rapid Literacy Assessment (CRLA)</a:t>
          </a:r>
        </a:p>
      </xdr:txBody>
    </xdr:sp>
    <xdr:clientData/>
  </xdr:twoCellAnchor>
  <xdr:twoCellAnchor>
    <xdr:from>
      <xdr:col>18</xdr:col>
      <xdr:colOff>0</xdr:colOff>
      <xdr:row>3</xdr:row>
      <xdr:rowOff>53340</xdr:rowOff>
    </xdr:from>
    <xdr:to>
      <xdr:col>21</xdr:col>
      <xdr:colOff>1950720</xdr:colOff>
      <xdr:row>4</xdr:row>
      <xdr:rowOff>152400</xdr:rowOff>
    </xdr:to>
    <xdr:sp macro="" textlink="">
      <xdr:nvSpPr>
        <xdr:cNvPr id="8" name="TextBox 7">
          <a:extLst>
            <a:ext uri="{FF2B5EF4-FFF2-40B4-BE49-F238E27FC236}">
              <a16:creationId xmlns:a16="http://schemas.microsoft.com/office/drawing/2014/main" id="{00000000-0008-0000-0100-000008000000}"/>
            </a:ext>
          </a:extLst>
        </xdr:cNvPr>
        <xdr:cNvSpPr txBox="1"/>
      </xdr:nvSpPr>
      <xdr:spPr>
        <a:xfrm>
          <a:off x="14598650" y="906780"/>
          <a:ext cx="4937760" cy="33528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PH" sz="1800" b="1">
              <a:solidFill>
                <a:schemeClr val="bg1"/>
              </a:solidFill>
            </a:rPr>
            <a:t>GRADE 2  Filipino</a:t>
          </a:r>
          <a:r>
            <a:rPr lang="en-PH" sz="1800" b="1" baseline="0">
              <a:solidFill>
                <a:schemeClr val="bg1"/>
              </a:solidFill>
            </a:rPr>
            <a:t> </a:t>
          </a:r>
          <a:r>
            <a:rPr lang="en-PH" sz="1800" b="1">
              <a:solidFill>
                <a:schemeClr val="bg1"/>
              </a:solidFill>
            </a:rPr>
            <a:t>Reading Assessment Scoresheet</a:t>
          </a:r>
        </a:p>
      </xdr:txBody>
    </xdr:sp>
    <xdr:clientData/>
  </xdr:twoCellAnchor>
  <xdr:twoCellAnchor>
    <xdr:from>
      <xdr:col>20</xdr:col>
      <xdr:colOff>533400</xdr:colOff>
      <xdr:row>0</xdr:row>
      <xdr:rowOff>91440</xdr:rowOff>
    </xdr:from>
    <xdr:to>
      <xdr:col>21</xdr:col>
      <xdr:colOff>2294389</xdr:colOff>
      <xdr:row>2</xdr:row>
      <xdr:rowOff>228048</xdr:rowOff>
    </xdr:to>
    <xdr:grpSp>
      <xdr:nvGrpSpPr>
        <xdr:cNvPr id="9" name="Group 8">
          <a:extLst>
            <a:ext uri="{FF2B5EF4-FFF2-40B4-BE49-F238E27FC236}">
              <a16:creationId xmlns:a16="http://schemas.microsoft.com/office/drawing/2014/main" id="{00000000-0008-0000-0100-000009000000}"/>
            </a:ext>
          </a:extLst>
        </xdr:cNvPr>
        <xdr:cNvGrpSpPr/>
      </xdr:nvGrpSpPr>
      <xdr:grpSpPr>
        <a:xfrm>
          <a:off x="17649825" y="91440"/>
          <a:ext cx="3361189" cy="641433"/>
          <a:chOff x="16253460" y="45720"/>
          <a:chExt cx="3198311" cy="645560"/>
        </a:xfrm>
      </xdr:grpSpPr>
      <xdr:pic>
        <xdr:nvPicPr>
          <xdr:cNvPr id="10" name="Picture 9">
            <a:extLst>
              <a:ext uri="{FF2B5EF4-FFF2-40B4-BE49-F238E27FC236}">
                <a16:creationId xmlns:a16="http://schemas.microsoft.com/office/drawing/2014/main" id="{00000000-0008-0000-0100-00000A000000}"/>
              </a:ext>
            </a:extLst>
          </xdr:cNvPr>
          <xdr:cNvPicPr>
            <a:picLocks noChangeAspect="1"/>
          </xdr:cNvPicPr>
        </xdr:nvPicPr>
        <xdr:blipFill>
          <a:blip xmlns:r="http://schemas.openxmlformats.org/officeDocument/2006/relationships" r:embed="rId1"/>
          <a:stretch>
            <a:fillRect/>
          </a:stretch>
        </xdr:blipFill>
        <xdr:spPr>
          <a:xfrm>
            <a:off x="16524208" y="45720"/>
            <a:ext cx="2551828" cy="480696"/>
          </a:xfrm>
          <a:prstGeom prst="rect">
            <a:avLst/>
          </a:prstGeom>
          <a:noFill/>
          <a:ln>
            <a:noFill/>
          </a:ln>
        </xdr:spPr>
      </xdr:pic>
      <xdr:sp macro="" textlink="">
        <xdr:nvSpPr>
          <xdr:cNvPr id="11" name="TextBox 10">
            <a:extLst>
              <a:ext uri="{FF2B5EF4-FFF2-40B4-BE49-F238E27FC236}">
                <a16:creationId xmlns:a16="http://schemas.microsoft.com/office/drawing/2014/main" id="{00000000-0008-0000-0100-00000B000000}"/>
              </a:ext>
            </a:extLst>
          </xdr:cNvPr>
          <xdr:cNvSpPr txBox="1"/>
        </xdr:nvSpPr>
        <xdr:spPr>
          <a:xfrm>
            <a:off x="16253460" y="426720"/>
            <a:ext cx="319831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PH" sz="1100" b="1">
                <a:solidFill>
                  <a:srgbClr val="FF0000"/>
                </a:solidFill>
              </a:rPr>
              <a:t>ABC+</a:t>
            </a:r>
            <a:r>
              <a:rPr lang="en-PH" sz="1100" b="1" baseline="0">
                <a:solidFill>
                  <a:srgbClr val="FF0000"/>
                </a:solidFill>
              </a:rPr>
              <a:t> : </a:t>
            </a:r>
            <a:r>
              <a:rPr lang="en-PH" sz="1100" b="1" baseline="0">
                <a:solidFill>
                  <a:srgbClr val="0070C0"/>
                </a:solidFill>
              </a:rPr>
              <a:t>Advancing Basic Education in the Philippines</a:t>
            </a:r>
            <a:endParaRPr lang="en-PH" sz="1100" b="1">
              <a:solidFill>
                <a:srgbClr val="0070C0"/>
              </a:solidFill>
            </a:endParaRPr>
          </a:p>
        </xdr:txBody>
      </xdr:sp>
    </xdr:grpSp>
    <xdr:clientData/>
  </xdr:twoCellAnchor>
  <xdr:twoCellAnchor editAs="oneCell">
    <xdr:from>
      <xdr:col>3</xdr:col>
      <xdr:colOff>190500</xdr:colOff>
      <xdr:row>0</xdr:row>
      <xdr:rowOff>28575</xdr:rowOff>
    </xdr:from>
    <xdr:to>
      <xdr:col>4</xdr:col>
      <xdr:colOff>213359</xdr:colOff>
      <xdr:row>2</xdr:row>
      <xdr:rowOff>262898</xdr:rowOff>
    </xdr:to>
    <xdr:pic>
      <xdr:nvPicPr>
        <xdr:cNvPr id="12" name="Picture 11">
          <a:extLst>
            <a:ext uri="{FF2B5EF4-FFF2-40B4-BE49-F238E27FC236}">
              <a16:creationId xmlns:a16="http://schemas.microsoft.com/office/drawing/2014/main" id="{00000000-0008-0000-0100-00000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291965" y="28575"/>
          <a:ext cx="852170" cy="744855"/>
        </a:xfrm>
        <a:prstGeom prst="rect">
          <a:avLst/>
        </a:prstGeom>
      </xdr:spPr>
    </xdr:pic>
    <xdr:clientData/>
  </xdr:twoCellAnchor>
  <xdr:twoCellAnchor editAs="oneCell">
    <xdr:from>
      <xdr:col>16</xdr:col>
      <xdr:colOff>9525</xdr:colOff>
      <xdr:row>4</xdr:row>
      <xdr:rowOff>171450</xdr:rowOff>
    </xdr:from>
    <xdr:to>
      <xdr:col>22</xdr:col>
      <xdr:colOff>22860</xdr:colOff>
      <xdr:row>9</xdr:row>
      <xdr:rowOff>15722</xdr:rowOff>
    </xdr:to>
    <xdr:pic>
      <xdr:nvPicPr>
        <xdr:cNvPr id="13" name="Picture 12">
          <a:extLst>
            <a:ext uri="{FF2B5EF4-FFF2-40B4-BE49-F238E27FC236}">
              <a16:creationId xmlns:a16="http://schemas.microsoft.com/office/drawing/2014/main" id="{00000000-0008-0000-0100-00000D000000}"/>
            </a:ext>
          </a:extLst>
        </xdr:cNvPr>
        <xdr:cNvPicPr>
          <a:picLocks noChangeAspect="1"/>
        </xdr:cNvPicPr>
      </xdr:nvPicPr>
      <xdr:blipFill>
        <a:blip xmlns:r="http://schemas.openxmlformats.org/officeDocument/2006/relationships" r:embed="rId3"/>
        <a:stretch>
          <a:fillRect/>
        </a:stretch>
      </xdr:blipFill>
      <xdr:spPr>
        <a:xfrm>
          <a:off x="13206095" y="1261110"/>
          <a:ext cx="6734175" cy="117729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24765</xdr:colOff>
      <xdr:row>108</xdr:row>
      <xdr:rowOff>123825</xdr:rowOff>
    </xdr:from>
    <xdr:to>
      <xdr:col>10</xdr:col>
      <xdr:colOff>672465</xdr:colOff>
      <xdr:row>111</xdr:row>
      <xdr:rowOff>76200</xdr:rowOff>
    </xdr:to>
    <xdr:sp macro="" textlink="">
      <xdr:nvSpPr>
        <xdr:cNvPr id="4" name="TextBox 3">
          <a:extLst>
            <a:ext uri="{FF2B5EF4-FFF2-40B4-BE49-F238E27FC236}">
              <a16:creationId xmlns:a16="http://schemas.microsoft.com/office/drawing/2014/main" id="{00000000-0008-0000-0200-000004000000}"/>
            </a:ext>
          </a:extLst>
        </xdr:cNvPr>
        <xdr:cNvSpPr txBox="1"/>
      </xdr:nvSpPr>
      <xdr:spPr>
        <a:xfrm>
          <a:off x="24765" y="20450175"/>
          <a:ext cx="10934065" cy="5010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900"/>
            <a:t>This Scoresheet is made possible with the assistance of USAID through </a:t>
          </a:r>
          <a:r>
            <a:rPr lang="en-PH" sz="900">
              <a:solidFill>
                <a:srgbClr val="FF0000"/>
              </a:solidFill>
            </a:rPr>
            <a:t>ABC+:</a:t>
          </a:r>
          <a:r>
            <a:rPr lang="en-PH" sz="900">
              <a:solidFill>
                <a:srgbClr val="0070C0"/>
              </a:solidFill>
            </a:rPr>
            <a:t> Advancing Basic Education in the Philippines</a:t>
          </a:r>
          <a:r>
            <a:rPr lang="en-PH" sz="900"/>
            <a:t>. ABC+ Project is an early grades education project of the Department of Education in partnership with USAID and implemented by RTI International together with The Asia Foundation, SIL LEAD, and Florida State University.</a:t>
          </a:r>
        </a:p>
      </xdr:txBody>
    </xdr:sp>
    <xdr:clientData/>
  </xdr:twoCellAnchor>
  <xdr:twoCellAnchor editAs="oneCell">
    <xdr:from>
      <xdr:col>16</xdr:col>
      <xdr:colOff>262890</xdr:colOff>
      <xdr:row>108</xdr:row>
      <xdr:rowOff>28574</xdr:rowOff>
    </xdr:from>
    <xdr:to>
      <xdr:col>16</xdr:col>
      <xdr:colOff>2512127</xdr:colOff>
      <xdr:row>111</xdr:row>
      <xdr:rowOff>60959</xdr:rowOff>
    </xdr:to>
    <xdr:pic>
      <xdr:nvPicPr>
        <xdr:cNvPr id="5" name="Picture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1"/>
        <a:stretch>
          <a:fillRect/>
        </a:stretch>
      </xdr:blipFill>
      <xdr:spPr>
        <a:xfrm>
          <a:off x="16407765" y="20354290"/>
          <a:ext cx="2249170" cy="581025"/>
        </a:xfrm>
        <a:prstGeom prst="rect">
          <a:avLst/>
        </a:prstGeom>
      </xdr:spPr>
    </xdr:pic>
    <xdr:clientData/>
  </xdr:twoCellAnchor>
  <xdr:twoCellAnchor editAs="oneCell">
    <xdr:from>
      <xdr:col>0</xdr:col>
      <xdr:colOff>62865</xdr:colOff>
      <xdr:row>1</xdr:row>
      <xdr:rowOff>19050</xdr:rowOff>
    </xdr:from>
    <xdr:to>
      <xdr:col>6</xdr:col>
      <xdr:colOff>363855</xdr:colOff>
      <xdr:row>3</xdr:row>
      <xdr:rowOff>282004</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a:stretch>
          <a:fillRect/>
        </a:stretch>
      </xdr:blipFill>
      <xdr:spPr>
        <a:xfrm>
          <a:off x="62865" y="201930"/>
          <a:ext cx="6587490" cy="674370"/>
        </a:xfrm>
        <a:prstGeom prst="rect">
          <a:avLst/>
        </a:prstGeom>
      </xdr:spPr>
    </xdr:pic>
    <xdr:clientData/>
  </xdr:twoCellAnchor>
  <xdr:twoCellAnchor>
    <xdr:from>
      <xdr:col>15</xdr:col>
      <xdr:colOff>1343025</xdr:colOff>
      <xdr:row>0</xdr:row>
      <xdr:rowOff>133350</xdr:rowOff>
    </xdr:from>
    <xdr:to>
      <xdr:col>17</xdr:col>
      <xdr:colOff>6484</xdr:colOff>
      <xdr:row>3</xdr:row>
      <xdr:rowOff>191853</xdr:rowOff>
    </xdr:to>
    <xdr:grpSp>
      <xdr:nvGrpSpPr>
        <xdr:cNvPr id="9" name="Group 8">
          <a:extLst>
            <a:ext uri="{FF2B5EF4-FFF2-40B4-BE49-F238E27FC236}">
              <a16:creationId xmlns:a16="http://schemas.microsoft.com/office/drawing/2014/main" id="{00000000-0008-0000-0200-000009000000}"/>
            </a:ext>
          </a:extLst>
        </xdr:cNvPr>
        <xdr:cNvGrpSpPr/>
      </xdr:nvGrpSpPr>
      <xdr:grpSpPr>
        <a:xfrm>
          <a:off x="17325975" y="133350"/>
          <a:ext cx="3711709" cy="649053"/>
          <a:chOff x="16253460" y="45720"/>
          <a:chExt cx="3198311" cy="645560"/>
        </a:xfrm>
      </xdr:grpSpPr>
      <xdr:pic>
        <xdr:nvPicPr>
          <xdr:cNvPr id="10" name="Picture 9">
            <a:extLst>
              <a:ext uri="{FF2B5EF4-FFF2-40B4-BE49-F238E27FC236}">
                <a16:creationId xmlns:a16="http://schemas.microsoft.com/office/drawing/2014/main" id="{00000000-0008-0000-0200-00000A000000}"/>
              </a:ext>
            </a:extLst>
          </xdr:cNvPr>
          <xdr:cNvPicPr>
            <a:picLocks noChangeAspect="1"/>
          </xdr:cNvPicPr>
        </xdr:nvPicPr>
        <xdr:blipFill>
          <a:blip xmlns:r="http://schemas.openxmlformats.org/officeDocument/2006/relationships" r:embed="rId3"/>
          <a:stretch>
            <a:fillRect/>
          </a:stretch>
        </xdr:blipFill>
        <xdr:spPr>
          <a:xfrm>
            <a:off x="16524208" y="45720"/>
            <a:ext cx="2551828" cy="480696"/>
          </a:xfrm>
          <a:prstGeom prst="rect">
            <a:avLst/>
          </a:prstGeom>
          <a:noFill/>
          <a:ln>
            <a:noFill/>
          </a:ln>
        </xdr:spPr>
      </xdr:pic>
      <xdr:sp macro="" textlink="">
        <xdr:nvSpPr>
          <xdr:cNvPr id="11" name="TextBox 10">
            <a:extLst>
              <a:ext uri="{FF2B5EF4-FFF2-40B4-BE49-F238E27FC236}">
                <a16:creationId xmlns:a16="http://schemas.microsoft.com/office/drawing/2014/main" id="{00000000-0008-0000-0200-00000B000000}"/>
              </a:ext>
            </a:extLst>
          </xdr:cNvPr>
          <xdr:cNvSpPr txBox="1"/>
        </xdr:nvSpPr>
        <xdr:spPr>
          <a:xfrm>
            <a:off x="16253460" y="426720"/>
            <a:ext cx="319831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PH" sz="1100" b="1">
                <a:solidFill>
                  <a:srgbClr val="FF0000"/>
                </a:solidFill>
              </a:rPr>
              <a:t>ABC+</a:t>
            </a:r>
            <a:r>
              <a:rPr lang="en-PH" sz="1100" b="1" baseline="0">
                <a:solidFill>
                  <a:srgbClr val="FF0000"/>
                </a:solidFill>
              </a:rPr>
              <a:t> : </a:t>
            </a:r>
            <a:r>
              <a:rPr lang="en-PH" sz="1100" b="1" baseline="0">
                <a:solidFill>
                  <a:srgbClr val="0070C0"/>
                </a:solidFill>
              </a:rPr>
              <a:t>Advancing Basic Education in the Philippines</a:t>
            </a:r>
            <a:endParaRPr lang="en-PH" sz="1100" b="1">
              <a:solidFill>
                <a:srgbClr val="0070C0"/>
              </a:solidFill>
            </a:endParaRPr>
          </a:p>
        </xdr:txBody>
      </xdr:sp>
    </xdr:grp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545703</xdr:colOff>
      <xdr:row>46</xdr:row>
      <xdr:rowOff>133667</xdr:rowOff>
    </xdr:from>
    <xdr:to>
      <xdr:col>17</xdr:col>
      <xdr:colOff>162560</xdr:colOff>
      <xdr:row>66</xdr:row>
      <xdr:rowOff>124777</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234872</xdr:colOff>
      <xdr:row>89</xdr:row>
      <xdr:rowOff>65244</xdr:rowOff>
    </xdr:from>
    <xdr:to>
      <xdr:col>10</xdr:col>
      <xdr:colOff>406797</xdr:colOff>
      <xdr:row>93</xdr:row>
      <xdr:rowOff>44607</xdr:rowOff>
    </xdr:to>
    <xdr:sp macro="" textlink="">
      <xdr:nvSpPr>
        <xdr:cNvPr id="11" name="TextBox 10">
          <a:extLst>
            <a:ext uri="{FF2B5EF4-FFF2-40B4-BE49-F238E27FC236}">
              <a16:creationId xmlns:a16="http://schemas.microsoft.com/office/drawing/2014/main" id="{00000000-0008-0000-0300-00000B000000}"/>
            </a:ext>
          </a:extLst>
        </xdr:cNvPr>
        <xdr:cNvSpPr txBox="1"/>
      </xdr:nvSpPr>
      <xdr:spPr>
        <a:xfrm>
          <a:off x="234315" y="18076545"/>
          <a:ext cx="8605520" cy="711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900"/>
            <a:t>This Scoresheet is made possible with the assistance of USAID through </a:t>
          </a:r>
          <a:r>
            <a:rPr lang="en-PH" sz="900">
              <a:solidFill>
                <a:srgbClr val="FF0000"/>
              </a:solidFill>
            </a:rPr>
            <a:t>ABC+:</a:t>
          </a:r>
          <a:r>
            <a:rPr lang="en-PH" sz="900">
              <a:solidFill>
                <a:srgbClr val="0070C0"/>
              </a:solidFill>
            </a:rPr>
            <a:t> Advancing Basic Education in the Philippines</a:t>
          </a:r>
          <a:r>
            <a:rPr lang="en-PH" sz="900"/>
            <a:t>. ABC+ Project is an early grades education project of the Department of Education in partnership with USAID and implemented by RTI International together with The Asia Foundation, SIL LEAD, and Florida State University.</a:t>
          </a:r>
        </a:p>
      </xdr:txBody>
    </xdr:sp>
    <xdr:clientData/>
  </xdr:twoCellAnchor>
  <xdr:twoCellAnchor editAs="oneCell">
    <xdr:from>
      <xdr:col>14</xdr:col>
      <xdr:colOff>586502</xdr:colOff>
      <xdr:row>88</xdr:row>
      <xdr:rowOff>48337</xdr:rowOff>
    </xdr:from>
    <xdr:to>
      <xdr:col>18</xdr:col>
      <xdr:colOff>361790</xdr:colOff>
      <xdr:row>91</xdr:row>
      <xdr:rowOff>154939</xdr:rowOff>
    </xdr:to>
    <xdr:pic>
      <xdr:nvPicPr>
        <xdr:cNvPr id="12" name="Picture 11">
          <a:extLst>
            <a:ext uri="{FF2B5EF4-FFF2-40B4-BE49-F238E27FC236}">
              <a16:creationId xmlns:a16="http://schemas.microsoft.com/office/drawing/2014/main" id="{00000000-0008-0000-0300-00000C000000}"/>
            </a:ext>
          </a:extLst>
        </xdr:cNvPr>
        <xdr:cNvPicPr>
          <a:picLocks noChangeAspect="1"/>
        </xdr:cNvPicPr>
      </xdr:nvPicPr>
      <xdr:blipFill>
        <a:blip xmlns:r="http://schemas.openxmlformats.org/officeDocument/2006/relationships" r:embed="rId2"/>
        <a:stretch>
          <a:fillRect/>
        </a:stretch>
      </xdr:blipFill>
      <xdr:spPr>
        <a:xfrm>
          <a:off x="11884025" y="17877155"/>
          <a:ext cx="2556510" cy="654685"/>
        </a:xfrm>
        <a:prstGeom prst="rect">
          <a:avLst/>
        </a:prstGeom>
      </xdr:spPr>
    </xdr:pic>
    <xdr:clientData/>
  </xdr:twoCellAnchor>
  <xdr:twoCellAnchor>
    <xdr:from>
      <xdr:col>15</xdr:col>
      <xdr:colOff>41277</xdr:colOff>
      <xdr:row>13</xdr:row>
      <xdr:rowOff>293211</xdr:rowOff>
    </xdr:from>
    <xdr:to>
      <xdr:col>18</xdr:col>
      <xdr:colOff>543403</xdr:colOff>
      <xdr:row>27</xdr:row>
      <xdr:rowOff>33576</xdr:rowOff>
    </xdr:to>
    <xdr:graphicFrame macro="">
      <xdr:nvGraphicFramePr>
        <xdr:cNvPr id="5" name="Chart 4">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514031</xdr:colOff>
      <xdr:row>15</xdr:row>
      <xdr:rowOff>24131</xdr:rowOff>
    </xdr:from>
    <xdr:to>
      <xdr:col>18</xdr:col>
      <xdr:colOff>77468</xdr:colOff>
      <xdr:row>16</xdr:row>
      <xdr:rowOff>122794</xdr:rowOff>
    </xdr:to>
    <xdr:sp macro="" textlink="">
      <xdr:nvSpPr>
        <xdr:cNvPr id="6" name="TextBox 5">
          <a:extLst>
            <a:ext uri="{FF2B5EF4-FFF2-40B4-BE49-F238E27FC236}">
              <a16:creationId xmlns:a16="http://schemas.microsoft.com/office/drawing/2014/main" id="{00000000-0008-0000-0300-000006000000}"/>
            </a:ext>
          </a:extLst>
        </xdr:cNvPr>
        <xdr:cNvSpPr txBox="1"/>
      </xdr:nvSpPr>
      <xdr:spPr>
        <a:xfrm>
          <a:off x="12482195" y="4209415"/>
          <a:ext cx="1673860" cy="28130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PH" sz="1100" b="1"/>
            <a:t>% of Learners Assessed</a:t>
          </a:r>
        </a:p>
      </xdr:txBody>
    </xdr:sp>
    <xdr:clientData/>
  </xdr:twoCellAnchor>
  <xdr:twoCellAnchor>
    <xdr:from>
      <xdr:col>0</xdr:col>
      <xdr:colOff>555308</xdr:colOff>
      <xdr:row>25</xdr:row>
      <xdr:rowOff>150812</xdr:rowOff>
    </xdr:from>
    <xdr:to>
      <xdr:col>17</xdr:col>
      <xdr:colOff>188515</xdr:colOff>
      <xdr:row>45</xdr:row>
      <xdr:rowOff>115888</xdr:rowOff>
    </xdr:to>
    <xdr:graphicFrame macro="">
      <xdr:nvGraphicFramePr>
        <xdr:cNvPr id="13" name="Chart 12">
          <a:extLst>
            <a:ext uri="{FF2B5EF4-FFF2-40B4-BE49-F238E27FC236}">
              <a16:creationId xmlns:a16="http://schemas.microsoft.com/office/drawing/2014/main" id="{00000000-0008-0000-03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174784</xdr:colOff>
      <xdr:row>67</xdr:row>
      <xdr:rowOff>148828</xdr:rowOff>
    </xdr:from>
    <xdr:to>
      <xdr:col>10</xdr:col>
      <xdr:colOff>218282</xdr:colOff>
      <xdr:row>87</xdr:row>
      <xdr:rowOff>134223</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342899</xdr:colOff>
      <xdr:row>67</xdr:row>
      <xdr:rowOff>166370</xdr:rowOff>
    </xdr:from>
    <xdr:to>
      <xdr:col>18</xdr:col>
      <xdr:colOff>496093</xdr:colOff>
      <xdr:row>87</xdr:row>
      <xdr:rowOff>151765</xdr:rowOff>
    </xdr:to>
    <xdr:graphicFrame macro="">
      <xdr:nvGraphicFramePr>
        <xdr:cNvPr id="7" name="Chart 6">
          <a:extLst>
            <a:ext uri="{FF2B5EF4-FFF2-40B4-BE49-F238E27FC236}">
              <a16:creationId xmlns:a16="http://schemas.microsoft.com/office/drawing/2014/main" id="{00000000-0008-0000-03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11</xdr:col>
      <xdr:colOff>466964</xdr:colOff>
      <xdr:row>0</xdr:row>
      <xdr:rowOff>119062</xdr:rowOff>
    </xdr:from>
    <xdr:to>
      <xdr:col>19</xdr:col>
      <xdr:colOff>151131</xdr:colOff>
      <xdr:row>4</xdr:row>
      <xdr:rowOff>59277</xdr:rowOff>
    </xdr:to>
    <xdr:pic>
      <xdr:nvPicPr>
        <xdr:cNvPr id="8" name="Picture 7">
          <a:extLst>
            <a:ext uri="{FF2B5EF4-FFF2-40B4-BE49-F238E27FC236}">
              <a16:creationId xmlns:a16="http://schemas.microsoft.com/office/drawing/2014/main" id="{00000000-0008-0000-0300-000008000000}"/>
            </a:ext>
          </a:extLst>
        </xdr:cNvPr>
        <xdr:cNvPicPr>
          <a:picLocks noChangeAspect="1"/>
        </xdr:cNvPicPr>
      </xdr:nvPicPr>
      <xdr:blipFill>
        <a:blip xmlns:r="http://schemas.openxmlformats.org/officeDocument/2006/relationships" r:embed="rId7"/>
        <a:srcRect r="18058"/>
        <a:stretch>
          <a:fillRect/>
        </a:stretch>
      </xdr:blipFill>
      <xdr:spPr>
        <a:xfrm>
          <a:off x="9570720" y="118745"/>
          <a:ext cx="5398770" cy="68707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801191</xdr:colOff>
      <xdr:row>12</xdr:row>
      <xdr:rowOff>91440</xdr:rowOff>
    </xdr:from>
    <xdr:to>
      <xdr:col>6</xdr:col>
      <xdr:colOff>255203</xdr:colOff>
      <xdr:row>43</xdr:row>
      <xdr:rowOff>3296</xdr:rowOff>
    </xdr:to>
    <xdr:pic>
      <xdr:nvPicPr>
        <xdr:cNvPr id="6" name="Picture 5">
          <a:extLst>
            <a:ext uri="{FF2B5EF4-FFF2-40B4-BE49-F238E27FC236}">
              <a16:creationId xmlns:a16="http://schemas.microsoft.com/office/drawing/2014/main" id="{00000000-0008-0000-0400-000006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00735" y="3356610"/>
          <a:ext cx="9999980" cy="558101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D110"/>
  <sheetViews>
    <sheetView tabSelected="1" zoomScale="40" zoomScaleNormal="40" workbookViewId="0">
      <pane xSplit="3" ySplit="10" topLeftCell="D11" activePane="bottomRight" state="frozen"/>
      <selection pane="bottomRight" activeCell="V21" sqref="V21"/>
      <selection pane="bottomLeft"/>
      <selection pane="topRight"/>
    </sheetView>
  </sheetViews>
  <sheetFormatPr defaultColWidth="0" defaultRowHeight="14.45"/>
  <cols>
    <col min="1" max="1" width="4.875" customWidth="1"/>
    <col min="2" max="2" width="15.5" style="2" customWidth="1"/>
    <col min="3" max="3" width="28.25" customWidth="1"/>
    <col min="4" max="4" width="12.125" style="1" customWidth="1"/>
    <col min="5" max="5" width="11.625" style="1" customWidth="1"/>
    <col min="6" max="6" width="9.5" style="1" customWidth="1"/>
    <col min="7" max="7" width="8.125" style="1" customWidth="1"/>
    <col min="8" max="8" width="9.375" style="1" customWidth="1"/>
    <col min="9" max="9" width="10.5" style="1" customWidth="1"/>
    <col min="10" max="10" width="20.125" style="139" customWidth="1"/>
    <col min="11" max="11" width="9.875" style="1" customWidth="1"/>
    <col min="12" max="12" width="8.625" style="1" customWidth="1"/>
    <col min="13" max="13" width="9.5" style="1" customWidth="1"/>
    <col min="14" max="14" width="6.125" style="1" customWidth="1"/>
    <col min="15" max="15" width="5.125" style="1" customWidth="1"/>
    <col min="16" max="16" width="10.375" style="1" customWidth="1"/>
    <col min="17" max="17" width="9.5" style="1" customWidth="1"/>
    <col min="18" max="18" width="10.875" style="1" customWidth="1"/>
    <col min="19" max="19" width="11.875" style="1" customWidth="1"/>
    <col min="20" max="20" width="10.875" style="1" customWidth="1"/>
    <col min="21" max="21" width="23.375" style="1" customWidth="1"/>
    <col min="22" max="22" width="34" customWidth="1"/>
    <col min="23" max="23" width="8.875" customWidth="1"/>
    <col min="24" max="29" width="10.625" hidden="1" customWidth="1"/>
    <col min="30" max="30" width="10.625" customWidth="1"/>
    <col min="31" max="16384" width="10.625" hidden="1"/>
  </cols>
  <sheetData>
    <row r="1" spans="1:26" ht="22.35" customHeight="1">
      <c r="A1" t="s">
        <v>0</v>
      </c>
    </row>
    <row r="2" spans="1:26" ht="18" customHeight="1"/>
    <row r="3" spans="1:26" ht="27" customHeight="1">
      <c r="A3" s="305" t="s">
        <v>1</v>
      </c>
      <c r="B3" s="306"/>
      <c r="C3" s="237" t="s">
        <v>2</v>
      </c>
    </row>
    <row r="4" spans="1:26" ht="18.600000000000001" customHeight="1">
      <c r="A4" s="307" t="s">
        <v>3</v>
      </c>
      <c r="B4" s="308"/>
      <c r="C4" s="238">
        <v>117443</v>
      </c>
      <c r="D4" s="239" t="s">
        <v>4</v>
      </c>
      <c r="E4" s="240"/>
      <c r="F4" s="142">
        <f>D6+E6</f>
        <v>15</v>
      </c>
      <c r="G4" s="309" t="s">
        <v>5</v>
      </c>
      <c r="H4" s="309"/>
      <c r="I4" s="178">
        <f>COUNTIF(F11:F110,"&lt;&gt;")</f>
        <v>15</v>
      </c>
      <c r="J4" s="179"/>
      <c r="K4" s="180"/>
      <c r="L4" s="180"/>
      <c r="M4" s="180"/>
      <c r="N4" s="180"/>
      <c r="O4" s="180"/>
      <c r="P4" s="180"/>
      <c r="Q4" s="180"/>
      <c r="R4" s="180"/>
      <c r="S4" s="180"/>
      <c r="T4" s="180"/>
      <c r="U4" s="180"/>
      <c r="V4" s="201"/>
    </row>
    <row r="5" spans="1:26" ht="18" customHeight="1">
      <c r="A5" s="310" t="s">
        <v>6</v>
      </c>
      <c r="B5" s="311"/>
      <c r="C5" s="241" t="s">
        <v>7</v>
      </c>
      <c r="D5" s="242" t="s">
        <v>8</v>
      </c>
      <c r="E5" s="243" t="s">
        <v>9</v>
      </c>
      <c r="F5" s="272" t="s">
        <v>10</v>
      </c>
      <c r="G5" s="273"/>
      <c r="H5" s="273"/>
      <c r="I5" s="273"/>
      <c r="J5" s="294" t="s">
        <v>11</v>
      </c>
      <c r="K5" s="276" t="s">
        <v>12</v>
      </c>
      <c r="L5" s="277"/>
      <c r="M5" s="277"/>
      <c r="N5" s="277"/>
      <c r="O5" s="277"/>
      <c r="P5" s="277"/>
      <c r="Q5" s="202"/>
      <c r="R5" s="202"/>
      <c r="S5" s="202"/>
      <c r="T5" s="202"/>
      <c r="U5" s="202"/>
      <c r="V5" s="203"/>
    </row>
    <row r="6" spans="1:26" ht="19.7" customHeight="1">
      <c r="A6" s="298" t="s">
        <v>13</v>
      </c>
      <c r="B6" s="299"/>
      <c r="C6" s="241" t="s">
        <v>14</v>
      </c>
      <c r="D6" s="244">
        <v>7</v>
      </c>
      <c r="E6" s="245">
        <v>8</v>
      </c>
      <c r="F6" s="274"/>
      <c r="G6" s="275"/>
      <c r="H6" s="275"/>
      <c r="I6" s="275"/>
      <c r="J6" s="295"/>
      <c r="K6" s="278"/>
      <c r="L6" s="279"/>
      <c r="M6" s="279"/>
      <c r="N6" s="279"/>
      <c r="O6" s="279"/>
      <c r="P6" s="279"/>
      <c r="Q6" s="280"/>
      <c r="R6" s="281"/>
      <c r="S6" s="281"/>
      <c r="T6" s="282"/>
      <c r="U6" s="270"/>
      <c r="V6" s="271"/>
    </row>
    <row r="7" spans="1:26" ht="36" customHeight="1">
      <c r="A7" s="298" t="s">
        <v>15</v>
      </c>
      <c r="B7" s="299"/>
      <c r="C7" s="246" t="s">
        <v>16</v>
      </c>
      <c r="D7" s="300" t="s">
        <v>17</v>
      </c>
      <c r="E7" s="301"/>
      <c r="F7" s="289" t="s">
        <v>18</v>
      </c>
      <c r="G7" s="291" t="s">
        <v>19</v>
      </c>
      <c r="H7" s="291" t="s">
        <v>20</v>
      </c>
      <c r="I7" s="292" t="s">
        <v>21</v>
      </c>
      <c r="J7" s="295"/>
      <c r="K7" s="181" t="s">
        <v>22</v>
      </c>
      <c r="L7" s="182" t="s">
        <v>23</v>
      </c>
      <c r="M7" s="183">
        <f>_xlfn.IFNA(IF(X9=1,Y9,IF(D9&gt;0,D9,95)),"")</f>
        <v>96</v>
      </c>
      <c r="N7" s="302" t="s">
        <v>24</v>
      </c>
      <c r="O7" s="302"/>
      <c r="P7" s="183">
        <f>_xlfn.IFNA(IF(X9=1,Z9,IF(E9&gt;0,E9,95)),"")</f>
        <v>94</v>
      </c>
      <c r="Q7" s="283"/>
      <c r="R7" s="270"/>
      <c r="S7" s="270"/>
      <c r="T7" s="271"/>
      <c r="U7" s="270"/>
      <c r="V7" s="271"/>
    </row>
    <row r="8" spans="1:26" ht="17.45" customHeight="1">
      <c r="A8" s="298" t="s">
        <v>25</v>
      </c>
      <c r="B8" s="299"/>
      <c r="C8" s="241">
        <v>1</v>
      </c>
      <c r="D8" s="247" t="s">
        <v>23</v>
      </c>
      <c r="E8" s="248" t="s">
        <v>24</v>
      </c>
      <c r="F8" s="289"/>
      <c r="G8" s="291"/>
      <c r="H8" s="291"/>
      <c r="I8" s="293"/>
      <c r="J8" s="295"/>
      <c r="K8" s="290" t="s">
        <v>26</v>
      </c>
      <c r="L8" s="292" t="s">
        <v>27</v>
      </c>
      <c r="M8" s="292" t="s">
        <v>28</v>
      </c>
      <c r="N8" s="284" t="s">
        <v>29</v>
      </c>
      <c r="O8" s="285"/>
      <c r="P8" s="268" t="s">
        <v>30</v>
      </c>
      <c r="Q8" s="283"/>
      <c r="R8" s="270"/>
      <c r="S8" s="270"/>
      <c r="T8" s="271"/>
      <c r="U8" s="270"/>
      <c r="V8" s="271"/>
    </row>
    <row r="9" spans="1:26" ht="29.1" customHeight="1">
      <c r="A9" s="303" t="s">
        <v>31</v>
      </c>
      <c r="B9" s="304"/>
      <c r="C9" s="249" t="s">
        <v>32</v>
      </c>
      <c r="D9" s="250"/>
      <c r="E9" s="251"/>
      <c r="F9" s="290"/>
      <c r="G9" s="292"/>
      <c r="H9" s="292"/>
      <c r="I9" s="293"/>
      <c r="J9" s="295"/>
      <c r="K9" s="296"/>
      <c r="L9" s="297"/>
      <c r="M9" s="297"/>
      <c r="N9" s="286"/>
      <c r="O9" s="287"/>
      <c r="P9" s="269"/>
      <c r="Q9" s="283"/>
      <c r="R9" s="270"/>
      <c r="S9" s="270"/>
      <c r="T9" s="271"/>
      <c r="U9" s="270"/>
      <c r="V9" s="271"/>
      <c r="X9" s="204">
        <f>IF(_xlfn.IFNA(VLOOKUP($C$9,List!$G$2:$M$20,1,0),"")=C9,1,0)</f>
        <v>1</v>
      </c>
      <c r="Y9" s="204">
        <f>VLOOKUP($C$9,List!$G$2:$M$20,4,0)</f>
        <v>96</v>
      </c>
      <c r="Z9" s="204">
        <f>VLOOKUP($C$9,List!$G$2:$M$20,7,0)</f>
        <v>94</v>
      </c>
    </row>
    <row r="10" spans="1:26" ht="35.450000000000003" customHeight="1">
      <c r="A10" s="153" t="s">
        <v>33</v>
      </c>
      <c r="B10" s="154" t="s">
        <v>34</v>
      </c>
      <c r="C10" s="155" t="s">
        <v>35</v>
      </c>
      <c r="D10" s="156" t="s">
        <v>36</v>
      </c>
      <c r="E10" s="157" t="s">
        <v>37</v>
      </c>
      <c r="F10" s="252" t="s">
        <v>38</v>
      </c>
      <c r="G10" s="253" t="s">
        <v>39</v>
      </c>
      <c r="H10" s="253" t="s">
        <v>40</v>
      </c>
      <c r="I10" s="159" t="s">
        <v>41</v>
      </c>
      <c r="J10" s="184" t="s">
        <v>42</v>
      </c>
      <c r="K10" s="185" t="s">
        <v>43</v>
      </c>
      <c r="L10" s="186" t="s">
        <v>44</v>
      </c>
      <c r="M10" s="187" t="s">
        <v>45</v>
      </c>
      <c r="N10" s="288" t="s">
        <v>46</v>
      </c>
      <c r="O10" s="288"/>
      <c r="P10" s="187" t="s">
        <v>47</v>
      </c>
      <c r="Q10" s="205" t="s">
        <v>48</v>
      </c>
      <c r="R10" s="187" t="s">
        <v>49</v>
      </c>
      <c r="S10" s="205" t="s">
        <v>50</v>
      </c>
      <c r="T10" s="206" t="s">
        <v>51</v>
      </c>
      <c r="U10" s="207" t="s">
        <v>52</v>
      </c>
      <c r="V10" s="208" t="s">
        <v>53</v>
      </c>
    </row>
    <row r="11" spans="1:26">
      <c r="A11" s="64">
        <v>1</v>
      </c>
      <c r="B11" s="192"/>
      <c r="C11" s="254" t="s">
        <v>54</v>
      </c>
      <c r="D11" s="255" t="s">
        <v>8</v>
      </c>
      <c r="E11" s="256" t="s">
        <v>55</v>
      </c>
      <c r="F11" s="163">
        <v>6</v>
      </c>
      <c r="G11" s="164">
        <v>6</v>
      </c>
      <c r="H11" s="164">
        <v>10</v>
      </c>
      <c r="I11" s="188">
        <f>IF(AND(F11="",G11=""),"",IF(F11&lt;7,F11+G11,F11+10+H11))</f>
        <v>12</v>
      </c>
      <c r="J11" s="189" t="str">
        <f>IF(I11="","",IF(F11&lt;7,IF(I11&lt;=10,"Full Refresher","Moderate Refresher"),IF(I11&lt;27,"Light Refresher","Grade Ready")))</f>
        <v>Moderate Refresher</v>
      </c>
      <c r="K11" s="190">
        <v>1</v>
      </c>
      <c r="L11" s="191">
        <v>87</v>
      </c>
      <c r="M11" s="166">
        <f>IF($C$9&lt;&gt;"",IF(OR(K11=1,K11=2),IF(K11=1,M$7-L11,$P$7-L11),""),"")</f>
        <v>9</v>
      </c>
      <c r="N11" s="192">
        <v>2</v>
      </c>
      <c r="O11" s="192">
        <v>0</v>
      </c>
      <c r="P11" s="160">
        <f>IFERROR(IF(AND(K11&gt;0,M11&gt;0,OR(N11&gt;0,O11&gt;0)),(M11/((N11*60)+O11))*60,""),"")</f>
        <v>4.5</v>
      </c>
      <c r="Q11" s="209">
        <f>IFERROR(IF(OR(K11=1,K11=2),IF(K11=1,M11/$M$7,M11/$P$7),""),"")</f>
        <v>9.375E-2</v>
      </c>
      <c r="R11" s="192">
        <v>0</v>
      </c>
      <c r="S11" s="192"/>
      <c r="T11" s="210" t="s">
        <v>56</v>
      </c>
      <c r="U11" s="211" t="str">
        <f>IF(J11&lt;&gt;"",IF(J11="Full Refresher","Low Emerging Reader",IF(AND(K11&gt;0,Q11&lt;&gt;""),IF(OR(Q11&lt;=25%,AND(Q11&gt;25%,Q11&lt;=50%,R11=0)),"High Emerging Reader",IF(OR(AND(Q11&gt;25%,Q11&lt;51%,R11&gt;=1),AND(Q11&gt;50%,Q11&lt;76%,R11&lt;=2)),"Developing Reader",IF(OR(AND(Q11&gt;=51%,Q11&lt;76%,R11&gt;=3),AND(Q11&gt;75%,R11&lt;=4)),"Transitioning Reader",IF(AND(Q11&gt;75%,R11&gt;=5),"Reading At Grade Level","")))),"")),"")</f>
        <v>High Emerging Reader</v>
      </c>
      <c r="V11" s="212"/>
      <c r="Y11" s="219">
        <f>IF(C11&lt;&gt;"",R11/6,"")</f>
        <v>0</v>
      </c>
    </row>
    <row r="12" spans="1:26">
      <c r="A12" s="165">
        <v>2</v>
      </c>
      <c r="B12" s="174"/>
      <c r="C12" s="257" t="s">
        <v>57</v>
      </c>
      <c r="D12" s="255" t="s">
        <v>8</v>
      </c>
      <c r="E12" s="256" t="s">
        <v>55</v>
      </c>
      <c r="F12" s="170">
        <v>2</v>
      </c>
      <c r="G12" s="171">
        <v>1</v>
      </c>
      <c r="H12" s="171">
        <v>10</v>
      </c>
      <c r="I12" s="193">
        <f t="shared" ref="I12:I75" si="0">IF(AND(F12="",G12=""),"",IF(F12&lt;7,F12+G12,F12+10+H12))</f>
        <v>3</v>
      </c>
      <c r="J12" s="194" t="str">
        <f t="shared" ref="J12:J75" si="1">IF(I12="","",IF(F12&lt;7,IF(I12&lt;=10,"Full Refresher","Moderate Refresher"),IF(I12&lt;27,"Light Refresher","Grade Ready")))</f>
        <v>Full Refresher</v>
      </c>
      <c r="K12" s="195"/>
      <c r="L12" s="196"/>
      <c r="M12" s="166" t="str">
        <f t="shared" ref="M12:M75" si="2">IF($C$9&lt;&gt;"",IF(OR(K12=1,K12=2),IF(K12=1,M$7-L12,$P$7-L12),""),"")</f>
        <v/>
      </c>
      <c r="N12" s="174"/>
      <c r="O12" s="174"/>
      <c r="P12" s="166" t="str">
        <f t="shared" ref="P12:P75" si="3">IFERROR(IF(AND(K12&gt;0,M12&gt;0,OR(N12&gt;0,O12&gt;0)),(M12/((N12*60)+O12))*60,""),"")</f>
        <v/>
      </c>
      <c r="Q12" s="213" t="str">
        <f t="shared" ref="Q12:Q75" si="4">IFERROR(IF(OR(K12=1,K12=2),IF(K12=1,M12/$M$7,M12/$P$7),""),"")</f>
        <v/>
      </c>
      <c r="R12" s="174"/>
      <c r="S12" s="174"/>
      <c r="T12" s="214"/>
      <c r="U12" s="215" t="str">
        <f t="shared" ref="U12:U75" si="5">IF(J12&lt;&gt;"",IF(J12="Full Refresher","Low Emerging Reader",IF(AND(K12&gt;0,Q12&lt;&gt;""),IF(OR(Q12&lt;=25%,AND(Q12&gt;25%,Q12&lt;=50%,R12=0)),"High Emerging Reader",IF(OR(AND(Q12&gt;25%,Q12&lt;51%,R12&gt;=1),AND(Q12&gt;50%,Q12&lt;76%,R12&lt;=2)),"Developing Reader",IF(OR(AND(Q12&gt;=51%,Q12&lt;76%,R12&gt;=3),AND(Q12&gt;75%,R12&lt;=4)),"Transitioning Reader",IF(AND(Q12&gt;75%,R12&gt;=5),"Reading At Grade Level","")))),"")),"")</f>
        <v>Low Emerging Reader</v>
      </c>
      <c r="V12" s="216"/>
      <c r="Y12" s="219">
        <f t="shared" ref="Y12:Y75" si="6">IF(C12&lt;&gt;"",R12/6,"")</f>
        <v>0</v>
      </c>
    </row>
    <row r="13" spans="1:26">
      <c r="A13" s="57">
        <v>3</v>
      </c>
      <c r="B13" s="173"/>
      <c r="C13" s="258" t="s">
        <v>58</v>
      </c>
      <c r="D13" s="255" t="s">
        <v>8</v>
      </c>
      <c r="E13" s="256" t="s">
        <v>55</v>
      </c>
      <c r="F13" s="172">
        <v>6</v>
      </c>
      <c r="G13" s="164">
        <v>4</v>
      </c>
      <c r="H13" s="173">
        <v>7</v>
      </c>
      <c r="I13" s="193">
        <f t="shared" si="0"/>
        <v>10</v>
      </c>
      <c r="J13" s="194" t="str">
        <f t="shared" si="1"/>
        <v>Full Refresher</v>
      </c>
      <c r="K13" s="197"/>
      <c r="L13" s="198"/>
      <c r="M13" s="166" t="str">
        <f t="shared" si="2"/>
        <v/>
      </c>
      <c r="N13" s="173"/>
      <c r="O13" s="173"/>
      <c r="P13" s="166" t="str">
        <f t="shared" si="3"/>
        <v/>
      </c>
      <c r="Q13" s="213" t="str">
        <f t="shared" si="4"/>
        <v/>
      </c>
      <c r="R13" s="173"/>
      <c r="S13" s="173"/>
      <c r="T13" s="217"/>
      <c r="U13" s="215" t="str">
        <f t="shared" si="5"/>
        <v>Low Emerging Reader</v>
      </c>
      <c r="V13" s="218"/>
      <c r="Y13" s="219">
        <f t="shared" si="6"/>
        <v>0</v>
      </c>
    </row>
    <row r="14" spans="1:26">
      <c r="A14" s="165">
        <v>4</v>
      </c>
      <c r="B14" s="174"/>
      <c r="C14" s="257" t="s">
        <v>59</v>
      </c>
      <c r="D14" s="255" t="s">
        <v>8</v>
      </c>
      <c r="E14" s="256" t="s">
        <v>55</v>
      </c>
      <c r="F14" s="170">
        <v>8</v>
      </c>
      <c r="G14" s="171"/>
      <c r="H14" s="174">
        <v>9</v>
      </c>
      <c r="I14" s="193">
        <f t="shared" si="0"/>
        <v>27</v>
      </c>
      <c r="J14" s="194" t="str">
        <f t="shared" si="1"/>
        <v>Grade Ready</v>
      </c>
      <c r="K14" s="195">
        <v>2</v>
      </c>
      <c r="L14" s="196">
        <v>72</v>
      </c>
      <c r="M14" s="166">
        <f t="shared" si="2"/>
        <v>22</v>
      </c>
      <c r="N14" s="174">
        <v>2</v>
      </c>
      <c r="O14" s="174">
        <v>0</v>
      </c>
      <c r="P14" s="166">
        <f t="shared" si="3"/>
        <v>11</v>
      </c>
      <c r="Q14" s="213">
        <f t="shared" si="4"/>
        <v>0.23404255319148937</v>
      </c>
      <c r="R14" s="174">
        <v>0</v>
      </c>
      <c r="S14" s="174"/>
      <c r="T14" s="214" t="s">
        <v>56</v>
      </c>
      <c r="U14" s="215" t="str">
        <f t="shared" si="5"/>
        <v>High Emerging Reader</v>
      </c>
      <c r="V14" s="216"/>
      <c r="Y14" s="219">
        <f t="shared" si="6"/>
        <v>0</v>
      </c>
    </row>
    <row r="15" spans="1:26">
      <c r="A15" s="57">
        <v>5</v>
      </c>
      <c r="B15" s="173"/>
      <c r="C15" s="258" t="s">
        <v>60</v>
      </c>
      <c r="D15" s="255" t="s">
        <v>8</v>
      </c>
      <c r="E15" s="256" t="s">
        <v>55</v>
      </c>
      <c r="F15" s="172">
        <v>7</v>
      </c>
      <c r="G15" s="164"/>
      <c r="H15" s="173">
        <v>7</v>
      </c>
      <c r="I15" s="193">
        <f t="shared" si="0"/>
        <v>24</v>
      </c>
      <c r="J15" s="194" t="str">
        <f t="shared" si="1"/>
        <v>Light Refresher</v>
      </c>
      <c r="K15" s="197">
        <v>2</v>
      </c>
      <c r="L15" s="198">
        <v>51</v>
      </c>
      <c r="M15" s="166">
        <f t="shared" si="2"/>
        <v>43</v>
      </c>
      <c r="N15" s="173">
        <v>2</v>
      </c>
      <c r="O15" s="173">
        <v>0</v>
      </c>
      <c r="P15" s="166">
        <f t="shared" si="3"/>
        <v>21.5</v>
      </c>
      <c r="Q15" s="213">
        <f t="shared" si="4"/>
        <v>0.45744680851063829</v>
      </c>
      <c r="R15" s="173">
        <v>2</v>
      </c>
      <c r="S15" s="173"/>
      <c r="T15" s="217" t="s">
        <v>61</v>
      </c>
      <c r="U15" s="215" t="str">
        <f t="shared" si="5"/>
        <v>Developing Reader</v>
      </c>
      <c r="V15" s="218"/>
      <c r="Y15" s="219">
        <f t="shared" si="6"/>
        <v>0.33333333333333331</v>
      </c>
    </row>
    <row r="16" spans="1:26">
      <c r="A16" s="165">
        <v>6</v>
      </c>
      <c r="B16" s="174"/>
      <c r="C16" s="257" t="s">
        <v>62</v>
      </c>
      <c r="D16" s="255" t="s">
        <v>8</v>
      </c>
      <c r="E16" s="256" t="s">
        <v>63</v>
      </c>
      <c r="F16" s="170">
        <v>2</v>
      </c>
      <c r="G16" s="171">
        <v>1</v>
      </c>
      <c r="H16" s="174">
        <v>8</v>
      </c>
      <c r="I16" s="193">
        <f t="shared" si="0"/>
        <v>3</v>
      </c>
      <c r="J16" s="194" t="str">
        <f t="shared" si="1"/>
        <v>Full Refresher</v>
      </c>
      <c r="K16" s="195"/>
      <c r="L16" s="196"/>
      <c r="M16" s="166" t="str">
        <f t="shared" si="2"/>
        <v/>
      </c>
      <c r="N16" s="174"/>
      <c r="O16" s="174"/>
      <c r="P16" s="166" t="str">
        <f t="shared" si="3"/>
        <v/>
      </c>
      <c r="Q16" s="213" t="str">
        <f t="shared" si="4"/>
        <v/>
      </c>
      <c r="R16" s="174"/>
      <c r="S16" s="174"/>
      <c r="T16" s="214"/>
      <c r="U16" s="215" t="str">
        <f t="shared" si="5"/>
        <v>Low Emerging Reader</v>
      </c>
      <c r="V16" s="216"/>
      <c r="Y16" s="219">
        <f t="shared" si="6"/>
        <v>0</v>
      </c>
    </row>
    <row r="17" spans="1:25">
      <c r="A17" s="57">
        <v>7</v>
      </c>
      <c r="B17" s="173"/>
      <c r="C17" s="258" t="s">
        <v>64</v>
      </c>
      <c r="D17" s="255" t="s">
        <v>8</v>
      </c>
      <c r="E17" s="256" t="s">
        <v>63</v>
      </c>
      <c r="F17" s="172">
        <v>1</v>
      </c>
      <c r="G17" s="164">
        <v>0</v>
      </c>
      <c r="H17" s="173">
        <v>10</v>
      </c>
      <c r="I17" s="193">
        <f t="shared" si="0"/>
        <v>1</v>
      </c>
      <c r="J17" s="194" t="str">
        <f t="shared" si="1"/>
        <v>Full Refresher</v>
      </c>
      <c r="K17" s="197"/>
      <c r="L17" s="198"/>
      <c r="M17" s="166" t="str">
        <f t="shared" si="2"/>
        <v/>
      </c>
      <c r="N17" s="173"/>
      <c r="O17" s="173"/>
      <c r="P17" s="166" t="str">
        <f t="shared" si="3"/>
        <v/>
      </c>
      <c r="Q17" s="213" t="str">
        <f t="shared" si="4"/>
        <v/>
      </c>
      <c r="R17" s="173"/>
      <c r="S17" s="173"/>
      <c r="T17" s="217"/>
      <c r="U17" s="215" t="str">
        <f t="shared" si="5"/>
        <v>Low Emerging Reader</v>
      </c>
      <c r="V17" s="218"/>
      <c r="Y17" s="219">
        <f t="shared" si="6"/>
        <v>0</v>
      </c>
    </row>
    <row r="18" spans="1:25">
      <c r="A18" s="165">
        <v>8</v>
      </c>
      <c r="B18" s="174"/>
      <c r="C18" s="257" t="s">
        <v>65</v>
      </c>
      <c r="D18" s="255" t="s">
        <v>9</v>
      </c>
      <c r="E18" s="256" t="s">
        <v>63</v>
      </c>
      <c r="F18" s="170">
        <v>3</v>
      </c>
      <c r="G18" s="171">
        <v>1</v>
      </c>
      <c r="H18" s="174"/>
      <c r="I18" s="193">
        <f t="shared" si="0"/>
        <v>4</v>
      </c>
      <c r="J18" s="194" t="str">
        <f t="shared" si="1"/>
        <v>Full Refresher</v>
      </c>
      <c r="K18" s="195"/>
      <c r="L18" s="196"/>
      <c r="M18" s="166" t="str">
        <f t="shared" si="2"/>
        <v/>
      </c>
      <c r="N18" s="174"/>
      <c r="O18" s="174"/>
      <c r="P18" s="166" t="str">
        <f t="shared" si="3"/>
        <v/>
      </c>
      <c r="Q18" s="213" t="str">
        <f t="shared" si="4"/>
        <v/>
      </c>
      <c r="R18" s="174"/>
      <c r="S18" s="174"/>
      <c r="T18" s="214"/>
      <c r="U18" s="215" t="str">
        <f t="shared" si="5"/>
        <v>Low Emerging Reader</v>
      </c>
      <c r="V18" s="216"/>
      <c r="Y18" s="219">
        <f t="shared" si="6"/>
        <v>0</v>
      </c>
    </row>
    <row r="19" spans="1:25">
      <c r="A19" s="57">
        <v>9</v>
      </c>
      <c r="B19" s="173"/>
      <c r="C19" s="258" t="s">
        <v>66</v>
      </c>
      <c r="D19" s="255" t="s">
        <v>9</v>
      </c>
      <c r="E19" s="256" t="s">
        <v>63</v>
      </c>
      <c r="F19" s="172">
        <v>8</v>
      </c>
      <c r="G19" s="164"/>
      <c r="H19" s="173">
        <v>8</v>
      </c>
      <c r="I19" s="193">
        <f t="shared" si="0"/>
        <v>26</v>
      </c>
      <c r="J19" s="194" t="str">
        <f t="shared" si="1"/>
        <v>Light Refresher</v>
      </c>
      <c r="K19" s="197">
        <v>2</v>
      </c>
      <c r="L19" s="198">
        <v>57</v>
      </c>
      <c r="M19" s="166">
        <f t="shared" si="2"/>
        <v>37</v>
      </c>
      <c r="N19" s="173">
        <v>2</v>
      </c>
      <c r="O19" s="173">
        <v>0</v>
      </c>
      <c r="P19" s="166">
        <f t="shared" si="3"/>
        <v>18.5</v>
      </c>
      <c r="Q19" s="213">
        <f t="shared" si="4"/>
        <v>0.39361702127659576</v>
      </c>
      <c r="R19" s="173">
        <v>2</v>
      </c>
      <c r="S19" s="173"/>
      <c r="T19" s="217" t="s">
        <v>61</v>
      </c>
      <c r="U19" s="215" t="str">
        <f t="shared" si="5"/>
        <v>Developing Reader</v>
      </c>
      <c r="V19" s="218"/>
      <c r="Y19" s="219">
        <f t="shared" si="6"/>
        <v>0.33333333333333331</v>
      </c>
    </row>
    <row r="20" spans="1:25">
      <c r="A20" s="165">
        <v>10</v>
      </c>
      <c r="B20" s="174"/>
      <c r="C20" s="257" t="s">
        <v>67</v>
      </c>
      <c r="D20" s="255" t="s">
        <v>9</v>
      </c>
      <c r="E20" s="256" t="s">
        <v>63</v>
      </c>
      <c r="F20" s="170">
        <v>6</v>
      </c>
      <c r="G20" s="171">
        <v>3</v>
      </c>
      <c r="H20" s="174"/>
      <c r="I20" s="193">
        <f t="shared" si="0"/>
        <v>9</v>
      </c>
      <c r="J20" s="194" t="str">
        <f t="shared" si="1"/>
        <v>Full Refresher</v>
      </c>
      <c r="K20" s="195"/>
      <c r="L20" s="196"/>
      <c r="M20" s="166" t="str">
        <f t="shared" si="2"/>
        <v/>
      </c>
      <c r="N20" s="174"/>
      <c r="O20" s="174"/>
      <c r="P20" s="166" t="str">
        <f t="shared" si="3"/>
        <v/>
      </c>
      <c r="Q20" s="213" t="str">
        <f t="shared" si="4"/>
        <v/>
      </c>
      <c r="R20" s="174"/>
      <c r="S20" s="174"/>
      <c r="T20" s="214"/>
      <c r="U20" s="215" t="str">
        <f t="shared" si="5"/>
        <v>Low Emerging Reader</v>
      </c>
      <c r="V20" s="216"/>
      <c r="Y20" s="219">
        <f t="shared" si="6"/>
        <v>0</v>
      </c>
    </row>
    <row r="21" spans="1:25">
      <c r="A21" s="57">
        <v>11</v>
      </c>
      <c r="B21" s="173"/>
      <c r="C21" s="258" t="s">
        <v>68</v>
      </c>
      <c r="D21" s="255" t="s">
        <v>9</v>
      </c>
      <c r="E21" s="256" t="s">
        <v>63</v>
      </c>
      <c r="F21" s="172">
        <v>8</v>
      </c>
      <c r="G21" s="164"/>
      <c r="H21" s="173">
        <v>5</v>
      </c>
      <c r="I21" s="193">
        <f t="shared" si="0"/>
        <v>23</v>
      </c>
      <c r="J21" s="194" t="str">
        <f t="shared" si="1"/>
        <v>Light Refresher</v>
      </c>
      <c r="K21" s="197">
        <v>2</v>
      </c>
      <c r="L21" s="198">
        <v>65</v>
      </c>
      <c r="M21" s="166">
        <f t="shared" si="2"/>
        <v>29</v>
      </c>
      <c r="N21" s="173">
        <v>2</v>
      </c>
      <c r="O21" s="173">
        <v>0</v>
      </c>
      <c r="P21" s="166">
        <f t="shared" si="3"/>
        <v>14.5</v>
      </c>
      <c r="Q21" s="213">
        <f t="shared" si="4"/>
        <v>0.30851063829787234</v>
      </c>
      <c r="R21" s="173">
        <v>2</v>
      </c>
      <c r="S21" s="173"/>
      <c r="T21" s="217" t="s">
        <v>61</v>
      </c>
      <c r="U21" s="215" t="str">
        <f t="shared" si="5"/>
        <v>Developing Reader</v>
      </c>
      <c r="V21" s="218"/>
      <c r="Y21" s="219">
        <f t="shared" si="6"/>
        <v>0.33333333333333331</v>
      </c>
    </row>
    <row r="22" spans="1:25">
      <c r="A22" s="165">
        <v>12</v>
      </c>
      <c r="B22" s="174"/>
      <c r="C22" s="257" t="s">
        <v>69</v>
      </c>
      <c r="D22" s="259" t="s">
        <v>9</v>
      </c>
      <c r="E22" s="256" t="s">
        <v>70</v>
      </c>
      <c r="F22" s="170">
        <v>7</v>
      </c>
      <c r="G22" s="171"/>
      <c r="H22" s="174">
        <v>6</v>
      </c>
      <c r="I22" s="193">
        <f t="shared" si="0"/>
        <v>23</v>
      </c>
      <c r="J22" s="194" t="str">
        <f t="shared" si="1"/>
        <v>Light Refresher</v>
      </c>
      <c r="K22" s="195">
        <v>2</v>
      </c>
      <c r="L22" s="196">
        <v>68</v>
      </c>
      <c r="M22" s="166">
        <f t="shared" si="2"/>
        <v>26</v>
      </c>
      <c r="N22" s="174">
        <v>2</v>
      </c>
      <c r="O22" s="174">
        <v>0</v>
      </c>
      <c r="P22" s="166">
        <f t="shared" si="3"/>
        <v>13</v>
      </c>
      <c r="Q22" s="213">
        <f t="shared" si="4"/>
        <v>0.27659574468085107</v>
      </c>
      <c r="R22" s="174">
        <v>2</v>
      </c>
      <c r="S22" s="174"/>
      <c r="T22" s="214" t="s">
        <v>61</v>
      </c>
      <c r="U22" s="215" t="str">
        <f t="shared" si="5"/>
        <v>Developing Reader</v>
      </c>
      <c r="V22" s="216"/>
      <c r="Y22" s="219">
        <f t="shared" si="6"/>
        <v>0.33333333333333331</v>
      </c>
    </row>
    <row r="23" spans="1:25">
      <c r="A23" s="57">
        <v>13</v>
      </c>
      <c r="B23" s="173"/>
      <c r="C23" s="258" t="s">
        <v>71</v>
      </c>
      <c r="D23" s="259" t="s">
        <v>9</v>
      </c>
      <c r="E23" s="256" t="s">
        <v>70</v>
      </c>
      <c r="F23" s="172">
        <v>6</v>
      </c>
      <c r="G23" s="164">
        <v>3</v>
      </c>
      <c r="H23" s="173">
        <v>10</v>
      </c>
      <c r="I23" s="193">
        <f t="shared" si="0"/>
        <v>9</v>
      </c>
      <c r="J23" s="194" t="str">
        <f t="shared" si="1"/>
        <v>Full Refresher</v>
      </c>
      <c r="K23" s="197"/>
      <c r="L23" s="198"/>
      <c r="M23" s="166" t="str">
        <f t="shared" si="2"/>
        <v/>
      </c>
      <c r="N23" s="173"/>
      <c r="O23" s="173"/>
      <c r="P23" s="166" t="str">
        <f t="shared" si="3"/>
        <v/>
      </c>
      <c r="Q23" s="213" t="str">
        <f t="shared" si="4"/>
        <v/>
      </c>
      <c r="R23" s="173"/>
      <c r="S23" s="173"/>
      <c r="T23" s="217"/>
      <c r="U23" s="215" t="str">
        <f t="shared" si="5"/>
        <v>Low Emerging Reader</v>
      </c>
      <c r="V23" s="218"/>
      <c r="Y23" s="219">
        <f t="shared" si="6"/>
        <v>0</v>
      </c>
    </row>
    <row r="24" spans="1:25">
      <c r="A24" s="165">
        <v>14</v>
      </c>
      <c r="B24" s="174"/>
      <c r="C24" s="257" t="s">
        <v>72</v>
      </c>
      <c r="D24" s="259" t="s">
        <v>9</v>
      </c>
      <c r="E24" s="256" t="s">
        <v>70</v>
      </c>
      <c r="F24" s="170">
        <v>8</v>
      </c>
      <c r="G24" s="171"/>
      <c r="H24" s="174">
        <v>9</v>
      </c>
      <c r="I24" s="193">
        <f t="shared" si="0"/>
        <v>27</v>
      </c>
      <c r="J24" s="194" t="str">
        <f t="shared" si="1"/>
        <v>Grade Ready</v>
      </c>
      <c r="K24" s="195">
        <v>2</v>
      </c>
      <c r="L24" s="196">
        <v>54</v>
      </c>
      <c r="M24" s="166">
        <f t="shared" si="2"/>
        <v>40</v>
      </c>
      <c r="N24" s="174">
        <v>2</v>
      </c>
      <c r="O24" s="174">
        <v>0</v>
      </c>
      <c r="P24" s="166">
        <f t="shared" si="3"/>
        <v>20</v>
      </c>
      <c r="Q24" s="213">
        <f t="shared" si="4"/>
        <v>0.42553191489361702</v>
      </c>
      <c r="R24" s="174">
        <v>2</v>
      </c>
      <c r="S24" s="174"/>
      <c r="T24" s="214" t="s">
        <v>61</v>
      </c>
      <c r="U24" s="215" t="str">
        <f t="shared" si="5"/>
        <v>Developing Reader</v>
      </c>
      <c r="V24" s="216"/>
      <c r="Y24" s="219">
        <f t="shared" si="6"/>
        <v>0.33333333333333331</v>
      </c>
    </row>
    <row r="25" spans="1:25">
      <c r="A25" s="57">
        <v>15</v>
      </c>
      <c r="B25" s="173"/>
      <c r="C25" s="258" t="s">
        <v>73</v>
      </c>
      <c r="D25" s="259" t="s">
        <v>9</v>
      </c>
      <c r="E25" s="256" t="s">
        <v>70</v>
      </c>
      <c r="F25" s="172">
        <v>7</v>
      </c>
      <c r="G25" s="164"/>
      <c r="H25" s="173">
        <v>6</v>
      </c>
      <c r="I25" s="193">
        <f t="shared" si="0"/>
        <v>23</v>
      </c>
      <c r="J25" s="194" t="str">
        <f t="shared" si="1"/>
        <v>Light Refresher</v>
      </c>
      <c r="K25" s="197">
        <v>2</v>
      </c>
      <c r="L25" s="198">
        <v>73</v>
      </c>
      <c r="M25" s="166">
        <f t="shared" si="2"/>
        <v>21</v>
      </c>
      <c r="N25" s="173">
        <v>2</v>
      </c>
      <c r="O25" s="173">
        <v>0</v>
      </c>
      <c r="P25" s="166">
        <f t="shared" si="3"/>
        <v>10.5</v>
      </c>
      <c r="Q25" s="213">
        <f t="shared" si="4"/>
        <v>0.22340425531914893</v>
      </c>
      <c r="R25" s="173">
        <v>1</v>
      </c>
      <c r="S25" s="173"/>
      <c r="T25" s="217" t="s">
        <v>56</v>
      </c>
      <c r="U25" s="215" t="str">
        <f t="shared" si="5"/>
        <v>High Emerging Reader</v>
      </c>
      <c r="V25" s="218"/>
      <c r="Y25" s="219">
        <f t="shared" si="6"/>
        <v>0.16666666666666666</v>
      </c>
    </row>
    <row r="26" spans="1:25">
      <c r="A26" s="165">
        <v>16</v>
      </c>
      <c r="B26" s="174"/>
      <c r="C26" s="257"/>
      <c r="D26" s="259"/>
      <c r="E26" s="256"/>
      <c r="F26" s="170"/>
      <c r="G26" s="171"/>
      <c r="H26" s="174">
        <v>9</v>
      </c>
      <c r="I26" s="193" t="str">
        <f t="shared" si="0"/>
        <v/>
      </c>
      <c r="J26" s="194" t="str">
        <f t="shared" si="1"/>
        <v/>
      </c>
      <c r="K26" s="195"/>
      <c r="L26" s="196"/>
      <c r="M26" s="166" t="str">
        <f t="shared" si="2"/>
        <v/>
      </c>
      <c r="N26" s="174"/>
      <c r="O26" s="174"/>
      <c r="P26" s="166" t="str">
        <f t="shared" si="3"/>
        <v/>
      </c>
      <c r="Q26" s="213" t="str">
        <f t="shared" si="4"/>
        <v/>
      </c>
      <c r="R26" s="174"/>
      <c r="S26" s="174"/>
      <c r="T26" s="214"/>
      <c r="U26" s="215" t="str">
        <f t="shared" si="5"/>
        <v/>
      </c>
      <c r="V26" s="216"/>
      <c r="Y26" s="219" t="str">
        <f t="shared" si="6"/>
        <v/>
      </c>
    </row>
    <row r="27" spans="1:25">
      <c r="A27" s="57">
        <v>17</v>
      </c>
      <c r="B27" s="173"/>
      <c r="C27" s="258"/>
      <c r="D27" s="259"/>
      <c r="E27" s="256"/>
      <c r="F27" s="172"/>
      <c r="G27" s="164"/>
      <c r="H27" s="173">
        <v>10</v>
      </c>
      <c r="I27" s="193" t="str">
        <f t="shared" si="0"/>
        <v/>
      </c>
      <c r="J27" s="194" t="str">
        <f t="shared" si="1"/>
        <v/>
      </c>
      <c r="K27" s="197"/>
      <c r="L27" s="198"/>
      <c r="M27" s="166" t="str">
        <f t="shared" si="2"/>
        <v/>
      </c>
      <c r="N27" s="173"/>
      <c r="O27" s="173"/>
      <c r="P27" s="166" t="str">
        <f t="shared" si="3"/>
        <v/>
      </c>
      <c r="Q27" s="213" t="str">
        <f t="shared" si="4"/>
        <v/>
      </c>
      <c r="R27" s="173"/>
      <c r="S27" s="173"/>
      <c r="T27" s="217"/>
      <c r="U27" s="215" t="str">
        <f t="shared" si="5"/>
        <v/>
      </c>
      <c r="V27" s="218"/>
      <c r="Y27" s="219" t="str">
        <f t="shared" si="6"/>
        <v/>
      </c>
    </row>
    <row r="28" spans="1:25">
      <c r="A28" s="165">
        <v>18</v>
      </c>
      <c r="B28" s="174"/>
      <c r="C28" s="257"/>
      <c r="D28" s="259"/>
      <c r="E28" s="256"/>
      <c r="F28" s="170"/>
      <c r="G28" s="171"/>
      <c r="H28" s="174">
        <v>10</v>
      </c>
      <c r="I28" s="193" t="str">
        <f t="shared" si="0"/>
        <v/>
      </c>
      <c r="J28" s="194" t="str">
        <f t="shared" si="1"/>
        <v/>
      </c>
      <c r="K28" s="195"/>
      <c r="L28" s="196"/>
      <c r="M28" s="166" t="str">
        <f t="shared" si="2"/>
        <v/>
      </c>
      <c r="N28" s="174"/>
      <c r="O28" s="174"/>
      <c r="P28" s="166" t="str">
        <f t="shared" si="3"/>
        <v/>
      </c>
      <c r="Q28" s="213" t="str">
        <f t="shared" si="4"/>
        <v/>
      </c>
      <c r="R28" s="174"/>
      <c r="S28" s="174"/>
      <c r="T28" s="214"/>
      <c r="U28" s="215" t="str">
        <f t="shared" si="5"/>
        <v/>
      </c>
      <c r="V28" s="216"/>
      <c r="Y28" s="219" t="str">
        <f t="shared" si="6"/>
        <v/>
      </c>
    </row>
    <row r="29" spans="1:25">
      <c r="A29" s="57">
        <v>19</v>
      </c>
      <c r="B29" s="173"/>
      <c r="C29" s="258"/>
      <c r="D29" s="259"/>
      <c r="E29" s="256"/>
      <c r="F29" s="176"/>
      <c r="G29" s="164"/>
      <c r="H29" s="173">
        <v>8</v>
      </c>
      <c r="I29" s="193" t="str">
        <f t="shared" si="0"/>
        <v/>
      </c>
      <c r="J29" s="194" t="str">
        <f t="shared" si="1"/>
        <v/>
      </c>
      <c r="K29" s="197"/>
      <c r="L29" s="198"/>
      <c r="M29" s="166" t="str">
        <f t="shared" si="2"/>
        <v/>
      </c>
      <c r="N29" s="173"/>
      <c r="O29" s="173"/>
      <c r="P29" s="166" t="str">
        <f t="shared" si="3"/>
        <v/>
      </c>
      <c r="Q29" s="213" t="str">
        <f t="shared" si="4"/>
        <v/>
      </c>
      <c r="R29" s="173"/>
      <c r="S29" s="173"/>
      <c r="T29" s="217"/>
      <c r="U29" s="215" t="str">
        <f t="shared" si="5"/>
        <v/>
      </c>
      <c r="V29" s="218"/>
      <c r="Y29" s="219" t="str">
        <f t="shared" si="6"/>
        <v/>
      </c>
    </row>
    <row r="30" spans="1:25">
      <c r="A30" s="165">
        <v>20</v>
      </c>
      <c r="B30" s="174"/>
      <c r="C30" s="257"/>
      <c r="D30" s="259"/>
      <c r="E30" s="256"/>
      <c r="F30" s="177"/>
      <c r="G30" s="171"/>
      <c r="H30" s="174">
        <v>9</v>
      </c>
      <c r="I30" s="193" t="str">
        <f t="shared" si="0"/>
        <v/>
      </c>
      <c r="J30" s="194" t="str">
        <f t="shared" si="1"/>
        <v/>
      </c>
      <c r="K30" s="195"/>
      <c r="L30" s="196"/>
      <c r="M30" s="166" t="str">
        <f t="shared" si="2"/>
        <v/>
      </c>
      <c r="N30" s="174"/>
      <c r="O30" s="174"/>
      <c r="P30" s="166" t="str">
        <f t="shared" si="3"/>
        <v/>
      </c>
      <c r="Q30" s="213" t="str">
        <f t="shared" si="4"/>
        <v/>
      </c>
      <c r="R30" s="174"/>
      <c r="S30" s="174"/>
      <c r="T30" s="214"/>
      <c r="U30" s="215" t="str">
        <f t="shared" si="5"/>
        <v/>
      </c>
      <c r="V30" s="216"/>
      <c r="Y30" s="219" t="str">
        <f t="shared" si="6"/>
        <v/>
      </c>
    </row>
    <row r="31" spans="1:25">
      <c r="A31" s="57">
        <v>21</v>
      </c>
      <c r="B31" s="173"/>
      <c r="C31" s="258"/>
      <c r="D31" s="259"/>
      <c r="E31" s="256"/>
      <c r="F31" s="176"/>
      <c r="G31" s="164"/>
      <c r="H31" s="173">
        <v>7</v>
      </c>
      <c r="I31" s="193" t="str">
        <f t="shared" si="0"/>
        <v/>
      </c>
      <c r="J31" s="194" t="str">
        <f t="shared" si="1"/>
        <v/>
      </c>
      <c r="K31" s="197"/>
      <c r="L31" s="198"/>
      <c r="M31" s="166" t="str">
        <f t="shared" si="2"/>
        <v/>
      </c>
      <c r="N31" s="173"/>
      <c r="O31" s="173"/>
      <c r="P31" s="166" t="str">
        <f t="shared" si="3"/>
        <v/>
      </c>
      <c r="Q31" s="213" t="str">
        <f t="shared" si="4"/>
        <v/>
      </c>
      <c r="R31" s="173"/>
      <c r="S31" s="173"/>
      <c r="T31" s="217"/>
      <c r="U31" s="215" t="str">
        <f t="shared" si="5"/>
        <v/>
      </c>
      <c r="V31" s="218"/>
      <c r="Y31" s="219" t="str">
        <f t="shared" si="6"/>
        <v/>
      </c>
    </row>
    <row r="32" spans="1:25">
      <c r="A32" s="165">
        <v>22</v>
      </c>
      <c r="B32" s="174"/>
      <c r="C32" s="257"/>
      <c r="D32" s="259"/>
      <c r="E32" s="256"/>
      <c r="F32" s="177"/>
      <c r="G32" s="171"/>
      <c r="H32" s="174">
        <v>8</v>
      </c>
      <c r="I32" s="193" t="str">
        <f t="shared" si="0"/>
        <v/>
      </c>
      <c r="J32" s="194" t="str">
        <f t="shared" si="1"/>
        <v/>
      </c>
      <c r="K32" s="195"/>
      <c r="L32" s="196"/>
      <c r="M32" s="166" t="str">
        <f t="shared" si="2"/>
        <v/>
      </c>
      <c r="N32" s="174"/>
      <c r="O32" s="174"/>
      <c r="P32" s="166" t="str">
        <f t="shared" si="3"/>
        <v/>
      </c>
      <c r="Q32" s="213" t="str">
        <f t="shared" si="4"/>
        <v/>
      </c>
      <c r="R32" s="174"/>
      <c r="S32" s="174"/>
      <c r="T32" s="214"/>
      <c r="U32" s="215" t="str">
        <f t="shared" si="5"/>
        <v/>
      </c>
      <c r="V32" s="216"/>
      <c r="Y32" s="219" t="str">
        <f t="shared" si="6"/>
        <v/>
      </c>
    </row>
    <row r="33" spans="1:25">
      <c r="A33" s="57">
        <v>23</v>
      </c>
      <c r="B33" s="173"/>
      <c r="C33" s="258"/>
      <c r="D33" s="259"/>
      <c r="E33" s="256"/>
      <c r="F33" s="176"/>
      <c r="G33" s="164"/>
      <c r="H33" s="173">
        <v>9</v>
      </c>
      <c r="I33" s="193" t="str">
        <f t="shared" si="0"/>
        <v/>
      </c>
      <c r="J33" s="194" t="str">
        <f t="shared" si="1"/>
        <v/>
      </c>
      <c r="K33" s="197"/>
      <c r="L33" s="198"/>
      <c r="M33" s="166" t="str">
        <f t="shared" si="2"/>
        <v/>
      </c>
      <c r="N33" s="173"/>
      <c r="O33" s="173"/>
      <c r="P33" s="166" t="str">
        <f t="shared" si="3"/>
        <v/>
      </c>
      <c r="Q33" s="213" t="str">
        <f t="shared" si="4"/>
        <v/>
      </c>
      <c r="R33" s="173"/>
      <c r="S33" s="173"/>
      <c r="T33" s="217"/>
      <c r="U33" s="215" t="str">
        <f t="shared" si="5"/>
        <v/>
      </c>
      <c r="V33" s="218"/>
      <c r="Y33" s="219" t="str">
        <f t="shared" si="6"/>
        <v/>
      </c>
    </row>
    <row r="34" spans="1:25">
      <c r="A34" s="165">
        <v>24</v>
      </c>
      <c r="B34" s="174"/>
      <c r="C34" s="257"/>
      <c r="D34" s="259"/>
      <c r="E34" s="256"/>
      <c r="F34" s="177"/>
      <c r="G34" s="171"/>
      <c r="H34" s="174">
        <v>10</v>
      </c>
      <c r="I34" s="193" t="str">
        <f t="shared" si="0"/>
        <v/>
      </c>
      <c r="J34" s="194" t="str">
        <f t="shared" si="1"/>
        <v/>
      </c>
      <c r="K34" s="195"/>
      <c r="L34" s="196"/>
      <c r="M34" s="166" t="str">
        <f t="shared" si="2"/>
        <v/>
      </c>
      <c r="N34" s="174"/>
      <c r="O34" s="174"/>
      <c r="P34" s="166" t="str">
        <f t="shared" si="3"/>
        <v/>
      </c>
      <c r="Q34" s="213" t="str">
        <f t="shared" si="4"/>
        <v/>
      </c>
      <c r="R34" s="174"/>
      <c r="S34" s="174"/>
      <c r="T34" s="214"/>
      <c r="U34" s="215" t="str">
        <f t="shared" si="5"/>
        <v/>
      </c>
      <c r="V34" s="216"/>
      <c r="Y34" s="219" t="str">
        <f t="shared" si="6"/>
        <v/>
      </c>
    </row>
    <row r="35" spans="1:25">
      <c r="A35" s="57">
        <v>25</v>
      </c>
      <c r="B35" s="173"/>
      <c r="C35" s="258"/>
      <c r="D35" s="259"/>
      <c r="E35" s="256"/>
      <c r="F35" s="176"/>
      <c r="G35" s="164"/>
      <c r="H35" s="173">
        <v>10</v>
      </c>
      <c r="I35" s="193" t="str">
        <f t="shared" si="0"/>
        <v/>
      </c>
      <c r="J35" s="194" t="str">
        <f t="shared" si="1"/>
        <v/>
      </c>
      <c r="K35" s="197"/>
      <c r="L35" s="198"/>
      <c r="M35" s="166" t="str">
        <f t="shared" si="2"/>
        <v/>
      </c>
      <c r="N35" s="173"/>
      <c r="O35" s="173"/>
      <c r="P35" s="166" t="str">
        <f t="shared" si="3"/>
        <v/>
      </c>
      <c r="Q35" s="213" t="str">
        <f t="shared" si="4"/>
        <v/>
      </c>
      <c r="R35" s="173"/>
      <c r="S35" s="173"/>
      <c r="T35" s="217"/>
      <c r="U35" s="215" t="str">
        <f t="shared" si="5"/>
        <v/>
      </c>
      <c r="V35" s="218"/>
      <c r="Y35" s="219" t="str">
        <f t="shared" si="6"/>
        <v/>
      </c>
    </row>
    <row r="36" spans="1:25">
      <c r="A36" s="165">
        <v>26</v>
      </c>
      <c r="B36" s="174"/>
      <c r="C36" s="257"/>
      <c r="D36" s="259"/>
      <c r="E36" s="260"/>
      <c r="F36" s="177"/>
      <c r="G36" s="171"/>
      <c r="H36" s="174"/>
      <c r="I36" s="193" t="str">
        <f t="shared" si="0"/>
        <v/>
      </c>
      <c r="J36" s="194" t="str">
        <f t="shared" si="1"/>
        <v/>
      </c>
      <c r="K36" s="195"/>
      <c r="L36" s="196"/>
      <c r="M36" s="166" t="str">
        <f t="shared" si="2"/>
        <v/>
      </c>
      <c r="N36" s="174"/>
      <c r="O36" s="174"/>
      <c r="P36" s="166" t="str">
        <f t="shared" si="3"/>
        <v/>
      </c>
      <c r="Q36" s="213" t="str">
        <f t="shared" si="4"/>
        <v/>
      </c>
      <c r="R36" s="174"/>
      <c r="S36" s="174"/>
      <c r="T36" s="214"/>
      <c r="U36" s="215" t="str">
        <f t="shared" si="5"/>
        <v/>
      </c>
      <c r="V36" s="216"/>
      <c r="Y36" s="219" t="str">
        <f t="shared" si="6"/>
        <v/>
      </c>
    </row>
    <row r="37" spans="1:25">
      <c r="A37" s="57">
        <v>27</v>
      </c>
      <c r="B37" s="173"/>
      <c r="C37" s="258"/>
      <c r="D37" s="261"/>
      <c r="E37" s="262"/>
      <c r="F37" s="172"/>
      <c r="G37" s="164"/>
      <c r="H37" s="173"/>
      <c r="I37" s="193" t="str">
        <f t="shared" si="0"/>
        <v/>
      </c>
      <c r="J37" s="194" t="str">
        <f t="shared" si="1"/>
        <v/>
      </c>
      <c r="K37" s="197"/>
      <c r="L37" s="198"/>
      <c r="M37" s="166" t="str">
        <f t="shared" si="2"/>
        <v/>
      </c>
      <c r="N37" s="173"/>
      <c r="O37" s="173"/>
      <c r="P37" s="166" t="str">
        <f t="shared" si="3"/>
        <v/>
      </c>
      <c r="Q37" s="213" t="str">
        <f t="shared" si="4"/>
        <v/>
      </c>
      <c r="R37" s="173"/>
      <c r="S37" s="173"/>
      <c r="T37" s="217"/>
      <c r="U37" s="215" t="str">
        <f t="shared" si="5"/>
        <v/>
      </c>
      <c r="V37" s="218"/>
      <c r="Y37" s="219" t="str">
        <f t="shared" si="6"/>
        <v/>
      </c>
    </row>
    <row r="38" spans="1:25">
      <c r="A38" s="165">
        <v>28</v>
      </c>
      <c r="B38" s="174"/>
      <c r="C38" s="257"/>
      <c r="D38" s="259"/>
      <c r="E38" s="260"/>
      <c r="F38" s="170"/>
      <c r="G38" s="171"/>
      <c r="H38" s="174"/>
      <c r="I38" s="193" t="str">
        <f t="shared" si="0"/>
        <v/>
      </c>
      <c r="J38" s="194" t="str">
        <f t="shared" si="1"/>
        <v/>
      </c>
      <c r="K38" s="195"/>
      <c r="L38" s="196"/>
      <c r="M38" s="166" t="str">
        <f t="shared" si="2"/>
        <v/>
      </c>
      <c r="N38" s="174"/>
      <c r="O38" s="174"/>
      <c r="P38" s="166" t="str">
        <f t="shared" si="3"/>
        <v/>
      </c>
      <c r="Q38" s="213" t="str">
        <f t="shared" si="4"/>
        <v/>
      </c>
      <c r="R38" s="174"/>
      <c r="S38" s="174"/>
      <c r="T38" s="214"/>
      <c r="U38" s="215" t="str">
        <f t="shared" si="5"/>
        <v/>
      </c>
      <c r="V38" s="216"/>
      <c r="Y38" s="219" t="str">
        <f t="shared" si="6"/>
        <v/>
      </c>
    </row>
    <row r="39" spans="1:25">
      <c r="A39" s="57">
        <v>29</v>
      </c>
      <c r="B39" s="173"/>
      <c r="C39" s="258"/>
      <c r="D39" s="261"/>
      <c r="E39" s="262"/>
      <c r="F39" s="172"/>
      <c r="G39" s="164"/>
      <c r="H39" s="173"/>
      <c r="I39" s="193" t="str">
        <f t="shared" si="0"/>
        <v/>
      </c>
      <c r="J39" s="194" t="str">
        <f t="shared" si="1"/>
        <v/>
      </c>
      <c r="K39" s="197"/>
      <c r="L39" s="198"/>
      <c r="M39" s="166" t="str">
        <f t="shared" si="2"/>
        <v/>
      </c>
      <c r="N39" s="173"/>
      <c r="O39" s="173"/>
      <c r="P39" s="166" t="str">
        <f t="shared" si="3"/>
        <v/>
      </c>
      <c r="Q39" s="213" t="str">
        <f t="shared" si="4"/>
        <v/>
      </c>
      <c r="R39" s="173"/>
      <c r="S39" s="173"/>
      <c r="T39" s="217"/>
      <c r="U39" s="215" t="str">
        <f t="shared" si="5"/>
        <v/>
      </c>
      <c r="V39" s="218"/>
      <c r="Y39" s="219" t="str">
        <f t="shared" si="6"/>
        <v/>
      </c>
    </row>
    <row r="40" spans="1:25">
      <c r="A40" s="165">
        <v>30</v>
      </c>
      <c r="B40" s="174"/>
      <c r="C40" s="257"/>
      <c r="D40" s="259"/>
      <c r="E40" s="260"/>
      <c r="F40" s="170"/>
      <c r="G40" s="171"/>
      <c r="H40" s="174"/>
      <c r="I40" s="193" t="str">
        <f t="shared" si="0"/>
        <v/>
      </c>
      <c r="J40" s="194" t="str">
        <f t="shared" si="1"/>
        <v/>
      </c>
      <c r="K40" s="195"/>
      <c r="L40" s="196"/>
      <c r="M40" s="166" t="str">
        <f t="shared" si="2"/>
        <v/>
      </c>
      <c r="N40" s="174"/>
      <c r="O40" s="174"/>
      <c r="P40" s="166" t="str">
        <f t="shared" si="3"/>
        <v/>
      </c>
      <c r="Q40" s="213" t="str">
        <f t="shared" si="4"/>
        <v/>
      </c>
      <c r="R40" s="174"/>
      <c r="S40" s="174"/>
      <c r="T40" s="214"/>
      <c r="U40" s="215" t="str">
        <f t="shared" si="5"/>
        <v/>
      </c>
      <c r="V40" s="216"/>
      <c r="Y40" s="219" t="str">
        <f t="shared" si="6"/>
        <v/>
      </c>
    </row>
    <row r="41" spans="1:25">
      <c r="A41" s="57">
        <v>31</v>
      </c>
      <c r="B41" s="173"/>
      <c r="C41" s="258"/>
      <c r="D41" s="261"/>
      <c r="E41" s="262"/>
      <c r="F41" s="172"/>
      <c r="G41" s="164"/>
      <c r="H41" s="173"/>
      <c r="I41" s="193" t="str">
        <f t="shared" si="0"/>
        <v/>
      </c>
      <c r="J41" s="194" t="str">
        <f t="shared" si="1"/>
        <v/>
      </c>
      <c r="K41" s="197"/>
      <c r="L41" s="198"/>
      <c r="M41" s="166" t="str">
        <f t="shared" si="2"/>
        <v/>
      </c>
      <c r="N41" s="173"/>
      <c r="O41" s="173"/>
      <c r="P41" s="166" t="str">
        <f t="shared" si="3"/>
        <v/>
      </c>
      <c r="Q41" s="213" t="str">
        <f t="shared" si="4"/>
        <v/>
      </c>
      <c r="R41" s="173"/>
      <c r="S41" s="173"/>
      <c r="T41" s="217"/>
      <c r="U41" s="215" t="str">
        <f t="shared" si="5"/>
        <v/>
      </c>
      <c r="V41" s="218"/>
      <c r="Y41" s="219" t="str">
        <f t="shared" si="6"/>
        <v/>
      </c>
    </row>
    <row r="42" spans="1:25">
      <c r="A42" s="165">
        <v>32</v>
      </c>
      <c r="B42" s="174"/>
      <c r="C42" s="257"/>
      <c r="D42" s="259"/>
      <c r="E42" s="260"/>
      <c r="F42" s="170"/>
      <c r="G42" s="171"/>
      <c r="H42" s="174"/>
      <c r="I42" s="193" t="str">
        <f t="shared" si="0"/>
        <v/>
      </c>
      <c r="J42" s="194" t="str">
        <f t="shared" si="1"/>
        <v/>
      </c>
      <c r="K42" s="195"/>
      <c r="L42" s="196"/>
      <c r="M42" s="166" t="str">
        <f t="shared" si="2"/>
        <v/>
      </c>
      <c r="N42" s="174"/>
      <c r="O42" s="174"/>
      <c r="P42" s="166" t="str">
        <f t="shared" si="3"/>
        <v/>
      </c>
      <c r="Q42" s="213" t="str">
        <f t="shared" si="4"/>
        <v/>
      </c>
      <c r="R42" s="174"/>
      <c r="S42" s="174"/>
      <c r="T42" s="214"/>
      <c r="U42" s="215" t="str">
        <f t="shared" si="5"/>
        <v/>
      </c>
      <c r="V42" s="216"/>
      <c r="Y42" s="219" t="str">
        <f t="shared" si="6"/>
        <v/>
      </c>
    </row>
    <row r="43" spans="1:25">
      <c r="A43" s="57">
        <v>33</v>
      </c>
      <c r="B43" s="173"/>
      <c r="C43" s="258"/>
      <c r="D43" s="261"/>
      <c r="E43" s="262"/>
      <c r="F43" s="172"/>
      <c r="G43" s="164"/>
      <c r="H43" s="173"/>
      <c r="I43" s="193" t="str">
        <f t="shared" si="0"/>
        <v/>
      </c>
      <c r="J43" s="194" t="str">
        <f t="shared" si="1"/>
        <v/>
      </c>
      <c r="K43" s="197"/>
      <c r="L43" s="198"/>
      <c r="M43" s="166" t="str">
        <f t="shared" si="2"/>
        <v/>
      </c>
      <c r="N43" s="173"/>
      <c r="O43" s="173"/>
      <c r="P43" s="166" t="str">
        <f t="shared" si="3"/>
        <v/>
      </c>
      <c r="Q43" s="213" t="str">
        <f t="shared" si="4"/>
        <v/>
      </c>
      <c r="R43" s="173"/>
      <c r="S43" s="173"/>
      <c r="T43" s="217"/>
      <c r="U43" s="215" t="str">
        <f t="shared" si="5"/>
        <v/>
      </c>
      <c r="V43" s="218"/>
      <c r="Y43" s="219" t="str">
        <f t="shared" si="6"/>
        <v/>
      </c>
    </row>
    <row r="44" spans="1:25">
      <c r="A44" s="165">
        <v>34</v>
      </c>
      <c r="B44" s="174"/>
      <c r="C44" s="257"/>
      <c r="D44" s="259"/>
      <c r="E44" s="260"/>
      <c r="F44" s="170"/>
      <c r="G44" s="171"/>
      <c r="H44" s="174"/>
      <c r="I44" s="193" t="str">
        <f t="shared" si="0"/>
        <v/>
      </c>
      <c r="J44" s="194" t="str">
        <f t="shared" si="1"/>
        <v/>
      </c>
      <c r="K44" s="195"/>
      <c r="L44" s="196"/>
      <c r="M44" s="166" t="str">
        <f t="shared" si="2"/>
        <v/>
      </c>
      <c r="N44" s="174"/>
      <c r="O44" s="174"/>
      <c r="P44" s="166" t="str">
        <f t="shared" si="3"/>
        <v/>
      </c>
      <c r="Q44" s="213" t="str">
        <f t="shared" si="4"/>
        <v/>
      </c>
      <c r="R44" s="174"/>
      <c r="S44" s="174"/>
      <c r="T44" s="214"/>
      <c r="U44" s="215" t="str">
        <f t="shared" si="5"/>
        <v/>
      </c>
      <c r="V44" s="216"/>
      <c r="Y44" s="219" t="str">
        <f t="shared" si="6"/>
        <v/>
      </c>
    </row>
    <row r="45" spans="1:25">
      <c r="A45" s="57">
        <v>35</v>
      </c>
      <c r="B45" s="173"/>
      <c r="C45" s="258"/>
      <c r="D45" s="261"/>
      <c r="E45" s="262"/>
      <c r="F45" s="172"/>
      <c r="G45" s="164"/>
      <c r="H45" s="173"/>
      <c r="I45" s="193" t="str">
        <f t="shared" si="0"/>
        <v/>
      </c>
      <c r="J45" s="194" t="str">
        <f t="shared" si="1"/>
        <v/>
      </c>
      <c r="K45" s="197"/>
      <c r="L45" s="198"/>
      <c r="M45" s="166" t="str">
        <f t="shared" si="2"/>
        <v/>
      </c>
      <c r="N45" s="173"/>
      <c r="O45" s="173"/>
      <c r="P45" s="166" t="str">
        <f t="shared" si="3"/>
        <v/>
      </c>
      <c r="Q45" s="213" t="str">
        <f t="shared" si="4"/>
        <v/>
      </c>
      <c r="R45" s="173"/>
      <c r="S45" s="173"/>
      <c r="T45" s="217"/>
      <c r="U45" s="215" t="str">
        <f t="shared" si="5"/>
        <v/>
      </c>
      <c r="V45" s="218"/>
      <c r="Y45" s="219" t="str">
        <f t="shared" si="6"/>
        <v/>
      </c>
    </row>
    <row r="46" spans="1:25">
      <c r="A46" s="165">
        <v>36</v>
      </c>
      <c r="B46" s="174"/>
      <c r="C46" s="257"/>
      <c r="D46" s="259"/>
      <c r="E46" s="260"/>
      <c r="F46" s="170"/>
      <c r="G46" s="171"/>
      <c r="H46" s="174"/>
      <c r="I46" s="193" t="str">
        <f t="shared" si="0"/>
        <v/>
      </c>
      <c r="J46" s="194" t="str">
        <f t="shared" si="1"/>
        <v/>
      </c>
      <c r="K46" s="195"/>
      <c r="L46" s="196"/>
      <c r="M46" s="166" t="str">
        <f t="shared" si="2"/>
        <v/>
      </c>
      <c r="N46" s="174"/>
      <c r="O46" s="174"/>
      <c r="P46" s="166" t="str">
        <f t="shared" si="3"/>
        <v/>
      </c>
      <c r="Q46" s="213" t="str">
        <f t="shared" si="4"/>
        <v/>
      </c>
      <c r="R46" s="174"/>
      <c r="S46" s="174"/>
      <c r="T46" s="214"/>
      <c r="U46" s="215" t="str">
        <f t="shared" si="5"/>
        <v/>
      </c>
      <c r="V46" s="216"/>
      <c r="Y46" s="219" t="str">
        <f t="shared" si="6"/>
        <v/>
      </c>
    </row>
    <row r="47" spans="1:25">
      <c r="A47" s="57">
        <v>37</v>
      </c>
      <c r="B47" s="173"/>
      <c r="C47" s="258"/>
      <c r="D47" s="261"/>
      <c r="E47" s="262"/>
      <c r="F47" s="172"/>
      <c r="G47" s="164"/>
      <c r="H47" s="173"/>
      <c r="I47" s="193" t="str">
        <f t="shared" si="0"/>
        <v/>
      </c>
      <c r="J47" s="194" t="str">
        <f t="shared" si="1"/>
        <v/>
      </c>
      <c r="K47" s="197"/>
      <c r="L47" s="198"/>
      <c r="M47" s="166" t="str">
        <f t="shared" si="2"/>
        <v/>
      </c>
      <c r="N47" s="173"/>
      <c r="O47" s="173"/>
      <c r="P47" s="166" t="str">
        <f t="shared" si="3"/>
        <v/>
      </c>
      <c r="Q47" s="213" t="str">
        <f t="shared" si="4"/>
        <v/>
      </c>
      <c r="R47" s="173"/>
      <c r="S47" s="173"/>
      <c r="T47" s="217"/>
      <c r="U47" s="215" t="str">
        <f t="shared" si="5"/>
        <v/>
      </c>
      <c r="V47" s="218"/>
      <c r="Y47" s="219" t="str">
        <f t="shared" si="6"/>
        <v/>
      </c>
    </row>
    <row r="48" spans="1:25">
      <c r="A48" s="165">
        <v>38</v>
      </c>
      <c r="B48" s="174"/>
      <c r="C48" s="257"/>
      <c r="D48" s="259"/>
      <c r="E48" s="260"/>
      <c r="F48" s="170"/>
      <c r="G48" s="171"/>
      <c r="H48" s="174"/>
      <c r="I48" s="193" t="str">
        <f t="shared" si="0"/>
        <v/>
      </c>
      <c r="J48" s="194" t="str">
        <f t="shared" si="1"/>
        <v/>
      </c>
      <c r="K48" s="195"/>
      <c r="L48" s="196"/>
      <c r="M48" s="166" t="str">
        <f t="shared" si="2"/>
        <v/>
      </c>
      <c r="N48" s="174"/>
      <c r="O48" s="174"/>
      <c r="P48" s="166" t="str">
        <f t="shared" si="3"/>
        <v/>
      </c>
      <c r="Q48" s="213" t="str">
        <f t="shared" si="4"/>
        <v/>
      </c>
      <c r="R48" s="174"/>
      <c r="S48" s="174"/>
      <c r="T48" s="214"/>
      <c r="U48" s="215" t="str">
        <f t="shared" si="5"/>
        <v/>
      </c>
      <c r="V48" s="216"/>
      <c r="Y48" s="219" t="str">
        <f t="shared" si="6"/>
        <v/>
      </c>
    </row>
    <row r="49" spans="1:25">
      <c r="A49" s="57">
        <v>39</v>
      </c>
      <c r="B49" s="173"/>
      <c r="C49" s="258"/>
      <c r="D49" s="261"/>
      <c r="E49" s="262"/>
      <c r="F49" s="172"/>
      <c r="G49" s="164"/>
      <c r="H49" s="173"/>
      <c r="I49" s="193" t="str">
        <f t="shared" si="0"/>
        <v/>
      </c>
      <c r="J49" s="194" t="str">
        <f t="shared" si="1"/>
        <v/>
      </c>
      <c r="K49" s="197"/>
      <c r="L49" s="198"/>
      <c r="M49" s="166" t="str">
        <f t="shared" si="2"/>
        <v/>
      </c>
      <c r="N49" s="173"/>
      <c r="O49" s="173"/>
      <c r="P49" s="166" t="str">
        <f t="shared" si="3"/>
        <v/>
      </c>
      <c r="Q49" s="213" t="str">
        <f t="shared" si="4"/>
        <v/>
      </c>
      <c r="R49" s="173"/>
      <c r="S49" s="173"/>
      <c r="T49" s="217"/>
      <c r="U49" s="215" t="str">
        <f t="shared" si="5"/>
        <v/>
      </c>
      <c r="V49" s="218"/>
      <c r="Y49" s="219" t="str">
        <f t="shared" si="6"/>
        <v/>
      </c>
    </row>
    <row r="50" spans="1:25">
      <c r="A50" s="165">
        <v>40</v>
      </c>
      <c r="B50" s="174"/>
      <c r="C50" s="257"/>
      <c r="D50" s="259"/>
      <c r="E50" s="260"/>
      <c r="F50" s="170"/>
      <c r="G50" s="171"/>
      <c r="H50" s="174"/>
      <c r="I50" s="193" t="str">
        <f t="shared" si="0"/>
        <v/>
      </c>
      <c r="J50" s="194" t="str">
        <f t="shared" si="1"/>
        <v/>
      </c>
      <c r="K50" s="195"/>
      <c r="L50" s="196"/>
      <c r="M50" s="166" t="str">
        <f t="shared" si="2"/>
        <v/>
      </c>
      <c r="N50" s="174"/>
      <c r="O50" s="174"/>
      <c r="P50" s="166" t="str">
        <f t="shared" si="3"/>
        <v/>
      </c>
      <c r="Q50" s="213" t="str">
        <f t="shared" si="4"/>
        <v/>
      </c>
      <c r="R50" s="174"/>
      <c r="S50" s="174"/>
      <c r="T50" s="214"/>
      <c r="U50" s="215" t="str">
        <f t="shared" si="5"/>
        <v/>
      </c>
      <c r="V50" s="216"/>
      <c r="Y50" s="219" t="str">
        <f t="shared" si="6"/>
        <v/>
      </c>
    </row>
    <row r="51" spans="1:25">
      <c r="A51" s="57">
        <v>41</v>
      </c>
      <c r="B51" s="173"/>
      <c r="C51" s="258"/>
      <c r="D51" s="261"/>
      <c r="E51" s="262"/>
      <c r="F51" s="172"/>
      <c r="G51" s="164"/>
      <c r="H51" s="173"/>
      <c r="I51" s="193" t="str">
        <f t="shared" si="0"/>
        <v/>
      </c>
      <c r="J51" s="194" t="str">
        <f t="shared" si="1"/>
        <v/>
      </c>
      <c r="K51" s="197"/>
      <c r="L51" s="198"/>
      <c r="M51" s="166" t="str">
        <f t="shared" si="2"/>
        <v/>
      </c>
      <c r="N51" s="173"/>
      <c r="O51" s="173"/>
      <c r="P51" s="166" t="str">
        <f t="shared" si="3"/>
        <v/>
      </c>
      <c r="Q51" s="213" t="str">
        <f t="shared" si="4"/>
        <v/>
      </c>
      <c r="R51" s="173"/>
      <c r="S51" s="173"/>
      <c r="T51" s="217"/>
      <c r="U51" s="215" t="str">
        <f t="shared" si="5"/>
        <v/>
      </c>
      <c r="V51" s="218"/>
      <c r="Y51" s="219" t="str">
        <f t="shared" si="6"/>
        <v/>
      </c>
    </row>
    <row r="52" spans="1:25">
      <c r="A52" s="165">
        <v>42</v>
      </c>
      <c r="B52" s="174"/>
      <c r="C52" s="257"/>
      <c r="D52" s="259"/>
      <c r="E52" s="260"/>
      <c r="F52" s="170"/>
      <c r="G52" s="171"/>
      <c r="H52" s="174"/>
      <c r="I52" s="193" t="str">
        <f t="shared" si="0"/>
        <v/>
      </c>
      <c r="J52" s="194" t="str">
        <f t="shared" si="1"/>
        <v/>
      </c>
      <c r="K52" s="195"/>
      <c r="L52" s="196"/>
      <c r="M52" s="166" t="str">
        <f t="shared" si="2"/>
        <v/>
      </c>
      <c r="N52" s="174"/>
      <c r="O52" s="174"/>
      <c r="P52" s="166" t="str">
        <f t="shared" si="3"/>
        <v/>
      </c>
      <c r="Q52" s="213" t="str">
        <f t="shared" si="4"/>
        <v/>
      </c>
      <c r="R52" s="174"/>
      <c r="S52" s="174"/>
      <c r="T52" s="214"/>
      <c r="U52" s="215" t="str">
        <f t="shared" si="5"/>
        <v/>
      </c>
      <c r="V52" s="216"/>
      <c r="Y52" s="219" t="str">
        <f t="shared" si="6"/>
        <v/>
      </c>
    </row>
    <row r="53" spans="1:25">
      <c r="A53" s="57">
        <v>43</v>
      </c>
      <c r="B53" s="173"/>
      <c r="C53" s="258"/>
      <c r="D53" s="261"/>
      <c r="E53" s="262"/>
      <c r="F53" s="172"/>
      <c r="G53" s="164"/>
      <c r="H53" s="173"/>
      <c r="I53" s="193" t="str">
        <f t="shared" si="0"/>
        <v/>
      </c>
      <c r="J53" s="194" t="str">
        <f t="shared" si="1"/>
        <v/>
      </c>
      <c r="K53" s="197"/>
      <c r="L53" s="198"/>
      <c r="M53" s="166" t="str">
        <f t="shared" si="2"/>
        <v/>
      </c>
      <c r="N53" s="173"/>
      <c r="O53" s="173"/>
      <c r="P53" s="166" t="str">
        <f t="shared" si="3"/>
        <v/>
      </c>
      <c r="Q53" s="213" t="str">
        <f t="shared" si="4"/>
        <v/>
      </c>
      <c r="R53" s="173"/>
      <c r="S53" s="173"/>
      <c r="T53" s="217"/>
      <c r="U53" s="215" t="str">
        <f t="shared" si="5"/>
        <v/>
      </c>
      <c r="V53" s="218"/>
      <c r="Y53" s="219" t="str">
        <f t="shared" si="6"/>
        <v/>
      </c>
    </row>
    <row r="54" spans="1:25">
      <c r="A54" s="165">
        <v>44</v>
      </c>
      <c r="B54" s="174"/>
      <c r="C54" s="257"/>
      <c r="D54" s="259"/>
      <c r="E54" s="260"/>
      <c r="F54" s="170"/>
      <c r="G54" s="171"/>
      <c r="H54" s="174"/>
      <c r="I54" s="193" t="str">
        <f t="shared" si="0"/>
        <v/>
      </c>
      <c r="J54" s="194" t="str">
        <f t="shared" si="1"/>
        <v/>
      </c>
      <c r="K54" s="195"/>
      <c r="L54" s="196"/>
      <c r="M54" s="166" t="str">
        <f t="shared" si="2"/>
        <v/>
      </c>
      <c r="N54" s="174"/>
      <c r="O54" s="174"/>
      <c r="P54" s="166" t="str">
        <f t="shared" si="3"/>
        <v/>
      </c>
      <c r="Q54" s="213" t="str">
        <f t="shared" si="4"/>
        <v/>
      </c>
      <c r="R54" s="174"/>
      <c r="S54" s="174"/>
      <c r="T54" s="214"/>
      <c r="U54" s="215" t="str">
        <f t="shared" si="5"/>
        <v/>
      </c>
      <c r="V54" s="216"/>
      <c r="Y54" s="219" t="str">
        <f t="shared" si="6"/>
        <v/>
      </c>
    </row>
    <row r="55" spans="1:25">
      <c r="A55" s="57">
        <v>45</v>
      </c>
      <c r="B55" s="173"/>
      <c r="C55" s="258"/>
      <c r="D55" s="261"/>
      <c r="E55" s="262"/>
      <c r="F55" s="172"/>
      <c r="G55" s="164"/>
      <c r="H55" s="173"/>
      <c r="I55" s="193" t="str">
        <f t="shared" si="0"/>
        <v/>
      </c>
      <c r="J55" s="194" t="str">
        <f t="shared" si="1"/>
        <v/>
      </c>
      <c r="K55" s="197"/>
      <c r="L55" s="198"/>
      <c r="M55" s="166" t="str">
        <f t="shared" si="2"/>
        <v/>
      </c>
      <c r="N55" s="173"/>
      <c r="O55" s="173"/>
      <c r="P55" s="166" t="str">
        <f t="shared" si="3"/>
        <v/>
      </c>
      <c r="Q55" s="213" t="str">
        <f t="shared" si="4"/>
        <v/>
      </c>
      <c r="R55" s="173"/>
      <c r="S55" s="173"/>
      <c r="T55" s="217"/>
      <c r="U55" s="215" t="str">
        <f t="shared" si="5"/>
        <v/>
      </c>
      <c r="V55" s="218"/>
      <c r="Y55" s="219" t="str">
        <f t="shared" si="6"/>
        <v/>
      </c>
    </row>
    <row r="56" spans="1:25">
      <c r="A56" s="165">
        <v>46</v>
      </c>
      <c r="B56" s="174"/>
      <c r="C56" s="257"/>
      <c r="D56" s="259"/>
      <c r="E56" s="260"/>
      <c r="F56" s="170"/>
      <c r="G56" s="171"/>
      <c r="H56" s="174"/>
      <c r="I56" s="193" t="str">
        <f t="shared" si="0"/>
        <v/>
      </c>
      <c r="J56" s="194" t="str">
        <f t="shared" si="1"/>
        <v/>
      </c>
      <c r="K56" s="195"/>
      <c r="L56" s="196"/>
      <c r="M56" s="166" t="str">
        <f t="shared" si="2"/>
        <v/>
      </c>
      <c r="N56" s="174"/>
      <c r="O56" s="174"/>
      <c r="P56" s="166" t="str">
        <f t="shared" si="3"/>
        <v/>
      </c>
      <c r="Q56" s="213" t="str">
        <f t="shared" si="4"/>
        <v/>
      </c>
      <c r="R56" s="174"/>
      <c r="S56" s="174"/>
      <c r="T56" s="214"/>
      <c r="U56" s="215" t="str">
        <f t="shared" si="5"/>
        <v/>
      </c>
      <c r="V56" s="216"/>
      <c r="Y56" s="219" t="str">
        <f t="shared" si="6"/>
        <v/>
      </c>
    </row>
    <row r="57" spans="1:25">
      <c r="A57" s="57">
        <v>47</v>
      </c>
      <c r="B57" s="173"/>
      <c r="C57" s="258"/>
      <c r="D57" s="261"/>
      <c r="E57" s="262"/>
      <c r="F57" s="172"/>
      <c r="G57" s="164"/>
      <c r="H57" s="173"/>
      <c r="I57" s="193" t="str">
        <f t="shared" si="0"/>
        <v/>
      </c>
      <c r="J57" s="194" t="str">
        <f t="shared" si="1"/>
        <v/>
      </c>
      <c r="K57" s="197"/>
      <c r="L57" s="198"/>
      <c r="M57" s="166" t="str">
        <f t="shared" si="2"/>
        <v/>
      </c>
      <c r="N57" s="173"/>
      <c r="O57" s="173"/>
      <c r="P57" s="166" t="str">
        <f t="shared" si="3"/>
        <v/>
      </c>
      <c r="Q57" s="213" t="str">
        <f t="shared" si="4"/>
        <v/>
      </c>
      <c r="R57" s="173"/>
      <c r="S57" s="173"/>
      <c r="T57" s="217"/>
      <c r="U57" s="215" t="str">
        <f t="shared" si="5"/>
        <v/>
      </c>
      <c r="V57" s="218"/>
      <c r="Y57" s="219" t="str">
        <f t="shared" si="6"/>
        <v/>
      </c>
    </row>
    <row r="58" spans="1:25">
      <c r="A58" s="165">
        <v>48</v>
      </c>
      <c r="B58" s="174"/>
      <c r="C58" s="257"/>
      <c r="D58" s="259"/>
      <c r="E58" s="260"/>
      <c r="F58" s="170"/>
      <c r="G58" s="171"/>
      <c r="H58" s="174"/>
      <c r="I58" s="193" t="str">
        <f t="shared" si="0"/>
        <v/>
      </c>
      <c r="J58" s="194" t="str">
        <f t="shared" si="1"/>
        <v/>
      </c>
      <c r="K58" s="195"/>
      <c r="L58" s="196"/>
      <c r="M58" s="166" t="str">
        <f t="shared" si="2"/>
        <v/>
      </c>
      <c r="N58" s="174"/>
      <c r="O58" s="174"/>
      <c r="P58" s="166" t="str">
        <f t="shared" si="3"/>
        <v/>
      </c>
      <c r="Q58" s="213" t="str">
        <f t="shared" si="4"/>
        <v/>
      </c>
      <c r="R58" s="174"/>
      <c r="S58" s="174"/>
      <c r="T58" s="214"/>
      <c r="U58" s="215" t="str">
        <f t="shared" si="5"/>
        <v/>
      </c>
      <c r="V58" s="216"/>
      <c r="Y58" s="219" t="str">
        <f t="shared" si="6"/>
        <v/>
      </c>
    </row>
    <row r="59" spans="1:25">
      <c r="A59" s="57">
        <v>49</v>
      </c>
      <c r="B59" s="173"/>
      <c r="C59" s="258"/>
      <c r="D59" s="261"/>
      <c r="E59" s="262"/>
      <c r="F59" s="172"/>
      <c r="G59" s="164"/>
      <c r="H59" s="173"/>
      <c r="I59" s="193" t="str">
        <f t="shared" si="0"/>
        <v/>
      </c>
      <c r="J59" s="194" t="str">
        <f t="shared" si="1"/>
        <v/>
      </c>
      <c r="K59" s="197"/>
      <c r="L59" s="198"/>
      <c r="M59" s="166" t="str">
        <f t="shared" si="2"/>
        <v/>
      </c>
      <c r="N59" s="173"/>
      <c r="O59" s="173"/>
      <c r="P59" s="166" t="str">
        <f t="shared" si="3"/>
        <v/>
      </c>
      <c r="Q59" s="213" t="str">
        <f t="shared" si="4"/>
        <v/>
      </c>
      <c r="R59" s="173"/>
      <c r="S59" s="173"/>
      <c r="T59" s="217"/>
      <c r="U59" s="215" t="str">
        <f t="shared" si="5"/>
        <v/>
      </c>
      <c r="V59" s="218"/>
      <c r="Y59" s="219" t="str">
        <f t="shared" si="6"/>
        <v/>
      </c>
    </row>
    <row r="60" spans="1:25">
      <c r="A60" s="165">
        <v>50</v>
      </c>
      <c r="B60" s="174"/>
      <c r="C60" s="257"/>
      <c r="D60" s="259"/>
      <c r="E60" s="260"/>
      <c r="F60" s="170"/>
      <c r="G60" s="171"/>
      <c r="H60" s="174"/>
      <c r="I60" s="193" t="str">
        <f t="shared" si="0"/>
        <v/>
      </c>
      <c r="J60" s="194" t="str">
        <f t="shared" si="1"/>
        <v/>
      </c>
      <c r="K60" s="195"/>
      <c r="L60" s="196"/>
      <c r="M60" s="166" t="str">
        <f t="shared" si="2"/>
        <v/>
      </c>
      <c r="N60" s="174"/>
      <c r="O60" s="174"/>
      <c r="P60" s="166" t="str">
        <f t="shared" si="3"/>
        <v/>
      </c>
      <c r="Q60" s="213" t="str">
        <f t="shared" si="4"/>
        <v/>
      </c>
      <c r="R60" s="174"/>
      <c r="S60" s="174"/>
      <c r="T60" s="214"/>
      <c r="U60" s="215" t="str">
        <f t="shared" si="5"/>
        <v/>
      </c>
      <c r="V60" s="216"/>
      <c r="Y60" s="219" t="str">
        <f t="shared" si="6"/>
        <v/>
      </c>
    </row>
    <row r="61" spans="1:25">
      <c r="A61" s="57">
        <v>51</v>
      </c>
      <c r="B61" s="173"/>
      <c r="C61" s="258"/>
      <c r="D61" s="261"/>
      <c r="E61" s="262"/>
      <c r="F61" s="172"/>
      <c r="G61" s="164"/>
      <c r="H61" s="173"/>
      <c r="I61" s="193" t="str">
        <f t="shared" si="0"/>
        <v/>
      </c>
      <c r="J61" s="194" t="str">
        <f t="shared" si="1"/>
        <v/>
      </c>
      <c r="K61" s="197"/>
      <c r="L61" s="198"/>
      <c r="M61" s="166" t="str">
        <f t="shared" si="2"/>
        <v/>
      </c>
      <c r="N61" s="173"/>
      <c r="O61" s="173"/>
      <c r="P61" s="166" t="str">
        <f t="shared" si="3"/>
        <v/>
      </c>
      <c r="Q61" s="213" t="str">
        <f t="shared" si="4"/>
        <v/>
      </c>
      <c r="R61" s="173"/>
      <c r="S61" s="173"/>
      <c r="T61" s="217"/>
      <c r="U61" s="215" t="str">
        <f t="shared" si="5"/>
        <v/>
      </c>
      <c r="V61" s="218"/>
      <c r="Y61" s="219" t="str">
        <f t="shared" si="6"/>
        <v/>
      </c>
    </row>
    <row r="62" spans="1:25">
      <c r="A62" s="165">
        <v>52</v>
      </c>
      <c r="B62" s="174"/>
      <c r="C62" s="257"/>
      <c r="D62" s="259"/>
      <c r="E62" s="260"/>
      <c r="F62" s="170"/>
      <c r="G62" s="171"/>
      <c r="H62" s="174"/>
      <c r="I62" s="193" t="str">
        <f t="shared" si="0"/>
        <v/>
      </c>
      <c r="J62" s="194" t="str">
        <f t="shared" si="1"/>
        <v/>
      </c>
      <c r="K62" s="195"/>
      <c r="L62" s="196"/>
      <c r="M62" s="166" t="str">
        <f t="shared" si="2"/>
        <v/>
      </c>
      <c r="N62" s="174"/>
      <c r="O62" s="174"/>
      <c r="P62" s="166" t="str">
        <f t="shared" si="3"/>
        <v/>
      </c>
      <c r="Q62" s="213" t="str">
        <f t="shared" si="4"/>
        <v/>
      </c>
      <c r="R62" s="174"/>
      <c r="S62" s="174"/>
      <c r="T62" s="214"/>
      <c r="U62" s="215" t="str">
        <f t="shared" si="5"/>
        <v/>
      </c>
      <c r="V62" s="216"/>
      <c r="Y62" s="219" t="str">
        <f t="shared" si="6"/>
        <v/>
      </c>
    </row>
    <row r="63" spans="1:25">
      <c r="A63" s="57">
        <v>53</v>
      </c>
      <c r="B63" s="173"/>
      <c r="C63" s="258"/>
      <c r="D63" s="261"/>
      <c r="E63" s="262"/>
      <c r="F63" s="172"/>
      <c r="G63" s="164"/>
      <c r="H63" s="173"/>
      <c r="I63" s="193" t="str">
        <f t="shared" si="0"/>
        <v/>
      </c>
      <c r="J63" s="194" t="str">
        <f t="shared" si="1"/>
        <v/>
      </c>
      <c r="K63" s="197"/>
      <c r="L63" s="198"/>
      <c r="M63" s="166" t="str">
        <f t="shared" si="2"/>
        <v/>
      </c>
      <c r="N63" s="173"/>
      <c r="O63" s="173"/>
      <c r="P63" s="166" t="str">
        <f t="shared" si="3"/>
        <v/>
      </c>
      <c r="Q63" s="213" t="str">
        <f t="shared" si="4"/>
        <v/>
      </c>
      <c r="R63" s="173"/>
      <c r="S63" s="173"/>
      <c r="T63" s="217"/>
      <c r="U63" s="215" t="str">
        <f t="shared" si="5"/>
        <v/>
      </c>
      <c r="V63" s="218"/>
      <c r="Y63" s="219" t="str">
        <f t="shared" si="6"/>
        <v/>
      </c>
    </row>
    <row r="64" spans="1:25">
      <c r="A64" s="165">
        <v>54</v>
      </c>
      <c r="B64" s="174"/>
      <c r="C64" s="257"/>
      <c r="D64" s="259"/>
      <c r="E64" s="260"/>
      <c r="F64" s="170"/>
      <c r="G64" s="171"/>
      <c r="H64" s="174"/>
      <c r="I64" s="193" t="str">
        <f t="shared" si="0"/>
        <v/>
      </c>
      <c r="J64" s="194" t="str">
        <f t="shared" si="1"/>
        <v/>
      </c>
      <c r="K64" s="195"/>
      <c r="L64" s="196"/>
      <c r="M64" s="166" t="str">
        <f t="shared" si="2"/>
        <v/>
      </c>
      <c r="N64" s="174"/>
      <c r="O64" s="174"/>
      <c r="P64" s="166" t="str">
        <f t="shared" si="3"/>
        <v/>
      </c>
      <c r="Q64" s="213" t="str">
        <f t="shared" si="4"/>
        <v/>
      </c>
      <c r="R64" s="174"/>
      <c r="S64" s="174"/>
      <c r="T64" s="214"/>
      <c r="U64" s="215" t="str">
        <f t="shared" si="5"/>
        <v/>
      </c>
      <c r="V64" s="216"/>
      <c r="Y64" s="219" t="str">
        <f t="shared" si="6"/>
        <v/>
      </c>
    </row>
    <row r="65" spans="1:25">
      <c r="A65" s="57">
        <v>55</v>
      </c>
      <c r="B65" s="173"/>
      <c r="C65" s="258"/>
      <c r="D65" s="261"/>
      <c r="E65" s="262"/>
      <c r="F65" s="172"/>
      <c r="G65" s="164"/>
      <c r="H65" s="173"/>
      <c r="I65" s="193" t="str">
        <f t="shared" si="0"/>
        <v/>
      </c>
      <c r="J65" s="194" t="str">
        <f t="shared" si="1"/>
        <v/>
      </c>
      <c r="K65" s="197"/>
      <c r="L65" s="198"/>
      <c r="M65" s="166" t="str">
        <f t="shared" si="2"/>
        <v/>
      </c>
      <c r="N65" s="173"/>
      <c r="O65" s="173"/>
      <c r="P65" s="166" t="str">
        <f t="shared" si="3"/>
        <v/>
      </c>
      <c r="Q65" s="213" t="str">
        <f t="shared" si="4"/>
        <v/>
      </c>
      <c r="R65" s="173"/>
      <c r="S65" s="173"/>
      <c r="T65" s="217"/>
      <c r="U65" s="215" t="str">
        <f t="shared" si="5"/>
        <v/>
      </c>
      <c r="V65" s="218"/>
      <c r="Y65" s="219" t="str">
        <f t="shared" si="6"/>
        <v/>
      </c>
    </row>
    <row r="66" spans="1:25">
      <c r="A66" s="165">
        <v>56</v>
      </c>
      <c r="B66" s="174"/>
      <c r="C66" s="257"/>
      <c r="D66" s="259"/>
      <c r="E66" s="260"/>
      <c r="F66" s="170"/>
      <c r="G66" s="171"/>
      <c r="H66" s="174"/>
      <c r="I66" s="193" t="str">
        <f t="shared" si="0"/>
        <v/>
      </c>
      <c r="J66" s="194" t="str">
        <f t="shared" si="1"/>
        <v/>
      </c>
      <c r="K66" s="195"/>
      <c r="L66" s="196"/>
      <c r="M66" s="166" t="str">
        <f t="shared" si="2"/>
        <v/>
      </c>
      <c r="N66" s="174"/>
      <c r="O66" s="174"/>
      <c r="P66" s="166" t="str">
        <f t="shared" si="3"/>
        <v/>
      </c>
      <c r="Q66" s="213" t="str">
        <f t="shared" si="4"/>
        <v/>
      </c>
      <c r="R66" s="174"/>
      <c r="S66" s="174"/>
      <c r="T66" s="214"/>
      <c r="U66" s="215" t="str">
        <f t="shared" si="5"/>
        <v/>
      </c>
      <c r="V66" s="216"/>
      <c r="Y66" s="219" t="str">
        <f t="shared" si="6"/>
        <v/>
      </c>
    </row>
    <row r="67" spans="1:25">
      <c r="A67" s="57">
        <v>57</v>
      </c>
      <c r="B67" s="173"/>
      <c r="C67" s="258"/>
      <c r="D67" s="261"/>
      <c r="E67" s="262"/>
      <c r="F67" s="172"/>
      <c r="G67" s="164"/>
      <c r="H67" s="173"/>
      <c r="I67" s="193" t="str">
        <f t="shared" si="0"/>
        <v/>
      </c>
      <c r="J67" s="194" t="str">
        <f t="shared" si="1"/>
        <v/>
      </c>
      <c r="K67" s="197"/>
      <c r="L67" s="198"/>
      <c r="M67" s="166" t="str">
        <f t="shared" si="2"/>
        <v/>
      </c>
      <c r="N67" s="173"/>
      <c r="O67" s="173"/>
      <c r="P67" s="166" t="str">
        <f t="shared" si="3"/>
        <v/>
      </c>
      <c r="Q67" s="213" t="str">
        <f t="shared" si="4"/>
        <v/>
      </c>
      <c r="R67" s="173"/>
      <c r="S67" s="173"/>
      <c r="T67" s="217"/>
      <c r="U67" s="215" t="str">
        <f t="shared" si="5"/>
        <v/>
      </c>
      <c r="V67" s="218"/>
      <c r="Y67" s="219" t="str">
        <f t="shared" si="6"/>
        <v/>
      </c>
    </row>
    <row r="68" spans="1:25">
      <c r="A68" s="165">
        <v>58</v>
      </c>
      <c r="B68" s="174"/>
      <c r="C68" s="257"/>
      <c r="D68" s="259"/>
      <c r="E68" s="260"/>
      <c r="F68" s="170"/>
      <c r="G68" s="171"/>
      <c r="H68" s="174"/>
      <c r="I68" s="193" t="str">
        <f t="shared" si="0"/>
        <v/>
      </c>
      <c r="J68" s="194" t="str">
        <f t="shared" si="1"/>
        <v/>
      </c>
      <c r="K68" s="195"/>
      <c r="L68" s="196"/>
      <c r="M68" s="166" t="str">
        <f t="shared" si="2"/>
        <v/>
      </c>
      <c r="N68" s="174"/>
      <c r="O68" s="174"/>
      <c r="P68" s="166" t="str">
        <f t="shared" si="3"/>
        <v/>
      </c>
      <c r="Q68" s="213" t="str">
        <f t="shared" si="4"/>
        <v/>
      </c>
      <c r="R68" s="174"/>
      <c r="S68" s="174"/>
      <c r="T68" s="214"/>
      <c r="U68" s="215" t="str">
        <f t="shared" si="5"/>
        <v/>
      </c>
      <c r="V68" s="216"/>
      <c r="Y68" s="219" t="str">
        <f t="shared" si="6"/>
        <v/>
      </c>
    </row>
    <row r="69" spans="1:25">
      <c r="A69" s="57">
        <v>59</v>
      </c>
      <c r="B69" s="173"/>
      <c r="C69" s="258"/>
      <c r="D69" s="261"/>
      <c r="E69" s="262"/>
      <c r="F69" s="172"/>
      <c r="G69" s="164"/>
      <c r="H69" s="173"/>
      <c r="I69" s="193" t="str">
        <f t="shared" si="0"/>
        <v/>
      </c>
      <c r="J69" s="194" t="str">
        <f t="shared" si="1"/>
        <v/>
      </c>
      <c r="K69" s="197"/>
      <c r="L69" s="198"/>
      <c r="M69" s="166" t="str">
        <f t="shared" si="2"/>
        <v/>
      </c>
      <c r="N69" s="173"/>
      <c r="O69" s="173"/>
      <c r="P69" s="166" t="str">
        <f t="shared" si="3"/>
        <v/>
      </c>
      <c r="Q69" s="213" t="str">
        <f t="shared" si="4"/>
        <v/>
      </c>
      <c r="R69" s="173"/>
      <c r="S69" s="173"/>
      <c r="T69" s="217"/>
      <c r="U69" s="215" t="str">
        <f t="shared" si="5"/>
        <v/>
      </c>
      <c r="V69" s="218"/>
      <c r="Y69" s="219" t="str">
        <f t="shared" si="6"/>
        <v/>
      </c>
    </row>
    <row r="70" spans="1:25">
      <c r="A70" s="57">
        <f>A69+1</f>
        <v>60</v>
      </c>
      <c r="B70" s="173"/>
      <c r="C70" s="258"/>
      <c r="D70" s="261"/>
      <c r="E70" s="262"/>
      <c r="F70" s="172"/>
      <c r="G70" s="171"/>
      <c r="H70" s="174"/>
      <c r="I70" s="193" t="str">
        <f t="shared" si="0"/>
        <v/>
      </c>
      <c r="J70" s="194" t="str">
        <f t="shared" si="1"/>
        <v/>
      </c>
      <c r="K70" s="195"/>
      <c r="L70" s="196"/>
      <c r="M70" s="166" t="str">
        <f t="shared" si="2"/>
        <v/>
      </c>
      <c r="N70" s="174"/>
      <c r="O70" s="174"/>
      <c r="P70" s="166" t="str">
        <f t="shared" si="3"/>
        <v/>
      </c>
      <c r="Q70" s="213" t="str">
        <f t="shared" si="4"/>
        <v/>
      </c>
      <c r="R70" s="174"/>
      <c r="S70" s="174"/>
      <c r="T70" s="214"/>
      <c r="U70" s="215" t="str">
        <f t="shared" si="5"/>
        <v/>
      </c>
      <c r="V70" s="216"/>
      <c r="Y70" s="219" t="str">
        <f t="shared" si="6"/>
        <v/>
      </c>
    </row>
    <row r="71" spans="1:25">
      <c r="A71" s="165">
        <f t="shared" ref="A71:A109" si="7">A70+1</f>
        <v>61</v>
      </c>
      <c r="B71" s="174"/>
      <c r="C71" s="257"/>
      <c r="D71" s="259"/>
      <c r="E71" s="260"/>
      <c r="F71" s="170"/>
      <c r="G71" s="164"/>
      <c r="H71" s="173"/>
      <c r="I71" s="193" t="str">
        <f t="shared" si="0"/>
        <v/>
      </c>
      <c r="J71" s="194" t="str">
        <f t="shared" si="1"/>
        <v/>
      </c>
      <c r="K71" s="197"/>
      <c r="L71" s="198"/>
      <c r="M71" s="166" t="str">
        <f t="shared" si="2"/>
        <v/>
      </c>
      <c r="N71" s="173"/>
      <c r="O71" s="173"/>
      <c r="P71" s="166" t="str">
        <f t="shared" si="3"/>
        <v/>
      </c>
      <c r="Q71" s="213" t="str">
        <f t="shared" si="4"/>
        <v/>
      </c>
      <c r="R71" s="173"/>
      <c r="S71" s="173"/>
      <c r="T71" s="217"/>
      <c r="U71" s="215" t="str">
        <f t="shared" si="5"/>
        <v/>
      </c>
      <c r="V71" s="218"/>
      <c r="Y71" s="219" t="str">
        <f t="shared" si="6"/>
        <v/>
      </c>
    </row>
    <row r="72" spans="1:25">
      <c r="A72" s="57">
        <f t="shared" si="7"/>
        <v>62</v>
      </c>
      <c r="B72" s="173"/>
      <c r="C72" s="258"/>
      <c r="D72" s="261"/>
      <c r="E72" s="262"/>
      <c r="F72" s="172"/>
      <c r="G72" s="171"/>
      <c r="H72" s="174"/>
      <c r="I72" s="193" t="str">
        <f t="shared" si="0"/>
        <v/>
      </c>
      <c r="J72" s="194" t="str">
        <f t="shared" si="1"/>
        <v/>
      </c>
      <c r="K72" s="195"/>
      <c r="L72" s="196"/>
      <c r="M72" s="166" t="str">
        <f t="shared" si="2"/>
        <v/>
      </c>
      <c r="N72" s="174"/>
      <c r="O72" s="174"/>
      <c r="P72" s="166" t="str">
        <f t="shared" si="3"/>
        <v/>
      </c>
      <c r="Q72" s="213" t="str">
        <f t="shared" si="4"/>
        <v/>
      </c>
      <c r="R72" s="174"/>
      <c r="S72" s="174"/>
      <c r="T72" s="214"/>
      <c r="U72" s="215" t="str">
        <f t="shared" si="5"/>
        <v/>
      </c>
      <c r="V72" s="216"/>
      <c r="Y72" s="219" t="str">
        <f t="shared" si="6"/>
        <v/>
      </c>
    </row>
    <row r="73" spans="1:25">
      <c r="A73" s="165">
        <f t="shared" si="7"/>
        <v>63</v>
      </c>
      <c r="B73" s="174"/>
      <c r="C73" s="257"/>
      <c r="D73" s="259"/>
      <c r="E73" s="260"/>
      <c r="F73" s="170"/>
      <c r="G73" s="164"/>
      <c r="H73" s="173"/>
      <c r="I73" s="193" t="str">
        <f t="shared" si="0"/>
        <v/>
      </c>
      <c r="J73" s="194" t="str">
        <f t="shared" si="1"/>
        <v/>
      </c>
      <c r="K73" s="197"/>
      <c r="L73" s="198"/>
      <c r="M73" s="166" t="str">
        <f t="shared" si="2"/>
        <v/>
      </c>
      <c r="N73" s="173"/>
      <c r="O73" s="173"/>
      <c r="P73" s="166" t="str">
        <f t="shared" si="3"/>
        <v/>
      </c>
      <c r="Q73" s="213" t="str">
        <f t="shared" si="4"/>
        <v/>
      </c>
      <c r="R73" s="173"/>
      <c r="S73" s="173"/>
      <c r="T73" s="217"/>
      <c r="U73" s="215" t="str">
        <f t="shared" si="5"/>
        <v/>
      </c>
      <c r="V73" s="218"/>
      <c r="Y73" s="219" t="str">
        <f t="shared" si="6"/>
        <v/>
      </c>
    </row>
    <row r="74" spans="1:25">
      <c r="A74" s="57">
        <f t="shared" si="7"/>
        <v>64</v>
      </c>
      <c r="B74" s="173"/>
      <c r="C74" s="258"/>
      <c r="D74" s="261"/>
      <c r="E74" s="262"/>
      <c r="F74" s="172"/>
      <c r="G74" s="171"/>
      <c r="H74" s="174"/>
      <c r="I74" s="193" t="str">
        <f t="shared" si="0"/>
        <v/>
      </c>
      <c r="J74" s="194" t="str">
        <f t="shared" si="1"/>
        <v/>
      </c>
      <c r="K74" s="195"/>
      <c r="L74" s="196"/>
      <c r="M74" s="166" t="str">
        <f t="shared" si="2"/>
        <v/>
      </c>
      <c r="N74" s="174"/>
      <c r="O74" s="174"/>
      <c r="P74" s="166" t="str">
        <f t="shared" si="3"/>
        <v/>
      </c>
      <c r="Q74" s="213" t="str">
        <f t="shared" si="4"/>
        <v/>
      </c>
      <c r="R74" s="174"/>
      <c r="S74" s="174"/>
      <c r="T74" s="214"/>
      <c r="U74" s="215" t="str">
        <f t="shared" si="5"/>
        <v/>
      </c>
      <c r="V74" s="216"/>
      <c r="Y74" s="219" t="str">
        <f t="shared" si="6"/>
        <v/>
      </c>
    </row>
    <row r="75" spans="1:25">
      <c r="A75" s="165">
        <f t="shared" si="7"/>
        <v>65</v>
      </c>
      <c r="B75" s="174"/>
      <c r="C75" s="257"/>
      <c r="D75" s="259"/>
      <c r="E75" s="260"/>
      <c r="F75" s="170"/>
      <c r="G75" s="164"/>
      <c r="H75" s="173"/>
      <c r="I75" s="193" t="str">
        <f t="shared" si="0"/>
        <v/>
      </c>
      <c r="J75" s="194" t="str">
        <f t="shared" si="1"/>
        <v/>
      </c>
      <c r="K75" s="197"/>
      <c r="L75" s="198"/>
      <c r="M75" s="166" t="str">
        <f t="shared" si="2"/>
        <v/>
      </c>
      <c r="N75" s="173"/>
      <c r="O75" s="173"/>
      <c r="P75" s="166" t="str">
        <f t="shared" si="3"/>
        <v/>
      </c>
      <c r="Q75" s="213" t="str">
        <f t="shared" si="4"/>
        <v/>
      </c>
      <c r="R75" s="173"/>
      <c r="S75" s="173"/>
      <c r="T75" s="217"/>
      <c r="U75" s="215" t="str">
        <f t="shared" si="5"/>
        <v/>
      </c>
      <c r="V75" s="218"/>
      <c r="Y75" s="219" t="str">
        <f t="shared" si="6"/>
        <v/>
      </c>
    </row>
    <row r="76" spans="1:25">
      <c r="A76" s="57">
        <f t="shared" si="7"/>
        <v>66</v>
      </c>
      <c r="B76" s="173"/>
      <c r="C76" s="258"/>
      <c r="D76" s="261"/>
      <c r="E76" s="262"/>
      <c r="F76" s="172"/>
      <c r="G76" s="171"/>
      <c r="H76" s="174"/>
      <c r="I76" s="193" t="str">
        <f t="shared" ref="I76:I110" si="8">IF(AND(F76="",G76=""),"",IF(F76&lt;7,F76+G76,F76+10+H76))</f>
        <v/>
      </c>
      <c r="J76" s="194" t="str">
        <f t="shared" ref="J76:J110" si="9">IF(I76="","",IF(F76&lt;7,IF(I76&lt;=10,"Full Refresher","Moderate Refresher"),IF(I76&lt;27,"Light Refresher","Grade Ready")))</f>
        <v/>
      </c>
      <c r="K76" s="195"/>
      <c r="L76" s="196"/>
      <c r="M76" s="166" t="str">
        <f t="shared" ref="M76:M110" si="10">IF($C$9&lt;&gt;"",IF(OR(K76=1,K76=2),IF(K76=1,M$7-L76,$P$7-L76),""),"")</f>
        <v/>
      </c>
      <c r="N76" s="174"/>
      <c r="O76" s="174"/>
      <c r="P76" s="166" t="str">
        <f t="shared" ref="P76:P110" si="11">IFERROR(IF(AND(K76&gt;0,M76&gt;0,OR(N76&gt;0,O76&gt;0)),(M76/((N76*60)+O76))*60,""),"")</f>
        <v/>
      </c>
      <c r="Q76" s="213" t="str">
        <f t="shared" ref="Q76:Q110" si="12">IFERROR(IF(OR(K76=1,K76=2),IF(K76=1,M76/$M$7,M76/$P$7),""),"")</f>
        <v/>
      </c>
      <c r="R76" s="174"/>
      <c r="S76" s="174"/>
      <c r="T76" s="214"/>
      <c r="U76" s="215" t="str">
        <f t="shared" ref="U76:U110" si="13">IF(J76&lt;&gt;"",IF(J76="Full Refresher","Low Emerging Reader",IF(AND(K76&gt;0,Q76&lt;&gt;""),IF(OR(Q76&lt;=25%,AND(Q76&gt;25%,Q76&lt;=50%,R76=0)),"High Emerging Reader",IF(OR(AND(Q76&gt;25%,Q76&lt;51%,R76&gt;=1),AND(Q76&gt;50%,Q76&lt;76%,R76&lt;=2)),"Developing Reader",IF(OR(AND(Q76&gt;=51%,Q76&lt;76%,R76&gt;=3),AND(Q76&gt;75%,R76&lt;=4)),"Transitioning Reader",IF(AND(Q76&gt;75%,R76&gt;=5),"Reading At Grade Level","")))),"")),"")</f>
        <v/>
      </c>
      <c r="V76" s="216"/>
      <c r="Y76" s="219" t="str">
        <f t="shared" ref="Y76:Y110" si="14">IF(C76&lt;&gt;"",R76/6,"")</f>
        <v/>
      </c>
    </row>
    <row r="77" spans="1:25">
      <c r="A77" s="165">
        <f t="shared" si="7"/>
        <v>67</v>
      </c>
      <c r="B77" s="174"/>
      <c r="C77" s="257"/>
      <c r="D77" s="259"/>
      <c r="E77" s="260"/>
      <c r="F77" s="170"/>
      <c r="G77" s="164"/>
      <c r="H77" s="173"/>
      <c r="I77" s="193" t="str">
        <f t="shared" si="8"/>
        <v/>
      </c>
      <c r="J77" s="194" t="str">
        <f t="shared" si="9"/>
        <v/>
      </c>
      <c r="K77" s="197"/>
      <c r="L77" s="198"/>
      <c r="M77" s="166" t="str">
        <f t="shared" si="10"/>
        <v/>
      </c>
      <c r="N77" s="173"/>
      <c r="O77" s="173"/>
      <c r="P77" s="166" t="str">
        <f t="shared" si="11"/>
        <v/>
      </c>
      <c r="Q77" s="213" t="str">
        <f t="shared" si="12"/>
        <v/>
      </c>
      <c r="R77" s="173"/>
      <c r="S77" s="173"/>
      <c r="T77" s="217"/>
      <c r="U77" s="215" t="str">
        <f t="shared" si="13"/>
        <v/>
      </c>
      <c r="V77" s="218"/>
      <c r="Y77" s="219" t="str">
        <f t="shared" si="14"/>
        <v/>
      </c>
    </row>
    <row r="78" spans="1:25">
      <c r="A78" s="57">
        <f t="shared" si="7"/>
        <v>68</v>
      </c>
      <c r="B78" s="173"/>
      <c r="C78" s="258"/>
      <c r="D78" s="261"/>
      <c r="E78" s="262"/>
      <c r="F78" s="172"/>
      <c r="G78" s="171"/>
      <c r="H78" s="174"/>
      <c r="I78" s="193" t="str">
        <f t="shared" si="8"/>
        <v/>
      </c>
      <c r="J78" s="194" t="str">
        <f t="shared" si="9"/>
        <v/>
      </c>
      <c r="K78" s="195"/>
      <c r="L78" s="196"/>
      <c r="M78" s="166" t="str">
        <f t="shared" si="10"/>
        <v/>
      </c>
      <c r="N78" s="174"/>
      <c r="O78" s="174"/>
      <c r="P78" s="166" t="str">
        <f t="shared" si="11"/>
        <v/>
      </c>
      <c r="Q78" s="213" t="str">
        <f t="shared" si="12"/>
        <v/>
      </c>
      <c r="R78" s="174"/>
      <c r="S78" s="174"/>
      <c r="T78" s="214"/>
      <c r="U78" s="215" t="str">
        <f t="shared" si="13"/>
        <v/>
      </c>
      <c r="V78" s="216"/>
      <c r="Y78" s="219" t="str">
        <f t="shared" si="14"/>
        <v/>
      </c>
    </row>
    <row r="79" spans="1:25">
      <c r="A79" s="165">
        <f t="shared" si="7"/>
        <v>69</v>
      </c>
      <c r="B79" s="174"/>
      <c r="C79" s="257"/>
      <c r="D79" s="259"/>
      <c r="E79" s="260"/>
      <c r="F79" s="170"/>
      <c r="G79" s="164"/>
      <c r="H79" s="173"/>
      <c r="I79" s="193" t="str">
        <f t="shared" si="8"/>
        <v/>
      </c>
      <c r="J79" s="194" t="str">
        <f t="shared" si="9"/>
        <v/>
      </c>
      <c r="K79" s="197"/>
      <c r="L79" s="198"/>
      <c r="M79" s="166" t="str">
        <f t="shared" si="10"/>
        <v/>
      </c>
      <c r="N79" s="173"/>
      <c r="O79" s="173"/>
      <c r="P79" s="166" t="str">
        <f t="shared" si="11"/>
        <v/>
      </c>
      <c r="Q79" s="213" t="str">
        <f t="shared" si="12"/>
        <v/>
      </c>
      <c r="R79" s="173"/>
      <c r="S79" s="173"/>
      <c r="T79" s="217"/>
      <c r="U79" s="215" t="str">
        <f t="shared" si="13"/>
        <v/>
      </c>
      <c r="V79" s="218"/>
      <c r="Y79" s="219" t="str">
        <f t="shared" si="14"/>
        <v/>
      </c>
    </row>
    <row r="80" spans="1:25">
      <c r="A80" s="57">
        <f t="shared" si="7"/>
        <v>70</v>
      </c>
      <c r="B80" s="173"/>
      <c r="C80" s="258"/>
      <c r="D80" s="261"/>
      <c r="E80" s="262"/>
      <c r="F80" s="172"/>
      <c r="G80" s="171"/>
      <c r="H80" s="174"/>
      <c r="I80" s="193" t="str">
        <f t="shared" si="8"/>
        <v/>
      </c>
      <c r="J80" s="194" t="str">
        <f t="shared" si="9"/>
        <v/>
      </c>
      <c r="K80" s="195"/>
      <c r="L80" s="196"/>
      <c r="M80" s="166" t="str">
        <f t="shared" si="10"/>
        <v/>
      </c>
      <c r="N80" s="174"/>
      <c r="O80" s="174"/>
      <c r="P80" s="166" t="str">
        <f t="shared" si="11"/>
        <v/>
      </c>
      <c r="Q80" s="213" t="str">
        <f t="shared" si="12"/>
        <v/>
      </c>
      <c r="R80" s="174"/>
      <c r="S80" s="174"/>
      <c r="T80" s="214"/>
      <c r="U80" s="215" t="str">
        <f t="shared" si="13"/>
        <v/>
      </c>
      <c r="V80" s="216"/>
      <c r="Y80" s="219" t="str">
        <f t="shared" si="14"/>
        <v/>
      </c>
    </row>
    <row r="81" spans="1:25">
      <c r="A81" s="165">
        <f t="shared" si="7"/>
        <v>71</v>
      </c>
      <c r="B81" s="174"/>
      <c r="C81" s="257"/>
      <c r="D81" s="259"/>
      <c r="E81" s="260"/>
      <c r="F81" s="170"/>
      <c r="G81" s="164"/>
      <c r="H81" s="173"/>
      <c r="I81" s="193" t="str">
        <f t="shared" si="8"/>
        <v/>
      </c>
      <c r="J81" s="194" t="str">
        <f t="shared" si="9"/>
        <v/>
      </c>
      <c r="K81" s="197"/>
      <c r="L81" s="198"/>
      <c r="M81" s="166" t="str">
        <f t="shared" si="10"/>
        <v/>
      </c>
      <c r="N81" s="173"/>
      <c r="O81" s="173"/>
      <c r="P81" s="166" t="str">
        <f t="shared" si="11"/>
        <v/>
      </c>
      <c r="Q81" s="213" t="str">
        <f t="shared" si="12"/>
        <v/>
      </c>
      <c r="R81" s="173"/>
      <c r="S81" s="173"/>
      <c r="T81" s="217"/>
      <c r="U81" s="215" t="str">
        <f t="shared" si="13"/>
        <v/>
      </c>
      <c r="V81" s="218"/>
      <c r="Y81" s="219" t="str">
        <f t="shared" si="14"/>
        <v/>
      </c>
    </row>
    <row r="82" spans="1:25">
      <c r="A82" s="57">
        <f t="shared" si="7"/>
        <v>72</v>
      </c>
      <c r="B82" s="173"/>
      <c r="C82" s="258"/>
      <c r="D82" s="261"/>
      <c r="E82" s="262"/>
      <c r="F82" s="172"/>
      <c r="G82" s="171"/>
      <c r="H82" s="174"/>
      <c r="I82" s="193" t="str">
        <f t="shared" si="8"/>
        <v/>
      </c>
      <c r="J82" s="194" t="str">
        <f t="shared" si="9"/>
        <v/>
      </c>
      <c r="K82" s="195"/>
      <c r="L82" s="196"/>
      <c r="M82" s="166" t="str">
        <f t="shared" si="10"/>
        <v/>
      </c>
      <c r="N82" s="174"/>
      <c r="O82" s="174"/>
      <c r="P82" s="166" t="str">
        <f t="shared" si="11"/>
        <v/>
      </c>
      <c r="Q82" s="213" t="str">
        <f t="shared" si="12"/>
        <v/>
      </c>
      <c r="R82" s="174"/>
      <c r="S82" s="174"/>
      <c r="T82" s="214"/>
      <c r="U82" s="215" t="str">
        <f t="shared" si="13"/>
        <v/>
      </c>
      <c r="V82" s="216"/>
      <c r="Y82" s="219" t="str">
        <f t="shared" si="14"/>
        <v/>
      </c>
    </row>
    <row r="83" spans="1:25">
      <c r="A83" s="165">
        <f t="shared" si="7"/>
        <v>73</v>
      </c>
      <c r="B83" s="174"/>
      <c r="C83" s="257"/>
      <c r="D83" s="259"/>
      <c r="E83" s="260"/>
      <c r="F83" s="170"/>
      <c r="G83" s="164"/>
      <c r="H83" s="173"/>
      <c r="I83" s="193" t="str">
        <f t="shared" si="8"/>
        <v/>
      </c>
      <c r="J83" s="194" t="str">
        <f t="shared" si="9"/>
        <v/>
      </c>
      <c r="K83" s="197"/>
      <c r="L83" s="198"/>
      <c r="M83" s="166" t="str">
        <f t="shared" si="10"/>
        <v/>
      </c>
      <c r="N83" s="173"/>
      <c r="O83" s="173"/>
      <c r="P83" s="166" t="str">
        <f t="shared" si="11"/>
        <v/>
      </c>
      <c r="Q83" s="213" t="str">
        <f t="shared" si="12"/>
        <v/>
      </c>
      <c r="R83" s="173"/>
      <c r="S83" s="173"/>
      <c r="T83" s="217"/>
      <c r="U83" s="215" t="str">
        <f t="shared" si="13"/>
        <v/>
      </c>
      <c r="V83" s="218"/>
      <c r="Y83" s="219" t="str">
        <f t="shared" si="14"/>
        <v/>
      </c>
    </row>
    <row r="84" spans="1:25">
      <c r="A84" s="57">
        <f t="shared" si="7"/>
        <v>74</v>
      </c>
      <c r="B84" s="173"/>
      <c r="C84" s="258"/>
      <c r="D84" s="261"/>
      <c r="E84" s="262"/>
      <c r="F84" s="172"/>
      <c r="G84" s="171"/>
      <c r="H84" s="174"/>
      <c r="I84" s="193" t="str">
        <f t="shared" si="8"/>
        <v/>
      </c>
      <c r="J84" s="194" t="str">
        <f t="shared" si="9"/>
        <v/>
      </c>
      <c r="K84" s="195"/>
      <c r="L84" s="196"/>
      <c r="M84" s="166" t="str">
        <f t="shared" si="10"/>
        <v/>
      </c>
      <c r="N84" s="174"/>
      <c r="O84" s="174"/>
      <c r="P84" s="166" t="str">
        <f t="shared" si="11"/>
        <v/>
      </c>
      <c r="Q84" s="213" t="str">
        <f t="shared" si="12"/>
        <v/>
      </c>
      <c r="R84" s="174"/>
      <c r="S84" s="174"/>
      <c r="T84" s="214"/>
      <c r="U84" s="215" t="str">
        <f t="shared" si="13"/>
        <v/>
      </c>
      <c r="V84" s="216"/>
      <c r="Y84" s="219" t="str">
        <f t="shared" si="14"/>
        <v/>
      </c>
    </row>
    <row r="85" spans="1:25">
      <c r="A85" s="165">
        <f t="shared" si="7"/>
        <v>75</v>
      </c>
      <c r="B85" s="174"/>
      <c r="C85" s="257"/>
      <c r="D85" s="259"/>
      <c r="E85" s="260"/>
      <c r="F85" s="170"/>
      <c r="G85" s="164"/>
      <c r="H85" s="173"/>
      <c r="I85" s="193" t="str">
        <f t="shared" si="8"/>
        <v/>
      </c>
      <c r="J85" s="194" t="str">
        <f t="shared" si="9"/>
        <v/>
      </c>
      <c r="K85" s="197"/>
      <c r="L85" s="198"/>
      <c r="M85" s="166" t="str">
        <f t="shared" si="10"/>
        <v/>
      </c>
      <c r="N85" s="173"/>
      <c r="O85" s="173"/>
      <c r="P85" s="166" t="str">
        <f t="shared" si="11"/>
        <v/>
      </c>
      <c r="Q85" s="213" t="str">
        <f t="shared" si="12"/>
        <v/>
      </c>
      <c r="R85" s="173"/>
      <c r="S85" s="173"/>
      <c r="T85" s="217"/>
      <c r="U85" s="215" t="str">
        <f t="shared" si="13"/>
        <v/>
      </c>
      <c r="V85" s="218"/>
      <c r="Y85" s="219" t="str">
        <f t="shared" si="14"/>
        <v/>
      </c>
    </row>
    <row r="86" spans="1:25">
      <c r="A86" s="57">
        <f t="shared" si="7"/>
        <v>76</v>
      </c>
      <c r="B86" s="173"/>
      <c r="C86" s="258"/>
      <c r="D86" s="261"/>
      <c r="E86" s="262"/>
      <c r="F86" s="172"/>
      <c r="G86" s="171"/>
      <c r="H86" s="174"/>
      <c r="I86" s="193" t="str">
        <f t="shared" si="8"/>
        <v/>
      </c>
      <c r="J86" s="194" t="str">
        <f t="shared" si="9"/>
        <v/>
      </c>
      <c r="K86" s="195"/>
      <c r="L86" s="196"/>
      <c r="M86" s="166" t="str">
        <f t="shared" si="10"/>
        <v/>
      </c>
      <c r="N86" s="174"/>
      <c r="O86" s="174"/>
      <c r="P86" s="166" t="str">
        <f t="shared" si="11"/>
        <v/>
      </c>
      <c r="Q86" s="213" t="str">
        <f t="shared" si="12"/>
        <v/>
      </c>
      <c r="R86" s="174"/>
      <c r="S86" s="174"/>
      <c r="T86" s="214"/>
      <c r="U86" s="215" t="str">
        <f t="shared" si="13"/>
        <v/>
      </c>
      <c r="V86" s="216"/>
      <c r="Y86" s="219" t="str">
        <f t="shared" si="14"/>
        <v/>
      </c>
    </row>
    <row r="87" spans="1:25">
      <c r="A87" s="165">
        <f t="shared" si="7"/>
        <v>77</v>
      </c>
      <c r="B87" s="174"/>
      <c r="C87" s="257"/>
      <c r="D87" s="259"/>
      <c r="E87" s="260"/>
      <c r="F87" s="170"/>
      <c r="G87" s="164"/>
      <c r="H87" s="173"/>
      <c r="I87" s="193" t="str">
        <f t="shared" si="8"/>
        <v/>
      </c>
      <c r="J87" s="194" t="str">
        <f t="shared" si="9"/>
        <v/>
      </c>
      <c r="K87" s="197"/>
      <c r="L87" s="198"/>
      <c r="M87" s="166" t="str">
        <f t="shared" si="10"/>
        <v/>
      </c>
      <c r="N87" s="173"/>
      <c r="O87" s="173"/>
      <c r="P87" s="166" t="str">
        <f t="shared" si="11"/>
        <v/>
      </c>
      <c r="Q87" s="213" t="str">
        <f t="shared" si="12"/>
        <v/>
      </c>
      <c r="R87" s="173"/>
      <c r="S87" s="173"/>
      <c r="T87" s="217"/>
      <c r="U87" s="215" t="str">
        <f t="shared" si="13"/>
        <v/>
      </c>
      <c r="V87" s="218"/>
      <c r="Y87" s="219" t="str">
        <f t="shared" si="14"/>
        <v/>
      </c>
    </row>
    <row r="88" spans="1:25">
      <c r="A88" s="57">
        <f t="shared" si="7"/>
        <v>78</v>
      </c>
      <c r="B88" s="173"/>
      <c r="C88" s="258"/>
      <c r="D88" s="261"/>
      <c r="E88" s="262"/>
      <c r="F88" s="172"/>
      <c r="G88" s="171"/>
      <c r="H88" s="174"/>
      <c r="I88" s="193" t="str">
        <f t="shared" si="8"/>
        <v/>
      </c>
      <c r="J88" s="194" t="str">
        <f t="shared" si="9"/>
        <v/>
      </c>
      <c r="K88" s="195"/>
      <c r="L88" s="196"/>
      <c r="M88" s="166" t="str">
        <f t="shared" si="10"/>
        <v/>
      </c>
      <c r="N88" s="174"/>
      <c r="O88" s="174"/>
      <c r="P88" s="166" t="str">
        <f t="shared" si="11"/>
        <v/>
      </c>
      <c r="Q88" s="213" t="str">
        <f t="shared" si="12"/>
        <v/>
      </c>
      <c r="R88" s="174"/>
      <c r="S88" s="174"/>
      <c r="T88" s="214"/>
      <c r="U88" s="215" t="str">
        <f t="shared" si="13"/>
        <v/>
      </c>
      <c r="V88" s="216"/>
      <c r="Y88" s="219" t="str">
        <f t="shared" si="14"/>
        <v/>
      </c>
    </row>
    <row r="89" spans="1:25">
      <c r="A89" s="165">
        <f t="shared" si="7"/>
        <v>79</v>
      </c>
      <c r="B89" s="174"/>
      <c r="C89" s="257"/>
      <c r="D89" s="259"/>
      <c r="E89" s="260"/>
      <c r="F89" s="170"/>
      <c r="G89" s="164"/>
      <c r="H89" s="173"/>
      <c r="I89" s="193" t="str">
        <f t="shared" si="8"/>
        <v/>
      </c>
      <c r="J89" s="194" t="str">
        <f t="shared" si="9"/>
        <v/>
      </c>
      <c r="K89" s="197"/>
      <c r="L89" s="198"/>
      <c r="M89" s="166" t="str">
        <f t="shared" si="10"/>
        <v/>
      </c>
      <c r="N89" s="173"/>
      <c r="O89" s="173"/>
      <c r="P89" s="166" t="str">
        <f t="shared" si="11"/>
        <v/>
      </c>
      <c r="Q89" s="213" t="str">
        <f t="shared" si="12"/>
        <v/>
      </c>
      <c r="R89" s="173"/>
      <c r="S89" s="173"/>
      <c r="T89" s="217"/>
      <c r="U89" s="215" t="str">
        <f t="shared" si="13"/>
        <v/>
      </c>
      <c r="V89" s="218"/>
      <c r="Y89" s="219" t="str">
        <f t="shared" si="14"/>
        <v/>
      </c>
    </row>
    <row r="90" spans="1:25">
      <c r="A90" s="57">
        <f t="shared" si="7"/>
        <v>80</v>
      </c>
      <c r="B90" s="173"/>
      <c r="C90" s="258"/>
      <c r="D90" s="261"/>
      <c r="E90" s="262"/>
      <c r="F90" s="172"/>
      <c r="G90" s="171"/>
      <c r="H90" s="174"/>
      <c r="I90" s="193" t="str">
        <f t="shared" si="8"/>
        <v/>
      </c>
      <c r="J90" s="194" t="str">
        <f t="shared" si="9"/>
        <v/>
      </c>
      <c r="K90" s="195"/>
      <c r="L90" s="196"/>
      <c r="M90" s="166" t="str">
        <f t="shared" si="10"/>
        <v/>
      </c>
      <c r="N90" s="174"/>
      <c r="O90" s="174"/>
      <c r="P90" s="166" t="str">
        <f t="shared" si="11"/>
        <v/>
      </c>
      <c r="Q90" s="213" t="str">
        <f t="shared" si="12"/>
        <v/>
      </c>
      <c r="R90" s="174"/>
      <c r="S90" s="174"/>
      <c r="T90" s="214"/>
      <c r="U90" s="215" t="str">
        <f t="shared" si="13"/>
        <v/>
      </c>
      <c r="V90" s="216"/>
      <c r="Y90" s="219" t="str">
        <f t="shared" si="14"/>
        <v/>
      </c>
    </row>
    <row r="91" spans="1:25">
      <c r="A91" s="165">
        <f t="shared" si="7"/>
        <v>81</v>
      </c>
      <c r="B91" s="174"/>
      <c r="C91" s="257"/>
      <c r="D91" s="259"/>
      <c r="E91" s="260"/>
      <c r="F91" s="170"/>
      <c r="G91" s="164"/>
      <c r="H91" s="173"/>
      <c r="I91" s="193" t="str">
        <f t="shared" si="8"/>
        <v/>
      </c>
      <c r="J91" s="194" t="str">
        <f t="shared" si="9"/>
        <v/>
      </c>
      <c r="K91" s="197"/>
      <c r="L91" s="198"/>
      <c r="M91" s="166" t="str">
        <f t="shared" si="10"/>
        <v/>
      </c>
      <c r="N91" s="173"/>
      <c r="O91" s="173"/>
      <c r="P91" s="166" t="str">
        <f t="shared" si="11"/>
        <v/>
      </c>
      <c r="Q91" s="213" t="str">
        <f t="shared" si="12"/>
        <v/>
      </c>
      <c r="R91" s="173"/>
      <c r="S91" s="173"/>
      <c r="T91" s="217"/>
      <c r="U91" s="215" t="str">
        <f t="shared" si="13"/>
        <v/>
      </c>
      <c r="V91" s="218"/>
      <c r="Y91" s="219" t="str">
        <f t="shared" si="14"/>
        <v/>
      </c>
    </row>
    <row r="92" spans="1:25">
      <c r="A92" s="57">
        <f t="shared" si="7"/>
        <v>82</v>
      </c>
      <c r="B92" s="173"/>
      <c r="C92" s="258"/>
      <c r="D92" s="261"/>
      <c r="E92" s="262"/>
      <c r="F92" s="172"/>
      <c r="G92" s="171"/>
      <c r="H92" s="174"/>
      <c r="I92" s="193" t="str">
        <f t="shared" si="8"/>
        <v/>
      </c>
      <c r="J92" s="194" t="str">
        <f t="shared" si="9"/>
        <v/>
      </c>
      <c r="K92" s="195"/>
      <c r="L92" s="196"/>
      <c r="M92" s="166" t="str">
        <f t="shared" si="10"/>
        <v/>
      </c>
      <c r="N92" s="174"/>
      <c r="O92" s="174"/>
      <c r="P92" s="166" t="str">
        <f t="shared" si="11"/>
        <v/>
      </c>
      <c r="Q92" s="213" t="str">
        <f t="shared" si="12"/>
        <v/>
      </c>
      <c r="R92" s="174"/>
      <c r="S92" s="174"/>
      <c r="T92" s="214"/>
      <c r="U92" s="215" t="str">
        <f t="shared" si="13"/>
        <v/>
      </c>
      <c r="V92" s="216"/>
      <c r="Y92" s="219" t="str">
        <f t="shared" si="14"/>
        <v/>
      </c>
    </row>
    <row r="93" spans="1:25">
      <c r="A93" s="165">
        <f t="shared" si="7"/>
        <v>83</v>
      </c>
      <c r="B93" s="174"/>
      <c r="C93" s="257"/>
      <c r="D93" s="259"/>
      <c r="E93" s="260"/>
      <c r="F93" s="170"/>
      <c r="G93" s="164"/>
      <c r="H93" s="173"/>
      <c r="I93" s="193" t="str">
        <f t="shared" si="8"/>
        <v/>
      </c>
      <c r="J93" s="194" t="str">
        <f t="shared" si="9"/>
        <v/>
      </c>
      <c r="K93" s="197"/>
      <c r="L93" s="198"/>
      <c r="M93" s="166" t="str">
        <f t="shared" si="10"/>
        <v/>
      </c>
      <c r="N93" s="173"/>
      <c r="O93" s="173"/>
      <c r="P93" s="166" t="str">
        <f t="shared" si="11"/>
        <v/>
      </c>
      <c r="Q93" s="213" t="str">
        <f t="shared" si="12"/>
        <v/>
      </c>
      <c r="R93" s="173"/>
      <c r="S93" s="173"/>
      <c r="T93" s="217"/>
      <c r="U93" s="215" t="str">
        <f t="shared" si="13"/>
        <v/>
      </c>
      <c r="V93" s="218"/>
      <c r="Y93" s="219" t="str">
        <f t="shared" si="14"/>
        <v/>
      </c>
    </row>
    <row r="94" spans="1:25">
      <c r="A94" s="57">
        <f t="shared" si="7"/>
        <v>84</v>
      </c>
      <c r="B94" s="173"/>
      <c r="C94" s="258"/>
      <c r="D94" s="261"/>
      <c r="E94" s="262"/>
      <c r="F94" s="172"/>
      <c r="G94" s="171"/>
      <c r="H94" s="174"/>
      <c r="I94" s="193" t="str">
        <f t="shared" si="8"/>
        <v/>
      </c>
      <c r="J94" s="194" t="str">
        <f t="shared" si="9"/>
        <v/>
      </c>
      <c r="K94" s="195"/>
      <c r="L94" s="196"/>
      <c r="M94" s="166" t="str">
        <f t="shared" si="10"/>
        <v/>
      </c>
      <c r="N94" s="174"/>
      <c r="O94" s="174"/>
      <c r="P94" s="166" t="str">
        <f t="shared" si="11"/>
        <v/>
      </c>
      <c r="Q94" s="213" t="str">
        <f t="shared" si="12"/>
        <v/>
      </c>
      <c r="R94" s="174"/>
      <c r="S94" s="174"/>
      <c r="T94" s="214"/>
      <c r="U94" s="215" t="str">
        <f t="shared" si="13"/>
        <v/>
      </c>
      <c r="V94" s="216"/>
      <c r="Y94" s="219" t="str">
        <f t="shared" si="14"/>
        <v/>
      </c>
    </row>
    <row r="95" spans="1:25">
      <c r="A95" s="165">
        <f t="shared" si="7"/>
        <v>85</v>
      </c>
      <c r="B95" s="174"/>
      <c r="C95" s="257"/>
      <c r="D95" s="259"/>
      <c r="E95" s="260"/>
      <c r="F95" s="170"/>
      <c r="G95" s="164"/>
      <c r="H95" s="173"/>
      <c r="I95" s="193" t="str">
        <f t="shared" si="8"/>
        <v/>
      </c>
      <c r="J95" s="194" t="str">
        <f t="shared" si="9"/>
        <v/>
      </c>
      <c r="K95" s="197"/>
      <c r="L95" s="198"/>
      <c r="M95" s="166" t="str">
        <f t="shared" si="10"/>
        <v/>
      </c>
      <c r="N95" s="173"/>
      <c r="O95" s="173"/>
      <c r="P95" s="166" t="str">
        <f t="shared" si="11"/>
        <v/>
      </c>
      <c r="Q95" s="213" t="str">
        <f t="shared" si="12"/>
        <v/>
      </c>
      <c r="R95" s="173"/>
      <c r="S95" s="173"/>
      <c r="T95" s="217"/>
      <c r="U95" s="215" t="str">
        <f t="shared" si="13"/>
        <v/>
      </c>
      <c r="V95" s="218"/>
      <c r="Y95" s="219" t="str">
        <f t="shared" si="14"/>
        <v/>
      </c>
    </row>
    <row r="96" spans="1:25">
      <c r="A96" s="57">
        <f t="shared" si="7"/>
        <v>86</v>
      </c>
      <c r="B96" s="173"/>
      <c r="C96" s="258"/>
      <c r="D96" s="261"/>
      <c r="E96" s="262"/>
      <c r="F96" s="172"/>
      <c r="G96" s="171"/>
      <c r="H96" s="174"/>
      <c r="I96" s="193" t="str">
        <f t="shared" si="8"/>
        <v/>
      </c>
      <c r="J96" s="194" t="str">
        <f t="shared" si="9"/>
        <v/>
      </c>
      <c r="K96" s="195"/>
      <c r="L96" s="196"/>
      <c r="M96" s="166" t="str">
        <f t="shared" si="10"/>
        <v/>
      </c>
      <c r="N96" s="174"/>
      <c r="O96" s="174"/>
      <c r="P96" s="166" t="str">
        <f t="shared" si="11"/>
        <v/>
      </c>
      <c r="Q96" s="213" t="str">
        <f t="shared" si="12"/>
        <v/>
      </c>
      <c r="R96" s="174"/>
      <c r="S96" s="174"/>
      <c r="T96" s="214"/>
      <c r="U96" s="215" t="str">
        <f t="shared" si="13"/>
        <v/>
      </c>
      <c r="V96" s="216"/>
      <c r="Y96" s="219" t="str">
        <f t="shared" si="14"/>
        <v/>
      </c>
    </row>
    <row r="97" spans="1:25">
      <c r="A97" s="165">
        <f t="shared" si="7"/>
        <v>87</v>
      </c>
      <c r="B97" s="174"/>
      <c r="C97" s="257"/>
      <c r="D97" s="259"/>
      <c r="E97" s="260"/>
      <c r="F97" s="170"/>
      <c r="G97" s="164"/>
      <c r="H97" s="173"/>
      <c r="I97" s="193" t="str">
        <f t="shared" si="8"/>
        <v/>
      </c>
      <c r="J97" s="194" t="str">
        <f t="shared" si="9"/>
        <v/>
      </c>
      <c r="K97" s="197"/>
      <c r="L97" s="198"/>
      <c r="M97" s="166" t="str">
        <f t="shared" si="10"/>
        <v/>
      </c>
      <c r="N97" s="173"/>
      <c r="O97" s="173"/>
      <c r="P97" s="166" t="str">
        <f t="shared" si="11"/>
        <v/>
      </c>
      <c r="Q97" s="213" t="str">
        <f t="shared" si="12"/>
        <v/>
      </c>
      <c r="R97" s="173"/>
      <c r="S97" s="173"/>
      <c r="T97" s="217"/>
      <c r="U97" s="215" t="str">
        <f t="shared" si="13"/>
        <v/>
      </c>
      <c r="V97" s="218"/>
      <c r="Y97" s="219" t="str">
        <f t="shared" si="14"/>
        <v/>
      </c>
    </row>
    <row r="98" spans="1:25">
      <c r="A98" s="57">
        <f t="shared" si="7"/>
        <v>88</v>
      </c>
      <c r="B98" s="173"/>
      <c r="C98" s="258"/>
      <c r="D98" s="261"/>
      <c r="E98" s="262"/>
      <c r="F98" s="172"/>
      <c r="G98" s="171"/>
      <c r="H98" s="174"/>
      <c r="I98" s="193" t="str">
        <f t="shared" si="8"/>
        <v/>
      </c>
      <c r="J98" s="194" t="str">
        <f t="shared" si="9"/>
        <v/>
      </c>
      <c r="K98" s="195"/>
      <c r="L98" s="196"/>
      <c r="M98" s="166" t="str">
        <f t="shared" si="10"/>
        <v/>
      </c>
      <c r="N98" s="174"/>
      <c r="O98" s="174"/>
      <c r="P98" s="166" t="str">
        <f t="shared" si="11"/>
        <v/>
      </c>
      <c r="Q98" s="213" t="str">
        <f t="shared" si="12"/>
        <v/>
      </c>
      <c r="R98" s="174"/>
      <c r="S98" s="174"/>
      <c r="T98" s="214"/>
      <c r="U98" s="215" t="str">
        <f t="shared" si="13"/>
        <v/>
      </c>
      <c r="V98" s="216"/>
      <c r="Y98" s="219" t="str">
        <f t="shared" si="14"/>
        <v/>
      </c>
    </row>
    <row r="99" spans="1:25">
      <c r="A99" s="165">
        <f t="shared" si="7"/>
        <v>89</v>
      </c>
      <c r="B99" s="174"/>
      <c r="C99" s="257"/>
      <c r="D99" s="259"/>
      <c r="E99" s="260"/>
      <c r="F99" s="170"/>
      <c r="G99" s="164"/>
      <c r="H99" s="173"/>
      <c r="I99" s="193" t="str">
        <f t="shared" si="8"/>
        <v/>
      </c>
      <c r="J99" s="194" t="str">
        <f t="shared" si="9"/>
        <v/>
      </c>
      <c r="K99" s="197"/>
      <c r="L99" s="198"/>
      <c r="M99" s="166" t="str">
        <f t="shared" si="10"/>
        <v/>
      </c>
      <c r="N99" s="173"/>
      <c r="O99" s="173"/>
      <c r="P99" s="166" t="str">
        <f t="shared" si="11"/>
        <v/>
      </c>
      <c r="Q99" s="213" t="str">
        <f t="shared" si="12"/>
        <v/>
      </c>
      <c r="R99" s="173"/>
      <c r="S99" s="173"/>
      <c r="T99" s="217"/>
      <c r="U99" s="215" t="str">
        <f t="shared" si="13"/>
        <v/>
      </c>
      <c r="V99" s="218"/>
      <c r="Y99" s="219" t="str">
        <f t="shared" si="14"/>
        <v/>
      </c>
    </row>
    <row r="100" spans="1:25">
      <c r="A100" s="57">
        <f t="shared" si="7"/>
        <v>90</v>
      </c>
      <c r="B100" s="173"/>
      <c r="C100" s="258"/>
      <c r="D100" s="261"/>
      <c r="E100" s="262"/>
      <c r="F100" s="172"/>
      <c r="G100" s="171"/>
      <c r="H100" s="174"/>
      <c r="I100" s="193" t="str">
        <f t="shared" si="8"/>
        <v/>
      </c>
      <c r="J100" s="194" t="str">
        <f t="shared" si="9"/>
        <v/>
      </c>
      <c r="K100" s="195"/>
      <c r="L100" s="196"/>
      <c r="M100" s="166" t="str">
        <f t="shared" si="10"/>
        <v/>
      </c>
      <c r="N100" s="174"/>
      <c r="O100" s="174"/>
      <c r="P100" s="166" t="str">
        <f t="shared" si="11"/>
        <v/>
      </c>
      <c r="Q100" s="213" t="str">
        <f t="shared" si="12"/>
        <v/>
      </c>
      <c r="R100" s="174"/>
      <c r="S100" s="174"/>
      <c r="T100" s="214"/>
      <c r="U100" s="215" t="str">
        <f t="shared" si="13"/>
        <v/>
      </c>
      <c r="V100" s="216"/>
      <c r="Y100" s="219" t="str">
        <f t="shared" si="14"/>
        <v/>
      </c>
    </row>
    <row r="101" spans="1:25">
      <c r="A101" s="165">
        <f t="shared" si="7"/>
        <v>91</v>
      </c>
      <c r="B101" s="174"/>
      <c r="C101" s="257"/>
      <c r="D101" s="259"/>
      <c r="E101" s="260"/>
      <c r="F101" s="170"/>
      <c r="G101" s="164"/>
      <c r="H101" s="173"/>
      <c r="I101" s="193" t="str">
        <f t="shared" si="8"/>
        <v/>
      </c>
      <c r="J101" s="194" t="str">
        <f t="shared" si="9"/>
        <v/>
      </c>
      <c r="K101" s="197"/>
      <c r="L101" s="198"/>
      <c r="M101" s="166" t="str">
        <f t="shared" si="10"/>
        <v/>
      </c>
      <c r="N101" s="173"/>
      <c r="O101" s="173"/>
      <c r="P101" s="166" t="str">
        <f t="shared" si="11"/>
        <v/>
      </c>
      <c r="Q101" s="213" t="str">
        <f t="shared" si="12"/>
        <v/>
      </c>
      <c r="R101" s="173"/>
      <c r="S101" s="173"/>
      <c r="T101" s="217"/>
      <c r="U101" s="215" t="str">
        <f t="shared" si="13"/>
        <v/>
      </c>
      <c r="V101" s="218"/>
      <c r="Y101" s="219" t="str">
        <f t="shared" si="14"/>
        <v/>
      </c>
    </row>
    <row r="102" spans="1:25">
      <c r="A102" s="57">
        <f t="shared" si="7"/>
        <v>92</v>
      </c>
      <c r="B102" s="173"/>
      <c r="C102" s="258"/>
      <c r="D102" s="261"/>
      <c r="E102" s="262"/>
      <c r="F102" s="172"/>
      <c r="G102" s="171"/>
      <c r="H102" s="174"/>
      <c r="I102" s="193" t="str">
        <f t="shared" si="8"/>
        <v/>
      </c>
      <c r="J102" s="194" t="str">
        <f t="shared" si="9"/>
        <v/>
      </c>
      <c r="K102" s="195"/>
      <c r="L102" s="196"/>
      <c r="M102" s="166" t="str">
        <f t="shared" si="10"/>
        <v/>
      </c>
      <c r="N102" s="174"/>
      <c r="O102" s="174"/>
      <c r="P102" s="166" t="str">
        <f t="shared" si="11"/>
        <v/>
      </c>
      <c r="Q102" s="213" t="str">
        <f t="shared" si="12"/>
        <v/>
      </c>
      <c r="R102" s="174"/>
      <c r="S102" s="174"/>
      <c r="T102" s="214"/>
      <c r="U102" s="215" t="str">
        <f t="shared" si="13"/>
        <v/>
      </c>
      <c r="V102" s="216"/>
      <c r="Y102" s="219" t="str">
        <f t="shared" si="14"/>
        <v/>
      </c>
    </row>
    <row r="103" spans="1:25">
      <c r="A103" s="165">
        <f t="shared" si="7"/>
        <v>93</v>
      </c>
      <c r="B103" s="174"/>
      <c r="C103" s="257"/>
      <c r="D103" s="259"/>
      <c r="E103" s="260"/>
      <c r="F103" s="170"/>
      <c r="G103" s="164"/>
      <c r="H103" s="173"/>
      <c r="I103" s="193" t="str">
        <f t="shared" si="8"/>
        <v/>
      </c>
      <c r="J103" s="194" t="str">
        <f t="shared" si="9"/>
        <v/>
      </c>
      <c r="K103" s="197"/>
      <c r="L103" s="198"/>
      <c r="M103" s="166" t="str">
        <f t="shared" si="10"/>
        <v/>
      </c>
      <c r="N103" s="173"/>
      <c r="O103" s="173"/>
      <c r="P103" s="166" t="str">
        <f t="shared" si="11"/>
        <v/>
      </c>
      <c r="Q103" s="213" t="str">
        <f t="shared" si="12"/>
        <v/>
      </c>
      <c r="R103" s="173"/>
      <c r="S103" s="173"/>
      <c r="T103" s="217"/>
      <c r="U103" s="215" t="str">
        <f t="shared" si="13"/>
        <v/>
      </c>
      <c r="V103" s="218"/>
      <c r="Y103" s="219" t="str">
        <f t="shared" si="14"/>
        <v/>
      </c>
    </row>
    <row r="104" spans="1:25">
      <c r="A104" s="57">
        <f t="shared" si="7"/>
        <v>94</v>
      </c>
      <c r="B104" s="173"/>
      <c r="C104" s="258"/>
      <c r="D104" s="261"/>
      <c r="E104" s="262"/>
      <c r="F104" s="172"/>
      <c r="G104" s="171"/>
      <c r="H104" s="174"/>
      <c r="I104" s="193" t="str">
        <f t="shared" si="8"/>
        <v/>
      </c>
      <c r="J104" s="194" t="str">
        <f t="shared" si="9"/>
        <v/>
      </c>
      <c r="K104" s="195"/>
      <c r="L104" s="196"/>
      <c r="M104" s="166" t="str">
        <f t="shared" si="10"/>
        <v/>
      </c>
      <c r="N104" s="174"/>
      <c r="O104" s="174"/>
      <c r="P104" s="166" t="str">
        <f t="shared" si="11"/>
        <v/>
      </c>
      <c r="Q104" s="213" t="str">
        <f t="shared" si="12"/>
        <v/>
      </c>
      <c r="R104" s="174"/>
      <c r="S104" s="174"/>
      <c r="T104" s="214"/>
      <c r="U104" s="215" t="str">
        <f t="shared" si="13"/>
        <v/>
      </c>
      <c r="V104" s="216"/>
      <c r="Y104" s="219" t="str">
        <f t="shared" si="14"/>
        <v/>
      </c>
    </row>
    <row r="105" spans="1:25">
      <c r="A105" s="165">
        <f t="shared" si="7"/>
        <v>95</v>
      </c>
      <c r="B105" s="174"/>
      <c r="C105" s="257"/>
      <c r="D105" s="259"/>
      <c r="E105" s="260"/>
      <c r="F105" s="170"/>
      <c r="G105" s="164"/>
      <c r="H105" s="173"/>
      <c r="I105" s="193" t="str">
        <f t="shared" si="8"/>
        <v/>
      </c>
      <c r="J105" s="194" t="str">
        <f t="shared" si="9"/>
        <v/>
      </c>
      <c r="K105" s="197"/>
      <c r="L105" s="198"/>
      <c r="M105" s="166" t="str">
        <f t="shared" si="10"/>
        <v/>
      </c>
      <c r="N105" s="173"/>
      <c r="O105" s="173"/>
      <c r="P105" s="166" t="str">
        <f t="shared" si="11"/>
        <v/>
      </c>
      <c r="Q105" s="213" t="str">
        <f t="shared" si="12"/>
        <v/>
      </c>
      <c r="R105" s="173"/>
      <c r="S105" s="173"/>
      <c r="T105" s="217"/>
      <c r="U105" s="215" t="str">
        <f t="shared" si="13"/>
        <v/>
      </c>
      <c r="V105" s="218"/>
      <c r="Y105" s="219" t="str">
        <f t="shared" si="14"/>
        <v/>
      </c>
    </row>
    <row r="106" spans="1:25">
      <c r="A106" s="57">
        <f t="shared" si="7"/>
        <v>96</v>
      </c>
      <c r="B106" s="173"/>
      <c r="C106" s="258"/>
      <c r="D106" s="261"/>
      <c r="E106" s="262"/>
      <c r="F106" s="172"/>
      <c r="G106" s="171"/>
      <c r="H106" s="174"/>
      <c r="I106" s="193" t="str">
        <f t="shared" si="8"/>
        <v/>
      </c>
      <c r="J106" s="194" t="str">
        <f t="shared" si="9"/>
        <v/>
      </c>
      <c r="K106" s="195"/>
      <c r="L106" s="196"/>
      <c r="M106" s="166" t="str">
        <f t="shared" si="10"/>
        <v/>
      </c>
      <c r="N106" s="174"/>
      <c r="O106" s="174"/>
      <c r="P106" s="166" t="str">
        <f t="shared" si="11"/>
        <v/>
      </c>
      <c r="Q106" s="213" t="str">
        <f t="shared" si="12"/>
        <v/>
      </c>
      <c r="R106" s="174"/>
      <c r="S106" s="174"/>
      <c r="T106" s="214"/>
      <c r="U106" s="215" t="str">
        <f t="shared" si="13"/>
        <v/>
      </c>
      <c r="V106" s="216"/>
      <c r="Y106" s="219" t="str">
        <f t="shared" si="14"/>
        <v/>
      </c>
    </row>
    <row r="107" spans="1:25">
      <c r="A107" s="165">
        <f t="shared" si="7"/>
        <v>97</v>
      </c>
      <c r="B107" s="174"/>
      <c r="C107" s="257"/>
      <c r="D107" s="259"/>
      <c r="E107" s="260"/>
      <c r="F107" s="170"/>
      <c r="G107" s="164"/>
      <c r="H107" s="173"/>
      <c r="I107" s="193" t="str">
        <f t="shared" si="8"/>
        <v/>
      </c>
      <c r="J107" s="194" t="str">
        <f t="shared" si="9"/>
        <v/>
      </c>
      <c r="K107" s="197"/>
      <c r="L107" s="198"/>
      <c r="M107" s="166" t="str">
        <f t="shared" si="10"/>
        <v/>
      </c>
      <c r="N107" s="173"/>
      <c r="O107" s="173"/>
      <c r="P107" s="166" t="str">
        <f t="shared" si="11"/>
        <v/>
      </c>
      <c r="Q107" s="213" t="str">
        <f t="shared" si="12"/>
        <v/>
      </c>
      <c r="R107" s="173"/>
      <c r="S107" s="173"/>
      <c r="T107" s="217"/>
      <c r="U107" s="215" t="str">
        <f t="shared" si="13"/>
        <v/>
      </c>
      <c r="V107" s="218"/>
      <c r="Y107" s="219" t="str">
        <f t="shared" si="14"/>
        <v/>
      </c>
    </row>
    <row r="108" spans="1:25">
      <c r="A108" s="57">
        <f t="shared" si="7"/>
        <v>98</v>
      </c>
      <c r="B108" s="173"/>
      <c r="C108" s="258"/>
      <c r="D108" s="261"/>
      <c r="E108" s="262"/>
      <c r="F108" s="172"/>
      <c r="G108" s="171"/>
      <c r="H108" s="174"/>
      <c r="I108" s="193" t="str">
        <f t="shared" si="8"/>
        <v/>
      </c>
      <c r="J108" s="194" t="str">
        <f t="shared" si="9"/>
        <v/>
      </c>
      <c r="K108" s="195"/>
      <c r="L108" s="196"/>
      <c r="M108" s="166" t="str">
        <f t="shared" si="10"/>
        <v/>
      </c>
      <c r="N108" s="174"/>
      <c r="O108" s="174"/>
      <c r="P108" s="166" t="str">
        <f t="shared" si="11"/>
        <v/>
      </c>
      <c r="Q108" s="213" t="str">
        <f t="shared" si="12"/>
        <v/>
      </c>
      <c r="R108" s="174"/>
      <c r="S108" s="174"/>
      <c r="T108" s="214"/>
      <c r="U108" s="215" t="str">
        <f t="shared" si="13"/>
        <v/>
      </c>
      <c r="V108" s="216"/>
      <c r="Y108" s="219" t="str">
        <f t="shared" si="14"/>
        <v/>
      </c>
    </row>
    <row r="109" spans="1:25">
      <c r="A109" s="165">
        <f t="shared" si="7"/>
        <v>99</v>
      </c>
      <c r="B109" s="174"/>
      <c r="C109" s="257"/>
      <c r="D109" s="259"/>
      <c r="E109" s="260"/>
      <c r="F109" s="170"/>
      <c r="G109" s="164"/>
      <c r="H109" s="173"/>
      <c r="I109" s="193" t="str">
        <f t="shared" si="8"/>
        <v/>
      </c>
      <c r="J109" s="194" t="str">
        <f t="shared" si="9"/>
        <v/>
      </c>
      <c r="K109" s="197"/>
      <c r="L109" s="198"/>
      <c r="M109" s="166" t="str">
        <f t="shared" si="10"/>
        <v/>
      </c>
      <c r="N109" s="173"/>
      <c r="O109" s="173"/>
      <c r="P109" s="166" t="str">
        <f t="shared" si="11"/>
        <v/>
      </c>
      <c r="Q109" s="213" t="str">
        <f t="shared" si="12"/>
        <v/>
      </c>
      <c r="R109" s="173"/>
      <c r="S109" s="173"/>
      <c r="T109" s="217"/>
      <c r="U109" s="215" t="str">
        <f t="shared" si="13"/>
        <v/>
      </c>
      <c r="V109" s="218"/>
      <c r="Y109" s="219" t="str">
        <f t="shared" si="14"/>
        <v/>
      </c>
    </row>
    <row r="110" spans="1:25">
      <c r="A110" s="220">
        <v>100</v>
      </c>
      <c r="B110" s="263"/>
      <c r="C110" s="264"/>
      <c r="D110" s="265"/>
      <c r="E110" s="266"/>
      <c r="F110" s="225"/>
      <c r="G110" s="226"/>
      <c r="H110" s="227"/>
      <c r="I110" s="228" t="str">
        <f t="shared" si="8"/>
        <v/>
      </c>
      <c r="J110" s="229" t="str">
        <f t="shared" si="9"/>
        <v/>
      </c>
      <c r="K110" s="230"/>
      <c r="L110" s="231"/>
      <c r="M110" s="232" t="str">
        <f t="shared" si="10"/>
        <v/>
      </c>
      <c r="N110" s="227"/>
      <c r="O110" s="227"/>
      <c r="P110" s="232" t="str">
        <f t="shared" si="11"/>
        <v/>
      </c>
      <c r="Q110" s="233" t="str">
        <f t="shared" si="12"/>
        <v/>
      </c>
      <c r="R110" s="227"/>
      <c r="S110" s="227"/>
      <c r="T110" s="234"/>
      <c r="U110" s="235" t="str">
        <f t="shared" si="13"/>
        <v/>
      </c>
      <c r="V110" s="236"/>
      <c r="Y110" s="219" t="str">
        <f t="shared" si="14"/>
        <v/>
      </c>
    </row>
  </sheetData>
  <sheetProtection algorithmName="SHA-512" hashValue="t+xbHd8G9WiVDmEyKGPRz5qMqsdxiTO+9h2Yw0OT1F8OywqFNZ0iOsX5cQ2Q4bdd193Fb8U14Yza1wdu8vqv0A==" saltValue="8xja6o5/n8EMh/YffUt+UA==" spinCount="100000" sheet="1" objects="1" scenarios="1" formatColumns="0" formatRows="0" selectLockedCells="1" autoFilter="0"/>
  <autoFilter ref="C10:U110" xr:uid="{00000000-0009-0000-0000-000000000000}"/>
  <mergeCells count="25">
    <mergeCell ref="A3:B3"/>
    <mergeCell ref="A4:B4"/>
    <mergeCell ref="G4:H4"/>
    <mergeCell ref="A5:B5"/>
    <mergeCell ref="A6:B6"/>
    <mergeCell ref="A7:B7"/>
    <mergeCell ref="D7:E7"/>
    <mergeCell ref="N7:O7"/>
    <mergeCell ref="A8:B8"/>
    <mergeCell ref="A9:B9"/>
    <mergeCell ref="N10:O10"/>
    <mergeCell ref="F7:F9"/>
    <mergeCell ref="G7:G9"/>
    <mergeCell ref="H7:H9"/>
    <mergeCell ref="I7:I9"/>
    <mergeCell ref="J5:J9"/>
    <mergeCell ref="K8:K9"/>
    <mergeCell ref="L8:L9"/>
    <mergeCell ref="M8:M9"/>
    <mergeCell ref="P8:P9"/>
    <mergeCell ref="U6:V9"/>
    <mergeCell ref="F5:I6"/>
    <mergeCell ref="K5:P6"/>
    <mergeCell ref="Q6:T9"/>
    <mergeCell ref="N8:O9"/>
  </mergeCells>
  <conditionalFormatting sqref="C5">
    <cfRule type="containsText" dxfId="37" priority="39" operator="containsText" text="[enter school school id here]">
      <formula>NOT(ISERROR(SEARCH("[enter school school id here]",C5)))</formula>
    </cfRule>
  </conditionalFormatting>
  <conditionalFormatting sqref="C6">
    <cfRule type="containsText" dxfId="36" priority="41" operator="containsText" text="[enter teacher name here]">
      <formula>NOT(ISERROR(SEARCH("[enter teacher name here]",C6)))</formula>
    </cfRule>
  </conditionalFormatting>
  <conditionalFormatting sqref="C9">
    <cfRule type="containsText" dxfId="35" priority="18" operator="containsText" text="[choose language here]">
      <formula>NOT(ISERROR(SEARCH("[choose language here]",C9)))</formula>
    </cfRule>
  </conditionalFormatting>
  <conditionalFormatting sqref="D9:E9">
    <cfRule type="expression" dxfId="34" priority="6">
      <formula>$X$9=1</formula>
    </cfRule>
  </conditionalFormatting>
  <conditionalFormatting sqref="G11:G110">
    <cfRule type="expression" dxfId="33" priority="1">
      <formula>$F11&gt;6</formula>
    </cfRule>
  </conditionalFormatting>
  <conditionalFormatting sqref="H11:H110">
    <cfRule type="expression" dxfId="32" priority="9">
      <formula>$F11&lt;7</formula>
    </cfRule>
  </conditionalFormatting>
  <conditionalFormatting sqref="I4">
    <cfRule type="cellIs" dxfId="31" priority="17" operator="notEqual">
      <formula>$F$4</formula>
    </cfRule>
    <cfRule type="cellIs" dxfId="30" priority="48" operator="lessThan">
      <formula>#REF!+#REF!</formula>
    </cfRule>
    <cfRule type="cellIs" dxfId="29" priority="49" operator="lessThan">
      <formula>#REF!+#REF!</formula>
    </cfRule>
  </conditionalFormatting>
  <conditionalFormatting sqref="J11:J110">
    <cfRule type="containsText" dxfId="28" priority="5" operator="containsText" text="Full">
      <formula>NOT(ISERROR(SEARCH("Full",J11)))</formula>
    </cfRule>
  </conditionalFormatting>
  <conditionalFormatting sqref="K11:T110">
    <cfRule type="expression" dxfId="27" priority="7">
      <formula>$J11="Full Refresher"</formula>
    </cfRule>
  </conditionalFormatting>
  <conditionalFormatting sqref="U11:U110">
    <cfRule type="containsText" dxfId="26" priority="2" operator="containsText" text="Grade Level">
      <formula>NOT(ISERROR(SEARCH("Grade Level",U11)))</formula>
    </cfRule>
    <cfRule type="containsText" dxfId="25" priority="3" operator="containsText" text="High Emerging">
      <formula>NOT(ISERROR(SEARCH("High Emerging",U11)))</formula>
    </cfRule>
    <cfRule type="containsText" dxfId="24" priority="4" operator="containsText" text="Low">
      <formula>NOT(ISERROR(SEARCH("Low",U11)))</formula>
    </cfRule>
    <cfRule type="expression" dxfId="23" priority="8">
      <formula>AND($J11="Grade Ready",#REF!="Full Intervention")</formula>
    </cfRule>
  </conditionalFormatting>
  <dataValidations count="21">
    <dataValidation type="list" allowBlank="1" showInputMessage="1" showErrorMessage="1" sqref="C3" xr:uid="{00000000-0002-0000-0000-000000000000}">
      <formula1>"BoSY, MoSY, EoSY"</formula1>
    </dataValidation>
    <dataValidation type="whole" allowBlank="1" showInputMessage="1" showErrorMessage="1" error="Enter the 6-digit School ID" sqref="C4 A5" xr:uid="{00000000-0002-0000-0000-000001000000}">
      <formula1>100000</formula1>
      <formula2>999999</formula2>
    </dataValidation>
    <dataValidation allowBlank="1" showInputMessage="1" showErrorMessage="1" prompt="Choose Language here" sqref="G4" xr:uid="{00000000-0002-0000-0000-000002000000}"/>
    <dataValidation allowBlank="1" showInputMessage="1" showErrorMessage="1" sqref="I4" xr:uid="{00000000-0002-0000-0000-000003000000}"/>
    <dataValidation type="textLength" operator="greaterThan" showInputMessage="1" showErrorMessage="1" error="Enter School Name" sqref="C5" xr:uid="{00000000-0002-0000-0000-000004000000}">
      <formula1>5</formula1>
    </dataValidation>
    <dataValidation type="whole" allowBlank="1" showInputMessage="1" showErrorMessage="1" sqref="D6:E6" xr:uid="{00000000-0002-0000-0000-000005000000}">
      <formula1>0</formula1>
      <formula2>100</formula2>
    </dataValidation>
    <dataValidation type="whole" allowBlank="1" showInputMessage="1" showErrorMessage="1" error="Total Words per Story must be between 94 to 96" sqref="D9:E9" xr:uid="{00000000-0002-0000-0000-000007000000}">
      <formula1>94</formula1>
      <formula2>96</formula2>
    </dataValidation>
    <dataValidation allowBlank="1" showInputMessage="1" showErrorMessage="1" error="Enter Level between 1 to 4" sqref="U11:V11 U12:U110" xr:uid="{00000000-0002-0000-0000-000008000000}"/>
    <dataValidation type="list" allowBlank="1" showInputMessage="1" showErrorMessage="1" sqref="D11:D110" xr:uid="{00000000-0002-0000-0000-000009000000}">
      <formula1>"Male, Female"</formula1>
    </dataValidation>
    <dataValidation type="date" errorStyle="warning" allowBlank="1" showInputMessage="1" showErrorMessage="1" error="Enter the Date of Assessment in Correct Format (mm/dd/yy)" sqref="E11:E110" xr:uid="{00000000-0002-0000-0000-00000A000000}">
      <formula1>44197</formula1>
      <formula2>55153</formula2>
    </dataValidation>
    <dataValidation type="whole" allowBlank="1" showInputMessage="1" showErrorMessage="1" error="Enter Score between 0 to 10" sqref="F11:F110" xr:uid="{00000000-0002-0000-0000-00000B000000}">
      <formula1>0</formula1>
      <formula2>10</formula2>
    </dataValidation>
    <dataValidation type="custom" allowBlank="1" showInputMessage="1" showErrorMessage="1" errorTitle="Error Message" error="Enter value less than equal to10_x000a_If Task 1 score is greater than 6, Words should be left blank or empty." sqref="G11:G110" xr:uid="{00000000-0002-0000-0000-00000C000000}">
      <formula1>AND($F11&lt;7,$G11&lt;11)</formula1>
    </dataValidation>
    <dataValidation type="custom" allowBlank="1" showInputMessage="1" showErrorMessage="1" errorTitle="Error Message" error="Enter value less than or equal to 10_x000a_If Task 1 score is less than 7, Sentences should be left blank or empty." sqref="H11:H110" xr:uid="{00000000-0002-0000-0000-00000D000000}">
      <formula1>AND($F11&gt;6,$H11&lt;11)</formula1>
    </dataValidation>
    <dataValidation type="whole" allowBlank="1" showInputMessage="1" showErrorMessage="1" error="Story 1 or 2" sqref="K11:K110" xr:uid="{00000000-0002-0000-0000-00000E000000}">
      <formula1>1</formula1>
      <formula2>2</formula2>
    </dataValidation>
    <dataValidation type="whole" allowBlank="1" showInputMessage="1" showErrorMessage="1" error="Enter Number of Miscue" sqref="L11:L110" xr:uid="{00000000-0002-0000-0000-00000F000000}">
      <formula1>0</formula1>
      <formula2>96</formula2>
    </dataValidation>
    <dataValidation allowBlank="1" showInputMessage="1" showErrorMessage="1" errorTitle="Error Message" error="Total Number of Words must be less than or equal to 96" sqref="M11:M110" xr:uid="{00000000-0002-0000-0000-000010000000}"/>
    <dataValidation type="whole" allowBlank="1" showInputMessage="1" showErrorMessage="1" errorTitle="Error Message" error="Must not exceed 2 minutes" sqref="N11:N110" xr:uid="{00000000-0002-0000-0000-000011000000}">
      <formula1>0</formula1>
      <formula2>2</formula2>
    </dataValidation>
    <dataValidation type="whole" allowBlank="1" showInputMessage="1" showErrorMessage="1" errorTitle="Error Message" error="Number of seconds between 0 to 59" sqref="O11:O110" xr:uid="{00000000-0002-0000-0000-000012000000}">
      <formula1>0</formula1>
      <formula2>59</formula2>
    </dataValidation>
    <dataValidation type="whole" allowBlank="1" showInputMessage="1" showErrorMessage="1" error="Enter Answer between 0 to 6" sqref="R11:R110" xr:uid="{00000000-0002-0000-0000-000013000000}">
      <formula1>0</formula1>
      <formula2>6</formula2>
    </dataValidation>
    <dataValidation type="whole" allowBlank="1" showInputMessage="1" showErrorMessage="1" error="Enter Leaner Experience from 1 - 5" sqref="S11:S110" xr:uid="{00000000-0002-0000-0000-000014000000}">
      <formula1>1</formula1>
      <formula2>5</formula2>
    </dataValidation>
    <dataValidation type="list" allowBlank="1" showInputMessage="1" showErrorMessage="1" error="Enter Level between 1 to 4" sqref="T11:T110" xr:uid="{00000000-0002-0000-0000-000015000000}">
      <formula1>"Level 1, Level 2, Level 3, Level 4"</formula1>
    </dataValidation>
  </dataValidations>
  <pageMargins left="0.25" right="0.25" top="1.4" bottom="3.18" header="0.3" footer="0.3"/>
  <pageSetup paperSize="10000" scale="55" orientation="landscape"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prompt="Choose Language here" xr:uid="{00000000-0002-0000-0000-000006000000}">
          <x14:formula1>
            <xm:f>List!$C$2:$C$35</xm:f>
          </x14:formula1>
          <xm:sqref>C9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dimension ref="A1:XFC115"/>
  <sheetViews>
    <sheetView zoomScale="61" zoomScaleNormal="70" workbookViewId="0">
      <pane xSplit="3" ySplit="10" topLeftCell="I11" activePane="bottomRight" state="frozen"/>
      <selection pane="bottomRight" activeCell="R21" sqref="R21"/>
      <selection pane="bottomLeft"/>
      <selection pane="topRight"/>
    </sheetView>
  </sheetViews>
  <sheetFormatPr defaultColWidth="10.625" defaultRowHeight="14.45" customHeight="1" zeroHeight="1"/>
  <cols>
    <col min="1" max="1" width="4.875" customWidth="1"/>
    <col min="2" max="2" width="15.5" style="2" customWidth="1"/>
    <col min="3" max="3" width="28.5" customWidth="1"/>
    <col min="4" max="4" width="12.125" style="1" customWidth="1"/>
    <col min="5" max="5" width="11.625" style="1" customWidth="1"/>
    <col min="6" max="6" width="10.375" style="1" customWidth="1"/>
    <col min="7" max="7" width="10.5" style="1" customWidth="1"/>
    <col min="8" max="8" width="9.5" style="1" customWidth="1"/>
    <col min="9" max="9" width="9.125" style="1" customWidth="1"/>
    <col min="10" max="10" width="19.625" style="139" customWidth="1"/>
    <col min="11" max="11" width="10" style="1" customWidth="1"/>
    <col min="12" max="12" width="8.625" style="1" customWidth="1"/>
    <col min="13" max="13" width="9.5" style="1" customWidth="1"/>
    <col min="14" max="14" width="6.125" style="1" customWidth="1"/>
    <col min="15" max="15" width="5.125" style="1" customWidth="1"/>
    <col min="16" max="16" width="10.375" style="1" customWidth="1"/>
    <col min="17" max="17" width="9.5" style="1" customWidth="1"/>
    <col min="18" max="18" width="10.875" style="1" customWidth="1"/>
    <col min="19" max="19" width="11.875" style="1" customWidth="1"/>
    <col min="20" max="20" width="10.875" style="1" customWidth="1"/>
    <col min="21" max="21" width="21" style="1" customWidth="1"/>
    <col min="22" max="22" width="34" customWidth="1"/>
    <col min="23" max="23" width="8.875" customWidth="1"/>
    <col min="24" max="16383" width="10.625" hidden="1" customWidth="1"/>
  </cols>
  <sheetData>
    <row r="1" spans="1:26" ht="22.35" customHeight="1">
      <c r="A1" t="str">
        <f>'G2 MT Reading Scoresheet'!$A$1</f>
        <v>CRLA2v1</v>
      </c>
    </row>
    <row r="2" spans="1:26" ht="18" customHeight="1"/>
    <row r="3" spans="1:26" ht="27" customHeight="1">
      <c r="A3" s="305" t="s">
        <v>1</v>
      </c>
      <c r="B3" s="306"/>
      <c r="C3" s="140" t="str">
        <f>'G2 MT Reading Scoresheet'!$C$3</f>
        <v>EoSY</v>
      </c>
    </row>
    <row r="4" spans="1:26" ht="18.600000000000001" customHeight="1">
      <c r="A4" s="307" t="s">
        <v>3</v>
      </c>
      <c r="B4" s="308"/>
      <c r="C4" s="141">
        <f>'G2 MT Reading Scoresheet'!C4</f>
        <v>117443</v>
      </c>
      <c r="D4" s="319" t="s">
        <v>4</v>
      </c>
      <c r="E4" s="320"/>
      <c r="F4" s="142">
        <f>D6+E6</f>
        <v>15</v>
      </c>
      <c r="G4" s="309" t="s">
        <v>5</v>
      </c>
      <c r="H4" s="309"/>
      <c r="I4" s="178">
        <f>COUNTIF(F11:F110,"&lt;&gt;")</f>
        <v>15</v>
      </c>
      <c r="J4" s="179"/>
      <c r="K4" s="180"/>
      <c r="L4" s="180"/>
      <c r="M4" s="180"/>
      <c r="N4" s="180"/>
      <c r="O4" s="180"/>
      <c r="P4" s="180"/>
      <c r="Q4" s="180"/>
      <c r="R4" s="180"/>
      <c r="S4" s="180"/>
      <c r="T4" s="180"/>
      <c r="U4" s="180"/>
      <c r="V4" s="201"/>
    </row>
    <row r="5" spans="1:26" ht="18" customHeight="1">
      <c r="A5" s="310" t="s">
        <v>6</v>
      </c>
      <c r="B5" s="321"/>
      <c r="C5" s="143" t="str">
        <f>'G2 MT Reading Scoresheet'!C5</f>
        <v>ROMANA ELEMETARY SCHOOL</v>
      </c>
      <c r="D5" s="144" t="s">
        <v>8</v>
      </c>
      <c r="E5" s="145" t="s">
        <v>9</v>
      </c>
      <c r="F5" s="313" t="s">
        <v>10</v>
      </c>
      <c r="G5" s="314"/>
      <c r="H5" s="314"/>
      <c r="I5" s="314"/>
      <c r="J5" s="294" t="s">
        <v>74</v>
      </c>
      <c r="K5" s="276" t="s">
        <v>12</v>
      </c>
      <c r="L5" s="277"/>
      <c r="M5" s="277"/>
      <c r="N5" s="277"/>
      <c r="O5" s="277"/>
      <c r="P5" s="277"/>
      <c r="Q5" s="202"/>
      <c r="R5" s="202"/>
      <c r="S5" s="202"/>
      <c r="T5" s="202"/>
      <c r="U5" s="202"/>
      <c r="V5" s="203"/>
    </row>
    <row r="6" spans="1:26" ht="19.7" customHeight="1">
      <c r="A6" s="298" t="s">
        <v>13</v>
      </c>
      <c r="B6" s="299"/>
      <c r="C6" s="143" t="str">
        <f>'G2 MT Reading Scoresheet'!C6</f>
        <v>MARICAR F. JOAQUIN</v>
      </c>
      <c r="D6" s="146">
        <f>'G2 MT Reading Scoresheet'!D6</f>
        <v>7</v>
      </c>
      <c r="E6" s="147">
        <f>'G2 MT Reading Scoresheet'!E6</f>
        <v>8</v>
      </c>
      <c r="F6" s="315"/>
      <c r="G6" s="316"/>
      <c r="H6" s="316"/>
      <c r="I6" s="316"/>
      <c r="J6" s="295"/>
      <c r="K6" s="278"/>
      <c r="L6" s="279"/>
      <c r="M6" s="279"/>
      <c r="N6" s="279"/>
      <c r="O6" s="279"/>
      <c r="P6" s="279"/>
      <c r="Q6" s="280"/>
      <c r="R6" s="281"/>
      <c r="S6" s="281"/>
      <c r="T6" s="282"/>
      <c r="U6" s="270"/>
      <c r="V6" s="271"/>
    </row>
    <row r="7" spans="1:26" ht="29.45" customHeight="1">
      <c r="A7" s="298" t="s">
        <v>15</v>
      </c>
      <c r="B7" s="299"/>
      <c r="C7" s="143" t="str">
        <f>'G2 MT Reading Scoresheet'!C7</f>
        <v>Grade 2</v>
      </c>
      <c r="D7" s="317" t="s">
        <v>17</v>
      </c>
      <c r="E7" s="318"/>
      <c r="F7" s="290" t="s">
        <v>18</v>
      </c>
      <c r="G7" s="292" t="s">
        <v>19</v>
      </c>
      <c r="H7" s="292" t="s">
        <v>20</v>
      </c>
      <c r="I7" s="292" t="s">
        <v>21</v>
      </c>
      <c r="J7" s="295"/>
      <c r="K7" s="181" t="s">
        <v>22</v>
      </c>
      <c r="L7" s="182" t="s">
        <v>23</v>
      </c>
      <c r="M7" s="183">
        <f>_xlfn.IFNA(IF(X9=1,Y9,D9),"")</f>
        <v>96</v>
      </c>
      <c r="N7" s="302" t="s">
        <v>24</v>
      </c>
      <c r="O7" s="302"/>
      <c r="P7" s="183">
        <f>_xlfn.IFNA(IF(X9=1,Z9,E9),"")</f>
        <v>95</v>
      </c>
      <c r="Q7" s="283"/>
      <c r="R7" s="270"/>
      <c r="S7" s="270"/>
      <c r="T7" s="271"/>
      <c r="U7" s="270"/>
      <c r="V7" s="271"/>
    </row>
    <row r="8" spans="1:26" ht="17.45" customHeight="1">
      <c r="A8" s="298" t="s">
        <v>25</v>
      </c>
      <c r="B8" s="299"/>
      <c r="C8" s="143">
        <f>'G2 MT Reading Scoresheet'!C8</f>
        <v>1</v>
      </c>
      <c r="D8" s="148" t="s">
        <v>23</v>
      </c>
      <c r="E8" s="149" t="s">
        <v>24</v>
      </c>
      <c r="F8" s="312"/>
      <c r="G8" s="293"/>
      <c r="H8" s="293"/>
      <c r="I8" s="293"/>
      <c r="J8" s="295"/>
      <c r="K8" s="290" t="s">
        <v>26</v>
      </c>
      <c r="L8" s="292" t="s">
        <v>27</v>
      </c>
      <c r="M8" s="292" t="s">
        <v>28</v>
      </c>
      <c r="N8" s="284" t="s">
        <v>29</v>
      </c>
      <c r="O8" s="285"/>
      <c r="P8" s="268" t="s">
        <v>30</v>
      </c>
      <c r="Q8" s="283"/>
      <c r="R8" s="270"/>
      <c r="S8" s="270"/>
      <c r="T8" s="271"/>
      <c r="U8" s="270"/>
      <c r="V8" s="271"/>
    </row>
    <row r="9" spans="1:26" ht="20.45" customHeight="1">
      <c r="A9" s="303" t="s">
        <v>31</v>
      </c>
      <c r="B9" s="304"/>
      <c r="C9" s="150" t="s">
        <v>75</v>
      </c>
      <c r="D9" s="151"/>
      <c r="E9" s="152"/>
      <c r="F9" s="296"/>
      <c r="G9" s="297"/>
      <c r="H9" s="297"/>
      <c r="I9" s="297"/>
      <c r="J9" s="295"/>
      <c r="K9" s="296"/>
      <c r="L9" s="297"/>
      <c r="M9" s="297"/>
      <c r="N9" s="286"/>
      <c r="O9" s="287"/>
      <c r="P9" s="269"/>
      <c r="Q9" s="283"/>
      <c r="R9" s="270"/>
      <c r="S9" s="270"/>
      <c r="T9" s="271"/>
      <c r="U9" s="270"/>
      <c r="V9" s="271"/>
      <c r="X9" s="204">
        <f>IF(_xlfn.IFNA(VLOOKUP($C$9,List!$G$2:$M$20,1,0),"")=C9,1,0)</f>
        <v>1</v>
      </c>
      <c r="Y9" s="204">
        <f>VLOOKUP($C$9,List!$G$2:$M$20,4,0)</f>
        <v>96</v>
      </c>
      <c r="Z9" s="204">
        <f>VLOOKUP($C$9,List!$G$2:$M$20,7,0)</f>
        <v>95</v>
      </c>
    </row>
    <row r="10" spans="1:26" ht="35.450000000000003" customHeight="1">
      <c r="A10" s="153" t="s">
        <v>33</v>
      </c>
      <c r="B10" s="154" t="s">
        <v>34</v>
      </c>
      <c r="C10" s="155" t="s">
        <v>35</v>
      </c>
      <c r="D10" s="156" t="s">
        <v>36</v>
      </c>
      <c r="E10" s="157" t="s">
        <v>37</v>
      </c>
      <c r="F10" s="158" t="s">
        <v>38</v>
      </c>
      <c r="G10" s="159" t="s">
        <v>76</v>
      </c>
      <c r="H10" s="159" t="s">
        <v>77</v>
      </c>
      <c r="I10" s="159" t="s">
        <v>41</v>
      </c>
      <c r="J10" s="184" t="s">
        <v>42</v>
      </c>
      <c r="K10" s="185" t="s">
        <v>43</v>
      </c>
      <c r="L10" s="186" t="s">
        <v>44</v>
      </c>
      <c r="M10" s="187" t="s">
        <v>45</v>
      </c>
      <c r="N10" s="288" t="s">
        <v>46</v>
      </c>
      <c r="O10" s="288"/>
      <c r="P10" s="187" t="s">
        <v>47</v>
      </c>
      <c r="Q10" s="205" t="s">
        <v>48</v>
      </c>
      <c r="R10" s="187" t="s">
        <v>49</v>
      </c>
      <c r="S10" s="205" t="s">
        <v>50</v>
      </c>
      <c r="T10" s="206" t="s">
        <v>51</v>
      </c>
      <c r="U10" s="207" t="s">
        <v>52</v>
      </c>
      <c r="V10" s="208" t="s">
        <v>53</v>
      </c>
    </row>
    <row r="11" spans="1:26">
      <c r="A11" s="64">
        <v>1</v>
      </c>
      <c r="B11" s="160" t="str">
        <f>IF('G2 MT Reading Scoresheet'!B11&lt;&gt;"",'G2 MT Reading Scoresheet'!B11,"")</f>
        <v/>
      </c>
      <c r="C11" s="161" t="str">
        <f>IF('G2 MT Reading Scoresheet'!C11&lt;&gt;"",'G2 MT Reading Scoresheet'!C11,"")</f>
        <v>BARGASA, REY JOHN V.</v>
      </c>
      <c r="D11" s="160" t="str">
        <f>IF('G2 MT Reading Scoresheet'!D11&lt;&gt;"",'G2 MT Reading Scoresheet'!D11,"")</f>
        <v>Male</v>
      </c>
      <c r="E11" s="162" t="str">
        <f>IF('G2 MT Reading Scoresheet'!E11&lt;&gt;"",'G2 MT Reading Scoresheet'!E11,"")</f>
        <v>06/20/2025</v>
      </c>
      <c r="F11" s="163">
        <v>4</v>
      </c>
      <c r="G11" s="164">
        <v>3</v>
      </c>
      <c r="H11" s="164">
        <v>10</v>
      </c>
      <c r="I11" s="188">
        <f>IF(AND(F11="",G11=""),"",IF(F11&lt;7,F11+G11,F11+10+H11))</f>
        <v>7</v>
      </c>
      <c r="J11" s="189" t="str">
        <f>IF(I11="","",IF(F11&lt;7,IF(I11&lt;=10,"Full Refresher","Moderate Refresher"),IF(I11&lt;27,"Light Refresher","Grade Ready")))</f>
        <v>Full Refresher</v>
      </c>
      <c r="K11" s="190"/>
      <c r="L11" s="191"/>
      <c r="M11" s="160" t="str">
        <f>IF(OR(K11=1,K11=2),IF(K11=1,M$7-L11,$P$7-L11),"")</f>
        <v/>
      </c>
      <c r="N11" s="192"/>
      <c r="O11" s="192"/>
      <c r="P11" s="160" t="str">
        <f>IF(AND(K11&gt;0,M11&gt;0,OR(N11&gt;0,O11&gt;0)),(M11/((N11*60)+O11))*60,"")</f>
        <v/>
      </c>
      <c r="Q11" s="209" t="str">
        <f>IFERROR(IF(OR(K11=1,K11=2),IF(K11=1,M11/$M$7,M11/$P$7),""),"")</f>
        <v/>
      </c>
      <c r="R11" s="192"/>
      <c r="S11" s="192"/>
      <c r="T11" s="210"/>
      <c r="U11" s="211" t="str">
        <f>IF(J11&lt;&gt;"",IF(J11="Full Refresher","Low Emerging Reader",IF(AND(K11&gt;0,Q11&lt;&gt;""),IF(OR(Q11&lt;=25%,AND(Q11&gt;25%,Q11&lt;=50%,R11=0)),"High Emerging Reader",IF(OR(AND(Q11&gt;25%,Q11&lt;51%,R11&gt;=1),AND(Q11&gt;50%,Q11&lt;76%,R11&lt;=2)),"Developing Reader",IF(OR(AND(Q11&gt;=51%,Q11&lt;76%,R11&gt;=3),AND(Q11&gt;75%,R11&lt;=4)),"Transitioning Reader",IF(AND(Q11&gt;75%,R11&gt;=5),"Reading At Grade Level","")))),"")),"")</f>
        <v>Low Emerging Reader</v>
      </c>
      <c r="V11" s="212"/>
      <c r="Y11" s="219">
        <f>IF(C11&lt;&gt;"",R11/6,"")</f>
        <v>0</v>
      </c>
    </row>
    <row r="12" spans="1:26">
      <c r="A12" s="165">
        <v>2</v>
      </c>
      <c r="B12" s="166" t="str">
        <f>IF('G2 MT Reading Scoresheet'!B12&lt;&gt;"",'G2 MT Reading Scoresheet'!B12,"")</f>
        <v/>
      </c>
      <c r="C12" s="167" t="str">
        <f>IF('G2 MT Reading Scoresheet'!C12&lt;&gt;"",'G2 MT Reading Scoresheet'!C12,"")</f>
        <v xml:space="preserve">BESANES, ZANDER G. </v>
      </c>
      <c r="D12" s="168" t="str">
        <f>IF('G2 MT Reading Scoresheet'!D12&lt;&gt;"",'G2 MT Reading Scoresheet'!D12,"")</f>
        <v>Male</v>
      </c>
      <c r="E12" s="169" t="str">
        <f>IF('G2 MT Reading Scoresheet'!E12&lt;&gt;"",'G2 MT Reading Scoresheet'!E12,"")</f>
        <v>06/20/2025</v>
      </c>
      <c r="F12" s="170">
        <v>2</v>
      </c>
      <c r="G12" s="171">
        <v>2</v>
      </c>
      <c r="H12" s="171">
        <v>10</v>
      </c>
      <c r="I12" s="193">
        <f t="shared" ref="I12:I75" si="0">IF(AND(F12="",G12=""),"",IF(F12&lt;7,F12+G12,F12+10+H12))</f>
        <v>4</v>
      </c>
      <c r="J12" s="194" t="str">
        <f t="shared" ref="J12:J75" si="1">IF(I12="","",IF(F12&lt;7,IF(I12&lt;=10,"Full Refresher","Moderate Refresher"),IF(I12&lt;27,"Light Refresher","Grade Ready")))</f>
        <v>Full Refresher</v>
      </c>
      <c r="K12" s="195"/>
      <c r="L12" s="196"/>
      <c r="M12" s="166" t="str">
        <f t="shared" ref="M12:M75" si="2">IF(OR(K12=1,K12=2),IF(K12=1,M$7-L12,$P$7-L12),"")</f>
        <v/>
      </c>
      <c r="N12" s="174"/>
      <c r="O12" s="174"/>
      <c r="P12" s="166" t="str">
        <f t="shared" ref="P12:P75" si="3">IF(AND(K12&gt;0,M12&gt;0,OR(N12&gt;0,O12&gt;0)),(M12/((N12*60)+O12))*60,"")</f>
        <v/>
      </c>
      <c r="Q12" s="213" t="str">
        <f t="shared" ref="Q12:Q75" si="4">IFERROR(IF(OR(K12=1,K12=2),IF(K12=1,M12/$M$7,M12/$P$7),""),"")</f>
        <v/>
      </c>
      <c r="R12" s="174"/>
      <c r="S12" s="174"/>
      <c r="T12" s="214"/>
      <c r="U12" s="215" t="str">
        <f t="shared" ref="U12:U75" si="5">IF(J12&lt;&gt;"",IF(J12="Full Refresher","Low Emerging Reader",IF(AND(K12&gt;0,Q12&lt;&gt;""),IF(OR(Q12&lt;=25%,AND(Q12&gt;25%,Q12&lt;=50%,R12=0)),"High Emerging Reader",IF(OR(AND(Q12&gt;25%,Q12&lt;51%,R12&gt;=1),AND(Q12&gt;50%,Q12&lt;76%,R12&lt;=2)),"Developing Reader",IF(OR(AND(Q12&gt;=51%,Q12&lt;76%,R12&gt;=3),AND(Q12&gt;75%,R12&lt;=4)),"Transitioning Reader",IF(AND(Q12&gt;75%,R12&gt;=5),"Reading At Grade Level","")))),"")),"")</f>
        <v>Low Emerging Reader</v>
      </c>
      <c r="V12" s="216"/>
      <c r="Y12" s="219">
        <f t="shared" ref="Y12:Y75" si="6">IF(C12&lt;&gt;"",R12/6,"")</f>
        <v>0</v>
      </c>
    </row>
    <row r="13" spans="1:26">
      <c r="A13" s="57">
        <v>3</v>
      </c>
      <c r="B13" s="166" t="str">
        <f>IF('G2 MT Reading Scoresheet'!B13&lt;&gt;"",'G2 MT Reading Scoresheet'!B13,"")</f>
        <v/>
      </c>
      <c r="C13" s="167" t="str">
        <f>IF('G2 MT Reading Scoresheet'!C13&lt;&gt;"",'G2 MT Reading Scoresheet'!C13,"")</f>
        <v xml:space="preserve">BERIZAL, KENT ANGELO C. </v>
      </c>
      <c r="D13" s="168" t="str">
        <f>IF('G2 MT Reading Scoresheet'!D13&lt;&gt;"",'G2 MT Reading Scoresheet'!D13,"")</f>
        <v>Male</v>
      </c>
      <c r="E13" s="169" t="str">
        <f>IF('G2 MT Reading Scoresheet'!E13&lt;&gt;"",'G2 MT Reading Scoresheet'!E13,"")</f>
        <v>06/20/2025</v>
      </c>
      <c r="F13" s="172">
        <v>7</v>
      </c>
      <c r="G13" s="164"/>
      <c r="H13" s="173">
        <v>3</v>
      </c>
      <c r="I13" s="193">
        <f t="shared" si="0"/>
        <v>20</v>
      </c>
      <c r="J13" s="194" t="str">
        <f t="shared" si="1"/>
        <v>Light Refresher</v>
      </c>
      <c r="K13" s="197">
        <v>1</v>
      </c>
      <c r="L13" s="198">
        <v>91</v>
      </c>
      <c r="M13" s="166">
        <f t="shared" si="2"/>
        <v>5</v>
      </c>
      <c r="N13" s="173">
        <v>2</v>
      </c>
      <c r="O13" s="173">
        <v>0</v>
      </c>
      <c r="P13" s="166">
        <f t="shared" si="3"/>
        <v>2.5</v>
      </c>
      <c r="Q13" s="213">
        <f t="shared" si="4"/>
        <v>5.2083333333333336E-2</v>
      </c>
      <c r="R13" s="173">
        <v>0</v>
      </c>
      <c r="S13" s="173"/>
      <c r="T13" s="217" t="s">
        <v>56</v>
      </c>
      <c r="U13" s="215" t="str">
        <f t="shared" si="5"/>
        <v>High Emerging Reader</v>
      </c>
      <c r="V13" s="218"/>
      <c r="Y13" s="219">
        <f t="shared" si="6"/>
        <v>0</v>
      </c>
    </row>
    <row r="14" spans="1:26">
      <c r="A14" s="165">
        <v>4</v>
      </c>
      <c r="B14" s="166" t="str">
        <f>IF('G2 MT Reading Scoresheet'!B14&lt;&gt;"",'G2 MT Reading Scoresheet'!B14,"")</f>
        <v/>
      </c>
      <c r="C14" s="167" t="str">
        <f>IF('G2 MT Reading Scoresheet'!C14&lt;&gt;"",'G2 MT Reading Scoresheet'!C14,"")</f>
        <v xml:space="preserve">DARAS, REYNASH R. </v>
      </c>
      <c r="D14" s="168" t="str">
        <f>IF('G2 MT Reading Scoresheet'!D14&lt;&gt;"",'G2 MT Reading Scoresheet'!D14,"")</f>
        <v>Male</v>
      </c>
      <c r="E14" s="169" t="str">
        <f>IF('G2 MT Reading Scoresheet'!E14&lt;&gt;"",'G2 MT Reading Scoresheet'!E14,"")</f>
        <v>06/20/2025</v>
      </c>
      <c r="F14" s="170">
        <v>9</v>
      </c>
      <c r="G14" s="171"/>
      <c r="H14" s="174">
        <v>9</v>
      </c>
      <c r="I14" s="193">
        <f t="shared" si="0"/>
        <v>28</v>
      </c>
      <c r="J14" s="194" t="str">
        <f t="shared" si="1"/>
        <v>Grade Ready</v>
      </c>
      <c r="K14" s="195">
        <v>1</v>
      </c>
      <c r="L14" s="196">
        <v>84</v>
      </c>
      <c r="M14" s="166">
        <f t="shared" si="2"/>
        <v>12</v>
      </c>
      <c r="N14" s="174">
        <v>2</v>
      </c>
      <c r="O14" s="174">
        <v>0</v>
      </c>
      <c r="P14" s="166">
        <f t="shared" si="3"/>
        <v>6</v>
      </c>
      <c r="Q14" s="213">
        <f t="shared" si="4"/>
        <v>0.125</v>
      </c>
      <c r="R14" s="174">
        <v>2</v>
      </c>
      <c r="S14" s="174"/>
      <c r="T14" s="214" t="s">
        <v>56</v>
      </c>
      <c r="U14" s="215" t="str">
        <f t="shared" si="5"/>
        <v>High Emerging Reader</v>
      </c>
      <c r="V14" s="216"/>
      <c r="Y14" s="219">
        <f t="shared" si="6"/>
        <v>0.33333333333333331</v>
      </c>
    </row>
    <row r="15" spans="1:26">
      <c r="A15" s="57">
        <v>5</v>
      </c>
      <c r="B15" s="166" t="str">
        <f>IF('G2 MT Reading Scoresheet'!B15&lt;&gt;"",'G2 MT Reading Scoresheet'!B15,"")</f>
        <v/>
      </c>
      <c r="C15" s="167" t="str">
        <f>IF('G2 MT Reading Scoresheet'!C15&lt;&gt;"",'G2 MT Reading Scoresheet'!C15,"")</f>
        <v>ORTILANO, KLENT Y.</v>
      </c>
      <c r="D15" s="168" t="str">
        <f>IF('G2 MT Reading Scoresheet'!D15&lt;&gt;"",'G2 MT Reading Scoresheet'!D15,"")</f>
        <v>Male</v>
      </c>
      <c r="E15" s="169" t="str">
        <f>IF('G2 MT Reading Scoresheet'!E15&lt;&gt;"",'G2 MT Reading Scoresheet'!E15,"")</f>
        <v>06/20/2025</v>
      </c>
      <c r="F15" s="172">
        <v>8</v>
      </c>
      <c r="G15" s="164"/>
      <c r="H15" s="173">
        <v>9</v>
      </c>
      <c r="I15" s="193">
        <f t="shared" si="0"/>
        <v>27</v>
      </c>
      <c r="J15" s="194" t="str">
        <f t="shared" si="1"/>
        <v>Grade Ready</v>
      </c>
      <c r="K15" s="197">
        <v>2</v>
      </c>
      <c r="L15" s="198">
        <v>62</v>
      </c>
      <c r="M15" s="166">
        <f t="shared" si="2"/>
        <v>33</v>
      </c>
      <c r="N15" s="173">
        <v>2</v>
      </c>
      <c r="O15" s="173">
        <v>0</v>
      </c>
      <c r="P15" s="166">
        <f t="shared" si="3"/>
        <v>16.5</v>
      </c>
      <c r="Q15" s="213">
        <f t="shared" si="4"/>
        <v>0.3473684210526316</v>
      </c>
      <c r="R15" s="173">
        <v>1</v>
      </c>
      <c r="S15" s="173"/>
      <c r="T15" s="217" t="s">
        <v>61</v>
      </c>
      <c r="U15" s="215" t="str">
        <f t="shared" si="5"/>
        <v>Developing Reader</v>
      </c>
      <c r="V15" s="218"/>
      <c r="Y15" s="219">
        <f t="shared" si="6"/>
        <v>0.16666666666666666</v>
      </c>
    </row>
    <row r="16" spans="1:26">
      <c r="A16" s="165">
        <v>6</v>
      </c>
      <c r="B16" s="166" t="str">
        <f>IF('G2 MT Reading Scoresheet'!B16&lt;&gt;"",'G2 MT Reading Scoresheet'!B16,"")</f>
        <v/>
      </c>
      <c r="C16" s="167" t="str">
        <f>IF('G2 MT Reading Scoresheet'!C16&lt;&gt;"",'G2 MT Reading Scoresheet'!C16,"")</f>
        <v>PATRICIO, SEAN E.</v>
      </c>
      <c r="D16" s="168" t="str">
        <f>IF('G2 MT Reading Scoresheet'!D16&lt;&gt;"",'G2 MT Reading Scoresheet'!D16,"")</f>
        <v>Male</v>
      </c>
      <c r="E16" s="169" t="str">
        <f>IF('G2 MT Reading Scoresheet'!E16&lt;&gt;"",'G2 MT Reading Scoresheet'!E16,"")</f>
        <v>06/23/2025</v>
      </c>
      <c r="F16" s="170">
        <v>2</v>
      </c>
      <c r="G16" s="171">
        <v>1</v>
      </c>
      <c r="H16" s="174">
        <v>8</v>
      </c>
      <c r="I16" s="193">
        <f t="shared" si="0"/>
        <v>3</v>
      </c>
      <c r="J16" s="194" t="str">
        <f t="shared" si="1"/>
        <v>Full Refresher</v>
      </c>
      <c r="K16" s="195"/>
      <c r="L16" s="196"/>
      <c r="M16" s="166" t="str">
        <f t="shared" si="2"/>
        <v/>
      </c>
      <c r="N16" s="174"/>
      <c r="O16" s="174"/>
      <c r="P16" s="166" t="str">
        <f t="shared" si="3"/>
        <v/>
      </c>
      <c r="Q16" s="213" t="str">
        <f t="shared" si="4"/>
        <v/>
      </c>
      <c r="R16" s="174"/>
      <c r="S16" s="174"/>
      <c r="T16" s="214"/>
      <c r="U16" s="215" t="str">
        <f t="shared" si="5"/>
        <v>Low Emerging Reader</v>
      </c>
      <c r="V16" s="216"/>
      <c r="Y16" s="219">
        <f t="shared" si="6"/>
        <v>0</v>
      </c>
    </row>
    <row r="17" spans="1:25">
      <c r="A17" s="57">
        <v>7</v>
      </c>
      <c r="B17" s="166" t="str">
        <f>IF('G2 MT Reading Scoresheet'!B17&lt;&gt;"",'G2 MT Reading Scoresheet'!B17,"")</f>
        <v/>
      </c>
      <c r="C17" s="167" t="str">
        <f>IF('G2 MT Reading Scoresheet'!C17&lt;&gt;"",'G2 MT Reading Scoresheet'!C17,"")</f>
        <v>ZONITA, NELJOHN E.</v>
      </c>
      <c r="D17" s="168" t="str">
        <f>IF('G2 MT Reading Scoresheet'!D17&lt;&gt;"",'G2 MT Reading Scoresheet'!D17,"")</f>
        <v>Male</v>
      </c>
      <c r="E17" s="169" t="str">
        <f>IF('G2 MT Reading Scoresheet'!E17&lt;&gt;"",'G2 MT Reading Scoresheet'!E17,"")</f>
        <v>06/23/2025</v>
      </c>
      <c r="F17" s="172">
        <v>1</v>
      </c>
      <c r="G17" s="164">
        <v>0</v>
      </c>
      <c r="H17" s="173">
        <v>10</v>
      </c>
      <c r="I17" s="193">
        <f t="shared" si="0"/>
        <v>1</v>
      </c>
      <c r="J17" s="194" t="str">
        <f t="shared" si="1"/>
        <v>Full Refresher</v>
      </c>
      <c r="K17" s="197"/>
      <c r="L17" s="198"/>
      <c r="M17" s="166" t="str">
        <f t="shared" si="2"/>
        <v/>
      </c>
      <c r="N17" s="173"/>
      <c r="O17" s="173"/>
      <c r="P17" s="166" t="str">
        <f t="shared" si="3"/>
        <v/>
      </c>
      <c r="Q17" s="213" t="str">
        <f t="shared" si="4"/>
        <v/>
      </c>
      <c r="R17" s="173"/>
      <c r="S17" s="173"/>
      <c r="T17" s="217"/>
      <c r="U17" s="215" t="str">
        <f t="shared" si="5"/>
        <v>Low Emerging Reader</v>
      </c>
      <c r="V17" s="218"/>
      <c r="Y17" s="219">
        <f t="shared" si="6"/>
        <v>0</v>
      </c>
    </row>
    <row r="18" spans="1:25">
      <c r="A18" s="165">
        <v>8</v>
      </c>
      <c r="B18" s="166" t="str">
        <f>IF('G2 MT Reading Scoresheet'!B18&lt;&gt;"",'G2 MT Reading Scoresheet'!B18,"")</f>
        <v/>
      </c>
      <c r="C18" s="167" t="str">
        <f>IF('G2 MT Reading Scoresheet'!C18&lt;&gt;"",'G2 MT Reading Scoresheet'!C18,"")</f>
        <v>ANTONIO, JELAISA JEAN P.</v>
      </c>
      <c r="D18" s="168" t="str">
        <f>IF('G2 MT Reading Scoresheet'!D18&lt;&gt;"",'G2 MT Reading Scoresheet'!D18,"")</f>
        <v>Female</v>
      </c>
      <c r="E18" s="169" t="str">
        <f>IF('G2 MT Reading Scoresheet'!E18&lt;&gt;"",'G2 MT Reading Scoresheet'!E18,"")</f>
        <v>06/23/2025</v>
      </c>
      <c r="F18" s="170">
        <v>2</v>
      </c>
      <c r="G18" s="171">
        <v>1</v>
      </c>
      <c r="H18" s="174"/>
      <c r="I18" s="193">
        <f t="shared" si="0"/>
        <v>3</v>
      </c>
      <c r="J18" s="194" t="str">
        <f t="shared" si="1"/>
        <v>Full Refresher</v>
      </c>
      <c r="K18" s="195"/>
      <c r="L18" s="196"/>
      <c r="M18" s="166" t="str">
        <f t="shared" si="2"/>
        <v/>
      </c>
      <c r="N18" s="174"/>
      <c r="O18" s="174"/>
      <c r="P18" s="166" t="str">
        <f t="shared" si="3"/>
        <v/>
      </c>
      <c r="Q18" s="213" t="str">
        <f t="shared" si="4"/>
        <v/>
      </c>
      <c r="R18" s="174"/>
      <c r="S18" s="174"/>
      <c r="T18" s="214"/>
      <c r="U18" s="215" t="str">
        <f t="shared" si="5"/>
        <v>Low Emerging Reader</v>
      </c>
      <c r="V18" s="216"/>
      <c r="Y18" s="219">
        <f t="shared" si="6"/>
        <v>0</v>
      </c>
    </row>
    <row r="19" spans="1:25">
      <c r="A19" s="57">
        <v>9</v>
      </c>
      <c r="B19" s="166" t="str">
        <f>IF('G2 MT Reading Scoresheet'!B19&lt;&gt;"",'G2 MT Reading Scoresheet'!B19,"")</f>
        <v/>
      </c>
      <c r="C19" s="167" t="str">
        <f>IF('G2 MT Reading Scoresheet'!C19&lt;&gt;"",'G2 MT Reading Scoresheet'!C19,"")</f>
        <v>CUSTODIO, MARICAR C.</v>
      </c>
      <c r="D19" s="168" t="str">
        <f>IF('G2 MT Reading Scoresheet'!D19&lt;&gt;"",'G2 MT Reading Scoresheet'!D19,"")</f>
        <v>Female</v>
      </c>
      <c r="E19" s="169" t="str">
        <f>IF('G2 MT Reading Scoresheet'!E19&lt;&gt;"",'G2 MT Reading Scoresheet'!E19,"")</f>
        <v>06/23/2025</v>
      </c>
      <c r="F19" s="172">
        <v>8</v>
      </c>
      <c r="G19" s="164"/>
      <c r="H19" s="173">
        <v>8</v>
      </c>
      <c r="I19" s="193">
        <f t="shared" si="0"/>
        <v>26</v>
      </c>
      <c r="J19" s="194" t="str">
        <f t="shared" si="1"/>
        <v>Light Refresher</v>
      </c>
      <c r="K19" s="197">
        <v>1</v>
      </c>
      <c r="L19" s="198">
        <v>83</v>
      </c>
      <c r="M19" s="166">
        <f t="shared" si="2"/>
        <v>13</v>
      </c>
      <c r="N19" s="173">
        <v>2</v>
      </c>
      <c r="O19" s="173">
        <v>0</v>
      </c>
      <c r="P19" s="166">
        <f t="shared" si="3"/>
        <v>6.5</v>
      </c>
      <c r="Q19" s="213">
        <f t="shared" si="4"/>
        <v>0.13541666666666666</v>
      </c>
      <c r="R19" s="173">
        <v>1</v>
      </c>
      <c r="S19" s="173"/>
      <c r="T19" s="217" t="s">
        <v>61</v>
      </c>
      <c r="U19" s="215" t="str">
        <f t="shared" si="5"/>
        <v>High Emerging Reader</v>
      </c>
      <c r="V19" s="218"/>
      <c r="Y19" s="219">
        <f t="shared" si="6"/>
        <v>0.16666666666666666</v>
      </c>
    </row>
    <row r="20" spans="1:25">
      <c r="A20" s="165">
        <v>10</v>
      </c>
      <c r="B20" s="166" t="str">
        <f>IF('G2 MT Reading Scoresheet'!B20&lt;&gt;"",'G2 MT Reading Scoresheet'!B20,"")</f>
        <v/>
      </c>
      <c r="C20" s="167" t="str">
        <f>IF('G2 MT Reading Scoresheet'!C20&lt;&gt;"",'G2 MT Reading Scoresheet'!C20,"")</f>
        <v>DUMAICOS, NOVELYN F.</v>
      </c>
      <c r="D20" s="168" t="str">
        <f>IF('G2 MT Reading Scoresheet'!D20&lt;&gt;"",'G2 MT Reading Scoresheet'!D20,"")</f>
        <v>Female</v>
      </c>
      <c r="E20" s="169" t="str">
        <f>IF('G2 MT Reading Scoresheet'!E20&lt;&gt;"",'G2 MT Reading Scoresheet'!E20,"")</f>
        <v>06/23/2025</v>
      </c>
      <c r="F20" s="170">
        <v>6</v>
      </c>
      <c r="G20" s="171">
        <v>3</v>
      </c>
      <c r="H20" s="174">
        <v>5</v>
      </c>
      <c r="I20" s="193">
        <f t="shared" si="0"/>
        <v>9</v>
      </c>
      <c r="J20" s="194" t="str">
        <f t="shared" si="1"/>
        <v>Full Refresher</v>
      </c>
      <c r="K20" s="195"/>
      <c r="L20" s="196"/>
      <c r="M20" s="166" t="str">
        <f t="shared" si="2"/>
        <v/>
      </c>
      <c r="N20" s="174"/>
      <c r="O20" s="174"/>
      <c r="P20" s="166" t="str">
        <f t="shared" si="3"/>
        <v/>
      </c>
      <c r="Q20" s="213" t="str">
        <f t="shared" si="4"/>
        <v/>
      </c>
      <c r="R20" s="174"/>
      <c r="S20" s="174"/>
      <c r="T20" s="214"/>
      <c r="U20" s="215" t="str">
        <f t="shared" si="5"/>
        <v>Low Emerging Reader</v>
      </c>
      <c r="V20" s="216"/>
      <c r="Y20" s="219">
        <f t="shared" si="6"/>
        <v>0</v>
      </c>
    </row>
    <row r="21" spans="1:25">
      <c r="A21" s="57">
        <v>11</v>
      </c>
      <c r="B21" s="175" t="str">
        <f>IF('G2 MT Reading Scoresheet'!B21&lt;&gt;"",'G2 MT Reading Scoresheet'!B21,"")</f>
        <v/>
      </c>
      <c r="C21" s="167" t="str">
        <f>IF('G2 MT Reading Scoresheet'!C21&lt;&gt;"",'G2 MT Reading Scoresheet'!C21,"")</f>
        <v>DUMANIEL, SHANAYA A.</v>
      </c>
      <c r="D21" s="168" t="str">
        <f>IF('G2 MT Reading Scoresheet'!D21&lt;&gt;"",'G2 MT Reading Scoresheet'!D21,"")</f>
        <v>Female</v>
      </c>
      <c r="E21" s="169" t="str">
        <f>IF('G2 MT Reading Scoresheet'!E21&lt;&gt;"",'G2 MT Reading Scoresheet'!E21,"")</f>
        <v>06/23/2025</v>
      </c>
      <c r="F21" s="172">
        <v>8</v>
      </c>
      <c r="G21" s="164"/>
      <c r="H21" s="173">
        <v>6</v>
      </c>
      <c r="I21" s="193">
        <f t="shared" si="0"/>
        <v>24</v>
      </c>
      <c r="J21" s="194" t="str">
        <f t="shared" si="1"/>
        <v>Light Refresher</v>
      </c>
      <c r="K21" s="197">
        <v>2</v>
      </c>
      <c r="L21" s="198">
        <v>73</v>
      </c>
      <c r="M21" s="166">
        <f t="shared" si="2"/>
        <v>22</v>
      </c>
      <c r="N21" s="173">
        <v>2</v>
      </c>
      <c r="O21" s="173">
        <v>0</v>
      </c>
      <c r="P21" s="166">
        <f t="shared" si="3"/>
        <v>11</v>
      </c>
      <c r="Q21" s="213">
        <f t="shared" si="4"/>
        <v>0.23157894736842105</v>
      </c>
      <c r="R21" s="173">
        <v>2</v>
      </c>
      <c r="S21" s="173"/>
      <c r="T21" s="217" t="s">
        <v>61</v>
      </c>
      <c r="U21" s="215" t="str">
        <f t="shared" si="5"/>
        <v>High Emerging Reader</v>
      </c>
      <c r="V21" s="218"/>
      <c r="Y21" s="219">
        <f t="shared" si="6"/>
        <v>0.33333333333333331</v>
      </c>
    </row>
    <row r="22" spans="1:25">
      <c r="A22" s="165">
        <v>12</v>
      </c>
      <c r="B22" s="175" t="str">
        <f>IF('G2 MT Reading Scoresheet'!B22&lt;&gt;"",'G2 MT Reading Scoresheet'!B22,"")</f>
        <v/>
      </c>
      <c r="C22" s="167" t="str">
        <f>IF('G2 MT Reading Scoresheet'!C22&lt;&gt;"",'G2 MT Reading Scoresheet'!C22,"")</f>
        <v>ESTOCADA, JULIANA Q.</v>
      </c>
      <c r="D22" s="168" t="str">
        <f>IF('G2 MT Reading Scoresheet'!D22&lt;&gt;"",'G2 MT Reading Scoresheet'!D22,"")</f>
        <v>Female</v>
      </c>
      <c r="E22" s="169" t="str">
        <f>IF('G2 MT Reading Scoresheet'!E22&lt;&gt;"",'G2 MT Reading Scoresheet'!E22,"")</f>
        <v>06/24/2025</v>
      </c>
      <c r="F22" s="170">
        <v>8</v>
      </c>
      <c r="G22" s="171"/>
      <c r="H22" s="174">
        <v>8</v>
      </c>
      <c r="I22" s="193">
        <f t="shared" si="0"/>
        <v>26</v>
      </c>
      <c r="J22" s="194" t="str">
        <f t="shared" si="1"/>
        <v>Light Refresher</v>
      </c>
      <c r="K22" s="195">
        <v>1</v>
      </c>
      <c r="L22" s="196">
        <v>63</v>
      </c>
      <c r="M22" s="166">
        <f t="shared" si="2"/>
        <v>33</v>
      </c>
      <c r="N22" s="174">
        <v>2</v>
      </c>
      <c r="O22" s="174">
        <v>0</v>
      </c>
      <c r="P22" s="166">
        <f t="shared" si="3"/>
        <v>16.5</v>
      </c>
      <c r="Q22" s="213">
        <f t="shared" si="4"/>
        <v>0.34375</v>
      </c>
      <c r="R22" s="174">
        <v>2</v>
      </c>
      <c r="S22" s="174"/>
      <c r="T22" s="214" t="s">
        <v>61</v>
      </c>
      <c r="U22" s="215" t="str">
        <f t="shared" si="5"/>
        <v>Developing Reader</v>
      </c>
      <c r="V22" s="216"/>
      <c r="Y22" s="219">
        <f t="shared" si="6"/>
        <v>0.33333333333333331</v>
      </c>
    </row>
    <row r="23" spans="1:25">
      <c r="A23" s="57">
        <v>13</v>
      </c>
      <c r="B23" s="175" t="str">
        <f>IF('G2 MT Reading Scoresheet'!B23&lt;&gt;"",'G2 MT Reading Scoresheet'!B23,"")</f>
        <v/>
      </c>
      <c r="C23" s="167" t="str">
        <f>IF('G2 MT Reading Scoresheet'!C23&lt;&gt;"",'G2 MT Reading Scoresheet'!C23,"")</f>
        <v>GANCIA, CRISSUN V.</v>
      </c>
      <c r="D23" s="168" t="str">
        <f>IF('G2 MT Reading Scoresheet'!D23&lt;&gt;"",'G2 MT Reading Scoresheet'!D23,"")</f>
        <v>Female</v>
      </c>
      <c r="E23" s="169" t="str">
        <f>IF('G2 MT Reading Scoresheet'!E23&lt;&gt;"",'G2 MT Reading Scoresheet'!E23,"")</f>
        <v>06/24/2025</v>
      </c>
      <c r="F23" s="172">
        <v>5</v>
      </c>
      <c r="G23" s="164">
        <v>4</v>
      </c>
      <c r="H23" s="173">
        <v>10</v>
      </c>
      <c r="I23" s="193">
        <f t="shared" si="0"/>
        <v>9</v>
      </c>
      <c r="J23" s="194" t="str">
        <f t="shared" si="1"/>
        <v>Full Refresher</v>
      </c>
      <c r="K23" s="197"/>
      <c r="L23" s="198"/>
      <c r="M23" s="166" t="str">
        <f t="shared" si="2"/>
        <v/>
      </c>
      <c r="N23" s="173"/>
      <c r="O23" s="173"/>
      <c r="P23" s="166" t="str">
        <f t="shared" si="3"/>
        <v/>
      </c>
      <c r="Q23" s="213" t="str">
        <f t="shared" si="4"/>
        <v/>
      </c>
      <c r="R23" s="173"/>
      <c r="S23" s="173"/>
      <c r="T23" s="217"/>
      <c r="U23" s="215" t="str">
        <f t="shared" si="5"/>
        <v>Low Emerging Reader</v>
      </c>
      <c r="V23" s="218"/>
      <c r="Y23" s="219">
        <f t="shared" si="6"/>
        <v>0</v>
      </c>
    </row>
    <row r="24" spans="1:25">
      <c r="A24" s="165">
        <v>14</v>
      </c>
      <c r="B24" s="175" t="str">
        <f>IF('G2 MT Reading Scoresheet'!B24&lt;&gt;"",'G2 MT Reading Scoresheet'!B24,"")</f>
        <v/>
      </c>
      <c r="C24" s="167" t="str">
        <f>IF('G2 MT Reading Scoresheet'!C24&lt;&gt;"",'G2 MT Reading Scoresheet'!C24,"")</f>
        <v>JUMBAS, JHAZMAINE KHATE A.</v>
      </c>
      <c r="D24" s="168" t="str">
        <f>IF('G2 MT Reading Scoresheet'!D24&lt;&gt;"",'G2 MT Reading Scoresheet'!D24,"")</f>
        <v>Female</v>
      </c>
      <c r="E24" s="169" t="str">
        <f>IF('G2 MT Reading Scoresheet'!E24&lt;&gt;"",'G2 MT Reading Scoresheet'!E24,"")</f>
        <v>06/24/2025</v>
      </c>
      <c r="F24" s="170">
        <v>8</v>
      </c>
      <c r="G24" s="171"/>
      <c r="H24" s="174">
        <v>9</v>
      </c>
      <c r="I24" s="193">
        <f t="shared" si="0"/>
        <v>27</v>
      </c>
      <c r="J24" s="194" t="str">
        <f t="shared" si="1"/>
        <v>Grade Ready</v>
      </c>
      <c r="K24" s="195">
        <v>1</v>
      </c>
      <c r="L24" s="196">
        <v>65</v>
      </c>
      <c r="M24" s="166">
        <f t="shared" si="2"/>
        <v>31</v>
      </c>
      <c r="N24" s="174">
        <v>2</v>
      </c>
      <c r="O24" s="174">
        <v>0</v>
      </c>
      <c r="P24" s="166">
        <f t="shared" si="3"/>
        <v>15.500000000000002</v>
      </c>
      <c r="Q24" s="213">
        <f t="shared" si="4"/>
        <v>0.32291666666666669</v>
      </c>
      <c r="R24" s="174">
        <v>2</v>
      </c>
      <c r="S24" s="174"/>
      <c r="T24" s="214" t="s">
        <v>61</v>
      </c>
      <c r="U24" s="215" t="str">
        <f t="shared" si="5"/>
        <v>Developing Reader</v>
      </c>
      <c r="V24" s="216"/>
      <c r="Y24" s="219">
        <f t="shared" si="6"/>
        <v>0.33333333333333331</v>
      </c>
    </row>
    <row r="25" spans="1:25">
      <c r="A25" s="57">
        <v>15</v>
      </c>
      <c r="B25" s="175" t="str">
        <f>IF('G2 MT Reading Scoresheet'!B25&lt;&gt;"",'G2 MT Reading Scoresheet'!B25,"")</f>
        <v/>
      </c>
      <c r="C25" s="167" t="str">
        <f>IF('G2 MT Reading Scoresheet'!C25&lt;&gt;"",'G2 MT Reading Scoresheet'!C25,"")</f>
        <v>LABANZA, ALEJANDRINE AMIAH G.</v>
      </c>
      <c r="D25" s="168" t="str">
        <f>IF('G2 MT Reading Scoresheet'!D25&lt;&gt;"",'G2 MT Reading Scoresheet'!D25,"")</f>
        <v>Female</v>
      </c>
      <c r="E25" s="169" t="str">
        <f>IF('G2 MT Reading Scoresheet'!E25&lt;&gt;"",'G2 MT Reading Scoresheet'!E25,"")</f>
        <v>06/24/2025</v>
      </c>
      <c r="F25" s="172">
        <v>8</v>
      </c>
      <c r="G25" s="164"/>
      <c r="H25" s="173">
        <v>6</v>
      </c>
      <c r="I25" s="193">
        <f t="shared" si="0"/>
        <v>24</v>
      </c>
      <c r="J25" s="194" t="str">
        <f t="shared" si="1"/>
        <v>Light Refresher</v>
      </c>
      <c r="K25" s="197">
        <v>1</v>
      </c>
      <c r="L25" s="198">
        <v>75</v>
      </c>
      <c r="M25" s="166">
        <f t="shared" si="2"/>
        <v>21</v>
      </c>
      <c r="N25" s="173">
        <v>2</v>
      </c>
      <c r="O25" s="173">
        <v>0</v>
      </c>
      <c r="P25" s="166">
        <f t="shared" si="3"/>
        <v>10.5</v>
      </c>
      <c r="Q25" s="213">
        <f t="shared" si="4"/>
        <v>0.21875</v>
      </c>
      <c r="R25" s="173">
        <v>1</v>
      </c>
      <c r="S25" s="173"/>
      <c r="T25" s="217" t="s">
        <v>56</v>
      </c>
      <c r="U25" s="215" t="str">
        <f t="shared" si="5"/>
        <v>High Emerging Reader</v>
      </c>
      <c r="V25" s="218"/>
      <c r="Y25" s="219">
        <f t="shared" si="6"/>
        <v>0.16666666666666666</v>
      </c>
    </row>
    <row r="26" spans="1:25">
      <c r="A26" s="165">
        <v>16</v>
      </c>
      <c r="B26" s="175" t="str">
        <f>IF('G2 MT Reading Scoresheet'!B26&lt;&gt;"",'G2 MT Reading Scoresheet'!B26,"")</f>
        <v/>
      </c>
      <c r="C26" s="167" t="str">
        <f>IF('G2 MT Reading Scoresheet'!C26&lt;&gt;"",'G2 MT Reading Scoresheet'!C26,"")</f>
        <v/>
      </c>
      <c r="D26" s="168" t="str">
        <f>IF('G2 MT Reading Scoresheet'!D26&lt;&gt;"",'G2 MT Reading Scoresheet'!D26,"")</f>
        <v/>
      </c>
      <c r="E26" s="169" t="str">
        <f>IF('G2 MT Reading Scoresheet'!E26&lt;&gt;"",'G2 MT Reading Scoresheet'!E26,"")</f>
        <v/>
      </c>
      <c r="F26" s="170"/>
      <c r="G26" s="171"/>
      <c r="H26" s="174">
        <v>10</v>
      </c>
      <c r="I26" s="193" t="str">
        <f t="shared" si="0"/>
        <v/>
      </c>
      <c r="J26" s="194" t="str">
        <f t="shared" si="1"/>
        <v/>
      </c>
      <c r="K26" s="195"/>
      <c r="L26" s="196"/>
      <c r="M26" s="166" t="str">
        <f t="shared" si="2"/>
        <v/>
      </c>
      <c r="N26" s="174"/>
      <c r="O26" s="174"/>
      <c r="P26" s="166" t="str">
        <f t="shared" si="3"/>
        <v/>
      </c>
      <c r="Q26" s="213" t="str">
        <f t="shared" si="4"/>
        <v/>
      </c>
      <c r="R26" s="174"/>
      <c r="S26" s="174"/>
      <c r="T26" s="214"/>
      <c r="U26" s="215" t="str">
        <f t="shared" si="5"/>
        <v/>
      </c>
      <c r="V26" s="216"/>
      <c r="Y26" s="219" t="str">
        <f t="shared" si="6"/>
        <v/>
      </c>
    </row>
    <row r="27" spans="1:25">
      <c r="A27" s="57">
        <v>17</v>
      </c>
      <c r="B27" s="175" t="str">
        <f>IF('G2 MT Reading Scoresheet'!B27&lt;&gt;"",'G2 MT Reading Scoresheet'!B27,"")</f>
        <v/>
      </c>
      <c r="C27" s="167" t="str">
        <f>IF('G2 MT Reading Scoresheet'!C27&lt;&gt;"",'G2 MT Reading Scoresheet'!C27,"")</f>
        <v/>
      </c>
      <c r="D27" s="168" t="str">
        <f>IF('G2 MT Reading Scoresheet'!D27&lt;&gt;"",'G2 MT Reading Scoresheet'!D27,"")</f>
        <v/>
      </c>
      <c r="E27" s="169" t="str">
        <f>IF('G2 MT Reading Scoresheet'!E27&lt;&gt;"",'G2 MT Reading Scoresheet'!E27,"")</f>
        <v/>
      </c>
      <c r="F27" s="172"/>
      <c r="G27" s="164"/>
      <c r="H27" s="173">
        <v>10</v>
      </c>
      <c r="I27" s="193" t="str">
        <f t="shared" si="0"/>
        <v/>
      </c>
      <c r="J27" s="194" t="str">
        <f t="shared" si="1"/>
        <v/>
      </c>
      <c r="K27" s="197"/>
      <c r="L27" s="198"/>
      <c r="M27" s="166" t="str">
        <f t="shared" si="2"/>
        <v/>
      </c>
      <c r="N27" s="173"/>
      <c r="O27" s="173"/>
      <c r="P27" s="166" t="str">
        <f t="shared" si="3"/>
        <v/>
      </c>
      <c r="Q27" s="213" t="str">
        <f t="shared" si="4"/>
        <v/>
      </c>
      <c r="R27" s="173"/>
      <c r="S27" s="173"/>
      <c r="T27" s="217"/>
      <c r="U27" s="215" t="str">
        <f t="shared" si="5"/>
        <v/>
      </c>
      <c r="V27" s="218"/>
      <c r="Y27" s="219" t="str">
        <f t="shared" si="6"/>
        <v/>
      </c>
    </row>
    <row r="28" spans="1:25">
      <c r="A28" s="165">
        <v>18</v>
      </c>
      <c r="B28" s="175" t="str">
        <f>IF('G2 MT Reading Scoresheet'!B28&lt;&gt;"",'G2 MT Reading Scoresheet'!B28,"")</f>
        <v/>
      </c>
      <c r="C28" s="167" t="str">
        <f>IF('G2 MT Reading Scoresheet'!C28&lt;&gt;"",'G2 MT Reading Scoresheet'!C28,"")</f>
        <v/>
      </c>
      <c r="D28" s="168" t="str">
        <f>IF('G2 MT Reading Scoresheet'!D28&lt;&gt;"",'G2 MT Reading Scoresheet'!D28,"")</f>
        <v/>
      </c>
      <c r="E28" s="169" t="str">
        <f>IF('G2 MT Reading Scoresheet'!E28&lt;&gt;"",'G2 MT Reading Scoresheet'!E28,"")</f>
        <v/>
      </c>
      <c r="F28" s="170"/>
      <c r="G28" s="171"/>
      <c r="H28" s="174">
        <v>10</v>
      </c>
      <c r="I28" s="193" t="str">
        <f t="shared" si="0"/>
        <v/>
      </c>
      <c r="J28" s="194" t="str">
        <f t="shared" si="1"/>
        <v/>
      </c>
      <c r="K28" s="195"/>
      <c r="L28" s="196"/>
      <c r="M28" s="166" t="str">
        <f t="shared" si="2"/>
        <v/>
      </c>
      <c r="N28" s="174"/>
      <c r="O28" s="174"/>
      <c r="P28" s="166" t="str">
        <f t="shared" si="3"/>
        <v/>
      </c>
      <c r="Q28" s="213" t="str">
        <f t="shared" si="4"/>
        <v/>
      </c>
      <c r="R28" s="174"/>
      <c r="S28" s="174"/>
      <c r="T28" s="214"/>
      <c r="U28" s="215" t="str">
        <f t="shared" si="5"/>
        <v/>
      </c>
      <c r="V28" s="216"/>
      <c r="Y28" s="219" t="str">
        <f t="shared" si="6"/>
        <v/>
      </c>
    </row>
    <row r="29" spans="1:25">
      <c r="A29" s="57">
        <v>19</v>
      </c>
      <c r="B29" s="175" t="str">
        <f>IF('G2 MT Reading Scoresheet'!B29&lt;&gt;"",'G2 MT Reading Scoresheet'!B29,"")</f>
        <v/>
      </c>
      <c r="C29" s="167" t="str">
        <f>IF('G2 MT Reading Scoresheet'!C29&lt;&gt;"",'G2 MT Reading Scoresheet'!C29,"")</f>
        <v/>
      </c>
      <c r="D29" s="168" t="str">
        <f>IF('G2 MT Reading Scoresheet'!D29&lt;&gt;"",'G2 MT Reading Scoresheet'!D29,"")</f>
        <v/>
      </c>
      <c r="E29" s="169" t="str">
        <f>IF('G2 MT Reading Scoresheet'!E29&lt;&gt;"",'G2 MT Reading Scoresheet'!E29,"")</f>
        <v/>
      </c>
      <c r="F29" s="176"/>
      <c r="G29" s="164"/>
      <c r="H29" s="173">
        <v>10</v>
      </c>
      <c r="I29" s="193" t="str">
        <f t="shared" si="0"/>
        <v/>
      </c>
      <c r="J29" s="194" t="str">
        <f t="shared" si="1"/>
        <v/>
      </c>
      <c r="K29" s="197"/>
      <c r="L29" s="198"/>
      <c r="M29" s="166" t="str">
        <f t="shared" si="2"/>
        <v/>
      </c>
      <c r="N29" s="173"/>
      <c r="O29" s="173"/>
      <c r="P29" s="166" t="str">
        <f t="shared" si="3"/>
        <v/>
      </c>
      <c r="Q29" s="213" t="str">
        <f t="shared" si="4"/>
        <v/>
      </c>
      <c r="R29" s="173"/>
      <c r="S29" s="173"/>
      <c r="T29" s="217"/>
      <c r="U29" s="215" t="str">
        <f t="shared" si="5"/>
        <v/>
      </c>
      <c r="V29" s="218"/>
      <c r="Y29" s="219" t="str">
        <f t="shared" si="6"/>
        <v/>
      </c>
    </row>
    <row r="30" spans="1:25">
      <c r="A30" s="165">
        <v>20</v>
      </c>
      <c r="B30" s="175" t="str">
        <f>IF('G2 MT Reading Scoresheet'!B30&lt;&gt;"",'G2 MT Reading Scoresheet'!B30,"")</f>
        <v/>
      </c>
      <c r="C30" s="167" t="str">
        <f>IF('G2 MT Reading Scoresheet'!C30&lt;&gt;"",'G2 MT Reading Scoresheet'!C30,"")</f>
        <v/>
      </c>
      <c r="D30" s="168" t="str">
        <f>IF('G2 MT Reading Scoresheet'!D30&lt;&gt;"",'G2 MT Reading Scoresheet'!D30,"")</f>
        <v/>
      </c>
      <c r="E30" s="169" t="str">
        <f>IF('G2 MT Reading Scoresheet'!E30&lt;&gt;"",'G2 MT Reading Scoresheet'!E30,"")</f>
        <v/>
      </c>
      <c r="F30" s="177"/>
      <c r="G30" s="171"/>
      <c r="H30" s="174">
        <v>10</v>
      </c>
      <c r="I30" s="193" t="str">
        <f t="shared" si="0"/>
        <v/>
      </c>
      <c r="J30" s="194" t="str">
        <f t="shared" si="1"/>
        <v/>
      </c>
      <c r="K30" s="195"/>
      <c r="L30" s="196"/>
      <c r="M30" s="166" t="str">
        <f t="shared" si="2"/>
        <v/>
      </c>
      <c r="N30" s="174"/>
      <c r="O30" s="174"/>
      <c r="P30" s="166" t="str">
        <f t="shared" si="3"/>
        <v/>
      </c>
      <c r="Q30" s="213" t="str">
        <f t="shared" si="4"/>
        <v/>
      </c>
      <c r="R30" s="174"/>
      <c r="S30" s="174"/>
      <c r="T30" s="214"/>
      <c r="U30" s="215" t="str">
        <f t="shared" si="5"/>
        <v/>
      </c>
      <c r="V30" s="216"/>
      <c r="Y30" s="219" t="str">
        <f t="shared" si="6"/>
        <v/>
      </c>
    </row>
    <row r="31" spans="1:25">
      <c r="A31" s="57">
        <v>21</v>
      </c>
      <c r="B31" s="175" t="str">
        <f>IF('G2 MT Reading Scoresheet'!B31&lt;&gt;"",'G2 MT Reading Scoresheet'!B31,"")</f>
        <v/>
      </c>
      <c r="C31" s="167" t="str">
        <f>IF('G2 MT Reading Scoresheet'!C31&lt;&gt;"",'G2 MT Reading Scoresheet'!C31,"")</f>
        <v/>
      </c>
      <c r="D31" s="168" t="str">
        <f>IF('G2 MT Reading Scoresheet'!D31&lt;&gt;"",'G2 MT Reading Scoresheet'!D31,"")</f>
        <v/>
      </c>
      <c r="E31" s="169" t="str">
        <f>IF('G2 MT Reading Scoresheet'!E31&lt;&gt;"",'G2 MT Reading Scoresheet'!E31,"")</f>
        <v/>
      </c>
      <c r="F31" s="176"/>
      <c r="G31" s="164"/>
      <c r="H31" s="173">
        <v>10</v>
      </c>
      <c r="I31" s="193" t="str">
        <f t="shared" si="0"/>
        <v/>
      </c>
      <c r="J31" s="194" t="str">
        <f t="shared" si="1"/>
        <v/>
      </c>
      <c r="K31" s="197"/>
      <c r="L31" s="199"/>
      <c r="M31" s="166" t="str">
        <f t="shared" si="2"/>
        <v/>
      </c>
      <c r="N31" s="174"/>
      <c r="O31" s="173"/>
      <c r="P31" s="166" t="str">
        <f t="shared" si="3"/>
        <v/>
      </c>
      <c r="Q31" s="213" t="str">
        <f t="shared" si="4"/>
        <v/>
      </c>
      <c r="R31" s="173"/>
      <c r="S31" s="173"/>
      <c r="T31" s="217"/>
      <c r="U31" s="215" t="str">
        <f t="shared" si="5"/>
        <v/>
      </c>
      <c r="V31" s="218"/>
      <c r="Y31" s="219" t="str">
        <f t="shared" si="6"/>
        <v/>
      </c>
    </row>
    <row r="32" spans="1:25">
      <c r="A32" s="165">
        <v>22</v>
      </c>
      <c r="B32" s="175" t="str">
        <f>IF('G2 MT Reading Scoresheet'!B32&lt;&gt;"",'G2 MT Reading Scoresheet'!B32,"")</f>
        <v/>
      </c>
      <c r="C32" s="167" t="str">
        <f>IF('G2 MT Reading Scoresheet'!C32&lt;&gt;"",'G2 MT Reading Scoresheet'!C32,"")</f>
        <v/>
      </c>
      <c r="D32" s="168" t="str">
        <f>IF('G2 MT Reading Scoresheet'!D32&lt;&gt;"",'G2 MT Reading Scoresheet'!D32,"")</f>
        <v/>
      </c>
      <c r="E32" s="169" t="str">
        <f>IF('G2 MT Reading Scoresheet'!E32&lt;&gt;"",'G2 MT Reading Scoresheet'!E32,"")</f>
        <v/>
      </c>
      <c r="F32" s="177"/>
      <c r="G32" s="171"/>
      <c r="H32" s="174">
        <v>10</v>
      </c>
      <c r="I32" s="193" t="str">
        <f t="shared" si="0"/>
        <v/>
      </c>
      <c r="J32" s="194" t="str">
        <f t="shared" si="1"/>
        <v/>
      </c>
      <c r="K32" s="195"/>
      <c r="L32" s="200"/>
      <c r="M32" s="166" t="str">
        <f t="shared" si="2"/>
        <v/>
      </c>
      <c r="N32" s="174"/>
      <c r="O32" s="174"/>
      <c r="P32" s="166" t="str">
        <f t="shared" si="3"/>
        <v/>
      </c>
      <c r="Q32" s="213" t="str">
        <f t="shared" si="4"/>
        <v/>
      </c>
      <c r="R32" s="174"/>
      <c r="S32" s="174"/>
      <c r="T32" s="214"/>
      <c r="U32" s="215" t="str">
        <f t="shared" si="5"/>
        <v/>
      </c>
      <c r="V32" s="216"/>
      <c r="Y32" s="219" t="str">
        <f t="shared" si="6"/>
        <v/>
      </c>
    </row>
    <row r="33" spans="1:25">
      <c r="A33" s="57">
        <v>23</v>
      </c>
      <c r="B33" s="175" t="str">
        <f>IF('G2 MT Reading Scoresheet'!B33&lt;&gt;"",'G2 MT Reading Scoresheet'!B33,"")</f>
        <v/>
      </c>
      <c r="C33" s="167" t="str">
        <f>IF('G2 MT Reading Scoresheet'!C33&lt;&gt;"",'G2 MT Reading Scoresheet'!C33,"")</f>
        <v/>
      </c>
      <c r="D33" s="168" t="str">
        <f>IF('G2 MT Reading Scoresheet'!D33&lt;&gt;"",'G2 MT Reading Scoresheet'!D33,"")</f>
        <v/>
      </c>
      <c r="E33" s="169" t="str">
        <f>IF('G2 MT Reading Scoresheet'!E33&lt;&gt;"",'G2 MT Reading Scoresheet'!E33,"")</f>
        <v/>
      </c>
      <c r="F33" s="176"/>
      <c r="G33" s="164"/>
      <c r="H33" s="173">
        <v>10</v>
      </c>
      <c r="I33" s="193" t="str">
        <f t="shared" si="0"/>
        <v/>
      </c>
      <c r="J33" s="194" t="str">
        <f t="shared" si="1"/>
        <v/>
      </c>
      <c r="K33" s="197"/>
      <c r="L33" s="199"/>
      <c r="M33" s="166" t="str">
        <f t="shared" si="2"/>
        <v/>
      </c>
      <c r="N33" s="174"/>
      <c r="O33" s="173"/>
      <c r="P33" s="166" t="str">
        <f t="shared" si="3"/>
        <v/>
      </c>
      <c r="Q33" s="213" t="str">
        <f t="shared" si="4"/>
        <v/>
      </c>
      <c r="R33" s="173"/>
      <c r="S33" s="173"/>
      <c r="T33" s="217"/>
      <c r="U33" s="215" t="str">
        <f t="shared" si="5"/>
        <v/>
      </c>
      <c r="V33" s="218"/>
      <c r="Y33" s="219" t="str">
        <f t="shared" si="6"/>
        <v/>
      </c>
    </row>
    <row r="34" spans="1:25">
      <c r="A34" s="165">
        <v>24</v>
      </c>
      <c r="B34" s="175" t="str">
        <f>IF('G2 MT Reading Scoresheet'!B34&lt;&gt;"",'G2 MT Reading Scoresheet'!B34,"")</f>
        <v/>
      </c>
      <c r="C34" s="167" t="str">
        <f>IF('G2 MT Reading Scoresheet'!C34&lt;&gt;"",'G2 MT Reading Scoresheet'!C34,"")</f>
        <v/>
      </c>
      <c r="D34" s="168" t="str">
        <f>IF('G2 MT Reading Scoresheet'!D34&lt;&gt;"",'G2 MT Reading Scoresheet'!D34,"")</f>
        <v/>
      </c>
      <c r="E34" s="169" t="str">
        <f>IF('G2 MT Reading Scoresheet'!E34&lt;&gt;"",'G2 MT Reading Scoresheet'!E34,"")</f>
        <v/>
      </c>
      <c r="F34" s="177"/>
      <c r="G34" s="171"/>
      <c r="H34" s="174">
        <v>10</v>
      </c>
      <c r="I34" s="193" t="str">
        <f t="shared" si="0"/>
        <v/>
      </c>
      <c r="J34" s="194" t="str">
        <f t="shared" si="1"/>
        <v/>
      </c>
      <c r="K34" s="195"/>
      <c r="L34" s="200"/>
      <c r="M34" s="166" t="str">
        <f t="shared" si="2"/>
        <v/>
      </c>
      <c r="N34" s="174"/>
      <c r="O34" s="174"/>
      <c r="P34" s="166" t="str">
        <f t="shared" si="3"/>
        <v/>
      </c>
      <c r="Q34" s="213" t="str">
        <f t="shared" si="4"/>
        <v/>
      </c>
      <c r="R34" s="174"/>
      <c r="S34" s="174"/>
      <c r="T34" s="214"/>
      <c r="U34" s="215" t="str">
        <f t="shared" si="5"/>
        <v/>
      </c>
      <c r="V34" s="216"/>
      <c r="Y34" s="219" t="str">
        <f t="shared" si="6"/>
        <v/>
      </c>
    </row>
    <row r="35" spans="1:25">
      <c r="A35" s="57">
        <v>25</v>
      </c>
      <c r="B35" s="175" t="str">
        <f>IF('G2 MT Reading Scoresheet'!B35&lt;&gt;"",'G2 MT Reading Scoresheet'!B35,"")</f>
        <v/>
      </c>
      <c r="C35" s="167" t="str">
        <f>IF('G2 MT Reading Scoresheet'!C35&lt;&gt;"",'G2 MT Reading Scoresheet'!C35,"")</f>
        <v/>
      </c>
      <c r="D35" s="168" t="str">
        <f>IF('G2 MT Reading Scoresheet'!D35&lt;&gt;"",'G2 MT Reading Scoresheet'!D35,"")</f>
        <v/>
      </c>
      <c r="E35" s="169" t="str">
        <f>IF('G2 MT Reading Scoresheet'!E35&lt;&gt;"",'G2 MT Reading Scoresheet'!E35,"")</f>
        <v/>
      </c>
      <c r="F35" s="176"/>
      <c r="G35" s="164"/>
      <c r="H35" s="173">
        <v>10</v>
      </c>
      <c r="I35" s="193" t="str">
        <f t="shared" si="0"/>
        <v/>
      </c>
      <c r="J35" s="194" t="str">
        <f t="shared" si="1"/>
        <v/>
      </c>
      <c r="K35" s="197"/>
      <c r="L35" s="199"/>
      <c r="M35" s="166" t="str">
        <f t="shared" si="2"/>
        <v/>
      </c>
      <c r="N35" s="173"/>
      <c r="O35" s="173"/>
      <c r="P35" s="166" t="str">
        <f t="shared" si="3"/>
        <v/>
      </c>
      <c r="Q35" s="213" t="str">
        <f t="shared" si="4"/>
        <v/>
      </c>
      <c r="R35" s="173"/>
      <c r="S35" s="173"/>
      <c r="T35" s="217"/>
      <c r="U35" s="215" t="str">
        <f t="shared" si="5"/>
        <v/>
      </c>
      <c r="V35" s="218"/>
      <c r="Y35" s="219" t="str">
        <f t="shared" si="6"/>
        <v/>
      </c>
    </row>
    <row r="36" spans="1:25">
      <c r="A36" s="165">
        <v>26</v>
      </c>
      <c r="B36" s="175" t="str">
        <f>IF('G2 MT Reading Scoresheet'!B36&lt;&gt;"",'G2 MT Reading Scoresheet'!B36,"")</f>
        <v/>
      </c>
      <c r="C36" s="167" t="str">
        <f>IF('G2 MT Reading Scoresheet'!C36&lt;&gt;"",'G2 MT Reading Scoresheet'!C36,"")</f>
        <v/>
      </c>
      <c r="D36" s="168" t="str">
        <f>IF('G2 MT Reading Scoresheet'!D36&lt;&gt;"",'G2 MT Reading Scoresheet'!D36,"")</f>
        <v/>
      </c>
      <c r="E36" s="169" t="str">
        <f>IF('G2 MT Reading Scoresheet'!E36&lt;&gt;"",'G2 MT Reading Scoresheet'!E36,"")</f>
        <v/>
      </c>
      <c r="F36" s="177"/>
      <c r="G36" s="171"/>
      <c r="H36" s="174"/>
      <c r="I36" s="193" t="str">
        <f t="shared" si="0"/>
        <v/>
      </c>
      <c r="J36" s="194" t="str">
        <f t="shared" si="1"/>
        <v/>
      </c>
      <c r="K36" s="195"/>
      <c r="L36" s="196"/>
      <c r="M36" s="166" t="str">
        <f t="shared" si="2"/>
        <v/>
      </c>
      <c r="N36" s="174"/>
      <c r="O36" s="174"/>
      <c r="P36" s="166" t="str">
        <f t="shared" si="3"/>
        <v/>
      </c>
      <c r="Q36" s="213" t="str">
        <f t="shared" si="4"/>
        <v/>
      </c>
      <c r="R36" s="174"/>
      <c r="S36" s="174"/>
      <c r="T36" s="214"/>
      <c r="U36" s="215" t="str">
        <f t="shared" si="5"/>
        <v/>
      </c>
      <c r="V36" s="216"/>
      <c r="Y36" s="219" t="str">
        <f t="shared" si="6"/>
        <v/>
      </c>
    </row>
    <row r="37" spans="1:25">
      <c r="A37" s="57">
        <v>27</v>
      </c>
      <c r="B37" s="175" t="str">
        <f>IF('G2 MT Reading Scoresheet'!B37&lt;&gt;"",'G2 MT Reading Scoresheet'!B37,"")</f>
        <v/>
      </c>
      <c r="C37" s="167" t="str">
        <f>IF('G2 MT Reading Scoresheet'!C37&lt;&gt;"",'G2 MT Reading Scoresheet'!C37,"")</f>
        <v/>
      </c>
      <c r="D37" s="168" t="str">
        <f>IF('G2 MT Reading Scoresheet'!D37&lt;&gt;"",'G2 MT Reading Scoresheet'!D37,"")</f>
        <v/>
      </c>
      <c r="E37" s="169" t="str">
        <f>IF('G2 MT Reading Scoresheet'!E37&lt;&gt;"",'G2 MT Reading Scoresheet'!E37,"")</f>
        <v/>
      </c>
      <c r="F37" s="172"/>
      <c r="G37" s="164"/>
      <c r="H37" s="173"/>
      <c r="I37" s="193" t="str">
        <f t="shared" si="0"/>
        <v/>
      </c>
      <c r="J37" s="194" t="str">
        <f t="shared" si="1"/>
        <v/>
      </c>
      <c r="K37" s="197"/>
      <c r="L37" s="198"/>
      <c r="M37" s="166" t="str">
        <f t="shared" si="2"/>
        <v/>
      </c>
      <c r="N37" s="173"/>
      <c r="O37" s="173"/>
      <c r="P37" s="166" t="str">
        <f t="shared" si="3"/>
        <v/>
      </c>
      <c r="Q37" s="213" t="str">
        <f t="shared" si="4"/>
        <v/>
      </c>
      <c r="R37" s="173"/>
      <c r="S37" s="173"/>
      <c r="T37" s="217"/>
      <c r="U37" s="215" t="str">
        <f t="shared" si="5"/>
        <v/>
      </c>
      <c r="V37" s="218"/>
      <c r="Y37" s="219" t="str">
        <f t="shared" si="6"/>
        <v/>
      </c>
    </row>
    <row r="38" spans="1:25">
      <c r="A38" s="165">
        <v>28</v>
      </c>
      <c r="B38" s="175" t="str">
        <f>IF('G2 MT Reading Scoresheet'!B38&lt;&gt;"",'G2 MT Reading Scoresheet'!B38,"")</f>
        <v/>
      </c>
      <c r="C38" s="167" t="str">
        <f>IF('G2 MT Reading Scoresheet'!C38&lt;&gt;"",'G2 MT Reading Scoresheet'!C38,"")</f>
        <v/>
      </c>
      <c r="D38" s="168" t="str">
        <f>IF('G2 MT Reading Scoresheet'!D38&lt;&gt;"",'G2 MT Reading Scoresheet'!D38,"")</f>
        <v/>
      </c>
      <c r="E38" s="169" t="str">
        <f>IF('G2 MT Reading Scoresheet'!E38&lt;&gt;"",'G2 MT Reading Scoresheet'!E38,"")</f>
        <v/>
      </c>
      <c r="F38" s="170"/>
      <c r="G38" s="171"/>
      <c r="H38" s="174"/>
      <c r="I38" s="193" t="str">
        <f t="shared" si="0"/>
        <v/>
      </c>
      <c r="J38" s="194" t="str">
        <f t="shared" si="1"/>
        <v/>
      </c>
      <c r="K38" s="195"/>
      <c r="L38" s="196"/>
      <c r="M38" s="166" t="str">
        <f t="shared" si="2"/>
        <v/>
      </c>
      <c r="N38" s="174"/>
      <c r="O38" s="174"/>
      <c r="P38" s="166" t="str">
        <f t="shared" si="3"/>
        <v/>
      </c>
      <c r="Q38" s="213" t="str">
        <f t="shared" si="4"/>
        <v/>
      </c>
      <c r="R38" s="174"/>
      <c r="S38" s="174"/>
      <c r="T38" s="214"/>
      <c r="U38" s="215" t="str">
        <f t="shared" si="5"/>
        <v/>
      </c>
      <c r="V38" s="216"/>
      <c r="Y38" s="219" t="str">
        <f t="shared" si="6"/>
        <v/>
      </c>
    </row>
    <row r="39" spans="1:25">
      <c r="A39" s="57">
        <v>29</v>
      </c>
      <c r="B39" s="175" t="str">
        <f>IF('G2 MT Reading Scoresheet'!B39&lt;&gt;"",'G2 MT Reading Scoresheet'!B39,"")</f>
        <v/>
      </c>
      <c r="C39" s="167" t="str">
        <f>IF('G2 MT Reading Scoresheet'!C39&lt;&gt;"",'G2 MT Reading Scoresheet'!C39,"")</f>
        <v/>
      </c>
      <c r="D39" s="168" t="str">
        <f>IF('G2 MT Reading Scoresheet'!D39&lt;&gt;"",'G2 MT Reading Scoresheet'!D39,"")</f>
        <v/>
      </c>
      <c r="E39" s="169" t="str">
        <f>IF('G2 MT Reading Scoresheet'!E39&lt;&gt;"",'G2 MT Reading Scoresheet'!E39,"")</f>
        <v/>
      </c>
      <c r="F39" s="172"/>
      <c r="G39" s="164"/>
      <c r="H39" s="173"/>
      <c r="I39" s="193" t="str">
        <f t="shared" si="0"/>
        <v/>
      </c>
      <c r="J39" s="194" t="str">
        <f t="shared" si="1"/>
        <v/>
      </c>
      <c r="K39" s="197"/>
      <c r="L39" s="198"/>
      <c r="M39" s="166" t="str">
        <f t="shared" si="2"/>
        <v/>
      </c>
      <c r="N39" s="173"/>
      <c r="O39" s="173"/>
      <c r="P39" s="166" t="str">
        <f t="shared" si="3"/>
        <v/>
      </c>
      <c r="Q39" s="213" t="str">
        <f t="shared" si="4"/>
        <v/>
      </c>
      <c r="R39" s="173"/>
      <c r="S39" s="173"/>
      <c r="T39" s="217"/>
      <c r="U39" s="215" t="str">
        <f t="shared" si="5"/>
        <v/>
      </c>
      <c r="V39" s="218"/>
      <c r="Y39" s="219" t="str">
        <f t="shared" si="6"/>
        <v/>
      </c>
    </row>
    <row r="40" spans="1:25">
      <c r="A40" s="165">
        <v>30</v>
      </c>
      <c r="B40" s="175" t="str">
        <f>IF('G2 MT Reading Scoresheet'!B40&lt;&gt;"",'G2 MT Reading Scoresheet'!B40,"")</f>
        <v/>
      </c>
      <c r="C40" s="167" t="str">
        <f>IF('G2 MT Reading Scoresheet'!C40&lt;&gt;"",'G2 MT Reading Scoresheet'!C40,"")</f>
        <v/>
      </c>
      <c r="D40" s="168" t="str">
        <f>IF('G2 MT Reading Scoresheet'!D40&lt;&gt;"",'G2 MT Reading Scoresheet'!D40,"")</f>
        <v/>
      </c>
      <c r="E40" s="169" t="str">
        <f>IF('G2 MT Reading Scoresheet'!E40&lt;&gt;"",'G2 MT Reading Scoresheet'!E40,"")</f>
        <v/>
      </c>
      <c r="F40" s="170"/>
      <c r="G40" s="171"/>
      <c r="H40" s="174"/>
      <c r="I40" s="193" t="str">
        <f t="shared" si="0"/>
        <v/>
      </c>
      <c r="J40" s="194" t="str">
        <f t="shared" si="1"/>
        <v/>
      </c>
      <c r="K40" s="195"/>
      <c r="L40" s="196"/>
      <c r="M40" s="166" t="str">
        <f t="shared" si="2"/>
        <v/>
      </c>
      <c r="N40" s="174"/>
      <c r="O40" s="174"/>
      <c r="P40" s="166" t="str">
        <f t="shared" si="3"/>
        <v/>
      </c>
      <c r="Q40" s="213" t="str">
        <f t="shared" si="4"/>
        <v/>
      </c>
      <c r="R40" s="174"/>
      <c r="S40" s="174"/>
      <c r="T40" s="214"/>
      <c r="U40" s="215" t="str">
        <f t="shared" si="5"/>
        <v/>
      </c>
      <c r="V40" s="216"/>
      <c r="Y40" s="219" t="str">
        <f t="shared" si="6"/>
        <v/>
      </c>
    </row>
    <row r="41" spans="1:25">
      <c r="A41" s="57">
        <v>31</v>
      </c>
      <c r="B41" s="175" t="str">
        <f>IF('G2 MT Reading Scoresheet'!B41&lt;&gt;"",'G2 MT Reading Scoresheet'!B41,"")</f>
        <v/>
      </c>
      <c r="C41" s="167" t="str">
        <f>IF('G2 MT Reading Scoresheet'!C41&lt;&gt;"",'G2 MT Reading Scoresheet'!C41,"")</f>
        <v/>
      </c>
      <c r="D41" s="168" t="str">
        <f>IF('G2 MT Reading Scoresheet'!D41&lt;&gt;"",'G2 MT Reading Scoresheet'!D41,"")</f>
        <v/>
      </c>
      <c r="E41" s="169" t="str">
        <f>IF('G2 MT Reading Scoresheet'!E41&lt;&gt;"",'G2 MT Reading Scoresheet'!E41,"")</f>
        <v/>
      </c>
      <c r="F41" s="172"/>
      <c r="G41" s="164"/>
      <c r="H41" s="173"/>
      <c r="I41" s="193" t="str">
        <f t="shared" si="0"/>
        <v/>
      </c>
      <c r="J41" s="194" t="str">
        <f t="shared" si="1"/>
        <v/>
      </c>
      <c r="K41" s="197"/>
      <c r="L41" s="198"/>
      <c r="M41" s="166" t="str">
        <f t="shared" si="2"/>
        <v/>
      </c>
      <c r="N41" s="173"/>
      <c r="O41" s="173"/>
      <c r="P41" s="166" t="str">
        <f t="shared" si="3"/>
        <v/>
      </c>
      <c r="Q41" s="213" t="str">
        <f t="shared" si="4"/>
        <v/>
      </c>
      <c r="R41" s="173"/>
      <c r="S41" s="173"/>
      <c r="T41" s="217"/>
      <c r="U41" s="215" t="str">
        <f t="shared" si="5"/>
        <v/>
      </c>
      <c r="V41" s="218"/>
      <c r="Y41" s="219" t="str">
        <f t="shared" si="6"/>
        <v/>
      </c>
    </row>
    <row r="42" spans="1:25">
      <c r="A42" s="165">
        <v>32</v>
      </c>
      <c r="B42" s="175" t="str">
        <f>IF('G2 MT Reading Scoresheet'!B42&lt;&gt;"",'G2 MT Reading Scoresheet'!B42,"")</f>
        <v/>
      </c>
      <c r="C42" s="167" t="str">
        <f>IF('G2 MT Reading Scoresheet'!C42&lt;&gt;"",'G2 MT Reading Scoresheet'!C42,"")</f>
        <v/>
      </c>
      <c r="D42" s="168" t="str">
        <f>IF('G2 MT Reading Scoresheet'!D42&lt;&gt;"",'G2 MT Reading Scoresheet'!D42,"")</f>
        <v/>
      </c>
      <c r="E42" s="169" t="str">
        <f>IF('G2 MT Reading Scoresheet'!E42&lt;&gt;"",'G2 MT Reading Scoresheet'!E42,"")</f>
        <v/>
      </c>
      <c r="F42" s="170"/>
      <c r="G42" s="171"/>
      <c r="H42" s="174"/>
      <c r="I42" s="193" t="str">
        <f t="shared" si="0"/>
        <v/>
      </c>
      <c r="J42" s="194" t="str">
        <f t="shared" si="1"/>
        <v/>
      </c>
      <c r="K42" s="195"/>
      <c r="L42" s="196"/>
      <c r="M42" s="166" t="str">
        <f t="shared" si="2"/>
        <v/>
      </c>
      <c r="N42" s="174"/>
      <c r="O42" s="174"/>
      <c r="P42" s="166" t="str">
        <f t="shared" si="3"/>
        <v/>
      </c>
      <c r="Q42" s="213" t="str">
        <f t="shared" si="4"/>
        <v/>
      </c>
      <c r="R42" s="174"/>
      <c r="S42" s="174"/>
      <c r="T42" s="214"/>
      <c r="U42" s="215" t="str">
        <f t="shared" si="5"/>
        <v/>
      </c>
      <c r="V42" s="216"/>
      <c r="Y42" s="219" t="str">
        <f t="shared" si="6"/>
        <v/>
      </c>
    </row>
    <row r="43" spans="1:25">
      <c r="A43" s="57">
        <v>33</v>
      </c>
      <c r="B43" s="175" t="str">
        <f>IF('G2 MT Reading Scoresheet'!B43&lt;&gt;"",'G2 MT Reading Scoresheet'!B43,"")</f>
        <v/>
      </c>
      <c r="C43" s="167" t="str">
        <f>IF('G2 MT Reading Scoresheet'!C43&lt;&gt;"",'G2 MT Reading Scoresheet'!C43,"")</f>
        <v/>
      </c>
      <c r="D43" s="168" t="str">
        <f>IF('G2 MT Reading Scoresheet'!D43&lt;&gt;"",'G2 MT Reading Scoresheet'!D43,"")</f>
        <v/>
      </c>
      <c r="E43" s="169" t="str">
        <f>IF('G2 MT Reading Scoresheet'!E43&lt;&gt;"",'G2 MT Reading Scoresheet'!E43,"")</f>
        <v/>
      </c>
      <c r="F43" s="172"/>
      <c r="G43" s="164"/>
      <c r="H43" s="173"/>
      <c r="I43" s="193" t="str">
        <f t="shared" si="0"/>
        <v/>
      </c>
      <c r="J43" s="194" t="str">
        <f t="shared" si="1"/>
        <v/>
      </c>
      <c r="K43" s="197"/>
      <c r="L43" s="198"/>
      <c r="M43" s="166" t="str">
        <f t="shared" si="2"/>
        <v/>
      </c>
      <c r="N43" s="173"/>
      <c r="O43" s="173"/>
      <c r="P43" s="166" t="str">
        <f t="shared" si="3"/>
        <v/>
      </c>
      <c r="Q43" s="213" t="str">
        <f t="shared" si="4"/>
        <v/>
      </c>
      <c r="R43" s="173"/>
      <c r="S43" s="173"/>
      <c r="T43" s="217"/>
      <c r="U43" s="215" t="str">
        <f t="shared" si="5"/>
        <v/>
      </c>
      <c r="V43" s="218"/>
      <c r="Y43" s="219" t="str">
        <f t="shared" si="6"/>
        <v/>
      </c>
    </row>
    <row r="44" spans="1:25">
      <c r="A44" s="165">
        <v>34</v>
      </c>
      <c r="B44" s="175" t="str">
        <f>IF('G2 MT Reading Scoresheet'!B44&lt;&gt;"",'G2 MT Reading Scoresheet'!B44,"")</f>
        <v/>
      </c>
      <c r="C44" s="167" t="str">
        <f>IF('G2 MT Reading Scoresheet'!C44&lt;&gt;"",'G2 MT Reading Scoresheet'!C44,"")</f>
        <v/>
      </c>
      <c r="D44" s="168" t="str">
        <f>IF('G2 MT Reading Scoresheet'!D44&lt;&gt;"",'G2 MT Reading Scoresheet'!D44,"")</f>
        <v/>
      </c>
      <c r="E44" s="169" t="str">
        <f>IF('G2 MT Reading Scoresheet'!E44&lt;&gt;"",'G2 MT Reading Scoresheet'!E44,"")</f>
        <v/>
      </c>
      <c r="F44" s="170"/>
      <c r="G44" s="171"/>
      <c r="H44" s="174"/>
      <c r="I44" s="193" t="str">
        <f t="shared" si="0"/>
        <v/>
      </c>
      <c r="J44" s="194" t="str">
        <f t="shared" si="1"/>
        <v/>
      </c>
      <c r="K44" s="195"/>
      <c r="L44" s="196"/>
      <c r="M44" s="166" t="str">
        <f t="shared" si="2"/>
        <v/>
      </c>
      <c r="N44" s="174"/>
      <c r="O44" s="174"/>
      <c r="P44" s="166" t="str">
        <f t="shared" si="3"/>
        <v/>
      </c>
      <c r="Q44" s="213" t="str">
        <f t="shared" si="4"/>
        <v/>
      </c>
      <c r="R44" s="174"/>
      <c r="S44" s="174"/>
      <c r="T44" s="214"/>
      <c r="U44" s="215" t="str">
        <f t="shared" si="5"/>
        <v/>
      </c>
      <c r="V44" s="216"/>
      <c r="Y44" s="219" t="str">
        <f t="shared" si="6"/>
        <v/>
      </c>
    </row>
    <row r="45" spans="1:25">
      <c r="A45" s="57">
        <v>35</v>
      </c>
      <c r="B45" s="175" t="str">
        <f>IF('G2 MT Reading Scoresheet'!B45&lt;&gt;"",'G2 MT Reading Scoresheet'!B45,"")</f>
        <v/>
      </c>
      <c r="C45" s="167" t="str">
        <f>IF('G2 MT Reading Scoresheet'!C45&lt;&gt;"",'G2 MT Reading Scoresheet'!C45,"")</f>
        <v/>
      </c>
      <c r="D45" s="168" t="str">
        <f>IF('G2 MT Reading Scoresheet'!D45&lt;&gt;"",'G2 MT Reading Scoresheet'!D45,"")</f>
        <v/>
      </c>
      <c r="E45" s="169" t="str">
        <f>IF('G2 MT Reading Scoresheet'!E45&lt;&gt;"",'G2 MT Reading Scoresheet'!E45,"")</f>
        <v/>
      </c>
      <c r="F45" s="172"/>
      <c r="G45" s="164"/>
      <c r="H45" s="173"/>
      <c r="I45" s="193" t="str">
        <f t="shared" si="0"/>
        <v/>
      </c>
      <c r="J45" s="194" t="str">
        <f t="shared" si="1"/>
        <v/>
      </c>
      <c r="K45" s="197"/>
      <c r="L45" s="198"/>
      <c r="M45" s="166" t="str">
        <f t="shared" si="2"/>
        <v/>
      </c>
      <c r="N45" s="173"/>
      <c r="O45" s="173"/>
      <c r="P45" s="166" t="str">
        <f t="shared" si="3"/>
        <v/>
      </c>
      <c r="Q45" s="213" t="str">
        <f t="shared" si="4"/>
        <v/>
      </c>
      <c r="R45" s="173"/>
      <c r="S45" s="173"/>
      <c r="T45" s="217"/>
      <c r="U45" s="215" t="str">
        <f t="shared" si="5"/>
        <v/>
      </c>
      <c r="V45" s="218"/>
      <c r="Y45" s="219" t="str">
        <f t="shared" si="6"/>
        <v/>
      </c>
    </row>
    <row r="46" spans="1:25">
      <c r="A46" s="165">
        <v>36</v>
      </c>
      <c r="B46" s="175" t="str">
        <f>IF('G2 MT Reading Scoresheet'!B46&lt;&gt;"",'G2 MT Reading Scoresheet'!B46,"")</f>
        <v/>
      </c>
      <c r="C46" s="167" t="str">
        <f>IF('G2 MT Reading Scoresheet'!C46&lt;&gt;"",'G2 MT Reading Scoresheet'!C46,"")</f>
        <v/>
      </c>
      <c r="D46" s="168" t="str">
        <f>IF('G2 MT Reading Scoresheet'!D46&lt;&gt;"",'G2 MT Reading Scoresheet'!D46,"")</f>
        <v/>
      </c>
      <c r="E46" s="169" t="str">
        <f>IF('G2 MT Reading Scoresheet'!E46&lt;&gt;"",'G2 MT Reading Scoresheet'!E46,"")</f>
        <v/>
      </c>
      <c r="F46" s="170"/>
      <c r="G46" s="171"/>
      <c r="H46" s="174"/>
      <c r="I46" s="193" t="str">
        <f t="shared" si="0"/>
        <v/>
      </c>
      <c r="J46" s="194" t="str">
        <f t="shared" si="1"/>
        <v/>
      </c>
      <c r="K46" s="195"/>
      <c r="L46" s="196"/>
      <c r="M46" s="166" t="str">
        <f t="shared" si="2"/>
        <v/>
      </c>
      <c r="N46" s="174"/>
      <c r="O46" s="174"/>
      <c r="P46" s="166" t="str">
        <f t="shared" si="3"/>
        <v/>
      </c>
      <c r="Q46" s="213" t="str">
        <f t="shared" si="4"/>
        <v/>
      </c>
      <c r="R46" s="174"/>
      <c r="S46" s="174"/>
      <c r="T46" s="214"/>
      <c r="U46" s="215" t="str">
        <f t="shared" si="5"/>
        <v/>
      </c>
      <c r="V46" s="216"/>
      <c r="Y46" s="219" t="str">
        <f t="shared" si="6"/>
        <v/>
      </c>
    </row>
    <row r="47" spans="1:25">
      <c r="A47" s="57">
        <v>37</v>
      </c>
      <c r="B47" s="175" t="str">
        <f>IF('G2 MT Reading Scoresheet'!B47&lt;&gt;"",'G2 MT Reading Scoresheet'!B47,"")</f>
        <v/>
      </c>
      <c r="C47" s="167" t="str">
        <f>IF('G2 MT Reading Scoresheet'!C47&lt;&gt;"",'G2 MT Reading Scoresheet'!C47,"")</f>
        <v/>
      </c>
      <c r="D47" s="168" t="str">
        <f>IF('G2 MT Reading Scoresheet'!D47&lt;&gt;"",'G2 MT Reading Scoresheet'!D47,"")</f>
        <v/>
      </c>
      <c r="E47" s="169" t="str">
        <f>IF('G2 MT Reading Scoresheet'!E47&lt;&gt;"",'G2 MT Reading Scoresheet'!E47,"")</f>
        <v/>
      </c>
      <c r="F47" s="172"/>
      <c r="G47" s="164"/>
      <c r="H47" s="173"/>
      <c r="I47" s="193" t="str">
        <f t="shared" si="0"/>
        <v/>
      </c>
      <c r="J47" s="194" t="str">
        <f t="shared" si="1"/>
        <v/>
      </c>
      <c r="K47" s="197"/>
      <c r="L47" s="198"/>
      <c r="M47" s="166" t="str">
        <f t="shared" si="2"/>
        <v/>
      </c>
      <c r="N47" s="173"/>
      <c r="O47" s="173"/>
      <c r="P47" s="166" t="str">
        <f t="shared" si="3"/>
        <v/>
      </c>
      <c r="Q47" s="213" t="str">
        <f t="shared" si="4"/>
        <v/>
      </c>
      <c r="R47" s="173"/>
      <c r="S47" s="173"/>
      <c r="T47" s="217"/>
      <c r="U47" s="215" t="str">
        <f t="shared" si="5"/>
        <v/>
      </c>
      <c r="V47" s="218"/>
      <c r="Y47" s="219" t="str">
        <f t="shared" si="6"/>
        <v/>
      </c>
    </row>
    <row r="48" spans="1:25">
      <c r="A48" s="165">
        <v>38</v>
      </c>
      <c r="B48" s="175" t="str">
        <f>IF('G2 MT Reading Scoresheet'!B48&lt;&gt;"",'G2 MT Reading Scoresheet'!B48,"")</f>
        <v/>
      </c>
      <c r="C48" s="167" t="str">
        <f>IF('G2 MT Reading Scoresheet'!C48&lt;&gt;"",'G2 MT Reading Scoresheet'!C48,"")</f>
        <v/>
      </c>
      <c r="D48" s="168" t="str">
        <f>IF('G2 MT Reading Scoresheet'!D48&lt;&gt;"",'G2 MT Reading Scoresheet'!D48,"")</f>
        <v/>
      </c>
      <c r="E48" s="169" t="str">
        <f>IF('G2 MT Reading Scoresheet'!E48&lt;&gt;"",'G2 MT Reading Scoresheet'!E48,"")</f>
        <v/>
      </c>
      <c r="F48" s="170"/>
      <c r="G48" s="171"/>
      <c r="H48" s="174"/>
      <c r="I48" s="193" t="str">
        <f t="shared" si="0"/>
        <v/>
      </c>
      <c r="J48" s="194" t="str">
        <f t="shared" si="1"/>
        <v/>
      </c>
      <c r="K48" s="195"/>
      <c r="L48" s="196"/>
      <c r="M48" s="166" t="str">
        <f t="shared" si="2"/>
        <v/>
      </c>
      <c r="N48" s="174"/>
      <c r="O48" s="174"/>
      <c r="P48" s="166" t="str">
        <f t="shared" si="3"/>
        <v/>
      </c>
      <c r="Q48" s="213" t="str">
        <f t="shared" si="4"/>
        <v/>
      </c>
      <c r="R48" s="174"/>
      <c r="S48" s="174"/>
      <c r="T48" s="214"/>
      <c r="U48" s="215" t="str">
        <f t="shared" si="5"/>
        <v/>
      </c>
      <c r="V48" s="216"/>
      <c r="Y48" s="219" t="str">
        <f t="shared" si="6"/>
        <v/>
      </c>
    </row>
    <row r="49" spans="1:25">
      <c r="A49" s="57">
        <v>39</v>
      </c>
      <c r="B49" s="175" t="str">
        <f>IF('G2 MT Reading Scoresheet'!B49&lt;&gt;"",'G2 MT Reading Scoresheet'!B49,"")</f>
        <v/>
      </c>
      <c r="C49" s="167" t="str">
        <f>IF('G2 MT Reading Scoresheet'!C49&lt;&gt;"",'G2 MT Reading Scoresheet'!C49,"")</f>
        <v/>
      </c>
      <c r="D49" s="168" t="str">
        <f>IF('G2 MT Reading Scoresheet'!D49&lt;&gt;"",'G2 MT Reading Scoresheet'!D49,"")</f>
        <v/>
      </c>
      <c r="E49" s="169" t="str">
        <f>IF('G2 MT Reading Scoresheet'!E49&lt;&gt;"",'G2 MT Reading Scoresheet'!E49,"")</f>
        <v/>
      </c>
      <c r="F49" s="172"/>
      <c r="G49" s="164"/>
      <c r="H49" s="173"/>
      <c r="I49" s="193" t="str">
        <f t="shared" si="0"/>
        <v/>
      </c>
      <c r="J49" s="194" t="str">
        <f t="shared" si="1"/>
        <v/>
      </c>
      <c r="K49" s="197"/>
      <c r="L49" s="198"/>
      <c r="M49" s="166" t="str">
        <f t="shared" si="2"/>
        <v/>
      </c>
      <c r="N49" s="173"/>
      <c r="O49" s="173"/>
      <c r="P49" s="166" t="str">
        <f t="shared" si="3"/>
        <v/>
      </c>
      <c r="Q49" s="213" t="str">
        <f t="shared" si="4"/>
        <v/>
      </c>
      <c r="R49" s="173"/>
      <c r="S49" s="173"/>
      <c r="T49" s="217"/>
      <c r="U49" s="215" t="str">
        <f t="shared" si="5"/>
        <v/>
      </c>
      <c r="V49" s="218"/>
      <c r="Y49" s="219" t="str">
        <f t="shared" si="6"/>
        <v/>
      </c>
    </row>
    <row r="50" spans="1:25">
      <c r="A50" s="165">
        <v>40</v>
      </c>
      <c r="B50" s="175" t="str">
        <f>IF('G2 MT Reading Scoresheet'!B50&lt;&gt;"",'G2 MT Reading Scoresheet'!B50,"")</f>
        <v/>
      </c>
      <c r="C50" s="167" t="str">
        <f>IF('G2 MT Reading Scoresheet'!C50&lt;&gt;"",'G2 MT Reading Scoresheet'!C50,"")</f>
        <v/>
      </c>
      <c r="D50" s="168" t="str">
        <f>IF('G2 MT Reading Scoresheet'!D50&lt;&gt;"",'G2 MT Reading Scoresheet'!D50,"")</f>
        <v/>
      </c>
      <c r="E50" s="169" t="str">
        <f>IF('G2 MT Reading Scoresheet'!E50&lt;&gt;"",'G2 MT Reading Scoresheet'!E50,"")</f>
        <v/>
      </c>
      <c r="F50" s="170"/>
      <c r="G50" s="171"/>
      <c r="H50" s="174"/>
      <c r="I50" s="193" t="str">
        <f t="shared" si="0"/>
        <v/>
      </c>
      <c r="J50" s="194" t="str">
        <f t="shared" si="1"/>
        <v/>
      </c>
      <c r="K50" s="195"/>
      <c r="L50" s="196"/>
      <c r="M50" s="166" t="str">
        <f t="shared" si="2"/>
        <v/>
      </c>
      <c r="N50" s="174"/>
      <c r="O50" s="174"/>
      <c r="P50" s="166" t="str">
        <f t="shared" si="3"/>
        <v/>
      </c>
      <c r="Q50" s="213" t="str">
        <f t="shared" si="4"/>
        <v/>
      </c>
      <c r="R50" s="174"/>
      <c r="S50" s="174"/>
      <c r="T50" s="214"/>
      <c r="U50" s="215" t="str">
        <f t="shared" si="5"/>
        <v/>
      </c>
      <c r="V50" s="216"/>
      <c r="Y50" s="219" t="str">
        <f t="shared" si="6"/>
        <v/>
      </c>
    </row>
    <row r="51" spans="1:25">
      <c r="A51" s="57">
        <v>41</v>
      </c>
      <c r="B51" s="175" t="str">
        <f>IF('G2 MT Reading Scoresheet'!B51&lt;&gt;"",'G2 MT Reading Scoresheet'!B51,"")</f>
        <v/>
      </c>
      <c r="C51" s="167" t="str">
        <f>IF('G2 MT Reading Scoresheet'!C51&lt;&gt;"",'G2 MT Reading Scoresheet'!C51,"")</f>
        <v/>
      </c>
      <c r="D51" s="168" t="str">
        <f>IF('G2 MT Reading Scoresheet'!D51&lt;&gt;"",'G2 MT Reading Scoresheet'!D51,"")</f>
        <v/>
      </c>
      <c r="E51" s="169" t="str">
        <f>IF('G2 MT Reading Scoresheet'!E51&lt;&gt;"",'G2 MT Reading Scoresheet'!E51,"")</f>
        <v/>
      </c>
      <c r="F51" s="172"/>
      <c r="G51" s="164"/>
      <c r="H51" s="173"/>
      <c r="I51" s="193" t="str">
        <f t="shared" si="0"/>
        <v/>
      </c>
      <c r="J51" s="194" t="str">
        <f t="shared" si="1"/>
        <v/>
      </c>
      <c r="K51" s="197"/>
      <c r="L51" s="198"/>
      <c r="M51" s="166" t="str">
        <f t="shared" si="2"/>
        <v/>
      </c>
      <c r="N51" s="173"/>
      <c r="O51" s="173"/>
      <c r="P51" s="166" t="str">
        <f t="shared" si="3"/>
        <v/>
      </c>
      <c r="Q51" s="213" t="str">
        <f t="shared" si="4"/>
        <v/>
      </c>
      <c r="R51" s="173"/>
      <c r="S51" s="173"/>
      <c r="T51" s="217"/>
      <c r="U51" s="215" t="str">
        <f t="shared" si="5"/>
        <v/>
      </c>
      <c r="V51" s="218"/>
      <c r="Y51" s="219" t="str">
        <f t="shared" si="6"/>
        <v/>
      </c>
    </row>
    <row r="52" spans="1:25">
      <c r="A52" s="165">
        <v>42</v>
      </c>
      <c r="B52" s="175" t="str">
        <f>IF('G2 MT Reading Scoresheet'!B52&lt;&gt;"",'G2 MT Reading Scoresheet'!B52,"")</f>
        <v/>
      </c>
      <c r="C52" s="167" t="str">
        <f>IF('G2 MT Reading Scoresheet'!C52&lt;&gt;"",'G2 MT Reading Scoresheet'!C52,"")</f>
        <v/>
      </c>
      <c r="D52" s="168" t="str">
        <f>IF('G2 MT Reading Scoresheet'!D52&lt;&gt;"",'G2 MT Reading Scoresheet'!D52,"")</f>
        <v/>
      </c>
      <c r="E52" s="169" t="str">
        <f>IF('G2 MT Reading Scoresheet'!E52&lt;&gt;"",'G2 MT Reading Scoresheet'!E52,"")</f>
        <v/>
      </c>
      <c r="F52" s="170"/>
      <c r="G52" s="171"/>
      <c r="H52" s="174"/>
      <c r="I52" s="193" t="str">
        <f t="shared" si="0"/>
        <v/>
      </c>
      <c r="J52" s="194" t="str">
        <f t="shared" si="1"/>
        <v/>
      </c>
      <c r="K52" s="195"/>
      <c r="L52" s="196"/>
      <c r="M52" s="166" t="str">
        <f t="shared" si="2"/>
        <v/>
      </c>
      <c r="N52" s="174"/>
      <c r="O52" s="174"/>
      <c r="P52" s="166" t="str">
        <f t="shared" si="3"/>
        <v/>
      </c>
      <c r="Q52" s="213" t="str">
        <f t="shared" si="4"/>
        <v/>
      </c>
      <c r="R52" s="174"/>
      <c r="S52" s="174"/>
      <c r="T52" s="214"/>
      <c r="U52" s="215" t="str">
        <f t="shared" si="5"/>
        <v/>
      </c>
      <c r="V52" s="216"/>
      <c r="Y52" s="219" t="str">
        <f t="shared" si="6"/>
        <v/>
      </c>
    </row>
    <row r="53" spans="1:25">
      <c r="A53" s="57">
        <v>43</v>
      </c>
      <c r="B53" s="175" t="str">
        <f>IF('G2 MT Reading Scoresheet'!B53&lt;&gt;"",'G2 MT Reading Scoresheet'!B53,"")</f>
        <v/>
      </c>
      <c r="C53" s="167" t="str">
        <f>IF('G2 MT Reading Scoresheet'!C53&lt;&gt;"",'G2 MT Reading Scoresheet'!C53,"")</f>
        <v/>
      </c>
      <c r="D53" s="168" t="str">
        <f>IF('G2 MT Reading Scoresheet'!D53&lt;&gt;"",'G2 MT Reading Scoresheet'!D53,"")</f>
        <v/>
      </c>
      <c r="E53" s="169" t="str">
        <f>IF('G2 MT Reading Scoresheet'!E53&lt;&gt;"",'G2 MT Reading Scoresheet'!E53,"")</f>
        <v/>
      </c>
      <c r="F53" s="172"/>
      <c r="G53" s="164"/>
      <c r="H53" s="173"/>
      <c r="I53" s="193" t="str">
        <f t="shared" si="0"/>
        <v/>
      </c>
      <c r="J53" s="194" t="str">
        <f t="shared" si="1"/>
        <v/>
      </c>
      <c r="K53" s="197"/>
      <c r="L53" s="198"/>
      <c r="M53" s="166" t="str">
        <f t="shared" si="2"/>
        <v/>
      </c>
      <c r="N53" s="173"/>
      <c r="O53" s="173"/>
      <c r="P53" s="166" t="str">
        <f t="shared" si="3"/>
        <v/>
      </c>
      <c r="Q53" s="213" t="str">
        <f t="shared" si="4"/>
        <v/>
      </c>
      <c r="R53" s="173"/>
      <c r="S53" s="173"/>
      <c r="T53" s="217"/>
      <c r="U53" s="215" t="str">
        <f t="shared" si="5"/>
        <v/>
      </c>
      <c r="V53" s="218"/>
      <c r="Y53" s="219" t="str">
        <f t="shared" si="6"/>
        <v/>
      </c>
    </row>
    <row r="54" spans="1:25">
      <c r="A54" s="165">
        <v>44</v>
      </c>
      <c r="B54" s="175" t="str">
        <f>IF('G2 MT Reading Scoresheet'!B54&lt;&gt;"",'G2 MT Reading Scoresheet'!B54,"")</f>
        <v/>
      </c>
      <c r="C54" s="167" t="str">
        <f>IF('G2 MT Reading Scoresheet'!C54&lt;&gt;"",'G2 MT Reading Scoresheet'!C54,"")</f>
        <v/>
      </c>
      <c r="D54" s="168" t="str">
        <f>IF('G2 MT Reading Scoresheet'!D54&lt;&gt;"",'G2 MT Reading Scoresheet'!D54,"")</f>
        <v/>
      </c>
      <c r="E54" s="169" t="str">
        <f>IF('G2 MT Reading Scoresheet'!E54&lt;&gt;"",'G2 MT Reading Scoresheet'!E54,"")</f>
        <v/>
      </c>
      <c r="F54" s="170"/>
      <c r="G54" s="171"/>
      <c r="H54" s="174"/>
      <c r="I54" s="193" t="str">
        <f t="shared" si="0"/>
        <v/>
      </c>
      <c r="J54" s="194" t="str">
        <f t="shared" si="1"/>
        <v/>
      </c>
      <c r="K54" s="195"/>
      <c r="L54" s="196"/>
      <c r="M54" s="166" t="str">
        <f t="shared" si="2"/>
        <v/>
      </c>
      <c r="N54" s="174"/>
      <c r="O54" s="174"/>
      <c r="P54" s="166" t="str">
        <f t="shared" si="3"/>
        <v/>
      </c>
      <c r="Q54" s="213" t="str">
        <f t="shared" si="4"/>
        <v/>
      </c>
      <c r="R54" s="174"/>
      <c r="S54" s="174"/>
      <c r="T54" s="214"/>
      <c r="U54" s="215" t="str">
        <f t="shared" si="5"/>
        <v/>
      </c>
      <c r="V54" s="216"/>
      <c r="Y54" s="219" t="str">
        <f t="shared" si="6"/>
        <v/>
      </c>
    </row>
    <row r="55" spans="1:25">
      <c r="A55" s="57">
        <v>45</v>
      </c>
      <c r="B55" s="175" t="str">
        <f>IF('G2 MT Reading Scoresheet'!B55&lt;&gt;"",'G2 MT Reading Scoresheet'!B55,"")</f>
        <v/>
      </c>
      <c r="C55" s="167" t="str">
        <f>IF('G2 MT Reading Scoresheet'!C55&lt;&gt;"",'G2 MT Reading Scoresheet'!C55,"")</f>
        <v/>
      </c>
      <c r="D55" s="168" t="str">
        <f>IF('G2 MT Reading Scoresheet'!D55&lt;&gt;"",'G2 MT Reading Scoresheet'!D55,"")</f>
        <v/>
      </c>
      <c r="E55" s="169" t="str">
        <f>IF('G2 MT Reading Scoresheet'!E55&lt;&gt;"",'G2 MT Reading Scoresheet'!E55,"")</f>
        <v/>
      </c>
      <c r="F55" s="172"/>
      <c r="G55" s="164"/>
      <c r="H55" s="173"/>
      <c r="I55" s="193" t="str">
        <f t="shared" si="0"/>
        <v/>
      </c>
      <c r="J55" s="194" t="str">
        <f t="shared" si="1"/>
        <v/>
      </c>
      <c r="K55" s="197"/>
      <c r="L55" s="198"/>
      <c r="M55" s="166" t="str">
        <f t="shared" si="2"/>
        <v/>
      </c>
      <c r="N55" s="173"/>
      <c r="O55" s="173"/>
      <c r="P55" s="166" t="str">
        <f t="shared" si="3"/>
        <v/>
      </c>
      <c r="Q55" s="213" t="str">
        <f t="shared" si="4"/>
        <v/>
      </c>
      <c r="R55" s="173"/>
      <c r="S55" s="173"/>
      <c r="T55" s="217"/>
      <c r="U55" s="215" t="str">
        <f t="shared" si="5"/>
        <v/>
      </c>
      <c r="V55" s="218"/>
      <c r="Y55" s="219" t="str">
        <f t="shared" si="6"/>
        <v/>
      </c>
    </row>
    <row r="56" spans="1:25">
      <c r="A56" s="165">
        <v>46</v>
      </c>
      <c r="B56" s="175" t="str">
        <f>IF('G2 MT Reading Scoresheet'!B56&lt;&gt;"",'G2 MT Reading Scoresheet'!B56,"")</f>
        <v/>
      </c>
      <c r="C56" s="167" t="str">
        <f>IF('G2 MT Reading Scoresheet'!C56&lt;&gt;"",'G2 MT Reading Scoresheet'!C56,"")</f>
        <v/>
      </c>
      <c r="D56" s="168" t="str">
        <f>IF('G2 MT Reading Scoresheet'!D56&lt;&gt;"",'G2 MT Reading Scoresheet'!D56,"")</f>
        <v/>
      </c>
      <c r="E56" s="169" t="str">
        <f>IF('G2 MT Reading Scoresheet'!E56&lt;&gt;"",'G2 MT Reading Scoresheet'!E56,"")</f>
        <v/>
      </c>
      <c r="F56" s="170"/>
      <c r="G56" s="171"/>
      <c r="H56" s="174"/>
      <c r="I56" s="193" t="str">
        <f t="shared" si="0"/>
        <v/>
      </c>
      <c r="J56" s="194" t="str">
        <f t="shared" si="1"/>
        <v/>
      </c>
      <c r="K56" s="195"/>
      <c r="L56" s="196"/>
      <c r="M56" s="166" t="str">
        <f t="shared" si="2"/>
        <v/>
      </c>
      <c r="N56" s="174"/>
      <c r="O56" s="174"/>
      <c r="P56" s="166" t="str">
        <f t="shared" si="3"/>
        <v/>
      </c>
      <c r="Q56" s="213" t="str">
        <f t="shared" si="4"/>
        <v/>
      </c>
      <c r="R56" s="174"/>
      <c r="S56" s="174"/>
      <c r="T56" s="214"/>
      <c r="U56" s="215" t="str">
        <f t="shared" si="5"/>
        <v/>
      </c>
      <c r="V56" s="216"/>
      <c r="Y56" s="219" t="str">
        <f t="shared" si="6"/>
        <v/>
      </c>
    </row>
    <row r="57" spans="1:25">
      <c r="A57" s="57">
        <v>47</v>
      </c>
      <c r="B57" s="175" t="str">
        <f>IF('G2 MT Reading Scoresheet'!B57&lt;&gt;"",'G2 MT Reading Scoresheet'!B57,"")</f>
        <v/>
      </c>
      <c r="C57" s="167" t="str">
        <f>IF('G2 MT Reading Scoresheet'!C57&lt;&gt;"",'G2 MT Reading Scoresheet'!C57,"")</f>
        <v/>
      </c>
      <c r="D57" s="168" t="str">
        <f>IF('G2 MT Reading Scoresheet'!D57&lt;&gt;"",'G2 MT Reading Scoresheet'!D57,"")</f>
        <v/>
      </c>
      <c r="E57" s="169" t="str">
        <f>IF('G2 MT Reading Scoresheet'!E57&lt;&gt;"",'G2 MT Reading Scoresheet'!E57,"")</f>
        <v/>
      </c>
      <c r="F57" s="172"/>
      <c r="G57" s="164"/>
      <c r="H57" s="173"/>
      <c r="I57" s="193" t="str">
        <f t="shared" si="0"/>
        <v/>
      </c>
      <c r="J57" s="194" t="str">
        <f t="shared" si="1"/>
        <v/>
      </c>
      <c r="K57" s="197"/>
      <c r="L57" s="198"/>
      <c r="M57" s="166" t="str">
        <f t="shared" si="2"/>
        <v/>
      </c>
      <c r="N57" s="173"/>
      <c r="O57" s="173"/>
      <c r="P57" s="166" t="str">
        <f t="shared" si="3"/>
        <v/>
      </c>
      <c r="Q57" s="213" t="str">
        <f t="shared" si="4"/>
        <v/>
      </c>
      <c r="R57" s="173"/>
      <c r="S57" s="173"/>
      <c r="T57" s="217"/>
      <c r="U57" s="215" t="str">
        <f t="shared" si="5"/>
        <v/>
      </c>
      <c r="V57" s="218"/>
      <c r="Y57" s="219" t="str">
        <f t="shared" si="6"/>
        <v/>
      </c>
    </row>
    <row r="58" spans="1:25">
      <c r="A58" s="165">
        <v>48</v>
      </c>
      <c r="B58" s="175" t="str">
        <f>IF('G2 MT Reading Scoresheet'!B58&lt;&gt;"",'G2 MT Reading Scoresheet'!B58,"")</f>
        <v/>
      </c>
      <c r="C58" s="167" t="str">
        <f>IF('G2 MT Reading Scoresheet'!C58&lt;&gt;"",'G2 MT Reading Scoresheet'!C58,"")</f>
        <v/>
      </c>
      <c r="D58" s="168" t="str">
        <f>IF('G2 MT Reading Scoresheet'!D58&lt;&gt;"",'G2 MT Reading Scoresheet'!D58,"")</f>
        <v/>
      </c>
      <c r="E58" s="169" t="str">
        <f>IF('G2 MT Reading Scoresheet'!E58&lt;&gt;"",'G2 MT Reading Scoresheet'!E58,"")</f>
        <v/>
      </c>
      <c r="F58" s="170"/>
      <c r="G58" s="171"/>
      <c r="H58" s="174"/>
      <c r="I58" s="193" t="str">
        <f t="shared" si="0"/>
        <v/>
      </c>
      <c r="J58" s="194" t="str">
        <f t="shared" si="1"/>
        <v/>
      </c>
      <c r="K58" s="195"/>
      <c r="L58" s="196"/>
      <c r="M58" s="166" t="str">
        <f t="shared" si="2"/>
        <v/>
      </c>
      <c r="N58" s="174"/>
      <c r="O58" s="174"/>
      <c r="P58" s="166" t="str">
        <f t="shared" si="3"/>
        <v/>
      </c>
      <c r="Q58" s="213" t="str">
        <f t="shared" si="4"/>
        <v/>
      </c>
      <c r="R58" s="174"/>
      <c r="S58" s="174"/>
      <c r="T58" s="214"/>
      <c r="U58" s="215" t="str">
        <f t="shared" si="5"/>
        <v/>
      </c>
      <c r="V58" s="216"/>
      <c r="Y58" s="219" t="str">
        <f t="shared" si="6"/>
        <v/>
      </c>
    </row>
    <row r="59" spans="1:25">
      <c r="A59" s="57">
        <v>49</v>
      </c>
      <c r="B59" s="175" t="str">
        <f>IF('G2 MT Reading Scoresheet'!B59&lt;&gt;"",'G2 MT Reading Scoresheet'!B59,"")</f>
        <v/>
      </c>
      <c r="C59" s="167" t="str">
        <f>IF('G2 MT Reading Scoresheet'!C59&lt;&gt;"",'G2 MT Reading Scoresheet'!C59,"")</f>
        <v/>
      </c>
      <c r="D59" s="168" t="str">
        <f>IF('G2 MT Reading Scoresheet'!D59&lt;&gt;"",'G2 MT Reading Scoresheet'!D59,"")</f>
        <v/>
      </c>
      <c r="E59" s="169" t="str">
        <f>IF('G2 MT Reading Scoresheet'!E59&lt;&gt;"",'G2 MT Reading Scoresheet'!E59,"")</f>
        <v/>
      </c>
      <c r="F59" s="172"/>
      <c r="G59" s="164"/>
      <c r="H59" s="173"/>
      <c r="I59" s="193" t="str">
        <f t="shared" si="0"/>
        <v/>
      </c>
      <c r="J59" s="194" t="str">
        <f t="shared" si="1"/>
        <v/>
      </c>
      <c r="K59" s="197"/>
      <c r="L59" s="198"/>
      <c r="M59" s="166" t="str">
        <f t="shared" si="2"/>
        <v/>
      </c>
      <c r="N59" s="173"/>
      <c r="O59" s="173"/>
      <c r="P59" s="166" t="str">
        <f t="shared" si="3"/>
        <v/>
      </c>
      <c r="Q59" s="213" t="str">
        <f t="shared" si="4"/>
        <v/>
      </c>
      <c r="R59" s="173"/>
      <c r="S59" s="173"/>
      <c r="T59" s="217"/>
      <c r="U59" s="215" t="str">
        <f t="shared" si="5"/>
        <v/>
      </c>
      <c r="V59" s="218"/>
      <c r="Y59" s="219" t="str">
        <f t="shared" si="6"/>
        <v/>
      </c>
    </row>
    <row r="60" spans="1:25">
      <c r="A60" s="165">
        <v>50</v>
      </c>
      <c r="B60" s="175" t="str">
        <f>IF('G2 MT Reading Scoresheet'!B60&lt;&gt;"",'G2 MT Reading Scoresheet'!B60,"")</f>
        <v/>
      </c>
      <c r="C60" s="167" t="str">
        <f>IF('G2 MT Reading Scoresheet'!C60&lt;&gt;"",'G2 MT Reading Scoresheet'!C60,"")</f>
        <v/>
      </c>
      <c r="D60" s="168" t="str">
        <f>IF('G2 MT Reading Scoresheet'!D60&lt;&gt;"",'G2 MT Reading Scoresheet'!D60,"")</f>
        <v/>
      </c>
      <c r="E60" s="169" t="str">
        <f>IF('G2 MT Reading Scoresheet'!E60&lt;&gt;"",'G2 MT Reading Scoresheet'!E60,"")</f>
        <v/>
      </c>
      <c r="F60" s="170"/>
      <c r="G60" s="171"/>
      <c r="H60" s="174"/>
      <c r="I60" s="193" t="str">
        <f t="shared" si="0"/>
        <v/>
      </c>
      <c r="J60" s="194" t="str">
        <f t="shared" si="1"/>
        <v/>
      </c>
      <c r="K60" s="195"/>
      <c r="L60" s="196"/>
      <c r="M60" s="166" t="str">
        <f t="shared" si="2"/>
        <v/>
      </c>
      <c r="N60" s="174"/>
      <c r="O60" s="174"/>
      <c r="P60" s="166" t="str">
        <f t="shared" si="3"/>
        <v/>
      </c>
      <c r="Q60" s="213" t="str">
        <f t="shared" si="4"/>
        <v/>
      </c>
      <c r="R60" s="174"/>
      <c r="S60" s="174"/>
      <c r="T60" s="214"/>
      <c r="U60" s="215" t="str">
        <f t="shared" si="5"/>
        <v/>
      </c>
      <c r="V60" s="216"/>
      <c r="Y60" s="219" t="str">
        <f t="shared" si="6"/>
        <v/>
      </c>
    </row>
    <row r="61" spans="1:25">
      <c r="A61" s="57">
        <v>51</v>
      </c>
      <c r="B61" s="175" t="str">
        <f>IF('G2 MT Reading Scoresheet'!B61&lt;&gt;"",'G2 MT Reading Scoresheet'!B61,"")</f>
        <v/>
      </c>
      <c r="C61" s="167" t="str">
        <f>IF('G2 MT Reading Scoresheet'!C61&lt;&gt;"",'G2 MT Reading Scoresheet'!C61,"")</f>
        <v/>
      </c>
      <c r="D61" s="168" t="str">
        <f>IF('G2 MT Reading Scoresheet'!D61&lt;&gt;"",'G2 MT Reading Scoresheet'!D61,"")</f>
        <v/>
      </c>
      <c r="E61" s="169" t="str">
        <f>IF('G2 MT Reading Scoresheet'!E61&lt;&gt;"",'G2 MT Reading Scoresheet'!E61,"")</f>
        <v/>
      </c>
      <c r="F61" s="172"/>
      <c r="G61" s="164"/>
      <c r="H61" s="173"/>
      <c r="I61" s="193" t="str">
        <f t="shared" si="0"/>
        <v/>
      </c>
      <c r="J61" s="194" t="str">
        <f t="shared" si="1"/>
        <v/>
      </c>
      <c r="K61" s="197"/>
      <c r="L61" s="198"/>
      <c r="M61" s="166" t="str">
        <f t="shared" si="2"/>
        <v/>
      </c>
      <c r="N61" s="173"/>
      <c r="O61" s="173"/>
      <c r="P61" s="166" t="str">
        <f t="shared" si="3"/>
        <v/>
      </c>
      <c r="Q61" s="213" t="str">
        <f t="shared" si="4"/>
        <v/>
      </c>
      <c r="R61" s="173"/>
      <c r="S61" s="173"/>
      <c r="T61" s="217"/>
      <c r="U61" s="215" t="str">
        <f t="shared" si="5"/>
        <v/>
      </c>
      <c r="V61" s="218"/>
      <c r="Y61" s="219" t="str">
        <f t="shared" si="6"/>
        <v/>
      </c>
    </row>
    <row r="62" spans="1:25">
      <c r="A62" s="165">
        <v>52</v>
      </c>
      <c r="B62" s="175" t="str">
        <f>IF('G2 MT Reading Scoresheet'!B62&lt;&gt;"",'G2 MT Reading Scoresheet'!B62,"")</f>
        <v/>
      </c>
      <c r="C62" s="167" t="str">
        <f>IF('G2 MT Reading Scoresheet'!C62&lt;&gt;"",'G2 MT Reading Scoresheet'!C62,"")</f>
        <v/>
      </c>
      <c r="D62" s="168" t="str">
        <f>IF('G2 MT Reading Scoresheet'!D62&lt;&gt;"",'G2 MT Reading Scoresheet'!D62,"")</f>
        <v/>
      </c>
      <c r="E62" s="169" t="str">
        <f>IF('G2 MT Reading Scoresheet'!E62&lt;&gt;"",'G2 MT Reading Scoresheet'!E62,"")</f>
        <v/>
      </c>
      <c r="F62" s="170"/>
      <c r="G62" s="171"/>
      <c r="H62" s="174"/>
      <c r="I62" s="193" t="str">
        <f t="shared" si="0"/>
        <v/>
      </c>
      <c r="J62" s="194" t="str">
        <f t="shared" si="1"/>
        <v/>
      </c>
      <c r="K62" s="195"/>
      <c r="L62" s="196"/>
      <c r="M62" s="166" t="str">
        <f t="shared" si="2"/>
        <v/>
      </c>
      <c r="N62" s="174"/>
      <c r="O62" s="174"/>
      <c r="P62" s="166" t="str">
        <f t="shared" si="3"/>
        <v/>
      </c>
      <c r="Q62" s="213" t="str">
        <f t="shared" si="4"/>
        <v/>
      </c>
      <c r="R62" s="174"/>
      <c r="S62" s="174"/>
      <c r="T62" s="214"/>
      <c r="U62" s="215" t="str">
        <f t="shared" si="5"/>
        <v/>
      </c>
      <c r="V62" s="216"/>
      <c r="Y62" s="219" t="str">
        <f t="shared" si="6"/>
        <v/>
      </c>
    </row>
    <row r="63" spans="1:25">
      <c r="A63" s="57">
        <v>53</v>
      </c>
      <c r="B63" s="175" t="str">
        <f>IF('G2 MT Reading Scoresheet'!B63&lt;&gt;"",'G2 MT Reading Scoresheet'!B63,"")</f>
        <v/>
      </c>
      <c r="C63" s="167" t="str">
        <f>IF('G2 MT Reading Scoresheet'!C63&lt;&gt;"",'G2 MT Reading Scoresheet'!C63,"")</f>
        <v/>
      </c>
      <c r="D63" s="168" t="str">
        <f>IF('G2 MT Reading Scoresheet'!D63&lt;&gt;"",'G2 MT Reading Scoresheet'!D63,"")</f>
        <v/>
      </c>
      <c r="E63" s="169" t="str">
        <f>IF('G2 MT Reading Scoresheet'!E63&lt;&gt;"",'G2 MT Reading Scoresheet'!E63,"")</f>
        <v/>
      </c>
      <c r="F63" s="172"/>
      <c r="G63" s="164"/>
      <c r="H63" s="173"/>
      <c r="I63" s="193" t="str">
        <f t="shared" si="0"/>
        <v/>
      </c>
      <c r="J63" s="194" t="str">
        <f t="shared" si="1"/>
        <v/>
      </c>
      <c r="K63" s="197"/>
      <c r="L63" s="198"/>
      <c r="M63" s="166" t="str">
        <f t="shared" si="2"/>
        <v/>
      </c>
      <c r="N63" s="173"/>
      <c r="O63" s="173"/>
      <c r="P63" s="166" t="str">
        <f t="shared" si="3"/>
        <v/>
      </c>
      <c r="Q63" s="213" t="str">
        <f t="shared" si="4"/>
        <v/>
      </c>
      <c r="R63" s="173"/>
      <c r="S63" s="173"/>
      <c r="T63" s="217"/>
      <c r="U63" s="215" t="str">
        <f t="shared" si="5"/>
        <v/>
      </c>
      <c r="V63" s="218"/>
      <c r="Y63" s="219" t="str">
        <f t="shared" si="6"/>
        <v/>
      </c>
    </row>
    <row r="64" spans="1:25">
      <c r="A64" s="165">
        <v>54</v>
      </c>
      <c r="B64" s="175" t="str">
        <f>IF('G2 MT Reading Scoresheet'!B64&lt;&gt;"",'G2 MT Reading Scoresheet'!B64,"")</f>
        <v/>
      </c>
      <c r="C64" s="167" t="str">
        <f>IF('G2 MT Reading Scoresheet'!C64&lt;&gt;"",'G2 MT Reading Scoresheet'!C64,"")</f>
        <v/>
      </c>
      <c r="D64" s="168" t="str">
        <f>IF('G2 MT Reading Scoresheet'!D64&lt;&gt;"",'G2 MT Reading Scoresheet'!D64,"")</f>
        <v/>
      </c>
      <c r="E64" s="169" t="str">
        <f>IF('G2 MT Reading Scoresheet'!E64&lt;&gt;"",'G2 MT Reading Scoresheet'!E64,"")</f>
        <v/>
      </c>
      <c r="F64" s="170"/>
      <c r="G64" s="171"/>
      <c r="H64" s="174"/>
      <c r="I64" s="193" t="str">
        <f t="shared" si="0"/>
        <v/>
      </c>
      <c r="J64" s="194" t="str">
        <f t="shared" si="1"/>
        <v/>
      </c>
      <c r="K64" s="195"/>
      <c r="L64" s="196"/>
      <c r="M64" s="166" t="str">
        <f t="shared" si="2"/>
        <v/>
      </c>
      <c r="N64" s="174"/>
      <c r="O64" s="174"/>
      <c r="P64" s="166" t="str">
        <f t="shared" si="3"/>
        <v/>
      </c>
      <c r="Q64" s="213" t="str">
        <f t="shared" si="4"/>
        <v/>
      </c>
      <c r="R64" s="174"/>
      <c r="S64" s="174"/>
      <c r="T64" s="214"/>
      <c r="U64" s="215" t="str">
        <f t="shared" si="5"/>
        <v/>
      </c>
      <c r="V64" s="216"/>
      <c r="Y64" s="219" t="str">
        <f t="shared" si="6"/>
        <v/>
      </c>
    </row>
    <row r="65" spans="1:25">
      <c r="A65" s="57">
        <v>55</v>
      </c>
      <c r="B65" s="175" t="str">
        <f>IF('G2 MT Reading Scoresheet'!B65&lt;&gt;"",'G2 MT Reading Scoresheet'!B65,"")</f>
        <v/>
      </c>
      <c r="C65" s="167" t="str">
        <f>IF('G2 MT Reading Scoresheet'!C65&lt;&gt;"",'G2 MT Reading Scoresheet'!C65,"")</f>
        <v/>
      </c>
      <c r="D65" s="168" t="str">
        <f>IF('G2 MT Reading Scoresheet'!D65&lt;&gt;"",'G2 MT Reading Scoresheet'!D65,"")</f>
        <v/>
      </c>
      <c r="E65" s="169" t="str">
        <f>IF('G2 MT Reading Scoresheet'!E65&lt;&gt;"",'G2 MT Reading Scoresheet'!E65,"")</f>
        <v/>
      </c>
      <c r="F65" s="172"/>
      <c r="G65" s="164"/>
      <c r="H65" s="173"/>
      <c r="I65" s="193" t="str">
        <f t="shared" si="0"/>
        <v/>
      </c>
      <c r="J65" s="194" t="str">
        <f t="shared" si="1"/>
        <v/>
      </c>
      <c r="K65" s="197"/>
      <c r="L65" s="198"/>
      <c r="M65" s="166" t="str">
        <f t="shared" si="2"/>
        <v/>
      </c>
      <c r="N65" s="173"/>
      <c r="O65" s="173"/>
      <c r="P65" s="166" t="str">
        <f t="shared" si="3"/>
        <v/>
      </c>
      <c r="Q65" s="213" t="str">
        <f t="shared" si="4"/>
        <v/>
      </c>
      <c r="R65" s="173"/>
      <c r="S65" s="173"/>
      <c r="T65" s="217"/>
      <c r="U65" s="215" t="str">
        <f t="shared" si="5"/>
        <v/>
      </c>
      <c r="V65" s="218"/>
      <c r="Y65" s="219" t="str">
        <f t="shared" si="6"/>
        <v/>
      </c>
    </row>
    <row r="66" spans="1:25">
      <c r="A66" s="165">
        <v>56</v>
      </c>
      <c r="B66" s="175" t="str">
        <f>IF('G2 MT Reading Scoresheet'!B66&lt;&gt;"",'G2 MT Reading Scoresheet'!B66,"")</f>
        <v/>
      </c>
      <c r="C66" s="167" t="str">
        <f>IF('G2 MT Reading Scoresheet'!C66&lt;&gt;"",'G2 MT Reading Scoresheet'!C66,"")</f>
        <v/>
      </c>
      <c r="D66" s="168" t="str">
        <f>IF('G2 MT Reading Scoresheet'!D66&lt;&gt;"",'G2 MT Reading Scoresheet'!D66,"")</f>
        <v/>
      </c>
      <c r="E66" s="169" t="str">
        <f>IF('G2 MT Reading Scoresheet'!E66&lt;&gt;"",'G2 MT Reading Scoresheet'!E66,"")</f>
        <v/>
      </c>
      <c r="F66" s="170"/>
      <c r="G66" s="171"/>
      <c r="H66" s="174"/>
      <c r="I66" s="193" t="str">
        <f t="shared" si="0"/>
        <v/>
      </c>
      <c r="J66" s="194" t="str">
        <f t="shared" si="1"/>
        <v/>
      </c>
      <c r="K66" s="195"/>
      <c r="L66" s="196"/>
      <c r="M66" s="166" t="str">
        <f t="shared" si="2"/>
        <v/>
      </c>
      <c r="N66" s="174"/>
      <c r="O66" s="174"/>
      <c r="P66" s="166" t="str">
        <f t="shared" si="3"/>
        <v/>
      </c>
      <c r="Q66" s="213" t="str">
        <f t="shared" si="4"/>
        <v/>
      </c>
      <c r="R66" s="174"/>
      <c r="S66" s="174"/>
      <c r="T66" s="214"/>
      <c r="U66" s="215" t="str">
        <f t="shared" si="5"/>
        <v/>
      </c>
      <c r="V66" s="216"/>
      <c r="Y66" s="219" t="str">
        <f t="shared" si="6"/>
        <v/>
      </c>
    </row>
    <row r="67" spans="1:25">
      <c r="A67" s="57">
        <v>57</v>
      </c>
      <c r="B67" s="175" t="str">
        <f>IF('G2 MT Reading Scoresheet'!B67&lt;&gt;"",'G2 MT Reading Scoresheet'!B67,"")</f>
        <v/>
      </c>
      <c r="C67" s="167" t="str">
        <f>IF('G2 MT Reading Scoresheet'!C67&lt;&gt;"",'G2 MT Reading Scoresheet'!C67,"")</f>
        <v/>
      </c>
      <c r="D67" s="168" t="str">
        <f>IF('G2 MT Reading Scoresheet'!D67&lt;&gt;"",'G2 MT Reading Scoresheet'!D67,"")</f>
        <v/>
      </c>
      <c r="E67" s="169" t="str">
        <f>IF('G2 MT Reading Scoresheet'!E67&lt;&gt;"",'G2 MT Reading Scoresheet'!E67,"")</f>
        <v/>
      </c>
      <c r="F67" s="172"/>
      <c r="G67" s="164"/>
      <c r="H67" s="173"/>
      <c r="I67" s="193" t="str">
        <f t="shared" si="0"/>
        <v/>
      </c>
      <c r="J67" s="194" t="str">
        <f t="shared" si="1"/>
        <v/>
      </c>
      <c r="K67" s="197"/>
      <c r="L67" s="198"/>
      <c r="M67" s="166" t="str">
        <f t="shared" si="2"/>
        <v/>
      </c>
      <c r="N67" s="173"/>
      <c r="O67" s="173"/>
      <c r="P67" s="166" t="str">
        <f t="shared" si="3"/>
        <v/>
      </c>
      <c r="Q67" s="213" t="str">
        <f t="shared" si="4"/>
        <v/>
      </c>
      <c r="R67" s="173"/>
      <c r="S67" s="173"/>
      <c r="T67" s="217"/>
      <c r="U67" s="215" t="str">
        <f t="shared" si="5"/>
        <v/>
      </c>
      <c r="V67" s="218"/>
      <c r="Y67" s="219" t="str">
        <f t="shared" si="6"/>
        <v/>
      </c>
    </row>
    <row r="68" spans="1:25">
      <c r="A68" s="165">
        <v>58</v>
      </c>
      <c r="B68" s="175" t="str">
        <f>IF('G2 MT Reading Scoresheet'!B68&lt;&gt;"",'G2 MT Reading Scoresheet'!B68,"")</f>
        <v/>
      </c>
      <c r="C68" s="167" t="str">
        <f>IF('G2 MT Reading Scoresheet'!C68&lt;&gt;"",'G2 MT Reading Scoresheet'!C68,"")</f>
        <v/>
      </c>
      <c r="D68" s="168" t="str">
        <f>IF('G2 MT Reading Scoresheet'!D68&lt;&gt;"",'G2 MT Reading Scoresheet'!D68,"")</f>
        <v/>
      </c>
      <c r="E68" s="169" t="str">
        <f>IF('G2 MT Reading Scoresheet'!E68&lt;&gt;"",'G2 MT Reading Scoresheet'!E68,"")</f>
        <v/>
      </c>
      <c r="F68" s="170"/>
      <c r="G68" s="171"/>
      <c r="H68" s="174"/>
      <c r="I68" s="193" t="str">
        <f t="shared" si="0"/>
        <v/>
      </c>
      <c r="J68" s="194" t="str">
        <f t="shared" si="1"/>
        <v/>
      </c>
      <c r="K68" s="195"/>
      <c r="L68" s="196"/>
      <c r="M68" s="166" t="str">
        <f t="shared" si="2"/>
        <v/>
      </c>
      <c r="N68" s="174"/>
      <c r="O68" s="174"/>
      <c r="P68" s="166" t="str">
        <f t="shared" si="3"/>
        <v/>
      </c>
      <c r="Q68" s="213" t="str">
        <f t="shared" si="4"/>
        <v/>
      </c>
      <c r="R68" s="174"/>
      <c r="S68" s="174"/>
      <c r="T68" s="214"/>
      <c r="U68" s="215" t="str">
        <f t="shared" si="5"/>
        <v/>
      </c>
      <c r="V68" s="216"/>
      <c r="Y68" s="219" t="str">
        <f t="shared" si="6"/>
        <v/>
      </c>
    </row>
    <row r="69" spans="1:25">
      <c r="A69" s="57">
        <v>59</v>
      </c>
      <c r="B69" s="175" t="str">
        <f>IF('G2 MT Reading Scoresheet'!B69&lt;&gt;"",'G2 MT Reading Scoresheet'!B69,"")</f>
        <v/>
      </c>
      <c r="C69" s="167" t="str">
        <f>IF('G2 MT Reading Scoresheet'!C69&lt;&gt;"",'G2 MT Reading Scoresheet'!C69,"")</f>
        <v/>
      </c>
      <c r="D69" s="168" t="str">
        <f>IF('G2 MT Reading Scoresheet'!D69&lt;&gt;"",'G2 MT Reading Scoresheet'!D69,"")</f>
        <v/>
      </c>
      <c r="E69" s="169" t="str">
        <f>IF('G2 MT Reading Scoresheet'!E69&lt;&gt;"",'G2 MT Reading Scoresheet'!E69,"")</f>
        <v/>
      </c>
      <c r="F69" s="172"/>
      <c r="G69" s="164"/>
      <c r="H69" s="173"/>
      <c r="I69" s="193" t="str">
        <f t="shared" si="0"/>
        <v/>
      </c>
      <c r="J69" s="194" t="str">
        <f t="shared" si="1"/>
        <v/>
      </c>
      <c r="K69" s="197"/>
      <c r="L69" s="198"/>
      <c r="M69" s="166" t="str">
        <f t="shared" si="2"/>
        <v/>
      </c>
      <c r="N69" s="173"/>
      <c r="O69" s="173"/>
      <c r="P69" s="166" t="str">
        <f t="shared" si="3"/>
        <v/>
      </c>
      <c r="Q69" s="213" t="str">
        <f t="shared" si="4"/>
        <v/>
      </c>
      <c r="R69" s="173"/>
      <c r="S69" s="173"/>
      <c r="T69" s="217"/>
      <c r="U69" s="215" t="str">
        <f t="shared" si="5"/>
        <v/>
      </c>
      <c r="V69" s="218"/>
      <c r="Y69" s="219" t="str">
        <f t="shared" si="6"/>
        <v/>
      </c>
    </row>
    <row r="70" spans="1:25">
      <c r="A70" s="57">
        <f>A69+1</f>
        <v>60</v>
      </c>
      <c r="B70" s="175" t="str">
        <f>IF('G2 MT Reading Scoresheet'!B70&lt;&gt;"",'G2 MT Reading Scoresheet'!B70,"")</f>
        <v/>
      </c>
      <c r="C70" s="167" t="str">
        <f>IF('G2 MT Reading Scoresheet'!C70&lt;&gt;"",'G2 MT Reading Scoresheet'!C70,"")</f>
        <v/>
      </c>
      <c r="D70" s="168" t="str">
        <f>IF('G2 MT Reading Scoresheet'!D70&lt;&gt;"",'G2 MT Reading Scoresheet'!D70,"")</f>
        <v/>
      </c>
      <c r="E70" s="169" t="str">
        <f>IF('G2 MT Reading Scoresheet'!E70&lt;&gt;"",'G2 MT Reading Scoresheet'!E70,"")</f>
        <v/>
      </c>
      <c r="F70" s="172"/>
      <c r="G70" s="171"/>
      <c r="H70" s="174"/>
      <c r="I70" s="193" t="str">
        <f t="shared" si="0"/>
        <v/>
      </c>
      <c r="J70" s="194" t="str">
        <f t="shared" si="1"/>
        <v/>
      </c>
      <c r="K70" s="195"/>
      <c r="L70" s="196"/>
      <c r="M70" s="166" t="str">
        <f t="shared" si="2"/>
        <v/>
      </c>
      <c r="N70" s="174"/>
      <c r="O70" s="174"/>
      <c r="P70" s="166" t="str">
        <f t="shared" si="3"/>
        <v/>
      </c>
      <c r="Q70" s="213" t="str">
        <f t="shared" si="4"/>
        <v/>
      </c>
      <c r="R70" s="174"/>
      <c r="S70" s="174"/>
      <c r="T70" s="214"/>
      <c r="U70" s="215" t="str">
        <f t="shared" si="5"/>
        <v/>
      </c>
      <c r="V70" s="216"/>
      <c r="Y70" s="219" t="str">
        <f t="shared" si="6"/>
        <v/>
      </c>
    </row>
    <row r="71" spans="1:25">
      <c r="A71" s="165">
        <f t="shared" ref="A71:A109" si="7">A70+1</f>
        <v>61</v>
      </c>
      <c r="B71" s="175" t="str">
        <f>IF('G2 MT Reading Scoresheet'!B71&lt;&gt;"",'G2 MT Reading Scoresheet'!B71,"")</f>
        <v/>
      </c>
      <c r="C71" s="167" t="str">
        <f>IF('G2 MT Reading Scoresheet'!C71&lt;&gt;"",'G2 MT Reading Scoresheet'!C71,"")</f>
        <v/>
      </c>
      <c r="D71" s="168" t="str">
        <f>IF('G2 MT Reading Scoresheet'!D71&lt;&gt;"",'G2 MT Reading Scoresheet'!D71,"")</f>
        <v/>
      </c>
      <c r="E71" s="169" t="str">
        <f>IF('G2 MT Reading Scoresheet'!E71&lt;&gt;"",'G2 MT Reading Scoresheet'!E71,"")</f>
        <v/>
      </c>
      <c r="F71" s="170"/>
      <c r="G71" s="164"/>
      <c r="H71" s="173"/>
      <c r="I71" s="193" t="str">
        <f t="shared" si="0"/>
        <v/>
      </c>
      <c r="J71" s="194" t="str">
        <f t="shared" si="1"/>
        <v/>
      </c>
      <c r="K71" s="197"/>
      <c r="L71" s="198"/>
      <c r="M71" s="166" t="str">
        <f t="shared" si="2"/>
        <v/>
      </c>
      <c r="N71" s="173"/>
      <c r="O71" s="173"/>
      <c r="P71" s="166" t="str">
        <f t="shared" si="3"/>
        <v/>
      </c>
      <c r="Q71" s="213" t="str">
        <f t="shared" si="4"/>
        <v/>
      </c>
      <c r="R71" s="173"/>
      <c r="S71" s="173"/>
      <c r="T71" s="217"/>
      <c r="U71" s="215" t="str">
        <f t="shared" si="5"/>
        <v/>
      </c>
      <c r="V71" s="218"/>
      <c r="Y71" s="219" t="str">
        <f t="shared" si="6"/>
        <v/>
      </c>
    </row>
    <row r="72" spans="1:25">
      <c r="A72" s="57">
        <f t="shared" si="7"/>
        <v>62</v>
      </c>
      <c r="B72" s="175" t="str">
        <f>IF('G2 MT Reading Scoresheet'!B72&lt;&gt;"",'G2 MT Reading Scoresheet'!B72,"")</f>
        <v/>
      </c>
      <c r="C72" s="167" t="str">
        <f>IF('G2 MT Reading Scoresheet'!C72&lt;&gt;"",'G2 MT Reading Scoresheet'!C72,"")</f>
        <v/>
      </c>
      <c r="D72" s="168" t="str">
        <f>IF('G2 MT Reading Scoresheet'!D72&lt;&gt;"",'G2 MT Reading Scoresheet'!D72,"")</f>
        <v/>
      </c>
      <c r="E72" s="169" t="str">
        <f>IF('G2 MT Reading Scoresheet'!E72&lt;&gt;"",'G2 MT Reading Scoresheet'!E72,"")</f>
        <v/>
      </c>
      <c r="F72" s="172"/>
      <c r="G72" s="171"/>
      <c r="H72" s="174"/>
      <c r="I72" s="193" t="str">
        <f t="shared" si="0"/>
        <v/>
      </c>
      <c r="J72" s="194" t="str">
        <f t="shared" si="1"/>
        <v/>
      </c>
      <c r="K72" s="195"/>
      <c r="L72" s="196"/>
      <c r="M72" s="166" t="str">
        <f t="shared" si="2"/>
        <v/>
      </c>
      <c r="N72" s="174"/>
      <c r="O72" s="174"/>
      <c r="P72" s="166" t="str">
        <f t="shared" si="3"/>
        <v/>
      </c>
      <c r="Q72" s="213" t="str">
        <f t="shared" si="4"/>
        <v/>
      </c>
      <c r="R72" s="174"/>
      <c r="S72" s="174"/>
      <c r="T72" s="214"/>
      <c r="U72" s="215" t="str">
        <f t="shared" si="5"/>
        <v/>
      </c>
      <c r="V72" s="216"/>
      <c r="Y72" s="219" t="str">
        <f t="shared" si="6"/>
        <v/>
      </c>
    </row>
    <row r="73" spans="1:25">
      <c r="A73" s="165">
        <f t="shared" si="7"/>
        <v>63</v>
      </c>
      <c r="B73" s="175" t="str">
        <f>IF('G2 MT Reading Scoresheet'!B73&lt;&gt;"",'G2 MT Reading Scoresheet'!B73,"")</f>
        <v/>
      </c>
      <c r="C73" s="167" t="str">
        <f>IF('G2 MT Reading Scoresheet'!C73&lt;&gt;"",'G2 MT Reading Scoresheet'!C73,"")</f>
        <v/>
      </c>
      <c r="D73" s="168" t="str">
        <f>IF('G2 MT Reading Scoresheet'!D73&lt;&gt;"",'G2 MT Reading Scoresheet'!D73,"")</f>
        <v/>
      </c>
      <c r="E73" s="169" t="str">
        <f>IF('G2 MT Reading Scoresheet'!E73&lt;&gt;"",'G2 MT Reading Scoresheet'!E73,"")</f>
        <v/>
      </c>
      <c r="F73" s="170"/>
      <c r="G73" s="164"/>
      <c r="H73" s="173"/>
      <c r="I73" s="193" t="str">
        <f t="shared" si="0"/>
        <v/>
      </c>
      <c r="J73" s="194" t="str">
        <f t="shared" si="1"/>
        <v/>
      </c>
      <c r="K73" s="197"/>
      <c r="L73" s="198"/>
      <c r="M73" s="166" t="str">
        <f t="shared" si="2"/>
        <v/>
      </c>
      <c r="N73" s="173"/>
      <c r="O73" s="173"/>
      <c r="P73" s="166" t="str">
        <f t="shared" si="3"/>
        <v/>
      </c>
      <c r="Q73" s="213" t="str">
        <f t="shared" si="4"/>
        <v/>
      </c>
      <c r="R73" s="173"/>
      <c r="S73" s="173"/>
      <c r="T73" s="217"/>
      <c r="U73" s="215" t="str">
        <f t="shared" si="5"/>
        <v/>
      </c>
      <c r="V73" s="218"/>
      <c r="Y73" s="219" t="str">
        <f t="shared" si="6"/>
        <v/>
      </c>
    </row>
    <row r="74" spans="1:25">
      <c r="A74" s="57">
        <f t="shared" si="7"/>
        <v>64</v>
      </c>
      <c r="B74" s="175" t="str">
        <f>IF('G2 MT Reading Scoresheet'!B74&lt;&gt;"",'G2 MT Reading Scoresheet'!B74,"")</f>
        <v/>
      </c>
      <c r="C74" s="167" t="str">
        <f>IF('G2 MT Reading Scoresheet'!C74&lt;&gt;"",'G2 MT Reading Scoresheet'!C74,"")</f>
        <v/>
      </c>
      <c r="D74" s="168" t="str">
        <f>IF('G2 MT Reading Scoresheet'!D74&lt;&gt;"",'G2 MT Reading Scoresheet'!D74,"")</f>
        <v/>
      </c>
      <c r="E74" s="169" t="str">
        <f>IF('G2 MT Reading Scoresheet'!E74&lt;&gt;"",'G2 MT Reading Scoresheet'!E74,"")</f>
        <v/>
      </c>
      <c r="F74" s="172"/>
      <c r="G74" s="171"/>
      <c r="H74" s="174"/>
      <c r="I74" s="193" t="str">
        <f t="shared" si="0"/>
        <v/>
      </c>
      <c r="J74" s="194" t="str">
        <f t="shared" si="1"/>
        <v/>
      </c>
      <c r="K74" s="195"/>
      <c r="L74" s="196"/>
      <c r="M74" s="166" t="str">
        <f t="shared" si="2"/>
        <v/>
      </c>
      <c r="N74" s="174"/>
      <c r="O74" s="174"/>
      <c r="P74" s="166" t="str">
        <f t="shared" si="3"/>
        <v/>
      </c>
      <c r="Q74" s="213" t="str">
        <f t="shared" si="4"/>
        <v/>
      </c>
      <c r="R74" s="174"/>
      <c r="S74" s="174"/>
      <c r="T74" s="214"/>
      <c r="U74" s="215" t="str">
        <f t="shared" si="5"/>
        <v/>
      </c>
      <c r="V74" s="216"/>
      <c r="Y74" s="219" t="str">
        <f t="shared" si="6"/>
        <v/>
      </c>
    </row>
    <row r="75" spans="1:25">
      <c r="A75" s="165">
        <f t="shared" si="7"/>
        <v>65</v>
      </c>
      <c r="B75" s="175" t="str">
        <f>IF('G2 MT Reading Scoresheet'!B75&lt;&gt;"",'G2 MT Reading Scoresheet'!B75,"")</f>
        <v/>
      </c>
      <c r="C75" s="167" t="str">
        <f>IF('G2 MT Reading Scoresheet'!C75&lt;&gt;"",'G2 MT Reading Scoresheet'!C75,"")</f>
        <v/>
      </c>
      <c r="D75" s="168" t="str">
        <f>IF('G2 MT Reading Scoresheet'!D75&lt;&gt;"",'G2 MT Reading Scoresheet'!D75,"")</f>
        <v/>
      </c>
      <c r="E75" s="169" t="str">
        <f>IF('G2 MT Reading Scoresheet'!E75&lt;&gt;"",'G2 MT Reading Scoresheet'!E75,"")</f>
        <v/>
      </c>
      <c r="F75" s="170"/>
      <c r="G75" s="164"/>
      <c r="H75" s="173"/>
      <c r="I75" s="193" t="str">
        <f t="shared" si="0"/>
        <v/>
      </c>
      <c r="J75" s="194" t="str">
        <f t="shared" si="1"/>
        <v/>
      </c>
      <c r="K75" s="197"/>
      <c r="L75" s="198"/>
      <c r="M75" s="166" t="str">
        <f t="shared" si="2"/>
        <v/>
      </c>
      <c r="N75" s="173"/>
      <c r="O75" s="173"/>
      <c r="P75" s="166" t="str">
        <f t="shared" si="3"/>
        <v/>
      </c>
      <c r="Q75" s="213" t="str">
        <f t="shared" si="4"/>
        <v/>
      </c>
      <c r="R75" s="173"/>
      <c r="S75" s="173"/>
      <c r="T75" s="217"/>
      <c r="U75" s="215" t="str">
        <f t="shared" si="5"/>
        <v/>
      </c>
      <c r="V75" s="218"/>
      <c r="Y75" s="219" t="str">
        <f t="shared" si="6"/>
        <v/>
      </c>
    </row>
    <row r="76" spans="1:25">
      <c r="A76" s="57">
        <f t="shared" si="7"/>
        <v>66</v>
      </c>
      <c r="B76" s="175" t="str">
        <f>IF('G2 MT Reading Scoresheet'!B76&lt;&gt;"",'G2 MT Reading Scoresheet'!B76,"")</f>
        <v/>
      </c>
      <c r="C76" s="167" t="str">
        <f>IF('G2 MT Reading Scoresheet'!C76&lt;&gt;"",'G2 MT Reading Scoresheet'!C76,"")</f>
        <v/>
      </c>
      <c r="D76" s="168" t="str">
        <f>IF('G2 MT Reading Scoresheet'!D76&lt;&gt;"",'G2 MT Reading Scoresheet'!D76,"")</f>
        <v/>
      </c>
      <c r="E76" s="169" t="str">
        <f>IF('G2 MT Reading Scoresheet'!E76&lt;&gt;"",'G2 MT Reading Scoresheet'!E76,"")</f>
        <v/>
      </c>
      <c r="F76" s="172"/>
      <c r="G76" s="171"/>
      <c r="H76" s="174"/>
      <c r="I76" s="193" t="str">
        <f t="shared" ref="I76:I110" si="8">IF(AND(F76="",G76=""),"",IF(F76&lt;7,F76+G76,F76+10+H76))</f>
        <v/>
      </c>
      <c r="J76" s="194" t="str">
        <f t="shared" ref="J76:J110" si="9">IF(I76="","",IF(F76&lt;7,IF(I76&lt;=10,"Full Refresher","Moderate Refresher"),IF(I76&lt;27,"Light Refresher","Grade Ready")))</f>
        <v/>
      </c>
      <c r="K76" s="195"/>
      <c r="L76" s="196"/>
      <c r="M76" s="166" t="str">
        <f t="shared" ref="M76:M110" si="10">IF(OR(K76=1,K76=2),IF(K76=1,M$7-L76,$P$7-L76),"")</f>
        <v/>
      </c>
      <c r="N76" s="174"/>
      <c r="O76" s="174"/>
      <c r="P76" s="166" t="str">
        <f t="shared" ref="P76:P110" si="11">IF(AND(K76&gt;0,M76&gt;0,OR(N76&gt;0,O76&gt;0)),(M76/((N76*60)+O76))*60,"")</f>
        <v/>
      </c>
      <c r="Q76" s="213" t="str">
        <f t="shared" ref="Q76:Q110" si="12">IFERROR(IF(OR(K76=1,K76=2),IF(K76=1,M76/$M$7,M76/$P$7),""),"")</f>
        <v/>
      </c>
      <c r="R76" s="174"/>
      <c r="S76" s="174"/>
      <c r="T76" s="214"/>
      <c r="U76" s="215" t="str">
        <f t="shared" ref="U76:U110" si="13">IF(J76&lt;&gt;"",IF(J76="Full Refresher","Low Emerging Reader",IF(AND(K76&gt;0,Q76&lt;&gt;""),IF(OR(Q76&lt;=25%,AND(Q76&gt;25%,Q76&lt;=50%,R76=0)),"High Emerging Reader",IF(OR(AND(Q76&gt;25%,Q76&lt;51%,R76&gt;=1),AND(Q76&gt;50%,Q76&lt;76%,R76&lt;=2)),"Developing Reader",IF(OR(AND(Q76&gt;=51%,Q76&lt;76%,R76&gt;=3),AND(Q76&gt;75%,R76&lt;=4)),"Transitioning Reader",IF(AND(Q76&gt;75%,R76&gt;=5),"Reading At Grade Level","")))),"")),"")</f>
        <v/>
      </c>
      <c r="V76" s="216"/>
      <c r="Y76" s="219" t="str">
        <f t="shared" ref="Y76:Y110" si="14">IF(C76&lt;&gt;"",R76/6,"")</f>
        <v/>
      </c>
    </row>
    <row r="77" spans="1:25">
      <c r="A77" s="165">
        <f t="shared" si="7"/>
        <v>67</v>
      </c>
      <c r="B77" s="175" t="str">
        <f>IF('G2 MT Reading Scoresheet'!B77&lt;&gt;"",'G2 MT Reading Scoresheet'!B77,"")</f>
        <v/>
      </c>
      <c r="C77" s="167" t="str">
        <f>IF('G2 MT Reading Scoresheet'!C77&lt;&gt;"",'G2 MT Reading Scoresheet'!C77,"")</f>
        <v/>
      </c>
      <c r="D77" s="168" t="str">
        <f>IF('G2 MT Reading Scoresheet'!D77&lt;&gt;"",'G2 MT Reading Scoresheet'!D77,"")</f>
        <v/>
      </c>
      <c r="E77" s="169" t="str">
        <f>IF('G2 MT Reading Scoresheet'!E77&lt;&gt;"",'G2 MT Reading Scoresheet'!E77,"")</f>
        <v/>
      </c>
      <c r="F77" s="170"/>
      <c r="G77" s="164"/>
      <c r="H77" s="173"/>
      <c r="I77" s="193" t="str">
        <f t="shared" si="8"/>
        <v/>
      </c>
      <c r="J77" s="194" t="str">
        <f t="shared" si="9"/>
        <v/>
      </c>
      <c r="K77" s="197"/>
      <c r="L77" s="198"/>
      <c r="M77" s="166" t="str">
        <f t="shared" si="10"/>
        <v/>
      </c>
      <c r="N77" s="173"/>
      <c r="O77" s="173"/>
      <c r="P77" s="166" t="str">
        <f t="shared" si="11"/>
        <v/>
      </c>
      <c r="Q77" s="213" t="str">
        <f t="shared" si="12"/>
        <v/>
      </c>
      <c r="R77" s="173"/>
      <c r="S77" s="173"/>
      <c r="T77" s="217"/>
      <c r="U77" s="215" t="str">
        <f t="shared" si="13"/>
        <v/>
      </c>
      <c r="V77" s="218"/>
      <c r="Y77" s="219" t="str">
        <f t="shared" si="14"/>
        <v/>
      </c>
    </row>
    <row r="78" spans="1:25">
      <c r="A78" s="57">
        <f t="shared" si="7"/>
        <v>68</v>
      </c>
      <c r="B78" s="175" t="str">
        <f>IF('G2 MT Reading Scoresheet'!B78&lt;&gt;"",'G2 MT Reading Scoresheet'!B78,"")</f>
        <v/>
      </c>
      <c r="C78" s="167" t="str">
        <f>IF('G2 MT Reading Scoresheet'!C78&lt;&gt;"",'G2 MT Reading Scoresheet'!C78,"")</f>
        <v/>
      </c>
      <c r="D78" s="168" t="str">
        <f>IF('G2 MT Reading Scoresheet'!D78&lt;&gt;"",'G2 MT Reading Scoresheet'!D78,"")</f>
        <v/>
      </c>
      <c r="E78" s="169" t="str">
        <f>IF('G2 MT Reading Scoresheet'!E78&lt;&gt;"",'G2 MT Reading Scoresheet'!E78,"")</f>
        <v/>
      </c>
      <c r="F78" s="172"/>
      <c r="G78" s="171"/>
      <c r="H78" s="174"/>
      <c r="I78" s="193" t="str">
        <f t="shared" si="8"/>
        <v/>
      </c>
      <c r="J78" s="194" t="str">
        <f t="shared" si="9"/>
        <v/>
      </c>
      <c r="K78" s="195"/>
      <c r="L78" s="196"/>
      <c r="M78" s="166" t="str">
        <f t="shared" si="10"/>
        <v/>
      </c>
      <c r="N78" s="174"/>
      <c r="O78" s="174"/>
      <c r="P78" s="166" t="str">
        <f t="shared" si="11"/>
        <v/>
      </c>
      <c r="Q78" s="213" t="str">
        <f t="shared" si="12"/>
        <v/>
      </c>
      <c r="R78" s="174"/>
      <c r="S78" s="174"/>
      <c r="T78" s="214"/>
      <c r="U78" s="215" t="str">
        <f t="shared" si="13"/>
        <v/>
      </c>
      <c r="V78" s="216"/>
      <c r="Y78" s="219" t="str">
        <f t="shared" si="14"/>
        <v/>
      </c>
    </row>
    <row r="79" spans="1:25">
      <c r="A79" s="165">
        <f t="shared" si="7"/>
        <v>69</v>
      </c>
      <c r="B79" s="175" t="str">
        <f>IF('G2 MT Reading Scoresheet'!B79&lt;&gt;"",'G2 MT Reading Scoresheet'!B79,"")</f>
        <v/>
      </c>
      <c r="C79" s="167" t="str">
        <f>IF('G2 MT Reading Scoresheet'!C79&lt;&gt;"",'G2 MT Reading Scoresheet'!C79,"")</f>
        <v/>
      </c>
      <c r="D79" s="168" t="str">
        <f>IF('G2 MT Reading Scoresheet'!D79&lt;&gt;"",'G2 MT Reading Scoresheet'!D79,"")</f>
        <v/>
      </c>
      <c r="E79" s="169" t="str">
        <f>IF('G2 MT Reading Scoresheet'!E79&lt;&gt;"",'G2 MT Reading Scoresheet'!E79,"")</f>
        <v/>
      </c>
      <c r="F79" s="170"/>
      <c r="G79" s="164"/>
      <c r="H79" s="173"/>
      <c r="I79" s="193" t="str">
        <f t="shared" si="8"/>
        <v/>
      </c>
      <c r="J79" s="194" t="str">
        <f t="shared" si="9"/>
        <v/>
      </c>
      <c r="K79" s="197"/>
      <c r="L79" s="198"/>
      <c r="M79" s="166" t="str">
        <f t="shared" si="10"/>
        <v/>
      </c>
      <c r="N79" s="173"/>
      <c r="O79" s="173"/>
      <c r="P79" s="166" t="str">
        <f t="shared" si="11"/>
        <v/>
      </c>
      <c r="Q79" s="213" t="str">
        <f t="shared" si="12"/>
        <v/>
      </c>
      <c r="R79" s="173"/>
      <c r="S79" s="173"/>
      <c r="T79" s="217"/>
      <c r="U79" s="215" t="str">
        <f t="shared" si="13"/>
        <v/>
      </c>
      <c r="V79" s="218"/>
      <c r="Y79" s="219" t="str">
        <f t="shared" si="14"/>
        <v/>
      </c>
    </row>
    <row r="80" spans="1:25">
      <c r="A80" s="57">
        <f t="shared" si="7"/>
        <v>70</v>
      </c>
      <c r="B80" s="175" t="str">
        <f>IF('G2 MT Reading Scoresheet'!B80&lt;&gt;"",'G2 MT Reading Scoresheet'!B80,"")</f>
        <v/>
      </c>
      <c r="C80" s="167" t="str">
        <f>IF('G2 MT Reading Scoresheet'!C80&lt;&gt;"",'G2 MT Reading Scoresheet'!C80,"")</f>
        <v/>
      </c>
      <c r="D80" s="168" t="str">
        <f>IF('G2 MT Reading Scoresheet'!D80&lt;&gt;"",'G2 MT Reading Scoresheet'!D80,"")</f>
        <v/>
      </c>
      <c r="E80" s="169" t="str">
        <f>IF('G2 MT Reading Scoresheet'!E80&lt;&gt;"",'G2 MT Reading Scoresheet'!E80,"")</f>
        <v/>
      </c>
      <c r="F80" s="172"/>
      <c r="G80" s="171"/>
      <c r="H80" s="174"/>
      <c r="I80" s="193" t="str">
        <f t="shared" si="8"/>
        <v/>
      </c>
      <c r="J80" s="194" t="str">
        <f t="shared" si="9"/>
        <v/>
      </c>
      <c r="K80" s="195"/>
      <c r="L80" s="196"/>
      <c r="M80" s="166" t="str">
        <f t="shared" si="10"/>
        <v/>
      </c>
      <c r="N80" s="174"/>
      <c r="O80" s="174"/>
      <c r="P80" s="166" t="str">
        <f t="shared" si="11"/>
        <v/>
      </c>
      <c r="Q80" s="213" t="str">
        <f t="shared" si="12"/>
        <v/>
      </c>
      <c r="R80" s="174"/>
      <c r="S80" s="174"/>
      <c r="T80" s="214"/>
      <c r="U80" s="215" t="str">
        <f t="shared" si="13"/>
        <v/>
      </c>
      <c r="V80" s="216"/>
      <c r="Y80" s="219" t="str">
        <f t="shared" si="14"/>
        <v/>
      </c>
    </row>
    <row r="81" spans="1:25">
      <c r="A81" s="165">
        <f t="shared" si="7"/>
        <v>71</v>
      </c>
      <c r="B81" s="175" t="str">
        <f>IF('G2 MT Reading Scoresheet'!B81&lt;&gt;"",'G2 MT Reading Scoresheet'!B81,"")</f>
        <v/>
      </c>
      <c r="C81" s="167" t="str">
        <f>IF('G2 MT Reading Scoresheet'!C81&lt;&gt;"",'G2 MT Reading Scoresheet'!C81,"")</f>
        <v/>
      </c>
      <c r="D81" s="168" t="str">
        <f>IF('G2 MT Reading Scoresheet'!D81&lt;&gt;"",'G2 MT Reading Scoresheet'!D81,"")</f>
        <v/>
      </c>
      <c r="E81" s="169" t="str">
        <f>IF('G2 MT Reading Scoresheet'!E81&lt;&gt;"",'G2 MT Reading Scoresheet'!E81,"")</f>
        <v/>
      </c>
      <c r="F81" s="170"/>
      <c r="G81" s="164"/>
      <c r="H81" s="173"/>
      <c r="I81" s="193" t="str">
        <f t="shared" si="8"/>
        <v/>
      </c>
      <c r="J81" s="194" t="str">
        <f t="shared" si="9"/>
        <v/>
      </c>
      <c r="K81" s="197"/>
      <c r="L81" s="198"/>
      <c r="M81" s="166" t="str">
        <f t="shared" si="10"/>
        <v/>
      </c>
      <c r="N81" s="173"/>
      <c r="O81" s="173"/>
      <c r="P81" s="166" t="str">
        <f t="shared" si="11"/>
        <v/>
      </c>
      <c r="Q81" s="213" t="str">
        <f t="shared" si="12"/>
        <v/>
      </c>
      <c r="R81" s="173"/>
      <c r="S81" s="173"/>
      <c r="T81" s="217"/>
      <c r="U81" s="215" t="str">
        <f t="shared" si="13"/>
        <v/>
      </c>
      <c r="V81" s="218"/>
      <c r="Y81" s="219" t="str">
        <f t="shared" si="14"/>
        <v/>
      </c>
    </row>
    <row r="82" spans="1:25">
      <c r="A82" s="57">
        <f t="shared" si="7"/>
        <v>72</v>
      </c>
      <c r="B82" s="175" t="str">
        <f>IF('G2 MT Reading Scoresheet'!B82&lt;&gt;"",'G2 MT Reading Scoresheet'!B82,"")</f>
        <v/>
      </c>
      <c r="C82" s="167" t="str">
        <f>IF('G2 MT Reading Scoresheet'!C82&lt;&gt;"",'G2 MT Reading Scoresheet'!C82,"")</f>
        <v/>
      </c>
      <c r="D82" s="168" t="str">
        <f>IF('G2 MT Reading Scoresheet'!D82&lt;&gt;"",'G2 MT Reading Scoresheet'!D82,"")</f>
        <v/>
      </c>
      <c r="E82" s="169" t="str">
        <f>IF('G2 MT Reading Scoresheet'!E82&lt;&gt;"",'G2 MT Reading Scoresheet'!E82,"")</f>
        <v/>
      </c>
      <c r="F82" s="172"/>
      <c r="G82" s="171"/>
      <c r="H82" s="174"/>
      <c r="I82" s="193" t="str">
        <f t="shared" si="8"/>
        <v/>
      </c>
      <c r="J82" s="194" t="str">
        <f t="shared" si="9"/>
        <v/>
      </c>
      <c r="K82" s="195"/>
      <c r="L82" s="196"/>
      <c r="M82" s="166" t="str">
        <f t="shared" si="10"/>
        <v/>
      </c>
      <c r="N82" s="174"/>
      <c r="O82" s="174"/>
      <c r="P82" s="166" t="str">
        <f t="shared" si="11"/>
        <v/>
      </c>
      <c r="Q82" s="213" t="str">
        <f t="shared" si="12"/>
        <v/>
      </c>
      <c r="R82" s="174"/>
      <c r="S82" s="174"/>
      <c r="T82" s="214"/>
      <c r="U82" s="215" t="str">
        <f t="shared" si="13"/>
        <v/>
      </c>
      <c r="V82" s="216"/>
      <c r="Y82" s="219" t="str">
        <f t="shared" si="14"/>
        <v/>
      </c>
    </row>
    <row r="83" spans="1:25">
      <c r="A83" s="165">
        <f t="shared" si="7"/>
        <v>73</v>
      </c>
      <c r="B83" s="175" t="str">
        <f>IF('G2 MT Reading Scoresheet'!B83&lt;&gt;"",'G2 MT Reading Scoresheet'!B83,"")</f>
        <v/>
      </c>
      <c r="C83" s="167" t="str">
        <f>IF('G2 MT Reading Scoresheet'!C83&lt;&gt;"",'G2 MT Reading Scoresheet'!C83,"")</f>
        <v/>
      </c>
      <c r="D83" s="168" t="str">
        <f>IF('G2 MT Reading Scoresheet'!D83&lt;&gt;"",'G2 MT Reading Scoresheet'!D83,"")</f>
        <v/>
      </c>
      <c r="E83" s="169" t="str">
        <f>IF('G2 MT Reading Scoresheet'!E83&lt;&gt;"",'G2 MT Reading Scoresheet'!E83,"")</f>
        <v/>
      </c>
      <c r="F83" s="170"/>
      <c r="G83" s="164"/>
      <c r="H83" s="173"/>
      <c r="I83" s="193" t="str">
        <f t="shared" si="8"/>
        <v/>
      </c>
      <c r="J83" s="194" t="str">
        <f t="shared" si="9"/>
        <v/>
      </c>
      <c r="K83" s="197"/>
      <c r="L83" s="198"/>
      <c r="M83" s="166" t="str">
        <f t="shared" si="10"/>
        <v/>
      </c>
      <c r="N83" s="173"/>
      <c r="O83" s="173"/>
      <c r="P83" s="166" t="str">
        <f t="shared" si="11"/>
        <v/>
      </c>
      <c r="Q83" s="213" t="str">
        <f t="shared" si="12"/>
        <v/>
      </c>
      <c r="R83" s="173"/>
      <c r="S83" s="173"/>
      <c r="T83" s="217"/>
      <c r="U83" s="215" t="str">
        <f t="shared" si="13"/>
        <v/>
      </c>
      <c r="V83" s="218"/>
      <c r="Y83" s="219" t="str">
        <f t="shared" si="14"/>
        <v/>
      </c>
    </row>
    <row r="84" spans="1:25">
      <c r="A84" s="57">
        <f t="shared" si="7"/>
        <v>74</v>
      </c>
      <c r="B84" s="175" t="str">
        <f>IF('G2 MT Reading Scoresheet'!B84&lt;&gt;"",'G2 MT Reading Scoresheet'!B84,"")</f>
        <v/>
      </c>
      <c r="C84" s="167" t="str">
        <f>IF('G2 MT Reading Scoresheet'!C84&lt;&gt;"",'G2 MT Reading Scoresheet'!C84,"")</f>
        <v/>
      </c>
      <c r="D84" s="168" t="str">
        <f>IF('G2 MT Reading Scoresheet'!D84&lt;&gt;"",'G2 MT Reading Scoresheet'!D84,"")</f>
        <v/>
      </c>
      <c r="E84" s="169" t="str">
        <f>IF('G2 MT Reading Scoresheet'!E84&lt;&gt;"",'G2 MT Reading Scoresheet'!E84,"")</f>
        <v/>
      </c>
      <c r="F84" s="172"/>
      <c r="G84" s="171"/>
      <c r="H84" s="174"/>
      <c r="I84" s="193" t="str">
        <f t="shared" si="8"/>
        <v/>
      </c>
      <c r="J84" s="194" t="str">
        <f t="shared" si="9"/>
        <v/>
      </c>
      <c r="K84" s="195"/>
      <c r="L84" s="196"/>
      <c r="M84" s="166" t="str">
        <f t="shared" si="10"/>
        <v/>
      </c>
      <c r="N84" s="174"/>
      <c r="O84" s="174"/>
      <c r="P84" s="166" t="str">
        <f t="shared" si="11"/>
        <v/>
      </c>
      <c r="Q84" s="213" t="str">
        <f t="shared" si="12"/>
        <v/>
      </c>
      <c r="R84" s="174"/>
      <c r="S84" s="174"/>
      <c r="T84" s="214"/>
      <c r="U84" s="215" t="str">
        <f t="shared" si="13"/>
        <v/>
      </c>
      <c r="V84" s="216"/>
      <c r="Y84" s="219" t="str">
        <f t="shared" si="14"/>
        <v/>
      </c>
    </row>
    <row r="85" spans="1:25">
      <c r="A85" s="165">
        <f t="shared" si="7"/>
        <v>75</v>
      </c>
      <c r="B85" s="175" t="str">
        <f>IF('G2 MT Reading Scoresheet'!B85&lt;&gt;"",'G2 MT Reading Scoresheet'!B85,"")</f>
        <v/>
      </c>
      <c r="C85" s="167" t="str">
        <f>IF('G2 MT Reading Scoresheet'!C85&lt;&gt;"",'G2 MT Reading Scoresheet'!C85,"")</f>
        <v/>
      </c>
      <c r="D85" s="168" t="str">
        <f>IF('G2 MT Reading Scoresheet'!D85&lt;&gt;"",'G2 MT Reading Scoresheet'!D85,"")</f>
        <v/>
      </c>
      <c r="E85" s="169" t="str">
        <f>IF('G2 MT Reading Scoresheet'!E85&lt;&gt;"",'G2 MT Reading Scoresheet'!E85,"")</f>
        <v/>
      </c>
      <c r="F85" s="170"/>
      <c r="G85" s="164"/>
      <c r="H85" s="173"/>
      <c r="I85" s="193" t="str">
        <f t="shared" si="8"/>
        <v/>
      </c>
      <c r="J85" s="194" t="str">
        <f t="shared" si="9"/>
        <v/>
      </c>
      <c r="K85" s="197"/>
      <c r="L85" s="198"/>
      <c r="M85" s="166" t="str">
        <f t="shared" si="10"/>
        <v/>
      </c>
      <c r="N85" s="173"/>
      <c r="O85" s="173"/>
      <c r="P85" s="166" t="str">
        <f t="shared" si="11"/>
        <v/>
      </c>
      <c r="Q85" s="213" t="str">
        <f t="shared" si="12"/>
        <v/>
      </c>
      <c r="R85" s="173"/>
      <c r="S85" s="173"/>
      <c r="T85" s="217"/>
      <c r="U85" s="215" t="str">
        <f t="shared" si="13"/>
        <v/>
      </c>
      <c r="V85" s="218"/>
      <c r="Y85" s="219" t="str">
        <f t="shared" si="14"/>
        <v/>
      </c>
    </row>
    <row r="86" spans="1:25">
      <c r="A86" s="57">
        <f t="shared" si="7"/>
        <v>76</v>
      </c>
      <c r="B86" s="175" t="str">
        <f>IF('G2 MT Reading Scoresheet'!B86&lt;&gt;"",'G2 MT Reading Scoresheet'!B86,"")</f>
        <v/>
      </c>
      <c r="C86" s="167" t="str">
        <f>IF('G2 MT Reading Scoresheet'!C86&lt;&gt;"",'G2 MT Reading Scoresheet'!C86,"")</f>
        <v/>
      </c>
      <c r="D86" s="168" t="str">
        <f>IF('G2 MT Reading Scoresheet'!D86&lt;&gt;"",'G2 MT Reading Scoresheet'!D86,"")</f>
        <v/>
      </c>
      <c r="E86" s="169" t="str">
        <f>IF('G2 MT Reading Scoresheet'!E86&lt;&gt;"",'G2 MT Reading Scoresheet'!E86,"")</f>
        <v/>
      </c>
      <c r="F86" s="172"/>
      <c r="G86" s="171"/>
      <c r="H86" s="174"/>
      <c r="I86" s="193" t="str">
        <f t="shared" si="8"/>
        <v/>
      </c>
      <c r="J86" s="194" t="str">
        <f t="shared" si="9"/>
        <v/>
      </c>
      <c r="K86" s="195"/>
      <c r="L86" s="196"/>
      <c r="M86" s="166" t="str">
        <f t="shared" si="10"/>
        <v/>
      </c>
      <c r="N86" s="174"/>
      <c r="O86" s="174"/>
      <c r="P86" s="166" t="str">
        <f t="shared" si="11"/>
        <v/>
      </c>
      <c r="Q86" s="213" t="str">
        <f t="shared" si="12"/>
        <v/>
      </c>
      <c r="R86" s="174"/>
      <c r="S86" s="174"/>
      <c r="T86" s="214"/>
      <c r="U86" s="215" t="str">
        <f t="shared" si="13"/>
        <v/>
      </c>
      <c r="V86" s="216"/>
      <c r="Y86" s="219" t="str">
        <f t="shared" si="14"/>
        <v/>
      </c>
    </row>
    <row r="87" spans="1:25">
      <c r="A87" s="165">
        <f t="shared" si="7"/>
        <v>77</v>
      </c>
      <c r="B87" s="175" t="str">
        <f>IF('G2 MT Reading Scoresheet'!B87&lt;&gt;"",'G2 MT Reading Scoresheet'!B87,"")</f>
        <v/>
      </c>
      <c r="C87" s="167" t="str">
        <f>IF('G2 MT Reading Scoresheet'!C87&lt;&gt;"",'G2 MT Reading Scoresheet'!C87,"")</f>
        <v/>
      </c>
      <c r="D87" s="168" t="str">
        <f>IF('G2 MT Reading Scoresheet'!D87&lt;&gt;"",'G2 MT Reading Scoresheet'!D87,"")</f>
        <v/>
      </c>
      <c r="E87" s="169" t="str">
        <f>IF('G2 MT Reading Scoresheet'!E87&lt;&gt;"",'G2 MT Reading Scoresheet'!E87,"")</f>
        <v/>
      </c>
      <c r="F87" s="170"/>
      <c r="G87" s="164"/>
      <c r="H87" s="173"/>
      <c r="I87" s="193" t="str">
        <f t="shared" si="8"/>
        <v/>
      </c>
      <c r="J87" s="194" t="str">
        <f t="shared" si="9"/>
        <v/>
      </c>
      <c r="K87" s="197"/>
      <c r="L87" s="198"/>
      <c r="M87" s="166" t="str">
        <f t="shared" si="10"/>
        <v/>
      </c>
      <c r="N87" s="173"/>
      <c r="O87" s="173"/>
      <c r="P87" s="166" t="str">
        <f t="shared" si="11"/>
        <v/>
      </c>
      <c r="Q87" s="213" t="str">
        <f t="shared" si="12"/>
        <v/>
      </c>
      <c r="R87" s="173"/>
      <c r="S87" s="173"/>
      <c r="T87" s="217"/>
      <c r="U87" s="215" t="str">
        <f t="shared" si="13"/>
        <v/>
      </c>
      <c r="V87" s="218"/>
      <c r="Y87" s="219" t="str">
        <f t="shared" si="14"/>
        <v/>
      </c>
    </row>
    <row r="88" spans="1:25">
      <c r="A88" s="57">
        <f t="shared" si="7"/>
        <v>78</v>
      </c>
      <c r="B88" s="175" t="str">
        <f>IF('G2 MT Reading Scoresheet'!B88&lt;&gt;"",'G2 MT Reading Scoresheet'!B88,"")</f>
        <v/>
      </c>
      <c r="C88" s="167" t="str">
        <f>IF('G2 MT Reading Scoresheet'!C88&lt;&gt;"",'G2 MT Reading Scoresheet'!C88,"")</f>
        <v/>
      </c>
      <c r="D88" s="168" t="str">
        <f>IF('G2 MT Reading Scoresheet'!D88&lt;&gt;"",'G2 MT Reading Scoresheet'!D88,"")</f>
        <v/>
      </c>
      <c r="E88" s="169" t="str">
        <f>IF('G2 MT Reading Scoresheet'!E88&lt;&gt;"",'G2 MT Reading Scoresheet'!E88,"")</f>
        <v/>
      </c>
      <c r="F88" s="172"/>
      <c r="G88" s="171"/>
      <c r="H88" s="174"/>
      <c r="I88" s="193" t="str">
        <f t="shared" si="8"/>
        <v/>
      </c>
      <c r="J88" s="194" t="str">
        <f t="shared" si="9"/>
        <v/>
      </c>
      <c r="K88" s="195"/>
      <c r="L88" s="196"/>
      <c r="M88" s="166" t="str">
        <f t="shared" si="10"/>
        <v/>
      </c>
      <c r="N88" s="174"/>
      <c r="O88" s="174"/>
      <c r="P88" s="166" t="str">
        <f t="shared" si="11"/>
        <v/>
      </c>
      <c r="Q88" s="213" t="str">
        <f t="shared" si="12"/>
        <v/>
      </c>
      <c r="R88" s="174"/>
      <c r="S88" s="174"/>
      <c r="T88" s="214"/>
      <c r="U88" s="215" t="str">
        <f t="shared" si="13"/>
        <v/>
      </c>
      <c r="V88" s="216"/>
      <c r="Y88" s="219" t="str">
        <f t="shared" si="14"/>
        <v/>
      </c>
    </row>
    <row r="89" spans="1:25">
      <c r="A89" s="165">
        <f t="shared" si="7"/>
        <v>79</v>
      </c>
      <c r="B89" s="175" t="str">
        <f>IF('G2 MT Reading Scoresheet'!B89&lt;&gt;"",'G2 MT Reading Scoresheet'!B89,"")</f>
        <v/>
      </c>
      <c r="C89" s="167" t="str">
        <f>IF('G2 MT Reading Scoresheet'!C89&lt;&gt;"",'G2 MT Reading Scoresheet'!C89,"")</f>
        <v/>
      </c>
      <c r="D89" s="168" t="str">
        <f>IF('G2 MT Reading Scoresheet'!D89&lt;&gt;"",'G2 MT Reading Scoresheet'!D89,"")</f>
        <v/>
      </c>
      <c r="E89" s="169" t="str">
        <f>IF('G2 MT Reading Scoresheet'!E89&lt;&gt;"",'G2 MT Reading Scoresheet'!E89,"")</f>
        <v/>
      </c>
      <c r="F89" s="170"/>
      <c r="G89" s="164"/>
      <c r="H89" s="173"/>
      <c r="I89" s="193" t="str">
        <f t="shared" si="8"/>
        <v/>
      </c>
      <c r="J89" s="194" t="str">
        <f t="shared" si="9"/>
        <v/>
      </c>
      <c r="K89" s="197"/>
      <c r="L89" s="198"/>
      <c r="M89" s="166" t="str">
        <f t="shared" si="10"/>
        <v/>
      </c>
      <c r="N89" s="173"/>
      <c r="O89" s="173"/>
      <c r="P89" s="166" t="str">
        <f t="shared" si="11"/>
        <v/>
      </c>
      <c r="Q89" s="213" t="str">
        <f t="shared" si="12"/>
        <v/>
      </c>
      <c r="R89" s="173"/>
      <c r="S89" s="173"/>
      <c r="T89" s="217"/>
      <c r="U89" s="215" t="str">
        <f t="shared" si="13"/>
        <v/>
      </c>
      <c r="V89" s="218"/>
      <c r="Y89" s="219" t="str">
        <f t="shared" si="14"/>
        <v/>
      </c>
    </row>
    <row r="90" spans="1:25">
      <c r="A90" s="57">
        <f t="shared" si="7"/>
        <v>80</v>
      </c>
      <c r="B90" s="175" t="str">
        <f>IF('G2 MT Reading Scoresheet'!B90&lt;&gt;"",'G2 MT Reading Scoresheet'!B90,"")</f>
        <v/>
      </c>
      <c r="C90" s="167" t="str">
        <f>IF('G2 MT Reading Scoresheet'!C90&lt;&gt;"",'G2 MT Reading Scoresheet'!C90,"")</f>
        <v/>
      </c>
      <c r="D90" s="168" t="str">
        <f>IF('G2 MT Reading Scoresheet'!D90&lt;&gt;"",'G2 MT Reading Scoresheet'!D90,"")</f>
        <v/>
      </c>
      <c r="E90" s="169" t="str">
        <f>IF('G2 MT Reading Scoresheet'!E90&lt;&gt;"",'G2 MT Reading Scoresheet'!E90,"")</f>
        <v/>
      </c>
      <c r="F90" s="172"/>
      <c r="G90" s="171"/>
      <c r="H90" s="174"/>
      <c r="I90" s="193" t="str">
        <f t="shared" si="8"/>
        <v/>
      </c>
      <c r="J90" s="194" t="str">
        <f t="shared" si="9"/>
        <v/>
      </c>
      <c r="K90" s="195"/>
      <c r="L90" s="196"/>
      <c r="M90" s="166" t="str">
        <f t="shared" si="10"/>
        <v/>
      </c>
      <c r="N90" s="174"/>
      <c r="O90" s="174"/>
      <c r="P90" s="166" t="str">
        <f t="shared" si="11"/>
        <v/>
      </c>
      <c r="Q90" s="213" t="str">
        <f t="shared" si="12"/>
        <v/>
      </c>
      <c r="R90" s="174"/>
      <c r="S90" s="174"/>
      <c r="T90" s="214"/>
      <c r="U90" s="215" t="str">
        <f t="shared" si="13"/>
        <v/>
      </c>
      <c r="V90" s="216"/>
      <c r="Y90" s="219" t="str">
        <f t="shared" si="14"/>
        <v/>
      </c>
    </row>
    <row r="91" spans="1:25">
      <c r="A91" s="165">
        <f t="shared" si="7"/>
        <v>81</v>
      </c>
      <c r="B91" s="175" t="str">
        <f>IF('G2 MT Reading Scoresheet'!B91&lt;&gt;"",'G2 MT Reading Scoresheet'!B91,"")</f>
        <v/>
      </c>
      <c r="C91" s="167" t="str">
        <f>IF('G2 MT Reading Scoresheet'!C91&lt;&gt;"",'G2 MT Reading Scoresheet'!C91,"")</f>
        <v/>
      </c>
      <c r="D91" s="168" t="str">
        <f>IF('G2 MT Reading Scoresheet'!D91&lt;&gt;"",'G2 MT Reading Scoresheet'!D91,"")</f>
        <v/>
      </c>
      <c r="E91" s="169" t="str">
        <f>IF('G2 MT Reading Scoresheet'!E91&lt;&gt;"",'G2 MT Reading Scoresheet'!E91,"")</f>
        <v/>
      </c>
      <c r="F91" s="170"/>
      <c r="G91" s="164"/>
      <c r="H91" s="173"/>
      <c r="I91" s="193" t="str">
        <f t="shared" si="8"/>
        <v/>
      </c>
      <c r="J91" s="194" t="str">
        <f t="shared" si="9"/>
        <v/>
      </c>
      <c r="K91" s="197"/>
      <c r="L91" s="198"/>
      <c r="M91" s="166" t="str">
        <f t="shared" si="10"/>
        <v/>
      </c>
      <c r="N91" s="173"/>
      <c r="O91" s="173"/>
      <c r="P91" s="166" t="str">
        <f t="shared" si="11"/>
        <v/>
      </c>
      <c r="Q91" s="213" t="str">
        <f t="shared" si="12"/>
        <v/>
      </c>
      <c r="R91" s="173"/>
      <c r="S91" s="173"/>
      <c r="T91" s="217"/>
      <c r="U91" s="215" t="str">
        <f t="shared" si="13"/>
        <v/>
      </c>
      <c r="V91" s="218"/>
      <c r="Y91" s="219" t="str">
        <f t="shared" si="14"/>
        <v/>
      </c>
    </row>
    <row r="92" spans="1:25">
      <c r="A92" s="57">
        <f t="shared" si="7"/>
        <v>82</v>
      </c>
      <c r="B92" s="175" t="str">
        <f>IF('G2 MT Reading Scoresheet'!B92&lt;&gt;"",'G2 MT Reading Scoresheet'!B92,"")</f>
        <v/>
      </c>
      <c r="C92" s="167" t="str">
        <f>IF('G2 MT Reading Scoresheet'!C92&lt;&gt;"",'G2 MT Reading Scoresheet'!C92,"")</f>
        <v/>
      </c>
      <c r="D92" s="168" t="str">
        <f>IF('G2 MT Reading Scoresheet'!D92&lt;&gt;"",'G2 MT Reading Scoresheet'!D92,"")</f>
        <v/>
      </c>
      <c r="E92" s="169" t="str">
        <f>IF('G2 MT Reading Scoresheet'!E92&lt;&gt;"",'G2 MT Reading Scoresheet'!E92,"")</f>
        <v/>
      </c>
      <c r="F92" s="172"/>
      <c r="G92" s="171"/>
      <c r="H92" s="174"/>
      <c r="I92" s="193" t="str">
        <f t="shared" si="8"/>
        <v/>
      </c>
      <c r="J92" s="194" t="str">
        <f t="shared" si="9"/>
        <v/>
      </c>
      <c r="K92" s="195"/>
      <c r="L92" s="196"/>
      <c r="M92" s="166" t="str">
        <f t="shared" si="10"/>
        <v/>
      </c>
      <c r="N92" s="174"/>
      <c r="O92" s="174"/>
      <c r="P92" s="166" t="str">
        <f t="shared" si="11"/>
        <v/>
      </c>
      <c r="Q92" s="213" t="str">
        <f t="shared" si="12"/>
        <v/>
      </c>
      <c r="R92" s="174"/>
      <c r="S92" s="174"/>
      <c r="T92" s="214"/>
      <c r="U92" s="215" t="str">
        <f t="shared" si="13"/>
        <v/>
      </c>
      <c r="V92" s="216"/>
      <c r="Y92" s="219" t="str">
        <f t="shared" si="14"/>
        <v/>
      </c>
    </row>
    <row r="93" spans="1:25">
      <c r="A93" s="165">
        <f t="shared" si="7"/>
        <v>83</v>
      </c>
      <c r="B93" s="175" t="str">
        <f>IF('G2 MT Reading Scoresheet'!B93&lt;&gt;"",'G2 MT Reading Scoresheet'!B93,"")</f>
        <v/>
      </c>
      <c r="C93" s="167" t="str">
        <f>IF('G2 MT Reading Scoresheet'!C93&lt;&gt;"",'G2 MT Reading Scoresheet'!C93,"")</f>
        <v/>
      </c>
      <c r="D93" s="168" t="str">
        <f>IF('G2 MT Reading Scoresheet'!D93&lt;&gt;"",'G2 MT Reading Scoresheet'!D93,"")</f>
        <v/>
      </c>
      <c r="E93" s="169" t="str">
        <f>IF('G2 MT Reading Scoresheet'!E93&lt;&gt;"",'G2 MT Reading Scoresheet'!E93,"")</f>
        <v/>
      </c>
      <c r="F93" s="170"/>
      <c r="G93" s="164"/>
      <c r="H93" s="173"/>
      <c r="I93" s="193" t="str">
        <f t="shared" si="8"/>
        <v/>
      </c>
      <c r="J93" s="194" t="str">
        <f t="shared" si="9"/>
        <v/>
      </c>
      <c r="K93" s="197"/>
      <c r="L93" s="198"/>
      <c r="M93" s="166" t="str">
        <f t="shared" si="10"/>
        <v/>
      </c>
      <c r="N93" s="173"/>
      <c r="O93" s="173"/>
      <c r="P93" s="166" t="str">
        <f t="shared" si="11"/>
        <v/>
      </c>
      <c r="Q93" s="213" t="str">
        <f t="shared" si="12"/>
        <v/>
      </c>
      <c r="R93" s="173"/>
      <c r="S93" s="173"/>
      <c r="T93" s="217"/>
      <c r="U93" s="215" t="str">
        <f t="shared" si="13"/>
        <v/>
      </c>
      <c r="V93" s="218"/>
      <c r="Y93" s="219" t="str">
        <f t="shared" si="14"/>
        <v/>
      </c>
    </row>
    <row r="94" spans="1:25">
      <c r="A94" s="57">
        <f t="shared" si="7"/>
        <v>84</v>
      </c>
      <c r="B94" s="175" t="str">
        <f>IF('G2 MT Reading Scoresheet'!B94&lt;&gt;"",'G2 MT Reading Scoresheet'!B94,"")</f>
        <v/>
      </c>
      <c r="C94" s="167" t="str">
        <f>IF('G2 MT Reading Scoresheet'!C94&lt;&gt;"",'G2 MT Reading Scoresheet'!C94,"")</f>
        <v/>
      </c>
      <c r="D94" s="168" t="str">
        <f>IF('G2 MT Reading Scoresheet'!D94&lt;&gt;"",'G2 MT Reading Scoresheet'!D94,"")</f>
        <v/>
      </c>
      <c r="E94" s="169" t="str">
        <f>IF('G2 MT Reading Scoresheet'!E94&lt;&gt;"",'G2 MT Reading Scoresheet'!E94,"")</f>
        <v/>
      </c>
      <c r="F94" s="172"/>
      <c r="G94" s="171"/>
      <c r="H94" s="174"/>
      <c r="I94" s="193" t="str">
        <f t="shared" si="8"/>
        <v/>
      </c>
      <c r="J94" s="194" t="str">
        <f t="shared" si="9"/>
        <v/>
      </c>
      <c r="K94" s="195"/>
      <c r="L94" s="196"/>
      <c r="M94" s="166" t="str">
        <f t="shared" si="10"/>
        <v/>
      </c>
      <c r="N94" s="174"/>
      <c r="O94" s="174"/>
      <c r="P94" s="166" t="str">
        <f t="shared" si="11"/>
        <v/>
      </c>
      <c r="Q94" s="213" t="str">
        <f t="shared" si="12"/>
        <v/>
      </c>
      <c r="R94" s="174"/>
      <c r="S94" s="174"/>
      <c r="T94" s="214"/>
      <c r="U94" s="215" t="str">
        <f t="shared" si="13"/>
        <v/>
      </c>
      <c r="V94" s="216"/>
      <c r="Y94" s="219" t="str">
        <f t="shared" si="14"/>
        <v/>
      </c>
    </row>
    <row r="95" spans="1:25">
      <c r="A95" s="165">
        <f t="shared" si="7"/>
        <v>85</v>
      </c>
      <c r="B95" s="175" t="str">
        <f>IF('G2 MT Reading Scoresheet'!B95&lt;&gt;"",'G2 MT Reading Scoresheet'!B95,"")</f>
        <v/>
      </c>
      <c r="C95" s="167" t="str">
        <f>IF('G2 MT Reading Scoresheet'!C95&lt;&gt;"",'G2 MT Reading Scoresheet'!C95,"")</f>
        <v/>
      </c>
      <c r="D95" s="168" t="str">
        <f>IF('G2 MT Reading Scoresheet'!D95&lt;&gt;"",'G2 MT Reading Scoresheet'!D95,"")</f>
        <v/>
      </c>
      <c r="E95" s="169" t="str">
        <f>IF('G2 MT Reading Scoresheet'!E95&lt;&gt;"",'G2 MT Reading Scoresheet'!E95,"")</f>
        <v/>
      </c>
      <c r="F95" s="170"/>
      <c r="G95" s="164"/>
      <c r="H95" s="173"/>
      <c r="I95" s="193" t="str">
        <f t="shared" si="8"/>
        <v/>
      </c>
      <c r="J95" s="194" t="str">
        <f t="shared" si="9"/>
        <v/>
      </c>
      <c r="K95" s="197"/>
      <c r="L95" s="198"/>
      <c r="M95" s="166" t="str">
        <f t="shared" si="10"/>
        <v/>
      </c>
      <c r="N95" s="173"/>
      <c r="O95" s="173"/>
      <c r="P95" s="166" t="str">
        <f t="shared" si="11"/>
        <v/>
      </c>
      <c r="Q95" s="213" t="str">
        <f t="shared" si="12"/>
        <v/>
      </c>
      <c r="R95" s="173"/>
      <c r="S95" s="173"/>
      <c r="T95" s="217"/>
      <c r="U95" s="215" t="str">
        <f t="shared" si="13"/>
        <v/>
      </c>
      <c r="V95" s="218"/>
      <c r="Y95" s="219" t="str">
        <f t="shared" si="14"/>
        <v/>
      </c>
    </row>
    <row r="96" spans="1:25">
      <c r="A96" s="57">
        <f t="shared" si="7"/>
        <v>86</v>
      </c>
      <c r="B96" s="175" t="str">
        <f>IF('G2 MT Reading Scoresheet'!B96&lt;&gt;"",'G2 MT Reading Scoresheet'!B96,"")</f>
        <v/>
      </c>
      <c r="C96" s="167" t="str">
        <f>IF('G2 MT Reading Scoresheet'!C96&lt;&gt;"",'G2 MT Reading Scoresheet'!C96,"")</f>
        <v/>
      </c>
      <c r="D96" s="168" t="str">
        <f>IF('G2 MT Reading Scoresheet'!D96&lt;&gt;"",'G2 MT Reading Scoresheet'!D96,"")</f>
        <v/>
      </c>
      <c r="E96" s="169" t="str">
        <f>IF('G2 MT Reading Scoresheet'!E96&lt;&gt;"",'G2 MT Reading Scoresheet'!E96,"")</f>
        <v/>
      </c>
      <c r="F96" s="172"/>
      <c r="G96" s="171"/>
      <c r="H96" s="174"/>
      <c r="I96" s="193" t="str">
        <f t="shared" si="8"/>
        <v/>
      </c>
      <c r="J96" s="194" t="str">
        <f t="shared" si="9"/>
        <v/>
      </c>
      <c r="K96" s="195"/>
      <c r="L96" s="196"/>
      <c r="M96" s="166" t="str">
        <f t="shared" si="10"/>
        <v/>
      </c>
      <c r="N96" s="174"/>
      <c r="O96" s="174"/>
      <c r="P96" s="166" t="str">
        <f t="shared" si="11"/>
        <v/>
      </c>
      <c r="Q96" s="213" t="str">
        <f t="shared" si="12"/>
        <v/>
      </c>
      <c r="R96" s="174"/>
      <c r="S96" s="174"/>
      <c r="T96" s="214"/>
      <c r="U96" s="215" t="str">
        <f t="shared" si="13"/>
        <v/>
      </c>
      <c r="V96" s="216"/>
      <c r="Y96" s="219" t="str">
        <f t="shared" si="14"/>
        <v/>
      </c>
    </row>
    <row r="97" spans="1:25">
      <c r="A97" s="165">
        <f t="shared" si="7"/>
        <v>87</v>
      </c>
      <c r="B97" s="175" t="str">
        <f>IF('G2 MT Reading Scoresheet'!B97&lt;&gt;"",'G2 MT Reading Scoresheet'!B97,"")</f>
        <v/>
      </c>
      <c r="C97" s="167" t="str">
        <f>IF('G2 MT Reading Scoresheet'!C97&lt;&gt;"",'G2 MT Reading Scoresheet'!C97,"")</f>
        <v/>
      </c>
      <c r="D97" s="168" t="str">
        <f>IF('G2 MT Reading Scoresheet'!D97&lt;&gt;"",'G2 MT Reading Scoresheet'!D97,"")</f>
        <v/>
      </c>
      <c r="E97" s="169" t="str">
        <f>IF('G2 MT Reading Scoresheet'!E97&lt;&gt;"",'G2 MT Reading Scoresheet'!E97,"")</f>
        <v/>
      </c>
      <c r="F97" s="170"/>
      <c r="G97" s="164"/>
      <c r="H97" s="173"/>
      <c r="I97" s="193" t="str">
        <f t="shared" si="8"/>
        <v/>
      </c>
      <c r="J97" s="194" t="str">
        <f t="shared" si="9"/>
        <v/>
      </c>
      <c r="K97" s="197"/>
      <c r="L97" s="198"/>
      <c r="M97" s="166" t="str">
        <f t="shared" si="10"/>
        <v/>
      </c>
      <c r="N97" s="173"/>
      <c r="O97" s="173"/>
      <c r="P97" s="166" t="str">
        <f t="shared" si="11"/>
        <v/>
      </c>
      <c r="Q97" s="213" t="str">
        <f t="shared" si="12"/>
        <v/>
      </c>
      <c r="R97" s="173"/>
      <c r="S97" s="173"/>
      <c r="T97" s="217"/>
      <c r="U97" s="215" t="str">
        <f t="shared" si="13"/>
        <v/>
      </c>
      <c r="V97" s="218"/>
      <c r="Y97" s="219" t="str">
        <f t="shared" si="14"/>
        <v/>
      </c>
    </row>
    <row r="98" spans="1:25">
      <c r="A98" s="57">
        <f t="shared" si="7"/>
        <v>88</v>
      </c>
      <c r="B98" s="175" t="str">
        <f>IF('G2 MT Reading Scoresheet'!B98&lt;&gt;"",'G2 MT Reading Scoresheet'!B98,"")</f>
        <v/>
      </c>
      <c r="C98" s="167" t="str">
        <f>IF('G2 MT Reading Scoresheet'!C98&lt;&gt;"",'G2 MT Reading Scoresheet'!C98,"")</f>
        <v/>
      </c>
      <c r="D98" s="168" t="str">
        <f>IF('G2 MT Reading Scoresheet'!D98&lt;&gt;"",'G2 MT Reading Scoresheet'!D98,"")</f>
        <v/>
      </c>
      <c r="E98" s="169" t="str">
        <f>IF('G2 MT Reading Scoresheet'!E98&lt;&gt;"",'G2 MT Reading Scoresheet'!E98,"")</f>
        <v/>
      </c>
      <c r="F98" s="172"/>
      <c r="G98" s="171"/>
      <c r="H98" s="174"/>
      <c r="I98" s="193" t="str">
        <f t="shared" si="8"/>
        <v/>
      </c>
      <c r="J98" s="194" t="str">
        <f t="shared" si="9"/>
        <v/>
      </c>
      <c r="K98" s="195"/>
      <c r="L98" s="196"/>
      <c r="M98" s="166" t="str">
        <f t="shared" si="10"/>
        <v/>
      </c>
      <c r="N98" s="174"/>
      <c r="O98" s="174"/>
      <c r="P98" s="166" t="str">
        <f t="shared" si="11"/>
        <v/>
      </c>
      <c r="Q98" s="213" t="str">
        <f t="shared" si="12"/>
        <v/>
      </c>
      <c r="R98" s="174"/>
      <c r="S98" s="174"/>
      <c r="T98" s="214"/>
      <c r="U98" s="215" t="str">
        <f t="shared" si="13"/>
        <v/>
      </c>
      <c r="V98" s="216"/>
      <c r="Y98" s="219" t="str">
        <f t="shared" si="14"/>
        <v/>
      </c>
    </row>
    <row r="99" spans="1:25">
      <c r="A99" s="165">
        <f t="shared" si="7"/>
        <v>89</v>
      </c>
      <c r="B99" s="175" t="str">
        <f>IF('G2 MT Reading Scoresheet'!B99&lt;&gt;"",'G2 MT Reading Scoresheet'!B99,"")</f>
        <v/>
      </c>
      <c r="C99" s="167" t="str">
        <f>IF('G2 MT Reading Scoresheet'!C99&lt;&gt;"",'G2 MT Reading Scoresheet'!C99,"")</f>
        <v/>
      </c>
      <c r="D99" s="168" t="str">
        <f>IF('G2 MT Reading Scoresheet'!D99&lt;&gt;"",'G2 MT Reading Scoresheet'!D99,"")</f>
        <v/>
      </c>
      <c r="E99" s="169" t="str">
        <f>IF('G2 MT Reading Scoresheet'!E99&lt;&gt;"",'G2 MT Reading Scoresheet'!E99,"")</f>
        <v/>
      </c>
      <c r="F99" s="170"/>
      <c r="G99" s="164"/>
      <c r="H99" s="173"/>
      <c r="I99" s="193" t="str">
        <f t="shared" si="8"/>
        <v/>
      </c>
      <c r="J99" s="194" t="str">
        <f t="shared" si="9"/>
        <v/>
      </c>
      <c r="K99" s="197"/>
      <c r="L99" s="198"/>
      <c r="M99" s="166" t="str">
        <f t="shared" si="10"/>
        <v/>
      </c>
      <c r="N99" s="173"/>
      <c r="O99" s="173"/>
      <c r="P99" s="166" t="str">
        <f t="shared" si="11"/>
        <v/>
      </c>
      <c r="Q99" s="213" t="str">
        <f t="shared" si="12"/>
        <v/>
      </c>
      <c r="R99" s="173"/>
      <c r="S99" s="173"/>
      <c r="T99" s="217"/>
      <c r="U99" s="215" t="str">
        <f t="shared" si="13"/>
        <v/>
      </c>
      <c r="V99" s="218"/>
      <c r="Y99" s="219" t="str">
        <f t="shared" si="14"/>
        <v/>
      </c>
    </row>
    <row r="100" spans="1:25">
      <c r="A100" s="57">
        <f t="shared" si="7"/>
        <v>90</v>
      </c>
      <c r="B100" s="175" t="str">
        <f>IF('G2 MT Reading Scoresheet'!B100&lt;&gt;"",'G2 MT Reading Scoresheet'!B100,"")</f>
        <v/>
      </c>
      <c r="C100" s="167" t="str">
        <f>IF('G2 MT Reading Scoresheet'!C100&lt;&gt;"",'G2 MT Reading Scoresheet'!C100,"")</f>
        <v/>
      </c>
      <c r="D100" s="168" t="str">
        <f>IF('G2 MT Reading Scoresheet'!D100&lt;&gt;"",'G2 MT Reading Scoresheet'!D100,"")</f>
        <v/>
      </c>
      <c r="E100" s="169" t="str">
        <f>IF('G2 MT Reading Scoresheet'!E100&lt;&gt;"",'G2 MT Reading Scoresheet'!E100,"")</f>
        <v/>
      </c>
      <c r="F100" s="172"/>
      <c r="G100" s="171"/>
      <c r="H100" s="174"/>
      <c r="I100" s="193" t="str">
        <f t="shared" si="8"/>
        <v/>
      </c>
      <c r="J100" s="194" t="str">
        <f t="shared" si="9"/>
        <v/>
      </c>
      <c r="K100" s="195"/>
      <c r="L100" s="196"/>
      <c r="M100" s="166" t="str">
        <f t="shared" si="10"/>
        <v/>
      </c>
      <c r="N100" s="174"/>
      <c r="O100" s="174"/>
      <c r="P100" s="166" t="str">
        <f t="shared" si="11"/>
        <v/>
      </c>
      <c r="Q100" s="213" t="str">
        <f t="shared" si="12"/>
        <v/>
      </c>
      <c r="R100" s="174"/>
      <c r="S100" s="174"/>
      <c r="T100" s="214"/>
      <c r="U100" s="215" t="str">
        <f t="shared" si="13"/>
        <v/>
      </c>
      <c r="V100" s="216"/>
      <c r="Y100" s="219" t="str">
        <f t="shared" si="14"/>
        <v/>
      </c>
    </row>
    <row r="101" spans="1:25">
      <c r="A101" s="165">
        <f t="shared" si="7"/>
        <v>91</v>
      </c>
      <c r="B101" s="175" t="str">
        <f>IF('G2 MT Reading Scoresheet'!B101&lt;&gt;"",'G2 MT Reading Scoresheet'!B101,"")</f>
        <v/>
      </c>
      <c r="C101" s="167" t="str">
        <f>IF('G2 MT Reading Scoresheet'!C101&lt;&gt;"",'G2 MT Reading Scoresheet'!C101,"")</f>
        <v/>
      </c>
      <c r="D101" s="168" t="str">
        <f>IF('G2 MT Reading Scoresheet'!D101&lt;&gt;"",'G2 MT Reading Scoresheet'!D101,"")</f>
        <v/>
      </c>
      <c r="E101" s="169" t="str">
        <f>IF('G2 MT Reading Scoresheet'!E101&lt;&gt;"",'G2 MT Reading Scoresheet'!E101,"")</f>
        <v/>
      </c>
      <c r="F101" s="170"/>
      <c r="G101" s="164"/>
      <c r="H101" s="173"/>
      <c r="I101" s="193" t="str">
        <f t="shared" si="8"/>
        <v/>
      </c>
      <c r="J101" s="194" t="str">
        <f t="shared" si="9"/>
        <v/>
      </c>
      <c r="K101" s="197"/>
      <c r="L101" s="198"/>
      <c r="M101" s="166" t="str">
        <f t="shared" si="10"/>
        <v/>
      </c>
      <c r="N101" s="173"/>
      <c r="O101" s="173"/>
      <c r="P101" s="166" t="str">
        <f t="shared" si="11"/>
        <v/>
      </c>
      <c r="Q101" s="213" t="str">
        <f t="shared" si="12"/>
        <v/>
      </c>
      <c r="R101" s="173"/>
      <c r="S101" s="173"/>
      <c r="T101" s="217"/>
      <c r="U101" s="215" t="str">
        <f t="shared" si="13"/>
        <v/>
      </c>
      <c r="V101" s="218"/>
      <c r="Y101" s="219" t="str">
        <f t="shared" si="14"/>
        <v/>
      </c>
    </row>
    <row r="102" spans="1:25">
      <c r="A102" s="57">
        <f t="shared" si="7"/>
        <v>92</v>
      </c>
      <c r="B102" s="175" t="str">
        <f>IF('G2 MT Reading Scoresheet'!B102&lt;&gt;"",'G2 MT Reading Scoresheet'!B102,"")</f>
        <v/>
      </c>
      <c r="C102" s="167" t="str">
        <f>IF('G2 MT Reading Scoresheet'!C102&lt;&gt;"",'G2 MT Reading Scoresheet'!C102,"")</f>
        <v/>
      </c>
      <c r="D102" s="168" t="str">
        <f>IF('G2 MT Reading Scoresheet'!D102&lt;&gt;"",'G2 MT Reading Scoresheet'!D102,"")</f>
        <v/>
      </c>
      <c r="E102" s="169" t="str">
        <f>IF('G2 MT Reading Scoresheet'!E102&lt;&gt;"",'G2 MT Reading Scoresheet'!E102,"")</f>
        <v/>
      </c>
      <c r="F102" s="172"/>
      <c r="G102" s="171"/>
      <c r="H102" s="174"/>
      <c r="I102" s="193" t="str">
        <f t="shared" si="8"/>
        <v/>
      </c>
      <c r="J102" s="194" t="str">
        <f t="shared" si="9"/>
        <v/>
      </c>
      <c r="K102" s="195"/>
      <c r="L102" s="196"/>
      <c r="M102" s="166" t="str">
        <f t="shared" si="10"/>
        <v/>
      </c>
      <c r="N102" s="174"/>
      <c r="O102" s="174"/>
      <c r="P102" s="166" t="str">
        <f t="shared" si="11"/>
        <v/>
      </c>
      <c r="Q102" s="213" t="str">
        <f t="shared" si="12"/>
        <v/>
      </c>
      <c r="R102" s="174"/>
      <c r="S102" s="174"/>
      <c r="T102" s="214"/>
      <c r="U102" s="215" t="str">
        <f t="shared" si="13"/>
        <v/>
      </c>
      <c r="V102" s="216"/>
      <c r="Y102" s="219" t="str">
        <f t="shared" si="14"/>
        <v/>
      </c>
    </row>
    <row r="103" spans="1:25">
      <c r="A103" s="165">
        <f t="shared" si="7"/>
        <v>93</v>
      </c>
      <c r="B103" s="175" t="str">
        <f>IF('G2 MT Reading Scoresheet'!B103&lt;&gt;"",'G2 MT Reading Scoresheet'!B103,"")</f>
        <v/>
      </c>
      <c r="C103" s="167" t="str">
        <f>IF('G2 MT Reading Scoresheet'!C103&lt;&gt;"",'G2 MT Reading Scoresheet'!C103,"")</f>
        <v/>
      </c>
      <c r="D103" s="168" t="str">
        <f>IF('G2 MT Reading Scoresheet'!D103&lt;&gt;"",'G2 MT Reading Scoresheet'!D103,"")</f>
        <v/>
      </c>
      <c r="E103" s="169" t="str">
        <f>IF('G2 MT Reading Scoresheet'!E103&lt;&gt;"",'G2 MT Reading Scoresheet'!E103,"")</f>
        <v/>
      </c>
      <c r="F103" s="170"/>
      <c r="G103" s="164"/>
      <c r="H103" s="173"/>
      <c r="I103" s="193" t="str">
        <f t="shared" si="8"/>
        <v/>
      </c>
      <c r="J103" s="194" t="str">
        <f t="shared" si="9"/>
        <v/>
      </c>
      <c r="K103" s="197"/>
      <c r="L103" s="198"/>
      <c r="M103" s="166" t="str">
        <f t="shared" si="10"/>
        <v/>
      </c>
      <c r="N103" s="173"/>
      <c r="O103" s="173"/>
      <c r="P103" s="166" t="str">
        <f t="shared" si="11"/>
        <v/>
      </c>
      <c r="Q103" s="213" t="str">
        <f t="shared" si="12"/>
        <v/>
      </c>
      <c r="R103" s="173"/>
      <c r="S103" s="173"/>
      <c r="T103" s="217"/>
      <c r="U103" s="215" t="str">
        <f t="shared" si="13"/>
        <v/>
      </c>
      <c r="V103" s="218"/>
      <c r="Y103" s="219" t="str">
        <f t="shared" si="14"/>
        <v/>
      </c>
    </row>
    <row r="104" spans="1:25">
      <c r="A104" s="57">
        <f t="shared" si="7"/>
        <v>94</v>
      </c>
      <c r="B104" s="175" t="str">
        <f>IF('G2 MT Reading Scoresheet'!B104&lt;&gt;"",'G2 MT Reading Scoresheet'!B104,"")</f>
        <v/>
      </c>
      <c r="C104" s="167" t="str">
        <f>IF('G2 MT Reading Scoresheet'!C104&lt;&gt;"",'G2 MT Reading Scoresheet'!C104,"")</f>
        <v/>
      </c>
      <c r="D104" s="168" t="str">
        <f>IF('G2 MT Reading Scoresheet'!D104&lt;&gt;"",'G2 MT Reading Scoresheet'!D104,"")</f>
        <v/>
      </c>
      <c r="E104" s="169" t="str">
        <f>IF('G2 MT Reading Scoresheet'!E104&lt;&gt;"",'G2 MT Reading Scoresheet'!E104,"")</f>
        <v/>
      </c>
      <c r="F104" s="172"/>
      <c r="G104" s="171"/>
      <c r="H104" s="174"/>
      <c r="I104" s="193" t="str">
        <f t="shared" si="8"/>
        <v/>
      </c>
      <c r="J104" s="194" t="str">
        <f t="shared" si="9"/>
        <v/>
      </c>
      <c r="K104" s="195"/>
      <c r="L104" s="196"/>
      <c r="M104" s="166" t="str">
        <f t="shared" si="10"/>
        <v/>
      </c>
      <c r="N104" s="174"/>
      <c r="O104" s="174"/>
      <c r="P104" s="166" t="str">
        <f t="shared" si="11"/>
        <v/>
      </c>
      <c r="Q104" s="213" t="str">
        <f t="shared" si="12"/>
        <v/>
      </c>
      <c r="R104" s="174"/>
      <c r="S104" s="174"/>
      <c r="T104" s="214"/>
      <c r="U104" s="215" t="str">
        <f t="shared" si="13"/>
        <v/>
      </c>
      <c r="V104" s="216"/>
      <c r="Y104" s="219" t="str">
        <f t="shared" si="14"/>
        <v/>
      </c>
    </row>
    <row r="105" spans="1:25">
      <c r="A105" s="165">
        <f t="shared" si="7"/>
        <v>95</v>
      </c>
      <c r="B105" s="175" t="str">
        <f>IF('G2 MT Reading Scoresheet'!B105&lt;&gt;"",'G2 MT Reading Scoresheet'!B105,"")</f>
        <v/>
      </c>
      <c r="C105" s="167" t="str">
        <f>IF('G2 MT Reading Scoresheet'!C105&lt;&gt;"",'G2 MT Reading Scoresheet'!C105,"")</f>
        <v/>
      </c>
      <c r="D105" s="168" t="str">
        <f>IF('G2 MT Reading Scoresheet'!D105&lt;&gt;"",'G2 MT Reading Scoresheet'!D105,"")</f>
        <v/>
      </c>
      <c r="E105" s="169" t="str">
        <f>IF('G2 MT Reading Scoresheet'!E105&lt;&gt;"",'G2 MT Reading Scoresheet'!E105,"")</f>
        <v/>
      </c>
      <c r="F105" s="170"/>
      <c r="G105" s="164"/>
      <c r="H105" s="173"/>
      <c r="I105" s="193" t="str">
        <f t="shared" si="8"/>
        <v/>
      </c>
      <c r="J105" s="194" t="str">
        <f t="shared" si="9"/>
        <v/>
      </c>
      <c r="K105" s="197"/>
      <c r="L105" s="198"/>
      <c r="M105" s="166" t="str">
        <f t="shared" si="10"/>
        <v/>
      </c>
      <c r="N105" s="173"/>
      <c r="O105" s="173"/>
      <c r="P105" s="166" t="str">
        <f t="shared" si="11"/>
        <v/>
      </c>
      <c r="Q105" s="213" t="str">
        <f t="shared" si="12"/>
        <v/>
      </c>
      <c r="R105" s="173"/>
      <c r="S105" s="173"/>
      <c r="T105" s="217"/>
      <c r="U105" s="215" t="str">
        <f t="shared" si="13"/>
        <v/>
      </c>
      <c r="V105" s="218"/>
      <c r="Y105" s="219" t="str">
        <f t="shared" si="14"/>
        <v/>
      </c>
    </row>
    <row r="106" spans="1:25">
      <c r="A106" s="57">
        <f t="shared" si="7"/>
        <v>96</v>
      </c>
      <c r="B106" s="175" t="str">
        <f>IF('G2 MT Reading Scoresheet'!B106&lt;&gt;"",'G2 MT Reading Scoresheet'!B106,"")</f>
        <v/>
      </c>
      <c r="C106" s="167" t="str">
        <f>IF('G2 MT Reading Scoresheet'!C106&lt;&gt;"",'G2 MT Reading Scoresheet'!C106,"")</f>
        <v/>
      </c>
      <c r="D106" s="168" t="str">
        <f>IF('G2 MT Reading Scoresheet'!D106&lt;&gt;"",'G2 MT Reading Scoresheet'!D106,"")</f>
        <v/>
      </c>
      <c r="E106" s="169" t="str">
        <f>IF('G2 MT Reading Scoresheet'!E106&lt;&gt;"",'G2 MT Reading Scoresheet'!E106,"")</f>
        <v/>
      </c>
      <c r="F106" s="172"/>
      <c r="G106" s="171"/>
      <c r="H106" s="174"/>
      <c r="I106" s="193" t="str">
        <f t="shared" si="8"/>
        <v/>
      </c>
      <c r="J106" s="194" t="str">
        <f t="shared" si="9"/>
        <v/>
      </c>
      <c r="K106" s="195"/>
      <c r="L106" s="196"/>
      <c r="M106" s="166" t="str">
        <f t="shared" si="10"/>
        <v/>
      </c>
      <c r="N106" s="174"/>
      <c r="O106" s="174"/>
      <c r="P106" s="166" t="str">
        <f t="shared" si="11"/>
        <v/>
      </c>
      <c r="Q106" s="213" t="str">
        <f t="shared" si="12"/>
        <v/>
      </c>
      <c r="R106" s="174"/>
      <c r="S106" s="174"/>
      <c r="T106" s="214"/>
      <c r="U106" s="215" t="str">
        <f t="shared" si="13"/>
        <v/>
      </c>
      <c r="V106" s="216"/>
      <c r="Y106" s="219" t="str">
        <f t="shared" si="14"/>
        <v/>
      </c>
    </row>
    <row r="107" spans="1:25">
      <c r="A107" s="165">
        <f t="shared" si="7"/>
        <v>97</v>
      </c>
      <c r="B107" s="175" t="str">
        <f>IF('G2 MT Reading Scoresheet'!B107&lt;&gt;"",'G2 MT Reading Scoresheet'!B107,"")</f>
        <v/>
      </c>
      <c r="C107" s="167" t="str">
        <f>IF('G2 MT Reading Scoresheet'!C107&lt;&gt;"",'G2 MT Reading Scoresheet'!C107,"")</f>
        <v/>
      </c>
      <c r="D107" s="168" t="str">
        <f>IF('G2 MT Reading Scoresheet'!D107&lt;&gt;"",'G2 MT Reading Scoresheet'!D107,"")</f>
        <v/>
      </c>
      <c r="E107" s="169" t="str">
        <f>IF('G2 MT Reading Scoresheet'!E107&lt;&gt;"",'G2 MT Reading Scoresheet'!E107,"")</f>
        <v/>
      </c>
      <c r="F107" s="170"/>
      <c r="G107" s="164"/>
      <c r="H107" s="173"/>
      <c r="I107" s="193" t="str">
        <f t="shared" si="8"/>
        <v/>
      </c>
      <c r="J107" s="194" t="str">
        <f t="shared" si="9"/>
        <v/>
      </c>
      <c r="K107" s="197"/>
      <c r="L107" s="198"/>
      <c r="M107" s="166" t="str">
        <f t="shared" si="10"/>
        <v/>
      </c>
      <c r="N107" s="173"/>
      <c r="O107" s="173"/>
      <c r="P107" s="166" t="str">
        <f t="shared" si="11"/>
        <v/>
      </c>
      <c r="Q107" s="213" t="str">
        <f t="shared" si="12"/>
        <v/>
      </c>
      <c r="R107" s="173"/>
      <c r="S107" s="173"/>
      <c r="T107" s="217"/>
      <c r="U107" s="215" t="str">
        <f t="shared" si="13"/>
        <v/>
      </c>
      <c r="V107" s="218"/>
      <c r="Y107" s="219" t="str">
        <f t="shared" si="14"/>
        <v/>
      </c>
    </row>
    <row r="108" spans="1:25">
      <c r="A108" s="57">
        <f t="shared" si="7"/>
        <v>98</v>
      </c>
      <c r="B108" s="175" t="str">
        <f>IF('G2 MT Reading Scoresheet'!B108&lt;&gt;"",'G2 MT Reading Scoresheet'!B108,"")</f>
        <v/>
      </c>
      <c r="C108" s="167" t="str">
        <f>IF('G2 MT Reading Scoresheet'!C108&lt;&gt;"",'G2 MT Reading Scoresheet'!C108,"")</f>
        <v/>
      </c>
      <c r="D108" s="168" t="str">
        <f>IF('G2 MT Reading Scoresheet'!D108&lt;&gt;"",'G2 MT Reading Scoresheet'!D108,"")</f>
        <v/>
      </c>
      <c r="E108" s="169" t="str">
        <f>IF('G2 MT Reading Scoresheet'!E108&lt;&gt;"",'G2 MT Reading Scoresheet'!E108,"")</f>
        <v/>
      </c>
      <c r="F108" s="172"/>
      <c r="G108" s="171"/>
      <c r="H108" s="174"/>
      <c r="I108" s="193" t="str">
        <f t="shared" si="8"/>
        <v/>
      </c>
      <c r="J108" s="194" t="str">
        <f t="shared" si="9"/>
        <v/>
      </c>
      <c r="K108" s="195"/>
      <c r="L108" s="196"/>
      <c r="M108" s="166" t="str">
        <f t="shared" si="10"/>
        <v/>
      </c>
      <c r="N108" s="174"/>
      <c r="O108" s="174"/>
      <c r="P108" s="166" t="str">
        <f t="shared" si="11"/>
        <v/>
      </c>
      <c r="Q108" s="213" t="str">
        <f t="shared" si="12"/>
        <v/>
      </c>
      <c r="R108" s="174"/>
      <c r="S108" s="174"/>
      <c r="T108" s="214"/>
      <c r="U108" s="215" t="str">
        <f t="shared" si="13"/>
        <v/>
      </c>
      <c r="V108" s="216"/>
      <c r="Y108" s="219" t="str">
        <f t="shared" si="14"/>
        <v/>
      </c>
    </row>
    <row r="109" spans="1:25">
      <c r="A109" s="165">
        <f t="shared" si="7"/>
        <v>99</v>
      </c>
      <c r="B109" s="175" t="str">
        <f>IF('G2 MT Reading Scoresheet'!B109&lt;&gt;"",'G2 MT Reading Scoresheet'!B109,"")</f>
        <v/>
      </c>
      <c r="C109" s="167" t="str">
        <f>IF('G2 MT Reading Scoresheet'!C109&lt;&gt;"",'G2 MT Reading Scoresheet'!C109,"")</f>
        <v/>
      </c>
      <c r="D109" s="168" t="str">
        <f>IF('G2 MT Reading Scoresheet'!D109&lt;&gt;"",'G2 MT Reading Scoresheet'!D109,"")</f>
        <v/>
      </c>
      <c r="E109" s="169" t="str">
        <f>IF('G2 MT Reading Scoresheet'!E109&lt;&gt;"",'G2 MT Reading Scoresheet'!E109,"")</f>
        <v/>
      </c>
      <c r="F109" s="170"/>
      <c r="G109" s="164"/>
      <c r="H109" s="173"/>
      <c r="I109" s="193" t="str">
        <f t="shared" si="8"/>
        <v/>
      </c>
      <c r="J109" s="194" t="str">
        <f t="shared" si="9"/>
        <v/>
      </c>
      <c r="K109" s="197"/>
      <c r="L109" s="198"/>
      <c r="M109" s="166" t="str">
        <f t="shared" si="10"/>
        <v/>
      </c>
      <c r="N109" s="173"/>
      <c r="O109" s="173"/>
      <c r="P109" s="166" t="str">
        <f t="shared" si="11"/>
        <v/>
      </c>
      <c r="Q109" s="213" t="str">
        <f t="shared" si="12"/>
        <v/>
      </c>
      <c r="R109" s="173"/>
      <c r="S109" s="173"/>
      <c r="T109" s="217"/>
      <c r="U109" s="215" t="str">
        <f t="shared" si="13"/>
        <v/>
      </c>
      <c r="V109" s="218"/>
      <c r="Y109" s="219" t="str">
        <f t="shared" si="14"/>
        <v/>
      </c>
    </row>
    <row r="110" spans="1:25">
      <c r="A110" s="220">
        <v>100</v>
      </c>
      <c r="B110" s="221" t="str">
        <f>IF('G2 MT Reading Scoresheet'!B110&lt;&gt;"",'G2 MT Reading Scoresheet'!B110,"")</f>
        <v/>
      </c>
      <c r="C110" s="222" t="str">
        <f>IF('G2 MT Reading Scoresheet'!C110&lt;&gt;"",'G2 MT Reading Scoresheet'!C110,"")</f>
        <v/>
      </c>
      <c r="D110" s="223" t="str">
        <f>IF('G2 MT Reading Scoresheet'!D110&lt;&gt;"",'G2 MT Reading Scoresheet'!D110,"")</f>
        <v/>
      </c>
      <c r="E110" s="224" t="str">
        <f>IF('G2 MT Reading Scoresheet'!E110&lt;&gt;"",'G2 MT Reading Scoresheet'!E110,"")</f>
        <v/>
      </c>
      <c r="F110" s="225"/>
      <c r="G110" s="226"/>
      <c r="H110" s="227"/>
      <c r="I110" s="228" t="str">
        <f t="shared" si="8"/>
        <v/>
      </c>
      <c r="J110" s="229" t="str">
        <f t="shared" si="9"/>
        <v/>
      </c>
      <c r="K110" s="230"/>
      <c r="L110" s="231"/>
      <c r="M110" s="232" t="str">
        <f t="shared" si="10"/>
        <v/>
      </c>
      <c r="N110" s="227"/>
      <c r="O110" s="227"/>
      <c r="P110" s="232" t="str">
        <f t="shared" si="11"/>
        <v/>
      </c>
      <c r="Q110" s="233" t="str">
        <f t="shared" si="12"/>
        <v/>
      </c>
      <c r="R110" s="227"/>
      <c r="S110" s="227"/>
      <c r="T110" s="234"/>
      <c r="U110" s="235" t="str">
        <f t="shared" si="13"/>
        <v/>
      </c>
      <c r="V110" s="236"/>
      <c r="Y110" s="219" t="str">
        <f t="shared" si="14"/>
        <v/>
      </c>
    </row>
    <row r="111" spans="1:25"/>
    <row r="112" spans="1:25"/>
    <row r="113"/>
    <row r="114"/>
    <row r="115"/>
  </sheetData>
  <sheetProtection algorithmName="SHA-512" hashValue="twdUbG/ZJDgQLI8EWTQQZHnRjdA3qaV8YhCwSROJ1DwHm6rk8LBQwGN0XjOEhX6H3ESt2KZWblSEpA+En3avmg==" saltValue="jYnEPkCrmYUSvgicQKn0vw==" spinCount="100000" sheet="1" objects="1" scenarios="1" formatColumns="0" formatRows="0" selectLockedCells="1" autoFilter="0"/>
  <autoFilter ref="B10:U110" xr:uid="{00000000-0009-0000-0000-000001000000}"/>
  <mergeCells count="26">
    <mergeCell ref="A3:B3"/>
    <mergeCell ref="A4:B4"/>
    <mergeCell ref="D4:E4"/>
    <mergeCell ref="G4:H4"/>
    <mergeCell ref="A5:B5"/>
    <mergeCell ref="A9:B9"/>
    <mergeCell ref="N10:O10"/>
    <mergeCell ref="F7:F9"/>
    <mergeCell ref="G7:G9"/>
    <mergeCell ref="H7:H9"/>
    <mergeCell ref="I7:I9"/>
    <mergeCell ref="J5:J9"/>
    <mergeCell ref="K8:K9"/>
    <mergeCell ref="L8:L9"/>
    <mergeCell ref="M8:M9"/>
    <mergeCell ref="F5:I6"/>
    <mergeCell ref="A6:B6"/>
    <mergeCell ref="A7:B7"/>
    <mergeCell ref="D7:E7"/>
    <mergeCell ref="N7:O7"/>
    <mergeCell ref="A8:B8"/>
    <mergeCell ref="P8:P9"/>
    <mergeCell ref="N8:O9"/>
    <mergeCell ref="K5:P6"/>
    <mergeCell ref="Q6:T9"/>
    <mergeCell ref="U6:V9"/>
  </mergeCells>
  <conditionalFormatting sqref="C5">
    <cfRule type="containsText" dxfId="22" priority="8" operator="containsText" text="[enter school school id here]">
      <formula>NOT(ISERROR(SEARCH("[enter school school id here]",C5)))</formula>
    </cfRule>
  </conditionalFormatting>
  <conditionalFormatting sqref="C6">
    <cfRule type="containsText" dxfId="21" priority="9" operator="containsText" text="[enter teacher name here]">
      <formula>NOT(ISERROR(SEARCH("[enter teacher name here]",C6)))</formula>
    </cfRule>
  </conditionalFormatting>
  <conditionalFormatting sqref="C9">
    <cfRule type="containsText" dxfId="20" priority="7" operator="containsText" text="[choose language here]">
      <formula>NOT(ISERROR(SEARCH("[choose language here]",C9)))</formula>
    </cfRule>
  </conditionalFormatting>
  <conditionalFormatting sqref="D9:E9">
    <cfRule type="expression" dxfId="19" priority="10">
      <formula>$X$9=1</formula>
    </cfRule>
  </conditionalFormatting>
  <conditionalFormatting sqref="G11:G110">
    <cfRule type="expression" dxfId="18" priority="14">
      <formula>$F11&gt;6</formula>
    </cfRule>
  </conditionalFormatting>
  <conditionalFormatting sqref="H11:H110">
    <cfRule type="expression" dxfId="17" priority="13">
      <formula>$F11&lt;7</formula>
    </cfRule>
  </conditionalFormatting>
  <conditionalFormatting sqref="I4">
    <cfRule type="cellIs" dxfId="16" priority="15" operator="notEqual">
      <formula>$F$4</formula>
    </cfRule>
    <cfRule type="cellIs" dxfId="15" priority="19" operator="lessThan">
      <formula>#REF!+#REF!</formula>
    </cfRule>
    <cfRule type="cellIs" dxfId="14" priority="20" operator="lessThan">
      <formula>#REF!+#REF!</formula>
    </cfRule>
  </conditionalFormatting>
  <conditionalFormatting sqref="J11:J110">
    <cfRule type="containsText" dxfId="13" priority="4" operator="containsText" text="Full">
      <formula>NOT(ISERROR(SEARCH("Full",J11)))</formula>
    </cfRule>
  </conditionalFormatting>
  <conditionalFormatting sqref="K11:T30 K31:K35 M31:T35 K36:T110">
    <cfRule type="expression" dxfId="12" priority="11">
      <formula>$J11="Full Refresher"</formula>
    </cfRule>
  </conditionalFormatting>
  <conditionalFormatting sqref="L31:L35">
    <cfRule type="expression" dxfId="11" priority="1">
      <formula>$J31="Full Refresher"</formula>
    </cfRule>
  </conditionalFormatting>
  <conditionalFormatting sqref="U11:U110">
    <cfRule type="containsText" dxfId="10" priority="2" operator="containsText" text="Grade Level">
      <formula>NOT(ISERROR(SEARCH("Grade Level",U11)))</formula>
    </cfRule>
    <cfRule type="containsText" dxfId="9" priority="3" operator="containsText" text="Emerging">
      <formula>NOT(ISERROR(SEARCH("Emerging",U11)))</formula>
    </cfRule>
    <cfRule type="expression" dxfId="8" priority="12">
      <formula>AND($J11="Grade Ready",#REF!="Full Intervention")</formula>
    </cfRule>
  </conditionalFormatting>
  <dataValidations count="20">
    <dataValidation type="whole" allowBlank="1" showInputMessage="1" showErrorMessage="1" error="Enter the 6-digit School ID" sqref="C4 A5" xr:uid="{00000000-0002-0000-0100-000000000000}">
      <formula1>100000</formula1>
      <formula2>999999</formula2>
    </dataValidation>
    <dataValidation allowBlank="1" showInputMessage="1" showErrorMessage="1" prompt="Choose Language here" sqref="G4 C9" xr:uid="{00000000-0002-0000-0100-000001000000}"/>
    <dataValidation allowBlank="1" showInputMessage="1" showErrorMessage="1" sqref="I4" xr:uid="{00000000-0002-0000-0100-000002000000}"/>
    <dataValidation type="textLength" operator="greaterThan" showInputMessage="1" showErrorMessage="1" error="Enter School Name" sqref="C5" xr:uid="{00000000-0002-0000-0100-000003000000}">
      <formula1>5</formula1>
    </dataValidation>
    <dataValidation type="whole" allowBlank="1" showInputMessage="1" showErrorMessage="1" sqref="D6:E6" xr:uid="{00000000-0002-0000-0100-000004000000}">
      <formula1>0</formula1>
      <formula2>100</formula2>
    </dataValidation>
    <dataValidation allowBlank="1" showInputMessage="1" showErrorMessage="1" error="Total Words per Story must be between 94 to 96" sqref="D9:E9" xr:uid="{00000000-0002-0000-0100-000005000000}"/>
    <dataValidation allowBlank="1" showInputMessage="1" showErrorMessage="1" error="Enter Level between 1 to 4" sqref="U11:V11 U12:U110" xr:uid="{00000000-0002-0000-0100-000006000000}"/>
    <dataValidation type="list" allowBlank="1" showInputMessage="1" showErrorMessage="1" sqref="D12:D110" xr:uid="{00000000-0002-0000-0100-000007000000}">
      <formula1>"Male, Female"</formula1>
    </dataValidation>
    <dataValidation type="date" errorStyle="warning" allowBlank="1" showInputMessage="1" showErrorMessage="1" error="Enter the Date of Assessment in Correct Format (mm/dd/yy)" sqref="E12:E110" xr:uid="{00000000-0002-0000-0100-000008000000}">
      <formula1>44197</formula1>
      <formula2>55153</formula2>
    </dataValidation>
    <dataValidation type="whole" allowBlank="1" showInputMessage="1" showErrorMessage="1" error="Enter Score between 0 to 10" sqref="F11:F110" xr:uid="{00000000-0002-0000-0100-000009000000}">
      <formula1>0</formula1>
      <formula2>10</formula2>
    </dataValidation>
    <dataValidation type="custom" allowBlank="1" showInputMessage="1" showErrorMessage="1" errorTitle="Error Message" error="Enter value less than equal to 10_x000a_If Task 1 score is greater than 6, Words should be left blank or empty." sqref="G11:G110" xr:uid="{00000000-0002-0000-0100-00000A000000}">
      <formula1>AND($F11&lt;7,$G11&lt;11)</formula1>
    </dataValidation>
    <dataValidation type="custom" allowBlank="1" showInputMessage="1" showErrorMessage="1" errorTitle="Error Message" error="Enter value less than or equal to 10_x000a_If Task 1 score is less than 7, Sentences should be left blank or empty." sqref="H11:H110" xr:uid="{00000000-0002-0000-0100-00000B000000}">
      <formula1>AND($F11&gt;6,$H11&lt;11)</formula1>
    </dataValidation>
    <dataValidation type="whole" allowBlank="1" showInputMessage="1" showErrorMessage="1" error="Story 1 or 2" sqref="K11:K110" xr:uid="{00000000-0002-0000-0100-00000C000000}">
      <formula1>1</formula1>
      <formula2>2</formula2>
    </dataValidation>
    <dataValidation type="whole" allowBlank="1" showInputMessage="1" showErrorMessage="1" error="Enter Number of Miscue" sqref="L11:L110" xr:uid="{00000000-0002-0000-0100-00000D000000}">
      <formula1>0</formula1>
      <formula2>96</formula2>
    </dataValidation>
    <dataValidation allowBlank="1" showInputMessage="1" showErrorMessage="1" errorTitle="Error Message" error="Total Number of Words must be less than or equal to 96" sqref="M11:M110" xr:uid="{00000000-0002-0000-0100-00000E000000}"/>
    <dataValidation type="whole" allowBlank="1" showInputMessage="1" showErrorMessage="1" errorTitle="Error Message" error="Must not exceed 2 minutes" sqref="N11:N110" xr:uid="{00000000-0002-0000-0100-00000F000000}">
      <formula1>0</formula1>
      <formula2>2</formula2>
    </dataValidation>
    <dataValidation type="whole" allowBlank="1" showInputMessage="1" showErrorMessage="1" errorTitle="Error Message" error="Number of seconds between 0 to 59" sqref="O11:O110" xr:uid="{00000000-0002-0000-0100-000010000000}">
      <formula1>0</formula1>
      <formula2>59</formula2>
    </dataValidation>
    <dataValidation type="whole" allowBlank="1" showInputMessage="1" showErrorMessage="1" error="Enter Answer between 0 to 6" sqref="R11:R110" xr:uid="{00000000-0002-0000-0100-000011000000}">
      <formula1>0</formula1>
      <formula2>6</formula2>
    </dataValidation>
    <dataValidation type="whole" allowBlank="1" showInputMessage="1" showErrorMessage="1" error="Enter Leaner Experience from 1 - 5" sqref="S11:S110" xr:uid="{00000000-0002-0000-0100-000012000000}">
      <formula1>1</formula1>
      <formula2>5</formula2>
    </dataValidation>
    <dataValidation type="list" allowBlank="1" showInputMessage="1" showErrorMessage="1" error="Enter Level between 1 to 4" sqref="T11:T110" xr:uid="{00000000-0002-0000-0100-000013000000}">
      <formula1>"Level 1, Level 2, Level 3, Level 4"</formula1>
    </dataValidation>
  </dataValidations>
  <pageMargins left="0.25" right="0.25" top="1.1299999999999999" bottom="3.69" header="0.3" footer="0.3"/>
  <pageSetup paperSize="10000" scale="57"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R108"/>
  <sheetViews>
    <sheetView zoomScale="50" workbookViewId="0">
      <pane xSplit="3" ySplit="8" topLeftCell="D9" activePane="bottomRight" state="frozen"/>
      <selection pane="bottomRight" activeCell="C1" sqref="C1"/>
      <selection pane="bottomLeft"/>
      <selection pane="topRight"/>
    </sheetView>
  </sheetViews>
  <sheetFormatPr defaultColWidth="8.875" defaultRowHeight="14.45"/>
  <cols>
    <col min="1" max="1" width="5.5" customWidth="1"/>
    <col min="2" max="2" width="14.875" customWidth="1"/>
    <col min="3" max="3" width="30.875" customWidth="1"/>
    <col min="4" max="4" width="10.125" style="1" customWidth="1"/>
    <col min="5" max="5" width="20.125" style="99" customWidth="1"/>
    <col min="6" max="6" width="10" style="99" customWidth="1"/>
    <col min="7" max="7" width="9.5" style="99" customWidth="1"/>
    <col min="8" max="8" width="13.5" style="99" customWidth="1"/>
    <col min="9" max="9" width="9.5" style="99" customWidth="1"/>
    <col min="10" max="10" width="25.875" style="1" customWidth="1"/>
    <col min="11" max="11" width="19" style="99" customWidth="1"/>
    <col min="12" max="12" width="9.125" style="99" customWidth="1"/>
    <col min="13" max="13" width="8.875" style="99" customWidth="1"/>
    <col min="14" max="14" width="14.5" style="99" customWidth="1"/>
    <col min="15" max="15" width="8.375" style="99" customWidth="1"/>
    <col min="16" max="16" width="25.875" style="1" customWidth="1"/>
    <col min="17" max="17" width="40.375" style="1" customWidth="1"/>
    <col min="18" max="18" width="5.125" customWidth="1"/>
    <col min="19" max="22" width="8.875" customWidth="1"/>
    <col min="23" max="24" width="13.625" customWidth="1"/>
    <col min="25" max="25" width="8.875" customWidth="1"/>
    <col min="26" max="29" width="13.625" customWidth="1"/>
  </cols>
  <sheetData>
    <row r="1" spans="1:18">
      <c r="A1" t="s">
        <v>78</v>
      </c>
    </row>
    <row r="2" spans="1:18" ht="18" customHeight="1"/>
    <row r="4" spans="1:18" ht="26.1" customHeight="1"/>
    <row r="5" spans="1:18" s="98" customFormat="1" ht="17.45" customHeight="1">
      <c r="A5" s="332" t="s">
        <v>79</v>
      </c>
      <c r="B5" s="333"/>
      <c r="C5" s="334" t="str">
        <f>'G2 MT Reading Scoresheet'!$C$5</f>
        <v>ROMANA ELEMETARY SCHOOL</v>
      </c>
      <c r="D5" s="334"/>
      <c r="E5" s="335" t="s">
        <v>80</v>
      </c>
      <c r="F5" s="335"/>
      <c r="G5" s="335"/>
      <c r="H5" s="335"/>
      <c r="I5" s="335"/>
      <c r="J5" s="335"/>
      <c r="K5" s="335"/>
      <c r="L5" s="335"/>
      <c r="M5" s="335"/>
      <c r="N5" s="335"/>
      <c r="O5" s="335"/>
      <c r="P5" s="335"/>
      <c r="Q5" s="336"/>
    </row>
    <row r="6" spans="1:18" s="98" customFormat="1" ht="18" customHeight="1">
      <c r="A6" s="327" t="s">
        <v>13</v>
      </c>
      <c r="B6" s="328"/>
      <c r="C6" s="329" t="str">
        <f>'G2 MT Reading Scoresheet'!C6</f>
        <v>MARICAR F. JOAQUIN</v>
      </c>
      <c r="D6" s="329"/>
      <c r="E6" s="337" t="str">
        <f>CONCATENATE("MOTHER TONGUE","(",'G2 MT Reading Scoresheet'!C9,")")</f>
        <v>MOTHER TONGUE(Hiligaynon)</v>
      </c>
      <c r="F6" s="337"/>
      <c r="G6" s="337"/>
      <c r="H6" s="337"/>
      <c r="I6" s="337"/>
      <c r="J6" s="337"/>
      <c r="K6" s="338" t="s">
        <v>81</v>
      </c>
      <c r="L6" s="338"/>
      <c r="M6" s="338"/>
      <c r="N6" s="338"/>
      <c r="O6" s="338"/>
      <c r="P6" s="338"/>
      <c r="Q6" s="326" t="s">
        <v>53</v>
      </c>
    </row>
    <row r="7" spans="1:18" s="98" customFormat="1" ht="18" customHeight="1">
      <c r="A7" s="327" t="s">
        <v>15</v>
      </c>
      <c r="B7" s="328"/>
      <c r="C7" s="329" t="s">
        <v>82</v>
      </c>
      <c r="D7" s="329"/>
      <c r="E7" s="330" t="s">
        <v>83</v>
      </c>
      <c r="F7" s="330"/>
      <c r="G7" s="330" t="s">
        <v>84</v>
      </c>
      <c r="H7" s="330"/>
      <c r="I7" s="330"/>
      <c r="J7" s="325" t="s">
        <v>52</v>
      </c>
      <c r="K7" s="331" t="s">
        <v>83</v>
      </c>
      <c r="L7" s="331"/>
      <c r="M7" s="322" t="s">
        <v>84</v>
      </c>
      <c r="N7" s="323"/>
      <c r="O7" s="324"/>
      <c r="P7" s="117"/>
      <c r="Q7" s="326"/>
    </row>
    <row r="8" spans="1:18" s="98" customFormat="1" ht="34.35" customHeight="1">
      <c r="A8" s="101" t="s">
        <v>33</v>
      </c>
      <c r="B8" s="102" t="s">
        <v>34</v>
      </c>
      <c r="C8" s="103" t="s">
        <v>35</v>
      </c>
      <c r="D8" s="104" t="s">
        <v>36</v>
      </c>
      <c r="E8" s="100" t="s">
        <v>85</v>
      </c>
      <c r="F8" s="100" t="s">
        <v>86</v>
      </c>
      <c r="G8" s="100" t="s">
        <v>87</v>
      </c>
      <c r="H8" s="105" t="s">
        <v>88</v>
      </c>
      <c r="I8" s="105" t="s">
        <v>89</v>
      </c>
      <c r="J8" s="325"/>
      <c r="K8" s="116" t="s">
        <v>85</v>
      </c>
      <c r="L8" s="118" t="s">
        <v>86</v>
      </c>
      <c r="M8" s="118" t="s">
        <v>87</v>
      </c>
      <c r="N8" s="118" t="s">
        <v>88</v>
      </c>
      <c r="O8" s="118" t="s">
        <v>89</v>
      </c>
      <c r="P8" s="119" t="s">
        <v>52</v>
      </c>
      <c r="Q8" s="326"/>
    </row>
    <row r="9" spans="1:18">
      <c r="A9" s="106">
        <v>1</v>
      </c>
      <c r="B9" s="107" t="str">
        <f>IF('G2 MT Reading Scoresheet'!B11&lt;&gt;"",'G2 MT Reading Scoresheet'!B11,"")</f>
        <v/>
      </c>
      <c r="C9" s="108" t="str">
        <f>IF('G2 MT Reading Scoresheet'!C11&lt;&gt;"",'G2 MT Reading Scoresheet'!C11,"")</f>
        <v>BARGASA, REY JOHN V.</v>
      </c>
      <c r="D9" s="109" t="str">
        <f>IF('G2 MT Reading Scoresheet'!D11&lt;&gt;"",'G2 MT Reading Scoresheet'!D11,"")</f>
        <v>Male</v>
      </c>
      <c r="E9" s="110" t="str">
        <f>'G2 MT Reading Scoresheet'!$J11</f>
        <v>Moderate Refresher</v>
      </c>
      <c r="F9" s="111">
        <f>IF(C9&lt;&gt;"",'G2 MT Reading Scoresheet'!$I11/30,"")</f>
        <v>0.4</v>
      </c>
      <c r="G9" s="111">
        <f>IF(AND($C9&lt;&gt;"",$E9&lt;&gt;"Full Refresher"),'G2 MT Reading Scoresheet'!$Q11,"")</f>
        <v>9.375E-2</v>
      </c>
      <c r="H9" s="111">
        <f>IF(AND(C9&lt;&gt;"",E9&lt;&gt;"Full Refresher"),'G2 MT Reading Scoresheet'!$R11/6,"")</f>
        <v>0</v>
      </c>
      <c r="I9" s="110">
        <f>IF(AND(C9&lt;&gt;"",F9&lt;&gt;"Full Refresher"),'G2 MT Reading Scoresheet'!$P11,"")</f>
        <v>4.5</v>
      </c>
      <c r="J9" s="120" t="str">
        <f>'G2 MT Reading Scoresheet'!$U11</f>
        <v>High Emerging Reader</v>
      </c>
      <c r="K9" s="121" t="str">
        <f>'G2 FIL Reading Scoresheet'!$J11</f>
        <v>Full Refresher</v>
      </c>
      <c r="L9" s="122">
        <f>IF($C9&lt;&gt;"",'G2 FIL Reading Scoresheet'!$I11/30,"")</f>
        <v>0.23333333333333334</v>
      </c>
      <c r="M9" s="122" t="str">
        <f>IF(AND($C9&lt;&gt;"",$K9&lt;&gt;"Full Refresher"),'G2 FIL Reading Scoresheet'!$Q11,"")</f>
        <v/>
      </c>
      <c r="N9" s="122" t="str">
        <f>IF(AND($C9&lt;&gt;"",K9&lt;&gt;"Full Refresher"),'G2 FIL Reading Scoresheet'!$R11/6,"")</f>
        <v/>
      </c>
      <c r="O9" s="121" t="str">
        <f>IF(AND(C9&lt;&gt;"",K9&lt;&gt;"Full Refresher"),'G2 FIL Reading Scoresheet'!$P11,"")</f>
        <v/>
      </c>
      <c r="P9" s="123" t="str">
        <f>'G2 FIL Reading Scoresheet'!$U11</f>
        <v>Low Emerging Reader</v>
      </c>
      <c r="Q9" s="126" t="str">
        <f>CONCATENATE(IF(ISBLANK('G2 MT Reading Scoresheet'!V11),"",CONCATENATE("MT:",TRIM('G2 MT Reading Scoresheet'!V11)))," ",IF(ISBLANK('G2 FIL Reading Scoresheet'!V11),"",CONCATENATE("FIL:",TRIM('G2 FIL Reading Scoresheet'!V11))))</f>
        <v/>
      </c>
      <c r="R9" t="s">
        <v>78</v>
      </c>
    </row>
    <row r="10" spans="1:18" ht="13.7" customHeight="1">
      <c r="A10" s="112">
        <v>2</v>
      </c>
      <c r="B10" s="113" t="str">
        <f>IF('G2 MT Reading Scoresheet'!B12&lt;&gt;"",'G2 MT Reading Scoresheet'!B12,"")</f>
        <v/>
      </c>
      <c r="C10" s="114" t="str">
        <f>IF('G2 MT Reading Scoresheet'!C12&lt;&gt;"",'G2 MT Reading Scoresheet'!C12,"")</f>
        <v xml:space="preserve">BESANES, ZANDER G. </v>
      </c>
      <c r="D10" s="115" t="str">
        <f>IF('G2 MT Reading Scoresheet'!D12&lt;&gt;"",'G2 MT Reading Scoresheet'!D12,"")</f>
        <v>Male</v>
      </c>
      <c r="E10" s="110" t="str">
        <f>'G2 MT Reading Scoresheet'!$J12</f>
        <v>Full Refresher</v>
      </c>
      <c r="F10" s="111">
        <f>IF(C10&lt;&gt;"",'G2 MT Reading Scoresheet'!$I12/30,"")</f>
        <v>0.1</v>
      </c>
      <c r="G10" s="111" t="str">
        <f>IF(AND($C10&lt;&gt;"",$E10&lt;&gt;"Full Refresher"),'G2 MT Reading Scoresheet'!$Q12,"")</f>
        <v/>
      </c>
      <c r="H10" s="111" t="str">
        <f>IF(AND(C10&lt;&gt;"",E10&lt;&gt;"Full Refresher"),'G2 MT Reading Scoresheet'!$R12/6,"")</f>
        <v/>
      </c>
      <c r="I10" s="110" t="str">
        <f>IF(AND(D10&lt;&gt;"",F10&lt;&gt;"Full Refresher"),'G2 MT Reading Scoresheet'!$P12,"")</f>
        <v/>
      </c>
      <c r="J10" s="124" t="str">
        <f>'G2 MT Reading Scoresheet'!$U12</f>
        <v>Low Emerging Reader</v>
      </c>
      <c r="K10" s="121" t="str">
        <f>'G2 FIL Reading Scoresheet'!$J12</f>
        <v>Full Refresher</v>
      </c>
      <c r="L10" s="122">
        <f>IF($C10&lt;&gt;"",'G2 FIL Reading Scoresheet'!$I12/30,"")</f>
        <v>0.13333333333333333</v>
      </c>
      <c r="M10" s="122" t="str">
        <f>IF(AND($C10&lt;&gt;"",$K10&lt;&gt;"Full Refresher"),'G2 FIL Reading Scoresheet'!$Q12,"")</f>
        <v/>
      </c>
      <c r="N10" s="122" t="str">
        <f>IF(AND($C10&lt;&gt;"",K10&lt;&gt;"Full Refresher"),'G2 FIL Reading Scoresheet'!$R12/6,"")</f>
        <v/>
      </c>
      <c r="O10" s="121" t="str">
        <f>IF(AND(C10&lt;&gt;"",K10&lt;&gt;"Full Refresher"),'G2 FIL Reading Scoresheet'!$P12,"")</f>
        <v/>
      </c>
      <c r="P10" s="125" t="str">
        <f>'G2 FIL Reading Scoresheet'!$U12</f>
        <v>Low Emerging Reader</v>
      </c>
      <c r="Q10" s="127" t="str">
        <f>CONCATENATE(IF(ISBLANK('G2 MT Reading Scoresheet'!V12),"",CONCATENATE("MT:",TRIM('G2 MT Reading Scoresheet'!V12)))," ",IF(ISBLANK('G2 FIL Reading Scoresheet'!V12),"",CONCATENATE("FIL:",TRIM('G2 FIL Reading Scoresheet'!V12))))</f>
        <v/>
      </c>
    </row>
    <row r="11" spans="1:18">
      <c r="A11" s="106">
        <v>3</v>
      </c>
      <c r="B11" s="107" t="str">
        <f>IF('G2 MT Reading Scoresheet'!B13&lt;&gt;"",'G2 MT Reading Scoresheet'!B13,"")</f>
        <v/>
      </c>
      <c r="C11" s="108" t="str">
        <f>IF('G2 MT Reading Scoresheet'!C13&lt;&gt;"",'G2 MT Reading Scoresheet'!C13,"")</f>
        <v xml:space="preserve">BERIZAL, KENT ANGELO C. </v>
      </c>
      <c r="D11" s="109" t="str">
        <f>IF('G2 MT Reading Scoresheet'!D13&lt;&gt;"",'G2 MT Reading Scoresheet'!D13,"")</f>
        <v>Male</v>
      </c>
      <c r="E11" s="110" t="str">
        <f>'G2 MT Reading Scoresheet'!$J13</f>
        <v>Full Refresher</v>
      </c>
      <c r="F11" s="111">
        <f>IF(C11&lt;&gt;"",'G2 MT Reading Scoresheet'!$I13/30,"")</f>
        <v>0.33333333333333331</v>
      </c>
      <c r="G11" s="111" t="str">
        <f>IF(AND($C11&lt;&gt;"",$E11&lt;&gt;"Full Refresher"),'G2 MT Reading Scoresheet'!$Q13,"")</f>
        <v/>
      </c>
      <c r="H11" s="111" t="str">
        <f>IF(AND(C11&lt;&gt;"",E11&lt;&gt;"Full Refresher"),'G2 MT Reading Scoresheet'!$R13/6,"")</f>
        <v/>
      </c>
      <c r="I11" s="110" t="str">
        <f>IF(AND(D11&lt;&gt;"",F11&lt;&gt;"Full Refresher"),'G2 MT Reading Scoresheet'!$P13,"")</f>
        <v/>
      </c>
      <c r="J11" s="124" t="str">
        <f>'G2 MT Reading Scoresheet'!$U13</f>
        <v>Low Emerging Reader</v>
      </c>
      <c r="K11" s="121" t="str">
        <f>'G2 FIL Reading Scoresheet'!$J13</f>
        <v>Light Refresher</v>
      </c>
      <c r="L11" s="122">
        <f>IF($C11&lt;&gt;"",'G2 FIL Reading Scoresheet'!$I13/30,"")</f>
        <v>0.66666666666666663</v>
      </c>
      <c r="M11" s="122">
        <f>IF(AND($C11&lt;&gt;"",$K11&lt;&gt;"Full Refresher"),'G2 FIL Reading Scoresheet'!$Q13,"")</f>
        <v>5.2083333333333336E-2</v>
      </c>
      <c r="N11" s="122">
        <f>IF(AND($C11&lt;&gt;"",K11&lt;&gt;"Full Refresher"),'G2 FIL Reading Scoresheet'!$R13/6,"")</f>
        <v>0</v>
      </c>
      <c r="O11" s="121">
        <f>IF(AND(C11&lt;&gt;"",K11&lt;&gt;"Full Refresher"),'G2 FIL Reading Scoresheet'!$P13,"")</f>
        <v>2.5</v>
      </c>
      <c r="P11" s="125" t="str">
        <f>'G2 FIL Reading Scoresheet'!$U13</f>
        <v>High Emerging Reader</v>
      </c>
      <c r="Q11" s="126" t="str">
        <f>CONCATENATE(IF(ISBLANK('G2 MT Reading Scoresheet'!V13),"",CONCATENATE("MT:",TRIM('G2 MT Reading Scoresheet'!V13)))," ",IF(ISBLANK('G2 FIL Reading Scoresheet'!V13),"",CONCATENATE("FIL:",TRIM('G2 FIL Reading Scoresheet'!V13))))</f>
        <v/>
      </c>
    </row>
    <row r="12" spans="1:18">
      <c r="A12" s="112">
        <v>4</v>
      </c>
      <c r="B12" s="113" t="str">
        <f>IF('G2 MT Reading Scoresheet'!B14&lt;&gt;"",'G2 MT Reading Scoresheet'!B14,"")</f>
        <v/>
      </c>
      <c r="C12" s="114" t="str">
        <f>IF('G2 MT Reading Scoresheet'!C14&lt;&gt;"",'G2 MT Reading Scoresheet'!C14,"")</f>
        <v xml:space="preserve">DARAS, REYNASH R. </v>
      </c>
      <c r="D12" s="115" t="str">
        <f>IF('G2 MT Reading Scoresheet'!D14&lt;&gt;"",'G2 MT Reading Scoresheet'!D14,"")</f>
        <v>Male</v>
      </c>
      <c r="E12" s="110" t="str">
        <f>'G2 MT Reading Scoresheet'!$J14</f>
        <v>Grade Ready</v>
      </c>
      <c r="F12" s="111">
        <f>IF(C12&lt;&gt;"",'G2 MT Reading Scoresheet'!$I14/30,"")</f>
        <v>0.9</v>
      </c>
      <c r="G12" s="111">
        <f>IF(AND($C12&lt;&gt;"",$E12&lt;&gt;"Full Refresher"),'G2 MT Reading Scoresheet'!$Q14,"")</f>
        <v>0.23404255319148937</v>
      </c>
      <c r="H12" s="111">
        <f>IF(AND(C12&lt;&gt;"",E12&lt;&gt;"Full Refresher"),'G2 MT Reading Scoresheet'!$R14/6,"")</f>
        <v>0</v>
      </c>
      <c r="I12" s="110">
        <f>IF(AND(D12&lt;&gt;"",F12&lt;&gt;"Full Refresher"),'G2 MT Reading Scoresheet'!$P14,"")</f>
        <v>11</v>
      </c>
      <c r="J12" s="124" t="str">
        <f>'G2 MT Reading Scoresheet'!$U14</f>
        <v>High Emerging Reader</v>
      </c>
      <c r="K12" s="121" t="str">
        <f>'G2 FIL Reading Scoresheet'!$J14</f>
        <v>Grade Ready</v>
      </c>
      <c r="L12" s="122">
        <f>IF($C12&lt;&gt;"",'G2 FIL Reading Scoresheet'!$I14/30,"")</f>
        <v>0.93333333333333335</v>
      </c>
      <c r="M12" s="122">
        <f>IF(AND($C12&lt;&gt;"",$K12&lt;&gt;"Full Refresher"),'G2 FIL Reading Scoresheet'!$Q14,"")</f>
        <v>0.125</v>
      </c>
      <c r="N12" s="122">
        <f>IF(AND($C12&lt;&gt;"",K12&lt;&gt;"Full Refresher"),'G2 FIL Reading Scoresheet'!$R14/6,"")</f>
        <v>0.33333333333333331</v>
      </c>
      <c r="O12" s="121">
        <f>IF(AND(C12&lt;&gt;"",K12&lt;&gt;"Full Refresher"),'G2 FIL Reading Scoresheet'!$P14,"")</f>
        <v>6</v>
      </c>
      <c r="P12" s="125" t="str">
        <f>'G2 FIL Reading Scoresheet'!$U14</f>
        <v>High Emerging Reader</v>
      </c>
      <c r="Q12" s="127" t="str">
        <f>CONCATENATE(IF(ISBLANK('G2 MT Reading Scoresheet'!V14),"",CONCATENATE("MT:",TRIM('G2 MT Reading Scoresheet'!V14)))," ",IF(ISBLANK('G2 FIL Reading Scoresheet'!V14),"",CONCATENATE("FIL:",TRIM('G2 FIL Reading Scoresheet'!V14))))</f>
        <v/>
      </c>
    </row>
    <row r="13" spans="1:18">
      <c r="A13" s="106">
        <v>5</v>
      </c>
      <c r="B13" s="107" t="str">
        <f>IF('G2 MT Reading Scoresheet'!B15&lt;&gt;"",'G2 MT Reading Scoresheet'!B15,"")</f>
        <v/>
      </c>
      <c r="C13" s="108" t="str">
        <f>IF('G2 MT Reading Scoresheet'!C15&lt;&gt;"",'G2 MT Reading Scoresheet'!C15,"")</f>
        <v>ORTILANO, KLENT Y.</v>
      </c>
      <c r="D13" s="109" t="str">
        <f>IF('G2 MT Reading Scoresheet'!D15&lt;&gt;"",'G2 MT Reading Scoresheet'!D15,"")</f>
        <v>Male</v>
      </c>
      <c r="E13" s="110" t="str">
        <f>'G2 MT Reading Scoresheet'!$J15</f>
        <v>Light Refresher</v>
      </c>
      <c r="F13" s="111">
        <f>IF(C13&lt;&gt;"",'G2 MT Reading Scoresheet'!$I15/30,"")</f>
        <v>0.8</v>
      </c>
      <c r="G13" s="111">
        <f>IF(AND($C13&lt;&gt;"",$E13&lt;&gt;"Full Refresher"),'G2 MT Reading Scoresheet'!$Q15,"")</f>
        <v>0.45744680851063829</v>
      </c>
      <c r="H13" s="111">
        <f>IF(AND(C13&lt;&gt;"",E13&lt;&gt;"Full Refresher"),'G2 MT Reading Scoresheet'!$R15/6,"")</f>
        <v>0.33333333333333331</v>
      </c>
      <c r="I13" s="110">
        <f>IF(AND(D13&lt;&gt;"",F13&lt;&gt;"Full Refresher"),'G2 MT Reading Scoresheet'!$P15,"")</f>
        <v>21.5</v>
      </c>
      <c r="J13" s="124" t="str">
        <f>'G2 MT Reading Scoresheet'!$U15</f>
        <v>Developing Reader</v>
      </c>
      <c r="K13" s="121" t="str">
        <f>'G2 FIL Reading Scoresheet'!$J15</f>
        <v>Grade Ready</v>
      </c>
      <c r="L13" s="122">
        <f>IF($C13&lt;&gt;"",'G2 FIL Reading Scoresheet'!$I15/30,"")</f>
        <v>0.9</v>
      </c>
      <c r="M13" s="122">
        <f>IF(AND($C13&lt;&gt;"",$K13&lt;&gt;"Full Refresher"),'G2 FIL Reading Scoresheet'!$Q15,"")</f>
        <v>0.3473684210526316</v>
      </c>
      <c r="N13" s="122">
        <f>IF(AND($C13&lt;&gt;"",K13&lt;&gt;"Full Refresher"),'G2 FIL Reading Scoresheet'!$R15/6,"")</f>
        <v>0.16666666666666666</v>
      </c>
      <c r="O13" s="121">
        <f>IF(AND(C13&lt;&gt;"",K13&lt;&gt;"Full Refresher"),'G2 FIL Reading Scoresheet'!$P15,"")</f>
        <v>16.5</v>
      </c>
      <c r="P13" s="125" t="str">
        <f>'G2 FIL Reading Scoresheet'!$U15</f>
        <v>Developing Reader</v>
      </c>
      <c r="Q13" s="126" t="str">
        <f>CONCATENATE(IF(ISBLANK('G2 MT Reading Scoresheet'!V15),"",CONCATENATE("MT:",TRIM('G2 MT Reading Scoresheet'!V15)))," ",IF(ISBLANK('G2 FIL Reading Scoresheet'!V15),"",CONCATENATE("FIL:",TRIM('G2 FIL Reading Scoresheet'!V15))))</f>
        <v/>
      </c>
    </row>
    <row r="14" spans="1:18">
      <c r="A14" s="112">
        <v>6</v>
      </c>
      <c r="B14" s="113" t="str">
        <f>IF('G2 MT Reading Scoresheet'!B16&lt;&gt;"",'G2 MT Reading Scoresheet'!B16,"")</f>
        <v/>
      </c>
      <c r="C14" s="114" t="str">
        <f>IF('G2 MT Reading Scoresheet'!C16&lt;&gt;"",'G2 MT Reading Scoresheet'!C16,"")</f>
        <v>PATRICIO, SEAN E.</v>
      </c>
      <c r="D14" s="115" t="str">
        <f>IF('G2 MT Reading Scoresheet'!D16&lt;&gt;"",'G2 MT Reading Scoresheet'!D16,"")</f>
        <v>Male</v>
      </c>
      <c r="E14" s="110" t="str">
        <f>'G2 MT Reading Scoresheet'!$J16</f>
        <v>Full Refresher</v>
      </c>
      <c r="F14" s="111">
        <f>IF(C14&lt;&gt;"",'G2 MT Reading Scoresheet'!$I16/30,"")</f>
        <v>0.1</v>
      </c>
      <c r="G14" s="111" t="str">
        <f>IF(AND($C14&lt;&gt;"",$E14&lt;&gt;"Full Refresher"),'G2 MT Reading Scoresheet'!$Q16,"")</f>
        <v/>
      </c>
      <c r="H14" s="111" t="str">
        <f>IF(AND(C14&lt;&gt;"",E14&lt;&gt;"Full Refresher"),'G2 MT Reading Scoresheet'!$R16/6,"")</f>
        <v/>
      </c>
      <c r="I14" s="110" t="str">
        <f>IF(AND(D14&lt;&gt;"",F14&lt;&gt;"Full Refresher"),'G2 MT Reading Scoresheet'!$P16,"")</f>
        <v/>
      </c>
      <c r="J14" s="124" t="str">
        <f>'G2 MT Reading Scoresheet'!$U16</f>
        <v>Low Emerging Reader</v>
      </c>
      <c r="K14" s="121" t="str">
        <f>'G2 FIL Reading Scoresheet'!$J16</f>
        <v>Full Refresher</v>
      </c>
      <c r="L14" s="122">
        <f>IF($C14&lt;&gt;"",'G2 FIL Reading Scoresheet'!$I16/30,"")</f>
        <v>0.1</v>
      </c>
      <c r="M14" s="122" t="str">
        <f>IF(AND($C14&lt;&gt;"",$K14&lt;&gt;"Full Refresher"),'G2 FIL Reading Scoresheet'!$Q16,"")</f>
        <v/>
      </c>
      <c r="N14" s="122" t="str">
        <f>IF(AND($C14&lt;&gt;"",K14&lt;&gt;"Full Refresher"),'G2 FIL Reading Scoresheet'!$R16/6,"")</f>
        <v/>
      </c>
      <c r="O14" s="121" t="str">
        <f>IF(AND(C14&lt;&gt;"",K14&lt;&gt;"Full Refresher"),'G2 FIL Reading Scoresheet'!$P16,"")</f>
        <v/>
      </c>
      <c r="P14" s="125" t="str">
        <f>'G2 FIL Reading Scoresheet'!$U16</f>
        <v>Low Emerging Reader</v>
      </c>
      <c r="Q14" s="127" t="str">
        <f>CONCATENATE(IF(ISBLANK('G2 MT Reading Scoresheet'!V16),"",CONCATENATE("MT:",TRIM('G2 MT Reading Scoresheet'!V16)))," ",IF(ISBLANK('G2 FIL Reading Scoresheet'!V16),"",CONCATENATE("FIL:",TRIM('G2 FIL Reading Scoresheet'!V16))))</f>
        <v/>
      </c>
    </row>
    <row r="15" spans="1:18">
      <c r="A15" s="106">
        <v>7</v>
      </c>
      <c r="B15" s="107" t="str">
        <f>IF('G2 MT Reading Scoresheet'!B17&lt;&gt;"",'G2 MT Reading Scoresheet'!B17,"")</f>
        <v/>
      </c>
      <c r="C15" s="108" t="str">
        <f>IF('G2 MT Reading Scoresheet'!C17&lt;&gt;"",'G2 MT Reading Scoresheet'!C17,"")</f>
        <v>ZONITA, NELJOHN E.</v>
      </c>
      <c r="D15" s="109" t="str">
        <f>IF('G2 MT Reading Scoresheet'!D17&lt;&gt;"",'G2 MT Reading Scoresheet'!D17,"")</f>
        <v>Male</v>
      </c>
      <c r="E15" s="110" t="str">
        <f>'G2 MT Reading Scoresheet'!$J17</f>
        <v>Full Refresher</v>
      </c>
      <c r="F15" s="111">
        <f>IF(C15&lt;&gt;"",'G2 MT Reading Scoresheet'!$I17/30,"")</f>
        <v>3.3333333333333333E-2</v>
      </c>
      <c r="G15" s="111" t="str">
        <f>IF(AND($C15&lt;&gt;"",$E15&lt;&gt;"Full Refresher"),'G2 MT Reading Scoresheet'!$Q17,"")</f>
        <v/>
      </c>
      <c r="H15" s="111" t="str">
        <f>IF(AND(C15&lt;&gt;"",E15&lt;&gt;"Full Refresher"),'G2 MT Reading Scoresheet'!$R17/6,"")</f>
        <v/>
      </c>
      <c r="I15" s="110" t="str">
        <f>IF(AND(D15&lt;&gt;"",F15&lt;&gt;"Full Refresher"),'G2 MT Reading Scoresheet'!$P17,"")</f>
        <v/>
      </c>
      <c r="J15" s="124" t="str">
        <f>'G2 MT Reading Scoresheet'!$U17</f>
        <v>Low Emerging Reader</v>
      </c>
      <c r="K15" s="121" t="str">
        <f>'G2 FIL Reading Scoresheet'!$J17</f>
        <v>Full Refresher</v>
      </c>
      <c r="L15" s="122">
        <f>IF($C15&lt;&gt;"",'G2 FIL Reading Scoresheet'!$I17/30,"")</f>
        <v>3.3333333333333333E-2</v>
      </c>
      <c r="M15" s="122" t="str">
        <f>IF(AND($C15&lt;&gt;"",$K15&lt;&gt;"Full Refresher"),'G2 FIL Reading Scoresheet'!$Q17,"")</f>
        <v/>
      </c>
      <c r="N15" s="122" t="str">
        <f>IF(AND($C15&lt;&gt;"",K15&lt;&gt;"Full Refresher"),'G2 FIL Reading Scoresheet'!$R17/6,"")</f>
        <v/>
      </c>
      <c r="O15" s="121" t="str">
        <f>IF(AND(C15&lt;&gt;"",K15&lt;&gt;"Full Refresher"),'G2 FIL Reading Scoresheet'!$P17,"")</f>
        <v/>
      </c>
      <c r="P15" s="125" t="str">
        <f>'G2 FIL Reading Scoresheet'!$U17</f>
        <v>Low Emerging Reader</v>
      </c>
      <c r="Q15" s="126" t="str">
        <f>CONCATENATE(IF(ISBLANK('G2 MT Reading Scoresheet'!V17),"",CONCATENATE("MT:",TRIM('G2 MT Reading Scoresheet'!V17)))," ",IF(ISBLANK('G2 FIL Reading Scoresheet'!V17),"",CONCATENATE("FIL:",TRIM('G2 FIL Reading Scoresheet'!V17))))</f>
        <v/>
      </c>
    </row>
    <row r="16" spans="1:18">
      <c r="A16" s="112">
        <v>8</v>
      </c>
      <c r="B16" s="113" t="str">
        <f>IF('G2 MT Reading Scoresheet'!B18&lt;&gt;"",'G2 MT Reading Scoresheet'!B18,"")</f>
        <v/>
      </c>
      <c r="C16" s="114" t="str">
        <f>IF('G2 MT Reading Scoresheet'!C18&lt;&gt;"",'G2 MT Reading Scoresheet'!C18,"")</f>
        <v>ANTONIO, JELAISA JEAN P.</v>
      </c>
      <c r="D16" s="115" t="str">
        <f>IF('G2 MT Reading Scoresheet'!D18&lt;&gt;"",'G2 MT Reading Scoresheet'!D18,"")</f>
        <v>Female</v>
      </c>
      <c r="E16" s="110" t="str">
        <f>'G2 MT Reading Scoresheet'!$J18</f>
        <v>Full Refresher</v>
      </c>
      <c r="F16" s="111">
        <f>IF(C16&lt;&gt;"",'G2 MT Reading Scoresheet'!$I18/30,"")</f>
        <v>0.13333333333333333</v>
      </c>
      <c r="G16" s="111" t="str">
        <f>IF(AND($C16&lt;&gt;"",$E16&lt;&gt;"Full Refresher"),'G2 MT Reading Scoresheet'!$Q18,"")</f>
        <v/>
      </c>
      <c r="H16" s="111" t="str">
        <f>IF(AND(C16&lt;&gt;"",E16&lt;&gt;"Full Refresher"),'G2 MT Reading Scoresheet'!$R18/6,"")</f>
        <v/>
      </c>
      <c r="I16" s="110" t="str">
        <f>IF(AND(D16&lt;&gt;"",F16&lt;&gt;"Full Refresher"),'G2 MT Reading Scoresheet'!$P18,"")</f>
        <v/>
      </c>
      <c r="J16" s="124" t="str">
        <f>'G2 MT Reading Scoresheet'!$U18</f>
        <v>Low Emerging Reader</v>
      </c>
      <c r="K16" s="121" t="str">
        <f>'G2 FIL Reading Scoresheet'!$J18</f>
        <v>Full Refresher</v>
      </c>
      <c r="L16" s="122">
        <f>IF($C16&lt;&gt;"",'G2 FIL Reading Scoresheet'!$I18/30,"")</f>
        <v>0.1</v>
      </c>
      <c r="M16" s="122" t="str">
        <f>IF(AND($C16&lt;&gt;"",$K16&lt;&gt;"Full Refresher"),'G2 FIL Reading Scoresheet'!$Q18,"")</f>
        <v/>
      </c>
      <c r="N16" s="122" t="str">
        <f>IF(AND($C16&lt;&gt;"",K16&lt;&gt;"Full Refresher"),'G2 FIL Reading Scoresheet'!$R18/6,"")</f>
        <v/>
      </c>
      <c r="O16" s="121" t="str">
        <f>IF(AND(C16&lt;&gt;"",K16&lt;&gt;"Full Refresher"),'G2 FIL Reading Scoresheet'!$P18,"")</f>
        <v/>
      </c>
      <c r="P16" s="125" t="str">
        <f>'G2 FIL Reading Scoresheet'!$U18</f>
        <v>Low Emerging Reader</v>
      </c>
      <c r="Q16" s="127" t="str">
        <f>CONCATENATE(IF(ISBLANK('G2 MT Reading Scoresheet'!V18),"",CONCATENATE("MT:",TRIM('G2 MT Reading Scoresheet'!V18)))," ",IF(ISBLANK('G2 FIL Reading Scoresheet'!V18),"",CONCATENATE("FIL:",TRIM('G2 FIL Reading Scoresheet'!V18))))</f>
        <v/>
      </c>
    </row>
    <row r="17" spans="1:17">
      <c r="A17" s="106">
        <v>9</v>
      </c>
      <c r="B17" s="107" t="str">
        <f>IF('G2 MT Reading Scoresheet'!B19&lt;&gt;"",'G2 MT Reading Scoresheet'!B19,"")</f>
        <v/>
      </c>
      <c r="C17" s="108" t="str">
        <f>IF('G2 MT Reading Scoresheet'!C19&lt;&gt;"",'G2 MT Reading Scoresheet'!C19,"")</f>
        <v>CUSTODIO, MARICAR C.</v>
      </c>
      <c r="D17" s="109" t="str">
        <f>IF('G2 MT Reading Scoresheet'!D19&lt;&gt;"",'G2 MT Reading Scoresheet'!D19,"")</f>
        <v>Female</v>
      </c>
      <c r="E17" s="110" t="str">
        <f>'G2 MT Reading Scoresheet'!$J19</f>
        <v>Light Refresher</v>
      </c>
      <c r="F17" s="111">
        <f>IF(C17&lt;&gt;"",'G2 MT Reading Scoresheet'!$I19/30,"")</f>
        <v>0.8666666666666667</v>
      </c>
      <c r="G17" s="111">
        <f>IF(AND($C17&lt;&gt;"",$E17&lt;&gt;"Full Refresher"),'G2 MT Reading Scoresheet'!$Q19,"")</f>
        <v>0.39361702127659576</v>
      </c>
      <c r="H17" s="111">
        <f>IF(AND(C17&lt;&gt;"",E17&lt;&gt;"Full Refresher"),'G2 MT Reading Scoresheet'!$R19/6,"")</f>
        <v>0.33333333333333331</v>
      </c>
      <c r="I17" s="110">
        <f>IF(AND(D17&lt;&gt;"",F17&lt;&gt;"Full Refresher"),'G2 MT Reading Scoresheet'!$P19,"")</f>
        <v>18.5</v>
      </c>
      <c r="J17" s="124" t="str">
        <f>'G2 MT Reading Scoresheet'!$U19</f>
        <v>Developing Reader</v>
      </c>
      <c r="K17" s="121" t="str">
        <f>'G2 FIL Reading Scoresheet'!$J19</f>
        <v>Light Refresher</v>
      </c>
      <c r="L17" s="122">
        <f>IF($C17&lt;&gt;"",'G2 FIL Reading Scoresheet'!$I19/30,"")</f>
        <v>0.8666666666666667</v>
      </c>
      <c r="M17" s="122">
        <f>IF(AND($C17&lt;&gt;"",$K17&lt;&gt;"Full Refresher"),'G2 FIL Reading Scoresheet'!$Q19,"")</f>
        <v>0.13541666666666666</v>
      </c>
      <c r="N17" s="122">
        <f>IF(AND($C17&lt;&gt;"",K17&lt;&gt;"Full Refresher"),'G2 FIL Reading Scoresheet'!$R19/6,"")</f>
        <v>0.16666666666666666</v>
      </c>
      <c r="O17" s="121">
        <f>IF(AND(C17&lt;&gt;"",K17&lt;&gt;"Full Refresher"),'G2 FIL Reading Scoresheet'!$P19,"")</f>
        <v>6.5</v>
      </c>
      <c r="P17" s="125" t="str">
        <f>'G2 FIL Reading Scoresheet'!$U19</f>
        <v>High Emerging Reader</v>
      </c>
      <c r="Q17" s="126" t="str">
        <f>CONCATENATE(IF(ISBLANK('G2 MT Reading Scoresheet'!V19),"",CONCATENATE("MT:",TRIM('G2 MT Reading Scoresheet'!V19)))," ",IF(ISBLANK('G2 FIL Reading Scoresheet'!V19),"",CONCATENATE("FIL:",TRIM('G2 FIL Reading Scoresheet'!V19))))</f>
        <v/>
      </c>
    </row>
    <row r="18" spans="1:17">
      <c r="A18" s="112">
        <v>10</v>
      </c>
      <c r="B18" s="113" t="str">
        <f>IF('G2 MT Reading Scoresheet'!B20&lt;&gt;"",'G2 MT Reading Scoresheet'!B20,"")</f>
        <v/>
      </c>
      <c r="C18" s="114" t="str">
        <f>IF('G2 MT Reading Scoresheet'!C20&lt;&gt;"",'G2 MT Reading Scoresheet'!C20,"")</f>
        <v>DUMAICOS, NOVELYN F.</v>
      </c>
      <c r="D18" s="115" t="str">
        <f>IF('G2 MT Reading Scoresheet'!D20&lt;&gt;"",'G2 MT Reading Scoresheet'!D20,"")</f>
        <v>Female</v>
      </c>
      <c r="E18" s="110" t="str">
        <f>'G2 MT Reading Scoresheet'!$J20</f>
        <v>Full Refresher</v>
      </c>
      <c r="F18" s="111">
        <f>IF(C18&lt;&gt;"",'G2 MT Reading Scoresheet'!$I20/30,"")</f>
        <v>0.3</v>
      </c>
      <c r="G18" s="111" t="str">
        <f>IF(AND($C18&lt;&gt;"",$E18&lt;&gt;"Full Refresher"),'G2 MT Reading Scoresheet'!$Q20,"")</f>
        <v/>
      </c>
      <c r="H18" s="111" t="str">
        <f>IF(AND(C18&lt;&gt;"",E18&lt;&gt;"Full Refresher"),'G2 MT Reading Scoresheet'!$R20/6,"")</f>
        <v/>
      </c>
      <c r="I18" s="110" t="str">
        <f>IF(AND(D18&lt;&gt;"",F18&lt;&gt;"Full Refresher"),'G2 MT Reading Scoresheet'!$P20,"")</f>
        <v/>
      </c>
      <c r="J18" s="124" t="str">
        <f>'G2 MT Reading Scoresheet'!$U20</f>
        <v>Low Emerging Reader</v>
      </c>
      <c r="K18" s="121" t="str">
        <f>'G2 FIL Reading Scoresheet'!$J20</f>
        <v>Full Refresher</v>
      </c>
      <c r="L18" s="122">
        <f>IF($C18&lt;&gt;"",'G2 FIL Reading Scoresheet'!$I20/30,"")</f>
        <v>0.3</v>
      </c>
      <c r="M18" s="122" t="str">
        <f>IF(AND($C18&lt;&gt;"",$K18&lt;&gt;"Full Refresher"),'G2 FIL Reading Scoresheet'!$Q20,"")</f>
        <v/>
      </c>
      <c r="N18" s="122" t="str">
        <f>IF(AND($C18&lt;&gt;"",K18&lt;&gt;"Full Refresher"),'G2 FIL Reading Scoresheet'!$R20/6,"")</f>
        <v/>
      </c>
      <c r="O18" s="121" t="str">
        <f>IF(AND(C18&lt;&gt;"",K18&lt;&gt;"Full Refresher"),'G2 FIL Reading Scoresheet'!$P20,"")</f>
        <v/>
      </c>
      <c r="P18" s="125" t="str">
        <f>'G2 FIL Reading Scoresheet'!$U20</f>
        <v>Low Emerging Reader</v>
      </c>
      <c r="Q18" s="127" t="str">
        <f>CONCATENATE(IF(ISBLANK('G2 MT Reading Scoresheet'!V20),"",CONCATENATE("MT:",TRIM('G2 MT Reading Scoresheet'!V20)))," ",IF(ISBLANK('G2 FIL Reading Scoresheet'!V20),"",CONCATENATE("FIL:",TRIM('G2 FIL Reading Scoresheet'!V20))))</f>
        <v/>
      </c>
    </row>
    <row r="19" spans="1:17">
      <c r="A19" s="106">
        <v>11</v>
      </c>
      <c r="B19" s="107" t="str">
        <f>IF('G2 MT Reading Scoresheet'!B21&lt;&gt;"",'G2 MT Reading Scoresheet'!B21,"")</f>
        <v/>
      </c>
      <c r="C19" s="108" t="str">
        <f>IF('G2 MT Reading Scoresheet'!C21&lt;&gt;"",'G2 MT Reading Scoresheet'!C21,"")</f>
        <v>DUMANIEL, SHANAYA A.</v>
      </c>
      <c r="D19" s="109" t="str">
        <f>IF('G2 MT Reading Scoresheet'!D21&lt;&gt;"",'G2 MT Reading Scoresheet'!D21,"")</f>
        <v>Female</v>
      </c>
      <c r="E19" s="110" t="str">
        <f>'G2 MT Reading Scoresheet'!$J21</f>
        <v>Light Refresher</v>
      </c>
      <c r="F19" s="111">
        <f>IF(C19&lt;&gt;"",'G2 MT Reading Scoresheet'!$I21/30,"")</f>
        <v>0.76666666666666672</v>
      </c>
      <c r="G19" s="111">
        <f>IF(AND($C19&lt;&gt;"",$E19&lt;&gt;"Full Refresher"),'G2 MT Reading Scoresheet'!$Q21,"")</f>
        <v>0.30851063829787234</v>
      </c>
      <c r="H19" s="111">
        <f>IF(AND(C19&lt;&gt;"",E19&lt;&gt;"Full Refresher"),'G2 MT Reading Scoresheet'!$R21/6,"")</f>
        <v>0.33333333333333331</v>
      </c>
      <c r="I19" s="110">
        <f>IF(AND(D19&lt;&gt;"",F19&lt;&gt;"Full Refresher"),'G2 MT Reading Scoresheet'!$P21,"")</f>
        <v>14.5</v>
      </c>
      <c r="J19" s="124" t="str">
        <f>'G2 MT Reading Scoresheet'!$U21</f>
        <v>Developing Reader</v>
      </c>
      <c r="K19" s="121" t="str">
        <f>'G2 FIL Reading Scoresheet'!$J21</f>
        <v>Light Refresher</v>
      </c>
      <c r="L19" s="122">
        <f>IF($C19&lt;&gt;"",'G2 FIL Reading Scoresheet'!$I21/30,"")</f>
        <v>0.8</v>
      </c>
      <c r="M19" s="122">
        <f>IF(AND($C19&lt;&gt;"",$K19&lt;&gt;"Full Refresher"),'G2 FIL Reading Scoresheet'!$Q21,"")</f>
        <v>0.23157894736842105</v>
      </c>
      <c r="N19" s="122">
        <f>IF(AND($C19&lt;&gt;"",K19&lt;&gt;"Full Refresher"),'G2 FIL Reading Scoresheet'!$R21/6,"")</f>
        <v>0.33333333333333331</v>
      </c>
      <c r="O19" s="121">
        <f>IF(AND(C19&lt;&gt;"",K19&lt;&gt;"Full Refresher"),'G2 FIL Reading Scoresheet'!$P21,"")</f>
        <v>11</v>
      </c>
      <c r="P19" s="125" t="str">
        <f>'G2 FIL Reading Scoresheet'!$U21</f>
        <v>High Emerging Reader</v>
      </c>
      <c r="Q19" s="126" t="str">
        <f>CONCATENATE(IF(ISBLANK('G2 MT Reading Scoresheet'!V21),"",CONCATENATE("MT:",TRIM('G2 MT Reading Scoresheet'!V21)))," ",IF(ISBLANK('G2 FIL Reading Scoresheet'!V21),"",CONCATENATE("FIL:",TRIM('G2 FIL Reading Scoresheet'!V21))))</f>
        <v/>
      </c>
    </row>
    <row r="20" spans="1:17">
      <c r="A20" s="112">
        <v>12</v>
      </c>
      <c r="B20" s="113" t="str">
        <f>IF('G2 MT Reading Scoresheet'!B22&lt;&gt;"",'G2 MT Reading Scoresheet'!B22,"")</f>
        <v/>
      </c>
      <c r="C20" s="114" t="str">
        <f>IF('G2 MT Reading Scoresheet'!C22&lt;&gt;"",'G2 MT Reading Scoresheet'!C22,"")</f>
        <v>ESTOCADA, JULIANA Q.</v>
      </c>
      <c r="D20" s="115" t="str">
        <f>IF('G2 MT Reading Scoresheet'!D22&lt;&gt;"",'G2 MT Reading Scoresheet'!D22,"")</f>
        <v>Female</v>
      </c>
      <c r="E20" s="110" t="str">
        <f>'G2 MT Reading Scoresheet'!$J22</f>
        <v>Light Refresher</v>
      </c>
      <c r="F20" s="111">
        <f>IF(C20&lt;&gt;"",'G2 MT Reading Scoresheet'!$I22/30,"")</f>
        <v>0.76666666666666672</v>
      </c>
      <c r="G20" s="111">
        <f>IF(AND($C20&lt;&gt;"",$E20&lt;&gt;"Full Refresher"),'G2 MT Reading Scoresheet'!$Q22,"")</f>
        <v>0.27659574468085107</v>
      </c>
      <c r="H20" s="111">
        <f>IF(AND(C20&lt;&gt;"",E20&lt;&gt;"Full Refresher"),'G2 MT Reading Scoresheet'!$R22/6,"")</f>
        <v>0.33333333333333331</v>
      </c>
      <c r="I20" s="110">
        <f>IF(AND(D20&lt;&gt;"",F20&lt;&gt;"Full Refresher"),'G2 MT Reading Scoresheet'!$P22,"")</f>
        <v>13</v>
      </c>
      <c r="J20" s="124" t="str">
        <f>'G2 MT Reading Scoresheet'!$U22</f>
        <v>Developing Reader</v>
      </c>
      <c r="K20" s="121" t="str">
        <f>'G2 FIL Reading Scoresheet'!$J22</f>
        <v>Light Refresher</v>
      </c>
      <c r="L20" s="122">
        <f>IF($C20&lt;&gt;"",'G2 FIL Reading Scoresheet'!$I22/30,"")</f>
        <v>0.8666666666666667</v>
      </c>
      <c r="M20" s="122">
        <f>IF(AND($C20&lt;&gt;"",$K20&lt;&gt;"Full Refresher"),'G2 FIL Reading Scoresheet'!$Q22,"")</f>
        <v>0.34375</v>
      </c>
      <c r="N20" s="122">
        <f>IF(AND($C20&lt;&gt;"",K20&lt;&gt;"Full Refresher"),'G2 FIL Reading Scoresheet'!$R22/6,"")</f>
        <v>0.33333333333333331</v>
      </c>
      <c r="O20" s="121">
        <f>IF(AND(C20&lt;&gt;"",K20&lt;&gt;"Full Refresher"),'G2 FIL Reading Scoresheet'!$P22,"")</f>
        <v>16.5</v>
      </c>
      <c r="P20" s="125" t="str">
        <f>'G2 FIL Reading Scoresheet'!$U22</f>
        <v>Developing Reader</v>
      </c>
      <c r="Q20" s="127" t="str">
        <f>CONCATENATE(IF(ISBLANK('G2 MT Reading Scoresheet'!V22),"",CONCATENATE("MT:",TRIM('G2 MT Reading Scoresheet'!V22)))," ",IF(ISBLANK('G2 FIL Reading Scoresheet'!V22),"",CONCATENATE("FIL:",TRIM('G2 FIL Reading Scoresheet'!V22))))</f>
        <v xml:space="preserve"> </v>
      </c>
    </row>
    <row r="21" spans="1:17">
      <c r="A21" s="106">
        <v>13</v>
      </c>
      <c r="B21" s="107" t="str">
        <f>IF('G2 MT Reading Scoresheet'!B23&lt;&gt;"",'G2 MT Reading Scoresheet'!B23,"")</f>
        <v/>
      </c>
      <c r="C21" s="108" t="str">
        <f>IF('G2 MT Reading Scoresheet'!C23&lt;&gt;"",'G2 MT Reading Scoresheet'!C23,"")</f>
        <v>GANCIA, CRISSUN V.</v>
      </c>
      <c r="D21" s="109" t="str">
        <f>IF('G2 MT Reading Scoresheet'!D23&lt;&gt;"",'G2 MT Reading Scoresheet'!D23,"")</f>
        <v>Female</v>
      </c>
      <c r="E21" s="110" t="str">
        <f>'G2 MT Reading Scoresheet'!$J23</f>
        <v>Full Refresher</v>
      </c>
      <c r="F21" s="111">
        <f>IF(C21&lt;&gt;"",'G2 MT Reading Scoresheet'!$I23/30,"")</f>
        <v>0.3</v>
      </c>
      <c r="G21" s="111" t="str">
        <f>IF(AND($C21&lt;&gt;"",$E21&lt;&gt;"Full Refresher"),'G2 MT Reading Scoresheet'!$Q23,"")</f>
        <v/>
      </c>
      <c r="H21" s="111" t="str">
        <f>IF(AND(C21&lt;&gt;"",E21&lt;&gt;"Full Refresher"),'G2 MT Reading Scoresheet'!$R23/6,"")</f>
        <v/>
      </c>
      <c r="I21" s="110" t="str">
        <f>IF(AND(D21&lt;&gt;"",F21&lt;&gt;"Full Refresher"),'G2 MT Reading Scoresheet'!$P23,"")</f>
        <v/>
      </c>
      <c r="J21" s="124" t="str">
        <f>'G2 MT Reading Scoresheet'!$U23</f>
        <v>Low Emerging Reader</v>
      </c>
      <c r="K21" s="121" t="str">
        <f>'G2 FIL Reading Scoresheet'!$J23</f>
        <v>Full Refresher</v>
      </c>
      <c r="L21" s="122">
        <f>IF($C21&lt;&gt;"",'G2 FIL Reading Scoresheet'!$I23/30,"")</f>
        <v>0.3</v>
      </c>
      <c r="M21" s="122" t="str">
        <f>IF(AND($C21&lt;&gt;"",$K21&lt;&gt;"Full Refresher"),'G2 FIL Reading Scoresheet'!$Q23,"")</f>
        <v/>
      </c>
      <c r="N21" s="122" t="str">
        <f>IF(AND($C21&lt;&gt;"",K21&lt;&gt;"Full Refresher"),'G2 FIL Reading Scoresheet'!$R23/6,"")</f>
        <v/>
      </c>
      <c r="O21" s="121" t="str">
        <f>IF(AND(C21&lt;&gt;"",K21&lt;&gt;"Full Refresher"),'G2 FIL Reading Scoresheet'!$P23,"")</f>
        <v/>
      </c>
      <c r="P21" s="125" t="str">
        <f>'G2 FIL Reading Scoresheet'!$U23</f>
        <v>Low Emerging Reader</v>
      </c>
      <c r="Q21" s="126" t="str">
        <f>CONCATENATE(IF(ISBLANK('G2 MT Reading Scoresheet'!V23),"",CONCATENATE("MT:",TRIM('G2 MT Reading Scoresheet'!V23)))," ",IF(ISBLANK('G2 FIL Reading Scoresheet'!V23),"",CONCATENATE("FIL:",TRIM('G2 FIL Reading Scoresheet'!V23))))</f>
        <v/>
      </c>
    </row>
    <row r="22" spans="1:17">
      <c r="A22" s="112">
        <v>14</v>
      </c>
      <c r="B22" s="113" t="str">
        <f>IF('G2 MT Reading Scoresheet'!B24&lt;&gt;"",'G2 MT Reading Scoresheet'!B24,"")</f>
        <v/>
      </c>
      <c r="C22" s="114" t="str">
        <f>IF('G2 MT Reading Scoresheet'!C24&lt;&gt;"",'G2 MT Reading Scoresheet'!C24,"")</f>
        <v>JUMBAS, JHAZMAINE KHATE A.</v>
      </c>
      <c r="D22" s="115" t="str">
        <f>IF('G2 MT Reading Scoresheet'!D24&lt;&gt;"",'G2 MT Reading Scoresheet'!D24,"")</f>
        <v>Female</v>
      </c>
      <c r="E22" s="110" t="str">
        <f>'G2 MT Reading Scoresheet'!$J24</f>
        <v>Grade Ready</v>
      </c>
      <c r="F22" s="111">
        <f>IF(C22&lt;&gt;"",'G2 MT Reading Scoresheet'!$I24/30,"")</f>
        <v>0.9</v>
      </c>
      <c r="G22" s="111">
        <f>IF(AND($C22&lt;&gt;"",$E22&lt;&gt;"Full Refresher"),'G2 MT Reading Scoresheet'!$Q24,"")</f>
        <v>0.42553191489361702</v>
      </c>
      <c r="H22" s="111">
        <f>IF(AND(C22&lt;&gt;"",E22&lt;&gt;"Full Refresher"),'G2 MT Reading Scoresheet'!$R24/6,"")</f>
        <v>0.33333333333333331</v>
      </c>
      <c r="I22" s="110">
        <f>IF(AND(D22&lt;&gt;"",F22&lt;&gt;"Full Refresher"),'G2 MT Reading Scoresheet'!$P24,"")</f>
        <v>20</v>
      </c>
      <c r="J22" s="124" t="str">
        <f>'G2 MT Reading Scoresheet'!$U24</f>
        <v>Developing Reader</v>
      </c>
      <c r="K22" s="121" t="str">
        <f>'G2 FIL Reading Scoresheet'!$J24</f>
        <v>Grade Ready</v>
      </c>
      <c r="L22" s="122">
        <f>IF($C22&lt;&gt;"",'G2 FIL Reading Scoresheet'!$I24/30,"")</f>
        <v>0.9</v>
      </c>
      <c r="M22" s="122">
        <f>IF(AND($C22&lt;&gt;"",$K22&lt;&gt;"Full Refresher"),'G2 FIL Reading Scoresheet'!$Q24,"")</f>
        <v>0.32291666666666669</v>
      </c>
      <c r="N22" s="122">
        <f>IF(AND($C22&lt;&gt;"",K22&lt;&gt;"Full Refresher"),'G2 FIL Reading Scoresheet'!$R24/6,"")</f>
        <v>0.33333333333333331</v>
      </c>
      <c r="O22" s="121">
        <f>IF(AND(C22&lt;&gt;"",K22&lt;&gt;"Full Refresher"),'G2 FIL Reading Scoresheet'!$P24,"")</f>
        <v>15.500000000000002</v>
      </c>
      <c r="P22" s="125" t="str">
        <f>'G2 FIL Reading Scoresheet'!$U24</f>
        <v>Developing Reader</v>
      </c>
      <c r="Q22" s="127" t="str">
        <f>CONCATENATE(IF(ISBLANK('G2 MT Reading Scoresheet'!V24),"",CONCATENATE("MT:",TRIM('G2 MT Reading Scoresheet'!V24)))," ",IF(ISBLANK('G2 FIL Reading Scoresheet'!V24),"",CONCATENATE("FIL:",TRIM('G2 FIL Reading Scoresheet'!V24))))</f>
        <v/>
      </c>
    </row>
    <row r="23" spans="1:17">
      <c r="A23" s="106">
        <v>15</v>
      </c>
      <c r="B23" s="107" t="str">
        <f>IF('G2 MT Reading Scoresheet'!B25&lt;&gt;"",'G2 MT Reading Scoresheet'!B25,"")</f>
        <v/>
      </c>
      <c r="C23" s="108" t="str">
        <f>IF('G2 MT Reading Scoresheet'!C25&lt;&gt;"",'G2 MT Reading Scoresheet'!C25,"")</f>
        <v>LABANZA, ALEJANDRINE AMIAH G.</v>
      </c>
      <c r="D23" s="109" t="str">
        <f>IF('G2 MT Reading Scoresheet'!D25&lt;&gt;"",'G2 MT Reading Scoresheet'!D25,"")</f>
        <v>Female</v>
      </c>
      <c r="E23" s="110" t="str">
        <f>'G2 MT Reading Scoresheet'!$J25</f>
        <v>Light Refresher</v>
      </c>
      <c r="F23" s="111">
        <f>IF(C23&lt;&gt;"",'G2 MT Reading Scoresheet'!$I25/30,"")</f>
        <v>0.76666666666666672</v>
      </c>
      <c r="G23" s="111">
        <f>IF(AND($C23&lt;&gt;"",$E23&lt;&gt;"Full Refresher"),'G2 MT Reading Scoresheet'!$Q25,"")</f>
        <v>0.22340425531914893</v>
      </c>
      <c r="H23" s="111">
        <f>IF(AND(C23&lt;&gt;"",E23&lt;&gt;"Full Refresher"),'G2 MT Reading Scoresheet'!$R25/6,"")</f>
        <v>0.16666666666666666</v>
      </c>
      <c r="I23" s="110">
        <f>IF(AND(D23&lt;&gt;"",F23&lt;&gt;"Full Refresher"),'G2 MT Reading Scoresheet'!$P25,"")</f>
        <v>10.5</v>
      </c>
      <c r="J23" s="124" t="str">
        <f>'G2 MT Reading Scoresheet'!$U25</f>
        <v>High Emerging Reader</v>
      </c>
      <c r="K23" s="121" t="str">
        <f>'G2 FIL Reading Scoresheet'!$J25</f>
        <v>Light Refresher</v>
      </c>
      <c r="L23" s="122">
        <f>IF($C23&lt;&gt;"",'G2 FIL Reading Scoresheet'!$I25/30,"")</f>
        <v>0.8</v>
      </c>
      <c r="M23" s="122">
        <f>IF(AND($C23&lt;&gt;"",$K23&lt;&gt;"Full Refresher"),'G2 FIL Reading Scoresheet'!$Q25,"")</f>
        <v>0.21875</v>
      </c>
      <c r="N23" s="122">
        <f>IF(AND($C23&lt;&gt;"",K23&lt;&gt;"Full Refresher"),'G2 FIL Reading Scoresheet'!$R25/6,"")</f>
        <v>0.16666666666666666</v>
      </c>
      <c r="O23" s="121">
        <f>IF(AND(C23&lt;&gt;"",K23&lt;&gt;"Full Refresher"),'G2 FIL Reading Scoresheet'!$P25,"")</f>
        <v>10.5</v>
      </c>
      <c r="P23" s="125" t="str">
        <f>'G2 FIL Reading Scoresheet'!$U25</f>
        <v>High Emerging Reader</v>
      </c>
      <c r="Q23" s="126" t="str">
        <f>CONCATENATE(IF(ISBLANK('G2 MT Reading Scoresheet'!V25),"",CONCATENATE("MT:",TRIM('G2 MT Reading Scoresheet'!V25)))," ",IF(ISBLANK('G2 FIL Reading Scoresheet'!V25),"",CONCATENATE("FIL:",TRIM('G2 FIL Reading Scoresheet'!V25))))</f>
        <v/>
      </c>
    </row>
    <row r="24" spans="1:17">
      <c r="A24" s="112">
        <v>16</v>
      </c>
      <c r="B24" s="113" t="str">
        <f>IF('G2 MT Reading Scoresheet'!B26&lt;&gt;"",'G2 MT Reading Scoresheet'!B26,"")</f>
        <v/>
      </c>
      <c r="C24" s="114" t="str">
        <f>IF('G2 MT Reading Scoresheet'!C26&lt;&gt;"",'G2 MT Reading Scoresheet'!C26,"")</f>
        <v/>
      </c>
      <c r="D24" s="115" t="str">
        <f>IF('G2 MT Reading Scoresheet'!D26&lt;&gt;"",'G2 MT Reading Scoresheet'!D26,"")</f>
        <v/>
      </c>
      <c r="E24" s="110" t="str">
        <f>'G2 MT Reading Scoresheet'!$J26</f>
        <v/>
      </c>
      <c r="F24" s="111" t="str">
        <f>IF(C24&lt;&gt;"",'G2 MT Reading Scoresheet'!$I26/30,"")</f>
        <v/>
      </c>
      <c r="G24" s="111" t="str">
        <f>IF(AND($C24&lt;&gt;"",$E24&lt;&gt;"Full Refresher"),'G2 MT Reading Scoresheet'!$Q26,"")</f>
        <v/>
      </c>
      <c r="H24" s="111" t="str">
        <f>IF(AND(C24&lt;&gt;"",E24&lt;&gt;"Full Refresher"),'G2 MT Reading Scoresheet'!$R26/6,"")</f>
        <v/>
      </c>
      <c r="I24" s="110" t="str">
        <f>IF(AND(D24&lt;&gt;"",F24&lt;&gt;"Full Refresher"),'G2 MT Reading Scoresheet'!$P26,"")</f>
        <v/>
      </c>
      <c r="J24" s="124" t="str">
        <f>'G2 MT Reading Scoresheet'!$U26</f>
        <v/>
      </c>
      <c r="K24" s="121" t="str">
        <f>'G2 FIL Reading Scoresheet'!$J26</f>
        <v/>
      </c>
      <c r="L24" s="122" t="str">
        <f>IF($C24&lt;&gt;"",'G2 FIL Reading Scoresheet'!$I26/30,"")</f>
        <v/>
      </c>
      <c r="M24" s="122" t="str">
        <f>IF(AND($C24&lt;&gt;"",$K24&lt;&gt;"Full Refresher"),'G2 FIL Reading Scoresheet'!$Q26,"")</f>
        <v/>
      </c>
      <c r="N24" s="122" t="str">
        <f>IF(AND($C24&lt;&gt;"",K24&lt;&gt;"Full Refresher"),'G2 FIL Reading Scoresheet'!$R26/6,"")</f>
        <v/>
      </c>
      <c r="O24" s="121" t="str">
        <f>IF(AND(C24&lt;&gt;"",K24&lt;&gt;"Full Refresher"),'G2 FIL Reading Scoresheet'!$P26,"")</f>
        <v/>
      </c>
      <c r="P24" s="125" t="str">
        <f>'G2 FIL Reading Scoresheet'!$U26</f>
        <v/>
      </c>
      <c r="Q24" s="127" t="str">
        <f>CONCATENATE(IF(ISBLANK('G2 MT Reading Scoresheet'!V26),"",CONCATENATE("MT:",TRIM('G2 MT Reading Scoresheet'!V26)))," ",IF(ISBLANK('G2 FIL Reading Scoresheet'!V26),"",CONCATENATE("FIL:",TRIM('G2 FIL Reading Scoresheet'!V26))))</f>
        <v/>
      </c>
    </row>
    <row r="25" spans="1:17">
      <c r="A25" s="106">
        <v>17</v>
      </c>
      <c r="B25" s="107" t="str">
        <f>IF('G2 MT Reading Scoresheet'!B27&lt;&gt;"",'G2 MT Reading Scoresheet'!B27,"")</f>
        <v/>
      </c>
      <c r="C25" s="108" t="str">
        <f>IF('G2 MT Reading Scoresheet'!C27&lt;&gt;"",'G2 MT Reading Scoresheet'!C27,"")</f>
        <v/>
      </c>
      <c r="D25" s="109" t="str">
        <f>IF('G2 MT Reading Scoresheet'!D27&lt;&gt;"",'G2 MT Reading Scoresheet'!D27,"")</f>
        <v/>
      </c>
      <c r="E25" s="110" t="str">
        <f>'G2 MT Reading Scoresheet'!$J27</f>
        <v/>
      </c>
      <c r="F25" s="111" t="str">
        <f>IF(C25&lt;&gt;"",'G2 MT Reading Scoresheet'!$I27/30,"")</f>
        <v/>
      </c>
      <c r="G25" s="111" t="str">
        <f>IF(AND($C25&lt;&gt;"",$E25&lt;&gt;"Full Refresher"),'G2 MT Reading Scoresheet'!$Q27,"")</f>
        <v/>
      </c>
      <c r="H25" s="111" t="str">
        <f>IF(AND(C25&lt;&gt;"",E25&lt;&gt;"Full Refresher"),'G2 MT Reading Scoresheet'!$R27/6,"")</f>
        <v/>
      </c>
      <c r="I25" s="110" t="str">
        <f>IF(AND(D25&lt;&gt;"",F25&lt;&gt;"Full Refresher"),'G2 MT Reading Scoresheet'!$P27,"")</f>
        <v/>
      </c>
      <c r="J25" s="124" t="str">
        <f>'G2 MT Reading Scoresheet'!$U27</f>
        <v/>
      </c>
      <c r="K25" s="121" t="str">
        <f>'G2 FIL Reading Scoresheet'!$J27</f>
        <v/>
      </c>
      <c r="L25" s="122" t="str">
        <f>IF($C25&lt;&gt;"",'G2 FIL Reading Scoresheet'!$I27/30,"")</f>
        <v/>
      </c>
      <c r="M25" s="122" t="str">
        <f>IF(AND($C25&lt;&gt;"",$K25&lt;&gt;"Full Refresher"),'G2 FIL Reading Scoresheet'!$Q27,"")</f>
        <v/>
      </c>
      <c r="N25" s="122" t="str">
        <f>IF(AND($C25&lt;&gt;"",K25&lt;&gt;"Full Refresher"),'G2 FIL Reading Scoresheet'!$R27/6,"")</f>
        <v/>
      </c>
      <c r="O25" s="121" t="str">
        <f>IF(AND(C25&lt;&gt;"",K25&lt;&gt;"Full Refresher"),'G2 FIL Reading Scoresheet'!$P27,"")</f>
        <v/>
      </c>
      <c r="P25" s="125" t="str">
        <f>'G2 FIL Reading Scoresheet'!$U27</f>
        <v/>
      </c>
      <c r="Q25" s="126" t="str">
        <f>CONCATENATE(IF(ISBLANK('G2 MT Reading Scoresheet'!V27),"",CONCATENATE("MT:",TRIM('G2 MT Reading Scoresheet'!V27)))," ",IF(ISBLANK('G2 FIL Reading Scoresheet'!V27),"",CONCATENATE("FIL:",TRIM('G2 FIL Reading Scoresheet'!V27))))</f>
        <v/>
      </c>
    </row>
    <row r="26" spans="1:17">
      <c r="A26" s="112">
        <v>18</v>
      </c>
      <c r="B26" s="113" t="str">
        <f>IF('G2 MT Reading Scoresheet'!B28&lt;&gt;"",'G2 MT Reading Scoresheet'!B28,"")</f>
        <v/>
      </c>
      <c r="C26" s="114" t="str">
        <f>IF('G2 MT Reading Scoresheet'!C28&lt;&gt;"",'G2 MT Reading Scoresheet'!C28,"")</f>
        <v/>
      </c>
      <c r="D26" s="115" t="str">
        <f>IF('G2 MT Reading Scoresheet'!D28&lt;&gt;"",'G2 MT Reading Scoresheet'!D28,"")</f>
        <v/>
      </c>
      <c r="E26" s="110" t="str">
        <f>'G2 MT Reading Scoresheet'!$J28</f>
        <v/>
      </c>
      <c r="F26" s="111" t="str">
        <f>IF(C26&lt;&gt;"",'G2 MT Reading Scoresheet'!$I28/30,"")</f>
        <v/>
      </c>
      <c r="G26" s="111" t="str">
        <f>IF(AND($C26&lt;&gt;"",$E26&lt;&gt;"Full Refresher"),'G2 MT Reading Scoresheet'!$Q28,"")</f>
        <v/>
      </c>
      <c r="H26" s="111" t="str">
        <f>IF(AND(C26&lt;&gt;"",E26&lt;&gt;"Full Refresher"),'G2 MT Reading Scoresheet'!$R28/6,"")</f>
        <v/>
      </c>
      <c r="I26" s="110" t="str">
        <f>IF(AND(D26&lt;&gt;"",F26&lt;&gt;"Full Refresher"),'G2 MT Reading Scoresheet'!$P28,"")</f>
        <v/>
      </c>
      <c r="J26" s="124" t="str">
        <f>'G2 MT Reading Scoresheet'!$U28</f>
        <v/>
      </c>
      <c r="K26" s="121" t="str">
        <f>'G2 FIL Reading Scoresheet'!$J28</f>
        <v/>
      </c>
      <c r="L26" s="122" t="str">
        <f>IF($C26&lt;&gt;"",'G2 FIL Reading Scoresheet'!$I28/30,"")</f>
        <v/>
      </c>
      <c r="M26" s="122" t="str">
        <f>IF(AND($C26&lt;&gt;"",$K26&lt;&gt;"Full Refresher"),'G2 FIL Reading Scoresheet'!$Q28,"")</f>
        <v/>
      </c>
      <c r="N26" s="122" t="str">
        <f>IF(AND($C26&lt;&gt;"",K26&lt;&gt;"Full Refresher"),'G2 FIL Reading Scoresheet'!$R28/6,"")</f>
        <v/>
      </c>
      <c r="O26" s="121" t="str">
        <f>IF(AND(C26&lt;&gt;"",K26&lt;&gt;"Full Refresher"),'G2 FIL Reading Scoresheet'!$P28,"")</f>
        <v/>
      </c>
      <c r="P26" s="125" t="str">
        <f>'G2 FIL Reading Scoresheet'!$U28</f>
        <v/>
      </c>
      <c r="Q26" s="127" t="str">
        <f>CONCATENATE(IF(ISBLANK('G2 MT Reading Scoresheet'!V28),"",CONCATENATE("MT:",TRIM('G2 MT Reading Scoresheet'!V28)))," ",IF(ISBLANK('G2 FIL Reading Scoresheet'!V28),"",CONCATENATE("FIL:",TRIM('G2 FIL Reading Scoresheet'!V28))))</f>
        <v/>
      </c>
    </row>
    <row r="27" spans="1:17">
      <c r="A27" s="106">
        <v>19</v>
      </c>
      <c r="B27" s="107" t="str">
        <f>IF('G2 MT Reading Scoresheet'!B29&lt;&gt;"",'G2 MT Reading Scoresheet'!B29,"")</f>
        <v/>
      </c>
      <c r="C27" s="108" t="str">
        <f>IF('G2 MT Reading Scoresheet'!C29&lt;&gt;"",'G2 MT Reading Scoresheet'!C29,"")</f>
        <v/>
      </c>
      <c r="D27" s="109" t="str">
        <f>IF('G2 MT Reading Scoresheet'!D29&lt;&gt;"",'G2 MT Reading Scoresheet'!D29,"")</f>
        <v/>
      </c>
      <c r="E27" s="110" t="str">
        <f>'G2 MT Reading Scoresheet'!$J29</f>
        <v/>
      </c>
      <c r="F27" s="111" t="str">
        <f>IF(C27&lt;&gt;"",'G2 MT Reading Scoresheet'!$I29/30,"")</f>
        <v/>
      </c>
      <c r="G27" s="111" t="str">
        <f>IF(AND($C27&lt;&gt;"",$E27&lt;&gt;"Full Refresher"),'G2 MT Reading Scoresheet'!$Q29,"")</f>
        <v/>
      </c>
      <c r="H27" s="111" t="str">
        <f>IF(AND(C27&lt;&gt;"",E27&lt;&gt;"Full Refresher"),'G2 MT Reading Scoresheet'!$R29/6,"")</f>
        <v/>
      </c>
      <c r="I27" s="110" t="str">
        <f>IF(AND(D27&lt;&gt;"",F27&lt;&gt;"Full Refresher"),'G2 MT Reading Scoresheet'!$P29,"")</f>
        <v/>
      </c>
      <c r="J27" s="124" t="str">
        <f>'G2 MT Reading Scoresheet'!$U29</f>
        <v/>
      </c>
      <c r="K27" s="121" t="str">
        <f>'G2 FIL Reading Scoresheet'!$J29</f>
        <v/>
      </c>
      <c r="L27" s="122" t="str">
        <f>IF($C27&lt;&gt;"",'G2 FIL Reading Scoresheet'!$I29/30,"")</f>
        <v/>
      </c>
      <c r="M27" s="122" t="str">
        <f>IF(AND($C27&lt;&gt;"",$K27&lt;&gt;"Full Refresher"),'G2 FIL Reading Scoresheet'!$Q29,"")</f>
        <v/>
      </c>
      <c r="N27" s="122" t="str">
        <f>IF(AND($C27&lt;&gt;"",K27&lt;&gt;"Full Refresher"),'G2 FIL Reading Scoresheet'!$R29/6,"")</f>
        <v/>
      </c>
      <c r="O27" s="121" t="str">
        <f>IF(AND(C27&lt;&gt;"",K27&lt;&gt;"Full Refresher"),'G2 FIL Reading Scoresheet'!$P29,"")</f>
        <v/>
      </c>
      <c r="P27" s="125" t="str">
        <f>'G2 FIL Reading Scoresheet'!$U29</f>
        <v/>
      </c>
      <c r="Q27" s="126" t="str">
        <f>CONCATENATE(IF(ISBLANK('G2 MT Reading Scoresheet'!V29),"",CONCATENATE("MT:",TRIM('G2 MT Reading Scoresheet'!V29)))," ",IF(ISBLANK('G2 FIL Reading Scoresheet'!V29),"",CONCATENATE("FIL:",TRIM('G2 FIL Reading Scoresheet'!V29))))</f>
        <v/>
      </c>
    </row>
    <row r="28" spans="1:17">
      <c r="A28" s="112">
        <v>20</v>
      </c>
      <c r="B28" s="113" t="str">
        <f>IF('G2 MT Reading Scoresheet'!B30&lt;&gt;"",'G2 MT Reading Scoresheet'!B30,"")</f>
        <v/>
      </c>
      <c r="C28" s="114" t="str">
        <f>IF('G2 MT Reading Scoresheet'!C30&lt;&gt;"",'G2 MT Reading Scoresheet'!C30,"")</f>
        <v/>
      </c>
      <c r="D28" s="115" t="str">
        <f>IF('G2 MT Reading Scoresheet'!D30&lt;&gt;"",'G2 MT Reading Scoresheet'!D30,"")</f>
        <v/>
      </c>
      <c r="E28" s="110" t="str">
        <f>'G2 MT Reading Scoresheet'!$J30</f>
        <v/>
      </c>
      <c r="F28" s="111" t="str">
        <f>IF(C28&lt;&gt;"",'G2 MT Reading Scoresheet'!$I30/30,"")</f>
        <v/>
      </c>
      <c r="G28" s="111" t="str">
        <f>IF(AND($C28&lt;&gt;"",$E28&lt;&gt;"Full Refresher"),'G2 MT Reading Scoresheet'!$Q30,"")</f>
        <v/>
      </c>
      <c r="H28" s="111" t="str">
        <f>IF(AND(C28&lt;&gt;"",E28&lt;&gt;"Full Refresher"),'G2 MT Reading Scoresheet'!$R30/6,"")</f>
        <v/>
      </c>
      <c r="I28" s="110" t="str">
        <f>IF(AND(D28&lt;&gt;"",F28&lt;&gt;"Full Refresher"),'G2 MT Reading Scoresheet'!$P30,"")</f>
        <v/>
      </c>
      <c r="J28" s="124" t="str">
        <f>'G2 MT Reading Scoresheet'!$U30</f>
        <v/>
      </c>
      <c r="K28" s="121" t="str">
        <f>'G2 FIL Reading Scoresheet'!$J30</f>
        <v/>
      </c>
      <c r="L28" s="122" t="str">
        <f>IF($C28&lt;&gt;"",'G2 FIL Reading Scoresheet'!$I30/30,"")</f>
        <v/>
      </c>
      <c r="M28" s="122" t="str">
        <f>IF(AND($C28&lt;&gt;"",$K28&lt;&gt;"Full Refresher"),'G2 FIL Reading Scoresheet'!$Q30,"")</f>
        <v/>
      </c>
      <c r="N28" s="122" t="str">
        <f>IF(AND($C28&lt;&gt;"",K28&lt;&gt;"Full Refresher"),'G2 FIL Reading Scoresheet'!$R30/6,"")</f>
        <v/>
      </c>
      <c r="O28" s="121" t="str">
        <f>IF(AND(C28&lt;&gt;"",K28&lt;&gt;"Full Refresher"),'G2 FIL Reading Scoresheet'!$P30,"")</f>
        <v/>
      </c>
      <c r="P28" s="125" t="str">
        <f>'G2 FIL Reading Scoresheet'!$U30</f>
        <v/>
      </c>
      <c r="Q28" s="127" t="str">
        <f>CONCATENATE(IF(ISBLANK('G2 MT Reading Scoresheet'!V30),"",CONCATENATE("MT:",TRIM('G2 MT Reading Scoresheet'!V30)))," ",IF(ISBLANK('G2 FIL Reading Scoresheet'!V30),"",CONCATENATE("FIL:",TRIM('G2 FIL Reading Scoresheet'!V30))))</f>
        <v/>
      </c>
    </row>
    <row r="29" spans="1:17">
      <c r="A29" s="106">
        <v>21</v>
      </c>
      <c r="B29" s="107" t="str">
        <f>IF('G2 MT Reading Scoresheet'!B31&lt;&gt;"",'G2 MT Reading Scoresheet'!B31,"")</f>
        <v/>
      </c>
      <c r="C29" s="108" t="str">
        <f>IF('G2 MT Reading Scoresheet'!C31&lt;&gt;"",'G2 MT Reading Scoresheet'!C31,"")</f>
        <v/>
      </c>
      <c r="D29" s="109" t="str">
        <f>IF('G2 MT Reading Scoresheet'!D31&lt;&gt;"",'G2 MT Reading Scoresheet'!D31,"")</f>
        <v/>
      </c>
      <c r="E29" s="110" t="str">
        <f>'G2 MT Reading Scoresheet'!$J31</f>
        <v/>
      </c>
      <c r="F29" s="111" t="str">
        <f>IF(C29&lt;&gt;"",'G2 MT Reading Scoresheet'!$I31/30,"")</f>
        <v/>
      </c>
      <c r="G29" s="111" t="str">
        <f>IF(AND($C29&lt;&gt;"",$E29&lt;&gt;"Full Refresher"),'G2 MT Reading Scoresheet'!$Q31,"")</f>
        <v/>
      </c>
      <c r="H29" s="111" t="str">
        <f>IF(AND(C29&lt;&gt;"",E29&lt;&gt;"Full Refresher"),'G2 MT Reading Scoresheet'!$R31/6,"")</f>
        <v/>
      </c>
      <c r="I29" s="110" t="str">
        <f>IF(AND(D29&lt;&gt;"",F29&lt;&gt;"Full Refresher"),'G2 MT Reading Scoresheet'!$P31,"")</f>
        <v/>
      </c>
      <c r="J29" s="124" t="str">
        <f>'G2 MT Reading Scoresheet'!$U31</f>
        <v/>
      </c>
      <c r="K29" s="121" t="str">
        <f>'G2 FIL Reading Scoresheet'!$J31</f>
        <v/>
      </c>
      <c r="L29" s="122" t="str">
        <f>IF($C29&lt;&gt;"",'G2 FIL Reading Scoresheet'!$I31/30,"")</f>
        <v/>
      </c>
      <c r="M29" s="122" t="str">
        <f>IF(AND($C29&lt;&gt;"",$K29&lt;&gt;"Full Refresher"),'G2 FIL Reading Scoresheet'!$Q31,"")</f>
        <v/>
      </c>
      <c r="N29" s="122" t="str">
        <f>IF(AND($C29&lt;&gt;"",K29&lt;&gt;"Full Refresher"),'G2 FIL Reading Scoresheet'!$R31/6,"")</f>
        <v/>
      </c>
      <c r="O29" s="121" t="str">
        <f>IF(AND(C29&lt;&gt;"",K29&lt;&gt;"Full Refresher"),'G2 FIL Reading Scoresheet'!$P31,"")</f>
        <v/>
      </c>
      <c r="P29" s="125" t="str">
        <f>'G2 FIL Reading Scoresheet'!$U31</f>
        <v/>
      </c>
      <c r="Q29" s="126" t="str">
        <f>CONCATENATE(IF(ISBLANK('G2 MT Reading Scoresheet'!V31),"",CONCATENATE("MT:",TRIM('G2 MT Reading Scoresheet'!V31)))," ",IF(ISBLANK('G2 FIL Reading Scoresheet'!V31),"",CONCATENATE("FIL:",TRIM('G2 FIL Reading Scoresheet'!V31))))</f>
        <v/>
      </c>
    </row>
    <row r="30" spans="1:17">
      <c r="A30" s="112">
        <v>22</v>
      </c>
      <c r="B30" s="113" t="str">
        <f>IF('G2 MT Reading Scoresheet'!B32&lt;&gt;"",'G2 MT Reading Scoresheet'!B32,"")</f>
        <v/>
      </c>
      <c r="C30" s="114" t="str">
        <f>IF('G2 MT Reading Scoresheet'!C32&lt;&gt;"",'G2 MT Reading Scoresheet'!C32,"")</f>
        <v/>
      </c>
      <c r="D30" s="115" t="str">
        <f>IF('G2 MT Reading Scoresheet'!D32&lt;&gt;"",'G2 MT Reading Scoresheet'!D32,"")</f>
        <v/>
      </c>
      <c r="E30" s="110" t="str">
        <f>'G2 MT Reading Scoresheet'!$J32</f>
        <v/>
      </c>
      <c r="F30" s="111" t="str">
        <f>IF(C30&lt;&gt;"",'G2 MT Reading Scoresheet'!$I32/30,"")</f>
        <v/>
      </c>
      <c r="G30" s="111" t="str">
        <f>IF(AND($C30&lt;&gt;"",$E30&lt;&gt;"Full Refresher"),'G2 MT Reading Scoresheet'!$Q32,"")</f>
        <v/>
      </c>
      <c r="H30" s="111" t="str">
        <f>IF(AND(C30&lt;&gt;"",E30&lt;&gt;"Full Refresher"),'G2 MT Reading Scoresheet'!$R32/6,"")</f>
        <v/>
      </c>
      <c r="I30" s="110" t="str">
        <f>IF(AND(D30&lt;&gt;"",F30&lt;&gt;"Full Refresher"),'G2 MT Reading Scoresheet'!$P32,"")</f>
        <v/>
      </c>
      <c r="J30" s="124" t="str">
        <f>'G2 MT Reading Scoresheet'!$U32</f>
        <v/>
      </c>
      <c r="K30" s="121" t="str">
        <f>'G2 FIL Reading Scoresheet'!$J32</f>
        <v/>
      </c>
      <c r="L30" s="122" t="str">
        <f>IF($C30&lt;&gt;"",'G2 FIL Reading Scoresheet'!$I32/30,"")</f>
        <v/>
      </c>
      <c r="M30" s="122" t="str">
        <f>IF(AND($C30&lt;&gt;"",$K30&lt;&gt;"Full Refresher"),'G2 FIL Reading Scoresheet'!$Q32,"")</f>
        <v/>
      </c>
      <c r="N30" s="122" t="str">
        <f>IF(AND($C30&lt;&gt;"",K30&lt;&gt;"Full Refresher"),'G2 FIL Reading Scoresheet'!$R32/6,"")</f>
        <v/>
      </c>
      <c r="O30" s="121" t="str">
        <f>IF(AND(C30&lt;&gt;"",K30&lt;&gt;"Full Refresher"),'G2 FIL Reading Scoresheet'!$P32,"")</f>
        <v/>
      </c>
      <c r="P30" s="125" t="str">
        <f>'G2 FIL Reading Scoresheet'!$U32</f>
        <v/>
      </c>
      <c r="Q30" s="127" t="str">
        <f>CONCATENATE(IF(ISBLANK('G2 MT Reading Scoresheet'!V32),"",CONCATENATE("MT:",TRIM('G2 MT Reading Scoresheet'!V32)))," ",IF(ISBLANK('G2 FIL Reading Scoresheet'!V32),"",CONCATENATE("FIL:",TRIM('G2 FIL Reading Scoresheet'!V32))))</f>
        <v/>
      </c>
    </row>
    <row r="31" spans="1:17">
      <c r="A31" s="106">
        <v>23</v>
      </c>
      <c r="B31" s="107" t="str">
        <f>IF('G2 MT Reading Scoresheet'!B33&lt;&gt;"",'G2 MT Reading Scoresheet'!B33,"")</f>
        <v/>
      </c>
      <c r="C31" s="108" t="str">
        <f>IF('G2 MT Reading Scoresheet'!C33&lt;&gt;"",'G2 MT Reading Scoresheet'!C33,"")</f>
        <v/>
      </c>
      <c r="D31" s="109" t="str">
        <f>IF('G2 MT Reading Scoresheet'!D33&lt;&gt;"",'G2 MT Reading Scoresheet'!D33,"")</f>
        <v/>
      </c>
      <c r="E31" s="110" t="str">
        <f>'G2 MT Reading Scoresheet'!$J33</f>
        <v/>
      </c>
      <c r="F31" s="111" t="str">
        <f>IF(C31&lt;&gt;"",'G2 MT Reading Scoresheet'!$I33/30,"")</f>
        <v/>
      </c>
      <c r="G31" s="111" t="str">
        <f>IF(AND($C31&lt;&gt;"",$E31&lt;&gt;"Full Refresher"),'G2 MT Reading Scoresheet'!$Q33,"")</f>
        <v/>
      </c>
      <c r="H31" s="111" t="str">
        <f>IF(AND(C31&lt;&gt;"",E31&lt;&gt;"Full Refresher"),'G2 MT Reading Scoresheet'!$R33/6,"")</f>
        <v/>
      </c>
      <c r="I31" s="110" t="str">
        <f>IF(AND(D31&lt;&gt;"",F31&lt;&gt;"Full Refresher"),'G2 MT Reading Scoresheet'!$P33,"")</f>
        <v/>
      </c>
      <c r="J31" s="124" t="str">
        <f>'G2 MT Reading Scoresheet'!$U33</f>
        <v/>
      </c>
      <c r="K31" s="121" t="str">
        <f>'G2 FIL Reading Scoresheet'!$J33</f>
        <v/>
      </c>
      <c r="L31" s="122" t="str">
        <f>IF($C31&lt;&gt;"",'G2 FIL Reading Scoresheet'!$I33/30,"")</f>
        <v/>
      </c>
      <c r="M31" s="122" t="str">
        <f>IF(AND($C31&lt;&gt;"",$K31&lt;&gt;"Full Refresher"),'G2 FIL Reading Scoresheet'!$Q33,"")</f>
        <v/>
      </c>
      <c r="N31" s="122" t="str">
        <f>IF(AND($C31&lt;&gt;"",K31&lt;&gt;"Full Refresher"),'G2 FIL Reading Scoresheet'!$R33/6,"")</f>
        <v/>
      </c>
      <c r="O31" s="121" t="str">
        <f>IF(AND(C31&lt;&gt;"",K31&lt;&gt;"Full Refresher"),'G2 FIL Reading Scoresheet'!$P33,"")</f>
        <v/>
      </c>
      <c r="P31" s="125" t="str">
        <f>'G2 FIL Reading Scoresheet'!$U33</f>
        <v/>
      </c>
      <c r="Q31" s="126" t="str">
        <f>CONCATENATE(IF(ISBLANK('G2 MT Reading Scoresheet'!V33),"",CONCATENATE("MT:",TRIM('G2 MT Reading Scoresheet'!V33)))," ",IF(ISBLANK('G2 FIL Reading Scoresheet'!V33),"",CONCATENATE("FIL:",TRIM('G2 FIL Reading Scoresheet'!V33))))</f>
        <v/>
      </c>
    </row>
    <row r="32" spans="1:17">
      <c r="A32" s="112">
        <v>24</v>
      </c>
      <c r="B32" s="113" t="str">
        <f>IF('G2 MT Reading Scoresheet'!B34&lt;&gt;"",'G2 MT Reading Scoresheet'!B34,"")</f>
        <v/>
      </c>
      <c r="C32" s="114" t="str">
        <f>IF('G2 MT Reading Scoresheet'!C34&lt;&gt;"",'G2 MT Reading Scoresheet'!C34,"")</f>
        <v/>
      </c>
      <c r="D32" s="115" t="str">
        <f>IF('G2 MT Reading Scoresheet'!D34&lt;&gt;"",'G2 MT Reading Scoresheet'!D34,"")</f>
        <v/>
      </c>
      <c r="E32" s="110" t="str">
        <f>'G2 MT Reading Scoresheet'!$J34</f>
        <v/>
      </c>
      <c r="F32" s="111" t="str">
        <f>IF(C32&lt;&gt;"",'G2 MT Reading Scoresheet'!$I34/30,"")</f>
        <v/>
      </c>
      <c r="G32" s="111" t="str">
        <f>IF(AND($C32&lt;&gt;"",$E32&lt;&gt;"Full Refresher"),'G2 MT Reading Scoresheet'!$Q34,"")</f>
        <v/>
      </c>
      <c r="H32" s="111" t="str">
        <f>IF(AND(C32&lt;&gt;"",E32&lt;&gt;"Full Refresher"),'G2 MT Reading Scoresheet'!$R34/6,"")</f>
        <v/>
      </c>
      <c r="I32" s="110" t="str">
        <f>IF(AND(D32&lt;&gt;"",F32&lt;&gt;"Full Refresher"),'G2 MT Reading Scoresheet'!$P34,"")</f>
        <v/>
      </c>
      <c r="J32" s="124" t="str">
        <f>'G2 MT Reading Scoresheet'!$U34</f>
        <v/>
      </c>
      <c r="K32" s="121" t="str">
        <f>'G2 FIL Reading Scoresheet'!$J34</f>
        <v/>
      </c>
      <c r="L32" s="122" t="str">
        <f>IF($C32&lt;&gt;"",'G2 FIL Reading Scoresheet'!$I34/30,"")</f>
        <v/>
      </c>
      <c r="M32" s="122" t="str">
        <f>IF(AND($C32&lt;&gt;"",$K32&lt;&gt;"Full Refresher"),'G2 FIL Reading Scoresheet'!$Q34,"")</f>
        <v/>
      </c>
      <c r="N32" s="122" t="str">
        <f>IF(AND($C32&lt;&gt;"",K32&lt;&gt;"Full Refresher"),'G2 FIL Reading Scoresheet'!$R34/6,"")</f>
        <v/>
      </c>
      <c r="O32" s="121" t="str">
        <f>IF(AND(C32&lt;&gt;"",K32&lt;&gt;"Full Refresher"),'G2 FIL Reading Scoresheet'!$P34,"")</f>
        <v/>
      </c>
      <c r="P32" s="125" t="str">
        <f>'G2 FIL Reading Scoresheet'!$U34</f>
        <v/>
      </c>
      <c r="Q32" s="127" t="str">
        <f>CONCATENATE(IF(ISBLANK('G2 MT Reading Scoresheet'!V34),"",CONCATENATE("MT:",TRIM('G2 MT Reading Scoresheet'!V34)))," ",IF(ISBLANK('G2 FIL Reading Scoresheet'!V34),"",CONCATENATE("FIL:",TRIM('G2 FIL Reading Scoresheet'!V34))))</f>
        <v/>
      </c>
    </row>
    <row r="33" spans="1:17">
      <c r="A33" s="106">
        <v>25</v>
      </c>
      <c r="B33" s="107" t="str">
        <f>IF('G2 MT Reading Scoresheet'!B35&lt;&gt;"",'G2 MT Reading Scoresheet'!B35,"")</f>
        <v/>
      </c>
      <c r="C33" s="108" t="str">
        <f>IF('G2 MT Reading Scoresheet'!C35&lt;&gt;"",'G2 MT Reading Scoresheet'!C35,"")</f>
        <v/>
      </c>
      <c r="D33" s="109" t="str">
        <f>IF('G2 MT Reading Scoresheet'!D35&lt;&gt;"",'G2 MT Reading Scoresheet'!D35,"")</f>
        <v/>
      </c>
      <c r="E33" s="110" t="str">
        <f>'G2 MT Reading Scoresheet'!$J35</f>
        <v/>
      </c>
      <c r="F33" s="111" t="str">
        <f>IF(C33&lt;&gt;"",'G2 MT Reading Scoresheet'!$I35/30,"")</f>
        <v/>
      </c>
      <c r="G33" s="111" t="str">
        <f>IF(AND($C33&lt;&gt;"",$E33&lt;&gt;"Full Refresher"),'G2 MT Reading Scoresheet'!$Q35,"")</f>
        <v/>
      </c>
      <c r="H33" s="111" t="str">
        <f>IF(AND(C33&lt;&gt;"",E33&lt;&gt;"Full Refresher"),'G2 MT Reading Scoresheet'!$R35/6,"")</f>
        <v/>
      </c>
      <c r="I33" s="110" t="str">
        <f>IF(AND(D33&lt;&gt;"",F33&lt;&gt;"Full Refresher"),'G2 MT Reading Scoresheet'!$P35,"")</f>
        <v/>
      </c>
      <c r="J33" s="124" t="str">
        <f>'G2 MT Reading Scoresheet'!$U35</f>
        <v/>
      </c>
      <c r="K33" s="121" t="str">
        <f>'G2 FIL Reading Scoresheet'!$J35</f>
        <v/>
      </c>
      <c r="L33" s="122" t="str">
        <f>IF($C33&lt;&gt;"",'G2 FIL Reading Scoresheet'!$I35/30,"")</f>
        <v/>
      </c>
      <c r="M33" s="122" t="str">
        <f>IF(AND($C33&lt;&gt;"",$K33&lt;&gt;"Full Refresher"),'G2 FIL Reading Scoresheet'!$Q35,"")</f>
        <v/>
      </c>
      <c r="N33" s="122" t="str">
        <f>IF(AND($C33&lt;&gt;"",K33&lt;&gt;"Full Refresher"),'G2 FIL Reading Scoresheet'!$R35/6,"")</f>
        <v/>
      </c>
      <c r="O33" s="121" t="str">
        <f>IF(AND(C33&lt;&gt;"",K33&lt;&gt;"Full Refresher"),'G2 FIL Reading Scoresheet'!$P35,"")</f>
        <v/>
      </c>
      <c r="P33" s="125" t="str">
        <f>'G2 FIL Reading Scoresheet'!$U35</f>
        <v/>
      </c>
      <c r="Q33" s="126" t="str">
        <f>CONCATENATE(IF(ISBLANK('G2 MT Reading Scoresheet'!V35),"",CONCATENATE("MT:",TRIM('G2 MT Reading Scoresheet'!V35)))," ",IF(ISBLANK('G2 FIL Reading Scoresheet'!V35),"",CONCATENATE("FIL:",TRIM('G2 FIL Reading Scoresheet'!V35))))</f>
        <v/>
      </c>
    </row>
    <row r="34" spans="1:17">
      <c r="A34" s="112">
        <v>26</v>
      </c>
      <c r="B34" s="113" t="str">
        <f>IF('G2 MT Reading Scoresheet'!B36&lt;&gt;"",'G2 MT Reading Scoresheet'!B36,"")</f>
        <v/>
      </c>
      <c r="C34" s="114" t="str">
        <f>IF('G2 MT Reading Scoresheet'!C36&lt;&gt;"",'G2 MT Reading Scoresheet'!C36,"")</f>
        <v/>
      </c>
      <c r="D34" s="115" t="str">
        <f>IF('G2 MT Reading Scoresheet'!D36&lt;&gt;"",'G2 MT Reading Scoresheet'!D36,"")</f>
        <v/>
      </c>
      <c r="E34" s="110" t="str">
        <f>'G2 MT Reading Scoresheet'!$J36</f>
        <v/>
      </c>
      <c r="F34" s="111" t="str">
        <f>IF(C34&lt;&gt;"",'G2 MT Reading Scoresheet'!$I36/30,"")</f>
        <v/>
      </c>
      <c r="G34" s="111" t="str">
        <f>IF(AND($C34&lt;&gt;"",$E34&lt;&gt;"Full Refresher"),'G2 MT Reading Scoresheet'!$Q36,"")</f>
        <v/>
      </c>
      <c r="H34" s="111" t="str">
        <f>IF(AND(C34&lt;&gt;"",E34&lt;&gt;"Full Refresher"),'G2 MT Reading Scoresheet'!$R36/6,"")</f>
        <v/>
      </c>
      <c r="I34" s="110" t="str">
        <f>IF(AND(D34&lt;&gt;"",F34&lt;&gt;"Full Refresher"),'G2 MT Reading Scoresheet'!$P36,"")</f>
        <v/>
      </c>
      <c r="J34" s="124" t="str">
        <f>'G2 MT Reading Scoresheet'!$U36</f>
        <v/>
      </c>
      <c r="K34" s="121" t="str">
        <f>'G2 FIL Reading Scoresheet'!$J36</f>
        <v/>
      </c>
      <c r="L34" s="122" t="str">
        <f>IF($C34&lt;&gt;"",'G2 FIL Reading Scoresheet'!$I36/30,"")</f>
        <v/>
      </c>
      <c r="M34" s="122" t="str">
        <f>IF(AND($C34&lt;&gt;"",$K34&lt;&gt;"Full Refresher"),'G2 FIL Reading Scoresheet'!$Q36,"")</f>
        <v/>
      </c>
      <c r="N34" s="122" t="str">
        <f>IF(AND($C34&lt;&gt;"",K34&lt;&gt;"Full Refresher"),'G2 FIL Reading Scoresheet'!$R36/6,"")</f>
        <v/>
      </c>
      <c r="O34" s="121" t="str">
        <f>IF(AND(C34&lt;&gt;"",K34&lt;&gt;"Full Refresher"),'G2 FIL Reading Scoresheet'!$P36,"")</f>
        <v/>
      </c>
      <c r="P34" s="125" t="str">
        <f>'G2 FIL Reading Scoresheet'!$U36</f>
        <v/>
      </c>
      <c r="Q34" s="127" t="str">
        <f>CONCATENATE(IF(ISBLANK('G2 MT Reading Scoresheet'!V36),"",CONCATENATE("MT:",TRIM('G2 MT Reading Scoresheet'!V36)))," ",IF(ISBLANK('G2 FIL Reading Scoresheet'!V36),"",CONCATENATE("FIL:",TRIM('G2 FIL Reading Scoresheet'!V36))))</f>
        <v/>
      </c>
    </row>
    <row r="35" spans="1:17">
      <c r="A35" s="106">
        <v>27</v>
      </c>
      <c r="B35" s="107" t="str">
        <f>IF('G2 MT Reading Scoresheet'!B37&lt;&gt;"",'G2 MT Reading Scoresheet'!B37,"")</f>
        <v/>
      </c>
      <c r="C35" s="108" t="str">
        <f>IF('G2 MT Reading Scoresheet'!C37&lt;&gt;"",'G2 MT Reading Scoresheet'!C37,"")</f>
        <v/>
      </c>
      <c r="D35" s="109" t="str">
        <f>IF('G2 MT Reading Scoresheet'!D37&lt;&gt;"",'G2 MT Reading Scoresheet'!D37,"")</f>
        <v/>
      </c>
      <c r="E35" s="110" t="str">
        <f>'G2 MT Reading Scoresheet'!$J37</f>
        <v/>
      </c>
      <c r="F35" s="111" t="str">
        <f>IF(C35&lt;&gt;"",'G2 MT Reading Scoresheet'!$I37/30,"")</f>
        <v/>
      </c>
      <c r="G35" s="111" t="str">
        <f>IF(AND($C35&lt;&gt;"",$E35&lt;&gt;"Full Refresher"),'G2 MT Reading Scoresheet'!$Q37,"")</f>
        <v/>
      </c>
      <c r="H35" s="111" t="str">
        <f>IF(AND(C35&lt;&gt;"",E35&lt;&gt;"Full Refresher"),'G2 MT Reading Scoresheet'!$R37/6,"")</f>
        <v/>
      </c>
      <c r="I35" s="110" t="str">
        <f>IF(AND(D35&lt;&gt;"",F35&lt;&gt;"Full Refresher"),'G2 MT Reading Scoresheet'!$P37,"")</f>
        <v/>
      </c>
      <c r="J35" s="124" t="str">
        <f>'G2 MT Reading Scoresheet'!$U37</f>
        <v/>
      </c>
      <c r="K35" s="121" t="str">
        <f>'G2 FIL Reading Scoresheet'!$J37</f>
        <v/>
      </c>
      <c r="L35" s="122" t="str">
        <f>IF($C35&lt;&gt;"",'G2 FIL Reading Scoresheet'!$I37/30,"")</f>
        <v/>
      </c>
      <c r="M35" s="122" t="str">
        <f>IF(AND($C35&lt;&gt;"",$K35&lt;&gt;"Full Refresher"),'G2 FIL Reading Scoresheet'!$Q37,"")</f>
        <v/>
      </c>
      <c r="N35" s="122" t="str">
        <f>IF(AND($C35&lt;&gt;"",K35&lt;&gt;"Full Refresher"),'G2 FIL Reading Scoresheet'!$R37/6,"")</f>
        <v/>
      </c>
      <c r="O35" s="121" t="str">
        <f>IF(AND(C35&lt;&gt;"",K35&lt;&gt;"Full Refresher"),'G2 FIL Reading Scoresheet'!$P37,"")</f>
        <v/>
      </c>
      <c r="P35" s="125" t="str">
        <f>'G2 FIL Reading Scoresheet'!$U37</f>
        <v/>
      </c>
      <c r="Q35" s="126" t="str">
        <f>CONCATENATE(IF(ISBLANK('G2 MT Reading Scoresheet'!V37),"",CONCATENATE("MT:",TRIM('G2 MT Reading Scoresheet'!V37)))," ",IF(ISBLANK('G2 FIL Reading Scoresheet'!V37),"",CONCATENATE("FIL:",TRIM('G2 FIL Reading Scoresheet'!V37))))</f>
        <v/>
      </c>
    </row>
    <row r="36" spans="1:17">
      <c r="A36" s="112">
        <v>28</v>
      </c>
      <c r="B36" s="113" t="str">
        <f>IF('G2 MT Reading Scoresheet'!B38&lt;&gt;"",'G2 MT Reading Scoresheet'!B38,"")</f>
        <v/>
      </c>
      <c r="C36" s="114" t="str">
        <f>IF('G2 MT Reading Scoresheet'!C38&lt;&gt;"",'G2 MT Reading Scoresheet'!C38,"")</f>
        <v/>
      </c>
      <c r="D36" s="115" t="str">
        <f>IF('G2 MT Reading Scoresheet'!D38&lt;&gt;"",'G2 MT Reading Scoresheet'!D38,"")</f>
        <v/>
      </c>
      <c r="E36" s="110" t="str">
        <f>'G2 MT Reading Scoresheet'!$J38</f>
        <v/>
      </c>
      <c r="F36" s="111" t="str">
        <f>IF(C36&lt;&gt;"",'G2 MT Reading Scoresheet'!$I38/30,"")</f>
        <v/>
      </c>
      <c r="G36" s="111" t="str">
        <f>IF(AND($C36&lt;&gt;"",$E36&lt;&gt;"Full Refresher"),'G2 MT Reading Scoresheet'!$Q38,"")</f>
        <v/>
      </c>
      <c r="H36" s="111" t="str">
        <f>IF(AND(C36&lt;&gt;"",E36&lt;&gt;"Full Refresher"),'G2 MT Reading Scoresheet'!$R38/6,"")</f>
        <v/>
      </c>
      <c r="I36" s="110" t="str">
        <f>IF(AND(D36&lt;&gt;"",F36&lt;&gt;"Full Refresher"),'G2 MT Reading Scoresheet'!$P38,"")</f>
        <v/>
      </c>
      <c r="J36" s="124" t="str">
        <f>'G2 MT Reading Scoresheet'!$U38</f>
        <v/>
      </c>
      <c r="K36" s="121" t="str">
        <f>'G2 FIL Reading Scoresheet'!$J38</f>
        <v/>
      </c>
      <c r="L36" s="122" t="str">
        <f>IF($C36&lt;&gt;"",'G2 FIL Reading Scoresheet'!$I38/30,"")</f>
        <v/>
      </c>
      <c r="M36" s="122" t="str">
        <f>IF(AND($C36&lt;&gt;"",$K36&lt;&gt;"Full Refresher"),'G2 FIL Reading Scoresheet'!$Q38,"")</f>
        <v/>
      </c>
      <c r="N36" s="122" t="str">
        <f>IF(AND($C36&lt;&gt;"",K36&lt;&gt;"Full Refresher"),'G2 FIL Reading Scoresheet'!$R38/6,"")</f>
        <v/>
      </c>
      <c r="O36" s="121" t="str">
        <f>IF(AND(C36&lt;&gt;"",K36&lt;&gt;"Full Refresher"),'G2 FIL Reading Scoresheet'!$P38,"")</f>
        <v/>
      </c>
      <c r="P36" s="125" t="str">
        <f>'G2 FIL Reading Scoresheet'!$U38</f>
        <v/>
      </c>
      <c r="Q36" s="127" t="str">
        <f>CONCATENATE(IF(ISBLANK('G2 MT Reading Scoresheet'!V38),"",CONCATENATE("MT:",TRIM('G2 MT Reading Scoresheet'!V38)))," ",IF(ISBLANK('G2 FIL Reading Scoresheet'!V38),"",CONCATENATE("FIL:",TRIM('G2 FIL Reading Scoresheet'!V38))))</f>
        <v/>
      </c>
    </row>
    <row r="37" spans="1:17">
      <c r="A37" s="106">
        <v>29</v>
      </c>
      <c r="B37" s="107" t="str">
        <f>IF('G2 MT Reading Scoresheet'!B39&lt;&gt;"",'G2 MT Reading Scoresheet'!B39,"")</f>
        <v/>
      </c>
      <c r="C37" s="108" t="str">
        <f>IF('G2 MT Reading Scoresheet'!C39&lt;&gt;"",'G2 MT Reading Scoresheet'!C39,"")</f>
        <v/>
      </c>
      <c r="D37" s="109" t="str">
        <f>IF('G2 MT Reading Scoresheet'!D39&lt;&gt;"",'G2 MT Reading Scoresheet'!D39,"")</f>
        <v/>
      </c>
      <c r="E37" s="110" t="str">
        <f>'G2 MT Reading Scoresheet'!$J39</f>
        <v/>
      </c>
      <c r="F37" s="111" t="str">
        <f>IF(C37&lt;&gt;"",'G2 MT Reading Scoresheet'!$I39/30,"")</f>
        <v/>
      </c>
      <c r="G37" s="111" t="str">
        <f>IF(AND($C37&lt;&gt;"",$E37&lt;&gt;"Full Refresher"),'G2 MT Reading Scoresheet'!$Q39,"")</f>
        <v/>
      </c>
      <c r="H37" s="111" t="str">
        <f>IF(AND(C37&lt;&gt;"",E37&lt;&gt;"Full Refresher"),'G2 MT Reading Scoresheet'!$R39/6,"")</f>
        <v/>
      </c>
      <c r="I37" s="110" t="str">
        <f>IF(AND(D37&lt;&gt;"",F37&lt;&gt;"Full Refresher"),'G2 MT Reading Scoresheet'!$P39,"")</f>
        <v/>
      </c>
      <c r="J37" s="124" t="str">
        <f>'G2 MT Reading Scoresheet'!$U39</f>
        <v/>
      </c>
      <c r="K37" s="121" t="str">
        <f>'G2 FIL Reading Scoresheet'!$J39</f>
        <v/>
      </c>
      <c r="L37" s="122" t="str">
        <f>IF($C37&lt;&gt;"",'G2 FIL Reading Scoresheet'!$I39/30,"")</f>
        <v/>
      </c>
      <c r="M37" s="122" t="str">
        <f>IF(AND($C37&lt;&gt;"",$K37&lt;&gt;"Full Refresher"),'G2 FIL Reading Scoresheet'!$Q39,"")</f>
        <v/>
      </c>
      <c r="N37" s="122" t="str">
        <f>IF(AND($C37&lt;&gt;"",K37&lt;&gt;"Full Refresher"),'G2 FIL Reading Scoresheet'!$R39/6,"")</f>
        <v/>
      </c>
      <c r="O37" s="121" t="str">
        <f>IF(AND(C37&lt;&gt;"",K37&lt;&gt;"Full Refresher"),'G2 FIL Reading Scoresheet'!$P39,"")</f>
        <v/>
      </c>
      <c r="P37" s="125" t="str">
        <f>'G2 FIL Reading Scoresheet'!$U39</f>
        <v/>
      </c>
      <c r="Q37" s="126" t="str">
        <f>CONCATENATE(IF(ISBLANK('G2 MT Reading Scoresheet'!V39),"",CONCATENATE("MT:",TRIM('G2 MT Reading Scoresheet'!V39)))," ",IF(ISBLANK('G2 FIL Reading Scoresheet'!V39),"",CONCATENATE("FIL:",TRIM('G2 FIL Reading Scoresheet'!V39))))</f>
        <v/>
      </c>
    </row>
    <row r="38" spans="1:17">
      <c r="A38" s="112">
        <v>30</v>
      </c>
      <c r="B38" s="113" t="str">
        <f>IF('G2 MT Reading Scoresheet'!B40&lt;&gt;"",'G2 MT Reading Scoresheet'!B40,"")</f>
        <v/>
      </c>
      <c r="C38" s="114" t="str">
        <f>IF('G2 MT Reading Scoresheet'!C40&lt;&gt;"",'G2 MT Reading Scoresheet'!C40,"")</f>
        <v/>
      </c>
      <c r="D38" s="115" t="str">
        <f>IF('G2 MT Reading Scoresheet'!D40&lt;&gt;"",'G2 MT Reading Scoresheet'!D40,"")</f>
        <v/>
      </c>
      <c r="E38" s="110" t="str">
        <f>'G2 MT Reading Scoresheet'!$J40</f>
        <v/>
      </c>
      <c r="F38" s="111" t="str">
        <f>IF(C38&lt;&gt;"",'G2 MT Reading Scoresheet'!$I40/30,"")</f>
        <v/>
      </c>
      <c r="G38" s="111" t="str">
        <f>IF(AND($C38&lt;&gt;"",$E38&lt;&gt;"Full Refresher"),'G2 MT Reading Scoresheet'!$Q40,"")</f>
        <v/>
      </c>
      <c r="H38" s="111" t="str">
        <f>IF(AND(C38&lt;&gt;"",E38&lt;&gt;"Full Refresher"),'G2 MT Reading Scoresheet'!$R40/6,"")</f>
        <v/>
      </c>
      <c r="I38" s="110" t="str">
        <f>IF(AND(D38&lt;&gt;"",F38&lt;&gt;"Full Refresher"),'G2 MT Reading Scoresheet'!$P40,"")</f>
        <v/>
      </c>
      <c r="J38" s="124" t="str">
        <f>'G2 MT Reading Scoresheet'!$U40</f>
        <v/>
      </c>
      <c r="K38" s="121" t="str">
        <f>'G2 FIL Reading Scoresheet'!$J40</f>
        <v/>
      </c>
      <c r="L38" s="122" t="str">
        <f>IF($C38&lt;&gt;"",'G2 FIL Reading Scoresheet'!$I40/30,"")</f>
        <v/>
      </c>
      <c r="M38" s="122" t="str">
        <f>IF(AND($C38&lt;&gt;"",$K38&lt;&gt;"Full Refresher"),'G2 FIL Reading Scoresheet'!$Q40,"")</f>
        <v/>
      </c>
      <c r="N38" s="122" t="str">
        <f>IF(AND($C38&lt;&gt;"",K38&lt;&gt;"Full Refresher"),'G2 FIL Reading Scoresheet'!$R40/6,"")</f>
        <v/>
      </c>
      <c r="O38" s="121" t="str">
        <f>IF(AND(C38&lt;&gt;"",K38&lt;&gt;"Full Refresher"),'G2 FIL Reading Scoresheet'!$P40,"")</f>
        <v/>
      </c>
      <c r="P38" s="125" t="str">
        <f>'G2 FIL Reading Scoresheet'!$U40</f>
        <v/>
      </c>
      <c r="Q38" s="127" t="str">
        <f>CONCATENATE(IF(ISBLANK('G2 MT Reading Scoresheet'!V40),"",CONCATENATE("MT:",TRIM('G2 MT Reading Scoresheet'!V40)))," ",IF(ISBLANK('G2 FIL Reading Scoresheet'!V40),"",CONCATENATE("FIL:",TRIM('G2 FIL Reading Scoresheet'!V40))))</f>
        <v/>
      </c>
    </row>
    <row r="39" spans="1:17">
      <c r="A39" s="106">
        <v>31</v>
      </c>
      <c r="B39" s="107" t="str">
        <f>IF('G2 MT Reading Scoresheet'!B41&lt;&gt;"",'G2 MT Reading Scoresheet'!B41,"")</f>
        <v/>
      </c>
      <c r="C39" s="108" t="str">
        <f>IF('G2 MT Reading Scoresheet'!C41&lt;&gt;"",'G2 MT Reading Scoresheet'!C41,"")</f>
        <v/>
      </c>
      <c r="D39" s="109" t="str">
        <f>IF('G2 MT Reading Scoresheet'!D41&lt;&gt;"",'G2 MT Reading Scoresheet'!D41,"")</f>
        <v/>
      </c>
      <c r="E39" s="110" t="str">
        <f>'G2 MT Reading Scoresheet'!$J41</f>
        <v/>
      </c>
      <c r="F39" s="111" t="str">
        <f>IF(C39&lt;&gt;"",'G2 MT Reading Scoresheet'!$I41/30,"")</f>
        <v/>
      </c>
      <c r="G39" s="111" t="str">
        <f>IF(AND($C39&lt;&gt;"",$E39&lt;&gt;"Full Refresher"),'G2 MT Reading Scoresheet'!$Q41,"")</f>
        <v/>
      </c>
      <c r="H39" s="111" t="str">
        <f>IF(AND(C39&lt;&gt;"",E39&lt;&gt;"Full Refresher"),'G2 MT Reading Scoresheet'!$R41/6,"")</f>
        <v/>
      </c>
      <c r="I39" s="110" t="str">
        <f>IF(AND(D39&lt;&gt;"",F39&lt;&gt;"Full Refresher"),'G2 MT Reading Scoresheet'!$P41,"")</f>
        <v/>
      </c>
      <c r="J39" s="124" t="str">
        <f>'G2 MT Reading Scoresheet'!$U41</f>
        <v/>
      </c>
      <c r="K39" s="121" t="str">
        <f>'G2 FIL Reading Scoresheet'!$J41</f>
        <v/>
      </c>
      <c r="L39" s="122" t="str">
        <f>IF($C39&lt;&gt;"",'G2 FIL Reading Scoresheet'!$I41/30,"")</f>
        <v/>
      </c>
      <c r="M39" s="122" t="str">
        <f>IF(AND($C39&lt;&gt;"",$K39&lt;&gt;"Full Refresher"),'G2 FIL Reading Scoresheet'!$Q41,"")</f>
        <v/>
      </c>
      <c r="N39" s="122" t="str">
        <f>IF(AND($C39&lt;&gt;"",K39&lt;&gt;"Full Refresher"),'G2 FIL Reading Scoresheet'!$R41/6,"")</f>
        <v/>
      </c>
      <c r="O39" s="121" t="str">
        <f>IF(AND(C39&lt;&gt;"",K39&lt;&gt;"Full Refresher"),'G2 FIL Reading Scoresheet'!$P41,"")</f>
        <v/>
      </c>
      <c r="P39" s="125" t="str">
        <f>'G2 FIL Reading Scoresheet'!$U41</f>
        <v/>
      </c>
      <c r="Q39" s="126" t="str">
        <f>CONCATENATE(IF(ISBLANK('G2 MT Reading Scoresheet'!V41),"",CONCATENATE("MT:",TRIM('G2 MT Reading Scoresheet'!V41)))," ",IF(ISBLANK('G2 FIL Reading Scoresheet'!V41),"",CONCATENATE("FIL:",TRIM('G2 FIL Reading Scoresheet'!V41))))</f>
        <v/>
      </c>
    </row>
    <row r="40" spans="1:17">
      <c r="A40" s="112">
        <v>32</v>
      </c>
      <c r="B40" s="113" t="str">
        <f>IF('G2 MT Reading Scoresheet'!B42&lt;&gt;"",'G2 MT Reading Scoresheet'!B42,"")</f>
        <v/>
      </c>
      <c r="C40" s="114" t="str">
        <f>IF('G2 MT Reading Scoresheet'!C42&lt;&gt;"",'G2 MT Reading Scoresheet'!C42,"")</f>
        <v/>
      </c>
      <c r="D40" s="115" t="str">
        <f>IF('G2 MT Reading Scoresheet'!D42&lt;&gt;"",'G2 MT Reading Scoresheet'!D42,"")</f>
        <v/>
      </c>
      <c r="E40" s="110" t="str">
        <f>'G2 MT Reading Scoresheet'!$J42</f>
        <v/>
      </c>
      <c r="F40" s="111" t="str">
        <f>IF(C40&lt;&gt;"",'G2 MT Reading Scoresheet'!$I42/30,"")</f>
        <v/>
      </c>
      <c r="G40" s="111" t="str">
        <f>IF(AND($C40&lt;&gt;"",$E40&lt;&gt;"Full Refresher"),'G2 MT Reading Scoresheet'!$Q42,"")</f>
        <v/>
      </c>
      <c r="H40" s="111" t="str">
        <f>IF(AND(C40&lt;&gt;"",E40&lt;&gt;"Full Refresher"),'G2 MT Reading Scoresheet'!$R42/6,"")</f>
        <v/>
      </c>
      <c r="I40" s="110" t="str">
        <f>IF(AND(D40&lt;&gt;"",F40&lt;&gt;"Full Refresher"),'G2 MT Reading Scoresheet'!$P42,"")</f>
        <v/>
      </c>
      <c r="J40" s="124" t="str">
        <f>'G2 MT Reading Scoresheet'!$U42</f>
        <v/>
      </c>
      <c r="K40" s="121" t="str">
        <f>'G2 FIL Reading Scoresheet'!$J42</f>
        <v/>
      </c>
      <c r="L40" s="122" t="str">
        <f>IF($C40&lt;&gt;"",'G2 FIL Reading Scoresheet'!$I42/30,"")</f>
        <v/>
      </c>
      <c r="M40" s="122" t="str">
        <f>IF(AND($C40&lt;&gt;"",$K40&lt;&gt;"Full Refresher"),'G2 FIL Reading Scoresheet'!$Q42,"")</f>
        <v/>
      </c>
      <c r="N40" s="122" t="str">
        <f>IF(AND($C40&lt;&gt;"",K40&lt;&gt;"Full Refresher"),'G2 FIL Reading Scoresheet'!$R42/6,"")</f>
        <v/>
      </c>
      <c r="O40" s="121" t="str">
        <f>IF(AND(C40&lt;&gt;"",K40&lt;&gt;"Full Refresher"),'G2 FIL Reading Scoresheet'!$P42,"")</f>
        <v/>
      </c>
      <c r="P40" s="125" t="str">
        <f>'G2 FIL Reading Scoresheet'!$U42</f>
        <v/>
      </c>
      <c r="Q40" s="127" t="str">
        <f>CONCATENATE(IF(ISBLANK('G2 MT Reading Scoresheet'!V42),"",CONCATENATE("MT:",TRIM('G2 MT Reading Scoresheet'!V42)))," ",IF(ISBLANK('G2 FIL Reading Scoresheet'!V42),"",CONCATENATE("FIL:",TRIM('G2 FIL Reading Scoresheet'!V42))))</f>
        <v/>
      </c>
    </row>
    <row r="41" spans="1:17">
      <c r="A41" s="106">
        <v>33</v>
      </c>
      <c r="B41" s="107" t="str">
        <f>IF('G2 MT Reading Scoresheet'!B43&lt;&gt;"",'G2 MT Reading Scoresheet'!B43,"")</f>
        <v/>
      </c>
      <c r="C41" s="108" t="str">
        <f>IF('G2 MT Reading Scoresheet'!C43&lt;&gt;"",'G2 MT Reading Scoresheet'!C43,"")</f>
        <v/>
      </c>
      <c r="D41" s="109" t="str">
        <f>IF('G2 MT Reading Scoresheet'!D43&lt;&gt;"",'G2 MT Reading Scoresheet'!D43,"")</f>
        <v/>
      </c>
      <c r="E41" s="110" t="str">
        <f>'G2 MT Reading Scoresheet'!$J43</f>
        <v/>
      </c>
      <c r="F41" s="111" t="str">
        <f>IF(C41&lt;&gt;"",'G2 MT Reading Scoresheet'!$I43/30,"")</f>
        <v/>
      </c>
      <c r="G41" s="111" t="str">
        <f>IF(AND($C41&lt;&gt;"",$E41&lt;&gt;"Full Refresher"),'G2 MT Reading Scoresheet'!$Q43,"")</f>
        <v/>
      </c>
      <c r="H41" s="111" t="str">
        <f>IF(AND(C41&lt;&gt;"",E41&lt;&gt;"Full Refresher"),'G2 MT Reading Scoresheet'!$R43/6,"")</f>
        <v/>
      </c>
      <c r="I41" s="110" t="str">
        <f>IF(AND(D41&lt;&gt;"",F41&lt;&gt;"Full Refresher"),'G2 MT Reading Scoresheet'!$P43,"")</f>
        <v/>
      </c>
      <c r="J41" s="124" t="str">
        <f>'G2 MT Reading Scoresheet'!$U43</f>
        <v/>
      </c>
      <c r="K41" s="121" t="str">
        <f>'G2 FIL Reading Scoresheet'!$J43</f>
        <v/>
      </c>
      <c r="L41" s="122" t="str">
        <f>IF($C41&lt;&gt;"",'G2 FIL Reading Scoresheet'!$I43/30,"")</f>
        <v/>
      </c>
      <c r="M41" s="122" t="str">
        <f>IF(AND($C41&lt;&gt;"",$K41&lt;&gt;"Full Refresher"),'G2 FIL Reading Scoresheet'!$Q43,"")</f>
        <v/>
      </c>
      <c r="N41" s="122" t="str">
        <f>IF(AND($C41&lt;&gt;"",K41&lt;&gt;"Full Refresher"),'G2 FIL Reading Scoresheet'!$R43/6,"")</f>
        <v/>
      </c>
      <c r="O41" s="121" t="str">
        <f>IF(AND(C41&lt;&gt;"",K41&lt;&gt;"Full Refresher"),'G2 FIL Reading Scoresheet'!$P43,"")</f>
        <v/>
      </c>
      <c r="P41" s="125" t="str">
        <f>'G2 FIL Reading Scoresheet'!$U43</f>
        <v/>
      </c>
      <c r="Q41" s="126" t="str">
        <f>CONCATENATE(IF(ISBLANK('G2 MT Reading Scoresheet'!V43),"",CONCATENATE("MT:",TRIM('G2 MT Reading Scoresheet'!V43)))," ",IF(ISBLANK('G2 FIL Reading Scoresheet'!V43),"",CONCATENATE("FIL:",TRIM('G2 FIL Reading Scoresheet'!V43))))</f>
        <v/>
      </c>
    </row>
    <row r="42" spans="1:17">
      <c r="A42" s="112">
        <v>34</v>
      </c>
      <c r="B42" s="113" t="str">
        <f>IF('G2 MT Reading Scoresheet'!B44&lt;&gt;"",'G2 MT Reading Scoresheet'!B44,"")</f>
        <v/>
      </c>
      <c r="C42" s="114" t="str">
        <f>IF('G2 MT Reading Scoresheet'!C44&lt;&gt;"",'G2 MT Reading Scoresheet'!C44,"")</f>
        <v/>
      </c>
      <c r="D42" s="115" t="str">
        <f>IF('G2 MT Reading Scoresheet'!D44&lt;&gt;"",'G2 MT Reading Scoresheet'!D44,"")</f>
        <v/>
      </c>
      <c r="E42" s="110" t="str">
        <f>'G2 MT Reading Scoresheet'!$J44</f>
        <v/>
      </c>
      <c r="F42" s="111" t="str">
        <f>IF(C42&lt;&gt;"",'G2 MT Reading Scoresheet'!$I44/30,"")</f>
        <v/>
      </c>
      <c r="G42" s="111" t="str">
        <f>IF(AND($C42&lt;&gt;"",$E42&lt;&gt;"Full Refresher"),'G2 MT Reading Scoresheet'!$Q44,"")</f>
        <v/>
      </c>
      <c r="H42" s="111" t="str">
        <f>IF(AND(C42&lt;&gt;"",E42&lt;&gt;"Full Refresher"),'G2 MT Reading Scoresheet'!$R44/6,"")</f>
        <v/>
      </c>
      <c r="I42" s="110" t="str">
        <f>IF(AND(D42&lt;&gt;"",F42&lt;&gt;"Full Refresher"),'G2 MT Reading Scoresheet'!$P44,"")</f>
        <v/>
      </c>
      <c r="J42" s="124" t="str">
        <f>'G2 MT Reading Scoresheet'!$U44</f>
        <v/>
      </c>
      <c r="K42" s="121" t="str">
        <f>'G2 FIL Reading Scoresheet'!$J44</f>
        <v/>
      </c>
      <c r="L42" s="122" t="str">
        <f>IF($C42&lt;&gt;"",'G2 FIL Reading Scoresheet'!$I44/30,"")</f>
        <v/>
      </c>
      <c r="M42" s="122" t="str">
        <f>IF(AND($C42&lt;&gt;"",$K42&lt;&gt;"Full Refresher"),'G2 FIL Reading Scoresheet'!$Q44,"")</f>
        <v/>
      </c>
      <c r="N42" s="122" t="str">
        <f>IF(AND($C42&lt;&gt;"",K42&lt;&gt;"Full Refresher"),'G2 FIL Reading Scoresheet'!$R44/6,"")</f>
        <v/>
      </c>
      <c r="O42" s="121" t="str">
        <f>IF(AND(C42&lt;&gt;"",K42&lt;&gt;"Full Refresher"),'G2 FIL Reading Scoresheet'!$P44,"")</f>
        <v/>
      </c>
      <c r="P42" s="125" t="str">
        <f>'G2 FIL Reading Scoresheet'!$U44</f>
        <v/>
      </c>
      <c r="Q42" s="127" t="str">
        <f>CONCATENATE(IF(ISBLANK('G2 MT Reading Scoresheet'!V44),"",CONCATENATE("MT:",TRIM('G2 MT Reading Scoresheet'!V44)))," ",IF(ISBLANK('G2 FIL Reading Scoresheet'!V44),"",CONCATENATE("FIL:",TRIM('G2 FIL Reading Scoresheet'!V44))))</f>
        <v/>
      </c>
    </row>
    <row r="43" spans="1:17">
      <c r="A43" s="106">
        <v>35</v>
      </c>
      <c r="B43" s="107" t="str">
        <f>IF('G2 MT Reading Scoresheet'!B45&lt;&gt;"",'G2 MT Reading Scoresheet'!B45,"")</f>
        <v/>
      </c>
      <c r="C43" s="108" t="str">
        <f>IF('G2 MT Reading Scoresheet'!C45&lt;&gt;"",'G2 MT Reading Scoresheet'!C45,"")</f>
        <v/>
      </c>
      <c r="D43" s="109" t="str">
        <f>IF('G2 MT Reading Scoresheet'!D45&lt;&gt;"",'G2 MT Reading Scoresheet'!D45,"")</f>
        <v/>
      </c>
      <c r="E43" s="110" t="str">
        <f>'G2 MT Reading Scoresheet'!$J45</f>
        <v/>
      </c>
      <c r="F43" s="111" t="str">
        <f>IF(C43&lt;&gt;"",'G2 MT Reading Scoresheet'!$I45/30,"")</f>
        <v/>
      </c>
      <c r="G43" s="111" t="str">
        <f>IF(AND($C43&lt;&gt;"",$E43&lt;&gt;"Full Refresher"),'G2 MT Reading Scoresheet'!$Q45,"")</f>
        <v/>
      </c>
      <c r="H43" s="111" t="str">
        <f>IF(AND(C43&lt;&gt;"",E43&lt;&gt;"Full Refresher"),'G2 MT Reading Scoresheet'!$R45/6,"")</f>
        <v/>
      </c>
      <c r="I43" s="110" t="str">
        <f>IF(AND(D43&lt;&gt;"",F43&lt;&gt;"Full Refresher"),'G2 MT Reading Scoresheet'!$P45,"")</f>
        <v/>
      </c>
      <c r="J43" s="124" t="str">
        <f>'G2 MT Reading Scoresheet'!$U45</f>
        <v/>
      </c>
      <c r="K43" s="121" t="str">
        <f>'G2 FIL Reading Scoresheet'!$J45</f>
        <v/>
      </c>
      <c r="L43" s="122" t="str">
        <f>IF($C43&lt;&gt;"",'G2 FIL Reading Scoresheet'!$I45/30,"")</f>
        <v/>
      </c>
      <c r="M43" s="122" t="str">
        <f>IF(AND($C43&lt;&gt;"",$K43&lt;&gt;"Full Refresher"),'G2 FIL Reading Scoresheet'!$Q45,"")</f>
        <v/>
      </c>
      <c r="N43" s="122" t="str">
        <f>IF(AND($C43&lt;&gt;"",K43&lt;&gt;"Full Refresher"),'G2 FIL Reading Scoresheet'!$R45/6,"")</f>
        <v/>
      </c>
      <c r="O43" s="121" t="str">
        <f>IF(AND(C43&lt;&gt;"",K43&lt;&gt;"Full Refresher"),'G2 FIL Reading Scoresheet'!$P45,"")</f>
        <v/>
      </c>
      <c r="P43" s="125" t="str">
        <f>'G2 FIL Reading Scoresheet'!$U45</f>
        <v/>
      </c>
      <c r="Q43" s="126" t="str">
        <f>CONCATENATE(IF(ISBLANK('G2 MT Reading Scoresheet'!V45),"",CONCATENATE("MT:",TRIM('G2 MT Reading Scoresheet'!V45)))," ",IF(ISBLANK('G2 FIL Reading Scoresheet'!V45),"",CONCATENATE("FIL:",TRIM('G2 FIL Reading Scoresheet'!V45))))</f>
        <v/>
      </c>
    </row>
    <row r="44" spans="1:17">
      <c r="A44" s="112">
        <v>36</v>
      </c>
      <c r="B44" s="113" t="str">
        <f>IF('G2 MT Reading Scoresheet'!B46&lt;&gt;"",'G2 MT Reading Scoresheet'!B46,"")</f>
        <v/>
      </c>
      <c r="C44" s="114" t="str">
        <f>IF('G2 MT Reading Scoresheet'!C46&lt;&gt;"",'G2 MT Reading Scoresheet'!C46,"")</f>
        <v/>
      </c>
      <c r="D44" s="115" t="str">
        <f>IF('G2 MT Reading Scoresheet'!D46&lt;&gt;"",'G2 MT Reading Scoresheet'!D46,"")</f>
        <v/>
      </c>
      <c r="E44" s="110" t="str">
        <f>'G2 MT Reading Scoresheet'!$J46</f>
        <v/>
      </c>
      <c r="F44" s="111" t="str">
        <f>IF(C44&lt;&gt;"",'G2 MT Reading Scoresheet'!$I46/30,"")</f>
        <v/>
      </c>
      <c r="G44" s="111" t="str">
        <f>IF(AND($C44&lt;&gt;"",$E44&lt;&gt;"Full Refresher"),'G2 MT Reading Scoresheet'!$Q46,"")</f>
        <v/>
      </c>
      <c r="H44" s="111" t="str">
        <f>IF(AND(C44&lt;&gt;"",E44&lt;&gt;"Full Refresher"),'G2 MT Reading Scoresheet'!$R46/6,"")</f>
        <v/>
      </c>
      <c r="I44" s="110" t="str">
        <f>IF(AND(D44&lt;&gt;"",F44&lt;&gt;"Full Refresher"),'G2 MT Reading Scoresheet'!$P46,"")</f>
        <v/>
      </c>
      <c r="J44" s="124" t="str">
        <f>'G2 MT Reading Scoresheet'!$U46</f>
        <v/>
      </c>
      <c r="K44" s="121" t="str">
        <f>'G2 FIL Reading Scoresheet'!$J46</f>
        <v/>
      </c>
      <c r="L44" s="122" t="str">
        <f>IF($C44&lt;&gt;"",'G2 FIL Reading Scoresheet'!$I46/30,"")</f>
        <v/>
      </c>
      <c r="M44" s="122" t="str">
        <f>IF(AND($C44&lt;&gt;"",$K44&lt;&gt;"Full Refresher"),'G2 FIL Reading Scoresheet'!$Q46,"")</f>
        <v/>
      </c>
      <c r="N44" s="122" t="str">
        <f>IF(AND($C44&lt;&gt;"",K44&lt;&gt;"Full Refresher"),'G2 FIL Reading Scoresheet'!$R46/6,"")</f>
        <v/>
      </c>
      <c r="O44" s="121" t="str">
        <f>IF(AND(C44&lt;&gt;"",K44&lt;&gt;"Full Refresher"),'G2 FIL Reading Scoresheet'!$P46,"")</f>
        <v/>
      </c>
      <c r="P44" s="125" t="str">
        <f>'G2 FIL Reading Scoresheet'!$U46</f>
        <v/>
      </c>
      <c r="Q44" s="127" t="str">
        <f>CONCATENATE(IF(ISBLANK('G2 MT Reading Scoresheet'!V46),"",CONCATENATE("MT:",TRIM('G2 MT Reading Scoresheet'!V46)))," ",IF(ISBLANK('G2 FIL Reading Scoresheet'!V46),"",CONCATENATE("FIL:",TRIM('G2 FIL Reading Scoresheet'!V46))))</f>
        <v/>
      </c>
    </row>
    <row r="45" spans="1:17">
      <c r="A45" s="106">
        <v>37</v>
      </c>
      <c r="B45" s="107" t="str">
        <f>IF('G2 MT Reading Scoresheet'!B47&lt;&gt;"",'G2 MT Reading Scoresheet'!B47,"")</f>
        <v/>
      </c>
      <c r="C45" s="108" t="str">
        <f>IF('G2 MT Reading Scoresheet'!C47&lt;&gt;"",'G2 MT Reading Scoresheet'!C47,"")</f>
        <v/>
      </c>
      <c r="D45" s="109" t="str">
        <f>IF('G2 MT Reading Scoresheet'!D47&lt;&gt;"",'G2 MT Reading Scoresheet'!D47,"")</f>
        <v/>
      </c>
      <c r="E45" s="110" t="str">
        <f>'G2 MT Reading Scoresheet'!$J47</f>
        <v/>
      </c>
      <c r="F45" s="111" t="str">
        <f>IF(C45&lt;&gt;"",'G2 MT Reading Scoresheet'!$I47/30,"")</f>
        <v/>
      </c>
      <c r="G45" s="111" t="str">
        <f>IF(AND($C45&lt;&gt;"",$E45&lt;&gt;"Full Refresher"),'G2 MT Reading Scoresheet'!$Q47,"")</f>
        <v/>
      </c>
      <c r="H45" s="111" t="str">
        <f>IF(AND(C45&lt;&gt;"",E45&lt;&gt;"Full Refresher"),'G2 MT Reading Scoresheet'!$R47/6,"")</f>
        <v/>
      </c>
      <c r="I45" s="110" t="str">
        <f>IF(AND(D45&lt;&gt;"",F45&lt;&gt;"Full Refresher"),'G2 MT Reading Scoresheet'!$P47,"")</f>
        <v/>
      </c>
      <c r="J45" s="124" t="str">
        <f>'G2 MT Reading Scoresheet'!$U47</f>
        <v/>
      </c>
      <c r="K45" s="121" t="str">
        <f>'G2 FIL Reading Scoresheet'!$J47</f>
        <v/>
      </c>
      <c r="L45" s="122" t="str">
        <f>IF($C45&lt;&gt;"",'G2 FIL Reading Scoresheet'!$I47/30,"")</f>
        <v/>
      </c>
      <c r="M45" s="122" t="str">
        <f>IF(AND($C45&lt;&gt;"",$K45&lt;&gt;"Full Refresher"),'G2 FIL Reading Scoresheet'!$Q47,"")</f>
        <v/>
      </c>
      <c r="N45" s="122" t="str">
        <f>IF(AND($C45&lt;&gt;"",K45&lt;&gt;"Full Refresher"),'G2 FIL Reading Scoresheet'!$R47/6,"")</f>
        <v/>
      </c>
      <c r="O45" s="121" t="str">
        <f>IF(AND(C45&lt;&gt;"",K45&lt;&gt;"Full Refresher"),'G2 FIL Reading Scoresheet'!$P47,"")</f>
        <v/>
      </c>
      <c r="P45" s="125" t="str">
        <f>'G2 FIL Reading Scoresheet'!$U47</f>
        <v/>
      </c>
      <c r="Q45" s="126" t="str">
        <f>CONCATENATE(IF(ISBLANK('G2 MT Reading Scoresheet'!V47),"",CONCATENATE("MT:",TRIM('G2 MT Reading Scoresheet'!V47)))," ",IF(ISBLANK('G2 FIL Reading Scoresheet'!V47),"",CONCATENATE("FIL:",TRIM('G2 FIL Reading Scoresheet'!V47))))</f>
        <v/>
      </c>
    </row>
    <row r="46" spans="1:17">
      <c r="A46" s="112">
        <v>38</v>
      </c>
      <c r="B46" s="113" t="str">
        <f>IF('G2 MT Reading Scoresheet'!B48&lt;&gt;"",'G2 MT Reading Scoresheet'!B48,"")</f>
        <v/>
      </c>
      <c r="C46" s="114" t="str">
        <f>IF('G2 MT Reading Scoresheet'!C48&lt;&gt;"",'G2 MT Reading Scoresheet'!C48,"")</f>
        <v/>
      </c>
      <c r="D46" s="115" t="str">
        <f>IF('G2 MT Reading Scoresheet'!D48&lt;&gt;"",'G2 MT Reading Scoresheet'!D48,"")</f>
        <v/>
      </c>
      <c r="E46" s="110" t="str">
        <f>'G2 MT Reading Scoresheet'!$J48</f>
        <v/>
      </c>
      <c r="F46" s="111" t="str">
        <f>IF(C46&lt;&gt;"",'G2 MT Reading Scoresheet'!$I48/30,"")</f>
        <v/>
      </c>
      <c r="G46" s="111" t="str">
        <f>IF(AND($C46&lt;&gt;"",$E46&lt;&gt;"Full Refresher"),'G2 MT Reading Scoresheet'!$Q48,"")</f>
        <v/>
      </c>
      <c r="H46" s="111" t="str">
        <f>IF(AND(C46&lt;&gt;"",E46&lt;&gt;"Full Refresher"),'G2 MT Reading Scoresheet'!$R48/6,"")</f>
        <v/>
      </c>
      <c r="I46" s="110" t="str">
        <f>IF(AND(D46&lt;&gt;"",F46&lt;&gt;"Full Refresher"),'G2 MT Reading Scoresheet'!$P48,"")</f>
        <v/>
      </c>
      <c r="J46" s="124" t="str">
        <f>'G2 MT Reading Scoresheet'!$U48</f>
        <v/>
      </c>
      <c r="K46" s="121" t="str">
        <f>'G2 FIL Reading Scoresheet'!$J48</f>
        <v/>
      </c>
      <c r="L46" s="122" t="str">
        <f>IF($C46&lt;&gt;"",'G2 FIL Reading Scoresheet'!$I48/30,"")</f>
        <v/>
      </c>
      <c r="M46" s="122" t="str">
        <f>IF(AND($C46&lt;&gt;"",$K46&lt;&gt;"Full Refresher"),'G2 FIL Reading Scoresheet'!$Q48,"")</f>
        <v/>
      </c>
      <c r="N46" s="122" t="str">
        <f>IF(AND($C46&lt;&gt;"",K46&lt;&gt;"Full Refresher"),'G2 FIL Reading Scoresheet'!$R48/6,"")</f>
        <v/>
      </c>
      <c r="O46" s="121" t="str">
        <f>IF(AND(C46&lt;&gt;"",K46&lt;&gt;"Full Refresher"),'G2 FIL Reading Scoresheet'!$P48,"")</f>
        <v/>
      </c>
      <c r="P46" s="125" t="str">
        <f>'G2 FIL Reading Scoresheet'!$U48</f>
        <v/>
      </c>
      <c r="Q46" s="127" t="str">
        <f>CONCATENATE(IF(ISBLANK('G2 MT Reading Scoresheet'!V48),"",CONCATENATE("MT:",TRIM('G2 MT Reading Scoresheet'!V48)))," ",IF(ISBLANK('G2 FIL Reading Scoresheet'!V48),"",CONCATENATE("FIL:",TRIM('G2 FIL Reading Scoresheet'!V48))))</f>
        <v/>
      </c>
    </row>
    <row r="47" spans="1:17">
      <c r="A47" s="106">
        <v>39</v>
      </c>
      <c r="B47" s="107" t="str">
        <f>IF('G2 MT Reading Scoresheet'!B49&lt;&gt;"",'G2 MT Reading Scoresheet'!B49,"")</f>
        <v/>
      </c>
      <c r="C47" s="108" t="str">
        <f>IF('G2 MT Reading Scoresheet'!C49&lt;&gt;"",'G2 MT Reading Scoresheet'!C49,"")</f>
        <v/>
      </c>
      <c r="D47" s="109" t="str">
        <f>IF('G2 MT Reading Scoresheet'!D49&lt;&gt;"",'G2 MT Reading Scoresheet'!D49,"")</f>
        <v/>
      </c>
      <c r="E47" s="110" t="str">
        <f>'G2 MT Reading Scoresheet'!$J49</f>
        <v/>
      </c>
      <c r="F47" s="111" t="str">
        <f>IF(C47&lt;&gt;"",'G2 MT Reading Scoresheet'!$I49/30,"")</f>
        <v/>
      </c>
      <c r="G47" s="111" t="str">
        <f>IF(AND($C47&lt;&gt;"",$E47&lt;&gt;"Full Refresher"),'G2 MT Reading Scoresheet'!$Q49,"")</f>
        <v/>
      </c>
      <c r="H47" s="111" t="str">
        <f>IF(AND(C47&lt;&gt;"",E47&lt;&gt;"Full Refresher"),'G2 MT Reading Scoresheet'!$R49/6,"")</f>
        <v/>
      </c>
      <c r="I47" s="110" t="str">
        <f>IF(AND(D47&lt;&gt;"",F47&lt;&gt;"Full Refresher"),'G2 MT Reading Scoresheet'!$P49,"")</f>
        <v/>
      </c>
      <c r="J47" s="124" t="str">
        <f>'G2 MT Reading Scoresheet'!$U49</f>
        <v/>
      </c>
      <c r="K47" s="121" t="str">
        <f>'G2 FIL Reading Scoresheet'!$J49</f>
        <v/>
      </c>
      <c r="L47" s="122" t="str">
        <f>IF($C47&lt;&gt;"",'G2 FIL Reading Scoresheet'!$I49/30,"")</f>
        <v/>
      </c>
      <c r="M47" s="122" t="str">
        <f>IF(AND($C47&lt;&gt;"",$K47&lt;&gt;"Full Refresher"),'G2 FIL Reading Scoresheet'!$Q49,"")</f>
        <v/>
      </c>
      <c r="N47" s="122" t="str">
        <f>IF(AND($C47&lt;&gt;"",K47&lt;&gt;"Full Refresher"),'G2 FIL Reading Scoresheet'!$R49/6,"")</f>
        <v/>
      </c>
      <c r="O47" s="121" t="str">
        <f>IF(AND(C47&lt;&gt;"",K47&lt;&gt;"Full Refresher"),'G2 FIL Reading Scoresheet'!$P49,"")</f>
        <v/>
      </c>
      <c r="P47" s="125" t="str">
        <f>'G2 FIL Reading Scoresheet'!$U49</f>
        <v/>
      </c>
      <c r="Q47" s="126" t="str">
        <f>CONCATENATE(IF(ISBLANK('G2 MT Reading Scoresheet'!V49),"",CONCATENATE("MT:",TRIM('G2 MT Reading Scoresheet'!V49)))," ",IF(ISBLANK('G2 FIL Reading Scoresheet'!V49),"",CONCATENATE("FIL:",TRIM('G2 FIL Reading Scoresheet'!V49))))</f>
        <v/>
      </c>
    </row>
    <row r="48" spans="1:17">
      <c r="A48" s="112">
        <v>40</v>
      </c>
      <c r="B48" s="113" t="str">
        <f>IF('G2 MT Reading Scoresheet'!B50&lt;&gt;"",'G2 MT Reading Scoresheet'!B50,"")</f>
        <v/>
      </c>
      <c r="C48" s="114" t="str">
        <f>IF('G2 MT Reading Scoresheet'!C50&lt;&gt;"",'G2 MT Reading Scoresheet'!C50,"")</f>
        <v/>
      </c>
      <c r="D48" s="115" t="str">
        <f>IF('G2 MT Reading Scoresheet'!D50&lt;&gt;"",'G2 MT Reading Scoresheet'!D50,"")</f>
        <v/>
      </c>
      <c r="E48" s="110" t="str">
        <f>'G2 MT Reading Scoresheet'!$J50</f>
        <v/>
      </c>
      <c r="F48" s="111" t="str">
        <f>IF(C48&lt;&gt;"",'G2 MT Reading Scoresheet'!$I50/30,"")</f>
        <v/>
      </c>
      <c r="G48" s="111" t="str">
        <f>IF(AND($C48&lt;&gt;"",$E48&lt;&gt;"Full Refresher"),'G2 MT Reading Scoresheet'!$Q50,"")</f>
        <v/>
      </c>
      <c r="H48" s="111" t="str">
        <f>IF(AND(C48&lt;&gt;"",E48&lt;&gt;"Full Refresher"),'G2 MT Reading Scoresheet'!$R50/6,"")</f>
        <v/>
      </c>
      <c r="I48" s="110" t="str">
        <f>IF(AND(D48&lt;&gt;"",F48&lt;&gt;"Full Refresher"),'G2 MT Reading Scoresheet'!$P50,"")</f>
        <v/>
      </c>
      <c r="J48" s="124" t="str">
        <f>'G2 MT Reading Scoresheet'!$U50</f>
        <v/>
      </c>
      <c r="K48" s="121" t="str">
        <f>'G2 FIL Reading Scoresheet'!$J50</f>
        <v/>
      </c>
      <c r="L48" s="122" t="str">
        <f>IF($C48&lt;&gt;"",'G2 FIL Reading Scoresheet'!$I50/30,"")</f>
        <v/>
      </c>
      <c r="M48" s="122" t="str">
        <f>IF(AND($C48&lt;&gt;"",$K48&lt;&gt;"Full Refresher"),'G2 FIL Reading Scoresheet'!$Q50,"")</f>
        <v/>
      </c>
      <c r="N48" s="122" t="str">
        <f>IF(AND($C48&lt;&gt;"",K48&lt;&gt;"Full Refresher"),'G2 FIL Reading Scoresheet'!$R50/6,"")</f>
        <v/>
      </c>
      <c r="O48" s="121" t="str">
        <f>IF(AND(C48&lt;&gt;"",K48&lt;&gt;"Full Refresher"),'G2 FIL Reading Scoresheet'!$P50,"")</f>
        <v/>
      </c>
      <c r="P48" s="125" t="str">
        <f>'G2 FIL Reading Scoresheet'!$U50</f>
        <v/>
      </c>
      <c r="Q48" s="127" t="str">
        <f>CONCATENATE(IF(ISBLANK('G2 MT Reading Scoresheet'!V50),"",CONCATENATE("MT:",TRIM('G2 MT Reading Scoresheet'!V50)))," ",IF(ISBLANK('G2 FIL Reading Scoresheet'!V50),"",CONCATENATE("FIL:",TRIM('G2 FIL Reading Scoresheet'!V50))))</f>
        <v/>
      </c>
    </row>
    <row r="49" spans="1:17">
      <c r="A49" s="106">
        <v>41</v>
      </c>
      <c r="B49" s="107" t="str">
        <f>IF('G2 MT Reading Scoresheet'!B51&lt;&gt;"",'G2 MT Reading Scoresheet'!B51,"")</f>
        <v/>
      </c>
      <c r="C49" s="108" t="str">
        <f>IF('G2 MT Reading Scoresheet'!C51&lt;&gt;"",'G2 MT Reading Scoresheet'!C51,"")</f>
        <v/>
      </c>
      <c r="D49" s="109" t="str">
        <f>IF('G2 MT Reading Scoresheet'!D51&lt;&gt;"",'G2 MT Reading Scoresheet'!D51,"")</f>
        <v/>
      </c>
      <c r="E49" s="110" t="str">
        <f>'G2 MT Reading Scoresheet'!$J51</f>
        <v/>
      </c>
      <c r="F49" s="111" t="str">
        <f>IF(C49&lt;&gt;"",'G2 MT Reading Scoresheet'!$I51/30,"")</f>
        <v/>
      </c>
      <c r="G49" s="111" t="str">
        <f>IF(AND($C49&lt;&gt;"",$E49&lt;&gt;"Full Refresher"),'G2 MT Reading Scoresheet'!$Q51,"")</f>
        <v/>
      </c>
      <c r="H49" s="111" t="str">
        <f>IF(AND(C49&lt;&gt;"",E49&lt;&gt;"Full Refresher"),'G2 MT Reading Scoresheet'!$R51/6,"")</f>
        <v/>
      </c>
      <c r="I49" s="110" t="str">
        <f>IF(AND(D49&lt;&gt;"",F49&lt;&gt;"Full Refresher"),'G2 MT Reading Scoresheet'!$P51,"")</f>
        <v/>
      </c>
      <c r="J49" s="124" t="str">
        <f>'G2 MT Reading Scoresheet'!$U51</f>
        <v/>
      </c>
      <c r="K49" s="121" t="str">
        <f>'G2 FIL Reading Scoresheet'!$J51</f>
        <v/>
      </c>
      <c r="L49" s="122" t="str">
        <f>IF($C49&lt;&gt;"",'G2 FIL Reading Scoresheet'!$I51/30,"")</f>
        <v/>
      </c>
      <c r="M49" s="122" t="str">
        <f>IF(AND($C49&lt;&gt;"",$K49&lt;&gt;"Full Refresher"),'G2 FIL Reading Scoresheet'!$Q51,"")</f>
        <v/>
      </c>
      <c r="N49" s="122" t="str">
        <f>IF(AND($C49&lt;&gt;"",K49&lt;&gt;"Full Refresher"),'G2 FIL Reading Scoresheet'!$R51/6,"")</f>
        <v/>
      </c>
      <c r="O49" s="121" t="str">
        <f>IF(AND(C49&lt;&gt;"",K49&lt;&gt;"Full Refresher"),'G2 FIL Reading Scoresheet'!$P51,"")</f>
        <v/>
      </c>
      <c r="P49" s="125" t="str">
        <f>'G2 FIL Reading Scoresheet'!$U51</f>
        <v/>
      </c>
      <c r="Q49" s="126" t="str">
        <f>CONCATENATE(IF(ISBLANK('G2 MT Reading Scoresheet'!V51),"",CONCATENATE("MT:",TRIM('G2 MT Reading Scoresheet'!V51)))," ",IF(ISBLANK('G2 FIL Reading Scoresheet'!V51),"",CONCATENATE("FIL:",TRIM('G2 FIL Reading Scoresheet'!V51))))</f>
        <v/>
      </c>
    </row>
    <row r="50" spans="1:17">
      <c r="A50" s="112">
        <v>42</v>
      </c>
      <c r="B50" s="113" t="str">
        <f>IF('G2 MT Reading Scoresheet'!B52&lt;&gt;"",'G2 MT Reading Scoresheet'!B52,"")</f>
        <v/>
      </c>
      <c r="C50" s="114" t="str">
        <f>IF('G2 MT Reading Scoresheet'!C52&lt;&gt;"",'G2 MT Reading Scoresheet'!C52,"")</f>
        <v/>
      </c>
      <c r="D50" s="115" t="str">
        <f>IF('G2 MT Reading Scoresheet'!D52&lt;&gt;"",'G2 MT Reading Scoresheet'!D52,"")</f>
        <v/>
      </c>
      <c r="E50" s="110" t="str">
        <f>'G2 MT Reading Scoresheet'!$J52</f>
        <v/>
      </c>
      <c r="F50" s="111" t="str">
        <f>IF(C50&lt;&gt;"",'G2 MT Reading Scoresheet'!$I52/30,"")</f>
        <v/>
      </c>
      <c r="G50" s="111" t="str">
        <f>IF(AND($C50&lt;&gt;"",$E50&lt;&gt;"Full Refresher"),'G2 MT Reading Scoresheet'!$Q52,"")</f>
        <v/>
      </c>
      <c r="H50" s="111" t="str">
        <f>IF(AND(C50&lt;&gt;"",E50&lt;&gt;"Full Refresher"),'G2 MT Reading Scoresheet'!$R52/6,"")</f>
        <v/>
      </c>
      <c r="I50" s="110" t="str">
        <f>IF(AND(D50&lt;&gt;"",F50&lt;&gt;"Full Refresher"),'G2 MT Reading Scoresheet'!$P52,"")</f>
        <v/>
      </c>
      <c r="J50" s="124" t="str">
        <f>'G2 MT Reading Scoresheet'!$U52</f>
        <v/>
      </c>
      <c r="K50" s="121" t="str">
        <f>'G2 FIL Reading Scoresheet'!$J52</f>
        <v/>
      </c>
      <c r="L50" s="122" t="str">
        <f>IF($C50&lt;&gt;"",'G2 FIL Reading Scoresheet'!$I52/30,"")</f>
        <v/>
      </c>
      <c r="M50" s="122" t="str">
        <f>IF(AND($C50&lt;&gt;"",$K50&lt;&gt;"Full Refresher"),'G2 FIL Reading Scoresheet'!$Q52,"")</f>
        <v/>
      </c>
      <c r="N50" s="122" t="str">
        <f>IF(AND($C50&lt;&gt;"",K50&lt;&gt;"Full Refresher"),'G2 FIL Reading Scoresheet'!$R52/6,"")</f>
        <v/>
      </c>
      <c r="O50" s="121" t="str">
        <f>IF(AND(C50&lt;&gt;"",K50&lt;&gt;"Full Refresher"),'G2 FIL Reading Scoresheet'!$P52,"")</f>
        <v/>
      </c>
      <c r="P50" s="125" t="str">
        <f>'G2 FIL Reading Scoresheet'!$U52</f>
        <v/>
      </c>
      <c r="Q50" s="127" t="str">
        <f>CONCATENATE(IF(ISBLANK('G2 MT Reading Scoresheet'!V52),"",CONCATENATE("MT:",TRIM('G2 MT Reading Scoresheet'!V52)))," ",IF(ISBLANK('G2 FIL Reading Scoresheet'!V52),"",CONCATENATE("FIL:",TRIM('G2 FIL Reading Scoresheet'!V52))))</f>
        <v/>
      </c>
    </row>
    <row r="51" spans="1:17">
      <c r="A51" s="106">
        <v>43</v>
      </c>
      <c r="B51" s="107" t="str">
        <f>IF('G2 MT Reading Scoresheet'!B53&lt;&gt;"",'G2 MT Reading Scoresheet'!B53,"")</f>
        <v/>
      </c>
      <c r="C51" s="108" t="str">
        <f>IF('G2 MT Reading Scoresheet'!C53&lt;&gt;"",'G2 MT Reading Scoresheet'!C53,"")</f>
        <v/>
      </c>
      <c r="D51" s="109" t="str">
        <f>IF('G2 MT Reading Scoresheet'!D53&lt;&gt;"",'G2 MT Reading Scoresheet'!D53,"")</f>
        <v/>
      </c>
      <c r="E51" s="110" t="str">
        <f>'G2 MT Reading Scoresheet'!$J53</f>
        <v/>
      </c>
      <c r="F51" s="111" t="str">
        <f>IF(C51&lt;&gt;"",'G2 MT Reading Scoresheet'!$I53/30,"")</f>
        <v/>
      </c>
      <c r="G51" s="111" t="str">
        <f>IF(AND($C51&lt;&gt;"",$E51&lt;&gt;"Full Refresher"),'G2 MT Reading Scoresheet'!$Q53,"")</f>
        <v/>
      </c>
      <c r="H51" s="111" t="str">
        <f>IF(AND(C51&lt;&gt;"",E51&lt;&gt;"Full Refresher"),'G2 MT Reading Scoresheet'!$R53/6,"")</f>
        <v/>
      </c>
      <c r="I51" s="110" t="str">
        <f>IF(AND(D51&lt;&gt;"",F51&lt;&gt;"Full Refresher"),'G2 MT Reading Scoresheet'!$P53,"")</f>
        <v/>
      </c>
      <c r="J51" s="124" t="str">
        <f>'G2 MT Reading Scoresheet'!$U53</f>
        <v/>
      </c>
      <c r="K51" s="121" t="str">
        <f>'G2 FIL Reading Scoresheet'!$J53</f>
        <v/>
      </c>
      <c r="L51" s="122" t="str">
        <f>IF($C51&lt;&gt;"",'G2 FIL Reading Scoresheet'!$I53/30,"")</f>
        <v/>
      </c>
      <c r="M51" s="122" t="str">
        <f>IF(AND($C51&lt;&gt;"",$K51&lt;&gt;"Full Refresher"),'G2 FIL Reading Scoresheet'!$Q53,"")</f>
        <v/>
      </c>
      <c r="N51" s="122" t="str">
        <f>IF(AND($C51&lt;&gt;"",K51&lt;&gt;"Full Refresher"),'G2 FIL Reading Scoresheet'!$R53/6,"")</f>
        <v/>
      </c>
      <c r="O51" s="121" t="str">
        <f>IF(AND(C51&lt;&gt;"",K51&lt;&gt;"Full Refresher"),'G2 FIL Reading Scoresheet'!$P53,"")</f>
        <v/>
      </c>
      <c r="P51" s="125" t="str">
        <f>'G2 FIL Reading Scoresheet'!$U53</f>
        <v/>
      </c>
      <c r="Q51" s="126" t="str">
        <f>CONCATENATE(IF(ISBLANK('G2 MT Reading Scoresheet'!V53),"",CONCATENATE("MT:",TRIM('G2 MT Reading Scoresheet'!V53)))," ",IF(ISBLANK('G2 FIL Reading Scoresheet'!V53),"",CONCATENATE("FIL:",TRIM('G2 FIL Reading Scoresheet'!V53))))</f>
        <v/>
      </c>
    </row>
    <row r="52" spans="1:17">
      <c r="A52" s="112">
        <v>44</v>
      </c>
      <c r="B52" s="113" t="str">
        <f>IF('G2 MT Reading Scoresheet'!B54&lt;&gt;"",'G2 MT Reading Scoresheet'!B54,"")</f>
        <v/>
      </c>
      <c r="C52" s="114" t="str">
        <f>IF('G2 MT Reading Scoresheet'!C54&lt;&gt;"",'G2 MT Reading Scoresheet'!C54,"")</f>
        <v/>
      </c>
      <c r="D52" s="115" t="str">
        <f>IF('G2 MT Reading Scoresheet'!D54&lt;&gt;"",'G2 MT Reading Scoresheet'!D54,"")</f>
        <v/>
      </c>
      <c r="E52" s="110" t="str">
        <f>'G2 MT Reading Scoresheet'!$J54</f>
        <v/>
      </c>
      <c r="F52" s="111" t="str">
        <f>IF(C52&lt;&gt;"",'G2 MT Reading Scoresheet'!$I54/30,"")</f>
        <v/>
      </c>
      <c r="G52" s="111" t="str">
        <f>IF(AND($C52&lt;&gt;"",$E52&lt;&gt;"Full Refresher"),'G2 MT Reading Scoresheet'!$Q54,"")</f>
        <v/>
      </c>
      <c r="H52" s="111" t="str">
        <f>IF(AND(C52&lt;&gt;"",E52&lt;&gt;"Full Refresher"),'G2 MT Reading Scoresheet'!$R54/6,"")</f>
        <v/>
      </c>
      <c r="I52" s="110" t="str">
        <f>IF(AND(D52&lt;&gt;"",F52&lt;&gt;"Full Refresher"),'G2 MT Reading Scoresheet'!$P54,"")</f>
        <v/>
      </c>
      <c r="J52" s="124" t="str">
        <f>'G2 MT Reading Scoresheet'!$U54</f>
        <v/>
      </c>
      <c r="K52" s="121" t="str">
        <f>'G2 FIL Reading Scoresheet'!$J54</f>
        <v/>
      </c>
      <c r="L52" s="122" t="str">
        <f>IF($C52&lt;&gt;"",'G2 FIL Reading Scoresheet'!$I54/30,"")</f>
        <v/>
      </c>
      <c r="M52" s="122" t="str">
        <f>IF(AND($C52&lt;&gt;"",$K52&lt;&gt;"Full Refresher"),'G2 FIL Reading Scoresheet'!$Q54,"")</f>
        <v/>
      </c>
      <c r="N52" s="122" t="str">
        <f>IF(AND($C52&lt;&gt;"",K52&lt;&gt;"Full Refresher"),'G2 FIL Reading Scoresheet'!$R54/6,"")</f>
        <v/>
      </c>
      <c r="O52" s="121" t="str">
        <f>IF(AND(C52&lt;&gt;"",K52&lt;&gt;"Full Refresher"),'G2 FIL Reading Scoresheet'!$P54,"")</f>
        <v/>
      </c>
      <c r="P52" s="125" t="str">
        <f>'G2 FIL Reading Scoresheet'!$U54</f>
        <v/>
      </c>
      <c r="Q52" s="127" t="str">
        <f>CONCATENATE(IF(ISBLANK('G2 MT Reading Scoresheet'!V54),"",CONCATENATE("MT:",TRIM('G2 MT Reading Scoresheet'!V54)))," ",IF(ISBLANK('G2 FIL Reading Scoresheet'!V54),"",CONCATENATE("FIL:",TRIM('G2 FIL Reading Scoresheet'!V54))))</f>
        <v/>
      </c>
    </row>
    <row r="53" spans="1:17">
      <c r="A53" s="106">
        <v>45</v>
      </c>
      <c r="B53" s="107" t="str">
        <f>IF('G2 MT Reading Scoresheet'!B55&lt;&gt;"",'G2 MT Reading Scoresheet'!B55,"")</f>
        <v/>
      </c>
      <c r="C53" s="108" t="str">
        <f>IF('G2 MT Reading Scoresheet'!C55&lt;&gt;"",'G2 MT Reading Scoresheet'!C55,"")</f>
        <v/>
      </c>
      <c r="D53" s="109" t="str">
        <f>IF('G2 MT Reading Scoresheet'!D55&lt;&gt;"",'G2 MT Reading Scoresheet'!D55,"")</f>
        <v/>
      </c>
      <c r="E53" s="110" t="str">
        <f>'G2 MT Reading Scoresheet'!$J55</f>
        <v/>
      </c>
      <c r="F53" s="111" t="str">
        <f>IF(C53&lt;&gt;"",'G2 MT Reading Scoresheet'!$I55/30,"")</f>
        <v/>
      </c>
      <c r="G53" s="111" t="str">
        <f>IF(AND($C53&lt;&gt;"",$E53&lt;&gt;"Full Refresher"),'G2 MT Reading Scoresheet'!$Q55,"")</f>
        <v/>
      </c>
      <c r="H53" s="111" t="str">
        <f>IF(AND(C53&lt;&gt;"",E53&lt;&gt;"Full Refresher"),'G2 MT Reading Scoresheet'!$R55/6,"")</f>
        <v/>
      </c>
      <c r="I53" s="110" t="str">
        <f>IF(AND(D53&lt;&gt;"",F53&lt;&gt;"Full Refresher"),'G2 MT Reading Scoresheet'!$P55,"")</f>
        <v/>
      </c>
      <c r="J53" s="124" t="str">
        <f>'G2 MT Reading Scoresheet'!$U55</f>
        <v/>
      </c>
      <c r="K53" s="121" t="str">
        <f>'G2 FIL Reading Scoresheet'!$J55</f>
        <v/>
      </c>
      <c r="L53" s="122" t="str">
        <f>IF($C53&lt;&gt;"",'G2 FIL Reading Scoresheet'!$I55/30,"")</f>
        <v/>
      </c>
      <c r="M53" s="122" t="str">
        <f>IF(AND($C53&lt;&gt;"",$K53&lt;&gt;"Full Refresher"),'G2 FIL Reading Scoresheet'!$Q55,"")</f>
        <v/>
      </c>
      <c r="N53" s="122" t="str">
        <f>IF(AND($C53&lt;&gt;"",K53&lt;&gt;"Full Refresher"),'G2 FIL Reading Scoresheet'!$R55/6,"")</f>
        <v/>
      </c>
      <c r="O53" s="121" t="str">
        <f>IF(AND(C53&lt;&gt;"",K53&lt;&gt;"Full Refresher"),'G2 FIL Reading Scoresheet'!$P55,"")</f>
        <v/>
      </c>
      <c r="P53" s="125" t="str">
        <f>'G2 FIL Reading Scoresheet'!$U55</f>
        <v/>
      </c>
      <c r="Q53" s="126" t="str">
        <f>CONCATENATE(IF(ISBLANK('G2 MT Reading Scoresheet'!V55),"",CONCATENATE("MT:",TRIM('G2 MT Reading Scoresheet'!V55)))," ",IF(ISBLANK('G2 FIL Reading Scoresheet'!V55),"",CONCATENATE("FIL:",TRIM('G2 FIL Reading Scoresheet'!V55))))</f>
        <v/>
      </c>
    </row>
    <row r="54" spans="1:17">
      <c r="A54" s="112">
        <v>46</v>
      </c>
      <c r="B54" s="113" t="str">
        <f>IF('G2 MT Reading Scoresheet'!B56&lt;&gt;"",'G2 MT Reading Scoresheet'!B56,"")</f>
        <v/>
      </c>
      <c r="C54" s="114" t="str">
        <f>IF('G2 MT Reading Scoresheet'!C56&lt;&gt;"",'G2 MT Reading Scoresheet'!C56,"")</f>
        <v/>
      </c>
      <c r="D54" s="115" t="str">
        <f>IF('G2 MT Reading Scoresheet'!D56&lt;&gt;"",'G2 MT Reading Scoresheet'!D56,"")</f>
        <v/>
      </c>
      <c r="E54" s="110" t="str">
        <f>'G2 MT Reading Scoresheet'!$J56</f>
        <v/>
      </c>
      <c r="F54" s="111" t="str">
        <f>IF(C54&lt;&gt;"",'G2 MT Reading Scoresheet'!$I56/30,"")</f>
        <v/>
      </c>
      <c r="G54" s="111" t="str">
        <f>IF(AND($C54&lt;&gt;"",$E54&lt;&gt;"Full Refresher"),'G2 MT Reading Scoresheet'!$Q56,"")</f>
        <v/>
      </c>
      <c r="H54" s="111" t="str">
        <f>IF(AND(C54&lt;&gt;"",E54&lt;&gt;"Full Refresher"),'G2 MT Reading Scoresheet'!$R56/6,"")</f>
        <v/>
      </c>
      <c r="I54" s="110" t="str">
        <f>IF(AND(D54&lt;&gt;"",F54&lt;&gt;"Full Refresher"),'G2 MT Reading Scoresheet'!$P56,"")</f>
        <v/>
      </c>
      <c r="J54" s="124" t="str">
        <f>'G2 MT Reading Scoresheet'!$U56</f>
        <v/>
      </c>
      <c r="K54" s="121" t="str">
        <f>'G2 FIL Reading Scoresheet'!$J56</f>
        <v/>
      </c>
      <c r="L54" s="122" t="str">
        <f>IF($C54&lt;&gt;"",'G2 FIL Reading Scoresheet'!$I56/30,"")</f>
        <v/>
      </c>
      <c r="M54" s="122" t="str">
        <f>IF(AND($C54&lt;&gt;"",$K54&lt;&gt;"Full Refresher"),'G2 FIL Reading Scoresheet'!$Q56,"")</f>
        <v/>
      </c>
      <c r="N54" s="122" t="str">
        <f>IF(AND($C54&lt;&gt;"",K54&lt;&gt;"Full Refresher"),'G2 FIL Reading Scoresheet'!$R56/6,"")</f>
        <v/>
      </c>
      <c r="O54" s="121" t="str">
        <f>IF(AND(C54&lt;&gt;"",K54&lt;&gt;"Full Refresher"),'G2 FIL Reading Scoresheet'!$P56,"")</f>
        <v/>
      </c>
      <c r="P54" s="125" t="str">
        <f>'G2 FIL Reading Scoresheet'!$U56</f>
        <v/>
      </c>
      <c r="Q54" s="127" t="str">
        <f>CONCATENATE(IF(ISBLANK('G2 MT Reading Scoresheet'!V56),"",CONCATENATE("MT:",TRIM('G2 MT Reading Scoresheet'!V56)))," ",IF(ISBLANK('G2 FIL Reading Scoresheet'!V56),"",CONCATENATE("FIL:",TRIM('G2 FIL Reading Scoresheet'!V56))))</f>
        <v/>
      </c>
    </row>
    <row r="55" spans="1:17">
      <c r="A55" s="106">
        <v>47</v>
      </c>
      <c r="B55" s="107" t="str">
        <f>IF('G2 MT Reading Scoresheet'!B57&lt;&gt;"",'G2 MT Reading Scoresheet'!B57,"")</f>
        <v/>
      </c>
      <c r="C55" s="108" t="str">
        <f>IF('G2 MT Reading Scoresheet'!C57&lt;&gt;"",'G2 MT Reading Scoresheet'!C57,"")</f>
        <v/>
      </c>
      <c r="D55" s="109" t="str">
        <f>IF('G2 MT Reading Scoresheet'!D57&lt;&gt;"",'G2 MT Reading Scoresheet'!D57,"")</f>
        <v/>
      </c>
      <c r="E55" s="110" t="str">
        <f>'G2 MT Reading Scoresheet'!$J57</f>
        <v/>
      </c>
      <c r="F55" s="111" t="str">
        <f>IF(C55&lt;&gt;"",'G2 MT Reading Scoresheet'!$I57/30,"")</f>
        <v/>
      </c>
      <c r="G55" s="111" t="str">
        <f>IF(AND($C55&lt;&gt;"",$E55&lt;&gt;"Full Refresher"),'G2 MT Reading Scoresheet'!$Q57,"")</f>
        <v/>
      </c>
      <c r="H55" s="111" t="str">
        <f>IF(AND(C55&lt;&gt;"",E55&lt;&gt;"Full Refresher"),'G2 MT Reading Scoresheet'!$R57/6,"")</f>
        <v/>
      </c>
      <c r="I55" s="110" t="str">
        <f>IF(AND(D55&lt;&gt;"",F55&lt;&gt;"Full Refresher"),'G2 MT Reading Scoresheet'!$P57,"")</f>
        <v/>
      </c>
      <c r="J55" s="124" t="str">
        <f>'G2 MT Reading Scoresheet'!$U57</f>
        <v/>
      </c>
      <c r="K55" s="121" t="str">
        <f>'G2 FIL Reading Scoresheet'!$J57</f>
        <v/>
      </c>
      <c r="L55" s="122" t="str">
        <f>IF($C55&lt;&gt;"",'G2 FIL Reading Scoresheet'!$I57/30,"")</f>
        <v/>
      </c>
      <c r="M55" s="122" t="str">
        <f>IF(AND($C55&lt;&gt;"",$K55&lt;&gt;"Full Refresher"),'G2 FIL Reading Scoresheet'!$Q57,"")</f>
        <v/>
      </c>
      <c r="N55" s="122" t="str">
        <f>IF(AND($C55&lt;&gt;"",K55&lt;&gt;"Full Refresher"),'G2 FIL Reading Scoresheet'!$R57/6,"")</f>
        <v/>
      </c>
      <c r="O55" s="121" t="str">
        <f>IF(AND(C55&lt;&gt;"",K55&lt;&gt;"Full Refresher"),'G2 FIL Reading Scoresheet'!$P57,"")</f>
        <v/>
      </c>
      <c r="P55" s="125" t="str">
        <f>'G2 FIL Reading Scoresheet'!$U57</f>
        <v/>
      </c>
      <c r="Q55" s="126" t="str">
        <f>CONCATENATE(IF(ISBLANK('G2 MT Reading Scoresheet'!V57),"",CONCATENATE("MT:",TRIM('G2 MT Reading Scoresheet'!V57)))," ",IF(ISBLANK('G2 FIL Reading Scoresheet'!V57),"",CONCATENATE("FIL:",TRIM('G2 FIL Reading Scoresheet'!V57))))</f>
        <v/>
      </c>
    </row>
    <row r="56" spans="1:17">
      <c r="A56" s="112">
        <v>48</v>
      </c>
      <c r="B56" s="113" t="str">
        <f>IF('G2 MT Reading Scoresheet'!B58&lt;&gt;"",'G2 MT Reading Scoresheet'!B58,"")</f>
        <v/>
      </c>
      <c r="C56" s="114" t="str">
        <f>IF('G2 MT Reading Scoresheet'!C58&lt;&gt;"",'G2 MT Reading Scoresheet'!C58,"")</f>
        <v/>
      </c>
      <c r="D56" s="115" t="str">
        <f>IF('G2 MT Reading Scoresheet'!D58&lt;&gt;"",'G2 MT Reading Scoresheet'!D58,"")</f>
        <v/>
      </c>
      <c r="E56" s="110" t="str">
        <f>'G2 MT Reading Scoresheet'!$J58</f>
        <v/>
      </c>
      <c r="F56" s="111" t="str">
        <f>IF(C56&lt;&gt;"",'G2 MT Reading Scoresheet'!$I58/30,"")</f>
        <v/>
      </c>
      <c r="G56" s="111" t="str">
        <f>IF(AND($C56&lt;&gt;"",$E56&lt;&gt;"Full Refresher"),'G2 MT Reading Scoresheet'!$Q58,"")</f>
        <v/>
      </c>
      <c r="H56" s="111" t="str">
        <f>IF(AND(C56&lt;&gt;"",E56&lt;&gt;"Full Refresher"),'G2 MT Reading Scoresheet'!$R58/6,"")</f>
        <v/>
      </c>
      <c r="I56" s="110" t="str">
        <f>IF(AND(D56&lt;&gt;"",F56&lt;&gt;"Full Refresher"),'G2 MT Reading Scoresheet'!$P58,"")</f>
        <v/>
      </c>
      <c r="J56" s="124" t="str">
        <f>'G2 MT Reading Scoresheet'!$U58</f>
        <v/>
      </c>
      <c r="K56" s="121" t="str">
        <f>'G2 FIL Reading Scoresheet'!$J58</f>
        <v/>
      </c>
      <c r="L56" s="122" t="str">
        <f>IF($C56&lt;&gt;"",'G2 FIL Reading Scoresheet'!$I58/30,"")</f>
        <v/>
      </c>
      <c r="M56" s="122" t="str">
        <f>IF(AND($C56&lt;&gt;"",$K56&lt;&gt;"Full Refresher"),'G2 FIL Reading Scoresheet'!$Q58,"")</f>
        <v/>
      </c>
      <c r="N56" s="122" t="str">
        <f>IF(AND($C56&lt;&gt;"",K56&lt;&gt;"Full Refresher"),'G2 FIL Reading Scoresheet'!$R58/6,"")</f>
        <v/>
      </c>
      <c r="O56" s="121" t="str">
        <f>IF(AND(C56&lt;&gt;"",K56&lt;&gt;"Full Refresher"),'G2 FIL Reading Scoresheet'!$P58,"")</f>
        <v/>
      </c>
      <c r="P56" s="125" t="str">
        <f>'G2 FIL Reading Scoresheet'!$U58</f>
        <v/>
      </c>
      <c r="Q56" s="127" t="str">
        <f>CONCATENATE(IF(ISBLANK('G2 MT Reading Scoresheet'!V58),"",CONCATENATE("MT:",TRIM('G2 MT Reading Scoresheet'!V58)))," ",IF(ISBLANK('G2 FIL Reading Scoresheet'!V58),"",CONCATENATE("FIL:",TRIM('G2 FIL Reading Scoresheet'!V58))))</f>
        <v/>
      </c>
    </row>
    <row r="57" spans="1:17">
      <c r="A57" s="106">
        <v>49</v>
      </c>
      <c r="B57" s="107" t="str">
        <f>IF('G2 MT Reading Scoresheet'!B59&lt;&gt;"",'G2 MT Reading Scoresheet'!B59,"")</f>
        <v/>
      </c>
      <c r="C57" s="108" t="str">
        <f>IF('G2 MT Reading Scoresheet'!C59&lt;&gt;"",'G2 MT Reading Scoresheet'!C59,"")</f>
        <v/>
      </c>
      <c r="D57" s="109" t="str">
        <f>IF('G2 MT Reading Scoresheet'!D59&lt;&gt;"",'G2 MT Reading Scoresheet'!D59,"")</f>
        <v/>
      </c>
      <c r="E57" s="110" t="str">
        <f>'G2 MT Reading Scoresheet'!$J59</f>
        <v/>
      </c>
      <c r="F57" s="111" t="str">
        <f>IF(C57&lt;&gt;"",'G2 MT Reading Scoresheet'!$I59/30,"")</f>
        <v/>
      </c>
      <c r="G57" s="111" t="str">
        <f>IF(AND($C57&lt;&gt;"",$E57&lt;&gt;"Full Refresher"),'G2 MT Reading Scoresheet'!$Q59,"")</f>
        <v/>
      </c>
      <c r="H57" s="111" t="str">
        <f>IF(AND(C57&lt;&gt;"",E57&lt;&gt;"Full Refresher"),'G2 MT Reading Scoresheet'!$R59/6,"")</f>
        <v/>
      </c>
      <c r="I57" s="110" t="str">
        <f>IF(AND(D57&lt;&gt;"",F57&lt;&gt;"Full Refresher"),'G2 MT Reading Scoresheet'!$P59,"")</f>
        <v/>
      </c>
      <c r="J57" s="124" t="str">
        <f>'G2 MT Reading Scoresheet'!$U59</f>
        <v/>
      </c>
      <c r="K57" s="121" t="str">
        <f>'G2 FIL Reading Scoresheet'!$J59</f>
        <v/>
      </c>
      <c r="L57" s="122" t="str">
        <f>IF($C57&lt;&gt;"",'G2 FIL Reading Scoresheet'!$I59/30,"")</f>
        <v/>
      </c>
      <c r="M57" s="122" t="str">
        <f>IF(AND($C57&lt;&gt;"",$K57&lt;&gt;"Full Refresher"),'G2 FIL Reading Scoresheet'!$Q59,"")</f>
        <v/>
      </c>
      <c r="N57" s="122" t="str">
        <f>IF(AND($C57&lt;&gt;"",K57&lt;&gt;"Full Refresher"),'G2 FIL Reading Scoresheet'!$R59/6,"")</f>
        <v/>
      </c>
      <c r="O57" s="121" t="str">
        <f>IF(AND(C57&lt;&gt;"",K57&lt;&gt;"Full Refresher"),'G2 FIL Reading Scoresheet'!$P59,"")</f>
        <v/>
      </c>
      <c r="P57" s="125" t="str">
        <f>'G2 FIL Reading Scoresheet'!$U59</f>
        <v/>
      </c>
      <c r="Q57" s="126" t="str">
        <f>CONCATENATE(IF(ISBLANK('G2 MT Reading Scoresheet'!V59),"",CONCATENATE("MT:",TRIM('G2 MT Reading Scoresheet'!V59)))," ",IF(ISBLANK('G2 FIL Reading Scoresheet'!V59),"",CONCATENATE("FIL:",TRIM('G2 FIL Reading Scoresheet'!V59))))</f>
        <v/>
      </c>
    </row>
    <row r="58" spans="1:17">
      <c r="A58" s="112">
        <v>50</v>
      </c>
      <c r="B58" s="113" t="str">
        <f>IF('G2 MT Reading Scoresheet'!B60&lt;&gt;"",'G2 MT Reading Scoresheet'!B60,"")</f>
        <v/>
      </c>
      <c r="C58" s="114" t="str">
        <f>IF('G2 MT Reading Scoresheet'!C60&lt;&gt;"",'G2 MT Reading Scoresheet'!C60,"")</f>
        <v/>
      </c>
      <c r="D58" s="115" t="str">
        <f>IF('G2 MT Reading Scoresheet'!D60&lt;&gt;"",'G2 MT Reading Scoresheet'!D60,"")</f>
        <v/>
      </c>
      <c r="E58" s="110" t="str">
        <f>'G2 MT Reading Scoresheet'!$J60</f>
        <v/>
      </c>
      <c r="F58" s="111" t="str">
        <f>IF(C58&lt;&gt;"",'G2 MT Reading Scoresheet'!$I60/30,"")</f>
        <v/>
      </c>
      <c r="G58" s="111" t="str">
        <f>IF(AND($C58&lt;&gt;"",$E58&lt;&gt;"Full Refresher"),'G2 MT Reading Scoresheet'!$Q60,"")</f>
        <v/>
      </c>
      <c r="H58" s="111" t="str">
        <f>IF(AND(C58&lt;&gt;"",E58&lt;&gt;"Full Refresher"),'G2 MT Reading Scoresheet'!$R60/6,"")</f>
        <v/>
      </c>
      <c r="I58" s="110" t="str">
        <f>IF(AND(D58&lt;&gt;"",F58&lt;&gt;"Full Refresher"),'G2 MT Reading Scoresheet'!$P60,"")</f>
        <v/>
      </c>
      <c r="J58" s="124" t="str">
        <f>'G2 MT Reading Scoresheet'!$U60</f>
        <v/>
      </c>
      <c r="K58" s="121" t="str">
        <f>'G2 FIL Reading Scoresheet'!$J60</f>
        <v/>
      </c>
      <c r="L58" s="122" t="str">
        <f>IF($C58&lt;&gt;"",'G2 FIL Reading Scoresheet'!$I60/30,"")</f>
        <v/>
      </c>
      <c r="M58" s="122" t="str">
        <f>IF(AND($C58&lt;&gt;"",$K58&lt;&gt;"Full Refresher"),'G2 FIL Reading Scoresheet'!$Q60,"")</f>
        <v/>
      </c>
      <c r="N58" s="122" t="str">
        <f>IF(AND($C58&lt;&gt;"",K58&lt;&gt;"Full Refresher"),'G2 FIL Reading Scoresheet'!$R60/6,"")</f>
        <v/>
      </c>
      <c r="O58" s="121" t="str">
        <f>IF(AND(C58&lt;&gt;"",K58&lt;&gt;"Full Refresher"),'G2 FIL Reading Scoresheet'!$P60,"")</f>
        <v/>
      </c>
      <c r="P58" s="125" t="str">
        <f>'G2 FIL Reading Scoresheet'!$U60</f>
        <v/>
      </c>
      <c r="Q58" s="127" t="str">
        <f>CONCATENATE(IF(ISBLANK('G2 MT Reading Scoresheet'!V60),"",CONCATENATE("MT:",TRIM('G2 MT Reading Scoresheet'!V60)))," ",IF(ISBLANK('G2 FIL Reading Scoresheet'!V60),"",CONCATENATE("FIL:",TRIM('G2 FIL Reading Scoresheet'!V60))))</f>
        <v/>
      </c>
    </row>
    <row r="59" spans="1:17">
      <c r="A59" s="106">
        <v>51</v>
      </c>
      <c r="B59" s="107" t="str">
        <f>IF('G2 MT Reading Scoresheet'!B61&lt;&gt;"",'G2 MT Reading Scoresheet'!B61,"")</f>
        <v/>
      </c>
      <c r="C59" s="108" t="str">
        <f>IF('G2 MT Reading Scoresheet'!C61&lt;&gt;"",'G2 MT Reading Scoresheet'!C61,"")</f>
        <v/>
      </c>
      <c r="D59" s="109" t="str">
        <f>IF('G2 MT Reading Scoresheet'!D61&lt;&gt;"",'G2 MT Reading Scoresheet'!D61,"")</f>
        <v/>
      </c>
      <c r="E59" s="110" t="str">
        <f>'G2 MT Reading Scoresheet'!$J61</f>
        <v/>
      </c>
      <c r="F59" s="111" t="str">
        <f>IF(C59&lt;&gt;"",'G2 MT Reading Scoresheet'!$I61/30,"")</f>
        <v/>
      </c>
      <c r="G59" s="111" t="str">
        <f>IF(AND($C59&lt;&gt;"",$E59&lt;&gt;"Full Refresher"),'G2 MT Reading Scoresheet'!$Q61,"")</f>
        <v/>
      </c>
      <c r="H59" s="111" t="str">
        <f>IF(AND(C59&lt;&gt;"",E59&lt;&gt;"Full Refresher"),'G2 MT Reading Scoresheet'!$R61/6,"")</f>
        <v/>
      </c>
      <c r="I59" s="110" t="str">
        <f>IF(AND(D59&lt;&gt;"",F59&lt;&gt;"Full Refresher"),'G2 MT Reading Scoresheet'!$P61,"")</f>
        <v/>
      </c>
      <c r="J59" s="124" t="str">
        <f>'G2 MT Reading Scoresheet'!$U61</f>
        <v/>
      </c>
      <c r="K59" s="121" t="str">
        <f>'G2 FIL Reading Scoresheet'!$J61</f>
        <v/>
      </c>
      <c r="L59" s="122" t="str">
        <f>IF($C59&lt;&gt;"",'G2 FIL Reading Scoresheet'!$I61/30,"")</f>
        <v/>
      </c>
      <c r="M59" s="122" t="str">
        <f>IF(AND($C59&lt;&gt;"",$K59&lt;&gt;"Full Refresher"),'G2 FIL Reading Scoresheet'!$Q61,"")</f>
        <v/>
      </c>
      <c r="N59" s="122" t="str">
        <f>IF(AND($C59&lt;&gt;"",K59&lt;&gt;"Full Refresher"),'G2 FIL Reading Scoresheet'!$R61/6,"")</f>
        <v/>
      </c>
      <c r="O59" s="121" t="str">
        <f>IF(AND(C59&lt;&gt;"",K59&lt;&gt;"Full Refresher"),'G2 FIL Reading Scoresheet'!$P61,"")</f>
        <v/>
      </c>
      <c r="P59" s="125" t="str">
        <f>'G2 FIL Reading Scoresheet'!$U61</f>
        <v/>
      </c>
      <c r="Q59" s="126" t="str">
        <f>CONCATENATE(IF(ISBLANK('G2 MT Reading Scoresheet'!V61),"",CONCATENATE("MT:",TRIM('G2 MT Reading Scoresheet'!V61)))," ",IF(ISBLANK('G2 FIL Reading Scoresheet'!V61),"",CONCATENATE("FIL:",TRIM('G2 FIL Reading Scoresheet'!V61))))</f>
        <v/>
      </c>
    </row>
    <row r="60" spans="1:17">
      <c r="A60" s="112">
        <v>52</v>
      </c>
      <c r="B60" s="113" t="str">
        <f>IF('G2 MT Reading Scoresheet'!B62&lt;&gt;"",'G2 MT Reading Scoresheet'!B62,"")</f>
        <v/>
      </c>
      <c r="C60" s="114" t="str">
        <f>IF('G2 MT Reading Scoresheet'!C62&lt;&gt;"",'G2 MT Reading Scoresheet'!C62,"")</f>
        <v/>
      </c>
      <c r="D60" s="115" t="str">
        <f>IF('G2 MT Reading Scoresheet'!D62&lt;&gt;"",'G2 MT Reading Scoresheet'!D62,"")</f>
        <v/>
      </c>
      <c r="E60" s="110" t="str">
        <f>'G2 MT Reading Scoresheet'!$J62</f>
        <v/>
      </c>
      <c r="F60" s="111" t="str">
        <f>IF(C60&lt;&gt;"",'G2 MT Reading Scoresheet'!$I62/30,"")</f>
        <v/>
      </c>
      <c r="G60" s="111" t="str">
        <f>IF(AND($C60&lt;&gt;"",$E60&lt;&gt;"Full Refresher"),'G2 MT Reading Scoresheet'!$Q62,"")</f>
        <v/>
      </c>
      <c r="H60" s="111" t="str">
        <f>IF(AND(C60&lt;&gt;"",E60&lt;&gt;"Full Refresher"),'G2 MT Reading Scoresheet'!$R62/6,"")</f>
        <v/>
      </c>
      <c r="I60" s="110" t="str">
        <f>IF(AND(D60&lt;&gt;"",F60&lt;&gt;"Full Refresher"),'G2 MT Reading Scoresheet'!$P62,"")</f>
        <v/>
      </c>
      <c r="J60" s="124" t="str">
        <f>'G2 MT Reading Scoresheet'!$U62</f>
        <v/>
      </c>
      <c r="K60" s="121" t="str">
        <f>'G2 FIL Reading Scoresheet'!$J62</f>
        <v/>
      </c>
      <c r="L60" s="122" t="str">
        <f>IF($C60&lt;&gt;"",'G2 FIL Reading Scoresheet'!$I62/30,"")</f>
        <v/>
      </c>
      <c r="M60" s="122" t="str">
        <f>IF(AND($C60&lt;&gt;"",$K60&lt;&gt;"Full Refresher"),'G2 FIL Reading Scoresheet'!$Q62,"")</f>
        <v/>
      </c>
      <c r="N60" s="122" t="str">
        <f>IF(AND($C60&lt;&gt;"",K60&lt;&gt;"Full Refresher"),'G2 FIL Reading Scoresheet'!$R62/6,"")</f>
        <v/>
      </c>
      <c r="O60" s="121" t="str">
        <f>IF(AND(C60&lt;&gt;"",K60&lt;&gt;"Full Refresher"),'G2 FIL Reading Scoresheet'!$P62,"")</f>
        <v/>
      </c>
      <c r="P60" s="125" t="str">
        <f>'G2 FIL Reading Scoresheet'!$U62</f>
        <v/>
      </c>
      <c r="Q60" s="127" t="str">
        <f>CONCATENATE(IF(ISBLANK('G2 MT Reading Scoresheet'!V62),"",CONCATENATE("MT:",TRIM('G2 MT Reading Scoresheet'!V62)))," ",IF(ISBLANK('G2 FIL Reading Scoresheet'!V62),"",CONCATENATE("FIL:",TRIM('G2 FIL Reading Scoresheet'!V62))))</f>
        <v/>
      </c>
    </row>
    <row r="61" spans="1:17">
      <c r="A61" s="106">
        <v>53</v>
      </c>
      <c r="B61" s="107" t="str">
        <f>IF('G2 MT Reading Scoresheet'!B63&lt;&gt;"",'G2 MT Reading Scoresheet'!B63,"")</f>
        <v/>
      </c>
      <c r="C61" s="108" t="str">
        <f>IF('G2 MT Reading Scoresheet'!C63&lt;&gt;"",'G2 MT Reading Scoresheet'!C63,"")</f>
        <v/>
      </c>
      <c r="D61" s="109" t="str">
        <f>IF('G2 MT Reading Scoresheet'!D63&lt;&gt;"",'G2 MT Reading Scoresheet'!D63,"")</f>
        <v/>
      </c>
      <c r="E61" s="110" t="str">
        <f>'G2 MT Reading Scoresheet'!$J63</f>
        <v/>
      </c>
      <c r="F61" s="111" t="str">
        <f>IF(C61&lt;&gt;"",'G2 MT Reading Scoresheet'!$I63/30,"")</f>
        <v/>
      </c>
      <c r="G61" s="111" t="str">
        <f>IF(AND($C61&lt;&gt;"",$E61&lt;&gt;"Full Refresher"),'G2 MT Reading Scoresheet'!$Q63,"")</f>
        <v/>
      </c>
      <c r="H61" s="111" t="str">
        <f>IF(AND(C61&lt;&gt;"",E61&lt;&gt;"Full Refresher"),'G2 MT Reading Scoresheet'!$R63/6,"")</f>
        <v/>
      </c>
      <c r="I61" s="110" t="str">
        <f>IF(AND(D61&lt;&gt;"",F61&lt;&gt;"Full Refresher"),'G2 MT Reading Scoresheet'!$P63,"")</f>
        <v/>
      </c>
      <c r="J61" s="124" t="str">
        <f>'G2 MT Reading Scoresheet'!$U63</f>
        <v/>
      </c>
      <c r="K61" s="121" t="str">
        <f>'G2 FIL Reading Scoresheet'!$J63</f>
        <v/>
      </c>
      <c r="L61" s="122" t="str">
        <f>IF($C61&lt;&gt;"",'G2 FIL Reading Scoresheet'!$I63/30,"")</f>
        <v/>
      </c>
      <c r="M61" s="122" t="str">
        <f>IF(AND($C61&lt;&gt;"",$K61&lt;&gt;"Full Refresher"),'G2 FIL Reading Scoresheet'!$Q63,"")</f>
        <v/>
      </c>
      <c r="N61" s="122" t="str">
        <f>IF(AND($C61&lt;&gt;"",K61&lt;&gt;"Full Refresher"),'G2 FIL Reading Scoresheet'!$R63/6,"")</f>
        <v/>
      </c>
      <c r="O61" s="121" t="str">
        <f>IF(AND(C61&lt;&gt;"",K61&lt;&gt;"Full Refresher"),'G2 FIL Reading Scoresheet'!$P63,"")</f>
        <v/>
      </c>
      <c r="P61" s="125" t="str">
        <f>'G2 FIL Reading Scoresheet'!$U63</f>
        <v/>
      </c>
      <c r="Q61" s="126" t="str">
        <f>CONCATENATE(IF(ISBLANK('G2 MT Reading Scoresheet'!V63),"",CONCATENATE("MT:",TRIM('G2 MT Reading Scoresheet'!V63)))," ",IF(ISBLANK('G2 FIL Reading Scoresheet'!V63),"",CONCATENATE("FIL:",TRIM('G2 FIL Reading Scoresheet'!V63))))</f>
        <v/>
      </c>
    </row>
    <row r="62" spans="1:17">
      <c r="A62" s="112">
        <v>54</v>
      </c>
      <c r="B62" s="113" t="str">
        <f>IF('G2 MT Reading Scoresheet'!B64&lt;&gt;"",'G2 MT Reading Scoresheet'!B64,"")</f>
        <v/>
      </c>
      <c r="C62" s="114" t="str">
        <f>IF('G2 MT Reading Scoresheet'!C64&lt;&gt;"",'G2 MT Reading Scoresheet'!C64,"")</f>
        <v/>
      </c>
      <c r="D62" s="115" t="str">
        <f>IF('G2 MT Reading Scoresheet'!D64&lt;&gt;"",'G2 MT Reading Scoresheet'!D64,"")</f>
        <v/>
      </c>
      <c r="E62" s="110" t="str">
        <f>'G2 MT Reading Scoresheet'!$J64</f>
        <v/>
      </c>
      <c r="F62" s="111" t="str">
        <f>IF(C62&lt;&gt;"",'G2 MT Reading Scoresheet'!$I64/30,"")</f>
        <v/>
      </c>
      <c r="G62" s="111" t="str">
        <f>IF(AND($C62&lt;&gt;"",$E62&lt;&gt;"Full Refresher"),'G2 MT Reading Scoresheet'!$Q64,"")</f>
        <v/>
      </c>
      <c r="H62" s="111" t="str">
        <f>IF(AND(C62&lt;&gt;"",E62&lt;&gt;"Full Refresher"),'G2 MT Reading Scoresheet'!$R64/6,"")</f>
        <v/>
      </c>
      <c r="I62" s="110" t="str">
        <f>IF(AND(D62&lt;&gt;"",F62&lt;&gt;"Full Refresher"),'G2 MT Reading Scoresheet'!$P64,"")</f>
        <v/>
      </c>
      <c r="J62" s="124" t="str">
        <f>'G2 MT Reading Scoresheet'!$U64</f>
        <v/>
      </c>
      <c r="K62" s="121" t="str">
        <f>'G2 FIL Reading Scoresheet'!$J64</f>
        <v/>
      </c>
      <c r="L62" s="122" t="str">
        <f>IF($C62&lt;&gt;"",'G2 FIL Reading Scoresheet'!$I64/30,"")</f>
        <v/>
      </c>
      <c r="M62" s="122" t="str">
        <f>IF(AND($C62&lt;&gt;"",$K62&lt;&gt;"Full Refresher"),'G2 FIL Reading Scoresheet'!$Q64,"")</f>
        <v/>
      </c>
      <c r="N62" s="122" t="str">
        <f>IF(AND($C62&lt;&gt;"",K62&lt;&gt;"Full Refresher"),'G2 FIL Reading Scoresheet'!$R64/6,"")</f>
        <v/>
      </c>
      <c r="O62" s="121" t="str">
        <f>IF(AND(C62&lt;&gt;"",K62&lt;&gt;"Full Refresher"),'G2 FIL Reading Scoresheet'!$P64,"")</f>
        <v/>
      </c>
      <c r="P62" s="125" t="str">
        <f>'G2 FIL Reading Scoresheet'!$U64</f>
        <v/>
      </c>
      <c r="Q62" s="127" t="str">
        <f>CONCATENATE(IF(ISBLANK('G2 MT Reading Scoresheet'!V64),"",CONCATENATE("MT:",TRIM('G2 MT Reading Scoresheet'!V64)))," ",IF(ISBLANK('G2 FIL Reading Scoresheet'!V64),"",CONCATENATE("FIL:",TRIM('G2 FIL Reading Scoresheet'!V64))))</f>
        <v/>
      </c>
    </row>
    <row r="63" spans="1:17">
      <c r="A63" s="106">
        <v>55</v>
      </c>
      <c r="B63" s="107" t="str">
        <f>IF('G2 MT Reading Scoresheet'!B65&lt;&gt;"",'G2 MT Reading Scoresheet'!B65,"")</f>
        <v/>
      </c>
      <c r="C63" s="108" t="str">
        <f>IF('G2 MT Reading Scoresheet'!C65&lt;&gt;"",'G2 MT Reading Scoresheet'!C65,"")</f>
        <v/>
      </c>
      <c r="D63" s="109" t="str">
        <f>IF('G2 MT Reading Scoresheet'!D65&lt;&gt;"",'G2 MT Reading Scoresheet'!D65,"")</f>
        <v/>
      </c>
      <c r="E63" s="110" t="str">
        <f>'G2 MT Reading Scoresheet'!$J65</f>
        <v/>
      </c>
      <c r="F63" s="111" t="str">
        <f>IF(C63&lt;&gt;"",'G2 MT Reading Scoresheet'!$I65/30,"")</f>
        <v/>
      </c>
      <c r="G63" s="111" t="str">
        <f>IF(AND($C63&lt;&gt;"",$E63&lt;&gt;"Full Refresher"),'G2 MT Reading Scoresheet'!$Q65,"")</f>
        <v/>
      </c>
      <c r="H63" s="111" t="str">
        <f>IF(AND(C63&lt;&gt;"",E63&lt;&gt;"Full Refresher"),'G2 MT Reading Scoresheet'!$R65/6,"")</f>
        <v/>
      </c>
      <c r="I63" s="110" t="str">
        <f>IF(AND(D63&lt;&gt;"",F63&lt;&gt;"Full Refresher"),'G2 MT Reading Scoresheet'!$P65,"")</f>
        <v/>
      </c>
      <c r="J63" s="124" t="str">
        <f>'G2 MT Reading Scoresheet'!$U65</f>
        <v/>
      </c>
      <c r="K63" s="121" t="str">
        <f>'G2 FIL Reading Scoresheet'!$J65</f>
        <v/>
      </c>
      <c r="L63" s="122" t="str">
        <f>IF($C63&lt;&gt;"",'G2 FIL Reading Scoresheet'!$I65/30,"")</f>
        <v/>
      </c>
      <c r="M63" s="122" t="str">
        <f>IF(AND($C63&lt;&gt;"",$K63&lt;&gt;"Full Refresher"),'G2 FIL Reading Scoresheet'!$Q65,"")</f>
        <v/>
      </c>
      <c r="N63" s="122" t="str">
        <f>IF(AND($C63&lt;&gt;"",K63&lt;&gt;"Full Refresher"),'G2 FIL Reading Scoresheet'!$R65/6,"")</f>
        <v/>
      </c>
      <c r="O63" s="121" t="str">
        <f>IF(AND(C63&lt;&gt;"",K63&lt;&gt;"Full Refresher"),'G2 FIL Reading Scoresheet'!$P65,"")</f>
        <v/>
      </c>
      <c r="P63" s="125" t="str">
        <f>'G2 FIL Reading Scoresheet'!$U65</f>
        <v/>
      </c>
      <c r="Q63" s="126" t="str">
        <f>CONCATENATE(IF(ISBLANK('G2 MT Reading Scoresheet'!V65),"",CONCATENATE("MT:",TRIM('G2 MT Reading Scoresheet'!V65)))," ",IF(ISBLANK('G2 FIL Reading Scoresheet'!V65),"",CONCATENATE("FIL:",TRIM('G2 FIL Reading Scoresheet'!V65))))</f>
        <v/>
      </c>
    </row>
    <row r="64" spans="1:17">
      <c r="A64" s="112">
        <v>56</v>
      </c>
      <c r="B64" s="113" t="str">
        <f>IF('G2 MT Reading Scoresheet'!B66&lt;&gt;"",'G2 MT Reading Scoresheet'!B66,"")</f>
        <v/>
      </c>
      <c r="C64" s="114" t="str">
        <f>IF('G2 MT Reading Scoresheet'!C66&lt;&gt;"",'G2 MT Reading Scoresheet'!C66,"")</f>
        <v/>
      </c>
      <c r="D64" s="115" t="str">
        <f>IF('G2 MT Reading Scoresheet'!D66&lt;&gt;"",'G2 MT Reading Scoresheet'!D66,"")</f>
        <v/>
      </c>
      <c r="E64" s="110" t="str">
        <f>'G2 MT Reading Scoresheet'!$J66</f>
        <v/>
      </c>
      <c r="F64" s="111" t="str">
        <f>IF(C64&lt;&gt;"",'G2 MT Reading Scoresheet'!$I66/30,"")</f>
        <v/>
      </c>
      <c r="G64" s="111" t="str">
        <f>IF(AND($C64&lt;&gt;"",$E64&lt;&gt;"Full Refresher"),'G2 MT Reading Scoresheet'!$Q66,"")</f>
        <v/>
      </c>
      <c r="H64" s="111" t="str">
        <f>IF(AND(C64&lt;&gt;"",E64&lt;&gt;"Full Refresher"),'G2 MT Reading Scoresheet'!$R66/6,"")</f>
        <v/>
      </c>
      <c r="I64" s="110" t="str">
        <f>IF(AND(D64&lt;&gt;"",F64&lt;&gt;"Full Refresher"),'G2 MT Reading Scoresheet'!$P66,"")</f>
        <v/>
      </c>
      <c r="J64" s="124" t="str">
        <f>'G2 MT Reading Scoresheet'!$U66</f>
        <v/>
      </c>
      <c r="K64" s="121" t="str">
        <f>'G2 FIL Reading Scoresheet'!$J66</f>
        <v/>
      </c>
      <c r="L64" s="122" t="str">
        <f>IF($C64&lt;&gt;"",'G2 FIL Reading Scoresheet'!$I66/30,"")</f>
        <v/>
      </c>
      <c r="M64" s="122" t="str">
        <f>IF(AND($C64&lt;&gt;"",$K64&lt;&gt;"Full Refresher"),'G2 FIL Reading Scoresheet'!$Q66,"")</f>
        <v/>
      </c>
      <c r="N64" s="122" t="str">
        <f>IF(AND($C64&lt;&gt;"",K64&lt;&gt;"Full Refresher"),'G2 FIL Reading Scoresheet'!$R66/6,"")</f>
        <v/>
      </c>
      <c r="O64" s="121" t="str">
        <f>IF(AND(C64&lt;&gt;"",K64&lt;&gt;"Full Refresher"),'G2 FIL Reading Scoresheet'!$P66,"")</f>
        <v/>
      </c>
      <c r="P64" s="125" t="str">
        <f>'G2 FIL Reading Scoresheet'!$U66</f>
        <v/>
      </c>
      <c r="Q64" s="127" t="str">
        <f>CONCATENATE(IF(ISBLANK('G2 MT Reading Scoresheet'!V66),"",CONCATENATE("MT:",TRIM('G2 MT Reading Scoresheet'!V66)))," ",IF(ISBLANK('G2 FIL Reading Scoresheet'!V66),"",CONCATENATE("FIL:",TRIM('G2 FIL Reading Scoresheet'!V66))))</f>
        <v/>
      </c>
    </row>
    <row r="65" spans="1:17">
      <c r="A65" s="106">
        <v>57</v>
      </c>
      <c r="B65" s="107" t="str">
        <f>IF('G2 MT Reading Scoresheet'!B67&lt;&gt;"",'G2 MT Reading Scoresheet'!B67,"")</f>
        <v/>
      </c>
      <c r="C65" s="108" t="str">
        <f>IF('G2 MT Reading Scoresheet'!C67&lt;&gt;"",'G2 MT Reading Scoresheet'!C67,"")</f>
        <v/>
      </c>
      <c r="D65" s="109" t="str">
        <f>IF('G2 MT Reading Scoresheet'!D67&lt;&gt;"",'G2 MT Reading Scoresheet'!D67,"")</f>
        <v/>
      </c>
      <c r="E65" s="110" t="str">
        <f>'G2 MT Reading Scoresheet'!$J67</f>
        <v/>
      </c>
      <c r="F65" s="111" t="str">
        <f>IF(C65&lt;&gt;"",'G2 MT Reading Scoresheet'!$I67/30,"")</f>
        <v/>
      </c>
      <c r="G65" s="111" t="str">
        <f>IF(AND($C65&lt;&gt;"",$E65&lt;&gt;"Full Refresher"),'G2 MT Reading Scoresheet'!$Q67,"")</f>
        <v/>
      </c>
      <c r="H65" s="111" t="str">
        <f>IF(AND(C65&lt;&gt;"",E65&lt;&gt;"Full Refresher"),'G2 MT Reading Scoresheet'!$R67/6,"")</f>
        <v/>
      </c>
      <c r="I65" s="110" t="str">
        <f>IF(AND(D65&lt;&gt;"",F65&lt;&gt;"Full Refresher"),'G2 MT Reading Scoresheet'!$P67,"")</f>
        <v/>
      </c>
      <c r="J65" s="124" t="str">
        <f>'G2 MT Reading Scoresheet'!$U67</f>
        <v/>
      </c>
      <c r="K65" s="121" t="str">
        <f>'G2 FIL Reading Scoresheet'!$J67</f>
        <v/>
      </c>
      <c r="L65" s="122" t="str">
        <f>IF($C65&lt;&gt;"",'G2 FIL Reading Scoresheet'!$I67/30,"")</f>
        <v/>
      </c>
      <c r="M65" s="122" t="str">
        <f>IF(AND($C65&lt;&gt;"",$K65&lt;&gt;"Full Refresher"),'G2 FIL Reading Scoresheet'!$Q67,"")</f>
        <v/>
      </c>
      <c r="N65" s="122" t="str">
        <f>IF(AND($C65&lt;&gt;"",K65&lt;&gt;"Full Refresher"),'G2 FIL Reading Scoresheet'!$R67/6,"")</f>
        <v/>
      </c>
      <c r="O65" s="121" t="str">
        <f>IF(AND(C65&lt;&gt;"",K65&lt;&gt;"Full Refresher"),'G2 FIL Reading Scoresheet'!$P67,"")</f>
        <v/>
      </c>
      <c r="P65" s="125" t="str">
        <f>'G2 FIL Reading Scoresheet'!$U67</f>
        <v/>
      </c>
      <c r="Q65" s="126" t="str">
        <f>CONCATENATE(IF(ISBLANK('G2 MT Reading Scoresheet'!V67),"",CONCATENATE("MT:",TRIM('G2 MT Reading Scoresheet'!V67)))," ",IF(ISBLANK('G2 FIL Reading Scoresheet'!V67),"",CONCATENATE("FIL:",TRIM('G2 FIL Reading Scoresheet'!V67))))</f>
        <v/>
      </c>
    </row>
    <row r="66" spans="1:17">
      <c r="A66" s="112">
        <v>58</v>
      </c>
      <c r="B66" s="113" t="str">
        <f>IF('G2 MT Reading Scoresheet'!B68&lt;&gt;"",'G2 MT Reading Scoresheet'!B68,"")</f>
        <v/>
      </c>
      <c r="C66" s="114" t="str">
        <f>IF('G2 MT Reading Scoresheet'!C68&lt;&gt;"",'G2 MT Reading Scoresheet'!C68,"")</f>
        <v/>
      </c>
      <c r="D66" s="115" t="str">
        <f>IF('G2 MT Reading Scoresheet'!D68&lt;&gt;"",'G2 MT Reading Scoresheet'!D68,"")</f>
        <v/>
      </c>
      <c r="E66" s="110" t="str">
        <f>'G2 MT Reading Scoresheet'!$J68</f>
        <v/>
      </c>
      <c r="F66" s="111" t="str">
        <f>IF(C66&lt;&gt;"",'G2 MT Reading Scoresheet'!$I68/30,"")</f>
        <v/>
      </c>
      <c r="G66" s="111" t="str">
        <f>IF(AND($C66&lt;&gt;"",$E66&lt;&gt;"Full Refresher"),'G2 MT Reading Scoresheet'!$Q68,"")</f>
        <v/>
      </c>
      <c r="H66" s="111" t="str">
        <f>IF(AND(C66&lt;&gt;"",E66&lt;&gt;"Full Refresher"),'G2 MT Reading Scoresheet'!$R68/6,"")</f>
        <v/>
      </c>
      <c r="I66" s="110" t="str">
        <f>IF(AND(D66&lt;&gt;"",F66&lt;&gt;"Full Refresher"),'G2 MT Reading Scoresheet'!$P68,"")</f>
        <v/>
      </c>
      <c r="J66" s="124" t="str">
        <f>'G2 MT Reading Scoresheet'!$U68</f>
        <v/>
      </c>
      <c r="K66" s="121" t="str">
        <f>'G2 FIL Reading Scoresheet'!$J68</f>
        <v/>
      </c>
      <c r="L66" s="122" t="str">
        <f>IF($C66&lt;&gt;"",'G2 FIL Reading Scoresheet'!$I68/30,"")</f>
        <v/>
      </c>
      <c r="M66" s="122" t="str">
        <f>IF(AND($C66&lt;&gt;"",$K66&lt;&gt;"Full Refresher"),'G2 FIL Reading Scoresheet'!$Q68,"")</f>
        <v/>
      </c>
      <c r="N66" s="122" t="str">
        <f>IF(AND($C66&lt;&gt;"",K66&lt;&gt;"Full Refresher"),'G2 FIL Reading Scoresheet'!$R68/6,"")</f>
        <v/>
      </c>
      <c r="O66" s="121" t="str">
        <f>IF(AND(C66&lt;&gt;"",K66&lt;&gt;"Full Refresher"),'G2 FIL Reading Scoresheet'!$P68,"")</f>
        <v/>
      </c>
      <c r="P66" s="125" t="str">
        <f>'G2 FIL Reading Scoresheet'!$U68</f>
        <v/>
      </c>
      <c r="Q66" s="127" t="str">
        <f>CONCATENATE(IF(ISBLANK('G2 MT Reading Scoresheet'!V68),"",CONCATENATE("MT:",TRIM('G2 MT Reading Scoresheet'!V68)))," ",IF(ISBLANK('G2 FIL Reading Scoresheet'!V68),"",CONCATENATE("FIL:",TRIM('G2 FIL Reading Scoresheet'!V68))))</f>
        <v/>
      </c>
    </row>
    <row r="67" spans="1:17">
      <c r="A67" s="106">
        <v>59</v>
      </c>
      <c r="B67" s="107" t="str">
        <f>IF('G2 MT Reading Scoresheet'!B69&lt;&gt;"",'G2 MT Reading Scoresheet'!B69,"")</f>
        <v/>
      </c>
      <c r="C67" s="108" t="str">
        <f>IF('G2 MT Reading Scoresheet'!C69&lt;&gt;"",'G2 MT Reading Scoresheet'!C69,"")</f>
        <v/>
      </c>
      <c r="D67" s="109" t="str">
        <f>IF('G2 MT Reading Scoresheet'!D69&lt;&gt;"",'G2 MT Reading Scoresheet'!D69,"")</f>
        <v/>
      </c>
      <c r="E67" s="110" t="str">
        <f>'G2 MT Reading Scoresheet'!$J69</f>
        <v/>
      </c>
      <c r="F67" s="111" t="str">
        <f>IF(C67&lt;&gt;"",'G2 MT Reading Scoresheet'!$I69/30,"")</f>
        <v/>
      </c>
      <c r="G67" s="111" t="str">
        <f>IF(AND($C67&lt;&gt;"",$E67&lt;&gt;"Full Refresher"),'G2 MT Reading Scoresheet'!$Q69,"")</f>
        <v/>
      </c>
      <c r="H67" s="111" t="str">
        <f>IF(AND(C67&lt;&gt;"",E67&lt;&gt;"Full Refresher"),'G2 MT Reading Scoresheet'!$R69/6,"")</f>
        <v/>
      </c>
      <c r="I67" s="110" t="str">
        <f>IF(AND(D67&lt;&gt;"",F67&lt;&gt;"Full Refresher"),'G2 MT Reading Scoresheet'!$P69,"")</f>
        <v/>
      </c>
      <c r="J67" s="124" t="str">
        <f>'G2 MT Reading Scoresheet'!$U69</f>
        <v/>
      </c>
      <c r="K67" s="121" t="str">
        <f>'G2 FIL Reading Scoresheet'!$J69</f>
        <v/>
      </c>
      <c r="L67" s="122" t="str">
        <f>IF($C67&lt;&gt;"",'G2 FIL Reading Scoresheet'!$I69/30,"")</f>
        <v/>
      </c>
      <c r="M67" s="122" t="str">
        <f>IF(AND($C67&lt;&gt;"",$K67&lt;&gt;"Full Refresher"),'G2 FIL Reading Scoresheet'!$Q69,"")</f>
        <v/>
      </c>
      <c r="N67" s="122" t="str">
        <f>IF(AND($C67&lt;&gt;"",K67&lt;&gt;"Full Refresher"),'G2 FIL Reading Scoresheet'!$R69/6,"")</f>
        <v/>
      </c>
      <c r="O67" s="121" t="str">
        <f>IF(AND(C67&lt;&gt;"",K67&lt;&gt;"Full Refresher"),'G2 FIL Reading Scoresheet'!$P69,"")</f>
        <v/>
      </c>
      <c r="P67" s="125" t="str">
        <f>'G2 FIL Reading Scoresheet'!$U69</f>
        <v/>
      </c>
      <c r="Q67" s="126" t="str">
        <f>CONCATENATE(IF(ISBLANK('G2 MT Reading Scoresheet'!V69),"",CONCATENATE("MT:",TRIM('G2 MT Reading Scoresheet'!V69)))," ",IF(ISBLANK('G2 FIL Reading Scoresheet'!V69),"",CONCATENATE("FIL:",TRIM('G2 FIL Reading Scoresheet'!V69))))</f>
        <v/>
      </c>
    </row>
    <row r="68" spans="1:17">
      <c r="A68" s="112">
        <f>A67+1</f>
        <v>60</v>
      </c>
      <c r="B68" s="113" t="str">
        <f>IF('G2 MT Reading Scoresheet'!B70&lt;&gt;"",'G2 MT Reading Scoresheet'!B70,"")</f>
        <v/>
      </c>
      <c r="C68" s="114" t="str">
        <f>IF('G2 MT Reading Scoresheet'!C70&lt;&gt;"",'G2 MT Reading Scoresheet'!C70,"")</f>
        <v/>
      </c>
      <c r="D68" s="115" t="str">
        <f>IF('G2 MT Reading Scoresheet'!D70&lt;&gt;"",'G2 MT Reading Scoresheet'!D70,"")</f>
        <v/>
      </c>
      <c r="E68" s="110" t="str">
        <f>'G2 MT Reading Scoresheet'!$J70</f>
        <v/>
      </c>
      <c r="F68" s="111" t="str">
        <f>IF(C68&lt;&gt;"",'G2 MT Reading Scoresheet'!$I70/30,"")</f>
        <v/>
      </c>
      <c r="G68" s="111" t="str">
        <f>IF(AND($C68&lt;&gt;"",$E68&lt;&gt;"Full Refresher"),'G2 MT Reading Scoresheet'!$Q70,"")</f>
        <v/>
      </c>
      <c r="H68" s="111" t="str">
        <f>IF(AND(C68&lt;&gt;"",E68&lt;&gt;"Full Refresher"),'G2 MT Reading Scoresheet'!$R70/6,"")</f>
        <v/>
      </c>
      <c r="I68" s="110" t="str">
        <f>IF(AND(D68&lt;&gt;"",F68&lt;&gt;"Full Refresher"),'G2 MT Reading Scoresheet'!$P70,"")</f>
        <v/>
      </c>
      <c r="J68" s="124" t="str">
        <f>'G2 MT Reading Scoresheet'!$U70</f>
        <v/>
      </c>
      <c r="K68" s="121" t="str">
        <f>'G2 FIL Reading Scoresheet'!$J70</f>
        <v/>
      </c>
      <c r="L68" s="122" t="str">
        <f>IF($C68&lt;&gt;"",'G2 FIL Reading Scoresheet'!$I70/30,"")</f>
        <v/>
      </c>
      <c r="M68" s="122" t="str">
        <f>IF(AND($C68&lt;&gt;"",$K68&lt;&gt;"Full Refresher"),'G2 FIL Reading Scoresheet'!$Q70,"")</f>
        <v/>
      </c>
      <c r="N68" s="122" t="str">
        <f>IF(AND($C68&lt;&gt;"",K68&lt;&gt;"Full Refresher"),'G2 FIL Reading Scoresheet'!$R70/6,"")</f>
        <v/>
      </c>
      <c r="O68" s="121" t="str">
        <f>IF(AND(C68&lt;&gt;"",K68&lt;&gt;"Full Refresher"),'G2 FIL Reading Scoresheet'!$P70,"")</f>
        <v/>
      </c>
      <c r="P68" s="125" t="str">
        <f>'G2 FIL Reading Scoresheet'!$U70</f>
        <v/>
      </c>
      <c r="Q68" s="127" t="str">
        <f>CONCATENATE(IF(ISBLANK('G2 MT Reading Scoresheet'!V70),"",CONCATENATE("MT:",TRIM('G2 MT Reading Scoresheet'!V70)))," ",IF(ISBLANK('G2 FIL Reading Scoresheet'!V70),"",CONCATENATE("FIL:",TRIM('G2 FIL Reading Scoresheet'!V70))))</f>
        <v/>
      </c>
    </row>
    <row r="69" spans="1:17">
      <c r="A69" s="106">
        <f t="shared" ref="A69:A107" si="0">A68+1</f>
        <v>61</v>
      </c>
      <c r="B69" s="107" t="str">
        <f>IF('G2 MT Reading Scoresheet'!B71&lt;&gt;"",'G2 MT Reading Scoresheet'!B71,"")</f>
        <v/>
      </c>
      <c r="C69" s="108" t="str">
        <f>IF('G2 MT Reading Scoresheet'!C71&lt;&gt;"",'G2 MT Reading Scoresheet'!C71,"")</f>
        <v/>
      </c>
      <c r="D69" s="109" t="str">
        <f>IF('G2 MT Reading Scoresheet'!D71&lt;&gt;"",'G2 MT Reading Scoresheet'!D71,"")</f>
        <v/>
      </c>
      <c r="E69" s="110" t="str">
        <f>'G2 MT Reading Scoresheet'!$J71</f>
        <v/>
      </c>
      <c r="F69" s="111" t="str">
        <f>IF(C69&lt;&gt;"",'G2 MT Reading Scoresheet'!$I71/30,"")</f>
        <v/>
      </c>
      <c r="G69" s="111" t="str">
        <f>IF(AND($C69&lt;&gt;"",$E69&lt;&gt;"Full Refresher"),'G2 MT Reading Scoresheet'!$Q71,"")</f>
        <v/>
      </c>
      <c r="H69" s="111" t="str">
        <f>IF(AND(C69&lt;&gt;"",E69&lt;&gt;"Full Refresher"),'G2 MT Reading Scoresheet'!$R71/6,"")</f>
        <v/>
      </c>
      <c r="I69" s="110" t="str">
        <f>IF(AND(D69&lt;&gt;"",F69&lt;&gt;"Full Refresher"),'G2 MT Reading Scoresheet'!$P71,"")</f>
        <v/>
      </c>
      <c r="J69" s="124" t="str">
        <f>'G2 MT Reading Scoresheet'!$U71</f>
        <v/>
      </c>
      <c r="K69" s="121" t="str">
        <f>'G2 FIL Reading Scoresheet'!$J71</f>
        <v/>
      </c>
      <c r="L69" s="122" t="str">
        <f>IF($C69&lt;&gt;"",'G2 FIL Reading Scoresheet'!$I71/30,"")</f>
        <v/>
      </c>
      <c r="M69" s="122" t="str">
        <f>IF(AND($C69&lt;&gt;"",$K69&lt;&gt;"Full Refresher"),'G2 FIL Reading Scoresheet'!$Q71,"")</f>
        <v/>
      </c>
      <c r="N69" s="122" t="str">
        <f>IF(AND($C69&lt;&gt;"",K69&lt;&gt;"Full Refresher"),'G2 FIL Reading Scoresheet'!$R71/6,"")</f>
        <v/>
      </c>
      <c r="O69" s="121" t="str">
        <f>IF(AND(C69&lt;&gt;"",K69&lt;&gt;"Full Refresher"),'G2 FIL Reading Scoresheet'!$P71,"")</f>
        <v/>
      </c>
      <c r="P69" s="125" t="str">
        <f>'G2 FIL Reading Scoresheet'!$U71</f>
        <v/>
      </c>
      <c r="Q69" s="126" t="str">
        <f>CONCATENATE(IF(ISBLANK('G2 MT Reading Scoresheet'!V71),"",CONCATENATE("MT:",TRIM('G2 MT Reading Scoresheet'!V71)))," ",IF(ISBLANK('G2 FIL Reading Scoresheet'!V71),"",CONCATENATE("FIL:",TRIM('G2 FIL Reading Scoresheet'!V71))))</f>
        <v/>
      </c>
    </row>
    <row r="70" spans="1:17">
      <c r="A70" s="112">
        <f t="shared" si="0"/>
        <v>62</v>
      </c>
      <c r="B70" s="113" t="str">
        <f>IF('G2 MT Reading Scoresheet'!B72&lt;&gt;"",'G2 MT Reading Scoresheet'!B72,"")</f>
        <v/>
      </c>
      <c r="C70" s="114" t="str">
        <f>IF('G2 MT Reading Scoresheet'!C72&lt;&gt;"",'G2 MT Reading Scoresheet'!C72,"")</f>
        <v/>
      </c>
      <c r="D70" s="115" t="str">
        <f>IF('G2 MT Reading Scoresheet'!D72&lt;&gt;"",'G2 MT Reading Scoresheet'!D72,"")</f>
        <v/>
      </c>
      <c r="E70" s="110" t="str">
        <f>'G2 MT Reading Scoresheet'!$J72</f>
        <v/>
      </c>
      <c r="F70" s="111" t="str">
        <f>IF(C70&lt;&gt;"",'G2 MT Reading Scoresheet'!$I72/30,"")</f>
        <v/>
      </c>
      <c r="G70" s="111" t="str">
        <f>IF(AND($C70&lt;&gt;"",$E70&lt;&gt;"Full Refresher"),'G2 MT Reading Scoresheet'!$Q72,"")</f>
        <v/>
      </c>
      <c r="H70" s="111" t="str">
        <f>IF(AND(C70&lt;&gt;"",E70&lt;&gt;"Full Refresher"),'G2 MT Reading Scoresheet'!$R72/6,"")</f>
        <v/>
      </c>
      <c r="I70" s="110" t="str">
        <f>IF(AND(D70&lt;&gt;"",F70&lt;&gt;"Full Refresher"),'G2 MT Reading Scoresheet'!$P72,"")</f>
        <v/>
      </c>
      <c r="J70" s="124" t="str">
        <f>'G2 MT Reading Scoresheet'!$U72</f>
        <v/>
      </c>
      <c r="K70" s="121" t="str">
        <f>'G2 FIL Reading Scoresheet'!$J72</f>
        <v/>
      </c>
      <c r="L70" s="122" t="str">
        <f>IF($C70&lt;&gt;"",'G2 FIL Reading Scoresheet'!$I72/30,"")</f>
        <v/>
      </c>
      <c r="M70" s="122" t="str">
        <f>IF(AND($C70&lt;&gt;"",$K70&lt;&gt;"Full Refresher"),'G2 FIL Reading Scoresheet'!$Q72,"")</f>
        <v/>
      </c>
      <c r="N70" s="122" t="str">
        <f>IF(AND($C70&lt;&gt;"",K70&lt;&gt;"Full Refresher"),'G2 FIL Reading Scoresheet'!$R72/6,"")</f>
        <v/>
      </c>
      <c r="O70" s="121" t="str">
        <f>IF(AND(C70&lt;&gt;"",K70&lt;&gt;"Full Refresher"),'G2 FIL Reading Scoresheet'!$P72,"")</f>
        <v/>
      </c>
      <c r="P70" s="125" t="str">
        <f>'G2 FIL Reading Scoresheet'!$U72</f>
        <v/>
      </c>
      <c r="Q70" s="127" t="str">
        <f>CONCATENATE(IF(ISBLANK('G2 MT Reading Scoresheet'!V72),"",CONCATENATE("MT:",TRIM('G2 MT Reading Scoresheet'!V72)))," ",IF(ISBLANK('G2 FIL Reading Scoresheet'!V72),"",CONCATENATE("FIL:",TRIM('G2 FIL Reading Scoresheet'!V72))))</f>
        <v/>
      </c>
    </row>
    <row r="71" spans="1:17">
      <c r="A71" s="106">
        <f t="shared" si="0"/>
        <v>63</v>
      </c>
      <c r="B71" s="107" t="str">
        <f>IF('G2 MT Reading Scoresheet'!B73&lt;&gt;"",'G2 MT Reading Scoresheet'!B73,"")</f>
        <v/>
      </c>
      <c r="C71" s="108" t="str">
        <f>IF('G2 MT Reading Scoresheet'!C73&lt;&gt;"",'G2 MT Reading Scoresheet'!C73,"")</f>
        <v/>
      </c>
      <c r="D71" s="109" t="str">
        <f>IF('G2 MT Reading Scoresheet'!D73&lt;&gt;"",'G2 MT Reading Scoresheet'!D73,"")</f>
        <v/>
      </c>
      <c r="E71" s="110" t="str">
        <f>'G2 MT Reading Scoresheet'!$J73</f>
        <v/>
      </c>
      <c r="F71" s="111" t="str">
        <f>IF(C71&lt;&gt;"",'G2 MT Reading Scoresheet'!$I73/30,"")</f>
        <v/>
      </c>
      <c r="G71" s="111" t="str">
        <f>IF(AND($C71&lt;&gt;"",$E71&lt;&gt;"Full Refresher"),'G2 MT Reading Scoresheet'!$Q73,"")</f>
        <v/>
      </c>
      <c r="H71" s="111" t="str">
        <f>IF(AND(C71&lt;&gt;"",E71&lt;&gt;"Full Refresher"),'G2 MT Reading Scoresheet'!$R73/6,"")</f>
        <v/>
      </c>
      <c r="I71" s="110" t="str">
        <f>IF(AND(D71&lt;&gt;"",F71&lt;&gt;"Full Refresher"),'G2 MT Reading Scoresheet'!$P73,"")</f>
        <v/>
      </c>
      <c r="J71" s="124" t="str">
        <f>'G2 MT Reading Scoresheet'!$U73</f>
        <v/>
      </c>
      <c r="K71" s="121" t="str">
        <f>'G2 FIL Reading Scoresheet'!$J73</f>
        <v/>
      </c>
      <c r="L71" s="122" t="str">
        <f>IF($C71&lt;&gt;"",'G2 FIL Reading Scoresheet'!$I73/30,"")</f>
        <v/>
      </c>
      <c r="M71" s="122" t="str">
        <f>IF(AND($C71&lt;&gt;"",$K71&lt;&gt;"Full Refresher"),'G2 FIL Reading Scoresheet'!$Q73,"")</f>
        <v/>
      </c>
      <c r="N71" s="122" t="str">
        <f>IF(AND($C71&lt;&gt;"",K71&lt;&gt;"Full Refresher"),'G2 FIL Reading Scoresheet'!$R73/6,"")</f>
        <v/>
      </c>
      <c r="O71" s="121" t="str">
        <f>IF(AND(C71&lt;&gt;"",K71&lt;&gt;"Full Refresher"),'G2 FIL Reading Scoresheet'!$P73,"")</f>
        <v/>
      </c>
      <c r="P71" s="125" t="str">
        <f>'G2 FIL Reading Scoresheet'!$U73</f>
        <v/>
      </c>
      <c r="Q71" s="126" t="str">
        <f>CONCATENATE(IF(ISBLANK('G2 MT Reading Scoresheet'!V73),"",CONCATENATE("MT:",TRIM('G2 MT Reading Scoresheet'!V73)))," ",IF(ISBLANK('G2 FIL Reading Scoresheet'!V73),"",CONCATENATE("FIL:",TRIM('G2 FIL Reading Scoresheet'!V73))))</f>
        <v/>
      </c>
    </row>
    <row r="72" spans="1:17">
      <c r="A72" s="112">
        <f t="shared" si="0"/>
        <v>64</v>
      </c>
      <c r="B72" s="113" t="str">
        <f>IF('G2 MT Reading Scoresheet'!B74&lt;&gt;"",'G2 MT Reading Scoresheet'!B74,"")</f>
        <v/>
      </c>
      <c r="C72" s="114" t="str">
        <f>IF('G2 MT Reading Scoresheet'!C74&lt;&gt;"",'G2 MT Reading Scoresheet'!C74,"")</f>
        <v/>
      </c>
      <c r="D72" s="115" t="str">
        <f>IF('G2 MT Reading Scoresheet'!D74&lt;&gt;"",'G2 MT Reading Scoresheet'!D74,"")</f>
        <v/>
      </c>
      <c r="E72" s="110" t="str">
        <f>'G2 MT Reading Scoresheet'!$J74</f>
        <v/>
      </c>
      <c r="F72" s="111" t="str">
        <f>IF(C72&lt;&gt;"",'G2 MT Reading Scoresheet'!$I74/30,"")</f>
        <v/>
      </c>
      <c r="G72" s="111" t="str">
        <f>IF(AND($C72&lt;&gt;"",$E72&lt;&gt;"Full Refresher"),'G2 MT Reading Scoresheet'!$Q74,"")</f>
        <v/>
      </c>
      <c r="H72" s="111" t="str">
        <f>IF(AND(C72&lt;&gt;"",E72&lt;&gt;"Full Refresher"),'G2 MT Reading Scoresheet'!$R74/6,"")</f>
        <v/>
      </c>
      <c r="I72" s="110" t="str">
        <f>IF(AND(D72&lt;&gt;"",F72&lt;&gt;"Full Refresher"),'G2 MT Reading Scoresheet'!$P74,"")</f>
        <v/>
      </c>
      <c r="J72" s="124" t="str">
        <f>'G2 MT Reading Scoresheet'!$U74</f>
        <v/>
      </c>
      <c r="K72" s="121" t="str">
        <f>'G2 FIL Reading Scoresheet'!$J74</f>
        <v/>
      </c>
      <c r="L72" s="122" t="str">
        <f>IF($C72&lt;&gt;"",'G2 FIL Reading Scoresheet'!$I74/30,"")</f>
        <v/>
      </c>
      <c r="M72" s="122" t="str">
        <f>IF(AND($C72&lt;&gt;"",$K72&lt;&gt;"Full Refresher"),'G2 FIL Reading Scoresheet'!$Q74,"")</f>
        <v/>
      </c>
      <c r="N72" s="122" t="str">
        <f>IF(AND($C72&lt;&gt;"",K72&lt;&gt;"Full Refresher"),'G2 FIL Reading Scoresheet'!$R74/6,"")</f>
        <v/>
      </c>
      <c r="O72" s="121" t="str">
        <f>IF(AND(C72&lt;&gt;"",K72&lt;&gt;"Full Refresher"),'G2 FIL Reading Scoresheet'!$P74,"")</f>
        <v/>
      </c>
      <c r="P72" s="125" t="str">
        <f>'G2 FIL Reading Scoresheet'!$U74</f>
        <v/>
      </c>
      <c r="Q72" s="127" t="str">
        <f>CONCATENATE(IF(ISBLANK('G2 MT Reading Scoresheet'!V74),"",CONCATENATE("MT:",TRIM('G2 MT Reading Scoresheet'!V74)))," ",IF(ISBLANK('G2 FIL Reading Scoresheet'!V74),"",CONCATENATE("FIL:",TRIM('G2 FIL Reading Scoresheet'!V74))))</f>
        <v/>
      </c>
    </row>
    <row r="73" spans="1:17">
      <c r="A73" s="106">
        <f t="shared" si="0"/>
        <v>65</v>
      </c>
      <c r="B73" s="107" t="str">
        <f>IF('G2 MT Reading Scoresheet'!B75&lt;&gt;"",'G2 MT Reading Scoresheet'!B75,"")</f>
        <v/>
      </c>
      <c r="C73" s="108" t="str">
        <f>IF('G2 MT Reading Scoresheet'!C75&lt;&gt;"",'G2 MT Reading Scoresheet'!C75,"")</f>
        <v/>
      </c>
      <c r="D73" s="109" t="str">
        <f>IF('G2 MT Reading Scoresheet'!D75&lt;&gt;"",'G2 MT Reading Scoresheet'!D75,"")</f>
        <v/>
      </c>
      <c r="E73" s="110" t="str">
        <f>'G2 MT Reading Scoresheet'!$J75</f>
        <v/>
      </c>
      <c r="F73" s="111" t="str">
        <f>IF(C73&lt;&gt;"",'G2 MT Reading Scoresheet'!$I75/30,"")</f>
        <v/>
      </c>
      <c r="G73" s="111" t="str">
        <f>IF(AND($C73&lt;&gt;"",$E73&lt;&gt;"Full Refresher"),'G2 MT Reading Scoresheet'!$Q75,"")</f>
        <v/>
      </c>
      <c r="H73" s="111" t="str">
        <f>IF(AND(C73&lt;&gt;"",E73&lt;&gt;"Full Refresher"),'G2 MT Reading Scoresheet'!$R75/6,"")</f>
        <v/>
      </c>
      <c r="I73" s="110" t="str">
        <f>IF(AND(D73&lt;&gt;"",F73&lt;&gt;"Full Refresher"),'G2 MT Reading Scoresheet'!$P75,"")</f>
        <v/>
      </c>
      <c r="J73" s="124" t="str">
        <f>'G2 MT Reading Scoresheet'!$U75</f>
        <v/>
      </c>
      <c r="K73" s="121" t="str">
        <f>'G2 FIL Reading Scoresheet'!$J75</f>
        <v/>
      </c>
      <c r="L73" s="122" t="str">
        <f>IF($C73&lt;&gt;"",'G2 FIL Reading Scoresheet'!$I75/30,"")</f>
        <v/>
      </c>
      <c r="M73" s="122" t="str">
        <f>IF(AND($C73&lt;&gt;"",$K73&lt;&gt;"Full Refresher"),'G2 FIL Reading Scoresheet'!$Q75,"")</f>
        <v/>
      </c>
      <c r="N73" s="122" t="str">
        <f>IF(AND($C73&lt;&gt;"",K73&lt;&gt;"Full Refresher"),'G2 FIL Reading Scoresheet'!$R75/6,"")</f>
        <v/>
      </c>
      <c r="O73" s="121" t="str">
        <f>IF(AND(C73&lt;&gt;"",K73&lt;&gt;"Full Refresher"),'G2 FIL Reading Scoresheet'!$P75,"")</f>
        <v/>
      </c>
      <c r="P73" s="125" t="str">
        <f>'G2 FIL Reading Scoresheet'!$U75</f>
        <v/>
      </c>
      <c r="Q73" s="126" t="str">
        <f>CONCATENATE(IF(ISBLANK('G2 MT Reading Scoresheet'!V75),"",CONCATENATE("MT:",TRIM('G2 MT Reading Scoresheet'!V75)))," ",IF(ISBLANK('G2 FIL Reading Scoresheet'!V75),"",CONCATENATE("FIL:",TRIM('G2 FIL Reading Scoresheet'!V75))))</f>
        <v/>
      </c>
    </row>
    <row r="74" spans="1:17">
      <c r="A74" s="112">
        <f t="shared" si="0"/>
        <v>66</v>
      </c>
      <c r="B74" s="113" t="str">
        <f>IF('G2 MT Reading Scoresheet'!B76&lt;&gt;"",'G2 MT Reading Scoresheet'!B76,"")</f>
        <v/>
      </c>
      <c r="C74" s="114" t="str">
        <f>IF('G2 MT Reading Scoresheet'!C76&lt;&gt;"",'G2 MT Reading Scoresheet'!C76,"")</f>
        <v/>
      </c>
      <c r="D74" s="115" t="str">
        <f>IF('G2 MT Reading Scoresheet'!D76&lt;&gt;"",'G2 MT Reading Scoresheet'!D76,"")</f>
        <v/>
      </c>
      <c r="E74" s="110" t="str">
        <f>'G2 MT Reading Scoresheet'!$J76</f>
        <v/>
      </c>
      <c r="F74" s="111" t="str">
        <f>IF(C74&lt;&gt;"",'G2 MT Reading Scoresheet'!$I76/30,"")</f>
        <v/>
      </c>
      <c r="G74" s="111" t="str">
        <f>IF(AND($C74&lt;&gt;"",$E74&lt;&gt;"Full Refresher"),'G2 MT Reading Scoresheet'!$Q76,"")</f>
        <v/>
      </c>
      <c r="H74" s="111" t="str">
        <f>IF(AND(C74&lt;&gt;"",E74&lt;&gt;"Full Refresher"),'G2 MT Reading Scoresheet'!$R76/6,"")</f>
        <v/>
      </c>
      <c r="I74" s="110" t="str">
        <f>IF(AND(D74&lt;&gt;"",F74&lt;&gt;"Full Refresher"),'G2 MT Reading Scoresheet'!$P76,"")</f>
        <v/>
      </c>
      <c r="J74" s="124" t="str">
        <f>'G2 MT Reading Scoresheet'!$U76</f>
        <v/>
      </c>
      <c r="K74" s="121" t="str">
        <f>'G2 FIL Reading Scoresheet'!$J76</f>
        <v/>
      </c>
      <c r="L74" s="122" t="str">
        <f>IF($C74&lt;&gt;"",'G2 FIL Reading Scoresheet'!$I76/30,"")</f>
        <v/>
      </c>
      <c r="M74" s="122" t="str">
        <f>IF(AND($C74&lt;&gt;"",$K74&lt;&gt;"Full Refresher"),'G2 FIL Reading Scoresheet'!$Q76,"")</f>
        <v/>
      </c>
      <c r="N74" s="122" t="str">
        <f>IF(AND($C74&lt;&gt;"",K74&lt;&gt;"Full Refresher"),'G2 FIL Reading Scoresheet'!$R76/6,"")</f>
        <v/>
      </c>
      <c r="O74" s="121" t="str">
        <f>IF(AND(C74&lt;&gt;"",K74&lt;&gt;"Full Refresher"),'G2 FIL Reading Scoresheet'!$P76,"")</f>
        <v/>
      </c>
      <c r="P74" s="125" t="str">
        <f>'G2 FIL Reading Scoresheet'!$U76</f>
        <v/>
      </c>
      <c r="Q74" s="127" t="str">
        <f>CONCATENATE(IF(ISBLANK('G2 MT Reading Scoresheet'!V76),"",CONCATENATE("MT:",TRIM('G2 MT Reading Scoresheet'!V76)))," ",IF(ISBLANK('G2 FIL Reading Scoresheet'!V76),"",CONCATENATE("FIL:",TRIM('G2 FIL Reading Scoresheet'!V76))))</f>
        <v/>
      </c>
    </row>
    <row r="75" spans="1:17">
      <c r="A75" s="106">
        <f t="shared" si="0"/>
        <v>67</v>
      </c>
      <c r="B75" s="107" t="str">
        <f>IF('G2 MT Reading Scoresheet'!B77&lt;&gt;"",'G2 MT Reading Scoresheet'!B77,"")</f>
        <v/>
      </c>
      <c r="C75" s="108" t="str">
        <f>IF('G2 MT Reading Scoresheet'!C77&lt;&gt;"",'G2 MT Reading Scoresheet'!C77,"")</f>
        <v/>
      </c>
      <c r="D75" s="109" t="str">
        <f>IF('G2 MT Reading Scoresheet'!D77&lt;&gt;"",'G2 MT Reading Scoresheet'!D77,"")</f>
        <v/>
      </c>
      <c r="E75" s="110" t="str">
        <f>'G2 MT Reading Scoresheet'!$J77</f>
        <v/>
      </c>
      <c r="F75" s="111" t="str">
        <f>IF(C75&lt;&gt;"",'G2 MT Reading Scoresheet'!$I77/30,"")</f>
        <v/>
      </c>
      <c r="G75" s="111" t="str">
        <f>IF(AND($C75&lt;&gt;"",$E75&lt;&gt;"Full Refresher"),'G2 MT Reading Scoresheet'!$Q77,"")</f>
        <v/>
      </c>
      <c r="H75" s="111" t="str">
        <f>IF(AND(C75&lt;&gt;"",E75&lt;&gt;"Full Refresher"),'G2 MT Reading Scoresheet'!$R77/6,"")</f>
        <v/>
      </c>
      <c r="I75" s="110" t="str">
        <f>IF(AND(D75&lt;&gt;"",F75&lt;&gt;"Full Refresher"),'G2 MT Reading Scoresheet'!$P77,"")</f>
        <v/>
      </c>
      <c r="J75" s="124" t="str">
        <f>'G2 MT Reading Scoresheet'!$U77</f>
        <v/>
      </c>
      <c r="K75" s="121" t="str">
        <f>'G2 FIL Reading Scoresheet'!$J77</f>
        <v/>
      </c>
      <c r="L75" s="122" t="str">
        <f>IF($C75&lt;&gt;"",'G2 FIL Reading Scoresheet'!$I77/30,"")</f>
        <v/>
      </c>
      <c r="M75" s="122" t="str">
        <f>IF(AND($C75&lt;&gt;"",$K75&lt;&gt;"Full Refresher"),'G2 FIL Reading Scoresheet'!$Q77,"")</f>
        <v/>
      </c>
      <c r="N75" s="122" t="str">
        <f>IF(AND($C75&lt;&gt;"",K75&lt;&gt;"Full Refresher"),'G2 FIL Reading Scoresheet'!$R77/6,"")</f>
        <v/>
      </c>
      <c r="O75" s="121" t="str">
        <f>IF(AND(C75&lt;&gt;"",K75&lt;&gt;"Full Refresher"),'G2 FIL Reading Scoresheet'!$P77,"")</f>
        <v/>
      </c>
      <c r="P75" s="125" t="str">
        <f>'G2 FIL Reading Scoresheet'!$U77</f>
        <v/>
      </c>
      <c r="Q75" s="126" t="str">
        <f>CONCATENATE(IF(ISBLANK('G2 MT Reading Scoresheet'!V77),"",CONCATENATE("MT:",TRIM('G2 MT Reading Scoresheet'!V77)))," ",IF(ISBLANK('G2 FIL Reading Scoresheet'!V77),"",CONCATENATE("FIL:",TRIM('G2 FIL Reading Scoresheet'!V77))))</f>
        <v/>
      </c>
    </row>
    <row r="76" spans="1:17">
      <c r="A76" s="112">
        <f t="shared" si="0"/>
        <v>68</v>
      </c>
      <c r="B76" s="113" t="str">
        <f>IF('G2 MT Reading Scoresheet'!B78&lt;&gt;"",'G2 MT Reading Scoresheet'!B78,"")</f>
        <v/>
      </c>
      <c r="C76" s="114" t="str">
        <f>IF('G2 MT Reading Scoresheet'!C78&lt;&gt;"",'G2 MT Reading Scoresheet'!C78,"")</f>
        <v/>
      </c>
      <c r="D76" s="115" t="str">
        <f>IF('G2 MT Reading Scoresheet'!D78&lt;&gt;"",'G2 MT Reading Scoresheet'!D78,"")</f>
        <v/>
      </c>
      <c r="E76" s="110" t="str">
        <f>'G2 MT Reading Scoresheet'!$J78</f>
        <v/>
      </c>
      <c r="F76" s="111" t="str">
        <f>IF(C76&lt;&gt;"",'G2 MT Reading Scoresheet'!$I78/30,"")</f>
        <v/>
      </c>
      <c r="G76" s="111" t="str">
        <f>IF(AND($C76&lt;&gt;"",$E76&lt;&gt;"Full Refresher"),'G2 MT Reading Scoresheet'!$Q78,"")</f>
        <v/>
      </c>
      <c r="H76" s="111" t="str">
        <f>IF(AND(C76&lt;&gt;"",E76&lt;&gt;"Full Refresher"),'G2 MT Reading Scoresheet'!$R78/6,"")</f>
        <v/>
      </c>
      <c r="I76" s="110" t="str">
        <f>IF(AND(D76&lt;&gt;"",F76&lt;&gt;"Full Refresher"),'G2 MT Reading Scoresheet'!$P78,"")</f>
        <v/>
      </c>
      <c r="J76" s="124" t="str">
        <f>'G2 MT Reading Scoresheet'!$U78</f>
        <v/>
      </c>
      <c r="K76" s="121" t="str">
        <f>'G2 FIL Reading Scoresheet'!$J78</f>
        <v/>
      </c>
      <c r="L76" s="122" t="str">
        <f>IF($C76&lt;&gt;"",'G2 FIL Reading Scoresheet'!$I78/30,"")</f>
        <v/>
      </c>
      <c r="M76" s="122" t="str">
        <f>IF(AND($C76&lt;&gt;"",$K76&lt;&gt;"Full Refresher"),'G2 FIL Reading Scoresheet'!$Q78,"")</f>
        <v/>
      </c>
      <c r="N76" s="122" t="str">
        <f>IF(AND($C76&lt;&gt;"",K76&lt;&gt;"Full Refresher"),'G2 FIL Reading Scoresheet'!$R78/6,"")</f>
        <v/>
      </c>
      <c r="O76" s="121" t="str">
        <f>IF(AND(C76&lt;&gt;"",K76&lt;&gt;"Full Refresher"),'G2 FIL Reading Scoresheet'!$P78,"")</f>
        <v/>
      </c>
      <c r="P76" s="125" t="str">
        <f>'G2 FIL Reading Scoresheet'!$U78</f>
        <v/>
      </c>
      <c r="Q76" s="127" t="str">
        <f>CONCATENATE(IF(ISBLANK('G2 MT Reading Scoresheet'!V78),"",CONCATENATE("MT:",TRIM('G2 MT Reading Scoresheet'!V78)))," ",IF(ISBLANK('G2 FIL Reading Scoresheet'!V78),"",CONCATENATE("FIL:",TRIM('G2 FIL Reading Scoresheet'!V78))))</f>
        <v/>
      </c>
    </row>
    <row r="77" spans="1:17">
      <c r="A77" s="106">
        <f t="shared" si="0"/>
        <v>69</v>
      </c>
      <c r="B77" s="107" t="str">
        <f>IF('G2 MT Reading Scoresheet'!B79&lt;&gt;"",'G2 MT Reading Scoresheet'!B79,"")</f>
        <v/>
      </c>
      <c r="C77" s="108" t="str">
        <f>IF('G2 MT Reading Scoresheet'!C79&lt;&gt;"",'G2 MT Reading Scoresheet'!C79,"")</f>
        <v/>
      </c>
      <c r="D77" s="109" t="str">
        <f>IF('G2 MT Reading Scoresheet'!D79&lt;&gt;"",'G2 MT Reading Scoresheet'!D79,"")</f>
        <v/>
      </c>
      <c r="E77" s="110" t="str">
        <f>'G2 MT Reading Scoresheet'!$J79</f>
        <v/>
      </c>
      <c r="F77" s="111" t="str">
        <f>IF(C77&lt;&gt;"",'G2 MT Reading Scoresheet'!$I79/30,"")</f>
        <v/>
      </c>
      <c r="G77" s="111" t="str">
        <f>IF(AND($C77&lt;&gt;"",$E77&lt;&gt;"Full Refresher"),'G2 MT Reading Scoresheet'!$Q79,"")</f>
        <v/>
      </c>
      <c r="H77" s="111" t="str">
        <f>IF(AND(C77&lt;&gt;"",E77&lt;&gt;"Full Refresher"),'G2 MT Reading Scoresheet'!$R79/6,"")</f>
        <v/>
      </c>
      <c r="I77" s="110" t="str">
        <f>IF(AND(D77&lt;&gt;"",F77&lt;&gt;"Full Refresher"),'G2 MT Reading Scoresheet'!$P79,"")</f>
        <v/>
      </c>
      <c r="J77" s="124" t="str">
        <f>'G2 MT Reading Scoresheet'!$U79</f>
        <v/>
      </c>
      <c r="K77" s="121" t="str">
        <f>'G2 FIL Reading Scoresheet'!$J79</f>
        <v/>
      </c>
      <c r="L77" s="122" t="str">
        <f>IF($C77&lt;&gt;"",'G2 FIL Reading Scoresheet'!$I79/30,"")</f>
        <v/>
      </c>
      <c r="M77" s="122" t="str">
        <f>IF(AND($C77&lt;&gt;"",$K77&lt;&gt;"Full Refresher"),'G2 FIL Reading Scoresheet'!$Q79,"")</f>
        <v/>
      </c>
      <c r="N77" s="122" t="str">
        <f>IF(AND($C77&lt;&gt;"",K77&lt;&gt;"Full Refresher"),'G2 FIL Reading Scoresheet'!$R79/6,"")</f>
        <v/>
      </c>
      <c r="O77" s="121" t="str">
        <f>IF(AND(C77&lt;&gt;"",K77&lt;&gt;"Full Refresher"),'G2 FIL Reading Scoresheet'!$P79,"")</f>
        <v/>
      </c>
      <c r="P77" s="125" t="str">
        <f>'G2 FIL Reading Scoresheet'!$U79</f>
        <v/>
      </c>
      <c r="Q77" s="126" t="str">
        <f>CONCATENATE(IF(ISBLANK('G2 MT Reading Scoresheet'!V79),"",CONCATENATE("MT:",TRIM('G2 MT Reading Scoresheet'!V79)))," ",IF(ISBLANK('G2 FIL Reading Scoresheet'!V79),"",CONCATENATE("FIL:",TRIM('G2 FIL Reading Scoresheet'!V79))))</f>
        <v/>
      </c>
    </row>
    <row r="78" spans="1:17">
      <c r="A78" s="112">
        <f t="shared" si="0"/>
        <v>70</v>
      </c>
      <c r="B78" s="113" t="str">
        <f>IF('G2 MT Reading Scoresheet'!B80&lt;&gt;"",'G2 MT Reading Scoresheet'!B80,"")</f>
        <v/>
      </c>
      <c r="C78" s="114" t="str">
        <f>IF('G2 MT Reading Scoresheet'!C80&lt;&gt;"",'G2 MT Reading Scoresheet'!C80,"")</f>
        <v/>
      </c>
      <c r="D78" s="115" t="str">
        <f>IF('G2 MT Reading Scoresheet'!D80&lt;&gt;"",'G2 MT Reading Scoresheet'!D80,"")</f>
        <v/>
      </c>
      <c r="E78" s="110" t="str">
        <f>'G2 MT Reading Scoresheet'!$J80</f>
        <v/>
      </c>
      <c r="F78" s="111" t="str">
        <f>IF(C78&lt;&gt;"",'G2 MT Reading Scoresheet'!$I80/30,"")</f>
        <v/>
      </c>
      <c r="G78" s="111" t="str">
        <f>IF(AND($C78&lt;&gt;"",$E78&lt;&gt;"Full Refresher"),'G2 MT Reading Scoresheet'!$Q80,"")</f>
        <v/>
      </c>
      <c r="H78" s="111" t="str">
        <f>IF(AND(C78&lt;&gt;"",E78&lt;&gt;"Full Refresher"),'G2 MT Reading Scoresheet'!$R80/6,"")</f>
        <v/>
      </c>
      <c r="I78" s="110" t="str">
        <f>IF(AND(D78&lt;&gt;"",F78&lt;&gt;"Full Refresher"),'G2 MT Reading Scoresheet'!$P80,"")</f>
        <v/>
      </c>
      <c r="J78" s="124" t="str">
        <f>'G2 MT Reading Scoresheet'!$U80</f>
        <v/>
      </c>
      <c r="K78" s="121" t="str">
        <f>'G2 FIL Reading Scoresheet'!$J80</f>
        <v/>
      </c>
      <c r="L78" s="122" t="str">
        <f>IF($C78&lt;&gt;"",'G2 FIL Reading Scoresheet'!$I80/30,"")</f>
        <v/>
      </c>
      <c r="M78" s="122" t="str">
        <f>IF(AND($C78&lt;&gt;"",$K78&lt;&gt;"Full Refresher"),'G2 FIL Reading Scoresheet'!$Q80,"")</f>
        <v/>
      </c>
      <c r="N78" s="122" t="str">
        <f>IF(AND($C78&lt;&gt;"",K78&lt;&gt;"Full Refresher"),'G2 FIL Reading Scoresheet'!$R80/6,"")</f>
        <v/>
      </c>
      <c r="O78" s="121" t="str">
        <f>IF(AND(C78&lt;&gt;"",K78&lt;&gt;"Full Refresher"),'G2 FIL Reading Scoresheet'!$P80,"")</f>
        <v/>
      </c>
      <c r="P78" s="125" t="str">
        <f>'G2 FIL Reading Scoresheet'!$U80</f>
        <v/>
      </c>
      <c r="Q78" s="127" t="str">
        <f>CONCATENATE(IF(ISBLANK('G2 MT Reading Scoresheet'!V80),"",CONCATENATE("MT:",TRIM('G2 MT Reading Scoresheet'!V80)))," ",IF(ISBLANK('G2 FIL Reading Scoresheet'!V80),"",CONCATENATE("FIL:",TRIM('G2 FIL Reading Scoresheet'!V80))))</f>
        <v/>
      </c>
    </row>
    <row r="79" spans="1:17">
      <c r="A79" s="106">
        <f t="shared" si="0"/>
        <v>71</v>
      </c>
      <c r="B79" s="107" t="str">
        <f>IF('G2 MT Reading Scoresheet'!B81&lt;&gt;"",'G2 MT Reading Scoresheet'!B81,"")</f>
        <v/>
      </c>
      <c r="C79" s="108" t="str">
        <f>IF('G2 MT Reading Scoresheet'!C81&lt;&gt;"",'G2 MT Reading Scoresheet'!C81,"")</f>
        <v/>
      </c>
      <c r="D79" s="109" t="str">
        <f>IF('G2 MT Reading Scoresheet'!D81&lt;&gt;"",'G2 MT Reading Scoresheet'!D81,"")</f>
        <v/>
      </c>
      <c r="E79" s="110" t="str">
        <f>'G2 MT Reading Scoresheet'!$J81</f>
        <v/>
      </c>
      <c r="F79" s="111" t="str">
        <f>IF(C79&lt;&gt;"",'G2 MT Reading Scoresheet'!$I81/30,"")</f>
        <v/>
      </c>
      <c r="G79" s="111" t="str">
        <f>IF(AND($C79&lt;&gt;"",$E79&lt;&gt;"Full Refresher"),'G2 MT Reading Scoresheet'!$Q81,"")</f>
        <v/>
      </c>
      <c r="H79" s="111" t="str">
        <f>IF(AND(C79&lt;&gt;"",E79&lt;&gt;"Full Refresher"),'G2 MT Reading Scoresheet'!$R81/6,"")</f>
        <v/>
      </c>
      <c r="I79" s="110" t="str">
        <f>IF(AND(D79&lt;&gt;"",F79&lt;&gt;"Full Refresher"),'G2 MT Reading Scoresheet'!$P81,"")</f>
        <v/>
      </c>
      <c r="J79" s="124" t="str">
        <f>'G2 MT Reading Scoresheet'!$U81</f>
        <v/>
      </c>
      <c r="K79" s="121" t="str">
        <f>'G2 FIL Reading Scoresheet'!$J81</f>
        <v/>
      </c>
      <c r="L79" s="122" t="str">
        <f>IF($C79&lt;&gt;"",'G2 FIL Reading Scoresheet'!$I81/30,"")</f>
        <v/>
      </c>
      <c r="M79" s="122" t="str">
        <f>IF(AND($C79&lt;&gt;"",$K79&lt;&gt;"Full Refresher"),'G2 FIL Reading Scoresheet'!$Q81,"")</f>
        <v/>
      </c>
      <c r="N79" s="122" t="str">
        <f>IF(AND($C79&lt;&gt;"",K79&lt;&gt;"Full Refresher"),'G2 FIL Reading Scoresheet'!$R81/6,"")</f>
        <v/>
      </c>
      <c r="O79" s="121" t="str">
        <f>IF(AND(C79&lt;&gt;"",K79&lt;&gt;"Full Refresher"),'G2 FIL Reading Scoresheet'!$P81,"")</f>
        <v/>
      </c>
      <c r="P79" s="125" t="str">
        <f>'G2 FIL Reading Scoresheet'!$U81</f>
        <v/>
      </c>
      <c r="Q79" s="126" t="str">
        <f>CONCATENATE(IF(ISBLANK('G2 MT Reading Scoresheet'!V81),"",CONCATENATE("MT:",TRIM('G2 MT Reading Scoresheet'!V81)))," ",IF(ISBLANK('G2 FIL Reading Scoresheet'!V81),"",CONCATENATE("FIL:",TRIM('G2 FIL Reading Scoresheet'!V81))))</f>
        <v/>
      </c>
    </row>
    <row r="80" spans="1:17">
      <c r="A80" s="112">
        <f t="shared" si="0"/>
        <v>72</v>
      </c>
      <c r="B80" s="113" t="str">
        <f>IF('G2 MT Reading Scoresheet'!B82&lt;&gt;"",'G2 MT Reading Scoresheet'!B82,"")</f>
        <v/>
      </c>
      <c r="C80" s="114" t="str">
        <f>IF('G2 MT Reading Scoresheet'!C82&lt;&gt;"",'G2 MT Reading Scoresheet'!C82,"")</f>
        <v/>
      </c>
      <c r="D80" s="115" t="str">
        <f>IF('G2 MT Reading Scoresheet'!D82&lt;&gt;"",'G2 MT Reading Scoresheet'!D82,"")</f>
        <v/>
      </c>
      <c r="E80" s="110" t="str">
        <f>'G2 MT Reading Scoresheet'!$J82</f>
        <v/>
      </c>
      <c r="F80" s="111" t="str">
        <f>IF(C80&lt;&gt;"",'G2 MT Reading Scoresheet'!$I82/30,"")</f>
        <v/>
      </c>
      <c r="G80" s="111" t="str">
        <f>IF(AND($C80&lt;&gt;"",$E80&lt;&gt;"Full Refresher"),'G2 MT Reading Scoresheet'!$Q82,"")</f>
        <v/>
      </c>
      <c r="H80" s="111" t="str">
        <f>IF(AND(C80&lt;&gt;"",E80&lt;&gt;"Full Refresher"),'G2 MT Reading Scoresheet'!$R82/6,"")</f>
        <v/>
      </c>
      <c r="I80" s="110" t="str">
        <f>IF(AND(D80&lt;&gt;"",F80&lt;&gt;"Full Refresher"),'G2 MT Reading Scoresheet'!$P82,"")</f>
        <v/>
      </c>
      <c r="J80" s="124" t="str">
        <f>'G2 MT Reading Scoresheet'!$U82</f>
        <v/>
      </c>
      <c r="K80" s="121" t="str">
        <f>'G2 FIL Reading Scoresheet'!$J82</f>
        <v/>
      </c>
      <c r="L80" s="122" t="str">
        <f>IF($C80&lt;&gt;"",'G2 FIL Reading Scoresheet'!$I82/30,"")</f>
        <v/>
      </c>
      <c r="M80" s="122" t="str">
        <f>IF(AND($C80&lt;&gt;"",$K80&lt;&gt;"Full Refresher"),'G2 FIL Reading Scoresheet'!$Q82,"")</f>
        <v/>
      </c>
      <c r="N80" s="122" t="str">
        <f>IF(AND($C80&lt;&gt;"",K80&lt;&gt;"Full Refresher"),'G2 FIL Reading Scoresheet'!$R82/6,"")</f>
        <v/>
      </c>
      <c r="O80" s="121" t="str">
        <f>IF(AND(C80&lt;&gt;"",K80&lt;&gt;"Full Refresher"),'G2 FIL Reading Scoresheet'!$P82,"")</f>
        <v/>
      </c>
      <c r="P80" s="125" t="str">
        <f>'G2 FIL Reading Scoresheet'!$U82</f>
        <v/>
      </c>
      <c r="Q80" s="127" t="str">
        <f>CONCATENATE(IF(ISBLANK('G2 MT Reading Scoresheet'!V82),"",CONCATENATE("MT:",TRIM('G2 MT Reading Scoresheet'!V82)))," ",IF(ISBLANK('G2 FIL Reading Scoresheet'!V82),"",CONCATENATE("FIL:",TRIM('G2 FIL Reading Scoresheet'!V82))))</f>
        <v/>
      </c>
    </row>
    <row r="81" spans="1:17">
      <c r="A81" s="106">
        <f t="shared" si="0"/>
        <v>73</v>
      </c>
      <c r="B81" s="107" t="str">
        <f>IF('G2 MT Reading Scoresheet'!B83&lt;&gt;"",'G2 MT Reading Scoresheet'!B83,"")</f>
        <v/>
      </c>
      <c r="C81" s="108" t="str">
        <f>IF('G2 MT Reading Scoresheet'!C83&lt;&gt;"",'G2 MT Reading Scoresheet'!C83,"")</f>
        <v/>
      </c>
      <c r="D81" s="109" t="str">
        <f>IF('G2 MT Reading Scoresheet'!D83&lt;&gt;"",'G2 MT Reading Scoresheet'!D83,"")</f>
        <v/>
      </c>
      <c r="E81" s="110" t="str">
        <f>'G2 MT Reading Scoresheet'!$J83</f>
        <v/>
      </c>
      <c r="F81" s="111" t="str">
        <f>IF(C81&lt;&gt;"",'G2 MT Reading Scoresheet'!$I83/30,"")</f>
        <v/>
      </c>
      <c r="G81" s="111" t="str">
        <f>IF(AND($C81&lt;&gt;"",$E81&lt;&gt;"Full Refresher"),'G2 MT Reading Scoresheet'!$Q83,"")</f>
        <v/>
      </c>
      <c r="H81" s="111" t="str">
        <f>IF(AND(C81&lt;&gt;"",E81&lt;&gt;"Full Refresher"),'G2 MT Reading Scoresheet'!$R83/6,"")</f>
        <v/>
      </c>
      <c r="I81" s="110" t="str">
        <f>IF(AND(D81&lt;&gt;"",F81&lt;&gt;"Full Refresher"),'G2 MT Reading Scoresheet'!$P83,"")</f>
        <v/>
      </c>
      <c r="J81" s="124" t="str">
        <f>'G2 MT Reading Scoresheet'!$U83</f>
        <v/>
      </c>
      <c r="K81" s="121" t="str">
        <f>'G2 FIL Reading Scoresheet'!$J83</f>
        <v/>
      </c>
      <c r="L81" s="122" t="str">
        <f>IF($C81&lt;&gt;"",'G2 FIL Reading Scoresheet'!$I83/30,"")</f>
        <v/>
      </c>
      <c r="M81" s="122" t="str">
        <f>IF(AND($C81&lt;&gt;"",$K81&lt;&gt;"Full Refresher"),'G2 FIL Reading Scoresheet'!$Q83,"")</f>
        <v/>
      </c>
      <c r="N81" s="122" t="str">
        <f>IF(AND($C81&lt;&gt;"",K81&lt;&gt;"Full Refresher"),'G2 FIL Reading Scoresheet'!$R83/6,"")</f>
        <v/>
      </c>
      <c r="O81" s="121" t="str">
        <f>IF(AND(C81&lt;&gt;"",K81&lt;&gt;"Full Refresher"),'G2 FIL Reading Scoresheet'!$P83,"")</f>
        <v/>
      </c>
      <c r="P81" s="125" t="str">
        <f>'G2 FIL Reading Scoresheet'!$U83</f>
        <v/>
      </c>
      <c r="Q81" s="126" t="str">
        <f>CONCATENATE(IF(ISBLANK('G2 MT Reading Scoresheet'!V83),"",CONCATENATE("MT:",TRIM('G2 MT Reading Scoresheet'!V83)))," ",IF(ISBLANK('G2 FIL Reading Scoresheet'!V83),"",CONCATENATE("FIL:",TRIM('G2 FIL Reading Scoresheet'!V83))))</f>
        <v/>
      </c>
    </row>
    <row r="82" spans="1:17">
      <c r="A82" s="112">
        <f t="shared" si="0"/>
        <v>74</v>
      </c>
      <c r="B82" s="113" t="str">
        <f>IF('G2 MT Reading Scoresheet'!B84&lt;&gt;"",'G2 MT Reading Scoresheet'!B84,"")</f>
        <v/>
      </c>
      <c r="C82" s="114" t="str">
        <f>IF('G2 MT Reading Scoresheet'!C84&lt;&gt;"",'G2 MT Reading Scoresheet'!C84,"")</f>
        <v/>
      </c>
      <c r="D82" s="115" t="str">
        <f>IF('G2 MT Reading Scoresheet'!D84&lt;&gt;"",'G2 MT Reading Scoresheet'!D84,"")</f>
        <v/>
      </c>
      <c r="E82" s="110" t="str">
        <f>'G2 MT Reading Scoresheet'!$J84</f>
        <v/>
      </c>
      <c r="F82" s="111" t="str">
        <f>IF(C82&lt;&gt;"",'G2 MT Reading Scoresheet'!$I84/30,"")</f>
        <v/>
      </c>
      <c r="G82" s="111" t="str">
        <f>IF(AND($C82&lt;&gt;"",$E82&lt;&gt;"Full Refresher"),'G2 MT Reading Scoresheet'!$Q84,"")</f>
        <v/>
      </c>
      <c r="H82" s="111" t="str">
        <f>IF(AND(C82&lt;&gt;"",E82&lt;&gt;"Full Refresher"),'G2 MT Reading Scoresheet'!$R84/6,"")</f>
        <v/>
      </c>
      <c r="I82" s="110" t="str">
        <f>IF(AND(D82&lt;&gt;"",F82&lt;&gt;"Full Refresher"),'G2 MT Reading Scoresheet'!$P84,"")</f>
        <v/>
      </c>
      <c r="J82" s="124" t="str">
        <f>'G2 MT Reading Scoresheet'!$U84</f>
        <v/>
      </c>
      <c r="K82" s="121" t="str">
        <f>'G2 FIL Reading Scoresheet'!$J84</f>
        <v/>
      </c>
      <c r="L82" s="122" t="str">
        <f>IF($C82&lt;&gt;"",'G2 FIL Reading Scoresheet'!$I84/30,"")</f>
        <v/>
      </c>
      <c r="M82" s="122" t="str">
        <f>IF(AND($C82&lt;&gt;"",$K82&lt;&gt;"Full Refresher"),'G2 FIL Reading Scoresheet'!$Q84,"")</f>
        <v/>
      </c>
      <c r="N82" s="122" t="str">
        <f>IF(AND($C82&lt;&gt;"",K82&lt;&gt;"Full Refresher"),'G2 FIL Reading Scoresheet'!$R84/6,"")</f>
        <v/>
      </c>
      <c r="O82" s="121" t="str">
        <f>IF(AND(C82&lt;&gt;"",K82&lt;&gt;"Full Refresher"),'G2 FIL Reading Scoresheet'!$P84,"")</f>
        <v/>
      </c>
      <c r="P82" s="125" t="str">
        <f>'G2 FIL Reading Scoresheet'!$U84</f>
        <v/>
      </c>
      <c r="Q82" s="127" t="str">
        <f>CONCATENATE(IF(ISBLANK('G2 MT Reading Scoresheet'!V84),"",CONCATENATE("MT:",TRIM('G2 MT Reading Scoresheet'!V84)))," ",IF(ISBLANK('G2 FIL Reading Scoresheet'!V84),"",CONCATENATE("FIL:",TRIM('G2 FIL Reading Scoresheet'!V84))))</f>
        <v/>
      </c>
    </row>
    <row r="83" spans="1:17">
      <c r="A83" s="106">
        <f t="shared" si="0"/>
        <v>75</v>
      </c>
      <c r="B83" s="107" t="str">
        <f>IF('G2 MT Reading Scoresheet'!B85&lt;&gt;"",'G2 MT Reading Scoresheet'!B85,"")</f>
        <v/>
      </c>
      <c r="C83" s="108" t="str">
        <f>IF('G2 MT Reading Scoresheet'!C85&lt;&gt;"",'G2 MT Reading Scoresheet'!C85,"")</f>
        <v/>
      </c>
      <c r="D83" s="109" t="str">
        <f>IF('G2 MT Reading Scoresheet'!D85&lt;&gt;"",'G2 MT Reading Scoresheet'!D85,"")</f>
        <v/>
      </c>
      <c r="E83" s="110" t="str">
        <f>'G2 MT Reading Scoresheet'!$J85</f>
        <v/>
      </c>
      <c r="F83" s="111" t="str">
        <f>IF(C83&lt;&gt;"",'G2 MT Reading Scoresheet'!$I85/30,"")</f>
        <v/>
      </c>
      <c r="G83" s="111" t="str">
        <f>IF(AND($C83&lt;&gt;"",$E83&lt;&gt;"Full Refresher"),'G2 MT Reading Scoresheet'!$Q85,"")</f>
        <v/>
      </c>
      <c r="H83" s="111" t="str">
        <f>IF(AND(C83&lt;&gt;"",E83&lt;&gt;"Full Refresher"),'G2 MT Reading Scoresheet'!$R85/6,"")</f>
        <v/>
      </c>
      <c r="I83" s="110" t="str">
        <f>IF(AND(D83&lt;&gt;"",F83&lt;&gt;"Full Refresher"),'G2 MT Reading Scoresheet'!$P85,"")</f>
        <v/>
      </c>
      <c r="J83" s="124" t="str">
        <f>'G2 MT Reading Scoresheet'!$U85</f>
        <v/>
      </c>
      <c r="K83" s="121" t="str">
        <f>'G2 FIL Reading Scoresheet'!$J85</f>
        <v/>
      </c>
      <c r="L83" s="122" t="str">
        <f>IF($C83&lt;&gt;"",'G2 FIL Reading Scoresheet'!$I85/30,"")</f>
        <v/>
      </c>
      <c r="M83" s="122" t="str">
        <f>IF(AND($C83&lt;&gt;"",$K83&lt;&gt;"Full Refresher"),'G2 FIL Reading Scoresheet'!$Q85,"")</f>
        <v/>
      </c>
      <c r="N83" s="122" t="str">
        <f>IF(AND($C83&lt;&gt;"",K83&lt;&gt;"Full Refresher"),'G2 FIL Reading Scoresheet'!$R85/6,"")</f>
        <v/>
      </c>
      <c r="O83" s="121" t="str">
        <f>IF(AND(C83&lt;&gt;"",K83&lt;&gt;"Full Refresher"),'G2 FIL Reading Scoresheet'!$P85,"")</f>
        <v/>
      </c>
      <c r="P83" s="125" t="str">
        <f>'G2 FIL Reading Scoresheet'!$U85</f>
        <v/>
      </c>
      <c r="Q83" s="126" t="str">
        <f>CONCATENATE(IF(ISBLANK('G2 MT Reading Scoresheet'!V85),"",CONCATENATE("MT:",TRIM('G2 MT Reading Scoresheet'!V85)))," ",IF(ISBLANK('G2 FIL Reading Scoresheet'!V85),"",CONCATENATE("FIL:",TRIM('G2 FIL Reading Scoresheet'!V85))))</f>
        <v/>
      </c>
    </row>
    <row r="84" spans="1:17">
      <c r="A84" s="112">
        <f t="shared" si="0"/>
        <v>76</v>
      </c>
      <c r="B84" s="113" t="str">
        <f>IF('G2 MT Reading Scoresheet'!B86&lt;&gt;"",'G2 MT Reading Scoresheet'!B86,"")</f>
        <v/>
      </c>
      <c r="C84" s="114" t="str">
        <f>IF('G2 MT Reading Scoresheet'!C86&lt;&gt;"",'G2 MT Reading Scoresheet'!C86,"")</f>
        <v/>
      </c>
      <c r="D84" s="115" t="str">
        <f>IF('G2 MT Reading Scoresheet'!D86&lt;&gt;"",'G2 MT Reading Scoresheet'!D86,"")</f>
        <v/>
      </c>
      <c r="E84" s="110" t="str">
        <f>'G2 MT Reading Scoresheet'!$J86</f>
        <v/>
      </c>
      <c r="F84" s="111" t="str">
        <f>IF(C84&lt;&gt;"",'G2 MT Reading Scoresheet'!$I86/30,"")</f>
        <v/>
      </c>
      <c r="G84" s="111" t="str">
        <f>IF(AND($C84&lt;&gt;"",$E84&lt;&gt;"Full Refresher"),'G2 MT Reading Scoresheet'!$Q86,"")</f>
        <v/>
      </c>
      <c r="H84" s="111" t="str">
        <f>IF(AND(C84&lt;&gt;"",E84&lt;&gt;"Full Refresher"),'G2 MT Reading Scoresheet'!$R86/6,"")</f>
        <v/>
      </c>
      <c r="I84" s="110" t="str">
        <f>IF(AND(D84&lt;&gt;"",F84&lt;&gt;"Full Refresher"),'G2 MT Reading Scoresheet'!$P86,"")</f>
        <v/>
      </c>
      <c r="J84" s="124" t="str">
        <f>'G2 MT Reading Scoresheet'!$U86</f>
        <v/>
      </c>
      <c r="K84" s="121" t="str">
        <f>'G2 FIL Reading Scoresheet'!$J86</f>
        <v/>
      </c>
      <c r="L84" s="122" t="str">
        <f>IF($C84&lt;&gt;"",'G2 FIL Reading Scoresheet'!$I86/30,"")</f>
        <v/>
      </c>
      <c r="M84" s="122" t="str">
        <f>IF(AND($C84&lt;&gt;"",$K84&lt;&gt;"Full Refresher"),'G2 FIL Reading Scoresheet'!$Q86,"")</f>
        <v/>
      </c>
      <c r="N84" s="122" t="str">
        <f>IF(AND($C84&lt;&gt;"",K84&lt;&gt;"Full Refresher"),'G2 FIL Reading Scoresheet'!$R86/6,"")</f>
        <v/>
      </c>
      <c r="O84" s="121" t="str">
        <f>IF(AND(C84&lt;&gt;"",K84&lt;&gt;"Full Refresher"),'G2 FIL Reading Scoresheet'!$P86,"")</f>
        <v/>
      </c>
      <c r="P84" s="125" t="str">
        <f>'G2 FIL Reading Scoresheet'!$U86</f>
        <v/>
      </c>
      <c r="Q84" s="127" t="str">
        <f>CONCATENATE(IF(ISBLANK('G2 MT Reading Scoresheet'!V86),"",CONCATENATE("MT:",TRIM('G2 MT Reading Scoresheet'!V86)))," ",IF(ISBLANK('G2 FIL Reading Scoresheet'!V86),"",CONCATENATE("FIL:",TRIM('G2 FIL Reading Scoresheet'!V86))))</f>
        <v/>
      </c>
    </row>
    <row r="85" spans="1:17">
      <c r="A85" s="106">
        <f t="shared" si="0"/>
        <v>77</v>
      </c>
      <c r="B85" s="107" t="str">
        <f>IF('G2 MT Reading Scoresheet'!B87&lt;&gt;"",'G2 MT Reading Scoresheet'!B87,"")</f>
        <v/>
      </c>
      <c r="C85" s="108" t="str">
        <f>IF('G2 MT Reading Scoresheet'!C87&lt;&gt;"",'G2 MT Reading Scoresheet'!C87,"")</f>
        <v/>
      </c>
      <c r="D85" s="109" t="str">
        <f>IF('G2 MT Reading Scoresheet'!D87&lt;&gt;"",'G2 MT Reading Scoresheet'!D87,"")</f>
        <v/>
      </c>
      <c r="E85" s="110" t="str">
        <f>'G2 MT Reading Scoresheet'!$J87</f>
        <v/>
      </c>
      <c r="F85" s="111" t="str">
        <f>IF(C85&lt;&gt;"",'G2 MT Reading Scoresheet'!$I87/30,"")</f>
        <v/>
      </c>
      <c r="G85" s="111" t="str">
        <f>IF(AND($C85&lt;&gt;"",$E85&lt;&gt;"Full Refresher"),'G2 MT Reading Scoresheet'!$Q87,"")</f>
        <v/>
      </c>
      <c r="H85" s="111" t="str">
        <f>IF(AND(C85&lt;&gt;"",E85&lt;&gt;"Full Refresher"),'G2 MT Reading Scoresheet'!$R87/6,"")</f>
        <v/>
      </c>
      <c r="I85" s="110" t="str">
        <f>IF(AND(D85&lt;&gt;"",F85&lt;&gt;"Full Refresher"),'G2 MT Reading Scoresheet'!$P87,"")</f>
        <v/>
      </c>
      <c r="J85" s="124" t="str">
        <f>'G2 MT Reading Scoresheet'!$U87</f>
        <v/>
      </c>
      <c r="K85" s="121" t="str">
        <f>'G2 FIL Reading Scoresheet'!$J87</f>
        <v/>
      </c>
      <c r="L85" s="122" t="str">
        <f>IF($C85&lt;&gt;"",'G2 FIL Reading Scoresheet'!$I87/30,"")</f>
        <v/>
      </c>
      <c r="M85" s="122" t="str">
        <f>IF(AND($C85&lt;&gt;"",$K85&lt;&gt;"Full Refresher"),'G2 FIL Reading Scoresheet'!$Q87,"")</f>
        <v/>
      </c>
      <c r="N85" s="122" t="str">
        <f>IF(AND($C85&lt;&gt;"",K85&lt;&gt;"Full Refresher"),'G2 FIL Reading Scoresheet'!$R87/6,"")</f>
        <v/>
      </c>
      <c r="O85" s="121" t="str">
        <f>IF(AND(C85&lt;&gt;"",K85&lt;&gt;"Full Refresher"),'G2 FIL Reading Scoresheet'!$P87,"")</f>
        <v/>
      </c>
      <c r="P85" s="125" t="str">
        <f>'G2 FIL Reading Scoresheet'!$U87</f>
        <v/>
      </c>
      <c r="Q85" s="126" t="str">
        <f>CONCATENATE(IF(ISBLANK('G2 MT Reading Scoresheet'!V87),"",CONCATENATE("MT:",TRIM('G2 MT Reading Scoresheet'!V87)))," ",IF(ISBLANK('G2 FIL Reading Scoresheet'!V87),"",CONCATENATE("FIL:",TRIM('G2 FIL Reading Scoresheet'!V87))))</f>
        <v/>
      </c>
    </row>
    <row r="86" spans="1:17">
      <c r="A86" s="112">
        <f t="shared" si="0"/>
        <v>78</v>
      </c>
      <c r="B86" s="113" t="str">
        <f>IF('G2 MT Reading Scoresheet'!B88&lt;&gt;"",'G2 MT Reading Scoresheet'!B88,"")</f>
        <v/>
      </c>
      <c r="C86" s="114" t="str">
        <f>IF('G2 MT Reading Scoresheet'!C88&lt;&gt;"",'G2 MT Reading Scoresheet'!C88,"")</f>
        <v/>
      </c>
      <c r="D86" s="115" t="str">
        <f>IF('G2 MT Reading Scoresheet'!D88&lt;&gt;"",'G2 MT Reading Scoresheet'!D88,"")</f>
        <v/>
      </c>
      <c r="E86" s="110" t="str">
        <f>'G2 MT Reading Scoresheet'!$J88</f>
        <v/>
      </c>
      <c r="F86" s="111" t="str">
        <f>IF(C86&lt;&gt;"",'G2 MT Reading Scoresheet'!$I88/30,"")</f>
        <v/>
      </c>
      <c r="G86" s="111" t="str">
        <f>IF(AND($C86&lt;&gt;"",$E86&lt;&gt;"Full Refresher"),'G2 MT Reading Scoresheet'!$Q88,"")</f>
        <v/>
      </c>
      <c r="H86" s="111" t="str">
        <f>IF(AND(C86&lt;&gt;"",E86&lt;&gt;"Full Refresher"),'G2 MT Reading Scoresheet'!$R88/6,"")</f>
        <v/>
      </c>
      <c r="I86" s="110" t="str">
        <f>IF(AND(D86&lt;&gt;"",F86&lt;&gt;"Full Refresher"),'G2 MT Reading Scoresheet'!$P88,"")</f>
        <v/>
      </c>
      <c r="J86" s="124" t="str">
        <f>'G2 MT Reading Scoresheet'!$U88</f>
        <v/>
      </c>
      <c r="K86" s="121" t="str">
        <f>'G2 FIL Reading Scoresheet'!$J88</f>
        <v/>
      </c>
      <c r="L86" s="122" t="str">
        <f>IF($C86&lt;&gt;"",'G2 FIL Reading Scoresheet'!$I88/30,"")</f>
        <v/>
      </c>
      <c r="M86" s="122" t="str">
        <f>IF(AND($C86&lt;&gt;"",$K86&lt;&gt;"Full Refresher"),'G2 FIL Reading Scoresheet'!$Q88,"")</f>
        <v/>
      </c>
      <c r="N86" s="122" t="str">
        <f>IF(AND($C86&lt;&gt;"",K86&lt;&gt;"Full Refresher"),'G2 FIL Reading Scoresheet'!$R88/6,"")</f>
        <v/>
      </c>
      <c r="O86" s="121" t="str">
        <f>IF(AND(C86&lt;&gt;"",K86&lt;&gt;"Full Refresher"),'G2 FIL Reading Scoresheet'!$P88,"")</f>
        <v/>
      </c>
      <c r="P86" s="125" t="str">
        <f>'G2 FIL Reading Scoresheet'!$U88</f>
        <v/>
      </c>
      <c r="Q86" s="127" t="str">
        <f>CONCATENATE(IF(ISBLANK('G2 MT Reading Scoresheet'!V88),"",CONCATENATE("MT:",TRIM('G2 MT Reading Scoresheet'!V88)))," ",IF(ISBLANK('G2 FIL Reading Scoresheet'!V88),"",CONCATENATE("FIL:",TRIM('G2 FIL Reading Scoresheet'!V88))))</f>
        <v/>
      </c>
    </row>
    <row r="87" spans="1:17">
      <c r="A87" s="106">
        <f t="shared" si="0"/>
        <v>79</v>
      </c>
      <c r="B87" s="107" t="str">
        <f>IF('G2 MT Reading Scoresheet'!B89&lt;&gt;"",'G2 MT Reading Scoresheet'!B89,"")</f>
        <v/>
      </c>
      <c r="C87" s="108" t="str">
        <f>IF('G2 MT Reading Scoresheet'!C89&lt;&gt;"",'G2 MT Reading Scoresheet'!C89,"")</f>
        <v/>
      </c>
      <c r="D87" s="109" t="str">
        <f>IF('G2 MT Reading Scoresheet'!D89&lt;&gt;"",'G2 MT Reading Scoresheet'!D89,"")</f>
        <v/>
      </c>
      <c r="E87" s="110" t="str">
        <f>'G2 MT Reading Scoresheet'!$J89</f>
        <v/>
      </c>
      <c r="F87" s="111" t="str">
        <f>IF(C87&lt;&gt;"",'G2 MT Reading Scoresheet'!$I89/30,"")</f>
        <v/>
      </c>
      <c r="G87" s="111" t="str">
        <f>IF(AND($C87&lt;&gt;"",$E87&lt;&gt;"Full Refresher"),'G2 MT Reading Scoresheet'!$Q89,"")</f>
        <v/>
      </c>
      <c r="H87" s="111" t="str">
        <f>IF(AND(C87&lt;&gt;"",E87&lt;&gt;"Full Refresher"),'G2 MT Reading Scoresheet'!$R89/6,"")</f>
        <v/>
      </c>
      <c r="I87" s="110" t="str">
        <f>IF(AND(D87&lt;&gt;"",F87&lt;&gt;"Full Refresher"),'G2 MT Reading Scoresheet'!$P89,"")</f>
        <v/>
      </c>
      <c r="J87" s="124" t="str">
        <f>'G2 MT Reading Scoresheet'!$U89</f>
        <v/>
      </c>
      <c r="K87" s="121" t="str">
        <f>'G2 FIL Reading Scoresheet'!$J89</f>
        <v/>
      </c>
      <c r="L87" s="122" t="str">
        <f>IF($C87&lt;&gt;"",'G2 FIL Reading Scoresheet'!$I89/30,"")</f>
        <v/>
      </c>
      <c r="M87" s="122" t="str">
        <f>IF(AND($C87&lt;&gt;"",$K87&lt;&gt;"Full Refresher"),'G2 FIL Reading Scoresheet'!$Q89,"")</f>
        <v/>
      </c>
      <c r="N87" s="122" t="str">
        <f>IF(AND($C87&lt;&gt;"",K87&lt;&gt;"Full Refresher"),'G2 FIL Reading Scoresheet'!$R89/6,"")</f>
        <v/>
      </c>
      <c r="O87" s="121" t="str">
        <f>IF(AND(C87&lt;&gt;"",K87&lt;&gt;"Full Refresher"),'G2 FIL Reading Scoresheet'!$P89,"")</f>
        <v/>
      </c>
      <c r="P87" s="125" t="str">
        <f>'G2 FIL Reading Scoresheet'!$U89</f>
        <v/>
      </c>
      <c r="Q87" s="126" t="str">
        <f>CONCATENATE(IF(ISBLANK('G2 MT Reading Scoresheet'!V89),"",CONCATENATE("MT:",TRIM('G2 MT Reading Scoresheet'!V89)))," ",IF(ISBLANK('G2 FIL Reading Scoresheet'!V89),"",CONCATENATE("FIL:",TRIM('G2 FIL Reading Scoresheet'!V89))))</f>
        <v/>
      </c>
    </row>
    <row r="88" spans="1:17">
      <c r="A88" s="112">
        <f t="shared" si="0"/>
        <v>80</v>
      </c>
      <c r="B88" s="113" t="str">
        <f>IF('G2 MT Reading Scoresheet'!B90&lt;&gt;"",'G2 MT Reading Scoresheet'!B90,"")</f>
        <v/>
      </c>
      <c r="C88" s="114" t="str">
        <f>IF('G2 MT Reading Scoresheet'!C90&lt;&gt;"",'G2 MT Reading Scoresheet'!C90,"")</f>
        <v/>
      </c>
      <c r="D88" s="115" t="str">
        <f>IF('G2 MT Reading Scoresheet'!D90&lt;&gt;"",'G2 MT Reading Scoresheet'!D90,"")</f>
        <v/>
      </c>
      <c r="E88" s="110" t="str">
        <f>'G2 MT Reading Scoresheet'!$J90</f>
        <v/>
      </c>
      <c r="F88" s="111" t="str">
        <f>IF(C88&lt;&gt;"",'G2 MT Reading Scoresheet'!$I90/30,"")</f>
        <v/>
      </c>
      <c r="G88" s="111" t="str">
        <f>IF(AND($C88&lt;&gt;"",$E88&lt;&gt;"Full Refresher"),'G2 MT Reading Scoresheet'!$Q90,"")</f>
        <v/>
      </c>
      <c r="H88" s="111" t="str">
        <f>IF(AND(C88&lt;&gt;"",E88&lt;&gt;"Full Refresher"),'G2 MT Reading Scoresheet'!$R90/6,"")</f>
        <v/>
      </c>
      <c r="I88" s="110" t="str">
        <f>IF(AND(D88&lt;&gt;"",F88&lt;&gt;"Full Refresher"),'G2 MT Reading Scoresheet'!$P90,"")</f>
        <v/>
      </c>
      <c r="J88" s="124" t="str">
        <f>'G2 MT Reading Scoresheet'!$U90</f>
        <v/>
      </c>
      <c r="K88" s="121" t="str">
        <f>'G2 FIL Reading Scoresheet'!$J90</f>
        <v/>
      </c>
      <c r="L88" s="122" t="str">
        <f>IF($C88&lt;&gt;"",'G2 FIL Reading Scoresheet'!$I90/30,"")</f>
        <v/>
      </c>
      <c r="M88" s="122" t="str">
        <f>IF(AND($C88&lt;&gt;"",$K88&lt;&gt;"Full Refresher"),'G2 FIL Reading Scoresheet'!$Q90,"")</f>
        <v/>
      </c>
      <c r="N88" s="122" t="str">
        <f>IF(AND($C88&lt;&gt;"",K88&lt;&gt;"Full Refresher"),'G2 FIL Reading Scoresheet'!$R90/6,"")</f>
        <v/>
      </c>
      <c r="O88" s="121" t="str">
        <f>IF(AND(C88&lt;&gt;"",K88&lt;&gt;"Full Refresher"),'G2 FIL Reading Scoresheet'!$P90,"")</f>
        <v/>
      </c>
      <c r="P88" s="125" t="str">
        <f>'G2 FIL Reading Scoresheet'!$U90</f>
        <v/>
      </c>
      <c r="Q88" s="127" t="str">
        <f>CONCATENATE(IF(ISBLANK('G2 MT Reading Scoresheet'!V90),"",CONCATENATE("MT:",TRIM('G2 MT Reading Scoresheet'!V90)))," ",IF(ISBLANK('G2 FIL Reading Scoresheet'!V90),"",CONCATENATE("FIL:",TRIM('G2 FIL Reading Scoresheet'!V90))))</f>
        <v/>
      </c>
    </row>
    <row r="89" spans="1:17">
      <c r="A89" s="106">
        <f t="shared" si="0"/>
        <v>81</v>
      </c>
      <c r="B89" s="107" t="str">
        <f>IF('G2 MT Reading Scoresheet'!B91&lt;&gt;"",'G2 MT Reading Scoresheet'!B91,"")</f>
        <v/>
      </c>
      <c r="C89" s="108" t="str">
        <f>IF('G2 MT Reading Scoresheet'!C91&lt;&gt;"",'G2 MT Reading Scoresheet'!C91,"")</f>
        <v/>
      </c>
      <c r="D89" s="109" t="str">
        <f>IF('G2 MT Reading Scoresheet'!D91&lt;&gt;"",'G2 MT Reading Scoresheet'!D91,"")</f>
        <v/>
      </c>
      <c r="E89" s="110" t="str">
        <f>'G2 MT Reading Scoresheet'!$J91</f>
        <v/>
      </c>
      <c r="F89" s="111" t="str">
        <f>IF(C89&lt;&gt;"",'G2 MT Reading Scoresheet'!$I91/30,"")</f>
        <v/>
      </c>
      <c r="G89" s="111" t="str">
        <f>IF(AND($C89&lt;&gt;"",$E89&lt;&gt;"Full Refresher"),'G2 MT Reading Scoresheet'!$Q91,"")</f>
        <v/>
      </c>
      <c r="H89" s="111" t="str">
        <f>IF(AND(C89&lt;&gt;"",E89&lt;&gt;"Full Refresher"),'G2 MT Reading Scoresheet'!$R91/6,"")</f>
        <v/>
      </c>
      <c r="I89" s="110" t="str">
        <f>IF(AND(D89&lt;&gt;"",F89&lt;&gt;"Full Refresher"),'G2 MT Reading Scoresheet'!$P91,"")</f>
        <v/>
      </c>
      <c r="J89" s="124" t="str">
        <f>'G2 MT Reading Scoresheet'!$U91</f>
        <v/>
      </c>
      <c r="K89" s="121" t="str">
        <f>'G2 FIL Reading Scoresheet'!$J91</f>
        <v/>
      </c>
      <c r="L89" s="122" t="str">
        <f>IF($C89&lt;&gt;"",'G2 FIL Reading Scoresheet'!$I91/30,"")</f>
        <v/>
      </c>
      <c r="M89" s="122" t="str">
        <f>IF(AND($C89&lt;&gt;"",$K89&lt;&gt;"Full Refresher"),'G2 FIL Reading Scoresheet'!$Q91,"")</f>
        <v/>
      </c>
      <c r="N89" s="122" t="str">
        <f>IF(AND($C89&lt;&gt;"",K89&lt;&gt;"Full Refresher"),'G2 FIL Reading Scoresheet'!$R91/6,"")</f>
        <v/>
      </c>
      <c r="O89" s="121" t="str">
        <f>IF(AND(C89&lt;&gt;"",K89&lt;&gt;"Full Refresher"),'G2 FIL Reading Scoresheet'!$P91,"")</f>
        <v/>
      </c>
      <c r="P89" s="125" t="str">
        <f>'G2 FIL Reading Scoresheet'!$U91</f>
        <v/>
      </c>
      <c r="Q89" s="126" t="str">
        <f>CONCATENATE(IF(ISBLANK('G2 MT Reading Scoresheet'!V91),"",CONCATENATE("MT:",TRIM('G2 MT Reading Scoresheet'!V91)))," ",IF(ISBLANK('G2 FIL Reading Scoresheet'!V91),"",CONCATENATE("FIL:",TRIM('G2 FIL Reading Scoresheet'!V91))))</f>
        <v/>
      </c>
    </row>
    <row r="90" spans="1:17">
      <c r="A90" s="112">
        <f t="shared" si="0"/>
        <v>82</v>
      </c>
      <c r="B90" s="113" t="str">
        <f>IF('G2 MT Reading Scoresheet'!B92&lt;&gt;"",'G2 MT Reading Scoresheet'!B92,"")</f>
        <v/>
      </c>
      <c r="C90" s="114" t="str">
        <f>IF('G2 MT Reading Scoresheet'!C92&lt;&gt;"",'G2 MT Reading Scoresheet'!C92,"")</f>
        <v/>
      </c>
      <c r="D90" s="115" t="str">
        <f>IF('G2 MT Reading Scoresheet'!D92&lt;&gt;"",'G2 MT Reading Scoresheet'!D92,"")</f>
        <v/>
      </c>
      <c r="E90" s="110" t="str">
        <f>'G2 MT Reading Scoresheet'!$J92</f>
        <v/>
      </c>
      <c r="F90" s="111" t="str">
        <f>IF(C90&lt;&gt;"",'G2 MT Reading Scoresheet'!$I92/30,"")</f>
        <v/>
      </c>
      <c r="G90" s="111" t="str">
        <f>IF(AND($C90&lt;&gt;"",$E90&lt;&gt;"Full Refresher"),'G2 MT Reading Scoresheet'!$Q92,"")</f>
        <v/>
      </c>
      <c r="H90" s="111" t="str">
        <f>IF(AND(C90&lt;&gt;"",E90&lt;&gt;"Full Refresher"),'G2 MT Reading Scoresheet'!$R92/6,"")</f>
        <v/>
      </c>
      <c r="I90" s="110" t="str">
        <f>IF(AND(D90&lt;&gt;"",F90&lt;&gt;"Full Refresher"),'G2 MT Reading Scoresheet'!$P92,"")</f>
        <v/>
      </c>
      <c r="J90" s="124" t="str">
        <f>'G2 MT Reading Scoresheet'!$U92</f>
        <v/>
      </c>
      <c r="K90" s="121" t="str">
        <f>'G2 FIL Reading Scoresheet'!$J92</f>
        <v/>
      </c>
      <c r="L90" s="122" t="str">
        <f>IF($C90&lt;&gt;"",'G2 FIL Reading Scoresheet'!$I92/30,"")</f>
        <v/>
      </c>
      <c r="M90" s="122" t="str">
        <f>IF(AND($C90&lt;&gt;"",$K90&lt;&gt;"Full Refresher"),'G2 FIL Reading Scoresheet'!$Q92,"")</f>
        <v/>
      </c>
      <c r="N90" s="122" t="str">
        <f>IF(AND($C90&lt;&gt;"",K90&lt;&gt;"Full Refresher"),'G2 FIL Reading Scoresheet'!$R92/6,"")</f>
        <v/>
      </c>
      <c r="O90" s="121" t="str">
        <f>IF(AND(C90&lt;&gt;"",K90&lt;&gt;"Full Refresher"),'G2 FIL Reading Scoresheet'!$P92,"")</f>
        <v/>
      </c>
      <c r="P90" s="125" t="str">
        <f>'G2 FIL Reading Scoresheet'!$U92</f>
        <v/>
      </c>
      <c r="Q90" s="127" t="str">
        <f>CONCATENATE(IF(ISBLANK('G2 MT Reading Scoresheet'!V92),"",CONCATENATE("MT:",TRIM('G2 MT Reading Scoresheet'!V92)))," ",IF(ISBLANK('G2 FIL Reading Scoresheet'!V92),"",CONCATENATE("FIL:",TRIM('G2 FIL Reading Scoresheet'!V92))))</f>
        <v/>
      </c>
    </row>
    <row r="91" spans="1:17">
      <c r="A91" s="106">
        <f t="shared" si="0"/>
        <v>83</v>
      </c>
      <c r="B91" s="107" t="str">
        <f>IF('G2 MT Reading Scoresheet'!B93&lt;&gt;"",'G2 MT Reading Scoresheet'!B93,"")</f>
        <v/>
      </c>
      <c r="C91" s="108" t="str">
        <f>IF('G2 MT Reading Scoresheet'!C93&lt;&gt;"",'G2 MT Reading Scoresheet'!C93,"")</f>
        <v/>
      </c>
      <c r="D91" s="109" t="str">
        <f>IF('G2 MT Reading Scoresheet'!D93&lt;&gt;"",'G2 MT Reading Scoresheet'!D93,"")</f>
        <v/>
      </c>
      <c r="E91" s="110" t="str">
        <f>'G2 MT Reading Scoresheet'!$J93</f>
        <v/>
      </c>
      <c r="F91" s="111" t="str">
        <f>IF(C91&lt;&gt;"",'G2 MT Reading Scoresheet'!$I93/30,"")</f>
        <v/>
      </c>
      <c r="G91" s="111" t="str">
        <f>IF(AND($C91&lt;&gt;"",$E91&lt;&gt;"Full Refresher"),'G2 MT Reading Scoresheet'!$Q93,"")</f>
        <v/>
      </c>
      <c r="H91" s="111" t="str">
        <f>IF(AND(C91&lt;&gt;"",E91&lt;&gt;"Full Refresher"),'G2 MT Reading Scoresheet'!$R93/6,"")</f>
        <v/>
      </c>
      <c r="I91" s="110" t="str">
        <f>IF(AND(D91&lt;&gt;"",F91&lt;&gt;"Full Refresher"),'G2 MT Reading Scoresheet'!$P93,"")</f>
        <v/>
      </c>
      <c r="J91" s="124" t="str">
        <f>'G2 MT Reading Scoresheet'!$U93</f>
        <v/>
      </c>
      <c r="K91" s="121" t="str">
        <f>'G2 FIL Reading Scoresheet'!$J93</f>
        <v/>
      </c>
      <c r="L91" s="122" t="str">
        <f>IF($C91&lt;&gt;"",'G2 FIL Reading Scoresheet'!$I93/30,"")</f>
        <v/>
      </c>
      <c r="M91" s="122" t="str">
        <f>IF(AND($C91&lt;&gt;"",$K91&lt;&gt;"Full Refresher"),'G2 FIL Reading Scoresheet'!$Q93,"")</f>
        <v/>
      </c>
      <c r="N91" s="122" t="str">
        <f>IF(AND($C91&lt;&gt;"",K91&lt;&gt;"Full Refresher"),'G2 FIL Reading Scoresheet'!$R93/6,"")</f>
        <v/>
      </c>
      <c r="O91" s="121" t="str">
        <f>IF(AND(C91&lt;&gt;"",K91&lt;&gt;"Full Refresher"),'G2 FIL Reading Scoresheet'!$P93,"")</f>
        <v/>
      </c>
      <c r="P91" s="125" t="str">
        <f>'G2 FIL Reading Scoresheet'!$U93</f>
        <v/>
      </c>
      <c r="Q91" s="126" t="str">
        <f>CONCATENATE(IF(ISBLANK('G2 MT Reading Scoresheet'!V93),"",CONCATENATE("MT:",TRIM('G2 MT Reading Scoresheet'!V93)))," ",IF(ISBLANK('G2 FIL Reading Scoresheet'!V93),"",CONCATENATE("FIL:",TRIM('G2 FIL Reading Scoresheet'!V93))))</f>
        <v/>
      </c>
    </row>
    <row r="92" spans="1:17">
      <c r="A92" s="112">
        <f t="shared" si="0"/>
        <v>84</v>
      </c>
      <c r="B92" s="113" t="str">
        <f>IF('G2 MT Reading Scoresheet'!B94&lt;&gt;"",'G2 MT Reading Scoresheet'!B94,"")</f>
        <v/>
      </c>
      <c r="C92" s="114" t="str">
        <f>IF('G2 MT Reading Scoresheet'!C94&lt;&gt;"",'G2 MT Reading Scoresheet'!C94,"")</f>
        <v/>
      </c>
      <c r="D92" s="115" t="str">
        <f>IF('G2 MT Reading Scoresheet'!D94&lt;&gt;"",'G2 MT Reading Scoresheet'!D94,"")</f>
        <v/>
      </c>
      <c r="E92" s="110" t="str">
        <f>'G2 MT Reading Scoresheet'!$J94</f>
        <v/>
      </c>
      <c r="F92" s="111" t="str">
        <f>IF(C92&lt;&gt;"",'G2 MT Reading Scoresheet'!$I94/30,"")</f>
        <v/>
      </c>
      <c r="G92" s="111" t="str">
        <f>IF(AND($C92&lt;&gt;"",$E92&lt;&gt;"Full Refresher"),'G2 MT Reading Scoresheet'!$Q94,"")</f>
        <v/>
      </c>
      <c r="H92" s="111" t="str">
        <f>IF(AND(C92&lt;&gt;"",E92&lt;&gt;"Full Refresher"),'G2 MT Reading Scoresheet'!$R94/6,"")</f>
        <v/>
      </c>
      <c r="I92" s="110" t="str">
        <f>IF(AND(D92&lt;&gt;"",F92&lt;&gt;"Full Refresher"),'G2 MT Reading Scoresheet'!$P94,"")</f>
        <v/>
      </c>
      <c r="J92" s="124" t="str">
        <f>'G2 MT Reading Scoresheet'!$U94</f>
        <v/>
      </c>
      <c r="K92" s="121" t="str">
        <f>'G2 FIL Reading Scoresheet'!$J94</f>
        <v/>
      </c>
      <c r="L92" s="122" t="str">
        <f>IF($C92&lt;&gt;"",'G2 FIL Reading Scoresheet'!$I94/30,"")</f>
        <v/>
      </c>
      <c r="M92" s="122" t="str">
        <f>IF(AND($C92&lt;&gt;"",$K92&lt;&gt;"Full Refresher"),'G2 FIL Reading Scoresheet'!$Q94,"")</f>
        <v/>
      </c>
      <c r="N92" s="122" t="str">
        <f>IF(AND($C92&lt;&gt;"",K92&lt;&gt;"Full Refresher"),'G2 FIL Reading Scoresheet'!$R94/6,"")</f>
        <v/>
      </c>
      <c r="O92" s="121" t="str">
        <f>IF(AND(C92&lt;&gt;"",K92&lt;&gt;"Full Refresher"),'G2 FIL Reading Scoresheet'!$P94,"")</f>
        <v/>
      </c>
      <c r="P92" s="125" t="str">
        <f>'G2 FIL Reading Scoresheet'!$U94</f>
        <v/>
      </c>
      <c r="Q92" s="127" t="str">
        <f>CONCATENATE(IF(ISBLANK('G2 MT Reading Scoresheet'!V94),"",CONCATENATE("MT:",TRIM('G2 MT Reading Scoresheet'!V94)))," ",IF(ISBLANK('G2 FIL Reading Scoresheet'!V94),"",CONCATENATE("FIL:",TRIM('G2 FIL Reading Scoresheet'!V94))))</f>
        <v/>
      </c>
    </row>
    <row r="93" spans="1:17">
      <c r="A93" s="106">
        <f t="shared" si="0"/>
        <v>85</v>
      </c>
      <c r="B93" s="107" t="str">
        <f>IF('G2 MT Reading Scoresheet'!B95&lt;&gt;"",'G2 MT Reading Scoresheet'!B95,"")</f>
        <v/>
      </c>
      <c r="C93" s="108" t="str">
        <f>IF('G2 MT Reading Scoresheet'!C95&lt;&gt;"",'G2 MT Reading Scoresheet'!C95,"")</f>
        <v/>
      </c>
      <c r="D93" s="109" t="str">
        <f>IF('G2 MT Reading Scoresheet'!D95&lt;&gt;"",'G2 MT Reading Scoresheet'!D95,"")</f>
        <v/>
      </c>
      <c r="E93" s="110" t="str">
        <f>'G2 MT Reading Scoresheet'!$J95</f>
        <v/>
      </c>
      <c r="F93" s="111" t="str">
        <f>IF(C93&lt;&gt;"",'G2 MT Reading Scoresheet'!$I95/30,"")</f>
        <v/>
      </c>
      <c r="G93" s="111" t="str">
        <f>IF(AND($C93&lt;&gt;"",$E93&lt;&gt;"Full Refresher"),'G2 MT Reading Scoresheet'!$Q95,"")</f>
        <v/>
      </c>
      <c r="H93" s="111" t="str">
        <f>IF(AND(C93&lt;&gt;"",E93&lt;&gt;"Full Refresher"),'G2 MT Reading Scoresheet'!$R95/6,"")</f>
        <v/>
      </c>
      <c r="I93" s="110" t="str">
        <f>IF(AND(D93&lt;&gt;"",F93&lt;&gt;"Full Refresher"),'G2 MT Reading Scoresheet'!$P95,"")</f>
        <v/>
      </c>
      <c r="J93" s="124" t="str">
        <f>'G2 MT Reading Scoresheet'!$U95</f>
        <v/>
      </c>
      <c r="K93" s="121" t="str">
        <f>'G2 FIL Reading Scoresheet'!$J95</f>
        <v/>
      </c>
      <c r="L93" s="122" t="str">
        <f>IF($C93&lt;&gt;"",'G2 FIL Reading Scoresheet'!$I95/30,"")</f>
        <v/>
      </c>
      <c r="M93" s="122" t="str">
        <f>IF(AND($C93&lt;&gt;"",$K93&lt;&gt;"Full Refresher"),'G2 FIL Reading Scoresheet'!$Q95,"")</f>
        <v/>
      </c>
      <c r="N93" s="122" t="str">
        <f>IF(AND($C93&lt;&gt;"",K93&lt;&gt;"Full Refresher"),'G2 FIL Reading Scoresheet'!$R95/6,"")</f>
        <v/>
      </c>
      <c r="O93" s="121" t="str">
        <f>IF(AND(C93&lt;&gt;"",K93&lt;&gt;"Full Refresher"),'G2 FIL Reading Scoresheet'!$P95,"")</f>
        <v/>
      </c>
      <c r="P93" s="125" t="str">
        <f>'G2 FIL Reading Scoresheet'!$U95</f>
        <v/>
      </c>
      <c r="Q93" s="126" t="str">
        <f>CONCATENATE(IF(ISBLANK('G2 MT Reading Scoresheet'!V95),"",CONCATENATE("MT:",TRIM('G2 MT Reading Scoresheet'!V95)))," ",IF(ISBLANK('G2 FIL Reading Scoresheet'!V95),"",CONCATENATE("FIL:",TRIM('G2 FIL Reading Scoresheet'!V95))))</f>
        <v/>
      </c>
    </row>
    <row r="94" spans="1:17">
      <c r="A94" s="112">
        <f t="shared" si="0"/>
        <v>86</v>
      </c>
      <c r="B94" s="113" t="str">
        <f>IF('G2 MT Reading Scoresheet'!B96&lt;&gt;"",'G2 MT Reading Scoresheet'!B96,"")</f>
        <v/>
      </c>
      <c r="C94" s="114" t="str">
        <f>IF('G2 MT Reading Scoresheet'!C96&lt;&gt;"",'G2 MT Reading Scoresheet'!C96,"")</f>
        <v/>
      </c>
      <c r="D94" s="115" t="str">
        <f>IF('G2 MT Reading Scoresheet'!D96&lt;&gt;"",'G2 MT Reading Scoresheet'!D96,"")</f>
        <v/>
      </c>
      <c r="E94" s="110" t="str">
        <f>'G2 MT Reading Scoresheet'!$J96</f>
        <v/>
      </c>
      <c r="F94" s="111" t="str">
        <f>IF(C94&lt;&gt;"",'G2 MT Reading Scoresheet'!$I96/30,"")</f>
        <v/>
      </c>
      <c r="G94" s="111" t="str">
        <f>IF(AND($C94&lt;&gt;"",$E94&lt;&gt;"Full Refresher"),'G2 MT Reading Scoresheet'!$Q96,"")</f>
        <v/>
      </c>
      <c r="H94" s="111" t="str">
        <f>IF(AND(C94&lt;&gt;"",E94&lt;&gt;"Full Refresher"),'G2 MT Reading Scoresheet'!$R96/6,"")</f>
        <v/>
      </c>
      <c r="I94" s="110" t="str">
        <f>IF(AND(D94&lt;&gt;"",F94&lt;&gt;"Full Refresher"),'G2 MT Reading Scoresheet'!$P96,"")</f>
        <v/>
      </c>
      <c r="J94" s="124" t="str">
        <f>'G2 MT Reading Scoresheet'!$U96</f>
        <v/>
      </c>
      <c r="K94" s="121" t="str">
        <f>'G2 FIL Reading Scoresheet'!$J96</f>
        <v/>
      </c>
      <c r="L94" s="122" t="str">
        <f>IF($C94&lt;&gt;"",'G2 FIL Reading Scoresheet'!$I96/30,"")</f>
        <v/>
      </c>
      <c r="M94" s="122" t="str">
        <f>IF(AND($C94&lt;&gt;"",$K94&lt;&gt;"Full Refresher"),'G2 FIL Reading Scoresheet'!$Q96,"")</f>
        <v/>
      </c>
      <c r="N94" s="122" t="str">
        <f>IF(AND($C94&lt;&gt;"",K94&lt;&gt;"Full Refresher"),'G2 FIL Reading Scoresheet'!$R96/6,"")</f>
        <v/>
      </c>
      <c r="O94" s="121" t="str">
        <f>IF(AND(C94&lt;&gt;"",K94&lt;&gt;"Full Refresher"),'G2 FIL Reading Scoresheet'!$P96,"")</f>
        <v/>
      </c>
      <c r="P94" s="125" t="str">
        <f>'G2 FIL Reading Scoresheet'!$U96</f>
        <v/>
      </c>
      <c r="Q94" s="127" t="str">
        <f>CONCATENATE(IF(ISBLANK('G2 MT Reading Scoresheet'!V96),"",CONCATENATE("MT:",TRIM('G2 MT Reading Scoresheet'!V96)))," ",IF(ISBLANK('G2 FIL Reading Scoresheet'!V96),"",CONCATENATE("FIL:",TRIM('G2 FIL Reading Scoresheet'!V96))))</f>
        <v/>
      </c>
    </row>
    <row r="95" spans="1:17">
      <c r="A95" s="106">
        <f t="shared" si="0"/>
        <v>87</v>
      </c>
      <c r="B95" s="107" t="str">
        <f>IF('G2 MT Reading Scoresheet'!B97&lt;&gt;"",'G2 MT Reading Scoresheet'!B97,"")</f>
        <v/>
      </c>
      <c r="C95" s="108" t="str">
        <f>IF('G2 MT Reading Scoresheet'!C97&lt;&gt;"",'G2 MT Reading Scoresheet'!C97,"")</f>
        <v/>
      </c>
      <c r="D95" s="109" t="str">
        <f>IF('G2 MT Reading Scoresheet'!D97&lt;&gt;"",'G2 MT Reading Scoresheet'!D97,"")</f>
        <v/>
      </c>
      <c r="E95" s="110" t="str">
        <f>'G2 MT Reading Scoresheet'!$J97</f>
        <v/>
      </c>
      <c r="F95" s="111" t="str">
        <f>IF(C95&lt;&gt;"",'G2 MT Reading Scoresheet'!$I97/30,"")</f>
        <v/>
      </c>
      <c r="G95" s="111" t="str">
        <f>IF(AND($C95&lt;&gt;"",$E95&lt;&gt;"Full Refresher"),'G2 MT Reading Scoresheet'!$Q97,"")</f>
        <v/>
      </c>
      <c r="H95" s="111" t="str">
        <f>IF(AND(C95&lt;&gt;"",E95&lt;&gt;"Full Refresher"),'G2 MT Reading Scoresheet'!$R97/6,"")</f>
        <v/>
      </c>
      <c r="I95" s="110" t="str">
        <f>IF(AND(D95&lt;&gt;"",F95&lt;&gt;"Full Refresher"),'G2 MT Reading Scoresheet'!$P97,"")</f>
        <v/>
      </c>
      <c r="J95" s="124" t="str">
        <f>'G2 MT Reading Scoresheet'!$U97</f>
        <v/>
      </c>
      <c r="K95" s="121" t="str">
        <f>'G2 FIL Reading Scoresheet'!$J97</f>
        <v/>
      </c>
      <c r="L95" s="122" t="str">
        <f>IF($C95&lt;&gt;"",'G2 FIL Reading Scoresheet'!$I97/30,"")</f>
        <v/>
      </c>
      <c r="M95" s="122" t="str">
        <f>IF(AND($C95&lt;&gt;"",$K95&lt;&gt;"Full Refresher"),'G2 FIL Reading Scoresheet'!$Q97,"")</f>
        <v/>
      </c>
      <c r="N95" s="122" t="str">
        <f>IF(AND($C95&lt;&gt;"",K95&lt;&gt;"Full Refresher"),'G2 FIL Reading Scoresheet'!$R97/6,"")</f>
        <v/>
      </c>
      <c r="O95" s="121" t="str">
        <f>IF(AND(C95&lt;&gt;"",K95&lt;&gt;"Full Refresher"),'G2 FIL Reading Scoresheet'!$P97,"")</f>
        <v/>
      </c>
      <c r="P95" s="125" t="str">
        <f>'G2 FIL Reading Scoresheet'!$U97</f>
        <v/>
      </c>
      <c r="Q95" s="126" t="str">
        <f>CONCATENATE(IF(ISBLANK('G2 MT Reading Scoresheet'!V97),"",CONCATENATE("MT:",TRIM('G2 MT Reading Scoresheet'!V97)))," ",IF(ISBLANK('G2 FIL Reading Scoresheet'!V97),"",CONCATENATE("FIL:",TRIM('G2 FIL Reading Scoresheet'!V97))))</f>
        <v/>
      </c>
    </row>
    <row r="96" spans="1:17">
      <c r="A96" s="112">
        <f t="shared" si="0"/>
        <v>88</v>
      </c>
      <c r="B96" s="113" t="str">
        <f>IF('G2 MT Reading Scoresheet'!B98&lt;&gt;"",'G2 MT Reading Scoresheet'!B98,"")</f>
        <v/>
      </c>
      <c r="C96" s="114" t="str">
        <f>IF('G2 MT Reading Scoresheet'!C98&lt;&gt;"",'G2 MT Reading Scoresheet'!C98,"")</f>
        <v/>
      </c>
      <c r="D96" s="115" t="str">
        <f>IF('G2 MT Reading Scoresheet'!D98&lt;&gt;"",'G2 MT Reading Scoresheet'!D98,"")</f>
        <v/>
      </c>
      <c r="E96" s="110" t="str">
        <f>'G2 MT Reading Scoresheet'!$J98</f>
        <v/>
      </c>
      <c r="F96" s="111" t="str">
        <f>IF(C96&lt;&gt;"",'G2 MT Reading Scoresheet'!$I98/30,"")</f>
        <v/>
      </c>
      <c r="G96" s="111" t="str">
        <f>IF(AND($C96&lt;&gt;"",$E96&lt;&gt;"Full Refresher"),'G2 MT Reading Scoresheet'!$Q98,"")</f>
        <v/>
      </c>
      <c r="H96" s="111" t="str">
        <f>IF(AND(C96&lt;&gt;"",E96&lt;&gt;"Full Refresher"),'G2 MT Reading Scoresheet'!$R98/6,"")</f>
        <v/>
      </c>
      <c r="I96" s="110" t="str">
        <f>IF(AND(D96&lt;&gt;"",F96&lt;&gt;"Full Refresher"),'G2 MT Reading Scoresheet'!$P98,"")</f>
        <v/>
      </c>
      <c r="J96" s="124" t="str">
        <f>'G2 MT Reading Scoresheet'!$U98</f>
        <v/>
      </c>
      <c r="K96" s="121" t="str">
        <f>'G2 FIL Reading Scoresheet'!$J98</f>
        <v/>
      </c>
      <c r="L96" s="122" t="str">
        <f>IF($C96&lt;&gt;"",'G2 FIL Reading Scoresheet'!$I98/30,"")</f>
        <v/>
      </c>
      <c r="M96" s="122" t="str">
        <f>IF(AND($C96&lt;&gt;"",$K96&lt;&gt;"Full Refresher"),'G2 FIL Reading Scoresheet'!$Q98,"")</f>
        <v/>
      </c>
      <c r="N96" s="122" t="str">
        <f>IF(AND($C96&lt;&gt;"",K96&lt;&gt;"Full Refresher"),'G2 FIL Reading Scoresheet'!$R98/6,"")</f>
        <v/>
      </c>
      <c r="O96" s="121" t="str">
        <f>IF(AND(C96&lt;&gt;"",K96&lt;&gt;"Full Refresher"),'G2 FIL Reading Scoresheet'!$P98,"")</f>
        <v/>
      </c>
      <c r="P96" s="125" t="str">
        <f>'G2 FIL Reading Scoresheet'!$U98</f>
        <v/>
      </c>
      <c r="Q96" s="127" t="str">
        <f>CONCATENATE(IF(ISBLANK('G2 MT Reading Scoresheet'!V98),"",CONCATENATE("MT:",TRIM('G2 MT Reading Scoresheet'!V98)))," ",IF(ISBLANK('G2 FIL Reading Scoresheet'!V98),"",CONCATENATE("FIL:",TRIM('G2 FIL Reading Scoresheet'!V98))))</f>
        <v/>
      </c>
    </row>
    <row r="97" spans="1:17">
      <c r="A97" s="106">
        <f t="shared" si="0"/>
        <v>89</v>
      </c>
      <c r="B97" s="107" t="str">
        <f>IF('G2 MT Reading Scoresheet'!B99&lt;&gt;"",'G2 MT Reading Scoresheet'!B99,"")</f>
        <v/>
      </c>
      <c r="C97" s="108" t="str">
        <f>IF('G2 MT Reading Scoresheet'!C99&lt;&gt;"",'G2 MT Reading Scoresheet'!C99,"")</f>
        <v/>
      </c>
      <c r="D97" s="109" t="str">
        <f>IF('G2 MT Reading Scoresheet'!D99&lt;&gt;"",'G2 MT Reading Scoresheet'!D99,"")</f>
        <v/>
      </c>
      <c r="E97" s="110" t="str">
        <f>'G2 MT Reading Scoresheet'!$J99</f>
        <v/>
      </c>
      <c r="F97" s="111" t="str">
        <f>IF(C97&lt;&gt;"",'G2 MT Reading Scoresheet'!$I99/30,"")</f>
        <v/>
      </c>
      <c r="G97" s="111" t="str">
        <f>IF(AND($C97&lt;&gt;"",$E97&lt;&gt;"Full Refresher"),'G2 MT Reading Scoresheet'!$Q99,"")</f>
        <v/>
      </c>
      <c r="H97" s="111" t="str">
        <f>IF(AND(C97&lt;&gt;"",E97&lt;&gt;"Full Refresher"),'G2 MT Reading Scoresheet'!$R99/6,"")</f>
        <v/>
      </c>
      <c r="I97" s="110" t="str">
        <f>IF(AND(D97&lt;&gt;"",F97&lt;&gt;"Full Refresher"),'G2 MT Reading Scoresheet'!$P99,"")</f>
        <v/>
      </c>
      <c r="J97" s="124" t="str">
        <f>'G2 MT Reading Scoresheet'!$U99</f>
        <v/>
      </c>
      <c r="K97" s="121" t="str">
        <f>'G2 FIL Reading Scoresheet'!$J99</f>
        <v/>
      </c>
      <c r="L97" s="122" t="str">
        <f>IF($C97&lt;&gt;"",'G2 FIL Reading Scoresheet'!$I99/30,"")</f>
        <v/>
      </c>
      <c r="M97" s="122" t="str">
        <f>IF(AND($C97&lt;&gt;"",$K97&lt;&gt;"Full Refresher"),'G2 FIL Reading Scoresheet'!$Q99,"")</f>
        <v/>
      </c>
      <c r="N97" s="122" t="str">
        <f>IF(AND($C97&lt;&gt;"",K97&lt;&gt;"Full Refresher"),'G2 FIL Reading Scoresheet'!$R99/6,"")</f>
        <v/>
      </c>
      <c r="O97" s="121" t="str">
        <f>IF(AND(C97&lt;&gt;"",K97&lt;&gt;"Full Refresher"),'G2 FIL Reading Scoresheet'!$P99,"")</f>
        <v/>
      </c>
      <c r="P97" s="125" t="str">
        <f>'G2 FIL Reading Scoresheet'!$U99</f>
        <v/>
      </c>
      <c r="Q97" s="126" t="str">
        <f>CONCATENATE(IF(ISBLANK('G2 MT Reading Scoresheet'!V99),"",CONCATENATE("MT:",TRIM('G2 MT Reading Scoresheet'!V99)))," ",IF(ISBLANK('G2 FIL Reading Scoresheet'!V99),"",CONCATENATE("FIL:",TRIM('G2 FIL Reading Scoresheet'!V99))))</f>
        <v/>
      </c>
    </row>
    <row r="98" spans="1:17">
      <c r="A98" s="112">
        <f t="shared" si="0"/>
        <v>90</v>
      </c>
      <c r="B98" s="113" t="str">
        <f>IF('G2 MT Reading Scoresheet'!B100&lt;&gt;"",'G2 MT Reading Scoresheet'!B100,"")</f>
        <v/>
      </c>
      <c r="C98" s="114" t="str">
        <f>IF('G2 MT Reading Scoresheet'!C100&lt;&gt;"",'G2 MT Reading Scoresheet'!C100,"")</f>
        <v/>
      </c>
      <c r="D98" s="115" t="str">
        <f>IF('G2 MT Reading Scoresheet'!D100&lt;&gt;"",'G2 MT Reading Scoresheet'!D100,"")</f>
        <v/>
      </c>
      <c r="E98" s="110" t="str">
        <f>'G2 MT Reading Scoresheet'!$J100</f>
        <v/>
      </c>
      <c r="F98" s="111" t="str">
        <f>IF(C98&lt;&gt;"",'G2 MT Reading Scoresheet'!$I100/30,"")</f>
        <v/>
      </c>
      <c r="G98" s="111" t="str">
        <f>IF(AND($C98&lt;&gt;"",$E98&lt;&gt;"Full Refresher"),'G2 MT Reading Scoresheet'!$Q100,"")</f>
        <v/>
      </c>
      <c r="H98" s="111" t="str">
        <f>IF(AND(C98&lt;&gt;"",E98&lt;&gt;"Full Refresher"),'G2 MT Reading Scoresheet'!$R100/6,"")</f>
        <v/>
      </c>
      <c r="I98" s="110" t="str">
        <f>IF(AND(D98&lt;&gt;"",F98&lt;&gt;"Full Refresher"),'G2 MT Reading Scoresheet'!$P100,"")</f>
        <v/>
      </c>
      <c r="J98" s="124" t="str">
        <f>'G2 MT Reading Scoresheet'!$U100</f>
        <v/>
      </c>
      <c r="K98" s="121" t="str">
        <f>'G2 FIL Reading Scoresheet'!$J100</f>
        <v/>
      </c>
      <c r="L98" s="122" t="str">
        <f>IF($C98&lt;&gt;"",'G2 FIL Reading Scoresheet'!$I100/30,"")</f>
        <v/>
      </c>
      <c r="M98" s="122" t="str">
        <f>IF(AND($C98&lt;&gt;"",$K98&lt;&gt;"Full Refresher"),'G2 FIL Reading Scoresheet'!$Q100,"")</f>
        <v/>
      </c>
      <c r="N98" s="122" t="str">
        <f>IF(AND($C98&lt;&gt;"",K98&lt;&gt;"Full Refresher"),'G2 FIL Reading Scoresheet'!$R100/6,"")</f>
        <v/>
      </c>
      <c r="O98" s="121" t="str">
        <f>IF(AND(C98&lt;&gt;"",K98&lt;&gt;"Full Refresher"),'G2 FIL Reading Scoresheet'!$P100,"")</f>
        <v/>
      </c>
      <c r="P98" s="125" t="str">
        <f>'G2 FIL Reading Scoresheet'!$U100</f>
        <v/>
      </c>
      <c r="Q98" s="127" t="str">
        <f>CONCATENATE(IF(ISBLANK('G2 MT Reading Scoresheet'!V100),"",CONCATENATE("MT:",TRIM('G2 MT Reading Scoresheet'!V100)))," ",IF(ISBLANK('G2 FIL Reading Scoresheet'!V100),"",CONCATENATE("FIL:",TRIM('G2 FIL Reading Scoresheet'!V100))))</f>
        <v/>
      </c>
    </row>
    <row r="99" spans="1:17">
      <c r="A99" s="106">
        <f t="shared" si="0"/>
        <v>91</v>
      </c>
      <c r="B99" s="107" t="str">
        <f>IF('G2 MT Reading Scoresheet'!B101&lt;&gt;"",'G2 MT Reading Scoresheet'!B101,"")</f>
        <v/>
      </c>
      <c r="C99" s="108" t="str">
        <f>IF('G2 MT Reading Scoresheet'!C101&lt;&gt;"",'G2 MT Reading Scoresheet'!C101,"")</f>
        <v/>
      </c>
      <c r="D99" s="109" t="str">
        <f>IF('G2 MT Reading Scoresheet'!D101&lt;&gt;"",'G2 MT Reading Scoresheet'!D101,"")</f>
        <v/>
      </c>
      <c r="E99" s="110" t="str">
        <f>'G2 MT Reading Scoresheet'!$J101</f>
        <v/>
      </c>
      <c r="F99" s="111" t="str">
        <f>IF(C99&lt;&gt;"",'G2 MT Reading Scoresheet'!$I101/30,"")</f>
        <v/>
      </c>
      <c r="G99" s="111" t="str">
        <f>IF(AND($C99&lt;&gt;"",$E99&lt;&gt;"Full Refresher"),'G2 MT Reading Scoresheet'!$Q101,"")</f>
        <v/>
      </c>
      <c r="H99" s="111" t="str">
        <f>IF(AND(C99&lt;&gt;"",E99&lt;&gt;"Full Refresher"),'G2 MT Reading Scoresheet'!$R101/6,"")</f>
        <v/>
      </c>
      <c r="I99" s="110" t="str">
        <f>IF(AND(D99&lt;&gt;"",F99&lt;&gt;"Full Refresher"),'G2 MT Reading Scoresheet'!$P101,"")</f>
        <v/>
      </c>
      <c r="J99" s="124" t="str">
        <f>'G2 MT Reading Scoresheet'!$U101</f>
        <v/>
      </c>
      <c r="K99" s="121" t="str">
        <f>'G2 FIL Reading Scoresheet'!$J101</f>
        <v/>
      </c>
      <c r="L99" s="122" t="str">
        <f>IF($C99&lt;&gt;"",'G2 FIL Reading Scoresheet'!$I101/30,"")</f>
        <v/>
      </c>
      <c r="M99" s="122" t="str">
        <f>IF(AND($C99&lt;&gt;"",$K99&lt;&gt;"Full Refresher"),'G2 FIL Reading Scoresheet'!$Q101,"")</f>
        <v/>
      </c>
      <c r="N99" s="122" t="str">
        <f>IF(AND($C99&lt;&gt;"",K99&lt;&gt;"Full Refresher"),'G2 FIL Reading Scoresheet'!$R101/6,"")</f>
        <v/>
      </c>
      <c r="O99" s="121" t="str">
        <f>IF(AND(C99&lt;&gt;"",K99&lt;&gt;"Full Refresher"),'G2 FIL Reading Scoresheet'!$P101,"")</f>
        <v/>
      </c>
      <c r="P99" s="125" t="str">
        <f>'G2 FIL Reading Scoresheet'!$U101</f>
        <v/>
      </c>
      <c r="Q99" s="126" t="str">
        <f>CONCATENATE(IF(ISBLANK('G2 MT Reading Scoresheet'!V101),"",CONCATENATE("MT:",TRIM('G2 MT Reading Scoresheet'!V101)))," ",IF(ISBLANK('G2 FIL Reading Scoresheet'!V101),"",CONCATENATE("FIL:",TRIM('G2 FIL Reading Scoresheet'!V101))))</f>
        <v/>
      </c>
    </row>
    <row r="100" spans="1:17">
      <c r="A100" s="112">
        <f t="shared" si="0"/>
        <v>92</v>
      </c>
      <c r="B100" s="113" t="str">
        <f>IF('G2 MT Reading Scoresheet'!B102&lt;&gt;"",'G2 MT Reading Scoresheet'!B102,"")</f>
        <v/>
      </c>
      <c r="C100" s="114" t="str">
        <f>IF('G2 MT Reading Scoresheet'!C102&lt;&gt;"",'G2 MT Reading Scoresheet'!C102,"")</f>
        <v/>
      </c>
      <c r="D100" s="115" t="str">
        <f>IF('G2 MT Reading Scoresheet'!D102&lt;&gt;"",'G2 MT Reading Scoresheet'!D102,"")</f>
        <v/>
      </c>
      <c r="E100" s="110" t="str">
        <f>'G2 MT Reading Scoresheet'!$J102</f>
        <v/>
      </c>
      <c r="F100" s="111" t="str">
        <f>IF(C100&lt;&gt;"",'G2 MT Reading Scoresheet'!$I102/30,"")</f>
        <v/>
      </c>
      <c r="G100" s="111" t="str">
        <f>IF(AND($C100&lt;&gt;"",$E100&lt;&gt;"Full Refresher"),'G2 MT Reading Scoresheet'!$Q102,"")</f>
        <v/>
      </c>
      <c r="H100" s="111" t="str">
        <f>IF(AND(C100&lt;&gt;"",E100&lt;&gt;"Full Refresher"),'G2 MT Reading Scoresheet'!$R102/6,"")</f>
        <v/>
      </c>
      <c r="I100" s="110" t="str">
        <f>IF(AND(D100&lt;&gt;"",F100&lt;&gt;"Full Refresher"),'G2 MT Reading Scoresheet'!$P102,"")</f>
        <v/>
      </c>
      <c r="J100" s="124" t="str">
        <f>'G2 MT Reading Scoresheet'!$U102</f>
        <v/>
      </c>
      <c r="K100" s="121" t="str">
        <f>'G2 FIL Reading Scoresheet'!$J102</f>
        <v/>
      </c>
      <c r="L100" s="122" t="str">
        <f>IF($C100&lt;&gt;"",'G2 FIL Reading Scoresheet'!$I102/30,"")</f>
        <v/>
      </c>
      <c r="M100" s="122" t="str">
        <f>IF(AND($C100&lt;&gt;"",$K100&lt;&gt;"Full Refresher"),'G2 FIL Reading Scoresheet'!$Q102,"")</f>
        <v/>
      </c>
      <c r="N100" s="122" t="str">
        <f>IF(AND($C100&lt;&gt;"",K100&lt;&gt;"Full Refresher"),'G2 FIL Reading Scoresheet'!$R102/6,"")</f>
        <v/>
      </c>
      <c r="O100" s="121" t="str">
        <f>IF(AND(C100&lt;&gt;"",K100&lt;&gt;"Full Refresher"),'G2 FIL Reading Scoresheet'!$P102,"")</f>
        <v/>
      </c>
      <c r="P100" s="125" t="str">
        <f>'G2 FIL Reading Scoresheet'!$U102</f>
        <v/>
      </c>
      <c r="Q100" s="127" t="str">
        <f>CONCATENATE(IF(ISBLANK('G2 MT Reading Scoresheet'!V102),"",CONCATENATE("MT:",TRIM('G2 MT Reading Scoresheet'!V102)))," ",IF(ISBLANK('G2 FIL Reading Scoresheet'!V102),"",CONCATENATE("FIL:",TRIM('G2 FIL Reading Scoresheet'!V102))))</f>
        <v/>
      </c>
    </row>
    <row r="101" spans="1:17">
      <c r="A101" s="106">
        <f t="shared" si="0"/>
        <v>93</v>
      </c>
      <c r="B101" s="107" t="str">
        <f>IF('G2 MT Reading Scoresheet'!B103&lt;&gt;"",'G2 MT Reading Scoresheet'!B103,"")</f>
        <v/>
      </c>
      <c r="C101" s="108" t="str">
        <f>IF('G2 MT Reading Scoresheet'!C103&lt;&gt;"",'G2 MT Reading Scoresheet'!C103,"")</f>
        <v/>
      </c>
      <c r="D101" s="109" t="str">
        <f>IF('G2 MT Reading Scoresheet'!D103&lt;&gt;"",'G2 MT Reading Scoresheet'!D103,"")</f>
        <v/>
      </c>
      <c r="E101" s="110" t="str">
        <f>'G2 MT Reading Scoresheet'!$J103</f>
        <v/>
      </c>
      <c r="F101" s="111" t="str">
        <f>IF(C101&lt;&gt;"",'G2 MT Reading Scoresheet'!$I103/30,"")</f>
        <v/>
      </c>
      <c r="G101" s="111" t="str">
        <f>IF(AND($C101&lt;&gt;"",$E101&lt;&gt;"Full Refresher"),'G2 MT Reading Scoresheet'!$Q103,"")</f>
        <v/>
      </c>
      <c r="H101" s="111" t="str">
        <f>IF(AND(C101&lt;&gt;"",E101&lt;&gt;"Full Refresher"),'G2 MT Reading Scoresheet'!$R103/6,"")</f>
        <v/>
      </c>
      <c r="I101" s="110" t="str">
        <f>IF(AND(D101&lt;&gt;"",F101&lt;&gt;"Full Refresher"),'G2 MT Reading Scoresheet'!$P103,"")</f>
        <v/>
      </c>
      <c r="J101" s="124" t="str">
        <f>'G2 MT Reading Scoresheet'!$U103</f>
        <v/>
      </c>
      <c r="K101" s="121" t="str">
        <f>'G2 FIL Reading Scoresheet'!$J103</f>
        <v/>
      </c>
      <c r="L101" s="122" t="str">
        <f>IF($C101&lt;&gt;"",'G2 FIL Reading Scoresheet'!$I103/30,"")</f>
        <v/>
      </c>
      <c r="M101" s="122" t="str">
        <f>IF(AND($C101&lt;&gt;"",$K101&lt;&gt;"Full Refresher"),'G2 FIL Reading Scoresheet'!$Q103,"")</f>
        <v/>
      </c>
      <c r="N101" s="122" t="str">
        <f>IF(AND($C101&lt;&gt;"",K101&lt;&gt;"Full Refresher"),'G2 FIL Reading Scoresheet'!$R103/6,"")</f>
        <v/>
      </c>
      <c r="O101" s="121" t="str">
        <f>IF(AND(C101&lt;&gt;"",K101&lt;&gt;"Full Refresher"),'G2 FIL Reading Scoresheet'!$P103,"")</f>
        <v/>
      </c>
      <c r="P101" s="125" t="str">
        <f>'G2 FIL Reading Scoresheet'!$U103</f>
        <v/>
      </c>
      <c r="Q101" s="126" t="str">
        <f>CONCATENATE(IF(ISBLANK('G2 MT Reading Scoresheet'!V103),"",CONCATENATE("MT:",TRIM('G2 MT Reading Scoresheet'!V103)))," ",IF(ISBLANK('G2 FIL Reading Scoresheet'!V103),"",CONCATENATE("FIL:",TRIM('G2 FIL Reading Scoresheet'!V103))))</f>
        <v/>
      </c>
    </row>
    <row r="102" spans="1:17">
      <c r="A102" s="112">
        <f t="shared" si="0"/>
        <v>94</v>
      </c>
      <c r="B102" s="113" t="str">
        <f>IF('G2 MT Reading Scoresheet'!B104&lt;&gt;"",'G2 MT Reading Scoresheet'!B104,"")</f>
        <v/>
      </c>
      <c r="C102" s="114" t="str">
        <f>IF('G2 MT Reading Scoresheet'!C104&lt;&gt;"",'G2 MT Reading Scoresheet'!C104,"")</f>
        <v/>
      </c>
      <c r="D102" s="115" t="str">
        <f>IF('G2 MT Reading Scoresheet'!D104&lt;&gt;"",'G2 MT Reading Scoresheet'!D104,"")</f>
        <v/>
      </c>
      <c r="E102" s="110" t="str">
        <f>'G2 MT Reading Scoresheet'!$J104</f>
        <v/>
      </c>
      <c r="F102" s="111" t="str">
        <f>IF(C102&lt;&gt;"",'G2 MT Reading Scoresheet'!$I104/30,"")</f>
        <v/>
      </c>
      <c r="G102" s="111" t="str">
        <f>IF(AND($C102&lt;&gt;"",$E102&lt;&gt;"Full Refresher"),'G2 MT Reading Scoresheet'!$Q104,"")</f>
        <v/>
      </c>
      <c r="H102" s="111" t="str">
        <f>IF(AND(C102&lt;&gt;"",E102&lt;&gt;"Full Refresher"),'G2 MT Reading Scoresheet'!$R104/6,"")</f>
        <v/>
      </c>
      <c r="I102" s="110" t="str">
        <f>IF(AND(D102&lt;&gt;"",F102&lt;&gt;"Full Refresher"),'G2 MT Reading Scoresheet'!$P104,"")</f>
        <v/>
      </c>
      <c r="J102" s="124" t="str">
        <f>'G2 MT Reading Scoresheet'!$U104</f>
        <v/>
      </c>
      <c r="K102" s="121" t="str">
        <f>'G2 FIL Reading Scoresheet'!$J104</f>
        <v/>
      </c>
      <c r="L102" s="122" t="str">
        <f>IF($C102&lt;&gt;"",'G2 FIL Reading Scoresheet'!$I104/30,"")</f>
        <v/>
      </c>
      <c r="M102" s="122" t="str">
        <f>IF(AND($C102&lt;&gt;"",$K102&lt;&gt;"Full Refresher"),'G2 FIL Reading Scoresheet'!$Q104,"")</f>
        <v/>
      </c>
      <c r="N102" s="122" t="str">
        <f>IF(AND($C102&lt;&gt;"",K102&lt;&gt;"Full Refresher"),'G2 FIL Reading Scoresheet'!$R104/6,"")</f>
        <v/>
      </c>
      <c r="O102" s="121" t="str">
        <f>IF(AND(C102&lt;&gt;"",K102&lt;&gt;"Full Refresher"),'G2 FIL Reading Scoresheet'!$P104,"")</f>
        <v/>
      </c>
      <c r="P102" s="125" t="str">
        <f>'G2 FIL Reading Scoresheet'!$U104</f>
        <v/>
      </c>
      <c r="Q102" s="127" t="str">
        <f>CONCATENATE(IF(ISBLANK('G2 MT Reading Scoresheet'!V104),"",CONCATENATE("MT:",TRIM('G2 MT Reading Scoresheet'!V104)))," ",IF(ISBLANK('G2 FIL Reading Scoresheet'!V104),"",CONCATENATE("FIL:",TRIM('G2 FIL Reading Scoresheet'!V104))))</f>
        <v/>
      </c>
    </row>
    <row r="103" spans="1:17">
      <c r="A103" s="106">
        <f t="shared" si="0"/>
        <v>95</v>
      </c>
      <c r="B103" s="107" t="str">
        <f>IF('G2 MT Reading Scoresheet'!B105&lt;&gt;"",'G2 MT Reading Scoresheet'!B105,"")</f>
        <v/>
      </c>
      <c r="C103" s="108" t="str">
        <f>IF('G2 MT Reading Scoresheet'!C105&lt;&gt;"",'G2 MT Reading Scoresheet'!C105,"")</f>
        <v/>
      </c>
      <c r="D103" s="109" t="str">
        <f>IF('G2 MT Reading Scoresheet'!D105&lt;&gt;"",'G2 MT Reading Scoresheet'!D105,"")</f>
        <v/>
      </c>
      <c r="E103" s="110" t="str">
        <f>'G2 MT Reading Scoresheet'!$J105</f>
        <v/>
      </c>
      <c r="F103" s="111" t="str">
        <f>IF(C103&lt;&gt;"",'G2 MT Reading Scoresheet'!$I105/30,"")</f>
        <v/>
      </c>
      <c r="G103" s="111" t="str">
        <f>IF(AND($C103&lt;&gt;"",$E103&lt;&gt;"Full Refresher"),'G2 MT Reading Scoresheet'!$Q105,"")</f>
        <v/>
      </c>
      <c r="H103" s="111" t="str">
        <f>IF(AND(C103&lt;&gt;"",E103&lt;&gt;"Full Refresher"),'G2 MT Reading Scoresheet'!$R105/6,"")</f>
        <v/>
      </c>
      <c r="I103" s="110" t="str">
        <f>IF(AND(D103&lt;&gt;"",F103&lt;&gt;"Full Refresher"),'G2 MT Reading Scoresheet'!$P105,"")</f>
        <v/>
      </c>
      <c r="J103" s="124" t="str">
        <f>'G2 MT Reading Scoresheet'!$U105</f>
        <v/>
      </c>
      <c r="K103" s="121" t="str">
        <f>'G2 FIL Reading Scoresheet'!$J105</f>
        <v/>
      </c>
      <c r="L103" s="122" t="str">
        <f>IF($C103&lt;&gt;"",'G2 FIL Reading Scoresheet'!$I105/30,"")</f>
        <v/>
      </c>
      <c r="M103" s="122" t="str">
        <f>IF(AND($C103&lt;&gt;"",$K103&lt;&gt;"Full Refresher"),'G2 FIL Reading Scoresheet'!$Q105,"")</f>
        <v/>
      </c>
      <c r="N103" s="122" t="str">
        <f>IF(AND($C103&lt;&gt;"",K103&lt;&gt;"Full Refresher"),'G2 FIL Reading Scoresheet'!$R105/6,"")</f>
        <v/>
      </c>
      <c r="O103" s="121" t="str">
        <f>IF(AND(C103&lt;&gt;"",K103&lt;&gt;"Full Refresher"),'G2 FIL Reading Scoresheet'!$P105,"")</f>
        <v/>
      </c>
      <c r="P103" s="125" t="str">
        <f>'G2 FIL Reading Scoresheet'!$U105</f>
        <v/>
      </c>
      <c r="Q103" s="126" t="str">
        <f>CONCATENATE(IF(ISBLANK('G2 MT Reading Scoresheet'!V105),"",CONCATENATE("MT:",TRIM('G2 MT Reading Scoresheet'!V105)))," ",IF(ISBLANK('G2 FIL Reading Scoresheet'!V105),"",CONCATENATE("FIL:",TRIM('G2 FIL Reading Scoresheet'!V105))))</f>
        <v/>
      </c>
    </row>
    <row r="104" spans="1:17">
      <c r="A104" s="112">
        <f t="shared" si="0"/>
        <v>96</v>
      </c>
      <c r="B104" s="113" t="str">
        <f>IF('G2 MT Reading Scoresheet'!B106&lt;&gt;"",'G2 MT Reading Scoresheet'!B106,"")</f>
        <v/>
      </c>
      <c r="C104" s="114" t="str">
        <f>IF('G2 MT Reading Scoresheet'!C106&lt;&gt;"",'G2 MT Reading Scoresheet'!C106,"")</f>
        <v/>
      </c>
      <c r="D104" s="115" t="str">
        <f>IF('G2 MT Reading Scoresheet'!D106&lt;&gt;"",'G2 MT Reading Scoresheet'!D106,"")</f>
        <v/>
      </c>
      <c r="E104" s="110" t="str">
        <f>'G2 MT Reading Scoresheet'!$J106</f>
        <v/>
      </c>
      <c r="F104" s="111" t="str">
        <f>IF(C104&lt;&gt;"",'G2 MT Reading Scoresheet'!$I106/30,"")</f>
        <v/>
      </c>
      <c r="G104" s="111" t="str">
        <f>IF(AND($C104&lt;&gt;"",$E104&lt;&gt;"Full Refresher"),'G2 MT Reading Scoresheet'!$Q106,"")</f>
        <v/>
      </c>
      <c r="H104" s="111" t="str">
        <f>IF(AND(C104&lt;&gt;"",E104&lt;&gt;"Full Refresher"),'G2 MT Reading Scoresheet'!$R106/6,"")</f>
        <v/>
      </c>
      <c r="I104" s="110" t="str">
        <f>IF(AND(D104&lt;&gt;"",F104&lt;&gt;"Full Refresher"),'G2 MT Reading Scoresheet'!$P106,"")</f>
        <v/>
      </c>
      <c r="J104" s="124" t="str">
        <f>'G2 MT Reading Scoresheet'!$U106</f>
        <v/>
      </c>
      <c r="K104" s="121" t="str">
        <f>'G2 FIL Reading Scoresheet'!$J106</f>
        <v/>
      </c>
      <c r="L104" s="122" t="str">
        <f>IF($C104&lt;&gt;"",'G2 FIL Reading Scoresheet'!$I106/30,"")</f>
        <v/>
      </c>
      <c r="M104" s="122" t="str">
        <f>IF(AND($C104&lt;&gt;"",$K104&lt;&gt;"Full Refresher"),'G2 FIL Reading Scoresheet'!$Q106,"")</f>
        <v/>
      </c>
      <c r="N104" s="122" t="str">
        <f>IF(AND($C104&lt;&gt;"",K104&lt;&gt;"Full Refresher"),'G2 FIL Reading Scoresheet'!$R106/6,"")</f>
        <v/>
      </c>
      <c r="O104" s="121" t="str">
        <f>IF(AND(C104&lt;&gt;"",K104&lt;&gt;"Full Refresher"),'G2 FIL Reading Scoresheet'!$P106,"")</f>
        <v/>
      </c>
      <c r="P104" s="125" t="str">
        <f>'G2 FIL Reading Scoresheet'!$U106</f>
        <v/>
      </c>
      <c r="Q104" s="127" t="str">
        <f>CONCATENATE(IF(ISBLANK('G2 MT Reading Scoresheet'!V106),"",CONCATENATE("MT:",TRIM('G2 MT Reading Scoresheet'!V106)))," ",IF(ISBLANK('G2 FIL Reading Scoresheet'!V106),"",CONCATENATE("FIL:",TRIM('G2 FIL Reading Scoresheet'!V106))))</f>
        <v/>
      </c>
    </row>
    <row r="105" spans="1:17">
      <c r="A105" s="106">
        <f t="shared" si="0"/>
        <v>97</v>
      </c>
      <c r="B105" s="107" t="str">
        <f>IF('G2 MT Reading Scoresheet'!B107&lt;&gt;"",'G2 MT Reading Scoresheet'!B107,"")</f>
        <v/>
      </c>
      <c r="C105" s="108" t="str">
        <f>IF('G2 MT Reading Scoresheet'!C107&lt;&gt;"",'G2 MT Reading Scoresheet'!C107,"")</f>
        <v/>
      </c>
      <c r="D105" s="109" t="str">
        <f>IF('G2 MT Reading Scoresheet'!D107&lt;&gt;"",'G2 MT Reading Scoresheet'!D107,"")</f>
        <v/>
      </c>
      <c r="E105" s="110" t="str">
        <f>'G2 MT Reading Scoresheet'!$J107</f>
        <v/>
      </c>
      <c r="F105" s="111" t="str">
        <f>IF(C105&lt;&gt;"",'G2 MT Reading Scoresheet'!$I107/30,"")</f>
        <v/>
      </c>
      <c r="G105" s="111" t="str">
        <f>IF(AND($C105&lt;&gt;"",$E105&lt;&gt;"Full Refresher"),'G2 MT Reading Scoresheet'!$Q107,"")</f>
        <v/>
      </c>
      <c r="H105" s="111" t="str">
        <f>IF(AND(C105&lt;&gt;"",E105&lt;&gt;"Full Refresher"),'G2 MT Reading Scoresheet'!$R107/6,"")</f>
        <v/>
      </c>
      <c r="I105" s="110" t="str">
        <f>IF(AND(D105&lt;&gt;"",F105&lt;&gt;"Full Refresher"),'G2 MT Reading Scoresheet'!$P107,"")</f>
        <v/>
      </c>
      <c r="J105" s="124" t="str">
        <f>'G2 MT Reading Scoresheet'!$U107</f>
        <v/>
      </c>
      <c r="K105" s="121" t="str">
        <f>'G2 FIL Reading Scoresheet'!$J107</f>
        <v/>
      </c>
      <c r="L105" s="122" t="str">
        <f>IF($C105&lt;&gt;"",'G2 FIL Reading Scoresheet'!$I107/30,"")</f>
        <v/>
      </c>
      <c r="M105" s="122" t="str">
        <f>IF(AND($C105&lt;&gt;"",$K105&lt;&gt;"Full Refresher"),'G2 FIL Reading Scoresheet'!$Q107,"")</f>
        <v/>
      </c>
      <c r="N105" s="122" t="str">
        <f>IF(AND($C105&lt;&gt;"",K105&lt;&gt;"Full Refresher"),'G2 FIL Reading Scoresheet'!$R107/6,"")</f>
        <v/>
      </c>
      <c r="O105" s="121" t="str">
        <f>IF(AND(C105&lt;&gt;"",K105&lt;&gt;"Full Refresher"),'G2 FIL Reading Scoresheet'!$P107,"")</f>
        <v/>
      </c>
      <c r="P105" s="125" t="str">
        <f>'G2 FIL Reading Scoresheet'!$U107</f>
        <v/>
      </c>
      <c r="Q105" s="126" t="str">
        <f>CONCATENATE(IF(ISBLANK('G2 MT Reading Scoresheet'!V107),"",CONCATENATE("MT:",TRIM('G2 MT Reading Scoresheet'!V107)))," ",IF(ISBLANK('G2 FIL Reading Scoresheet'!V107),"",CONCATENATE("FIL:",TRIM('G2 FIL Reading Scoresheet'!V107))))</f>
        <v/>
      </c>
    </row>
    <row r="106" spans="1:17">
      <c r="A106" s="112">
        <f t="shared" si="0"/>
        <v>98</v>
      </c>
      <c r="B106" s="113" t="str">
        <f>IF('G2 MT Reading Scoresheet'!B108&lt;&gt;"",'G2 MT Reading Scoresheet'!B108,"")</f>
        <v/>
      </c>
      <c r="C106" s="114" t="str">
        <f>IF('G2 MT Reading Scoresheet'!C108&lt;&gt;"",'G2 MT Reading Scoresheet'!C108,"")</f>
        <v/>
      </c>
      <c r="D106" s="115" t="str">
        <f>IF('G2 MT Reading Scoresheet'!D108&lt;&gt;"",'G2 MT Reading Scoresheet'!D108,"")</f>
        <v/>
      </c>
      <c r="E106" s="110" t="str">
        <f>'G2 MT Reading Scoresheet'!$J108</f>
        <v/>
      </c>
      <c r="F106" s="111" t="str">
        <f>IF(C106&lt;&gt;"",'G2 MT Reading Scoresheet'!$I108/30,"")</f>
        <v/>
      </c>
      <c r="G106" s="111" t="str">
        <f>IF(AND($C106&lt;&gt;"",$E106&lt;&gt;"Full Refresher"),'G2 MT Reading Scoresheet'!$Q108,"")</f>
        <v/>
      </c>
      <c r="H106" s="111" t="str">
        <f>IF(AND(C106&lt;&gt;"",E106&lt;&gt;"Full Refresher"),'G2 MT Reading Scoresheet'!$R108/6,"")</f>
        <v/>
      </c>
      <c r="I106" s="110" t="str">
        <f>IF(AND(D106&lt;&gt;"",F106&lt;&gt;"Full Refresher"),'G2 MT Reading Scoresheet'!$P108,"")</f>
        <v/>
      </c>
      <c r="J106" s="124" t="str">
        <f>'G2 MT Reading Scoresheet'!$U108</f>
        <v/>
      </c>
      <c r="K106" s="121" t="str">
        <f>'G2 FIL Reading Scoresheet'!$J108</f>
        <v/>
      </c>
      <c r="L106" s="122" t="str">
        <f>IF($C106&lt;&gt;"",'G2 FIL Reading Scoresheet'!$I108/30,"")</f>
        <v/>
      </c>
      <c r="M106" s="122" t="str">
        <f>IF(AND($C106&lt;&gt;"",$K106&lt;&gt;"Full Refresher"),'G2 FIL Reading Scoresheet'!$Q108,"")</f>
        <v/>
      </c>
      <c r="N106" s="122" t="str">
        <f>IF(AND($C106&lt;&gt;"",K106&lt;&gt;"Full Refresher"),'G2 FIL Reading Scoresheet'!$R108/6,"")</f>
        <v/>
      </c>
      <c r="O106" s="121" t="str">
        <f>IF(AND(C106&lt;&gt;"",K106&lt;&gt;"Full Refresher"),'G2 FIL Reading Scoresheet'!$P108,"")</f>
        <v/>
      </c>
      <c r="P106" s="125" t="str">
        <f>'G2 FIL Reading Scoresheet'!$U108</f>
        <v/>
      </c>
      <c r="Q106" s="127" t="str">
        <f>CONCATENATE(IF(ISBLANK('G2 MT Reading Scoresheet'!V108),"",CONCATENATE("MT:",TRIM('G2 MT Reading Scoresheet'!V108)))," ",IF(ISBLANK('G2 FIL Reading Scoresheet'!V108),"",CONCATENATE("FIL:",TRIM('G2 FIL Reading Scoresheet'!V108))))</f>
        <v/>
      </c>
    </row>
    <row r="107" spans="1:17">
      <c r="A107" s="106">
        <f t="shared" si="0"/>
        <v>99</v>
      </c>
      <c r="B107" s="107" t="str">
        <f>IF('G2 MT Reading Scoresheet'!B109&lt;&gt;"",'G2 MT Reading Scoresheet'!B109,"")</f>
        <v/>
      </c>
      <c r="C107" s="108" t="str">
        <f>IF('G2 MT Reading Scoresheet'!C109&lt;&gt;"",'G2 MT Reading Scoresheet'!C109,"")</f>
        <v/>
      </c>
      <c r="D107" s="109" t="str">
        <f>IF('G2 MT Reading Scoresheet'!D109&lt;&gt;"",'G2 MT Reading Scoresheet'!D109,"")</f>
        <v/>
      </c>
      <c r="E107" s="110" t="str">
        <f>'G2 MT Reading Scoresheet'!$J109</f>
        <v/>
      </c>
      <c r="F107" s="111" t="str">
        <f>IF(C107&lt;&gt;"",'G2 MT Reading Scoresheet'!$I109/30,"")</f>
        <v/>
      </c>
      <c r="G107" s="111" t="str">
        <f>IF(AND($C107&lt;&gt;"",$E107&lt;&gt;"Full Refresher"),'G2 MT Reading Scoresheet'!$Q109,"")</f>
        <v/>
      </c>
      <c r="H107" s="111" t="str">
        <f>IF(AND(C107&lt;&gt;"",E107&lt;&gt;"Full Refresher"),'G2 MT Reading Scoresheet'!$R109/6,"")</f>
        <v/>
      </c>
      <c r="I107" s="110" t="str">
        <f>IF(AND(D107&lt;&gt;"",F107&lt;&gt;"Full Refresher"),'G2 MT Reading Scoresheet'!$P109,"")</f>
        <v/>
      </c>
      <c r="J107" s="124" t="str">
        <f>'G2 MT Reading Scoresheet'!$U109</f>
        <v/>
      </c>
      <c r="K107" s="121" t="str">
        <f>'G2 FIL Reading Scoresheet'!$J109</f>
        <v/>
      </c>
      <c r="L107" s="122" t="str">
        <f>IF($C107&lt;&gt;"",'G2 FIL Reading Scoresheet'!$I109/30,"")</f>
        <v/>
      </c>
      <c r="M107" s="122" t="str">
        <f>IF(AND($C107&lt;&gt;"",$K107&lt;&gt;"Full Refresher"),'G2 FIL Reading Scoresheet'!$Q109,"")</f>
        <v/>
      </c>
      <c r="N107" s="122" t="str">
        <f>IF(AND($C107&lt;&gt;"",K107&lt;&gt;"Full Refresher"),'G2 FIL Reading Scoresheet'!$R109/6,"")</f>
        <v/>
      </c>
      <c r="O107" s="121" t="str">
        <f>IF(AND(C107&lt;&gt;"",K107&lt;&gt;"Full Refresher"),'G2 FIL Reading Scoresheet'!$P109,"")</f>
        <v/>
      </c>
      <c r="P107" s="125" t="str">
        <f>'G2 FIL Reading Scoresheet'!$U109</f>
        <v/>
      </c>
      <c r="Q107" s="126" t="str">
        <f>CONCATENATE(IF(ISBLANK('G2 MT Reading Scoresheet'!V109),"",CONCATENATE("MT:",TRIM('G2 MT Reading Scoresheet'!V109)))," ",IF(ISBLANK('G2 FIL Reading Scoresheet'!V109),"",CONCATENATE("FIL:",TRIM('G2 FIL Reading Scoresheet'!V109))))</f>
        <v/>
      </c>
    </row>
    <row r="108" spans="1:17">
      <c r="A108" s="128">
        <v>100</v>
      </c>
      <c r="B108" s="129" t="str">
        <f>IF('G2 MT Reading Scoresheet'!B110&lt;&gt;"",'G2 MT Reading Scoresheet'!B110,"")</f>
        <v/>
      </c>
      <c r="C108" s="130" t="str">
        <f>IF('G2 MT Reading Scoresheet'!C110&lt;&gt;"",'G2 MT Reading Scoresheet'!C110,"")</f>
        <v/>
      </c>
      <c r="D108" s="131" t="str">
        <f>IF('G2 MT Reading Scoresheet'!D110&lt;&gt;"",'G2 MT Reading Scoresheet'!D110,"")</f>
        <v/>
      </c>
      <c r="E108" s="132" t="str">
        <f>'G2 MT Reading Scoresheet'!$J110</f>
        <v/>
      </c>
      <c r="F108" s="133" t="str">
        <f>IF(C108&lt;&gt;"",'G2 MT Reading Scoresheet'!$I$11/30,"")</f>
        <v/>
      </c>
      <c r="G108" s="133" t="str">
        <f>IF(AND($C108&lt;&gt;"",$E108&lt;&gt;"Full Refresher"),'G2 MT Reading Scoresheet'!$Q110,"")</f>
        <v/>
      </c>
      <c r="H108" s="133" t="str">
        <f>IF(AND(C108&lt;&gt;"",E108&lt;&gt;"Full Refresher"),'G2 MT Reading Scoresheet'!$R110/6,"")</f>
        <v/>
      </c>
      <c r="I108" s="132" t="str">
        <f>IF(AND(D108&lt;&gt;"",F108&lt;&gt;"Full Refresher"),'G2 MT Reading Scoresheet'!$P110,"")</f>
        <v/>
      </c>
      <c r="J108" s="134" t="str">
        <f>'G2 MT Reading Scoresheet'!$U110</f>
        <v/>
      </c>
      <c r="K108" s="135" t="str">
        <f>'G2 FIL Reading Scoresheet'!$J110</f>
        <v/>
      </c>
      <c r="L108" s="136" t="str">
        <f>IF($C108&lt;&gt;"",'G2 FIL Reading Scoresheet'!$I110/30,"")</f>
        <v/>
      </c>
      <c r="M108" s="136" t="str">
        <f>IF(AND($C108&lt;&gt;"",$K108&lt;&gt;"Full Refresher"),'G2 FIL Reading Scoresheet'!$Q110,"")</f>
        <v/>
      </c>
      <c r="N108" s="136" t="str">
        <f>IF(AND($C108&lt;&gt;"",K108&lt;&gt;"Full Refresher"),'G2 FIL Reading Scoresheet'!$R110/6,"")</f>
        <v/>
      </c>
      <c r="O108" s="135" t="str">
        <f>IF(AND(C108&lt;&gt;"",K108&lt;&gt;"Full Refresher"),'G2 FIL Reading Scoresheet'!$P110,"")</f>
        <v/>
      </c>
      <c r="P108" s="137" t="str">
        <f>'G2 FIL Reading Scoresheet'!$U110</f>
        <v/>
      </c>
      <c r="Q108" s="138" t="str">
        <f>CONCATENATE(IF(ISBLANK('G2 MT Reading Scoresheet'!V110),"",CONCATENATE("MT:",TRIM('G2 MT Reading Scoresheet'!V110)))," ",IF(ISBLANK('G2 FIL Reading Scoresheet'!V110),"",CONCATENATE("FIL:",TRIM('G2 FIL Reading Scoresheet'!V110))))</f>
        <v/>
      </c>
    </row>
  </sheetData>
  <sheetProtection algorithmName="SHA-512" hashValue="IA8llgn/DepViaRdxhFpjdz4oG6F9r/U3wYsqh76IbDj3uYw2mkRahvV/zy2SU1uWjEHmrLKQSLI6IShGhLilw==" saltValue="Pk0LIMIRjtACBG/3v8pWxA==" spinCount="100000" sheet="1" objects="1" scenarios="1" selectLockedCells="1" autoFilter="0"/>
  <autoFilter ref="A8:R108" xr:uid="{00000000-0009-0000-0000-000002000000}"/>
  <mergeCells count="15">
    <mergeCell ref="A5:B5"/>
    <mergeCell ref="C5:D5"/>
    <mergeCell ref="E5:Q5"/>
    <mergeCell ref="A6:B6"/>
    <mergeCell ref="C6:D6"/>
    <mergeCell ref="E6:J6"/>
    <mergeCell ref="K6:P6"/>
    <mergeCell ref="M7:O7"/>
    <mergeCell ref="J7:J8"/>
    <mergeCell ref="Q6:Q8"/>
    <mergeCell ref="A7:B7"/>
    <mergeCell ref="C7:D7"/>
    <mergeCell ref="E7:F7"/>
    <mergeCell ref="G7:I7"/>
    <mergeCell ref="K7:L7"/>
  </mergeCells>
  <conditionalFormatting sqref="C5">
    <cfRule type="containsText" dxfId="7" priority="7" operator="containsText" text="[enter school school id here]">
      <formula>NOT(ISERROR(SEARCH("[enter school school id here]",C5)))</formula>
    </cfRule>
  </conditionalFormatting>
  <conditionalFormatting sqref="C6">
    <cfRule type="containsText" dxfId="6" priority="8" operator="containsText" text="[enter teacher name here]">
      <formula>NOT(ISERROR(SEARCH("[enter teacher name here]",C6)))</formula>
    </cfRule>
  </conditionalFormatting>
  <conditionalFormatting sqref="E9:E109">
    <cfRule type="containsText" dxfId="5" priority="6" operator="containsText" text="Full">
      <formula>NOT(ISERROR(SEARCH("Full",E9)))</formula>
    </cfRule>
  </conditionalFormatting>
  <conditionalFormatting sqref="J9:J107">
    <cfRule type="containsText" dxfId="4" priority="5" operator="containsText" text="Low">
      <formula>NOT(ISERROR(SEARCH("Low",J9)))</formula>
    </cfRule>
  </conditionalFormatting>
  <conditionalFormatting sqref="J9:J108">
    <cfRule type="containsText" dxfId="3" priority="4" operator="containsText" text="High">
      <formula>NOT(ISERROR(SEARCH("High",J9)))</formula>
    </cfRule>
  </conditionalFormatting>
  <conditionalFormatting sqref="K9:K108">
    <cfRule type="containsText" dxfId="2" priority="3" operator="containsText" text="Full">
      <formula>NOT(ISERROR(SEARCH("Full",K9)))</formula>
    </cfRule>
  </conditionalFormatting>
  <conditionalFormatting sqref="P9:P108">
    <cfRule type="containsText" dxfId="1" priority="1" operator="containsText" text="High">
      <formula>NOT(ISERROR(SEARCH("High",P9)))</formula>
    </cfRule>
    <cfRule type="containsText" dxfId="0" priority="2" operator="containsText" text="Low">
      <formula>NOT(ISERROR(SEARCH("Low",P9)))</formula>
    </cfRule>
  </conditionalFormatting>
  <pageMargins left="0.25" right="0.25" top="1.06" bottom="4.26" header="0.3" footer="0.3"/>
  <pageSetup paperSize="10000" scale="57"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U25"/>
  <sheetViews>
    <sheetView zoomScale="50" workbookViewId="0">
      <selection activeCell="P19" sqref="P19"/>
    </sheetView>
  </sheetViews>
  <sheetFormatPr defaultColWidth="0" defaultRowHeight="14.45"/>
  <cols>
    <col min="1" max="1" width="12.375" customWidth="1"/>
    <col min="2" max="2" width="15.125" customWidth="1"/>
    <col min="3" max="3" width="17.125" customWidth="1"/>
    <col min="4" max="4" width="13.625" customWidth="1"/>
    <col min="5" max="5" width="10" customWidth="1"/>
    <col min="6" max="6" width="9.875" customWidth="1"/>
    <col min="7" max="7" width="10.5" customWidth="1"/>
    <col min="8" max="8" width="10.375" customWidth="1"/>
    <col min="9" max="9" width="12.875" customWidth="1"/>
    <col min="10" max="10" width="11.125" customWidth="1"/>
    <col min="11" max="12" width="9.875" customWidth="1"/>
    <col min="13" max="13" width="11.875" customWidth="1"/>
    <col min="14" max="14" width="10.5" customWidth="1"/>
    <col min="15" max="17" width="9.875" customWidth="1"/>
    <col min="18" max="18" width="11.125" customWidth="1"/>
    <col min="19" max="19" width="10.875" customWidth="1"/>
    <col min="20" max="20" width="8.875" customWidth="1"/>
    <col min="21" max="21" width="0" hidden="1" customWidth="1"/>
    <col min="22" max="16384" width="8.875" hidden="1"/>
  </cols>
  <sheetData>
    <row r="1" spans="1:19">
      <c r="A1" t="s">
        <v>78</v>
      </c>
    </row>
    <row r="2" spans="1:19" ht="15.6">
      <c r="A2" s="358" t="s">
        <v>90</v>
      </c>
      <c r="B2" s="358"/>
      <c r="C2" s="358"/>
      <c r="D2" s="358"/>
      <c r="E2" s="358"/>
      <c r="F2" s="358"/>
    </row>
    <row r="4" spans="1:19">
      <c r="A4" s="359" t="s">
        <v>91</v>
      </c>
      <c r="B4" s="359"/>
      <c r="C4" s="2">
        <f>'G2 MT Reading Scoresheet'!C4</f>
        <v>117443</v>
      </c>
    </row>
    <row r="5" spans="1:19">
      <c r="A5" s="360" t="s">
        <v>92</v>
      </c>
      <c r="B5" s="360"/>
      <c r="C5" s="361" t="str">
        <f>'G2 MT Reading Scoresheet'!C5</f>
        <v>ROMANA ELEMETARY SCHOOL</v>
      </c>
      <c r="D5" s="361"/>
      <c r="E5" s="361"/>
    </row>
    <row r="6" spans="1:19" ht="14.45" customHeight="1">
      <c r="A6" s="350" t="s">
        <v>93</v>
      </c>
      <c r="B6" s="18"/>
      <c r="C6" s="18"/>
      <c r="D6" s="352" t="s">
        <v>94</v>
      </c>
      <c r="E6" s="352" t="s">
        <v>36</v>
      </c>
      <c r="F6" s="354" t="s">
        <v>95</v>
      </c>
      <c r="G6" s="356" t="s">
        <v>96</v>
      </c>
      <c r="H6" s="339" t="s">
        <v>85</v>
      </c>
      <c r="I6" s="339"/>
      <c r="J6" s="339"/>
      <c r="K6" s="339"/>
      <c r="L6" s="339" t="s">
        <v>97</v>
      </c>
      <c r="M6" s="339"/>
      <c r="N6" s="339"/>
      <c r="O6" s="69"/>
      <c r="P6" s="69"/>
      <c r="Q6" s="340" t="s">
        <v>52</v>
      </c>
      <c r="R6" s="340"/>
      <c r="S6" s="340"/>
    </row>
    <row r="7" spans="1:19" ht="36">
      <c r="A7" s="351"/>
      <c r="B7" s="19" t="s">
        <v>98</v>
      </c>
      <c r="C7" s="19" t="s">
        <v>99</v>
      </c>
      <c r="D7" s="353"/>
      <c r="E7" s="353"/>
      <c r="F7" s="355"/>
      <c r="G7" s="357"/>
      <c r="H7" s="20" t="s">
        <v>100</v>
      </c>
      <c r="I7" s="20" t="s">
        <v>101</v>
      </c>
      <c r="J7" s="20" t="s">
        <v>102</v>
      </c>
      <c r="K7" s="20" t="s">
        <v>103</v>
      </c>
      <c r="L7" s="20" t="s">
        <v>87</v>
      </c>
      <c r="M7" s="20" t="s">
        <v>88</v>
      </c>
      <c r="N7" s="20" t="s">
        <v>104</v>
      </c>
      <c r="O7" s="70" t="s">
        <v>105</v>
      </c>
      <c r="P7" s="70" t="s">
        <v>106</v>
      </c>
      <c r="Q7" s="70" t="s">
        <v>107</v>
      </c>
      <c r="R7" s="70" t="s">
        <v>108</v>
      </c>
      <c r="S7" s="70" t="s">
        <v>109</v>
      </c>
    </row>
    <row r="8" spans="1:19" ht="24.95" customHeight="1">
      <c r="A8" s="21" t="s">
        <v>16</v>
      </c>
      <c r="B8" s="22">
        <f>IF('G2 MT Reading Scoresheet'!$C$8&lt;&gt;"",'G2 MT Reading Scoresheet'!$C$8,"")</f>
        <v>1</v>
      </c>
      <c r="C8" s="22" t="str">
        <f>IF('G2 MT Reading Scoresheet'!$C$6&lt;&gt;"",'G2 MT Reading Scoresheet'!$C$6," ")</f>
        <v>MARICAR F. JOAQUIN</v>
      </c>
      <c r="D8" s="22" t="str">
        <f>IF('G2 MT Reading Scoresheet'!C9&lt;&gt;"",'G2 MT Reading Scoresheet'!C9,"")</f>
        <v>Hiligaynon</v>
      </c>
      <c r="E8" s="23" t="s">
        <v>8</v>
      </c>
      <c r="F8" s="24">
        <f>'G2 MT Reading Scoresheet'!D6</f>
        <v>7</v>
      </c>
      <c r="G8" s="25">
        <f>COUNTIF('G2 MT Reading Scoresheet'!$D$11:$D$110,$E8)</f>
        <v>7</v>
      </c>
      <c r="H8" s="25">
        <f>COUNTIFS('Class Record'!$E$9:$E$108,H$7,'Class Record'!$D$9:$D$108,$E8)</f>
        <v>4</v>
      </c>
      <c r="I8" s="25">
        <f>COUNTIFS('Class Record'!$E$9:$E$108,I$7,'Class Record'!$D$9:$D$108,$E8)</f>
        <v>1</v>
      </c>
      <c r="J8" s="25">
        <f>COUNTIFS('Class Record'!$E$9:$E$108,J$7,'Class Record'!$D$9:$D$108,$E8)</f>
        <v>1</v>
      </c>
      <c r="K8" s="25">
        <f>COUNTIFS('Class Record'!$E$9:$E$108,K$7,'Class Record'!$D$9:$D$108,$E8)</f>
        <v>1</v>
      </c>
      <c r="L8" s="71">
        <f>IFERROR(AVERAGEIFS('Class Record'!G$9:G$108,'Class Record'!$D$9:$D$108,$E8),"")</f>
        <v>0.26174645390070922</v>
      </c>
      <c r="M8" s="71">
        <f>IFERROR(AVERAGEIFS('Class Record'!H$9:H$108,'Class Record'!$D$9:$D$108,$E8),"")</f>
        <v>0.1111111111111111</v>
      </c>
      <c r="N8" s="72">
        <f>IFERROR(AVERAGEIFS('Class Record'!I$9:I$108,'Class Record'!$D$9:$D$108,$E8),"")</f>
        <v>12.333333333333334</v>
      </c>
      <c r="O8" s="73">
        <f>COUNTIFS('Class Record'!$J$9:$J$108,O$7,'Class Record'!$D$9:$D$108,$E8)</f>
        <v>4</v>
      </c>
      <c r="P8" s="73">
        <f>COUNTIFS('Class Record'!$J$9:$J$108,P$7,'Class Record'!$D$9:$D$108,$E8)</f>
        <v>2</v>
      </c>
      <c r="Q8" s="73">
        <f>COUNTIFS('Class Record'!$J$9:$J$108,Q$7,'Class Record'!$D$9:$D$108,$E8)</f>
        <v>1</v>
      </c>
      <c r="R8" s="73">
        <f>COUNTIFS('Class Record'!$J$9:$J$108,R$7,'Class Record'!$D$9:$D$108,$E8)</f>
        <v>0</v>
      </c>
      <c r="S8" s="73">
        <f>COUNTIFS('Class Record'!$J$9:$J$108,S$7,'Class Record'!$D$9:$D$108,$E8)</f>
        <v>0</v>
      </c>
    </row>
    <row r="9" spans="1:19" ht="24.95" customHeight="1">
      <c r="A9" s="21" t="str">
        <f>A8</f>
        <v>Grade 2</v>
      </c>
      <c r="B9" s="22">
        <f t="shared" ref="B9:D9" si="0">B8</f>
        <v>1</v>
      </c>
      <c r="C9" s="22" t="str">
        <f t="shared" si="0"/>
        <v>MARICAR F. JOAQUIN</v>
      </c>
      <c r="D9" s="22" t="str">
        <f t="shared" si="0"/>
        <v>Hiligaynon</v>
      </c>
      <c r="E9" s="23" t="s">
        <v>9</v>
      </c>
      <c r="F9" s="24">
        <f>'G2 MT Reading Scoresheet'!E6</f>
        <v>8</v>
      </c>
      <c r="G9" s="26">
        <f>COUNTIF('G2 MT Reading Scoresheet'!$D$11:$D$110,E9)</f>
        <v>8</v>
      </c>
      <c r="H9" s="25">
        <f>COUNTIFS('Class Record'!$E$9:$E$108,H$7,'Class Record'!$D$9:$D$108,$E9)</f>
        <v>3</v>
      </c>
      <c r="I9" s="25">
        <f>COUNTIFS('Class Record'!$E$9:$E$108,I$7,'Class Record'!$D$9:$D$108,$E9)</f>
        <v>0</v>
      </c>
      <c r="J9" s="25">
        <f>COUNTIFS('Class Record'!$E$9:$E$108,J$7,'Class Record'!$D$9:$D$108,$E9)</f>
        <v>4</v>
      </c>
      <c r="K9" s="25">
        <f>COUNTIFS('Class Record'!$E$9:$E$108,K$7,'Class Record'!$D$9:$D$108,$E9)</f>
        <v>1</v>
      </c>
      <c r="L9" s="71">
        <f>IFERROR(AVERAGEIFS('Class Record'!G$9:G$108,'Class Record'!$D$9:$D$108,$E9),"")</f>
        <v>0.32553191489361699</v>
      </c>
      <c r="M9" s="71">
        <f>IFERROR(AVERAGEIFS('Class Record'!H$9:H$108,'Class Record'!$D$9:$D$108,$E9),"")</f>
        <v>0.3</v>
      </c>
      <c r="N9" s="72">
        <f>IFERROR(AVERAGEIFS('Class Record'!I$9:I$108,'Class Record'!$D$9:$D$108,$E9),"")</f>
        <v>15.3</v>
      </c>
      <c r="O9" s="73">
        <f>COUNTIFS('Class Record'!$J$9:$J$108,O$7,'Class Record'!$D$9:$D$108,$E9)</f>
        <v>3</v>
      </c>
      <c r="P9" s="73">
        <f>COUNTIFS('Class Record'!$J$9:$J$108,P$7,'Class Record'!$D$9:$D$108,$E9)</f>
        <v>1</v>
      </c>
      <c r="Q9" s="73">
        <f>COUNTIFS('Class Record'!$J$9:$J$108,Q$7,'Class Record'!$D$9:$D$108,$E9)</f>
        <v>4</v>
      </c>
      <c r="R9" s="73">
        <f>COUNTIFS('Class Record'!$J$9:$J$108,R$7,'Class Record'!$D$9:$D$108,$E9)</f>
        <v>0</v>
      </c>
      <c r="S9" s="73">
        <f>COUNTIFS('Class Record'!$J$9:$J$108,S$7,'Class Record'!$D$9:$D$108,$E9)</f>
        <v>0</v>
      </c>
    </row>
    <row r="10" spans="1:19" ht="24.95" customHeight="1">
      <c r="A10" s="21" t="str">
        <f>A9</f>
        <v>Grade 2</v>
      </c>
      <c r="B10" s="22">
        <f>B9</f>
        <v>1</v>
      </c>
      <c r="C10" s="22" t="str">
        <f>C9</f>
        <v>MARICAR F. JOAQUIN</v>
      </c>
      <c r="D10" s="22" t="s">
        <v>75</v>
      </c>
      <c r="E10" s="23" t="s">
        <v>8</v>
      </c>
      <c r="F10" s="24">
        <f>'G2 FIL Reading Scoresheet'!$D$6</f>
        <v>7</v>
      </c>
      <c r="G10" s="25">
        <f>COUNTIF('G2 FIL Reading Scoresheet'!$D$11:$D$110,$E10)</f>
        <v>7</v>
      </c>
      <c r="H10" s="25">
        <f>COUNTIFS('Class Record'!$K$9:$K$108,H$7,'Class Record'!$D$9:$D$108,$E10)</f>
        <v>4</v>
      </c>
      <c r="I10" s="25">
        <f>COUNTIFS('Class Record'!$K$9:$K$108,I$7,'Class Record'!$D$9:$D$108,$E10)</f>
        <v>0</v>
      </c>
      <c r="J10" s="25">
        <f>COUNTIFS('Class Record'!$K$9:$K$108,J$7,'Class Record'!$D$9:$D$108,$E10)</f>
        <v>1</v>
      </c>
      <c r="K10" s="25">
        <f>COUNTIFS('Class Record'!$K$9:$K$108,K$7,'Class Record'!$D$9:$D$108,$E10)</f>
        <v>2</v>
      </c>
      <c r="L10" s="71">
        <f>IFERROR(AVERAGEIFS('Class Record'!M$9:M$108,'Class Record'!$D$9:$D$108,$E10),"")</f>
        <v>0.17481725146198832</v>
      </c>
      <c r="M10" s="71">
        <f>IFERROR(AVERAGEIFS('Class Record'!N$9:N$108,'Class Record'!$D$9:$D$108,$E10),"")</f>
        <v>0.16666666666666666</v>
      </c>
      <c r="N10" s="72">
        <f>IFERROR(AVERAGEIFS('Class Record'!O$9:O$108,'Class Record'!$D$9:$D$108,$E10),"")</f>
        <v>8.3333333333333339</v>
      </c>
      <c r="O10" s="73">
        <f>COUNTIFS('Class Record'!$P$9:$P$108,O$7,'Class Record'!$D$9:$D$108,$E10)</f>
        <v>4</v>
      </c>
      <c r="P10" s="73">
        <f>COUNTIFS('Class Record'!$P$9:$P$108,P$7,'Class Record'!$D$9:$D$108,$E10)</f>
        <v>2</v>
      </c>
      <c r="Q10" s="73">
        <f>COUNTIFS('Class Record'!$P$9:$P$108,Q$7,'Class Record'!$D$9:$D$108,$E10)</f>
        <v>1</v>
      </c>
      <c r="R10" s="73">
        <f>COUNTIFS('Class Record'!$P$9:$P$108,R$7,'Class Record'!$D$9:$D$108,$E10)</f>
        <v>0</v>
      </c>
      <c r="S10" s="73">
        <f>COUNTIFS('Class Record'!$P$9:$P$108,S$7,'Class Record'!$D$9:$D$108,$E10)</f>
        <v>0</v>
      </c>
    </row>
    <row r="11" spans="1:19" ht="24.95" customHeight="1">
      <c r="A11" s="27" t="str">
        <f>A10</f>
        <v>Grade 2</v>
      </c>
      <c r="B11" s="28">
        <f t="shared" ref="B11:D11" si="1">B10</f>
        <v>1</v>
      </c>
      <c r="C11" s="28" t="str">
        <f t="shared" si="1"/>
        <v>MARICAR F. JOAQUIN</v>
      </c>
      <c r="D11" s="28" t="str">
        <f t="shared" si="1"/>
        <v>Filipino</v>
      </c>
      <c r="E11" s="29" t="s">
        <v>9</v>
      </c>
      <c r="F11" s="30">
        <f>'G2 FIL Reading Scoresheet'!$E$6</f>
        <v>8</v>
      </c>
      <c r="G11" s="31">
        <f>COUNTIF('G2 FIL Reading Scoresheet'!$D$11:$D$110,$E11)</f>
        <v>8</v>
      </c>
      <c r="H11" s="32">
        <f>COUNTIFS('Class Record'!$K$9:$K$108,H$7,'Class Record'!$D$9:$D$108,$E11)</f>
        <v>3</v>
      </c>
      <c r="I11" s="32">
        <f>COUNTIFS('Class Record'!$K$9:$K$108,I$7,'Class Record'!$D$9:$D$108,$E11)</f>
        <v>0</v>
      </c>
      <c r="J11" s="32">
        <f>COUNTIFS('Class Record'!$K$9:$K$108,J$7,'Class Record'!$D$9:$D$108,$E11)</f>
        <v>4</v>
      </c>
      <c r="K11" s="32">
        <f>COUNTIFS('Class Record'!$K$9:$K$108,K$7,'Class Record'!$D$9:$D$108,$E11)</f>
        <v>1</v>
      </c>
      <c r="L11" s="74">
        <f>IFERROR(AVERAGEIFS('Class Record'!M$9:M$108,'Class Record'!$D$9:$D$108,$E11),"")</f>
        <v>0.25048245614035086</v>
      </c>
      <c r="M11" s="74">
        <f>IFERROR(AVERAGEIFS('Class Record'!N$9:N$108,'Class Record'!$D$9:$D$108,$E11),"")</f>
        <v>0.26666666666666666</v>
      </c>
      <c r="N11" s="75">
        <f>IFERROR(AVERAGEIFS('Class Record'!O$9:O$108,'Class Record'!$D$9:$D$108,$E11),"")</f>
        <v>12</v>
      </c>
      <c r="O11" s="76">
        <f>COUNTIFS('Class Record'!$P$9:$P$108,O$7,'Class Record'!$D$9:$D$108,$E11)</f>
        <v>3</v>
      </c>
      <c r="P11" s="76">
        <f>COUNTIFS('Class Record'!$P$9:$P$108,P$7,'Class Record'!$D$9:$D$108,$E11)</f>
        <v>3</v>
      </c>
      <c r="Q11" s="76">
        <f>COUNTIFS('Class Record'!$P$9:$P$108,Q$7,'Class Record'!$D$9:$D$108,$E11)</f>
        <v>2</v>
      </c>
      <c r="R11" s="76">
        <f>COUNTIFS('Class Record'!$P$9:$P$108,R$7,'Class Record'!$D$9:$D$108,$E11)</f>
        <v>0</v>
      </c>
      <c r="S11" s="76">
        <f>COUNTIFS('Class Record'!$P$9:$P$108,S$7,'Class Record'!$D$9:$D$108,$E11)</f>
        <v>0</v>
      </c>
    </row>
    <row r="12" spans="1:19" ht="21" customHeight="1">
      <c r="A12" s="33"/>
      <c r="B12" s="33"/>
      <c r="C12" s="33"/>
      <c r="D12" s="33"/>
      <c r="E12" s="34"/>
      <c r="F12" s="35"/>
      <c r="G12" s="36"/>
      <c r="H12" s="37"/>
      <c r="I12" s="37"/>
      <c r="J12" s="37"/>
      <c r="K12" s="37"/>
      <c r="L12" s="77"/>
      <c r="M12" s="37"/>
      <c r="N12" s="37"/>
      <c r="O12" s="37"/>
      <c r="P12" s="37"/>
      <c r="Q12" s="37"/>
      <c r="R12" s="37"/>
      <c r="S12" s="37"/>
    </row>
    <row r="13" spans="1:19" ht="24.95" customHeight="1">
      <c r="A13" s="38" t="str">
        <f>A9</f>
        <v>Grade 2</v>
      </c>
      <c r="B13" s="39">
        <f t="shared" ref="B13:B14" si="2">B9</f>
        <v>1</v>
      </c>
      <c r="C13" s="39" t="str">
        <f t="shared" ref="C13:C14" si="3">C9</f>
        <v>MARICAR F. JOAQUIN</v>
      </c>
      <c r="D13" s="39" t="str">
        <f t="shared" ref="D13:D14" si="4">D9</f>
        <v>Hiligaynon</v>
      </c>
      <c r="E13" s="40" t="s">
        <v>110</v>
      </c>
      <c r="F13" s="41">
        <f>F8+F9</f>
        <v>15</v>
      </c>
      <c r="G13" s="42">
        <f>G8+G9</f>
        <v>15</v>
      </c>
      <c r="H13" s="43">
        <f t="shared" ref="H13:K13" si="5">H8+H9</f>
        <v>7</v>
      </c>
      <c r="I13" s="43">
        <f t="shared" si="5"/>
        <v>1</v>
      </c>
      <c r="J13" s="43">
        <f t="shared" si="5"/>
        <v>5</v>
      </c>
      <c r="K13" s="43">
        <f t="shared" si="5"/>
        <v>2</v>
      </c>
      <c r="L13" s="78">
        <f>IFERROR((L8+L9)/2,"")</f>
        <v>0.29363918439716308</v>
      </c>
      <c r="M13" s="78">
        <f>IFERROR((M8+M9)/2,"")</f>
        <v>0.20555555555555555</v>
      </c>
      <c r="N13" s="79">
        <f>IFERROR((N8+N9)/2,"")</f>
        <v>13.816666666666666</v>
      </c>
      <c r="O13" s="80">
        <f t="shared" ref="O13:P13" si="6">O8+O9</f>
        <v>7</v>
      </c>
      <c r="P13" s="80">
        <f t="shared" si="6"/>
        <v>3</v>
      </c>
      <c r="Q13" s="80">
        <f t="shared" ref="Q13:S13" si="7">Q8+Q9</f>
        <v>5</v>
      </c>
      <c r="R13" s="80">
        <f t="shared" si="7"/>
        <v>0</v>
      </c>
      <c r="S13" s="80">
        <f t="shared" si="7"/>
        <v>0</v>
      </c>
    </row>
    <row r="14" spans="1:19" ht="43.7" customHeight="1">
      <c r="A14" s="44" t="str">
        <f>A10</f>
        <v>Grade 2</v>
      </c>
      <c r="B14" s="45">
        <f t="shared" si="2"/>
        <v>1</v>
      </c>
      <c r="C14" s="45" t="str">
        <f t="shared" si="3"/>
        <v>MARICAR F. JOAQUIN</v>
      </c>
      <c r="D14" s="45" t="str">
        <f t="shared" si="4"/>
        <v>Filipino</v>
      </c>
      <c r="E14" s="46" t="s">
        <v>110</v>
      </c>
      <c r="F14" s="47">
        <f>F10+F11</f>
        <v>15</v>
      </c>
      <c r="G14" s="48">
        <f t="shared" ref="G14:K14" si="8">G10+G11</f>
        <v>15</v>
      </c>
      <c r="H14" s="49">
        <f t="shared" si="8"/>
        <v>7</v>
      </c>
      <c r="I14" s="49">
        <f t="shared" si="8"/>
        <v>0</v>
      </c>
      <c r="J14" s="49">
        <f t="shared" si="8"/>
        <v>5</v>
      </c>
      <c r="K14" s="49">
        <f t="shared" si="8"/>
        <v>3</v>
      </c>
      <c r="L14" s="74">
        <f>IFERROR((L10+L11)/2,"")</f>
        <v>0.21264985380116957</v>
      </c>
      <c r="M14" s="74">
        <f t="shared" ref="M14:N14" si="9">IFERROR((M10+M11)/2,"")</f>
        <v>0.21666666666666667</v>
      </c>
      <c r="N14" s="75">
        <f t="shared" si="9"/>
        <v>10.166666666666668</v>
      </c>
      <c r="O14" s="81">
        <f t="shared" ref="O14:S14" si="10">O10+O11</f>
        <v>7</v>
      </c>
      <c r="P14" s="81">
        <f t="shared" si="10"/>
        <v>5</v>
      </c>
      <c r="Q14" s="81">
        <f t="shared" si="10"/>
        <v>3</v>
      </c>
      <c r="R14" s="81">
        <f t="shared" si="10"/>
        <v>0</v>
      </c>
      <c r="S14" s="81">
        <f t="shared" si="10"/>
        <v>0</v>
      </c>
    </row>
    <row r="16" spans="1:19">
      <c r="A16" s="341"/>
      <c r="B16" s="342"/>
      <c r="C16" s="50"/>
      <c r="D16" s="343" t="s">
        <v>111</v>
      </c>
      <c r="E16" s="343"/>
      <c r="F16" s="343"/>
      <c r="G16" s="343"/>
      <c r="H16" s="343"/>
      <c r="I16" s="343"/>
      <c r="J16" s="343"/>
      <c r="K16" s="343"/>
      <c r="L16" s="343"/>
      <c r="M16" s="343"/>
      <c r="N16" s="343"/>
      <c r="O16" s="344"/>
      <c r="P16" s="82"/>
    </row>
    <row r="17" spans="1:16" ht="14.45" customHeight="1">
      <c r="A17" s="51"/>
      <c r="B17" s="52"/>
      <c r="C17" s="53"/>
      <c r="D17" s="345" t="s">
        <v>85</v>
      </c>
      <c r="E17" s="345"/>
      <c r="F17" s="345"/>
      <c r="G17" s="345"/>
      <c r="H17" s="346" t="s">
        <v>112</v>
      </c>
      <c r="I17" s="347"/>
      <c r="J17" s="348"/>
      <c r="K17" s="345" t="s">
        <v>52</v>
      </c>
      <c r="L17" s="345"/>
      <c r="M17" s="345"/>
      <c r="N17" s="345"/>
      <c r="O17" s="349"/>
      <c r="P17" s="82"/>
    </row>
    <row r="18" spans="1:16" ht="36">
      <c r="A18" s="54" t="s">
        <v>94</v>
      </c>
      <c r="B18" s="55" t="s">
        <v>36</v>
      </c>
      <c r="C18" s="56" t="s">
        <v>113</v>
      </c>
      <c r="D18" s="20" t="s">
        <v>100</v>
      </c>
      <c r="E18" s="20" t="s">
        <v>101</v>
      </c>
      <c r="F18" s="20" t="s">
        <v>102</v>
      </c>
      <c r="G18" s="20" t="s">
        <v>103</v>
      </c>
      <c r="H18" s="20" t="s">
        <v>87</v>
      </c>
      <c r="I18" s="20" t="s">
        <v>88</v>
      </c>
      <c r="J18" s="20" t="s">
        <v>114</v>
      </c>
      <c r="K18" s="70" t="s">
        <v>105</v>
      </c>
      <c r="L18" s="70" t="s">
        <v>106</v>
      </c>
      <c r="M18" s="70" t="s">
        <v>107</v>
      </c>
      <c r="N18" s="70" t="s">
        <v>108</v>
      </c>
      <c r="O18" s="83" t="s">
        <v>109</v>
      </c>
      <c r="P18" s="84"/>
    </row>
    <row r="19" spans="1:16">
      <c r="A19" s="57" t="str">
        <f>D8</f>
        <v>Hiligaynon</v>
      </c>
      <c r="B19" s="58" t="s">
        <v>8</v>
      </c>
      <c r="C19" s="59">
        <f>IFERROR(G8/F8,"")</f>
        <v>1</v>
      </c>
      <c r="D19" s="59">
        <f t="shared" ref="D19:G20" si="11">IFERROR(H8/$G8,"")</f>
        <v>0.5714285714285714</v>
      </c>
      <c r="E19" s="59">
        <f t="shared" si="11"/>
        <v>0.14285714285714285</v>
      </c>
      <c r="F19" s="59">
        <f t="shared" si="11"/>
        <v>0.14285714285714285</v>
      </c>
      <c r="G19" s="59">
        <f t="shared" si="11"/>
        <v>0.14285714285714285</v>
      </c>
      <c r="H19" s="59">
        <f>L8</f>
        <v>0.26174645390070922</v>
      </c>
      <c r="I19" s="59">
        <f t="shared" ref="I19:J19" si="12">M8</f>
        <v>0.1111111111111111</v>
      </c>
      <c r="J19" s="85">
        <f t="shared" si="12"/>
        <v>12.333333333333334</v>
      </c>
      <c r="K19" s="86">
        <f>IFERROR(O8/$G8,"")</f>
        <v>0.5714285714285714</v>
      </c>
      <c r="L19" s="86">
        <f t="shared" ref="L19:O19" si="13">IFERROR(P8/$G8,"")</f>
        <v>0.2857142857142857</v>
      </c>
      <c r="M19" s="86">
        <f t="shared" si="13"/>
        <v>0.14285714285714285</v>
      </c>
      <c r="N19" s="86">
        <f t="shared" si="13"/>
        <v>0</v>
      </c>
      <c r="O19" s="87">
        <f t="shared" si="13"/>
        <v>0</v>
      </c>
      <c r="P19" s="82"/>
    </row>
    <row r="20" spans="1:16">
      <c r="A20" s="57" t="str">
        <f>A19</f>
        <v>Hiligaynon</v>
      </c>
      <c r="B20" s="58" t="s">
        <v>9</v>
      </c>
      <c r="C20" s="60">
        <f>IFERROR(G9/F9,"")</f>
        <v>1</v>
      </c>
      <c r="D20" s="60">
        <f t="shared" si="11"/>
        <v>0.375</v>
      </c>
      <c r="E20" s="60">
        <f t="shared" si="11"/>
        <v>0</v>
      </c>
      <c r="F20" s="60">
        <f t="shared" si="11"/>
        <v>0.5</v>
      </c>
      <c r="G20" s="60">
        <f t="shared" si="11"/>
        <v>0.125</v>
      </c>
      <c r="H20" s="60">
        <f>L9</f>
        <v>0.32553191489361699</v>
      </c>
      <c r="I20" s="60">
        <f t="shared" ref="I20" si="14">M9</f>
        <v>0.3</v>
      </c>
      <c r="J20" s="88">
        <f t="shared" ref="J20" si="15">N9</f>
        <v>15.3</v>
      </c>
      <c r="K20" s="89">
        <f>IFERROR(O9/$G9,"")</f>
        <v>0.375</v>
      </c>
      <c r="L20" s="89">
        <f t="shared" ref="L20" si="16">IFERROR(P9/$G9,"")</f>
        <v>0.125</v>
      </c>
      <c r="M20" s="89">
        <f t="shared" ref="M20" si="17">IFERROR(Q9/$G9,"")</f>
        <v>0.5</v>
      </c>
      <c r="N20" s="89">
        <f t="shared" ref="N20" si="18">IFERROR(R9/$G9,"")</f>
        <v>0</v>
      </c>
      <c r="O20" s="90">
        <f t="shared" ref="O20" si="19">IFERROR(S9/$G9,"")</f>
        <v>0</v>
      </c>
      <c r="P20" s="82"/>
    </row>
    <row r="21" spans="1:16">
      <c r="A21" s="61" t="str">
        <f>A20</f>
        <v>Hiligaynon</v>
      </c>
      <c r="B21" s="62" t="s">
        <v>110</v>
      </c>
      <c r="C21" s="63">
        <f>IFERROR(G13/F13,"")</f>
        <v>1</v>
      </c>
      <c r="D21" s="63">
        <f t="shared" ref="D21:G21" si="20">IFERROR(H13/$G13,"")</f>
        <v>0.46666666666666667</v>
      </c>
      <c r="E21" s="63">
        <f t="shared" si="20"/>
        <v>6.6666666666666666E-2</v>
      </c>
      <c r="F21" s="63">
        <f t="shared" si="20"/>
        <v>0.33333333333333331</v>
      </c>
      <c r="G21" s="63">
        <f t="shared" si="20"/>
        <v>0.13333333333333333</v>
      </c>
      <c r="H21" s="63">
        <f t="shared" ref="H21:J21" si="21">L13</f>
        <v>0.29363918439716308</v>
      </c>
      <c r="I21" s="63">
        <f t="shared" si="21"/>
        <v>0.20555555555555555</v>
      </c>
      <c r="J21" s="91">
        <f t="shared" si="21"/>
        <v>13.816666666666666</v>
      </c>
      <c r="K21" s="92">
        <f>IFERROR(O13/$G13,"")</f>
        <v>0.46666666666666667</v>
      </c>
      <c r="L21" s="93">
        <f t="shared" ref="L21:O21" si="22">IFERROR(P13/$G13,"")</f>
        <v>0.2</v>
      </c>
      <c r="M21" s="93">
        <f t="shared" si="22"/>
        <v>0.33333333333333331</v>
      </c>
      <c r="N21" s="93">
        <f t="shared" si="22"/>
        <v>0</v>
      </c>
      <c r="O21" s="94">
        <f t="shared" si="22"/>
        <v>0</v>
      </c>
      <c r="P21" s="82"/>
    </row>
    <row r="22" spans="1:16">
      <c r="A22" s="64" t="str">
        <f>D11</f>
        <v>Filipino</v>
      </c>
      <c r="B22" s="65" t="s">
        <v>8</v>
      </c>
      <c r="C22" s="66">
        <f>IFERROR(G10/F10,"")</f>
        <v>1</v>
      </c>
      <c r="D22" s="66">
        <f>IFERROR(H10/$G10,"")</f>
        <v>0.5714285714285714</v>
      </c>
      <c r="E22" s="66">
        <f t="shared" ref="E22:G22" si="23">IFERROR(I10/$G10,"")</f>
        <v>0</v>
      </c>
      <c r="F22" s="66">
        <f t="shared" si="23"/>
        <v>0.14285714285714285</v>
      </c>
      <c r="G22" s="66">
        <f t="shared" si="23"/>
        <v>0.2857142857142857</v>
      </c>
      <c r="H22" s="66">
        <f t="shared" ref="H22:J22" si="24">L10</f>
        <v>0.17481725146198832</v>
      </c>
      <c r="I22" s="66">
        <f t="shared" si="24"/>
        <v>0.16666666666666666</v>
      </c>
      <c r="J22" s="95">
        <f t="shared" si="24"/>
        <v>8.3333333333333339</v>
      </c>
      <c r="K22" s="96">
        <f>IFERROR(O10/$G10,"")</f>
        <v>0.5714285714285714</v>
      </c>
      <c r="L22" s="96">
        <f t="shared" ref="L22:O22" si="25">IFERROR(P10/$G10,"")</f>
        <v>0.2857142857142857</v>
      </c>
      <c r="M22" s="96">
        <f t="shared" si="25"/>
        <v>0.14285714285714285</v>
      </c>
      <c r="N22" s="96">
        <f t="shared" si="25"/>
        <v>0</v>
      </c>
      <c r="O22" s="97">
        <f t="shared" si="25"/>
        <v>0</v>
      </c>
      <c r="P22" s="82"/>
    </row>
    <row r="23" spans="1:16">
      <c r="A23" s="57" t="str">
        <f>A22</f>
        <v>Filipino</v>
      </c>
      <c r="B23" s="58" t="s">
        <v>9</v>
      </c>
      <c r="C23" s="60">
        <f>IFERROR(G11/F11,"")</f>
        <v>1</v>
      </c>
      <c r="D23" s="60">
        <f>IFERROR(H11/$G11,"")</f>
        <v>0.375</v>
      </c>
      <c r="E23" s="60">
        <f t="shared" ref="E23" si="26">IFERROR(I11/$G11,"")</f>
        <v>0</v>
      </c>
      <c r="F23" s="60">
        <f t="shared" ref="F23" si="27">IFERROR(J11/$G11,"")</f>
        <v>0.5</v>
      </c>
      <c r="G23" s="60">
        <f t="shared" ref="G23" si="28">IFERROR(K11/$G11,"")</f>
        <v>0.125</v>
      </c>
      <c r="H23" s="59">
        <f t="shared" ref="H23" si="29">L11</f>
        <v>0.25048245614035086</v>
      </c>
      <c r="I23" s="59">
        <f t="shared" ref="I23" si="30">M11</f>
        <v>0.26666666666666666</v>
      </c>
      <c r="J23" s="85">
        <f t="shared" ref="J23" si="31">N11</f>
        <v>12</v>
      </c>
      <c r="K23" s="89">
        <f>IFERROR(O11/$G11,"")</f>
        <v>0.375</v>
      </c>
      <c r="L23" s="89">
        <f t="shared" ref="L23" si="32">IFERROR(P11/$G11,"")</f>
        <v>0.375</v>
      </c>
      <c r="M23" s="89">
        <f t="shared" ref="M23" si="33">IFERROR(Q11/$G11,"")</f>
        <v>0.25</v>
      </c>
      <c r="N23" s="89">
        <f t="shared" ref="N23" si="34">IFERROR(R11/$G11,"")</f>
        <v>0</v>
      </c>
      <c r="O23" s="90">
        <f t="shared" ref="O23" si="35">IFERROR(S11/$G11,"")</f>
        <v>0</v>
      </c>
      <c r="P23" s="82"/>
    </row>
    <row r="24" spans="1:16">
      <c r="A24" s="61" t="str">
        <f>A23</f>
        <v>Filipino</v>
      </c>
      <c r="B24" s="62" t="s">
        <v>110</v>
      </c>
      <c r="C24" s="63">
        <f>IFERROR(G14/F14,"")</f>
        <v>1</v>
      </c>
      <c r="D24" s="63">
        <f>IFERROR(H14/$G14,"")</f>
        <v>0.46666666666666667</v>
      </c>
      <c r="E24" s="63">
        <f t="shared" ref="E24:G24" si="36">IFERROR(I14/$G14,"")</f>
        <v>0</v>
      </c>
      <c r="F24" s="63">
        <f t="shared" si="36"/>
        <v>0.33333333333333331</v>
      </c>
      <c r="G24" s="63">
        <f t="shared" si="36"/>
        <v>0.2</v>
      </c>
      <c r="H24" s="63">
        <f t="shared" ref="H24:J24" si="37">L14</f>
        <v>0.21264985380116957</v>
      </c>
      <c r="I24" s="63">
        <f t="shared" si="37"/>
        <v>0.21666666666666667</v>
      </c>
      <c r="J24" s="91">
        <f t="shared" si="37"/>
        <v>10.166666666666668</v>
      </c>
      <c r="K24" s="93">
        <f>IFERROR(O14/$G14,"")</f>
        <v>0.46666666666666667</v>
      </c>
      <c r="L24" s="93">
        <f t="shared" ref="L24:O24" si="38">IFERROR(P14/$G14,"")</f>
        <v>0.33333333333333331</v>
      </c>
      <c r="M24" s="93">
        <f t="shared" si="38"/>
        <v>0.2</v>
      </c>
      <c r="N24" s="93">
        <f t="shared" si="38"/>
        <v>0</v>
      </c>
      <c r="O24" s="94">
        <f t="shared" si="38"/>
        <v>0</v>
      </c>
      <c r="P24" s="82"/>
    </row>
    <row r="25" spans="1:16">
      <c r="A25" s="67"/>
      <c r="B25" s="67"/>
      <c r="C25" s="68"/>
      <c r="D25" s="68"/>
      <c r="E25" s="68"/>
      <c r="F25" s="68"/>
      <c r="G25" s="68"/>
      <c r="H25" s="68"/>
      <c r="I25" s="68"/>
      <c r="J25" s="68"/>
      <c r="K25" s="68"/>
      <c r="L25" s="68"/>
      <c r="M25" s="68"/>
      <c r="N25" s="68"/>
      <c r="O25" s="68"/>
    </row>
  </sheetData>
  <sheetProtection algorithmName="SHA-512" hashValue="gXSuLQhYjJDOf/tx29ei4SaEfu2//iq/yGKECbWI878QITjstc5/QpNChtf2xNOcBBN3KQJQD7D6f0georguoQ==" saltValue="Obj4fX0H9aJhqwMyrlLbnw==" spinCount="100000" sheet="1" objects="1" scenarios="1"/>
  <mergeCells count="17">
    <mergeCell ref="A2:F2"/>
    <mergeCell ref="A4:B4"/>
    <mergeCell ref="A5:B5"/>
    <mergeCell ref="C5:E5"/>
    <mergeCell ref="H6:K6"/>
    <mergeCell ref="L6:N6"/>
    <mergeCell ref="Q6:S6"/>
    <mergeCell ref="A16:B16"/>
    <mergeCell ref="D16:O16"/>
    <mergeCell ref="D17:G17"/>
    <mergeCell ref="H17:J17"/>
    <mergeCell ref="K17:O17"/>
    <mergeCell ref="A6:A7"/>
    <mergeCell ref="D6:D7"/>
    <mergeCell ref="E6:E7"/>
    <mergeCell ref="F6:F7"/>
    <mergeCell ref="G6:G7"/>
  </mergeCells>
  <pageMargins left="0.25" right="0.25" top="0.33" bottom="0.23" header="0.3" footer="0.12"/>
  <pageSetup paperSize="10000" scale="7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2:E9"/>
  <sheetViews>
    <sheetView zoomScale="54" workbookViewId="0">
      <selection activeCell="D27" sqref="D27"/>
    </sheetView>
  </sheetViews>
  <sheetFormatPr defaultColWidth="9" defaultRowHeight="14.45"/>
  <cols>
    <col min="1" max="1" width="18.875" customWidth="1"/>
    <col min="2" max="2" width="24.375" customWidth="1"/>
    <col min="3" max="3" width="63.625" customWidth="1"/>
    <col min="5" max="5" width="29" customWidth="1"/>
  </cols>
  <sheetData>
    <row r="2" spans="1:5">
      <c r="A2" t="s">
        <v>78</v>
      </c>
    </row>
    <row r="4" spans="1:5" ht="20.100000000000001" customHeight="1">
      <c r="B4" s="6" t="s">
        <v>115</v>
      </c>
      <c r="C4" s="7" t="s">
        <v>116</v>
      </c>
      <c r="D4" s="362" t="s">
        <v>117</v>
      </c>
      <c r="E4" s="363"/>
    </row>
    <row r="5" spans="1:5" ht="30" customHeight="1">
      <c r="B5" s="8" t="s">
        <v>105</v>
      </c>
      <c r="C5" s="9" t="s">
        <v>118</v>
      </c>
      <c r="D5" s="10"/>
      <c r="E5" s="11"/>
    </row>
    <row r="6" spans="1:5" ht="30" customHeight="1">
      <c r="B6" s="8" t="s">
        <v>106</v>
      </c>
      <c r="C6" s="12" t="s">
        <v>119</v>
      </c>
      <c r="D6" s="10" t="s">
        <v>56</v>
      </c>
      <c r="E6" s="11" t="s">
        <v>120</v>
      </c>
    </row>
    <row r="7" spans="1:5" ht="30" customHeight="1">
      <c r="B7" s="8" t="s">
        <v>107</v>
      </c>
      <c r="C7" s="12" t="s">
        <v>121</v>
      </c>
      <c r="D7" s="10" t="s">
        <v>61</v>
      </c>
      <c r="E7" s="11" t="s">
        <v>122</v>
      </c>
    </row>
    <row r="8" spans="1:5" ht="30" customHeight="1">
      <c r="B8" s="13" t="s">
        <v>108</v>
      </c>
      <c r="C8" s="12" t="s">
        <v>123</v>
      </c>
      <c r="D8" s="10" t="s">
        <v>124</v>
      </c>
      <c r="E8" s="11" t="s">
        <v>125</v>
      </c>
    </row>
    <row r="9" spans="1:5" ht="30" customHeight="1">
      <c r="B9" s="14" t="s">
        <v>109</v>
      </c>
      <c r="C9" s="15" t="s">
        <v>126</v>
      </c>
      <c r="D9" s="16" t="s">
        <v>127</v>
      </c>
      <c r="E9" s="17" t="s">
        <v>128</v>
      </c>
    </row>
  </sheetData>
  <sheetProtection selectLockedCells="1" selectUnlockedCells="1"/>
  <mergeCells count="1">
    <mergeCell ref="D4:E4"/>
  </mergeCells>
  <pageMargins left="0.25" right="0.25" top="0.75" bottom="0.75" header="0.3" footer="0.3"/>
  <pageSetup paperSize="10000" scale="70" orientation="landscape" horizontalDpi="0" verticalDpi="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dimension ref="A1:M35"/>
  <sheetViews>
    <sheetView topLeftCell="C1" workbookViewId="0">
      <selection activeCell="M12" sqref="M12"/>
    </sheetView>
  </sheetViews>
  <sheetFormatPr defaultColWidth="9" defaultRowHeight="14.45"/>
  <cols>
    <col min="1" max="1" width="12.375" customWidth="1"/>
    <col min="2" max="2" width="22.875" customWidth="1"/>
    <col min="3" max="3" width="34.5" customWidth="1"/>
    <col min="4" max="4" width="9.375" customWidth="1"/>
    <col min="5" max="5" width="18.125" style="1" customWidth="1"/>
    <col min="6" max="6" width="9.875" customWidth="1"/>
    <col min="7" max="7" width="22.875" customWidth="1"/>
    <col min="8" max="8" width="10.375" style="1" customWidth="1"/>
    <col min="9" max="9" width="19.5" style="2" customWidth="1"/>
    <col min="10" max="10" width="19.125" style="1" customWidth="1"/>
    <col min="11" max="11" width="8.875" style="1"/>
    <col min="12" max="12" width="34.625" style="2" customWidth="1"/>
    <col min="13" max="13" width="8.875" style="1"/>
  </cols>
  <sheetData>
    <row r="1" spans="1:13">
      <c r="A1" t="s">
        <v>129</v>
      </c>
      <c r="B1" s="3" t="s">
        <v>130</v>
      </c>
      <c r="C1" s="3" t="s">
        <v>94</v>
      </c>
      <c r="D1" s="3"/>
      <c r="F1" t="s">
        <v>131</v>
      </c>
      <c r="G1" t="s">
        <v>94</v>
      </c>
      <c r="H1" s="1" t="s">
        <v>23</v>
      </c>
      <c r="I1" s="2" t="s">
        <v>132</v>
      </c>
      <c r="J1" s="1" t="s">
        <v>133</v>
      </c>
      <c r="K1" s="1" t="s">
        <v>134</v>
      </c>
      <c r="L1" s="2" t="s">
        <v>132</v>
      </c>
      <c r="M1" s="1" t="s">
        <v>133</v>
      </c>
    </row>
    <row r="2" spans="1:13">
      <c r="A2" s="267" t="s">
        <v>135</v>
      </c>
      <c r="B2" t="s">
        <v>136</v>
      </c>
      <c r="C2" s="4" t="s">
        <v>137</v>
      </c>
      <c r="D2" s="4">
        <v>1</v>
      </c>
      <c r="F2" t="s">
        <v>16</v>
      </c>
      <c r="G2" t="s">
        <v>138</v>
      </c>
      <c r="H2" s="1">
        <v>1</v>
      </c>
      <c r="I2" s="2" t="s">
        <v>139</v>
      </c>
      <c r="J2" s="1">
        <v>96</v>
      </c>
      <c r="K2" s="1">
        <v>2</v>
      </c>
      <c r="L2" s="2" t="s">
        <v>140</v>
      </c>
      <c r="M2" s="1">
        <v>94</v>
      </c>
    </row>
    <row r="3" spans="1:13">
      <c r="A3" s="267" t="s">
        <v>141</v>
      </c>
      <c r="B3" t="s">
        <v>142</v>
      </c>
      <c r="C3" s="4" t="s">
        <v>143</v>
      </c>
      <c r="D3" s="4">
        <v>1</v>
      </c>
      <c r="F3" t="s">
        <v>16</v>
      </c>
      <c r="G3" t="s">
        <v>144</v>
      </c>
      <c r="H3" s="1">
        <v>1</v>
      </c>
      <c r="I3" s="2" t="s">
        <v>145</v>
      </c>
      <c r="J3" s="1">
        <v>96</v>
      </c>
      <c r="K3" s="1">
        <v>2</v>
      </c>
      <c r="L3" s="2" t="s">
        <v>146</v>
      </c>
      <c r="M3" s="1">
        <v>95</v>
      </c>
    </row>
    <row r="4" spans="1:13">
      <c r="A4" s="267" t="s">
        <v>147</v>
      </c>
      <c r="B4" t="s">
        <v>148</v>
      </c>
      <c r="C4" s="4" t="s">
        <v>149</v>
      </c>
      <c r="D4" s="4"/>
      <c r="F4" t="s">
        <v>16</v>
      </c>
      <c r="G4" t="s">
        <v>150</v>
      </c>
      <c r="H4" s="1">
        <v>1</v>
      </c>
      <c r="I4" s="2" t="s">
        <v>151</v>
      </c>
      <c r="J4" s="1">
        <v>96</v>
      </c>
      <c r="K4" s="1">
        <v>2</v>
      </c>
      <c r="L4" s="2" t="s">
        <v>152</v>
      </c>
      <c r="M4" s="1">
        <v>95</v>
      </c>
    </row>
    <row r="5" spans="1:13">
      <c r="A5" t="s">
        <v>153</v>
      </c>
      <c r="B5" t="s">
        <v>154</v>
      </c>
      <c r="C5" s="4" t="s">
        <v>155</v>
      </c>
      <c r="D5" s="4"/>
      <c r="F5" t="s">
        <v>16</v>
      </c>
      <c r="G5" t="s">
        <v>156</v>
      </c>
      <c r="H5" s="1">
        <v>1</v>
      </c>
      <c r="I5" s="2" t="s">
        <v>157</v>
      </c>
      <c r="J5" s="1">
        <v>95</v>
      </c>
      <c r="K5" s="1">
        <v>2</v>
      </c>
      <c r="L5" s="2" t="s">
        <v>158</v>
      </c>
      <c r="M5" s="1">
        <v>94</v>
      </c>
    </row>
    <row r="6" spans="1:13">
      <c r="A6" s="267" t="s">
        <v>159</v>
      </c>
      <c r="B6" t="s">
        <v>160</v>
      </c>
      <c r="C6" s="4" t="s">
        <v>161</v>
      </c>
      <c r="D6" s="4"/>
      <c r="F6" t="s">
        <v>16</v>
      </c>
      <c r="G6" t="s">
        <v>75</v>
      </c>
      <c r="H6" s="1">
        <v>1</v>
      </c>
      <c r="I6" s="2" t="s">
        <v>145</v>
      </c>
      <c r="J6" s="1">
        <v>96</v>
      </c>
      <c r="K6" s="1">
        <v>2</v>
      </c>
      <c r="L6" s="2" t="s">
        <v>146</v>
      </c>
      <c r="M6" s="1">
        <v>95</v>
      </c>
    </row>
    <row r="7" spans="1:13">
      <c r="B7" t="s">
        <v>162</v>
      </c>
      <c r="C7" s="4" t="s">
        <v>138</v>
      </c>
      <c r="D7" s="4">
        <v>1</v>
      </c>
      <c r="F7" t="s">
        <v>16</v>
      </c>
      <c r="G7" t="s">
        <v>163</v>
      </c>
      <c r="H7" s="1">
        <v>1</v>
      </c>
      <c r="I7" s="2" t="s">
        <v>164</v>
      </c>
      <c r="J7" s="1">
        <v>95</v>
      </c>
      <c r="K7" s="1">
        <v>2</v>
      </c>
      <c r="L7" s="2" t="s">
        <v>165</v>
      </c>
      <c r="M7" s="1">
        <v>95</v>
      </c>
    </row>
    <row r="8" spans="1:13">
      <c r="B8" t="s">
        <v>166</v>
      </c>
      <c r="C8" t="s">
        <v>167</v>
      </c>
      <c r="D8">
        <v>1</v>
      </c>
      <c r="F8" t="s">
        <v>16</v>
      </c>
      <c r="G8" t="s">
        <v>32</v>
      </c>
      <c r="H8" s="1">
        <v>1</v>
      </c>
      <c r="I8" s="2" t="s">
        <v>168</v>
      </c>
      <c r="J8" s="1">
        <v>96</v>
      </c>
      <c r="K8" s="1">
        <v>2</v>
      </c>
      <c r="L8" s="2" t="s">
        <v>169</v>
      </c>
      <c r="M8" s="1">
        <v>94</v>
      </c>
    </row>
    <row r="9" spans="1:13">
      <c r="B9" t="s">
        <v>170</v>
      </c>
      <c r="C9" s="4" t="s">
        <v>171</v>
      </c>
      <c r="D9" s="4"/>
      <c r="F9" t="s">
        <v>16</v>
      </c>
      <c r="G9" t="s">
        <v>137</v>
      </c>
      <c r="H9" s="1">
        <v>1</v>
      </c>
      <c r="I9" s="2" t="s">
        <v>172</v>
      </c>
      <c r="J9" s="1">
        <v>94</v>
      </c>
      <c r="K9" s="1">
        <v>2</v>
      </c>
      <c r="L9" s="2" t="s">
        <v>173</v>
      </c>
      <c r="M9" s="1">
        <v>94</v>
      </c>
    </row>
    <row r="10" spans="1:13">
      <c r="B10" t="s">
        <v>174</v>
      </c>
      <c r="C10" s="4" t="s">
        <v>32</v>
      </c>
      <c r="D10" s="4">
        <v>1</v>
      </c>
      <c r="F10" t="s">
        <v>16</v>
      </c>
      <c r="G10" t="s">
        <v>175</v>
      </c>
      <c r="H10" s="1">
        <v>1</v>
      </c>
      <c r="I10" s="2" t="s">
        <v>176</v>
      </c>
      <c r="J10" s="1">
        <v>95</v>
      </c>
      <c r="K10" s="1">
        <v>2</v>
      </c>
      <c r="L10" s="2" t="s">
        <v>177</v>
      </c>
      <c r="M10" s="1">
        <v>95</v>
      </c>
    </row>
    <row r="11" spans="1:13">
      <c r="B11" t="s">
        <v>178</v>
      </c>
      <c r="C11" s="4" t="s">
        <v>179</v>
      </c>
      <c r="D11" s="4"/>
      <c r="F11" t="s">
        <v>16</v>
      </c>
      <c r="G11" t="s">
        <v>180</v>
      </c>
      <c r="H11" s="1">
        <v>1</v>
      </c>
      <c r="I11" s="2" t="s">
        <v>181</v>
      </c>
      <c r="J11" s="1">
        <v>95</v>
      </c>
      <c r="K11" s="1">
        <v>2</v>
      </c>
      <c r="L11" s="2" t="s">
        <v>182</v>
      </c>
      <c r="M11" s="1">
        <v>95</v>
      </c>
    </row>
    <row r="12" spans="1:13">
      <c r="B12" t="s">
        <v>183</v>
      </c>
      <c r="C12" s="4" t="s">
        <v>184</v>
      </c>
      <c r="D12" s="4">
        <v>1</v>
      </c>
      <c r="F12" t="s">
        <v>16</v>
      </c>
      <c r="G12" t="s">
        <v>179</v>
      </c>
      <c r="H12" s="1">
        <v>1</v>
      </c>
      <c r="I12" s="2" t="s">
        <v>185</v>
      </c>
      <c r="J12" s="1">
        <v>95</v>
      </c>
      <c r="K12" s="1">
        <v>2</v>
      </c>
      <c r="L12" s="2" t="s">
        <v>186</v>
      </c>
      <c r="M12" s="1">
        <v>95</v>
      </c>
    </row>
    <row r="13" spans="1:13">
      <c r="B13" t="s">
        <v>187</v>
      </c>
      <c r="C13" s="4" t="s">
        <v>188</v>
      </c>
      <c r="D13" s="4">
        <v>1</v>
      </c>
    </row>
    <row r="14" spans="1:13">
      <c r="B14" t="s">
        <v>189</v>
      </c>
      <c r="C14" s="5" t="s">
        <v>190</v>
      </c>
      <c r="D14" s="5"/>
    </row>
    <row r="15" spans="1:13">
      <c r="B15" t="s">
        <v>191</v>
      </c>
      <c r="C15" s="5" t="s">
        <v>192</v>
      </c>
      <c r="D15" s="5">
        <v>1</v>
      </c>
    </row>
    <row r="16" spans="1:13">
      <c r="B16" t="s">
        <v>193</v>
      </c>
      <c r="C16" s="4" t="s">
        <v>194</v>
      </c>
      <c r="D16" s="4">
        <v>1</v>
      </c>
    </row>
    <row r="17" spans="2:4">
      <c r="B17" t="s">
        <v>195</v>
      </c>
      <c r="C17" s="5" t="s">
        <v>175</v>
      </c>
      <c r="D17" s="5">
        <v>1</v>
      </c>
    </row>
    <row r="18" spans="2:4">
      <c r="B18" t="s">
        <v>196</v>
      </c>
      <c r="C18" s="4" t="s">
        <v>180</v>
      </c>
      <c r="D18" s="4">
        <v>1</v>
      </c>
    </row>
    <row r="19" spans="2:4">
      <c r="C19" s="4" t="s">
        <v>197</v>
      </c>
      <c r="D19" s="4">
        <v>1</v>
      </c>
    </row>
    <row r="20" spans="2:4">
      <c r="C20" s="5" t="s">
        <v>156</v>
      </c>
      <c r="D20" s="5"/>
    </row>
    <row r="21" spans="2:4">
      <c r="C21" s="4" t="s">
        <v>198</v>
      </c>
      <c r="D21" s="4"/>
    </row>
    <row r="22" spans="2:4">
      <c r="C22" s="4" t="s">
        <v>199</v>
      </c>
      <c r="D22" s="4"/>
    </row>
    <row r="23" spans="2:4">
      <c r="C23" s="4" t="s">
        <v>200</v>
      </c>
      <c r="D23" s="4"/>
    </row>
    <row r="24" spans="2:4">
      <c r="C24" s="4" t="s">
        <v>201</v>
      </c>
      <c r="D24" s="4">
        <v>1</v>
      </c>
    </row>
    <row r="25" spans="2:4">
      <c r="C25" t="s">
        <v>150</v>
      </c>
    </row>
    <row r="26" spans="2:4">
      <c r="C26" t="s">
        <v>202</v>
      </c>
      <c r="D26">
        <v>1</v>
      </c>
    </row>
    <row r="27" spans="2:4">
      <c r="C27" t="s">
        <v>163</v>
      </c>
      <c r="D27">
        <v>1</v>
      </c>
    </row>
    <row r="28" spans="2:4">
      <c r="C28" t="s">
        <v>203</v>
      </c>
    </row>
    <row r="29" spans="2:4">
      <c r="C29" t="s">
        <v>204</v>
      </c>
    </row>
    <row r="30" spans="2:4">
      <c r="C30" t="s">
        <v>205</v>
      </c>
      <c r="D30">
        <v>1</v>
      </c>
    </row>
    <row r="31" spans="2:4">
      <c r="C31" t="s">
        <v>144</v>
      </c>
      <c r="D31">
        <v>1</v>
      </c>
    </row>
    <row r="32" spans="2:4">
      <c r="C32" t="s">
        <v>206</v>
      </c>
      <c r="D32">
        <v>1</v>
      </c>
    </row>
    <row r="33" spans="3:4">
      <c r="C33" t="s">
        <v>207</v>
      </c>
    </row>
    <row r="34" spans="3:4">
      <c r="C34" t="s">
        <v>208</v>
      </c>
      <c r="D34">
        <v>1</v>
      </c>
    </row>
    <row r="35" spans="3:4">
      <c r="C35" t="s">
        <v>209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e44e982-49b1-48d0-a492-bcf8ba0a9108">
      <Terms xmlns="http://schemas.microsoft.com/office/infopath/2007/PartnerControls"/>
    </lcf76f155ced4ddcb4097134ff3c332f>
    <TaxCatchAll xmlns="7be803ac-07b3-4e6d-8a33-6b4a239830db"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389F3844E834B438EAF4C3974A5E888" ma:contentTypeVersion="11" ma:contentTypeDescription="Create a new document." ma:contentTypeScope="" ma:versionID="d7d0bc0a52076bfc36c16fd9f572c575">
  <xsd:schema xmlns:xsd="http://www.w3.org/2001/XMLSchema" xmlns:xs="http://www.w3.org/2001/XMLSchema" xmlns:p="http://schemas.microsoft.com/office/2006/metadata/properties" xmlns:ns2="ce44e982-49b1-48d0-a492-bcf8ba0a9108" xmlns:ns3="7be803ac-07b3-4e6d-8a33-6b4a239830db" targetNamespace="http://schemas.microsoft.com/office/2006/metadata/properties" ma:root="true" ma:fieldsID="20704a03d38483fbc5311fc860a03327" ns2:_="" ns3:_="">
    <xsd:import namespace="ce44e982-49b1-48d0-a492-bcf8ba0a9108"/>
    <xsd:import namespace="7be803ac-07b3-4e6d-8a33-6b4a239830d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e44e982-49b1-48d0-a492-bcf8ba0a910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33be0efa-dd52-4515-a411-1eb6e0b8c109"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BillingMetadata" ma:index="1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be803ac-07b3-4e6d-8a33-6b4a239830db"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616fe3e7-c3dc-4b79-a838-9d087c3829a1}" ma:internalName="TaxCatchAll" ma:showField="CatchAllData" ma:web="7be803ac-07b3-4e6d-8a33-6b4a239830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allowEditUser xmlns="https://web.wps.cn/et/2018/main" xmlns:s="http://schemas.openxmlformats.org/spreadsheetml/2006/main" hasInvisiblePropRange="0">
  <rangeList sheetStid="1" master="" otherUserPermission="visible"/>
  <rangeList sheetStid="7" master="" otherUserPermission="visible"/>
  <rangeList sheetStid="3" master="" otherUserPermission="visible"/>
  <rangeList sheetStid="2" master="" otherUserPermission="visible"/>
  <rangeList sheetStid="5" master="" otherUserPermission="visible"/>
  <rangeList sheetStid="4" master="" otherUserPermission="visible"/>
</allowEditUser>
</file>

<file path=customXml/item5.xml>��
</file>

<file path=customXml/itemProps1.xml><?xml version="1.0" encoding="utf-8"?>
<ds:datastoreItem xmlns:ds="http://schemas.openxmlformats.org/officeDocument/2006/customXml" ds:itemID="{A7DE45C8-F71A-49A0-956B-8A388D85EF0B}"/>
</file>

<file path=customXml/itemProps2.xml><?xml version="1.0" encoding="utf-8"?>
<ds:datastoreItem xmlns:ds="http://schemas.openxmlformats.org/officeDocument/2006/customXml" ds:itemID="{B592ED09-D2F6-411D-8CFC-BC2EF858E045}"/>
</file>

<file path=customXml/itemProps3.xml><?xml version="1.0" encoding="utf-8"?>
<ds:datastoreItem xmlns:ds="http://schemas.openxmlformats.org/officeDocument/2006/customXml" ds:itemID="{74A8C188-03D6-4A65-9EEC-07600787D56A}"/>
</file>

<file path=customXml/itemProps4.xml><?xml version="1.0" encoding="utf-8"?>
<ds:datastoreItem xmlns:ds="http://schemas.openxmlformats.org/officeDocument/2006/customXml" ds:itemID="{5A5607D9-04D2-4DE1-AC0E-A7772F01BC71}"/>
</file>

<file path=customXml/itemProps5.xml><?xml version="1.0" encoding="utf-8"?>
<ds:datastoreItem xmlns:ds="http://schemas.openxmlformats.org/officeDocument/2006/customXml" ds:itemID="{E40F74CC-5DFF-417A-B2F6-72C59B026C2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Emil Monroy</dc:creator>
  <cp:keywords/>
  <dc:description/>
  <cp:lastModifiedBy>Mary Lois Saude</cp:lastModifiedBy>
  <cp:revision/>
  <dcterms:created xsi:type="dcterms:W3CDTF">2021-07-15T02:28:00Z</dcterms:created>
  <dcterms:modified xsi:type="dcterms:W3CDTF">2026-03-11T01:23:53Z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D3C18E286E7E4D0FAB53F9B02FF2465C_12</vt:lpwstr>
  </property>
  <property fmtid="{D5CDD505-2E9C-101B-9397-08002B2CF9AE}" pid="3" name="KSOProductBuildVer">
    <vt:lpwstr>1033-12.2.0.18165</vt:lpwstr>
  </property>
  <property fmtid="{D5CDD505-2E9C-101B-9397-08002B2CF9AE}" pid="4" name="ContentTypeId">
    <vt:lpwstr>0x010100E389F3844E834B438EAF4C3974A5E888</vt:lpwstr>
  </property>
  <property fmtid="{D5CDD505-2E9C-101B-9397-08002B2CF9AE}" pid="5" name="MediaServiceImageTags">
    <vt:lpwstr/>
  </property>
</Properties>
</file>