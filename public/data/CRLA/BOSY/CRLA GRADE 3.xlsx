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15"/>
  <workbookPr codeName="ThisWorkbook"/>
  <mc:AlternateContent xmlns:mc="http://schemas.openxmlformats.org/markup-compatibility/2006">
    <mc:Choice Requires="x15">
      <x15ac:absPath xmlns:x15ac="http://schemas.microsoft.com/office/spreadsheetml/2010/11/ac" url="C:\Users\ADMIN\Desktop\CRLA\BOSY\"/>
    </mc:Choice>
  </mc:AlternateContent>
  <xr:revisionPtr revIDLastSave="1" documentId="13_ncr:1_{574CB845-9C18-4A41-BE39-54739C4481ED}" xr6:coauthVersionLast="47" xr6:coauthVersionMax="47" xr10:uidLastSave="{52361F18-95EB-43E8-B469-1A0AEEE3642E}"/>
  <workbookProtection workbookAlgorithmName="SHA-512" workbookHashValue="Tg4Ze9TWro2quGdbNVs3UGSfZMq/h1nr0ARJewKVhTQmf0GHJa71W/gUYgNYOWXRhNxB5L/YEHFKfOAAL9+z7g==" workbookSaltValue="jXcTTkJHBWxdNBmfcNNwKA==" workbookSpinCount="100000" lockStructure="1"/>
  <bookViews>
    <workbookView xWindow="-110" yWindow="-110" windowWidth="19420" windowHeight="10300" tabRatio="892" firstSheet="4" activeTab="3" xr2:uid="{00000000-000D-0000-FFFF-FFFF00000000}"/>
  </bookViews>
  <sheets>
    <sheet name="G3 MT Reading Scoresheet" sheetId="1" r:id="rId1"/>
    <sheet name="G3 FIL Reading Scoresheet" sheetId="6" r:id="rId2"/>
    <sheet name="G3 ENG Reading Scoresheet" sheetId="7" r:id="rId3"/>
    <sheet name="Class Record" sheetId="3" r:id="rId4"/>
    <sheet name="Class Summary" sheetId="2" r:id="rId5"/>
    <sheet name="Scoring Reference" sheetId="5" r:id="rId6"/>
    <sheet name="List" sheetId="4" state="veryHidden" r:id="rId7"/>
  </sheets>
  <definedNames>
    <definedName name="_xlnm._FilterDatabase" localSheetId="3" hidden="1">'Class Record'!$A$7:$X$107</definedName>
    <definedName name="_xlnm._FilterDatabase" localSheetId="2" hidden="1">'G3 ENG Reading Scoresheet'!$A$10:$U$110</definedName>
    <definedName name="_xlnm._FilterDatabase" localSheetId="1" hidden="1">'G3 FIL Reading Scoresheet'!$A$10:$U$110</definedName>
    <definedName name="_xlnm._FilterDatabase" localSheetId="0" hidden="1">'G3 MT Reading Scoresheet'!$A$10:$U$110</definedName>
    <definedName name="_xlnm.Print_Area" localSheetId="3">'Class Record'!$A$1:$W$32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 i="2" l="1"/>
  <c r="N30" i="2"/>
  <c r="M30" i="2"/>
  <c r="L30" i="2"/>
  <c r="K30" i="2"/>
  <c r="J30" i="2"/>
  <c r="I30" i="2"/>
  <c r="H30" i="2"/>
  <c r="G30" i="2"/>
  <c r="F30" i="2"/>
  <c r="E30" i="2"/>
  <c r="D30" i="2"/>
  <c r="C30" i="2"/>
  <c r="A30" i="2"/>
  <c r="O29" i="2"/>
  <c r="N29" i="2"/>
  <c r="M29" i="2"/>
  <c r="L29" i="2"/>
  <c r="K29" i="2"/>
  <c r="J29" i="2"/>
  <c r="I29" i="2"/>
  <c r="H29" i="2"/>
  <c r="G29" i="2"/>
  <c r="F29" i="2"/>
  <c r="E29" i="2"/>
  <c r="D29" i="2"/>
  <c r="C29" i="2"/>
  <c r="A29" i="2"/>
  <c r="O28" i="2"/>
  <c r="N28" i="2"/>
  <c r="M28" i="2"/>
  <c r="L28" i="2"/>
  <c r="K28" i="2"/>
  <c r="J28" i="2"/>
  <c r="I28" i="2"/>
  <c r="H28" i="2"/>
  <c r="G28" i="2"/>
  <c r="F28" i="2"/>
  <c r="E28" i="2"/>
  <c r="D28" i="2"/>
  <c r="C28" i="2"/>
  <c r="A28" i="2"/>
  <c r="O27" i="2"/>
  <c r="N27" i="2"/>
  <c r="M27" i="2"/>
  <c r="L27" i="2"/>
  <c r="K27" i="2"/>
  <c r="J27" i="2"/>
  <c r="I27" i="2"/>
  <c r="H27" i="2"/>
  <c r="G27" i="2"/>
  <c r="F27" i="2"/>
  <c r="E27" i="2"/>
  <c r="D27" i="2"/>
  <c r="C27" i="2"/>
  <c r="A27" i="2"/>
  <c r="O26" i="2"/>
  <c r="N26" i="2"/>
  <c r="M26" i="2"/>
  <c r="L26" i="2"/>
  <c r="K26" i="2"/>
  <c r="J26" i="2"/>
  <c r="I26" i="2"/>
  <c r="H26" i="2"/>
  <c r="G26" i="2"/>
  <c r="F26" i="2"/>
  <c r="E26" i="2"/>
  <c r="D26" i="2"/>
  <c r="C26" i="2"/>
  <c r="A26" i="2"/>
  <c r="O25" i="2"/>
  <c r="N25" i="2"/>
  <c r="M25" i="2"/>
  <c r="L25" i="2"/>
  <c r="K25" i="2"/>
  <c r="J25" i="2"/>
  <c r="I25" i="2"/>
  <c r="H25" i="2"/>
  <c r="G25" i="2"/>
  <c r="F25" i="2"/>
  <c r="E25" i="2"/>
  <c r="D25" i="2"/>
  <c r="C25" i="2"/>
  <c r="A25" i="2"/>
  <c r="O24" i="2"/>
  <c r="N24" i="2"/>
  <c r="M24" i="2"/>
  <c r="L24" i="2"/>
  <c r="K24" i="2"/>
  <c r="J24" i="2"/>
  <c r="I24" i="2"/>
  <c r="H24" i="2"/>
  <c r="G24" i="2"/>
  <c r="F24" i="2"/>
  <c r="E24" i="2"/>
  <c r="D24" i="2"/>
  <c r="C24" i="2"/>
  <c r="A24" i="2"/>
  <c r="O23" i="2"/>
  <c r="N23" i="2"/>
  <c r="M23" i="2"/>
  <c r="L23" i="2"/>
  <c r="K23" i="2"/>
  <c r="J23" i="2"/>
  <c r="I23" i="2"/>
  <c r="H23" i="2"/>
  <c r="G23" i="2"/>
  <c r="F23" i="2"/>
  <c r="E23" i="2"/>
  <c r="D23" i="2"/>
  <c r="C23" i="2"/>
  <c r="A23" i="2"/>
  <c r="O22" i="2"/>
  <c r="N22" i="2"/>
  <c r="M22" i="2"/>
  <c r="L22" i="2"/>
  <c r="K22" i="2"/>
  <c r="J22" i="2"/>
  <c r="I22" i="2"/>
  <c r="H22" i="2"/>
  <c r="G22" i="2"/>
  <c r="F22" i="2"/>
  <c r="E22" i="2"/>
  <c r="D22" i="2"/>
  <c r="C22" i="2"/>
  <c r="A22" i="2"/>
  <c r="S17" i="2"/>
  <c r="R17" i="2"/>
  <c r="Q17" i="2"/>
  <c r="P17" i="2"/>
  <c r="O17" i="2"/>
  <c r="N17" i="2"/>
  <c r="M17" i="2"/>
  <c r="L17" i="2"/>
  <c r="K17" i="2"/>
  <c r="J17" i="2"/>
  <c r="I17" i="2"/>
  <c r="H17" i="2"/>
  <c r="G17" i="2"/>
  <c r="F17" i="2"/>
  <c r="C17" i="2"/>
  <c r="B17" i="2"/>
  <c r="A17" i="2"/>
  <c r="S16" i="2"/>
  <c r="R16" i="2"/>
  <c r="Q16" i="2"/>
  <c r="P16" i="2"/>
  <c r="O16" i="2"/>
  <c r="N16" i="2"/>
  <c r="M16" i="2"/>
  <c r="L16" i="2"/>
  <c r="K16" i="2"/>
  <c r="J16" i="2"/>
  <c r="I16" i="2"/>
  <c r="H16" i="2"/>
  <c r="G16" i="2"/>
  <c r="F16" i="2"/>
  <c r="D16" i="2"/>
  <c r="C16" i="2"/>
  <c r="B16" i="2"/>
  <c r="A16" i="2"/>
  <c r="S15" i="2"/>
  <c r="R15" i="2"/>
  <c r="Q15" i="2"/>
  <c r="P15" i="2"/>
  <c r="O15" i="2"/>
  <c r="N15" i="2"/>
  <c r="M15" i="2"/>
  <c r="L15" i="2"/>
  <c r="K15" i="2"/>
  <c r="J15" i="2"/>
  <c r="I15" i="2"/>
  <c r="H15" i="2"/>
  <c r="G15" i="2"/>
  <c r="F15" i="2"/>
  <c r="D15" i="2"/>
  <c r="C15" i="2"/>
  <c r="B15" i="2"/>
  <c r="A15" i="2"/>
  <c r="S13" i="2"/>
  <c r="R13" i="2"/>
  <c r="Q13" i="2"/>
  <c r="P13" i="2"/>
  <c r="O13" i="2"/>
  <c r="N13" i="2"/>
  <c r="M13" i="2"/>
  <c r="L13" i="2"/>
  <c r="K13" i="2"/>
  <c r="J13" i="2"/>
  <c r="I13" i="2"/>
  <c r="H13" i="2"/>
  <c r="G13" i="2"/>
  <c r="F13" i="2"/>
  <c r="D13" i="2"/>
  <c r="C13" i="2"/>
  <c r="B13" i="2"/>
  <c r="A13" i="2"/>
  <c r="S12" i="2"/>
  <c r="R12" i="2"/>
  <c r="Q12" i="2"/>
  <c r="P12" i="2"/>
  <c r="O12" i="2"/>
  <c r="N12" i="2"/>
  <c r="M12" i="2"/>
  <c r="L12" i="2"/>
  <c r="K12" i="2"/>
  <c r="J12" i="2"/>
  <c r="I12" i="2"/>
  <c r="H12" i="2"/>
  <c r="G12" i="2"/>
  <c r="F12" i="2"/>
  <c r="C12" i="2"/>
  <c r="B12" i="2"/>
  <c r="A12" i="2"/>
  <c r="S11" i="2"/>
  <c r="R11" i="2"/>
  <c r="Q11" i="2"/>
  <c r="P11" i="2"/>
  <c r="O11" i="2"/>
  <c r="N11" i="2"/>
  <c r="M11" i="2"/>
  <c r="L11" i="2"/>
  <c r="K11" i="2"/>
  <c r="J11" i="2"/>
  <c r="I11" i="2"/>
  <c r="H11" i="2"/>
  <c r="G11" i="2"/>
  <c r="F11" i="2"/>
  <c r="D11" i="2"/>
  <c r="C11" i="2"/>
  <c r="B11" i="2"/>
  <c r="A11" i="2"/>
  <c r="S10" i="2"/>
  <c r="R10" i="2"/>
  <c r="Q10" i="2"/>
  <c r="P10" i="2"/>
  <c r="O10" i="2"/>
  <c r="N10" i="2"/>
  <c r="M10" i="2"/>
  <c r="L10" i="2"/>
  <c r="K10" i="2"/>
  <c r="J10" i="2"/>
  <c r="I10" i="2"/>
  <c r="H10" i="2"/>
  <c r="G10" i="2"/>
  <c r="F10" i="2"/>
  <c r="C10" i="2"/>
  <c r="B10" i="2"/>
  <c r="A10" i="2"/>
  <c r="S9" i="2"/>
  <c r="R9" i="2"/>
  <c r="Q9" i="2"/>
  <c r="P9" i="2"/>
  <c r="O9" i="2"/>
  <c r="N9" i="2"/>
  <c r="M9" i="2"/>
  <c r="L9" i="2"/>
  <c r="K9" i="2"/>
  <c r="J9" i="2"/>
  <c r="I9" i="2"/>
  <c r="H9" i="2"/>
  <c r="G9" i="2"/>
  <c r="F9" i="2"/>
  <c r="D9" i="2"/>
  <c r="C9" i="2"/>
  <c r="B9" i="2"/>
  <c r="A9" i="2"/>
  <c r="S8" i="2"/>
  <c r="R8" i="2"/>
  <c r="Q8" i="2"/>
  <c r="P8" i="2"/>
  <c r="O8" i="2"/>
  <c r="N8" i="2"/>
  <c r="M8" i="2"/>
  <c r="L8" i="2"/>
  <c r="K8" i="2"/>
  <c r="J8" i="2"/>
  <c r="I8" i="2"/>
  <c r="H8" i="2"/>
  <c r="G8" i="2"/>
  <c r="F8" i="2"/>
  <c r="D8" i="2"/>
  <c r="C8" i="2"/>
  <c r="B8" i="2"/>
  <c r="C5" i="2"/>
  <c r="C4" i="2"/>
  <c r="W107" i="3"/>
  <c r="V107" i="3"/>
  <c r="U107" i="3"/>
  <c r="T107" i="3"/>
  <c r="S107" i="3"/>
  <c r="R107" i="3"/>
  <c r="Q107" i="3"/>
  <c r="P107" i="3"/>
  <c r="O107" i="3"/>
  <c r="N107" i="3"/>
  <c r="M107" i="3"/>
  <c r="L107" i="3"/>
  <c r="K107" i="3"/>
  <c r="J107" i="3"/>
  <c r="I107" i="3"/>
  <c r="H107" i="3"/>
  <c r="G107" i="3"/>
  <c r="F107" i="3"/>
  <c r="E107" i="3"/>
  <c r="D107" i="3"/>
  <c r="C107" i="3"/>
  <c r="B107" i="3"/>
  <c r="W106" i="3"/>
  <c r="V106" i="3"/>
  <c r="U106" i="3"/>
  <c r="T106" i="3"/>
  <c r="S106" i="3"/>
  <c r="R106" i="3"/>
  <c r="Q106" i="3"/>
  <c r="P106" i="3"/>
  <c r="O106" i="3"/>
  <c r="N106" i="3"/>
  <c r="M106" i="3"/>
  <c r="L106" i="3"/>
  <c r="K106" i="3"/>
  <c r="J106" i="3"/>
  <c r="I106" i="3"/>
  <c r="H106" i="3"/>
  <c r="G106" i="3"/>
  <c r="F106" i="3"/>
  <c r="E106" i="3"/>
  <c r="D106" i="3"/>
  <c r="C106" i="3"/>
  <c r="B106" i="3"/>
  <c r="A106" i="3"/>
  <c r="W105" i="3"/>
  <c r="V105" i="3"/>
  <c r="U105" i="3"/>
  <c r="T105" i="3"/>
  <c r="S105" i="3"/>
  <c r="R105" i="3"/>
  <c r="Q105" i="3"/>
  <c r="P105" i="3"/>
  <c r="O105" i="3"/>
  <c r="N105" i="3"/>
  <c r="M105" i="3"/>
  <c r="L105" i="3"/>
  <c r="K105" i="3"/>
  <c r="J105" i="3"/>
  <c r="I105" i="3"/>
  <c r="H105" i="3"/>
  <c r="G105" i="3"/>
  <c r="F105" i="3"/>
  <c r="E105" i="3"/>
  <c r="D105" i="3"/>
  <c r="C105" i="3"/>
  <c r="B105" i="3"/>
  <c r="A105" i="3"/>
  <c r="W104" i="3"/>
  <c r="V104" i="3"/>
  <c r="U104" i="3"/>
  <c r="T104" i="3"/>
  <c r="S104" i="3"/>
  <c r="R104" i="3"/>
  <c r="Q104" i="3"/>
  <c r="P104" i="3"/>
  <c r="O104" i="3"/>
  <c r="N104" i="3"/>
  <c r="M104" i="3"/>
  <c r="L104" i="3"/>
  <c r="K104" i="3"/>
  <c r="J104" i="3"/>
  <c r="I104" i="3"/>
  <c r="H104" i="3"/>
  <c r="G104" i="3"/>
  <c r="F104" i="3"/>
  <c r="E104" i="3"/>
  <c r="D104" i="3"/>
  <c r="C104" i="3"/>
  <c r="B104" i="3"/>
  <c r="A104" i="3"/>
  <c r="W103" i="3"/>
  <c r="V103" i="3"/>
  <c r="U103" i="3"/>
  <c r="T103" i="3"/>
  <c r="S103" i="3"/>
  <c r="R103" i="3"/>
  <c r="Q103" i="3"/>
  <c r="P103" i="3"/>
  <c r="O103" i="3"/>
  <c r="N103" i="3"/>
  <c r="M103" i="3"/>
  <c r="L103" i="3"/>
  <c r="K103" i="3"/>
  <c r="J103" i="3"/>
  <c r="I103" i="3"/>
  <c r="H103" i="3"/>
  <c r="G103" i="3"/>
  <c r="F103" i="3"/>
  <c r="E103" i="3"/>
  <c r="D103" i="3"/>
  <c r="C103" i="3"/>
  <c r="B103" i="3"/>
  <c r="A103" i="3"/>
  <c r="W102" i="3"/>
  <c r="V102" i="3"/>
  <c r="U102" i="3"/>
  <c r="T102" i="3"/>
  <c r="S102" i="3"/>
  <c r="R102" i="3"/>
  <c r="Q102" i="3"/>
  <c r="P102" i="3"/>
  <c r="O102" i="3"/>
  <c r="N102" i="3"/>
  <c r="M102" i="3"/>
  <c r="L102" i="3"/>
  <c r="K102" i="3"/>
  <c r="J102" i="3"/>
  <c r="I102" i="3"/>
  <c r="H102" i="3"/>
  <c r="G102" i="3"/>
  <c r="F102" i="3"/>
  <c r="E102" i="3"/>
  <c r="D102" i="3"/>
  <c r="C102" i="3"/>
  <c r="B102" i="3"/>
  <c r="A102" i="3"/>
  <c r="W101" i="3"/>
  <c r="V101" i="3"/>
  <c r="U101" i="3"/>
  <c r="T101" i="3"/>
  <c r="S101" i="3"/>
  <c r="R101" i="3"/>
  <c r="Q101" i="3"/>
  <c r="P101" i="3"/>
  <c r="O101" i="3"/>
  <c r="N101" i="3"/>
  <c r="M101" i="3"/>
  <c r="L101" i="3"/>
  <c r="K101" i="3"/>
  <c r="J101" i="3"/>
  <c r="I101" i="3"/>
  <c r="H101" i="3"/>
  <c r="G101" i="3"/>
  <c r="F101" i="3"/>
  <c r="E101" i="3"/>
  <c r="D101" i="3"/>
  <c r="C101" i="3"/>
  <c r="B101" i="3"/>
  <c r="A101" i="3"/>
  <c r="W100" i="3"/>
  <c r="V100" i="3"/>
  <c r="U100" i="3"/>
  <c r="T100" i="3"/>
  <c r="S100" i="3"/>
  <c r="R100" i="3"/>
  <c r="Q100" i="3"/>
  <c r="P100" i="3"/>
  <c r="O100" i="3"/>
  <c r="N100" i="3"/>
  <c r="M100" i="3"/>
  <c r="L100" i="3"/>
  <c r="K100" i="3"/>
  <c r="J100" i="3"/>
  <c r="I100" i="3"/>
  <c r="H100" i="3"/>
  <c r="G100" i="3"/>
  <c r="F100" i="3"/>
  <c r="E100" i="3"/>
  <c r="D100" i="3"/>
  <c r="C100" i="3"/>
  <c r="B100" i="3"/>
  <c r="A100" i="3"/>
  <c r="W99" i="3"/>
  <c r="V99" i="3"/>
  <c r="U99" i="3"/>
  <c r="T99" i="3"/>
  <c r="S99" i="3"/>
  <c r="R99" i="3"/>
  <c r="Q99" i="3"/>
  <c r="P99" i="3"/>
  <c r="O99" i="3"/>
  <c r="N99" i="3"/>
  <c r="M99" i="3"/>
  <c r="L99" i="3"/>
  <c r="K99" i="3"/>
  <c r="J99" i="3"/>
  <c r="I99" i="3"/>
  <c r="H99" i="3"/>
  <c r="G99" i="3"/>
  <c r="F99" i="3"/>
  <c r="E99" i="3"/>
  <c r="D99" i="3"/>
  <c r="C99" i="3"/>
  <c r="B99" i="3"/>
  <c r="A99" i="3"/>
  <c r="W98" i="3"/>
  <c r="V98" i="3"/>
  <c r="U98" i="3"/>
  <c r="T98" i="3"/>
  <c r="S98" i="3"/>
  <c r="R98" i="3"/>
  <c r="Q98" i="3"/>
  <c r="P98" i="3"/>
  <c r="O98" i="3"/>
  <c r="N98" i="3"/>
  <c r="M98" i="3"/>
  <c r="L98" i="3"/>
  <c r="K98" i="3"/>
  <c r="J98" i="3"/>
  <c r="I98" i="3"/>
  <c r="H98" i="3"/>
  <c r="G98" i="3"/>
  <c r="F98" i="3"/>
  <c r="E98" i="3"/>
  <c r="D98" i="3"/>
  <c r="C98" i="3"/>
  <c r="B98" i="3"/>
  <c r="A98" i="3"/>
  <c r="W97" i="3"/>
  <c r="V97" i="3"/>
  <c r="U97" i="3"/>
  <c r="T97" i="3"/>
  <c r="S97" i="3"/>
  <c r="R97" i="3"/>
  <c r="Q97" i="3"/>
  <c r="P97" i="3"/>
  <c r="O97" i="3"/>
  <c r="N97" i="3"/>
  <c r="M97" i="3"/>
  <c r="L97" i="3"/>
  <c r="K97" i="3"/>
  <c r="J97" i="3"/>
  <c r="I97" i="3"/>
  <c r="H97" i="3"/>
  <c r="G97" i="3"/>
  <c r="F97" i="3"/>
  <c r="E97" i="3"/>
  <c r="D97" i="3"/>
  <c r="C97" i="3"/>
  <c r="B97" i="3"/>
  <c r="A97" i="3"/>
  <c r="W96" i="3"/>
  <c r="V96" i="3"/>
  <c r="U96" i="3"/>
  <c r="T96" i="3"/>
  <c r="S96" i="3"/>
  <c r="R96" i="3"/>
  <c r="Q96" i="3"/>
  <c r="P96" i="3"/>
  <c r="O96" i="3"/>
  <c r="N96" i="3"/>
  <c r="M96" i="3"/>
  <c r="L96" i="3"/>
  <c r="K96" i="3"/>
  <c r="J96" i="3"/>
  <c r="I96" i="3"/>
  <c r="H96" i="3"/>
  <c r="G96" i="3"/>
  <c r="F96" i="3"/>
  <c r="E96" i="3"/>
  <c r="D96" i="3"/>
  <c r="C96" i="3"/>
  <c r="B96" i="3"/>
  <c r="A96" i="3"/>
  <c r="W95" i="3"/>
  <c r="V95" i="3"/>
  <c r="U95" i="3"/>
  <c r="T95" i="3"/>
  <c r="S95" i="3"/>
  <c r="R95" i="3"/>
  <c r="Q95" i="3"/>
  <c r="P95" i="3"/>
  <c r="O95" i="3"/>
  <c r="N95" i="3"/>
  <c r="M95" i="3"/>
  <c r="L95" i="3"/>
  <c r="K95" i="3"/>
  <c r="J95" i="3"/>
  <c r="I95" i="3"/>
  <c r="H95" i="3"/>
  <c r="G95" i="3"/>
  <c r="F95" i="3"/>
  <c r="E95" i="3"/>
  <c r="D95" i="3"/>
  <c r="C95" i="3"/>
  <c r="B95" i="3"/>
  <c r="A95" i="3"/>
  <c r="W94" i="3"/>
  <c r="V94" i="3"/>
  <c r="U94" i="3"/>
  <c r="T94" i="3"/>
  <c r="S94" i="3"/>
  <c r="R94" i="3"/>
  <c r="Q94" i="3"/>
  <c r="P94" i="3"/>
  <c r="O94" i="3"/>
  <c r="N94" i="3"/>
  <c r="M94" i="3"/>
  <c r="L94" i="3"/>
  <c r="K94" i="3"/>
  <c r="J94" i="3"/>
  <c r="I94" i="3"/>
  <c r="H94" i="3"/>
  <c r="G94" i="3"/>
  <c r="F94" i="3"/>
  <c r="E94" i="3"/>
  <c r="D94" i="3"/>
  <c r="C94" i="3"/>
  <c r="B94" i="3"/>
  <c r="A94" i="3"/>
  <c r="W93" i="3"/>
  <c r="V93" i="3"/>
  <c r="U93" i="3"/>
  <c r="T93" i="3"/>
  <c r="S93" i="3"/>
  <c r="R93" i="3"/>
  <c r="Q93" i="3"/>
  <c r="P93" i="3"/>
  <c r="O93" i="3"/>
  <c r="N93" i="3"/>
  <c r="M93" i="3"/>
  <c r="L93" i="3"/>
  <c r="K93" i="3"/>
  <c r="J93" i="3"/>
  <c r="I93" i="3"/>
  <c r="H93" i="3"/>
  <c r="G93" i="3"/>
  <c r="F93" i="3"/>
  <c r="E93" i="3"/>
  <c r="D93" i="3"/>
  <c r="C93" i="3"/>
  <c r="B93" i="3"/>
  <c r="A93" i="3"/>
  <c r="W92" i="3"/>
  <c r="V92" i="3"/>
  <c r="U92" i="3"/>
  <c r="T92" i="3"/>
  <c r="S92" i="3"/>
  <c r="R92" i="3"/>
  <c r="Q92" i="3"/>
  <c r="P92" i="3"/>
  <c r="O92" i="3"/>
  <c r="N92" i="3"/>
  <c r="M92" i="3"/>
  <c r="L92" i="3"/>
  <c r="K92" i="3"/>
  <c r="J92" i="3"/>
  <c r="I92" i="3"/>
  <c r="H92" i="3"/>
  <c r="G92" i="3"/>
  <c r="F92" i="3"/>
  <c r="E92" i="3"/>
  <c r="D92" i="3"/>
  <c r="C92" i="3"/>
  <c r="B92" i="3"/>
  <c r="A92" i="3"/>
  <c r="W91" i="3"/>
  <c r="V91" i="3"/>
  <c r="U91" i="3"/>
  <c r="T91" i="3"/>
  <c r="S91" i="3"/>
  <c r="R91" i="3"/>
  <c r="Q91" i="3"/>
  <c r="P91" i="3"/>
  <c r="O91" i="3"/>
  <c r="N91" i="3"/>
  <c r="M91" i="3"/>
  <c r="L91" i="3"/>
  <c r="K91" i="3"/>
  <c r="J91" i="3"/>
  <c r="I91" i="3"/>
  <c r="H91" i="3"/>
  <c r="G91" i="3"/>
  <c r="F91" i="3"/>
  <c r="E91" i="3"/>
  <c r="D91" i="3"/>
  <c r="C91" i="3"/>
  <c r="B91" i="3"/>
  <c r="A91" i="3"/>
  <c r="W90" i="3"/>
  <c r="V90" i="3"/>
  <c r="U90" i="3"/>
  <c r="T90" i="3"/>
  <c r="S90" i="3"/>
  <c r="R90" i="3"/>
  <c r="Q90" i="3"/>
  <c r="P90" i="3"/>
  <c r="O90" i="3"/>
  <c r="N90" i="3"/>
  <c r="M90" i="3"/>
  <c r="L90" i="3"/>
  <c r="K90" i="3"/>
  <c r="J90" i="3"/>
  <c r="I90" i="3"/>
  <c r="H90" i="3"/>
  <c r="G90" i="3"/>
  <c r="F90" i="3"/>
  <c r="E90" i="3"/>
  <c r="D90" i="3"/>
  <c r="C90" i="3"/>
  <c r="B90" i="3"/>
  <c r="A90" i="3"/>
  <c r="W89" i="3"/>
  <c r="V89" i="3"/>
  <c r="U89" i="3"/>
  <c r="T89" i="3"/>
  <c r="S89" i="3"/>
  <c r="R89" i="3"/>
  <c r="Q89" i="3"/>
  <c r="P89" i="3"/>
  <c r="O89" i="3"/>
  <c r="N89" i="3"/>
  <c r="M89" i="3"/>
  <c r="L89" i="3"/>
  <c r="K89" i="3"/>
  <c r="J89" i="3"/>
  <c r="I89" i="3"/>
  <c r="H89" i="3"/>
  <c r="G89" i="3"/>
  <c r="F89" i="3"/>
  <c r="E89" i="3"/>
  <c r="D89" i="3"/>
  <c r="C89" i="3"/>
  <c r="B89" i="3"/>
  <c r="A89" i="3"/>
  <c r="W88" i="3"/>
  <c r="V88" i="3"/>
  <c r="U88" i="3"/>
  <c r="T88" i="3"/>
  <c r="S88" i="3"/>
  <c r="R88" i="3"/>
  <c r="Q88" i="3"/>
  <c r="P88" i="3"/>
  <c r="O88" i="3"/>
  <c r="N88" i="3"/>
  <c r="M88" i="3"/>
  <c r="L88" i="3"/>
  <c r="K88" i="3"/>
  <c r="J88" i="3"/>
  <c r="I88" i="3"/>
  <c r="H88" i="3"/>
  <c r="G88" i="3"/>
  <c r="F88" i="3"/>
  <c r="E88" i="3"/>
  <c r="D88" i="3"/>
  <c r="C88" i="3"/>
  <c r="B88" i="3"/>
  <c r="A88" i="3"/>
  <c r="W87" i="3"/>
  <c r="V87" i="3"/>
  <c r="U87" i="3"/>
  <c r="T87" i="3"/>
  <c r="S87" i="3"/>
  <c r="R87" i="3"/>
  <c r="Q87" i="3"/>
  <c r="P87" i="3"/>
  <c r="O87" i="3"/>
  <c r="N87" i="3"/>
  <c r="M87" i="3"/>
  <c r="L87" i="3"/>
  <c r="K87" i="3"/>
  <c r="J87" i="3"/>
  <c r="I87" i="3"/>
  <c r="H87" i="3"/>
  <c r="G87" i="3"/>
  <c r="F87" i="3"/>
  <c r="E87" i="3"/>
  <c r="D87" i="3"/>
  <c r="C87" i="3"/>
  <c r="B87" i="3"/>
  <c r="A87" i="3"/>
  <c r="W86" i="3"/>
  <c r="V86" i="3"/>
  <c r="U86" i="3"/>
  <c r="T86" i="3"/>
  <c r="S86" i="3"/>
  <c r="R86" i="3"/>
  <c r="Q86" i="3"/>
  <c r="P86" i="3"/>
  <c r="O86" i="3"/>
  <c r="N86" i="3"/>
  <c r="M86" i="3"/>
  <c r="L86" i="3"/>
  <c r="K86" i="3"/>
  <c r="J86" i="3"/>
  <c r="I86" i="3"/>
  <c r="H86" i="3"/>
  <c r="G86" i="3"/>
  <c r="F86" i="3"/>
  <c r="E86" i="3"/>
  <c r="D86" i="3"/>
  <c r="C86" i="3"/>
  <c r="B86" i="3"/>
  <c r="A86" i="3"/>
  <c r="W85" i="3"/>
  <c r="V85" i="3"/>
  <c r="U85" i="3"/>
  <c r="T85" i="3"/>
  <c r="S85" i="3"/>
  <c r="R85" i="3"/>
  <c r="Q85" i="3"/>
  <c r="P85" i="3"/>
  <c r="O85" i="3"/>
  <c r="N85" i="3"/>
  <c r="M85" i="3"/>
  <c r="L85" i="3"/>
  <c r="K85" i="3"/>
  <c r="J85" i="3"/>
  <c r="I85" i="3"/>
  <c r="H85" i="3"/>
  <c r="G85" i="3"/>
  <c r="F85" i="3"/>
  <c r="E85" i="3"/>
  <c r="D85" i="3"/>
  <c r="C85" i="3"/>
  <c r="B85" i="3"/>
  <c r="A85" i="3"/>
  <c r="W84" i="3"/>
  <c r="V84" i="3"/>
  <c r="U84" i="3"/>
  <c r="T84" i="3"/>
  <c r="S84" i="3"/>
  <c r="R84" i="3"/>
  <c r="Q84" i="3"/>
  <c r="P84" i="3"/>
  <c r="O84" i="3"/>
  <c r="N84" i="3"/>
  <c r="M84" i="3"/>
  <c r="L84" i="3"/>
  <c r="K84" i="3"/>
  <c r="J84" i="3"/>
  <c r="I84" i="3"/>
  <c r="H84" i="3"/>
  <c r="G84" i="3"/>
  <c r="F84" i="3"/>
  <c r="E84" i="3"/>
  <c r="D84" i="3"/>
  <c r="C84" i="3"/>
  <c r="B84" i="3"/>
  <c r="A84" i="3"/>
  <c r="W83" i="3"/>
  <c r="V83" i="3"/>
  <c r="U83" i="3"/>
  <c r="T83" i="3"/>
  <c r="S83" i="3"/>
  <c r="R83" i="3"/>
  <c r="Q83" i="3"/>
  <c r="P83" i="3"/>
  <c r="O83" i="3"/>
  <c r="N83" i="3"/>
  <c r="M83" i="3"/>
  <c r="L83" i="3"/>
  <c r="K83" i="3"/>
  <c r="J83" i="3"/>
  <c r="I83" i="3"/>
  <c r="H83" i="3"/>
  <c r="G83" i="3"/>
  <c r="F83" i="3"/>
  <c r="E83" i="3"/>
  <c r="D83" i="3"/>
  <c r="C83" i="3"/>
  <c r="B83" i="3"/>
  <c r="A83" i="3"/>
  <c r="W82" i="3"/>
  <c r="V82" i="3"/>
  <c r="U82" i="3"/>
  <c r="T82" i="3"/>
  <c r="S82" i="3"/>
  <c r="R82" i="3"/>
  <c r="Q82" i="3"/>
  <c r="P82" i="3"/>
  <c r="O82" i="3"/>
  <c r="N82" i="3"/>
  <c r="M82" i="3"/>
  <c r="L82" i="3"/>
  <c r="K82" i="3"/>
  <c r="J82" i="3"/>
  <c r="I82" i="3"/>
  <c r="H82" i="3"/>
  <c r="G82" i="3"/>
  <c r="F82" i="3"/>
  <c r="E82" i="3"/>
  <c r="D82" i="3"/>
  <c r="C82" i="3"/>
  <c r="B82" i="3"/>
  <c r="A82" i="3"/>
  <c r="W81" i="3"/>
  <c r="V81" i="3"/>
  <c r="U81" i="3"/>
  <c r="T81" i="3"/>
  <c r="S81" i="3"/>
  <c r="R81" i="3"/>
  <c r="Q81" i="3"/>
  <c r="P81" i="3"/>
  <c r="O81" i="3"/>
  <c r="N81" i="3"/>
  <c r="M81" i="3"/>
  <c r="L81" i="3"/>
  <c r="K81" i="3"/>
  <c r="J81" i="3"/>
  <c r="I81" i="3"/>
  <c r="H81" i="3"/>
  <c r="G81" i="3"/>
  <c r="F81" i="3"/>
  <c r="E81" i="3"/>
  <c r="D81" i="3"/>
  <c r="C81" i="3"/>
  <c r="B81" i="3"/>
  <c r="A81" i="3"/>
  <c r="W80" i="3"/>
  <c r="V80" i="3"/>
  <c r="U80" i="3"/>
  <c r="T80" i="3"/>
  <c r="S80" i="3"/>
  <c r="R80" i="3"/>
  <c r="Q80" i="3"/>
  <c r="P80" i="3"/>
  <c r="O80" i="3"/>
  <c r="N80" i="3"/>
  <c r="M80" i="3"/>
  <c r="L80" i="3"/>
  <c r="K80" i="3"/>
  <c r="J80" i="3"/>
  <c r="I80" i="3"/>
  <c r="H80" i="3"/>
  <c r="G80" i="3"/>
  <c r="F80" i="3"/>
  <c r="E80" i="3"/>
  <c r="D80" i="3"/>
  <c r="C80" i="3"/>
  <c r="B80" i="3"/>
  <c r="A80" i="3"/>
  <c r="W79" i="3"/>
  <c r="V79" i="3"/>
  <c r="U79" i="3"/>
  <c r="T79" i="3"/>
  <c r="S79" i="3"/>
  <c r="R79" i="3"/>
  <c r="Q79" i="3"/>
  <c r="P79" i="3"/>
  <c r="O79" i="3"/>
  <c r="N79" i="3"/>
  <c r="M79" i="3"/>
  <c r="L79" i="3"/>
  <c r="K79" i="3"/>
  <c r="J79" i="3"/>
  <c r="I79" i="3"/>
  <c r="H79" i="3"/>
  <c r="G79" i="3"/>
  <c r="F79" i="3"/>
  <c r="E79" i="3"/>
  <c r="D79" i="3"/>
  <c r="C79" i="3"/>
  <c r="B79" i="3"/>
  <c r="A79" i="3"/>
  <c r="W78" i="3"/>
  <c r="V78" i="3"/>
  <c r="U78" i="3"/>
  <c r="T78" i="3"/>
  <c r="S78" i="3"/>
  <c r="R78" i="3"/>
  <c r="Q78" i="3"/>
  <c r="P78" i="3"/>
  <c r="O78" i="3"/>
  <c r="N78" i="3"/>
  <c r="M78" i="3"/>
  <c r="L78" i="3"/>
  <c r="K78" i="3"/>
  <c r="J78" i="3"/>
  <c r="I78" i="3"/>
  <c r="H78" i="3"/>
  <c r="G78" i="3"/>
  <c r="F78" i="3"/>
  <c r="E78" i="3"/>
  <c r="D78" i="3"/>
  <c r="C78" i="3"/>
  <c r="B78" i="3"/>
  <c r="A78" i="3"/>
  <c r="W77" i="3"/>
  <c r="V77" i="3"/>
  <c r="U77" i="3"/>
  <c r="T77" i="3"/>
  <c r="S77" i="3"/>
  <c r="R77" i="3"/>
  <c r="Q77" i="3"/>
  <c r="P77" i="3"/>
  <c r="O77" i="3"/>
  <c r="N77" i="3"/>
  <c r="M77" i="3"/>
  <c r="L77" i="3"/>
  <c r="K77" i="3"/>
  <c r="J77" i="3"/>
  <c r="I77" i="3"/>
  <c r="H77" i="3"/>
  <c r="G77" i="3"/>
  <c r="F77" i="3"/>
  <c r="E77" i="3"/>
  <c r="D77" i="3"/>
  <c r="C77" i="3"/>
  <c r="B77" i="3"/>
  <c r="A77" i="3"/>
  <c r="W76" i="3"/>
  <c r="V76" i="3"/>
  <c r="U76" i="3"/>
  <c r="T76" i="3"/>
  <c r="S76" i="3"/>
  <c r="R76" i="3"/>
  <c r="Q76" i="3"/>
  <c r="P76" i="3"/>
  <c r="O76" i="3"/>
  <c r="N76" i="3"/>
  <c r="M76" i="3"/>
  <c r="L76" i="3"/>
  <c r="K76" i="3"/>
  <c r="J76" i="3"/>
  <c r="I76" i="3"/>
  <c r="H76" i="3"/>
  <c r="G76" i="3"/>
  <c r="F76" i="3"/>
  <c r="E76" i="3"/>
  <c r="D76" i="3"/>
  <c r="C76" i="3"/>
  <c r="B76" i="3"/>
  <c r="A76" i="3"/>
  <c r="W75" i="3"/>
  <c r="V75" i="3"/>
  <c r="U75" i="3"/>
  <c r="T75" i="3"/>
  <c r="S75" i="3"/>
  <c r="R75" i="3"/>
  <c r="Q75" i="3"/>
  <c r="P75" i="3"/>
  <c r="O75" i="3"/>
  <c r="N75" i="3"/>
  <c r="M75" i="3"/>
  <c r="L75" i="3"/>
  <c r="K75" i="3"/>
  <c r="J75" i="3"/>
  <c r="I75" i="3"/>
  <c r="H75" i="3"/>
  <c r="G75" i="3"/>
  <c r="F75" i="3"/>
  <c r="E75" i="3"/>
  <c r="D75" i="3"/>
  <c r="C75" i="3"/>
  <c r="B75" i="3"/>
  <c r="A75" i="3"/>
  <c r="W74" i="3"/>
  <c r="V74" i="3"/>
  <c r="U74" i="3"/>
  <c r="T74" i="3"/>
  <c r="S74" i="3"/>
  <c r="R74" i="3"/>
  <c r="Q74" i="3"/>
  <c r="P74" i="3"/>
  <c r="O74" i="3"/>
  <c r="N74" i="3"/>
  <c r="M74" i="3"/>
  <c r="L74" i="3"/>
  <c r="K74" i="3"/>
  <c r="J74" i="3"/>
  <c r="I74" i="3"/>
  <c r="H74" i="3"/>
  <c r="G74" i="3"/>
  <c r="F74" i="3"/>
  <c r="E74" i="3"/>
  <c r="D74" i="3"/>
  <c r="C74" i="3"/>
  <c r="B74" i="3"/>
  <c r="A74" i="3"/>
  <c r="W73" i="3"/>
  <c r="V73" i="3"/>
  <c r="U73" i="3"/>
  <c r="T73" i="3"/>
  <c r="S73" i="3"/>
  <c r="R73" i="3"/>
  <c r="Q73" i="3"/>
  <c r="P73" i="3"/>
  <c r="O73" i="3"/>
  <c r="N73" i="3"/>
  <c r="M73" i="3"/>
  <c r="L73" i="3"/>
  <c r="K73" i="3"/>
  <c r="J73" i="3"/>
  <c r="I73" i="3"/>
  <c r="H73" i="3"/>
  <c r="G73" i="3"/>
  <c r="F73" i="3"/>
  <c r="E73" i="3"/>
  <c r="D73" i="3"/>
  <c r="C73" i="3"/>
  <c r="B73" i="3"/>
  <c r="A73" i="3"/>
  <c r="W72" i="3"/>
  <c r="V72" i="3"/>
  <c r="U72" i="3"/>
  <c r="T72" i="3"/>
  <c r="S72" i="3"/>
  <c r="R72" i="3"/>
  <c r="Q72" i="3"/>
  <c r="P72" i="3"/>
  <c r="O72" i="3"/>
  <c r="N72" i="3"/>
  <c r="M72" i="3"/>
  <c r="L72" i="3"/>
  <c r="K72" i="3"/>
  <c r="J72" i="3"/>
  <c r="I72" i="3"/>
  <c r="H72" i="3"/>
  <c r="G72" i="3"/>
  <c r="F72" i="3"/>
  <c r="E72" i="3"/>
  <c r="D72" i="3"/>
  <c r="C72" i="3"/>
  <c r="B72" i="3"/>
  <c r="A72" i="3"/>
  <c r="W71" i="3"/>
  <c r="V71" i="3"/>
  <c r="U71" i="3"/>
  <c r="T71" i="3"/>
  <c r="S71" i="3"/>
  <c r="R71" i="3"/>
  <c r="Q71" i="3"/>
  <c r="P71" i="3"/>
  <c r="O71" i="3"/>
  <c r="N71" i="3"/>
  <c r="M71" i="3"/>
  <c r="L71" i="3"/>
  <c r="K71" i="3"/>
  <c r="J71" i="3"/>
  <c r="I71" i="3"/>
  <c r="H71" i="3"/>
  <c r="G71" i="3"/>
  <c r="F71" i="3"/>
  <c r="E71" i="3"/>
  <c r="D71" i="3"/>
  <c r="C71" i="3"/>
  <c r="B71" i="3"/>
  <c r="A71" i="3"/>
  <c r="W70" i="3"/>
  <c r="V70" i="3"/>
  <c r="U70" i="3"/>
  <c r="T70" i="3"/>
  <c r="S70" i="3"/>
  <c r="R70" i="3"/>
  <c r="Q70" i="3"/>
  <c r="P70" i="3"/>
  <c r="O70" i="3"/>
  <c r="N70" i="3"/>
  <c r="M70" i="3"/>
  <c r="L70" i="3"/>
  <c r="K70" i="3"/>
  <c r="J70" i="3"/>
  <c r="I70" i="3"/>
  <c r="H70" i="3"/>
  <c r="G70" i="3"/>
  <c r="F70" i="3"/>
  <c r="E70" i="3"/>
  <c r="D70" i="3"/>
  <c r="C70" i="3"/>
  <c r="B70" i="3"/>
  <c r="A70" i="3"/>
  <c r="W69" i="3"/>
  <c r="V69" i="3"/>
  <c r="U69" i="3"/>
  <c r="T69" i="3"/>
  <c r="S69" i="3"/>
  <c r="R69" i="3"/>
  <c r="Q69" i="3"/>
  <c r="P69" i="3"/>
  <c r="O69" i="3"/>
  <c r="N69" i="3"/>
  <c r="M69" i="3"/>
  <c r="L69" i="3"/>
  <c r="K69" i="3"/>
  <c r="J69" i="3"/>
  <c r="I69" i="3"/>
  <c r="H69" i="3"/>
  <c r="G69" i="3"/>
  <c r="F69" i="3"/>
  <c r="E69" i="3"/>
  <c r="D69" i="3"/>
  <c r="C69" i="3"/>
  <c r="B69" i="3"/>
  <c r="A69" i="3"/>
  <c r="W68" i="3"/>
  <c r="V68" i="3"/>
  <c r="U68" i="3"/>
  <c r="T68" i="3"/>
  <c r="S68" i="3"/>
  <c r="R68" i="3"/>
  <c r="Q68" i="3"/>
  <c r="P68" i="3"/>
  <c r="O68" i="3"/>
  <c r="N68" i="3"/>
  <c r="M68" i="3"/>
  <c r="L68" i="3"/>
  <c r="K68" i="3"/>
  <c r="J68" i="3"/>
  <c r="I68" i="3"/>
  <c r="H68" i="3"/>
  <c r="G68" i="3"/>
  <c r="F68" i="3"/>
  <c r="E68" i="3"/>
  <c r="D68" i="3"/>
  <c r="C68" i="3"/>
  <c r="B68" i="3"/>
  <c r="A68" i="3"/>
  <c r="W67" i="3"/>
  <c r="V67" i="3"/>
  <c r="U67" i="3"/>
  <c r="T67" i="3"/>
  <c r="S67" i="3"/>
  <c r="R67" i="3"/>
  <c r="Q67" i="3"/>
  <c r="P67" i="3"/>
  <c r="O67" i="3"/>
  <c r="N67" i="3"/>
  <c r="M67" i="3"/>
  <c r="L67" i="3"/>
  <c r="K67" i="3"/>
  <c r="J67" i="3"/>
  <c r="I67" i="3"/>
  <c r="H67" i="3"/>
  <c r="G67" i="3"/>
  <c r="F67" i="3"/>
  <c r="E67" i="3"/>
  <c r="D67" i="3"/>
  <c r="C67" i="3"/>
  <c r="B67" i="3"/>
  <c r="A67" i="3"/>
  <c r="W66" i="3"/>
  <c r="V66" i="3"/>
  <c r="U66" i="3"/>
  <c r="T66" i="3"/>
  <c r="S66" i="3"/>
  <c r="R66" i="3"/>
  <c r="Q66" i="3"/>
  <c r="P66" i="3"/>
  <c r="O66" i="3"/>
  <c r="N66" i="3"/>
  <c r="M66" i="3"/>
  <c r="L66" i="3"/>
  <c r="K66" i="3"/>
  <c r="J66" i="3"/>
  <c r="I66" i="3"/>
  <c r="H66" i="3"/>
  <c r="G66" i="3"/>
  <c r="F66" i="3"/>
  <c r="E66" i="3"/>
  <c r="D66" i="3"/>
  <c r="C66" i="3"/>
  <c r="B66" i="3"/>
  <c r="W65" i="3"/>
  <c r="V65" i="3"/>
  <c r="U65" i="3"/>
  <c r="T65" i="3"/>
  <c r="S65" i="3"/>
  <c r="R65" i="3"/>
  <c r="Q65" i="3"/>
  <c r="P65" i="3"/>
  <c r="O65" i="3"/>
  <c r="N65" i="3"/>
  <c r="M65" i="3"/>
  <c r="L65" i="3"/>
  <c r="K65" i="3"/>
  <c r="J65" i="3"/>
  <c r="I65" i="3"/>
  <c r="H65" i="3"/>
  <c r="G65" i="3"/>
  <c r="F65" i="3"/>
  <c r="E65" i="3"/>
  <c r="D65" i="3"/>
  <c r="C65" i="3"/>
  <c r="B65" i="3"/>
  <c r="W64" i="3"/>
  <c r="V64" i="3"/>
  <c r="U64" i="3"/>
  <c r="T64" i="3"/>
  <c r="S64" i="3"/>
  <c r="R64" i="3"/>
  <c r="Q64" i="3"/>
  <c r="P64" i="3"/>
  <c r="O64" i="3"/>
  <c r="N64" i="3"/>
  <c r="M64" i="3"/>
  <c r="L64" i="3"/>
  <c r="K64" i="3"/>
  <c r="J64" i="3"/>
  <c r="I64" i="3"/>
  <c r="H64" i="3"/>
  <c r="G64" i="3"/>
  <c r="F64" i="3"/>
  <c r="E64" i="3"/>
  <c r="D64" i="3"/>
  <c r="C64" i="3"/>
  <c r="B64" i="3"/>
  <c r="W63" i="3"/>
  <c r="V63" i="3"/>
  <c r="U63" i="3"/>
  <c r="T63" i="3"/>
  <c r="S63" i="3"/>
  <c r="R63" i="3"/>
  <c r="Q63" i="3"/>
  <c r="P63" i="3"/>
  <c r="O63" i="3"/>
  <c r="N63" i="3"/>
  <c r="M63" i="3"/>
  <c r="L63" i="3"/>
  <c r="K63" i="3"/>
  <c r="J63" i="3"/>
  <c r="I63" i="3"/>
  <c r="H63" i="3"/>
  <c r="G63" i="3"/>
  <c r="F63" i="3"/>
  <c r="E63" i="3"/>
  <c r="D63" i="3"/>
  <c r="C63" i="3"/>
  <c r="B63" i="3"/>
  <c r="W62" i="3"/>
  <c r="V62" i="3"/>
  <c r="U62" i="3"/>
  <c r="T62" i="3"/>
  <c r="S62" i="3"/>
  <c r="R62" i="3"/>
  <c r="Q62" i="3"/>
  <c r="P62" i="3"/>
  <c r="O62" i="3"/>
  <c r="N62" i="3"/>
  <c r="M62" i="3"/>
  <c r="L62" i="3"/>
  <c r="K62" i="3"/>
  <c r="J62" i="3"/>
  <c r="I62" i="3"/>
  <c r="H62" i="3"/>
  <c r="G62" i="3"/>
  <c r="F62" i="3"/>
  <c r="E62" i="3"/>
  <c r="D62" i="3"/>
  <c r="C62" i="3"/>
  <c r="B62" i="3"/>
  <c r="W61" i="3"/>
  <c r="V61" i="3"/>
  <c r="U61" i="3"/>
  <c r="T61" i="3"/>
  <c r="S61" i="3"/>
  <c r="R61" i="3"/>
  <c r="Q61" i="3"/>
  <c r="P61" i="3"/>
  <c r="O61" i="3"/>
  <c r="N61" i="3"/>
  <c r="M61" i="3"/>
  <c r="L61" i="3"/>
  <c r="K61" i="3"/>
  <c r="J61" i="3"/>
  <c r="I61" i="3"/>
  <c r="H61" i="3"/>
  <c r="G61" i="3"/>
  <c r="F61" i="3"/>
  <c r="E61" i="3"/>
  <c r="D61" i="3"/>
  <c r="C61" i="3"/>
  <c r="B61" i="3"/>
  <c r="W60" i="3"/>
  <c r="V60" i="3"/>
  <c r="U60" i="3"/>
  <c r="T60" i="3"/>
  <c r="S60" i="3"/>
  <c r="R60" i="3"/>
  <c r="Q60" i="3"/>
  <c r="P60" i="3"/>
  <c r="O60" i="3"/>
  <c r="N60" i="3"/>
  <c r="M60" i="3"/>
  <c r="L60" i="3"/>
  <c r="K60" i="3"/>
  <c r="J60" i="3"/>
  <c r="I60" i="3"/>
  <c r="H60" i="3"/>
  <c r="G60" i="3"/>
  <c r="F60" i="3"/>
  <c r="E60" i="3"/>
  <c r="D60" i="3"/>
  <c r="C60" i="3"/>
  <c r="B60" i="3"/>
  <c r="W59" i="3"/>
  <c r="V59" i="3"/>
  <c r="U59" i="3"/>
  <c r="T59" i="3"/>
  <c r="S59" i="3"/>
  <c r="R59" i="3"/>
  <c r="Q59" i="3"/>
  <c r="P59" i="3"/>
  <c r="O59" i="3"/>
  <c r="N59" i="3"/>
  <c r="M59" i="3"/>
  <c r="L59" i="3"/>
  <c r="K59" i="3"/>
  <c r="J59" i="3"/>
  <c r="I59" i="3"/>
  <c r="H59" i="3"/>
  <c r="G59" i="3"/>
  <c r="F59" i="3"/>
  <c r="E59" i="3"/>
  <c r="D59" i="3"/>
  <c r="C59" i="3"/>
  <c r="B59" i="3"/>
  <c r="W58" i="3"/>
  <c r="V58" i="3"/>
  <c r="U58" i="3"/>
  <c r="T58" i="3"/>
  <c r="S58" i="3"/>
  <c r="R58" i="3"/>
  <c r="Q58" i="3"/>
  <c r="P58" i="3"/>
  <c r="O58" i="3"/>
  <c r="N58" i="3"/>
  <c r="M58" i="3"/>
  <c r="L58" i="3"/>
  <c r="K58" i="3"/>
  <c r="J58" i="3"/>
  <c r="I58" i="3"/>
  <c r="H58" i="3"/>
  <c r="G58" i="3"/>
  <c r="F58" i="3"/>
  <c r="E58" i="3"/>
  <c r="D58" i="3"/>
  <c r="C58" i="3"/>
  <c r="B58" i="3"/>
  <c r="W57" i="3"/>
  <c r="V57" i="3"/>
  <c r="U57" i="3"/>
  <c r="T57" i="3"/>
  <c r="S57" i="3"/>
  <c r="R57" i="3"/>
  <c r="Q57" i="3"/>
  <c r="P57" i="3"/>
  <c r="O57" i="3"/>
  <c r="N57" i="3"/>
  <c r="M57" i="3"/>
  <c r="L57" i="3"/>
  <c r="K57" i="3"/>
  <c r="J57" i="3"/>
  <c r="I57" i="3"/>
  <c r="H57" i="3"/>
  <c r="G57" i="3"/>
  <c r="F57" i="3"/>
  <c r="E57" i="3"/>
  <c r="D57" i="3"/>
  <c r="C57" i="3"/>
  <c r="B57" i="3"/>
  <c r="W56" i="3"/>
  <c r="V56" i="3"/>
  <c r="U56" i="3"/>
  <c r="T56" i="3"/>
  <c r="S56" i="3"/>
  <c r="R56" i="3"/>
  <c r="Q56" i="3"/>
  <c r="P56" i="3"/>
  <c r="O56" i="3"/>
  <c r="N56" i="3"/>
  <c r="M56" i="3"/>
  <c r="L56" i="3"/>
  <c r="K56" i="3"/>
  <c r="J56" i="3"/>
  <c r="I56" i="3"/>
  <c r="H56" i="3"/>
  <c r="G56" i="3"/>
  <c r="F56" i="3"/>
  <c r="E56" i="3"/>
  <c r="D56" i="3"/>
  <c r="C56" i="3"/>
  <c r="B56" i="3"/>
  <c r="W55" i="3"/>
  <c r="V55" i="3"/>
  <c r="U55" i="3"/>
  <c r="T55" i="3"/>
  <c r="S55" i="3"/>
  <c r="R55" i="3"/>
  <c r="Q55" i="3"/>
  <c r="P55" i="3"/>
  <c r="O55" i="3"/>
  <c r="N55" i="3"/>
  <c r="M55" i="3"/>
  <c r="L55" i="3"/>
  <c r="K55" i="3"/>
  <c r="J55" i="3"/>
  <c r="I55" i="3"/>
  <c r="H55" i="3"/>
  <c r="G55" i="3"/>
  <c r="F55" i="3"/>
  <c r="E55" i="3"/>
  <c r="D55" i="3"/>
  <c r="C55" i="3"/>
  <c r="B55" i="3"/>
  <c r="W54" i="3"/>
  <c r="V54" i="3"/>
  <c r="U54" i="3"/>
  <c r="T54" i="3"/>
  <c r="S54" i="3"/>
  <c r="R54" i="3"/>
  <c r="Q54" i="3"/>
  <c r="P54" i="3"/>
  <c r="O54" i="3"/>
  <c r="N54" i="3"/>
  <c r="M54" i="3"/>
  <c r="L54" i="3"/>
  <c r="K54" i="3"/>
  <c r="J54" i="3"/>
  <c r="I54" i="3"/>
  <c r="H54" i="3"/>
  <c r="G54" i="3"/>
  <c r="F54" i="3"/>
  <c r="E54" i="3"/>
  <c r="D54" i="3"/>
  <c r="C54" i="3"/>
  <c r="B54" i="3"/>
  <c r="W53" i="3"/>
  <c r="V53" i="3"/>
  <c r="U53" i="3"/>
  <c r="T53" i="3"/>
  <c r="S53" i="3"/>
  <c r="R53" i="3"/>
  <c r="Q53" i="3"/>
  <c r="P53" i="3"/>
  <c r="O53" i="3"/>
  <c r="N53" i="3"/>
  <c r="M53" i="3"/>
  <c r="L53" i="3"/>
  <c r="K53" i="3"/>
  <c r="J53" i="3"/>
  <c r="I53" i="3"/>
  <c r="H53" i="3"/>
  <c r="G53" i="3"/>
  <c r="F53" i="3"/>
  <c r="E53" i="3"/>
  <c r="D53" i="3"/>
  <c r="C53" i="3"/>
  <c r="B53" i="3"/>
  <c r="W52" i="3"/>
  <c r="V52" i="3"/>
  <c r="U52" i="3"/>
  <c r="T52" i="3"/>
  <c r="S52" i="3"/>
  <c r="R52" i="3"/>
  <c r="Q52" i="3"/>
  <c r="P52" i="3"/>
  <c r="O52" i="3"/>
  <c r="N52" i="3"/>
  <c r="M52" i="3"/>
  <c r="L52" i="3"/>
  <c r="K52" i="3"/>
  <c r="J52" i="3"/>
  <c r="I52" i="3"/>
  <c r="H52" i="3"/>
  <c r="G52" i="3"/>
  <c r="F52" i="3"/>
  <c r="E52" i="3"/>
  <c r="D52" i="3"/>
  <c r="C52" i="3"/>
  <c r="B52" i="3"/>
  <c r="W51" i="3"/>
  <c r="V51" i="3"/>
  <c r="U51" i="3"/>
  <c r="T51" i="3"/>
  <c r="S51" i="3"/>
  <c r="R51" i="3"/>
  <c r="Q51" i="3"/>
  <c r="P51" i="3"/>
  <c r="O51" i="3"/>
  <c r="N51" i="3"/>
  <c r="M51" i="3"/>
  <c r="L51" i="3"/>
  <c r="K51" i="3"/>
  <c r="J51" i="3"/>
  <c r="I51" i="3"/>
  <c r="H51" i="3"/>
  <c r="G51" i="3"/>
  <c r="F51" i="3"/>
  <c r="E51" i="3"/>
  <c r="D51" i="3"/>
  <c r="C51" i="3"/>
  <c r="B51" i="3"/>
  <c r="W50" i="3"/>
  <c r="V50" i="3"/>
  <c r="U50" i="3"/>
  <c r="T50" i="3"/>
  <c r="S50" i="3"/>
  <c r="R50" i="3"/>
  <c r="Q50" i="3"/>
  <c r="P50" i="3"/>
  <c r="O50" i="3"/>
  <c r="N50" i="3"/>
  <c r="M50" i="3"/>
  <c r="L50" i="3"/>
  <c r="K50" i="3"/>
  <c r="J50" i="3"/>
  <c r="I50" i="3"/>
  <c r="H50" i="3"/>
  <c r="G50" i="3"/>
  <c r="F50" i="3"/>
  <c r="E50" i="3"/>
  <c r="D50" i="3"/>
  <c r="C50" i="3"/>
  <c r="B50" i="3"/>
  <c r="W49" i="3"/>
  <c r="V49" i="3"/>
  <c r="U49" i="3"/>
  <c r="T49" i="3"/>
  <c r="S49" i="3"/>
  <c r="R49" i="3"/>
  <c r="Q49" i="3"/>
  <c r="P49" i="3"/>
  <c r="O49" i="3"/>
  <c r="N49" i="3"/>
  <c r="M49" i="3"/>
  <c r="L49" i="3"/>
  <c r="K49" i="3"/>
  <c r="J49" i="3"/>
  <c r="I49" i="3"/>
  <c r="H49" i="3"/>
  <c r="G49" i="3"/>
  <c r="F49" i="3"/>
  <c r="E49" i="3"/>
  <c r="D49" i="3"/>
  <c r="C49" i="3"/>
  <c r="B49" i="3"/>
  <c r="W48" i="3"/>
  <c r="V48" i="3"/>
  <c r="U48" i="3"/>
  <c r="T48" i="3"/>
  <c r="S48" i="3"/>
  <c r="R48" i="3"/>
  <c r="Q48" i="3"/>
  <c r="P48" i="3"/>
  <c r="O48" i="3"/>
  <c r="N48" i="3"/>
  <c r="M48" i="3"/>
  <c r="L48" i="3"/>
  <c r="K48" i="3"/>
  <c r="J48" i="3"/>
  <c r="I48" i="3"/>
  <c r="H48" i="3"/>
  <c r="G48" i="3"/>
  <c r="F48" i="3"/>
  <c r="E48" i="3"/>
  <c r="D48" i="3"/>
  <c r="C48" i="3"/>
  <c r="B48" i="3"/>
  <c r="W47" i="3"/>
  <c r="V47" i="3"/>
  <c r="U47" i="3"/>
  <c r="T47" i="3"/>
  <c r="S47" i="3"/>
  <c r="R47" i="3"/>
  <c r="Q47" i="3"/>
  <c r="P47" i="3"/>
  <c r="O47" i="3"/>
  <c r="N47" i="3"/>
  <c r="M47" i="3"/>
  <c r="L47" i="3"/>
  <c r="K47" i="3"/>
  <c r="J47" i="3"/>
  <c r="I47" i="3"/>
  <c r="H47" i="3"/>
  <c r="G47" i="3"/>
  <c r="F47" i="3"/>
  <c r="E47" i="3"/>
  <c r="D47" i="3"/>
  <c r="C47" i="3"/>
  <c r="B47" i="3"/>
  <c r="W46" i="3"/>
  <c r="V46" i="3"/>
  <c r="U46" i="3"/>
  <c r="T46" i="3"/>
  <c r="S46" i="3"/>
  <c r="R46" i="3"/>
  <c r="Q46" i="3"/>
  <c r="P46" i="3"/>
  <c r="O46" i="3"/>
  <c r="N46" i="3"/>
  <c r="M46" i="3"/>
  <c r="L46" i="3"/>
  <c r="K46" i="3"/>
  <c r="J46" i="3"/>
  <c r="I46" i="3"/>
  <c r="H46" i="3"/>
  <c r="G46" i="3"/>
  <c r="F46" i="3"/>
  <c r="E46" i="3"/>
  <c r="D46" i="3"/>
  <c r="C46" i="3"/>
  <c r="B46" i="3"/>
  <c r="W45" i="3"/>
  <c r="V45" i="3"/>
  <c r="U45" i="3"/>
  <c r="T45" i="3"/>
  <c r="S45" i="3"/>
  <c r="R45" i="3"/>
  <c r="Q45" i="3"/>
  <c r="P45" i="3"/>
  <c r="O45" i="3"/>
  <c r="N45" i="3"/>
  <c r="M45" i="3"/>
  <c r="L45" i="3"/>
  <c r="K45" i="3"/>
  <c r="J45" i="3"/>
  <c r="I45" i="3"/>
  <c r="H45" i="3"/>
  <c r="G45" i="3"/>
  <c r="F45" i="3"/>
  <c r="E45" i="3"/>
  <c r="D45" i="3"/>
  <c r="C45" i="3"/>
  <c r="B45" i="3"/>
  <c r="W44" i="3"/>
  <c r="V44" i="3"/>
  <c r="U44" i="3"/>
  <c r="T44" i="3"/>
  <c r="S44" i="3"/>
  <c r="R44" i="3"/>
  <c r="Q44" i="3"/>
  <c r="P44" i="3"/>
  <c r="O44" i="3"/>
  <c r="N44" i="3"/>
  <c r="M44" i="3"/>
  <c r="L44" i="3"/>
  <c r="K44" i="3"/>
  <c r="J44" i="3"/>
  <c r="I44" i="3"/>
  <c r="H44" i="3"/>
  <c r="G44" i="3"/>
  <c r="F44" i="3"/>
  <c r="E44" i="3"/>
  <c r="D44" i="3"/>
  <c r="C44" i="3"/>
  <c r="B44" i="3"/>
  <c r="W43" i="3"/>
  <c r="V43" i="3"/>
  <c r="U43" i="3"/>
  <c r="T43" i="3"/>
  <c r="S43" i="3"/>
  <c r="R43" i="3"/>
  <c r="Q43" i="3"/>
  <c r="P43" i="3"/>
  <c r="O43" i="3"/>
  <c r="N43" i="3"/>
  <c r="M43" i="3"/>
  <c r="L43" i="3"/>
  <c r="K43" i="3"/>
  <c r="J43" i="3"/>
  <c r="I43" i="3"/>
  <c r="H43" i="3"/>
  <c r="G43" i="3"/>
  <c r="F43" i="3"/>
  <c r="E43" i="3"/>
  <c r="D43" i="3"/>
  <c r="C43" i="3"/>
  <c r="B43" i="3"/>
  <c r="W42" i="3"/>
  <c r="V42" i="3"/>
  <c r="U42" i="3"/>
  <c r="T42" i="3"/>
  <c r="S42" i="3"/>
  <c r="R42" i="3"/>
  <c r="Q42" i="3"/>
  <c r="P42" i="3"/>
  <c r="O42" i="3"/>
  <c r="N42" i="3"/>
  <c r="M42" i="3"/>
  <c r="L42" i="3"/>
  <c r="K42" i="3"/>
  <c r="J42" i="3"/>
  <c r="I42" i="3"/>
  <c r="H42" i="3"/>
  <c r="G42" i="3"/>
  <c r="F42" i="3"/>
  <c r="E42" i="3"/>
  <c r="D42" i="3"/>
  <c r="C42" i="3"/>
  <c r="B42" i="3"/>
  <c r="W41" i="3"/>
  <c r="V41" i="3"/>
  <c r="U41" i="3"/>
  <c r="T41" i="3"/>
  <c r="S41" i="3"/>
  <c r="R41" i="3"/>
  <c r="Q41" i="3"/>
  <c r="P41" i="3"/>
  <c r="O41" i="3"/>
  <c r="N41" i="3"/>
  <c r="M41" i="3"/>
  <c r="L41" i="3"/>
  <c r="K41" i="3"/>
  <c r="J41" i="3"/>
  <c r="I41" i="3"/>
  <c r="H41" i="3"/>
  <c r="G41" i="3"/>
  <c r="F41" i="3"/>
  <c r="E41" i="3"/>
  <c r="D41" i="3"/>
  <c r="C41" i="3"/>
  <c r="B41" i="3"/>
  <c r="W40" i="3"/>
  <c r="V40" i="3"/>
  <c r="U40" i="3"/>
  <c r="T40" i="3"/>
  <c r="S40" i="3"/>
  <c r="R40" i="3"/>
  <c r="Q40" i="3"/>
  <c r="P40" i="3"/>
  <c r="O40" i="3"/>
  <c r="N40" i="3"/>
  <c r="M40" i="3"/>
  <c r="L40" i="3"/>
  <c r="K40" i="3"/>
  <c r="J40" i="3"/>
  <c r="I40" i="3"/>
  <c r="H40" i="3"/>
  <c r="G40" i="3"/>
  <c r="F40" i="3"/>
  <c r="E40" i="3"/>
  <c r="D40" i="3"/>
  <c r="C40" i="3"/>
  <c r="B40" i="3"/>
  <c r="W39" i="3"/>
  <c r="V39" i="3"/>
  <c r="U39" i="3"/>
  <c r="T39" i="3"/>
  <c r="S39" i="3"/>
  <c r="R39" i="3"/>
  <c r="Q39" i="3"/>
  <c r="P39" i="3"/>
  <c r="O39" i="3"/>
  <c r="N39" i="3"/>
  <c r="M39" i="3"/>
  <c r="L39" i="3"/>
  <c r="K39" i="3"/>
  <c r="J39" i="3"/>
  <c r="I39" i="3"/>
  <c r="H39" i="3"/>
  <c r="G39" i="3"/>
  <c r="F39" i="3"/>
  <c r="E39" i="3"/>
  <c r="D39" i="3"/>
  <c r="C39" i="3"/>
  <c r="B39" i="3"/>
  <c r="W38" i="3"/>
  <c r="V38" i="3"/>
  <c r="U38" i="3"/>
  <c r="T38" i="3"/>
  <c r="S38" i="3"/>
  <c r="R38" i="3"/>
  <c r="Q38" i="3"/>
  <c r="P38" i="3"/>
  <c r="O38" i="3"/>
  <c r="N38" i="3"/>
  <c r="M38" i="3"/>
  <c r="L38" i="3"/>
  <c r="K38" i="3"/>
  <c r="J38" i="3"/>
  <c r="I38" i="3"/>
  <c r="H38" i="3"/>
  <c r="G38" i="3"/>
  <c r="F38" i="3"/>
  <c r="E38" i="3"/>
  <c r="D38" i="3"/>
  <c r="C38" i="3"/>
  <c r="B38" i="3"/>
  <c r="W37" i="3"/>
  <c r="V37" i="3"/>
  <c r="U37" i="3"/>
  <c r="T37" i="3"/>
  <c r="S37" i="3"/>
  <c r="R37" i="3"/>
  <c r="Q37" i="3"/>
  <c r="P37" i="3"/>
  <c r="O37" i="3"/>
  <c r="N37" i="3"/>
  <c r="M37" i="3"/>
  <c r="L37" i="3"/>
  <c r="K37" i="3"/>
  <c r="J37" i="3"/>
  <c r="I37" i="3"/>
  <c r="H37" i="3"/>
  <c r="G37" i="3"/>
  <c r="F37" i="3"/>
  <c r="E37" i="3"/>
  <c r="D37" i="3"/>
  <c r="C37" i="3"/>
  <c r="B37" i="3"/>
  <c r="W36" i="3"/>
  <c r="V36" i="3"/>
  <c r="U36" i="3"/>
  <c r="T36" i="3"/>
  <c r="S36" i="3"/>
  <c r="R36" i="3"/>
  <c r="Q36" i="3"/>
  <c r="P36" i="3"/>
  <c r="O36" i="3"/>
  <c r="N36" i="3"/>
  <c r="M36" i="3"/>
  <c r="L36" i="3"/>
  <c r="K36" i="3"/>
  <c r="J36" i="3"/>
  <c r="I36" i="3"/>
  <c r="H36" i="3"/>
  <c r="G36" i="3"/>
  <c r="F36" i="3"/>
  <c r="E36" i="3"/>
  <c r="D36" i="3"/>
  <c r="C36" i="3"/>
  <c r="B36" i="3"/>
  <c r="W35" i="3"/>
  <c r="V35" i="3"/>
  <c r="U35" i="3"/>
  <c r="T35" i="3"/>
  <c r="S35" i="3"/>
  <c r="R35" i="3"/>
  <c r="Q35" i="3"/>
  <c r="P35" i="3"/>
  <c r="O35" i="3"/>
  <c r="N35" i="3"/>
  <c r="M35" i="3"/>
  <c r="L35" i="3"/>
  <c r="K35" i="3"/>
  <c r="J35" i="3"/>
  <c r="I35" i="3"/>
  <c r="H35" i="3"/>
  <c r="G35" i="3"/>
  <c r="F35" i="3"/>
  <c r="E35" i="3"/>
  <c r="D35" i="3"/>
  <c r="C35" i="3"/>
  <c r="B35" i="3"/>
  <c r="W34" i="3"/>
  <c r="V34" i="3"/>
  <c r="U34" i="3"/>
  <c r="T34" i="3"/>
  <c r="S34" i="3"/>
  <c r="R34" i="3"/>
  <c r="Q34" i="3"/>
  <c r="P34" i="3"/>
  <c r="O34" i="3"/>
  <c r="N34" i="3"/>
  <c r="M34" i="3"/>
  <c r="L34" i="3"/>
  <c r="K34" i="3"/>
  <c r="J34" i="3"/>
  <c r="I34" i="3"/>
  <c r="H34" i="3"/>
  <c r="G34" i="3"/>
  <c r="F34" i="3"/>
  <c r="E34" i="3"/>
  <c r="D34" i="3"/>
  <c r="C34" i="3"/>
  <c r="B34" i="3"/>
  <c r="W33" i="3"/>
  <c r="V33" i="3"/>
  <c r="U33" i="3"/>
  <c r="T33" i="3"/>
  <c r="S33" i="3"/>
  <c r="R33" i="3"/>
  <c r="Q33" i="3"/>
  <c r="P33" i="3"/>
  <c r="O33" i="3"/>
  <c r="N33" i="3"/>
  <c r="M33" i="3"/>
  <c r="L33" i="3"/>
  <c r="K33" i="3"/>
  <c r="J33" i="3"/>
  <c r="I33" i="3"/>
  <c r="H33" i="3"/>
  <c r="G33" i="3"/>
  <c r="F33" i="3"/>
  <c r="E33" i="3"/>
  <c r="D33" i="3"/>
  <c r="C33" i="3"/>
  <c r="B33" i="3"/>
  <c r="W32" i="3"/>
  <c r="V32" i="3"/>
  <c r="U32" i="3"/>
  <c r="T32" i="3"/>
  <c r="S32" i="3"/>
  <c r="R32" i="3"/>
  <c r="Q32" i="3"/>
  <c r="P32" i="3"/>
  <c r="O32" i="3"/>
  <c r="N32" i="3"/>
  <c r="M32" i="3"/>
  <c r="L32" i="3"/>
  <c r="K32" i="3"/>
  <c r="J32" i="3"/>
  <c r="I32" i="3"/>
  <c r="H32" i="3"/>
  <c r="G32" i="3"/>
  <c r="F32" i="3"/>
  <c r="E32" i="3"/>
  <c r="D32" i="3"/>
  <c r="C32" i="3"/>
  <c r="B32" i="3"/>
  <c r="W31" i="3"/>
  <c r="V31" i="3"/>
  <c r="U31" i="3"/>
  <c r="T31" i="3"/>
  <c r="S31" i="3"/>
  <c r="R31" i="3"/>
  <c r="Q31" i="3"/>
  <c r="P31" i="3"/>
  <c r="O31" i="3"/>
  <c r="N31" i="3"/>
  <c r="M31" i="3"/>
  <c r="L31" i="3"/>
  <c r="K31" i="3"/>
  <c r="J31" i="3"/>
  <c r="I31" i="3"/>
  <c r="H31" i="3"/>
  <c r="G31" i="3"/>
  <c r="F31" i="3"/>
  <c r="E31" i="3"/>
  <c r="D31" i="3"/>
  <c r="C31" i="3"/>
  <c r="B31" i="3"/>
  <c r="W30" i="3"/>
  <c r="V30" i="3"/>
  <c r="U30" i="3"/>
  <c r="T30" i="3"/>
  <c r="S30" i="3"/>
  <c r="R30" i="3"/>
  <c r="Q30" i="3"/>
  <c r="P30" i="3"/>
  <c r="O30" i="3"/>
  <c r="N30" i="3"/>
  <c r="M30" i="3"/>
  <c r="L30" i="3"/>
  <c r="K30" i="3"/>
  <c r="J30" i="3"/>
  <c r="I30" i="3"/>
  <c r="H30" i="3"/>
  <c r="G30" i="3"/>
  <c r="F30" i="3"/>
  <c r="E30" i="3"/>
  <c r="D30" i="3"/>
  <c r="C30" i="3"/>
  <c r="B30" i="3"/>
  <c r="W29" i="3"/>
  <c r="V29" i="3"/>
  <c r="U29" i="3"/>
  <c r="T29" i="3"/>
  <c r="S29" i="3"/>
  <c r="R29" i="3"/>
  <c r="Q29" i="3"/>
  <c r="P29" i="3"/>
  <c r="O29" i="3"/>
  <c r="N29" i="3"/>
  <c r="M29" i="3"/>
  <c r="L29" i="3"/>
  <c r="K29" i="3"/>
  <c r="J29" i="3"/>
  <c r="I29" i="3"/>
  <c r="H29" i="3"/>
  <c r="G29" i="3"/>
  <c r="F29" i="3"/>
  <c r="E29" i="3"/>
  <c r="D29" i="3"/>
  <c r="C29" i="3"/>
  <c r="B29" i="3"/>
  <c r="W28" i="3"/>
  <c r="V28" i="3"/>
  <c r="U28" i="3"/>
  <c r="T28" i="3"/>
  <c r="S28" i="3"/>
  <c r="R28" i="3"/>
  <c r="Q28" i="3"/>
  <c r="P28" i="3"/>
  <c r="O28" i="3"/>
  <c r="N28" i="3"/>
  <c r="M28" i="3"/>
  <c r="L28" i="3"/>
  <c r="K28" i="3"/>
  <c r="J28" i="3"/>
  <c r="I28" i="3"/>
  <c r="H28" i="3"/>
  <c r="G28" i="3"/>
  <c r="F28" i="3"/>
  <c r="E28" i="3"/>
  <c r="D28" i="3"/>
  <c r="C28" i="3"/>
  <c r="B28" i="3"/>
  <c r="W27" i="3"/>
  <c r="V27" i="3"/>
  <c r="U27" i="3"/>
  <c r="T27" i="3"/>
  <c r="S27" i="3"/>
  <c r="R27" i="3"/>
  <c r="Q27" i="3"/>
  <c r="P27" i="3"/>
  <c r="O27" i="3"/>
  <c r="N27" i="3"/>
  <c r="M27" i="3"/>
  <c r="L27" i="3"/>
  <c r="K27" i="3"/>
  <c r="J27" i="3"/>
  <c r="I27" i="3"/>
  <c r="H27" i="3"/>
  <c r="G27" i="3"/>
  <c r="F27" i="3"/>
  <c r="E27" i="3"/>
  <c r="D27" i="3"/>
  <c r="C27" i="3"/>
  <c r="B27" i="3"/>
  <c r="W26" i="3"/>
  <c r="V26" i="3"/>
  <c r="U26" i="3"/>
  <c r="T26" i="3"/>
  <c r="S26" i="3"/>
  <c r="R26" i="3"/>
  <c r="Q26" i="3"/>
  <c r="P26" i="3"/>
  <c r="O26" i="3"/>
  <c r="N26" i="3"/>
  <c r="M26" i="3"/>
  <c r="L26" i="3"/>
  <c r="K26" i="3"/>
  <c r="J26" i="3"/>
  <c r="I26" i="3"/>
  <c r="H26" i="3"/>
  <c r="G26" i="3"/>
  <c r="F26" i="3"/>
  <c r="E26" i="3"/>
  <c r="D26" i="3"/>
  <c r="C26" i="3"/>
  <c r="B26" i="3"/>
  <c r="W25" i="3"/>
  <c r="V25" i="3"/>
  <c r="U25" i="3"/>
  <c r="T25" i="3"/>
  <c r="S25" i="3"/>
  <c r="R25" i="3"/>
  <c r="Q25" i="3"/>
  <c r="P25" i="3"/>
  <c r="O25" i="3"/>
  <c r="N25" i="3"/>
  <c r="M25" i="3"/>
  <c r="L25" i="3"/>
  <c r="K25" i="3"/>
  <c r="J25" i="3"/>
  <c r="I25" i="3"/>
  <c r="H25" i="3"/>
  <c r="G25" i="3"/>
  <c r="F25" i="3"/>
  <c r="E25" i="3"/>
  <c r="D25" i="3"/>
  <c r="C25" i="3"/>
  <c r="B25" i="3"/>
  <c r="W24" i="3"/>
  <c r="V24" i="3"/>
  <c r="U24" i="3"/>
  <c r="T24" i="3"/>
  <c r="S24" i="3"/>
  <c r="R24" i="3"/>
  <c r="Q24" i="3"/>
  <c r="P24" i="3"/>
  <c r="O24" i="3"/>
  <c r="N24" i="3"/>
  <c r="M24" i="3"/>
  <c r="L24" i="3"/>
  <c r="K24" i="3"/>
  <c r="J24" i="3"/>
  <c r="I24" i="3"/>
  <c r="H24" i="3"/>
  <c r="G24" i="3"/>
  <c r="F24" i="3"/>
  <c r="E24" i="3"/>
  <c r="D24" i="3"/>
  <c r="C24" i="3"/>
  <c r="B24" i="3"/>
  <c r="W23" i="3"/>
  <c r="V23" i="3"/>
  <c r="U23" i="3"/>
  <c r="T23" i="3"/>
  <c r="S23" i="3"/>
  <c r="R23" i="3"/>
  <c r="Q23" i="3"/>
  <c r="P23" i="3"/>
  <c r="O23" i="3"/>
  <c r="N23" i="3"/>
  <c r="M23" i="3"/>
  <c r="L23" i="3"/>
  <c r="K23" i="3"/>
  <c r="J23" i="3"/>
  <c r="I23" i="3"/>
  <c r="H23" i="3"/>
  <c r="G23" i="3"/>
  <c r="F23" i="3"/>
  <c r="E23" i="3"/>
  <c r="D23" i="3"/>
  <c r="C23" i="3"/>
  <c r="B23" i="3"/>
  <c r="W22" i="3"/>
  <c r="V22" i="3"/>
  <c r="U22" i="3"/>
  <c r="T22" i="3"/>
  <c r="S22" i="3"/>
  <c r="R22" i="3"/>
  <c r="Q22" i="3"/>
  <c r="P22" i="3"/>
  <c r="O22" i="3"/>
  <c r="N22" i="3"/>
  <c r="M22" i="3"/>
  <c r="L22" i="3"/>
  <c r="K22" i="3"/>
  <c r="J22" i="3"/>
  <c r="I22" i="3"/>
  <c r="H22" i="3"/>
  <c r="G22" i="3"/>
  <c r="F22" i="3"/>
  <c r="E22" i="3"/>
  <c r="D22" i="3"/>
  <c r="C22" i="3"/>
  <c r="B22" i="3"/>
  <c r="W21" i="3"/>
  <c r="V21" i="3"/>
  <c r="U21" i="3"/>
  <c r="T21" i="3"/>
  <c r="S21" i="3"/>
  <c r="R21" i="3"/>
  <c r="Q21" i="3"/>
  <c r="P21" i="3"/>
  <c r="O21" i="3"/>
  <c r="N21" i="3"/>
  <c r="M21" i="3"/>
  <c r="L21" i="3"/>
  <c r="K21" i="3"/>
  <c r="J21" i="3"/>
  <c r="I21" i="3"/>
  <c r="H21" i="3"/>
  <c r="G21" i="3"/>
  <c r="F21" i="3"/>
  <c r="E21" i="3"/>
  <c r="D21" i="3"/>
  <c r="C21" i="3"/>
  <c r="B21" i="3"/>
  <c r="W20" i="3"/>
  <c r="V20" i="3"/>
  <c r="U20" i="3"/>
  <c r="T20" i="3"/>
  <c r="S20" i="3"/>
  <c r="R20" i="3"/>
  <c r="Q20" i="3"/>
  <c r="P20" i="3"/>
  <c r="O20" i="3"/>
  <c r="N20" i="3"/>
  <c r="M20" i="3"/>
  <c r="L20" i="3"/>
  <c r="K20" i="3"/>
  <c r="J20" i="3"/>
  <c r="I20" i="3"/>
  <c r="H20" i="3"/>
  <c r="G20" i="3"/>
  <c r="F20" i="3"/>
  <c r="E20" i="3"/>
  <c r="D20" i="3"/>
  <c r="C20" i="3"/>
  <c r="B20" i="3"/>
  <c r="W19" i="3"/>
  <c r="V19" i="3"/>
  <c r="U19" i="3"/>
  <c r="T19" i="3"/>
  <c r="S19" i="3"/>
  <c r="R19" i="3"/>
  <c r="Q19" i="3"/>
  <c r="P19" i="3"/>
  <c r="O19" i="3"/>
  <c r="N19" i="3"/>
  <c r="M19" i="3"/>
  <c r="L19" i="3"/>
  <c r="K19" i="3"/>
  <c r="J19" i="3"/>
  <c r="I19" i="3"/>
  <c r="H19" i="3"/>
  <c r="G19" i="3"/>
  <c r="F19" i="3"/>
  <c r="E19" i="3"/>
  <c r="D19" i="3"/>
  <c r="C19" i="3"/>
  <c r="B19" i="3"/>
  <c r="W18" i="3"/>
  <c r="V18" i="3"/>
  <c r="U18" i="3"/>
  <c r="T18" i="3"/>
  <c r="S18" i="3"/>
  <c r="R18" i="3"/>
  <c r="Q18" i="3"/>
  <c r="P18" i="3"/>
  <c r="O18" i="3"/>
  <c r="N18" i="3"/>
  <c r="M18" i="3"/>
  <c r="L18" i="3"/>
  <c r="K18" i="3"/>
  <c r="J18" i="3"/>
  <c r="I18" i="3"/>
  <c r="H18" i="3"/>
  <c r="G18" i="3"/>
  <c r="F18" i="3"/>
  <c r="E18" i="3"/>
  <c r="D18" i="3"/>
  <c r="C18" i="3"/>
  <c r="B18" i="3"/>
  <c r="W17" i="3"/>
  <c r="V17" i="3"/>
  <c r="U17" i="3"/>
  <c r="T17" i="3"/>
  <c r="S17" i="3"/>
  <c r="R17" i="3"/>
  <c r="Q17" i="3"/>
  <c r="P17" i="3"/>
  <c r="O17" i="3"/>
  <c r="N17" i="3"/>
  <c r="M17" i="3"/>
  <c r="L17" i="3"/>
  <c r="K17" i="3"/>
  <c r="J17" i="3"/>
  <c r="I17" i="3"/>
  <c r="H17" i="3"/>
  <c r="G17" i="3"/>
  <c r="F17" i="3"/>
  <c r="E17" i="3"/>
  <c r="D17" i="3"/>
  <c r="C17" i="3"/>
  <c r="B17" i="3"/>
  <c r="W16" i="3"/>
  <c r="V16" i="3"/>
  <c r="U16" i="3"/>
  <c r="T16" i="3"/>
  <c r="S16" i="3"/>
  <c r="R16" i="3"/>
  <c r="Q16" i="3"/>
  <c r="P16" i="3"/>
  <c r="O16" i="3"/>
  <c r="N16" i="3"/>
  <c r="M16" i="3"/>
  <c r="L16" i="3"/>
  <c r="K16" i="3"/>
  <c r="J16" i="3"/>
  <c r="I16" i="3"/>
  <c r="H16" i="3"/>
  <c r="G16" i="3"/>
  <c r="F16" i="3"/>
  <c r="E16" i="3"/>
  <c r="D16" i="3"/>
  <c r="C16" i="3"/>
  <c r="B16" i="3"/>
  <c r="W15" i="3"/>
  <c r="V15" i="3"/>
  <c r="U15" i="3"/>
  <c r="T15" i="3"/>
  <c r="S15" i="3"/>
  <c r="R15" i="3"/>
  <c r="Q15" i="3"/>
  <c r="P15" i="3"/>
  <c r="O15" i="3"/>
  <c r="N15" i="3"/>
  <c r="M15" i="3"/>
  <c r="L15" i="3"/>
  <c r="K15" i="3"/>
  <c r="J15" i="3"/>
  <c r="I15" i="3"/>
  <c r="H15" i="3"/>
  <c r="G15" i="3"/>
  <c r="F15" i="3"/>
  <c r="E15" i="3"/>
  <c r="D15" i="3"/>
  <c r="C15" i="3"/>
  <c r="B15" i="3"/>
  <c r="W14" i="3"/>
  <c r="V14" i="3"/>
  <c r="U14" i="3"/>
  <c r="T14" i="3"/>
  <c r="S14" i="3"/>
  <c r="R14" i="3"/>
  <c r="Q14" i="3"/>
  <c r="P14" i="3"/>
  <c r="O14" i="3"/>
  <c r="N14" i="3"/>
  <c r="M14" i="3"/>
  <c r="L14" i="3"/>
  <c r="K14" i="3"/>
  <c r="J14" i="3"/>
  <c r="I14" i="3"/>
  <c r="H14" i="3"/>
  <c r="G14" i="3"/>
  <c r="F14" i="3"/>
  <c r="E14" i="3"/>
  <c r="D14" i="3"/>
  <c r="C14" i="3"/>
  <c r="B14" i="3"/>
  <c r="W13" i="3"/>
  <c r="V13" i="3"/>
  <c r="U13" i="3"/>
  <c r="T13" i="3"/>
  <c r="S13" i="3"/>
  <c r="R13" i="3"/>
  <c r="Q13" i="3"/>
  <c r="P13" i="3"/>
  <c r="O13" i="3"/>
  <c r="N13" i="3"/>
  <c r="M13" i="3"/>
  <c r="L13" i="3"/>
  <c r="K13" i="3"/>
  <c r="J13" i="3"/>
  <c r="I13" i="3"/>
  <c r="H13" i="3"/>
  <c r="G13" i="3"/>
  <c r="F13" i="3"/>
  <c r="E13" i="3"/>
  <c r="D13" i="3"/>
  <c r="C13" i="3"/>
  <c r="B13" i="3"/>
  <c r="W12" i="3"/>
  <c r="V12" i="3"/>
  <c r="U12" i="3"/>
  <c r="T12" i="3"/>
  <c r="S12" i="3"/>
  <c r="R12" i="3"/>
  <c r="Q12" i="3"/>
  <c r="P12" i="3"/>
  <c r="O12" i="3"/>
  <c r="N12" i="3"/>
  <c r="M12" i="3"/>
  <c r="L12" i="3"/>
  <c r="K12" i="3"/>
  <c r="J12" i="3"/>
  <c r="I12" i="3"/>
  <c r="H12" i="3"/>
  <c r="G12" i="3"/>
  <c r="F12" i="3"/>
  <c r="E12" i="3"/>
  <c r="D12" i="3"/>
  <c r="C12" i="3"/>
  <c r="B12" i="3"/>
  <c r="W11" i="3"/>
  <c r="V11" i="3"/>
  <c r="U11" i="3"/>
  <c r="T11" i="3"/>
  <c r="S11" i="3"/>
  <c r="R11" i="3"/>
  <c r="Q11" i="3"/>
  <c r="P11" i="3"/>
  <c r="O11" i="3"/>
  <c r="N11" i="3"/>
  <c r="M11" i="3"/>
  <c r="L11" i="3"/>
  <c r="K11" i="3"/>
  <c r="J11" i="3"/>
  <c r="I11" i="3"/>
  <c r="H11" i="3"/>
  <c r="G11" i="3"/>
  <c r="F11" i="3"/>
  <c r="E11" i="3"/>
  <c r="D11" i="3"/>
  <c r="C11" i="3"/>
  <c r="B11" i="3"/>
  <c r="W10" i="3"/>
  <c r="V10" i="3"/>
  <c r="U10" i="3"/>
  <c r="T10" i="3"/>
  <c r="S10" i="3"/>
  <c r="R10" i="3"/>
  <c r="Q10" i="3"/>
  <c r="P10" i="3"/>
  <c r="O10" i="3"/>
  <c r="N10" i="3"/>
  <c r="M10" i="3"/>
  <c r="L10" i="3"/>
  <c r="K10" i="3"/>
  <c r="J10" i="3"/>
  <c r="I10" i="3"/>
  <c r="H10" i="3"/>
  <c r="G10" i="3"/>
  <c r="F10" i="3"/>
  <c r="E10" i="3"/>
  <c r="D10" i="3"/>
  <c r="C10" i="3"/>
  <c r="B10" i="3"/>
  <c r="W9" i="3"/>
  <c r="V9" i="3"/>
  <c r="U9" i="3"/>
  <c r="T9" i="3"/>
  <c r="S9" i="3"/>
  <c r="R9" i="3"/>
  <c r="Q9" i="3"/>
  <c r="P9" i="3"/>
  <c r="O9" i="3"/>
  <c r="N9" i="3"/>
  <c r="M9" i="3"/>
  <c r="L9" i="3"/>
  <c r="K9" i="3"/>
  <c r="J9" i="3"/>
  <c r="I9" i="3"/>
  <c r="H9" i="3"/>
  <c r="G9" i="3"/>
  <c r="F9" i="3"/>
  <c r="E9" i="3"/>
  <c r="D9" i="3"/>
  <c r="C9" i="3"/>
  <c r="B9" i="3"/>
  <c r="W8" i="3"/>
  <c r="V8" i="3"/>
  <c r="U8" i="3"/>
  <c r="T8" i="3"/>
  <c r="S8" i="3"/>
  <c r="R8" i="3"/>
  <c r="Q8" i="3"/>
  <c r="P8" i="3"/>
  <c r="O8" i="3"/>
  <c r="N8" i="3"/>
  <c r="M8" i="3"/>
  <c r="L8" i="3"/>
  <c r="K8" i="3"/>
  <c r="J8" i="3"/>
  <c r="I8" i="3"/>
  <c r="H8" i="3"/>
  <c r="G8" i="3"/>
  <c r="F8" i="3"/>
  <c r="E8" i="3"/>
  <c r="D8" i="3"/>
  <c r="C8" i="3"/>
  <c r="B8" i="3"/>
  <c r="E5" i="3"/>
  <c r="C5" i="3"/>
  <c r="C4" i="3"/>
  <c r="T110" i="7"/>
  <c r="P110" i="7"/>
  <c r="O110" i="7"/>
  <c r="L110" i="7"/>
  <c r="I110" i="7"/>
  <c r="H110" i="7"/>
  <c r="E110" i="7"/>
  <c r="D110" i="7"/>
  <c r="C110" i="7"/>
  <c r="B110" i="7"/>
  <c r="T109" i="7"/>
  <c r="P109" i="7"/>
  <c r="O109" i="7"/>
  <c r="L109" i="7"/>
  <c r="I109" i="7"/>
  <c r="H109" i="7"/>
  <c r="E109" i="7"/>
  <c r="D109" i="7"/>
  <c r="C109" i="7"/>
  <c r="B109" i="7"/>
  <c r="A109" i="7"/>
  <c r="T108" i="7"/>
  <c r="P108" i="7"/>
  <c r="O108" i="7"/>
  <c r="L108" i="7"/>
  <c r="I108" i="7"/>
  <c r="H108" i="7"/>
  <c r="E108" i="7"/>
  <c r="D108" i="7"/>
  <c r="C108" i="7"/>
  <c r="B108" i="7"/>
  <c r="A108" i="7"/>
  <c r="T107" i="7"/>
  <c r="P107" i="7"/>
  <c r="O107" i="7"/>
  <c r="L107" i="7"/>
  <c r="I107" i="7"/>
  <c r="H107" i="7"/>
  <c r="E107" i="7"/>
  <c r="D107" i="7"/>
  <c r="C107" i="7"/>
  <c r="B107" i="7"/>
  <c r="A107" i="7"/>
  <c r="T106" i="7"/>
  <c r="P106" i="7"/>
  <c r="O106" i="7"/>
  <c r="L106" i="7"/>
  <c r="I106" i="7"/>
  <c r="H106" i="7"/>
  <c r="E106" i="7"/>
  <c r="D106" i="7"/>
  <c r="C106" i="7"/>
  <c r="B106" i="7"/>
  <c r="A106" i="7"/>
  <c r="T105" i="7"/>
  <c r="P105" i="7"/>
  <c r="O105" i="7"/>
  <c r="L105" i="7"/>
  <c r="I105" i="7"/>
  <c r="H105" i="7"/>
  <c r="E105" i="7"/>
  <c r="D105" i="7"/>
  <c r="C105" i="7"/>
  <c r="B105" i="7"/>
  <c r="A105" i="7"/>
  <c r="T104" i="7"/>
  <c r="P104" i="7"/>
  <c r="O104" i="7"/>
  <c r="L104" i="7"/>
  <c r="I104" i="7"/>
  <c r="H104" i="7"/>
  <c r="E104" i="7"/>
  <c r="D104" i="7"/>
  <c r="C104" i="7"/>
  <c r="B104" i="7"/>
  <c r="A104" i="7"/>
  <c r="T103" i="7"/>
  <c r="P103" i="7"/>
  <c r="O103" i="7"/>
  <c r="L103" i="7"/>
  <c r="I103" i="7"/>
  <c r="H103" i="7"/>
  <c r="E103" i="7"/>
  <c r="D103" i="7"/>
  <c r="C103" i="7"/>
  <c r="B103" i="7"/>
  <c r="A103" i="7"/>
  <c r="T102" i="7"/>
  <c r="P102" i="7"/>
  <c r="O102" i="7"/>
  <c r="L102" i="7"/>
  <c r="I102" i="7"/>
  <c r="H102" i="7"/>
  <c r="E102" i="7"/>
  <c r="D102" i="7"/>
  <c r="C102" i="7"/>
  <c r="B102" i="7"/>
  <c r="A102" i="7"/>
  <c r="T101" i="7"/>
  <c r="P101" i="7"/>
  <c r="O101" i="7"/>
  <c r="L101" i="7"/>
  <c r="I101" i="7"/>
  <c r="H101" i="7"/>
  <c r="E101" i="7"/>
  <c r="D101" i="7"/>
  <c r="C101" i="7"/>
  <c r="B101" i="7"/>
  <c r="A101" i="7"/>
  <c r="T100" i="7"/>
  <c r="P100" i="7"/>
  <c r="O100" i="7"/>
  <c r="L100" i="7"/>
  <c r="I100" i="7"/>
  <c r="H100" i="7"/>
  <c r="E100" i="7"/>
  <c r="D100" i="7"/>
  <c r="C100" i="7"/>
  <c r="B100" i="7"/>
  <c r="A100" i="7"/>
  <c r="T99" i="7"/>
  <c r="P99" i="7"/>
  <c r="O99" i="7"/>
  <c r="L99" i="7"/>
  <c r="I99" i="7"/>
  <c r="H99" i="7"/>
  <c r="E99" i="7"/>
  <c r="D99" i="7"/>
  <c r="C99" i="7"/>
  <c r="B99" i="7"/>
  <c r="A99" i="7"/>
  <c r="T98" i="7"/>
  <c r="P98" i="7"/>
  <c r="O98" i="7"/>
  <c r="L98" i="7"/>
  <c r="I98" i="7"/>
  <c r="H98" i="7"/>
  <c r="E98" i="7"/>
  <c r="D98" i="7"/>
  <c r="C98" i="7"/>
  <c r="B98" i="7"/>
  <c r="A98" i="7"/>
  <c r="T97" i="7"/>
  <c r="P97" i="7"/>
  <c r="O97" i="7"/>
  <c r="L97" i="7"/>
  <c r="I97" i="7"/>
  <c r="H97" i="7"/>
  <c r="E97" i="7"/>
  <c r="D97" i="7"/>
  <c r="C97" i="7"/>
  <c r="B97" i="7"/>
  <c r="A97" i="7"/>
  <c r="T96" i="7"/>
  <c r="P96" i="7"/>
  <c r="O96" i="7"/>
  <c r="L96" i="7"/>
  <c r="I96" i="7"/>
  <c r="H96" i="7"/>
  <c r="E96" i="7"/>
  <c r="D96" i="7"/>
  <c r="C96" i="7"/>
  <c r="B96" i="7"/>
  <c r="A96" i="7"/>
  <c r="T95" i="7"/>
  <c r="P95" i="7"/>
  <c r="O95" i="7"/>
  <c r="L95" i="7"/>
  <c r="I95" i="7"/>
  <c r="H95" i="7"/>
  <c r="E95" i="7"/>
  <c r="D95" i="7"/>
  <c r="C95" i="7"/>
  <c r="B95" i="7"/>
  <c r="A95" i="7"/>
  <c r="T94" i="7"/>
  <c r="P94" i="7"/>
  <c r="O94" i="7"/>
  <c r="L94" i="7"/>
  <c r="I94" i="7"/>
  <c r="H94" i="7"/>
  <c r="E94" i="7"/>
  <c r="D94" i="7"/>
  <c r="C94" i="7"/>
  <c r="B94" i="7"/>
  <c r="A94" i="7"/>
  <c r="T93" i="7"/>
  <c r="P93" i="7"/>
  <c r="O93" i="7"/>
  <c r="L93" i="7"/>
  <c r="I93" i="7"/>
  <c r="H93" i="7"/>
  <c r="E93" i="7"/>
  <c r="D93" i="7"/>
  <c r="C93" i="7"/>
  <c r="B93" i="7"/>
  <c r="A93" i="7"/>
  <c r="T92" i="7"/>
  <c r="P92" i="7"/>
  <c r="O92" i="7"/>
  <c r="L92" i="7"/>
  <c r="I92" i="7"/>
  <c r="H92" i="7"/>
  <c r="E92" i="7"/>
  <c r="D92" i="7"/>
  <c r="C92" i="7"/>
  <c r="B92" i="7"/>
  <c r="A92" i="7"/>
  <c r="T91" i="7"/>
  <c r="P91" i="7"/>
  <c r="O91" i="7"/>
  <c r="L91" i="7"/>
  <c r="I91" i="7"/>
  <c r="H91" i="7"/>
  <c r="E91" i="7"/>
  <c r="D91" i="7"/>
  <c r="C91" i="7"/>
  <c r="B91" i="7"/>
  <c r="A91" i="7"/>
  <c r="T90" i="7"/>
  <c r="P90" i="7"/>
  <c r="O90" i="7"/>
  <c r="L90" i="7"/>
  <c r="I90" i="7"/>
  <c r="H90" i="7"/>
  <c r="E90" i="7"/>
  <c r="D90" i="7"/>
  <c r="C90" i="7"/>
  <c r="B90" i="7"/>
  <c r="A90" i="7"/>
  <c r="T89" i="7"/>
  <c r="P89" i="7"/>
  <c r="O89" i="7"/>
  <c r="L89" i="7"/>
  <c r="I89" i="7"/>
  <c r="H89" i="7"/>
  <c r="E89" i="7"/>
  <c r="D89" i="7"/>
  <c r="C89" i="7"/>
  <c r="B89" i="7"/>
  <c r="A89" i="7"/>
  <c r="T88" i="7"/>
  <c r="P88" i="7"/>
  <c r="O88" i="7"/>
  <c r="L88" i="7"/>
  <c r="I88" i="7"/>
  <c r="H88" i="7"/>
  <c r="E88" i="7"/>
  <c r="D88" i="7"/>
  <c r="C88" i="7"/>
  <c r="B88" i="7"/>
  <c r="A88" i="7"/>
  <c r="T87" i="7"/>
  <c r="P87" i="7"/>
  <c r="O87" i="7"/>
  <c r="L87" i="7"/>
  <c r="I87" i="7"/>
  <c r="H87" i="7"/>
  <c r="E87" i="7"/>
  <c r="D87" i="7"/>
  <c r="C87" i="7"/>
  <c r="B87" i="7"/>
  <c r="A87" i="7"/>
  <c r="T86" i="7"/>
  <c r="P86" i="7"/>
  <c r="O86" i="7"/>
  <c r="L86" i="7"/>
  <c r="I86" i="7"/>
  <c r="H86" i="7"/>
  <c r="E86" i="7"/>
  <c r="D86" i="7"/>
  <c r="C86" i="7"/>
  <c r="B86" i="7"/>
  <c r="A86" i="7"/>
  <c r="T85" i="7"/>
  <c r="P85" i="7"/>
  <c r="O85" i="7"/>
  <c r="L85" i="7"/>
  <c r="I85" i="7"/>
  <c r="H85" i="7"/>
  <c r="E85" i="7"/>
  <c r="D85" i="7"/>
  <c r="C85" i="7"/>
  <c r="B85" i="7"/>
  <c r="A85" i="7"/>
  <c r="T84" i="7"/>
  <c r="P84" i="7"/>
  <c r="O84" i="7"/>
  <c r="L84" i="7"/>
  <c r="I84" i="7"/>
  <c r="H84" i="7"/>
  <c r="E84" i="7"/>
  <c r="D84" i="7"/>
  <c r="C84" i="7"/>
  <c r="B84" i="7"/>
  <c r="A84" i="7"/>
  <c r="T83" i="7"/>
  <c r="P83" i="7"/>
  <c r="O83" i="7"/>
  <c r="L83" i="7"/>
  <c r="I83" i="7"/>
  <c r="H83" i="7"/>
  <c r="E83" i="7"/>
  <c r="D83" i="7"/>
  <c r="C83" i="7"/>
  <c r="B83" i="7"/>
  <c r="A83" i="7"/>
  <c r="T82" i="7"/>
  <c r="P82" i="7"/>
  <c r="O82" i="7"/>
  <c r="L82" i="7"/>
  <c r="I82" i="7"/>
  <c r="H82" i="7"/>
  <c r="E82" i="7"/>
  <c r="D82" i="7"/>
  <c r="C82" i="7"/>
  <c r="B82" i="7"/>
  <c r="A82" i="7"/>
  <c r="T81" i="7"/>
  <c r="P81" i="7"/>
  <c r="O81" i="7"/>
  <c r="L81" i="7"/>
  <c r="I81" i="7"/>
  <c r="H81" i="7"/>
  <c r="E81" i="7"/>
  <c r="D81" i="7"/>
  <c r="C81" i="7"/>
  <c r="B81" i="7"/>
  <c r="A81" i="7"/>
  <c r="T80" i="7"/>
  <c r="P80" i="7"/>
  <c r="O80" i="7"/>
  <c r="L80" i="7"/>
  <c r="I80" i="7"/>
  <c r="H80" i="7"/>
  <c r="E80" i="7"/>
  <c r="D80" i="7"/>
  <c r="C80" i="7"/>
  <c r="B80" i="7"/>
  <c r="A80" i="7"/>
  <c r="T79" i="7"/>
  <c r="P79" i="7"/>
  <c r="O79" i="7"/>
  <c r="L79" i="7"/>
  <c r="I79" i="7"/>
  <c r="H79" i="7"/>
  <c r="E79" i="7"/>
  <c r="D79" i="7"/>
  <c r="C79" i="7"/>
  <c r="B79" i="7"/>
  <c r="A79" i="7"/>
  <c r="T78" i="7"/>
  <c r="P78" i="7"/>
  <c r="O78" i="7"/>
  <c r="L78" i="7"/>
  <c r="I78" i="7"/>
  <c r="H78" i="7"/>
  <c r="E78" i="7"/>
  <c r="D78" i="7"/>
  <c r="C78" i="7"/>
  <c r="B78" i="7"/>
  <c r="A78" i="7"/>
  <c r="T77" i="7"/>
  <c r="P77" i="7"/>
  <c r="O77" i="7"/>
  <c r="L77" i="7"/>
  <c r="I77" i="7"/>
  <c r="H77" i="7"/>
  <c r="E77" i="7"/>
  <c r="D77" i="7"/>
  <c r="C77" i="7"/>
  <c r="B77" i="7"/>
  <c r="A77" i="7"/>
  <c r="T76" i="7"/>
  <c r="P76" i="7"/>
  <c r="O76" i="7"/>
  <c r="L76" i="7"/>
  <c r="I76" i="7"/>
  <c r="H76" i="7"/>
  <c r="E76" i="7"/>
  <c r="D76" i="7"/>
  <c r="C76" i="7"/>
  <c r="B76" i="7"/>
  <c r="A76" i="7"/>
  <c r="T75" i="7"/>
  <c r="P75" i="7"/>
  <c r="O75" i="7"/>
  <c r="L75" i="7"/>
  <c r="I75" i="7"/>
  <c r="H75" i="7"/>
  <c r="E75" i="7"/>
  <c r="D75" i="7"/>
  <c r="C75" i="7"/>
  <c r="B75" i="7"/>
  <c r="A75" i="7"/>
  <c r="T74" i="7"/>
  <c r="P74" i="7"/>
  <c r="O74" i="7"/>
  <c r="L74" i="7"/>
  <c r="I74" i="7"/>
  <c r="H74" i="7"/>
  <c r="E74" i="7"/>
  <c r="D74" i="7"/>
  <c r="C74" i="7"/>
  <c r="B74" i="7"/>
  <c r="A74" i="7"/>
  <c r="T73" i="7"/>
  <c r="P73" i="7"/>
  <c r="O73" i="7"/>
  <c r="L73" i="7"/>
  <c r="I73" i="7"/>
  <c r="H73" i="7"/>
  <c r="E73" i="7"/>
  <c r="D73" i="7"/>
  <c r="C73" i="7"/>
  <c r="B73" i="7"/>
  <c r="A73" i="7"/>
  <c r="T72" i="7"/>
  <c r="P72" i="7"/>
  <c r="O72" i="7"/>
  <c r="L72" i="7"/>
  <c r="I72" i="7"/>
  <c r="H72" i="7"/>
  <c r="E72" i="7"/>
  <c r="D72" i="7"/>
  <c r="C72" i="7"/>
  <c r="B72" i="7"/>
  <c r="A72" i="7"/>
  <c r="T71" i="7"/>
  <c r="P71" i="7"/>
  <c r="O71" i="7"/>
  <c r="L71" i="7"/>
  <c r="I71" i="7"/>
  <c r="H71" i="7"/>
  <c r="E71" i="7"/>
  <c r="D71" i="7"/>
  <c r="C71" i="7"/>
  <c r="B71" i="7"/>
  <c r="A71" i="7"/>
  <c r="T70" i="7"/>
  <c r="P70" i="7"/>
  <c r="O70" i="7"/>
  <c r="L70" i="7"/>
  <c r="I70" i="7"/>
  <c r="H70" i="7"/>
  <c r="E70" i="7"/>
  <c r="D70" i="7"/>
  <c r="C70" i="7"/>
  <c r="B70" i="7"/>
  <c r="A70" i="7"/>
  <c r="T69" i="7"/>
  <c r="P69" i="7"/>
  <c r="O69" i="7"/>
  <c r="L69" i="7"/>
  <c r="I69" i="7"/>
  <c r="H69" i="7"/>
  <c r="E69" i="7"/>
  <c r="D69" i="7"/>
  <c r="C69" i="7"/>
  <c r="B69" i="7"/>
  <c r="T68" i="7"/>
  <c r="P68" i="7"/>
  <c r="O68" i="7"/>
  <c r="L68" i="7"/>
  <c r="I68" i="7"/>
  <c r="H68" i="7"/>
  <c r="E68" i="7"/>
  <c r="D68" i="7"/>
  <c r="C68" i="7"/>
  <c r="B68" i="7"/>
  <c r="T67" i="7"/>
  <c r="P67" i="7"/>
  <c r="O67" i="7"/>
  <c r="L67" i="7"/>
  <c r="I67" i="7"/>
  <c r="H67" i="7"/>
  <c r="E67" i="7"/>
  <c r="D67" i="7"/>
  <c r="C67" i="7"/>
  <c r="B67" i="7"/>
  <c r="T66" i="7"/>
  <c r="P66" i="7"/>
  <c r="O66" i="7"/>
  <c r="L66" i="7"/>
  <c r="I66" i="7"/>
  <c r="H66" i="7"/>
  <c r="E66" i="7"/>
  <c r="D66" i="7"/>
  <c r="C66" i="7"/>
  <c r="B66" i="7"/>
  <c r="T65" i="7"/>
  <c r="P65" i="7"/>
  <c r="O65" i="7"/>
  <c r="L65" i="7"/>
  <c r="I65" i="7"/>
  <c r="H65" i="7"/>
  <c r="E65" i="7"/>
  <c r="D65" i="7"/>
  <c r="C65" i="7"/>
  <c r="B65" i="7"/>
  <c r="T64" i="7"/>
  <c r="P64" i="7"/>
  <c r="O64" i="7"/>
  <c r="L64" i="7"/>
  <c r="I64" i="7"/>
  <c r="H64" i="7"/>
  <c r="E64" i="7"/>
  <c r="D64" i="7"/>
  <c r="C64" i="7"/>
  <c r="B64" i="7"/>
  <c r="T63" i="7"/>
  <c r="P63" i="7"/>
  <c r="O63" i="7"/>
  <c r="L63" i="7"/>
  <c r="I63" i="7"/>
  <c r="H63" i="7"/>
  <c r="E63" i="7"/>
  <c r="D63" i="7"/>
  <c r="C63" i="7"/>
  <c r="B63" i="7"/>
  <c r="T62" i="7"/>
  <c r="P62" i="7"/>
  <c r="O62" i="7"/>
  <c r="L62" i="7"/>
  <c r="I62" i="7"/>
  <c r="H62" i="7"/>
  <c r="E62" i="7"/>
  <c r="D62" i="7"/>
  <c r="C62" i="7"/>
  <c r="B62" i="7"/>
  <c r="T61" i="7"/>
  <c r="P61" i="7"/>
  <c r="O61" i="7"/>
  <c r="L61" i="7"/>
  <c r="I61" i="7"/>
  <c r="H61" i="7"/>
  <c r="E61" i="7"/>
  <c r="D61" i="7"/>
  <c r="C61" i="7"/>
  <c r="B61" i="7"/>
  <c r="T60" i="7"/>
  <c r="P60" i="7"/>
  <c r="O60" i="7"/>
  <c r="L60" i="7"/>
  <c r="I60" i="7"/>
  <c r="H60" i="7"/>
  <c r="E60" i="7"/>
  <c r="D60" i="7"/>
  <c r="C60" i="7"/>
  <c r="B60" i="7"/>
  <c r="T59" i="7"/>
  <c r="P59" i="7"/>
  <c r="O59" i="7"/>
  <c r="L59" i="7"/>
  <c r="I59" i="7"/>
  <c r="H59" i="7"/>
  <c r="E59" i="7"/>
  <c r="D59" i="7"/>
  <c r="C59" i="7"/>
  <c r="B59" i="7"/>
  <c r="T58" i="7"/>
  <c r="P58" i="7"/>
  <c r="O58" i="7"/>
  <c r="L58" i="7"/>
  <c r="I58" i="7"/>
  <c r="H58" i="7"/>
  <c r="E58" i="7"/>
  <c r="D58" i="7"/>
  <c r="C58" i="7"/>
  <c r="B58" i="7"/>
  <c r="T57" i="7"/>
  <c r="P57" i="7"/>
  <c r="O57" i="7"/>
  <c r="L57" i="7"/>
  <c r="I57" i="7"/>
  <c r="H57" i="7"/>
  <c r="E57" i="7"/>
  <c r="D57" i="7"/>
  <c r="C57" i="7"/>
  <c r="B57" i="7"/>
  <c r="T56" i="7"/>
  <c r="P56" i="7"/>
  <c r="O56" i="7"/>
  <c r="L56" i="7"/>
  <c r="I56" i="7"/>
  <c r="H56" i="7"/>
  <c r="E56" i="7"/>
  <c r="D56" i="7"/>
  <c r="C56" i="7"/>
  <c r="B56" i="7"/>
  <c r="T55" i="7"/>
  <c r="P55" i="7"/>
  <c r="O55" i="7"/>
  <c r="L55" i="7"/>
  <c r="I55" i="7"/>
  <c r="H55" i="7"/>
  <c r="E55" i="7"/>
  <c r="D55" i="7"/>
  <c r="C55" i="7"/>
  <c r="B55" i="7"/>
  <c r="T54" i="7"/>
  <c r="P54" i="7"/>
  <c r="O54" i="7"/>
  <c r="L54" i="7"/>
  <c r="I54" i="7"/>
  <c r="H54" i="7"/>
  <c r="E54" i="7"/>
  <c r="D54" i="7"/>
  <c r="C54" i="7"/>
  <c r="B54" i="7"/>
  <c r="T53" i="7"/>
  <c r="P53" i="7"/>
  <c r="O53" i="7"/>
  <c r="L53" i="7"/>
  <c r="I53" i="7"/>
  <c r="H53" i="7"/>
  <c r="E53" i="7"/>
  <c r="D53" i="7"/>
  <c r="C53" i="7"/>
  <c r="B53" i="7"/>
  <c r="T52" i="7"/>
  <c r="P52" i="7"/>
  <c r="O52" i="7"/>
  <c r="L52" i="7"/>
  <c r="I52" i="7"/>
  <c r="H52" i="7"/>
  <c r="E52" i="7"/>
  <c r="D52" i="7"/>
  <c r="C52" i="7"/>
  <c r="B52" i="7"/>
  <c r="T51" i="7"/>
  <c r="P51" i="7"/>
  <c r="O51" i="7"/>
  <c r="L51" i="7"/>
  <c r="I51" i="7"/>
  <c r="H51" i="7"/>
  <c r="E51" i="7"/>
  <c r="D51" i="7"/>
  <c r="C51" i="7"/>
  <c r="B51" i="7"/>
  <c r="T50" i="7"/>
  <c r="P50" i="7"/>
  <c r="O50" i="7"/>
  <c r="L50" i="7"/>
  <c r="I50" i="7"/>
  <c r="H50" i="7"/>
  <c r="E50" i="7"/>
  <c r="D50" i="7"/>
  <c r="C50" i="7"/>
  <c r="B50" i="7"/>
  <c r="T49" i="7"/>
  <c r="P49" i="7"/>
  <c r="O49" i="7"/>
  <c r="L49" i="7"/>
  <c r="I49" i="7"/>
  <c r="H49" i="7"/>
  <c r="E49" i="7"/>
  <c r="D49" i="7"/>
  <c r="C49" i="7"/>
  <c r="B49" i="7"/>
  <c r="T48" i="7"/>
  <c r="P48" i="7"/>
  <c r="O48" i="7"/>
  <c r="L48" i="7"/>
  <c r="I48" i="7"/>
  <c r="H48" i="7"/>
  <c r="E48" i="7"/>
  <c r="D48" i="7"/>
  <c r="C48" i="7"/>
  <c r="B48" i="7"/>
  <c r="T47" i="7"/>
  <c r="P47" i="7"/>
  <c r="O47" i="7"/>
  <c r="L47" i="7"/>
  <c r="I47" i="7"/>
  <c r="H47" i="7"/>
  <c r="E47" i="7"/>
  <c r="D47" i="7"/>
  <c r="C47" i="7"/>
  <c r="B47" i="7"/>
  <c r="T46" i="7"/>
  <c r="P46" i="7"/>
  <c r="O46" i="7"/>
  <c r="L46" i="7"/>
  <c r="I46" i="7"/>
  <c r="H46" i="7"/>
  <c r="E46" i="7"/>
  <c r="D46" i="7"/>
  <c r="C46" i="7"/>
  <c r="B46" i="7"/>
  <c r="T45" i="7"/>
  <c r="P45" i="7"/>
  <c r="O45" i="7"/>
  <c r="L45" i="7"/>
  <c r="I45" i="7"/>
  <c r="H45" i="7"/>
  <c r="E45" i="7"/>
  <c r="D45" i="7"/>
  <c r="C45" i="7"/>
  <c r="B45" i="7"/>
  <c r="T44" i="7"/>
  <c r="P44" i="7"/>
  <c r="O44" i="7"/>
  <c r="L44" i="7"/>
  <c r="I44" i="7"/>
  <c r="H44" i="7"/>
  <c r="E44" i="7"/>
  <c r="D44" i="7"/>
  <c r="C44" i="7"/>
  <c r="B44" i="7"/>
  <c r="T43" i="7"/>
  <c r="P43" i="7"/>
  <c r="O43" i="7"/>
  <c r="L43" i="7"/>
  <c r="I43" i="7"/>
  <c r="H43" i="7"/>
  <c r="E43" i="7"/>
  <c r="D43" i="7"/>
  <c r="C43" i="7"/>
  <c r="B43" i="7"/>
  <c r="T42" i="7"/>
  <c r="P42" i="7"/>
  <c r="O42" i="7"/>
  <c r="L42" i="7"/>
  <c r="I42" i="7"/>
  <c r="H42" i="7"/>
  <c r="E42" i="7"/>
  <c r="D42" i="7"/>
  <c r="C42" i="7"/>
  <c r="B42" i="7"/>
  <c r="T41" i="7"/>
  <c r="P41" i="7"/>
  <c r="O41" i="7"/>
  <c r="L41" i="7"/>
  <c r="I41" i="7"/>
  <c r="H41" i="7"/>
  <c r="E41" i="7"/>
  <c r="D41" i="7"/>
  <c r="C41" i="7"/>
  <c r="B41" i="7"/>
  <c r="T40" i="7"/>
  <c r="P40" i="7"/>
  <c r="O40" i="7"/>
  <c r="L40" i="7"/>
  <c r="I40" i="7"/>
  <c r="H40" i="7"/>
  <c r="E40" i="7"/>
  <c r="D40" i="7"/>
  <c r="C40" i="7"/>
  <c r="B40" i="7"/>
  <c r="T39" i="7"/>
  <c r="P39" i="7"/>
  <c r="O39" i="7"/>
  <c r="L39" i="7"/>
  <c r="I39" i="7"/>
  <c r="H39" i="7"/>
  <c r="E39" i="7"/>
  <c r="D39" i="7"/>
  <c r="C39" i="7"/>
  <c r="B39" i="7"/>
  <c r="T38" i="7"/>
  <c r="P38" i="7"/>
  <c r="O38" i="7"/>
  <c r="L38" i="7"/>
  <c r="I38" i="7"/>
  <c r="H38" i="7"/>
  <c r="E38" i="7"/>
  <c r="D38" i="7"/>
  <c r="C38" i="7"/>
  <c r="B38" i="7"/>
  <c r="T37" i="7"/>
  <c r="P37" i="7"/>
  <c r="O37" i="7"/>
  <c r="L37" i="7"/>
  <c r="I37" i="7"/>
  <c r="H37" i="7"/>
  <c r="E37" i="7"/>
  <c r="D37" i="7"/>
  <c r="C37" i="7"/>
  <c r="B37" i="7"/>
  <c r="T36" i="7"/>
  <c r="P36" i="7"/>
  <c r="O36" i="7"/>
  <c r="L36" i="7"/>
  <c r="I36" i="7"/>
  <c r="H36" i="7"/>
  <c r="E36" i="7"/>
  <c r="D36" i="7"/>
  <c r="C36" i="7"/>
  <c r="B36" i="7"/>
  <c r="T35" i="7"/>
  <c r="P35" i="7"/>
  <c r="O35" i="7"/>
  <c r="L35" i="7"/>
  <c r="I35" i="7"/>
  <c r="H35" i="7"/>
  <c r="E35" i="7"/>
  <c r="D35" i="7"/>
  <c r="C35" i="7"/>
  <c r="B35" i="7"/>
  <c r="T34" i="7"/>
  <c r="P34" i="7"/>
  <c r="O34" i="7"/>
  <c r="L34" i="7"/>
  <c r="I34" i="7"/>
  <c r="H34" i="7"/>
  <c r="E34" i="7"/>
  <c r="D34" i="7"/>
  <c r="C34" i="7"/>
  <c r="B34" i="7"/>
  <c r="T33" i="7"/>
  <c r="P33" i="7"/>
  <c r="O33" i="7"/>
  <c r="L33" i="7"/>
  <c r="I33" i="7"/>
  <c r="H33" i="7"/>
  <c r="E33" i="7"/>
  <c r="D33" i="7"/>
  <c r="C33" i="7"/>
  <c r="B33" i="7"/>
  <c r="T32" i="7"/>
  <c r="P32" i="7"/>
  <c r="O32" i="7"/>
  <c r="L32" i="7"/>
  <c r="I32" i="7"/>
  <c r="H32" i="7"/>
  <c r="E32" i="7"/>
  <c r="D32" i="7"/>
  <c r="C32" i="7"/>
  <c r="B32" i="7"/>
  <c r="T31" i="7"/>
  <c r="P31" i="7"/>
  <c r="O31" i="7"/>
  <c r="L31" i="7"/>
  <c r="I31" i="7"/>
  <c r="H31" i="7"/>
  <c r="E31" i="7"/>
  <c r="D31" i="7"/>
  <c r="C31" i="7"/>
  <c r="B31" i="7"/>
  <c r="T30" i="7"/>
  <c r="P30" i="7"/>
  <c r="O30" i="7"/>
  <c r="L30" i="7"/>
  <c r="I30" i="7"/>
  <c r="H30" i="7"/>
  <c r="E30" i="7"/>
  <c r="D30" i="7"/>
  <c r="C30" i="7"/>
  <c r="B30" i="7"/>
  <c r="T29" i="7"/>
  <c r="P29" i="7"/>
  <c r="O29" i="7"/>
  <c r="L29" i="7"/>
  <c r="I29" i="7"/>
  <c r="H29" i="7"/>
  <c r="E29" i="7"/>
  <c r="D29" i="7"/>
  <c r="C29" i="7"/>
  <c r="B29" i="7"/>
  <c r="T28" i="7"/>
  <c r="P28" i="7"/>
  <c r="O28" i="7"/>
  <c r="L28" i="7"/>
  <c r="I28" i="7"/>
  <c r="H28" i="7"/>
  <c r="E28" i="7"/>
  <c r="D28" i="7"/>
  <c r="C28" i="7"/>
  <c r="B28" i="7"/>
  <c r="T27" i="7"/>
  <c r="P27" i="7"/>
  <c r="O27" i="7"/>
  <c r="L27" i="7"/>
  <c r="I27" i="7"/>
  <c r="H27" i="7"/>
  <c r="E27" i="7"/>
  <c r="D27" i="7"/>
  <c r="C27" i="7"/>
  <c r="B27" i="7"/>
  <c r="T26" i="7"/>
  <c r="P26" i="7"/>
  <c r="O26" i="7"/>
  <c r="L26" i="7"/>
  <c r="I26" i="7"/>
  <c r="H26" i="7"/>
  <c r="E26" i="7"/>
  <c r="D26" i="7"/>
  <c r="C26" i="7"/>
  <c r="B26" i="7"/>
  <c r="T25" i="7"/>
  <c r="P25" i="7"/>
  <c r="O25" i="7"/>
  <c r="L25" i="7"/>
  <c r="I25" i="7"/>
  <c r="H25" i="7"/>
  <c r="E25" i="7"/>
  <c r="D25" i="7"/>
  <c r="C25" i="7"/>
  <c r="B25" i="7"/>
  <c r="T24" i="7"/>
  <c r="P24" i="7"/>
  <c r="O24" i="7"/>
  <c r="L24" i="7"/>
  <c r="I24" i="7"/>
  <c r="H24" i="7"/>
  <c r="E24" i="7"/>
  <c r="D24" i="7"/>
  <c r="C24" i="7"/>
  <c r="B24" i="7"/>
  <c r="T23" i="7"/>
  <c r="P23" i="7"/>
  <c r="O23" i="7"/>
  <c r="L23" i="7"/>
  <c r="I23" i="7"/>
  <c r="H23" i="7"/>
  <c r="E23" i="7"/>
  <c r="D23" i="7"/>
  <c r="C23" i="7"/>
  <c r="B23" i="7"/>
  <c r="T22" i="7"/>
  <c r="P22" i="7"/>
  <c r="O22" i="7"/>
  <c r="L22" i="7"/>
  <c r="I22" i="7"/>
  <c r="H22" i="7"/>
  <c r="E22" i="7"/>
  <c r="D22" i="7"/>
  <c r="C22" i="7"/>
  <c r="B22" i="7"/>
  <c r="T21" i="7"/>
  <c r="P21" i="7"/>
  <c r="O21" i="7"/>
  <c r="L21" i="7"/>
  <c r="I21" i="7"/>
  <c r="H21" i="7"/>
  <c r="E21" i="7"/>
  <c r="D21" i="7"/>
  <c r="C21" i="7"/>
  <c r="B21" i="7"/>
  <c r="T20" i="7"/>
  <c r="P20" i="7"/>
  <c r="O20" i="7"/>
  <c r="L20" i="7"/>
  <c r="I20" i="7"/>
  <c r="H20" i="7"/>
  <c r="E20" i="7"/>
  <c r="D20" i="7"/>
  <c r="C20" i="7"/>
  <c r="B20" i="7"/>
  <c r="T19" i="7"/>
  <c r="P19" i="7"/>
  <c r="O19" i="7"/>
  <c r="L19" i="7"/>
  <c r="I19" i="7"/>
  <c r="H19" i="7"/>
  <c r="E19" i="7"/>
  <c r="D19" i="7"/>
  <c r="C19" i="7"/>
  <c r="B19" i="7"/>
  <c r="T18" i="7"/>
  <c r="P18" i="7"/>
  <c r="O18" i="7"/>
  <c r="L18" i="7"/>
  <c r="I18" i="7"/>
  <c r="H18" i="7"/>
  <c r="E18" i="7"/>
  <c r="D18" i="7"/>
  <c r="C18" i="7"/>
  <c r="B18" i="7"/>
  <c r="T17" i="7"/>
  <c r="P17" i="7"/>
  <c r="O17" i="7"/>
  <c r="L17" i="7"/>
  <c r="I17" i="7"/>
  <c r="H17" i="7"/>
  <c r="E17" i="7"/>
  <c r="D17" i="7"/>
  <c r="C17" i="7"/>
  <c r="B17" i="7"/>
  <c r="T16" i="7"/>
  <c r="P16" i="7"/>
  <c r="O16" i="7"/>
  <c r="L16" i="7"/>
  <c r="I16" i="7"/>
  <c r="H16" i="7"/>
  <c r="E16" i="7"/>
  <c r="D16" i="7"/>
  <c r="C16" i="7"/>
  <c r="B16" i="7"/>
  <c r="T15" i="7"/>
  <c r="P15" i="7"/>
  <c r="O15" i="7"/>
  <c r="L15" i="7"/>
  <c r="I15" i="7"/>
  <c r="H15" i="7"/>
  <c r="E15" i="7"/>
  <c r="D15" i="7"/>
  <c r="C15" i="7"/>
  <c r="B15" i="7"/>
  <c r="T14" i="7"/>
  <c r="P14" i="7"/>
  <c r="O14" i="7"/>
  <c r="L14" i="7"/>
  <c r="I14" i="7"/>
  <c r="H14" i="7"/>
  <c r="E14" i="7"/>
  <c r="D14" i="7"/>
  <c r="C14" i="7"/>
  <c r="B14" i="7"/>
  <c r="T13" i="7"/>
  <c r="P13" i="7"/>
  <c r="O13" i="7"/>
  <c r="L13" i="7"/>
  <c r="I13" i="7"/>
  <c r="H13" i="7"/>
  <c r="E13" i="7"/>
  <c r="D13" i="7"/>
  <c r="C13" i="7"/>
  <c r="B13" i="7"/>
  <c r="T12" i="7"/>
  <c r="P12" i="7"/>
  <c r="O12" i="7"/>
  <c r="L12" i="7"/>
  <c r="I12" i="7"/>
  <c r="H12" i="7"/>
  <c r="E12" i="7"/>
  <c r="D12" i="7"/>
  <c r="C12" i="7"/>
  <c r="B12" i="7"/>
  <c r="T11" i="7"/>
  <c r="P11" i="7"/>
  <c r="O11" i="7"/>
  <c r="L11" i="7"/>
  <c r="I11" i="7"/>
  <c r="H11" i="7"/>
  <c r="E11" i="7"/>
  <c r="D11" i="7"/>
  <c r="C11" i="7"/>
  <c r="B11" i="7"/>
  <c r="C8" i="7"/>
  <c r="C7" i="7"/>
  <c r="C6" i="7"/>
  <c r="C5" i="7"/>
  <c r="H4" i="7"/>
  <c r="F4" i="7"/>
  <c r="C4" i="7"/>
  <c r="C3" i="7"/>
  <c r="A1" i="7"/>
  <c r="U110" i="6"/>
  <c r="Q110" i="6"/>
  <c r="P110" i="6"/>
  <c r="M110" i="6"/>
  <c r="J110" i="6"/>
  <c r="I110" i="6"/>
  <c r="E110" i="6"/>
  <c r="D110" i="6"/>
  <c r="C110" i="6"/>
  <c r="B110" i="6"/>
  <c r="U109" i="6"/>
  <c r="Q109" i="6"/>
  <c r="P109" i="6"/>
  <c r="M109" i="6"/>
  <c r="J109" i="6"/>
  <c r="I109" i="6"/>
  <c r="E109" i="6"/>
  <c r="D109" i="6"/>
  <c r="C109" i="6"/>
  <c r="B109" i="6"/>
  <c r="A109" i="6"/>
  <c r="U108" i="6"/>
  <c r="Q108" i="6"/>
  <c r="P108" i="6"/>
  <c r="M108" i="6"/>
  <c r="J108" i="6"/>
  <c r="I108" i="6"/>
  <c r="E108" i="6"/>
  <c r="D108" i="6"/>
  <c r="C108" i="6"/>
  <c r="B108" i="6"/>
  <c r="A108" i="6"/>
  <c r="U107" i="6"/>
  <c r="Q107" i="6"/>
  <c r="P107" i="6"/>
  <c r="M107" i="6"/>
  <c r="J107" i="6"/>
  <c r="I107" i="6"/>
  <c r="E107" i="6"/>
  <c r="D107" i="6"/>
  <c r="C107" i="6"/>
  <c r="B107" i="6"/>
  <c r="A107" i="6"/>
  <c r="U106" i="6"/>
  <c r="Q106" i="6"/>
  <c r="P106" i="6"/>
  <c r="M106" i="6"/>
  <c r="J106" i="6"/>
  <c r="I106" i="6"/>
  <c r="E106" i="6"/>
  <c r="D106" i="6"/>
  <c r="C106" i="6"/>
  <c r="B106" i="6"/>
  <c r="A106" i="6"/>
  <c r="U105" i="6"/>
  <c r="Q105" i="6"/>
  <c r="P105" i="6"/>
  <c r="M105" i="6"/>
  <c r="J105" i="6"/>
  <c r="I105" i="6"/>
  <c r="E105" i="6"/>
  <c r="D105" i="6"/>
  <c r="C105" i="6"/>
  <c r="B105" i="6"/>
  <c r="A105" i="6"/>
  <c r="U104" i="6"/>
  <c r="Q104" i="6"/>
  <c r="P104" i="6"/>
  <c r="M104" i="6"/>
  <c r="J104" i="6"/>
  <c r="I104" i="6"/>
  <c r="E104" i="6"/>
  <c r="D104" i="6"/>
  <c r="C104" i="6"/>
  <c r="B104" i="6"/>
  <c r="A104" i="6"/>
  <c r="U103" i="6"/>
  <c r="Q103" i="6"/>
  <c r="P103" i="6"/>
  <c r="M103" i="6"/>
  <c r="J103" i="6"/>
  <c r="I103" i="6"/>
  <c r="E103" i="6"/>
  <c r="D103" i="6"/>
  <c r="C103" i="6"/>
  <c r="B103" i="6"/>
  <c r="A103" i="6"/>
  <c r="U102" i="6"/>
  <c r="Q102" i="6"/>
  <c r="P102" i="6"/>
  <c r="M102" i="6"/>
  <c r="J102" i="6"/>
  <c r="I102" i="6"/>
  <c r="E102" i="6"/>
  <c r="D102" i="6"/>
  <c r="C102" i="6"/>
  <c r="B102" i="6"/>
  <c r="A102" i="6"/>
  <c r="U101" i="6"/>
  <c r="Q101" i="6"/>
  <c r="P101" i="6"/>
  <c r="M101" i="6"/>
  <c r="J101" i="6"/>
  <c r="I101" i="6"/>
  <c r="E101" i="6"/>
  <c r="D101" i="6"/>
  <c r="C101" i="6"/>
  <c r="B101" i="6"/>
  <c r="A101" i="6"/>
  <c r="U100" i="6"/>
  <c r="Q100" i="6"/>
  <c r="P100" i="6"/>
  <c r="M100" i="6"/>
  <c r="J100" i="6"/>
  <c r="I100" i="6"/>
  <c r="E100" i="6"/>
  <c r="D100" i="6"/>
  <c r="C100" i="6"/>
  <c r="B100" i="6"/>
  <c r="A100" i="6"/>
  <c r="U99" i="6"/>
  <c r="Q99" i="6"/>
  <c r="P99" i="6"/>
  <c r="M99" i="6"/>
  <c r="J99" i="6"/>
  <c r="I99" i="6"/>
  <c r="E99" i="6"/>
  <c r="D99" i="6"/>
  <c r="C99" i="6"/>
  <c r="B99" i="6"/>
  <c r="A99" i="6"/>
  <c r="U98" i="6"/>
  <c r="Q98" i="6"/>
  <c r="P98" i="6"/>
  <c r="M98" i="6"/>
  <c r="J98" i="6"/>
  <c r="I98" i="6"/>
  <c r="E98" i="6"/>
  <c r="D98" i="6"/>
  <c r="C98" i="6"/>
  <c r="B98" i="6"/>
  <c r="A98" i="6"/>
  <c r="U97" i="6"/>
  <c r="Q97" i="6"/>
  <c r="P97" i="6"/>
  <c r="M97" i="6"/>
  <c r="J97" i="6"/>
  <c r="I97" i="6"/>
  <c r="E97" i="6"/>
  <c r="D97" i="6"/>
  <c r="C97" i="6"/>
  <c r="B97" i="6"/>
  <c r="A97" i="6"/>
  <c r="U96" i="6"/>
  <c r="Q96" i="6"/>
  <c r="P96" i="6"/>
  <c r="M96" i="6"/>
  <c r="J96" i="6"/>
  <c r="I96" i="6"/>
  <c r="E96" i="6"/>
  <c r="D96" i="6"/>
  <c r="C96" i="6"/>
  <c r="B96" i="6"/>
  <c r="A96" i="6"/>
  <c r="U95" i="6"/>
  <c r="Q95" i="6"/>
  <c r="P95" i="6"/>
  <c r="M95" i="6"/>
  <c r="J95" i="6"/>
  <c r="I95" i="6"/>
  <c r="E95" i="6"/>
  <c r="D95" i="6"/>
  <c r="C95" i="6"/>
  <c r="B95" i="6"/>
  <c r="A95" i="6"/>
  <c r="U94" i="6"/>
  <c r="Q94" i="6"/>
  <c r="P94" i="6"/>
  <c r="M94" i="6"/>
  <c r="J94" i="6"/>
  <c r="I94" i="6"/>
  <c r="E94" i="6"/>
  <c r="D94" i="6"/>
  <c r="C94" i="6"/>
  <c r="B94" i="6"/>
  <c r="A94" i="6"/>
  <c r="U93" i="6"/>
  <c r="Q93" i="6"/>
  <c r="P93" i="6"/>
  <c r="M93" i="6"/>
  <c r="J93" i="6"/>
  <c r="I93" i="6"/>
  <c r="E93" i="6"/>
  <c r="D93" i="6"/>
  <c r="C93" i="6"/>
  <c r="B93" i="6"/>
  <c r="A93" i="6"/>
  <c r="U92" i="6"/>
  <c r="Q92" i="6"/>
  <c r="P92" i="6"/>
  <c r="M92" i="6"/>
  <c r="J92" i="6"/>
  <c r="I92" i="6"/>
  <c r="E92" i="6"/>
  <c r="D92" i="6"/>
  <c r="C92" i="6"/>
  <c r="B92" i="6"/>
  <c r="A92" i="6"/>
  <c r="U91" i="6"/>
  <c r="Q91" i="6"/>
  <c r="P91" i="6"/>
  <c r="M91" i="6"/>
  <c r="J91" i="6"/>
  <c r="I91" i="6"/>
  <c r="E91" i="6"/>
  <c r="D91" i="6"/>
  <c r="C91" i="6"/>
  <c r="B91" i="6"/>
  <c r="A91" i="6"/>
  <c r="U90" i="6"/>
  <c r="Q90" i="6"/>
  <c r="P90" i="6"/>
  <c r="M90" i="6"/>
  <c r="J90" i="6"/>
  <c r="I90" i="6"/>
  <c r="E90" i="6"/>
  <c r="D90" i="6"/>
  <c r="C90" i="6"/>
  <c r="B90" i="6"/>
  <c r="A90" i="6"/>
  <c r="U89" i="6"/>
  <c r="Q89" i="6"/>
  <c r="P89" i="6"/>
  <c r="M89" i="6"/>
  <c r="J89" i="6"/>
  <c r="I89" i="6"/>
  <c r="E89" i="6"/>
  <c r="D89" i="6"/>
  <c r="C89" i="6"/>
  <c r="B89" i="6"/>
  <c r="A89" i="6"/>
  <c r="U88" i="6"/>
  <c r="Q88" i="6"/>
  <c r="P88" i="6"/>
  <c r="M88" i="6"/>
  <c r="J88" i="6"/>
  <c r="I88" i="6"/>
  <c r="E88" i="6"/>
  <c r="D88" i="6"/>
  <c r="C88" i="6"/>
  <c r="B88" i="6"/>
  <c r="A88" i="6"/>
  <c r="U87" i="6"/>
  <c r="Q87" i="6"/>
  <c r="P87" i="6"/>
  <c r="M87" i="6"/>
  <c r="J87" i="6"/>
  <c r="I87" i="6"/>
  <c r="E87" i="6"/>
  <c r="D87" i="6"/>
  <c r="C87" i="6"/>
  <c r="B87" i="6"/>
  <c r="A87" i="6"/>
  <c r="U86" i="6"/>
  <c r="Q86" i="6"/>
  <c r="P86" i="6"/>
  <c r="M86" i="6"/>
  <c r="J86" i="6"/>
  <c r="I86" i="6"/>
  <c r="E86" i="6"/>
  <c r="D86" i="6"/>
  <c r="C86" i="6"/>
  <c r="B86" i="6"/>
  <c r="A86" i="6"/>
  <c r="U85" i="6"/>
  <c r="Q85" i="6"/>
  <c r="P85" i="6"/>
  <c r="M85" i="6"/>
  <c r="J85" i="6"/>
  <c r="I85" i="6"/>
  <c r="E85" i="6"/>
  <c r="D85" i="6"/>
  <c r="C85" i="6"/>
  <c r="B85" i="6"/>
  <c r="A85" i="6"/>
  <c r="U84" i="6"/>
  <c r="Q84" i="6"/>
  <c r="P84" i="6"/>
  <c r="M84" i="6"/>
  <c r="J84" i="6"/>
  <c r="I84" i="6"/>
  <c r="E84" i="6"/>
  <c r="D84" i="6"/>
  <c r="C84" i="6"/>
  <c r="B84" i="6"/>
  <c r="A84" i="6"/>
  <c r="U83" i="6"/>
  <c r="Q83" i="6"/>
  <c r="P83" i="6"/>
  <c r="M83" i="6"/>
  <c r="J83" i="6"/>
  <c r="I83" i="6"/>
  <c r="E83" i="6"/>
  <c r="D83" i="6"/>
  <c r="C83" i="6"/>
  <c r="B83" i="6"/>
  <c r="A83" i="6"/>
  <c r="U82" i="6"/>
  <c r="Q82" i="6"/>
  <c r="P82" i="6"/>
  <c r="M82" i="6"/>
  <c r="J82" i="6"/>
  <c r="I82" i="6"/>
  <c r="E82" i="6"/>
  <c r="D82" i="6"/>
  <c r="C82" i="6"/>
  <c r="B82" i="6"/>
  <c r="A82" i="6"/>
  <c r="U81" i="6"/>
  <c r="Q81" i="6"/>
  <c r="P81" i="6"/>
  <c r="M81" i="6"/>
  <c r="J81" i="6"/>
  <c r="I81" i="6"/>
  <c r="E81" i="6"/>
  <c r="D81" i="6"/>
  <c r="C81" i="6"/>
  <c r="B81" i="6"/>
  <c r="A81" i="6"/>
  <c r="U80" i="6"/>
  <c r="Q80" i="6"/>
  <c r="P80" i="6"/>
  <c r="M80" i="6"/>
  <c r="J80" i="6"/>
  <c r="I80" i="6"/>
  <c r="E80" i="6"/>
  <c r="D80" i="6"/>
  <c r="C80" i="6"/>
  <c r="B80" i="6"/>
  <c r="A80" i="6"/>
  <c r="U79" i="6"/>
  <c r="Q79" i="6"/>
  <c r="P79" i="6"/>
  <c r="M79" i="6"/>
  <c r="J79" i="6"/>
  <c r="I79" i="6"/>
  <c r="E79" i="6"/>
  <c r="D79" i="6"/>
  <c r="C79" i="6"/>
  <c r="B79" i="6"/>
  <c r="A79" i="6"/>
  <c r="U78" i="6"/>
  <c r="Q78" i="6"/>
  <c r="P78" i="6"/>
  <c r="M78" i="6"/>
  <c r="J78" i="6"/>
  <c r="I78" i="6"/>
  <c r="E78" i="6"/>
  <c r="D78" i="6"/>
  <c r="C78" i="6"/>
  <c r="B78" i="6"/>
  <c r="A78" i="6"/>
  <c r="U77" i="6"/>
  <c r="Q77" i="6"/>
  <c r="P77" i="6"/>
  <c r="M77" i="6"/>
  <c r="J77" i="6"/>
  <c r="I77" i="6"/>
  <c r="E77" i="6"/>
  <c r="D77" i="6"/>
  <c r="C77" i="6"/>
  <c r="B77" i="6"/>
  <c r="A77" i="6"/>
  <c r="U76" i="6"/>
  <c r="Q76" i="6"/>
  <c r="P76" i="6"/>
  <c r="M76" i="6"/>
  <c r="J76" i="6"/>
  <c r="I76" i="6"/>
  <c r="E76" i="6"/>
  <c r="D76" i="6"/>
  <c r="C76" i="6"/>
  <c r="B76" i="6"/>
  <c r="A76" i="6"/>
  <c r="U75" i="6"/>
  <c r="Q75" i="6"/>
  <c r="P75" i="6"/>
  <c r="M75" i="6"/>
  <c r="J75" i="6"/>
  <c r="I75" i="6"/>
  <c r="E75" i="6"/>
  <c r="D75" i="6"/>
  <c r="C75" i="6"/>
  <c r="B75" i="6"/>
  <c r="A75" i="6"/>
  <c r="U74" i="6"/>
  <c r="Q74" i="6"/>
  <c r="P74" i="6"/>
  <c r="M74" i="6"/>
  <c r="J74" i="6"/>
  <c r="I74" i="6"/>
  <c r="E74" i="6"/>
  <c r="D74" i="6"/>
  <c r="C74" i="6"/>
  <c r="B74" i="6"/>
  <c r="A74" i="6"/>
  <c r="U73" i="6"/>
  <c r="Q73" i="6"/>
  <c r="P73" i="6"/>
  <c r="M73" i="6"/>
  <c r="J73" i="6"/>
  <c r="I73" i="6"/>
  <c r="E73" i="6"/>
  <c r="D73" i="6"/>
  <c r="C73" i="6"/>
  <c r="B73" i="6"/>
  <c r="A73" i="6"/>
  <c r="U72" i="6"/>
  <c r="Q72" i="6"/>
  <c r="P72" i="6"/>
  <c r="M72" i="6"/>
  <c r="J72" i="6"/>
  <c r="I72" i="6"/>
  <c r="E72" i="6"/>
  <c r="D72" i="6"/>
  <c r="C72" i="6"/>
  <c r="B72" i="6"/>
  <c r="A72" i="6"/>
  <c r="U71" i="6"/>
  <c r="Q71" i="6"/>
  <c r="P71" i="6"/>
  <c r="M71" i="6"/>
  <c r="J71" i="6"/>
  <c r="I71" i="6"/>
  <c r="E71" i="6"/>
  <c r="D71" i="6"/>
  <c r="C71" i="6"/>
  <c r="B71" i="6"/>
  <c r="A71" i="6"/>
  <c r="U70" i="6"/>
  <c r="Q70" i="6"/>
  <c r="P70" i="6"/>
  <c r="M70" i="6"/>
  <c r="J70" i="6"/>
  <c r="I70" i="6"/>
  <c r="E70" i="6"/>
  <c r="D70" i="6"/>
  <c r="C70" i="6"/>
  <c r="B70" i="6"/>
  <c r="A70" i="6"/>
  <c r="U69" i="6"/>
  <c r="Q69" i="6"/>
  <c r="P69" i="6"/>
  <c r="M69" i="6"/>
  <c r="J69" i="6"/>
  <c r="I69" i="6"/>
  <c r="E69" i="6"/>
  <c r="D69" i="6"/>
  <c r="C69" i="6"/>
  <c r="B69" i="6"/>
  <c r="U68" i="6"/>
  <c r="Q68" i="6"/>
  <c r="P68" i="6"/>
  <c r="M68" i="6"/>
  <c r="J68" i="6"/>
  <c r="I68" i="6"/>
  <c r="E68" i="6"/>
  <c r="D68" i="6"/>
  <c r="C68" i="6"/>
  <c r="B68" i="6"/>
  <c r="U67" i="6"/>
  <c r="Q67" i="6"/>
  <c r="P67" i="6"/>
  <c r="M67" i="6"/>
  <c r="J67" i="6"/>
  <c r="I67" i="6"/>
  <c r="E67" i="6"/>
  <c r="D67" i="6"/>
  <c r="C67" i="6"/>
  <c r="B67" i="6"/>
  <c r="U66" i="6"/>
  <c r="Q66" i="6"/>
  <c r="P66" i="6"/>
  <c r="M66" i="6"/>
  <c r="J66" i="6"/>
  <c r="I66" i="6"/>
  <c r="E66" i="6"/>
  <c r="D66" i="6"/>
  <c r="C66" i="6"/>
  <c r="B66" i="6"/>
  <c r="U65" i="6"/>
  <c r="Q65" i="6"/>
  <c r="P65" i="6"/>
  <c r="M65" i="6"/>
  <c r="J65" i="6"/>
  <c r="I65" i="6"/>
  <c r="E65" i="6"/>
  <c r="D65" i="6"/>
  <c r="C65" i="6"/>
  <c r="B65" i="6"/>
  <c r="U64" i="6"/>
  <c r="Q64" i="6"/>
  <c r="P64" i="6"/>
  <c r="M64" i="6"/>
  <c r="J64" i="6"/>
  <c r="I64" i="6"/>
  <c r="E64" i="6"/>
  <c r="D64" i="6"/>
  <c r="C64" i="6"/>
  <c r="B64" i="6"/>
  <c r="U63" i="6"/>
  <c r="Q63" i="6"/>
  <c r="P63" i="6"/>
  <c r="M63" i="6"/>
  <c r="J63" i="6"/>
  <c r="I63" i="6"/>
  <c r="E63" i="6"/>
  <c r="D63" i="6"/>
  <c r="C63" i="6"/>
  <c r="B63" i="6"/>
  <c r="U62" i="6"/>
  <c r="Q62" i="6"/>
  <c r="P62" i="6"/>
  <c r="M62" i="6"/>
  <c r="J62" i="6"/>
  <c r="I62" i="6"/>
  <c r="E62" i="6"/>
  <c r="D62" i="6"/>
  <c r="C62" i="6"/>
  <c r="B62" i="6"/>
  <c r="U61" i="6"/>
  <c r="Q61" i="6"/>
  <c r="P61" i="6"/>
  <c r="M61" i="6"/>
  <c r="J61" i="6"/>
  <c r="I61" i="6"/>
  <c r="E61" i="6"/>
  <c r="D61" i="6"/>
  <c r="C61" i="6"/>
  <c r="B61" i="6"/>
  <c r="U60" i="6"/>
  <c r="Q60" i="6"/>
  <c r="P60" i="6"/>
  <c r="M60" i="6"/>
  <c r="J60" i="6"/>
  <c r="I60" i="6"/>
  <c r="E60" i="6"/>
  <c r="D60" i="6"/>
  <c r="C60" i="6"/>
  <c r="B60" i="6"/>
  <c r="U59" i="6"/>
  <c r="Q59" i="6"/>
  <c r="P59" i="6"/>
  <c r="M59" i="6"/>
  <c r="J59" i="6"/>
  <c r="I59" i="6"/>
  <c r="E59" i="6"/>
  <c r="D59" i="6"/>
  <c r="C59" i="6"/>
  <c r="B59" i="6"/>
  <c r="U58" i="6"/>
  <c r="Q58" i="6"/>
  <c r="P58" i="6"/>
  <c r="M58" i="6"/>
  <c r="J58" i="6"/>
  <c r="I58" i="6"/>
  <c r="E58" i="6"/>
  <c r="D58" i="6"/>
  <c r="C58" i="6"/>
  <c r="B58" i="6"/>
  <c r="U57" i="6"/>
  <c r="Q57" i="6"/>
  <c r="P57" i="6"/>
  <c r="M57" i="6"/>
  <c r="J57" i="6"/>
  <c r="I57" i="6"/>
  <c r="E57" i="6"/>
  <c r="D57" i="6"/>
  <c r="C57" i="6"/>
  <c r="B57" i="6"/>
  <c r="U56" i="6"/>
  <c r="Q56" i="6"/>
  <c r="P56" i="6"/>
  <c r="M56" i="6"/>
  <c r="J56" i="6"/>
  <c r="I56" i="6"/>
  <c r="E56" i="6"/>
  <c r="D56" i="6"/>
  <c r="C56" i="6"/>
  <c r="B56" i="6"/>
  <c r="U55" i="6"/>
  <c r="Q55" i="6"/>
  <c r="P55" i="6"/>
  <c r="M55" i="6"/>
  <c r="J55" i="6"/>
  <c r="I55" i="6"/>
  <c r="E55" i="6"/>
  <c r="D55" i="6"/>
  <c r="C55" i="6"/>
  <c r="B55" i="6"/>
  <c r="U54" i="6"/>
  <c r="Q54" i="6"/>
  <c r="P54" i="6"/>
  <c r="M54" i="6"/>
  <c r="J54" i="6"/>
  <c r="I54" i="6"/>
  <c r="E54" i="6"/>
  <c r="D54" i="6"/>
  <c r="C54" i="6"/>
  <c r="B54" i="6"/>
  <c r="U53" i="6"/>
  <c r="Q53" i="6"/>
  <c r="P53" i="6"/>
  <c r="M53" i="6"/>
  <c r="J53" i="6"/>
  <c r="I53" i="6"/>
  <c r="E53" i="6"/>
  <c r="D53" i="6"/>
  <c r="C53" i="6"/>
  <c r="B53" i="6"/>
  <c r="U52" i="6"/>
  <c r="Q52" i="6"/>
  <c r="P52" i="6"/>
  <c r="M52" i="6"/>
  <c r="J52" i="6"/>
  <c r="I52" i="6"/>
  <c r="E52" i="6"/>
  <c r="D52" i="6"/>
  <c r="C52" i="6"/>
  <c r="B52" i="6"/>
  <c r="U51" i="6"/>
  <c r="Q51" i="6"/>
  <c r="P51" i="6"/>
  <c r="M51" i="6"/>
  <c r="J51" i="6"/>
  <c r="I51" i="6"/>
  <c r="E51" i="6"/>
  <c r="D51" i="6"/>
  <c r="C51" i="6"/>
  <c r="B51" i="6"/>
  <c r="U50" i="6"/>
  <c r="Q50" i="6"/>
  <c r="P50" i="6"/>
  <c r="M50" i="6"/>
  <c r="J50" i="6"/>
  <c r="I50" i="6"/>
  <c r="E50" i="6"/>
  <c r="D50" i="6"/>
  <c r="C50" i="6"/>
  <c r="B50" i="6"/>
  <c r="U49" i="6"/>
  <c r="Q49" i="6"/>
  <c r="P49" i="6"/>
  <c r="M49" i="6"/>
  <c r="J49" i="6"/>
  <c r="I49" i="6"/>
  <c r="E49" i="6"/>
  <c r="D49" i="6"/>
  <c r="C49" i="6"/>
  <c r="B49" i="6"/>
  <c r="U48" i="6"/>
  <c r="Q48" i="6"/>
  <c r="P48" i="6"/>
  <c r="M48" i="6"/>
  <c r="J48" i="6"/>
  <c r="I48" i="6"/>
  <c r="E48" i="6"/>
  <c r="D48" i="6"/>
  <c r="C48" i="6"/>
  <c r="B48" i="6"/>
  <c r="U47" i="6"/>
  <c r="Q47" i="6"/>
  <c r="P47" i="6"/>
  <c r="M47" i="6"/>
  <c r="J47" i="6"/>
  <c r="I47" i="6"/>
  <c r="E47" i="6"/>
  <c r="D47" i="6"/>
  <c r="C47" i="6"/>
  <c r="B47" i="6"/>
  <c r="U46" i="6"/>
  <c r="Q46" i="6"/>
  <c r="P46" i="6"/>
  <c r="M46" i="6"/>
  <c r="J46" i="6"/>
  <c r="I46" i="6"/>
  <c r="E46" i="6"/>
  <c r="D46" i="6"/>
  <c r="C46" i="6"/>
  <c r="B46" i="6"/>
  <c r="U45" i="6"/>
  <c r="Q45" i="6"/>
  <c r="P45" i="6"/>
  <c r="M45" i="6"/>
  <c r="J45" i="6"/>
  <c r="I45" i="6"/>
  <c r="E45" i="6"/>
  <c r="D45" i="6"/>
  <c r="C45" i="6"/>
  <c r="B45" i="6"/>
  <c r="U44" i="6"/>
  <c r="Q44" i="6"/>
  <c r="P44" i="6"/>
  <c r="M44" i="6"/>
  <c r="J44" i="6"/>
  <c r="I44" i="6"/>
  <c r="E44" i="6"/>
  <c r="D44" i="6"/>
  <c r="C44" i="6"/>
  <c r="B44" i="6"/>
  <c r="U43" i="6"/>
  <c r="Q43" i="6"/>
  <c r="P43" i="6"/>
  <c r="M43" i="6"/>
  <c r="J43" i="6"/>
  <c r="I43" i="6"/>
  <c r="E43" i="6"/>
  <c r="D43" i="6"/>
  <c r="C43" i="6"/>
  <c r="B43" i="6"/>
  <c r="U42" i="6"/>
  <c r="Q42" i="6"/>
  <c r="P42" i="6"/>
  <c r="M42" i="6"/>
  <c r="J42" i="6"/>
  <c r="I42" i="6"/>
  <c r="E42" i="6"/>
  <c r="D42" i="6"/>
  <c r="C42" i="6"/>
  <c r="B42" i="6"/>
  <c r="U41" i="6"/>
  <c r="Q41" i="6"/>
  <c r="P41" i="6"/>
  <c r="M41" i="6"/>
  <c r="J41" i="6"/>
  <c r="I41" i="6"/>
  <c r="E41" i="6"/>
  <c r="D41" i="6"/>
  <c r="C41" i="6"/>
  <c r="B41" i="6"/>
  <c r="U40" i="6"/>
  <c r="Q40" i="6"/>
  <c r="P40" i="6"/>
  <c r="M40" i="6"/>
  <c r="J40" i="6"/>
  <c r="I40" i="6"/>
  <c r="E40" i="6"/>
  <c r="D40" i="6"/>
  <c r="C40" i="6"/>
  <c r="B40" i="6"/>
  <c r="U39" i="6"/>
  <c r="Q39" i="6"/>
  <c r="P39" i="6"/>
  <c r="M39" i="6"/>
  <c r="J39" i="6"/>
  <c r="I39" i="6"/>
  <c r="E39" i="6"/>
  <c r="D39" i="6"/>
  <c r="C39" i="6"/>
  <c r="B39" i="6"/>
  <c r="U38" i="6"/>
  <c r="Q38" i="6"/>
  <c r="P38" i="6"/>
  <c r="M38" i="6"/>
  <c r="J38" i="6"/>
  <c r="I38" i="6"/>
  <c r="E38" i="6"/>
  <c r="D38" i="6"/>
  <c r="C38" i="6"/>
  <c r="B38" i="6"/>
  <c r="U37" i="6"/>
  <c r="Q37" i="6"/>
  <c r="P37" i="6"/>
  <c r="M37" i="6"/>
  <c r="J37" i="6"/>
  <c r="I37" i="6"/>
  <c r="E37" i="6"/>
  <c r="D37" i="6"/>
  <c r="C37" i="6"/>
  <c r="B37" i="6"/>
  <c r="U36" i="6"/>
  <c r="Q36" i="6"/>
  <c r="P36" i="6"/>
  <c r="M36" i="6"/>
  <c r="J36" i="6"/>
  <c r="I36" i="6"/>
  <c r="E36" i="6"/>
  <c r="D36" i="6"/>
  <c r="C36" i="6"/>
  <c r="B36" i="6"/>
  <c r="U35" i="6"/>
  <c r="Q35" i="6"/>
  <c r="P35" i="6"/>
  <c r="M35" i="6"/>
  <c r="J35" i="6"/>
  <c r="I35" i="6"/>
  <c r="E35" i="6"/>
  <c r="D35" i="6"/>
  <c r="C35" i="6"/>
  <c r="B35" i="6"/>
  <c r="U34" i="6"/>
  <c r="Q34" i="6"/>
  <c r="P34" i="6"/>
  <c r="M34" i="6"/>
  <c r="J34" i="6"/>
  <c r="I34" i="6"/>
  <c r="E34" i="6"/>
  <c r="D34" i="6"/>
  <c r="C34" i="6"/>
  <c r="B34" i="6"/>
  <c r="U33" i="6"/>
  <c r="Q33" i="6"/>
  <c r="P33" i="6"/>
  <c r="M33" i="6"/>
  <c r="J33" i="6"/>
  <c r="I33" i="6"/>
  <c r="E33" i="6"/>
  <c r="D33" i="6"/>
  <c r="C33" i="6"/>
  <c r="B33" i="6"/>
  <c r="U32" i="6"/>
  <c r="Q32" i="6"/>
  <c r="P32" i="6"/>
  <c r="M32" i="6"/>
  <c r="J32" i="6"/>
  <c r="I32" i="6"/>
  <c r="E32" i="6"/>
  <c r="D32" i="6"/>
  <c r="C32" i="6"/>
  <c r="B32" i="6"/>
  <c r="U31" i="6"/>
  <c r="Q31" i="6"/>
  <c r="P31" i="6"/>
  <c r="M31" i="6"/>
  <c r="J31" i="6"/>
  <c r="I31" i="6"/>
  <c r="E31" i="6"/>
  <c r="D31" i="6"/>
  <c r="C31" i="6"/>
  <c r="B31" i="6"/>
  <c r="U30" i="6"/>
  <c r="Q30" i="6"/>
  <c r="P30" i="6"/>
  <c r="M30" i="6"/>
  <c r="J30" i="6"/>
  <c r="I30" i="6"/>
  <c r="E30" i="6"/>
  <c r="D30" i="6"/>
  <c r="C30" i="6"/>
  <c r="B30" i="6"/>
  <c r="U29" i="6"/>
  <c r="Q29" i="6"/>
  <c r="P29" i="6"/>
  <c r="M29" i="6"/>
  <c r="J29" i="6"/>
  <c r="I29" i="6"/>
  <c r="E29" i="6"/>
  <c r="D29" i="6"/>
  <c r="C29" i="6"/>
  <c r="B29" i="6"/>
  <c r="U28" i="6"/>
  <c r="Q28" i="6"/>
  <c r="P28" i="6"/>
  <c r="M28" i="6"/>
  <c r="J28" i="6"/>
  <c r="I28" i="6"/>
  <c r="E28" i="6"/>
  <c r="D28" i="6"/>
  <c r="C28" i="6"/>
  <c r="B28" i="6"/>
  <c r="U27" i="6"/>
  <c r="Q27" i="6"/>
  <c r="P27" i="6"/>
  <c r="M27" i="6"/>
  <c r="J27" i="6"/>
  <c r="I27" i="6"/>
  <c r="E27" i="6"/>
  <c r="D27" i="6"/>
  <c r="C27" i="6"/>
  <c r="B27" i="6"/>
  <c r="U26" i="6"/>
  <c r="Q26" i="6"/>
  <c r="P26" i="6"/>
  <c r="M26" i="6"/>
  <c r="J26" i="6"/>
  <c r="I26" i="6"/>
  <c r="E26" i="6"/>
  <c r="D26" i="6"/>
  <c r="C26" i="6"/>
  <c r="B26" i="6"/>
  <c r="U25" i="6"/>
  <c r="Q25" i="6"/>
  <c r="P25" i="6"/>
  <c r="M25" i="6"/>
  <c r="J25" i="6"/>
  <c r="I25" i="6"/>
  <c r="E25" i="6"/>
  <c r="D25" i="6"/>
  <c r="C25" i="6"/>
  <c r="B25" i="6"/>
  <c r="U24" i="6"/>
  <c r="Q24" i="6"/>
  <c r="P24" i="6"/>
  <c r="M24" i="6"/>
  <c r="J24" i="6"/>
  <c r="I24" i="6"/>
  <c r="E24" i="6"/>
  <c r="D24" i="6"/>
  <c r="C24" i="6"/>
  <c r="B24" i="6"/>
  <c r="U23" i="6"/>
  <c r="Q23" i="6"/>
  <c r="P23" i="6"/>
  <c r="M23" i="6"/>
  <c r="J23" i="6"/>
  <c r="I23" i="6"/>
  <c r="E23" i="6"/>
  <c r="D23" i="6"/>
  <c r="C23" i="6"/>
  <c r="B23" i="6"/>
  <c r="U22" i="6"/>
  <c r="Q22" i="6"/>
  <c r="P22" i="6"/>
  <c r="M22" i="6"/>
  <c r="J22" i="6"/>
  <c r="I22" i="6"/>
  <c r="E22" i="6"/>
  <c r="D22" i="6"/>
  <c r="C22" i="6"/>
  <c r="B22" i="6"/>
  <c r="U21" i="6"/>
  <c r="Q21" i="6"/>
  <c r="P21" i="6"/>
  <c r="M21" i="6"/>
  <c r="J21" i="6"/>
  <c r="I21" i="6"/>
  <c r="E21" i="6"/>
  <c r="D21" i="6"/>
  <c r="C21" i="6"/>
  <c r="B21" i="6"/>
  <c r="U20" i="6"/>
  <c r="Q20" i="6"/>
  <c r="P20" i="6"/>
  <c r="M20" i="6"/>
  <c r="J20" i="6"/>
  <c r="I20" i="6"/>
  <c r="E20" i="6"/>
  <c r="D20" i="6"/>
  <c r="C20" i="6"/>
  <c r="B20" i="6"/>
  <c r="U19" i="6"/>
  <c r="Q19" i="6"/>
  <c r="P19" i="6"/>
  <c r="M19" i="6"/>
  <c r="J19" i="6"/>
  <c r="I19" i="6"/>
  <c r="E19" i="6"/>
  <c r="D19" i="6"/>
  <c r="C19" i="6"/>
  <c r="B19" i="6"/>
  <c r="U18" i="6"/>
  <c r="Q18" i="6"/>
  <c r="P18" i="6"/>
  <c r="M18" i="6"/>
  <c r="J18" i="6"/>
  <c r="I18" i="6"/>
  <c r="E18" i="6"/>
  <c r="D18" i="6"/>
  <c r="C18" i="6"/>
  <c r="B18" i="6"/>
  <c r="U17" i="6"/>
  <c r="Q17" i="6"/>
  <c r="P17" i="6"/>
  <c r="M17" i="6"/>
  <c r="J17" i="6"/>
  <c r="I17" i="6"/>
  <c r="E17" i="6"/>
  <c r="D17" i="6"/>
  <c r="C17" i="6"/>
  <c r="B17" i="6"/>
  <c r="U16" i="6"/>
  <c r="Q16" i="6"/>
  <c r="P16" i="6"/>
  <c r="M16" i="6"/>
  <c r="J16" i="6"/>
  <c r="I16" i="6"/>
  <c r="E16" i="6"/>
  <c r="D16" i="6"/>
  <c r="C16" i="6"/>
  <c r="B16" i="6"/>
  <c r="U15" i="6"/>
  <c r="Q15" i="6"/>
  <c r="P15" i="6"/>
  <c r="M15" i="6"/>
  <c r="J15" i="6"/>
  <c r="I15" i="6"/>
  <c r="E15" i="6"/>
  <c r="D15" i="6"/>
  <c r="C15" i="6"/>
  <c r="B15" i="6"/>
  <c r="U14" i="6"/>
  <c r="Q14" i="6"/>
  <c r="P14" i="6"/>
  <c r="M14" i="6"/>
  <c r="J14" i="6"/>
  <c r="I14" i="6"/>
  <c r="E14" i="6"/>
  <c r="D14" i="6"/>
  <c r="C14" i="6"/>
  <c r="B14" i="6"/>
  <c r="U13" i="6"/>
  <c r="Q13" i="6"/>
  <c r="P13" i="6"/>
  <c r="M13" i="6"/>
  <c r="J13" i="6"/>
  <c r="I13" i="6"/>
  <c r="E13" i="6"/>
  <c r="D13" i="6"/>
  <c r="C13" i="6"/>
  <c r="B13" i="6"/>
  <c r="U12" i="6"/>
  <c r="Q12" i="6"/>
  <c r="P12" i="6"/>
  <c r="M12" i="6"/>
  <c r="J12" i="6"/>
  <c r="I12" i="6"/>
  <c r="E12" i="6"/>
  <c r="D12" i="6"/>
  <c r="C12" i="6"/>
  <c r="B12" i="6"/>
  <c r="U11" i="6"/>
  <c r="Q11" i="6"/>
  <c r="P11" i="6"/>
  <c r="M11" i="6"/>
  <c r="J11" i="6"/>
  <c r="I11" i="6"/>
  <c r="E11" i="6"/>
  <c r="D11" i="6"/>
  <c r="C11" i="6"/>
  <c r="B11" i="6"/>
  <c r="Z9" i="6"/>
  <c r="Y9" i="6"/>
  <c r="X9" i="6"/>
  <c r="C8" i="6"/>
  <c r="P7" i="6"/>
  <c r="M7" i="6"/>
  <c r="C7" i="6"/>
  <c r="E6" i="6"/>
  <c r="D6" i="6"/>
  <c r="C6" i="6"/>
  <c r="C5" i="6"/>
  <c r="I4" i="6"/>
  <c r="F4" i="6"/>
  <c r="C4" i="6"/>
  <c r="C3" i="6"/>
  <c r="A1" i="6"/>
  <c r="U110" i="1"/>
  <c r="Q110" i="1"/>
  <c r="P110" i="1"/>
  <c r="M110" i="1"/>
  <c r="J110" i="1"/>
  <c r="I110" i="1"/>
  <c r="U109" i="1"/>
  <c r="Q109" i="1"/>
  <c r="P109" i="1"/>
  <c r="M109" i="1"/>
  <c r="J109" i="1"/>
  <c r="I109" i="1"/>
  <c r="A109" i="1"/>
  <c r="U108" i="1"/>
  <c r="Q108" i="1"/>
  <c r="P108" i="1"/>
  <c r="M108" i="1"/>
  <c r="J108" i="1"/>
  <c r="I108" i="1"/>
  <c r="A108" i="1"/>
  <c r="U107" i="1"/>
  <c r="Q107" i="1"/>
  <c r="P107" i="1"/>
  <c r="M107" i="1"/>
  <c r="J107" i="1"/>
  <c r="I107" i="1"/>
  <c r="A107" i="1"/>
  <c r="U106" i="1"/>
  <c r="Q106" i="1"/>
  <c r="P106" i="1"/>
  <c r="M106" i="1"/>
  <c r="J106" i="1"/>
  <c r="I106" i="1"/>
  <c r="A106" i="1"/>
  <c r="U105" i="1"/>
  <c r="Q105" i="1"/>
  <c r="P105" i="1"/>
  <c r="M105" i="1"/>
  <c r="J105" i="1"/>
  <c r="I105" i="1"/>
  <c r="A105" i="1"/>
  <c r="U104" i="1"/>
  <c r="Q104" i="1"/>
  <c r="P104" i="1"/>
  <c r="M104" i="1"/>
  <c r="J104" i="1"/>
  <c r="I104" i="1"/>
  <c r="A104" i="1"/>
  <c r="U103" i="1"/>
  <c r="Q103" i="1"/>
  <c r="P103" i="1"/>
  <c r="M103" i="1"/>
  <c r="J103" i="1"/>
  <c r="I103" i="1"/>
  <c r="A103" i="1"/>
  <c r="U102" i="1"/>
  <c r="Q102" i="1"/>
  <c r="P102" i="1"/>
  <c r="M102" i="1"/>
  <c r="J102" i="1"/>
  <c r="I102" i="1"/>
  <c r="A102" i="1"/>
  <c r="U101" i="1"/>
  <c r="Q101" i="1"/>
  <c r="P101" i="1"/>
  <c r="M101" i="1"/>
  <c r="J101" i="1"/>
  <c r="I101" i="1"/>
  <c r="A101" i="1"/>
  <c r="U100" i="1"/>
  <c r="Q100" i="1"/>
  <c r="P100" i="1"/>
  <c r="M100" i="1"/>
  <c r="J100" i="1"/>
  <c r="I100" i="1"/>
  <c r="A100" i="1"/>
  <c r="U99" i="1"/>
  <c r="Q99" i="1"/>
  <c r="P99" i="1"/>
  <c r="M99" i="1"/>
  <c r="J99" i="1"/>
  <c r="I99" i="1"/>
  <c r="A99" i="1"/>
  <c r="U98" i="1"/>
  <c r="Q98" i="1"/>
  <c r="P98" i="1"/>
  <c r="M98" i="1"/>
  <c r="J98" i="1"/>
  <c r="I98" i="1"/>
  <c r="A98" i="1"/>
  <c r="U97" i="1"/>
  <c r="Q97" i="1"/>
  <c r="P97" i="1"/>
  <c r="M97" i="1"/>
  <c r="J97" i="1"/>
  <c r="I97" i="1"/>
  <c r="A97" i="1"/>
  <c r="U96" i="1"/>
  <c r="Q96" i="1"/>
  <c r="P96" i="1"/>
  <c r="M96" i="1"/>
  <c r="J96" i="1"/>
  <c r="I96" i="1"/>
  <c r="A96" i="1"/>
  <c r="U95" i="1"/>
  <c r="Q95" i="1"/>
  <c r="P95" i="1"/>
  <c r="M95" i="1"/>
  <c r="J95" i="1"/>
  <c r="I95" i="1"/>
  <c r="A95" i="1"/>
  <c r="U94" i="1"/>
  <c r="Q94" i="1"/>
  <c r="P94" i="1"/>
  <c r="M94" i="1"/>
  <c r="J94" i="1"/>
  <c r="I94" i="1"/>
  <c r="A94" i="1"/>
  <c r="U93" i="1"/>
  <c r="Q93" i="1"/>
  <c r="P93" i="1"/>
  <c r="M93" i="1"/>
  <c r="J93" i="1"/>
  <c r="I93" i="1"/>
  <c r="A93" i="1"/>
  <c r="U92" i="1"/>
  <c r="Q92" i="1"/>
  <c r="P92" i="1"/>
  <c r="M92" i="1"/>
  <c r="J92" i="1"/>
  <c r="I92" i="1"/>
  <c r="A92" i="1"/>
  <c r="U91" i="1"/>
  <c r="Q91" i="1"/>
  <c r="P91" i="1"/>
  <c r="M91" i="1"/>
  <c r="J91" i="1"/>
  <c r="I91" i="1"/>
  <c r="A91" i="1"/>
  <c r="U90" i="1"/>
  <c r="Q90" i="1"/>
  <c r="P90" i="1"/>
  <c r="M90" i="1"/>
  <c r="J90" i="1"/>
  <c r="I90" i="1"/>
  <c r="A90" i="1"/>
  <c r="U89" i="1"/>
  <c r="Q89" i="1"/>
  <c r="P89" i="1"/>
  <c r="M89" i="1"/>
  <c r="J89" i="1"/>
  <c r="I89" i="1"/>
  <c r="A89" i="1"/>
  <c r="U88" i="1"/>
  <c r="Q88" i="1"/>
  <c r="P88" i="1"/>
  <c r="M88" i="1"/>
  <c r="J88" i="1"/>
  <c r="I88" i="1"/>
  <c r="A88" i="1"/>
  <c r="U87" i="1"/>
  <c r="Q87" i="1"/>
  <c r="P87" i="1"/>
  <c r="M87" i="1"/>
  <c r="J87" i="1"/>
  <c r="I87" i="1"/>
  <c r="A87" i="1"/>
  <c r="U86" i="1"/>
  <c r="Q86" i="1"/>
  <c r="P86" i="1"/>
  <c r="M86" i="1"/>
  <c r="J86" i="1"/>
  <c r="I86" i="1"/>
  <c r="A86" i="1"/>
  <c r="U85" i="1"/>
  <c r="Q85" i="1"/>
  <c r="P85" i="1"/>
  <c r="M85" i="1"/>
  <c r="J85" i="1"/>
  <c r="I85" i="1"/>
  <c r="A85" i="1"/>
  <c r="U84" i="1"/>
  <c r="Q84" i="1"/>
  <c r="P84" i="1"/>
  <c r="M84" i="1"/>
  <c r="J84" i="1"/>
  <c r="I84" i="1"/>
  <c r="A84" i="1"/>
  <c r="U83" i="1"/>
  <c r="Q83" i="1"/>
  <c r="P83" i="1"/>
  <c r="M83" i="1"/>
  <c r="J83" i="1"/>
  <c r="I83" i="1"/>
  <c r="A83" i="1"/>
  <c r="U82" i="1"/>
  <c r="Q82" i="1"/>
  <c r="P82" i="1"/>
  <c r="M82" i="1"/>
  <c r="J82" i="1"/>
  <c r="I82" i="1"/>
  <c r="A82" i="1"/>
  <c r="U81" i="1"/>
  <c r="Q81" i="1"/>
  <c r="P81" i="1"/>
  <c r="M81" i="1"/>
  <c r="J81" i="1"/>
  <c r="I81" i="1"/>
  <c r="A81" i="1"/>
  <c r="U80" i="1"/>
  <c r="Q80" i="1"/>
  <c r="P80" i="1"/>
  <c r="M80" i="1"/>
  <c r="J80" i="1"/>
  <c r="I80" i="1"/>
  <c r="A80" i="1"/>
  <c r="U79" i="1"/>
  <c r="Q79" i="1"/>
  <c r="P79" i="1"/>
  <c r="M79" i="1"/>
  <c r="J79" i="1"/>
  <c r="I79" i="1"/>
  <c r="A79" i="1"/>
  <c r="U78" i="1"/>
  <c r="Q78" i="1"/>
  <c r="P78" i="1"/>
  <c r="M78" i="1"/>
  <c r="J78" i="1"/>
  <c r="I78" i="1"/>
  <c r="A78" i="1"/>
  <c r="U77" i="1"/>
  <c r="Q77" i="1"/>
  <c r="P77" i="1"/>
  <c r="M77" i="1"/>
  <c r="J77" i="1"/>
  <c r="I77" i="1"/>
  <c r="A77" i="1"/>
  <c r="U76" i="1"/>
  <c r="Q76" i="1"/>
  <c r="P76" i="1"/>
  <c r="M76" i="1"/>
  <c r="J76" i="1"/>
  <c r="I76" i="1"/>
  <c r="A76" i="1"/>
  <c r="U75" i="1"/>
  <c r="Q75" i="1"/>
  <c r="P75" i="1"/>
  <c r="M75" i="1"/>
  <c r="J75" i="1"/>
  <c r="I75" i="1"/>
  <c r="A75" i="1"/>
  <c r="U74" i="1"/>
  <c r="Q74" i="1"/>
  <c r="P74" i="1"/>
  <c r="M74" i="1"/>
  <c r="J74" i="1"/>
  <c r="I74" i="1"/>
  <c r="A74" i="1"/>
  <c r="U73" i="1"/>
  <c r="Q73" i="1"/>
  <c r="P73" i="1"/>
  <c r="M73" i="1"/>
  <c r="J73" i="1"/>
  <c r="I73" i="1"/>
  <c r="A73" i="1"/>
  <c r="U72" i="1"/>
  <c r="Q72" i="1"/>
  <c r="P72" i="1"/>
  <c r="M72" i="1"/>
  <c r="J72" i="1"/>
  <c r="I72" i="1"/>
  <c r="A72" i="1"/>
  <c r="U71" i="1"/>
  <c r="Q71" i="1"/>
  <c r="P71" i="1"/>
  <c r="M71" i="1"/>
  <c r="J71" i="1"/>
  <c r="I71" i="1"/>
  <c r="A71" i="1"/>
  <c r="U70" i="1"/>
  <c r="Q70" i="1"/>
  <c r="P70" i="1"/>
  <c r="M70" i="1"/>
  <c r="J70" i="1"/>
  <c r="I70" i="1"/>
  <c r="A70" i="1"/>
  <c r="U69" i="1"/>
  <c r="Q69" i="1"/>
  <c r="P69" i="1"/>
  <c r="M69" i="1"/>
  <c r="J69" i="1"/>
  <c r="I69" i="1"/>
  <c r="U68" i="1"/>
  <c r="Q68" i="1"/>
  <c r="P68" i="1"/>
  <c r="M68" i="1"/>
  <c r="J68" i="1"/>
  <c r="I68" i="1"/>
  <c r="U67" i="1"/>
  <c r="Q67" i="1"/>
  <c r="P67" i="1"/>
  <c r="M67" i="1"/>
  <c r="J67" i="1"/>
  <c r="I67" i="1"/>
  <c r="U66" i="1"/>
  <c r="Q66" i="1"/>
  <c r="P66" i="1"/>
  <c r="M66" i="1"/>
  <c r="J66" i="1"/>
  <c r="I66" i="1"/>
  <c r="U65" i="1"/>
  <c r="Q65" i="1"/>
  <c r="P65" i="1"/>
  <c r="M65" i="1"/>
  <c r="J65" i="1"/>
  <c r="I65" i="1"/>
  <c r="U64" i="1"/>
  <c r="Q64" i="1"/>
  <c r="P64" i="1"/>
  <c r="M64" i="1"/>
  <c r="J64" i="1"/>
  <c r="I64" i="1"/>
  <c r="U63" i="1"/>
  <c r="Q63" i="1"/>
  <c r="P63" i="1"/>
  <c r="M63" i="1"/>
  <c r="J63" i="1"/>
  <c r="I63" i="1"/>
  <c r="U62" i="1"/>
  <c r="Q62" i="1"/>
  <c r="P62" i="1"/>
  <c r="M62" i="1"/>
  <c r="J62" i="1"/>
  <c r="I62" i="1"/>
  <c r="U61" i="1"/>
  <c r="Q61" i="1"/>
  <c r="P61" i="1"/>
  <c r="M61" i="1"/>
  <c r="J61" i="1"/>
  <c r="I61" i="1"/>
  <c r="U60" i="1"/>
  <c r="Q60" i="1"/>
  <c r="P60" i="1"/>
  <c r="M60" i="1"/>
  <c r="J60" i="1"/>
  <c r="I60" i="1"/>
  <c r="U59" i="1"/>
  <c r="Q59" i="1"/>
  <c r="P59" i="1"/>
  <c r="M59" i="1"/>
  <c r="J59" i="1"/>
  <c r="I59" i="1"/>
  <c r="U58" i="1"/>
  <c r="Q58" i="1"/>
  <c r="P58" i="1"/>
  <c r="M58" i="1"/>
  <c r="J58" i="1"/>
  <c r="I58" i="1"/>
  <c r="U57" i="1"/>
  <c r="Q57" i="1"/>
  <c r="P57" i="1"/>
  <c r="M57" i="1"/>
  <c r="J57" i="1"/>
  <c r="I57" i="1"/>
  <c r="U56" i="1"/>
  <c r="Q56" i="1"/>
  <c r="P56" i="1"/>
  <c r="M56" i="1"/>
  <c r="J56" i="1"/>
  <c r="I56" i="1"/>
  <c r="U55" i="1"/>
  <c r="Q55" i="1"/>
  <c r="P55" i="1"/>
  <c r="M55" i="1"/>
  <c r="J55" i="1"/>
  <c r="I55" i="1"/>
  <c r="U54" i="1"/>
  <c r="Q54" i="1"/>
  <c r="P54" i="1"/>
  <c r="M54" i="1"/>
  <c r="J54" i="1"/>
  <c r="I54" i="1"/>
  <c r="U53" i="1"/>
  <c r="Q53" i="1"/>
  <c r="P53" i="1"/>
  <c r="M53" i="1"/>
  <c r="J53" i="1"/>
  <c r="I53" i="1"/>
  <c r="U52" i="1"/>
  <c r="Q52" i="1"/>
  <c r="P52" i="1"/>
  <c r="M52" i="1"/>
  <c r="J52" i="1"/>
  <c r="I52" i="1"/>
  <c r="U51" i="1"/>
  <c r="Q51" i="1"/>
  <c r="P51" i="1"/>
  <c r="M51" i="1"/>
  <c r="J51" i="1"/>
  <c r="I51" i="1"/>
  <c r="U50" i="1"/>
  <c r="Q50" i="1"/>
  <c r="P50" i="1"/>
  <c r="M50" i="1"/>
  <c r="J50" i="1"/>
  <c r="I50" i="1"/>
  <c r="U49" i="1"/>
  <c r="Q49" i="1"/>
  <c r="P49" i="1"/>
  <c r="M49" i="1"/>
  <c r="J49" i="1"/>
  <c r="I49" i="1"/>
  <c r="U48" i="1"/>
  <c r="Q48" i="1"/>
  <c r="P48" i="1"/>
  <c r="M48" i="1"/>
  <c r="J48" i="1"/>
  <c r="I48" i="1"/>
  <c r="U47" i="1"/>
  <c r="Q47" i="1"/>
  <c r="P47" i="1"/>
  <c r="M47" i="1"/>
  <c r="J47" i="1"/>
  <c r="I47" i="1"/>
  <c r="U46" i="1"/>
  <c r="Q46" i="1"/>
  <c r="P46" i="1"/>
  <c r="M46" i="1"/>
  <c r="J46" i="1"/>
  <c r="I46" i="1"/>
  <c r="U45" i="1"/>
  <c r="Q45" i="1"/>
  <c r="P45" i="1"/>
  <c r="M45" i="1"/>
  <c r="J45" i="1"/>
  <c r="I45" i="1"/>
  <c r="U44" i="1"/>
  <c r="Q44" i="1"/>
  <c r="P44" i="1"/>
  <c r="M44" i="1"/>
  <c r="J44" i="1"/>
  <c r="I44" i="1"/>
  <c r="U43" i="1"/>
  <c r="Q43" i="1"/>
  <c r="P43" i="1"/>
  <c r="M43" i="1"/>
  <c r="J43" i="1"/>
  <c r="I43" i="1"/>
  <c r="U42" i="1"/>
  <c r="Q42" i="1"/>
  <c r="P42" i="1"/>
  <c r="M42" i="1"/>
  <c r="J42" i="1"/>
  <c r="I42" i="1"/>
  <c r="U41" i="1"/>
  <c r="Q41" i="1"/>
  <c r="P41" i="1"/>
  <c r="M41" i="1"/>
  <c r="J41" i="1"/>
  <c r="I41" i="1"/>
  <c r="U40" i="1"/>
  <c r="Q40" i="1"/>
  <c r="P40" i="1"/>
  <c r="M40" i="1"/>
  <c r="J40" i="1"/>
  <c r="I40" i="1"/>
  <c r="U39" i="1"/>
  <c r="Q39" i="1"/>
  <c r="P39" i="1"/>
  <c r="M39" i="1"/>
  <c r="J39" i="1"/>
  <c r="I39" i="1"/>
  <c r="U38" i="1"/>
  <c r="Q38" i="1"/>
  <c r="P38" i="1"/>
  <c r="M38" i="1"/>
  <c r="J38" i="1"/>
  <c r="I38" i="1"/>
  <c r="U37" i="1"/>
  <c r="Q37" i="1"/>
  <c r="P37" i="1"/>
  <c r="M37" i="1"/>
  <c r="J37" i="1"/>
  <c r="I37" i="1"/>
  <c r="U36" i="1"/>
  <c r="Q36" i="1"/>
  <c r="P36" i="1"/>
  <c r="M36" i="1"/>
  <c r="J36" i="1"/>
  <c r="I36" i="1"/>
  <c r="U35" i="1"/>
  <c r="Q35" i="1"/>
  <c r="P35" i="1"/>
  <c r="M35" i="1"/>
  <c r="J35" i="1"/>
  <c r="I35" i="1"/>
  <c r="U34" i="1"/>
  <c r="Q34" i="1"/>
  <c r="P34" i="1"/>
  <c r="M34" i="1"/>
  <c r="J34" i="1"/>
  <c r="I34" i="1"/>
  <c r="U33" i="1"/>
  <c r="Q33" i="1"/>
  <c r="P33" i="1"/>
  <c r="M33" i="1"/>
  <c r="J33" i="1"/>
  <c r="I33" i="1"/>
  <c r="U32" i="1"/>
  <c r="Q32" i="1"/>
  <c r="P32" i="1"/>
  <c r="M32" i="1"/>
  <c r="J32" i="1"/>
  <c r="I32" i="1"/>
  <c r="U31" i="1"/>
  <c r="Q31" i="1"/>
  <c r="P31" i="1"/>
  <c r="M31" i="1"/>
  <c r="J31" i="1"/>
  <c r="I31" i="1"/>
  <c r="U30" i="1"/>
  <c r="Q30" i="1"/>
  <c r="P30" i="1"/>
  <c r="M30" i="1"/>
  <c r="J30" i="1"/>
  <c r="I30" i="1"/>
  <c r="U29" i="1"/>
  <c r="Q29" i="1"/>
  <c r="P29" i="1"/>
  <c r="M29" i="1"/>
  <c r="J29" i="1"/>
  <c r="I29" i="1"/>
  <c r="U28" i="1"/>
  <c r="Q28" i="1"/>
  <c r="P28" i="1"/>
  <c r="M28" i="1"/>
  <c r="J28" i="1"/>
  <c r="I28" i="1"/>
  <c r="U27" i="1"/>
  <c r="Q27" i="1"/>
  <c r="P27" i="1"/>
  <c r="M27" i="1"/>
  <c r="J27" i="1"/>
  <c r="I27" i="1"/>
  <c r="U26" i="1"/>
  <c r="Q26" i="1"/>
  <c r="P26" i="1"/>
  <c r="M26" i="1"/>
  <c r="J26" i="1"/>
  <c r="I26" i="1"/>
  <c r="U25" i="1"/>
  <c r="Q25" i="1"/>
  <c r="P25" i="1"/>
  <c r="M25" i="1"/>
  <c r="J25" i="1"/>
  <c r="I25" i="1"/>
  <c r="U24" i="1"/>
  <c r="Q24" i="1"/>
  <c r="P24" i="1"/>
  <c r="M24" i="1"/>
  <c r="J24" i="1"/>
  <c r="I24" i="1"/>
  <c r="U23" i="1"/>
  <c r="Q23" i="1"/>
  <c r="P23" i="1"/>
  <c r="M23" i="1"/>
  <c r="J23" i="1"/>
  <c r="I23" i="1"/>
  <c r="U22" i="1"/>
  <c r="Q22" i="1"/>
  <c r="P22" i="1"/>
  <c r="M22" i="1"/>
  <c r="J22" i="1"/>
  <c r="I22" i="1"/>
  <c r="U21" i="1"/>
  <c r="Q21" i="1"/>
  <c r="P21" i="1"/>
  <c r="M21" i="1"/>
  <c r="J21" i="1"/>
  <c r="I21" i="1"/>
  <c r="U20" i="1"/>
  <c r="Q20" i="1"/>
  <c r="P20" i="1"/>
  <c r="M20" i="1"/>
  <c r="J20" i="1"/>
  <c r="I20" i="1"/>
  <c r="U19" i="1"/>
  <c r="Q19" i="1"/>
  <c r="P19" i="1"/>
  <c r="M19" i="1"/>
  <c r="J19" i="1"/>
  <c r="I19" i="1"/>
  <c r="U18" i="1"/>
  <c r="Q18" i="1"/>
  <c r="P18" i="1"/>
  <c r="M18" i="1"/>
  <c r="J18" i="1"/>
  <c r="I18" i="1"/>
  <c r="U17" i="1"/>
  <c r="Q17" i="1"/>
  <c r="P17" i="1"/>
  <c r="M17" i="1"/>
  <c r="J17" i="1"/>
  <c r="I17" i="1"/>
  <c r="U16" i="1"/>
  <c r="Q16" i="1"/>
  <c r="P16" i="1"/>
  <c r="M16" i="1"/>
  <c r="J16" i="1"/>
  <c r="I16" i="1"/>
  <c r="U15" i="1"/>
  <c r="Q15" i="1"/>
  <c r="P15" i="1"/>
  <c r="M15" i="1"/>
  <c r="J15" i="1"/>
  <c r="I15" i="1"/>
  <c r="U14" i="1"/>
  <c r="Q14" i="1"/>
  <c r="P14" i="1"/>
  <c r="M14" i="1"/>
  <c r="J14" i="1"/>
  <c r="I14" i="1"/>
  <c r="U13" i="1"/>
  <c r="Q13" i="1"/>
  <c r="P13" i="1"/>
  <c r="M13" i="1"/>
  <c r="J13" i="1"/>
  <c r="I13" i="1"/>
  <c r="U12" i="1"/>
  <c r="Q12" i="1"/>
  <c r="P12" i="1"/>
  <c r="M12" i="1"/>
  <c r="J12" i="1"/>
  <c r="I12" i="1"/>
  <c r="U11" i="1"/>
  <c r="Q11" i="1"/>
  <c r="P11" i="1"/>
  <c r="M11" i="1"/>
  <c r="J11" i="1"/>
  <c r="I11" i="1"/>
  <c r="Z9" i="1"/>
  <c r="Y9" i="1"/>
  <c r="X9" i="1"/>
  <c r="P7" i="1"/>
  <c r="M7" i="1"/>
  <c r="I4" i="1"/>
  <c r="F4" i="1"/>
</calcChain>
</file>

<file path=xl/sharedStrings.xml><?xml version="1.0" encoding="utf-8"?>
<sst xmlns="http://schemas.openxmlformats.org/spreadsheetml/2006/main" count="549" uniqueCount="233">
  <si>
    <t>CRLA2v1</t>
  </si>
  <si>
    <t>ASSESSMENT TYPE</t>
  </si>
  <si>
    <t>EoSY</t>
  </si>
  <si>
    <t>School ID:</t>
  </si>
  <si>
    <t>Total Enrolment</t>
  </si>
  <si>
    <t>Total Assessed :</t>
  </si>
  <si>
    <t>Schoo Name:</t>
  </si>
  <si>
    <t>ROMANA ELEM. SCHOOL</t>
  </si>
  <si>
    <t>Male</t>
  </si>
  <si>
    <t>Female</t>
  </si>
  <si>
    <t>Assessment Part 1
(Word Recognition and Sentences Reading)</t>
  </si>
  <si>
    <r>
      <rPr>
        <b/>
        <sz val="9"/>
        <color theme="1"/>
        <rFont val="Calibri"/>
        <charset val="134"/>
        <scheme val="minor"/>
      </rPr>
      <t xml:space="preserve">WORDS SCORE 
</t>
    </r>
    <r>
      <rPr>
        <sz val="9"/>
        <color theme="1"/>
        <rFont val="Calibri"/>
        <charset val="134"/>
        <scheme val="minor"/>
      </rPr>
      <t xml:space="preserve">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</si>
  <si>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Assessment Part 2
 (Reading Fluency and Comprehension)</t>
  </si>
  <si>
    <t>Teacher:</t>
  </si>
  <si>
    <t>KEMBERLY G. BELMIS</t>
  </si>
  <si>
    <t>Grade:</t>
  </si>
  <si>
    <t>Grade 3</t>
  </si>
  <si>
    <t>Total Words per Story</t>
  </si>
  <si>
    <t>Task 1 – Write the number of Words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</si>
  <si>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</si>
  <si>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</si>
  <si>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</si>
  <si>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</si>
  <si>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</si>
  <si>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</si>
  <si>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</si>
  <si>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</si>
  <si>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</si>
  <si>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3 mins</t>
  </si>
  <si>
    <t>Total Time Used in Reading 
(Max : 3 Mins)</t>
  </si>
  <si>
    <t>Number of Words per Minute (WPM)</t>
  </si>
  <si>
    <t>Language:</t>
  </si>
  <si>
    <t>Hiligaynon</t>
  </si>
  <si>
    <t>S/N</t>
  </si>
  <si>
    <t>LRN</t>
  </si>
  <si>
    <t>Name of Learner</t>
  </si>
  <si>
    <t>Sex</t>
  </si>
  <si>
    <t>Date of Asessment</t>
  </si>
  <si>
    <t>Task 1 
(10)</t>
  </si>
  <si>
    <t>Task 2L
Words 
(10)</t>
  </si>
  <si>
    <t>Task 2H
Sentences
(10)</t>
  </si>
  <si>
    <t>Total Score</t>
  </si>
  <si>
    <t>Part 1 Reading Level</t>
  </si>
  <si>
    <t>Story Number</t>
  </si>
  <si>
    <t>Number of Miscue</t>
  </si>
  <si>
    <t>Words Read</t>
  </si>
  <si>
    <r>
      <rPr>
        <b/>
        <sz val="10"/>
        <color theme="1"/>
        <rFont val="Calibri"/>
        <charset val="134"/>
        <scheme val="minor"/>
      </rPr>
      <t xml:space="preserve">Total 
</t>
    </r>
    <r>
      <rPr>
        <b/>
        <sz val="9"/>
        <color theme="1"/>
        <rFont val="Calibri"/>
        <charset val="134"/>
        <scheme val="minor"/>
      </rPr>
      <t>Mins    Secs</t>
    </r>
  </si>
  <si>
    <t>WPM</t>
  </si>
  <si>
    <t>% of Correct Words Read</t>
  </si>
  <si>
    <t>Total Correct Answer</t>
  </si>
  <si>
    <t>Leaner Experience
(Rating 1-5)</t>
  </si>
  <si>
    <t>Observation Level</t>
  </si>
  <si>
    <t>READING PROFILE</t>
  </si>
  <si>
    <t>Remarks</t>
  </si>
  <si>
    <t>ABAY, KENNETH ALEXANDER, NALAONAN</t>
  </si>
  <si>
    <t>06/23/2025</t>
  </si>
  <si>
    <t>Level 2</t>
  </si>
  <si>
    <t>BANARAIA, KEEPER, ABAY</t>
  </si>
  <si>
    <t>BARGASA, EDSEL JHON,-</t>
  </si>
  <si>
    <t>Level 4</t>
  </si>
  <si>
    <t>DUMANIEL, KEVIN JOHN , ALVAREZ</t>
  </si>
  <si>
    <t>Level 1</t>
  </si>
  <si>
    <t>ESTOCADA, JOEMARIE III, OMPAD</t>
  </si>
  <si>
    <t>06/24/2025</t>
  </si>
  <si>
    <t>GO, NEAL XANDRIE, DOMANIEL</t>
  </si>
  <si>
    <t>GREGORIO, JOHN MARK, ABELLAR</t>
  </si>
  <si>
    <t>JUMBAS, CYREL JAY, BARILLO</t>
  </si>
  <si>
    <t>LEMORINAS, ARTHUR, BAYLON</t>
  </si>
  <si>
    <t>MARASIGAN, ZHENKIE NATHAN, DELA CRUZ</t>
  </si>
  <si>
    <t>Level 3</t>
  </si>
  <si>
    <t>ABRINILLO, VERONICA, SIASAT</t>
  </si>
  <si>
    <t>CARDINAL,KISHIA,-</t>
  </si>
  <si>
    <t>CARDINAL, LEXIE, SUNDAYON</t>
  </si>
  <si>
    <t>DIONSON, AIRA, BAUTISTA</t>
  </si>
  <si>
    <t>ESTOCADA, ANGEL, E.</t>
  </si>
  <si>
    <t>ESTOCADA, GENYZA, BACARO</t>
  </si>
  <si>
    <t>ESTOCADA, JERCEL JANE, SIASAT</t>
  </si>
  <si>
    <t xml:space="preserve"> ESTOCADA, REANNA, LLAGOSO</t>
  </si>
  <si>
    <t xml:space="preserve">ESTOCADA, RHEAN SHAN, DEMAFILES </t>
  </si>
  <si>
    <t>LABANZA, HOPE ANGELAINE,-</t>
  </si>
  <si>
    <t>LABANZA, JESEL, PARBA</t>
  </si>
  <si>
    <t>LANOJAN, JASHLYN KATE, JADIA</t>
  </si>
  <si>
    <t>MANGUBAT, AMARAH DENISE, LABANZA</t>
  </si>
  <si>
    <t>SUMOLAY, GRACE ANN, ESPARTERO</t>
  </si>
  <si>
    <t>TAPIC, KYZYL ZYNN MJ,-</t>
  </si>
  <si>
    <r>
      <rPr>
        <b/>
        <sz val="9"/>
        <color theme="1"/>
        <rFont val="Calibri"/>
        <charset val="134"/>
        <scheme val="minor"/>
      </rPr>
      <t>WORDS SCORE</t>
    </r>
    <r>
      <rPr>
        <sz val="9"/>
        <color theme="1"/>
        <rFont val="Calibri"/>
        <charset val="134"/>
        <scheme val="minor"/>
      </rPr>
      <t xml:space="preserve"> 
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</si>
  <si>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Total Score = Task 1 Score + Task 2 Score</t>
  </si>
  <si>
    <t>Filipino</t>
  </si>
  <si>
    <t>Assessed :</t>
  </si>
  <si>
    <t>Assessment Part 1
(Word Recognition)</t>
  </si>
  <si>
    <r>
      <rPr>
        <b/>
        <sz val="9"/>
        <color theme="1"/>
        <rFont val="Calibri"/>
        <charset val="134"/>
        <scheme val="minor"/>
      </rPr>
      <t xml:space="preserve">WORD SCORE  
</t>
    </r>
    <r>
      <rPr>
        <sz val="9"/>
        <color theme="1"/>
        <rFont val="Calibri"/>
        <charset val="134"/>
        <scheme val="minor"/>
      </rPr>
      <t>0 - Full Refresher
1 to 10 – Moderate Refresher
11 to 16 – Light Refresher
17 to 20 – Grade Ready</t>
    </r>
  </si>
  <si>
    <t>Enter Male or Female</t>
  </si>
  <si>
    <t>Enter date of assessment (mm/dd/yy)</t>
  </si>
  <si>
    <t>Task 1 – Write the number of letters sounded out correctly</t>
  </si>
  <si>
    <t>Words (Task 2) 
If task 1 score is 1 to 10</t>
  </si>
  <si>
    <t>Total Score = 
Task 1 Score + Task 2 Score</t>
  </si>
  <si>
    <t>Number of words read within 2 mins</t>
  </si>
  <si>
    <t>Total Time Used in Reading 
(Max : 2 Mins)</t>
  </si>
  <si>
    <t>English</t>
  </si>
  <si>
    <t>Words
(10)</t>
  </si>
  <si>
    <t>Reading %</t>
  </si>
  <si>
    <t>School:</t>
  </si>
  <si>
    <t>GRADE 3 Reading Assessment CLASS RECORD</t>
  </si>
  <si>
    <t>FILIPINO</t>
  </si>
  <si>
    <t>ENGLISH</t>
  </si>
  <si>
    <t>Assessment Part 1</t>
  </si>
  <si>
    <t>Assessment Part 2</t>
  </si>
  <si>
    <t>Assessment Part2</t>
  </si>
  <si>
    <t>Assessment Part 1 Reading Level</t>
  </si>
  <si>
    <t>% of Total Score</t>
  </si>
  <si>
    <t>Reading Fluency</t>
  </si>
  <si>
    <t>Reading Comprehension</t>
  </si>
  <si>
    <t>Average Word Per Minute</t>
  </si>
  <si>
    <t xml:space="preserve"> </t>
  </si>
  <si>
    <t>CRLA3V1</t>
  </si>
  <si>
    <t>GRADE 3 Assessment CLASS SUMMARY</t>
  </si>
  <si>
    <t>SCHOOL ID :</t>
  </si>
  <si>
    <t>SCHOOL NAME:</t>
  </si>
  <si>
    <t>Grade</t>
  </si>
  <si>
    <t>Language</t>
  </si>
  <si>
    <t>Number of Learners Enrolled</t>
  </si>
  <si>
    <t>Number of Learners Assessed</t>
  </si>
  <si>
    <t>Average Score</t>
  </si>
  <si>
    <t>Section</t>
  </si>
  <si>
    <t>Teacher</t>
  </si>
  <si>
    <t>Full Refresher</t>
  </si>
  <si>
    <t>Moderate Refresher</t>
  </si>
  <si>
    <t>Light Refresher</t>
  </si>
  <si>
    <t>Grade Ready</t>
  </si>
  <si>
    <t>Low Emerging Reader</t>
  </si>
  <si>
    <t>High Emerging Reader</t>
  </si>
  <si>
    <t>Developing Reader</t>
  </si>
  <si>
    <t>Transitioning Reader</t>
  </si>
  <si>
    <t>Reading At Grade Level</t>
  </si>
  <si>
    <t>Total</t>
  </si>
  <si>
    <t>Percent (%) of Learners at Each Proficiency Level</t>
  </si>
  <si>
    <t>Percent of Learners assessed</t>
  </si>
  <si>
    <t>Reading Level</t>
  </si>
  <si>
    <t>Criteria</t>
  </si>
  <si>
    <t>Observations Level</t>
  </si>
  <si>
    <t>Learner scores 0 to 10 in Assessment Part 1</t>
  </si>
  <si>
    <t>Learner reads less than 25% of the passage in 3 minutes and answers 1  question correctly</t>
  </si>
  <si>
    <t>Reads word by word</t>
  </si>
  <si>
    <t>Learner reads between 26% to 50% of  passage accurately in 3 minutes  and answers 2 to 3  questions correctly</t>
  </si>
  <si>
    <t>Reads word in chunks</t>
  </si>
  <si>
    <t>Learner reads between 51% to 75% of  passage accurately in 3 minutes  AND answers 4 to 5 questions correctly.</t>
  </si>
  <si>
    <t>Reads fluently but not observing functuation marks</t>
  </si>
  <si>
    <t>Learner reads between 76% to 100% of  passage accurately in 3 minutes AND answers 6 to 7 questions correctly.</t>
  </si>
  <si>
    <t>Reads fluently with proper expression</t>
  </si>
  <si>
    <t>Reading</t>
  </si>
  <si>
    <t xml:space="preserve">Region </t>
  </si>
  <si>
    <t>Grade Level</t>
  </si>
  <si>
    <t>Passage Title</t>
  </si>
  <si>
    <t>Number of Words</t>
  </si>
  <si>
    <t xml:space="preserve"> Story 2</t>
  </si>
  <si>
    <t>0%</t>
  </si>
  <si>
    <t>NCR</t>
  </si>
  <si>
    <t>Akeanon</t>
  </si>
  <si>
    <t>Central Bikol</t>
  </si>
  <si>
    <t>Ang Drayber</t>
  </si>
  <si>
    <t>An Tsinelas ni Bruks</t>
  </si>
  <si>
    <t>&lt;50%</t>
  </si>
  <si>
    <t>CAR</t>
  </si>
  <si>
    <t>Bahasa Sug</t>
  </si>
  <si>
    <t>Tagalog</t>
  </si>
  <si>
    <t>Bagyo sa Baryo</t>
  </si>
  <si>
    <t>Mga Bayaning Pilipino</t>
  </si>
  <si>
    <t>50%</t>
  </si>
  <si>
    <t>Region I</t>
  </si>
  <si>
    <t>Bikol Libon</t>
  </si>
  <si>
    <t>Rinconada</t>
  </si>
  <si>
    <t>PAUNO RAW TALAGA?</t>
  </si>
  <si>
    <t xml:space="preserve">SI TATAY NAMO </t>
  </si>
  <si>
    <t>&gt;50%</t>
  </si>
  <si>
    <t>Region II</t>
  </si>
  <si>
    <t>Buhi-non</t>
  </si>
  <si>
    <t>Minasbate</t>
  </si>
  <si>
    <t>AN GULAY NA KALUNGGAY</t>
  </si>
  <si>
    <t>AN PARAHUNGA NA BATA</t>
  </si>
  <si>
    <t>100%</t>
  </si>
  <si>
    <t>Region III</t>
  </si>
  <si>
    <t>Caluyanen</t>
  </si>
  <si>
    <t>Region IV-A</t>
  </si>
  <si>
    <t>Para the Parrot</t>
  </si>
  <si>
    <t>A Day in the Fields</t>
  </si>
  <si>
    <t xml:space="preserve">Region IV-B </t>
  </si>
  <si>
    <t>Chavacano</t>
  </si>
  <si>
    <t>Sinugbuanong Binisaya</t>
  </si>
  <si>
    <t>Ang Garden ni Kikay</t>
  </si>
  <si>
    <t>Si Kana</t>
  </si>
  <si>
    <t xml:space="preserve">Region V </t>
  </si>
  <si>
    <t>Cuyonon</t>
  </si>
  <si>
    <t>Ang Bata nga Palabasa</t>
  </si>
  <si>
    <t>Ang Tsinelas</t>
  </si>
  <si>
    <t>Region VI</t>
  </si>
  <si>
    <t>Leksyon sa Basura</t>
  </si>
  <si>
    <t>Ro Libro ni Dondon</t>
  </si>
  <si>
    <t xml:space="preserve">Region VII </t>
  </si>
  <si>
    <t>Hiliray-a (Kinaray-a Iloilo)</t>
  </si>
  <si>
    <t xml:space="preserve">Kinaray-a </t>
  </si>
  <si>
    <t>Ang Tsinelas nga Pula</t>
  </si>
  <si>
    <t>Ang Nasari-sari nga Buhok ni Mara</t>
  </si>
  <si>
    <t xml:space="preserve">Region VIII </t>
  </si>
  <si>
    <t>Ibanag</t>
  </si>
  <si>
    <t>Magindanawn</t>
  </si>
  <si>
    <t>Sa Benday</t>
  </si>
  <si>
    <t>Su Inisugu Ni Ina</t>
  </si>
  <si>
    <t>Region IX</t>
  </si>
  <si>
    <t>Ilokano</t>
  </si>
  <si>
    <t>ANG SAPATOS NI SYLVIA</t>
  </si>
  <si>
    <t>SUPER BITOY</t>
  </si>
  <si>
    <t xml:space="preserve">Region X </t>
  </si>
  <si>
    <t>Inabaknon</t>
  </si>
  <si>
    <t xml:space="preserve">Region XI </t>
  </si>
  <si>
    <t>Ivatan</t>
  </si>
  <si>
    <t>Pangasinan</t>
  </si>
  <si>
    <t xml:space="preserve">Region XII </t>
  </si>
  <si>
    <t>Kapampangan</t>
  </si>
  <si>
    <t xml:space="preserve">Ibanag </t>
  </si>
  <si>
    <t xml:space="preserve">Region XIII </t>
  </si>
  <si>
    <t>BARMM</t>
  </si>
  <si>
    <t>Waray</t>
  </si>
  <si>
    <t xml:space="preserve">Meranaw </t>
  </si>
  <si>
    <t>Miraya</t>
  </si>
  <si>
    <t>Surigaonon</t>
  </si>
  <si>
    <t>Northern Catanduanes</t>
  </si>
  <si>
    <t>Northern Sorsoganon</t>
  </si>
  <si>
    <t xml:space="preserve">Sambal </t>
  </si>
  <si>
    <t>Southern Catanduanes</t>
  </si>
  <si>
    <t>Southern Sorsoganon</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</si>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</sst>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font>
      <sz val="11"/>
      <color theme="1"/>
      <name val="Calibri"/>
      <charset val="134"/>
      <scheme val="minor"/>
    </font>
    <font>
      <b/>
      <sz val="12"/>
      <color theme="1"/>
      <name val="Calibri"/>
      <charset val="134"/>
      <scheme val="minor"/>
    </font>
    <font>
      <b/>
      <sz val="11"/>
      <color theme="1"/>
      <name val="Calibri"/>
      <charset val="134"/>
      <scheme val="minor"/>
    </font>
    <font>
      <b/>
      <sz val="12"/>
      <color theme="0"/>
      <name val="Arial"/>
      <charset val="134"/>
    </font>
    <font>
      <b/>
      <sz val="9"/>
      <color theme="1"/>
      <name val="Calibri"/>
      <charset val="134"/>
      <scheme val="minor"/>
    </font>
    <font>
      <b/>
      <sz val="10"/>
      <color theme="1"/>
      <name val="Calibri"/>
      <charset val="134"/>
      <scheme val="minor"/>
    </font>
    <font>
      <sz val="10"/>
      <color theme="1"/>
      <name val="Calibri"/>
      <charset val="134"/>
      <scheme val="minor"/>
    </font>
    <font>
      <sz val="9"/>
      <color theme="1"/>
      <name val="Arial"/>
      <charset val="134"/>
    </font>
    <font>
      <b/>
      <sz val="10"/>
      <color theme="1"/>
      <name val="Arial"/>
      <charset val="134"/>
    </font>
    <font>
      <sz val="10"/>
      <name val="Arial"/>
      <charset val="134"/>
    </font>
    <font>
      <b/>
      <sz val="14"/>
      <color theme="0"/>
      <name val="Arial"/>
      <charset val="134"/>
    </font>
    <font>
      <b/>
      <sz val="9"/>
      <color theme="1"/>
      <name val="Arial"/>
      <charset val="134"/>
    </font>
    <font>
      <b/>
      <sz val="8"/>
      <color theme="1"/>
      <name val="Arial"/>
      <charset val="134"/>
    </font>
    <font>
      <b/>
      <sz val="11"/>
      <color theme="0"/>
      <name val="Calibri"/>
      <charset val="134"/>
      <scheme val="minor"/>
    </font>
    <font>
      <sz val="18"/>
      <color theme="1"/>
      <name val="Calibri"/>
      <charset val="134"/>
      <scheme val="minor"/>
    </font>
    <font>
      <sz val="11"/>
      <color theme="1"/>
      <name val="Arial"/>
      <charset val="134"/>
    </font>
    <font>
      <b/>
      <sz val="10"/>
      <name val="Arial"/>
      <charset val="134"/>
    </font>
    <font>
      <b/>
      <sz val="9"/>
      <name val="Arial"/>
      <charset val="134"/>
    </font>
    <font>
      <i/>
      <sz val="8"/>
      <name val="Arial"/>
      <charset val="134"/>
    </font>
    <font>
      <i/>
      <sz val="8"/>
      <color theme="1"/>
      <name val="Arial"/>
      <charset val="134"/>
    </font>
    <font>
      <sz val="8"/>
      <color theme="1"/>
      <name val="Arial"/>
      <charset val="134"/>
    </font>
    <font>
      <sz val="10"/>
      <color theme="1"/>
      <name val="Arial"/>
      <charset val="134"/>
    </font>
    <font>
      <sz val="9"/>
      <color theme="1"/>
      <name val="Calibri"/>
      <charset val="134"/>
      <scheme val="minor"/>
    </font>
    <font>
      <sz val="8"/>
      <color theme="1"/>
      <name val="Calibri"/>
      <charset val="134"/>
      <scheme val="minor"/>
    </font>
    <font>
      <b/>
      <sz val="8"/>
      <name val="Arial"/>
      <charset val="134"/>
    </font>
    <font>
      <i/>
      <sz val="10"/>
      <name val="Arial"/>
      <charset val="134"/>
    </font>
    <font>
      <i/>
      <sz val="10"/>
      <color theme="1"/>
      <name val="Arial"/>
      <charset val="134"/>
    </font>
    <font>
      <b/>
      <i/>
      <sz val="8"/>
      <color theme="1"/>
      <name val="Arial"/>
      <charset val="134"/>
    </font>
    <font>
      <sz val="11"/>
      <color rgb="FFFF0000"/>
      <name val="Calibri"/>
      <charset val="134"/>
      <scheme val="minor"/>
    </font>
    <font>
      <sz val="11"/>
      <color theme="1"/>
      <name val="Calibri"/>
      <charset val="134"/>
      <scheme val="minor"/>
    </font>
  </fonts>
  <fills count="16">
    <fill>
      <patternFill patternType="none"/>
    </fill>
    <fill>
      <patternFill patternType="gray125"/>
    </fill>
    <fill>
      <patternFill patternType="solid">
        <fgColor rgb="FFFFFF00"/>
        <bgColor indexed="64"/>
      </patternFill>
    </fill>
    <fill>
      <patternFill patternType="solid">
        <fgColor theme="9" tint="0.79989013336588644"/>
        <bgColor indexed="64"/>
      </patternFill>
    </fill>
    <fill>
      <patternFill patternType="solid">
        <fgColor rgb="FFFFC000"/>
        <bgColor indexed="64"/>
      </patternFill>
    </fill>
    <fill>
      <patternFill patternType="solid">
        <fgColor theme="0" tint="-0.1499069185460982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89013336588644"/>
        <bgColor indexed="64"/>
      </patternFill>
    </fill>
    <fill>
      <patternFill patternType="solid">
        <fgColor theme="7" tint="0.79989013336588644"/>
        <bgColor indexed="64"/>
      </patternFill>
    </fill>
    <fill>
      <patternFill patternType="solid">
        <fgColor theme="1" tint="0.499984740745262"/>
        <bgColor indexed="64"/>
      </patternFill>
    </fill>
    <fill>
      <patternFill patternType="solid">
        <fgColor rgb="FFFFFFFF"/>
        <bgColor indexed="64"/>
      </patternFill>
    </fill>
    <fill>
      <patternFill patternType="solid">
        <fgColor theme="0"/>
        <bgColor indexed="64"/>
      </patternFill>
    </fill>
    <fill>
      <patternFill patternType="solid">
        <fgColor theme="2" tint="-0.249977111117893"/>
        <bgColor indexed="64"/>
      </patternFill>
    </fill>
  </fills>
  <borders count="6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thin">
        <color auto="1"/>
      </bottom>
      <diagonal/>
    </border>
    <border>
      <left/>
      <right style="medium">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style="thin">
        <color auto="1"/>
      </left>
      <right style="thin">
        <color auto="1"/>
      </right>
      <top/>
      <bottom/>
      <diagonal/>
    </border>
    <border>
      <left style="thin">
        <color auto="1"/>
      </left>
      <right/>
      <top style="medium">
        <color auto="1"/>
      </top>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style="thin">
        <color auto="1"/>
      </top>
      <bottom style="medium">
        <color auto="1"/>
      </bottom>
      <diagonal/>
    </border>
    <border>
      <left/>
      <right style="thin">
        <color auto="1"/>
      </right>
      <top style="thin">
        <color auto="1"/>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s>
  <cellStyleXfs count="2">
    <xf numFmtId="0" fontId="0" fillId="0" borderId="0"/>
    <xf numFmtId="9" fontId="29" fillId="0" borderId="0" applyFont="0" applyFill="0" applyBorder="0" applyAlignment="0" applyProtection="0"/>
  </cellStyleXfs>
  <cellXfs count="454">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0" borderId="4" xfId="0" applyFont="1" applyBorder="1" applyAlignment="1">
      <alignment vertical="center"/>
    </xf>
    <xf numFmtId="0" fontId="0" fillId="0" borderId="0" xfId="0" applyAlignment="1">
      <alignment vertical="center" wrapText="1"/>
    </xf>
    <xf numFmtId="0" fontId="2"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0" fillId="0" borderId="9" xfId="0" applyBorder="1" applyAlignment="1">
      <alignment vertical="center" wrapText="1"/>
    </xf>
    <xf numFmtId="0" fontId="2" fillId="0" borderId="9" xfId="0" applyFont="1" applyBorder="1" applyAlignment="1">
      <alignment horizontal="left" vertical="center" indent="1"/>
    </xf>
    <xf numFmtId="0" fontId="0" fillId="0" borderId="10" xfId="0" applyBorder="1" applyAlignment="1">
      <alignment vertical="center" wrapText="1"/>
    </xf>
    <xf numFmtId="0" fontId="0" fillId="0" borderId="0" xfId="0" applyAlignment="1">
      <alignment horizontal="left"/>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horizontal="left" vertical="center"/>
      <protection hidden="1"/>
    </xf>
    <xf numFmtId="0" fontId="6" fillId="0" borderId="5" xfId="0" applyFont="1" applyBorder="1" applyAlignment="1" applyProtection="1">
      <alignment horizontal="lef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0" borderId="5" xfId="0" applyBorder="1" applyAlignment="1" applyProtection="1">
      <alignment horizontal="center" vertical="center" wrapText="1"/>
      <protection hidden="1"/>
    </xf>
    <xf numFmtId="0" fontId="6" fillId="0" borderId="8" xfId="0" applyFont="1" applyBorder="1" applyAlignment="1" applyProtection="1">
      <alignment horizontal="left" vertical="center"/>
      <protection hidden="1"/>
    </xf>
    <xf numFmtId="0" fontId="6" fillId="0" borderId="9" xfId="0" applyFont="1" applyBorder="1" applyAlignment="1" applyProtection="1">
      <alignment horizontal="lef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 xfId="0" applyFont="1" applyBorder="1" applyAlignment="1" applyProtection="1">
      <alignment horizontal="left" vertical="center"/>
      <protection hidden="1"/>
    </xf>
    <xf numFmtId="0" fontId="5" fillId="0" borderId="2" xfId="0" applyFont="1" applyBorder="1" applyAlignment="1" applyProtection="1">
      <alignment horizontal="left" vertical="center"/>
      <protection hidden="1"/>
    </xf>
    <xf numFmtId="0" fontId="5" fillId="0" borderId="2" xfId="0" applyFont="1" applyBorder="1" applyAlignment="1" applyProtection="1">
      <alignment vertical="center"/>
      <protection hidden="1"/>
    </xf>
    <xf numFmtId="0" fontId="5"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protection hidden="1"/>
    </xf>
    <xf numFmtId="0" fontId="5" fillId="0" borderId="4" xfId="0" applyFont="1" applyBorder="1" applyAlignment="1" applyProtection="1">
      <alignment horizontal="left" vertical="center"/>
      <protection hidden="1"/>
    </xf>
    <xf numFmtId="0" fontId="5" fillId="0" borderId="5" xfId="0" applyFont="1" applyBorder="1" applyAlignment="1" applyProtection="1">
      <alignment horizontal="left" vertical="center"/>
      <protection hidden="1"/>
    </xf>
    <xf numFmtId="0" fontId="5" fillId="0" borderId="5" xfId="0" applyFont="1" applyBorder="1" applyAlignment="1" applyProtection="1">
      <alignment vertical="center"/>
      <protection hidden="1"/>
    </xf>
    <xf numFmtId="0" fontId="5" fillId="0" borderId="5"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protection hidden="1"/>
    </xf>
    <xf numFmtId="0" fontId="5" fillId="0" borderId="8" xfId="0" applyFont="1" applyBorder="1" applyAlignment="1" applyProtection="1">
      <alignment horizontal="left" vertical="center"/>
      <protection hidden="1"/>
    </xf>
    <xf numFmtId="0" fontId="5" fillId="0" borderId="9" xfId="0" applyFont="1" applyBorder="1" applyAlignment="1" applyProtection="1">
      <alignment horizontal="lef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protection hidden="1"/>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5" xfId="0" applyFont="1" applyFill="1" applyBorder="1" applyAlignment="1">
      <alignment wrapText="1"/>
    </xf>
    <xf numFmtId="0" fontId="2" fillId="5" borderId="4" xfId="0" applyFont="1" applyFill="1" applyBorder="1"/>
    <xf numFmtId="0" fontId="2" fillId="5" borderId="5" xfId="0" applyFont="1" applyFill="1" applyBorder="1"/>
    <xf numFmtId="0" fontId="2" fillId="5" borderId="5" xfId="0" applyFont="1" applyFill="1" applyBorder="1" applyAlignment="1">
      <alignment horizontal="center" wrapText="1"/>
    </xf>
    <xf numFmtId="0" fontId="0" fillId="0" borderId="4" xfId="0" applyBorder="1"/>
    <xf numFmtId="0" fontId="0" fillId="0" borderId="5" xfId="0" applyBorder="1"/>
    <xf numFmtId="9" fontId="0" fillId="0" borderId="5" xfId="1" applyFont="1" applyBorder="1" applyAlignment="1">
      <alignment horizontal="center"/>
    </xf>
    <xf numFmtId="9" fontId="0" fillId="0" borderId="5" xfId="0" applyNumberFormat="1" applyBorder="1" applyAlignment="1">
      <alignment horizontal="center"/>
    </xf>
    <xf numFmtId="0" fontId="2" fillId="7" borderId="4" xfId="0" applyFont="1" applyFill="1" applyBorder="1"/>
    <xf numFmtId="0" fontId="2" fillId="0" borderId="5" xfId="0" applyFont="1" applyBorder="1"/>
    <xf numFmtId="9" fontId="2" fillId="7" borderId="5" xfId="0" applyNumberFormat="1" applyFont="1" applyFill="1" applyBorder="1" applyAlignment="1">
      <alignment horizontal="center"/>
    </xf>
    <xf numFmtId="0" fontId="2" fillId="7" borderId="8" xfId="0" applyFont="1" applyFill="1" applyBorder="1"/>
    <xf numFmtId="0" fontId="2" fillId="0" borderId="9" xfId="0" applyFont="1" applyBorder="1"/>
    <xf numFmtId="9" fontId="2" fillId="7" borderId="9" xfId="0" applyNumberFormat="1" applyFont="1" applyFill="1" applyBorder="1" applyAlignment="1">
      <alignment horizontal="center"/>
    </xf>
    <xf numFmtId="0" fontId="2" fillId="0" borderId="0" xfId="0" applyFont="1"/>
    <xf numFmtId="9" fontId="2" fillId="0" borderId="0" xfId="0" applyNumberFormat="1" applyFont="1" applyAlignment="1">
      <alignment horizontal="center"/>
    </xf>
    <xf numFmtId="0" fontId="4" fillId="3" borderId="5" xfId="0" applyFont="1" applyFill="1" applyBorder="1" applyAlignment="1" applyProtection="1">
      <alignment horizontal="center" vertical="center" wrapText="1"/>
      <protection hidden="1"/>
    </xf>
    <xf numFmtId="9" fontId="0" fillId="0" borderId="5" xfId="0" applyNumberFormat="1" applyBorder="1" applyAlignment="1">
      <alignment horizontal="center" vertical="center"/>
    </xf>
    <xf numFmtId="9" fontId="0" fillId="0" borderId="5" xfId="0" applyNumberFormat="1" applyBorder="1" applyAlignment="1" applyProtection="1">
      <alignment horizontal="center" vertical="center"/>
      <protection hidden="1"/>
    </xf>
    <xf numFmtId="2" fontId="0" fillId="0" borderId="5" xfId="0" applyNumberFormat="1" applyBorder="1" applyAlignment="1" applyProtection="1">
      <alignment horizontal="center" vertical="center"/>
      <protection hidden="1"/>
    </xf>
    <xf numFmtId="0" fontId="0" fillId="3" borderId="5" xfId="0" applyFill="1" applyBorder="1" applyAlignment="1" applyProtection="1">
      <alignment horizontal="center" vertical="center"/>
      <protection hidden="1"/>
    </xf>
    <xf numFmtId="9" fontId="0" fillId="0" borderId="9" xfId="0" applyNumberFormat="1" applyBorder="1" applyAlignment="1">
      <alignment horizontal="center" vertical="center"/>
    </xf>
    <xf numFmtId="9" fontId="0" fillId="0" borderId="9" xfId="0" applyNumberFormat="1" applyBorder="1" applyAlignment="1" applyProtection="1">
      <alignment horizontal="center" vertical="center"/>
      <protection hidden="1"/>
    </xf>
    <xf numFmtId="2" fontId="0" fillId="0" borderId="9" xfId="0" applyNumberFormat="1" applyBorder="1" applyAlignment="1" applyProtection="1">
      <alignment horizontal="center" vertical="center"/>
      <protection hidden="1"/>
    </xf>
    <xf numFmtId="0" fontId="0" fillId="3" borderId="9" xfId="0" applyFill="1" applyBorder="1" applyAlignment="1" applyProtection="1">
      <alignment horizontal="center" vertical="center"/>
      <protection hidden="1"/>
    </xf>
    <xf numFmtId="0" fontId="0" fillId="0" borderId="0" xfId="0" applyAlignment="1">
      <alignment horizontal="center" vertical="center"/>
    </xf>
    <xf numFmtId="9" fontId="0" fillId="0" borderId="2" xfId="0" applyNumberFormat="1" applyBorder="1" applyAlignment="1">
      <alignment horizontal="center" vertical="center"/>
    </xf>
    <xf numFmtId="9" fontId="2" fillId="0" borderId="2" xfId="0" applyNumberFormat="1" applyFont="1" applyBorder="1" applyAlignment="1" applyProtection="1">
      <alignment horizontal="center" vertical="center"/>
      <protection hidden="1"/>
    </xf>
    <xf numFmtId="2" fontId="2" fillId="0" borderId="2" xfId="0" applyNumberFormat="1" applyFont="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9" fontId="2" fillId="0" borderId="5" xfId="0" applyNumberFormat="1" applyFont="1" applyBorder="1" applyAlignment="1" applyProtection="1">
      <alignment horizontal="center" vertical="center"/>
      <protection hidden="1"/>
    </xf>
    <xf numFmtId="2" fontId="2" fillId="0" borderId="5" xfId="0" applyNumberFormat="1" applyFont="1" applyBorder="1" applyAlignment="1" applyProtection="1">
      <alignment horizontal="center" vertical="center"/>
      <protection hidden="1"/>
    </xf>
    <xf numFmtId="0" fontId="2" fillId="3" borderId="5" xfId="0" applyFont="1" applyFill="1" applyBorder="1" applyAlignment="1" applyProtection="1">
      <alignment horizontal="center" vertical="center"/>
      <protection hidden="1"/>
    </xf>
    <xf numFmtId="9" fontId="2" fillId="0" borderId="9" xfId="0" applyNumberFormat="1" applyFont="1" applyBorder="1" applyAlignment="1" applyProtection="1">
      <alignment horizontal="center" vertical="center"/>
      <protection hidden="1"/>
    </xf>
    <xf numFmtId="2" fontId="2" fillId="0" borderId="9" xfId="0" applyNumberFormat="1" applyFont="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5" fillId="5" borderId="5" xfId="0" applyFont="1" applyFill="1" applyBorder="1" applyAlignment="1" applyProtection="1">
      <alignment wrapText="1"/>
      <protection hidden="1"/>
    </xf>
    <xf numFmtId="0" fontId="4" fillId="3" borderId="6" xfId="0" applyFont="1" applyFill="1" applyBorder="1" applyAlignment="1" applyProtection="1">
      <alignment horizontal="center" vertical="center" wrapText="1"/>
      <protection hidden="1"/>
    </xf>
    <xf numFmtId="1" fontId="0" fillId="0" borderId="5" xfId="1" applyNumberFormat="1" applyFont="1" applyBorder="1" applyAlignment="1">
      <alignment horizontal="center"/>
    </xf>
    <xf numFmtId="9" fontId="0" fillId="3" borderId="5" xfId="1" applyFont="1" applyFill="1" applyBorder="1" applyAlignment="1">
      <alignment horizontal="center"/>
    </xf>
    <xf numFmtId="9" fontId="0" fillId="3" borderId="6" xfId="1" applyFont="1" applyFill="1" applyBorder="1" applyAlignment="1">
      <alignment horizontal="center"/>
    </xf>
    <xf numFmtId="1" fontId="0" fillId="0" borderId="5" xfId="0" applyNumberFormat="1" applyBorder="1" applyAlignment="1">
      <alignment horizontal="center"/>
    </xf>
    <xf numFmtId="9" fontId="0" fillId="3" borderId="5" xfId="0" applyNumberFormat="1" applyFill="1" applyBorder="1" applyAlignment="1">
      <alignment horizontal="center"/>
    </xf>
    <xf numFmtId="9" fontId="0" fillId="3" borderId="6" xfId="0" applyNumberFormat="1" applyFill="1" applyBorder="1" applyAlignment="1">
      <alignment horizontal="center"/>
    </xf>
    <xf numFmtId="1" fontId="2" fillId="7" borderId="5" xfId="0" applyNumberFormat="1" applyFont="1" applyFill="1" applyBorder="1" applyAlignment="1">
      <alignment horizontal="center"/>
    </xf>
    <xf numFmtId="9" fontId="2" fillId="3" borderId="5" xfId="0" applyNumberFormat="1" applyFont="1" applyFill="1" applyBorder="1" applyAlignment="1">
      <alignment horizontal="center"/>
    </xf>
    <xf numFmtId="9" fontId="2" fillId="3" borderId="6" xfId="0" applyNumberFormat="1" applyFont="1" applyFill="1" applyBorder="1" applyAlignment="1">
      <alignment horizontal="center"/>
    </xf>
    <xf numFmtId="1" fontId="2" fillId="7" borderId="9" xfId="0" applyNumberFormat="1" applyFont="1" applyFill="1" applyBorder="1" applyAlignment="1">
      <alignment horizontal="center"/>
    </xf>
    <xf numFmtId="9" fontId="2" fillId="3" borderId="9" xfId="0" applyNumberFormat="1" applyFont="1" applyFill="1" applyBorder="1" applyAlignment="1">
      <alignment horizontal="center"/>
    </xf>
    <xf numFmtId="9" fontId="2" fillId="3" borderId="10" xfId="0" applyNumberFormat="1" applyFont="1" applyFill="1" applyBorder="1" applyAlignment="1">
      <alignment horizontal="center"/>
    </xf>
    <xf numFmtId="0" fontId="0" fillId="3" borderId="6" xfId="0" applyFill="1" applyBorder="1" applyAlignment="1" applyProtection="1">
      <alignment horizontal="center" vertical="center"/>
      <protection hidden="1"/>
    </xf>
    <xf numFmtId="0" fontId="0" fillId="3" borderId="10" xfId="0" applyFill="1" applyBorder="1" applyAlignment="1" applyProtection="1">
      <alignment horizontal="center" vertical="center"/>
      <protection hidden="1"/>
    </xf>
    <xf numFmtId="0" fontId="2" fillId="3" borderId="3" xfId="0" applyFont="1" applyFill="1" applyBorder="1" applyAlignment="1" applyProtection="1">
      <alignment horizontal="center" vertical="center"/>
      <protection hidden="1"/>
    </xf>
    <xf numFmtId="0" fontId="2" fillId="3" borderId="6" xfId="0" applyFont="1" applyFill="1" applyBorder="1" applyAlignment="1" applyProtection="1">
      <alignment horizontal="center" vertical="center"/>
      <protection hidden="1"/>
    </xf>
    <xf numFmtId="0" fontId="2" fillId="3" borderId="10" xfId="0" applyFont="1" applyFill="1" applyBorder="1" applyAlignment="1" applyProtection="1">
      <alignment horizontal="center" vertical="center"/>
      <protection hidden="1"/>
    </xf>
    <xf numFmtId="0" fontId="7" fillId="0" borderId="0" xfId="0" applyFont="1" applyAlignment="1">
      <alignment horizontal="center"/>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5" xfId="0" applyFont="1" applyFill="1" applyBorder="1" applyAlignment="1">
      <alignment vertical="center"/>
    </xf>
    <xf numFmtId="0" fontId="11" fillId="8" borderId="5" xfId="0" applyFont="1" applyFill="1" applyBorder="1" applyAlignment="1">
      <alignment horizontal="center" vertical="center"/>
    </xf>
    <xf numFmtId="0" fontId="11" fillId="10" borderId="5"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0" fillId="0" borderId="4" xfId="0" applyBorder="1" applyAlignment="1">
      <alignment vertical="center"/>
    </xf>
    <xf numFmtId="1" fontId="6" fillId="0" borderId="19" xfId="0" applyNumberFormat="1" applyFont="1" applyBorder="1" applyAlignment="1">
      <alignment horizontal="left" vertical="center"/>
    </xf>
    <xf numFmtId="0" fontId="6" fillId="0" borderId="19" xfId="0" applyFont="1" applyBorder="1" applyAlignment="1">
      <alignment vertical="center"/>
    </xf>
    <xf numFmtId="0" fontId="6" fillId="0" borderId="19" xfId="0" applyFont="1" applyBorder="1" applyAlignment="1">
      <alignment horizontal="center" vertical="center"/>
    </xf>
    <xf numFmtId="1" fontId="6" fillId="10" borderId="19" xfId="0" applyNumberFormat="1" applyFont="1" applyFill="1" applyBorder="1" applyAlignment="1">
      <alignment horizontal="center" vertical="center"/>
    </xf>
    <xf numFmtId="9" fontId="6" fillId="10" borderId="19" xfId="0" applyNumberFormat="1" applyFont="1" applyFill="1" applyBorder="1" applyAlignment="1">
      <alignment horizontal="center" vertical="center"/>
    </xf>
    <xf numFmtId="9" fontId="6" fillId="10" borderId="19" xfId="0" applyNumberFormat="1" applyFont="1" applyFill="1" applyBorder="1" applyAlignment="1">
      <alignment horizontal="center" vertical="center" wrapText="1"/>
    </xf>
    <xf numFmtId="0" fontId="0" fillId="7" borderId="4" xfId="0" applyFill="1" applyBorder="1" applyAlignment="1">
      <alignment vertical="center"/>
    </xf>
    <xf numFmtId="1" fontId="6" fillId="7" borderId="5" xfId="0" applyNumberFormat="1" applyFont="1" applyFill="1" applyBorder="1" applyAlignment="1">
      <alignment horizontal="left" vertical="center"/>
    </xf>
    <xf numFmtId="0" fontId="6" fillId="7" borderId="5" xfId="0" applyFont="1" applyFill="1" applyBorder="1" applyAlignment="1">
      <alignment vertical="center"/>
    </xf>
    <xf numFmtId="0" fontId="6" fillId="7" borderId="5" xfId="0" applyFont="1" applyFill="1" applyBorder="1" applyAlignment="1">
      <alignment horizontal="center" vertical="center"/>
    </xf>
    <xf numFmtId="1" fontId="6" fillId="10" borderId="5" xfId="0" applyNumberFormat="1" applyFont="1" applyFill="1" applyBorder="1" applyAlignment="1">
      <alignment horizontal="center" vertical="center"/>
    </xf>
    <xf numFmtId="9" fontId="6" fillId="10" borderId="5" xfId="0" applyNumberFormat="1" applyFont="1" applyFill="1" applyBorder="1" applyAlignment="1">
      <alignment horizontal="center" vertical="center"/>
    </xf>
    <xf numFmtId="9" fontId="6" fillId="10" borderId="5" xfId="0" applyNumberFormat="1" applyFont="1" applyFill="1" applyBorder="1" applyAlignment="1">
      <alignment horizontal="center" vertical="center" wrapText="1"/>
    </xf>
    <xf numFmtId="1" fontId="6" fillId="0" borderId="5" xfId="0" applyNumberFormat="1" applyFont="1" applyBorder="1" applyAlignment="1">
      <alignment horizontal="left" vertical="center"/>
    </xf>
    <xf numFmtId="0" fontId="6" fillId="0" borderId="5" xfId="0" applyFont="1" applyBorder="1" applyAlignment="1">
      <alignment vertical="center"/>
    </xf>
    <xf numFmtId="0" fontId="6" fillId="0" borderId="5" xfId="0" applyFont="1" applyBorder="1" applyAlignment="1">
      <alignment horizontal="center" vertical="center"/>
    </xf>
    <xf numFmtId="0" fontId="11" fillId="11" borderId="5" xfId="0" applyFont="1" applyFill="1" applyBorder="1" applyAlignment="1">
      <alignment horizontal="center" vertical="center" wrapText="1"/>
    </xf>
    <xf numFmtId="0" fontId="12" fillId="11" borderId="5" xfId="0" applyFont="1" applyFill="1" applyBorder="1" applyAlignment="1">
      <alignment horizontal="center" vertical="center" wrapText="1"/>
    </xf>
    <xf numFmtId="1" fontId="6" fillId="10" borderId="20" xfId="0" applyNumberFormat="1" applyFont="1" applyFill="1" applyBorder="1" applyAlignment="1">
      <alignment horizontal="center" vertical="center" wrapText="1"/>
    </xf>
    <xf numFmtId="1" fontId="6" fillId="11" borderId="19" xfId="0" applyNumberFormat="1" applyFont="1" applyFill="1" applyBorder="1" applyAlignment="1">
      <alignment horizontal="center" vertical="center"/>
    </xf>
    <xf numFmtId="9" fontId="6" fillId="11" borderId="19" xfId="0" applyNumberFormat="1" applyFont="1" applyFill="1" applyBorder="1" applyAlignment="1">
      <alignment horizontal="center" vertical="center"/>
    </xf>
    <xf numFmtId="9" fontId="6" fillId="11" borderId="19" xfId="0" applyNumberFormat="1" applyFont="1" applyFill="1" applyBorder="1" applyAlignment="1">
      <alignment horizontal="center" vertical="center" wrapText="1"/>
    </xf>
    <xf numFmtId="1" fontId="6" fillId="11" borderId="20" xfId="0" applyNumberFormat="1" applyFont="1" applyFill="1" applyBorder="1" applyAlignment="1">
      <alignment horizontal="center" vertical="center" wrapText="1"/>
    </xf>
    <xf numFmtId="1" fontId="6" fillId="10" borderId="16" xfId="0" applyNumberFormat="1" applyFont="1" applyFill="1" applyBorder="1" applyAlignment="1">
      <alignment horizontal="center" vertical="center" wrapText="1"/>
    </xf>
    <xf numFmtId="0" fontId="6" fillId="10" borderId="16" xfId="0" applyFont="1" applyFill="1" applyBorder="1" applyAlignment="1">
      <alignment horizontal="center" vertical="center" wrapText="1"/>
    </xf>
    <xf numFmtId="1" fontId="6" fillId="11" borderId="5" xfId="0" applyNumberFormat="1" applyFont="1" applyFill="1" applyBorder="1" applyAlignment="1">
      <alignment horizontal="center" vertical="center"/>
    </xf>
    <xf numFmtId="9" fontId="6" fillId="11" borderId="5" xfId="0" applyNumberFormat="1" applyFont="1" applyFill="1" applyBorder="1" applyAlignment="1">
      <alignment horizontal="center" vertical="center"/>
    </xf>
    <xf numFmtId="9" fontId="6" fillId="11" borderId="5" xfId="0" applyNumberFormat="1" applyFont="1" applyFill="1" applyBorder="1" applyAlignment="1">
      <alignment horizontal="center" vertical="center" wrapText="1"/>
    </xf>
    <xf numFmtId="1" fontId="6" fillId="11" borderId="16" xfId="0" applyNumberFormat="1" applyFont="1" applyFill="1" applyBorder="1" applyAlignment="1">
      <alignment horizontal="center" vertical="center" wrapText="1"/>
    </xf>
    <xf numFmtId="0" fontId="6" fillId="11" borderId="16" xfId="0" applyFont="1" applyFill="1" applyBorder="1" applyAlignment="1">
      <alignment horizontal="center" vertical="center" wrapText="1"/>
    </xf>
    <xf numFmtId="0" fontId="11" fillId="3" borderId="5" xfId="0" applyFont="1" applyFill="1" applyBorder="1" applyAlignment="1">
      <alignment horizontal="center" wrapText="1"/>
    </xf>
    <xf numFmtId="0" fontId="11" fillId="3"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1" fontId="6" fillId="3" borderId="19" xfId="0" applyNumberFormat="1" applyFont="1" applyFill="1" applyBorder="1" applyAlignment="1">
      <alignment horizontal="center" vertical="center"/>
    </xf>
    <xf numFmtId="9" fontId="6" fillId="3" borderId="19" xfId="0" applyNumberFormat="1" applyFont="1" applyFill="1" applyBorder="1" applyAlignment="1">
      <alignment horizontal="center" vertical="center"/>
    </xf>
    <xf numFmtId="9" fontId="6" fillId="3" borderId="19" xfId="0" applyNumberFormat="1" applyFont="1" applyFill="1" applyBorder="1" applyAlignment="1">
      <alignment horizontal="center" vertical="center" wrapText="1"/>
    </xf>
    <xf numFmtId="1" fontId="6" fillId="3" borderId="20" xfId="0" applyNumberFormat="1" applyFont="1" applyFill="1" applyBorder="1" applyAlignment="1">
      <alignment horizontal="center" vertical="center" wrapText="1"/>
    </xf>
    <xf numFmtId="0" fontId="6" fillId="0" borderId="23" xfId="0" applyFont="1" applyBorder="1" applyAlignment="1">
      <alignment horizontal="left" vertical="center" wrapText="1"/>
    </xf>
    <xf numFmtId="1" fontId="6" fillId="3" borderId="5" xfId="0" applyNumberFormat="1" applyFont="1" applyFill="1" applyBorder="1" applyAlignment="1">
      <alignment horizontal="center" vertical="center"/>
    </xf>
    <xf numFmtId="9" fontId="6" fillId="3" borderId="5" xfId="0" applyNumberFormat="1" applyFont="1" applyFill="1" applyBorder="1" applyAlignment="1">
      <alignment horizontal="center" vertical="center"/>
    </xf>
    <xf numFmtId="9" fontId="6" fillId="3" borderId="5" xfId="0" applyNumberFormat="1" applyFont="1" applyFill="1" applyBorder="1" applyAlignment="1">
      <alignment horizontal="center" vertical="center" wrapText="1"/>
    </xf>
    <xf numFmtId="1" fontId="6" fillId="3" borderId="16" xfId="0" applyNumberFormat="1"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7" borderId="6" xfId="0" applyFont="1" applyFill="1" applyBorder="1" applyAlignment="1">
      <alignment horizontal="left" vertical="center" wrapText="1"/>
    </xf>
    <xf numFmtId="0" fontId="6" fillId="0" borderId="6" xfId="0" applyFont="1" applyBorder="1" applyAlignment="1">
      <alignment horizontal="left" vertical="center" wrapText="1"/>
    </xf>
    <xf numFmtId="0" fontId="6" fillId="7" borderId="9" xfId="0" applyFont="1" applyFill="1" applyBorder="1" applyAlignment="1">
      <alignment vertical="center"/>
    </xf>
    <xf numFmtId="0" fontId="6" fillId="7" borderId="9" xfId="0" applyFont="1" applyFill="1" applyBorder="1" applyAlignment="1">
      <alignment horizontal="center" vertical="center"/>
    </xf>
    <xf numFmtId="1" fontId="6" fillId="10" borderId="9" xfId="0" applyNumberFormat="1" applyFont="1" applyFill="1" applyBorder="1" applyAlignment="1">
      <alignment horizontal="center" vertical="center"/>
    </xf>
    <xf numFmtId="9" fontId="6" fillId="10" borderId="9" xfId="0" applyNumberFormat="1" applyFont="1" applyFill="1" applyBorder="1" applyAlignment="1">
      <alignment horizontal="center" vertical="center"/>
    </xf>
    <xf numFmtId="9" fontId="6" fillId="10" borderId="9" xfId="0" applyNumberFormat="1" applyFont="1" applyFill="1" applyBorder="1" applyAlignment="1">
      <alignment horizontal="center" vertical="center" wrapText="1"/>
    </xf>
    <xf numFmtId="1" fontId="6" fillId="10" borderId="24" xfId="0" applyNumberFormat="1" applyFont="1" applyFill="1" applyBorder="1" applyAlignment="1">
      <alignment horizontal="center" vertical="center" wrapText="1"/>
    </xf>
    <xf numFmtId="0" fontId="6" fillId="10" borderId="24" xfId="0" applyFont="1" applyFill="1" applyBorder="1" applyAlignment="1">
      <alignment horizontal="center" vertical="center" wrapText="1"/>
    </xf>
    <xf numFmtId="1" fontId="6" fillId="11" borderId="9" xfId="0" applyNumberFormat="1" applyFont="1" applyFill="1" applyBorder="1" applyAlignment="1">
      <alignment horizontal="center" vertical="center"/>
    </xf>
    <xf numFmtId="9" fontId="6" fillId="11" borderId="9" xfId="0" applyNumberFormat="1" applyFont="1" applyFill="1" applyBorder="1" applyAlignment="1">
      <alignment horizontal="center" vertical="center"/>
    </xf>
    <xf numFmtId="9" fontId="6" fillId="11" borderId="9" xfId="0" applyNumberFormat="1" applyFont="1" applyFill="1" applyBorder="1" applyAlignment="1">
      <alignment horizontal="center" vertical="center" wrapText="1"/>
    </xf>
    <xf numFmtId="1" fontId="6" fillId="11" borderId="24" xfId="0" applyNumberFormat="1" applyFont="1" applyFill="1" applyBorder="1" applyAlignment="1">
      <alignment horizontal="center" vertical="center" wrapText="1"/>
    </xf>
    <xf numFmtId="0" fontId="6" fillId="11" borderId="24" xfId="0" applyFont="1" applyFill="1" applyBorder="1" applyAlignment="1">
      <alignment horizontal="center" vertical="center" wrapText="1"/>
    </xf>
    <xf numFmtId="1" fontId="6" fillId="3" borderId="9" xfId="0" applyNumberFormat="1" applyFont="1" applyFill="1" applyBorder="1" applyAlignment="1">
      <alignment horizontal="center" vertical="center"/>
    </xf>
    <xf numFmtId="9" fontId="6" fillId="3" borderId="9" xfId="0" applyNumberFormat="1" applyFont="1" applyFill="1" applyBorder="1" applyAlignment="1">
      <alignment horizontal="center" vertical="center"/>
    </xf>
    <xf numFmtId="9" fontId="6" fillId="3" borderId="9" xfId="0" applyNumberFormat="1" applyFont="1" applyFill="1" applyBorder="1" applyAlignment="1">
      <alignment horizontal="center" vertical="center" wrapText="1"/>
    </xf>
    <xf numFmtId="1" fontId="6" fillId="3" borderId="24" xfId="0" applyNumberFormat="1"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7" borderId="10" xfId="0" applyFont="1" applyFill="1" applyBorder="1" applyAlignment="1">
      <alignment horizontal="left" vertical="center" wrapText="1"/>
    </xf>
    <xf numFmtId="0" fontId="0" fillId="0" borderId="0" xfId="0" applyAlignment="1">
      <alignment horizontal="center" wrapText="1"/>
    </xf>
    <xf numFmtId="0" fontId="14" fillId="5" borderId="26" xfId="0" applyFont="1" applyFill="1" applyBorder="1" applyAlignment="1">
      <alignment vertical="center"/>
    </xf>
    <xf numFmtId="0" fontId="15" fillId="5" borderId="3" xfId="0" applyFont="1" applyFill="1" applyBorder="1" applyAlignment="1">
      <alignment horizontal="left"/>
    </xf>
    <xf numFmtId="0" fontId="16" fillId="5" borderId="1" xfId="0" applyFont="1" applyFill="1" applyBorder="1" applyAlignment="1">
      <alignment horizontal="center" wrapText="1"/>
    </xf>
    <xf numFmtId="0" fontId="11" fillId="8" borderId="2" xfId="0" applyFont="1" applyFill="1" applyBorder="1" applyAlignment="1">
      <alignment horizontal="right" vertical="center"/>
    </xf>
    <xf numFmtId="0" fontId="8" fillId="5" borderId="2" xfId="0" applyFont="1" applyFill="1" applyBorder="1" applyAlignment="1" applyProtection="1">
      <alignment horizontal="center" vertical="center" wrapText="1"/>
      <protection hidden="1"/>
    </xf>
    <xf numFmtId="0" fontId="9" fillId="5" borderId="20" xfId="0" applyFont="1" applyFill="1" applyBorder="1" applyAlignment="1">
      <alignment horizontal="left" wrapText="1"/>
    </xf>
    <xf numFmtId="0" fontId="17" fillId="8" borderId="5" xfId="0" applyFont="1" applyFill="1" applyBorder="1" applyAlignment="1" applyProtection="1">
      <alignment horizontal="center" wrapText="1"/>
      <protection locked="0"/>
    </xf>
    <xf numFmtId="0" fontId="17" fillId="8" borderId="6" xfId="0" applyFont="1" applyFill="1" applyBorder="1" applyAlignment="1" applyProtection="1">
      <alignment horizontal="center" wrapText="1"/>
      <protection locked="0"/>
    </xf>
    <xf numFmtId="0" fontId="9" fillId="5" borderId="16" xfId="0" applyFont="1" applyFill="1" applyBorder="1" applyAlignment="1">
      <alignment horizontal="left" wrapText="1"/>
    </xf>
    <xf numFmtId="0" fontId="0" fillId="5" borderId="5" xfId="0" applyFill="1" applyBorder="1" applyAlignment="1" applyProtection="1">
      <alignment horizontal="center"/>
      <protection locked="0"/>
    </xf>
    <xf numFmtId="0" fontId="0" fillId="5" borderId="6" xfId="0" applyFill="1" applyBorder="1" applyAlignment="1" applyProtection="1">
      <alignment horizontal="center"/>
      <protection locked="0"/>
    </xf>
    <xf numFmtId="0" fontId="9" fillId="5" borderId="24" xfId="0" applyFont="1" applyFill="1" applyBorder="1" applyAlignment="1">
      <alignment horizontal="left" wrapText="1"/>
    </xf>
    <xf numFmtId="0" fontId="21" fillId="5" borderId="36" xfId="0" applyFont="1" applyFill="1" applyBorder="1" applyAlignment="1">
      <alignment horizontal="left"/>
    </xf>
    <xf numFmtId="0" fontId="8" fillId="8" borderId="38" xfId="0" applyFont="1" applyFill="1" applyBorder="1" applyAlignment="1">
      <alignment horizontal="center" vertical="center" wrapText="1"/>
    </xf>
    <xf numFmtId="0" fontId="8" fillId="8" borderId="39" xfId="0" applyFont="1" applyFill="1" applyBorder="1" applyAlignment="1">
      <alignment horizontal="center" vertical="center" wrapText="1"/>
    </xf>
    <xf numFmtId="0" fontId="5" fillId="8" borderId="40" xfId="0" applyFont="1" applyFill="1" applyBorder="1" applyAlignment="1">
      <alignment horizontal="left" vertical="center"/>
    </xf>
    <xf numFmtId="0" fontId="5" fillId="8" borderId="41" xfId="0" applyFont="1" applyFill="1" applyBorder="1" applyAlignment="1">
      <alignment horizontal="center" vertical="center"/>
    </xf>
    <xf numFmtId="0" fontId="5" fillId="8" borderId="39" xfId="0" applyFont="1" applyFill="1" applyBorder="1" applyAlignment="1">
      <alignment horizontal="center" vertical="center" wrapText="1"/>
    </xf>
    <xf numFmtId="0" fontId="5" fillId="8" borderId="38" xfId="0" applyFont="1" applyFill="1" applyBorder="1" applyAlignment="1">
      <alignment horizontal="center" vertical="center" wrapText="1"/>
    </xf>
    <xf numFmtId="0" fontId="5" fillId="8" borderId="41" xfId="0" applyFont="1" applyFill="1" applyBorder="1" applyAlignment="1">
      <alignment horizontal="center" vertical="center" wrapText="1"/>
    </xf>
    <xf numFmtId="0" fontId="0" fillId="0" borderId="42" xfId="0" applyBorder="1"/>
    <xf numFmtId="1" fontId="0" fillId="5" borderId="19" xfId="0" applyNumberFormat="1" applyFill="1" applyBorder="1" applyAlignment="1">
      <alignment horizontal="center"/>
    </xf>
    <xf numFmtId="1" fontId="0" fillId="5" borderId="19" xfId="0" applyNumberFormat="1" applyFill="1" applyBorder="1" applyAlignment="1">
      <alignment horizontal="left"/>
    </xf>
    <xf numFmtId="164" fontId="0" fillId="5" borderId="23" xfId="0" applyNumberFormat="1" applyFill="1" applyBorder="1" applyAlignment="1">
      <alignment horizontal="center"/>
    </xf>
    <xf numFmtId="0" fontId="0" fillId="0" borderId="42" xfId="0" applyBorder="1" applyAlignment="1" applyProtection="1">
      <alignment horizontal="center" wrapText="1"/>
      <protection locked="0"/>
    </xf>
    <xf numFmtId="0" fontId="6" fillId="0" borderId="19" xfId="0" applyFont="1" applyBorder="1" applyAlignment="1" applyProtection="1">
      <alignment horizontal="center" wrapText="1"/>
      <protection locked="0"/>
    </xf>
    <xf numFmtId="0" fontId="0" fillId="7" borderId="4" xfId="0" applyFill="1" applyBorder="1"/>
    <xf numFmtId="1" fontId="0" fillId="5" borderId="5" xfId="0" applyNumberFormat="1" applyFill="1" applyBorder="1" applyAlignment="1">
      <alignment horizontal="center"/>
    </xf>
    <xf numFmtId="0" fontId="0" fillId="5" borderId="5" xfId="0" applyFill="1" applyBorder="1" applyAlignment="1">
      <alignment horizontal="left"/>
    </xf>
    <xf numFmtId="0" fontId="0" fillId="5" borderId="5" xfId="0" applyFill="1" applyBorder="1" applyAlignment="1">
      <alignment horizontal="center"/>
    </xf>
    <xf numFmtId="164" fontId="0" fillId="5" borderId="6" xfId="0" applyNumberFormat="1" applyFill="1" applyBorder="1" applyAlignment="1">
      <alignment horizontal="center"/>
    </xf>
    <xf numFmtId="0" fontId="21" fillId="7" borderId="4" xfId="0" applyFont="1" applyFill="1" applyBorder="1" applyAlignment="1" applyProtection="1">
      <alignment horizontal="center" vertical="top" wrapText="1"/>
      <protection locked="0"/>
    </xf>
    <xf numFmtId="0" fontId="0" fillId="7" borderId="5" xfId="0" applyFill="1" applyBorder="1" applyAlignment="1" applyProtection="1">
      <alignment horizontal="center" wrapText="1"/>
      <protection locked="0"/>
    </xf>
    <xf numFmtId="0" fontId="21" fillId="13" borderId="4" xfId="0" applyFont="1" applyFill="1" applyBorder="1" applyAlignment="1" applyProtection="1">
      <alignment horizontal="center" vertical="top" wrapText="1"/>
      <protection locked="0"/>
    </xf>
    <xf numFmtId="0" fontId="0" fillId="0" borderId="19" xfId="0" applyBorder="1" applyAlignment="1" applyProtection="1">
      <alignment horizontal="center" wrapText="1"/>
      <protection locked="0"/>
    </xf>
    <xf numFmtId="0" fontId="3" fillId="6" borderId="43" xfId="0" applyFont="1" applyFill="1" applyBorder="1"/>
    <xf numFmtId="0" fontId="3" fillId="6" borderId="44" xfId="0" applyFont="1" applyFill="1" applyBorder="1"/>
    <xf numFmtId="0" fontId="3" fillId="6" borderId="0" xfId="0" applyFont="1" applyFill="1"/>
    <xf numFmtId="0" fontId="5" fillId="8" borderId="50" xfId="0" applyFont="1" applyFill="1" applyBorder="1" applyAlignment="1">
      <alignment horizontal="center" vertical="center"/>
    </xf>
    <xf numFmtId="0" fontId="5" fillId="15" borderId="38" xfId="0" applyFont="1" applyFill="1" applyBorder="1" applyAlignment="1">
      <alignment horizontal="center" vertical="center" wrapText="1"/>
    </xf>
    <xf numFmtId="0" fontId="5" fillId="15" borderId="51" xfId="0" applyFont="1" applyFill="1" applyBorder="1" applyAlignment="1">
      <alignment horizontal="center" vertical="center" wrapText="1"/>
    </xf>
    <xf numFmtId="0" fontId="5" fillId="15" borderId="41" xfId="0" applyFont="1" applyFill="1" applyBorder="1" applyAlignment="1">
      <alignment horizontal="center" vertical="center" wrapText="1"/>
    </xf>
    <xf numFmtId="1" fontId="0" fillId="0" borderId="19" xfId="0" applyNumberFormat="1" applyBorder="1" applyAlignment="1" applyProtection="1">
      <alignment horizontal="center"/>
      <protection locked="0"/>
    </xf>
    <xf numFmtId="9" fontId="0" fillId="5" borderId="19" xfId="0" applyNumberFormat="1" applyFill="1" applyBorder="1" applyAlignment="1">
      <alignment horizontal="center"/>
    </xf>
    <xf numFmtId="1" fontId="0" fillId="7" borderId="5" xfId="0" applyNumberFormat="1" applyFill="1" applyBorder="1" applyAlignment="1" applyProtection="1">
      <alignment horizontal="center"/>
      <protection locked="0"/>
    </xf>
    <xf numFmtId="9" fontId="0" fillId="5" borderId="5" xfId="0" applyNumberFormat="1" applyFill="1" applyBorder="1" applyAlignment="1">
      <alignment horizontal="center"/>
    </xf>
    <xf numFmtId="1" fontId="0" fillId="0" borderId="5" xfId="0" applyNumberFormat="1" applyBorder="1" applyAlignment="1" applyProtection="1">
      <alignment horizontal="center"/>
      <protection locked="0"/>
    </xf>
    <xf numFmtId="0" fontId="3" fillId="6" borderId="45" xfId="0" applyFont="1" applyFill="1" applyBorder="1"/>
    <xf numFmtId="0" fontId="3" fillId="6" borderId="34" xfId="0" applyFont="1" applyFill="1" applyBorder="1"/>
    <xf numFmtId="0" fontId="4" fillId="15" borderId="41" xfId="0" applyFont="1" applyFill="1" applyBorder="1" applyAlignment="1">
      <alignment horizontal="center" vertical="center" wrapText="1"/>
    </xf>
    <xf numFmtId="0" fontId="5" fillId="15" borderId="39" xfId="0" applyFont="1" applyFill="1" applyBorder="1" applyAlignment="1">
      <alignment horizontal="center" vertical="center" wrapText="1"/>
    </xf>
    <xf numFmtId="0" fontId="5" fillId="15" borderId="26" xfId="0" applyFont="1" applyFill="1" applyBorder="1" applyAlignment="1">
      <alignment horizontal="center" vertical="center" wrapText="1"/>
    </xf>
    <xf numFmtId="0" fontId="5" fillId="15" borderId="26" xfId="0" applyFont="1" applyFill="1" applyBorder="1" applyAlignment="1">
      <alignment horizontal="center" vertical="center"/>
    </xf>
    <xf numFmtId="1" fontId="0" fillId="5" borderId="42" xfId="0" applyNumberFormat="1" applyFill="1" applyBorder="1" applyAlignment="1">
      <alignment horizontal="center"/>
    </xf>
    <xf numFmtId="1" fontId="0" fillId="0" borderId="23" xfId="0" applyNumberFormat="1" applyBorder="1" applyProtection="1">
      <protection locked="0"/>
    </xf>
    <xf numFmtId="1" fontId="0" fillId="5" borderId="4" xfId="0" applyNumberFormat="1" applyFill="1" applyBorder="1" applyAlignment="1">
      <alignment horizontal="center"/>
    </xf>
    <xf numFmtId="1" fontId="0" fillId="7" borderId="6" xfId="0" applyNumberFormat="1" applyFill="1" applyBorder="1" applyProtection="1">
      <protection locked="0"/>
    </xf>
    <xf numFmtId="1" fontId="0" fillId="0" borderId="6" xfId="0" applyNumberFormat="1" applyBorder="1" applyProtection="1">
      <protection locked="0"/>
    </xf>
    <xf numFmtId="0" fontId="0" fillId="7" borderId="8" xfId="0" applyFill="1" applyBorder="1"/>
    <xf numFmtId="1" fontId="0" fillId="5" borderId="9" xfId="0" applyNumberFormat="1" applyFill="1" applyBorder="1" applyAlignment="1">
      <alignment horizontal="center"/>
    </xf>
    <xf numFmtId="0" fontId="0" fillId="5" borderId="9" xfId="0" applyFill="1" applyBorder="1" applyAlignment="1">
      <alignment horizontal="left"/>
    </xf>
    <xf numFmtId="0" fontId="0" fillId="5" borderId="9" xfId="0" applyFill="1" applyBorder="1" applyAlignment="1">
      <alignment horizontal="center"/>
    </xf>
    <xf numFmtId="164" fontId="0" fillId="5" borderId="10" xfId="0" applyNumberFormat="1" applyFill="1" applyBorder="1" applyAlignment="1">
      <alignment horizontal="center"/>
    </xf>
    <xf numFmtId="0" fontId="21" fillId="0" borderId="8" xfId="0" applyFont="1" applyBorder="1" applyAlignment="1" applyProtection="1">
      <alignment horizontal="center" vertical="top" wrapText="1"/>
      <protection locked="0"/>
    </xf>
    <xf numFmtId="0" fontId="0" fillId="7" borderId="9" xfId="0" applyFill="1" applyBorder="1" applyAlignment="1" applyProtection="1">
      <alignment horizontal="center" wrapText="1"/>
      <protection locked="0"/>
    </xf>
    <xf numFmtId="1" fontId="0" fillId="7" borderId="9" xfId="0" applyNumberFormat="1" applyFill="1" applyBorder="1" applyAlignment="1" applyProtection="1">
      <alignment horizontal="center"/>
      <protection locked="0"/>
    </xf>
    <xf numFmtId="9" fontId="0" fillId="5" borderId="9" xfId="0" applyNumberFormat="1" applyFill="1" applyBorder="1" applyAlignment="1">
      <alignment horizontal="center"/>
    </xf>
    <xf numFmtId="1" fontId="0" fillId="5" borderId="8" xfId="0" applyNumberFormat="1" applyFill="1" applyBorder="1" applyAlignment="1">
      <alignment horizontal="center"/>
    </xf>
    <xf numFmtId="1" fontId="0" fillId="7" borderId="10" xfId="0" applyNumberFormat="1" applyFill="1" applyBorder="1" applyProtection="1">
      <protection locked="0"/>
    </xf>
    <xf numFmtId="0" fontId="15" fillId="5" borderId="2" xfId="0" applyFont="1" applyFill="1" applyBorder="1" applyAlignment="1">
      <alignment horizontal="left"/>
    </xf>
    <xf numFmtId="0" fontId="9" fillId="5" borderId="5" xfId="0" applyFont="1" applyFill="1" applyBorder="1" applyAlignment="1">
      <alignment horizontal="left" wrapText="1"/>
    </xf>
    <xf numFmtId="0" fontId="17" fillId="9" borderId="17" xfId="0" applyFont="1" applyFill="1" applyBorder="1" applyAlignment="1">
      <alignment horizontal="center" wrapText="1"/>
    </xf>
    <xf numFmtId="0" fontId="17" fillId="9" borderId="6" xfId="0" applyFont="1" applyFill="1" applyBorder="1" applyAlignment="1">
      <alignment horizontal="center" wrapText="1"/>
    </xf>
    <xf numFmtId="0" fontId="0" fillId="8" borderId="17" xfId="0" applyFill="1" applyBorder="1" applyAlignment="1">
      <alignment horizontal="center"/>
    </xf>
    <xf numFmtId="0" fontId="0" fillId="8" borderId="6" xfId="0" applyFill="1" applyBorder="1" applyAlignment="1">
      <alignment horizontal="center"/>
    </xf>
    <xf numFmtId="0" fontId="24" fillId="9" borderId="17" xfId="0" applyFont="1" applyFill="1" applyBorder="1" applyAlignment="1">
      <alignment horizontal="center" wrapText="1"/>
    </xf>
    <xf numFmtId="0" fontId="12" fillId="9" borderId="6" xfId="0" applyFont="1" applyFill="1" applyBorder="1" applyAlignment="1">
      <alignment horizontal="center" wrapText="1"/>
    </xf>
    <xf numFmtId="0" fontId="21" fillId="5" borderId="9" xfId="0" applyFont="1" applyFill="1" applyBorder="1" applyAlignment="1">
      <alignment horizontal="left"/>
    </xf>
    <xf numFmtId="0" fontId="25" fillId="0" borderId="52" xfId="0" applyFont="1" applyBorder="1" applyAlignment="1">
      <alignment horizontal="center" wrapText="1"/>
    </xf>
    <xf numFmtId="0" fontId="26" fillId="0" borderId="10" xfId="0" applyFont="1" applyBorder="1" applyAlignment="1">
      <alignment horizontal="center" wrapText="1"/>
    </xf>
    <xf numFmtId="0" fontId="5" fillId="8" borderId="40" xfId="0" applyFont="1" applyFill="1" applyBorder="1" applyAlignment="1">
      <alignment horizontal="center" vertical="center"/>
    </xf>
    <xf numFmtId="0" fontId="0" fillId="5" borderId="5" xfId="0" applyFill="1" applyBorder="1"/>
    <xf numFmtId="0" fontId="15" fillId="7" borderId="4" xfId="0" applyFont="1" applyFill="1" applyBorder="1" applyAlignment="1" applyProtection="1">
      <alignment horizontal="center" vertical="top" wrapText="1"/>
      <protection locked="0"/>
    </xf>
    <xf numFmtId="0" fontId="15" fillId="13" borderId="4" xfId="0" applyFont="1" applyFill="1" applyBorder="1" applyAlignment="1" applyProtection="1">
      <alignment horizontal="center" vertical="top" wrapText="1"/>
      <protection locked="0"/>
    </xf>
    <xf numFmtId="1" fontId="0" fillId="5" borderId="5" xfId="0" applyNumberFormat="1" applyFill="1" applyBorder="1" applyAlignment="1">
      <alignment horizontal="left"/>
    </xf>
    <xf numFmtId="0" fontId="12" fillId="8" borderId="4"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1" fillId="5" borderId="5" xfId="0" applyFont="1" applyFill="1" applyBorder="1" applyAlignment="1">
      <alignment horizontal="center" vertical="center" wrapText="1"/>
    </xf>
    <xf numFmtId="0" fontId="4" fillId="15" borderId="51" xfId="0" applyFont="1" applyFill="1" applyBorder="1" applyAlignment="1">
      <alignment horizontal="center" vertical="center" wrapText="1"/>
    </xf>
    <xf numFmtId="1" fontId="0" fillId="5" borderId="23" xfId="0" applyNumberFormat="1" applyFill="1" applyBorder="1" applyAlignment="1">
      <alignment horizontal="center"/>
    </xf>
    <xf numFmtId="1" fontId="0" fillId="0" borderId="42" xfId="0" applyNumberFormat="1" applyBorder="1" applyAlignment="1" applyProtection="1">
      <alignment horizontal="center"/>
      <protection locked="0"/>
    </xf>
    <xf numFmtId="1" fontId="0" fillId="0" borderId="28" xfId="0" applyNumberFormat="1" applyBorder="1" applyAlignment="1" applyProtection="1">
      <alignment horizontal="center"/>
      <protection locked="0"/>
    </xf>
    <xf numFmtId="1" fontId="0" fillId="5" borderId="6" xfId="0" applyNumberFormat="1" applyFill="1" applyBorder="1" applyAlignment="1">
      <alignment horizontal="center"/>
    </xf>
    <xf numFmtId="1" fontId="0" fillId="7" borderId="4" xfId="0" applyNumberFormat="1" applyFill="1" applyBorder="1" applyAlignment="1" applyProtection="1">
      <alignment horizontal="center"/>
      <protection locked="0"/>
    </xf>
    <xf numFmtId="1" fontId="0" fillId="7" borderId="17" xfId="0" applyNumberFormat="1" applyFill="1" applyBorder="1" applyAlignment="1" applyProtection="1">
      <alignment horizontal="center"/>
      <protection locked="0"/>
    </xf>
    <xf numFmtId="1" fontId="0" fillId="0" borderId="4" xfId="0" applyNumberFormat="1" applyBorder="1" applyAlignment="1" applyProtection="1">
      <alignment horizontal="center"/>
      <protection locked="0"/>
    </xf>
    <xf numFmtId="1" fontId="0" fillId="0" borderId="17" xfId="0" applyNumberFormat="1" applyBorder="1" applyAlignment="1" applyProtection="1">
      <alignment horizontal="center"/>
      <protection locked="0"/>
    </xf>
    <xf numFmtId="0" fontId="28" fillId="14" borderId="0" xfId="0" applyFont="1" applyFill="1"/>
    <xf numFmtId="0" fontId="5" fillId="15" borderId="50" xfId="0" applyFont="1" applyFill="1" applyBorder="1" applyAlignment="1">
      <alignment horizontal="center" vertical="center" wrapText="1"/>
    </xf>
    <xf numFmtId="1" fontId="0" fillId="0" borderId="23" xfId="0" applyNumberFormat="1" applyBorder="1" applyAlignment="1" applyProtection="1">
      <alignment horizontal="center"/>
      <protection locked="0"/>
    </xf>
    <xf numFmtId="1" fontId="0" fillId="7" borderId="28" xfId="0" applyNumberFormat="1" applyFill="1" applyBorder="1" applyAlignment="1">
      <alignment horizontal="center"/>
    </xf>
    <xf numFmtId="1" fontId="0" fillId="7" borderId="6" xfId="0" applyNumberFormat="1" applyFill="1" applyBorder="1" applyAlignment="1" applyProtection="1">
      <alignment horizontal="center"/>
      <protection locked="0"/>
    </xf>
    <xf numFmtId="1" fontId="0" fillId="7" borderId="17" xfId="0" applyNumberFormat="1" applyFill="1" applyBorder="1" applyAlignment="1">
      <alignment horizontal="center"/>
    </xf>
    <xf numFmtId="1" fontId="0" fillId="0" borderId="6" xfId="0" applyNumberFormat="1" applyBorder="1" applyAlignment="1" applyProtection="1">
      <alignment horizontal="center"/>
      <protection locked="0"/>
    </xf>
    <xf numFmtId="1" fontId="0" fillId="5" borderId="9" xfId="0" applyNumberFormat="1" applyFill="1" applyBorder="1" applyAlignment="1">
      <alignment horizontal="left"/>
    </xf>
    <xf numFmtId="0" fontId="0" fillId="5" borderId="9" xfId="0" applyFill="1" applyBorder="1"/>
    <xf numFmtId="0" fontId="15" fillId="0" borderId="8" xfId="0" applyFont="1" applyBorder="1" applyAlignment="1" applyProtection="1">
      <alignment horizontal="center" vertical="top" wrapText="1"/>
      <protection locked="0"/>
    </xf>
    <xf numFmtId="1" fontId="0" fillId="5" borderId="10" xfId="0" applyNumberFormat="1" applyFill="1" applyBorder="1" applyAlignment="1">
      <alignment horizontal="center"/>
    </xf>
    <xf numFmtId="1" fontId="0" fillId="7" borderId="8" xfId="0" applyNumberFormat="1" applyFill="1" applyBorder="1" applyAlignment="1" applyProtection="1">
      <alignment horizontal="center"/>
      <protection locked="0"/>
    </xf>
    <xf numFmtId="1" fontId="0" fillId="7" borderId="52" xfId="0" applyNumberFormat="1" applyFill="1" applyBorder="1" applyAlignment="1" applyProtection="1">
      <alignment horizontal="center"/>
      <protection locked="0"/>
    </xf>
    <xf numFmtId="1" fontId="0" fillId="7" borderId="10" xfId="0" applyNumberFormat="1" applyFill="1" applyBorder="1" applyAlignment="1" applyProtection="1">
      <alignment horizontal="center"/>
      <protection locked="0"/>
    </xf>
    <xf numFmtId="1" fontId="0" fillId="7" borderId="52" xfId="0" applyNumberFormat="1" applyFill="1" applyBorder="1" applyAlignment="1">
      <alignment horizontal="center"/>
    </xf>
    <xf numFmtId="0" fontId="14" fillId="0" borderId="57" xfId="0" applyFont="1" applyBorder="1" applyAlignment="1" applyProtection="1">
      <alignment vertical="center"/>
      <protection locked="0"/>
    </xf>
    <xf numFmtId="0" fontId="0" fillId="0" borderId="58" xfId="0" applyBorder="1" applyAlignment="1" applyProtection="1">
      <alignment horizontal="left" vertical="center"/>
      <protection locked="0"/>
    </xf>
    <xf numFmtId="0" fontId="16" fillId="8" borderId="14" xfId="0" applyFont="1" applyFill="1" applyBorder="1" applyAlignment="1" applyProtection="1">
      <alignment horizontal="center" wrapText="1"/>
      <protection locked="0"/>
    </xf>
    <xf numFmtId="0" fontId="16" fillId="8" borderId="3" xfId="0" applyFont="1" applyFill="1" applyBorder="1" applyAlignment="1" applyProtection="1">
      <alignment horizontal="center" wrapText="1"/>
      <protection locked="0"/>
    </xf>
    <xf numFmtId="0" fontId="9" fillId="0" borderId="58" xfId="0" applyFont="1" applyBorder="1" applyAlignment="1" applyProtection="1">
      <alignment vertical="center" wrapText="1"/>
      <protection locked="0"/>
    </xf>
    <xf numFmtId="0" fontId="17" fillId="8" borderId="17" xfId="0" applyFont="1" applyFill="1" applyBorder="1" applyAlignment="1" applyProtection="1">
      <alignment horizontal="center" wrapText="1"/>
      <protection locked="0"/>
    </xf>
    <xf numFmtId="0" fontId="0" fillId="0" borderId="17" xfId="0" applyBorder="1" applyAlignment="1" applyProtection="1">
      <alignment horizontal="center"/>
      <protection locked="0"/>
    </xf>
    <xf numFmtId="0" fontId="0" fillId="0" borderId="6" xfId="0" applyBorder="1" applyAlignment="1" applyProtection="1">
      <alignment horizontal="center"/>
      <protection locked="0"/>
    </xf>
    <xf numFmtId="0" fontId="9" fillId="5" borderId="58" xfId="0" applyFont="1" applyFill="1" applyBorder="1" applyAlignment="1">
      <alignment vertical="center" wrapText="1"/>
    </xf>
    <xf numFmtId="0" fontId="24" fillId="9" borderId="0" xfId="0" applyFont="1" applyFill="1" applyAlignment="1">
      <alignment horizontal="center" wrapText="1"/>
    </xf>
    <xf numFmtId="0" fontId="12" fillId="9" borderId="34" xfId="0" applyFont="1" applyFill="1" applyBorder="1" applyAlignment="1">
      <alignment horizontal="center" wrapText="1"/>
    </xf>
    <xf numFmtId="0" fontId="6" fillId="0" borderId="60" xfId="0" applyFont="1" applyBorder="1" applyAlignment="1" applyProtection="1">
      <alignment vertical="center"/>
      <protection locked="0"/>
    </xf>
    <xf numFmtId="0" fontId="9" fillId="0" borderId="52" xfId="0" applyFont="1" applyBorder="1" applyAlignment="1" applyProtection="1">
      <alignment horizontal="center" wrapText="1"/>
      <protection locked="0"/>
    </xf>
    <xf numFmtId="0" fontId="21" fillId="0" borderId="10" xfId="0" applyFont="1" applyBorder="1" applyAlignment="1" applyProtection="1">
      <alignment horizontal="center" wrapText="1"/>
      <protection locked="0"/>
    </xf>
    <xf numFmtId="0" fontId="4" fillId="8" borderId="41" xfId="0" applyFont="1" applyFill="1" applyBorder="1" applyAlignment="1">
      <alignment horizontal="center" vertical="center" wrapText="1"/>
    </xf>
    <xf numFmtId="1" fontId="22" fillId="0" borderId="19" xfId="0" applyNumberFormat="1" applyFont="1" applyBorder="1" applyAlignment="1" applyProtection="1">
      <alignment horizontal="center"/>
      <protection locked="0"/>
    </xf>
    <xf numFmtId="0" fontId="0" fillId="0" borderId="19" xfId="0" applyBorder="1" applyProtection="1">
      <protection locked="0"/>
    </xf>
    <xf numFmtId="0" fontId="0" fillId="0" borderId="19" xfId="0" applyBorder="1" applyAlignment="1" applyProtection="1">
      <alignment horizontal="center"/>
      <protection locked="0"/>
    </xf>
    <xf numFmtId="164" fontId="0" fillId="0" borderId="23" xfId="0" applyNumberFormat="1" applyBorder="1" applyAlignment="1" applyProtection="1">
      <alignment horizontal="center"/>
      <protection locked="0"/>
    </xf>
    <xf numFmtId="1" fontId="22" fillId="0" borderId="5" xfId="0" applyNumberFormat="1" applyFont="1" applyBorder="1" applyAlignment="1" applyProtection="1">
      <alignment horizontal="center"/>
      <protection locked="0"/>
    </xf>
    <xf numFmtId="0" fontId="0" fillId="7" borderId="5" xfId="0" applyFill="1" applyBorder="1" applyProtection="1">
      <protection locked="0"/>
    </xf>
    <xf numFmtId="0" fontId="0" fillId="7" borderId="5" xfId="0" applyFill="1" applyBorder="1" applyAlignment="1" applyProtection="1">
      <alignment horizontal="center"/>
      <protection locked="0"/>
    </xf>
    <xf numFmtId="164" fontId="0" fillId="7" borderId="6" xfId="0" applyNumberFormat="1" applyFill="1" applyBorder="1" applyAlignment="1" applyProtection="1">
      <alignment horizontal="center"/>
      <protection locked="0"/>
    </xf>
    <xf numFmtId="0" fontId="0" fillId="0" borderId="5" xfId="0" applyBorder="1" applyProtection="1">
      <protection locked="0"/>
    </xf>
    <xf numFmtId="0" fontId="0" fillId="0" borderId="5" xfId="0" applyBorder="1" applyAlignment="1" applyProtection="1">
      <alignment horizontal="center"/>
      <protection locked="0"/>
    </xf>
    <xf numFmtId="164" fontId="0" fillId="0" borderId="6" xfId="0" applyNumberFormat="1" applyBorder="1" applyAlignment="1" applyProtection="1">
      <alignment horizontal="center"/>
      <protection locked="0"/>
    </xf>
    <xf numFmtId="1" fontId="0" fillId="7" borderId="5" xfId="0" applyNumberFormat="1" applyFill="1" applyBorder="1" applyAlignment="1" applyProtection="1">
      <alignment horizontal="left"/>
      <protection locked="0"/>
    </xf>
    <xf numFmtId="1" fontId="0" fillId="0" borderId="5" xfId="0" applyNumberFormat="1" applyBorder="1" applyAlignment="1" applyProtection="1">
      <alignment horizontal="left"/>
      <protection locked="0"/>
    </xf>
    <xf numFmtId="1" fontId="0" fillId="0" borderId="9" xfId="0" applyNumberFormat="1" applyBorder="1" applyAlignment="1" applyProtection="1">
      <alignment horizontal="left"/>
      <protection locked="0"/>
    </xf>
    <xf numFmtId="0" fontId="0" fillId="0" borderId="9" xfId="0" applyBorder="1" applyProtection="1">
      <protection locked="0"/>
    </xf>
    <xf numFmtId="0" fontId="0" fillId="0" borderId="9" xfId="0" applyBorder="1" applyAlignment="1" applyProtection="1">
      <alignment horizontal="center"/>
      <protection locked="0"/>
    </xf>
    <xf numFmtId="164" fontId="0" fillId="0" borderId="10" xfId="0" applyNumberFormat="1" applyBorder="1" applyAlignment="1" applyProtection="1">
      <alignment horizontal="center"/>
      <protection locked="0"/>
    </xf>
    <xf numFmtId="0" fontId="0" fillId="0" borderId="0" xfId="0" quotePrefix="1"/>
    <xf numFmtId="0" fontId="23" fillId="0" borderId="33" xfId="0" applyFont="1" applyBorder="1" applyAlignment="1">
      <alignment horizontal="center" vertical="center" wrapText="1"/>
    </xf>
    <xf numFmtId="0" fontId="23" fillId="0" borderId="49" xfId="0" applyFont="1" applyBorder="1" applyAlignment="1">
      <alignment horizontal="center" vertical="center" wrapText="1"/>
    </xf>
    <xf numFmtId="0" fontId="2" fillId="0" borderId="0" xfId="0" applyFont="1" applyAlignment="1">
      <alignment horizontal="center"/>
    </xf>
    <xf numFmtId="0" fontId="2" fillId="0" borderId="34" xfId="0" applyFont="1" applyBorder="1" applyAlignment="1">
      <alignment horizontal="center"/>
    </xf>
    <xf numFmtId="0" fontId="20" fillId="0" borderId="47"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56" xfId="0" applyFont="1" applyBorder="1" applyAlignment="1">
      <alignment horizontal="center" vertical="center" wrapText="1"/>
    </xf>
    <xf numFmtId="0" fontId="5" fillId="8" borderId="29" xfId="0" applyFont="1" applyFill="1" applyBorder="1" applyAlignment="1">
      <alignment horizontal="center" vertical="center" wrapText="1"/>
    </xf>
    <xf numFmtId="0" fontId="5" fillId="8" borderId="30" xfId="0" applyFont="1" applyFill="1" applyBorder="1" applyAlignment="1">
      <alignment horizontal="center" vertical="center"/>
    </xf>
    <xf numFmtId="0" fontId="5" fillId="8" borderId="31" xfId="0" applyFont="1" applyFill="1" applyBorder="1" applyAlignment="1">
      <alignment horizontal="center" vertical="center"/>
    </xf>
    <xf numFmtId="0" fontId="5" fillId="8" borderId="27" xfId="0" applyFont="1" applyFill="1" applyBorder="1" applyAlignment="1">
      <alignment horizontal="center" vertical="center"/>
    </xf>
    <xf numFmtId="0" fontId="2" fillId="8" borderId="46" xfId="0" applyFont="1" applyFill="1" applyBorder="1" applyAlignment="1">
      <alignment horizontal="center" wrapText="1"/>
    </xf>
    <xf numFmtId="0" fontId="2" fillId="8" borderId="0" xfId="0" applyFont="1" applyFill="1" applyAlignment="1">
      <alignment horizontal="center" wrapText="1"/>
    </xf>
    <xf numFmtId="0" fontId="2" fillId="8" borderId="31" xfId="0" applyFont="1" applyFill="1" applyBorder="1" applyAlignment="1">
      <alignment horizontal="center" wrapText="1"/>
    </xf>
    <xf numFmtId="0" fontId="2" fillId="8" borderId="27" xfId="0" applyFont="1" applyFill="1" applyBorder="1" applyAlignment="1">
      <alignment horizontal="center" wrapText="1"/>
    </xf>
    <xf numFmtId="0" fontId="2" fillId="0" borderId="47" xfId="0" applyFont="1" applyBorder="1" applyAlignment="1">
      <alignment horizontal="center"/>
    </xf>
    <xf numFmtId="0" fontId="2" fillId="0" borderId="30" xfId="0" applyFont="1" applyBorder="1" applyAlignment="1">
      <alignment horizontal="center"/>
    </xf>
    <xf numFmtId="0" fontId="2" fillId="0" borderId="32" xfId="0" applyFont="1" applyBorder="1" applyAlignment="1">
      <alignment horizontal="center"/>
    </xf>
    <xf numFmtId="0" fontId="2" fillId="0" borderId="48" xfId="0" applyFont="1" applyBorder="1" applyAlignment="1">
      <alignment horizontal="center"/>
    </xf>
    <xf numFmtId="0" fontId="5" fillId="15" borderId="41" xfId="0" applyFont="1" applyFill="1" applyBorder="1" applyAlignment="1">
      <alignment horizontal="center" vertical="center" wrapText="1"/>
    </xf>
    <xf numFmtId="0" fontId="20" fillId="0" borderId="4" xfId="0" applyFont="1" applyBorder="1" applyAlignment="1">
      <alignment horizontal="center" wrapText="1"/>
    </xf>
    <xf numFmtId="0" fontId="20" fillId="0" borderId="7" xfId="0" applyFont="1" applyBorder="1" applyAlignment="1">
      <alignment horizontal="center" wrapText="1"/>
    </xf>
    <xf numFmtId="0" fontId="20" fillId="0" borderId="5" xfId="0" applyFont="1" applyBorder="1" applyAlignment="1">
      <alignment horizontal="center" wrapText="1"/>
    </xf>
    <xf numFmtId="0" fontId="20" fillId="0" borderId="33" xfId="0" applyFont="1" applyBorder="1" applyAlignment="1">
      <alignment horizontal="center" wrapText="1"/>
    </xf>
    <xf numFmtId="0" fontId="20" fillId="0" borderId="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35" xfId="0" applyFont="1" applyBorder="1" applyAlignment="1">
      <alignment horizontal="center" vertical="center" wrapText="1"/>
    </xf>
    <xf numFmtId="0" fontId="22" fillId="14" borderId="45" xfId="0" applyFont="1" applyFill="1" applyBorder="1" applyAlignment="1">
      <alignment horizontal="center" vertical="center" wrapText="1"/>
    </xf>
    <xf numFmtId="0" fontId="22" fillId="14" borderId="34" xfId="0" applyFont="1" applyFill="1" applyBorder="1" applyAlignment="1">
      <alignment horizontal="center" vertical="center" wrapText="1"/>
    </xf>
    <xf numFmtId="0" fontId="20" fillId="0" borderId="7" xfId="0" applyFont="1" applyBorder="1" applyAlignment="1">
      <alignment horizontal="center" vertical="center" wrapText="1"/>
    </xf>
    <xf numFmtId="0" fontId="20" fillId="0" borderId="54" xfId="0" applyFont="1" applyBorder="1" applyAlignment="1">
      <alignment horizontal="center" vertical="center" wrapText="1"/>
    </xf>
    <xf numFmtId="0" fontId="20" fillId="0" borderId="49" xfId="0" applyFont="1" applyBorder="1" applyAlignment="1">
      <alignment horizontal="center" vertical="center" wrapText="1"/>
    </xf>
    <xf numFmtId="0" fontId="8" fillId="8" borderId="4" xfId="0" applyFont="1" applyFill="1" applyBorder="1" applyAlignment="1">
      <alignment horizontal="right" wrapText="1"/>
    </xf>
    <xf numFmtId="0" fontId="8" fillId="8" borderId="16" xfId="0" applyFont="1" applyFill="1" applyBorder="1" applyAlignment="1">
      <alignment horizontal="right" wrapText="1"/>
    </xf>
    <xf numFmtId="0" fontId="17" fillId="9" borderId="18" xfId="0" applyFont="1" applyFill="1" applyBorder="1" applyAlignment="1">
      <alignment horizontal="center" vertical="center" wrapText="1"/>
    </xf>
    <xf numFmtId="0" fontId="17" fillId="9" borderId="59"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 fillId="8" borderId="29" xfId="0" applyFont="1" applyFill="1" applyBorder="1" applyAlignment="1">
      <alignment horizontal="right"/>
    </xf>
    <xf numFmtId="0" fontId="2" fillId="8" borderId="30" xfId="0" applyFont="1" applyFill="1" applyBorder="1" applyAlignment="1">
      <alignment horizontal="right"/>
    </xf>
    <xf numFmtId="0" fontId="13" fillId="12" borderId="25" xfId="0" applyFont="1" applyFill="1" applyBorder="1" applyAlignment="1">
      <alignment horizontal="center" vertical="center"/>
    </xf>
    <xf numFmtId="0" fontId="13" fillId="12" borderId="13" xfId="0" applyFont="1" applyFill="1" applyBorder="1" applyAlignment="1">
      <alignment horizontal="center" vertical="center"/>
    </xf>
    <xf numFmtId="0" fontId="8" fillId="8" borderId="4" xfId="0" applyFont="1" applyFill="1" applyBorder="1" applyAlignment="1">
      <alignment horizontal="right"/>
    </xf>
    <xf numFmtId="0" fontId="8" fillId="8" borderId="16" xfId="0" applyFont="1" applyFill="1" applyBorder="1" applyAlignment="1">
      <alignment horizontal="right"/>
    </xf>
    <xf numFmtId="0" fontId="11" fillId="8" borderId="2" xfId="0" applyFont="1" applyFill="1" applyBorder="1" applyAlignment="1">
      <alignment horizontal="center" vertical="center"/>
    </xf>
    <xf numFmtId="0" fontId="8" fillId="8" borderId="31" xfId="0" applyFont="1" applyFill="1" applyBorder="1" applyAlignment="1">
      <alignment horizontal="right" wrapText="1"/>
    </xf>
    <xf numFmtId="0" fontId="8" fillId="8" borderId="27" xfId="0" applyFont="1" applyFill="1" applyBorder="1" applyAlignment="1">
      <alignment horizontal="right" wrapText="1"/>
    </xf>
    <xf numFmtId="0" fontId="20" fillId="0" borderId="4" xfId="0" applyFont="1" applyBorder="1" applyAlignment="1">
      <alignment horizontal="center" vertical="center" wrapText="1"/>
    </xf>
    <xf numFmtId="0" fontId="20" fillId="0" borderId="35" xfId="0" applyFont="1" applyBorder="1" applyAlignment="1">
      <alignment horizontal="center" wrapText="1"/>
    </xf>
    <xf numFmtId="0" fontId="2" fillId="8" borderId="29" xfId="0" applyFont="1" applyFill="1" applyBorder="1" applyAlignment="1">
      <alignment horizontal="center" wrapText="1"/>
    </xf>
    <xf numFmtId="0" fontId="2" fillId="8" borderId="30" xfId="0" applyFont="1" applyFill="1" applyBorder="1" applyAlignment="1">
      <alignment horizontal="center"/>
    </xf>
    <xf numFmtId="0" fontId="2" fillId="8" borderId="31" xfId="0" applyFont="1" applyFill="1" applyBorder="1" applyAlignment="1">
      <alignment horizontal="center"/>
    </xf>
    <xf numFmtId="0" fontId="2" fillId="8" borderId="27" xfId="0" applyFont="1" applyFill="1" applyBorder="1" applyAlignment="1">
      <alignment horizontal="center"/>
    </xf>
    <xf numFmtId="0" fontId="17" fillId="9" borderId="17"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16" fillId="9" borderId="13" xfId="0" applyFont="1" applyFill="1" applyBorder="1" applyAlignment="1">
      <alignment horizontal="center" wrapText="1"/>
    </xf>
    <xf numFmtId="0" fontId="16" fillId="9" borderId="15" xfId="0" applyFont="1" applyFill="1" applyBorder="1" applyAlignment="1">
      <alignment horizontal="center" wrapText="1"/>
    </xf>
    <xf numFmtId="0" fontId="8" fillId="8" borderId="28" xfId="0" applyFont="1" applyFill="1" applyBorder="1" applyAlignment="1">
      <alignment horizontal="right" wrapText="1"/>
    </xf>
    <xf numFmtId="0" fontId="23" fillId="0" borderId="5" xfId="0" applyFont="1" applyBorder="1" applyAlignment="1">
      <alignment horizontal="center" vertical="center" wrapText="1"/>
    </xf>
    <xf numFmtId="0" fontId="5" fillId="8" borderId="29" xfId="0" applyFont="1" applyFill="1" applyBorder="1" applyAlignment="1">
      <alignment horizontal="center" wrapText="1"/>
    </xf>
    <xf numFmtId="0" fontId="5" fillId="8" borderId="30" xfId="0" applyFont="1" applyFill="1" applyBorder="1" applyAlignment="1">
      <alignment horizontal="center"/>
    </xf>
    <xf numFmtId="0" fontId="5" fillId="8" borderId="31" xfId="0" applyFont="1" applyFill="1" applyBorder="1" applyAlignment="1">
      <alignment horizontal="center"/>
    </xf>
    <xf numFmtId="0" fontId="5" fillId="8" borderId="27" xfId="0" applyFont="1" applyFill="1" applyBorder="1" applyAlignment="1">
      <alignment horizontal="center"/>
    </xf>
    <xf numFmtId="0" fontId="2" fillId="8" borderId="0" xfId="0" applyFont="1" applyFill="1" applyAlignment="1">
      <alignment horizontal="center"/>
    </xf>
    <xf numFmtId="0" fontId="18" fillId="0" borderId="30" xfId="0" applyFont="1" applyBorder="1" applyAlignment="1">
      <alignment horizontal="center" wrapText="1"/>
    </xf>
    <xf numFmtId="0" fontId="18" fillId="0" borderId="0" xfId="0" applyFont="1" applyAlignment="1">
      <alignment horizontal="center" wrapText="1"/>
    </xf>
    <xf numFmtId="0" fontId="18" fillId="0" borderId="11" xfId="0" applyFont="1" applyBorder="1" applyAlignment="1">
      <alignment horizontal="center" wrapText="1"/>
    </xf>
    <xf numFmtId="0" fontId="19" fillId="0" borderId="32" xfId="0" applyFont="1" applyBorder="1" applyAlignment="1">
      <alignment horizontal="center" wrapText="1"/>
    </xf>
    <xf numFmtId="0" fontId="19" fillId="0" borderId="34" xfId="0" applyFont="1" applyBorder="1" applyAlignment="1">
      <alignment horizontal="center" wrapText="1"/>
    </xf>
    <xf numFmtId="0" fontId="19" fillId="0" borderId="37" xfId="0" applyFont="1" applyBorder="1" applyAlignment="1">
      <alignment horizontal="center" wrapText="1"/>
    </xf>
    <xf numFmtId="0" fontId="16" fillId="8" borderId="25" xfId="0" applyFont="1" applyFill="1" applyBorder="1" applyAlignment="1" applyProtection="1">
      <alignment horizontal="center" wrapText="1"/>
      <protection locked="0"/>
    </xf>
    <xf numFmtId="0" fontId="16" fillId="8" borderId="15" xfId="0" applyFont="1" applyFill="1" applyBorder="1" applyAlignment="1" applyProtection="1">
      <alignment horizontal="center" wrapText="1"/>
      <protection locked="0"/>
    </xf>
    <xf numFmtId="0" fontId="11" fillId="3" borderId="5" xfId="0" applyFont="1" applyFill="1" applyBorder="1" applyAlignment="1">
      <alignment horizontal="center" vertical="center"/>
    </xf>
    <xf numFmtId="0" fontId="11" fillId="8" borderId="21" xfId="0" applyFont="1" applyFill="1" applyBorder="1" applyAlignment="1">
      <alignment horizontal="center" wrapText="1"/>
    </xf>
    <xf numFmtId="0" fontId="11" fillId="8" borderId="22" xfId="0" applyFont="1" applyFill="1" applyBorder="1" applyAlignment="1">
      <alignment horizontal="center" wrapText="1"/>
    </xf>
    <xf numFmtId="0" fontId="11" fillId="8" borderId="23" xfId="0" applyFont="1" applyFill="1" applyBorder="1" applyAlignment="1">
      <alignment horizontal="center" wrapText="1"/>
    </xf>
    <xf numFmtId="0" fontId="11" fillId="11" borderId="16" xfId="0" applyFont="1" applyFill="1" applyBorder="1" applyAlignment="1">
      <alignment horizontal="center" wrapText="1"/>
    </xf>
    <xf numFmtId="0" fontId="11" fillId="11" borderId="18" xfId="0" applyFont="1" applyFill="1" applyBorder="1" applyAlignment="1">
      <alignment horizontal="center" wrapText="1"/>
    </xf>
    <xf numFmtId="0" fontId="11" fillId="11" borderId="17" xfId="0" applyFont="1" applyFill="1" applyBorder="1" applyAlignment="1">
      <alignment horizontal="center" wrapText="1"/>
    </xf>
    <xf numFmtId="0" fontId="11" fillId="3" borderId="5" xfId="0" applyFont="1" applyFill="1" applyBorder="1" applyAlignment="1">
      <alignment horizontal="center" wrapText="1"/>
    </xf>
    <xf numFmtId="0" fontId="11" fillId="10" borderId="5" xfId="0" applyFont="1" applyFill="1" applyBorder="1" applyAlignment="1">
      <alignment horizontal="center" vertical="center"/>
    </xf>
    <xf numFmtId="0" fontId="11" fillId="11" borderId="5" xfId="0" applyFont="1" applyFill="1" applyBorder="1" applyAlignment="1">
      <alignment horizontal="center" vertical="center"/>
    </xf>
    <xf numFmtId="0" fontId="8" fillId="8" borderId="4" xfId="0" applyFont="1" applyFill="1" applyBorder="1" applyAlignment="1">
      <alignment horizontal="center" wrapText="1"/>
    </xf>
    <xf numFmtId="0" fontId="8" fillId="8" borderId="5" xfId="0" applyFont="1" applyFill="1" applyBorder="1" applyAlignment="1">
      <alignment horizontal="center" wrapText="1"/>
    </xf>
    <xf numFmtId="0" fontId="9" fillId="8" borderId="16" xfId="0" applyFont="1" applyFill="1" applyBorder="1" applyAlignment="1">
      <alignment horizontal="left" wrapText="1"/>
    </xf>
    <xf numFmtId="0" fontId="9" fillId="8" borderId="17" xfId="0" applyFont="1" applyFill="1" applyBorder="1" applyAlignment="1">
      <alignment horizontal="left" wrapText="1"/>
    </xf>
    <xf numFmtId="0" fontId="11" fillId="10" borderId="5" xfId="0" applyFont="1" applyFill="1" applyBorder="1" applyAlignment="1">
      <alignment horizontal="center" wrapText="1"/>
    </xf>
    <xf numFmtId="0" fontId="11" fillId="10" borderId="16" xfId="0" applyFont="1" applyFill="1" applyBorder="1" applyAlignment="1">
      <alignment horizontal="center" wrapText="1"/>
    </xf>
    <xf numFmtId="0" fontId="11" fillId="10" borderId="18" xfId="0" applyFont="1" applyFill="1" applyBorder="1" applyAlignment="1">
      <alignment horizontal="center" wrapText="1"/>
    </xf>
    <xf numFmtId="0" fontId="11" fillId="10" borderId="17" xfId="0" applyFont="1" applyFill="1" applyBorder="1" applyAlignment="1">
      <alignment horizontal="center" wrapText="1"/>
    </xf>
    <xf numFmtId="0" fontId="11" fillId="11" borderId="5" xfId="0" applyFont="1" applyFill="1" applyBorder="1" applyAlignment="1">
      <alignment horizontal="center" wrapText="1"/>
    </xf>
    <xf numFmtId="0" fontId="8" fillId="8" borderId="1" xfId="0" applyFont="1" applyFill="1" applyBorder="1" applyAlignment="1">
      <alignment horizontal="center" wrapText="1"/>
    </xf>
    <xf numFmtId="0" fontId="8" fillId="8" borderId="2" xfId="0" applyFont="1" applyFill="1" applyBorder="1" applyAlignment="1">
      <alignment horizontal="center" wrapText="1"/>
    </xf>
    <xf numFmtId="0" fontId="9" fillId="8" borderId="2" xfId="0" applyFont="1" applyFill="1" applyBorder="1" applyAlignment="1">
      <alignment horizontal="left" wrapText="1"/>
    </xf>
    <xf numFmtId="0" fontId="10" fillId="9" borderId="12" xfId="0" applyFont="1" applyFill="1" applyBorder="1" applyAlignment="1">
      <alignment horizontal="right" wrapText="1"/>
    </xf>
    <xf numFmtId="0" fontId="10" fillId="9" borderId="13" xfId="0" applyFont="1" applyFill="1" applyBorder="1" applyAlignment="1">
      <alignment horizontal="right" wrapText="1"/>
    </xf>
    <xf numFmtId="0" fontId="10" fillId="9" borderId="15" xfId="0" applyFont="1" applyFill="1" applyBorder="1" applyAlignment="1">
      <alignment horizontal="right" wrapText="1"/>
    </xf>
    <xf numFmtId="0" fontId="9" fillId="8" borderId="5" xfId="0" applyFont="1" applyFill="1" applyBorder="1" applyAlignment="1">
      <alignment horizontal="left" wrapText="1"/>
    </xf>
    <xf numFmtId="0" fontId="8" fillId="10" borderId="5" xfId="0" applyFont="1" applyFill="1" applyBorder="1" applyAlignment="1">
      <alignment horizontal="center" wrapText="1"/>
    </xf>
    <xf numFmtId="0" fontId="8" fillId="11"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5" fillId="5" borderId="12" xfId="0" applyFont="1" applyFill="1" applyBorder="1" applyAlignment="1" applyProtection="1">
      <alignment horizontal="center" wrapText="1"/>
      <protection hidden="1"/>
    </xf>
    <xf numFmtId="0" fontId="5" fillId="5" borderId="13" xfId="0" applyFont="1" applyFill="1" applyBorder="1" applyAlignment="1" applyProtection="1">
      <alignment horizontal="center" wrapText="1"/>
      <protection hidden="1"/>
    </xf>
    <xf numFmtId="0" fontId="5" fillId="5" borderId="14" xfId="0" applyFont="1" applyFill="1" applyBorder="1" applyAlignment="1" applyProtection="1">
      <alignment horizontal="center" wrapText="1"/>
      <protection hidden="1"/>
    </xf>
    <xf numFmtId="0" fontId="5" fillId="5" borderId="15" xfId="0" applyFont="1" applyFill="1" applyBorder="1" applyAlignment="1" applyProtection="1">
      <alignment horizontal="center" wrapText="1"/>
      <protection hidden="1"/>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5" fillId="5" borderId="5" xfId="0" applyFont="1" applyFill="1" applyBorder="1" applyAlignment="1" applyProtection="1">
      <alignment horizontal="center" wrapText="1"/>
      <protection hidden="1"/>
    </xf>
    <xf numFmtId="0" fontId="5" fillId="5" borderId="6" xfId="0" applyFont="1" applyFill="1" applyBorder="1" applyAlignment="1" applyProtection="1">
      <alignment horizontal="center" wrapText="1"/>
      <protection hidden="1"/>
    </xf>
    <xf numFmtId="0" fontId="2" fillId="5" borderId="1" xfId="0" applyFont="1" applyFill="1" applyBorder="1" applyAlignment="1" applyProtection="1">
      <alignment horizontal="center"/>
      <protection hidden="1"/>
    </xf>
    <xf numFmtId="0" fontId="2" fillId="5" borderId="4" xfId="0" applyFont="1" applyFill="1" applyBorder="1" applyAlignment="1" applyProtection="1">
      <alignment horizontal="center"/>
      <protection hidden="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3" fillId="6" borderId="0" xfId="0" applyFont="1" applyFill="1" applyAlignment="1">
      <alignment horizontal="left"/>
    </xf>
    <xf numFmtId="0" fontId="2" fillId="0" borderId="0" xfId="0" applyFont="1" applyAlignment="1">
      <alignment horizontal="right" indent="3"/>
    </xf>
    <xf numFmtId="0" fontId="2" fillId="0" borderId="11" xfId="0" applyFont="1" applyBorder="1" applyAlignment="1">
      <alignment horizontal="right" indent="3"/>
    </xf>
    <xf numFmtId="0" fontId="0" fillId="0" borderId="11" xfId="0" applyBorder="1" applyAlignment="1">
      <alignment horizontal="left"/>
    </xf>
    <xf numFmtId="0" fontId="5" fillId="5" borderId="2" xfId="0" applyFont="1" applyFill="1" applyBorder="1" applyAlignment="1" applyProtection="1">
      <alignment horizontal="center" wrapText="1"/>
      <protection hidden="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cellXfs>
  <cellStyles count="2">
    <cellStyle name="Normal" xfId="0" builtinId="0"/>
    <cellStyle name="Percent" xfId="1" builtinId="5"/>
  </cellStyles>
  <dxfs count="5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MT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Summary'!$D$22:$D$24</c:f>
              <c:numCache>
                <c:formatCode>0%</c:formatCode>
                <c:ptCount val="3"/>
                <c:pt idx="0">
                  <c:v>0.18181818181818199</c:v>
                </c:pt>
                <c:pt idx="1">
                  <c:v>7.1428571428571397E-2</c:v>
                </c:pt>
                <c:pt idx="2">
                  <c:v>0.12</c:v>
                </c:pt>
              </c:numCache>
            </c:numRef>
          </c:val>
          <c:extLst>
            <c:ext xmlns:c16="http://schemas.microsoft.com/office/drawing/2014/chart" uri="{C3380CC4-5D6E-409C-BE32-E72D297353CC}">
              <c16:uniqueId val="{00000000-8457-4009-B109-96380990BD30}"/>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Summary'!$E$22:$E$24</c:f>
              <c:numCache>
                <c:formatCode>0%</c:formatCode>
                <c:ptCount val="3"/>
                <c:pt idx="0">
                  <c:v>0.18181818181818199</c:v>
                </c:pt>
                <c:pt idx="1">
                  <c:v>0.214285714285714</c:v>
                </c:pt>
                <c:pt idx="2">
                  <c:v>0.2</c:v>
                </c:pt>
              </c:numCache>
            </c:numRef>
          </c:val>
          <c:extLst>
            <c:ext xmlns:c16="http://schemas.microsoft.com/office/drawing/2014/chart" uri="{C3380CC4-5D6E-409C-BE32-E72D297353CC}">
              <c16:uniqueId val="{00000001-8457-4009-B109-96380990BD30}"/>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Summary'!$F$22:$F$24</c:f>
              <c:numCache>
                <c:formatCode>0%</c:formatCode>
                <c:ptCount val="3"/>
                <c:pt idx="0">
                  <c:v>0.54545454545454497</c:v>
                </c:pt>
                <c:pt idx="1">
                  <c:v>0.28571428571428598</c:v>
                </c:pt>
                <c:pt idx="2">
                  <c:v>0.4</c:v>
                </c:pt>
              </c:numCache>
            </c:numRef>
          </c:val>
          <c:extLst>
            <c:ext xmlns:c16="http://schemas.microsoft.com/office/drawing/2014/chart" uri="{C3380CC4-5D6E-409C-BE32-E72D297353CC}">
              <c16:uniqueId val="{00000002-8457-4009-B109-96380990BD30}"/>
            </c:ext>
          </c:extLst>
        </c:ser>
        <c:ser>
          <c:idx val="3"/>
          <c:order val="3"/>
          <c:tx>
            <c:strRef>
              <c:f>'Class Summary'!$G$21</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Summary'!$G$22:$G$24</c:f>
              <c:numCache>
                <c:formatCode>0%</c:formatCode>
                <c:ptCount val="3"/>
                <c:pt idx="0">
                  <c:v>9.0909090909090898E-2</c:v>
                </c:pt>
                <c:pt idx="1">
                  <c:v>0.42857142857142899</c:v>
                </c:pt>
                <c:pt idx="2">
                  <c:v>0.28000000000000003</c:v>
                </c:pt>
              </c:numCache>
            </c:numRef>
          </c:val>
          <c:extLst>
            <c:ext xmlns:c16="http://schemas.microsoft.com/office/drawing/2014/chart" uri="{C3380CC4-5D6E-409C-BE32-E72D297353CC}">
              <c16:uniqueId val="{00000003-8457-4009-B109-96380990BD30}"/>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db17956-0f38-4858-9778-2d40a9cf3ca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491688538932601"/>
          <c:y val="0.17835287589513099"/>
          <c:w val="0.46470316949231399"/>
          <c:h val="0.70539393858950195"/>
        </c:manualLayout>
      </c:layout>
      <c:pieChart>
        <c:varyColors val="1"/>
        <c:ser>
          <c:idx val="0"/>
          <c:order val="0"/>
          <c:tx>
            <c:strRef>
              <c:f>'Class Summary'!$G$6</c:f>
              <c:strCache>
                <c:ptCount val="1"/>
                <c:pt idx="0">
                  <c:v>Number of Learners Assessed</c:v>
                </c:pt>
              </c:strCache>
            </c:strRef>
          </c:tx>
          <c:spPr>
            <a:solidFill>
              <a:srgbClr val="FF000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F97D-4E66-AFB6-A44921D8DAD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F97D-4E66-AFB6-A44921D8DAD2}"/>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11</c:v>
                </c:pt>
                <c:pt idx="1">
                  <c:v>14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F97D-4E66-AFB6-A44921D8DAD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2b648d1-765a-44c0-97fe-56b891a42644}"/>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MT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Summary'!$H$22:$H$24</c:f>
              <c:numCache>
                <c:formatCode>0%</c:formatCode>
                <c:ptCount val="3"/>
                <c:pt idx="0">
                  <c:v>0.894289533995416</c:v>
                </c:pt>
                <c:pt idx="1">
                  <c:v>0.94634776987718205</c:v>
                </c:pt>
                <c:pt idx="2">
                  <c:v>0.92031865193629903</c:v>
                </c:pt>
              </c:numCache>
            </c:numRef>
          </c:val>
          <c:extLst>
            <c:ext xmlns:c16="http://schemas.microsoft.com/office/drawing/2014/chart" uri="{C3380CC4-5D6E-409C-BE32-E72D297353CC}">
              <c16:uniqueId val="{00000000-4C05-423F-B186-0E407D5BD551}"/>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Summary'!$I$22:$I$24</c:f>
              <c:numCache>
                <c:formatCode>0%</c:formatCode>
                <c:ptCount val="3"/>
                <c:pt idx="0">
                  <c:v>0.69642857142857095</c:v>
                </c:pt>
                <c:pt idx="1">
                  <c:v>0.879120879120879</c:v>
                </c:pt>
                <c:pt idx="2">
                  <c:v>0.78777472527472503</c:v>
                </c:pt>
              </c:numCache>
            </c:numRef>
          </c:val>
          <c:extLst>
            <c:ext xmlns:c16="http://schemas.microsoft.com/office/drawing/2014/chart" uri="{C3380CC4-5D6E-409C-BE32-E72D297353CC}">
              <c16:uniqueId val="{00000001-4C05-423F-B186-0E407D5BD551}"/>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7f06df9-cc63-4dec-8dba-33e0ed7f240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Filipino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Summary'!$D$25:$D$27</c:f>
              <c:numCache>
                <c:formatCode>0%</c:formatCode>
                <c:ptCount val="3"/>
                <c:pt idx="0">
                  <c:v>0.27272727272727298</c:v>
                </c:pt>
                <c:pt idx="1">
                  <c:v>7.1428571428571397E-2</c:v>
                </c:pt>
                <c:pt idx="2">
                  <c:v>0.16</c:v>
                </c:pt>
              </c:numCache>
            </c:numRef>
          </c:val>
          <c:extLst>
            <c:ext xmlns:c16="http://schemas.microsoft.com/office/drawing/2014/chart" uri="{C3380CC4-5D6E-409C-BE32-E72D297353CC}">
              <c16:uniqueId val="{00000000-7054-4F3E-899B-A88B01EE9FDE}"/>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Summary'!$E$25:$E$27</c:f>
              <c:numCache>
                <c:formatCode>0%</c:formatCode>
                <c:ptCount val="3"/>
                <c:pt idx="0">
                  <c:v>0</c:v>
                </c:pt>
                <c:pt idx="1">
                  <c:v>0</c:v>
                </c:pt>
                <c:pt idx="2">
                  <c:v>0</c:v>
                </c:pt>
              </c:numCache>
            </c:numRef>
          </c:val>
          <c:extLst>
            <c:ext xmlns:c16="http://schemas.microsoft.com/office/drawing/2014/chart" uri="{C3380CC4-5D6E-409C-BE32-E72D297353CC}">
              <c16:uniqueId val="{00000001-7054-4F3E-899B-A88B01EE9FDE}"/>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Summary'!$F$25:$F$27</c:f>
              <c:numCache>
                <c:formatCode>0%</c:formatCode>
                <c:ptCount val="3"/>
                <c:pt idx="0">
                  <c:v>0.45454545454545497</c:v>
                </c:pt>
                <c:pt idx="1">
                  <c:v>0.28571428571428598</c:v>
                </c:pt>
                <c:pt idx="2">
                  <c:v>0.36</c:v>
                </c:pt>
              </c:numCache>
            </c:numRef>
          </c:val>
          <c:extLst>
            <c:ext xmlns:c16="http://schemas.microsoft.com/office/drawing/2014/chart" uri="{C3380CC4-5D6E-409C-BE32-E72D297353CC}">
              <c16:uniqueId val="{00000002-7054-4F3E-899B-A88B01EE9FDE}"/>
            </c:ext>
          </c:extLst>
        </c:ser>
        <c:ser>
          <c:idx val="3"/>
          <c:order val="3"/>
          <c:tx>
            <c:strRef>
              <c:f>'Class Summary'!$G$21</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Summary'!$G$25:$G$27</c:f>
              <c:numCache>
                <c:formatCode>0%</c:formatCode>
                <c:ptCount val="3"/>
                <c:pt idx="0">
                  <c:v>0.27272727272727298</c:v>
                </c:pt>
                <c:pt idx="1">
                  <c:v>0.64285714285714302</c:v>
                </c:pt>
                <c:pt idx="2">
                  <c:v>0.48</c:v>
                </c:pt>
              </c:numCache>
            </c:numRef>
          </c:val>
          <c:extLst>
            <c:ext xmlns:c16="http://schemas.microsoft.com/office/drawing/2014/chart" uri="{C3380CC4-5D6E-409C-BE32-E72D297353CC}">
              <c16:uniqueId val="{00000003-7054-4F3E-899B-A88B01EE9FDE}"/>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fdc9c85-76c7-4519-9c9b-58513041977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Filipino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Summary'!$H$25:$H$27</c:f>
              <c:numCache>
                <c:formatCode>0%</c:formatCode>
                <c:ptCount val="3"/>
                <c:pt idx="0">
                  <c:v>0.879188038851904</c:v>
                </c:pt>
                <c:pt idx="1">
                  <c:v>0.94634776987718205</c:v>
                </c:pt>
                <c:pt idx="2">
                  <c:v>0.91276790436454303</c:v>
                </c:pt>
              </c:numCache>
            </c:numRef>
          </c:val>
          <c:extLst>
            <c:ext xmlns:c16="http://schemas.microsoft.com/office/drawing/2014/chart" uri="{C3380CC4-5D6E-409C-BE32-E72D297353CC}">
              <c16:uniqueId val="{00000000-CD47-4BE2-886E-F2F489C1A006}"/>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Summary'!$I$25:$I$27</c:f>
              <c:numCache>
                <c:formatCode>0%</c:formatCode>
                <c:ptCount val="3"/>
                <c:pt idx="0">
                  <c:v>0.67346938775510201</c:v>
                </c:pt>
                <c:pt idx="1">
                  <c:v>0.879120879120879</c:v>
                </c:pt>
                <c:pt idx="2">
                  <c:v>0.77629513343798995</c:v>
                </c:pt>
              </c:numCache>
            </c:numRef>
          </c:val>
          <c:extLst>
            <c:ext xmlns:c16="http://schemas.microsoft.com/office/drawing/2014/chart" uri="{C3380CC4-5D6E-409C-BE32-E72D297353CC}">
              <c16:uniqueId val="{00000001-CD47-4BE2-886E-F2F489C1A006}"/>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7df2d31-7fa5-4549-a880-a95a7fa2a28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English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Summary'!$D$28:$D$30</c:f>
              <c:numCache>
                <c:formatCode>0%</c:formatCode>
                <c:ptCount val="3"/>
                <c:pt idx="0">
                  <c:v>0</c:v>
                </c:pt>
                <c:pt idx="1">
                  <c:v>0</c:v>
                </c:pt>
                <c:pt idx="2">
                  <c:v>0.04</c:v>
                </c:pt>
              </c:numCache>
            </c:numRef>
          </c:val>
          <c:extLst>
            <c:ext xmlns:c16="http://schemas.microsoft.com/office/drawing/2014/chart" uri="{C3380CC4-5D6E-409C-BE32-E72D297353CC}">
              <c16:uniqueId val="{00000000-D7BE-44A2-A8B4-06B951519A7E}"/>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Summary'!$E$28:$E$30</c:f>
              <c:numCache>
                <c:formatCode>0%</c:formatCode>
                <c:ptCount val="3"/>
                <c:pt idx="0">
                  <c:v>0.18181818181818199</c:v>
                </c:pt>
                <c:pt idx="1">
                  <c:v>7.1428571428571397E-2</c:v>
                </c:pt>
                <c:pt idx="2">
                  <c:v>0.08</c:v>
                </c:pt>
              </c:numCache>
            </c:numRef>
          </c:val>
          <c:extLst>
            <c:ext xmlns:c16="http://schemas.microsoft.com/office/drawing/2014/chart" uri="{C3380CC4-5D6E-409C-BE32-E72D297353CC}">
              <c16:uniqueId val="{00000001-D7BE-44A2-A8B4-06B951519A7E}"/>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Summary'!$F$28:$F$30</c:f>
              <c:numCache>
                <c:formatCode>0%</c:formatCode>
                <c:ptCount val="3"/>
                <c:pt idx="0">
                  <c:v>0.36363636363636398</c:v>
                </c:pt>
                <c:pt idx="1">
                  <c:v>0.214285714285714</c:v>
                </c:pt>
                <c:pt idx="2">
                  <c:v>0.32</c:v>
                </c:pt>
              </c:numCache>
            </c:numRef>
          </c:val>
          <c:extLst>
            <c:ext xmlns:c16="http://schemas.microsoft.com/office/drawing/2014/chart" uri="{C3380CC4-5D6E-409C-BE32-E72D297353CC}">
              <c16:uniqueId val="{00000002-D7BE-44A2-A8B4-06B951519A7E}"/>
            </c:ext>
          </c:extLst>
        </c:ser>
        <c:ser>
          <c:idx val="3"/>
          <c:order val="3"/>
          <c:tx>
            <c:strRef>
              <c:f>'Class Summary'!$G$21</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Summary'!$G$28:$G$30</c:f>
              <c:numCache>
                <c:formatCode>0%</c:formatCode>
                <c:ptCount val="3"/>
                <c:pt idx="0">
                  <c:v>0.45454545454545497</c:v>
                </c:pt>
                <c:pt idx="1">
                  <c:v>0.71428571428571397</c:v>
                </c:pt>
                <c:pt idx="2">
                  <c:v>0.56000000000000005</c:v>
                </c:pt>
              </c:numCache>
            </c:numRef>
          </c:val>
          <c:extLst>
            <c:ext xmlns:c16="http://schemas.microsoft.com/office/drawing/2014/chart" uri="{C3380CC4-5D6E-409C-BE32-E72D297353CC}">
              <c16:uniqueId val="{00000003-D7BE-44A2-A8B4-06B951519A7E}"/>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96b35d3-7a40-4f9f-afd3-38daff259df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English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Summary'!$H$28:$H$30</c:f>
              <c:numCache>
                <c:formatCode>0%</c:formatCode>
                <c:ptCount val="3"/>
                <c:pt idx="0">
                  <c:v>0.74099999999999999</c:v>
                </c:pt>
                <c:pt idx="1">
                  <c:v>0.88428571428571401</c:v>
                </c:pt>
                <c:pt idx="2">
                  <c:v>0.812642857142857</c:v>
                </c:pt>
              </c:numCache>
            </c:numRef>
          </c:val>
          <c:extLst>
            <c:ext xmlns:c16="http://schemas.microsoft.com/office/drawing/2014/chart" uri="{C3380CC4-5D6E-409C-BE32-E72D297353CC}">
              <c16:uniqueId val="{00000000-8454-41BD-AEFC-57CDB35C70F9}"/>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Summary'!$I$28:$I$30</c:f>
              <c:numCache>
                <c:formatCode>0%</c:formatCode>
                <c:ptCount val="3"/>
                <c:pt idx="0">
                  <c:v>0.58333333333333304</c:v>
                </c:pt>
                <c:pt idx="1">
                  <c:v>0.80952380952380998</c:v>
                </c:pt>
                <c:pt idx="2">
                  <c:v>0.69642857142857095</c:v>
                </c:pt>
              </c:numCache>
            </c:numRef>
          </c:val>
          <c:extLst>
            <c:ext xmlns:c16="http://schemas.microsoft.com/office/drawing/2014/chart" uri="{C3380CC4-5D6E-409C-BE32-E72D297353CC}">
              <c16:uniqueId val="{00000001-8454-41BD-AEFC-57CDB35C70F9}"/>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2d96a2c-3507-4f61-b49d-c77a48cb947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'Class Summary'!$K$21</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Summary'!$K$22:$K$30</c:f>
              <c:numCache>
                <c:formatCode>0%</c:formatCode>
                <c:ptCount val="9"/>
                <c:pt idx="0">
                  <c:v>0.18181818181818199</c:v>
                </c:pt>
                <c:pt idx="1">
                  <c:v>7.1428571428571397E-2</c:v>
                </c:pt>
                <c:pt idx="2">
                  <c:v>0.12</c:v>
                </c:pt>
                <c:pt idx="3">
                  <c:v>0.27272727272727298</c:v>
                </c:pt>
                <c:pt idx="4">
                  <c:v>7.1428571428571397E-2</c:v>
                </c:pt>
                <c:pt idx="5">
                  <c:v>0.16</c:v>
                </c:pt>
                <c:pt idx="6">
                  <c:v>0</c:v>
                </c:pt>
                <c:pt idx="7">
                  <c:v>0</c:v>
                </c:pt>
                <c:pt idx="8">
                  <c:v>0.04</c:v>
                </c:pt>
              </c:numCache>
            </c:numRef>
          </c:val>
          <c:extLst>
            <c:ext xmlns:c16="http://schemas.microsoft.com/office/drawing/2014/chart" uri="{C3380CC4-5D6E-409C-BE32-E72D297353CC}">
              <c16:uniqueId val="{00000000-5D70-4C97-AED3-DDF4C592AD47}"/>
            </c:ext>
          </c:extLst>
        </c:ser>
        <c:ser>
          <c:idx val="1"/>
          <c:order val="1"/>
          <c:tx>
            <c:strRef>
              <c:f>'Class Summary'!$L$21</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Summary'!$L$22:$L$30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5D70-4C97-AED3-DDF4C592AD47}"/>
            </c:ext>
          </c:extLst>
        </c:ser>
        <c:ser>
          <c:idx val="2"/>
          <c:order val="2"/>
          <c:tx>
            <c:strRef>
              <c:f>'Class Summary'!$M$21</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Summary'!$M$22:$M$30</c:f>
              <c:numCache>
                <c:formatCode>0%</c:formatCode>
                <c:ptCount val="9"/>
                <c:pt idx="0">
                  <c:v>9.0909090909090898E-2</c:v>
                </c:pt>
                <c:pt idx="1">
                  <c:v>0</c:v>
                </c:pt>
                <c:pt idx="2">
                  <c:v>0.04</c:v>
                </c:pt>
                <c:pt idx="3">
                  <c:v>9.0909090909090898E-2</c:v>
                </c:pt>
                <c:pt idx="4">
                  <c:v>7.1428571428571397E-2</c:v>
                </c:pt>
                <c:pt idx="5">
                  <c:v>0.08</c:v>
                </c:pt>
                <c:pt idx="6">
                  <c:v>0.36363636363636398</c:v>
                </c:pt>
                <c:pt idx="7">
                  <c:v>7.1428571428571397E-2</c:v>
                </c:pt>
                <c:pt idx="8">
                  <c:v>0.2</c:v>
                </c:pt>
              </c:numCache>
            </c:numRef>
          </c:val>
          <c:extLst>
            <c:ext xmlns:c16="http://schemas.microsoft.com/office/drawing/2014/chart" uri="{C3380CC4-5D6E-409C-BE32-E72D297353CC}">
              <c16:uniqueId val="{00000002-5D70-4C97-AED3-DDF4C592AD47}"/>
            </c:ext>
          </c:extLst>
        </c:ser>
        <c:ser>
          <c:idx val="3"/>
          <c:order val="3"/>
          <c:tx>
            <c:strRef>
              <c:f>'Class Summary'!$N$21</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Summary'!$N$22:$N$30</c:f>
              <c:numCache>
                <c:formatCode>0%</c:formatCode>
                <c:ptCount val="9"/>
                <c:pt idx="0">
                  <c:v>0.27272727272727298</c:v>
                </c:pt>
                <c:pt idx="1">
                  <c:v>0.214285714285714</c:v>
                </c:pt>
                <c:pt idx="2">
                  <c:v>0.24</c:v>
                </c:pt>
                <c:pt idx="3">
                  <c:v>0.27272727272727298</c:v>
                </c:pt>
                <c:pt idx="4">
                  <c:v>0.14285714285714299</c:v>
                </c:pt>
                <c:pt idx="5">
                  <c:v>0.2</c:v>
                </c:pt>
                <c:pt idx="6">
                  <c:v>0.27272727272727298</c:v>
                </c:pt>
                <c:pt idx="7">
                  <c:v>0.14285714285714299</c:v>
                </c:pt>
                <c:pt idx="8">
                  <c:v>0.2</c:v>
                </c:pt>
              </c:numCache>
            </c:numRef>
          </c:val>
          <c:extLst>
            <c:ext xmlns:c16="http://schemas.microsoft.com/office/drawing/2014/chart" uri="{C3380CC4-5D6E-409C-BE32-E72D297353CC}">
              <c16:uniqueId val="{00000003-5D70-4C97-AED3-DDF4C592AD47}"/>
            </c:ext>
          </c:extLst>
        </c:ser>
        <c:ser>
          <c:idx val="4"/>
          <c:order val="4"/>
          <c:tx>
            <c:strRef>
              <c:f>'Class Summary'!$O$21</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Summary'!$O$22:$O$30</c:f>
              <c:numCache>
                <c:formatCode>0%</c:formatCode>
                <c:ptCount val="9"/>
                <c:pt idx="0">
                  <c:v>0.45454545454545497</c:v>
                </c:pt>
                <c:pt idx="1">
                  <c:v>0.71428571428571397</c:v>
                </c:pt>
                <c:pt idx="2">
                  <c:v>0.6</c:v>
                </c:pt>
                <c:pt idx="3">
                  <c:v>0.36363636363636398</c:v>
                </c:pt>
                <c:pt idx="4">
                  <c:v>0.71428571428571397</c:v>
                </c:pt>
                <c:pt idx="5">
                  <c:v>0.56000000000000005</c:v>
                </c:pt>
                <c:pt idx="6">
                  <c:v>0.36363636363636398</c:v>
                </c:pt>
                <c:pt idx="7">
                  <c:v>0.78571428571428603</c:v>
                </c:pt>
                <c:pt idx="8">
                  <c:v>0.56000000000000005</c:v>
                </c:pt>
              </c:numCache>
            </c:numRef>
          </c:val>
          <c:extLst>
            <c:ext xmlns:c16="http://schemas.microsoft.com/office/drawing/2014/chart" uri="{C3380CC4-5D6E-409C-BE32-E72D297353CC}">
              <c16:uniqueId val="{00000004-5D70-4C97-AED3-DDF4C592AD47}"/>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a9bff1f-4079-4ab9-89dc-91fc5abaf6f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18288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063615" y="21983065"/>
          <a:ext cx="18415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5565" y="21122005"/>
          <a:ext cx="82080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1326515</xdr:colOff>
      <xdr:row>110</xdr:row>
      <xdr:rowOff>142876</xdr:rowOff>
    </xdr:from>
    <xdr:to>
      <xdr:col>21</xdr:col>
      <xdr:colOff>2148840</xdr:colOff>
      <xdr:row>111</xdr:row>
      <xdr:rowOff>172087</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6027400" y="21173440"/>
          <a:ext cx="2222500" cy="219710"/>
        </a:xfrm>
        <a:prstGeom prst="rect">
          <a:avLst/>
        </a:prstGeom>
        <a:noFill/>
        <a:ln>
          <a:noFill/>
        </a:ln>
      </xdr:spPr>
    </xdr:pic>
    <xdr:clientData/>
  </xdr:twoCellAnchor>
  <xdr:twoCellAnchor>
    <xdr:from>
      <xdr:col>17</xdr:col>
      <xdr:colOff>243840</xdr:colOff>
      <xdr:row>3</xdr:row>
      <xdr:rowOff>55245</xdr:rowOff>
    </xdr:from>
    <xdr:to>
      <xdr:col>21</xdr:col>
      <xdr:colOff>2240280</xdr:colOff>
      <xdr:row>4</xdr:row>
      <xdr:rowOff>150495</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2726670" y="908050"/>
          <a:ext cx="5614670" cy="3321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Mother Tongue Reading Assessment Scoresheet</a:t>
          </a:r>
        </a:p>
      </xdr:txBody>
    </xdr:sp>
    <xdr:clientData/>
  </xdr:twoCellAnchor>
  <xdr:twoCellAnchor>
    <xdr:from>
      <xdr:col>0</xdr:col>
      <xdr:colOff>76199</xdr:colOff>
      <xdr:row>110</xdr:row>
      <xdr:rowOff>91440</xdr:rowOff>
    </xdr:from>
    <xdr:to>
      <xdr:col>9</xdr:col>
      <xdr:colOff>1133474</xdr:colOff>
      <xdr:row>113</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75565" y="21122005"/>
          <a:ext cx="82080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xdr:from>
      <xdr:col>20</xdr:col>
      <xdr:colOff>533400</xdr:colOff>
      <xdr:row>0</xdr:row>
      <xdr:rowOff>91440</xdr:rowOff>
    </xdr:from>
    <xdr:to>
      <xdr:col>21</xdr:col>
      <xdr:colOff>2295525</xdr:colOff>
      <xdr:row>2</xdr:row>
      <xdr:rowOff>228048</xdr:rowOff>
    </xdr:to>
    <xdr:grpSp>
      <xdr:nvGrpSpPr>
        <xdr:cNvPr id="15" name="Group 14">
          <a:extLst>
            <a:ext uri="{FF2B5EF4-FFF2-40B4-BE49-F238E27FC236}">
              <a16:creationId xmlns:a16="http://schemas.microsoft.com/office/drawing/2014/main" id="{00000000-0008-0000-0000-00000F000000}"/>
            </a:ext>
          </a:extLst>
        </xdr:cNvPr>
        <xdr:cNvGrpSpPr/>
      </xdr:nvGrpSpPr>
      <xdr:grpSpPr>
        <a:xfrm>
          <a:off x="17354550" y="91440"/>
          <a:ext cx="3362325" cy="641433"/>
          <a:chOff x="16253460" y="45720"/>
          <a:chExt cx="3198311" cy="645560"/>
        </a:xfrm>
      </xdr:grpSpPr>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xdr:from>
      <xdr:col>3</xdr:col>
      <xdr:colOff>142875</xdr:colOff>
      <xdr:row>0</xdr:row>
      <xdr:rowOff>15240</xdr:rowOff>
    </xdr:from>
    <xdr:to>
      <xdr:col>13</xdr:col>
      <xdr:colOff>32384</xdr:colOff>
      <xdr:row>2</xdr:row>
      <xdr:rowOff>283053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3781425" y="15240"/>
          <a:ext cx="8166734" cy="772638"/>
          <a:chOff x="3408046" y="50322"/>
          <a:chExt cx="7315199" cy="755493"/>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4274756" y="117677"/>
            <a:ext cx="644848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8046" y="50322"/>
            <a:ext cx="859154" cy="746768"/>
          </a:xfrm>
          <a:prstGeom prst="rect">
            <a:avLst/>
          </a:prstGeom>
        </xdr:spPr>
      </xdr:pic>
    </xdr:grpSp>
    <xdr:clientData/>
  </xdr:twoCellAnchor>
  <xdr:twoCellAnchor editAs="oneCell">
    <xdr:from>
      <xdr:col>16</xdr:col>
      <xdr:colOff>55948</xdr:colOff>
      <xdr:row>4</xdr:row>
      <xdr:rowOff>205741</xdr:rowOff>
    </xdr:from>
    <xdr:to>
      <xdr:col>22</xdr:col>
      <xdr:colOff>8571</xdr:colOff>
      <xdr:row>8</xdr:row>
      <xdr:rowOff>248590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902440" y="1295400"/>
          <a:ext cx="6473825" cy="1120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18288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324600" y="23011765"/>
          <a:ext cx="18415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9</xdr:col>
      <xdr:colOff>971550</xdr:colOff>
      <xdr:row>113</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6200" y="22150705"/>
          <a:ext cx="8391525"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1431290</xdr:colOff>
      <xdr:row>110</xdr:row>
      <xdr:rowOff>161926</xdr:rowOff>
    </xdr:from>
    <xdr:to>
      <xdr:col>21</xdr:col>
      <xdr:colOff>2076450</xdr:colOff>
      <xdr:row>112</xdr:row>
      <xdr:rowOff>21592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6428720" y="22221190"/>
          <a:ext cx="2214880" cy="240665"/>
        </a:xfrm>
        <a:prstGeom prst="rect">
          <a:avLst/>
        </a:prstGeom>
        <a:noFill/>
        <a:ln>
          <a:noFill/>
        </a:ln>
      </xdr:spPr>
    </xdr:pic>
    <xdr:clientData/>
  </xdr:twoCellAnchor>
  <xdr:twoCellAnchor>
    <xdr:from>
      <xdr:col>18</xdr:col>
      <xdr:colOff>91439</xdr:colOff>
      <xdr:row>3</xdr:row>
      <xdr:rowOff>53340</xdr:rowOff>
    </xdr:from>
    <xdr:to>
      <xdr:col>21</xdr:col>
      <xdr:colOff>2257424</xdr:colOff>
      <xdr:row>4</xdr:row>
      <xdr:rowOff>152400</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3591540" y="906145"/>
          <a:ext cx="5232400" cy="3359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Filipino</a:t>
          </a:r>
          <a:r>
            <a:rPr lang="en-PH" sz="1800" b="1" baseline="0">
              <a:solidFill>
                <a:schemeClr val="bg1"/>
              </a:solidFill>
            </a:rPr>
            <a:t> </a:t>
          </a:r>
          <a:r>
            <a:rPr lang="en-PH" sz="1800" b="1">
              <a:solidFill>
                <a:schemeClr val="bg1"/>
              </a:solidFill>
            </a:rPr>
            <a:t>Reading Assessment Scoresheet</a:t>
          </a:r>
        </a:p>
      </xdr:txBody>
    </xdr:sp>
    <xdr:clientData/>
  </xdr:two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75565" y="22150705"/>
          <a:ext cx="855345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xdr:from>
      <xdr:col>20</xdr:col>
      <xdr:colOff>533400</xdr:colOff>
      <xdr:row>0</xdr:row>
      <xdr:rowOff>95250</xdr:rowOff>
    </xdr:from>
    <xdr:to>
      <xdr:col>22</xdr:col>
      <xdr:colOff>769</xdr:colOff>
      <xdr:row>2</xdr:row>
      <xdr:rowOff>228048</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7697450" y="95250"/>
          <a:ext cx="3848869" cy="637623"/>
          <a:chOff x="16253460" y="45720"/>
          <a:chExt cx="3198311" cy="645560"/>
        </a:xfrm>
      </xdr:grpSpPr>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3</xdr:col>
      <xdr:colOff>76200</xdr:colOff>
      <xdr:row>0</xdr:row>
      <xdr:rowOff>76200</xdr:rowOff>
    </xdr:from>
    <xdr:to>
      <xdr:col>11</xdr:col>
      <xdr:colOff>533400</xdr:colOff>
      <xdr:row>2</xdr:row>
      <xdr:rowOff>303311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3258185" y="76200"/>
          <a:ext cx="6771005" cy="736600"/>
        </a:xfrm>
        <a:prstGeom prst="rect">
          <a:avLst/>
        </a:prstGeom>
      </xdr:spPr>
    </xdr:pic>
    <xdr:clientData/>
  </xdr:twoCellAnchor>
  <xdr:twoCellAnchor editAs="oneCell">
    <xdr:from>
      <xdr:col>16</xdr:col>
      <xdr:colOff>0</xdr:colOff>
      <xdr:row>4</xdr:row>
      <xdr:rowOff>205740</xdr:rowOff>
    </xdr:from>
    <xdr:to>
      <xdr:col>22</xdr:col>
      <xdr:colOff>0</xdr:colOff>
      <xdr:row>9</xdr:row>
      <xdr:rowOff>223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stretch>
          <a:fillRect/>
        </a:stretch>
      </xdr:blipFill>
      <xdr:spPr>
        <a:xfrm>
          <a:off x="12143105" y="1295400"/>
          <a:ext cx="6690995" cy="11328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115</xdr:row>
      <xdr:rowOff>30480</xdr:rowOff>
    </xdr:from>
    <xdr:ext cx="184731" cy="18288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127750" y="22548215"/>
          <a:ext cx="18415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8</xdr:col>
      <xdr:colOff>971550</xdr:colOff>
      <xdr:row>113</xdr:row>
      <xdr:rowOff>38100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76200" y="21877655"/>
          <a:ext cx="77381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19</xdr:col>
      <xdr:colOff>1429385</xdr:colOff>
      <xdr:row>110</xdr:row>
      <xdr:rowOff>121921</xdr:rowOff>
    </xdr:from>
    <xdr:to>
      <xdr:col>20</xdr:col>
      <xdr:colOff>2078355</xdr:colOff>
      <xdr:row>113</xdr:row>
      <xdr:rowOff>93345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5603855" y="21908135"/>
          <a:ext cx="2188210" cy="542925"/>
        </a:xfrm>
        <a:prstGeom prst="rect">
          <a:avLst/>
        </a:prstGeom>
        <a:noFill/>
        <a:ln>
          <a:noFill/>
        </a:ln>
      </xdr:spPr>
    </xdr:pic>
    <xdr:clientData/>
  </xdr:twoCellAnchor>
  <xdr:twoCellAnchor>
    <xdr:from>
      <xdr:col>16</xdr:col>
      <xdr:colOff>678179</xdr:colOff>
      <xdr:row>3</xdr:row>
      <xdr:rowOff>36195</xdr:rowOff>
    </xdr:from>
    <xdr:to>
      <xdr:col>20</xdr:col>
      <xdr:colOff>2285999</xdr:colOff>
      <xdr:row>4</xdr:row>
      <xdr:rowOff>131445</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2633960" y="889000"/>
          <a:ext cx="5346700" cy="3321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English</a:t>
          </a:r>
          <a:r>
            <a:rPr lang="en-PH" sz="1800" b="1" baseline="0">
              <a:solidFill>
                <a:schemeClr val="bg1"/>
              </a:solidFill>
            </a:rPr>
            <a:t> </a:t>
          </a:r>
          <a:r>
            <a:rPr lang="en-PH" sz="1800" b="1">
              <a:solidFill>
                <a:schemeClr val="bg1"/>
              </a:solidFill>
            </a:rPr>
            <a:t>Reading Assessment Scoresheet</a:t>
          </a:r>
        </a:p>
      </xdr:txBody>
    </xdr:sp>
    <xdr:clientData/>
  </xdr:twoCellAnchor>
  <xdr:twoCellAnchor editAs="oneCell">
    <xdr:from>
      <xdr:col>19</xdr:col>
      <xdr:colOff>447675</xdr:colOff>
      <xdr:row>0</xdr:row>
      <xdr:rowOff>85725</xdr:rowOff>
    </xdr:from>
    <xdr:to>
      <xdr:col>20</xdr:col>
      <xdr:colOff>2079395</xdr:colOff>
      <xdr:row>2</xdr:row>
      <xdr:rowOff>211892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a:stretch>
          <a:fillRect/>
        </a:stretch>
      </xdr:blipFill>
      <xdr:spPr>
        <a:xfrm>
          <a:off x="14622145" y="85725"/>
          <a:ext cx="3170555" cy="635635"/>
        </a:xfrm>
        <a:prstGeom prst="rect">
          <a:avLst/>
        </a:prstGeom>
      </xdr:spPr>
    </xdr:pic>
    <xdr:clientData/>
  </xdr:twoCellAnchor>
  <xdr:twoCellAnchor editAs="oneCell">
    <xdr:from>
      <xdr:col>3</xdr:col>
      <xdr:colOff>38100</xdr:colOff>
      <xdr:row>0</xdr:row>
      <xdr:rowOff>114300</xdr:rowOff>
    </xdr:from>
    <xdr:to>
      <xdr:col>11</xdr:col>
      <xdr:colOff>173355</xdr:colOff>
      <xdr:row>2</xdr:row>
      <xdr:rowOff>289215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3220085" y="114300"/>
          <a:ext cx="6310630" cy="684530"/>
        </a:xfrm>
        <a:prstGeom prst="rect">
          <a:avLst/>
        </a:prstGeom>
      </xdr:spPr>
    </xdr:pic>
    <xdr:clientData/>
  </xdr:twoCellAnchor>
  <xdr:twoCellAnchor editAs="oneCell">
    <xdr:from>
      <xdr:col>15</xdr:col>
      <xdr:colOff>38100</xdr:colOff>
      <xdr:row>5</xdr:row>
      <xdr:rowOff>1</xdr:rowOff>
    </xdr:from>
    <xdr:to>
      <xdr:col>20</xdr:col>
      <xdr:colOff>2152650</xdr:colOff>
      <xdr:row>8</xdr:row>
      <xdr:rowOff>247899</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stretch>
          <a:fillRect/>
        </a:stretch>
      </xdr:blipFill>
      <xdr:spPr>
        <a:xfrm>
          <a:off x="11406505" y="1311910"/>
          <a:ext cx="6459855" cy="9512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107</xdr:row>
      <xdr:rowOff>95250</xdr:rowOff>
    </xdr:from>
    <xdr:to>
      <xdr:col>10</xdr:col>
      <xdr:colOff>226695</xdr:colOff>
      <xdr:row>110</xdr:row>
      <xdr:rowOff>43815</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47625" y="21023580"/>
          <a:ext cx="9196070" cy="520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276225</xdr:colOff>
      <xdr:row>107</xdr:row>
      <xdr:rowOff>114300</xdr:rowOff>
    </xdr:from>
    <xdr:to>
      <xdr:col>22</xdr:col>
      <xdr:colOff>2534987</xdr:colOff>
      <xdr:row>109</xdr:row>
      <xdr:rowOff>174534</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20285710" y="21042630"/>
          <a:ext cx="2258695" cy="440690"/>
        </a:xfrm>
        <a:prstGeom prst="rect">
          <a:avLst/>
        </a:prstGeom>
      </xdr:spPr>
    </xdr:pic>
    <xdr:clientData/>
  </xdr:twoCellAnchor>
  <xdr:twoCellAnchor editAs="oneCell">
    <xdr:from>
      <xdr:col>21</xdr:col>
      <xdr:colOff>685800</xdr:colOff>
      <xdr:row>0</xdr:row>
      <xdr:rowOff>19050</xdr:rowOff>
    </xdr:from>
    <xdr:to>
      <xdr:col>22</xdr:col>
      <xdr:colOff>2263799</xdr:colOff>
      <xdr:row>2</xdr:row>
      <xdr:rowOff>149409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9113500" y="19050"/>
          <a:ext cx="3159760" cy="663575"/>
        </a:xfrm>
        <a:prstGeom prst="rect">
          <a:avLst/>
        </a:prstGeom>
      </xdr:spPr>
    </xdr:pic>
    <xdr:clientData/>
  </xdr:twoCellAnchor>
  <xdr:twoCellAnchor editAs="oneCell">
    <xdr:from>
      <xdr:col>0</xdr:col>
      <xdr:colOff>344806</xdr:colOff>
      <xdr:row>0</xdr:row>
      <xdr:rowOff>68580</xdr:rowOff>
    </xdr:from>
    <xdr:to>
      <xdr:col>7</xdr:col>
      <xdr:colOff>702946</xdr:colOff>
      <xdr:row>2</xdr:row>
      <xdr:rowOff>225299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344805" y="68580"/>
          <a:ext cx="6351270" cy="6896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115887</xdr:colOff>
      <xdr:row>54</xdr:row>
      <xdr:rowOff>18415</xdr:rowOff>
    </xdr:from>
    <xdr:to>
      <xdr:col>7</xdr:col>
      <xdr:colOff>99377</xdr:colOff>
      <xdr:row>74</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34688</xdr:colOff>
      <xdr:row>118</xdr:row>
      <xdr:rowOff>92788</xdr:rowOff>
    </xdr:from>
    <xdr:to>
      <xdr:col>11</xdr:col>
      <xdr:colOff>235983</xdr:colOff>
      <xdr:row>122</xdr:row>
      <xdr:rowOff>64531</xdr:rowOff>
    </xdr:to>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34290" y="24366855"/>
          <a:ext cx="858774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12</xdr:col>
      <xdr:colOff>381399</xdr:colOff>
      <xdr:row>117</xdr:row>
      <xdr:rowOff>139620</xdr:rowOff>
    </xdr:from>
    <xdr:to>
      <xdr:col>15</xdr:col>
      <xdr:colOff>440374</xdr:colOff>
      <xdr:row>120</xdr:row>
      <xdr:rowOff>111045</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2"/>
        <a:stretch>
          <a:fillRect/>
        </a:stretch>
      </xdr:blipFill>
      <xdr:spPr>
        <a:xfrm>
          <a:off x="9415780" y="24222710"/>
          <a:ext cx="2186305" cy="542925"/>
        </a:xfrm>
        <a:prstGeom prst="rect">
          <a:avLst/>
        </a:prstGeom>
      </xdr:spPr>
    </xdr:pic>
    <xdr:clientData/>
  </xdr:twoCellAnchor>
  <xdr:twoCellAnchor>
    <xdr:from>
      <xdr:col>14</xdr:col>
      <xdr:colOff>644843</xdr:colOff>
      <xdr:row>17</xdr:row>
      <xdr:rowOff>111283</xdr:rowOff>
    </xdr:from>
    <xdr:to>
      <xdr:col>19</xdr:col>
      <xdr:colOff>0</xdr:colOff>
      <xdr:row>29</xdr:row>
      <xdr:rowOff>184466</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13730</xdr:colOff>
      <xdr:row>18</xdr:row>
      <xdr:rowOff>163037</xdr:rowOff>
    </xdr:from>
    <xdr:to>
      <xdr:col>18</xdr:col>
      <xdr:colOff>238123</xdr:colOff>
      <xdr:row>20</xdr:row>
      <xdr:rowOff>83106</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1823700" y="5116830"/>
          <a:ext cx="1623695" cy="294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t>% of Learners Assessed</a:t>
          </a:r>
        </a:p>
      </xdr:txBody>
    </xdr:sp>
    <xdr:clientData/>
  </xdr:twoCellAnchor>
  <xdr:twoCellAnchor>
    <xdr:from>
      <xdr:col>7</xdr:col>
      <xdr:colOff>365126</xdr:colOff>
      <xdr:row>53</xdr:row>
      <xdr:rowOff>174625</xdr:rowOff>
    </xdr:from>
    <xdr:to>
      <xdr:col>16</xdr:col>
      <xdr:colOff>443866</xdr:colOff>
      <xdr:row>73</xdr:row>
      <xdr:rowOff>139701</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79375</xdr:colOff>
      <xdr:row>75</xdr:row>
      <xdr:rowOff>48576</xdr:rowOff>
    </xdr:from>
    <xdr:to>
      <xdr:col>7</xdr:col>
      <xdr:colOff>57150</xdr:colOff>
      <xdr:row>95</xdr:row>
      <xdr:rowOff>39686</xdr:rowOff>
    </xdr:to>
    <xdr:graphicFrame macro="">
      <xdr:nvGraphicFramePr>
        <xdr:cNvPr id="18" name="Chart 17">
          <a:extLst>
            <a:ext uri="{FF2B5EF4-FFF2-40B4-BE49-F238E27FC236}">
              <a16:creationId xmlns:a16="http://schemas.microsoft.com/office/drawing/2014/main" id="{00000000-0008-0000-0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358141</xdr:colOff>
      <xdr:row>75</xdr:row>
      <xdr:rowOff>39687</xdr:rowOff>
    </xdr:from>
    <xdr:to>
      <xdr:col>16</xdr:col>
      <xdr:colOff>440691</xdr:colOff>
      <xdr:row>95</xdr:row>
      <xdr:rowOff>2858</xdr:rowOff>
    </xdr:to>
    <xdr:graphicFrame macro="">
      <xdr:nvGraphicFramePr>
        <xdr:cNvPr id="19" name="Chart 18">
          <a:extLst>
            <a:ext uri="{FF2B5EF4-FFF2-40B4-BE49-F238E27FC236}">
              <a16:creationId xmlns:a16="http://schemas.microsoft.com/office/drawing/2014/main" id="{00000000-0008-0000-04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111047</xdr:colOff>
      <xdr:row>30</xdr:row>
      <xdr:rowOff>121127</xdr:rowOff>
    </xdr:from>
    <xdr:ext cx="11930062" cy="515013"/>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10490" y="7630795"/>
          <a:ext cx="11930380" cy="5149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rtl="0"/>
          <a:r>
            <a:rPr lang="en-US" sz="1600" b="1" i="0" baseline="0">
              <a:solidFill>
                <a:schemeClr val="tx1"/>
              </a:solidFill>
              <a:effectLst/>
              <a:latin typeface="+mn-lt"/>
              <a:ea typeface="+mn-ea"/>
              <a:cs typeface="+mn-cs"/>
            </a:rPr>
            <a:t>% of Grade 3 Learners Assessed In Mother Tongue, Filipino  and English By Reading Profile</a:t>
          </a:r>
          <a:endParaRPr lang="en-PH" sz="1600" b="1">
            <a:effectLst/>
          </a:endParaRPr>
        </a:p>
        <a:p>
          <a:endParaRPr lang="en-PH" sz="1100"/>
        </a:p>
      </xdr:txBody>
    </xdr:sp>
    <xdr:clientData/>
  </xdr:oneCellAnchor>
  <xdr:twoCellAnchor>
    <xdr:from>
      <xdr:col>0</xdr:col>
      <xdr:colOff>55562</xdr:colOff>
      <xdr:row>95</xdr:row>
      <xdr:rowOff>167639</xdr:rowOff>
    </xdr:from>
    <xdr:to>
      <xdr:col>7</xdr:col>
      <xdr:colOff>33337</xdr:colOff>
      <xdr:row>115</xdr:row>
      <xdr:rowOff>158749</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350203</xdr:colOff>
      <xdr:row>95</xdr:row>
      <xdr:rowOff>166687</xdr:rowOff>
    </xdr:from>
    <xdr:to>
      <xdr:col>16</xdr:col>
      <xdr:colOff>432753</xdr:colOff>
      <xdr:row>115</xdr:row>
      <xdr:rowOff>129858</xdr:rowOff>
    </xdr:to>
    <xdr:graphicFrame macro="">
      <xdr:nvGraphicFramePr>
        <xdr:cNvPr id="14" name="Chart 13">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431568</xdr:colOff>
      <xdr:row>0</xdr:row>
      <xdr:rowOff>99220</xdr:rowOff>
    </xdr:from>
    <xdr:to>
      <xdr:col>18</xdr:col>
      <xdr:colOff>668575</xdr:colOff>
      <xdr:row>4</xdr:row>
      <xdr:rowOff>59242</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9"/>
        <a:srcRect r="20374"/>
        <a:stretch>
          <a:fillRect/>
        </a:stretch>
      </xdr:blipFill>
      <xdr:spPr>
        <a:xfrm>
          <a:off x="8817610" y="99060"/>
          <a:ext cx="5060315" cy="731520"/>
        </a:xfrm>
        <a:prstGeom prst="rect">
          <a:avLst/>
        </a:prstGeom>
      </xdr:spPr>
    </xdr:pic>
    <xdr:clientData/>
  </xdr:twoCellAnchor>
  <xdr:twoCellAnchor>
    <xdr:from>
      <xdr:col>0</xdr:col>
      <xdr:colOff>170498</xdr:colOff>
      <xdr:row>33</xdr:row>
      <xdr:rowOff>51434</xdr:rowOff>
    </xdr:from>
    <xdr:to>
      <xdr:col>16</xdr:col>
      <xdr:colOff>115094</xdr:colOff>
      <xdr:row>53</xdr:row>
      <xdr:rowOff>20321</xdr:rowOff>
    </xdr:to>
    <xdr:graphicFrame macro="">
      <xdr:nvGraphicFramePr>
        <xdr:cNvPr id="13" name="Chart 12">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338683</xdr:colOff>
      <xdr:row>34</xdr:row>
      <xdr:rowOff>24132</xdr:rowOff>
    </xdr:from>
    <xdr:to>
      <xdr:col>4</xdr:col>
      <xdr:colOff>360835</xdr:colOff>
      <xdr:row>50</xdr:row>
      <xdr:rowOff>106994</xdr:rowOff>
    </xdr:to>
    <xdr:cxnSp macro="">
      <xdr:nvCxnSpPr>
        <xdr:cNvPr id="10" name="Straight Connector 9">
          <a:extLst>
            <a:ext uri="{FF2B5EF4-FFF2-40B4-BE49-F238E27FC236}">
              <a16:creationId xmlns:a16="http://schemas.microsoft.com/office/drawing/2014/main" id="{00000000-0008-0000-0400-00000A000000}"/>
            </a:ext>
          </a:extLst>
        </xdr:cNvPr>
        <xdr:cNvCxnSpPr/>
      </xdr:nvCxnSpPr>
      <xdr:spPr>
        <a:xfrm flipV="1">
          <a:off x="4301490" y="8296275"/>
          <a:ext cx="22225" cy="313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186215</xdr:colOff>
      <xdr:row>33</xdr:row>
      <xdr:rowOff>168846</xdr:rowOff>
    </xdr:from>
    <xdr:to>
      <xdr:col>10</xdr:col>
      <xdr:colOff>193120</xdr:colOff>
      <xdr:row>50</xdr:row>
      <xdr:rowOff>82616</xdr:rowOff>
    </xdr:to>
    <xdr:cxnSp macro="">
      <xdr:nvCxnSpPr>
        <xdr:cNvPr id="16" name="Straight Connector 15">
          <a:extLst>
            <a:ext uri="{FF2B5EF4-FFF2-40B4-BE49-F238E27FC236}">
              <a16:creationId xmlns:a16="http://schemas.microsoft.com/office/drawing/2014/main" id="{00000000-0008-0000-0400-000010000000}"/>
            </a:ext>
          </a:extLst>
        </xdr:cNvPr>
        <xdr:cNvCxnSpPr/>
      </xdr:nvCxnSpPr>
      <xdr:spPr>
        <a:xfrm flipV="1">
          <a:off x="8021320" y="8249920"/>
          <a:ext cx="6985" cy="3152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255270</xdr:colOff>
      <xdr:row>9</xdr:row>
      <xdr:rowOff>167640</xdr:rowOff>
    </xdr:from>
    <xdr:to>
      <xdr:col>6</xdr:col>
      <xdr:colOff>95250</xdr:colOff>
      <xdr:row>43</xdr:row>
      <xdr:rowOff>135948</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stretch>
          <a:fillRect/>
        </a:stretch>
      </xdr:blipFill>
      <xdr:spPr>
        <a:xfrm>
          <a:off x="255270" y="3020695"/>
          <a:ext cx="10319385" cy="6445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C115"/>
  <sheetViews>
    <sheetView zoomScale="57" zoomScaleNormal="57" workbookViewId="0">
      <pane xSplit="3" ySplit="10" topLeftCell="I17" activePane="bottomRight" state="frozen"/>
      <selection pane="bottomRight" activeCell="S37" sqref="S37"/>
      <selection pane="bottomLeft"/>
      <selection pane="topRight"/>
    </sheetView>
  </sheetViews>
  <sheetFormatPr defaultColWidth="0" defaultRowHeight="15" customHeight="1" zeroHeight="1"/>
  <cols>
    <col min="1" max="1" width="4.75" customWidth="1"/>
    <col min="2" max="2" width="15.5" style="17" customWidth="1"/>
    <col min="3" max="3" width="27.5" customWidth="1"/>
    <col min="4" max="4" width="12.125" style="1" customWidth="1"/>
    <col min="5" max="5" width="11.75" style="1" customWidth="1"/>
    <col min="6" max="6" width="9.5" style="1" customWidth="1"/>
    <col min="7" max="7" width="8.25" style="1" customWidth="1"/>
    <col min="8" max="8" width="8.875" style="1" customWidth="1"/>
    <col min="9" max="9" width="9.125" style="1" customWidth="1"/>
    <col min="10" max="10" width="20.25" style="183" customWidth="1"/>
    <col min="11" max="11" width="10.5" style="1" customWidth="1"/>
    <col min="12" max="12" width="8.75" style="1" customWidth="1"/>
    <col min="13" max="13" width="9.5" style="1" customWidth="1"/>
    <col min="14" max="14" width="6.125" style="1" customWidth="1"/>
    <col min="15" max="15" width="5.125" style="1" customWidth="1"/>
    <col min="16" max="16" width="10.25" style="1" customWidth="1"/>
    <col min="17" max="17" width="9.5" style="1" customWidth="1"/>
    <col min="18" max="18" width="10.875" style="1" customWidth="1"/>
    <col min="19" max="19" width="11.75" style="1" customWidth="1"/>
    <col min="20" max="20" width="10.75" style="1" customWidth="1"/>
    <col min="21" max="21" width="21" style="1" customWidth="1"/>
    <col min="22" max="22" width="34" customWidth="1"/>
    <col min="23" max="23" width="8.875" customWidth="1"/>
    <col min="24" max="27" width="10.75" hidden="1" customWidth="1"/>
    <col min="28" max="28" width="10.75" customWidth="1"/>
    <col min="29" max="29" width="0" hidden="1" customWidth="1"/>
    <col min="30" max="16384" width="10.75" hidden="1"/>
  </cols>
  <sheetData>
    <row r="1" spans="1:26" ht="22.15" customHeight="1">
      <c r="A1" t="s">
        <v>0</v>
      </c>
    </row>
    <row r="2" spans="1:26" ht="18" customHeight="1"/>
    <row r="3" spans="1:26" ht="27" customHeight="1">
      <c r="A3" s="369" t="s">
        <v>1</v>
      </c>
      <c r="B3" s="370"/>
      <c r="C3" s="296" t="s">
        <v>2</v>
      </c>
    </row>
    <row r="4" spans="1:26" ht="18.600000000000001" customHeight="1">
      <c r="A4" s="371" t="s">
        <v>3</v>
      </c>
      <c r="B4" s="372"/>
      <c r="C4" s="297">
        <v>117443</v>
      </c>
      <c r="D4" s="298" t="s">
        <v>4</v>
      </c>
      <c r="E4" s="299"/>
      <c r="F4" s="186">
        <f>D6+E6</f>
        <v>25</v>
      </c>
      <c r="G4" s="373" t="s">
        <v>5</v>
      </c>
      <c r="H4" s="373"/>
      <c r="I4" s="188">
        <f>COUNTIF(F11:F110,"&lt;&gt;")</f>
        <v>25</v>
      </c>
      <c r="J4" s="219"/>
      <c r="K4" s="220"/>
      <c r="L4" s="220"/>
      <c r="M4" s="220"/>
      <c r="N4" s="220"/>
      <c r="O4" s="220"/>
      <c r="P4" s="220"/>
      <c r="Q4" s="220"/>
      <c r="R4" s="220"/>
      <c r="S4" s="220"/>
      <c r="T4" s="220"/>
      <c r="U4" s="220"/>
      <c r="V4" s="231"/>
    </row>
    <row r="5" spans="1:26" ht="18" customHeight="1">
      <c r="A5" s="374" t="s">
        <v>6</v>
      </c>
      <c r="B5" s="375"/>
      <c r="C5" s="300" t="s">
        <v>7</v>
      </c>
      <c r="D5" s="301" t="s">
        <v>8</v>
      </c>
      <c r="E5" s="191" t="s">
        <v>9</v>
      </c>
      <c r="F5" s="337" t="s">
        <v>10</v>
      </c>
      <c r="G5" s="338"/>
      <c r="H5" s="338"/>
      <c r="I5" s="338"/>
      <c r="J5" s="357" t="s">
        <v>11</v>
      </c>
      <c r="K5" s="341" t="s">
        <v>12</v>
      </c>
      <c r="L5" s="342"/>
      <c r="M5" s="342"/>
      <c r="N5" s="342"/>
      <c r="O5" s="342"/>
      <c r="P5" s="342"/>
      <c r="Q5" s="221"/>
      <c r="R5" s="221"/>
      <c r="S5" s="221"/>
      <c r="T5" s="221"/>
      <c r="U5" s="221"/>
      <c r="V5" s="232"/>
    </row>
    <row r="6" spans="1:26" ht="19.899999999999999" customHeight="1">
      <c r="A6" s="362" t="s">
        <v>13</v>
      </c>
      <c r="B6" s="363"/>
      <c r="C6" s="300" t="s">
        <v>14</v>
      </c>
      <c r="D6" s="302">
        <v>10</v>
      </c>
      <c r="E6" s="303">
        <v>15</v>
      </c>
      <c r="F6" s="339"/>
      <c r="G6" s="340"/>
      <c r="H6" s="340"/>
      <c r="I6" s="340"/>
      <c r="J6" s="358"/>
      <c r="K6" s="343"/>
      <c r="L6" s="344"/>
      <c r="M6" s="344"/>
      <c r="N6" s="344"/>
      <c r="O6" s="344"/>
      <c r="P6" s="344"/>
      <c r="Q6" s="345"/>
      <c r="R6" s="346"/>
      <c r="S6" s="346"/>
      <c r="T6" s="347"/>
      <c r="U6" s="331"/>
      <c r="V6" s="332"/>
    </row>
    <row r="7" spans="1:26" ht="29.45" customHeight="1">
      <c r="A7" s="362" t="s">
        <v>15</v>
      </c>
      <c r="B7" s="363"/>
      <c r="C7" s="304" t="s">
        <v>16</v>
      </c>
      <c r="D7" s="364" t="s">
        <v>17</v>
      </c>
      <c r="E7" s="365"/>
      <c r="F7" s="350" t="s">
        <v>18</v>
      </c>
      <c r="G7" s="352" t="s">
        <v>19</v>
      </c>
      <c r="H7" s="354" t="s">
        <v>20</v>
      </c>
      <c r="I7" s="355" t="s">
        <v>21</v>
      </c>
      <c r="J7" s="358"/>
      <c r="K7" s="269" t="s">
        <v>22</v>
      </c>
      <c r="L7" s="270" t="s">
        <v>23</v>
      </c>
      <c r="M7" s="271">
        <f>_xlfn.IFNA(IF(X9=1,Y9,IF(D9&gt;0,D9,120)),"")</f>
        <v>121</v>
      </c>
      <c r="N7" s="366" t="s">
        <v>24</v>
      </c>
      <c r="O7" s="366"/>
      <c r="P7" s="271">
        <f>_xlfn.IFNA(IF(X9=1,Z9,IF(E9&gt;0,E9,120)),"")</f>
        <v>119</v>
      </c>
      <c r="Q7" s="348"/>
      <c r="R7" s="331"/>
      <c r="S7" s="331"/>
      <c r="T7" s="332"/>
      <c r="U7" s="331"/>
      <c r="V7" s="332"/>
    </row>
    <row r="8" spans="1:26" ht="17.45" customHeight="1">
      <c r="A8" s="362" t="s">
        <v>25</v>
      </c>
      <c r="B8" s="363"/>
      <c r="C8" s="300">
        <v>1</v>
      </c>
      <c r="D8" s="305" t="s">
        <v>23</v>
      </c>
      <c r="E8" s="306" t="s">
        <v>24</v>
      </c>
      <c r="F8" s="350"/>
      <c r="G8" s="352"/>
      <c r="H8" s="354"/>
      <c r="I8" s="356"/>
      <c r="J8" s="358"/>
      <c r="K8" s="359" t="s">
        <v>26</v>
      </c>
      <c r="L8" s="355" t="s">
        <v>27</v>
      </c>
      <c r="M8" s="355" t="s">
        <v>28</v>
      </c>
      <c r="N8" s="333" t="s">
        <v>29</v>
      </c>
      <c r="O8" s="334"/>
      <c r="P8" s="329" t="s">
        <v>30</v>
      </c>
      <c r="Q8" s="348"/>
      <c r="R8" s="331"/>
      <c r="S8" s="331"/>
      <c r="T8" s="332"/>
      <c r="U8" s="331"/>
      <c r="V8" s="332"/>
    </row>
    <row r="9" spans="1:26" ht="20.45" customHeight="1">
      <c r="A9" s="367" t="s">
        <v>31</v>
      </c>
      <c r="B9" s="368"/>
      <c r="C9" s="307" t="s">
        <v>32</v>
      </c>
      <c r="D9" s="308"/>
      <c r="E9" s="309"/>
      <c r="F9" s="351"/>
      <c r="G9" s="353"/>
      <c r="H9" s="355"/>
      <c r="I9" s="356"/>
      <c r="J9" s="358"/>
      <c r="K9" s="360"/>
      <c r="L9" s="361"/>
      <c r="M9" s="361"/>
      <c r="N9" s="335"/>
      <c r="O9" s="336"/>
      <c r="P9" s="330"/>
      <c r="Q9" s="348"/>
      <c r="R9" s="331"/>
      <c r="S9" s="331"/>
      <c r="T9" s="332"/>
      <c r="U9" s="331"/>
      <c r="V9" s="332"/>
      <c r="X9" s="281">
        <f>IF(_xlfn.IFNA(VLOOKUP($C$9,List!$G$2:$M$21,1,0),"")=C9,1,0)</f>
        <v>1</v>
      </c>
      <c r="Y9" s="281">
        <f>VLOOKUP($C$9,List!$G$2:$M$21,4,0)</f>
        <v>121</v>
      </c>
      <c r="Z9" s="281">
        <f>VLOOKUP($C$9,List!$G$2:$M$21,7,0)</f>
        <v>119</v>
      </c>
    </row>
    <row r="10" spans="1:26" ht="39" customHeight="1">
      <c r="A10" s="197" t="s">
        <v>33</v>
      </c>
      <c r="B10" s="198" t="s">
        <v>34</v>
      </c>
      <c r="C10" s="264" t="s">
        <v>35</v>
      </c>
      <c r="D10" s="200" t="s">
        <v>36</v>
      </c>
      <c r="E10" s="201" t="s">
        <v>37</v>
      </c>
      <c r="F10" s="202" t="s">
        <v>38</v>
      </c>
      <c r="G10" s="310" t="s">
        <v>39</v>
      </c>
      <c r="H10" s="310" t="s">
        <v>40</v>
      </c>
      <c r="I10" s="203" t="s">
        <v>41</v>
      </c>
      <c r="J10" s="222" t="s">
        <v>42</v>
      </c>
      <c r="K10" s="223" t="s">
        <v>43</v>
      </c>
      <c r="L10" s="272" t="s">
        <v>44</v>
      </c>
      <c r="M10" s="225" t="s">
        <v>45</v>
      </c>
      <c r="N10" s="349" t="s">
        <v>46</v>
      </c>
      <c r="O10" s="349"/>
      <c r="P10" s="225" t="s">
        <v>47</v>
      </c>
      <c r="Q10" s="233" t="s">
        <v>48</v>
      </c>
      <c r="R10" s="225" t="s">
        <v>49</v>
      </c>
      <c r="S10" s="233" t="s">
        <v>50</v>
      </c>
      <c r="T10" s="234" t="s">
        <v>51</v>
      </c>
      <c r="U10" s="282" t="s">
        <v>52</v>
      </c>
      <c r="V10" s="236" t="s">
        <v>53</v>
      </c>
    </row>
    <row r="11" spans="1:26" ht="14.45">
      <c r="A11" s="204">
        <v>1</v>
      </c>
      <c r="B11" s="311">
        <v>117443220001</v>
      </c>
      <c r="C11" s="312" t="s">
        <v>54</v>
      </c>
      <c r="D11" s="313" t="s">
        <v>8</v>
      </c>
      <c r="E11" s="314" t="s">
        <v>55</v>
      </c>
      <c r="F11" s="208">
        <v>7</v>
      </c>
      <c r="G11" s="218"/>
      <c r="H11" s="218">
        <v>9</v>
      </c>
      <c r="I11" s="205">
        <f>IF(AND(F11="",G11=""),"",IF(F11&lt;7,F11+G11,F11+10+H11))</f>
        <v>26</v>
      </c>
      <c r="J11" s="273" t="str">
        <f>IF(I11="","",IF(F11&lt;7,IF(I11&lt;=10,"Full Refresher","Moderate Refresher"),IF(I11&lt;27,"Light Refresher","Grade Ready")))</f>
        <v>Light Refresher</v>
      </c>
      <c r="K11" s="274">
        <v>1</v>
      </c>
      <c r="L11" s="275">
        <v>2</v>
      </c>
      <c r="M11" s="205">
        <f>IF($C$9&lt;&gt;"",IF(OR(K11=1,K11=2),IF(K11=1,M$7-L11,$P$7-L11),""),"")</f>
        <v>119</v>
      </c>
      <c r="N11" s="226">
        <v>3</v>
      </c>
      <c r="O11" s="226">
        <v>0</v>
      </c>
      <c r="P11" s="205">
        <f>IFERROR(IF(AND(K11&gt;0,M11&gt;0,OR(N11&gt;0,O11&gt;0)),(M11/((N11*60)+O11))*60,""),"")</f>
        <v>39.6666666666667</v>
      </c>
      <c r="Q11" s="227">
        <f>IFERROR(IF(OR(K11=1,K11=2),IF(K11=1,M11/$M$7,M11/$P$7),""),"")</f>
        <v>0.98347107438016501</v>
      </c>
      <c r="R11" s="226">
        <v>5</v>
      </c>
      <c r="S11" s="226">
        <v>5</v>
      </c>
      <c r="T11" s="283" t="s">
        <v>56</v>
      </c>
      <c r="U11" s="284" t="str">
        <f>IF(J11&lt;&gt;"",IF(J11="Full Refresher","Low Emerging Reader",IF(AND(K11&gt;0,Q11&lt;&gt;""),IF(OR(Q11&lt;=25%,AND(Q11&gt;25%,Q11&lt;=50%,R11&lt;=1)),"High Emerging Reader",IF(OR(AND(Q11&gt;25%,Q11&lt;51%,R11&gt;=2),AND(Q11&gt;50%,Q11&lt;76%,R11&lt;=3)),"Developing Reader",IF(OR(AND(Q11&gt;=51%,Q11&lt;76%,R11&gt;=4),AND(Q11&gt;75%,R11&lt;=5)),"Transitioning Reader",IF(AND(Q11&gt;75%,R11&gt;=6),"Reading At Grade Level","")))),"")),"")</f>
        <v>Transitioning Reader</v>
      </c>
      <c r="V11" s="238"/>
    </row>
    <row r="12" spans="1:26" ht="14.45">
      <c r="A12" s="210">
        <v>2</v>
      </c>
      <c r="B12" s="315">
        <v>11744322002</v>
      </c>
      <c r="C12" s="316" t="s">
        <v>57</v>
      </c>
      <c r="D12" s="317" t="s">
        <v>8</v>
      </c>
      <c r="E12" s="318" t="s">
        <v>55</v>
      </c>
      <c r="F12" s="266">
        <v>5</v>
      </c>
      <c r="G12" s="216">
        <v>6</v>
      </c>
      <c r="H12" s="216">
        <v>8</v>
      </c>
      <c r="I12" s="211">
        <f t="shared" ref="I12:I75" si="0">IF(AND(F12="",G12=""),"",IF(F12&lt;7,F12+G12,F12+10+H12))</f>
        <v>11</v>
      </c>
      <c r="J12" s="276" t="str">
        <f t="shared" ref="J12:J75" si="1">IF(I12="","",IF(F12&lt;7,IF(I12&lt;=10,"Full Refresher","Moderate Refresher"),IF(I12&lt;27,"Light Refresher","Grade Ready")))</f>
        <v>Moderate Refresher</v>
      </c>
      <c r="K12" s="277">
        <v>1</v>
      </c>
      <c r="L12" s="278"/>
      <c r="M12" s="211">
        <f t="shared" ref="M12:M75" si="2">IF($C$9&lt;&gt;"",IF(OR(K12=1,K12=2),IF(K12=1,M$7-L12,$P$7-L12),""),"")</f>
        <v>121</v>
      </c>
      <c r="N12" s="228">
        <v>2</v>
      </c>
      <c r="O12" s="228">
        <v>46</v>
      </c>
      <c r="P12" s="211">
        <f t="shared" ref="P12:P75" si="3">IFERROR(IF(AND(K12&gt;0,M12&gt;0,OR(N12&gt;0,O12&gt;0)),(M12/((N12*60)+O12))*60,""),"")</f>
        <v>43.734939759036102</v>
      </c>
      <c r="Q12" s="229">
        <f t="shared" ref="Q12:Q75" si="4">IFERROR(IF(OR(K12=1,K12=2),IF(K12=1,M12/$M$7,M12/$P$7),""),"")</f>
        <v>1</v>
      </c>
      <c r="R12" s="228">
        <v>6</v>
      </c>
      <c r="S12" s="228">
        <v>5</v>
      </c>
      <c r="T12" s="285" t="s">
        <v>56</v>
      </c>
      <c r="U12" s="286" t="str">
        <f t="shared" ref="U12:U75" si="5">IF(J12&lt;&gt;"",IF(J12="Full Refresher","Low Emerging Reader",IF(AND(K12&gt;0,Q12&lt;&gt;""),IF(OR(Q12&lt;=25%,AND(Q12&gt;25%,Q12&lt;=50%,R12&lt;=1)),"High Emerging Reader",IF(OR(AND(Q12&gt;25%,Q12&lt;51%,R12&gt;=2),AND(Q12&gt;50%,Q12&lt;76%,R12&lt;=3)),"Developing Reader",IF(OR(AND(Q12&gt;=51%,Q12&lt;76%,R12&gt;=4),AND(Q12&gt;75%,R12&lt;=5)),"Transitioning Reader",IF(AND(Q12&gt;75%,R12&gt;=6),"Reading At Grade Level","")))),"")),"")</f>
        <v>Reading At Grade Level</v>
      </c>
      <c r="V12" s="240"/>
    </row>
    <row r="13" spans="1:26" ht="14.45">
      <c r="A13" s="61">
        <v>3</v>
      </c>
      <c r="B13" s="315">
        <v>117443220017</v>
      </c>
      <c r="C13" s="319" t="s">
        <v>58</v>
      </c>
      <c r="D13" s="320" t="s">
        <v>8</v>
      </c>
      <c r="E13" s="321" t="s">
        <v>55</v>
      </c>
      <c r="F13" s="267">
        <v>8</v>
      </c>
      <c r="G13" s="218"/>
      <c r="H13" s="230">
        <v>8</v>
      </c>
      <c r="I13" s="211">
        <f t="shared" si="0"/>
        <v>26</v>
      </c>
      <c r="J13" s="276" t="str">
        <f t="shared" si="1"/>
        <v>Light Refresher</v>
      </c>
      <c r="K13" s="279">
        <v>1</v>
      </c>
      <c r="L13" s="280">
        <v>5</v>
      </c>
      <c r="M13" s="211">
        <f t="shared" si="2"/>
        <v>116</v>
      </c>
      <c r="N13" s="230">
        <v>1</v>
      </c>
      <c r="O13" s="230">
        <v>35</v>
      </c>
      <c r="P13" s="211">
        <f t="shared" si="3"/>
        <v>73.263157894736807</v>
      </c>
      <c r="Q13" s="229">
        <f t="shared" si="4"/>
        <v>0.95867768595041303</v>
      </c>
      <c r="R13" s="230">
        <v>7</v>
      </c>
      <c r="S13" s="230">
        <v>5</v>
      </c>
      <c r="T13" s="287" t="s">
        <v>59</v>
      </c>
      <c r="U13" s="286" t="str">
        <f t="shared" si="5"/>
        <v>Reading At Grade Level</v>
      </c>
      <c r="V13" s="241"/>
    </row>
    <row r="14" spans="1:26" ht="14.45">
      <c r="A14" s="210">
        <v>4</v>
      </c>
      <c r="B14" s="315">
        <v>117443220006</v>
      </c>
      <c r="C14" s="316" t="s">
        <v>60</v>
      </c>
      <c r="D14" s="317" t="s">
        <v>8</v>
      </c>
      <c r="E14" s="318" t="s">
        <v>55</v>
      </c>
      <c r="F14" s="266">
        <v>8</v>
      </c>
      <c r="G14" s="216"/>
      <c r="H14" s="228">
        <v>8</v>
      </c>
      <c r="I14" s="211">
        <f t="shared" si="0"/>
        <v>26</v>
      </c>
      <c r="J14" s="276" t="str">
        <f t="shared" si="1"/>
        <v>Light Refresher</v>
      </c>
      <c r="K14" s="277">
        <v>1</v>
      </c>
      <c r="L14" s="278">
        <v>7</v>
      </c>
      <c r="M14" s="211">
        <f t="shared" si="2"/>
        <v>114</v>
      </c>
      <c r="N14" s="228">
        <v>3</v>
      </c>
      <c r="O14" s="228">
        <v>0</v>
      </c>
      <c r="P14" s="211">
        <f t="shared" si="3"/>
        <v>38</v>
      </c>
      <c r="Q14" s="229">
        <f t="shared" si="4"/>
        <v>0.94214876033057804</v>
      </c>
      <c r="R14" s="228">
        <v>3</v>
      </c>
      <c r="S14" s="228">
        <v>4</v>
      </c>
      <c r="T14" s="285" t="s">
        <v>61</v>
      </c>
      <c r="U14" s="286" t="str">
        <f t="shared" si="5"/>
        <v>Transitioning Reader</v>
      </c>
      <c r="V14" s="240"/>
    </row>
    <row r="15" spans="1:26" ht="14.45">
      <c r="A15" s="61">
        <v>5</v>
      </c>
      <c r="B15" s="315">
        <v>117443220018</v>
      </c>
      <c r="C15" s="319" t="s">
        <v>62</v>
      </c>
      <c r="D15" s="320" t="s">
        <v>8</v>
      </c>
      <c r="E15" s="318" t="s">
        <v>63</v>
      </c>
      <c r="F15" s="267">
        <v>8</v>
      </c>
      <c r="G15" s="218"/>
      <c r="H15" s="230">
        <v>8</v>
      </c>
      <c r="I15" s="211">
        <f t="shared" si="0"/>
        <v>26</v>
      </c>
      <c r="J15" s="276" t="str">
        <f t="shared" si="1"/>
        <v>Light Refresher</v>
      </c>
      <c r="K15" s="279">
        <v>1</v>
      </c>
      <c r="L15" s="280">
        <v>5</v>
      </c>
      <c r="M15" s="211">
        <f t="shared" si="2"/>
        <v>116</v>
      </c>
      <c r="N15" s="230">
        <v>3</v>
      </c>
      <c r="O15" s="230">
        <v>0</v>
      </c>
      <c r="P15" s="211">
        <f t="shared" si="3"/>
        <v>38.6666666666667</v>
      </c>
      <c r="Q15" s="229">
        <f t="shared" si="4"/>
        <v>0.95867768595041303</v>
      </c>
      <c r="R15" s="230">
        <v>3</v>
      </c>
      <c r="S15" s="230">
        <v>4</v>
      </c>
      <c r="T15" s="287" t="s">
        <v>61</v>
      </c>
      <c r="U15" s="286" t="str">
        <f t="shared" si="5"/>
        <v>Transitioning Reader</v>
      </c>
      <c r="V15" s="241"/>
    </row>
    <row r="16" spans="1:26" ht="14.45">
      <c r="A16" s="210">
        <v>6</v>
      </c>
      <c r="B16" s="315">
        <v>117542220012</v>
      </c>
      <c r="C16" s="316" t="s">
        <v>64</v>
      </c>
      <c r="D16" s="317" t="s">
        <v>8</v>
      </c>
      <c r="E16" s="318" t="s">
        <v>63</v>
      </c>
      <c r="F16" s="266">
        <v>8</v>
      </c>
      <c r="G16" s="216"/>
      <c r="H16" s="228">
        <v>8</v>
      </c>
      <c r="I16" s="211">
        <f t="shared" si="0"/>
        <v>26</v>
      </c>
      <c r="J16" s="276" t="str">
        <f t="shared" si="1"/>
        <v>Light Refresher</v>
      </c>
      <c r="K16" s="277">
        <v>1</v>
      </c>
      <c r="L16" s="278">
        <v>5</v>
      </c>
      <c r="M16" s="211">
        <f t="shared" si="2"/>
        <v>116</v>
      </c>
      <c r="N16" s="228">
        <v>3</v>
      </c>
      <c r="O16" s="228">
        <v>0</v>
      </c>
      <c r="P16" s="211">
        <f t="shared" si="3"/>
        <v>38.6666666666667</v>
      </c>
      <c r="Q16" s="229">
        <f t="shared" si="4"/>
        <v>0.95867768595041303</v>
      </c>
      <c r="R16" s="228">
        <v>6</v>
      </c>
      <c r="S16" s="228">
        <v>4</v>
      </c>
      <c r="T16" s="285" t="s">
        <v>56</v>
      </c>
      <c r="U16" s="286" t="str">
        <f t="shared" si="5"/>
        <v>Reading At Grade Level</v>
      </c>
      <c r="V16" s="240"/>
    </row>
    <row r="17" spans="1:22" ht="14.45">
      <c r="A17" s="61">
        <v>7</v>
      </c>
      <c r="B17" s="315">
        <v>1174432290003</v>
      </c>
      <c r="C17" s="319" t="s">
        <v>65</v>
      </c>
      <c r="D17" s="320" t="s">
        <v>8</v>
      </c>
      <c r="E17" s="318" t="s">
        <v>63</v>
      </c>
      <c r="F17" s="267">
        <v>4</v>
      </c>
      <c r="G17" s="218">
        <v>1</v>
      </c>
      <c r="H17" s="230">
        <v>5</v>
      </c>
      <c r="I17" s="211">
        <f t="shared" si="0"/>
        <v>5</v>
      </c>
      <c r="J17" s="276" t="str">
        <f t="shared" si="1"/>
        <v>Full Refresher</v>
      </c>
      <c r="K17" s="279">
        <v>2</v>
      </c>
      <c r="L17" s="280">
        <v>56</v>
      </c>
      <c r="M17" s="211">
        <f t="shared" si="2"/>
        <v>63</v>
      </c>
      <c r="N17" s="230">
        <v>3</v>
      </c>
      <c r="O17" s="230">
        <v>0</v>
      </c>
      <c r="P17" s="211">
        <f t="shared" si="3"/>
        <v>21</v>
      </c>
      <c r="Q17" s="229">
        <f t="shared" si="4"/>
        <v>0.52941176470588203</v>
      </c>
      <c r="R17" s="230">
        <v>2</v>
      </c>
      <c r="S17" s="230">
        <v>2</v>
      </c>
      <c r="T17" s="287" t="s">
        <v>61</v>
      </c>
      <c r="U17" s="286" t="str">
        <f t="shared" si="5"/>
        <v>Low Emerging Reader</v>
      </c>
      <c r="V17" s="241"/>
    </row>
    <row r="18" spans="1:22" ht="14.45">
      <c r="A18" s="210">
        <v>8</v>
      </c>
      <c r="B18" s="315">
        <v>117443220005</v>
      </c>
      <c r="C18" s="316" t="s">
        <v>66</v>
      </c>
      <c r="D18" s="317" t="s">
        <v>8</v>
      </c>
      <c r="E18" s="318" t="s">
        <v>63</v>
      </c>
      <c r="F18" s="266">
        <v>6</v>
      </c>
      <c r="G18" s="216">
        <v>7</v>
      </c>
      <c r="H18" s="228">
        <v>8</v>
      </c>
      <c r="I18" s="211">
        <f t="shared" si="0"/>
        <v>13</v>
      </c>
      <c r="J18" s="276" t="str">
        <f t="shared" si="1"/>
        <v>Moderate Refresher</v>
      </c>
      <c r="K18" s="277">
        <v>2</v>
      </c>
      <c r="L18" s="278">
        <v>10</v>
      </c>
      <c r="M18" s="211">
        <f t="shared" si="2"/>
        <v>109</v>
      </c>
      <c r="N18" s="228">
        <v>2</v>
      </c>
      <c r="O18" s="228">
        <v>45</v>
      </c>
      <c r="P18" s="211">
        <f t="shared" si="3"/>
        <v>39.636363636363598</v>
      </c>
      <c r="Q18" s="229">
        <f t="shared" si="4"/>
        <v>0.91596638655462204</v>
      </c>
      <c r="R18" s="228">
        <v>6</v>
      </c>
      <c r="S18" s="228">
        <v>4</v>
      </c>
      <c r="T18" s="285" t="s">
        <v>56</v>
      </c>
      <c r="U18" s="286" t="str">
        <f t="shared" si="5"/>
        <v>Reading At Grade Level</v>
      </c>
      <c r="V18" s="240"/>
    </row>
    <row r="19" spans="1:22" ht="14.45">
      <c r="A19" s="61">
        <v>9</v>
      </c>
      <c r="B19" s="315">
        <v>11744322007</v>
      </c>
      <c r="C19" s="319" t="s">
        <v>67</v>
      </c>
      <c r="D19" s="320" t="s">
        <v>8</v>
      </c>
      <c r="E19" s="318" t="s">
        <v>63</v>
      </c>
      <c r="F19" s="267">
        <v>3</v>
      </c>
      <c r="G19" s="218">
        <v>2</v>
      </c>
      <c r="H19" s="230">
        <v>10</v>
      </c>
      <c r="I19" s="211">
        <f t="shared" si="0"/>
        <v>5</v>
      </c>
      <c r="J19" s="276" t="str">
        <f t="shared" si="1"/>
        <v>Full Refresher</v>
      </c>
      <c r="K19" s="279">
        <v>2</v>
      </c>
      <c r="L19" s="280">
        <v>2</v>
      </c>
      <c r="M19" s="211">
        <f t="shared" si="2"/>
        <v>117</v>
      </c>
      <c r="N19" s="230">
        <v>2</v>
      </c>
      <c r="O19" s="230">
        <v>29</v>
      </c>
      <c r="P19" s="211">
        <f t="shared" si="3"/>
        <v>47.114093959731498</v>
      </c>
      <c r="Q19" s="229">
        <f t="shared" si="4"/>
        <v>0.98319327731092399</v>
      </c>
      <c r="R19" s="230">
        <v>7</v>
      </c>
      <c r="S19" s="230">
        <v>5</v>
      </c>
      <c r="T19" s="287" t="s">
        <v>61</v>
      </c>
      <c r="U19" s="286" t="str">
        <f t="shared" si="5"/>
        <v>Low Emerging Reader</v>
      </c>
      <c r="V19" s="241"/>
    </row>
    <row r="20" spans="1:22" ht="14.45">
      <c r="A20" s="210">
        <v>10</v>
      </c>
      <c r="B20" s="315">
        <v>117443220008</v>
      </c>
      <c r="C20" s="316" t="s">
        <v>68</v>
      </c>
      <c r="D20" s="317" t="s">
        <v>8</v>
      </c>
      <c r="E20" s="318" t="s">
        <v>63</v>
      </c>
      <c r="F20" s="266">
        <v>9</v>
      </c>
      <c r="G20" s="216"/>
      <c r="H20" s="228">
        <v>8</v>
      </c>
      <c r="I20" s="211">
        <f t="shared" si="0"/>
        <v>27</v>
      </c>
      <c r="J20" s="276" t="str">
        <f t="shared" si="1"/>
        <v>Grade Ready</v>
      </c>
      <c r="K20" s="277">
        <v>2</v>
      </c>
      <c r="L20" s="278">
        <v>1</v>
      </c>
      <c r="M20" s="211">
        <f t="shared" si="2"/>
        <v>118</v>
      </c>
      <c r="N20" s="228">
        <v>3</v>
      </c>
      <c r="O20" s="228">
        <v>0</v>
      </c>
      <c r="P20" s="211">
        <f t="shared" si="3"/>
        <v>39.3333333333333</v>
      </c>
      <c r="Q20" s="229">
        <f t="shared" si="4"/>
        <v>0.99159663865546199</v>
      </c>
      <c r="R20" s="228">
        <v>6</v>
      </c>
      <c r="S20" s="228">
        <v>5</v>
      </c>
      <c r="T20" s="285" t="s">
        <v>69</v>
      </c>
      <c r="U20" s="286" t="str">
        <f t="shared" si="5"/>
        <v>Reading At Grade Level</v>
      </c>
      <c r="V20" s="240"/>
    </row>
    <row r="21" spans="1:22" ht="14.45">
      <c r="A21" s="61">
        <v>11</v>
      </c>
      <c r="B21" s="315">
        <v>136651220284</v>
      </c>
      <c r="C21" s="319" t="s">
        <v>70</v>
      </c>
      <c r="D21" s="320" t="s">
        <v>8</v>
      </c>
      <c r="E21" s="321" t="s">
        <v>63</v>
      </c>
      <c r="F21" s="267">
        <v>9</v>
      </c>
      <c r="G21" s="218"/>
      <c r="H21" s="230">
        <v>4</v>
      </c>
      <c r="I21" s="211">
        <f t="shared" si="0"/>
        <v>23</v>
      </c>
      <c r="J21" s="276" t="str">
        <f t="shared" si="1"/>
        <v>Light Refresher</v>
      </c>
      <c r="K21" s="279">
        <v>2</v>
      </c>
      <c r="L21" s="280">
        <v>68</v>
      </c>
      <c r="M21" s="211">
        <f t="shared" si="2"/>
        <v>51</v>
      </c>
      <c r="N21" s="230">
        <v>3</v>
      </c>
      <c r="O21" s="230">
        <v>0</v>
      </c>
      <c r="P21" s="211">
        <f t="shared" si="3"/>
        <v>17</v>
      </c>
      <c r="Q21" s="229">
        <f t="shared" si="4"/>
        <v>0.42857142857142899</v>
      </c>
      <c r="R21" s="230">
        <v>2</v>
      </c>
      <c r="S21" s="230">
        <v>2</v>
      </c>
      <c r="T21" s="287" t="s">
        <v>61</v>
      </c>
      <c r="U21" s="286" t="str">
        <f t="shared" si="5"/>
        <v>Developing Reader</v>
      </c>
      <c r="V21" s="241"/>
    </row>
    <row r="22" spans="1:22" ht="14.45">
      <c r="A22" s="210">
        <v>12</v>
      </c>
      <c r="B22" s="315">
        <v>117443220019</v>
      </c>
      <c r="C22" s="316" t="s">
        <v>71</v>
      </c>
      <c r="D22" s="317" t="s">
        <v>9</v>
      </c>
      <c r="E22" s="321" t="s">
        <v>63</v>
      </c>
      <c r="F22" s="266">
        <v>10</v>
      </c>
      <c r="G22" s="216"/>
      <c r="H22" s="228">
        <v>8</v>
      </c>
      <c r="I22" s="211">
        <f t="shared" si="0"/>
        <v>28</v>
      </c>
      <c r="J22" s="276" t="str">
        <f t="shared" si="1"/>
        <v>Grade Ready</v>
      </c>
      <c r="K22" s="277">
        <v>2</v>
      </c>
      <c r="L22" s="278">
        <v>1</v>
      </c>
      <c r="M22" s="211">
        <f t="shared" si="2"/>
        <v>118</v>
      </c>
      <c r="N22" s="228">
        <v>1</v>
      </c>
      <c r="O22" s="228">
        <v>32</v>
      </c>
      <c r="P22" s="211">
        <f t="shared" si="3"/>
        <v>76.956521739130395</v>
      </c>
      <c r="Q22" s="229">
        <f t="shared" si="4"/>
        <v>0.99159663865546199</v>
      </c>
      <c r="R22" s="228">
        <v>6</v>
      </c>
      <c r="S22" s="228">
        <v>4</v>
      </c>
      <c r="T22" s="285" t="s">
        <v>56</v>
      </c>
      <c r="U22" s="286" t="str">
        <f t="shared" si="5"/>
        <v>Reading At Grade Level</v>
      </c>
      <c r="V22" s="240"/>
    </row>
    <row r="23" spans="1:22" ht="14.45">
      <c r="A23" s="61">
        <v>13</v>
      </c>
      <c r="B23" s="315">
        <v>117443220009</v>
      </c>
      <c r="C23" s="319" t="s">
        <v>72</v>
      </c>
      <c r="D23" s="320" t="s">
        <v>9</v>
      </c>
      <c r="E23" s="321">
        <v>45721</v>
      </c>
      <c r="F23" s="267">
        <v>10</v>
      </c>
      <c r="G23" s="218"/>
      <c r="H23" s="230">
        <v>7</v>
      </c>
      <c r="I23" s="211">
        <f t="shared" si="0"/>
        <v>27</v>
      </c>
      <c r="J23" s="276" t="str">
        <f t="shared" si="1"/>
        <v>Grade Ready</v>
      </c>
      <c r="K23" s="279">
        <v>2</v>
      </c>
      <c r="L23" s="280">
        <v>0</v>
      </c>
      <c r="M23" s="211">
        <f t="shared" si="2"/>
        <v>119</v>
      </c>
      <c r="N23" s="230">
        <v>2</v>
      </c>
      <c r="O23" s="230">
        <v>3</v>
      </c>
      <c r="P23" s="211">
        <f t="shared" si="3"/>
        <v>58.048780487804898</v>
      </c>
      <c r="Q23" s="229">
        <f t="shared" si="4"/>
        <v>1</v>
      </c>
      <c r="R23" s="230">
        <v>7</v>
      </c>
      <c r="S23" s="230">
        <v>5</v>
      </c>
      <c r="T23" s="287" t="s">
        <v>69</v>
      </c>
      <c r="U23" s="286" t="str">
        <f t="shared" si="5"/>
        <v>Reading At Grade Level</v>
      </c>
      <c r="V23" s="241"/>
    </row>
    <row r="24" spans="1:22" ht="14.45" hidden="1">
      <c r="A24" s="210">
        <v>14</v>
      </c>
      <c r="B24" s="315"/>
      <c r="C24" s="316" t="s">
        <v>73</v>
      </c>
      <c r="D24" s="317" t="s">
        <v>9</v>
      </c>
      <c r="E24" s="321">
        <v>45721</v>
      </c>
      <c r="F24" s="266">
        <v>4</v>
      </c>
      <c r="G24" s="216">
        <v>2</v>
      </c>
      <c r="H24" s="228">
        <v>10</v>
      </c>
      <c r="I24" s="211">
        <f t="shared" si="0"/>
        <v>6</v>
      </c>
      <c r="J24" s="276" t="str">
        <f t="shared" si="1"/>
        <v>Full Refresher</v>
      </c>
      <c r="K24" s="277">
        <v>1</v>
      </c>
      <c r="L24" s="278">
        <v>0</v>
      </c>
      <c r="M24" s="211">
        <f t="shared" si="2"/>
        <v>121</v>
      </c>
      <c r="N24" s="228">
        <v>1</v>
      </c>
      <c r="O24" s="228">
        <v>35</v>
      </c>
      <c r="P24" s="211">
        <f t="shared" si="3"/>
        <v>76.421052631578902</v>
      </c>
      <c r="Q24" s="229">
        <f t="shared" si="4"/>
        <v>1</v>
      </c>
      <c r="R24" s="228">
        <v>7</v>
      </c>
      <c r="S24" s="228">
        <v>5</v>
      </c>
      <c r="T24" s="285" t="s">
        <v>59</v>
      </c>
      <c r="U24" s="286" t="str">
        <f t="shared" si="5"/>
        <v>Low Emerging Reader</v>
      </c>
      <c r="V24" s="240"/>
    </row>
    <row r="25" spans="1:22" ht="14.45" hidden="1">
      <c r="A25" s="61">
        <v>15</v>
      </c>
      <c r="B25" s="315"/>
      <c r="C25" s="319" t="s">
        <v>74</v>
      </c>
      <c r="D25" s="320" t="s">
        <v>9</v>
      </c>
      <c r="E25" s="321">
        <v>45721</v>
      </c>
      <c r="F25" s="267">
        <v>7</v>
      </c>
      <c r="G25" s="218"/>
      <c r="H25" s="230">
        <v>6</v>
      </c>
      <c r="I25" s="211">
        <f t="shared" si="0"/>
        <v>23</v>
      </c>
      <c r="J25" s="276" t="str">
        <f t="shared" si="1"/>
        <v>Light Refresher</v>
      </c>
      <c r="K25" s="279">
        <v>1</v>
      </c>
      <c r="L25" s="280">
        <v>0</v>
      </c>
      <c r="M25" s="211">
        <f t="shared" si="2"/>
        <v>121</v>
      </c>
      <c r="N25" s="230">
        <v>1</v>
      </c>
      <c r="O25" s="230">
        <v>30</v>
      </c>
      <c r="P25" s="211">
        <f t="shared" si="3"/>
        <v>80.6666666666667</v>
      </c>
      <c r="Q25" s="229">
        <f t="shared" si="4"/>
        <v>1</v>
      </c>
      <c r="R25" s="230">
        <v>7</v>
      </c>
      <c r="S25" s="230">
        <v>5</v>
      </c>
      <c r="T25" s="287" t="s">
        <v>59</v>
      </c>
      <c r="U25" s="286" t="str">
        <f t="shared" si="5"/>
        <v>Reading At Grade Level</v>
      </c>
      <c r="V25" s="241"/>
    </row>
    <row r="26" spans="1:22" ht="14.45">
      <c r="A26" s="210">
        <v>16</v>
      </c>
      <c r="B26" s="315">
        <v>117443220010</v>
      </c>
      <c r="C26" s="316" t="s">
        <v>75</v>
      </c>
      <c r="D26" s="317" t="s">
        <v>9</v>
      </c>
      <c r="E26" s="321">
        <v>45721</v>
      </c>
      <c r="F26" s="266">
        <v>8</v>
      </c>
      <c r="G26" s="216"/>
      <c r="H26" s="228">
        <v>8</v>
      </c>
      <c r="I26" s="211">
        <f t="shared" si="0"/>
        <v>26</v>
      </c>
      <c r="J26" s="276" t="str">
        <f t="shared" si="1"/>
        <v>Light Refresher</v>
      </c>
      <c r="K26" s="277">
        <v>2</v>
      </c>
      <c r="L26" s="278">
        <v>10</v>
      </c>
      <c r="M26" s="211">
        <f t="shared" si="2"/>
        <v>109</v>
      </c>
      <c r="N26" s="228">
        <v>3</v>
      </c>
      <c r="O26" s="228">
        <v>0</v>
      </c>
      <c r="P26" s="211">
        <f t="shared" si="3"/>
        <v>36.3333333333333</v>
      </c>
      <c r="Q26" s="229">
        <f t="shared" si="4"/>
        <v>0.91596638655462204</v>
      </c>
      <c r="R26" s="228">
        <v>6</v>
      </c>
      <c r="S26" s="228">
        <v>5</v>
      </c>
      <c r="T26" s="285" t="s">
        <v>56</v>
      </c>
      <c r="U26" s="286" t="str">
        <f t="shared" si="5"/>
        <v>Reading At Grade Level</v>
      </c>
      <c r="V26" s="240"/>
    </row>
    <row r="27" spans="1:22" ht="14.45" hidden="1">
      <c r="A27" s="61">
        <v>17</v>
      </c>
      <c r="B27" s="315"/>
      <c r="C27" s="319" t="s">
        <v>76</v>
      </c>
      <c r="D27" s="320" t="s">
        <v>9</v>
      </c>
      <c r="E27" s="321">
        <v>45722</v>
      </c>
      <c r="F27" s="266">
        <v>10</v>
      </c>
      <c r="G27" s="218"/>
      <c r="H27" s="230">
        <v>9</v>
      </c>
      <c r="I27" s="211">
        <f t="shared" si="0"/>
        <v>29</v>
      </c>
      <c r="J27" s="276" t="str">
        <f t="shared" si="1"/>
        <v>Grade Ready</v>
      </c>
      <c r="K27" s="279">
        <v>1</v>
      </c>
      <c r="L27" s="280">
        <v>0</v>
      </c>
      <c r="M27" s="211">
        <f t="shared" si="2"/>
        <v>121</v>
      </c>
      <c r="N27" s="230">
        <v>2</v>
      </c>
      <c r="O27" s="230">
        <v>20</v>
      </c>
      <c r="P27" s="211">
        <f t="shared" si="3"/>
        <v>51.857142857142897</v>
      </c>
      <c r="Q27" s="229">
        <f t="shared" si="4"/>
        <v>1</v>
      </c>
      <c r="R27" s="230">
        <v>7</v>
      </c>
      <c r="S27" s="230">
        <v>5</v>
      </c>
      <c r="T27" s="287" t="s">
        <v>59</v>
      </c>
      <c r="U27" s="286" t="str">
        <f t="shared" si="5"/>
        <v>Reading At Grade Level</v>
      </c>
      <c r="V27" s="241"/>
    </row>
    <row r="28" spans="1:22" ht="14.45">
      <c r="A28" s="210">
        <v>18</v>
      </c>
      <c r="B28" s="315">
        <v>1206372200024</v>
      </c>
      <c r="C28" s="316" t="s">
        <v>77</v>
      </c>
      <c r="D28" s="317" t="s">
        <v>9</v>
      </c>
      <c r="E28" s="321">
        <v>45722</v>
      </c>
      <c r="F28" s="267">
        <v>9</v>
      </c>
      <c r="G28" s="216"/>
      <c r="H28" s="230">
        <v>9</v>
      </c>
      <c r="I28" s="211">
        <f t="shared" si="0"/>
        <v>28</v>
      </c>
      <c r="J28" s="276" t="str">
        <f t="shared" si="1"/>
        <v>Grade Ready</v>
      </c>
      <c r="K28" s="277">
        <v>2</v>
      </c>
      <c r="L28" s="278">
        <v>1</v>
      </c>
      <c r="M28" s="211">
        <f t="shared" si="2"/>
        <v>118</v>
      </c>
      <c r="N28" s="228">
        <v>3</v>
      </c>
      <c r="O28" s="228">
        <v>28</v>
      </c>
      <c r="P28" s="211">
        <f t="shared" si="3"/>
        <v>34.038461538461497</v>
      </c>
      <c r="Q28" s="229">
        <f t="shared" si="4"/>
        <v>0.99159663865546199</v>
      </c>
      <c r="R28" s="228">
        <v>7</v>
      </c>
      <c r="S28" s="228">
        <v>5</v>
      </c>
      <c r="T28" s="285" t="s">
        <v>69</v>
      </c>
      <c r="U28" s="286" t="str">
        <f t="shared" si="5"/>
        <v>Reading At Grade Level</v>
      </c>
      <c r="V28" s="240"/>
    </row>
    <row r="29" spans="1:22" ht="14.45">
      <c r="A29" s="61">
        <v>19</v>
      </c>
      <c r="B29" s="315">
        <v>117443220012</v>
      </c>
      <c r="C29" s="319" t="s">
        <v>78</v>
      </c>
      <c r="D29" s="320" t="s">
        <v>9</v>
      </c>
      <c r="E29" s="321">
        <v>45722</v>
      </c>
      <c r="F29" s="267">
        <v>5</v>
      </c>
      <c r="G29" s="218">
        <v>6</v>
      </c>
      <c r="H29" s="230">
        <v>8</v>
      </c>
      <c r="I29" s="211">
        <f t="shared" si="0"/>
        <v>11</v>
      </c>
      <c r="J29" s="276" t="str">
        <f t="shared" si="1"/>
        <v>Moderate Refresher</v>
      </c>
      <c r="K29" s="279">
        <v>2</v>
      </c>
      <c r="L29" s="280">
        <v>49</v>
      </c>
      <c r="M29" s="211">
        <f t="shared" si="2"/>
        <v>70</v>
      </c>
      <c r="N29" s="230">
        <v>3</v>
      </c>
      <c r="O29" s="230">
        <v>0</v>
      </c>
      <c r="P29" s="211">
        <f t="shared" si="3"/>
        <v>23.3333333333333</v>
      </c>
      <c r="Q29" s="229">
        <f t="shared" si="4"/>
        <v>0.58823529411764697</v>
      </c>
      <c r="R29" s="230">
        <v>5</v>
      </c>
      <c r="S29" s="230">
        <v>2</v>
      </c>
      <c r="T29" s="287" t="s">
        <v>61</v>
      </c>
      <c r="U29" s="286" t="str">
        <f t="shared" si="5"/>
        <v>Transitioning Reader</v>
      </c>
      <c r="V29" s="241"/>
    </row>
    <row r="30" spans="1:22" ht="14.45">
      <c r="A30" s="210">
        <v>20</v>
      </c>
      <c r="B30" s="315">
        <v>117443220020</v>
      </c>
      <c r="C30" s="316" t="s">
        <v>79</v>
      </c>
      <c r="D30" s="317" t="s">
        <v>9</v>
      </c>
      <c r="E30" s="321">
        <v>45722</v>
      </c>
      <c r="F30" s="266">
        <v>5</v>
      </c>
      <c r="G30" s="216">
        <v>6</v>
      </c>
      <c r="H30" s="228">
        <v>8</v>
      </c>
      <c r="I30" s="211">
        <f t="shared" si="0"/>
        <v>11</v>
      </c>
      <c r="J30" s="276" t="str">
        <f t="shared" si="1"/>
        <v>Moderate Refresher</v>
      </c>
      <c r="K30" s="277">
        <v>2</v>
      </c>
      <c r="L30" s="278">
        <v>2</v>
      </c>
      <c r="M30" s="211">
        <f t="shared" si="2"/>
        <v>117</v>
      </c>
      <c r="N30" s="228">
        <v>3</v>
      </c>
      <c r="O30" s="228">
        <v>0</v>
      </c>
      <c r="P30" s="211">
        <f t="shared" si="3"/>
        <v>39</v>
      </c>
      <c r="Q30" s="229">
        <f t="shared" si="4"/>
        <v>0.98319327731092399</v>
      </c>
      <c r="R30" s="228">
        <v>6</v>
      </c>
      <c r="S30" s="228">
        <v>4</v>
      </c>
      <c r="T30" s="285" t="s">
        <v>56</v>
      </c>
      <c r="U30" s="286" t="str">
        <f t="shared" si="5"/>
        <v>Reading At Grade Level</v>
      </c>
      <c r="V30" s="240"/>
    </row>
    <row r="31" spans="1:22" ht="14.45" hidden="1">
      <c r="A31" s="61">
        <v>21</v>
      </c>
      <c r="B31" s="315"/>
      <c r="C31" s="319" t="s">
        <v>80</v>
      </c>
      <c r="D31" s="320" t="s">
        <v>9</v>
      </c>
      <c r="E31" s="321">
        <v>45722</v>
      </c>
      <c r="F31" s="267">
        <v>7</v>
      </c>
      <c r="G31" s="218"/>
      <c r="H31" s="230">
        <v>7</v>
      </c>
      <c r="I31" s="211">
        <f t="shared" si="0"/>
        <v>24</v>
      </c>
      <c r="J31" s="276" t="str">
        <f t="shared" si="1"/>
        <v>Light Refresher</v>
      </c>
      <c r="K31" s="279">
        <v>1</v>
      </c>
      <c r="L31" s="280">
        <v>0</v>
      </c>
      <c r="M31" s="211">
        <f t="shared" si="2"/>
        <v>121</v>
      </c>
      <c r="N31" s="230">
        <v>2</v>
      </c>
      <c r="O31" s="230">
        <v>40</v>
      </c>
      <c r="P31" s="211">
        <f t="shared" si="3"/>
        <v>45.375</v>
      </c>
      <c r="Q31" s="229">
        <f t="shared" si="4"/>
        <v>1</v>
      </c>
      <c r="R31" s="230">
        <v>6</v>
      </c>
      <c r="S31" s="230">
        <v>5</v>
      </c>
      <c r="T31" s="287" t="s">
        <v>69</v>
      </c>
      <c r="U31" s="286" t="str">
        <f t="shared" si="5"/>
        <v>Reading At Grade Level</v>
      </c>
      <c r="V31" s="241"/>
    </row>
    <row r="32" spans="1:22" ht="14.45" hidden="1">
      <c r="A32" s="210">
        <v>22</v>
      </c>
      <c r="B32" s="322"/>
      <c r="C32" s="316" t="s">
        <v>81</v>
      </c>
      <c r="D32" s="317" t="s">
        <v>9</v>
      </c>
      <c r="E32" s="318">
        <v>45722</v>
      </c>
      <c r="F32" s="266">
        <v>10</v>
      </c>
      <c r="G32" s="216"/>
      <c r="H32" s="228">
        <v>9</v>
      </c>
      <c r="I32" s="211">
        <f t="shared" si="0"/>
        <v>29</v>
      </c>
      <c r="J32" s="276" t="str">
        <f t="shared" si="1"/>
        <v>Grade Ready</v>
      </c>
      <c r="K32" s="277">
        <v>1</v>
      </c>
      <c r="L32" s="278">
        <v>0</v>
      </c>
      <c r="M32" s="211">
        <f t="shared" si="2"/>
        <v>121</v>
      </c>
      <c r="N32" s="228">
        <v>2</v>
      </c>
      <c r="O32" s="228">
        <v>4</v>
      </c>
      <c r="P32" s="211">
        <f t="shared" si="3"/>
        <v>58.548387096774199</v>
      </c>
      <c r="Q32" s="229">
        <f t="shared" si="4"/>
        <v>1</v>
      </c>
      <c r="R32" s="228">
        <v>7</v>
      </c>
      <c r="S32" s="228">
        <v>5</v>
      </c>
      <c r="T32" s="285" t="s">
        <v>59</v>
      </c>
      <c r="U32" s="286" t="str">
        <f t="shared" si="5"/>
        <v>Reading At Grade Level</v>
      </c>
      <c r="V32" s="240"/>
    </row>
    <row r="33" spans="1:22" ht="14.45">
      <c r="A33" s="61">
        <v>23</v>
      </c>
      <c r="B33" s="323">
        <v>117443220015</v>
      </c>
      <c r="C33" s="319" t="s">
        <v>82</v>
      </c>
      <c r="D33" s="320" t="s">
        <v>9</v>
      </c>
      <c r="E33" s="321" t="s">
        <v>63</v>
      </c>
      <c r="F33" s="267">
        <v>6</v>
      </c>
      <c r="G33" s="218">
        <v>6</v>
      </c>
      <c r="H33" s="230"/>
      <c r="I33" s="211">
        <f t="shared" si="0"/>
        <v>12</v>
      </c>
      <c r="J33" s="276" t="str">
        <f t="shared" si="1"/>
        <v>Moderate Refresher</v>
      </c>
      <c r="K33" s="279">
        <v>2</v>
      </c>
      <c r="L33" s="280">
        <v>10</v>
      </c>
      <c r="M33" s="211">
        <f t="shared" si="2"/>
        <v>109</v>
      </c>
      <c r="N33" s="230">
        <v>3</v>
      </c>
      <c r="O33" s="230"/>
      <c r="P33" s="211">
        <f t="shared" si="3"/>
        <v>36.3333333333333</v>
      </c>
      <c r="Q33" s="229">
        <f t="shared" si="4"/>
        <v>0.91596638655462204</v>
      </c>
      <c r="R33" s="230">
        <v>5</v>
      </c>
      <c r="S33" s="230">
        <v>5</v>
      </c>
      <c r="T33" s="287" t="s">
        <v>56</v>
      </c>
      <c r="U33" s="286" t="str">
        <f t="shared" si="5"/>
        <v>Transitioning Reader</v>
      </c>
      <c r="V33" s="241"/>
    </row>
    <row r="34" spans="1:22" ht="14.45">
      <c r="A34" s="210">
        <v>24</v>
      </c>
      <c r="B34" s="322">
        <v>117443220016</v>
      </c>
      <c r="C34" s="316" t="s">
        <v>83</v>
      </c>
      <c r="D34" s="317" t="s">
        <v>9</v>
      </c>
      <c r="E34" s="318" t="s">
        <v>63</v>
      </c>
      <c r="F34" s="266">
        <v>10</v>
      </c>
      <c r="G34" s="216"/>
      <c r="H34" s="228">
        <v>9</v>
      </c>
      <c r="I34" s="211">
        <f t="shared" si="0"/>
        <v>29</v>
      </c>
      <c r="J34" s="276" t="str">
        <f t="shared" si="1"/>
        <v>Grade Ready</v>
      </c>
      <c r="K34" s="277">
        <v>2</v>
      </c>
      <c r="L34" s="278">
        <v>2</v>
      </c>
      <c r="M34" s="211">
        <f t="shared" si="2"/>
        <v>117</v>
      </c>
      <c r="N34" s="228">
        <v>2</v>
      </c>
      <c r="O34" s="228"/>
      <c r="P34" s="211">
        <f t="shared" si="3"/>
        <v>58.5</v>
      </c>
      <c r="Q34" s="229">
        <f t="shared" si="4"/>
        <v>0.98319327731092399</v>
      </c>
      <c r="R34" s="228">
        <v>7</v>
      </c>
      <c r="S34" s="228">
        <v>5</v>
      </c>
      <c r="T34" s="285" t="s">
        <v>59</v>
      </c>
      <c r="U34" s="286" t="str">
        <f t="shared" si="5"/>
        <v>Reading At Grade Level</v>
      </c>
      <c r="V34" s="240"/>
    </row>
    <row r="35" spans="1:22" ht="14.45">
      <c r="A35" s="61">
        <v>25</v>
      </c>
      <c r="B35" s="323">
        <v>117692220048</v>
      </c>
      <c r="C35" s="319" t="s">
        <v>84</v>
      </c>
      <c r="D35" s="320" t="s">
        <v>9</v>
      </c>
      <c r="E35" s="321" t="s">
        <v>63</v>
      </c>
      <c r="F35" s="267">
        <v>8</v>
      </c>
      <c r="G35" s="218"/>
      <c r="H35" s="230">
        <v>8</v>
      </c>
      <c r="I35" s="211">
        <f t="shared" si="0"/>
        <v>26</v>
      </c>
      <c r="J35" s="276" t="str">
        <f t="shared" si="1"/>
        <v>Light Refresher</v>
      </c>
      <c r="K35" s="279">
        <v>2</v>
      </c>
      <c r="L35" s="280">
        <v>8</v>
      </c>
      <c r="M35" s="211">
        <f t="shared" si="2"/>
        <v>111</v>
      </c>
      <c r="N35" s="230">
        <v>2</v>
      </c>
      <c r="O35" s="230">
        <v>0</v>
      </c>
      <c r="P35" s="211">
        <f t="shared" si="3"/>
        <v>55.5</v>
      </c>
      <c r="Q35" s="229">
        <f t="shared" si="4"/>
        <v>0.93277310924369705</v>
      </c>
      <c r="R35" s="230">
        <v>4</v>
      </c>
      <c r="S35" s="230">
        <v>4</v>
      </c>
      <c r="T35" s="287" t="s">
        <v>69</v>
      </c>
      <c r="U35" s="286" t="str">
        <f t="shared" si="5"/>
        <v>Transitioning Reader</v>
      </c>
      <c r="V35" s="241"/>
    </row>
    <row r="36" spans="1:22" ht="14.45">
      <c r="A36" s="210">
        <v>26</v>
      </c>
      <c r="B36" s="322"/>
      <c r="C36" s="316"/>
      <c r="D36" s="317"/>
      <c r="E36" s="318"/>
      <c r="F36" s="266"/>
      <c r="G36" s="216"/>
      <c r="H36" s="228"/>
      <c r="I36" s="211" t="str">
        <f t="shared" si="0"/>
        <v/>
      </c>
      <c r="J36" s="276" t="str">
        <f t="shared" si="1"/>
        <v/>
      </c>
      <c r="K36" s="277"/>
      <c r="L36" s="278"/>
      <c r="M36" s="211" t="str">
        <f t="shared" si="2"/>
        <v/>
      </c>
      <c r="N36" s="228"/>
      <c r="O36" s="228"/>
      <c r="P36" s="211" t="str">
        <f t="shared" si="3"/>
        <v/>
      </c>
      <c r="Q36" s="229" t="str">
        <f t="shared" si="4"/>
        <v/>
      </c>
      <c r="R36" s="228"/>
      <c r="S36" s="228"/>
      <c r="T36" s="285"/>
      <c r="U36" s="286" t="str">
        <f t="shared" si="5"/>
        <v/>
      </c>
      <c r="V36" s="240"/>
    </row>
    <row r="37" spans="1:22" ht="14.45">
      <c r="A37" s="61">
        <v>27</v>
      </c>
      <c r="B37" s="323"/>
      <c r="C37" s="319"/>
      <c r="D37" s="320"/>
      <c r="E37" s="321"/>
      <c r="F37" s="267"/>
      <c r="G37" s="218"/>
      <c r="H37" s="230"/>
      <c r="I37" s="211" t="str">
        <f t="shared" si="0"/>
        <v/>
      </c>
      <c r="J37" s="276" t="str">
        <f t="shared" si="1"/>
        <v/>
      </c>
      <c r="K37" s="279"/>
      <c r="L37" s="280"/>
      <c r="M37" s="211" t="str">
        <f t="shared" si="2"/>
        <v/>
      </c>
      <c r="N37" s="230"/>
      <c r="O37" s="230"/>
      <c r="P37" s="211" t="str">
        <f t="shared" si="3"/>
        <v/>
      </c>
      <c r="Q37" s="229" t="str">
        <f t="shared" si="4"/>
        <v/>
      </c>
      <c r="R37" s="230"/>
      <c r="S37" s="230"/>
      <c r="T37" s="287"/>
      <c r="U37" s="286" t="str">
        <f t="shared" si="5"/>
        <v/>
      </c>
      <c r="V37" s="241"/>
    </row>
    <row r="38" spans="1:22" ht="14.45">
      <c r="A38" s="210">
        <v>28</v>
      </c>
      <c r="B38" s="322"/>
      <c r="C38" s="316"/>
      <c r="D38" s="317"/>
      <c r="E38" s="318"/>
      <c r="F38" s="266"/>
      <c r="G38" s="216"/>
      <c r="H38" s="228"/>
      <c r="I38" s="211" t="str">
        <f t="shared" si="0"/>
        <v/>
      </c>
      <c r="J38" s="276" t="str">
        <f t="shared" si="1"/>
        <v/>
      </c>
      <c r="K38" s="277"/>
      <c r="L38" s="278"/>
      <c r="M38" s="211" t="str">
        <f t="shared" si="2"/>
        <v/>
      </c>
      <c r="N38" s="228"/>
      <c r="O38" s="228"/>
      <c r="P38" s="211" t="str">
        <f t="shared" si="3"/>
        <v/>
      </c>
      <c r="Q38" s="229" t="str">
        <f t="shared" si="4"/>
        <v/>
      </c>
      <c r="R38" s="228"/>
      <c r="S38" s="228"/>
      <c r="T38" s="285"/>
      <c r="U38" s="286" t="str">
        <f t="shared" si="5"/>
        <v/>
      </c>
      <c r="V38" s="240"/>
    </row>
    <row r="39" spans="1:22" ht="14.45">
      <c r="A39" s="61">
        <v>29</v>
      </c>
      <c r="B39" s="323"/>
      <c r="C39" s="319"/>
      <c r="D39" s="320"/>
      <c r="E39" s="321"/>
      <c r="F39" s="267"/>
      <c r="G39" s="218"/>
      <c r="H39" s="230"/>
      <c r="I39" s="211" t="str">
        <f t="shared" si="0"/>
        <v/>
      </c>
      <c r="J39" s="276" t="str">
        <f t="shared" si="1"/>
        <v/>
      </c>
      <c r="K39" s="279"/>
      <c r="L39" s="280"/>
      <c r="M39" s="211" t="str">
        <f t="shared" si="2"/>
        <v/>
      </c>
      <c r="N39" s="230"/>
      <c r="O39" s="230"/>
      <c r="P39" s="211" t="str">
        <f t="shared" si="3"/>
        <v/>
      </c>
      <c r="Q39" s="229" t="str">
        <f t="shared" si="4"/>
        <v/>
      </c>
      <c r="R39" s="230"/>
      <c r="S39" s="230"/>
      <c r="T39" s="287"/>
      <c r="U39" s="286" t="str">
        <f t="shared" si="5"/>
        <v/>
      </c>
      <c r="V39" s="241"/>
    </row>
    <row r="40" spans="1:22" ht="14.45">
      <c r="A40" s="210">
        <v>30</v>
      </c>
      <c r="B40" s="322"/>
      <c r="C40" s="316"/>
      <c r="D40" s="317"/>
      <c r="E40" s="318"/>
      <c r="F40" s="266"/>
      <c r="G40" s="216"/>
      <c r="H40" s="228"/>
      <c r="I40" s="211" t="str">
        <f t="shared" si="0"/>
        <v/>
      </c>
      <c r="J40" s="276" t="str">
        <f t="shared" si="1"/>
        <v/>
      </c>
      <c r="K40" s="277"/>
      <c r="L40" s="278"/>
      <c r="M40" s="211" t="str">
        <f t="shared" si="2"/>
        <v/>
      </c>
      <c r="N40" s="228"/>
      <c r="O40" s="228"/>
      <c r="P40" s="211" t="str">
        <f t="shared" si="3"/>
        <v/>
      </c>
      <c r="Q40" s="229" t="str">
        <f t="shared" si="4"/>
        <v/>
      </c>
      <c r="R40" s="228"/>
      <c r="S40" s="228"/>
      <c r="T40" s="285"/>
      <c r="U40" s="286" t="str">
        <f t="shared" si="5"/>
        <v/>
      </c>
      <c r="V40" s="240"/>
    </row>
    <row r="41" spans="1:22" ht="14.45">
      <c r="A41" s="61">
        <v>31</v>
      </c>
      <c r="B41" s="323"/>
      <c r="C41" s="319"/>
      <c r="D41" s="320"/>
      <c r="E41" s="321"/>
      <c r="F41" s="267"/>
      <c r="G41" s="218"/>
      <c r="H41" s="230"/>
      <c r="I41" s="211" t="str">
        <f t="shared" si="0"/>
        <v/>
      </c>
      <c r="J41" s="276" t="str">
        <f t="shared" si="1"/>
        <v/>
      </c>
      <c r="K41" s="279"/>
      <c r="L41" s="280"/>
      <c r="M41" s="211" t="str">
        <f t="shared" si="2"/>
        <v/>
      </c>
      <c r="N41" s="230"/>
      <c r="O41" s="230"/>
      <c r="P41" s="211" t="str">
        <f t="shared" si="3"/>
        <v/>
      </c>
      <c r="Q41" s="229" t="str">
        <f t="shared" si="4"/>
        <v/>
      </c>
      <c r="R41" s="230"/>
      <c r="S41" s="230"/>
      <c r="T41" s="287"/>
      <c r="U41" s="286" t="str">
        <f t="shared" si="5"/>
        <v/>
      </c>
      <c r="V41" s="241"/>
    </row>
    <row r="42" spans="1:22" ht="14.45">
      <c r="A42" s="210">
        <v>32</v>
      </c>
      <c r="B42" s="322"/>
      <c r="C42" s="316"/>
      <c r="D42" s="317"/>
      <c r="E42" s="318"/>
      <c r="F42" s="266"/>
      <c r="G42" s="216"/>
      <c r="H42" s="228"/>
      <c r="I42" s="211" t="str">
        <f t="shared" si="0"/>
        <v/>
      </c>
      <c r="J42" s="276" t="str">
        <f t="shared" si="1"/>
        <v/>
      </c>
      <c r="K42" s="277"/>
      <c r="L42" s="278"/>
      <c r="M42" s="211" t="str">
        <f t="shared" si="2"/>
        <v/>
      </c>
      <c r="N42" s="228"/>
      <c r="O42" s="228"/>
      <c r="P42" s="211" t="str">
        <f t="shared" si="3"/>
        <v/>
      </c>
      <c r="Q42" s="229" t="str">
        <f t="shared" si="4"/>
        <v/>
      </c>
      <c r="R42" s="228"/>
      <c r="S42" s="228"/>
      <c r="T42" s="285"/>
      <c r="U42" s="286" t="str">
        <f t="shared" si="5"/>
        <v/>
      </c>
      <c r="V42" s="240"/>
    </row>
    <row r="43" spans="1:22" ht="14.45">
      <c r="A43" s="61">
        <v>33</v>
      </c>
      <c r="B43" s="323"/>
      <c r="C43" s="319"/>
      <c r="D43" s="320"/>
      <c r="E43" s="321"/>
      <c r="F43" s="267"/>
      <c r="G43" s="218"/>
      <c r="H43" s="230"/>
      <c r="I43" s="211" t="str">
        <f t="shared" si="0"/>
        <v/>
      </c>
      <c r="J43" s="276" t="str">
        <f t="shared" si="1"/>
        <v/>
      </c>
      <c r="K43" s="279"/>
      <c r="L43" s="280"/>
      <c r="M43" s="211" t="str">
        <f t="shared" si="2"/>
        <v/>
      </c>
      <c r="N43" s="230"/>
      <c r="O43" s="230"/>
      <c r="P43" s="211" t="str">
        <f t="shared" si="3"/>
        <v/>
      </c>
      <c r="Q43" s="229" t="str">
        <f t="shared" si="4"/>
        <v/>
      </c>
      <c r="R43" s="230"/>
      <c r="S43" s="230"/>
      <c r="T43" s="287"/>
      <c r="U43" s="286" t="str">
        <f t="shared" si="5"/>
        <v/>
      </c>
      <c r="V43" s="241"/>
    </row>
    <row r="44" spans="1:22" ht="14.45">
      <c r="A44" s="210">
        <v>34</v>
      </c>
      <c r="B44" s="322"/>
      <c r="C44" s="316"/>
      <c r="D44" s="317"/>
      <c r="E44" s="318"/>
      <c r="F44" s="266"/>
      <c r="G44" s="216"/>
      <c r="H44" s="228"/>
      <c r="I44" s="211" t="str">
        <f t="shared" si="0"/>
        <v/>
      </c>
      <c r="J44" s="276" t="str">
        <f t="shared" si="1"/>
        <v/>
      </c>
      <c r="K44" s="277"/>
      <c r="L44" s="278"/>
      <c r="M44" s="211" t="str">
        <f t="shared" si="2"/>
        <v/>
      </c>
      <c r="N44" s="228"/>
      <c r="O44" s="228"/>
      <c r="P44" s="211" t="str">
        <f t="shared" si="3"/>
        <v/>
      </c>
      <c r="Q44" s="229" t="str">
        <f t="shared" si="4"/>
        <v/>
      </c>
      <c r="R44" s="228"/>
      <c r="S44" s="228"/>
      <c r="T44" s="285"/>
      <c r="U44" s="286" t="str">
        <f t="shared" si="5"/>
        <v/>
      </c>
      <c r="V44" s="240"/>
    </row>
    <row r="45" spans="1:22" ht="14.45">
      <c r="A45" s="61">
        <v>35</v>
      </c>
      <c r="B45" s="323"/>
      <c r="C45" s="319"/>
      <c r="D45" s="320"/>
      <c r="E45" s="321"/>
      <c r="F45" s="267"/>
      <c r="G45" s="218"/>
      <c r="H45" s="230"/>
      <c r="I45" s="211" t="str">
        <f t="shared" si="0"/>
        <v/>
      </c>
      <c r="J45" s="276" t="str">
        <f t="shared" si="1"/>
        <v/>
      </c>
      <c r="K45" s="279"/>
      <c r="L45" s="280"/>
      <c r="M45" s="211" t="str">
        <f t="shared" si="2"/>
        <v/>
      </c>
      <c r="N45" s="230"/>
      <c r="O45" s="230"/>
      <c r="P45" s="211" t="str">
        <f t="shared" si="3"/>
        <v/>
      </c>
      <c r="Q45" s="229" t="str">
        <f t="shared" si="4"/>
        <v/>
      </c>
      <c r="R45" s="230"/>
      <c r="S45" s="230"/>
      <c r="T45" s="287"/>
      <c r="U45" s="286" t="str">
        <f t="shared" si="5"/>
        <v/>
      </c>
      <c r="V45" s="241"/>
    </row>
    <row r="46" spans="1:22" ht="14.45">
      <c r="A46" s="210">
        <v>36</v>
      </c>
      <c r="B46" s="322"/>
      <c r="C46" s="316"/>
      <c r="D46" s="317"/>
      <c r="E46" s="318"/>
      <c r="F46" s="266"/>
      <c r="G46" s="216"/>
      <c r="H46" s="228"/>
      <c r="I46" s="211" t="str">
        <f t="shared" si="0"/>
        <v/>
      </c>
      <c r="J46" s="276" t="str">
        <f t="shared" si="1"/>
        <v/>
      </c>
      <c r="K46" s="277"/>
      <c r="L46" s="278"/>
      <c r="M46" s="211" t="str">
        <f t="shared" si="2"/>
        <v/>
      </c>
      <c r="N46" s="228"/>
      <c r="O46" s="228"/>
      <c r="P46" s="211" t="str">
        <f t="shared" si="3"/>
        <v/>
      </c>
      <c r="Q46" s="229" t="str">
        <f t="shared" si="4"/>
        <v/>
      </c>
      <c r="R46" s="228"/>
      <c r="S46" s="228"/>
      <c r="T46" s="285"/>
      <c r="U46" s="286" t="str">
        <f t="shared" si="5"/>
        <v/>
      </c>
      <c r="V46" s="240"/>
    </row>
    <row r="47" spans="1:22" ht="14.45">
      <c r="A47" s="61">
        <v>37</v>
      </c>
      <c r="B47" s="323"/>
      <c r="C47" s="319"/>
      <c r="D47" s="320"/>
      <c r="E47" s="321"/>
      <c r="F47" s="267"/>
      <c r="G47" s="218"/>
      <c r="H47" s="230"/>
      <c r="I47" s="211" t="str">
        <f t="shared" si="0"/>
        <v/>
      </c>
      <c r="J47" s="276" t="str">
        <f t="shared" si="1"/>
        <v/>
      </c>
      <c r="K47" s="279"/>
      <c r="L47" s="280"/>
      <c r="M47" s="211" t="str">
        <f t="shared" si="2"/>
        <v/>
      </c>
      <c r="N47" s="230"/>
      <c r="O47" s="230"/>
      <c r="P47" s="211" t="str">
        <f t="shared" si="3"/>
        <v/>
      </c>
      <c r="Q47" s="229" t="str">
        <f t="shared" si="4"/>
        <v/>
      </c>
      <c r="R47" s="230"/>
      <c r="S47" s="230"/>
      <c r="T47" s="287"/>
      <c r="U47" s="286" t="str">
        <f t="shared" si="5"/>
        <v/>
      </c>
      <c r="V47" s="241"/>
    </row>
    <row r="48" spans="1:22" ht="14.45">
      <c r="A48" s="210">
        <v>38</v>
      </c>
      <c r="B48" s="322"/>
      <c r="C48" s="316"/>
      <c r="D48" s="317"/>
      <c r="E48" s="318"/>
      <c r="F48" s="266"/>
      <c r="G48" s="216"/>
      <c r="H48" s="228"/>
      <c r="I48" s="211" t="str">
        <f t="shared" si="0"/>
        <v/>
      </c>
      <c r="J48" s="276" t="str">
        <f t="shared" si="1"/>
        <v/>
      </c>
      <c r="K48" s="277"/>
      <c r="L48" s="278"/>
      <c r="M48" s="211" t="str">
        <f t="shared" si="2"/>
        <v/>
      </c>
      <c r="N48" s="228"/>
      <c r="O48" s="228"/>
      <c r="P48" s="211" t="str">
        <f t="shared" si="3"/>
        <v/>
      </c>
      <c r="Q48" s="229" t="str">
        <f t="shared" si="4"/>
        <v/>
      </c>
      <c r="R48" s="228"/>
      <c r="S48" s="228"/>
      <c r="T48" s="285"/>
      <c r="U48" s="286" t="str">
        <f t="shared" si="5"/>
        <v/>
      </c>
      <c r="V48" s="240"/>
    </row>
    <row r="49" spans="1:22" ht="14.45">
      <c r="A49" s="61">
        <v>39</v>
      </c>
      <c r="B49" s="323"/>
      <c r="C49" s="319"/>
      <c r="D49" s="320"/>
      <c r="E49" s="321"/>
      <c r="F49" s="267"/>
      <c r="G49" s="218"/>
      <c r="H49" s="230"/>
      <c r="I49" s="211" t="str">
        <f t="shared" si="0"/>
        <v/>
      </c>
      <c r="J49" s="276" t="str">
        <f t="shared" si="1"/>
        <v/>
      </c>
      <c r="K49" s="279"/>
      <c r="L49" s="280"/>
      <c r="M49" s="211" t="str">
        <f t="shared" si="2"/>
        <v/>
      </c>
      <c r="N49" s="230"/>
      <c r="O49" s="230"/>
      <c r="P49" s="211" t="str">
        <f t="shared" si="3"/>
        <v/>
      </c>
      <c r="Q49" s="229" t="str">
        <f t="shared" si="4"/>
        <v/>
      </c>
      <c r="R49" s="230"/>
      <c r="S49" s="230"/>
      <c r="T49" s="287"/>
      <c r="U49" s="286" t="str">
        <f t="shared" si="5"/>
        <v/>
      </c>
      <c r="V49" s="241"/>
    </row>
    <row r="50" spans="1:22" ht="14.45">
      <c r="A50" s="210">
        <v>40</v>
      </c>
      <c r="B50" s="322"/>
      <c r="C50" s="316"/>
      <c r="D50" s="317"/>
      <c r="E50" s="318"/>
      <c r="F50" s="266"/>
      <c r="G50" s="216"/>
      <c r="H50" s="228"/>
      <c r="I50" s="211" t="str">
        <f t="shared" si="0"/>
        <v/>
      </c>
      <c r="J50" s="276" t="str">
        <f t="shared" si="1"/>
        <v/>
      </c>
      <c r="K50" s="277"/>
      <c r="L50" s="278"/>
      <c r="M50" s="211" t="str">
        <f t="shared" si="2"/>
        <v/>
      </c>
      <c r="N50" s="228"/>
      <c r="O50" s="228"/>
      <c r="P50" s="211" t="str">
        <f t="shared" si="3"/>
        <v/>
      </c>
      <c r="Q50" s="229" t="str">
        <f t="shared" si="4"/>
        <v/>
      </c>
      <c r="R50" s="228"/>
      <c r="S50" s="228"/>
      <c r="T50" s="285"/>
      <c r="U50" s="286" t="str">
        <f t="shared" si="5"/>
        <v/>
      </c>
      <c r="V50" s="240"/>
    </row>
    <row r="51" spans="1:22" ht="14.45">
      <c r="A51" s="61">
        <v>41</v>
      </c>
      <c r="B51" s="323"/>
      <c r="C51" s="319"/>
      <c r="D51" s="320"/>
      <c r="E51" s="321"/>
      <c r="F51" s="267"/>
      <c r="G51" s="218"/>
      <c r="H51" s="230"/>
      <c r="I51" s="211" t="str">
        <f t="shared" si="0"/>
        <v/>
      </c>
      <c r="J51" s="276" t="str">
        <f t="shared" si="1"/>
        <v/>
      </c>
      <c r="K51" s="279"/>
      <c r="L51" s="280"/>
      <c r="M51" s="211" t="str">
        <f t="shared" si="2"/>
        <v/>
      </c>
      <c r="N51" s="230"/>
      <c r="O51" s="230"/>
      <c r="P51" s="211" t="str">
        <f t="shared" si="3"/>
        <v/>
      </c>
      <c r="Q51" s="229" t="str">
        <f t="shared" si="4"/>
        <v/>
      </c>
      <c r="R51" s="230"/>
      <c r="S51" s="230"/>
      <c r="T51" s="287"/>
      <c r="U51" s="286" t="str">
        <f t="shared" si="5"/>
        <v/>
      </c>
      <c r="V51" s="241"/>
    </row>
    <row r="52" spans="1:22" ht="14.45">
      <c r="A52" s="210">
        <v>42</v>
      </c>
      <c r="B52" s="322"/>
      <c r="C52" s="316"/>
      <c r="D52" s="317"/>
      <c r="E52" s="318"/>
      <c r="F52" s="266"/>
      <c r="G52" s="216"/>
      <c r="H52" s="228"/>
      <c r="I52" s="211" t="str">
        <f t="shared" si="0"/>
        <v/>
      </c>
      <c r="J52" s="276" t="str">
        <f t="shared" si="1"/>
        <v/>
      </c>
      <c r="K52" s="277"/>
      <c r="L52" s="278"/>
      <c r="M52" s="211" t="str">
        <f t="shared" si="2"/>
        <v/>
      </c>
      <c r="N52" s="228"/>
      <c r="O52" s="228"/>
      <c r="P52" s="211" t="str">
        <f t="shared" si="3"/>
        <v/>
      </c>
      <c r="Q52" s="229" t="str">
        <f t="shared" si="4"/>
        <v/>
      </c>
      <c r="R52" s="228"/>
      <c r="S52" s="228"/>
      <c r="T52" s="285"/>
      <c r="U52" s="286" t="str">
        <f t="shared" si="5"/>
        <v/>
      </c>
      <c r="V52" s="240"/>
    </row>
    <row r="53" spans="1:22" ht="14.45">
      <c r="A53" s="61">
        <v>43</v>
      </c>
      <c r="B53" s="323"/>
      <c r="C53" s="319"/>
      <c r="D53" s="320"/>
      <c r="E53" s="321"/>
      <c r="F53" s="267"/>
      <c r="G53" s="218"/>
      <c r="H53" s="230"/>
      <c r="I53" s="211" t="str">
        <f t="shared" si="0"/>
        <v/>
      </c>
      <c r="J53" s="276" t="str">
        <f t="shared" si="1"/>
        <v/>
      </c>
      <c r="K53" s="279"/>
      <c r="L53" s="280"/>
      <c r="M53" s="211" t="str">
        <f t="shared" si="2"/>
        <v/>
      </c>
      <c r="N53" s="230"/>
      <c r="O53" s="230"/>
      <c r="P53" s="211" t="str">
        <f t="shared" si="3"/>
        <v/>
      </c>
      <c r="Q53" s="229" t="str">
        <f t="shared" si="4"/>
        <v/>
      </c>
      <c r="R53" s="230"/>
      <c r="S53" s="230"/>
      <c r="T53" s="287"/>
      <c r="U53" s="286" t="str">
        <f t="shared" si="5"/>
        <v/>
      </c>
      <c r="V53" s="241"/>
    </row>
    <row r="54" spans="1:22" ht="14.45">
      <c r="A54" s="210">
        <v>44</v>
      </c>
      <c r="B54" s="322"/>
      <c r="C54" s="316"/>
      <c r="D54" s="317"/>
      <c r="E54" s="318"/>
      <c r="F54" s="266"/>
      <c r="G54" s="216"/>
      <c r="H54" s="228"/>
      <c r="I54" s="211" t="str">
        <f t="shared" si="0"/>
        <v/>
      </c>
      <c r="J54" s="276" t="str">
        <f t="shared" si="1"/>
        <v/>
      </c>
      <c r="K54" s="277"/>
      <c r="L54" s="278"/>
      <c r="M54" s="211" t="str">
        <f t="shared" si="2"/>
        <v/>
      </c>
      <c r="N54" s="228"/>
      <c r="O54" s="228"/>
      <c r="P54" s="211" t="str">
        <f t="shared" si="3"/>
        <v/>
      </c>
      <c r="Q54" s="229" t="str">
        <f t="shared" si="4"/>
        <v/>
      </c>
      <c r="R54" s="228"/>
      <c r="S54" s="228"/>
      <c r="T54" s="285"/>
      <c r="U54" s="286" t="str">
        <f t="shared" si="5"/>
        <v/>
      </c>
      <c r="V54" s="240"/>
    </row>
    <row r="55" spans="1:22" ht="14.45">
      <c r="A55" s="61">
        <v>45</v>
      </c>
      <c r="B55" s="323"/>
      <c r="C55" s="319"/>
      <c r="D55" s="320"/>
      <c r="E55" s="321"/>
      <c r="F55" s="267"/>
      <c r="G55" s="218"/>
      <c r="H55" s="230"/>
      <c r="I55" s="211" t="str">
        <f t="shared" si="0"/>
        <v/>
      </c>
      <c r="J55" s="276" t="str">
        <f t="shared" si="1"/>
        <v/>
      </c>
      <c r="K55" s="279"/>
      <c r="L55" s="280"/>
      <c r="M55" s="211" t="str">
        <f t="shared" si="2"/>
        <v/>
      </c>
      <c r="N55" s="230"/>
      <c r="O55" s="230"/>
      <c r="P55" s="211" t="str">
        <f t="shared" si="3"/>
        <v/>
      </c>
      <c r="Q55" s="229" t="str">
        <f t="shared" si="4"/>
        <v/>
      </c>
      <c r="R55" s="230"/>
      <c r="S55" s="230"/>
      <c r="T55" s="287"/>
      <c r="U55" s="286" t="str">
        <f t="shared" si="5"/>
        <v/>
      </c>
      <c r="V55" s="241"/>
    </row>
    <row r="56" spans="1:22" ht="14.45">
      <c r="A56" s="210">
        <v>46</v>
      </c>
      <c r="B56" s="322"/>
      <c r="C56" s="316"/>
      <c r="D56" s="317"/>
      <c r="E56" s="318"/>
      <c r="F56" s="266"/>
      <c r="G56" s="216"/>
      <c r="H56" s="228"/>
      <c r="I56" s="211" t="str">
        <f t="shared" si="0"/>
        <v/>
      </c>
      <c r="J56" s="276" t="str">
        <f t="shared" si="1"/>
        <v/>
      </c>
      <c r="K56" s="277"/>
      <c r="L56" s="278"/>
      <c r="M56" s="211" t="str">
        <f t="shared" si="2"/>
        <v/>
      </c>
      <c r="N56" s="228"/>
      <c r="O56" s="228"/>
      <c r="P56" s="211" t="str">
        <f t="shared" si="3"/>
        <v/>
      </c>
      <c r="Q56" s="229" t="str">
        <f t="shared" si="4"/>
        <v/>
      </c>
      <c r="R56" s="228"/>
      <c r="S56" s="228"/>
      <c r="T56" s="285"/>
      <c r="U56" s="286" t="str">
        <f t="shared" si="5"/>
        <v/>
      </c>
      <c r="V56" s="240"/>
    </row>
    <row r="57" spans="1:22" ht="14.45">
      <c r="A57" s="61">
        <v>47</v>
      </c>
      <c r="B57" s="323"/>
      <c r="C57" s="319"/>
      <c r="D57" s="320"/>
      <c r="E57" s="321"/>
      <c r="F57" s="267"/>
      <c r="G57" s="218"/>
      <c r="H57" s="230"/>
      <c r="I57" s="211" t="str">
        <f t="shared" si="0"/>
        <v/>
      </c>
      <c r="J57" s="276" t="str">
        <f t="shared" si="1"/>
        <v/>
      </c>
      <c r="K57" s="279"/>
      <c r="L57" s="280"/>
      <c r="M57" s="211" t="str">
        <f t="shared" si="2"/>
        <v/>
      </c>
      <c r="N57" s="230"/>
      <c r="O57" s="230"/>
      <c r="P57" s="211" t="str">
        <f t="shared" si="3"/>
        <v/>
      </c>
      <c r="Q57" s="229" t="str">
        <f t="shared" si="4"/>
        <v/>
      </c>
      <c r="R57" s="230"/>
      <c r="S57" s="230"/>
      <c r="T57" s="287"/>
      <c r="U57" s="286" t="str">
        <f t="shared" si="5"/>
        <v/>
      </c>
      <c r="V57" s="241"/>
    </row>
    <row r="58" spans="1:22" ht="14.45">
      <c r="A58" s="210">
        <v>48</v>
      </c>
      <c r="B58" s="322"/>
      <c r="C58" s="316"/>
      <c r="D58" s="317"/>
      <c r="E58" s="318"/>
      <c r="F58" s="266"/>
      <c r="G58" s="216"/>
      <c r="H58" s="228"/>
      <c r="I58" s="211" t="str">
        <f t="shared" si="0"/>
        <v/>
      </c>
      <c r="J58" s="276" t="str">
        <f t="shared" si="1"/>
        <v/>
      </c>
      <c r="K58" s="277"/>
      <c r="L58" s="278"/>
      <c r="M58" s="211" t="str">
        <f t="shared" si="2"/>
        <v/>
      </c>
      <c r="N58" s="228"/>
      <c r="O58" s="228"/>
      <c r="P58" s="211" t="str">
        <f t="shared" si="3"/>
        <v/>
      </c>
      <c r="Q58" s="229" t="str">
        <f t="shared" si="4"/>
        <v/>
      </c>
      <c r="R58" s="228"/>
      <c r="S58" s="228"/>
      <c r="T58" s="285"/>
      <c r="U58" s="286" t="str">
        <f t="shared" si="5"/>
        <v/>
      </c>
      <c r="V58" s="240"/>
    </row>
    <row r="59" spans="1:22" ht="14.45">
      <c r="A59" s="61">
        <v>49</v>
      </c>
      <c r="B59" s="323"/>
      <c r="C59" s="319"/>
      <c r="D59" s="320"/>
      <c r="E59" s="321"/>
      <c r="F59" s="267"/>
      <c r="G59" s="218"/>
      <c r="H59" s="230"/>
      <c r="I59" s="211" t="str">
        <f t="shared" si="0"/>
        <v/>
      </c>
      <c r="J59" s="276" t="str">
        <f t="shared" si="1"/>
        <v/>
      </c>
      <c r="K59" s="279"/>
      <c r="L59" s="280"/>
      <c r="M59" s="211" t="str">
        <f t="shared" si="2"/>
        <v/>
      </c>
      <c r="N59" s="230"/>
      <c r="O59" s="230"/>
      <c r="P59" s="211" t="str">
        <f t="shared" si="3"/>
        <v/>
      </c>
      <c r="Q59" s="229" t="str">
        <f t="shared" si="4"/>
        <v/>
      </c>
      <c r="R59" s="230"/>
      <c r="S59" s="230"/>
      <c r="T59" s="287"/>
      <c r="U59" s="286" t="str">
        <f t="shared" si="5"/>
        <v/>
      </c>
      <c r="V59" s="241"/>
    </row>
    <row r="60" spans="1:22" ht="14.45">
      <c r="A60" s="210">
        <v>50</v>
      </c>
      <c r="B60" s="322"/>
      <c r="C60" s="316"/>
      <c r="D60" s="317"/>
      <c r="E60" s="318"/>
      <c r="F60" s="266"/>
      <c r="G60" s="216"/>
      <c r="H60" s="228"/>
      <c r="I60" s="211" t="str">
        <f t="shared" si="0"/>
        <v/>
      </c>
      <c r="J60" s="276" t="str">
        <f t="shared" si="1"/>
        <v/>
      </c>
      <c r="K60" s="277"/>
      <c r="L60" s="278"/>
      <c r="M60" s="211" t="str">
        <f t="shared" si="2"/>
        <v/>
      </c>
      <c r="N60" s="228"/>
      <c r="O60" s="228"/>
      <c r="P60" s="211" t="str">
        <f t="shared" si="3"/>
        <v/>
      </c>
      <c r="Q60" s="229" t="str">
        <f t="shared" si="4"/>
        <v/>
      </c>
      <c r="R60" s="228"/>
      <c r="S60" s="228"/>
      <c r="T60" s="285"/>
      <c r="U60" s="286" t="str">
        <f t="shared" si="5"/>
        <v/>
      </c>
      <c r="V60" s="240"/>
    </row>
    <row r="61" spans="1:22" ht="14.45">
      <c r="A61" s="61">
        <v>51</v>
      </c>
      <c r="B61" s="323"/>
      <c r="C61" s="319"/>
      <c r="D61" s="320"/>
      <c r="E61" s="321"/>
      <c r="F61" s="267"/>
      <c r="G61" s="218"/>
      <c r="H61" s="230"/>
      <c r="I61" s="211" t="str">
        <f t="shared" si="0"/>
        <v/>
      </c>
      <c r="J61" s="276" t="str">
        <f t="shared" si="1"/>
        <v/>
      </c>
      <c r="K61" s="279"/>
      <c r="L61" s="280"/>
      <c r="M61" s="211" t="str">
        <f t="shared" si="2"/>
        <v/>
      </c>
      <c r="N61" s="230"/>
      <c r="O61" s="230"/>
      <c r="P61" s="211" t="str">
        <f t="shared" si="3"/>
        <v/>
      </c>
      <c r="Q61" s="229" t="str">
        <f t="shared" si="4"/>
        <v/>
      </c>
      <c r="R61" s="230"/>
      <c r="S61" s="230"/>
      <c r="T61" s="287"/>
      <c r="U61" s="286" t="str">
        <f t="shared" si="5"/>
        <v/>
      </c>
      <c r="V61" s="241"/>
    </row>
    <row r="62" spans="1:22" ht="14.45">
      <c r="A62" s="210">
        <v>52</v>
      </c>
      <c r="B62" s="322"/>
      <c r="C62" s="316"/>
      <c r="D62" s="317"/>
      <c r="E62" s="318"/>
      <c r="F62" s="266"/>
      <c r="G62" s="216"/>
      <c r="H62" s="228"/>
      <c r="I62" s="211" t="str">
        <f t="shared" si="0"/>
        <v/>
      </c>
      <c r="J62" s="276" t="str">
        <f t="shared" si="1"/>
        <v/>
      </c>
      <c r="K62" s="277"/>
      <c r="L62" s="278"/>
      <c r="M62" s="211" t="str">
        <f t="shared" si="2"/>
        <v/>
      </c>
      <c r="N62" s="228"/>
      <c r="O62" s="228"/>
      <c r="P62" s="211" t="str">
        <f t="shared" si="3"/>
        <v/>
      </c>
      <c r="Q62" s="229" t="str">
        <f t="shared" si="4"/>
        <v/>
      </c>
      <c r="R62" s="228"/>
      <c r="S62" s="228"/>
      <c r="T62" s="285"/>
      <c r="U62" s="286" t="str">
        <f t="shared" si="5"/>
        <v/>
      </c>
      <c r="V62" s="240"/>
    </row>
    <row r="63" spans="1:22" ht="14.45">
      <c r="A63" s="61">
        <v>53</v>
      </c>
      <c r="B63" s="323"/>
      <c r="C63" s="319"/>
      <c r="D63" s="320"/>
      <c r="E63" s="321"/>
      <c r="F63" s="267"/>
      <c r="G63" s="218"/>
      <c r="H63" s="230"/>
      <c r="I63" s="211" t="str">
        <f t="shared" si="0"/>
        <v/>
      </c>
      <c r="J63" s="276" t="str">
        <f t="shared" si="1"/>
        <v/>
      </c>
      <c r="K63" s="279"/>
      <c r="L63" s="280"/>
      <c r="M63" s="211" t="str">
        <f t="shared" si="2"/>
        <v/>
      </c>
      <c r="N63" s="230"/>
      <c r="O63" s="230"/>
      <c r="P63" s="211" t="str">
        <f t="shared" si="3"/>
        <v/>
      </c>
      <c r="Q63" s="229" t="str">
        <f t="shared" si="4"/>
        <v/>
      </c>
      <c r="R63" s="230"/>
      <c r="S63" s="230"/>
      <c r="T63" s="287"/>
      <c r="U63" s="286" t="str">
        <f t="shared" si="5"/>
        <v/>
      </c>
      <c r="V63" s="241"/>
    </row>
    <row r="64" spans="1:22" ht="14.45">
      <c r="A64" s="210">
        <v>54</v>
      </c>
      <c r="B64" s="322"/>
      <c r="C64" s="316"/>
      <c r="D64" s="317"/>
      <c r="E64" s="318"/>
      <c r="F64" s="266"/>
      <c r="G64" s="216"/>
      <c r="H64" s="228"/>
      <c r="I64" s="211" t="str">
        <f t="shared" si="0"/>
        <v/>
      </c>
      <c r="J64" s="276" t="str">
        <f t="shared" si="1"/>
        <v/>
      </c>
      <c r="K64" s="277"/>
      <c r="L64" s="278"/>
      <c r="M64" s="211" t="str">
        <f t="shared" si="2"/>
        <v/>
      </c>
      <c r="N64" s="228"/>
      <c r="O64" s="228"/>
      <c r="P64" s="211" t="str">
        <f t="shared" si="3"/>
        <v/>
      </c>
      <c r="Q64" s="229" t="str">
        <f t="shared" si="4"/>
        <v/>
      </c>
      <c r="R64" s="228"/>
      <c r="S64" s="228"/>
      <c r="T64" s="285"/>
      <c r="U64" s="286" t="str">
        <f t="shared" si="5"/>
        <v/>
      </c>
      <c r="V64" s="240"/>
    </row>
    <row r="65" spans="1:22" ht="14.45">
      <c r="A65" s="61">
        <v>55</v>
      </c>
      <c r="B65" s="323"/>
      <c r="C65" s="319"/>
      <c r="D65" s="320"/>
      <c r="E65" s="321"/>
      <c r="F65" s="267"/>
      <c r="G65" s="218"/>
      <c r="H65" s="230"/>
      <c r="I65" s="211" t="str">
        <f t="shared" si="0"/>
        <v/>
      </c>
      <c r="J65" s="276" t="str">
        <f t="shared" si="1"/>
        <v/>
      </c>
      <c r="K65" s="279"/>
      <c r="L65" s="280"/>
      <c r="M65" s="211" t="str">
        <f t="shared" si="2"/>
        <v/>
      </c>
      <c r="N65" s="230"/>
      <c r="O65" s="230"/>
      <c r="P65" s="211" t="str">
        <f t="shared" si="3"/>
        <v/>
      </c>
      <c r="Q65" s="229" t="str">
        <f t="shared" si="4"/>
        <v/>
      </c>
      <c r="R65" s="230"/>
      <c r="S65" s="230"/>
      <c r="T65" s="287"/>
      <c r="U65" s="286" t="str">
        <f t="shared" si="5"/>
        <v/>
      </c>
      <c r="V65" s="241"/>
    </row>
    <row r="66" spans="1:22" ht="14.45">
      <c r="A66" s="210">
        <v>56</v>
      </c>
      <c r="B66" s="322"/>
      <c r="C66" s="316"/>
      <c r="D66" s="317"/>
      <c r="E66" s="318"/>
      <c r="F66" s="266"/>
      <c r="G66" s="216"/>
      <c r="H66" s="228"/>
      <c r="I66" s="211" t="str">
        <f t="shared" si="0"/>
        <v/>
      </c>
      <c r="J66" s="276" t="str">
        <f t="shared" si="1"/>
        <v/>
      </c>
      <c r="K66" s="277"/>
      <c r="L66" s="278"/>
      <c r="M66" s="211" t="str">
        <f t="shared" si="2"/>
        <v/>
      </c>
      <c r="N66" s="228"/>
      <c r="O66" s="228"/>
      <c r="P66" s="211" t="str">
        <f t="shared" si="3"/>
        <v/>
      </c>
      <c r="Q66" s="229" t="str">
        <f t="shared" si="4"/>
        <v/>
      </c>
      <c r="R66" s="228"/>
      <c r="S66" s="228"/>
      <c r="T66" s="285"/>
      <c r="U66" s="286" t="str">
        <f t="shared" si="5"/>
        <v/>
      </c>
      <c r="V66" s="240"/>
    </row>
    <row r="67" spans="1:22" ht="14.45">
      <c r="A67" s="61">
        <v>57</v>
      </c>
      <c r="B67" s="323"/>
      <c r="C67" s="319"/>
      <c r="D67" s="320"/>
      <c r="E67" s="321"/>
      <c r="F67" s="267"/>
      <c r="G67" s="218"/>
      <c r="H67" s="230"/>
      <c r="I67" s="211" t="str">
        <f t="shared" si="0"/>
        <v/>
      </c>
      <c r="J67" s="276" t="str">
        <f t="shared" si="1"/>
        <v/>
      </c>
      <c r="K67" s="279"/>
      <c r="L67" s="280"/>
      <c r="M67" s="211" t="str">
        <f t="shared" si="2"/>
        <v/>
      </c>
      <c r="N67" s="230"/>
      <c r="O67" s="230"/>
      <c r="P67" s="211" t="str">
        <f t="shared" si="3"/>
        <v/>
      </c>
      <c r="Q67" s="229" t="str">
        <f t="shared" si="4"/>
        <v/>
      </c>
      <c r="R67" s="230"/>
      <c r="S67" s="230"/>
      <c r="T67" s="287"/>
      <c r="U67" s="286" t="str">
        <f t="shared" si="5"/>
        <v/>
      </c>
      <c r="V67" s="241"/>
    </row>
    <row r="68" spans="1:22" ht="14.45">
      <c r="A68" s="210">
        <v>58</v>
      </c>
      <c r="B68" s="322"/>
      <c r="C68" s="316"/>
      <c r="D68" s="317"/>
      <c r="E68" s="318"/>
      <c r="F68" s="266"/>
      <c r="G68" s="216"/>
      <c r="H68" s="228"/>
      <c r="I68" s="211" t="str">
        <f t="shared" si="0"/>
        <v/>
      </c>
      <c r="J68" s="276" t="str">
        <f t="shared" si="1"/>
        <v/>
      </c>
      <c r="K68" s="277"/>
      <c r="L68" s="278"/>
      <c r="M68" s="211" t="str">
        <f t="shared" si="2"/>
        <v/>
      </c>
      <c r="N68" s="228"/>
      <c r="O68" s="228"/>
      <c r="P68" s="211" t="str">
        <f t="shared" si="3"/>
        <v/>
      </c>
      <c r="Q68" s="229" t="str">
        <f t="shared" si="4"/>
        <v/>
      </c>
      <c r="R68" s="228"/>
      <c r="S68" s="228"/>
      <c r="T68" s="285"/>
      <c r="U68" s="286" t="str">
        <f t="shared" si="5"/>
        <v/>
      </c>
      <c r="V68" s="240"/>
    </row>
    <row r="69" spans="1:22" ht="14.45">
      <c r="A69" s="61">
        <v>59</v>
      </c>
      <c r="B69" s="323"/>
      <c r="C69" s="319"/>
      <c r="D69" s="320"/>
      <c r="E69" s="321"/>
      <c r="F69" s="267"/>
      <c r="G69" s="218"/>
      <c r="H69" s="230"/>
      <c r="I69" s="211" t="str">
        <f t="shared" si="0"/>
        <v/>
      </c>
      <c r="J69" s="276" t="str">
        <f t="shared" si="1"/>
        <v/>
      </c>
      <c r="K69" s="279"/>
      <c r="L69" s="280"/>
      <c r="M69" s="211" t="str">
        <f t="shared" si="2"/>
        <v/>
      </c>
      <c r="N69" s="230"/>
      <c r="O69" s="230"/>
      <c r="P69" s="211" t="str">
        <f t="shared" si="3"/>
        <v/>
      </c>
      <c r="Q69" s="229" t="str">
        <f t="shared" si="4"/>
        <v/>
      </c>
      <c r="R69" s="230"/>
      <c r="S69" s="230"/>
      <c r="T69" s="287"/>
      <c r="U69" s="286" t="str">
        <f t="shared" si="5"/>
        <v/>
      </c>
      <c r="V69" s="241"/>
    </row>
    <row r="70" spans="1:22" ht="14.45">
      <c r="A70" s="61">
        <f>A69+1</f>
        <v>60</v>
      </c>
      <c r="B70" s="323"/>
      <c r="C70" s="319"/>
      <c r="D70" s="320"/>
      <c r="E70" s="321"/>
      <c r="F70" s="267"/>
      <c r="G70" s="216"/>
      <c r="H70" s="228"/>
      <c r="I70" s="211" t="str">
        <f t="shared" si="0"/>
        <v/>
      </c>
      <c r="J70" s="276" t="str">
        <f t="shared" si="1"/>
        <v/>
      </c>
      <c r="K70" s="277"/>
      <c r="L70" s="278"/>
      <c r="M70" s="211" t="str">
        <f t="shared" si="2"/>
        <v/>
      </c>
      <c r="N70" s="228"/>
      <c r="O70" s="228"/>
      <c r="P70" s="211" t="str">
        <f t="shared" si="3"/>
        <v/>
      </c>
      <c r="Q70" s="229" t="str">
        <f t="shared" si="4"/>
        <v/>
      </c>
      <c r="R70" s="228"/>
      <c r="S70" s="228"/>
      <c r="T70" s="285"/>
      <c r="U70" s="286" t="str">
        <f t="shared" si="5"/>
        <v/>
      </c>
      <c r="V70" s="240"/>
    </row>
    <row r="71" spans="1:22" ht="14.45">
      <c r="A71" s="210">
        <f t="shared" ref="A71:A109" si="6">A70+1</f>
        <v>61</v>
      </c>
      <c r="B71" s="322"/>
      <c r="C71" s="316"/>
      <c r="D71" s="317"/>
      <c r="E71" s="318"/>
      <c r="F71" s="266"/>
      <c r="G71" s="218"/>
      <c r="H71" s="230"/>
      <c r="I71" s="211" t="str">
        <f t="shared" si="0"/>
        <v/>
      </c>
      <c r="J71" s="276" t="str">
        <f t="shared" si="1"/>
        <v/>
      </c>
      <c r="K71" s="279"/>
      <c r="L71" s="280"/>
      <c r="M71" s="211" t="str">
        <f t="shared" si="2"/>
        <v/>
      </c>
      <c r="N71" s="230"/>
      <c r="O71" s="230"/>
      <c r="P71" s="211" t="str">
        <f t="shared" si="3"/>
        <v/>
      </c>
      <c r="Q71" s="229" t="str">
        <f t="shared" si="4"/>
        <v/>
      </c>
      <c r="R71" s="230"/>
      <c r="S71" s="230"/>
      <c r="T71" s="287"/>
      <c r="U71" s="286" t="str">
        <f t="shared" si="5"/>
        <v/>
      </c>
      <c r="V71" s="241"/>
    </row>
    <row r="72" spans="1:22" ht="14.45">
      <c r="A72" s="61">
        <f t="shared" si="6"/>
        <v>62</v>
      </c>
      <c r="B72" s="323"/>
      <c r="C72" s="319"/>
      <c r="D72" s="320"/>
      <c r="E72" s="321"/>
      <c r="F72" s="267"/>
      <c r="G72" s="216"/>
      <c r="H72" s="228"/>
      <c r="I72" s="211" t="str">
        <f t="shared" si="0"/>
        <v/>
      </c>
      <c r="J72" s="276" t="str">
        <f t="shared" si="1"/>
        <v/>
      </c>
      <c r="K72" s="277"/>
      <c r="L72" s="278"/>
      <c r="M72" s="211" t="str">
        <f t="shared" si="2"/>
        <v/>
      </c>
      <c r="N72" s="228"/>
      <c r="O72" s="228"/>
      <c r="P72" s="211" t="str">
        <f t="shared" si="3"/>
        <v/>
      </c>
      <c r="Q72" s="229" t="str">
        <f t="shared" si="4"/>
        <v/>
      </c>
      <c r="R72" s="228"/>
      <c r="S72" s="228"/>
      <c r="T72" s="285"/>
      <c r="U72" s="286" t="str">
        <f t="shared" si="5"/>
        <v/>
      </c>
      <c r="V72" s="240"/>
    </row>
    <row r="73" spans="1:22" ht="14.45">
      <c r="A73" s="210">
        <f t="shared" si="6"/>
        <v>63</v>
      </c>
      <c r="B73" s="322"/>
      <c r="C73" s="316"/>
      <c r="D73" s="317"/>
      <c r="E73" s="318"/>
      <c r="F73" s="266"/>
      <c r="G73" s="218"/>
      <c r="H73" s="230"/>
      <c r="I73" s="211" t="str">
        <f t="shared" si="0"/>
        <v/>
      </c>
      <c r="J73" s="276" t="str">
        <f t="shared" si="1"/>
        <v/>
      </c>
      <c r="K73" s="279"/>
      <c r="L73" s="280"/>
      <c r="M73" s="211" t="str">
        <f t="shared" si="2"/>
        <v/>
      </c>
      <c r="N73" s="230"/>
      <c r="O73" s="230"/>
      <c r="P73" s="211" t="str">
        <f t="shared" si="3"/>
        <v/>
      </c>
      <c r="Q73" s="229" t="str">
        <f t="shared" si="4"/>
        <v/>
      </c>
      <c r="R73" s="230"/>
      <c r="S73" s="230"/>
      <c r="T73" s="287"/>
      <c r="U73" s="286" t="str">
        <f t="shared" si="5"/>
        <v/>
      </c>
      <c r="V73" s="241"/>
    </row>
    <row r="74" spans="1:22" ht="14.45">
      <c r="A74" s="61">
        <f t="shared" si="6"/>
        <v>64</v>
      </c>
      <c r="B74" s="323"/>
      <c r="C74" s="319"/>
      <c r="D74" s="320"/>
      <c r="E74" s="321"/>
      <c r="F74" s="267"/>
      <c r="G74" s="216"/>
      <c r="H74" s="228"/>
      <c r="I74" s="211" t="str">
        <f t="shared" si="0"/>
        <v/>
      </c>
      <c r="J74" s="276" t="str">
        <f t="shared" si="1"/>
        <v/>
      </c>
      <c r="K74" s="277"/>
      <c r="L74" s="278"/>
      <c r="M74" s="211" t="str">
        <f t="shared" si="2"/>
        <v/>
      </c>
      <c r="N74" s="228"/>
      <c r="O74" s="228"/>
      <c r="P74" s="211" t="str">
        <f t="shared" si="3"/>
        <v/>
      </c>
      <c r="Q74" s="229" t="str">
        <f t="shared" si="4"/>
        <v/>
      </c>
      <c r="R74" s="228"/>
      <c r="S74" s="228"/>
      <c r="T74" s="285"/>
      <c r="U74" s="286" t="str">
        <f t="shared" si="5"/>
        <v/>
      </c>
      <c r="V74" s="240"/>
    </row>
    <row r="75" spans="1:22" ht="14.45">
      <c r="A75" s="210">
        <f t="shared" si="6"/>
        <v>65</v>
      </c>
      <c r="B75" s="322"/>
      <c r="C75" s="316"/>
      <c r="D75" s="317"/>
      <c r="E75" s="318"/>
      <c r="F75" s="266"/>
      <c r="G75" s="218"/>
      <c r="H75" s="230"/>
      <c r="I75" s="211" t="str">
        <f t="shared" si="0"/>
        <v/>
      </c>
      <c r="J75" s="276" t="str">
        <f t="shared" si="1"/>
        <v/>
      </c>
      <c r="K75" s="279"/>
      <c r="L75" s="280"/>
      <c r="M75" s="211" t="str">
        <f t="shared" si="2"/>
        <v/>
      </c>
      <c r="N75" s="230"/>
      <c r="O75" s="230"/>
      <c r="P75" s="211" t="str">
        <f t="shared" si="3"/>
        <v/>
      </c>
      <c r="Q75" s="229" t="str">
        <f t="shared" si="4"/>
        <v/>
      </c>
      <c r="R75" s="230"/>
      <c r="S75" s="230"/>
      <c r="T75" s="287"/>
      <c r="U75" s="286" t="str">
        <f t="shared" si="5"/>
        <v/>
      </c>
      <c r="V75" s="241"/>
    </row>
    <row r="76" spans="1:22" ht="14.45">
      <c r="A76" s="61">
        <f t="shared" si="6"/>
        <v>66</v>
      </c>
      <c r="B76" s="323"/>
      <c r="C76" s="319"/>
      <c r="D76" s="320"/>
      <c r="E76" s="321"/>
      <c r="F76" s="267"/>
      <c r="G76" s="216"/>
      <c r="H76" s="228"/>
      <c r="I76" s="211" t="str">
        <f t="shared" ref="I76:I110" si="7">IF(AND(F76="",G76=""),"",IF(F76&lt;7,F76+G76,F76+10+H76))</f>
        <v/>
      </c>
      <c r="J76" s="276" t="str">
        <f t="shared" ref="J76:J110" si="8">IF(I76="","",IF(F76&lt;7,IF(I76&lt;=10,"Full Refresher","Moderate Refresher"),IF(I76&lt;27,"Light Refresher","Grade Ready")))</f>
        <v/>
      </c>
      <c r="K76" s="277"/>
      <c r="L76" s="278"/>
      <c r="M76" s="211" t="str">
        <f t="shared" ref="M76:M110" si="9">IF($C$9&lt;&gt;"",IF(OR(K76=1,K76=2),IF(K76=1,M$7-L76,$P$7-L76),""),"")</f>
        <v/>
      </c>
      <c r="N76" s="228"/>
      <c r="O76" s="228"/>
      <c r="P76" s="211" t="str">
        <f t="shared" ref="P76:P110" si="10">IFERROR(IF(AND(K76&gt;0,M76&gt;0,OR(N76&gt;0,O76&gt;0)),(M76/((N76*60)+O76))*60,""),"")</f>
        <v/>
      </c>
      <c r="Q76" s="229" t="str">
        <f t="shared" ref="Q76:Q110" si="11">IFERROR(IF(OR(K76=1,K76=2),IF(K76=1,M76/$M$7,M76/$P$7),""),"")</f>
        <v/>
      </c>
      <c r="R76" s="228"/>
      <c r="S76" s="228"/>
      <c r="T76" s="285"/>
      <c r="U76" s="286" t="str">
        <f t="shared" ref="U76:U110" si="12">IF(J76&lt;&gt;"",IF(J76="Full Refresher","Low Emerging Reader",IF(AND(K76&gt;0,Q76&lt;&gt;""),IF(OR(Q76&lt;=25%,AND(Q76&gt;25%,Q76&lt;=50%,R76&lt;=1)),"High Emerging Reader",IF(OR(AND(Q76&gt;25%,Q76&lt;51%,R76&gt;=2),AND(Q76&gt;50%,Q76&lt;76%,R76&lt;=3)),"Developing Reader",IF(OR(AND(Q76&gt;=51%,Q76&lt;76%,R76&gt;=4),AND(Q76&gt;75%,R76&lt;=5)),"Transitioning Reader",IF(AND(Q76&gt;75%,R76&gt;=6),"Reading At Grade Level","")))),"")),"")</f>
        <v/>
      </c>
      <c r="V76" s="240"/>
    </row>
    <row r="77" spans="1:22" ht="14.45">
      <c r="A77" s="210">
        <f t="shared" si="6"/>
        <v>67</v>
      </c>
      <c r="B77" s="322"/>
      <c r="C77" s="316"/>
      <c r="D77" s="317"/>
      <c r="E77" s="318"/>
      <c r="F77" s="266"/>
      <c r="G77" s="218"/>
      <c r="H77" s="230"/>
      <c r="I77" s="211" t="str">
        <f t="shared" si="7"/>
        <v/>
      </c>
      <c r="J77" s="276" t="str">
        <f t="shared" si="8"/>
        <v/>
      </c>
      <c r="K77" s="279"/>
      <c r="L77" s="280"/>
      <c r="M77" s="211" t="str">
        <f t="shared" si="9"/>
        <v/>
      </c>
      <c r="N77" s="230"/>
      <c r="O77" s="230"/>
      <c r="P77" s="211" t="str">
        <f t="shared" si="10"/>
        <v/>
      </c>
      <c r="Q77" s="229" t="str">
        <f t="shared" si="11"/>
        <v/>
      </c>
      <c r="R77" s="230"/>
      <c r="S77" s="230"/>
      <c r="T77" s="287"/>
      <c r="U77" s="286" t="str">
        <f t="shared" si="12"/>
        <v/>
      </c>
      <c r="V77" s="241"/>
    </row>
    <row r="78" spans="1:22" ht="14.45">
      <c r="A78" s="61">
        <f t="shared" si="6"/>
        <v>68</v>
      </c>
      <c r="B78" s="323"/>
      <c r="C78" s="319"/>
      <c r="D78" s="320"/>
      <c r="E78" s="321"/>
      <c r="F78" s="267"/>
      <c r="G78" s="216"/>
      <c r="H78" s="228"/>
      <c r="I78" s="211" t="str">
        <f t="shared" si="7"/>
        <v/>
      </c>
      <c r="J78" s="276" t="str">
        <f t="shared" si="8"/>
        <v/>
      </c>
      <c r="K78" s="277"/>
      <c r="L78" s="278"/>
      <c r="M78" s="211" t="str">
        <f t="shared" si="9"/>
        <v/>
      </c>
      <c r="N78" s="228"/>
      <c r="O78" s="228"/>
      <c r="P78" s="211" t="str">
        <f t="shared" si="10"/>
        <v/>
      </c>
      <c r="Q78" s="229" t="str">
        <f t="shared" si="11"/>
        <v/>
      </c>
      <c r="R78" s="228"/>
      <c r="S78" s="228"/>
      <c r="T78" s="285"/>
      <c r="U78" s="286" t="str">
        <f t="shared" si="12"/>
        <v/>
      </c>
      <c r="V78" s="240"/>
    </row>
    <row r="79" spans="1:22" ht="14.45">
      <c r="A79" s="210">
        <f t="shared" si="6"/>
        <v>69</v>
      </c>
      <c r="B79" s="322"/>
      <c r="C79" s="316"/>
      <c r="D79" s="317"/>
      <c r="E79" s="318"/>
      <c r="F79" s="266"/>
      <c r="G79" s="218"/>
      <c r="H79" s="230"/>
      <c r="I79" s="211" t="str">
        <f t="shared" si="7"/>
        <v/>
      </c>
      <c r="J79" s="276" t="str">
        <f t="shared" si="8"/>
        <v/>
      </c>
      <c r="K79" s="279"/>
      <c r="L79" s="280"/>
      <c r="M79" s="211" t="str">
        <f t="shared" si="9"/>
        <v/>
      </c>
      <c r="N79" s="230"/>
      <c r="O79" s="230"/>
      <c r="P79" s="211" t="str">
        <f t="shared" si="10"/>
        <v/>
      </c>
      <c r="Q79" s="229" t="str">
        <f t="shared" si="11"/>
        <v/>
      </c>
      <c r="R79" s="230"/>
      <c r="S79" s="230"/>
      <c r="T79" s="287"/>
      <c r="U79" s="286" t="str">
        <f t="shared" si="12"/>
        <v/>
      </c>
      <c r="V79" s="241"/>
    </row>
    <row r="80" spans="1:22" ht="14.45">
      <c r="A80" s="61">
        <f t="shared" si="6"/>
        <v>70</v>
      </c>
      <c r="B80" s="323"/>
      <c r="C80" s="319"/>
      <c r="D80" s="320"/>
      <c r="E80" s="321"/>
      <c r="F80" s="267"/>
      <c r="G80" s="216"/>
      <c r="H80" s="228"/>
      <c r="I80" s="211" t="str">
        <f t="shared" si="7"/>
        <v/>
      </c>
      <c r="J80" s="276" t="str">
        <f t="shared" si="8"/>
        <v/>
      </c>
      <c r="K80" s="277"/>
      <c r="L80" s="278"/>
      <c r="M80" s="211" t="str">
        <f t="shared" si="9"/>
        <v/>
      </c>
      <c r="N80" s="228"/>
      <c r="O80" s="228"/>
      <c r="P80" s="211" t="str">
        <f t="shared" si="10"/>
        <v/>
      </c>
      <c r="Q80" s="229" t="str">
        <f t="shared" si="11"/>
        <v/>
      </c>
      <c r="R80" s="228"/>
      <c r="S80" s="228"/>
      <c r="T80" s="285"/>
      <c r="U80" s="286" t="str">
        <f t="shared" si="12"/>
        <v/>
      </c>
      <c r="V80" s="240"/>
    </row>
    <row r="81" spans="1:22" ht="14.45">
      <c r="A81" s="210">
        <f t="shared" si="6"/>
        <v>71</v>
      </c>
      <c r="B81" s="322"/>
      <c r="C81" s="316"/>
      <c r="D81" s="317"/>
      <c r="E81" s="318"/>
      <c r="F81" s="266"/>
      <c r="G81" s="218"/>
      <c r="H81" s="230"/>
      <c r="I81" s="211" t="str">
        <f t="shared" si="7"/>
        <v/>
      </c>
      <c r="J81" s="276" t="str">
        <f t="shared" si="8"/>
        <v/>
      </c>
      <c r="K81" s="279"/>
      <c r="L81" s="280"/>
      <c r="M81" s="211" t="str">
        <f t="shared" si="9"/>
        <v/>
      </c>
      <c r="N81" s="230"/>
      <c r="O81" s="230"/>
      <c r="P81" s="211" t="str">
        <f t="shared" si="10"/>
        <v/>
      </c>
      <c r="Q81" s="229" t="str">
        <f t="shared" si="11"/>
        <v/>
      </c>
      <c r="R81" s="230"/>
      <c r="S81" s="230"/>
      <c r="T81" s="287"/>
      <c r="U81" s="286" t="str">
        <f t="shared" si="12"/>
        <v/>
      </c>
      <c r="V81" s="241"/>
    </row>
    <row r="82" spans="1:22" ht="14.45">
      <c r="A82" s="61">
        <f t="shared" si="6"/>
        <v>72</v>
      </c>
      <c r="B82" s="323"/>
      <c r="C82" s="319"/>
      <c r="D82" s="320"/>
      <c r="E82" s="321"/>
      <c r="F82" s="267"/>
      <c r="G82" s="216"/>
      <c r="H82" s="228"/>
      <c r="I82" s="211" t="str">
        <f t="shared" si="7"/>
        <v/>
      </c>
      <c r="J82" s="276" t="str">
        <f t="shared" si="8"/>
        <v/>
      </c>
      <c r="K82" s="277"/>
      <c r="L82" s="278"/>
      <c r="M82" s="211" t="str">
        <f t="shared" si="9"/>
        <v/>
      </c>
      <c r="N82" s="228"/>
      <c r="O82" s="228"/>
      <c r="P82" s="211" t="str">
        <f t="shared" si="10"/>
        <v/>
      </c>
      <c r="Q82" s="229" t="str">
        <f t="shared" si="11"/>
        <v/>
      </c>
      <c r="R82" s="228"/>
      <c r="S82" s="228"/>
      <c r="T82" s="285"/>
      <c r="U82" s="286" t="str">
        <f t="shared" si="12"/>
        <v/>
      </c>
      <c r="V82" s="240"/>
    </row>
    <row r="83" spans="1:22" ht="14.45">
      <c r="A83" s="210">
        <f t="shared" si="6"/>
        <v>73</v>
      </c>
      <c r="B83" s="322"/>
      <c r="C83" s="316"/>
      <c r="D83" s="317"/>
      <c r="E83" s="318"/>
      <c r="F83" s="266"/>
      <c r="G83" s="218"/>
      <c r="H83" s="230"/>
      <c r="I83" s="211" t="str">
        <f t="shared" si="7"/>
        <v/>
      </c>
      <c r="J83" s="276" t="str">
        <f t="shared" si="8"/>
        <v/>
      </c>
      <c r="K83" s="279"/>
      <c r="L83" s="280"/>
      <c r="M83" s="211" t="str">
        <f t="shared" si="9"/>
        <v/>
      </c>
      <c r="N83" s="230"/>
      <c r="O83" s="230"/>
      <c r="P83" s="211" t="str">
        <f t="shared" si="10"/>
        <v/>
      </c>
      <c r="Q83" s="229" t="str">
        <f t="shared" si="11"/>
        <v/>
      </c>
      <c r="R83" s="230"/>
      <c r="S83" s="230"/>
      <c r="T83" s="287"/>
      <c r="U83" s="286" t="str">
        <f t="shared" si="12"/>
        <v/>
      </c>
      <c r="V83" s="241"/>
    </row>
    <row r="84" spans="1:22" ht="14.45">
      <c r="A84" s="61">
        <f t="shared" si="6"/>
        <v>74</v>
      </c>
      <c r="B84" s="323"/>
      <c r="C84" s="319"/>
      <c r="D84" s="320"/>
      <c r="E84" s="321"/>
      <c r="F84" s="267"/>
      <c r="G84" s="216"/>
      <c r="H84" s="228"/>
      <c r="I84" s="211" t="str">
        <f t="shared" si="7"/>
        <v/>
      </c>
      <c r="J84" s="276" t="str">
        <f t="shared" si="8"/>
        <v/>
      </c>
      <c r="K84" s="277"/>
      <c r="L84" s="278"/>
      <c r="M84" s="211" t="str">
        <f t="shared" si="9"/>
        <v/>
      </c>
      <c r="N84" s="228"/>
      <c r="O84" s="228"/>
      <c r="P84" s="211" t="str">
        <f t="shared" si="10"/>
        <v/>
      </c>
      <c r="Q84" s="229" t="str">
        <f t="shared" si="11"/>
        <v/>
      </c>
      <c r="R84" s="228"/>
      <c r="S84" s="228"/>
      <c r="T84" s="285"/>
      <c r="U84" s="286" t="str">
        <f t="shared" si="12"/>
        <v/>
      </c>
      <c r="V84" s="240"/>
    </row>
    <row r="85" spans="1:22" ht="14.45">
      <c r="A85" s="210">
        <f t="shared" si="6"/>
        <v>75</v>
      </c>
      <c r="B85" s="322"/>
      <c r="C85" s="316"/>
      <c r="D85" s="317"/>
      <c r="E85" s="318"/>
      <c r="F85" s="266"/>
      <c r="G85" s="218"/>
      <c r="H85" s="230"/>
      <c r="I85" s="211" t="str">
        <f t="shared" si="7"/>
        <v/>
      </c>
      <c r="J85" s="276" t="str">
        <f t="shared" si="8"/>
        <v/>
      </c>
      <c r="K85" s="279"/>
      <c r="L85" s="280"/>
      <c r="M85" s="211" t="str">
        <f t="shared" si="9"/>
        <v/>
      </c>
      <c r="N85" s="230"/>
      <c r="O85" s="230"/>
      <c r="P85" s="211" t="str">
        <f t="shared" si="10"/>
        <v/>
      </c>
      <c r="Q85" s="229" t="str">
        <f t="shared" si="11"/>
        <v/>
      </c>
      <c r="R85" s="230"/>
      <c r="S85" s="230"/>
      <c r="T85" s="287"/>
      <c r="U85" s="286" t="str">
        <f t="shared" si="12"/>
        <v/>
      </c>
      <c r="V85" s="241"/>
    </row>
    <row r="86" spans="1:22" ht="14.45">
      <c r="A86" s="61">
        <f t="shared" si="6"/>
        <v>76</v>
      </c>
      <c r="B86" s="323"/>
      <c r="C86" s="319"/>
      <c r="D86" s="320"/>
      <c r="E86" s="321"/>
      <c r="F86" s="267"/>
      <c r="G86" s="216"/>
      <c r="H86" s="228"/>
      <c r="I86" s="211" t="str">
        <f t="shared" si="7"/>
        <v/>
      </c>
      <c r="J86" s="276" t="str">
        <f t="shared" si="8"/>
        <v/>
      </c>
      <c r="K86" s="277"/>
      <c r="L86" s="278"/>
      <c r="M86" s="211" t="str">
        <f t="shared" si="9"/>
        <v/>
      </c>
      <c r="N86" s="228"/>
      <c r="O86" s="228"/>
      <c r="P86" s="211" t="str">
        <f t="shared" si="10"/>
        <v/>
      </c>
      <c r="Q86" s="229" t="str">
        <f t="shared" si="11"/>
        <v/>
      </c>
      <c r="R86" s="228"/>
      <c r="S86" s="228"/>
      <c r="T86" s="285"/>
      <c r="U86" s="286" t="str">
        <f t="shared" si="12"/>
        <v/>
      </c>
      <c r="V86" s="240"/>
    </row>
    <row r="87" spans="1:22" ht="14.45">
      <c r="A87" s="210">
        <f t="shared" si="6"/>
        <v>77</v>
      </c>
      <c r="B87" s="322"/>
      <c r="C87" s="316"/>
      <c r="D87" s="317"/>
      <c r="E87" s="318"/>
      <c r="F87" s="266"/>
      <c r="G87" s="218"/>
      <c r="H87" s="230"/>
      <c r="I87" s="211" t="str">
        <f t="shared" si="7"/>
        <v/>
      </c>
      <c r="J87" s="276" t="str">
        <f t="shared" si="8"/>
        <v/>
      </c>
      <c r="K87" s="279"/>
      <c r="L87" s="280"/>
      <c r="M87" s="211" t="str">
        <f t="shared" si="9"/>
        <v/>
      </c>
      <c r="N87" s="230"/>
      <c r="O87" s="230"/>
      <c r="P87" s="211" t="str">
        <f t="shared" si="10"/>
        <v/>
      </c>
      <c r="Q87" s="229" t="str">
        <f t="shared" si="11"/>
        <v/>
      </c>
      <c r="R87" s="230"/>
      <c r="S87" s="230"/>
      <c r="T87" s="287"/>
      <c r="U87" s="286" t="str">
        <f t="shared" si="12"/>
        <v/>
      </c>
      <c r="V87" s="241"/>
    </row>
    <row r="88" spans="1:22" ht="14.45">
      <c r="A88" s="61">
        <f t="shared" si="6"/>
        <v>78</v>
      </c>
      <c r="B88" s="323"/>
      <c r="C88" s="319"/>
      <c r="D88" s="320"/>
      <c r="E88" s="321"/>
      <c r="F88" s="267"/>
      <c r="G88" s="216"/>
      <c r="H88" s="228"/>
      <c r="I88" s="211" t="str">
        <f t="shared" si="7"/>
        <v/>
      </c>
      <c r="J88" s="276" t="str">
        <f t="shared" si="8"/>
        <v/>
      </c>
      <c r="K88" s="277"/>
      <c r="L88" s="278"/>
      <c r="M88" s="211" t="str">
        <f t="shared" si="9"/>
        <v/>
      </c>
      <c r="N88" s="228"/>
      <c r="O88" s="228"/>
      <c r="P88" s="211" t="str">
        <f t="shared" si="10"/>
        <v/>
      </c>
      <c r="Q88" s="229" t="str">
        <f t="shared" si="11"/>
        <v/>
      </c>
      <c r="R88" s="228"/>
      <c r="S88" s="228"/>
      <c r="T88" s="285"/>
      <c r="U88" s="286" t="str">
        <f t="shared" si="12"/>
        <v/>
      </c>
      <c r="V88" s="240"/>
    </row>
    <row r="89" spans="1:22" ht="14.45">
      <c r="A89" s="210">
        <f t="shared" si="6"/>
        <v>79</v>
      </c>
      <c r="B89" s="322"/>
      <c r="C89" s="316"/>
      <c r="D89" s="317"/>
      <c r="E89" s="318"/>
      <c r="F89" s="266"/>
      <c r="G89" s="218"/>
      <c r="H89" s="230"/>
      <c r="I89" s="211" t="str">
        <f t="shared" si="7"/>
        <v/>
      </c>
      <c r="J89" s="276" t="str">
        <f t="shared" si="8"/>
        <v/>
      </c>
      <c r="K89" s="279"/>
      <c r="L89" s="280"/>
      <c r="M89" s="211" t="str">
        <f t="shared" si="9"/>
        <v/>
      </c>
      <c r="N89" s="230"/>
      <c r="O89" s="230"/>
      <c r="P89" s="211" t="str">
        <f t="shared" si="10"/>
        <v/>
      </c>
      <c r="Q89" s="229" t="str">
        <f t="shared" si="11"/>
        <v/>
      </c>
      <c r="R89" s="230"/>
      <c r="S89" s="230"/>
      <c r="T89" s="287"/>
      <c r="U89" s="286" t="str">
        <f t="shared" si="12"/>
        <v/>
      </c>
      <c r="V89" s="241"/>
    </row>
    <row r="90" spans="1:22" ht="14.45">
      <c r="A90" s="61">
        <f t="shared" si="6"/>
        <v>80</v>
      </c>
      <c r="B90" s="323"/>
      <c r="C90" s="319"/>
      <c r="D90" s="320"/>
      <c r="E90" s="321"/>
      <c r="F90" s="267"/>
      <c r="G90" s="216"/>
      <c r="H90" s="228"/>
      <c r="I90" s="211" t="str">
        <f t="shared" si="7"/>
        <v/>
      </c>
      <c r="J90" s="276" t="str">
        <f t="shared" si="8"/>
        <v/>
      </c>
      <c r="K90" s="277"/>
      <c r="L90" s="278"/>
      <c r="M90" s="211" t="str">
        <f t="shared" si="9"/>
        <v/>
      </c>
      <c r="N90" s="228"/>
      <c r="O90" s="228"/>
      <c r="P90" s="211" t="str">
        <f t="shared" si="10"/>
        <v/>
      </c>
      <c r="Q90" s="229" t="str">
        <f t="shared" si="11"/>
        <v/>
      </c>
      <c r="R90" s="228"/>
      <c r="S90" s="228"/>
      <c r="T90" s="285"/>
      <c r="U90" s="286" t="str">
        <f t="shared" si="12"/>
        <v/>
      </c>
      <c r="V90" s="240"/>
    </row>
    <row r="91" spans="1:22" ht="14.45">
      <c r="A91" s="210">
        <f t="shared" si="6"/>
        <v>81</v>
      </c>
      <c r="B91" s="322"/>
      <c r="C91" s="316"/>
      <c r="D91" s="317"/>
      <c r="E91" s="318"/>
      <c r="F91" s="266"/>
      <c r="G91" s="218"/>
      <c r="H91" s="230"/>
      <c r="I91" s="211" t="str">
        <f t="shared" si="7"/>
        <v/>
      </c>
      <c r="J91" s="276" t="str">
        <f t="shared" si="8"/>
        <v/>
      </c>
      <c r="K91" s="279"/>
      <c r="L91" s="280"/>
      <c r="M91" s="211" t="str">
        <f t="shared" si="9"/>
        <v/>
      </c>
      <c r="N91" s="230"/>
      <c r="O91" s="230"/>
      <c r="P91" s="211" t="str">
        <f t="shared" si="10"/>
        <v/>
      </c>
      <c r="Q91" s="229" t="str">
        <f t="shared" si="11"/>
        <v/>
      </c>
      <c r="R91" s="230"/>
      <c r="S91" s="230"/>
      <c r="T91" s="287"/>
      <c r="U91" s="286" t="str">
        <f t="shared" si="12"/>
        <v/>
      </c>
      <c r="V91" s="241"/>
    </row>
    <row r="92" spans="1:22" ht="14.45">
      <c r="A92" s="61">
        <f t="shared" si="6"/>
        <v>82</v>
      </c>
      <c r="B92" s="323"/>
      <c r="C92" s="319"/>
      <c r="D92" s="320"/>
      <c r="E92" s="321"/>
      <c r="F92" s="267"/>
      <c r="G92" s="216"/>
      <c r="H92" s="228"/>
      <c r="I92" s="211" t="str">
        <f t="shared" si="7"/>
        <v/>
      </c>
      <c r="J92" s="276" t="str">
        <f t="shared" si="8"/>
        <v/>
      </c>
      <c r="K92" s="277"/>
      <c r="L92" s="278"/>
      <c r="M92" s="211" t="str">
        <f t="shared" si="9"/>
        <v/>
      </c>
      <c r="N92" s="228"/>
      <c r="O92" s="228"/>
      <c r="P92" s="211" t="str">
        <f t="shared" si="10"/>
        <v/>
      </c>
      <c r="Q92" s="229" t="str">
        <f t="shared" si="11"/>
        <v/>
      </c>
      <c r="R92" s="228"/>
      <c r="S92" s="228"/>
      <c r="T92" s="285"/>
      <c r="U92" s="286" t="str">
        <f t="shared" si="12"/>
        <v/>
      </c>
      <c r="V92" s="240"/>
    </row>
    <row r="93" spans="1:22" ht="14.45">
      <c r="A93" s="210">
        <f t="shared" si="6"/>
        <v>83</v>
      </c>
      <c r="B93" s="322"/>
      <c r="C93" s="316"/>
      <c r="D93" s="317"/>
      <c r="E93" s="318"/>
      <c r="F93" s="266"/>
      <c r="G93" s="218"/>
      <c r="H93" s="230"/>
      <c r="I93" s="211" t="str">
        <f t="shared" si="7"/>
        <v/>
      </c>
      <c r="J93" s="276" t="str">
        <f t="shared" si="8"/>
        <v/>
      </c>
      <c r="K93" s="279"/>
      <c r="L93" s="280"/>
      <c r="M93" s="211" t="str">
        <f t="shared" si="9"/>
        <v/>
      </c>
      <c r="N93" s="230"/>
      <c r="O93" s="230"/>
      <c r="P93" s="211" t="str">
        <f t="shared" si="10"/>
        <v/>
      </c>
      <c r="Q93" s="229" t="str">
        <f t="shared" si="11"/>
        <v/>
      </c>
      <c r="R93" s="230"/>
      <c r="S93" s="230"/>
      <c r="T93" s="287"/>
      <c r="U93" s="286" t="str">
        <f t="shared" si="12"/>
        <v/>
      </c>
      <c r="V93" s="241"/>
    </row>
    <row r="94" spans="1:22" ht="14.45">
      <c r="A94" s="61">
        <f t="shared" si="6"/>
        <v>84</v>
      </c>
      <c r="B94" s="323"/>
      <c r="C94" s="319"/>
      <c r="D94" s="320"/>
      <c r="E94" s="321"/>
      <c r="F94" s="267"/>
      <c r="G94" s="216"/>
      <c r="H94" s="228"/>
      <c r="I94" s="211" t="str">
        <f t="shared" si="7"/>
        <v/>
      </c>
      <c r="J94" s="276" t="str">
        <f t="shared" si="8"/>
        <v/>
      </c>
      <c r="K94" s="277"/>
      <c r="L94" s="278"/>
      <c r="M94" s="211" t="str">
        <f t="shared" si="9"/>
        <v/>
      </c>
      <c r="N94" s="228"/>
      <c r="O94" s="228"/>
      <c r="P94" s="211" t="str">
        <f t="shared" si="10"/>
        <v/>
      </c>
      <c r="Q94" s="229" t="str">
        <f t="shared" si="11"/>
        <v/>
      </c>
      <c r="R94" s="228"/>
      <c r="S94" s="228"/>
      <c r="T94" s="285"/>
      <c r="U94" s="286" t="str">
        <f t="shared" si="12"/>
        <v/>
      </c>
      <c r="V94" s="240"/>
    </row>
    <row r="95" spans="1:22" ht="14.45">
      <c r="A95" s="210">
        <f t="shared" si="6"/>
        <v>85</v>
      </c>
      <c r="B95" s="322"/>
      <c r="C95" s="316"/>
      <c r="D95" s="317"/>
      <c r="E95" s="318"/>
      <c r="F95" s="266"/>
      <c r="G95" s="218"/>
      <c r="H95" s="230"/>
      <c r="I95" s="211" t="str">
        <f t="shared" si="7"/>
        <v/>
      </c>
      <c r="J95" s="276" t="str">
        <f t="shared" si="8"/>
        <v/>
      </c>
      <c r="K95" s="279"/>
      <c r="L95" s="280"/>
      <c r="M95" s="211" t="str">
        <f t="shared" si="9"/>
        <v/>
      </c>
      <c r="N95" s="230"/>
      <c r="O95" s="230"/>
      <c r="P95" s="211" t="str">
        <f t="shared" si="10"/>
        <v/>
      </c>
      <c r="Q95" s="229" t="str">
        <f t="shared" si="11"/>
        <v/>
      </c>
      <c r="R95" s="230"/>
      <c r="S95" s="230"/>
      <c r="T95" s="287"/>
      <c r="U95" s="286" t="str">
        <f t="shared" si="12"/>
        <v/>
      </c>
      <c r="V95" s="241"/>
    </row>
    <row r="96" spans="1:22" ht="14.45">
      <c r="A96" s="61">
        <f t="shared" si="6"/>
        <v>86</v>
      </c>
      <c r="B96" s="323"/>
      <c r="C96" s="319"/>
      <c r="D96" s="320"/>
      <c r="E96" s="321"/>
      <c r="F96" s="267"/>
      <c r="G96" s="216"/>
      <c r="H96" s="228"/>
      <c r="I96" s="211" t="str">
        <f t="shared" si="7"/>
        <v/>
      </c>
      <c r="J96" s="276" t="str">
        <f t="shared" si="8"/>
        <v/>
      </c>
      <c r="K96" s="277"/>
      <c r="L96" s="278"/>
      <c r="M96" s="211" t="str">
        <f t="shared" si="9"/>
        <v/>
      </c>
      <c r="N96" s="228"/>
      <c r="O96" s="228"/>
      <c r="P96" s="211" t="str">
        <f t="shared" si="10"/>
        <v/>
      </c>
      <c r="Q96" s="229" t="str">
        <f t="shared" si="11"/>
        <v/>
      </c>
      <c r="R96" s="228"/>
      <c r="S96" s="228"/>
      <c r="T96" s="285"/>
      <c r="U96" s="286" t="str">
        <f t="shared" si="12"/>
        <v/>
      </c>
      <c r="V96" s="240"/>
    </row>
    <row r="97" spans="1:22" ht="14.45">
      <c r="A97" s="210">
        <f t="shared" si="6"/>
        <v>87</v>
      </c>
      <c r="B97" s="322"/>
      <c r="C97" s="316"/>
      <c r="D97" s="317"/>
      <c r="E97" s="318"/>
      <c r="F97" s="266"/>
      <c r="G97" s="218"/>
      <c r="H97" s="230"/>
      <c r="I97" s="211" t="str">
        <f t="shared" si="7"/>
        <v/>
      </c>
      <c r="J97" s="276" t="str">
        <f t="shared" si="8"/>
        <v/>
      </c>
      <c r="K97" s="279"/>
      <c r="L97" s="280"/>
      <c r="M97" s="211" t="str">
        <f t="shared" si="9"/>
        <v/>
      </c>
      <c r="N97" s="230"/>
      <c r="O97" s="230"/>
      <c r="P97" s="211" t="str">
        <f t="shared" si="10"/>
        <v/>
      </c>
      <c r="Q97" s="229" t="str">
        <f t="shared" si="11"/>
        <v/>
      </c>
      <c r="R97" s="230"/>
      <c r="S97" s="230"/>
      <c r="T97" s="287"/>
      <c r="U97" s="286" t="str">
        <f t="shared" si="12"/>
        <v/>
      </c>
      <c r="V97" s="241"/>
    </row>
    <row r="98" spans="1:22" ht="14.45">
      <c r="A98" s="61">
        <f t="shared" si="6"/>
        <v>88</v>
      </c>
      <c r="B98" s="323"/>
      <c r="C98" s="319"/>
      <c r="D98" s="320"/>
      <c r="E98" s="321"/>
      <c r="F98" s="267"/>
      <c r="G98" s="216"/>
      <c r="H98" s="228"/>
      <c r="I98" s="211" t="str">
        <f t="shared" si="7"/>
        <v/>
      </c>
      <c r="J98" s="276" t="str">
        <f t="shared" si="8"/>
        <v/>
      </c>
      <c r="K98" s="277"/>
      <c r="L98" s="278"/>
      <c r="M98" s="211" t="str">
        <f t="shared" si="9"/>
        <v/>
      </c>
      <c r="N98" s="228"/>
      <c r="O98" s="228"/>
      <c r="P98" s="211" t="str">
        <f t="shared" si="10"/>
        <v/>
      </c>
      <c r="Q98" s="229" t="str">
        <f t="shared" si="11"/>
        <v/>
      </c>
      <c r="R98" s="228"/>
      <c r="S98" s="228"/>
      <c r="T98" s="285"/>
      <c r="U98" s="286" t="str">
        <f t="shared" si="12"/>
        <v/>
      </c>
      <c r="V98" s="240"/>
    </row>
    <row r="99" spans="1:22" ht="14.45">
      <c r="A99" s="210">
        <f t="shared" si="6"/>
        <v>89</v>
      </c>
      <c r="B99" s="322"/>
      <c r="C99" s="316"/>
      <c r="D99" s="317"/>
      <c r="E99" s="318"/>
      <c r="F99" s="266"/>
      <c r="G99" s="218"/>
      <c r="H99" s="230"/>
      <c r="I99" s="211" t="str">
        <f t="shared" si="7"/>
        <v/>
      </c>
      <c r="J99" s="276" t="str">
        <f t="shared" si="8"/>
        <v/>
      </c>
      <c r="K99" s="279"/>
      <c r="L99" s="280"/>
      <c r="M99" s="211" t="str">
        <f t="shared" si="9"/>
        <v/>
      </c>
      <c r="N99" s="230"/>
      <c r="O99" s="230"/>
      <c r="P99" s="211" t="str">
        <f t="shared" si="10"/>
        <v/>
      </c>
      <c r="Q99" s="229" t="str">
        <f t="shared" si="11"/>
        <v/>
      </c>
      <c r="R99" s="230"/>
      <c r="S99" s="230"/>
      <c r="T99" s="287"/>
      <c r="U99" s="286" t="str">
        <f t="shared" si="12"/>
        <v/>
      </c>
      <c r="V99" s="241"/>
    </row>
    <row r="100" spans="1:22" ht="14.45">
      <c r="A100" s="61">
        <f t="shared" si="6"/>
        <v>90</v>
      </c>
      <c r="B100" s="323"/>
      <c r="C100" s="319"/>
      <c r="D100" s="320"/>
      <c r="E100" s="321"/>
      <c r="F100" s="267"/>
      <c r="G100" s="216"/>
      <c r="H100" s="228"/>
      <c r="I100" s="211" t="str">
        <f t="shared" si="7"/>
        <v/>
      </c>
      <c r="J100" s="276" t="str">
        <f t="shared" si="8"/>
        <v/>
      </c>
      <c r="K100" s="277"/>
      <c r="L100" s="278"/>
      <c r="M100" s="211" t="str">
        <f t="shared" si="9"/>
        <v/>
      </c>
      <c r="N100" s="228"/>
      <c r="O100" s="228"/>
      <c r="P100" s="211" t="str">
        <f t="shared" si="10"/>
        <v/>
      </c>
      <c r="Q100" s="229" t="str">
        <f t="shared" si="11"/>
        <v/>
      </c>
      <c r="R100" s="228"/>
      <c r="S100" s="228"/>
      <c r="T100" s="285"/>
      <c r="U100" s="286" t="str">
        <f t="shared" si="12"/>
        <v/>
      </c>
      <c r="V100" s="240"/>
    </row>
    <row r="101" spans="1:22" ht="14.45">
      <c r="A101" s="210">
        <f t="shared" si="6"/>
        <v>91</v>
      </c>
      <c r="B101" s="322"/>
      <c r="C101" s="316"/>
      <c r="D101" s="317"/>
      <c r="E101" s="318"/>
      <c r="F101" s="266"/>
      <c r="G101" s="218"/>
      <c r="H101" s="230"/>
      <c r="I101" s="211" t="str">
        <f t="shared" si="7"/>
        <v/>
      </c>
      <c r="J101" s="276" t="str">
        <f t="shared" si="8"/>
        <v/>
      </c>
      <c r="K101" s="279"/>
      <c r="L101" s="280"/>
      <c r="M101" s="211" t="str">
        <f t="shared" si="9"/>
        <v/>
      </c>
      <c r="N101" s="230"/>
      <c r="O101" s="230"/>
      <c r="P101" s="211" t="str">
        <f t="shared" si="10"/>
        <v/>
      </c>
      <c r="Q101" s="229" t="str">
        <f t="shared" si="11"/>
        <v/>
      </c>
      <c r="R101" s="230"/>
      <c r="S101" s="230"/>
      <c r="T101" s="287"/>
      <c r="U101" s="286" t="str">
        <f t="shared" si="12"/>
        <v/>
      </c>
      <c r="V101" s="241"/>
    </row>
    <row r="102" spans="1:22" ht="14.45">
      <c r="A102" s="61">
        <f t="shared" si="6"/>
        <v>92</v>
      </c>
      <c r="B102" s="323"/>
      <c r="C102" s="319"/>
      <c r="D102" s="320"/>
      <c r="E102" s="321"/>
      <c r="F102" s="267"/>
      <c r="G102" s="216"/>
      <c r="H102" s="228"/>
      <c r="I102" s="211" t="str">
        <f t="shared" si="7"/>
        <v/>
      </c>
      <c r="J102" s="276" t="str">
        <f t="shared" si="8"/>
        <v/>
      </c>
      <c r="K102" s="277"/>
      <c r="L102" s="278"/>
      <c r="M102" s="211" t="str">
        <f t="shared" si="9"/>
        <v/>
      </c>
      <c r="N102" s="228"/>
      <c r="O102" s="228"/>
      <c r="P102" s="211" t="str">
        <f t="shared" si="10"/>
        <v/>
      </c>
      <c r="Q102" s="229" t="str">
        <f t="shared" si="11"/>
        <v/>
      </c>
      <c r="R102" s="228"/>
      <c r="S102" s="228"/>
      <c r="T102" s="285"/>
      <c r="U102" s="286" t="str">
        <f t="shared" si="12"/>
        <v/>
      </c>
      <c r="V102" s="240"/>
    </row>
    <row r="103" spans="1:22" ht="14.45">
      <c r="A103" s="210">
        <f t="shared" si="6"/>
        <v>93</v>
      </c>
      <c r="B103" s="322"/>
      <c r="C103" s="316"/>
      <c r="D103" s="317"/>
      <c r="E103" s="318"/>
      <c r="F103" s="266"/>
      <c r="G103" s="218"/>
      <c r="H103" s="230"/>
      <c r="I103" s="211" t="str">
        <f t="shared" si="7"/>
        <v/>
      </c>
      <c r="J103" s="276" t="str">
        <f t="shared" si="8"/>
        <v/>
      </c>
      <c r="K103" s="279"/>
      <c r="L103" s="280"/>
      <c r="M103" s="211" t="str">
        <f t="shared" si="9"/>
        <v/>
      </c>
      <c r="N103" s="230"/>
      <c r="O103" s="230"/>
      <c r="P103" s="211" t="str">
        <f t="shared" si="10"/>
        <v/>
      </c>
      <c r="Q103" s="229" t="str">
        <f t="shared" si="11"/>
        <v/>
      </c>
      <c r="R103" s="230"/>
      <c r="S103" s="230"/>
      <c r="T103" s="287"/>
      <c r="U103" s="286" t="str">
        <f t="shared" si="12"/>
        <v/>
      </c>
      <c r="V103" s="241"/>
    </row>
    <row r="104" spans="1:22" ht="14.45">
      <c r="A104" s="61">
        <f t="shared" si="6"/>
        <v>94</v>
      </c>
      <c r="B104" s="323"/>
      <c r="C104" s="319"/>
      <c r="D104" s="320"/>
      <c r="E104" s="321"/>
      <c r="F104" s="267"/>
      <c r="G104" s="216"/>
      <c r="H104" s="228"/>
      <c r="I104" s="211" t="str">
        <f t="shared" si="7"/>
        <v/>
      </c>
      <c r="J104" s="276" t="str">
        <f t="shared" si="8"/>
        <v/>
      </c>
      <c r="K104" s="277"/>
      <c r="L104" s="278"/>
      <c r="M104" s="211" t="str">
        <f t="shared" si="9"/>
        <v/>
      </c>
      <c r="N104" s="228"/>
      <c r="O104" s="228"/>
      <c r="P104" s="211" t="str">
        <f t="shared" si="10"/>
        <v/>
      </c>
      <c r="Q104" s="229" t="str">
        <f t="shared" si="11"/>
        <v/>
      </c>
      <c r="R104" s="228"/>
      <c r="S104" s="228"/>
      <c r="T104" s="285"/>
      <c r="U104" s="286" t="str">
        <f t="shared" si="12"/>
        <v/>
      </c>
      <c r="V104" s="240"/>
    </row>
    <row r="105" spans="1:22" ht="14.45">
      <c r="A105" s="210">
        <f t="shared" si="6"/>
        <v>95</v>
      </c>
      <c r="B105" s="322"/>
      <c r="C105" s="316"/>
      <c r="D105" s="317"/>
      <c r="E105" s="318"/>
      <c r="F105" s="266"/>
      <c r="G105" s="218"/>
      <c r="H105" s="230"/>
      <c r="I105" s="211" t="str">
        <f t="shared" si="7"/>
        <v/>
      </c>
      <c r="J105" s="276" t="str">
        <f t="shared" si="8"/>
        <v/>
      </c>
      <c r="K105" s="279"/>
      <c r="L105" s="280"/>
      <c r="M105" s="211" t="str">
        <f t="shared" si="9"/>
        <v/>
      </c>
      <c r="N105" s="230"/>
      <c r="O105" s="230"/>
      <c r="P105" s="211" t="str">
        <f t="shared" si="10"/>
        <v/>
      </c>
      <c r="Q105" s="229" t="str">
        <f t="shared" si="11"/>
        <v/>
      </c>
      <c r="R105" s="230"/>
      <c r="S105" s="230"/>
      <c r="T105" s="287"/>
      <c r="U105" s="286" t="str">
        <f t="shared" si="12"/>
        <v/>
      </c>
      <c r="V105" s="241"/>
    </row>
    <row r="106" spans="1:22" ht="14.45">
      <c r="A106" s="61">
        <f t="shared" si="6"/>
        <v>96</v>
      </c>
      <c r="B106" s="323"/>
      <c r="C106" s="319"/>
      <c r="D106" s="320"/>
      <c r="E106" s="321"/>
      <c r="F106" s="267"/>
      <c r="G106" s="216"/>
      <c r="H106" s="228"/>
      <c r="I106" s="211" t="str">
        <f t="shared" si="7"/>
        <v/>
      </c>
      <c r="J106" s="276" t="str">
        <f t="shared" si="8"/>
        <v/>
      </c>
      <c r="K106" s="277"/>
      <c r="L106" s="278"/>
      <c r="M106" s="211" t="str">
        <f t="shared" si="9"/>
        <v/>
      </c>
      <c r="N106" s="228"/>
      <c r="O106" s="228"/>
      <c r="P106" s="211" t="str">
        <f t="shared" si="10"/>
        <v/>
      </c>
      <c r="Q106" s="229" t="str">
        <f t="shared" si="11"/>
        <v/>
      </c>
      <c r="R106" s="228"/>
      <c r="S106" s="228"/>
      <c r="T106" s="285"/>
      <c r="U106" s="286" t="str">
        <f t="shared" si="12"/>
        <v/>
      </c>
      <c r="V106" s="240"/>
    </row>
    <row r="107" spans="1:22" ht="14.45">
      <c r="A107" s="210">
        <f t="shared" si="6"/>
        <v>97</v>
      </c>
      <c r="B107" s="322"/>
      <c r="C107" s="316"/>
      <c r="D107" s="317"/>
      <c r="E107" s="318"/>
      <c r="F107" s="266"/>
      <c r="G107" s="218"/>
      <c r="H107" s="230"/>
      <c r="I107" s="211" t="str">
        <f t="shared" si="7"/>
        <v/>
      </c>
      <c r="J107" s="276" t="str">
        <f t="shared" si="8"/>
        <v/>
      </c>
      <c r="K107" s="279"/>
      <c r="L107" s="280"/>
      <c r="M107" s="211" t="str">
        <f t="shared" si="9"/>
        <v/>
      </c>
      <c r="N107" s="230"/>
      <c r="O107" s="230"/>
      <c r="P107" s="211" t="str">
        <f t="shared" si="10"/>
        <v/>
      </c>
      <c r="Q107" s="229" t="str">
        <f t="shared" si="11"/>
        <v/>
      </c>
      <c r="R107" s="230"/>
      <c r="S107" s="230"/>
      <c r="T107" s="287"/>
      <c r="U107" s="286" t="str">
        <f t="shared" si="12"/>
        <v/>
      </c>
      <c r="V107" s="241"/>
    </row>
    <row r="108" spans="1:22" ht="14.45">
      <c r="A108" s="61">
        <f t="shared" si="6"/>
        <v>98</v>
      </c>
      <c r="B108" s="323"/>
      <c r="C108" s="319"/>
      <c r="D108" s="320"/>
      <c r="E108" s="321"/>
      <c r="F108" s="267"/>
      <c r="G108" s="216"/>
      <c r="H108" s="228"/>
      <c r="I108" s="211" t="str">
        <f t="shared" si="7"/>
        <v/>
      </c>
      <c r="J108" s="276" t="str">
        <f t="shared" si="8"/>
        <v/>
      </c>
      <c r="K108" s="277"/>
      <c r="L108" s="278"/>
      <c r="M108" s="211" t="str">
        <f t="shared" si="9"/>
        <v/>
      </c>
      <c r="N108" s="228"/>
      <c r="O108" s="228"/>
      <c r="P108" s="211" t="str">
        <f t="shared" si="10"/>
        <v/>
      </c>
      <c r="Q108" s="229" t="str">
        <f t="shared" si="11"/>
        <v/>
      </c>
      <c r="R108" s="228"/>
      <c r="S108" s="228"/>
      <c r="T108" s="285"/>
      <c r="U108" s="286" t="str">
        <f t="shared" si="12"/>
        <v/>
      </c>
      <c r="V108" s="240"/>
    </row>
    <row r="109" spans="1:22" ht="14.45">
      <c r="A109" s="210">
        <f t="shared" si="6"/>
        <v>99</v>
      </c>
      <c r="B109" s="322"/>
      <c r="C109" s="316"/>
      <c r="D109" s="317"/>
      <c r="E109" s="318"/>
      <c r="F109" s="266"/>
      <c r="G109" s="218"/>
      <c r="H109" s="230"/>
      <c r="I109" s="211" t="str">
        <f t="shared" si="7"/>
        <v/>
      </c>
      <c r="J109" s="276" t="str">
        <f t="shared" si="8"/>
        <v/>
      </c>
      <c r="K109" s="279"/>
      <c r="L109" s="280"/>
      <c r="M109" s="211" t="str">
        <f t="shared" si="9"/>
        <v/>
      </c>
      <c r="N109" s="230"/>
      <c r="O109" s="230"/>
      <c r="P109" s="211" t="str">
        <f t="shared" si="10"/>
        <v/>
      </c>
      <c r="Q109" s="229" t="str">
        <f t="shared" si="11"/>
        <v/>
      </c>
      <c r="R109" s="230"/>
      <c r="S109" s="230"/>
      <c r="T109" s="287"/>
      <c r="U109" s="286" t="str">
        <f t="shared" si="12"/>
        <v/>
      </c>
      <c r="V109" s="241"/>
    </row>
    <row r="110" spans="1:22" ht="14.45">
      <c r="A110" s="242">
        <v>100</v>
      </c>
      <c r="B110" s="324"/>
      <c r="C110" s="325"/>
      <c r="D110" s="326"/>
      <c r="E110" s="327"/>
      <c r="F110" s="290"/>
      <c r="G110" s="248"/>
      <c r="H110" s="249"/>
      <c r="I110" s="243" t="str">
        <f t="shared" si="7"/>
        <v/>
      </c>
      <c r="J110" s="291" t="str">
        <f t="shared" si="8"/>
        <v/>
      </c>
      <c r="K110" s="292"/>
      <c r="L110" s="293"/>
      <c r="M110" s="243" t="str">
        <f t="shared" si="9"/>
        <v/>
      </c>
      <c r="N110" s="249"/>
      <c r="O110" s="249"/>
      <c r="P110" s="243" t="str">
        <f t="shared" si="10"/>
        <v/>
      </c>
      <c r="Q110" s="250" t="str">
        <f t="shared" si="11"/>
        <v/>
      </c>
      <c r="R110" s="249"/>
      <c r="S110" s="249"/>
      <c r="T110" s="294"/>
      <c r="U110" s="295" t="str">
        <f t="shared" si="12"/>
        <v/>
      </c>
      <c r="V110" s="252"/>
    </row>
    <row r="111" spans="1:22" ht="14.45"/>
    <row r="112" spans="1:22" ht="14.45"/>
    <row r="113" ht="14.45"/>
    <row r="114" ht="14.45"/>
    <row r="115" ht="14.45"/>
  </sheetData>
  <sheetProtection algorithmName="SHA-512" hashValue="jvEX5Exbjs62x21EbttTWo15XJKGCOHKY6PkovJrDKrHwnaEcd1dZMnZMWmpAbK1/Wtvo+a7Mrr7IpuBd/u9mg==" saltValue="gBjNhnWG/3FNZhEr8TZQQg==" spinCount="100000" sheet="1" objects="1" scenarios="1" formatRows="0" selectLockedCells="1" autoFilter="0"/>
  <autoFilter ref="A10:U110" xr:uid="{00000000-0009-0000-0000-000000000000}">
    <filterColumn colId="12">
      <filters blank="1">
        <filter val="100"/>
        <filter val="101"/>
        <filter val="103"/>
        <filter val="109"/>
        <filter val="111"/>
        <filter val="114"/>
        <filter val="116"/>
        <filter val="118"/>
        <filter val="119"/>
        <filter val="120"/>
        <filter val="53"/>
        <filter val="65"/>
        <filter val="72"/>
      </filters>
    </filterColumn>
  </autoFilter>
  <mergeCells count="25">
    <mergeCell ref="A3:B3"/>
    <mergeCell ref="A4:B4"/>
    <mergeCell ref="G4:H4"/>
    <mergeCell ref="A5:B5"/>
    <mergeCell ref="A6:B6"/>
    <mergeCell ref="A7:B7"/>
    <mergeCell ref="D7:E7"/>
    <mergeCell ref="N7:O7"/>
    <mergeCell ref="A8:B8"/>
    <mergeCell ref="A9:B9"/>
    <mergeCell ref="N10:O10"/>
    <mergeCell ref="F7:F9"/>
    <mergeCell ref="G7:G9"/>
    <mergeCell ref="H7:H9"/>
    <mergeCell ref="I7:I9"/>
    <mergeCell ref="J5:J9"/>
    <mergeCell ref="K8:K9"/>
    <mergeCell ref="L8:L9"/>
    <mergeCell ref="M8:M9"/>
    <mergeCell ref="P8:P9"/>
    <mergeCell ref="U6:V9"/>
    <mergeCell ref="N8:O9"/>
    <mergeCell ref="F5:I6"/>
    <mergeCell ref="K5:P6"/>
    <mergeCell ref="Q6:T9"/>
  </mergeCells>
  <conditionalFormatting sqref="C5">
    <cfRule type="containsText" dxfId="53" priority="15" operator="containsText" text="[enter school school id here]">
      <formula>NOT(ISERROR(SEARCH("[enter school school id here]",C5)))</formula>
    </cfRule>
  </conditionalFormatting>
  <conditionalFormatting sqref="C6">
    <cfRule type="containsText" dxfId="52" priority="16" operator="containsText" text="[enter teacher name here]">
      <formula>NOT(ISERROR(SEARCH("[enter teacher name here]",C6)))</formula>
    </cfRule>
  </conditionalFormatting>
  <conditionalFormatting sqref="C9">
    <cfRule type="containsText" dxfId="51" priority="7" operator="containsText" text="[choose language here]">
      <formula>NOT(ISERROR(SEARCH("[choose language here]",C9)))</formula>
    </cfRule>
  </conditionalFormatting>
  <conditionalFormatting sqref="D9:E9">
    <cfRule type="expression" dxfId="50" priority="8">
      <formula>$X$9=1</formula>
    </cfRule>
  </conditionalFormatting>
  <conditionalFormatting sqref="G11:G110">
    <cfRule type="expression" dxfId="49" priority="2">
      <formula>$F11&gt;6</formula>
    </cfRule>
  </conditionalFormatting>
  <conditionalFormatting sqref="H11:H110">
    <cfRule type="expression" dxfId="48" priority="1">
      <formula>$F11&lt;7</formula>
    </cfRule>
  </conditionalFormatting>
  <conditionalFormatting sqref="I4">
    <cfRule type="cellIs" dxfId="47" priority="13" operator="notEqual">
      <formula>$F$4</formula>
    </cfRule>
    <cfRule type="cellIs" dxfId="46" priority="17" operator="lessThan">
      <formula>#REF!+#REF!</formula>
    </cfRule>
    <cfRule type="cellIs" dxfId="45" priority="18" operator="lessThan">
      <formula>#REF!+#REF!</formula>
    </cfRule>
  </conditionalFormatting>
  <conditionalFormatting sqref="J11:J110">
    <cfRule type="containsText" dxfId="44" priority="6" operator="containsText" text="Full">
      <formula>NOT(ISERROR(SEARCH("Full",J11)))</formula>
    </cfRule>
  </conditionalFormatting>
  <conditionalFormatting sqref="K11:T110">
    <cfRule type="expression" dxfId="43" priority="9">
      <formula>$J11="Full Refresher"</formula>
    </cfRule>
  </conditionalFormatting>
  <conditionalFormatting sqref="U11:U110">
    <cfRule type="containsText" dxfId="42" priority="3" operator="containsText" text="Grade Level">
      <formula>NOT(ISERROR(SEARCH("Grade Level",U11)))</formula>
    </cfRule>
    <cfRule type="containsText" dxfId="41" priority="4" operator="containsText" text="High">
      <formula>NOT(ISERROR(SEARCH("High",U11)))</formula>
    </cfRule>
    <cfRule type="containsText" dxfId="40" priority="5" operator="containsText" text="Low">
      <formula>NOT(ISERROR(SEARCH("Low",U11)))</formula>
    </cfRule>
    <cfRule type="expression" dxfId="39" priority="10">
      <formula>AND($J11="Grade Ready",#REF!="Full Intervention")</formula>
    </cfRule>
  </conditionalFormatting>
  <dataValidations count="21">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119 to 121" sqref="D9:E9" xr:uid="{00000000-0002-0000-0000-000007000000}">
      <formula1>119</formula1>
      <formula2>121</formula2>
    </dataValidation>
    <dataValidation allowBlank="1" showInputMessage="1" showErrorMessage="1" error="Enter Level between 1 to 4" sqref="U11:V11 U12:U110" xr:uid="{00000000-0002-0000-0000-000008000000}"/>
    <dataValidation type="list" allowBlank="1" showInputMessage="1" showErrorMessage="1" sqref="D11:D110" xr:uid="{00000000-0002-0000-0000-000009000000}">
      <formula1>"Male, Female"</formula1>
    </dataValidation>
    <dataValidation type="date" errorStyle="warning" allowBlank="1" showInputMessage="1" showErrorMessage="1" error="Enter the Date of Assessment in Correct Format (mm/dd/yy)" sqref="E11:E110" xr:uid="{00000000-0002-0000-0000-00000A000000}">
      <formula1>44197</formula1>
      <formula2>55153</formula2>
    </dataValidation>
    <dataValidation type="whole" allowBlank="1" showInputMessage="1" showErrorMessage="1" error="Enter Score between 0 to 10" sqref="F11:F110" xr:uid="{00000000-0002-0000-0000-00000B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000-00000C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D000000}">
      <formula1>AND($F11&gt;6,$H11&lt;11)</formula1>
    </dataValidation>
    <dataValidation type="whole" allowBlank="1" showInputMessage="1" showErrorMessage="1" error="Story 1 or 2" sqref="K11:K110" xr:uid="{00000000-0002-0000-0000-00000E000000}">
      <formula1>1</formula1>
      <formula2>2</formula2>
    </dataValidation>
    <dataValidation type="whole" allowBlank="1" showInputMessage="1" showErrorMessage="1" error="Enter Number of Miscue between 0 to 121" sqref="L11:L110" xr:uid="{00000000-0002-0000-0000-00000F000000}">
      <formula1>0</formula1>
      <formula2>121</formula2>
    </dataValidation>
    <dataValidation allowBlank="1" showInputMessage="1" showErrorMessage="1" errorTitle="Error Message" error="Total Number of Words must be less than or equal to 96" sqref="M11:M110" xr:uid="{00000000-0002-0000-0000-000010000000}"/>
    <dataValidation type="whole" allowBlank="1" showInputMessage="1" showErrorMessage="1" errorTitle="Error Message" error="Must not exceed 3 minutes" sqref="N11:N110" xr:uid="{00000000-0002-0000-0000-000011000000}">
      <formula1>0</formula1>
      <formula2>3</formula2>
    </dataValidation>
    <dataValidation type="whole" allowBlank="1" showInputMessage="1" showErrorMessage="1" errorTitle="Error Message" error="Number of seconds between 0 to 59" sqref="O11:O110" xr:uid="{00000000-0002-0000-0000-000012000000}">
      <formula1>0</formula1>
      <formula2>59</formula2>
    </dataValidation>
    <dataValidation type="whole" allowBlank="1" showInputMessage="1" showErrorMessage="1" error="Enter Answer between 0 to 7" sqref="R11:R110" xr:uid="{00000000-0002-0000-0000-000013000000}">
      <formula1>0</formula1>
      <formula2>7</formula2>
    </dataValidation>
    <dataValidation type="whole" allowBlank="1" showInputMessage="1" showErrorMessage="1" error="Enter Leaner Experience from 1 - 5" sqref="S11:S110" xr:uid="{00000000-0002-0000-0000-000014000000}">
      <formula1>1</formula1>
      <formula2>5</formula2>
    </dataValidation>
    <dataValidation type="list" allowBlank="1" showInputMessage="1" showErrorMessage="1" error="Enter Level between 1 to 4" sqref="T11:T110" xr:uid="{00000000-0002-0000-0000-000015000000}">
      <formula1>"Level 1, Level 2, Level 3, Level 4"</formula1>
    </dataValidation>
  </dataValidations>
  <pageMargins left="0.37" right="0.23" top="0.75" bottom="0.75" header="0.3" footer="0.3"/>
  <pageSetup paperSize="256" scale="55" orientation="landscape"/>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6000000}">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B115"/>
  <sheetViews>
    <sheetView zoomScale="60" zoomScaleNormal="60" workbookViewId="0">
      <pane xSplit="3" ySplit="10" topLeftCell="D11" activePane="bottomRight" state="frozen"/>
      <selection pane="bottomRight" activeCell="T35" sqref="T35"/>
      <selection pane="bottomLeft"/>
      <selection pane="topRight"/>
    </sheetView>
  </sheetViews>
  <sheetFormatPr defaultColWidth="0" defaultRowHeight="15" customHeight="1" zeroHeight="1"/>
  <cols>
    <col min="1" max="1" width="4.75" customWidth="1"/>
    <col min="2" max="2" width="15.5" style="17" customWidth="1"/>
    <col min="3" max="3" width="27.5" customWidth="1"/>
    <col min="4" max="4" width="12.125" style="1" customWidth="1"/>
    <col min="5" max="6" width="11.75" style="1" customWidth="1"/>
    <col min="7" max="7" width="10" style="1" customWidth="1"/>
    <col min="8" max="8" width="10.125" style="1" customWidth="1"/>
    <col min="9" max="9" width="9.125" style="1" customWidth="1"/>
    <col min="10" max="10" width="19.75" style="183" customWidth="1"/>
    <col min="11" max="11" width="10.25" style="1" customWidth="1"/>
    <col min="12" max="12" width="8.75" style="1" customWidth="1"/>
    <col min="13" max="13" width="9.5" style="1" customWidth="1"/>
    <col min="14" max="14" width="6.125" style="1" customWidth="1"/>
    <col min="15" max="15" width="5.125" style="1" customWidth="1"/>
    <col min="16" max="16" width="10.25" style="1" customWidth="1"/>
    <col min="17" max="17" width="9.5" style="1" customWidth="1"/>
    <col min="18" max="18" width="10.875" style="1" customWidth="1"/>
    <col min="19" max="19" width="11.75" style="1" customWidth="1"/>
    <col min="20" max="20" width="10.75" style="1" customWidth="1"/>
    <col min="21" max="21" width="23.5" style="1" customWidth="1"/>
    <col min="22" max="22" width="34" customWidth="1"/>
    <col min="23" max="23" width="8.875" customWidth="1"/>
    <col min="24" max="24" width="10.75" hidden="1" customWidth="1"/>
    <col min="25" max="26" width="8.875" hidden="1" customWidth="1"/>
    <col min="27" max="27" width="10.75" customWidth="1"/>
    <col min="28" max="28" width="0" hidden="1" customWidth="1"/>
    <col min="29" max="16384" width="10.75" hidden="1"/>
  </cols>
  <sheetData>
    <row r="1" spans="1:26" ht="22.15" customHeight="1">
      <c r="A1" t="str">
        <f>'G3 MT Reading Scoresheet'!$A$1</f>
        <v>CRLA2v1</v>
      </c>
    </row>
    <row r="2" spans="1:26" ht="18" customHeight="1"/>
    <row r="3" spans="1:26" ht="27" customHeight="1">
      <c r="A3" s="369" t="s">
        <v>1</v>
      </c>
      <c r="B3" s="370"/>
      <c r="C3" s="184" t="str">
        <f>'G3 MT Reading Scoresheet'!$C$3</f>
        <v>EoSY</v>
      </c>
    </row>
    <row r="4" spans="1:26" ht="18.600000000000001" customHeight="1">
      <c r="A4" s="371" t="s">
        <v>3</v>
      </c>
      <c r="B4" s="372"/>
      <c r="C4" s="253">
        <f>'G3 MT Reading Scoresheet'!C4</f>
        <v>117443</v>
      </c>
      <c r="D4" s="384" t="s">
        <v>4</v>
      </c>
      <c r="E4" s="385"/>
      <c r="F4" s="186">
        <f>D6+E6</f>
        <v>25</v>
      </c>
      <c r="G4" s="373" t="s">
        <v>5</v>
      </c>
      <c r="H4" s="373"/>
      <c r="I4" s="188">
        <f>COUNTIF(F11:F110,"&lt;&gt;")</f>
        <v>25</v>
      </c>
      <c r="J4" s="219"/>
      <c r="K4" s="220"/>
      <c r="L4" s="220"/>
      <c r="M4" s="220"/>
      <c r="N4" s="220"/>
      <c r="O4" s="220"/>
      <c r="P4" s="220"/>
      <c r="Q4" s="220"/>
      <c r="R4" s="220"/>
      <c r="S4" s="220"/>
      <c r="T4" s="220"/>
      <c r="U4" s="220"/>
      <c r="V4" s="231"/>
    </row>
    <row r="5" spans="1:26" ht="18" customHeight="1">
      <c r="A5" s="374" t="s">
        <v>6</v>
      </c>
      <c r="B5" s="386"/>
      <c r="C5" s="254" t="str">
        <f>'G3 MT Reading Scoresheet'!C5</f>
        <v>ROMANA ELEM. SCHOOL</v>
      </c>
      <c r="D5" s="255" t="s">
        <v>8</v>
      </c>
      <c r="E5" s="256" t="s">
        <v>9</v>
      </c>
      <c r="F5" s="378" t="s">
        <v>10</v>
      </c>
      <c r="G5" s="379"/>
      <c r="H5" s="379"/>
      <c r="I5" s="379"/>
      <c r="J5" s="357" t="s">
        <v>85</v>
      </c>
      <c r="K5" s="341" t="s">
        <v>12</v>
      </c>
      <c r="L5" s="342"/>
      <c r="M5" s="342"/>
      <c r="N5" s="342"/>
      <c r="O5" s="342"/>
      <c r="P5" s="342"/>
      <c r="Q5" s="221"/>
      <c r="R5" s="221"/>
      <c r="S5" s="221"/>
      <c r="T5" s="221"/>
      <c r="U5" s="221"/>
      <c r="V5" s="232"/>
    </row>
    <row r="6" spans="1:26" ht="19.899999999999999" customHeight="1">
      <c r="A6" s="362" t="s">
        <v>13</v>
      </c>
      <c r="B6" s="363"/>
      <c r="C6" s="254" t="str">
        <f>'G3 MT Reading Scoresheet'!C6</f>
        <v>KEMBERLY G. BELMIS</v>
      </c>
      <c r="D6" s="257">
        <f>'G3 MT Reading Scoresheet'!D6</f>
        <v>10</v>
      </c>
      <c r="E6" s="258">
        <f>'G3 MT Reading Scoresheet'!E6</f>
        <v>15</v>
      </c>
      <c r="F6" s="380"/>
      <c r="G6" s="381"/>
      <c r="H6" s="381"/>
      <c r="I6" s="381"/>
      <c r="J6" s="358"/>
      <c r="K6" s="343"/>
      <c r="L6" s="344"/>
      <c r="M6" s="344"/>
      <c r="N6" s="344"/>
      <c r="O6" s="344"/>
      <c r="P6" s="344"/>
      <c r="Q6" s="345"/>
      <c r="R6" s="346"/>
      <c r="S6" s="346"/>
      <c r="T6" s="347"/>
      <c r="U6" s="331"/>
      <c r="V6" s="332"/>
    </row>
    <row r="7" spans="1:26" ht="29.45" customHeight="1">
      <c r="A7" s="362" t="s">
        <v>15</v>
      </c>
      <c r="B7" s="363"/>
      <c r="C7" s="254" t="str">
        <f>'G3 MT Reading Scoresheet'!C7</f>
        <v>Grade 3</v>
      </c>
      <c r="D7" s="382" t="s">
        <v>17</v>
      </c>
      <c r="E7" s="383"/>
      <c r="F7" s="376" t="s">
        <v>18</v>
      </c>
      <c r="G7" s="352" t="s">
        <v>20</v>
      </c>
      <c r="H7" s="352" t="s">
        <v>21</v>
      </c>
      <c r="I7" s="353" t="s">
        <v>86</v>
      </c>
      <c r="J7" s="358"/>
      <c r="K7" s="269" t="s">
        <v>22</v>
      </c>
      <c r="L7" s="270" t="s">
        <v>23</v>
      </c>
      <c r="M7" s="271">
        <f>_xlfn.IFNA(IF(X9=1,Y9,D9),"")</f>
        <v>121</v>
      </c>
      <c r="N7" s="366" t="s">
        <v>24</v>
      </c>
      <c r="O7" s="366"/>
      <c r="P7" s="271">
        <f>_xlfn.IFNA(IF(X9=1,Z9,E9),"")</f>
        <v>121</v>
      </c>
      <c r="Q7" s="348"/>
      <c r="R7" s="331"/>
      <c r="S7" s="331"/>
      <c r="T7" s="332"/>
      <c r="U7" s="331"/>
      <c r="V7" s="332"/>
    </row>
    <row r="8" spans="1:26" ht="17.45" customHeight="1">
      <c r="A8" s="362" t="s">
        <v>25</v>
      </c>
      <c r="B8" s="363"/>
      <c r="C8" s="254">
        <f>'G3 MT Reading Scoresheet'!C8</f>
        <v>1</v>
      </c>
      <c r="D8" s="259" t="s">
        <v>23</v>
      </c>
      <c r="E8" s="260" t="s">
        <v>24</v>
      </c>
      <c r="F8" s="376"/>
      <c r="G8" s="352"/>
      <c r="H8" s="352"/>
      <c r="I8" s="377"/>
      <c r="J8" s="358"/>
      <c r="K8" s="359" t="s">
        <v>26</v>
      </c>
      <c r="L8" s="355" t="s">
        <v>27</v>
      </c>
      <c r="M8" s="355" t="s">
        <v>28</v>
      </c>
      <c r="N8" s="333" t="s">
        <v>29</v>
      </c>
      <c r="O8" s="334"/>
      <c r="P8" s="329" t="s">
        <v>30</v>
      </c>
      <c r="Q8" s="348"/>
      <c r="R8" s="331"/>
      <c r="S8" s="331"/>
      <c r="T8" s="332"/>
      <c r="U8" s="331"/>
      <c r="V8" s="332"/>
    </row>
    <row r="9" spans="1:26" ht="20.45" customHeight="1">
      <c r="A9" s="367" t="s">
        <v>31</v>
      </c>
      <c r="B9" s="368"/>
      <c r="C9" s="261" t="s">
        <v>87</v>
      </c>
      <c r="D9" s="262"/>
      <c r="E9" s="263"/>
      <c r="F9" s="359"/>
      <c r="G9" s="353"/>
      <c r="H9" s="353"/>
      <c r="I9" s="377"/>
      <c r="J9" s="358"/>
      <c r="K9" s="360"/>
      <c r="L9" s="361"/>
      <c r="M9" s="361"/>
      <c r="N9" s="335"/>
      <c r="O9" s="336"/>
      <c r="P9" s="330"/>
      <c r="Q9" s="348"/>
      <c r="R9" s="331"/>
      <c r="S9" s="331"/>
      <c r="T9" s="332"/>
      <c r="U9" s="331"/>
      <c r="V9" s="332"/>
      <c r="X9" s="281">
        <f>IF(_xlfn.IFNA(VLOOKUP($C$9,List!$G$2:$M$20,1,0),"")=C9,1,0)</f>
        <v>1</v>
      </c>
      <c r="Y9" s="281">
        <f>VLOOKUP($C$9,List!$G$2:$M$21,4,0)</f>
        <v>121</v>
      </c>
      <c r="Z9" s="281">
        <f>VLOOKUP($C$9,List!$G$2:$M$21,7,0)</f>
        <v>121</v>
      </c>
    </row>
    <row r="10" spans="1:26" ht="45" customHeight="1">
      <c r="A10" s="197" t="s">
        <v>33</v>
      </c>
      <c r="B10" s="198" t="s">
        <v>34</v>
      </c>
      <c r="C10" s="264" t="s">
        <v>35</v>
      </c>
      <c r="D10" s="200" t="s">
        <v>36</v>
      </c>
      <c r="E10" s="201" t="s">
        <v>37</v>
      </c>
      <c r="F10" s="202" t="s">
        <v>38</v>
      </c>
      <c r="G10" s="203" t="s">
        <v>39</v>
      </c>
      <c r="H10" s="203" t="s">
        <v>40</v>
      </c>
      <c r="I10" s="203" t="s">
        <v>41</v>
      </c>
      <c r="J10" s="222" t="s">
        <v>42</v>
      </c>
      <c r="K10" s="223" t="s">
        <v>43</v>
      </c>
      <c r="L10" s="272" t="s">
        <v>44</v>
      </c>
      <c r="M10" s="225" t="s">
        <v>45</v>
      </c>
      <c r="N10" s="349" t="s">
        <v>46</v>
      </c>
      <c r="O10" s="349"/>
      <c r="P10" s="225" t="s">
        <v>47</v>
      </c>
      <c r="Q10" s="233" t="s">
        <v>48</v>
      </c>
      <c r="R10" s="225" t="s">
        <v>49</v>
      </c>
      <c r="S10" s="233" t="s">
        <v>50</v>
      </c>
      <c r="T10" s="234" t="s">
        <v>51</v>
      </c>
      <c r="U10" s="282" t="s">
        <v>52</v>
      </c>
      <c r="V10" s="236" t="s">
        <v>53</v>
      </c>
    </row>
    <row r="11" spans="1:26" ht="14.45">
      <c r="A11" s="204">
        <v>1</v>
      </c>
      <c r="B11" s="205">
        <f>IF('G3 MT Reading Scoresheet'!B11&lt;&gt;"",'G3 MT Reading Scoresheet'!B11,"")</f>
        <v>117443220001</v>
      </c>
      <c r="C11" s="206" t="str">
        <f>IF('G3 MT Reading Scoresheet'!C11&lt;&gt;"",'G3 MT Reading Scoresheet'!C11,"")</f>
        <v>ABAY, KENNETH ALEXANDER, NALAONAN</v>
      </c>
      <c r="D11" s="205" t="str">
        <f>IF('G3 MT Reading Scoresheet'!D11&lt;&gt;"",'G3 MT Reading Scoresheet'!D11,"")</f>
        <v>Male</v>
      </c>
      <c r="E11" s="207" t="str">
        <f>IF('G3 MT Reading Scoresheet'!E11&lt;&gt;"",'G3 MT Reading Scoresheet'!E11,"")</f>
        <v>06/23/2025</v>
      </c>
      <c r="F11" s="208">
        <v>8</v>
      </c>
      <c r="G11" s="218"/>
      <c r="H11" s="218">
        <v>8</v>
      </c>
      <c r="I11" s="205">
        <f>IF(AND(F11="",G11=""),"",IF(F11&lt;7,F11+G11,F11+10+H11))</f>
        <v>26</v>
      </c>
      <c r="J11" s="273" t="str">
        <f>IF(I11="","",IF(F11&lt;7,IF(I11&lt;=10,"Full Refresher","Moderate Refresher"),IF(I11&lt;27,"Light Refresher","Grade Ready")))</f>
        <v>Light Refresher</v>
      </c>
      <c r="K11" s="274">
        <v>2</v>
      </c>
      <c r="L11" s="275">
        <v>20</v>
      </c>
      <c r="M11" s="205">
        <f>IF(OR(K11=1,K11=2),IF(K11=1,M$7-L11,$P$7-L11),"")</f>
        <v>101</v>
      </c>
      <c r="N11" s="226">
        <v>3</v>
      </c>
      <c r="O11" s="226">
        <v>0</v>
      </c>
      <c r="P11" s="205">
        <f>IFERROR(IF(AND(K11&gt;0,M11&gt;0,OR(N11&gt;0,O11&gt;0)),(M11/((N11*60)+O11))*60,""),"")</f>
        <v>33.6666666666667</v>
      </c>
      <c r="Q11" s="227">
        <f>IFERROR(IF(OR(K11=1,K11=2),IF(K11=1,M11/$M$7,M11/$P$7),""),"")</f>
        <v>0.834710743801653</v>
      </c>
      <c r="R11" s="226">
        <v>3</v>
      </c>
      <c r="S11" s="226">
        <v>3</v>
      </c>
      <c r="T11" s="283" t="s">
        <v>61</v>
      </c>
      <c r="U11" s="284" t="str">
        <f>IF(J11&lt;&gt;"",IF(J11="Full Refresher","Low Emerging Reader",IF(AND(K11&gt;0,Q11&lt;&gt;""),IF(OR(Q11&lt;=25%,AND(Q11&gt;25%,Q11&lt;=50%,R11&lt;=1)),"High Emerging Reader",IF(OR(AND(Q11&gt;25%,Q11&lt;51%,R11&gt;=2),AND(Q11&gt;50%,Q11&lt;76%,R11&lt;=3)),"Developing Reader",IF(OR(AND(Q11&gt;=51%,Q11&lt;76%,R11&gt;=4),AND(Q11&gt;75%,R11&lt;=5)),"Transitioning Reader",IF(AND(Q11&gt;75%,R11&gt;=6),"Reading At Grade Level","")))),"")),"")</f>
        <v>Transitioning Reader</v>
      </c>
      <c r="V11" s="238"/>
    </row>
    <row r="12" spans="1:26" ht="14.45">
      <c r="A12" s="210">
        <v>2</v>
      </c>
      <c r="B12" s="211">
        <f>IF('G3 MT Reading Scoresheet'!B12&lt;&gt;"",'G3 MT Reading Scoresheet'!B12,"")</f>
        <v>11744322002</v>
      </c>
      <c r="C12" s="265" t="str">
        <f>IF('G3 MT Reading Scoresheet'!C12&lt;&gt;"",'G3 MT Reading Scoresheet'!C12,"")</f>
        <v>BANARAIA, KEEPER, ABAY</v>
      </c>
      <c r="D12" s="213" t="str">
        <f>IF('G3 MT Reading Scoresheet'!D12&lt;&gt;"",'G3 MT Reading Scoresheet'!D12,"")</f>
        <v>Male</v>
      </c>
      <c r="E12" s="214" t="str">
        <f>IF('G3 MT Reading Scoresheet'!E12&lt;&gt;"",'G3 MT Reading Scoresheet'!E12,"")</f>
        <v>06/23/2025</v>
      </c>
      <c r="F12" s="266">
        <v>5</v>
      </c>
      <c r="G12" s="216">
        <v>5</v>
      </c>
      <c r="H12" s="216">
        <v>10</v>
      </c>
      <c r="I12" s="211">
        <f t="shared" ref="I12:I75" si="0">IF(AND(F12="",G12=""),"",IF(F12&lt;7,F12+G12,F12+10+H12))</f>
        <v>10</v>
      </c>
      <c r="J12" s="276" t="str">
        <f t="shared" ref="J12:J75" si="1">IF(I12="","",IF(F12&lt;7,IF(I12&lt;=10,"Full Refresher","Moderate Refresher"),IF(I12&lt;27,"Light Refresher","Grade Ready")))</f>
        <v>Full Refresher</v>
      </c>
      <c r="K12" s="277">
        <v>2</v>
      </c>
      <c r="L12" s="278">
        <v>5</v>
      </c>
      <c r="M12" s="211">
        <f t="shared" ref="M12:M75" si="2">IF(OR(K12=1,K12=2),IF(K12=1,M$7-L12,$P$7-L12),"")</f>
        <v>116</v>
      </c>
      <c r="N12" s="228">
        <v>2</v>
      </c>
      <c r="O12" s="228">
        <v>5</v>
      </c>
      <c r="P12" s="211">
        <f t="shared" ref="P12:P75" si="3">IF(AND(K12&gt;0,M12&gt;0,OR(N12&gt;0,O12&gt;0)),(M12/((N12*60)+O12))*60,"")</f>
        <v>55.68</v>
      </c>
      <c r="Q12" s="229">
        <f t="shared" ref="Q12:Q75" si="4">IFERROR(IF(OR(K12=1,K12=2),IF(K12=1,M12/$M$7,M12/$P$7),""),"")</f>
        <v>0.95867768595041303</v>
      </c>
      <c r="R12" s="228">
        <v>6</v>
      </c>
      <c r="S12" s="228">
        <v>4</v>
      </c>
      <c r="T12" s="285" t="s">
        <v>56</v>
      </c>
      <c r="U12" s="286" t="str">
        <f t="shared" ref="U12:U75" si="5">IF(J12&lt;&gt;"",IF(J12="Full Refresher","Low Emerging Reader",IF(AND(K12&gt;0,Q12&lt;&gt;""),IF(OR(Q12&lt;=25%,AND(Q12&gt;25%,Q12&lt;=50%,R12&lt;=1)),"High Emerging Reader",IF(OR(AND(Q12&gt;25%,Q12&lt;51%,R12&gt;=2),AND(Q12&gt;50%,Q12&lt;76%,R12&lt;=3)),"Developing Reader",IF(OR(AND(Q12&gt;=51%,Q12&lt;76%,R12&gt;=4),AND(Q12&gt;75%,R12&lt;=5)),"Transitioning Reader",IF(AND(Q12&gt;75%,R12&gt;=6),"Reading At Grade Level","")))),"")),"")</f>
        <v>Low Emerging Reader</v>
      </c>
      <c r="V12" s="240"/>
    </row>
    <row r="13" spans="1:26" ht="14.45">
      <c r="A13" s="61">
        <v>3</v>
      </c>
      <c r="B13" s="211">
        <f>IF('G3 MT Reading Scoresheet'!B13&lt;&gt;"",'G3 MT Reading Scoresheet'!B13,"")</f>
        <v>117443220017</v>
      </c>
      <c r="C13" s="265" t="str">
        <f>IF('G3 MT Reading Scoresheet'!C13&lt;&gt;"",'G3 MT Reading Scoresheet'!C13,"")</f>
        <v>BARGASA, EDSEL JHON,-</v>
      </c>
      <c r="D13" s="213" t="str">
        <f>IF('G3 MT Reading Scoresheet'!D13&lt;&gt;"",'G3 MT Reading Scoresheet'!D13,"")</f>
        <v>Male</v>
      </c>
      <c r="E13" s="214" t="str">
        <f>IF('G3 MT Reading Scoresheet'!E13&lt;&gt;"",'G3 MT Reading Scoresheet'!E13,"")</f>
        <v>06/23/2025</v>
      </c>
      <c r="F13" s="267">
        <v>8</v>
      </c>
      <c r="G13" s="218"/>
      <c r="H13" s="230">
        <v>10</v>
      </c>
      <c r="I13" s="211">
        <f t="shared" si="0"/>
        <v>28</v>
      </c>
      <c r="J13" s="276" t="str">
        <f t="shared" si="1"/>
        <v>Grade Ready</v>
      </c>
      <c r="K13" s="279">
        <v>1</v>
      </c>
      <c r="L13" s="280">
        <v>1</v>
      </c>
      <c r="M13" s="211">
        <f t="shared" si="2"/>
        <v>120</v>
      </c>
      <c r="N13" s="230">
        <v>1</v>
      </c>
      <c r="O13" s="230">
        <v>39</v>
      </c>
      <c r="P13" s="211">
        <f t="shared" si="3"/>
        <v>72.727272727272705</v>
      </c>
      <c r="Q13" s="229">
        <f t="shared" si="4"/>
        <v>0.99173553719008301</v>
      </c>
      <c r="R13" s="230">
        <v>7</v>
      </c>
      <c r="S13" s="230">
        <v>5</v>
      </c>
      <c r="T13" s="287" t="s">
        <v>59</v>
      </c>
      <c r="U13" s="286" t="str">
        <f t="shared" si="5"/>
        <v>Reading At Grade Level</v>
      </c>
      <c r="V13" s="241"/>
    </row>
    <row r="14" spans="1:26" ht="14.45">
      <c r="A14" s="210">
        <v>4</v>
      </c>
      <c r="B14" s="211">
        <f>IF('G3 MT Reading Scoresheet'!B14&lt;&gt;"",'G3 MT Reading Scoresheet'!B14,"")</f>
        <v>117443220006</v>
      </c>
      <c r="C14" s="265" t="str">
        <f>IF('G3 MT Reading Scoresheet'!C14&lt;&gt;"",'G3 MT Reading Scoresheet'!C14,"")</f>
        <v>DUMANIEL, KEVIN JOHN , ALVAREZ</v>
      </c>
      <c r="D14" s="213" t="str">
        <f>IF('G3 MT Reading Scoresheet'!D14&lt;&gt;"",'G3 MT Reading Scoresheet'!D14,"")</f>
        <v>Male</v>
      </c>
      <c r="E14" s="214" t="str">
        <f>IF('G3 MT Reading Scoresheet'!E14&lt;&gt;"",'G3 MT Reading Scoresheet'!E14,"")</f>
        <v>06/23/2025</v>
      </c>
      <c r="F14" s="266">
        <v>8</v>
      </c>
      <c r="G14" s="216"/>
      <c r="H14" s="228">
        <v>9</v>
      </c>
      <c r="I14" s="211">
        <f t="shared" si="0"/>
        <v>27</v>
      </c>
      <c r="J14" s="276" t="str">
        <f t="shared" si="1"/>
        <v>Grade Ready</v>
      </c>
      <c r="K14" s="277">
        <v>1</v>
      </c>
      <c r="L14" s="278">
        <v>5</v>
      </c>
      <c r="M14" s="211">
        <f t="shared" si="2"/>
        <v>116</v>
      </c>
      <c r="N14" s="228">
        <v>3</v>
      </c>
      <c r="O14" s="228">
        <v>0</v>
      </c>
      <c r="P14" s="211">
        <f t="shared" si="3"/>
        <v>38.6666666666667</v>
      </c>
      <c r="Q14" s="229">
        <f t="shared" si="4"/>
        <v>0.95867768595041303</v>
      </c>
      <c r="R14" s="228">
        <v>6</v>
      </c>
      <c r="S14" s="228">
        <v>3</v>
      </c>
      <c r="T14" s="285" t="s">
        <v>61</v>
      </c>
      <c r="U14" s="286" t="str">
        <f t="shared" si="5"/>
        <v>Reading At Grade Level</v>
      </c>
      <c r="V14" s="240"/>
    </row>
    <row r="15" spans="1:26" ht="14.45">
      <c r="A15" s="61">
        <v>5</v>
      </c>
      <c r="B15" s="211">
        <f>IF('G3 MT Reading Scoresheet'!B15&lt;&gt;"",'G3 MT Reading Scoresheet'!B15,"")</f>
        <v>117443220018</v>
      </c>
      <c r="C15" s="265" t="str">
        <f>IF('G3 MT Reading Scoresheet'!C15&lt;&gt;"",'G3 MT Reading Scoresheet'!C15,"")</f>
        <v>ESTOCADA, JOEMARIE III, OMPAD</v>
      </c>
      <c r="D15" s="213" t="str">
        <f>IF('G3 MT Reading Scoresheet'!D15&lt;&gt;"",'G3 MT Reading Scoresheet'!D15,"")</f>
        <v>Male</v>
      </c>
      <c r="E15" s="214" t="str">
        <f>IF('G3 MT Reading Scoresheet'!E15&lt;&gt;"",'G3 MT Reading Scoresheet'!E15,"")</f>
        <v>06/24/2025</v>
      </c>
      <c r="F15" s="267">
        <v>7</v>
      </c>
      <c r="G15" s="218"/>
      <c r="H15" s="230">
        <v>7</v>
      </c>
      <c r="I15" s="211">
        <f t="shared" si="0"/>
        <v>24</v>
      </c>
      <c r="J15" s="276" t="str">
        <f t="shared" si="1"/>
        <v>Light Refresher</v>
      </c>
      <c r="K15" s="279">
        <v>1</v>
      </c>
      <c r="L15" s="280">
        <v>10</v>
      </c>
      <c r="M15" s="211">
        <f t="shared" si="2"/>
        <v>111</v>
      </c>
      <c r="N15" s="230">
        <v>3</v>
      </c>
      <c r="O15" s="230">
        <v>0</v>
      </c>
      <c r="P15" s="211">
        <f t="shared" si="3"/>
        <v>37</v>
      </c>
      <c r="Q15" s="229">
        <f t="shared" si="4"/>
        <v>0.91735537190082606</v>
      </c>
      <c r="R15" s="230">
        <v>3</v>
      </c>
      <c r="S15" s="230">
        <v>3</v>
      </c>
      <c r="T15" s="287" t="s">
        <v>61</v>
      </c>
      <c r="U15" s="286" t="str">
        <f t="shared" si="5"/>
        <v>Transitioning Reader</v>
      </c>
      <c r="V15" s="241"/>
    </row>
    <row r="16" spans="1:26" ht="14.45">
      <c r="A16" s="210">
        <v>6</v>
      </c>
      <c r="B16" s="211">
        <f>IF('G3 MT Reading Scoresheet'!B16&lt;&gt;"",'G3 MT Reading Scoresheet'!B16,"")</f>
        <v>117542220012</v>
      </c>
      <c r="C16" s="265" t="str">
        <f>IF('G3 MT Reading Scoresheet'!C16&lt;&gt;"",'G3 MT Reading Scoresheet'!C16,"")</f>
        <v>GO, NEAL XANDRIE, DOMANIEL</v>
      </c>
      <c r="D16" s="213" t="str">
        <f>IF('G3 MT Reading Scoresheet'!D16&lt;&gt;"",'G3 MT Reading Scoresheet'!D16,"")</f>
        <v>Male</v>
      </c>
      <c r="E16" s="214" t="str">
        <f>IF('G3 MT Reading Scoresheet'!E16&lt;&gt;"",'G3 MT Reading Scoresheet'!E16,"")</f>
        <v>06/24/2025</v>
      </c>
      <c r="F16" s="266">
        <v>8</v>
      </c>
      <c r="G16" s="216"/>
      <c r="H16" s="228">
        <v>8</v>
      </c>
      <c r="I16" s="211">
        <f t="shared" si="0"/>
        <v>26</v>
      </c>
      <c r="J16" s="276" t="str">
        <f t="shared" si="1"/>
        <v>Light Refresher</v>
      </c>
      <c r="K16" s="277">
        <v>1</v>
      </c>
      <c r="L16" s="278">
        <v>8</v>
      </c>
      <c r="M16" s="211">
        <f t="shared" si="2"/>
        <v>113</v>
      </c>
      <c r="N16" s="228">
        <v>2</v>
      </c>
      <c r="O16" s="228">
        <v>25</v>
      </c>
      <c r="P16" s="211">
        <f t="shared" si="3"/>
        <v>46.758620689655203</v>
      </c>
      <c r="Q16" s="229">
        <f t="shared" si="4"/>
        <v>0.93388429752066104</v>
      </c>
      <c r="R16" s="228">
        <v>5</v>
      </c>
      <c r="S16" s="228">
        <v>3</v>
      </c>
      <c r="T16" s="285" t="s">
        <v>56</v>
      </c>
      <c r="U16" s="286" t="str">
        <f t="shared" si="5"/>
        <v>Transitioning Reader</v>
      </c>
      <c r="V16" s="240"/>
    </row>
    <row r="17" spans="1:22" ht="14.45">
      <c r="A17" s="61">
        <v>7</v>
      </c>
      <c r="B17" s="211">
        <f>IF('G3 MT Reading Scoresheet'!B17&lt;&gt;"",'G3 MT Reading Scoresheet'!B17,"")</f>
        <v>1174432290003</v>
      </c>
      <c r="C17" s="265" t="str">
        <f>IF('G3 MT Reading Scoresheet'!C17&lt;&gt;"",'G3 MT Reading Scoresheet'!C17,"")</f>
        <v>GREGORIO, JOHN MARK, ABELLAR</v>
      </c>
      <c r="D17" s="213" t="str">
        <f>IF('G3 MT Reading Scoresheet'!D17&lt;&gt;"",'G3 MT Reading Scoresheet'!D17,"")</f>
        <v>Male</v>
      </c>
      <c r="E17" s="214" t="str">
        <f>IF('G3 MT Reading Scoresheet'!E17&lt;&gt;"",'G3 MT Reading Scoresheet'!E17,"")</f>
        <v>06/24/2025</v>
      </c>
      <c r="F17" s="267">
        <v>4</v>
      </c>
      <c r="G17" s="218"/>
      <c r="H17" s="230">
        <v>7</v>
      </c>
      <c r="I17" s="211">
        <f t="shared" si="0"/>
        <v>4</v>
      </c>
      <c r="J17" s="276" t="str">
        <f t="shared" si="1"/>
        <v>Full Refresher</v>
      </c>
      <c r="K17" s="279">
        <v>1</v>
      </c>
      <c r="L17" s="280">
        <v>50</v>
      </c>
      <c r="M17" s="211">
        <f t="shared" si="2"/>
        <v>71</v>
      </c>
      <c r="N17" s="230">
        <v>3</v>
      </c>
      <c r="O17" s="230">
        <v>0</v>
      </c>
      <c r="P17" s="211">
        <f t="shared" si="3"/>
        <v>23.6666666666667</v>
      </c>
      <c r="Q17" s="229">
        <f t="shared" si="4"/>
        <v>0.58677685950413205</v>
      </c>
      <c r="R17" s="230">
        <v>1</v>
      </c>
      <c r="S17" s="230">
        <v>2</v>
      </c>
      <c r="T17" s="287" t="s">
        <v>61</v>
      </c>
      <c r="U17" s="286" t="str">
        <f t="shared" si="5"/>
        <v>Low Emerging Reader</v>
      </c>
      <c r="V17" s="241"/>
    </row>
    <row r="18" spans="1:22" ht="14.45">
      <c r="A18" s="210">
        <v>8</v>
      </c>
      <c r="B18" s="211">
        <f>IF('G3 MT Reading Scoresheet'!B18&lt;&gt;"",'G3 MT Reading Scoresheet'!B18,"")</f>
        <v>117443220005</v>
      </c>
      <c r="C18" s="265" t="str">
        <f>IF('G3 MT Reading Scoresheet'!C18&lt;&gt;"",'G3 MT Reading Scoresheet'!C18,"")</f>
        <v>JUMBAS, CYREL JAY, BARILLO</v>
      </c>
      <c r="D18" s="213" t="str">
        <f>IF('G3 MT Reading Scoresheet'!D18&lt;&gt;"",'G3 MT Reading Scoresheet'!D18,"")</f>
        <v>Male</v>
      </c>
      <c r="E18" s="214" t="str">
        <f>IF('G3 MT Reading Scoresheet'!E18&lt;&gt;"",'G3 MT Reading Scoresheet'!E18,"")</f>
        <v>06/24/2025</v>
      </c>
      <c r="F18" s="266">
        <v>7</v>
      </c>
      <c r="G18" s="216"/>
      <c r="H18" s="228">
        <v>8</v>
      </c>
      <c r="I18" s="211">
        <f t="shared" si="0"/>
        <v>25</v>
      </c>
      <c r="J18" s="276" t="str">
        <f t="shared" si="1"/>
        <v>Light Refresher</v>
      </c>
      <c r="K18" s="277">
        <v>1</v>
      </c>
      <c r="L18" s="278">
        <v>7</v>
      </c>
      <c r="M18" s="211">
        <f t="shared" si="2"/>
        <v>114</v>
      </c>
      <c r="N18" s="228">
        <v>3</v>
      </c>
      <c r="O18" s="228">
        <v>0</v>
      </c>
      <c r="P18" s="211">
        <f t="shared" si="3"/>
        <v>38</v>
      </c>
      <c r="Q18" s="229">
        <f t="shared" si="4"/>
        <v>0.94214876033057804</v>
      </c>
      <c r="R18" s="228">
        <v>6</v>
      </c>
      <c r="S18" s="228">
        <v>4</v>
      </c>
      <c r="T18" s="285" t="s">
        <v>61</v>
      </c>
      <c r="U18" s="286" t="str">
        <f t="shared" si="5"/>
        <v>Reading At Grade Level</v>
      </c>
      <c r="V18" s="240"/>
    </row>
    <row r="19" spans="1:22" ht="14.45">
      <c r="A19" s="61">
        <v>9</v>
      </c>
      <c r="B19" s="211">
        <f>IF('G3 MT Reading Scoresheet'!B19&lt;&gt;"",'G3 MT Reading Scoresheet'!B19,"")</f>
        <v>11744322007</v>
      </c>
      <c r="C19" s="265" t="str">
        <f>IF('G3 MT Reading Scoresheet'!C19&lt;&gt;"",'G3 MT Reading Scoresheet'!C19,"")</f>
        <v>LEMORINAS, ARTHUR, BAYLON</v>
      </c>
      <c r="D19" s="213" t="str">
        <f>IF('G3 MT Reading Scoresheet'!D19&lt;&gt;"",'G3 MT Reading Scoresheet'!D19,"")</f>
        <v>Male</v>
      </c>
      <c r="E19" s="214" t="str">
        <f>IF('G3 MT Reading Scoresheet'!E19&lt;&gt;"",'G3 MT Reading Scoresheet'!E19,"")</f>
        <v>06/24/2025</v>
      </c>
      <c r="F19" s="267">
        <v>4</v>
      </c>
      <c r="G19" s="218">
        <v>4</v>
      </c>
      <c r="H19" s="230">
        <v>10</v>
      </c>
      <c r="I19" s="211">
        <f t="shared" si="0"/>
        <v>8</v>
      </c>
      <c r="J19" s="276" t="str">
        <f t="shared" si="1"/>
        <v>Full Refresher</v>
      </c>
      <c r="K19" s="279">
        <v>1</v>
      </c>
      <c r="L19" s="280">
        <v>50</v>
      </c>
      <c r="M19" s="211">
        <f t="shared" si="2"/>
        <v>71</v>
      </c>
      <c r="N19" s="230">
        <v>2</v>
      </c>
      <c r="O19" s="230">
        <v>0</v>
      </c>
      <c r="P19" s="211">
        <f t="shared" si="3"/>
        <v>35.5</v>
      </c>
      <c r="Q19" s="229">
        <f t="shared" si="4"/>
        <v>0.58677685950413205</v>
      </c>
      <c r="R19" s="230">
        <v>7</v>
      </c>
      <c r="S19" s="230">
        <v>5</v>
      </c>
      <c r="T19" s="287" t="s">
        <v>59</v>
      </c>
      <c r="U19" s="286" t="str">
        <f t="shared" si="5"/>
        <v>Low Emerging Reader</v>
      </c>
      <c r="V19" s="241"/>
    </row>
    <row r="20" spans="1:22" ht="14.45">
      <c r="A20" s="210">
        <v>10</v>
      </c>
      <c r="B20" s="211">
        <f>IF('G3 MT Reading Scoresheet'!B20&lt;&gt;"",'G3 MT Reading Scoresheet'!B20,"")</f>
        <v>117443220008</v>
      </c>
      <c r="C20" s="265" t="str">
        <f>IF('G3 MT Reading Scoresheet'!C20&lt;&gt;"",'G3 MT Reading Scoresheet'!C20,"")</f>
        <v>MARASIGAN, ZHENKIE NATHAN, DELA CRUZ</v>
      </c>
      <c r="D20" s="213" t="str">
        <f>IF('G3 MT Reading Scoresheet'!D20&lt;&gt;"",'G3 MT Reading Scoresheet'!D20,"")</f>
        <v>Male</v>
      </c>
      <c r="E20" s="214" t="str">
        <f>IF('G3 MT Reading Scoresheet'!E20&lt;&gt;"",'G3 MT Reading Scoresheet'!E20,"")</f>
        <v>06/24/2025</v>
      </c>
      <c r="F20" s="266">
        <v>8</v>
      </c>
      <c r="G20" s="216"/>
      <c r="H20" s="228">
        <v>9</v>
      </c>
      <c r="I20" s="211">
        <f t="shared" si="0"/>
        <v>27</v>
      </c>
      <c r="J20" s="276" t="str">
        <f t="shared" si="1"/>
        <v>Grade Ready</v>
      </c>
      <c r="K20" s="277">
        <v>1</v>
      </c>
      <c r="L20" s="278">
        <v>29</v>
      </c>
      <c r="M20" s="211">
        <f t="shared" si="2"/>
        <v>92</v>
      </c>
      <c r="N20" s="228">
        <v>3</v>
      </c>
      <c r="O20" s="228">
        <v>0</v>
      </c>
      <c r="P20" s="211">
        <f t="shared" si="3"/>
        <v>30.6666666666667</v>
      </c>
      <c r="Q20" s="229">
        <f t="shared" si="4"/>
        <v>0.76033057851239705</v>
      </c>
      <c r="R20" s="228">
        <v>6</v>
      </c>
      <c r="S20" s="228">
        <v>5</v>
      </c>
      <c r="T20" s="285" t="s">
        <v>56</v>
      </c>
      <c r="U20" s="286" t="str">
        <f t="shared" si="5"/>
        <v>Reading At Grade Level</v>
      </c>
      <c r="V20" s="240"/>
    </row>
    <row r="21" spans="1:22" ht="14.45">
      <c r="A21" s="61">
        <v>11</v>
      </c>
      <c r="B21" s="268">
        <f>IF('G3 MT Reading Scoresheet'!B21&lt;&gt;"",'G3 MT Reading Scoresheet'!B21,"")</f>
        <v>136651220284</v>
      </c>
      <c r="C21" s="265" t="str">
        <f>IF('G3 MT Reading Scoresheet'!C21&lt;&gt;"",'G3 MT Reading Scoresheet'!C21,"")</f>
        <v>ABRINILLO, VERONICA, SIASAT</v>
      </c>
      <c r="D21" s="213" t="str">
        <f>IF('G3 MT Reading Scoresheet'!D21&lt;&gt;"",'G3 MT Reading Scoresheet'!D21,"")</f>
        <v>Male</v>
      </c>
      <c r="E21" s="214" t="str">
        <f>IF('G3 MT Reading Scoresheet'!E21&lt;&gt;"",'G3 MT Reading Scoresheet'!E21,"")</f>
        <v>06/24/2025</v>
      </c>
      <c r="F21" s="267">
        <v>7</v>
      </c>
      <c r="G21" s="218">
        <v>3</v>
      </c>
      <c r="H21" s="230">
        <v>3</v>
      </c>
      <c r="I21" s="211">
        <f t="shared" si="0"/>
        <v>20</v>
      </c>
      <c r="J21" s="276" t="str">
        <f t="shared" si="1"/>
        <v>Light Refresher</v>
      </c>
      <c r="K21" s="279">
        <v>1</v>
      </c>
      <c r="L21" s="280">
        <v>60</v>
      </c>
      <c r="M21" s="211">
        <f t="shared" si="2"/>
        <v>61</v>
      </c>
      <c r="N21" s="230">
        <v>3</v>
      </c>
      <c r="O21" s="230">
        <v>0</v>
      </c>
      <c r="P21" s="211">
        <f t="shared" si="3"/>
        <v>20.3333333333333</v>
      </c>
      <c r="Q21" s="229">
        <f t="shared" si="4"/>
        <v>0.504132231404959</v>
      </c>
      <c r="R21" s="230">
        <v>1</v>
      </c>
      <c r="S21" s="230">
        <v>2</v>
      </c>
      <c r="T21" s="287" t="s">
        <v>61</v>
      </c>
      <c r="U21" s="286" t="str">
        <f t="shared" si="5"/>
        <v>Developing Reader</v>
      </c>
      <c r="V21" s="241"/>
    </row>
    <row r="22" spans="1:22" ht="14.45">
      <c r="A22" s="210">
        <v>12</v>
      </c>
      <c r="B22" s="268">
        <f>IF('G3 MT Reading Scoresheet'!B22&lt;&gt;"",'G3 MT Reading Scoresheet'!B22,"")</f>
        <v>117443220019</v>
      </c>
      <c r="C22" s="265" t="str">
        <f>IF('G3 MT Reading Scoresheet'!C22&lt;&gt;"",'G3 MT Reading Scoresheet'!C22,"")</f>
        <v>CARDINAL,KISHIA,-</v>
      </c>
      <c r="D22" s="213" t="str">
        <f>IF('G3 MT Reading Scoresheet'!D22&lt;&gt;"",'G3 MT Reading Scoresheet'!D22,"")</f>
        <v>Female</v>
      </c>
      <c r="E22" s="214" t="str">
        <f>IF('G3 MT Reading Scoresheet'!E22&lt;&gt;"",'G3 MT Reading Scoresheet'!E22,"")</f>
        <v>06/24/2025</v>
      </c>
      <c r="F22" s="266">
        <v>9</v>
      </c>
      <c r="G22" s="216"/>
      <c r="H22" s="228">
        <v>10</v>
      </c>
      <c r="I22" s="211">
        <f t="shared" si="0"/>
        <v>29</v>
      </c>
      <c r="J22" s="276" t="str">
        <f t="shared" si="1"/>
        <v>Grade Ready</v>
      </c>
      <c r="K22" s="277">
        <v>1</v>
      </c>
      <c r="L22" s="278">
        <v>15</v>
      </c>
      <c r="M22" s="211">
        <f t="shared" si="2"/>
        <v>106</v>
      </c>
      <c r="N22" s="228">
        <v>3</v>
      </c>
      <c r="O22" s="228">
        <v>0</v>
      </c>
      <c r="P22" s="211">
        <f t="shared" si="3"/>
        <v>35.3333333333333</v>
      </c>
      <c r="Q22" s="229">
        <f t="shared" si="4"/>
        <v>0.87603305785123997</v>
      </c>
      <c r="R22" s="228">
        <v>6</v>
      </c>
      <c r="S22" s="228">
        <v>3</v>
      </c>
      <c r="T22" s="285" t="s">
        <v>56</v>
      </c>
      <c r="U22" s="286" t="str">
        <f t="shared" si="5"/>
        <v>Reading At Grade Level</v>
      </c>
      <c r="V22" s="240"/>
    </row>
    <row r="23" spans="1:22" ht="14.45">
      <c r="A23" s="61">
        <v>13</v>
      </c>
      <c r="B23" s="268">
        <f>IF('G3 MT Reading Scoresheet'!B23&lt;&gt;"",'G3 MT Reading Scoresheet'!B23,"")</f>
        <v>117443220009</v>
      </c>
      <c r="C23" s="265" t="str">
        <f>IF('G3 MT Reading Scoresheet'!C23&lt;&gt;"",'G3 MT Reading Scoresheet'!C23,"")</f>
        <v>CARDINAL, LEXIE, SUNDAYON</v>
      </c>
      <c r="D23" s="213" t="str">
        <f>IF('G3 MT Reading Scoresheet'!D23&lt;&gt;"",'G3 MT Reading Scoresheet'!D23,"")</f>
        <v>Female</v>
      </c>
      <c r="E23" s="214">
        <f>IF('G3 MT Reading Scoresheet'!E23&lt;&gt;"",'G3 MT Reading Scoresheet'!E23,"")</f>
        <v>45721</v>
      </c>
      <c r="F23" s="267">
        <v>10</v>
      </c>
      <c r="G23" s="218"/>
      <c r="H23" s="230">
        <v>10</v>
      </c>
      <c r="I23" s="211">
        <f t="shared" si="0"/>
        <v>30</v>
      </c>
      <c r="J23" s="276" t="str">
        <f t="shared" si="1"/>
        <v>Grade Ready</v>
      </c>
      <c r="K23" s="279">
        <v>1</v>
      </c>
      <c r="L23" s="280">
        <v>2</v>
      </c>
      <c r="M23" s="211">
        <f t="shared" si="2"/>
        <v>119</v>
      </c>
      <c r="N23" s="230">
        <v>1</v>
      </c>
      <c r="O23" s="230">
        <v>40</v>
      </c>
      <c r="P23" s="211">
        <f t="shared" si="3"/>
        <v>71.400000000000006</v>
      </c>
      <c r="Q23" s="229">
        <f t="shared" si="4"/>
        <v>0.98347107438016501</v>
      </c>
      <c r="R23" s="230">
        <v>7</v>
      </c>
      <c r="S23" s="230">
        <v>5</v>
      </c>
      <c r="T23" s="287" t="s">
        <v>59</v>
      </c>
      <c r="U23" s="286" t="str">
        <f t="shared" si="5"/>
        <v>Reading At Grade Level</v>
      </c>
      <c r="V23" s="241"/>
    </row>
    <row r="24" spans="1:22" ht="14.45">
      <c r="A24" s="210">
        <v>14</v>
      </c>
      <c r="B24" s="268" t="str">
        <f>IF('G3 MT Reading Scoresheet'!B24&lt;&gt;"",'G3 MT Reading Scoresheet'!B24,"")</f>
        <v/>
      </c>
      <c r="C24" s="265" t="str">
        <f>IF('G3 MT Reading Scoresheet'!C24&lt;&gt;"",'G3 MT Reading Scoresheet'!C24,"")</f>
        <v>DIONSON, AIRA, BAUTISTA</v>
      </c>
      <c r="D24" s="213" t="str">
        <f>IF('G3 MT Reading Scoresheet'!D24&lt;&gt;"",'G3 MT Reading Scoresheet'!D24,"")</f>
        <v>Female</v>
      </c>
      <c r="E24" s="214">
        <f>IF('G3 MT Reading Scoresheet'!E24&lt;&gt;"",'G3 MT Reading Scoresheet'!E24,"")</f>
        <v>45721</v>
      </c>
      <c r="F24" s="266">
        <v>2</v>
      </c>
      <c r="G24" s="216">
        <v>5</v>
      </c>
      <c r="H24" s="228">
        <v>10</v>
      </c>
      <c r="I24" s="211">
        <f t="shared" si="0"/>
        <v>7</v>
      </c>
      <c r="J24" s="276" t="str">
        <f t="shared" si="1"/>
        <v>Full Refresher</v>
      </c>
      <c r="K24" s="277">
        <v>1</v>
      </c>
      <c r="L24" s="278">
        <v>1</v>
      </c>
      <c r="M24" s="211">
        <f t="shared" si="2"/>
        <v>120</v>
      </c>
      <c r="N24" s="228">
        <v>1</v>
      </c>
      <c r="O24" s="228">
        <v>33</v>
      </c>
      <c r="P24" s="211">
        <f t="shared" si="3"/>
        <v>77.419354838709694</v>
      </c>
      <c r="Q24" s="229">
        <f t="shared" si="4"/>
        <v>0.99173553719008301</v>
      </c>
      <c r="R24" s="228">
        <v>6</v>
      </c>
      <c r="S24" s="228">
        <v>5</v>
      </c>
      <c r="T24" s="285" t="s">
        <v>59</v>
      </c>
      <c r="U24" s="286" t="str">
        <f t="shared" si="5"/>
        <v>Low Emerging Reader</v>
      </c>
      <c r="V24" s="240"/>
    </row>
    <row r="25" spans="1:22" ht="14.45">
      <c r="A25" s="61">
        <v>15</v>
      </c>
      <c r="B25" s="268" t="str">
        <f>IF('G3 MT Reading Scoresheet'!B25&lt;&gt;"",'G3 MT Reading Scoresheet'!B25,"")</f>
        <v/>
      </c>
      <c r="C25" s="265" t="str">
        <f>IF('G3 MT Reading Scoresheet'!C25&lt;&gt;"",'G3 MT Reading Scoresheet'!C25,"")</f>
        <v>ESTOCADA, ANGEL, E.</v>
      </c>
      <c r="D25" s="213" t="str">
        <f>IF('G3 MT Reading Scoresheet'!D25&lt;&gt;"",'G3 MT Reading Scoresheet'!D25,"")</f>
        <v>Female</v>
      </c>
      <c r="E25" s="214">
        <f>IF('G3 MT Reading Scoresheet'!E25&lt;&gt;"",'G3 MT Reading Scoresheet'!E25,"")</f>
        <v>45721</v>
      </c>
      <c r="F25" s="267">
        <v>8</v>
      </c>
      <c r="G25" s="218"/>
      <c r="H25" s="230">
        <v>10</v>
      </c>
      <c r="I25" s="211">
        <f t="shared" si="0"/>
        <v>28</v>
      </c>
      <c r="J25" s="276" t="str">
        <f t="shared" si="1"/>
        <v>Grade Ready</v>
      </c>
      <c r="K25" s="279">
        <v>1</v>
      </c>
      <c r="L25" s="280">
        <v>0</v>
      </c>
      <c r="M25" s="211">
        <f t="shared" si="2"/>
        <v>121</v>
      </c>
      <c r="N25" s="230">
        <v>1</v>
      </c>
      <c r="O25" s="230">
        <v>35</v>
      </c>
      <c r="P25" s="211">
        <f t="shared" si="3"/>
        <v>76.421052631578902</v>
      </c>
      <c r="Q25" s="229">
        <f t="shared" si="4"/>
        <v>1</v>
      </c>
      <c r="R25" s="230">
        <v>7</v>
      </c>
      <c r="S25" s="230">
        <v>5</v>
      </c>
      <c r="T25" s="287" t="s">
        <v>59</v>
      </c>
      <c r="U25" s="286" t="str">
        <f t="shared" si="5"/>
        <v>Reading At Grade Level</v>
      </c>
      <c r="V25" s="241"/>
    </row>
    <row r="26" spans="1:22" ht="14.45">
      <c r="A26" s="210">
        <v>16</v>
      </c>
      <c r="B26" s="268">
        <f>IF('G3 MT Reading Scoresheet'!B26&lt;&gt;"",'G3 MT Reading Scoresheet'!B26,"")</f>
        <v>117443220010</v>
      </c>
      <c r="C26" s="265" t="str">
        <f>IF('G3 MT Reading Scoresheet'!C26&lt;&gt;"",'G3 MT Reading Scoresheet'!C26,"")</f>
        <v>ESTOCADA, GENYZA, BACARO</v>
      </c>
      <c r="D26" s="213" t="str">
        <f>IF('G3 MT Reading Scoresheet'!D26&lt;&gt;"",'G3 MT Reading Scoresheet'!D26,"")</f>
        <v>Female</v>
      </c>
      <c r="E26" s="214">
        <f>IF('G3 MT Reading Scoresheet'!E26&lt;&gt;"",'G3 MT Reading Scoresheet'!E26,"")</f>
        <v>45721</v>
      </c>
      <c r="F26" s="266">
        <v>10</v>
      </c>
      <c r="G26" s="216"/>
      <c r="H26" s="228">
        <v>10</v>
      </c>
      <c r="I26" s="211">
        <f t="shared" si="0"/>
        <v>30</v>
      </c>
      <c r="J26" s="276" t="str">
        <f t="shared" si="1"/>
        <v>Grade Ready</v>
      </c>
      <c r="K26" s="277">
        <v>1</v>
      </c>
      <c r="L26" s="278">
        <v>15</v>
      </c>
      <c r="M26" s="211">
        <f t="shared" si="2"/>
        <v>106</v>
      </c>
      <c r="N26" s="228">
        <v>3</v>
      </c>
      <c r="O26" s="228">
        <v>0</v>
      </c>
      <c r="P26" s="211">
        <f t="shared" si="3"/>
        <v>35.3333333333333</v>
      </c>
      <c r="Q26" s="229">
        <f t="shared" si="4"/>
        <v>0.87603305785123997</v>
      </c>
      <c r="R26" s="228">
        <v>6</v>
      </c>
      <c r="S26" s="228">
        <v>4</v>
      </c>
      <c r="T26" s="285" t="s">
        <v>56</v>
      </c>
      <c r="U26" s="286" t="str">
        <f t="shared" si="5"/>
        <v>Reading At Grade Level</v>
      </c>
      <c r="V26" s="240"/>
    </row>
    <row r="27" spans="1:22" ht="14.45">
      <c r="A27" s="61">
        <v>17</v>
      </c>
      <c r="B27" s="268" t="str">
        <f>IF('G3 MT Reading Scoresheet'!B27&lt;&gt;"",'G3 MT Reading Scoresheet'!B27,"")</f>
        <v/>
      </c>
      <c r="C27" s="265" t="str">
        <f>IF('G3 MT Reading Scoresheet'!C27&lt;&gt;"",'G3 MT Reading Scoresheet'!C27,"")</f>
        <v>ESTOCADA, JERCEL JANE, SIASAT</v>
      </c>
      <c r="D27" s="213" t="str">
        <f>IF('G3 MT Reading Scoresheet'!D27&lt;&gt;"",'G3 MT Reading Scoresheet'!D27,"")</f>
        <v>Female</v>
      </c>
      <c r="E27" s="214">
        <f>IF('G3 MT Reading Scoresheet'!E27&lt;&gt;"",'G3 MT Reading Scoresheet'!E27,"")</f>
        <v>45722</v>
      </c>
      <c r="F27" s="267">
        <v>10</v>
      </c>
      <c r="G27" s="218"/>
      <c r="H27" s="230">
        <v>10</v>
      </c>
      <c r="I27" s="211">
        <f t="shared" si="0"/>
        <v>30</v>
      </c>
      <c r="J27" s="276" t="str">
        <f t="shared" si="1"/>
        <v>Grade Ready</v>
      </c>
      <c r="K27" s="279">
        <v>1</v>
      </c>
      <c r="L27" s="280">
        <v>1</v>
      </c>
      <c r="M27" s="211">
        <f t="shared" si="2"/>
        <v>120</v>
      </c>
      <c r="N27" s="230">
        <v>2</v>
      </c>
      <c r="O27" s="230">
        <v>32</v>
      </c>
      <c r="P27" s="211">
        <f t="shared" si="3"/>
        <v>47.368421052631597</v>
      </c>
      <c r="Q27" s="229">
        <f t="shared" si="4"/>
        <v>0.99173553719008301</v>
      </c>
      <c r="R27" s="230">
        <v>6</v>
      </c>
      <c r="S27" s="230">
        <v>5</v>
      </c>
      <c r="T27" s="287" t="s">
        <v>59</v>
      </c>
      <c r="U27" s="286" t="str">
        <f t="shared" si="5"/>
        <v>Reading At Grade Level</v>
      </c>
      <c r="V27" s="241"/>
    </row>
    <row r="28" spans="1:22" ht="14.45">
      <c r="A28" s="210">
        <v>18</v>
      </c>
      <c r="B28" s="268">
        <f>IF('G3 MT Reading Scoresheet'!B28&lt;&gt;"",'G3 MT Reading Scoresheet'!B28,"")</f>
        <v>1206372200024</v>
      </c>
      <c r="C28" s="265" t="str">
        <f>IF('G3 MT Reading Scoresheet'!C28&lt;&gt;"",'G3 MT Reading Scoresheet'!C28,"")</f>
        <v>ESTOCADA, REANNA, LLAGOSO</v>
      </c>
      <c r="D28" s="213" t="str">
        <f>IF('G3 MT Reading Scoresheet'!D28&lt;&gt;"",'G3 MT Reading Scoresheet'!D28,"")</f>
        <v>Female</v>
      </c>
      <c r="E28" s="214">
        <f>IF('G3 MT Reading Scoresheet'!E28&lt;&gt;"",'G3 MT Reading Scoresheet'!E28,"")</f>
        <v>45722</v>
      </c>
      <c r="F28" s="266">
        <v>10</v>
      </c>
      <c r="G28" s="216"/>
      <c r="H28" s="228">
        <v>10</v>
      </c>
      <c r="I28" s="211">
        <f t="shared" si="0"/>
        <v>30</v>
      </c>
      <c r="J28" s="276" t="str">
        <f t="shared" si="1"/>
        <v>Grade Ready</v>
      </c>
      <c r="K28" s="277">
        <v>1</v>
      </c>
      <c r="L28" s="278">
        <v>3</v>
      </c>
      <c r="M28" s="211">
        <f t="shared" si="2"/>
        <v>118</v>
      </c>
      <c r="N28" s="228">
        <v>1</v>
      </c>
      <c r="O28" s="228">
        <v>35</v>
      </c>
      <c r="P28" s="211">
        <f t="shared" si="3"/>
        <v>74.526315789473699</v>
      </c>
      <c r="Q28" s="229">
        <f t="shared" si="4"/>
        <v>0.97520661157024802</v>
      </c>
      <c r="R28" s="228">
        <v>6</v>
      </c>
      <c r="S28" s="228">
        <v>5</v>
      </c>
      <c r="T28" s="285" t="s">
        <v>69</v>
      </c>
      <c r="U28" s="286" t="str">
        <f t="shared" si="5"/>
        <v>Reading At Grade Level</v>
      </c>
      <c r="V28" s="240"/>
    </row>
    <row r="29" spans="1:22" ht="14.45">
      <c r="A29" s="61">
        <v>19</v>
      </c>
      <c r="B29" s="268">
        <f>IF('G3 MT Reading Scoresheet'!B29&lt;&gt;"",'G3 MT Reading Scoresheet'!B29,"")</f>
        <v>117443220012</v>
      </c>
      <c r="C29" s="265" t="str">
        <f>IF('G3 MT Reading Scoresheet'!C29&lt;&gt;"",'G3 MT Reading Scoresheet'!C29,"")</f>
        <v>ESTOCADA, RHEAN SHAN, DEMAFILES</v>
      </c>
      <c r="D29" s="213" t="str">
        <f>IF('G3 MT Reading Scoresheet'!D29&lt;&gt;"",'G3 MT Reading Scoresheet'!D29,"")</f>
        <v>Female</v>
      </c>
      <c r="E29" s="214">
        <f>IF('G3 MT Reading Scoresheet'!E29&lt;&gt;"",'G3 MT Reading Scoresheet'!E29,"")</f>
        <v>45722</v>
      </c>
      <c r="F29" s="267">
        <v>7</v>
      </c>
      <c r="G29" s="218">
        <v>4</v>
      </c>
      <c r="H29" s="230">
        <v>4</v>
      </c>
      <c r="I29" s="211">
        <f t="shared" si="0"/>
        <v>21</v>
      </c>
      <c r="J29" s="276" t="str">
        <f t="shared" si="1"/>
        <v>Light Refresher</v>
      </c>
      <c r="K29" s="279">
        <v>1</v>
      </c>
      <c r="L29" s="280">
        <v>56</v>
      </c>
      <c r="M29" s="211">
        <f t="shared" si="2"/>
        <v>65</v>
      </c>
      <c r="N29" s="230">
        <v>3</v>
      </c>
      <c r="O29" s="230">
        <v>0</v>
      </c>
      <c r="P29" s="211">
        <f t="shared" si="3"/>
        <v>21.6666666666667</v>
      </c>
      <c r="Q29" s="229">
        <f t="shared" si="4"/>
        <v>0.53719008264462798</v>
      </c>
      <c r="R29" s="230">
        <v>2</v>
      </c>
      <c r="S29" s="230">
        <v>2</v>
      </c>
      <c r="T29" s="287" t="s">
        <v>61</v>
      </c>
      <c r="U29" s="286" t="str">
        <f t="shared" si="5"/>
        <v>Developing Reader</v>
      </c>
      <c r="V29" s="241"/>
    </row>
    <row r="30" spans="1:22" ht="14.45">
      <c r="A30" s="210">
        <v>20</v>
      </c>
      <c r="B30" s="268">
        <f>IF('G3 MT Reading Scoresheet'!B30&lt;&gt;"",'G3 MT Reading Scoresheet'!B30,"")</f>
        <v>117443220020</v>
      </c>
      <c r="C30" s="265" t="str">
        <f>IF('G3 MT Reading Scoresheet'!C30&lt;&gt;"",'G3 MT Reading Scoresheet'!C30,"")</f>
        <v>LABANZA, HOPE ANGELAINE,-</v>
      </c>
      <c r="D30" s="213" t="str">
        <f>IF('G3 MT Reading Scoresheet'!D30&lt;&gt;"",'G3 MT Reading Scoresheet'!D30,"")</f>
        <v>Female</v>
      </c>
      <c r="E30" s="214">
        <f>IF('G3 MT Reading Scoresheet'!E30&lt;&gt;"",'G3 MT Reading Scoresheet'!E30,"")</f>
        <v>45722</v>
      </c>
      <c r="F30" s="266">
        <v>10</v>
      </c>
      <c r="G30" s="216"/>
      <c r="H30" s="228">
        <v>8</v>
      </c>
      <c r="I30" s="211">
        <f t="shared" si="0"/>
        <v>28</v>
      </c>
      <c r="J30" s="276" t="str">
        <f t="shared" si="1"/>
        <v>Grade Ready</v>
      </c>
      <c r="K30" s="277">
        <v>1</v>
      </c>
      <c r="L30" s="278">
        <v>15</v>
      </c>
      <c r="M30" s="211">
        <f t="shared" si="2"/>
        <v>106</v>
      </c>
      <c r="N30" s="228">
        <v>3</v>
      </c>
      <c r="O30" s="228">
        <v>0</v>
      </c>
      <c r="P30" s="211">
        <f t="shared" si="3"/>
        <v>35.3333333333333</v>
      </c>
      <c r="Q30" s="229">
        <f t="shared" si="4"/>
        <v>0.87603305785123997</v>
      </c>
      <c r="R30" s="228">
        <v>6</v>
      </c>
      <c r="S30" s="228">
        <v>4</v>
      </c>
      <c r="T30" s="285" t="s">
        <v>56</v>
      </c>
      <c r="U30" s="286" t="str">
        <f t="shared" si="5"/>
        <v>Reading At Grade Level</v>
      </c>
      <c r="V30" s="240"/>
    </row>
    <row r="31" spans="1:22" ht="14.45">
      <c r="A31" s="61">
        <v>21</v>
      </c>
      <c r="B31" s="268" t="str">
        <f>IF('G3 MT Reading Scoresheet'!B31&lt;&gt;"",'G3 MT Reading Scoresheet'!B31,"")</f>
        <v/>
      </c>
      <c r="C31" s="265" t="str">
        <f>IF('G3 MT Reading Scoresheet'!C31&lt;&gt;"",'G3 MT Reading Scoresheet'!C31,"")</f>
        <v>LABANZA, JESEL, PARBA</v>
      </c>
      <c r="D31" s="213" t="str">
        <f>IF('G3 MT Reading Scoresheet'!D31&lt;&gt;"",'G3 MT Reading Scoresheet'!D31,"")</f>
        <v>Female</v>
      </c>
      <c r="E31" s="214">
        <f>IF('G3 MT Reading Scoresheet'!E31&lt;&gt;"",'G3 MT Reading Scoresheet'!E31,"")</f>
        <v>45722</v>
      </c>
      <c r="F31" s="267">
        <v>8</v>
      </c>
      <c r="G31" s="218"/>
      <c r="H31" s="230">
        <v>8</v>
      </c>
      <c r="I31" s="211">
        <f t="shared" si="0"/>
        <v>26</v>
      </c>
      <c r="J31" s="276" t="str">
        <f t="shared" si="1"/>
        <v>Light Refresher</v>
      </c>
      <c r="K31" s="279">
        <v>1</v>
      </c>
      <c r="L31" s="280">
        <v>7</v>
      </c>
      <c r="M31" s="211">
        <f t="shared" si="2"/>
        <v>114</v>
      </c>
      <c r="N31" s="230">
        <v>2</v>
      </c>
      <c r="O31" s="230">
        <v>26</v>
      </c>
      <c r="P31" s="211">
        <f t="shared" si="3"/>
        <v>46.849315068493198</v>
      </c>
      <c r="Q31" s="229">
        <f t="shared" si="4"/>
        <v>0.94214876033057804</v>
      </c>
      <c r="R31" s="230">
        <v>6</v>
      </c>
      <c r="S31" s="230">
        <v>5</v>
      </c>
      <c r="T31" s="287" t="s">
        <v>69</v>
      </c>
      <c r="U31" s="286" t="str">
        <f t="shared" si="5"/>
        <v>Reading At Grade Level</v>
      </c>
      <c r="V31" s="241"/>
    </row>
    <row r="32" spans="1:22" ht="14.45">
      <c r="A32" s="210">
        <v>22</v>
      </c>
      <c r="B32" s="268" t="str">
        <f>IF('G3 MT Reading Scoresheet'!B32&lt;&gt;"",'G3 MT Reading Scoresheet'!B32,"")</f>
        <v/>
      </c>
      <c r="C32" s="265" t="str">
        <f>IF('G3 MT Reading Scoresheet'!C32&lt;&gt;"",'G3 MT Reading Scoresheet'!C32,"")</f>
        <v>LANOJAN, JASHLYN KATE, JADIA</v>
      </c>
      <c r="D32" s="213" t="str">
        <f>IF('G3 MT Reading Scoresheet'!D32&lt;&gt;"",'G3 MT Reading Scoresheet'!D32,"")</f>
        <v>Female</v>
      </c>
      <c r="E32" s="214">
        <f>IF('G3 MT Reading Scoresheet'!E32&lt;&gt;"",'G3 MT Reading Scoresheet'!E32,"")</f>
        <v>45722</v>
      </c>
      <c r="F32" s="266">
        <v>10</v>
      </c>
      <c r="G32" s="216"/>
      <c r="H32" s="228">
        <v>10</v>
      </c>
      <c r="I32" s="211">
        <f t="shared" si="0"/>
        <v>30</v>
      </c>
      <c r="J32" s="276" t="str">
        <f t="shared" si="1"/>
        <v>Grade Ready</v>
      </c>
      <c r="K32" s="277">
        <v>1</v>
      </c>
      <c r="L32" s="278">
        <v>1</v>
      </c>
      <c r="M32" s="211">
        <f t="shared" si="2"/>
        <v>120</v>
      </c>
      <c r="N32" s="228">
        <v>1</v>
      </c>
      <c r="O32" s="228">
        <v>38</v>
      </c>
      <c r="P32" s="211">
        <f t="shared" si="3"/>
        <v>73.469387755102005</v>
      </c>
      <c r="Q32" s="229">
        <f t="shared" si="4"/>
        <v>0.99173553719008301</v>
      </c>
      <c r="R32" s="228">
        <v>6</v>
      </c>
      <c r="S32" s="228">
        <v>5</v>
      </c>
      <c r="T32" s="285" t="s">
        <v>59</v>
      </c>
      <c r="U32" s="286" t="str">
        <f t="shared" si="5"/>
        <v>Reading At Grade Level</v>
      </c>
      <c r="V32" s="240"/>
    </row>
    <row r="33" spans="1:22" ht="14.45">
      <c r="A33" s="61">
        <v>23</v>
      </c>
      <c r="B33" s="268">
        <f>IF('G3 MT Reading Scoresheet'!B33&lt;&gt;"",'G3 MT Reading Scoresheet'!B33,"")</f>
        <v>117443220015</v>
      </c>
      <c r="C33" s="265" t="str">
        <f>IF('G3 MT Reading Scoresheet'!C33&lt;&gt;"",'G3 MT Reading Scoresheet'!C33,"")</f>
        <v>MANGUBAT, AMARAH DENISE, LABANZA</v>
      </c>
      <c r="D33" s="213" t="str">
        <f>IF('G3 MT Reading Scoresheet'!D33&lt;&gt;"",'G3 MT Reading Scoresheet'!D33,"")</f>
        <v>Female</v>
      </c>
      <c r="E33" s="214" t="str">
        <f>IF('G3 MT Reading Scoresheet'!E33&lt;&gt;"",'G3 MT Reading Scoresheet'!E33,"")</f>
        <v>06/24/2025</v>
      </c>
      <c r="F33" s="267">
        <v>7</v>
      </c>
      <c r="G33" s="218"/>
      <c r="H33" s="230">
        <v>7</v>
      </c>
      <c r="I33" s="211">
        <f t="shared" si="0"/>
        <v>24</v>
      </c>
      <c r="J33" s="276" t="str">
        <f t="shared" si="1"/>
        <v>Light Refresher</v>
      </c>
      <c r="K33" s="279">
        <v>1</v>
      </c>
      <c r="L33" s="280">
        <v>8</v>
      </c>
      <c r="M33" s="211">
        <f t="shared" si="2"/>
        <v>113</v>
      </c>
      <c r="N33" s="230">
        <v>2</v>
      </c>
      <c r="O33" s="230">
        <v>30</v>
      </c>
      <c r="P33" s="211">
        <f t="shared" si="3"/>
        <v>45.2</v>
      </c>
      <c r="Q33" s="229">
        <f t="shared" si="4"/>
        <v>0.93388429752066104</v>
      </c>
      <c r="R33" s="230">
        <v>5</v>
      </c>
      <c r="S33" s="230">
        <v>5</v>
      </c>
      <c r="T33" s="287" t="s">
        <v>69</v>
      </c>
      <c r="U33" s="286" t="str">
        <f t="shared" si="5"/>
        <v>Transitioning Reader</v>
      </c>
      <c r="V33" s="241"/>
    </row>
    <row r="34" spans="1:22" ht="14.45">
      <c r="A34" s="210">
        <v>24</v>
      </c>
      <c r="B34" s="268">
        <f>IF('G3 MT Reading Scoresheet'!B34&lt;&gt;"",'G3 MT Reading Scoresheet'!B34,"")</f>
        <v>117443220016</v>
      </c>
      <c r="C34" s="265" t="str">
        <f>IF('G3 MT Reading Scoresheet'!C34&lt;&gt;"",'G3 MT Reading Scoresheet'!C34,"")</f>
        <v>SUMOLAY, GRACE ANN, ESPARTERO</v>
      </c>
      <c r="D34" s="213" t="str">
        <f>IF('G3 MT Reading Scoresheet'!D34&lt;&gt;"",'G3 MT Reading Scoresheet'!D34,"")</f>
        <v>Female</v>
      </c>
      <c r="E34" s="214" t="str">
        <f>IF('G3 MT Reading Scoresheet'!E34&lt;&gt;"",'G3 MT Reading Scoresheet'!E34,"")</f>
        <v>06/24/2025</v>
      </c>
      <c r="F34" s="266">
        <v>10</v>
      </c>
      <c r="G34" s="216"/>
      <c r="H34" s="228">
        <v>10</v>
      </c>
      <c r="I34" s="211">
        <f t="shared" si="0"/>
        <v>30</v>
      </c>
      <c r="J34" s="276" t="str">
        <f t="shared" si="1"/>
        <v>Grade Ready</v>
      </c>
      <c r="K34" s="277">
        <v>1</v>
      </c>
      <c r="L34" s="278">
        <v>4</v>
      </c>
      <c r="M34" s="211">
        <f t="shared" si="2"/>
        <v>117</v>
      </c>
      <c r="N34" s="228">
        <v>2</v>
      </c>
      <c r="O34" s="228"/>
      <c r="P34" s="211">
        <f t="shared" si="3"/>
        <v>58.5</v>
      </c>
      <c r="Q34" s="229">
        <f t="shared" si="4"/>
        <v>0.96694214876033102</v>
      </c>
      <c r="R34" s="228">
        <v>6</v>
      </c>
      <c r="S34" s="228">
        <v>5</v>
      </c>
      <c r="T34" s="285" t="s">
        <v>59</v>
      </c>
      <c r="U34" s="286" t="str">
        <f t="shared" si="5"/>
        <v>Reading At Grade Level</v>
      </c>
      <c r="V34" s="240"/>
    </row>
    <row r="35" spans="1:22" ht="14.45">
      <c r="A35" s="61">
        <v>25</v>
      </c>
      <c r="B35" s="268">
        <f>IF('G3 MT Reading Scoresheet'!B35&lt;&gt;"",'G3 MT Reading Scoresheet'!B35,"")</f>
        <v>117692220048</v>
      </c>
      <c r="C35" s="265" t="str">
        <f>IF('G3 MT Reading Scoresheet'!C35&lt;&gt;"",'G3 MT Reading Scoresheet'!C35,"")</f>
        <v>TAPIC, KYZYL ZYNN MJ,-</v>
      </c>
      <c r="D35" s="213" t="str">
        <f>IF('G3 MT Reading Scoresheet'!D35&lt;&gt;"",'G3 MT Reading Scoresheet'!D35,"")</f>
        <v>Female</v>
      </c>
      <c r="E35" s="214" t="str">
        <f>IF('G3 MT Reading Scoresheet'!E35&lt;&gt;"",'G3 MT Reading Scoresheet'!E35,"")</f>
        <v>06/24/2025</v>
      </c>
      <c r="F35" s="267">
        <v>9</v>
      </c>
      <c r="G35" s="218"/>
      <c r="H35" s="230">
        <v>7</v>
      </c>
      <c r="I35" s="211">
        <f t="shared" si="0"/>
        <v>26</v>
      </c>
      <c r="J35" s="276" t="str">
        <f t="shared" si="1"/>
        <v>Light Refresher</v>
      </c>
      <c r="K35" s="279">
        <v>1</v>
      </c>
      <c r="L35" s="280">
        <v>10</v>
      </c>
      <c r="M35" s="211">
        <f t="shared" si="2"/>
        <v>111</v>
      </c>
      <c r="N35" s="230">
        <v>3</v>
      </c>
      <c r="O35" s="230">
        <v>10</v>
      </c>
      <c r="P35" s="211">
        <f t="shared" si="3"/>
        <v>35.052631578947398</v>
      </c>
      <c r="Q35" s="229">
        <f t="shared" si="4"/>
        <v>0.91735537190082606</v>
      </c>
      <c r="R35" s="230">
        <v>5</v>
      </c>
      <c r="S35" s="230">
        <v>5</v>
      </c>
      <c r="T35" s="287" t="s">
        <v>69</v>
      </c>
      <c r="U35" s="286" t="str">
        <f t="shared" si="5"/>
        <v>Transitioning Reader</v>
      </c>
      <c r="V35" s="241"/>
    </row>
    <row r="36" spans="1:22" ht="14.45">
      <c r="A36" s="210">
        <v>26</v>
      </c>
      <c r="B36" s="268" t="str">
        <f>IF('G3 MT Reading Scoresheet'!B36&lt;&gt;"",'G3 MT Reading Scoresheet'!B36,"")</f>
        <v/>
      </c>
      <c r="C36" s="265" t="str">
        <f>IF('G3 MT Reading Scoresheet'!C36&lt;&gt;"",'G3 MT Reading Scoresheet'!C36,"")</f>
        <v/>
      </c>
      <c r="D36" s="213" t="str">
        <f>IF('G3 MT Reading Scoresheet'!D36&lt;&gt;"",'G3 MT Reading Scoresheet'!D36,"")</f>
        <v/>
      </c>
      <c r="E36" s="214" t="str">
        <f>IF('G3 MT Reading Scoresheet'!E36&lt;&gt;"",'G3 MT Reading Scoresheet'!E36,"")</f>
        <v/>
      </c>
      <c r="F36" s="266"/>
      <c r="G36" s="216"/>
      <c r="H36" s="228"/>
      <c r="I36" s="211" t="str">
        <f t="shared" si="0"/>
        <v/>
      </c>
      <c r="J36" s="276" t="str">
        <f t="shared" si="1"/>
        <v/>
      </c>
      <c r="K36" s="277"/>
      <c r="L36" s="278"/>
      <c r="M36" s="211" t="str">
        <f t="shared" si="2"/>
        <v/>
      </c>
      <c r="N36" s="228"/>
      <c r="O36" s="228"/>
      <c r="P36" s="211" t="str">
        <f t="shared" si="3"/>
        <v/>
      </c>
      <c r="Q36" s="229" t="str">
        <f t="shared" si="4"/>
        <v/>
      </c>
      <c r="R36" s="228"/>
      <c r="S36" s="228"/>
      <c r="T36" s="285"/>
      <c r="U36" s="286" t="str">
        <f t="shared" si="5"/>
        <v/>
      </c>
      <c r="V36" s="240"/>
    </row>
    <row r="37" spans="1:22" ht="14.45">
      <c r="A37" s="61">
        <v>27</v>
      </c>
      <c r="B37" s="268" t="str">
        <f>IF('G3 MT Reading Scoresheet'!B37&lt;&gt;"",'G3 MT Reading Scoresheet'!B37,"")</f>
        <v/>
      </c>
      <c r="C37" s="265" t="str">
        <f>IF('G3 MT Reading Scoresheet'!C37&lt;&gt;"",'G3 MT Reading Scoresheet'!C37,"")</f>
        <v/>
      </c>
      <c r="D37" s="213" t="str">
        <f>IF('G3 MT Reading Scoresheet'!D37&lt;&gt;"",'G3 MT Reading Scoresheet'!D37,"")</f>
        <v/>
      </c>
      <c r="E37" s="214" t="str">
        <f>IF('G3 MT Reading Scoresheet'!E37&lt;&gt;"",'G3 MT Reading Scoresheet'!E37,"")</f>
        <v/>
      </c>
      <c r="F37" s="267"/>
      <c r="G37" s="218"/>
      <c r="H37" s="230"/>
      <c r="I37" s="211" t="str">
        <f t="shared" si="0"/>
        <v/>
      </c>
      <c r="J37" s="276" t="str">
        <f t="shared" si="1"/>
        <v/>
      </c>
      <c r="K37" s="279"/>
      <c r="L37" s="280"/>
      <c r="M37" s="211" t="str">
        <f t="shared" si="2"/>
        <v/>
      </c>
      <c r="N37" s="230"/>
      <c r="O37" s="230"/>
      <c r="P37" s="211" t="str">
        <f t="shared" si="3"/>
        <v/>
      </c>
      <c r="Q37" s="229" t="str">
        <f t="shared" si="4"/>
        <v/>
      </c>
      <c r="R37" s="230"/>
      <c r="S37" s="230"/>
      <c r="T37" s="287"/>
      <c r="U37" s="286" t="str">
        <f t="shared" si="5"/>
        <v/>
      </c>
      <c r="V37" s="241"/>
    </row>
    <row r="38" spans="1:22" ht="14.45">
      <c r="A38" s="210">
        <v>28</v>
      </c>
      <c r="B38" s="268" t="str">
        <f>IF('G3 MT Reading Scoresheet'!B38&lt;&gt;"",'G3 MT Reading Scoresheet'!B38,"")</f>
        <v/>
      </c>
      <c r="C38" s="265" t="str">
        <f>IF('G3 MT Reading Scoresheet'!C38&lt;&gt;"",'G3 MT Reading Scoresheet'!C38,"")</f>
        <v/>
      </c>
      <c r="D38" s="213" t="str">
        <f>IF('G3 MT Reading Scoresheet'!D38&lt;&gt;"",'G3 MT Reading Scoresheet'!D38,"")</f>
        <v/>
      </c>
      <c r="E38" s="214" t="str">
        <f>IF('G3 MT Reading Scoresheet'!E38&lt;&gt;"",'G3 MT Reading Scoresheet'!E38,"")</f>
        <v/>
      </c>
      <c r="F38" s="266"/>
      <c r="G38" s="216"/>
      <c r="H38" s="228"/>
      <c r="I38" s="211" t="str">
        <f t="shared" si="0"/>
        <v/>
      </c>
      <c r="J38" s="276" t="str">
        <f t="shared" si="1"/>
        <v/>
      </c>
      <c r="K38" s="277"/>
      <c r="L38" s="278"/>
      <c r="M38" s="211" t="str">
        <f t="shared" si="2"/>
        <v/>
      </c>
      <c r="N38" s="228"/>
      <c r="O38" s="228"/>
      <c r="P38" s="211" t="str">
        <f t="shared" si="3"/>
        <v/>
      </c>
      <c r="Q38" s="229" t="str">
        <f t="shared" si="4"/>
        <v/>
      </c>
      <c r="R38" s="228"/>
      <c r="S38" s="228"/>
      <c r="T38" s="285"/>
      <c r="U38" s="286" t="str">
        <f t="shared" si="5"/>
        <v/>
      </c>
      <c r="V38" s="240"/>
    </row>
    <row r="39" spans="1:22" ht="14.45">
      <c r="A39" s="61">
        <v>29</v>
      </c>
      <c r="B39" s="268" t="str">
        <f>IF('G3 MT Reading Scoresheet'!B39&lt;&gt;"",'G3 MT Reading Scoresheet'!B39,"")</f>
        <v/>
      </c>
      <c r="C39" s="265" t="str">
        <f>IF('G3 MT Reading Scoresheet'!C39&lt;&gt;"",'G3 MT Reading Scoresheet'!C39,"")</f>
        <v/>
      </c>
      <c r="D39" s="213" t="str">
        <f>IF('G3 MT Reading Scoresheet'!D39&lt;&gt;"",'G3 MT Reading Scoresheet'!D39,"")</f>
        <v/>
      </c>
      <c r="E39" s="214" t="str">
        <f>IF('G3 MT Reading Scoresheet'!E39&lt;&gt;"",'G3 MT Reading Scoresheet'!E39,"")</f>
        <v/>
      </c>
      <c r="F39" s="267"/>
      <c r="G39" s="218"/>
      <c r="H39" s="230"/>
      <c r="I39" s="211" t="str">
        <f t="shared" si="0"/>
        <v/>
      </c>
      <c r="J39" s="276" t="str">
        <f t="shared" si="1"/>
        <v/>
      </c>
      <c r="K39" s="279"/>
      <c r="L39" s="280"/>
      <c r="M39" s="211" t="str">
        <f t="shared" si="2"/>
        <v/>
      </c>
      <c r="N39" s="230"/>
      <c r="O39" s="230"/>
      <c r="P39" s="211" t="str">
        <f t="shared" si="3"/>
        <v/>
      </c>
      <c r="Q39" s="229" t="str">
        <f t="shared" si="4"/>
        <v/>
      </c>
      <c r="R39" s="230"/>
      <c r="S39" s="230"/>
      <c r="T39" s="287"/>
      <c r="U39" s="286" t="str">
        <f t="shared" si="5"/>
        <v/>
      </c>
      <c r="V39" s="241"/>
    </row>
    <row r="40" spans="1:22" ht="14.45">
      <c r="A40" s="210">
        <v>30</v>
      </c>
      <c r="B40" s="268" t="str">
        <f>IF('G3 MT Reading Scoresheet'!B40&lt;&gt;"",'G3 MT Reading Scoresheet'!B40,"")</f>
        <v/>
      </c>
      <c r="C40" s="265" t="str">
        <f>IF('G3 MT Reading Scoresheet'!C40&lt;&gt;"",'G3 MT Reading Scoresheet'!C40,"")</f>
        <v/>
      </c>
      <c r="D40" s="213" t="str">
        <f>IF('G3 MT Reading Scoresheet'!D40&lt;&gt;"",'G3 MT Reading Scoresheet'!D40,"")</f>
        <v/>
      </c>
      <c r="E40" s="214" t="str">
        <f>IF('G3 MT Reading Scoresheet'!E40&lt;&gt;"",'G3 MT Reading Scoresheet'!E40,"")</f>
        <v/>
      </c>
      <c r="F40" s="266"/>
      <c r="G40" s="216"/>
      <c r="H40" s="228"/>
      <c r="I40" s="211" t="str">
        <f t="shared" si="0"/>
        <v/>
      </c>
      <c r="J40" s="276" t="str">
        <f t="shared" si="1"/>
        <v/>
      </c>
      <c r="K40" s="277"/>
      <c r="L40" s="278"/>
      <c r="M40" s="211" t="str">
        <f t="shared" si="2"/>
        <v/>
      </c>
      <c r="N40" s="228"/>
      <c r="O40" s="228"/>
      <c r="P40" s="211" t="str">
        <f t="shared" si="3"/>
        <v/>
      </c>
      <c r="Q40" s="229" t="str">
        <f t="shared" si="4"/>
        <v/>
      </c>
      <c r="R40" s="228"/>
      <c r="S40" s="228"/>
      <c r="T40" s="285"/>
      <c r="U40" s="286" t="str">
        <f t="shared" si="5"/>
        <v/>
      </c>
      <c r="V40" s="240"/>
    </row>
    <row r="41" spans="1:22" ht="14.45">
      <c r="A41" s="61">
        <v>31</v>
      </c>
      <c r="B41" s="268" t="str">
        <f>IF('G3 MT Reading Scoresheet'!B41&lt;&gt;"",'G3 MT Reading Scoresheet'!B41,"")</f>
        <v/>
      </c>
      <c r="C41" s="265" t="str">
        <f>IF('G3 MT Reading Scoresheet'!C41&lt;&gt;"",'G3 MT Reading Scoresheet'!C41,"")</f>
        <v/>
      </c>
      <c r="D41" s="213" t="str">
        <f>IF('G3 MT Reading Scoresheet'!D41&lt;&gt;"",'G3 MT Reading Scoresheet'!D41,"")</f>
        <v/>
      </c>
      <c r="E41" s="214" t="str">
        <f>IF('G3 MT Reading Scoresheet'!E41&lt;&gt;"",'G3 MT Reading Scoresheet'!E41,"")</f>
        <v/>
      </c>
      <c r="F41" s="267"/>
      <c r="G41" s="218"/>
      <c r="H41" s="230"/>
      <c r="I41" s="211" t="str">
        <f t="shared" si="0"/>
        <v/>
      </c>
      <c r="J41" s="276" t="str">
        <f t="shared" si="1"/>
        <v/>
      </c>
      <c r="K41" s="279"/>
      <c r="L41" s="280"/>
      <c r="M41" s="211" t="str">
        <f t="shared" si="2"/>
        <v/>
      </c>
      <c r="N41" s="230"/>
      <c r="O41" s="230"/>
      <c r="P41" s="211" t="str">
        <f t="shared" si="3"/>
        <v/>
      </c>
      <c r="Q41" s="229" t="str">
        <f t="shared" si="4"/>
        <v/>
      </c>
      <c r="R41" s="230"/>
      <c r="S41" s="230"/>
      <c r="T41" s="287"/>
      <c r="U41" s="286" t="str">
        <f t="shared" si="5"/>
        <v/>
      </c>
      <c r="V41" s="241"/>
    </row>
    <row r="42" spans="1:22" ht="14.45">
      <c r="A42" s="210">
        <v>32</v>
      </c>
      <c r="B42" s="268" t="str">
        <f>IF('G3 MT Reading Scoresheet'!B42&lt;&gt;"",'G3 MT Reading Scoresheet'!B42,"")</f>
        <v/>
      </c>
      <c r="C42" s="265" t="str">
        <f>IF('G3 MT Reading Scoresheet'!C42&lt;&gt;"",'G3 MT Reading Scoresheet'!C42,"")</f>
        <v/>
      </c>
      <c r="D42" s="213" t="str">
        <f>IF('G3 MT Reading Scoresheet'!D42&lt;&gt;"",'G3 MT Reading Scoresheet'!D42,"")</f>
        <v/>
      </c>
      <c r="E42" s="214" t="str">
        <f>IF('G3 MT Reading Scoresheet'!E42&lt;&gt;"",'G3 MT Reading Scoresheet'!E42,"")</f>
        <v/>
      </c>
      <c r="F42" s="266"/>
      <c r="G42" s="216"/>
      <c r="H42" s="228"/>
      <c r="I42" s="211" t="str">
        <f t="shared" si="0"/>
        <v/>
      </c>
      <c r="J42" s="276" t="str">
        <f t="shared" si="1"/>
        <v/>
      </c>
      <c r="K42" s="277"/>
      <c r="L42" s="278"/>
      <c r="M42" s="211" t="str">
        <f t="shared" si="2"/>
        <v/>
      </c>
      <c r="N42" s="228"/>
      <c r="O42" s="228"/>
      <c r="P42" s="211" t="str">
        <f t="shared" si="3"/>
        <v/>
      </c>
      <c r="Q42" s="229" t="str">
        <f t="shared" si="4"/>
        <v/>
      </c>
      <c r="R42" s="228"/>
      <c r="S42" s="228"/>
      <c r="T42" s="285"/>
      <c r="U42" s="286" t="str">
        <f t="shared" si="5"/>
        <v/>
      </c>
      <c r="V42" s="240"/>
    </row>
    <row r="43" spans="1:22" ht="14.45">
      <c r="A43" s="61">
        <v>33</v>
      </c>
      <c r="B43" s="268" t="str">
        <f>IF('G3 MT Reading Scoresheet'!B43&lt;&gt;"",'G3 MT Reading Scoresheet'!B43,"")</f>
        <v/>
      </c>
      <c r="C43" s="265" t="str">
        <f>IF('G3 MT Reading Scoresheet'!C43&lt;&gt;"",'G3 MT Reading Scoresheet'!C43,"")</f>
        <v/>
      </c>
      <c r="D43" s="213" t="str">
        <f>IF('G3 MT Reading Scoresheet'!D43&lt;&gt;"",'G3 MT Reading Scoresheet'!D43,"")</f>
        <v/>
      </c>
      <c r="E43" s="214" t="str">
        <f>IF('G3 MT Reading Scoresheet'!E43&lt;&gt;"",'G3 MT Reading Scoresheet'!E43,"")</f>
        <v/>
      </c>
      <c r="F43" s="267"/>
      <c r="G43" s="218"/>
      <c r="H43" s="230"/>
      <c r="I43" s="211" t="str">
        <f t="shared" si="0"/>
        <v/>
      </c>
      <c r="J43" s="276" t="str">
        <f t="shared" si="1"/>
        <v/>
      </c>
      <c r="K43" s="279"/>
      <c r="L43" s="280"/>
      <c r="M43" s="211" t="str">
        <f t="shared" si="2"/>
        <v/>
      </c>
      <c r="N43" s="230"/>
      <c r="O43" s="230"/>
      <c r="P43" s="211" t="str">
        <f t="shared" si="3"/>
        <v/>
      </c>
      <c r="Q43" s="229" t="str">
        <f t="shared" si="4"/>
        <v/>
      </c>
      <c r="R43" s="230"/>
      <c r="S43" s="230"/>
      <c r="T43" s="287"/>
      <c r="U43" s="286" t="str">
        <f t="shared" si="5"/>
        <v/>
      </c>
      <c r="V43" s="241"/>
    </row>
    <row r="44" spans="1:22" ht="14.45">
      <c r="A44" s="210">
        <v>34</v>
      </c>
      <c r="B44" s="268" t="str">
        <f>IF('G3 MT Reading Scoresheet'!B44&lt;&gt;"",'G3 MT Reading Scoresheet'!B44,"")</f>
        <v/>
      </c>
      <c r="C44" s="265" t="str">
        <f>IF('G3 MT Reading Scoresheet'!C44&lt;&gt;"",'G3 MT Reading Scoresheet'!C44,"")</f>
        <v/>
      </c>
      <c r="D44" s="213" t="str">
        <f>IF('G3 MT Reading Scoresheet'!D44&lt;&gt;"",'G3 MT Reading Scoresheet'!D44,"")</f>
        <v/>
      </c>
      <c r="E44" s="214" t="str">
        <f>IF('G3 MT Reading Scoresheet'!E44&lt;&gt;"",'G3 MT Reading Scoresheet'!E44,"")</f>
        <v/>
      </c>
      <c r="F44" s="266"/>
      <c r="G44" s="216"/>
      <c r="H44" s="228"/>
      <c r="I44" s="211" t="str">
        <f t="shared" si="0"/>
        <v/>
      </c>
      <c r="J44" s="276" t="str">
        <f t="shared" si="1"/>
        <v/>
      </c>
      <c r="K44" s="277"/>
      <c r="L44" s="278"/>
      <c r="M44" s="211" t="str">
        <f t="shared" si="2"/>
        <v/>
      </c>
      <c r="N44" s="228"/>
      <c r="O44" s="228"/>
      <c r="P44" s="211" t="str">
        <f t="shared" si="3"/>
        <v/>
      </c>
      <c r="Q44" s="229" t="str">
        <f t="shared" si="4"/>
        <v/>
      </c>
      <c r="R44" s="228"/>
      <c r="S44" s="228"/>
      <c r="T44" s="285"/>
      <c r="U44" s="286" t="str">
        <f t="shared" si="5"/>
        <v/>
      </c>
      <c r="V44" s="240"/>
    </row>
    <row r="45" spans="1:22" ht="14.45">
      <c r="A45" s="61">
        <v>35</v>
      </c>
      <c r="B45" s="268" t="str">
        <f>IF('G3 MT Reading Scoresheet'!B45&lt;&gt;"",'G3 MT Reading Scoresheet'!B45,"")</f>
        <v/>
      </c>
      <c r="C45" s="265" t="str">
        <f>IF('G3 MT Reading Scoresheet'!C45&lt;&gt;"",'G3 MT Reading Scoresheet'!C45,"")</f>
        <v/>
      </c>
      <c r="D45" s="213" t="str">
        <f>IF('G3 MT Reading Scoresheet'!D45&lt;&gt;"",'G3 MT Reading Scoresheet'!D45,"")</f>
        <v/>
      </c>
      <c r="E45" s="214" t="str">
        <f>IF('G3 MT Reading Scoresheet'!E45&lt;&gt;"",'G3 MT Reading Scoresheet'!E45,"")</f>
        <v/>
      </c>
      <c r="F45" s="267"/>
      <c r="G45" s="218"/>
      <c r="H45" s="230"/>
      <c r="I45" s="211" t="str">
        <f t="shared" si="0"/>
        <v/>
      </c>
      <c r="J45" s="276" t="str">
        <f t="shared" si="1"/>
        <v/>
      </c>
      <c r="K45" s="279"/>
      <c r="L45" s="280"/>
      <c r="M45" s="211" t="str">
        <f t="shared" si="2"/>
        <v/>
      </c>
      <c r="N45" s="230"/>
      <c r="O45" s="230"/>
      <c r="P45" s="211" t="str">
        <f t="shared" si="3"/>
        <v/>
      </c>
      <c r="Q45" s="229" t="str">
        <f t="shared" si="4"/>
        <v/>
      </c>
      <c r="R45" s="230"/>
      <c r="S45" s="230"/>
      <c r="T45" s="287"/>
      <c r="U45" s="286" t="str">
        <f t="shared" si="5"/>
        <v/>
      </c>
      <c r="V45" s="241"/>
    </row>
    <row r="46" spans="1:22" ht="14.45">
      <c r="A46" s="210">
        <v>36</v>
      </c>
      <c r="B46" s="268" t="str">
        <f>IF('G3 MT Reading Scoresheet'!B46&lt;&gt;"",'G3 MT Reading Scoresheet'!B46,"")</f>
        <v/>
      </c>
      <c r="C46" s="265" t="str">
        <f>IF('G3 MT Reading Scoresheet'!C46&lt;&gt;"",'G3 MT Reading Scoresheet'!C46,"")</f>
        <v/>
      </c>
      <c r="D46" s="213" t="str">
        <f>IF('G3 MT Reading Scoresheet'!D46&lt;&gt;"",'G3 MT Reading Scoresheet'!D46,"")</f>
        <v/>
      </c>
      <c r="E46" s="214" t="str">
        <f>IF('G3 MT Reading Scoresheet'!E46&lt;&gt;"",'G3 MT Reading Scoresheet'!E46,"")</f>
        <v/>
      </c>
      <c r="F46" s="266"/>
      <c r="G46" s="216"/>
      <c r="H46" s="228"/>
      <c r="I46" s="211" t="str">
        <f t="shared" si="0"/>
        <v/>
      </c>
      <c r="J46" s="276" t="str">
        <f t="shared" si="1"/>
        <v/>
      </c>
      <c r="K46" s="277"/>
      <c r="L46" s="278"/>
      <c r="M46" s="211" t="str">
        <f t="shared" si="2"/>
        <v/>
      </c>
      <c r="N46" s="228"/>
      <c r="O46" s="228"/>
      <c r="P46" s="211" t="str">
        <f t="shared" si="3"/>
        <v/>
      </c>
      <c r="Q46" s="229" t="str">
        <f t="shared" si="4"/>
        <v/>
      </c>
      <c r="R46" s="228"/>
      <c r="S46" s="228"/>
      <c r="T46" s="285"/>
      <c r="U46" s="286" t="str">
        <f t="shared" si="5"/>
        <v/>
      </c>
      <c r="V46" s="240"/>
    </row>
    <row r="47" spans="1:22" ht="14.45">
      <c r="A47" s="61">
        <v>37</v>
      </c>
      <c r="B47" s="268" t="str">
        <f>IF('G3 MT Reading Scoresheet'!B47&lt;&gt;"",'G3 MT Reading Scoresheet'!B47,"")</f>
        <v/>
      </c>
      <c r="C47" s="265" t="str">
        <f>IF('G3 MT Reading Scoresheet'!C47&lt;&gt;"",'G3 MT Reading Scoresheet'!C47,"")</f>
        <v/>
      </c>
      <c r="D47" s="213" t="str">
        <f>IF('G3 MT Reading Scoresheet'!D47&lt;&gt;"",'G3 MT Reading Scoresheet'!D47,"")</f>
        <v/>
      </c>
      <c r="E47" s="214" t="str">
        <f>IF('G3 MT Reading Scoresheet'!E47&lt;&gt;"",'G3 MT Reading Scoresheet'!E47,"")</f>
        <v/>
      </c>
      <c r="F47" s="267"/>
      <c r="G47" s="218"/>
      <c r="H47" s="230"/>
      <c r="I47" s="211" t="str">
        <f t="shared" si="0"/>
        <v/>
      </c>
      <c r="J47" s="276" t="str">
        <f t="shared" si="1"/>
        <v/>
      </c>
      <c r="K47" s="279"/>
      <c r="L47" s="280"/>
      <c r="M47" s="211" t="str">
        <f t="shared" si="2"/>
        <v/>
      </c>
      <c r="N47" s="230"/>
      <c r="O47" s="230"/>
      <c r="P47" s="211" t="str">
        <f t="shared" si="3"/>
        <v/>
      </c>
      <c r="Q47" s="229" t="str">
        <f t="shared" si="4"/>
        <v/>
      </c>
      <c r="R47" s="230"/>
      <c r="S47" s="230"/>
      <c r="T47" s="287"/>
      <c r="U47" s="286" t="str">
        <f t="shared" si="5"/>
        <v/>
      </c>
      <c r="V47" s="241"/>
    </row>
    <row r="48" spans="1:22" ht="14.45">
      <c r="A48" s="210">
        <v>38</v>
      </c>
      <c r="B48" s="268" t="str">
        <f>IF('G3 MT Reading Scoresheet'!B48&lt;&gt;"",'G3 MT Reading Scoresheet'!B48,"")</f>
        <v/>
      </c>
      <c r="C48" s="265" t="str">
        <f>IF('G3 MT Reading Scoresheet'!C48&lt;&gt;"",'G3 MT Reading Scoresheet'!C48,"")</f>
        <v/>
      </c>
      <c r="D48" s="213" t="str">
        <f>IF('G3 MT Reading Scoresheet'!D48&lt;&gt;"",'G3 MT Reading Scoresheet'!D48,"")</f>
        <v/>
      </c>
      <c r="E48" s="214" t="str">
        <f>IF('G3 MT Reading Scoresheet'!E48&lt;&gt;"",'G3 MT Reading Scoresheet'!E48,"")</f>
        <v/>
      </c>
      <c r="F48" s="266"/>
      <c r="G48" s="216"/>
      <c r="H48" s="228"/>
      <c r="I48" s="211" t="str">
        <f t="shared" si="0"/>
        <v/>
      </c>
      <c r="J48" s="276" t="str">
        <f t="shared" si="1"/>
        <v/>
      </c>
      <c r="K48" s="277"/>
      <c r="L48" s="278"/>
      <c r="M48" s="211" t="str">
        <f t="shared" si="2"/>
        <v/>
      </c>
      <c r="N48" s="228"/>
      <c r="O48" s="228"/>
      <c r="P48" s="211" t="str">
        <f t="shared" si="3"/>
        <v/>
      </c>
      <c r="Q48" s="229" t="str">
        <f t="shared" si="4"/>
        <v/>
      </c>
      <c r="R48" s="228"/>
      <c r="S48" s="228"/>
      <c r="T48" s="285"/>
      <c r="U48" s="286" t="str">
        <f t="shared" si="5"/>
        <v/>
      </c>
      <c r="V48" s="240"/>
    </row>
    <row r="49" spans="1:22" ht="14.45">
      <c r="A49" s="61">
        <v>39</v>
      </c>
      <c r="B49" s="268" t="str">
        <f>IF('G3 MT Reading Scoresheet'!B49&lt;&gt;"",'G3 MT Reading Scoresheet'!B49,"")</f>
        <v/>
      </c>
      <c r="C49" s="265" t="str">
        <f>IF('G3 MT Reading Scoresheet'!C49&lt;&gt;"",'G3 MT Reading Scoresheet'!C49,"")</f>
        <v/>
      </c>
      <c r="D49" s="213" t="str">
        <f>IF('G3 MT Reading Scoresheet'!D49&lt;&gt;"",'G3 MT Reading Scoresheet'!D49,"")</f>
        <v/>
      </c>
      <c r="E49" s="214" t="str">
        <f>IF('G3 MT Reading Scoresheet'!E49&lt;&gt;"",'G3 MT Reading Scoresheet'!E49,"")</f>
        <v/>
      </c>
      <c r="F49" s="267"/>
      <c r="G49" s="218"/>
      <c r="H49" s="230"/>
      <c r="I49" s="211" t="str">
        <f t="shared" si="0"/>
        <v/>
      </c>
      <c r="J49" s="276" t="str">
        <f t="shared" si="1"/>
        <v/>
      </c>
      <c r="K49" s="279"/>
      <c r="L49" s="280"/>
      <c r="M49" s="211" t="str">
        <f t="shared" si="2"/>
        <v/>
      </c>
      <c r="N49" s="230"/>
      <c r="O49" s="230"/>
      <c r="P49" s="211" t="str">
        <f t="shared" si="3"/>
        <v/>
      </c>
      <c r="Q49" s="229" t="str">
        <f t="shared" si="4"/>
        <v/>
      </c>
      <c r="R49" s="230"/>
      <c r="S49" s="230"/>
      <c r="T49" s="287"/>
      <c r="U49" s="286" t="str">
        <f t="shared" si="5"/>
        <v/>
      </c>
      <c r="V49" s="241"/>
    </row>
    <row r="50" spans="1:22" ht="14.45">
      <c r="A50" s="210">
        <v>40</v>
      </c>
      <c r="B50" s="268" t="str">
        <f>IF('G3 MT Reading Scoresheet'!B50&lt;&gt;"",'G3 MT Reading Scoresheet'!B50,"")</f>
        <v/>
      </c>
      <c r="C50" s="265" t="str">
        <f>IF('G3 MT Reading Scoresheet'!C50&lt;&gt;"",'G3 MT Reading Scoresheet'!C50,"")</f>
        <v/>
      </c>
      <c r="D50" s="213" t="str">
        <f>IF('G3 MT Reading Scoresheet'!D50&lt;&gt;"",'G3 MT Reading Scoresheet'!D50,"")</f>
        <v/>
      </c>
      <c r="E50" s="214" t="str">
        <f>IF('G3 MT Reading Scoresheet'!E50&lt;&gt;"",'G3 MT Reading Scoresheet'!E50,"")</f>
        <v/>
      </c>
      <c r="F50" s="266"/>
      <c r="G50" s="216"/>
      <c r="H50" s="228"/>
      <c r="I50" s="211" t="str">
        <f t="shared" si="0"/>
        <v/>
      </c>
      <c r="J50" s="276" t="str">
        <f t="shared" si="1"/>
        <v/>
      </c>
      <c r="K50" s="277"/>
      <c r="L50" s="278"/>
      <c r="M50" s="211" t="str">
        <f t="shared" si="2"/>
        <v/>
      </c>
      <c r="N50" s="228"/>
      <c r="O50" s="228"/>
      <c r="P50" s="211" t="str">
        <f t="shared" si="3"/>
        <v/>
      </c>
      <c r="Q50" s="229" t="str">
        <f t="shared" si="4"/>
        <v/>
      </c>
      <c r="R50" s="228"/>
      <c r="S50" s="228"/>
      <c r="T50" s="285"/>
      <c r="U50" s="286" t="str">
        <f t="shared" si="5"/>
        <v/>
      </c>
      <c r="V50" s="240"/>
    </row>
    <row r="51" spans="1:22" ht="14.45">
      <c r="A51" s="61">
        <v>41</v>
      </c>
      <c r="B51" s="268" t="str">
        <f>IF('G3 MT Reading Scoresheet'!B51&lt;&gt;"",'G3 MT Reading Scoresheet'!B51,"")</f>
        <v/>
      </c>
      <c r="C51" s="265" t="str">
        <f>IF('G3 MT Reading Scoresheet'!C51&lt;&gt;"",'G3 MT Reading Scoresheet'!C51,"")</f>
        <v/>
      </c>
      <c r="D51" s="213" t="str">
        <f>IF('G3 MT Reading Scoresheet'!D51&lt;&gt;"",'G3 MT Reading Scoresheet'!D51,"")</f>
        <v/>
      </c>
      <c r="E51" s="214" t="str">
        <f>IF('G3 MT Reading Scoresheet'!E51&lt;&gt;"",'G3 MT Reading Scoresheet'!E51,"")</f>
        <v/>
      </c>
      <c r="F51" s="267"/>
      <c r="G51" s="218"/>
      <c r="H51" s="230"/>
      <c r="I51" s="211" t="str">
        <f t="shared" si="0"/>
        <v/>
      </c>
      <c r="J51" s="276" t="str">
        <f t="shared" si="1"/>
        <v/>
      </c>
      <c r="K51" s="279"/>
      <c r="L51" s="280"/>
      <c r="M51" s="211" t="str">
        <f t="shared" si="2"/>
        <v/>
      </c>
      <c r="N51" s="230"/>
      <c r="O51" s="230"/>
      <c r="P51" s="211" t="str">
        <f t="shared" si="3"/>
        <v/>
      </c>
      <c r="Q51" s="229" t="str">
        <f t="shared" si="4"/>
        <v/>
      </c>
      <c r="R51" s="230"/>
      <c r="S51" s="230"/>
      <c r="T51" s="287"/>
      <c r="U51" s="286" t="str">
        <f t="shared" si="5"/>
        <v/>
      </c>
      <c r="V51" s="241"/>
    </row>
    <row r="52" spans="1:22" ht="14.45">
      <c r="A52" s="210">
        <v>42</v>
      </c>
      <c r="B52" s="268" t="str">
        <f>IF('G3 MT Reading Scoresheet'!B52&lt;&gt;"",'G3 MT Reading Scoresheet'!B52,"")</f>
        <v/>
      </c>
      <c r="C52" s="265" t="str">
        <f>IF('G3 MT Reading Scoresheet'!C52&lt;&gt;"",'G3 MT Reading Scoresheet'!C52,"")</f>
        <v/>
      </c>
      <c r="D52" s="213" t="str">
        <f>IF('G3 MT Reading Scoresheet'!D52&lt;&gt;"",'G3 MT Reading Scoresheet'!D52,"")</f>
        <v/>
      </c>
      <c r="E52" s="214" t="str">
        <f>IF('G3 MT Reading Scoresheet'!E52&lt;&gt;"",'G3 MT Reading Scoresheet'!E52,"")</f>
        <v/>
      </c>
      <c r="F52" s="266"/>
      <c r="G52" s="216"/>
      <c r="H52" s="228"/>
      <c r="I52" s="211" t="str">
        <f t="shared" si="0"/>
        <v/>
      </c>
      <c r="J52" s="276" t="str">
        <f t="shared" si="1"/>
        <v/>
      </c>
      <c r="K52" s="277"/>
      <c r="L52" s="278"/>
      <c r="M52" s="211" t="str">
        <f t="shared" si="2"/>
        <v/>
      </c>
      <c r="N52" s="228"/>
      <c r="O52" s="228"/>
      <c r="P52" s="211" t="str">
        <f t="shared" si="3"/>
        <v/>
      </c>
      <c r="Q52" s="229" t="str">
        <f t="shared" si="4"/>
        <v/>
      </c>
      <c r="R52" s="228"/>
      <c r="S52" s="228"/>
      <c r="T52" s="285"/>
      <c r="U52" s="286" t="str">
        <f t="shared" si="5"/>
        <v/>
      </c>
      <c r="V52" s="240"/>
    </row>
    <row r="53" spans="1:22" ht="14.45">
      <c r="A53" s="61">
        <v>43</v>
      </c>
      <c r="B53" s="268" t="str">
        <f>IF('G3 MT Reading Scoresheet'!B53&lt;&gt;"",'G3 MT Reading Scoresheet'!B53,"")</f>
        <v/>
      </c>
      <c r="C53" s="265" t="str">
        <f>IF('G3 MT Reading Scoresheet'!C53&lt;&gt;"",'G3 MT Reading Scoresheet'!C53,"")</f>
        <v/>
      </c>
      <c r="D53" s="213" t="str">
        <f>IF('G3 MT Reading Scoresheet'!D53&lt;&gt;"",'G3 MT Reading Scoresheet'!D53,"")</f>
        <v/>
      </c>
      <c r="E53" s="214" t="str">
        <f>IF('G3 MT Reading Scoresheet'!E53&lt;&gt;"",'G3 MT Reading Scoresheet'!E53,"")</f>
        <v/>
      </c>
      <c r="F53" s="267"/>
      <c r="G53" s="218"/>
      <c r="H53" s="230"/>
      <c r="I53" s="211" t="str">
        <f t="shared" si="0"/>
        <v/>
      </c>
      <c r="J53" s="276" t="str">
        <f t="shared" si="1"/>
        <v/>
      </c>
      <c r="K53" s="279"/>
      <c r="L53" s="280"/>
      <c r="M53" s="211" t="str">
        <f t="shared" si="2"/>
        <v/>
      </c>
      <c r="N53" s="230"/>
      <c r="O53" s="230"/>
      <c r="P53" s="211" t="str">
        <f t="shared" si="3"/>
        <v/>
      </c>
      <c r="Q53" s="229" t="str">
        <f t="shared" si="4"/>
        <v/>
      </c>
      <c r="R53" s="230"/>
      <c r="S53" s="230"/>
      <c r="T53" s="287"/>
      <c r="U53" s="286" t="str">
        <f t="shared" si="5"/>
        <v/>
      </c>
      <c r="V53" s="241"/>
    </row>
    <row r="54" spans="1:22" ht="14.45">
      <c r="A54" s="210">
        <v>44</v>
      </c>
      <c r="B54" s="268" t="str">
        <f>IF('G3 MT Reading Scoresheet'!B54&lt;&gt;"",'G3 MT Reading Scoresheet'!B54,"")</f>
        <v/>
      </c>
      <c r="C54" s="265" t="str">
        <f>IF('G3 MT Reading Scoresheet'!C54&lt;&gt;"",'G3 MT Reading Scoresheet'!C54,"")</f>
        <v/>
      </c>
      <c r="D54" s="213" t="str">
        <f>IF('G3 MT Reading Scoresheet'!D54&lt;&gt;"",'G3 MT Reading Scoresheet'!D54,"")</f>
        <v/>
      </c>
      <c r="E54" s="214" t="str">
        <f>IF('G3 MT Reading Scoresheet'!E54&lt;&gt;"",'G3 MT Reading Scoresheet'!E54,"")</f>
        <v/>
      </c>
      <c r="F54" s="266"/>
      <c r="G54" s="216"/>
      <c r="H54" s="228"/>
      <c r="I54" s="211" t="str">
        <f t="shared" si="0"/>
        <v/>
      </c>
      <c r="J54" s="276" t="str">
        <f t="shared" si="1"/>
        <v/>
      </c>
      <c r="K54" s="277"/>
      <c r="L54" s="278"/>
      <c r="M54" s="211" t="str">
        <f t="shared" si="2"/>
        <v/>
      </c>
      <c r="N54" s="228"/>
      <c r="O54" s="228"/>
      <c r="P54" s="211" t="str">
        <f t="shared" si="3"/>
        <v/>
      </c>
      <c r="Q54" s="229" t="str">
        <f t="shared" si="4"/>
        <v/>
      </c>
      <c r="R54" s="228"/>
      <c r="S54" s="228"/>
      <c r="T54" s="285"/>
      <c r="U54" s="286" t="str">
        <f t="shared" si="5"/>
        <v/>
      </c>
      <c r="V54" s="240"/>
    </row>
    <row r="55" spans="1:22" ht="14.45">
      <c r="A55" s="61">
        <v>45</v>
      </c>
      <c r="B55" s="268" t="str">
        <f>IF('G3 MT Reading Scoresheet'!B55&lt;&gt;"",'G3 MT Reading Scoresheet'!B55,"")</f>
        <v/>
      </c>
      <c r="C55" s="265" t="str">
        <f>IF('G3 MT Reading Scoresheet'!C55&lt;&gt;"",'G3 MT Reading Scoresheet'!C55,"")</f>
        <v/>
      </c>
      <c r="D55" s="213" t="str">
        <f>IF('G3 MT Reading Scoresheet'!D55&lt;&gt;"",'G3 MT Reading Scoresheet'!D55,"")</f>
        <v/>
      </c>
      <c r="E55" s="214" t="str">
        <f>IF('G3 MT Reading Scoresheet'!E55&lt;&gt;"",'G3 MT Reading Scoresheet'!E55,"")</f>
        <v/>
      </c>
      <c r="F55" s="267"/>
      <c r="G55" s="218"/>
      <c r="H55" s="230"/>
      <c r="I55" s="211" t="str">
        <f t="shared" si="0"/>
        <v/>
      </c>
      <c r="J55" s="276" t="str">
        <f t="shared" si="1"/>
        <v/>
      </c>
      <c r="K55" s="279"/>
      <c r="L55" s="280"/>
      <c r="M55" s="211" t="str">
        <f t="shared" si="2"/>
        <v/>
      </c>
      <c r="N55" s="230"/>
      <c r="O55" s="230"/>
      <c r="P55" s="211" t="str">
        <f t="shared" si="3"/>
        <v/>
      </c>
      <c r="Q55" s="229" t="str">
        <f t="shared" si="4"/>
        <v/>
      </c>
      <c r="R55" s="230"/>
      <c r="S55" s="230"/>
      <c r="T55" s="287"/>
      <c r="U55" s="286" t="str">
        <f t="shared" si="5"/>
        <v/>
      </c>
      <c r="V55" s="241"/>
    </row>
    <row r="56" spans="1:22" ht="14.45">
      <c r="A56" s="210">
        <v>46</v>
      </c>
      <c r="B56" s="268" t="str">
        <f>IF('G3 MT Reading Scoresheet'!B56&lt;&gt;"",'G3 MT Reading Scoresheet'!B56,"")</f>
        <v/>
      </c>
      <c r="C56" s="265" t="str">
        <f>IF('G3 MT Reading Scoresheet'!C56&lt;&gt;"",'G3 MT Reading Scoresheet'!C56,"")</f>
        <v/>
      </c>
      <c r="D56" s="213" t="str">
        <f>IF('G3 MT Reading Scoresheet'!D56&lt;&gt;"",'G3 MT Reading Scoresheet'!D56,"")</f>
        <v/>
      </c>
      <c r="E56" s="214" t="str">
        <f>IF('G3 MT Reading Scoresheet'!E56&lt;&gt;"",'G3 MT Reading Scoresheet'!E56,"")</f>
        <v/>
      </c>
      <c r="F56" s="266"/>
      <c r="G56" s="216"/>
      <c r="H56" s="228"/>
      <c r="I56" s="211" t="str">
        <f t="shared" si="0"/>
        <v/>
      </c>
      <c r="J56" s="276" t="str">
        <f t="shared" si="1"/>
        <v/>
      </c>
      <c r="K56" s="277"/>
      <c r="L56" s="278"/>
      <c r="M56" s="211" t="str">
        <f t="shared" si="2"/>
        <v/>
      </c>
      <c r="N56" s="228"/>
      <c r="O56" s="228"/>
      <c r="P56" s="211" t="str">
        <f t="shared" si="3"/>
        <v/>
      </c>
      <c r="Q56" s="229" t="str">
        <f t="shared" si="4"/>
        <v/>
      </c>
      <c r="R56" s="228"/>
      <c r="S56" s="228"/>
      <c r="T56" s="285"/>
      <c r="U56" s="286" t="str">
        <f t="shared" si="5"/>
        <v/>
      </c>
      <c r="V56" s="240"/>
    </row>
    <row r="57" spans="1:22" ht="14.45">
      <c r="A57" s="61">
        <v>47</v>
      </c>
      <c r="B57" s="268" t="str">
        <f>IF('G3 MT Reading Scoresheet'!B57&lt;&gt;"",'G3 MT Reading Scoresheet'!B57,"")</f>
        <v/>
      </c>
      <c r="C57" s="265" t="str">
        <f>IF('G3 MT Reading Scoresheet'!C57&lt;&gt;"",'G3 MT Reading Scoresheet'!C57,"")</f>
        <v/>
      </c>
      <c r="D57" s="213" t="str">
        <f>IF('G3 MT Reading Scoresheet'!D57&lt;&gt;"",'G3 MT Reading Scoresheet'!D57,"")</f>
        <v/>
      </c>
      <c r="E57" s="214" t="str">
        <f>IF('G3 MT Reading Scoresheet'!E57&lt;&gt;"",'G3 MT Reading Scoresheet'!E57,"")</f>
        <v/>
      </c>
      <c r="F57" s="267"/>
      <c r="G57" s="218"/>
      <c r="H57" s="230"/>
      <c r="I57" s="211" t="str">
        <f t="shared" si="0"/>
        <v/>
      </c>
      <c r="J57" s="276" t="str">
        <f t="shared" si="1"/>
        <v/>
      </c>
      <c r="K57" s="279"/>
      <c r="L57" s="280"/>
      <c r="M57" s="211" t="str">
        <f t="shared" si="2"/>
        <v/>
      </c>
      <c r="N57" s="230"/>
      <c r="O57" s="230"/>
      <c r="P57" s="211" t="str">
        <f t="shared" si="3"/>
        <v/>
      </c>
      <c r="Q57" s="229" t="str">
        <f t="shared" si="4"/>
        <v/>
      </c>
      <c r="R57" s="230"/>
      <c r="S57" s="230"/>
      <c r="T57" s="287"/>
      <c r="U57" s="286" t="str">
        <f t="shared" si="5"/>
        <v/>
      </c>
      <c r="V57" s="241"/>
    </row>
    <row r="58" spans="1:22" ht="14.45">
      <c r="A58" s="210">
        <v>48</v>
      </c>
      <c r="B58" s="268" t="str">
        <f>IF('G3 MT Reading Scoresheet'!B58&lt;&gt;"",'G3 MT Reading Scoresheet'!B58,"")</f>
        <v/>
      </c>
      <c r="C58" s="265" t="str">
        <f>IF('G3 MT Reading Scoresheet'!C58&lt;&gt;"",'G3 MT Reading Scoresheet'!C58,"")</f>
        <v/>
      </c>
      <c r="D58" s="213" t="str">
        <f>IF('G3 MT Reading Scoresheet'!D58&lt;&gt;"",'G3 MT Reading Scoresheet'!D58,"")</f>
        <v/>
      </c>
      <c r="E58" s="214" t="str">
        <f>IF('G3 MT Reading Scoresheet'!E58&lt;&gt;"",'G3 MT Reading Scoresheet'!E58,"")</f>
        <v/>
      </c>
      <c r="F58" s="266"/>
      <c r="G58" s="216"/>
      <c r="H58" s="228"/>
      <c r="I58" s="211" t="str">
        <f t="shared" si="0"/>
        <v/>
      </c>
      <c r="J58" s="276" t="str">
        <f t="shared" si="1"/>
        <v/>
      </c>
      <c r="K58" s="277"/>
      <c r="L58" s="278"/>
      <c r="M58" s="211" t="str">
        <f t="shared" si="2"/>
        <v/>
      </c>
      <c r="N58" s="228"/>
      <c r="O58" s="228"/>
      <c r="P58" s="211" t="str">
        <f t="shared" si="3"/>
        <v/>
      </c>
      <c r="Q58" s="229" t="str">
        <f t="shared" si="4"/>
        <v/>
      </c>
      <c r="R58" s="228"/>
      <c r="S58" s="228"/>
      <c r="T58" s="285"/>
      <c r="U58" s="286" t="str">
        <f t="shared" si="5"/>
        <v/>
      </c>
      <c r="V58" s="240"/>
    </row>
    <row r="59" spans="1:22" ht="14.45">
      <c r="A59" s="61">
        <v>49</v>
      </c>
      <c r="B59" s="268" t="str">
        <f>IF('G3 MT Reading Scoresheet'!B59&lt;&gt;"",'G3 MT Reading Scoresheet'!B59,"")</f>
        <v/>
      </c>
      <c r="C59" s="265" t="str">
        <f>IF('G3 MT Reading Scoresheet'!C59&lt;&gt;"",'G3 MT Reading Scoresheet'!C59,"")</f>
        <v/>
      </c>
      <c r="D59" s="213" t="str">
        <f>IF('G3 MT Reading Scoresheet'!D59&lt;&gt;"",'G3 MT Reading Scoresheet'!D59,"")</f>
        <v/>
      </c>
      <c r="E59" s="214" t="str">
        <f>IF('G3 MT Reading Scoresheet'!E59&lt;&gt;"",'G3 MT Reading Scoresheet'!E59,"")</f>
        <v/>
      </c>
      <c r="F59" s="267"/>
      <c r="G59" s="218"/>
      <c r="H59" s="230"/>
      <c r="I59" s="211" t="str">
        <f t="shared" si="0"/>
        <v/>
      </c>
      <c r="J59" s="276" t="str">
        <f t="shared" si="1"/>
        <v/>
      </c>
      <c r="K59" s="279"/>
      <c r="L59" s="280"/>
      <c r="M59" s="211" t="str">
        <f t="shared" si="2"/>
        <v/>
      </c>
      <c r="N59" s="230"/>
      <c r="O59" s="230"/>
      <c r="P59" s="211" t="str">
        <f t="shared" si="3"/>
        <v/>
      </c>
      <c r="Q59" s="229" t="str">
        <f t="shared" si="4"/>
        <v/>
      </c>
      <c r="R59" s="230"/>
      <c r="S59" s="230"/>
      <c r="T59" s="287"/>
      <c r="U59" s="286" t="str">
        <f t="shared" si="5"/>
        <v/>
      </c>
      <c r="V59" s="241"/>
    </row>
    <row r="60" spans="1:22" ht="14.45">
      <c r="A60" s="210">
        <v>50</v>
      </c>
      <c r="B60" s="268" t="str">
        <f>IF('G3 MT Reading Scoresheet'!B60&lt;&gt;"",'G3 MT Reading Scoresheet'!B60,"")</f>
        <v/>
      </c>
      <c r="C60" s="265" t="str">
        <f>IF('G3 MT Reading Scoresheet'!C60&lt;&gt;"",'G3 MT Reading Scoresheet'!C60,"")</f>
        <v/>
      </c>
      <c r="D60" s="213" t="str">
        <f>IF('G3 MT Reading Scoresheet'!D60&lt;&gt;"",'G3 MT Reading Scoresheet'!D60,"")</f>
        <v/>
      </c>
      <c r="E60" s="214" t="str">
        <f>IF('G3 MT Reading Scoresheet'!E60&lt;&gt;"",'G3 MT Reading Scoresheet'!E60,"")</f>
        <v/>
      </c>
      <c r="F60" s="266"/>
      <c r="G60" s="216"/>
      <c r="H60" s="228"/>
      <c r="I60" s="211" t="str">
        <f t="shared" si="0"/>
        <v/>
      </c>
      <c r="J60" s="276" t="str">
        <f t="shared" si="1"/>
        <v/>
      </c>
      <c r="K60" s="277"/>
      <c r="L60" s="278"/>
      <c r="M60" s="211" t="str">
        <f t="shared" si="2"/>
        <v/>
      </c>
      <c r="N60" s="228"/>
      <c r="O60" s="228"/>
      <c r="P60" s="211" t="str">
        <f t="shared" si="3"/>
        <v/>
      </c>
      <c r="Q60" s="229" t="str">
        <f t="shared" si="4"/>
        <v/>
      </c>
      <c r="R60" s="228"/>
      <c r="S60" s="228"/>
      <c r="T60" s="285"/>
      <c r="U60" s="286" t="str">
        <f t="shared" si="5"/>
        <v/>
      </c>
      <c r="V60" s="240"/>
    </row>
    <row r="61" spans="1:22" ht="14.45">
      <c r="A61" s="61">
        <v>51</v>
      </c>
      <c r="B61" s="268" t="str">
        <f>IF('G3 MT Reading Scoresheet'!B61&lt;&gt;"",'G3 MT Reading Scoresheet'!B61,"")</f>
        <v/>
      </c>
      <c r="C61" s="265" t="str">
        <f>IF('G3 MT Reading Scoresheet'!C61&lt;&gt;"",'G3 MT Reading Scoresheet'!C61,"")</f>
        <v/>
      </c>
      <c r="D61" s="213" t="str">
        <f>IF('G3 MT Reading Scoresheet'!D61&lt;&gt;"",'G3 MT Reading Scoresheet'!D61,"")</f>
        <v/>
      </c>
      <c r="E61" s="214" t="str">
        <f>IF('G3 MT Reading Scoresheet'!E61&lt;&gt;"",'G3 MT Reading Scoresheet'!E61,"")</f>
        <v/>
      </c>
      <c r="F61" s="267"/>
      <c r="G61" s="218"/>
      <c r="H61" s="230"/>
      <c r="I61" s="211" t="str">
        <f t="shared" si="0"/>
        <v/>
      </c>
      <c r="J61" s="276" t="str">
        <f t="shared" si="1"/>
        <v/>
      </c>
      <c r="K61" s="279"/>
      <c r="L61" s="280"/>
      <c r="M61" s="211" t="str">
        <f t="shared" si="2"/>
        <v/>
      </c>
      <c r="N61" s="230"/>
      <c r="O61" s="230"/>
      <c r="P61" s="211" t="str">
        <f t="shared" si="3"/>
        <v/>
      </c>
      <c r="Q61" s="229" t="str">
        <f t="shared" si="4"/>
        <v/>
      </c>
      <c r="R61" s="230"/>
      <c r="S61" s="230"/>
      <c r="T61" s="287"/>
      <c r="U61" s="286" t="str">
        <f t="shared" si="5"/>
        <v/>
      </c>
      <c r="V61" s="241"/>
    </row>
    <row r="62" spans="1:22" ht="14.45">
      <c r="A62" s="210">
        <v>52</v>
      </c>
      <c r="B62" s="268" t="str">
        <f>IF('G3 MT Reading Scoresheet'!B62&lt;&gt;"",'G3 MT Reading Scoresheet'!B62,"")</f>
        <v/>
      </c>
      <c r="C62" s="265" t="str">
        <f>IF('G3 MT Reading Scoresheet'!C62&lt;&gt;"",'G3 MT Reading Scoresheet'!C62,"")</f>
        <v/>
      </c>
      <c r="D62" s="213" t="str">
        <f>IF('G3 MT Reading Scoresheet'!D62&lt;&gt;"",'G3 MT Reading Scoresheet'!D62,"")</f>
        <v/>
      </c>
      <c r="E62" s="214" t="str">
        <f>IF('G3 MT Reading Scoresheet'!E62&lt;&gt;"",'G3 MT Reading Scoresheet'!E62,"")</f>
        <v/>
      </c>
      <c r="F62" s="266"/>
      <c r="G62" s="216"/>
      <c r="H62" s="228"/>
      <c r="I62" s="211" t="str">
        <f t="shared" si="0"/>
        <v/>
      </c>
      <c r="J62" s="276" t="str">
        <f t="shared" si="1"/>
        <v/>
      </c>
      <c r="K62" s="277"/>
      <c r="L62" s="278"/>
      <c r="M62" s="211" t="str">
        <f t="shared" si="2"/>
        <v/>
      </c>
      <c r="N62" s="228"/>
      <c r="O62" s="228"/>
      <c r="P62" s="211" t="str">
        <f t="shared" si="3"/>
        <v/>
      </c>
      <c r="Q62" s="229" t="str">
        <f t="shared" si="4"/>
        <v/>
      </c>
      <c r="R62" s="228"/>
      <c r="S62" s="228"/>
      <c r="T62" s="285"/>
      <c r="U62" s="286" t="str">
        <f t="shared" si="5"/>
        <v/>
      </c>
      <c r="V62" s="240"/>
    </row>
    <row r="63" spans="1:22" ht="14.45">
      <c r="A63" s="61">
        <v>53</v>
      </c>
      <c r="B63" s="268" t="str">
        <f>IF('G3 MT Reading Scoresheet'!B63&lt;&gt;"",'G3 MT Reading Scoresheet'!B63,"")</f>
        <v/>
      </c>
      <c r="C63" s="265" t="str">
        <f>IF('G3 MT Reading Scoresheet'!C63&lt;&gt;"",'G3 MT Reading Scoresheet'!C63,"")</f>
        <v/>
      </c>
      <c r="D63" s="213" t="str">
        <f>IF('G3 MT Reading Scoresheet'!D63&lt;&gt;"",'G3 MT Reading Scoresheet'!D63,"")</f>
        <v/>
      </c>
      <c r="E63" s="214" t="str">
        <f>IF('G3 MT Reading Scoresheet'!E63&lt;&gt;"",'G3 MT Reading Scoresheet'!E63,"")</f>
        <v/>
      </c>
      <c r="F63" s="267"/>
      <c r="G63" s="218"/>
      <c r="H63" s="230"/>
      <c r="I63" s="211" t="str">
        <f t="shared" si="0"/>
        <v/>
      </c>
      <c r="J63" s="276" t="str">
        <f t="shared" si="1"/>
        <v/>
      </c>
      <c r="K63" s="279"/>
      <c r="L63" s="280"/>
      <c r="M63" s="211" t="str">
        <f t="shared" si="2"/>
        <v/>
      </c>
      <c r="N63" s="230"/>
      <c r="O63" s="230"/>
      <c r="P63" s="211" t="str">
        <f t="shared" si="3"/>
        <v/>
      </c>
      <c r="Q63" s="229" t="str">
        <f t="shared" si="4"/>
        <v/>
      </c>
      <c r="R63" s="230"/>
      <c r="S63" s="230"/>
      <c r="T63" s="287"/>
      <c r="U63" s="286" t="str">
        <f t="shared" si="5"/>
        <v/>
      </c>
      <c r="V63" s="241"/>
    </row>
    <row r="64" spans="1:22" ht="14.45">
      <c r="A64" s="210">
        <v>54</v>
      </c>
      <c r="B64" s="268" t="str">
        <f>IF('G3 MT Reading Scoresheet'!B64&lt;&gt;"",'G3 MT Reading Scoresheet'!B64,"")</f>
        <v/>
      </c>
      <c r="C64" s="265" t="str">
        <f>IF('G3 MT Reading Scoresheet'!C64&lt;&gt;"",'G3 MT Reading Scoresheet'!C64,"")</f>
        <v/>
      </c>
      <c r="D64" s="213" t="str">
        <f>IF('G3 MT Reading Scoresheet'!D64&lt;&gt;"",'G3 MT Reading Scoresheet'!D64,"")</f>
        <v/>
      </c>
      <c r="E64" s="214" t="str">
        <f>IF('G3 MT Reading Scoresheet'!E64&lt;&gt;"",'G3 MT Reading Scoresheet'!E64,"")</f>
        <v/>
      </c>
      <c r="F64" s="266"/>
      <c r="G64" s="216"/>
      <c r="H64" s="228"/>
      <c r="I64" s="211" t="str">
        <f t="shared" si="0"/>
        <v/>
      </c>
      <c r="J64" s="276" t="str">
        <f t="shared" si="1"/>
        <v/>
      </c>
      <c r="K64" s="277"/>
      <c r="L64" s="278"/>
      <c r="M64" s="211" t="str">
        <f t="shared" si="2"/>
        <v/>
      </c>
      <c r="N64" s="228"/>
      <c r="O64" s="228"/>
      <c r="P64" s="211" t="str">
        <f t="shared" si="3"/>
        <v/>
      </c>
      <c r="Q64" s="229" t="str">
        <f t="shared" si="4"/>
        <v/>
      </c>
      <c r="R64" s="228"/>
      <c r="S64" s="228"/>
      <c r="T64" s="285"/>
      <c r="U64" s="286" t="str">
        <f t="shared" si="5"/>
        <v/>
      </c>
      <c r="V64" s="240"/>
    </row>
    <row r="65" spans="1:22" ht="14.45">
      <c r="A65" s="61">
        <v>55</v>
      </c>
      <c r="B65" s="268" t="str">
        <f>IF('G3 MT Reading Scoresheet'!B65&lt;&gt;"",'G3 MT Reading Scoresheet'!B65,"")</f>
        <v/>
      </c>
      <c r="C65" s="265" t="str">
        <f>IF('G3 MT Reading Scoresheet'!C65&lt;&gt;"",'G3 MT Reading Scoresheet'!C65,"")</f>
        <v/>
      </c>
      <c r="D65" s="213" t="str">
        <f>IF('G3 MT Reading Scoresheet'!D65&lt;&gt;"",'G3 MT Reading Scoresheet'!D65,"")</f>
        <v/>
      </c>
      <c r="E65" s="214" t="str">
        <f>IF('G3 MT Reading Scoresheet'!E65&lt;&gt;"",'G3 MT Reading Scoresheet'!E65,"")</f>
        <v/>
      </c>
      <c r="F65" s="267"/>
      <c r="G65" s="218"/>
      <c r="H65" s="230"/>
      <c r="I65" s="211" t="str">
        <f t="shared" si="0"/>
        <v/>
      </c>
      <c r="J65" s="276" t="str">
        <f t="shared" si="1"/>
        <v/>
      </c>
      <c r="K65" s="279"/>
      <c r="L65" s="280"/>
      <c r="M65" s="211" t="str">
        <f t="shared" si="2"/>
        <v/>
      </c>
      <c r="N65" s="230"/>
      <c r="O65" s="230"/>
      <c r="P65" s="211" t="str">
        <f t="shared" si="3"/>
        <v/>
      </c>
      <c r="Q65" s="229" t="str">
        <f t="shared" si="4"/>
        <v/>
      </c>
      <c r="R65" s="230"/>
      <c r="S65" s="230"/>
      <c r="T65" s="287"/>
      <c r="U65" s="286" t="str">
        <f t="shared" si="5"/>
        <v/>
      </c>
      <c r="V65" s="241"/>
    </row>
    <row r="66" spans="1:22" ht="14.45">
      <c r="A66" s="210">
        <v>56</v>
      </c>
      <c r="B66" s="268" t="str">
        <f>IF('G3 MT Reading Scoresheet'!B66&lt;&gt;"",'G3 MT Reading Scoresheet'!B66,"")</f>
        <v/>
      </c>
      <c r="C66" s="265" t="str">
        <f>IF('G3 MT Reading Scoresheet'!C66&lt;&gt;"",'G3 MT Reading Scoresheet'!C66,"")</f>
        <v/>
      </c>
      <c r="D66" s="213" t="str">
        <f>IF('G3 MT Reading Scoresheet'!D66&lt;&gt;"",'G3 MT Reading Scoresheet'!D66,"")</f>
        <v/>
      </c>
      <c r="E66" s="214" t="str">
        <f>IF('G3 MT Reading Scoresheet'!E66&lt;&gt;"",'G3 MT Reading Scoresheet'!E66,"")</f>
        <v/>
      </c>
      <c r="F66" s="266"/>
      <c r="G66" s="216"/>
      <c r="H66" s="228"/>
      <c r="I66" s="211" t="str">
        <f t="shared" si="0"/>
        <v/>
      </c>
      <c r="J66" s="276" t="str">
        <f t="shared" si="1"/>
        <v/>
      </c>
      <c r="K66" s="277"/>
      <c r="L66" s="278"/>
      <c r="M66" s="211" t="str">
        <f t="shared" si="2"/>
        <v/>
      </c>
      <c r="N66" s="228"/>
      <c r="O66" s="228"/>
      <c r="P66" s="211" t="str">
        <f t="shared" si="3"/>
        <v/>
      </c>
      <c r="Q66" s="229" t="str">
        <f t="shared" si="4"/>
        <v/>
      </c>
      <c r="R66" s="228"/>
      <c r="S66" s="228"/>
      <c r="T66" s="285"/>
      <c r="U66" s="286" t="str">
        <f t="shared" si="5"/>
        <v/>
      </c>
      <c r="V66" s="240"/>
    </row>
    <row r="67" spans="1:22" ht="14.45">
      <c r="A67" s="61">
        <v>57</v>
      </c>
      <c r="B67" s="268" t="str">
        <f>IF('G3 MT Reading Scoresheet'!B67&lt;&gt;"",'G3 MT Reading Scoresheet'!B67,"")</f>
        <v/>
      </c>
      <c r="C67" s="265" t="str">
        <f>IF('G3 MT Reading Scoresheet'!C67&lt;&gt;"",'G3 MT Reading Scoresheet'!C67,"")</f>
        <v/>
      </c>
      <c r="D67" s="213" t="str">
        <f>IF('G3 MT Reading Scoresheet'!D67&lt;&gt;"",'G3 MT Reading Scoresheet'!D67,"")</f>
        <v/>
      </c>
      <c r="E67" s="214" t="str">
        <f>IF('G3 MT Reading Scoresheet'!E67&lt;&gt;"",'G3 MT Reading Scoresheet'!E67,"")</f>
        <v/>
      </c>
      <c r="F67" s="267"/>
      <c r="G67" s="218"/>
      <c r="H67" s="230"/>
      <c r="I67" s="211" t="str">
        <f t="shared" si="0"/>
        <v/>
      </c>
      <c r="J67" s="276" t="str">
        <f t="shared" si="1"/>
        <v/>
      </c>
      <c r="K67" s="279"/>
      <c r="L67" s="280"/>
      <c r="M67" s="211" t="str">
        <f t="shared" si="2"/>
        <v/>
      </c>
      <c r="N67" s="230"/>
      <c r="O67" s="230"/>
      <c r="P67" s="211" t="str">
        <f t="shared" si="3"/>
        <v/>
      </c>
      <c r="Q67" s="229" t="str">
        <f t="shared" si="4"/>
        <v/>
      </c>
      <c r="R67" s="230"/>
      <c r="S67" s="230"/>
      <c r="T67" s="287"/>
      <c r="U67" s="286" t="str">
        <f t="shared" si="5"/>
        <v/>
      </c>
      <c r="V67" s="241"/>
    </row>
    <row r="68" spans="1:22" ht="14.45">
      <c r="A68" s="210">
        <v>58</v>
      </c>
      <c r="B68" s="268" t="str">
        <f>IF('G3 MT Reading Scoresheet'!B68&lt;&gt;"",'G3 MT Reading Scoresheet'!B68,"")</f>
        <v/>
      </c>
      <c r="C68" s="265" t="str">
        <f>IF('G3 MT Reading Scoresheet'!C68&lt;&gt;"",'G3 MT Reading Scoresheet'!C68,"")</f>
        <v/>
      </c>
      <c r="D68" s="213" t="str">
        <f>IF('G3 MT Reading Scoresheet'!D68&lt;&gt;"",'G3 MT Reading Scoresheet'!D68,"")</f>
        <v/>
      </c>
      <c r="E68" s="214" t="str">
        <f>IF('G3 MT Reading Scoresheet'!E68&lt;&gt;"",'G3 MT Reading Scoresheet'!E68,"")</f>
        <v/>
      </c>
      <c r="F68" s="266"/>
      <c r="G68" s="216"/>
      <c r="H68" s="228"/>
      <c r="I68" s="211" t="str">
        <f t="shared" si="0"/>
        <v/>
      </c>
      <c r="J68" s="276" t="str">
        <f t="shared" si="1"/>
        <v/>
      </c>
      <c r="K68" s="277"/>
      <c r="L68" s="278"/>
      <c r="M68" s="211" t="str">
        <f t="shared" si="2"/>
        <v/>
      </c>
      <c r="N68" s="228"/>
      <c r="O68" s="228"/>
      <c r="P68" s="211" t="str">
        <f t="shared" si="3"/>
        <v/>
      </c>
      <c r="Q68" s="229" t="str">
        <f t="shared" si="4"/>
        <v/>
      </c>
      <c r="R68" s="228"/>
      <c r="S68" s="228"/>
      <c r="T68" s="285"/>
      <c r="U68" s="286" t="str">
        <f t="shared" si="5"/>
        <v/>
      </c>
      <c r="V68" s="240"/>
    </row>
    <row r="69" spans="1:22" ht="14.45">
      <c r="A69" s="61">
        <v>59</v>
      </c>
      <c r="B69" s="268" t="str">
        <f>IF('G3 MT Reading Scoresheet'!B69&lt;&gt;"",'G3 MT Reading Scoresheet'!B69,"")</f>
        <v/>
      </c>
      <c r="C69" s="265" t="str">
        <f>IF('G3 MT Reading Scoresheet'!C69&lt;&gt;"",'G3 MT Reading Scoresheet'!C69,"")</f>
        <v/>
      </c>
      <c r="D69" s="213" t="str">
        <f>IF('G3 MT Reading Scoresheet'!D69&lt;&gt;"",'G3 MT Reading Scoresheet'!D69,"")</f>
        <v/>
      </c>
      <c r="E69" s="214" t="str">
        <f>IF('G3 MT Reading Scoresheet'!E69&lt;&gt;"",'G3 MT Reading Scoresheet'!E69,"")</f>
        <v/>
      </c>
      <c r="F69" s="267"/>
      <c r="G69" s="218"/>
      <c r="H69" s="230"/>
      <c r="I69" s="211" t="str">
        <f t="shared" si="0"/>
        <v/>
      </c>
      <c r="J69" s="276" t="str">
        <f t="shared" si="1"/>
        <v/>
      </c>
      <c r="K69" s="279"/>
      <c r="L69" s="280"/>
      <c r="M69" s="211" t="str">
        <f t="shared" si="2"/>
        <v/>
      </c>
      <c r="N69" s="230"/>
      <c r="O69" s="230"/>
      <c r="P69" s="211" t="str">
        <f t="shared" si="3"/>
        <v/>
      </c>
      <c r="Q69" s="229" t="str">
        <f t="shared" si="4"/>
        <v/>
      </c>
      <c r="R69" s="230"/>
      <c r="S69" s="230"/>
      <c r="T69" s="287"/>
      <c r="U69" s="286" t="str">
        <f t="shared" si="5"/>
        <v/>
      </c>
      <c r="V69" s="241"/>
    </row>
    <row r="70" spans="1:22" ht="14.45">
      <c r="A70" s="61">
        <f>A69+1</f>
        <v>60</v>
      </c>
      <c r="B70" s="268" t="str">
        <f>IF('G3 MT Reading Scoresheet'!B70&lt;&gt;"",'G3 MT Reading Scoresheet'!B70,"")</f>
        <v/>
      </c>
      <c r="C70" s="265" t="str">
        <f>IF('G3 MT Reading Scoresheet'!C70&lt;&gt;"",'G3 MT Reading Scoresheet'!C70,"")</f>
        <v/>
      </c>
      <c r="D70" s="213" t="str">
        <f>IF('G3 MT Reading Scoresheet'!D70&lt;&gt;"",'G3 MT Reading Scoresheet'!D70,"")</f>
        <v/>
      </c>
      <c r="E70" s="214" t="str">
        <f>IF('G3 MT Reading Scoresheet'!E70&lt;&gt;"",'G3 MT Reading Scoresheet'!E70,"")</f>
        <v/>
      </c>
      <c r="F70" s="267"/>
      <c r="G70" s="216"/>
      <c r="H70" s="228"/>
      <c r="I70" s="211" t="str">
        <f t="shared" si="0"/>
        <v/>
      </c>
      <c r="J70" s="276" t="str">
        <f t="shared" si="1"/>
        <v/>
      </c>
      <c r="K70" s="277"/>
      <c r="L70" s="278"/>
      <c r="M70" s="211" t="str">
        <f t="shared" si="2"/>
        <v/>
      </c>
      <c r="N70" s="228"/>
      <c r="O70" s="228"/>
      <c r="P70" s="211" t="str">
        <f t="shared" si="3"/>
        <v/>
      </c>
      <c r="Q70" s="229" t="str">
        <f t="shared" si="4"/>
        <v/>
      </c>
      <c r="R70" s="228"/>
      <c r="S70" s="228"/>
      <c r="T70" s="285"/>
      <c r="U70" s="286" t="str">
        <f t="shared" si="5"/>
        <v/>
      </c>
      <c r="V70" s="240"/>
    </row>
    <row r="71" spans="1:22" ht="14.45">
      <c r="A71" s="210">
        <f t="shared" ref="A71:A109" si="6">A70+1</f>
        <v>61</v>
      </c>
      <c r="B71" s="268" t="str">
        <f>IF('G3 MT Reading Scoresheet'!B71&lt;&gt;"",'G3 MT Reading Scoresheet'!B71,"")</f>
        <v/>
      </c>
      <c r="C71" s="265" t="str">
        <f>IF('G3 MT Reading Scoresheet'!C71&lt;&gt;"",'G3 MT Reading Scoresheet'!C71,"")</f>
        <v/>
      </c>
      <c r="D71" s="213" t="str">
        <f>IF('G3 MT Reading Scoresheet'!D71&lt;&gt;"",'G3 MT Reading Scoresheet'!D71,"")</f>
        <v/>
      </c>
      <c r="E71" s="214" t="str">
        <f>IF('G3 MT Reading Scoresheet'!E71&lt;&gt;"",'G3 MT Reading Scoresheet'!E71,"")</f>
        <v/>
      </c>
      <c r="F71" s="266"/>
      <c r="G71" s="218"/>
      <c r="H71" s="230"/>
      <c r="I71" s="211" t="str">
        <f t="shared" si="0"/>
        <v/>
      </c>
      <c r="J71" s="276" t="str">
        <f t="shared" si="1"/>
        <v/>
      </c>
      <c r="K71" s="279"/>
      <c r="L71" s="280"/>
      <c r="M71" s="211" t="str">
        <f t="shared" si="2"/>
        <v/>
      </c>
      <c r="N71" s="230"/>
      <c r="O71" s="230"/>
      <c r="P71" s="211" t="str">
        <f t="shared" si="3"/>
        <v/>
      </c>
      <c r="Q71" s="229" t="str">
        <f t="shared" si="4"/>
        <v/>
      </c>
      <c r="R71" s="230"/>
      <c r="S71" s="230"/>
      <c r="T71" s="287"/>
      <c r="U71" s="286" t="str">
        <f t="shared" si="5"/>
        <v/>
      </c>
      <c r="V71" s="241"/>
    </row>
    <row r="72" spans="1:22" ht="14.45">
      <c r="A72" s="61">
        <f t="shared" si="6"/>
        <v>62</v>
      </c>
      <c r="B72" s="268" t="str">
        <f>IF('G3 MT Reading Scoresheet'!B72&lt;&gt;"",'G3 MT Reading Scoresheet'!B72,"")</f>
        <v/>
      </c>
      <c r="C72" s="265" t="str">
        <f>IF('G3 MT Reading Scoresheet'!C72&lt;&gt;"",'G3 MT Reading Scoresheet'!C72,"")</f>
        <v/>
      </c>
      <c r="D72" s="213" t="str">
        <f>IF('G3 MT Reading Scoresheet'!D72&lt;&gt;"",'G3 MT Reading Scoresheet'!D72,"")</f>
        <v/>
      </c>
      <c r="E72" s="214" t="str">
        <f>IF('G3 MT Reading Scoresheet'!E72&lt;&gt;"",'G3 MT Reading Scoresheet'!E72,"")</f>
        <v/>
      </c>
      <c r="F72" s="267"/>
      <c r="G72" s="216"/>
      <c r="H72" s="228"/>
      <c r="I72" s="211" t="str">
        <f t="shared" si="0"/>
        <v/>
      </c>
      <c r="J72" s="276" t="str">
        <f t="shared" si="1"/>
        <v/>
      </c>
      <c r="K72" s="277"/>
      <c r="L72" s="278"/>
      <c r="M72" s="211" t="str">
        <f t="shared" si="2"/>
        <v/>
      </c>
      <c r="N72" s="228"/>
      <c r="O72" s="228"/>
      <c r="P72" s="211" t="str">
        <f t="shared" si="3"/>
        <v/>
      </c>
      <c r="Q72" s="229" t="str">
        <f t="shared" si="4"/>
        <v/>
      </c>
      <c r="R72" s="228"/>
      <c r="S72" s="228"/>
      <c r="T72" s="285"/>
      <c r="U72" s="286" t="str">
        <f t="shared" si="5"/>
        <v/>
      </c>
      <c r="V72" s="240"/>
    </row>
    <row r="73" spans="1:22" ht="14.45">
      <c r="A73" s="210">
        <f t="shared" si="6"/>
        <v>63</v>
      </c>
      <c r="B73" s="268" t="str">
        <f>IF('G3 MT Reading Scoresheet'!B73&lt;&gt;"",'G3 MT Reading Scoresheet'!B73,"")</f>
        <v/>
      </c>
      <c r="C73" s="265" t="str">
        <f>IF('G3 MT Reading Scoresheet'!C73&lt;&gt;"",'G3 MT Reading Scoresheet'!C73,"")</f>
        <v/>
      </c>
      <c r="D73" s="213" t="str">
        <f>IF('G3 MT Reading Scoresheet'!D73&lt;&gt;"",'G3 MT Reading Scoresheet'!D73,"")</f>
        <v/>
      </c>
      <c r="E73" s="214" t="str">
        <f>IF('G3 MT Reading Scoresheet'!E73&lt;&gt;"",'G3 MT Reading Scoresheet'!E73,"")</f>
        <v/>
      </c>
      <c r="F73" s="266"/>
      <c r="G73" s="218"/>
      <c r="H73" s="230"/>
      <c r="I73" s="211" t="str">
        <f t="shared" si="0"/>
        <v/>
      </c>
      <c r="J73" s="276" t="str">
        <f t="shared" si="1"/>
        <v/>
      </c>
      <c r="K73" s="279"/>
      <c r="L73" s="280"/>
      <c r="M73" s="211" t="str">
        <f t="shared" si="2"/>
        <v/>
      </c>
      <c r="N73" s="230"/>
      <c r="O73" s="230"/>
      <c r="P73" s="211" t="str">
        <f t="shared" si="3"/>
        <v/>
      </c>
      <c r="Q73" s="229" t="str">
        <f t="shared" si="4"/>
        <v/>
      </c>
      <c r="R73" s="230"/>
      <c r="S73" s="230"/>
      <c r="T73" s="287"/>
      <c r="U73" s="286" t="str">
        <f t="shared" si="5"/>
        <v/>
      </c>
      <c r="V73" s="241"/>
    </row>
    <row r="74" spans="1:22" ht="14.45">
      <c r="A74" s="61">
        <f t="shared" si="6"/>
        <v>64</v>
      </c>
      <c r="B74" s="268" t="str">
        <f>IF('G3 MT Reading Scoresheet'!B74&lt;&gt;"",'G3 MT Reading Scoresheet'!B74,"")</f>
        <v/>
      </c>
      <c r="C74" s="265" t="str">
        <f>IF('G3 MT Reading Scoresheet'!C74&lt;&gt;"",'G3 MT Reading Scoresheet'!C74,"")</f>
        <v/>
      </c>
      <c r="D74" s="213" t="str">
        <f>IF('G3 MT Reading Scoresheet'!D74&lt;&gt;"",'G3 MT Reading Scoresheet'!D74,"")</f>
        <v/>
      </c>
      <c r="E74" s="214" t="str">
        <f>IF('G3 MT Reading Scoresheet'!E74&lt;&gt;"",'G3 MT Reading Scoresheet'!E74,"")</f>
        <v/>
      </c>
      <c r="F74" s="267"/>
      <c r="G74" s="216"/>
      <c r="H74" s="228"/>
      <c r="I74" s="211" t="str">
        <f t="shared" si="0"/>
        <v/>
      </c>
      <c r="J74" s="276" t="str">
        <f t="shared" si="1"/>
        <v/>
      </c>
      <c r="K74" s="277"/>
      <c r="L74" s="278"/>
      <c r="M74" s="211" t="str">
        <f t="shared" si="2"/>
        <v/>
      </c>
      <c r="N74" s="228"/>
      <c r="O74" s="228"/>
      <c r="P74" s="211" t="str">
        <f t="shared" si="3"/>
        <v/>
      </c>
      <c r="Q74" s="229" t="str">
        <f t="shared" si="4"/>
        <v/>
      </c>
      <c r="R74" s="228"/>
      <c r="S74" s="228"/>
      <c r="T74" s="285"/>
      <c r="U74" s="286" t="str">
        <f t="shared" si="5"/>
        <v/>
      </c>
      <c r="V74" s="240"/>
    </row>
    <row r="75" spans="1:22" ht="14.45">
      <c r="A75" s="210">
        <f t="shared" si="6"/>
        <v>65</v>
      </c>
      <c r="B75" s="268" t="str">
        <f>IF('G3 MT Reading Scoresheet'!B75&lt;&gt;"",'G3 MT Reading Scoresheet'!B75,"")</f>
        <v/>
      </c>
      <c r="C75" s="265" t="str">
        <f>IF('G3 MT Reading Scoresheet'!C75&lt;&gt;"",'G3 MT Reading Scoresheet'!C75,"")</f>
        <v/>
      </c>
      <c r="D75" s="213" t="str">
        <f>IF('G3 MT Reading Scoresheet'!D75&lt;&gt;"",'G3 MT Reading Scoresheet'!D75,"")</f>
        <v/>
      </c>
      <c r="E75" s="214" t="str">
        <f>IF('G3 MT Reading Scoresheet'!E75&lt;&gt;"",'G3 MT Reading Scoresheet'!E75,"")</f>
        <v/>
      </c>
      <c r="F75" s="266"/>
      <c r="G75" s="218"/>
      <c r="H75" s="230"/>
      <c r="I75" s="211" t="str">
        <f t="shared" si="0"/>
        <v/>
      </c>
      <c r="J75" s="276" t="str">
        <f t="shared" si="1"/>
        <v/>
      </c>
      <c r="K75" s="279"/>
      <c r="L75" s="280"/>
      <c r="M75" s="211" t="str">
        <f t="shared" si="2"/>
        <v/>
      </c>
      <c r="N75" s="230"/>
      <c r="O75" s="230"/>
      <c r="P75" s="211" t="str">
        <f t="shared" si="3"/>
        <v/>
      </c>
      <c r="Q75" s="229" t="str">
        <f t="shared" si="4"/>
        <v/>
      </c>
      <c r="R75" s="230"/>
      <c r="S75" s="230"/>
      <c r="T75" s="287"/>
      <c r="U75" s="286" t="str">
        <f t="shared" si="5"/>
        <v/>
      </c>
      <c r="V75" s="241"/>
    </row>
    <row r="76" spans="1:22" ht="14.45">
      <c r="A76" s="61">
        <f t="shared" si="6"/>
        <v>66</v>
      </c>
      <c r="B76" s="268" t="str">
        <f>IF('G3 MT Reading Scoresheet'!B76&lt;&gt;"",'G3 MT Reading Scoresheet'!B76,"")</f>
        <v/>
      </c>
      <c r="C76" s="265" t="str">
        <f>IF('G3 MT Reading Scoresheet'!C76&lt;&gt;"",'G3 MT Reading Scoresheet'!C76,"")</f>
        <v/>
      </c>
      <c r="D76" s="213" t="str">
        <f>IF('G3 MT Reading Scoresheet'!D76&lt;&gt;"",'G3 MT Reading Scoresheet'!D76,"")</f>
        <v/>
      </c>
      <c r="E76" s="214" t="str">
        <f>IF('G3 MT Reading Scoresheet'!E76&lt;&gt;"",'G3 MT Reading Scoresheet'!E76,"")</f>
        <v/>
      </c>
      <c r="F76" s="267"/>
      <c r="G76" s="216"/>
      <c r="H76" s="228"/>
      <c r="I76" s="211" t="str">
        <f t="shared" ref="I76:I110" si="7">IF(AND(F76="",G76=""),"",IF(F76&lt;7,F76+G76,F76+10+H76))</f>
        <v/>
      </c>
      <c r="J76" s="276" t="str">
        <f t="shared" ref="J76:J110" si="8">IF(I76="","",IF(F76&lt;7,IF(I76&lt;=10,"Full Refresher","Moderate Refresher"),IF(I76&lt;27,"Light Refresher","Grade Ready")))</f>
        <v/>
      </c>
      <c r="K76" s="277"/>
      <c r="L76" s="278"/>
      <c r="M76" s="211" t="str">
        <f t="shared" ref="M76:M110" si="9">IF(OR(K76=1,K76=2),IF(K76=1,M$7-L76,$P$7-L76),"")</f>
        <v/>
      </c>
      <c r="N76" s="228"/>
      <c r="O76" s="228"/>
      <c r="P76" s="211" t="str">
        <f t="shared" ref="P76:P110" si="10">IF(AND(K76&gt;0,M76&gt;0,OR(N76&gt;0,O76&gt;0)),(M76/((N76*60)+O76))*60,"")</f>
        <v/>
      </c>
      <c r="Q76" s="229" t="str">
        <f t="shared" ref="Q76:Q110" si="11">IFERROR(IF(OR(K76=1,K76=2),IF(K76=1,M76/$M$7,M76/$P$7),""),"")</f>
        <v/>
      </c>
      <c r="R76" s="228"/>
      <c r="S76" s="228"/>
      <c r="T76" s="285"/>
      <c r="U76" s="286" t="str">
        <f t="shared" ref="U76:U110" si="12">IF(J76&lt;&gt;"",IF(J76="Full Refresher","Low Emerging Reader",IF(AND(K76&gt;0,Q76&lt;&gt;""),IF(OR(Q76&lt;=25%,AND(Q76&gt;25%,Q76&lt;=50%,R76&lt;=1)),"High Emerging Reader",IF(OR(AND(Q76&gt;25%,Q76&lt;51%,R76&gt;=2),AND(Q76&gt;50%,Q76&lt;76%,R76&lt;=3)),"Developing Reader",IF(OR(AND(Q76&gt;=51%,Q76&lt;76%,R76&gt;=4),AND(Q76&gt;75%,R76&lt;=5)),"Transitioning Reader",IF(AND(Q76&gt;75%,R76&gt;=6),"Reading At Grade Level","")))),"")),"")</f>
        <v/>
      </c>
      <c r="V76" s="240"/>
    </row>
    <row r="77" spans="1:22" ht="14.45">
      <c r="A77" s="210">
        <f t="shared" si="6"/>
        <v>67</v>
      </c>
      <c r="B77" s="268" t="str">
        <f>IF('G3 MT Reading Scoresheet'!B77&lt;&gt;"",'G3 MT Reading Scoresheet'!B77,"")</f>
        <v/>
      </c>
      <c r="C77" s="265" t="str">
        <f>IF('G3 MT Reading Scoresheet'!C77&lt;&gt;"",'G3 MT Reading Scoresheet'!C77,"")</f>
        <v/>
      </c>
      <c r="D77" s="213" t="str">
        <f>IF('G3 MT Reading Scoresheet'!D77&lt;&gt;"",'G3 MT Reading Scoresheet'!D77,"")</f>
        <v/>
      </c>
      <c r="E77" s="214" t="str">
        <f>IF('G3 MT Reading Scoresheet'!E77&lt;&gt;"",'G3 MT Reading Scoresheet'!E77,"")</f>
        <v/>
      </c>
      <c r="F77" s="266"/>
      <c r="G77" s="218"/>
      <c r="H77" s="230"/>
      <c r="I77" s="211" t="str">
        <f t="shared" si="7"/>
        <v/>
      </c>
      <c r="J77" s="276" t="str">
        <f t="shared" si="8"/>
        <v/>
      </c>
      <c r="K77" s="279"/>
      <c r="L77" s="280"/>
      <c r="M77" s="211" t="str">
        <f t="shared" si="9"/>
        <v/>
      </c>
      <c r="N77" s="230"/>
      <c r="O77" s="230"/>
      <c r="P77" s="211" t="str">
        <f t="shared" si="10"/>
        <v/>
      </c>
      <c r="Q77" s="229" t="str">
        <f t="shared" si="11"/>
        <v/>
      </c>
      <c r="R77" s="230"/>
      <c r="S77" s="230"/>
      <c r="T77" s="287"/>
      <c r="U77" s="286" t="str">
        <f t="shared" si="12"/>
        <v/>
      </c>
      <c r="V77" s="241"/>
    </row>
    <row r="78" spans="1:22" ht="14.45">
      <c r="A78" s="61">
        <f t="shared" si="6"/>
        <v>68</v>
      </c>
      <c r="B78" s="268" t="str">
        <f>IF('G3 MT Reading Scoresheet'!B78&lt;&gt;"",'G3 MT Reading Scoresheet'!B78,"")</f>
        <v/>
      </c>
      <c r="C78" s="265" t="str">
        <f>IF('G3 MT Reading Scoresheet'!C78&lt;&gt;"",'G3 MT Reading Scoresheet'!C78,"")</f>
        <v/>
      </c>
      <c r="D78" s="213" t="str">
        <f>IF('G3 MT Reading Scoresheet'!D78&lt;&gt;"",'G3 MT Reading Scoresheet'!D78,"")</f>
        <v/>
      </c>
      <c r="E78" s="214" t="str">
        <f>IF('G3 MT Reading Scoresheet'!E78&lt;&gt;"",'G3 MT Reading Scoresheet'!E78,"")</f>
        <v/>
      </c>
      <c r="F78" s="267"/>
      <c r="G78" s="216"/>
      <c r="H78" s="228"/>
      <c r="I78" s="211" t="str">
        <f t="shared" si="7"/>
        <v/>
      </c>
      <c r="J78" s="276" t="str">
        <f t="shared" si="8"/>
        <v/>
      </c>
      <c r="K78" s="277"/>
      <c r="L78" s="278"/>
      <c r="M78" s="211" t="str">
        <f t="shared" si="9"/>
        <v/>
      </c>
      <c r="N78" s="228"/>
      <c r="O78" s="228"/>
      <c r="P78" s="211" t="str">
        <f t="shared" si="10"/>
        <v/>
      </c>
      <c r="Q78" s="229" t="str">
        <f t="shared" si="11"/>
        <v/>
      </c>
      <c r="R78" s="228"/>
      <c r="S78" s="228"/>
      <c r="T78" s="285"/>
      <c r="U78" s="286" t="str">
        <f t="shared" si="12"/>
        <v/>
      </c>
      <c r="V78" s="240"/>
    </row>
    <row r="79" spans="1:22" ht="14.45">
      <c r="A79" s="210">
        <f t="shared" si="6"/>
        <v>69</v>
      </c>
      <c r="B79" s="268" t="str">
        <f>IF('G3 MT Reading Scoresheet'!B79&lt;&gt;"",'G3 MT Reading Scoresheet'!B79,"")</f>
        <v/>
      </c>
      <c r="C79" s="265" t="str">
        <f>IF('G3 MT Reading Scoresheet'!C79&lt;&gt;"",'G3 MT Reading Scoresheet'!C79,"")</f>
        <v/>
      </c>
      <c r="D79" s="213" t="str">
        <f>IF('G3 MT Reading Scoresheet'!D79&lt;&gt;"",'G3 MT Reading Scoresheet'!D79,"")</f>
        <v/>
      </c>
      <c r="E79" s="214" t="str">
        <f>IF('G3 MT Reading Scoresheet'!E79&lt;&gt;"",'G3 MT Reading Scoresheet'!E79,"")</f>
        <v/>
      </c>
      <c r="F79" s="266"/>
      <c r="G79" s="218"/>
      <c r="H79" s="230"/>
      <c r="I79" s="211" t="str">
        <f t="shared" si="7"/>
        <v/>
      </c>
      <c r="J79" s="276" t="str">
        <f t="shared" si="8"/>
        <v/>
      </c>
      <c r="K79" s="279"/>
      <c r="L79" s="280"/>
      <c r="M79" s="211" t="str">
        <f t="shared" si="9"/>
        <v/>
      </c>
      <c r="N79" s="230"/>
      <c r="O79" s="230"/>
      <c r="P79" s="211" t="str">
        <f t="shared" si="10"/>
        <v/>
      </c>
      <c r="Q79" s="229" t="str">
        <f t="shared" si="11"/>
        <v/>
      </c>
      <c r="R79" s="230"/>
      <c r="S79" s="230"/>
      <c r="T79" s="287"/>
      <c r="U79" s="286" t="str">
        <f t="shared" si="12"/>
        <v/>
      </c>
      <c r="V79" s="241"/>
    </row>
    <row r="80" spans="1:22" ht="14.45">
      <c r="A80" s="61">
        <f t="shared" si="6"/>
        <v>70</v>
      </c>
      <c r="B80" s="268" t="str">
        <f>IF('G3 MT Reading Scoresheet'!B80&lt;&gt;"",'G3 MT Reading Scoresheet'!B80,"")</f>
        <v/>
      </c>
      <c r="C80" s="265" t="str">
        <f>IF('G3 MT Reading Scoresheet'!C80&lt;&gt;"",'G3 MT Reading Scoresheet'!C80,"")</f>
        <v/>
      </c>
      <c r="D80" s="213" t="str">
        <f>IF('G3 MT Reading Scoresheet'!D80&lt;&gt;"",'G3 MT Reading Scoresheet'!D80,"")</f>
        <v/>
      </c>
      <c r="E80" s="214" t="str">
        <f>IF('G3 MT Reading Scoresheet'!E80&lt;&gt;"",'G3 MT Reading Scoresheet'!E80,"")</f>
        <v/>
      </c>
      <c r="F80" s="267"/>
      <c r="G80" s="216"/>
      <c r="H80" s="228"/>
      <c r="I80" s="211" t="str">
        <f t="shared" si="7"/>
        <v/>
      </c>
      <c r="J80" s="276" t="str">
        <f t="shared" si="8"/>
        <v/>
      </c>
      <c r="K80" s="277"/>
      <c r="L80" s="278"/>
      <c r="M80" s="211" t="str">
        <f t="shared" si="9"/>
        <v/>
      </c>
      <c r="N80" s="228"/>
      <c r="O80" s="228"/>
      <c r="P80" s="211" t="str">
        <f t="shared" si="10"/>
        <v/>
      </c>
      <c r="Q80" s="229" t="str">
        <f t="shared" si="11"/>
        <v/>
      </c>
      <c r="R80" s="228"/>
      <c r="S80" s="228"/>
      <c r="T80" s="285"/>
      <c r="U80" s="286" t="str">
        <f t="shared" si="12"/>
        <v/>
      </c>
      <c r="V80" s="240"/>
    </row>
    <row r="81" spans="1:22" ht="14.45">
      <c r="A81" s="210">
        <f t="shared" si="6"/>
        <v>71</v>
      </c>
      <c r="B81" s="268" t="str">
        <f>IF('G3 MT Reading Scoresheet'!B81&lt;&gt;"",'G3 MT Reading Scoresheet'!B81,"")</f>
        <v/>
      </c>
      <c r="C81" s="265" t="str">
        <f>IF('G3 MT Reading Scoresheet'!C81&lt;&gt;"",'G3 MT Reading Scoresheet'!C81,"")</f>
        <v/>
      </c>
      <c r="D81" s="213" t="str">
        <f>IF('G3 MT Reading Scoresheet'!D81&lt;&gt;"",'G3 MT Reading Scoresheet'!D81,"")</f>
        <v/>
      </c>
      <c r="E81" s="214" t="str">
        <f>IF('G3 MT Reading Scoresheet'!E81&lt;&gt;"",'G3 MT Reading Scoresheet'!E81,"")</f>
        <v/>
      </c>
      <c r="F81" s="266"/>
      <c r="G81" s="218"/>
      <c r="H81" s="230"/>
      <c r="I81" s="211" t="str">
        <f t="shared" si="7"/>
        <v/>
      </c>
      <c r="J81" s="276" t="str">
        <f t="shared" si="8"/>
        <v/>
      </c>
      <c r="K81" s="279"/>
      <c r="L81" s="280"/>
      <c r="M81" s="211" t="str">
        <f t="shared" si="9"/>
        <v/>
      </c>
      <c r="N81" s="230"/>
      <c r="O81" s="230"/>
      <c r="P81" s="211" t="str">
        <f t="shared" si="10"/>
        <v/>
      </c>
      <c r="Q81" s="229" t="str">
        <f t="shared" si="11"/>
        <v/>
      </c>
      <c r="R81" s="230"/>
      <c r="S81" s="230"/>
      <c r="T81" s="287"/>
      <c r="U81" s="286" t="str">
        <f t="shared" si="12"/>
        <v/>
      </c>
      <c r="V81" s="241"/>
    </row>
    <row r="82" spans="1:22" ht="14.45">
      <c r="A82" s="61">
        <f t="shared" si="6"/>
        <v>72</v>
      </c>
      <c r="B82" s="268" t="str">
        <f>IF('G3 MT Reading Scoresheet'!B82&lt;&gt;"",'G3 MT Reading Scoresheet'!B82,"")</f>
        <v/>
      </c>
      <c r="C82" s="265" t="str">
        <f>IF('G3 MT Reading Scoresheet'!C82&lt;&gt;"",'G3 MT Reading Scoresheet'!C82,"")</f>
        <v/>
      </c>
      <c r="D82" s="213" t="str">
        <f>IF('G3 MT Reading Scoresheet'!D82&lt;&gt;"",'G3 MT Reading Scoresheet'!D82,"")</f>
        <v/>
      </c>
      <c r="E82" s="214" t="str">
        <f>IF('G3 MT Reading Scoresheet'!E82&lt;&gt;"",'G3 MT Reading Scoresheet'!E82,"")</f>
        <v/>
      </c>
      <c r="F82" s="267"/>
      <c r="G82" s="216"/>
      <c r="H82" s="228"/>
      <c r="I82" s="211" t="str">
        <f t="shared" si="7"/>
        <v/>
      </c>
      <c r="J82" s="276" t="str">
        <f t="shared" si="8"/>
        <v/>
      </c>
      <c r="K82" s="277"/>
      <c r="L82" s="278"/>
      <c r="M82" s="211" t="str">
        <f t="shared" si="9"/>
        <v/>
      </c>
      <c r="N82" s="228"/>
      <c r="O82" s="228"/>
      <c r="P82" s="211" t="str">
        <f t="shared" si="10"/>
        <v/>
      </c>
      <c r="Q82" s="229" t="str">
        <f t="shared" si="11"/>
        <v/>
      </c>
      <c r="R82" s="228"/>
      <c r="S82" s="228"/>
      <c r="T82" s="285"/>
      <c r="U82" s="286" t="str">
        <f t="shared" si="12"/>
        <v/>
      </c>
      <c r="V82" s="240"/>
    </row>
    <row r="83" spans="1:22" ht="14.45">
      <c r="A83" s="210">
        <f t="shared" si="6"/>
        <v>73</v>
      </c>
      <c r="B83" s="268" t="str">
        <f>IF('G3 MT Reading Scoresheet'!B83&lt;&gt;"",'G3 MT Reading Scoresheet'!B83,"")</f>
        <v/>
      </c>
      <c r="C83" s="265" t="str">
        <f>IF('G3 MT Reading Scoresheet'!C83&lt;&gt;"",'G3 MT Reading Scoresheet'!C83,"")</f>
        <v/>
      </c>
      <c r="D83" s="213" t="str">
        <f>IF('G3 MT Reading Scoresheet'!D83&lt;&gt;"",'G3 MT Reading Scoresheet'!D83,"")</f>
        <v/>
      </c>
      <c r="E83" s="214" t="str">
        <f>IF('G3 MT Reading Scoresheet'!E83&lt;&gt;"",'G3 MT Reading Scoresheet'!E83,"")</f>
        <v/>
      </c>
      <c r="F83" s="266"/>
      <c r="G83" s="218"/>
      <c r="H83" s="230"/>
      <c r="I83" s="211" t="str">
        <f t="shared" si="7"/>
        <v/>
      </c>
      <c r="J83" s="276" t="str">
        <f t="shared" si="8"/>
        <v/>
      </c>
      <c r="K83" s="279"/>
      <c r="L83" s="280"/>
      <c r="M83" s="211" t="str">
        <f t="shared" si="9"/>
        <v/>
      </c>
      <c r="N83" s="230"/>
      <c r="O83" s="230"/>
      <c r="P83" s="211" t="str">
        <f t="shared" si="10"/>
        <v/>
      </c>
      <c r="Q83" s="229" t="str">
        <f t="shared" si="11"/>
        <v/>
      </c>
      <c r="R83" s="230"/>
      <c r="S83" s="230"/>
      <c r="T83" s="287"/>
      <c r="U83" s="286" t="str">
        <f t="shared" si="12"/>
        <v/>
      </c>
      <c r="V83" s="241"/>
    </row>
    <row r="84" spans="1:22" ht="14.45">
      <c r="A84" s="61">
        <f t="shared" si="6"/>
        <v>74</v>
      </c>
      <c r="B84" s="268" t="str">
        <f>IF('G3 MT Reading Scoresheet'!B84&lt;&gt;"",'G3 MT Reading Scoresheet'!B84,"")</f>
        <v/>
      </c>
      <c r="C84" s="265" t="str">
        <f>IF('G3 MT Reading Scoresheet'!C84&lt;&gt;"",'G3 MT Reading Scoresheet'!C84,"")</f>
        <v/>
      </c>
      <c r="D84" s="213" t="str">
        <f>IF('G3 MT Reading Scoresheet'!D84&lt;&gt;"",'G3 MT Reading Scoresheet'!D84,"")</f>
        <v/>
      </c>
      <c r="E84" s="214" t="str">
        <f>IF('G3 MT Reading Scoresheet'!E84&lt;&gt;"",'G3 MT Reading Scoresheet'!E84,"")</f>
        <v/>
      </c>
      <c r="F84" s="267"/>
      <c r="G84" s="216"/>
      <c r="H84" s="228"/>
      <c r="I84" s="211" t="str">
        <f t="shared" si="7"/>
        <v/>
      </c>
      <c r="J84" s="276" t="str">
        <f t="shared" si="8"/>
        <v/>
      </c>
      <c r="K84" s="277"/>
      <c r="L84" s="278"/>
      <c r="M84" s="211" t="str">
        <f t="shared" si="9"/>
        <v/>
      </c>
      <c r="N84" s="228"/>
      <c r="O84" s="228"/>
      <c r="P84" s="211" t="str">
        <f t="shared" si="10"/>
        <v/>
      </c>
      <c r="Q84" s="229" t="str">
        <f t="shared" si="11"/>
        <v/>
      </c>
      <c r="R84" s="228"/>
      <c r="S84" s="228"/>
      <c r="T84" s="285"/>
      <c r="U84" s="286" t="str">
        <f t="shared" si="12"/>
        <v/>
      </c>
      <c r="V84" s="240"/>
    </row>
    <row r="85" spans="1:22" ht="14.45">
      <c r="A85" s="210">
        <f t="shared" si="6"/>
        <v>75</v>
      </c>
      <c r="B85" s="268" t="str">
        <f>IF('G3 MT Reading Scoresheet'!B85&lt;&gt;"",'G3 MT Reading Scoresheet'!B85,"")</f>
        <v/>
      </c>
      <c r="C85" s="265" t="str">
        <f>IF('G3 MT Reading Scoresheet'!C85&lt;&gt;"",'G3 MT Reading Scoresheet'!C85,"")</f>
        <v/>
      </c>
      <c r="D85" s="213" t="str">
        <f>IF('G3 MT Reading Scoresheet'!D85&lt;&gt;"",'G3 MT Reading Scoresheet'!D85,"")</f>
        <v/>
      </c>
      <c r="E85" s="214" t="str">
        <f>IF('G3 MT Reading Scoresheet'!E85&lt;&gt;"",'G3 MT Reading Scoresheet'!E85,"")</f>
        <v/>
      </c>
      <c r="F85" s="266"/>
      <c r="G85" s="218"/>
      <c r="H85" s="230"/>
      <c r="I85" s="211" t="str">
        <f t="shared" si="7"/>
        <v/>
      </c>
      <c r="J85" s="276" t="str">
        <f t="shared" si="8"/>
        <v/>
      </c>
      <c r="K85" s="279"/>
      <c r="L85" s="280"/>
      <c r="M85" s="211" t="str">
        <f t="shared" si="9"/>
        <v/>
      </c>
      <c r="N85" s="230"/>
      <c r="O85" s="230"/>
      <c r="P85" s="211" t="str">
        <f t="shared" si="10"/>
        <v/>
      </c>
      <c r="Q85" s="229" t="str">
        <f t="shared" si="11"/>
        <v/>
      </c>
      <c r="R85" s="230"/>
      <c r="S85" s="230"/>
      <c r="T85" s="287"/>
      <c r="U85" s="286" t="str">
        <f t="shared" si="12"/>
        <v/>
      </c>
      <c r="V85" s="241"/>
    </row>
    <row r="86" spans="1:22" ht="14.45">
      <c r="A86" s="61">
        <f t="shared" si="6"/>
        <v>76</v>
      </c>
      <c r="B86" s="268" t="str">
        <f>IF('G3 MT Reading Scoresheet'!B86&lt;&gt;"",'G3 MT Reading Scoresheet'!B86,"")</f>
        <v/>
      </c>
      <c r="C86" s="265" t="str">
        <f>IF('G3 MT Reading Scoresheet'!C86&lt;&gt;"",'G3 MT Reading Scoresheet'!C86,"")</f>
        <v/>
      </c>
      <c r="D86" s="213" t="str">
        <f>IF('G3 MT Reading Scoresheet'!D86&lt;&gt;"",'G3 MT Reading Scoresheet'!D86,"")</f>
        <v/>
      </c>
      <c r="E86" s="214" t="str">
        <f>IF('G3 MT Reading Scoresheet'!E86&lt;&gt;"",'G3 MT Reading Scoresheet'!E86,"")</f>
        <v/>
      </c>
      <c r="F86" s="267"/>
      <c r="G86" s="216"/>
      <c r="H86" s="228"/>
      <c r="I86" s="211" t="str">
        <f t="shared" si="7"/>
        <v/>
      </c>
      <c r="J86" s="276" t="str">
        <f t="shared" si="8"/>
        <v/>
      </c>
      <c r="K86" s="277"/>
      <c r="L86" s="278"/>
      <c r="M86" s="211" t="str">
        <f t="shared" si="9"/>
        <v/>
      </c>
      <c r="N86" s="228"/>
      <c r="O86" s="228"/>
      <c r="P86" s="211" t="str">
        <f t="shared" si="10"/>
        <v/>
      </c>
      <c r="Q86" s="229" t="str">
        <f t="shared" si="11"/>
        <v/>
      </c>
      <c r="R86" s="228"/>
      <c r="S86" s="228"/>
      <c r="T86" s="285"/>
      <c r="U86" s="286" t="str">
        <f t="shared" si="12"/>
        <v/>
      </c>
      <c r="V86" s="240"/>
    </row>
    <row r="87" spans="1:22" ht="14.45">
      <c r="A87" s="210">
        <f t="shared" si="6"/>
        <v>77</v>
      </c>
      <c r="B87" s="268" t="str">
        <f>IF('G3 MT Reading Scoresheet'!B87&lt;&gt;"",'G3 MT Reading Scoresheet'!B87,"")</f>
        <v/>
      </c>
      <c r="C87" s="265" t="str">
        <f>IF('G3 MT Reading Scoresheet'!C87&lt;&gt;"",'G3 MT Reading Scoresheet'!C87,"")</f>
        <v/>
      </c>
      <c r="D87" s="213" t="str">
        <f>IF('G3 MT Reading Scoresheet'!D87&lt;&gt;"",'G3 MT Reading Scoresheet'!D87,"")</f>
        <v/>
      </c>
      <c r="E87" s="214" t="str">
        <f>IF('G3 MT Reading Scoresheet'!E87&lt;&gt;"",'G3 MT Reading Scoresheet'!E87,"")</f>
        <v/>
      </c>
      <c r="F87" s="266"/>
      <c r="G87" s="218"/>
      <c r="H87" s="230"/>
      <c r="I87" s="211" t="str">
        <f t="shared" si="7"/>
        <v/>
      </c>
      <c r="J87" s="276" t="str">
        <f t="shared" si="8"/>
        <v/>
      </c>
      <c r="K87" s="279"/>
      <c r="L87" s="280"/>
      <c r="M87" s="211" t="str">
        <f t="shared" si="9"/>
        <v/>
      </c>
      <c r="N87" s="230"/>
      <c r="O87" s="230"/>
      <c r="P87" s="211" t="str">
        <f t="shared" si="10"/>
        <v/>
      </c>
      <c r="Q87" s="229" t="str">
        <f t="shared" si="11"/>
        <v/>
      </c>
      <c r="R87" s="230"/>
      <c r="S87" s="230"/>
      <c r="T87" s="287"/>
      <c r="U87" s="286" t="str">
        <f t="shared" si="12"/>
        <v/>
      </c>
      <c r="V87" s="241"/>
    </row>
    <row r="88" spans="1:22" ht="14.45">
      <c r="A88" s="61">
        <f t="shared" si="6"/>
        <v>78</v>
      </c>
      <c r="B88" s="268" t="str">
        <f>IF('G3 MT Reading Scoresheet'!B88&lt;&gt;"",'G3 MT Reading Scoresheet'!B88,"")</f>
        <v/>
      </c>
      <c r="C88" s="265" t="str">
        <f>IF('G3 MT Reading Scoresheet'!C88&lt;&gt;"",'G3 MT Reading Scoresheet'!C88,"")</f>
        <v/>
      </c>
      <c r="D88" s="213" t="str">
        <f>IF('G3 MT Reading Scoresheet'!D88&lt;&gt;"",'G3 MT Reading Scoresheet'!D88,"")</f>
        <v/>
      </c>
      <c r="E88" s="214" t="str">
        <f>IF('G3 MT Reading Scoresheet'!E88&lt;&gt;"",'G3 MT Reading Scoresheet'!E88,"")</f>
        <v/>
      </c>
      <c r="F88" s="267"/>
      <c r="G88" s="216"/>
      <c r="H88" s="228"/>
      <c r="I88" s="211" t="str">
        <f t="shared" si="7"/>
        <v/>
      </c>
      <c r="J88" s="276" t="str">
        <f t="shared" si="8"/>
        <v/>
      </c>
      <c r="K88" s="277"/>
      <c r="L88" s="278"/>
      <c r="M88" s="211" t="str">
        <f t="shared" si="9"/>
        <v/>
      </c>
      <c r="N88" s="228"/>
      <c r="O88" s="228"/>
      <c r="P88" s="211" t="str">
        <f t="shared" si="10"/>
        <v/>
      </c>
      <c r="Q88" s="229" t="str">
        <f t="shared" si="11"/>
        <v/>
      </c>
      <c r="R88" s="228"/>
      <c r="S88" s="228"/>
      <c r="T88" s="285"/>
      <c r="U88" s="286" t="str">
        <f t="shared" si="12"/>
        <v/>
      </c>
      <c r="V88" s="240"/>
    </row>
    <row r="89" spans="1:22" ht="14.45">
      <c r="A89" s="210">
        <f t="shared" si="6"/>
        <v>79</v>
      </c>
      <c r="B89" s="268" t="str">
        <f>IF('G3 MT Reading Scoresheet'!B89&lt;&gt;"",'G3 MT Reading Scoresheet'!B89,"")</f>
        <v/>
      </c>
      <c r="C89" s="265" t="str">
        <f>IF('G3 MT Reading Scoresheet'!C89&lt;&gt;"",'G3 MT Reading Scoresheet'!C89,"")</f>
        <v/>
      </c>
      <c r="D89" s="213" t="str">
        <f>IF('G3 MT Reading Scoresheet'!D89&lt;&gt;"",'G3 MT Reading Scoresheet'!D89,"")</f>
        <v/>
      </c>
      <c r="E89" s="214" t="str">
        <f>IF('G3 MT Reading Scoresheet'!E89&lt;&gt;"",'G3 MT Reading Scoresheet'!E89,"")</f>
        <v/>
      </c>
      <c r="F89" s="266"/>
      <c r="G89" s="218"/>
      <c r="H89" s="230"/>
      <c r="I89" s="211" t="str">
        <f t="shared" si="7"/>
        <v/>
      </c>
      <c r="J89" s="276" t="str">
        <f t="shared" si="8"/>
        <v/>
      </c>
      <c r="K89" s="279"/>
      <c r="L89" s="280"/>
      <c r="M89" s="211" t="str">
        <f t="shared" si="9"/>
        <v/>
      </c>
      <c r="N89" s="230"/>
      <c r="O89" s="230"/>
      <c r="P89" s="211" t="str">
        <f t="shared" si="10"/>
        <v/>
      </c>
      <c r="Q89" s="229" t="str">
        <f t="shared" si="11"/>
        <v/>
      </c>
      <c r="R89" s="230"/>
      <c r="S89" s="230"/>
      <c r="T89" s="287"/>
      <c r="U89" s="286" t="str">
        <f t="shared" si="12"/>
        <v/>
      </c>
      <c r="V89" s="241"/>
    </row>
    <row r="90" spans="1:22" ht="14.45">
      <c r="A90" s="61">
        <f t="shared" si="6"/>
        <v>80</v>
      </c>
      <c r="B90" s="268" t="str">
        <f>IF('G3 MT Reading Scoresheet'!B90&lt;&gt;"",'G3 MT Reading Scoresheet'!B90,"")</f>
        <v/>
      </c>
      <c r="C90" s="265" t="str">
        <f>IF('G3 MT Reading Scoresheet'!C90&lt;&gt;"",'G3 MT Reading Scoresheet'!C90,"")</f>
        <v/>
      </c>
      <c r="D90" s="213" t="str">
        <f>IF('G3 MT Reading Scoresheet'!D90&lt;&gt;"",'G3 MT Reading Scoresheet'!D90,"")</f>
        <v/>
      </c>
      <c r="E90" s="214" t="str">
        <f>IF('G3 MT Reading Scoresheet'!E90&lt;&gt;"",'G3 MT Reading Scoresheet'!E90,"")</f>
        <v/>
      </c>
      <c r="F90" s="267"/>
      <c r="G90" s="216"/>
      <c r="H90" s="228"/>
      <c r="I90" s="211" t="str">
        <f t="shared" si="7"/>
        <v/>
      </c>
      <c r="J90" s="276" t="str">
        <f t="shared" si="8"/>
        <v/>
      </c>
      <c r="K90" s="277"/>
      <c r="L90" s="278"/>
      <c r="M90" s="211" t="str">
        <f t="shared" si="9"/>
        <v/>
      </c>
      <c r="N90" s="228"/>
      <c r="O90" s="228"/>
      <c r="P90" s="211" t="str">
        <f t="shared" si="10"/>
        <v/>
      </c>
      <c r="Q90" s="229" t="str">
        <f t="shared" si="11"/>
        <v/>
      </c>
      <c r="R90" s="228"/>
      <c r="S90" s="228"/>
      <c r="T90" s="285"/>
      <c r="U90" s="286" t="str">
        <f t="shared" si="12"/>
        <v/>
      </c>
      <c r="V90" s="240"/>
    </row>
    <row r="91" spans="1:22" ht="14.45">
      <c r="A91" s="210">
        <f t="shared" si="6"/>
        <v>81</v>
      </c>
      <c r="B91" s="268" t="str">
        <f>IF('G3 MT Reading Scoresheet'!B91&lt;&gt;"",'G3 MT Reading Scoresheet'!B91,"")</f>
        <v/>
      </c>
      <c r="C91" s="265" t="str">
        <f>IF('G3 MT Reading Scoresheet'!C91&lt;&gt;"",'G3 MT Reading Scoresheet'!C91,"")</f>
        <v/>
      </c>
      <c r="D91" s="213" t="str">
        <f>IF('G3 MT Reading Scoresheet'!D91&lt;&gt;"",'G3 MT Reading Scoresheet'!D91,"")</f>
        <v/>
      </c>
      <c r="E91" s="214" t="str">
        <f>IF('G3 MT Reading Scoresheet'!E91&lt;&gt;"",'G3 MT Reading Scoresheet'!E91,"")</f>
        <v/>
      </c>
      <c r="F91" s="266"/>
      <c r="G91" s="218"/>
      <c r="H91" s="230"/>
      <c r="I91" s="211" t="str">
        <f t="shared" si="7"/>
        <v/>
      </c>
      <c r="J91" s="276" t="str">
        <f t="shared" si="8"/>
        <v/>
      </c>
      <c r="K91" s="279"/>
      <c r="L91" s="280"/>
      <c r="M91" s="211" t="str">
        <f t="shared" si="9"/>
        <v/>
      </c>
      <c r="N91" s="230"/>
      <c r="O91" s="230"/>
      <c r="P91" s="211" t="str">
        <f t="shared" si="10"/>
        <v/>
      </c>
      <c r="Q91" s="229" t="str">
        <f t="shared" si="11"/>
        <v/>
      </c>
      <c r="R91" s="230"/>
      <c r="S91" s="230"/>
      <c r="T91" s="287"/>
      <c r="U91" s="286" t="str">
        <f t="shared" si="12"/>
        <v/>
      </c>
      <c r="V91" s="241"/>
    </row>
    <row r="92" spans="1:22" ht="14.45">
      <c r="A92" s="61">
        <f t="shared" si="6"/>
        <v>82</v>
      </c>
      <c r="B92" s="268" t="str">
        <f>IF('G3 MT Reading Scoresheet'!B92&lt;&gt;"",'G3 MT Reading Scoresheet'!B92,"")</f>
        <v/>
      </c>
      <c r="C92" s="265" t="str">
        <f>IF('G3 MT Reading Scoresheet'!C92&lt;&gt;"",'G3 MT Reading Scoresheet'!C92,"")</f>
        <v/>
      </c>
      <c r="D92" s="213" t="str">
        <f>IF('G3 MT Reading Scoresheet'!D92&lt;&gt;"",'G3 MT Reading Scoresheet'!D92,"")</f>
        <v/>
      </c>
      <c r="E92" s="214" t="str">
        <f>IF('G3 MT Reading Scoresheet'!E92&lt;&gt;"",'G3 MT Reading Scoresheet'!E92,"")</f>
        <v/>
      </c>
      <c r="F92" s="267"/>
      <c r="G92" s="216"/>
      <c r="H92" s="228"/>
      <c r="I92" s="211" t="str">
        <f t="shared" si="7"/>
        <v/>
      </c>
      <c r="J92" s="276" t="str">
        <f t="shared" si="8"/>
        <v/>
      </c>
      <c r="K92" s="277"/>
      <c r="L92" s="278"/>
      <c r="M92" s="211" t="str">
        <f t="shared" si="9"/>
        <v/>
      </c>
      <c r="N92" s="228"/>
      <c r="O92" s="228"/>
      <c r="P92" s="211" t="str">
        <f t="shared" si="10"/>
        <v/>
      </c>
      <c r="Q92" s="229" t="str">
        <f t="shared" si="11"/>
        <v/>
      </c>
      <c r="R92" s="228"/>
      <c r="S92" s="228"/>
      <c r="T92" s="285"/>
      <c r="U92" s="286" t="str">
        <f t="shared" si="12"/>
        <v/>
      </c>
      <c r="V92" s="240"/>
    </row>
    <row r="93" spans="1:22" ht="14.45">
      <c r="A93" s="210">
        <f t="shared" si="6"/>
        <v>83</v>
      </c>
      <c r="B93" s="268" t="str">
        <f>IF('G3 MT Reading Scoresheet'!B93&lt;&gt;"",'G3 MT Reading Scoresheet'!B93,"")</f>
        <v/>
      </c>
      <c r="C93" s="265" t="str">
        <f>IF('G3 MT Reading Scoresheet'!C93&lt;&gt;"",'G3 MT Reading Scoresheet'!C93,"")</f>
        <v/>
      </c>
      <c r="D93" s="213" t="str">
        <f>IF('G3 MT Reading Scoresheet'!D93&lt;&gt;"",'G3 MT Reading Scoresheet'!D93,"")</f>
        <v/>
      </c>
      <c r="E93" s="214" t="str">
        <f>IF('G3 MT Reading Scoresheet'!E93&lt;&gt;"",'G3 MT Reading Scoresheet'!E93,"")</f>
        <v/>
      </c>
      <c r="F93" s="266"/>
      <c r="G93" s="218"/>
      <c r="H93" s="230"/>
      <c r="I93" s="211" t="str">
        <f t="shared" si="7"/>
        <v/>
      </c>
      <c r="J93" s="276" t="str">
        <f t="shared" si="8"/>
        <v/>
      </c>
      <c r="K93" s="279"/>
      <c r="L93" s="280"/>
      <c r="M93" s="211" t="str">
        <f t="shared" si="9"/>
        <v/>
      </c>
      <c r="N93" s="230"/>
      <c r="O93" s="230"/>
      <c r="P93" s="211" t="str">
        <f t="shared" si="10"/>
        <v/>
      </c>
      <c r="Q93" s="229" t="str">
        <f t="shared" si="11"/>
        <v/>
      </c>
      <c r="R93" s="230"/>
      <c r="S93" s="230"/>
      <c r="T93" s="287"/>
      <c r="U93" s="286" t="str">
        <f t="shared" si="12"/>
        <v/>
      </c>
      <c r="V93" s="241"/>
    </row>
    <row r="94" spans="1:22" ht="14.45">
      <c r="A94" s="61">
        <f t="shared" si="6"/>
        <v>84</v>
      </c>
      <c r="B94" s="268" t="str">
        <f>IF('G3 MT Reading Scoresheet'!B94&lt;&gt;"",'G3 MT Reading Scoresheet'!B94,"")</f>
        <v/>
      </c>
      <c r="C94" s="265" t="str">
        <f>IF('G3 MT Reading Scoresheet'!C94&lt;&gt;"",'G3 MT Reading Scoresheet'!C94,"")</f>
        <v/>
      </c>
      <c r="D94" s="213" t="str">
        <f>IF('G3 MT Reading Scoresheet'!D94&lt;&gt;"",'G3 MT Reading Scoresheet'!D94,"")</f>
        <v/>
      </c>
      <c r="E94" s="214" t="str">
        <f>IF('G3 MT Reading Scoresheet'!E94&lt;&gt;"",'G3 MT Reading Scoresheet'!E94,"")</f>
        <v/>
      </c>
      <c r="F94" s="267"/>
      <c r="G94" s="216"/>
      <c r="H94" s="228"/>
      <c r="I94" s="211" t="str">
        <f t="shared" si="7"/>
        <v/>
      </c>
      <c r="J94" s="276" t="str">
        <f t="shared" si="8"/>
        <v/>
      </c>
      <c r="K94" s="277"/>
      <c r="L94" s="278"/>
      <c r="M94" s="211" t="str">
        <f t="shared" si="9"/>
        <v/>
      </c>
      <c r="N94" s="228"/>
      <c r="O94" s="228"/>
      <c r="P94" s="211" t="str">
        <f t="shared" si="10"/>
        <v/>
      </c>
      <c r="Q94" s="229" t="str">
        <f t="shared" si="11"/>
        <v/>
      </c>
      <c r="R94" s="228"/>
      <c r="S94" s="228"/>
      <c r="T94" s="285"/>
      <c r="U94" s="286" t="str">
        <f t="shared" si="12"/>
        <v/>
      </c>
      <c r="V94" s="240"/>
    </row>
    <row r="95" spans="1:22" ht="14.45">
      <c r="A95" s="210">
        <f t="shared" si="6"/>
        <v>85</v>
      </c>
      <c r="B95" s="268" t="str">
        <f>IF('G3 MT Reading Scoresheet'!B95&lt;&gt;"",'G3 MT Reading Scoresheet'!B95,"")</f>
        <v/>
      </c>
      <c r="C95" s="265" t="str">
        <f>IF('G3 MT Reading Scoresheet'!C95&lt;&gt;"",'G3 MT Reading Scoresheet'!C95,"")</f>
        <v/>
      </c>
      <c r="D95" s="213" t="str">
        <f>IF('G3 MT Reading Scoresheet'!D95&lt;&gt;"",'G3 MT Reading Scoresheet'!D95,"")</f>
        <v/>
      </c>
      <c r="E95" s="214" t="str">
        <f>IF('G3 MT Reading Scoresheet'!E95&lt;&gt;"",'G3 MT Reading Scoresheet'!E95,"")</f>
        <v/>
      </c>
      <c r="F95" s="266"/>
      <c r="G95" s="218"/>
      <c r="H95" s="230"/>
      <c r="I95" s="211" t="str">
        <f t="shared" si="7"/>
        <v/>
      </c>
      <c r="J95" s="276" t="str">
        <f t="shared" si="8"/>
        <v/>
      </c>
      <c r="K95" s="279"/>
      <c r="L95" s="280"/>
      <c r="M95" s="211" t="str">
        <f t="shared" si="9"/>
        <v/>
      </c>
      <c r="N95" s="230"/>
      <c r="O95" s="230"/>
      <c r="P95" s="211" t="str">
        <f t="shared" si="10"/>
        <v/>
      </c>
      <c r="Q95" s="229" t="str">
        <f t="shared" si="11"/>
        <v/>
      </c>
      <c r="R95" s="230"/>
      <c r="S95" s="230"/>
      <c r="T95" s="287"/>
      <c r="U95" s="286" t="str">
        <f t="shared" si="12"/>
        <v/>
      </c>
      <c r="V95" s="241"/>
    </row>
    <row r="96" spans="1:22" ht="14.45">
      <c r="A96" s="61">
        <f t="shared" si="6"/>
        <v>86</v>
      </c>
      <c r="B96" s="268" t="str">
        <f>IF('G3 MT Reading Scoresheet'!B96&lt;&gt;"",'G3 MT Reading Scoresheet'!B96,"")</f>
        <v/>
      </c>
      <c r="C96" s="265" t="str">
        <f>IF('G3 MT Reading Scoresheet'!C96&lt;&gt;"",'G3 MT Reading Scoresheet'!C96,"")</f>
        <v/>
      </c>
      <c r="D96" s="213" t="str">
        <f>IF('G3 MT Reading Scoresheet'!D96&lt;&gt;"",'G3 MT Reading Scoresheet'!D96,"")</f>
        <v/>
      </c>
      <c r="E96" s="214" t="str">
        <f>IF('G3 MT Reading Scoresheet'!E96&lt;&gt;"",'G3 MT Reading Scoresheet'!E96,"")</f>
        <v/>
      </c>
      <c r="F96" s="267"/>
      <c r="G96" s="216"/>
      <c r="H96" s="228"/>
      <c r="I96" s="211" t="str">
        <f t="shared" si="7"/>
        <v/>
      </c>
      <c r="J96" s="276" t="str">
        <f t="shared" si="8"/>
        <v/>
      </c>
      <c r="K96" s="277"/>
      <c r="L96" s="278"/>
      <c r="M96" s="211" t="str">
        <f t="shared" si="9"/>
        <v/>
      </c>
      <c r="N96" s="228"/>
      <c r="O96" s="228"/>
      <c r="P96" s="211" t="str">
        <f t="shared" si="10"/>
        <v/>
      </c>
      <c r="Q96" s="229" t="str">
        <f t="shared" si="11"/>
        <v/>
      </c>
      <c r="R96" s="228"/>
      <c r="S96" s="228"/>
      <c r="T96" s="285"/>
      <c r="U96" s="286" t="str">
        <f t="shared" si="12"/>
        <v/>
      </c>
      <c r="V96" s="240"/>
    </row>
    <row r="97" spans="1:22" ht="14.45">
      <c r="A97" s="210">
        <f t="shared" si="6"/>
        <v>87</v>
      </c>
      <c r="B97" s="268" t="str">
        <f>IF('G3 MT Reading Scoresheet'!B97&lt;&gt;"",'G3 MT Reading Scoresheet'!B97,"")</f>
        <v/>
      </c>
      <c r="C97" s="265" t="str">
        <f>IF('G3 MT Reading Scoresheet'!C97&lt;&gt;"",'G3 MT Reading Scoresheet'!C97,"")</f>
        <v/>
      </c>
      <c r="D97" s="213" t="str">
        <f>IF('G3 MT Reading Scoresheet'!D97&lt;&gt;"",'G3 MT Reading Scoresheet'!D97,"")</f>
        <v/>
      </c>
      <c r="E97" s="214" t="str">
        <f>IF('G3 MT Reading Scoresheet'!E97&lt;&gt;"",'G3 MT Reading Scoresheet'!E97,"")</f>
        <v/>
      </c>
      <c r="F97" s="266"/>
      <c r="G97" s="218"/>
      <c r="H97" s="230"/>
      <c r="I97" s="211" t="str">
        <f t="shared" si="7"/>
        <v/>
      </c>
      <c r="J97" s="276" t="str">
        <f t="shared" si="8"/>
        <v/>
      </c>
      <c r="K97" s="279"/>
      <c r="L97" s="280"/>
      <c r="M97" s="211" t="str">
        <f t="shared" si="9"/>
        <v/>
      </c>
      <c r="N97" s="230"/>
      <c r="O97" s="230"/>
      <c r="P97" s="211" t="str">
        <f t="shared" si="10"/>
        <v/>
      </c>
      <c r="Q97" s="229" t="str">
        <f t="shared" si="11"/>
        <v/>
      </c>
      <c r="R97" s="230"/>
      <c r="S97" s="230"/>
      <c r="T97" s="287"/>
      <c r="U97" s="286" t="str">
        <f t="shared" si="12"/>
        <v/>
      </c>
      <c r="V97" s="241"/>
    </row>
    <row r="98" spans="1:22" ht="14.45">
      <c r="A98" s="61">
        <f t="shared" si="6"/>
        <v>88</v>
      </c>
      <c r="B98" s="268" t="str">
        <f>IF('G3 MT Reading Scoresheet'!B98&lt;&gt;"",'G3 MT Reading Scoresheet'!B98,"")</f>
        <v/>
      </c>
      <c r="C98" s="265" t="str">
        <f>IF('G3 MT Reading Scoresheet'!C98&lt;&gt;"",'G3 MT Reading Scoresheet'!C98,"")</f>
        <v/>
      </c>
      <c r="D98" s="213" t="str">
        <f>IF('G3 MT Reading Scoresheet'!D98&lt;&gt;"",'G3 MT Reading Scoresheet'!D98,"")</f>
        <v/>
      </c>
      <c r="E98" s="214" t="str">
        <f>IF('G3 MT Reading Scoresheet'!E98&lt;&gt;"",'G3 MT Reading Scoresheet'!E98,"")</f>
        <v/>
      </c>
      <c r="F98" s="267"/>
      <c r="G98" s="216"/>
      <c r="H98" s="228"/>
      <c r="I98" s="211" t="str">
        <f t="shared" si="7"/>
        <v/>
      </c>
      <c r="J98" s="276" t="str">
        <f t="shared" si="8"/>
        <v/>
      </c>
      <c r="K98" s="277"/>
      <c r="L98" s="278"/>
      <c r="M98" s="211" t="str">
        <f t="shared" si="9"/>
        <v/>
      </c>
      <c r="N98" s="228"/>
      <c r="O98" s="228"/>
      <c r="P98" s="211" t="str">
        <f t="shared" si="10"/>
        <v/>
      </c>
      <c r="Q98" s="229" t="str">
        <f t="shared" si="11"/>
        <v/>
      </c>
      <c r="R98" s="228"/>
      <c r="S98" s="228"/>
      <c r="T98" s="285"/>
      <c r="U98" s="286" t="str">
        <f t="shared" si="12"/>
        <v/>
      </c>
      <c r="V98" s="240"/>
    </row>
    <row r="99" spans="1:22" ht="14.45">
      <c r="A99" s="210">
        <f t="shared" si="6"/>
        <v>89</v>
      </c>
      <c r="B99" s="268" t="str">
        <f>IF('G3 MT Reading Scoresheet'!B99&lt;&gt;"",'G3 MT Reading Scoresheet'!B99,"")</f>
        <v/>
      </c>
      <c r="C99" s="265" t="str">
        <f>IF('G3 MT Reading Scoresheet'!C99&lt;&gt;"",'G3 MT Reading Scoresheet'!C99,"")</f>
        <v/>
      </c>
      <c r="D99" s="213" t="str">
        <f>IF('G3 MT Reading Scoresheet'!D99&lt;&gt;"",'G3 MT Reading Scoresheet'!D99,"")</f>
        <v/>
      </c>
      <c r="E99" s="214" t="str">
        <f>IF('G3 MT Reading Scoresheet'!E99&lt;&gt;"",'G3 MT Reading Scoresheet'!E99,"")</f>
        <v/>
      </c>
      <c r="F99" s="266"/>
      <c r="G99" s="218"/>
      <c r="H99" s="230"/>
      <c r="I99" s="211" t="str">
        <f t="shared" si="7"/>
        <v/>
      </c>
      <c r="J99" s="276" t="str">
        <f t="shared" si="8"/>
        <v/>
      </c>
      <c r="K99" s="279"/>
      <c r="L99" s="280"/>
      <c r="M99" s="211" t="str">
        <f t="shared" si="9"/>
        <v/>
      </c>
      <c r="N99" s="230"/>
      <c r="O99" s="230"/>
      <c r="P99" s="211" t="str">
        <f t="shared" si="10"/>
        <v/>
      </c>
      <c r="Q99" s="229" t="str">
        <f t="shared" si="11"/>
        <v/>
      </c>
      <c r="R99" s="230"/>
      <c r="S99" s="230"/>
      <c r="T99" s="287"/>
      <c r="U99" s="286" t="str">
        <f t="shared" si="12"/>
        <v/>
      </c>
      <c r="V99" s="241"/>
    </row>
    <row r="100" spans="1:22" ht="14.45">
      <c r="A100" s="61">
        <f t="shared" si="6"/>
        <v>90</v>
      </c>
      <c r="B100" s="268" t="str">
        <f>IF('G3 MT Reading Scoresheet'!B100&lt;&gt;"",'G3 MT Reading Scoresheet'!B100,"")</f>
        <v/>
      </c>
      <c r="C100" s="265" t="str">
        <f>IF('G3 MT Reading Scoresheet'!C100&lt;&gt;"",'G3 MT Reading Scoresheet'!C100,"")</f>
        <v/>
      </c>
      <c r="D100" s="213" t="str">
        <f>IF('G3 MT Reading Scoresheet'!D100&lt;&gt;"",'G3 MT Reading Scoresheet'!D100,"")</f>
        <v/>
      </c>
      <c r="E100" s="214" t="str">
        <f>IF('G3 MT Reading Scoresheet'!E100&lt;&gt;"",'G3 MT Reading Scoresheet'!E100,"")</f>
        <v/>
      </c>
      <c r="F100" s="267"/>
      <c r="G100" s="216"/>
      <c r="H100" s="228"/>
      <c r="I100" s="211" t="str">
        <f t="shared" si="7"/>
        <v/>
      </c>
      <c r="J100" s="276" t="str">
        <f t="shared" si="8"/>
        <v/>
      </c>
      <c r="K100" s="277"/>
      <c r="L100" s="278"/>
      <c r="M100" s="211" t="str">
        <f t="shared" si="9"/>
        <v/>
      </c>
      <c r="N100" s="228"/>
      <c r="O100" s="228"/>
      <c r="P100" s="211" t="str">
        <f t="shared" si="10"/>
        <v/>
      </c>
      <c r="Q100" s="229" t="str">
        <f t="shared" si="11"/>
        <v/>
      </c>
      <c r="R100" s="228"/>
      <c r="S100" s="228"/>
      <c r="T100" s="285"/>
      <c r="U100" s="286" t="str">
        <f t="shared" si="12"/>
        <v/>
      </c>
      <c r="V100" s="240"/>
    </row>
    <row r="101" spans="1:22" ht="14.45">
      <c r="A101" s="210">
        <f t="shared" si="6"/>
        <v>91</v>
      </c>
      <c r="B101" s="268" t="str">
        <f>IF('G3 MT Reading Scoresheet'!B101&lt;&gt;"",'G3 MT Reading Scoresheet'!B101,"")</f>
        <v/>
      </c>
      <c r="C101" s="265" t="str">
        <f>IF('G3 MT Reading Scoresheet'!C101&lt;&gt;"",'G3 MT Reading Scoresheet'!C101,"")</f>
        <v/>
      </c>
      <c r="D101" s="213" t="str">
        <f>IF('G3 MT Reading Scoresheet'!D101&lt;&gt;"",'G3 MT Reading Scoresheet'!D101,"")</f>
        <v/>
      </c>
      <c r="E101" s="214" t="str">
        <f>IF('G3 MT Reading Scoresheet'!E101&lt;&gt;"",'G3 MT Reading Scoresheet'!E101,"")</f>
        <v/>
      </c>
      <c r="F101" s="266"/>
      <c r="G101" s="218"/>
      <c r="H101" s="230"/>
      <c r="I101" s="211" t="str">
        <f t="shared" si="7"/>
        <v/>
      </c>
      <c r="J101" s="276" t="str">
        <f t="shared" si="8"/>
        <v/>
      </c>
      <c r="K101" s="279"/>
      <c r="L101" s="280"/>
      <c r="M101" s="211" t="str">
        <f t="shared" si="9"/>
        <v/>
      </c>
      <c r="N101" s="230"/>
      <c r="O101" s="230"/>
      <c r="P101" s="211" t="str">
        <f t="shared" si="10"/>
        <v/>
      </c>
      <c r="Q101" s="229" t="str">
        <f t="shared" si="11"/>
        <v/>
      </c>
      <c r="R101" s="230"/>
      <c r="S101" s="230"/>
      <c r="T101" s="287"/>
      <c r="U101" s="286" t="str">
        <f t="shared" si="12"/>
        <v/>
      </c>
      <c r="V101" s="241"/>
    </row>
    <row r="102" spans="1:22" ht="14.45">
      <c r="A102" s="61">
        <f t="shared" si="6"/>
        <v>92</v>
      </c>
      <c r="B102" s="268" t="str">
        <f>IF('G3 MT Reading Scoresheet'!B102&lt;&gt;"",'G3 MT Reading Scoresheet'!B102,"")</f>
        <v/>
      </c>
      <c r="C102" s="265" t="str">
        <f>IF('G3 MT Reading Scoresheet'!C102&lt;&gt;"",'G3 MT Reading Scoresheet'!C102,"")</f>
        <v/>
      </c>
      <c r="D102" s="213" t="str">
        <f>IF('G3 MT Reading Scoresheet'!D102&lt;&gt;"",'G3 MT Reading Scoresheet'!D102,"")</f>
        <v/>
      </c>
      <c r="E102" s="214" t="str">
        <f>IF('G3 MT Reading Scoresheet'!E102&lt;&gt;"",'G3 MT Reading Scoresheet'!E102,"")</f>
        <v/>
      </c>
      <c r="F102" s="267"/>
      <c r="G102" s="216"/>
      <c r="H102" s="228"/>
      <c r="I102" s="211" t="str">
        <f t="shared" si="7"/>
        <v/>
      </c>
      <c r="J102" s="276" t="str">
        <f t="shared" si="8"/>
        <v/>
      </c>
      <c r="K102" s="277"/>
      <c r="L102" s="278"/>
      <c r="M102" s="211" t="str">
        <f t="shared" si="9"/>
        <v/>
      </c>
      <c r="N102" s="228"/>
      <c r="O102" s="228"/>
      <c r="P102" s="211" t="str">
        <f t="shared" si="10"/>
        <v/>
      </c>
      <c r="Q102" s="229" t="str">
        <f t="shared" si="11"/>
        <v/>
      </c>
      <c r="R102" s="228"/>
      <c r="S102" s="228"/>
      <c r="T102" s="285"/>
      <c r="U102" s="286" t="str">
        <f t="shared" si="12"/>
        <v/>
      </c>
      <c r="V102" s="240"/>
    </row>
    <row r="103" spans="1:22" ht="14.45">
      <c r="A103" s="210">
        <f t="shared" si="6"/>
        <v>93</v>
      </c>
      <c r="B103" s="268" t="str">
        <f>IF('G3 MT Reading Scoresheet'!B103&lt;&gt;"",'G3 MT Reading Scoresheet'!B103,"")</f>
        <v/>
      </c>
      <c r="C103" s="265" t="str">
        <f>IF('G3 MT Reading Scoresheet'!C103&lt;&gt;"",'G3 MT Reading Scoresheet'!C103,"")</f>
        <v/>
      </c>
      <c r="D103" s="213" t="str">
        <f>IF('G3 MT Reading Scoresheet'!D103&lt;&gt;"",'G3 MT Reading Scoresheet'!D103,"")</f>
        <v/>
      </c>
      <c r="E103" s="214" t="str">
        <f>IF('G3 MT Reading Scoresheet'!E103&lt;&gt;"",'G3 MT Reading Scoresheet'!E103,"")</f>
        <v/>
      </c>
      <c r="F103" s="266"/>
      <c r="G103" s="218"/>
      <c r="H103" s="230"/>
      <c r="I103" s="211" t="str">
        <f t="shared" si="7"/>
        <v/>
      </c>
      <c r="J103" s="276" t="str">
        <f t="shared" si="8"/>
        <v/>
      </c>
      <c r="K103" s="279"/>
      <c r="L103" s="280"/>
      <c r="M103" s="211" t="str">
        <f t="shared" si="9"/>
        <v/>
      </c>
      <c r="N103" s="230"/>
      <c r="O103" s="230"/>
      <c r="P103" s="211" t="str">
        <f t="shared" si="10"/>
        <v/>
      </c>
      <c r="Q103" s="229" t="str">
        <f t="shared" si="11"/>
        <v/>
      </c>
      <c r="R103" s="230"/>
      <c r="S103" s="230"/>
      <c r="T103" s="287"/>
      <c r="U103" s="286" t="str">
        <f t="shared" si="12"/>
        <v/>
      </c>
      <c r="V103" s="241"/>
    </row>
    <row r="104" spans="1:22" ht="14.45">
      <c r="A104" s="61">
        <f t="shared" si="6"/>
        <v>94</v>
      </c>
      <c r="B104" s="268" t="str">
        <f>IF('G3 MT Reading Scoresheet'!B104&lt;&gt;"",'G3 MT Reading Scoresheet'!B104,"")</f>
        <v/>
      </c>
      <c r="C104" s="265" t="str">
        <f>IF('G3 MT Reading Scoresheet'!C104&lt;&gt;"",'G3 MT Reading Scoresheet'!C104,"")</f>
        <v/>
      </c>
      <c r="D104" s="213" t="str">
        <f>IF('G3 MT Reading Scoresheet'!D104&lt;&gt;"",'G3 MT Reading Scoresheet'!D104,"")</f>
        <v/>
      </c>
      <c r="E104" s="214" t="str">
        <f>IF('G3 MT Reading Scoresheet'!E104&lt;&gt;"",'G3 MT Reading Scoresheet'!E104,"")</f>
        <v/>
      </c>
      <c r="F104" s="267"/>
      <c r="G104" s="216"/>
      <c r="H104" s="228"/>
      <c r="I104" s="211" t="str">
        <f t="shared" si="7"/>
        <v/>
      </c>
      <c r="J104" s="276" t="str">
        <f t="shared" si="8"/>
        <v/>
      </c>
      <c r="K104" s="277"/>
      <c r="L104" s="278"/>
      <c r="M104" s="211" t="str">
        <f t="shared" si="9"/>
        <v/>
      </c>
      <c r="N104" s="228"/>
      <c r="O104" s="228"/>
      <c r="P104" s="211" t="str">
        <f t="shared" si="10"/>
        <v/>
      </c>
      <c r="Q104" s="229" t="str">
        <f t="shared" si="11"/>
        <v/>
      </c>
      <c r="R104" s="228"/>
      <c r="S104" s="228"/>
      <c r="T104" s="285"/>
      <c r="U104" s="286" t="str">
        <f t="shared" si="12"/>
        <v/>
      </c>
      <c r="V104" s="240"/>
    </row>
    <row r="105" spans="1:22" ht="14.45">
      <c r="A105" s="210">
        <f t="shared" si="6"/>
        <v>95</v>
      </c>
      <c r="B105" s="268" t="str">
        <f>IF('G3 MT Reading Scoresheet'!B105&lt;&gt;"",'G3 MT Reading Scoresheet'!B105,"")</f>
        <v/>
      </c>
      <c r="C105" s="265" t="str">
        <f>IF('G3 MT Reading Scoresheet'!C105&lt;&gt;"",'G3 MT Reading Scoresheet'!C105,"")</f>
        <v/>
      </c>
      <c r="D105" s="213" t="str">
        <f>IF('G3 MT Reading Scoresheet'!D105&lt;&gt;"",'G3 MT Reading Scoresheet'!D105,"")</f>
        <v/>
      </c>
      <c r="E105" s="214" t="str">
        <f>IF('G3 MT Reading Scoresheet'!E105&lt;&gt;"",'G3 MT Reading Scoresheet'!E105,"")</f>
        <v/>
      </c>
      <c r="F105" s="266"/>
      <c r="G105" s="218"/>
      <c r="H105" s="230"/>
      <c r="I105" s="211" t="str">
        <f t="shared" si="7"/>
        <v/>
      </c>
      <c r="J105" s="276" t="str">
        <f t="shared" si="8"/>
        <v/>
      </c>
      <c r="K105" s="279"/>
      <c r="L105" s="280"/>
      <c r="M105" s="211" t="str">
        <f t="shared" si="9"/>
        <v/>
      </c>
      <c r="N105" s="230"/>
      <c r="O105" s="230"/>
      <c r="P105" s="211" t="str">
        <f t="shared" si="10"/>
        <v/>
      </c>
      <c r="Q105" s="229" t="str">
        <f t="shared" si="11"/>
        <v/>
      </c>
      <c r="R105" s="230"/>
      <c r="S105" s="230"/>
      <c r="T105" s="287"/>
      <c r="U105" s="286" t="str">
        <f t="shared" si="12"/>
        <v/>
      </c>
      <c r="V105" s="241"/>
    </row>
    <row r="106" spans="1:22" ht="14.45">
      <c r="A106" s="61">
        <f t="shared" si="6"/>
        <v>96</v>
      </c>
      <c r="B106" s="268" t="str">
        <f>IF('G3 MT Reading Scoresheet'!B106&lt;&gt;"",'G3 MT Reading Scoresheet'!B106,"")</f>
        <v/>
      </c>
      <c r="C106" s="265" t="str">
        <f>IF('G3 MT Reading Scoresheet'!C106&lt;&gt;"",'G3 MT Reading Scoresheet'!C106,"")</f>
        <v/>
      </c>
      <c r="D106" s="213" t="str">
        <f>IF('G3 MT Reading Scoresheet'!D106&lt;&gt;"",'G3 MT Reading Scoresheet'!D106,"")</f>
        <v/>
      </c>
      <c r="E106" s="214" t="str">
        <f>IF('G3 MT Reading Scoresheet'!E106&lt;&gt;"",'G3 MT Reading Scoresheet'!E106,"")</f>
        <v/>
      </c>
      <c r="F106" s="267"/>
      <c r="G106" s="216"/>
      <c r="H106" s="228"/>
      <c r="I106" s="211" t="str">
        <f t="shared" si="7"/>
        <v/>
      </c>
      <c r="J106" s="276" t="str">
        <f t="shared" si="8"/>
        <v/>
      </c>
      <c r="K106" s="277"/>
      <c r="L106" s="278"/>
      <c r="M106" s="211" t="str">
        <f t="shared" si="9"/>
        <v/>
      </c>
      <c r="N106" s="228"/>
      <c r="O106" s="228"/>
      <c r="P106" s="211" t="str">
        <f t="shared" si="10"/>
        <v/>
      </c>
      <c r="Q106" s="229" t="str">
        <f t="shared" si="11"/>
        <v/>
      </c>
      <c r="R106" s="228"/>
      <c r="S106" s="228"/>
      <c r="T106" s="285"/>
      <c r="U106" s="286" t="str">
        <f t="shared" si="12"/>
        <v/>
      </c>
      <c r="V106" s="240"/>
    </row>
    <row r="107" spans="1:22" ht="14.45">
      <c r="A107" s="210">
        <f t="shared" si="6"/>
        <v>97</v>
      </c>
      <c r="B107" s="268" t="str">
        <f>IF('G3 MT Reading Scoresheet'!B107&lt;&gt;"",'G3 MT Reading Scoresheet'!B107,"")</f>
        <v/>
      </c>
      <c r="C107" s="265" t="str">
        <f>IF('G3 MT Reading Scoresheet'!C107&lt;&gt;"",'G3 MT Reading Scoresheet'!C107,"")</f>
        <v/>
      </c>
      <c r="D107" s="213" t="str">
        <f>IF('G3 MT Reading Scoresheet'!D107&lt;&gt;"",'G3 MT Reading Scoresheet'!D107,"")</f>
        <v/>
      </c>
      <c r="E107" s="214" t="str">
        <f>IF('G3 MT Reading Scoresheet'!E107&lt;&gt;"",'G3 MT Reading Scoresheet'!E107,"")</f>
        <v/>
      </c>
      <c r="F107" s="266"/>
      <c r="G107" s="218"/>
      <c r="H107" s="230"/>
      <c r="I107" s="211" t="str">
        <f t="shared" si="7"/>
        <v/>
      </c>
      <c r="J107" s="276" t="str">
        <f t="shared" si="8"/>
        <v/>
      </c>
      <c r="K107" s="279"/>
      <c r="L107" s="280"/>
      <c r="M107" s="211" t="str">
        <f t="shared" si="9"/>
        <v/>
      </c>
      <c r="N107" s="230"/>
      <c r="O107" s="230"/>
      <c r="P107" s="211" t="str">
        <f t="shared" si="10"/>
        <v/>
      </c>
      <c r="Q107" s="229" t="str">
        <f t="shared" si="11"/>
        <v/>
      </c>
      <c r="R107" s="230"/>
      <c r="S107" s="230"/>
      <c r="T107" s="287"/>
      <c r="U107" s="286" t="str">
        <f t="shared" si="12"/>
        <v/>
      </c>
      <c r="V107" s="241"/>
    </row>
    <row r="108" spans="1:22" ht="14.45">
      <c r="A108" s="61">
        <f t="shared" si="6"/>
        <v>98</v>
      </c>
      <c r="B108" s="268" t="str">
        <f>IF('G3 MT Reading Scoresheet'!B108&lt;&gt;"",'G3 MT Reading Scoresheet'!B108,"")</f>
        <v/>
      </c>
      <c r="C108" s="265" t="str">
        <f>IF('G3 MT Reading Scoresheet'!C108&lt;&gt;"",'G3 MT Reading Scoresheet'!C108,"")</f>
        <v/>
      </c>
      <c r="D108" s="213" t="str">
        <f>IF('G3 MT Reading Scoresheet'!D108&lt;&gt;"",'G3 MT Reading Scoresheet'!D108,"")</f>
        <v/>
      </c>
      <c r="E108" s="214" t="str">
        <f>IF('G3 MT Reading Scoresheet'!E108&lt;&gt;"",'G3 MT Reading Scoresheet'!E108,"")</f>
        <v/>
      </c>
      <c r="F108" s="267"/>
      <c r="G108" s="216"/>
      <c r="H108" s="228"/>
      <c r="I108" s="211" t="str">
        <f t="shared" si="7"/>
        <v/>
      </c>
      <c r="J108" s="276" t="str">
        <f t="shared" si="8"/>
        <v/>
      </c>
      <c r="K108" s="277"/>
      <c r="L108" s="278"/>
      <c r="M108" s="211" t="str">
        <f t="shared" si="9"/>
        <v/>
      </c>
      <c r="N108" s="228"/>
      <c r="O108" s="228"/>
      <c r="P108" s="211" t="str">
        <f t="shared" si="10"/>
        <v/>
      </c>
      <c r="Q108" s="229" t="str">
        <f t="shared" si="11"/>
        <v/>
      </c>
      <c r="R108" s="228"/>
      <c r="S108" s="228"/>
      <c r="T108" s="285"/>
      <c r="U108" s="286" t="str">
        <f t="shared" si="12"/>
        <v/>
      </c>
      <c r="V108" s="240"/>
    </row>
    <row r="109" spans="1:22" ht="14.45">
      <c r="A109" s="210">
        <f t="shared" si="6"/>
        <v>99</v>
      </c>
      <c r="B109" s="268" t="str">
        <f>IF('G3 MT Reading Scoresheet'!B109&lt;&gt;"",'G3 MT Reading Scoresheet'!B109,"")</f>
        <v/>
      </c>
      <c r="C109" s="265" t="str">
        <f>IF('G3 MT Reading Scoresheet'!C109&lt;&gt;"",'G3 MT Reading Scoresheet'!C109,"")</f>
        <v/>
      </c>
      <c r="D109" s="213" t="str">
        <f>IF('G3 MT Reading Scoresheet'!D109&lt;&gt;"",'G3 MT Reading Scoresheet'!D109,"")</f>
        <v/>
      </c>
      <c r="E109" s="214" t="str">
        <f>IF('G3 MT Reading Scoresheet'!E109&lt;&gt;"",'G3 MT Reading Scoresheet'!E109,"")</f>
        <v/>
      </c>
      <c r="F109" s="266"/>
      <c r="G109" s="218"/>
      <c r="H109" s="230"/>
      <c r="I109" s="211" t="str">
        <f t="shared" si="7"/>
        <v/>
      </c>
      <c r="J109" s="276" t="str">
        <f t="shared" si="8"/>
        <v/>
      </c>
      <c r="K109" s="279"/>
      <c r="L109" s="280"/>
      <c r="M109" s="211" t="str">
        <f t="shared" si="9"/>
        <v/>
      </c>
      <c r="N109" s="230"/>
      <c r="O109" s="230"/>
      <c r="P109" s="211" t="str">
        <f t="shared" si="10"/>
        <v/>
      </c>
      <c r="Q109" s="229" t="str">
        <f t="shared" si="11"/>
        <v/>
      </c>
      <c r="R109" s="230"/>
      <c r="S109" s="230"/>
      <c r="T109" s="287"/>
      <c r="U109" s="286" t="str">
        <f t="shared" si="12"/>
        <v/>
      </c>
      <c r="V109" s="241"/>
    </row>
    <row r="110" spans="1:22" ht="14.45">
      <c r="A110" s="242">
        <v>100</v>
      </c>
      <c r="B110" s="288" t="str">
        <f>IF('G3 MT Reading Scoresheet'!B110&lt;&gt;"",'G3 MT Reading Scoresheet'!B110,"")</f>
        <v/>
      </c>
      <c r="C110" s="289" t="str">
        <f>IF('G3 MT Reading Scoresheet'!C110&lt;&gt;"",'G3 MT Reading Scoresheet'!C110,"")</f>
        <v/>
      </c>
      <c r="D110" s="245" t="str">
        <f>IF('G3 MT Reading Scoresheet'!D110&lt;&gt;"",'G3 MT Reading Scoresheet'!D110,"")</f>
        <v/>
      </c>
      <c r="E110" s="246" t="str">
        <f>IF('G3 MT Reading Scoresheet'!E110&lt;&gt;"",'G3 MT Reading Scoresheet'!E110,"")</f>
        <v/>
      </c>
      <c r="F110" s="290"/>
      <c r="G110" s="248"/>
      <c r="H110" s="249"/>
      <c r="I110" s="243" t="str">
        <f t="shared" si="7"/>
        <v/>
      </c>
      <c r="J110" s="291" t="str">
        <f t="shared" si="8"/>
        <v/>
      </c>
      <c r="K110" s="292"/>
      <c r="L110" s="293"/>
      <c r="M110" s="243" t="str">
        <f t="shared" si="9"/>
        <v/>
      </c>
      <c r="N110" s="249"/>
      <c r="O110" s="249"/>
      <c r="P110" s="243" t="str">
        <f t="shared" si="10"/>
        <v/>
      </c>
      <c r="Q110" s="250" t="str">
        <f t="shared" si="11"/>
        <v/>
      </c>
      <c r="R110" s="249"/>
      <c r="S110" s="249"/>
      <c r="T110" s="294"/>
      <c r="U110" s="295" t="str">
        <f t="shared" si="12"/>
        <v/>
      </c>
      <c r="V110" s="252"/>
    </row>
    <row r="111" spans="1:22" ht="14.45"/>
    <row r="112" spans="1:22" ht="14.45"/>
    <row r="113" ht="14.45"/>
    <row r="114" ht="14.45"/>
    <row r="115" ht="14.45"/>
  </sheetData>
  <sheetProtection algorithmName="SHA-512" hashValue="wacCN4DWFgly0EsKsdW9lJf6Zz4M+bDPRKAkSoyRShA+BIT3c0Dw9N9Jv+KwHwH5TJH7Ym/xbGfLc2oFr6cMcA==" saltValue="2hB/JF/qcsv08DPoz7Oo2A==" spinCount="100000" sheet="1" objects="1" scenarios="1" formatColumns="0" formatRows="0" selectLockedCells="1" autoFilter="0"/>
  <autoFilter ref="A10:U110" xr:uid="{00000000-0009-0000-0000-000001000000}"/>
  <mergeCells count="26">
    <mergeCell ref="A3:B3"/>
    <mergeCell ref="A4:B4"/>
    <mergeCell ref="D4:E4"/>
    <mergeCell ref="G4:H4"/>
    <mergeCell ref="A5:B5"/>
    <mergeCell ref="A9:B9"/>
    <mergeCell ref="N10:O10"/>
    <mergeCell ref="F7:F9"/>
    <mergeCell ref="G7:G9"/>
    <mergeCell ref="H7:H9"/>
    <mergeCell ref="I7:I9"/>
    <mergeCell ref="J5:J9"/>
    <mergeCell ref="K8:K9"/>
    <mergeCell ref="L8:L9"/>
    <mergeCell ref="M8:M9"/>
    <mergeCell ref="F5:I6"/>
    <mergeCell ref="A6:B6"/>
    <mergeCell ref="A7:B7"/>
    <mergeCell ref="D7:E7"/>
    <mergeCell ref="N7:O7"/>
    <mergeCell ref="A8:B8"/>
    <mergeCell ref="P8:P9"/>
    <mergeCell ref="U6:V9"/>
    <mergeCell ref="N8:O9"/>
    <mergeCell ref="K5:P6"/>
    <mergeCell ref="Q6:T9"/>
  </mergeCells>
  <conditionalFormatting sqref="C5">
    <cfRule type="containsText" dxfId="38" priority="20" operator="containsText" text="[enter school school id here]">
      <formula>NOT(ISERROR(SEARCH("[enter school school id here]",C5)))</formula>
    </cfRule>
  </conditionalFormatting>
  <conditionalFormatting sqref="C6">
    <cfRule type="containsText" dxfId="37" priority="21" operator="containsText" text="[enter teacher name here]">
      <formula>NOT(ISERROR(SEARCH("[enter teacher name here]",C6)))</formula>
    </cfRule>
  </conditionalFormatting>
  <conditionalFormatting sqref="C9">
    <cfRule type="containsText" dxfId="36" priority="19" operator="containsText" text="[choose language here]">
      <formula>NOT(ISERROR(SEARCH("[choose language here]",C9)))</formula>
    </cfRule>
  </conditionalFormatting>
  <conditionalFormatting sqref="D9:E9">
    <cfRule type="expression" dxfId="35" priority="22">
      <formula>$X$9=1</formula>
    </cfRule>
  </conditionalFormatting>
  <conditionalFormatting sqref="G11:G110">
    <cfRule type="expression" dxfId="34" priority="12">
      <formula>$F11&gt;6</formula>
    </cfRule>
  </conditionalFormatting>
  <conditionalFormatting sqref="H11:H110">
    <cfRule type="expression" dxfId="33" priority="9">
      <formula>$F11&lt;7</formula>
    </cfRule>
  </conditionalFormatting>
  <conditionalFormatting sqref="I4">
    <cfRule type="cellIs" dxfId="32" priority="27" operator="notEqual">
      <formula>$F$4</formula>
    </cfRule>
    <cfRule type="cellIs" dxfId="31" priority="28" operator="lessThan">
      <formula>#REF!+#REF!</formula>
    </cfRule>
    <cfRule type="cellIs" dxfId="30" priority="29" operator="lessThan">
      <formula>#REF!+#REF!</formula>
    </cfRule>
  </conditionalFormatting>
  <conditionalFormatting sqref="J11:J110">
    <cfRule type="containsText" dxfId="29" priority="18" operator="containsText" text="Full">
      <formula>NOT(ISERROR(SEARCH("Full",J11)))</formula>
    </cfRule>
  </conditionalFormatting>
  <conditionalFormatting sqref="K11:T110">
    <cfRule type="expression" dxfId="28" priority="1">
      <formula>$J11="Full Refresher"</formula>
    </cfRule>
  </conditionalFormatting>
  <conditionalFormatting sqref="U11:U110">
    <cfRule type="containsText" dxfId="27" priority="15" operator="containsText" text="Grade Level">
      <formula>NOT(ISERROR(SEARCH("Grade Level",U11)))</formula>
    </cfRule>
    <cfRule type="containsText" dxfId="26" priority="16" operator="containsText" text="High">
      <formula>NOT(ISERROR(SEARCH("High",U11)))</formula>
    </cfRule>
    <cfRule type="containsText" dxfId="25" priority="17" operator="containsText" text="Low">
      <formula>NOT(ISERROR(SEARCH("Low",U11)))</formula>
    </cfRule>
    <cfRule type="expression" dxfId="24" priority="24">
      <formula>AND($J11="Grade Ready",#REF!="Full Intervention")</formula>
    </cfRule>
  </conditionalFormatting>
  <dataValidations count="19">
    <dataValidation type="whole" allowBlank="1" showInputMessage="1" showErrorMessage="1" error="Enter the 6-digit School ID" sqref="C4 A5" xr:uid="{00000000-0002-0000-0100-000000000000}">
      <formula1>100000</formula1>
      <formula2>999999</formula2>
    </dataValidation>
    <dataValidation allowBlank="1" showInputMessage="1" showErrorMessage="1" prompt="Choose Language here" sqref="G4 C9" xr:uid="{00000000-0002-0000-0100-000001000000}"/>
    <dataValidation allowBlank="1" showInputMessage="1" showErrorMessage="1" sqref="I4" xr:uid="{00000000-0002-0000-0100-000002000000}"/>
    <dataValidation type="textLength" operator="greaterThan" showInputMessage="1" showErrorMessage="1" error="Enter School Name" sqref="C5" xr:uid="{00000000-0002-0000-0100-000003000000}">
      <formula1>5</formula1>
    </dataValidation>
    <dataValidation type="whole" allowBlank="1" showInputMessage="1" showErrorMessage="1" sqref="D6:E6" xr:uid="{00000000-0002-0000-0100-000004000000}">
      <formula1>0</formula1>
      <formula2>100</formula2>
    </dataValidation>
    <dataValidation allowBlank="1" showInputMessage="1" showErrorMessage="1" error="Enter Level between 1 to 4" sqref="U11:V11 U12:U110" xr:uid="{00000000-0002-0000-0100-000005000000}"/>
    <dataValidation type="list" allowBlank="1" showInputMessage="1" showErrorMessage="1" sqref="D12:D110" xr:uid="{00000000-0002-0000-0100-000006000000}">
      <formula1>"Male, Female"</formula1>
    </dataValidation>
    <dataValidation type="date" errorStyle="warning" allowBlank="1" showInputMessage="1" showErrorMessage="1" error="Enter the Date of Assessment in Correct Format (mm/dd/yy)" sqref="E12:E110" xr:uid="{00000000-0002-0000-0100-000007000000}">
      <formula1>44197</formula1>
      <formula2>55153</formula2>
    </dataValidation>
    <dataValidation type="whole" allowBlank="1" showInputMessage="1" showErrorMessage="1" error="Enter Score between 0 to 10" sqref="F11:F110" xr:uid="{00000000-0002-0000-0100-000008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100-000009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100-00000A000000}">
      <formula1>AND($F11&gt;6,$H11&lt;11)</formula1>
    </dataValidation>
    <dataValidation type="whole" allowBlank="1" showInputMessage="1" showErrorMessage="1" error="Story 1 or 2" sqref="K11:K110" xr:uid="{00000000-0002-0000-0100-00000B000000}">
      <formula1>1</formula1>
      <formula2>2</formula2>
    </dataValidation>
    <dataValidation type="whole" allowBlank="1" showInputMessage="1" showErrorMessage="1" error="Enter Number of Miscue between 0 to 121" sqref="L11:L110" xr:uid="{00000000-0002-0000-0100-00000C000000}">
      <formula1>0</formula1>
      <formula2>121</formula2>
    </dataValidation>
    <dataValidation allowBlank="1" showInputMessage="1" showErrorMessage="1" errorTitle="Error Message" error="Total Number of Words must be less than or equal to 96" sqref="M11:M110" xr:uid="{00000000-0002-0000-0100-00000D000000}"/>
    <dataValidation type="whole" allowBlank="1" showInputMessage="1" showErrorMessage="1" errorTitle="Error Message" error="Must not exceed 3 minutes" sqref="N11:N110" xr:uid="{00000000-0002-0000-0100-00000E000000}">
      <formula1>0</formula1>
      <formula2>3</formula2>
    </dataValidation>
    <dataValidation type="whole" allowBlank="1" showInputMessage="1" showErrorMessage="1" errorTitle="Error Message" error="Number of seconds between 0 to 59" sqref="O11:O110" xr:uid="{00000000-0002-0000-0100-00000F000000}">
      <formula1>0</formula1>
      <formula2>59</formula2>
    </dataValidation>
    <dataValidation type="whole" allowBlank="1" showInputMessage="1" showErrorMessage="1" error="Enter Answer between 0 to 7" sqref="R11:R110" xr:uid="{00000000-0002-0000-0100-000010000000}">
      <formula1>0</formula1>
      <formula2>7</formula2>
    </dataValidation>
    <dataValidation type="whole" allowBlank="1" showInputMessage="1" showErrorMessage="1" error="Enter Leaner Experience from 1 - 5" sqref="S11:S110" xr:uid="{00000000-0002-0000-0100-000011000000}">
      <formula1>1</formula1>
      <formula2>5</formula2>
    </dataValidation>
    <dataValidation type="list" allowBlank="1" showInputMessage="1" showErrorMessage="1" error="Enter Level between 1 to 4" sqref="T11:T110" xr:uid="{00000000-0002-0000-0100-000012000000}">
      <formula1>"Level 1, Level 2, Level 3, Level 4"</formula1>
    </dataValidation>
  </dataValidations>
  <pageMargins left="0.7" right="0.2" top="0.75" bottom="0.75" header="0.3" footer="0.3"/>
  <pageSetup paperSize="256" scale="5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XFC114"/>
  <sheetViews>
    <sheetView zoomScale="70" zoomScaleNormal="70" workbookViewId="0">
      <pane xSplit="3" ySplit="10" topLeftCell="D25" activePane="bottomRight" state="frozen"/>
      <selection pane="bottomRight" activeCell="S39" sqref="S39"/>
      <selection pane="bottomLeft"/>
      <selection pane="topRight"/>
    </sheetView>
  </sheetViews>
  <sheetFormatPr defaultColWidth="10.75" defaultRowHeight="15" customHeight="1" zeroHeight="1"/>
  <cols>
    <col min="1" max="1" width="4.75" customWidth="1"/>
    <col min="2" max="2" width="15.5" style="1" customWidth="1"/>
    <col min="3" max="3" width="27.5" style="17" customWidth="1"/>
    <col min="4" max="5" width="10.5" style="1" customWidth="1"/>
    <col min="6" max="6" width="11.75" style="1" customWidth="1"/>
    <col min="7" max="7" width="11.5" style="1" customWidth="1"/>
    <col min="8" max="8" width="10.75" style="1" customWidth="1"/>
    <col min="9" max="9" width="20.25" style="183" customWidth="1"/>
    <col min="10" max="12" width="8.75" style="1" customWidth="1"/>
    <col min="13" max="13" width="6.125" style="1" customWidth="1"/>
    <col min="14" max="14" width="5.125" style="1" customWidth="1"/>
    <col min="15" max="15" width="10.25" style="1" customWidth="1"/>
    <col min="16" max="16" width="8.875" style="1" customWidth="1"/>
    <col min="17" max="17" width="10.875" style="1" customWidth="1"/>
    <col min="18" max="18" width="11.75" style="1" customWidth="1"/>
    <col min="19" max="19" width="10.75" style="1" customWidth="1"/>
    <col min="20" max="20" width="23.125" style="1" customWidth="1"/>
    <col min="21" max="21" width="34" customWidth="1"/>
    <col min="22" max="22" width="8.875" customWidth="1"/>
    <col min="23" max="25" width="8.875" hidden="1" customWidth="1"/>
    <col min="26" max="16383" width="10.75" hidden="1" customWidth="1"/>
  </cols>
  <sheetData>
    <row r="1" spans="1:21" ht="22.15" customHeight="1">
      <c r="A1" t="str">
        <f>'G3 MT Reading Scoresheet'!$A$1</f>
        <v>CRLA2v1</v>
      </c>
    </row>
    <row r="2" spans="1:21" ht="18" customHeight="1"/>
    <row r="3" spans="1:21" ht="27" customHeight="1">
      <c r="A3" s="369" t="s">
        <v>1</v>
      </c>
      <c r="B3" s="370"/>
      <c r="C3" s="184" t="str">
        <f>'G3 MT Reading Scoresheet'!$C$3</f>
        <v>EoSY</v>
      </c>
    </row>
    <row r="4" spans="1:21" ht="18.600000000000001" customHeight="1">
      <c r="A4" s="371" t="s">
        <v>3</v>
      </c>
      <c r="B4" s="372"/>
      <c r="C4" s="185">
        <f>'G3 MT Reading Scoresheet'!C4</f>
        <v>117443</v>
      </c>
      <c r="D4" s="399" t="s">
        <v>4</v>
      </c>
      <c r="E4" s="400"/>
      <c r="F4" s="186">
        <f>D6+E6</f>
        <v>22</v>
      </c>
      <c r="G4" s="187" t="s">
        <v>88</v>
      </c>
      <c r="H4" s="188">
        <f>COUNTIF(F11:F110,"&lt;&gt;")</f>
        <v>25</v>
      </c>
      <c r="I4" s="219"/>
      <c r="J4" s="220"/>
      <c r="K4" s="220"/>
      <c r="L4" s="220"/>
      <c r="M4" s="220"/>
      <c r="N4" s="220"/>
      <c r="O4" s="220"/>
      <c r="P4" s="220"/>
      <c r="Q4" s="220"/>
      <c r="R4" s="220"/>
      <c r="S4" s="220"/>
      <c r="T4" s="220"/>
      <c r="U4" s="231"/>
    </row>
    <row r="5" spans="1:21" ht="17.45" customHeight="1">
      <c r="A5" s="375" t="s">
        <v>6</v>
      </c>
      <c r="B5" s="386"/>
      <c r="C5" s="189" t="str">
        <f>'G3 MT Reading Scoresheet'!C5</f>
        <v>ROMANA ELEM. SCHOOL</v>
      </c>
      <c r="D5" s="190" t="s">
        <v>8</v>
      </c>
      <c r="E5" s="191" t="s">
        <v>9</v>
      </c>
      <c r="F5" s="388" t="s">
        <v>89</v>
      </c>
      <c r="G5" s="389"/>
      <c r="H5" s="389"/>
      <c r="I5" s="357" t="s">
        <v>90</v>
      </c>
      <c r="J5" s="341" t="s">
        <v>12</v>
      </c>
      <c r="K5" s="392"/>
      <c r="L5" s="392"/>
      <c r="M5" s="392"/>
      <c r="N5" s="392"/>
      <c r="O5" s="392"/>
      <c r="P5" s="221"/>
      <c r="Q5" s="221"/>
      <c r="R5" s="221"/>
      <c r="S5" s="221"/>
      <c r="T5" s="221"/>
      <c r="U5" s="232"/>
    </row>
    <row r="6" spans="1:21" ht="19.899999999999999" customHeight="1">
      <c r="A6" s="362" t="s">
        <v>13</v>
      </c>
      <c r="B6" s="363"/>
      <c r="C6" s="192" t="str">
        <f>'G3 MT Reading Scoresheet'!C6</f>
        <v>KEMBERLY G. BELMIS</v>
      </c>
      <c r="D6" s="193">
        <v>11</v>
      </c>
      <c r="E6" s="194">
        <v>11</v>
      </c>
      <c r="F6" s="390"/>
      <c r="G6" s="391"/>
      <c r="H6" s="391"/>
      <c r="I6" s="358"/>
      <c r="J6" s="380"/>
      <c r="K6" s="381"/>
      <c r="L6" s="381"/>
      <c r="M6" s="381"/>
      <c r="N6" s="381"/>
      <c r="O6" s="381"/>
      <c r="P6" s="345"/>
      <c r="Q6" s="346"/>
      <c r="R6" s="346"/>
      <c r="S6" s="346"/>
      <c r="T6" s="348"/>
      <c r="U6" s="332"/>
    </row>
    <row r="7" spans="1:21" ht="18" customHeight="1">
      <c r="A7" s="362" t="s">
        <v>15</v>
      </c>
      <c r="B7" s="363"/>
      <c r="C7" s="192" t="str">
        <f>'G3 MT Reading Scoresheet'!C7</f>
        <v>Grade 3</v>
      </c>
      <c r="D7" s="393" t="s">
        <v>91</v>
      </c>
      <c r="E7" s="396" t="s">
        <v>92</v>
      </c>
      <c r="F7" s="350" t="s">
        <v>93</v>
      </c>
      <c r="G7" s="352" t="s">
        <v>94</v>
      </c>
      <c r="H7" s="353" t="s">
        <v>95</v>
      </c>
      <c r="I7" s="358"/>
      <c r="J7" s="376" t="s">
        <v>26</v>
      </c>
      <c r="K7" s="355" t="s">
        <v>27</v>
      </c>
      <c r="L7" s="354" t="s">
        <v>96</v>
      </c>
      <c r="M7" s="354" t="s">
        <v>97</v>
      </c>
      <c r="N7" s="354"/>
      <c r="O7" s="387" t="s">
        <v>30</v>
      </c>
      <c r="P7" s="348"/>
      <c r="Q7" s="331"/>
      <c r="R7" s="331"/>
      <c r="S7" s="331"/>
      <c r="T7" s="348"/>
      <c r="U7" s="332"/>
    </row>
    <row r="8" spans="1:21" ht="17.45" customHeight="1">
      <c r="A8" s="362" t="s">
        <v>25</v>
      </c>
      <c r="B8" s="363"/>
      <c r="C8" s="195">
        <f>'G3 MT Reading Scoresheet'!C8</f>
        <v>1</v>
      </c>
      <c r="D8" s="394"/>
      <c r="E8" s="397"/>
      <c r="F8" s="350"/>
      <c r="G8" s="352"/>
      <c r="H8" s="377"/>
      <c r="I8" s="358"/>
      <c r="J8" s="376"/>
      <c r="K8" s="356"/>
      <c r="L8" s="354"/>
      <c r="M8" s="354"/>
      <c r="N8" s="354"/>
      <c r="O8" s="387"/>
      <c r="P8" s="348"/>
      <c r="Q8" s="331"/>
      <c r="R8" s="331"/>
      <c r="S8" s="331"/>
      <c r="T8" s="348"/>
      <c r="U8" s="332"/>
    </row>
    <row r="9" spans="1:21" ht="20.45" customHeight="1">
      <c r="A9" s="368" t="s">
        <v>31</v>
      </c>
      <c r="B9" s="368"/>
      <c r="C9" s="196" t="s">
        <v>98</v>
      </c>
      <c r="D9" s="395"/>
      <c r="E9" s="398"/>
      <c r="F9" s="351"/>
      <c r="G9" s="353"/>
      <c r="H9" s="377"/>
      <c r="I9" s="358"/>
      <c r="J9" s="359"/>
      <c r="K9" s="361"/>
      <c r="L9" s="355"/>
      <c r="M9" s="355"/>
      <c r="N9" s="355"/>
      <c r="O9" s="329"/>
      <c r="P9" s="348"/>
      <c r="Q9" s="331"/>
      <c r="R9" s="331"/>
      <c r="S9" s="331"/>
      <c r="T9" s="348"/>
      <c r="U9" s="332"/>
    </row>
    <row r="10" spans="1:21" ht="35.450000000000003" customHeight="1">
      <c r="A10" s="197" t="s">
        <v>33</v>
      </c>
      <c r="B10" s="198" t="s">
        <v>34</v>
      </c>
      <c r="C10" s="199" t="s">
        <v>35</v>
      </c>
      <c r="D10" s="200" t="s">
        <v>36</v>
      </c>
      <c r="E10" s="201" t="s">
        <v>37</v>
      </c>
      <c r="F10" s="202" t="s">
        <v>38</v>
      </c>
      <c r="G10" s="203" t="s">
        <v>99</v>
      </c>
      <c r="H10" s="203" t="s">
        <v>41</v>
      </c>
      <c r="I10" s="222" t="s">
        <v>42</v>
      </c>
      <c r="J10" s="223" t="s">
        <v>43</v>
      </c>
      <c r="K10" s="224" t="s">
        <v>44</v>
      </c>
      <c r="L10" s="225" t="s">
        <v>45</v>
      </c>
      <c r="M10" s="349" t="s">
        <v>46</v>
      </c>
      <c r="N10" s="349"/>
      <c r="O10" s="225" t="s">
        <v>47</v>
      </c>
      <c r="P10" s="225" t="s">
        <v>100</v>
      </c>
      <c r="Q10" s="225" t="s">
        <v>49</v>
      </c>
      <c r="R10" s="233" t="s">
        <v>50</v>
      </c>
      <c r="S10" s="234" t="s">
        <v>51</v>
      </c>
      <c r="T10" s="235" t="s">
        <v>52</v>
      </c>
      <c r="U10" s="236" t="s">
        <v>53</v>
      </c>
    </row>
    <row r="11" spans="1:21" ht="14.45">
      <c r="A11" s="204">
        <v>1</v>
      </c>
      <c r="B11" s="205">
        <f>IF('G3 MT Reading Scoresheet'!B11&lt;&gt;"",'G3 MT Reading Scoresheet'!B11,"")</f>
        <v>117443220001</v>
      </c>
      <c r="C11" s="206" t="str">
        <f>IF('G3 MT Reading Scoresheet'!C11&lt;&gt;"",'G3 MT Reading Scoresheet'!C11,"")</f>
        <v>ABAY, KENNETH ALEXANDER, NALAONAN</v>
      </c>
      <c r="D11" s="205" t="str">
        <f>IF('G3 MT Reading Scoresheet'!D11&lt;&gt;"",'G3 MT Reading Scoresheet'!D11,"")</f>
        <v>Male</v>
      </c>
      <c r="E11" s="207" t="str">
        <f>IF('G3 MT Reading Scoresheet'!E11&lt;&gt;"",'G3 MT Reading Scoresheet'!E11,"")</f>
        <v>06/23/2025</v>
      </c>
      <c r="F11" s="208">
        <v>9</v>
      </c>
      <c r="G11" s="209">
        <v>8</v>
      </c>
      <c r="H11" s="205">
        <f t="shared" ref="H11:H42" si="0">IF(ISBLANK(F11),"",IF(F11=0,0,F11+G11))</f>
        <v>17</v>
      </c>
      <c r="I11" s="205" t="str">
        <f t="shared" ref="I11:I42" si="1">IF(ISBLANK(F11),"",IF(H11=0,"Full Refresher",IF(H11&lt;11,"Moderate Refresher",IF(H11&lt;17,"Light Refresher","Grade Ready"))))</f>
        <v>Grade Ready</v>
      </c>
      <c r="J11" s="226">
        <v>1</v>
      </c>
      <c r="K11" s="226">
        <v>30</v>
      </c>
      <c r="L11" s="205">
        <f>IF(AND(J11&lt;&gt;"",K11&lt;&gt;""),100-K11,"")</f>
        <v>70</v>
      </c>
      <c r="M11" s="226">
        <v>2</v>
      </c>
      <c r="N11" s="226">
        <v>0</v>
      </c>
      <c r="O11" s="205">
        <f>IFERROR(IF(AND(J11&gt;0,L11&gt;0,OR(M11&gt;0,N11&gt;0)),(L11/((M11*60)+N11))*60,""),"")</f>
        <v>35</v>
      </c>
      <c r="P11" s="227">
        <f>IF(AND(J11&lt;&gt;"",K11&lt;&gt;""),L11/100,"")</f>
        <v>0.7</v>
      </c>
      <c r="Q11" s="226">
        <v>5</v>
      </c>
      <c r="R11" s="226">
        <v>4</v>
      </c>
      <c r="S11" s="226" t="s">
        <v>61</v>
      </c>
      <c r="T11" s="237" t="str">
        <f>IF(I11&lt;&gt;"",IF(I11="Full Refresher","Low Emerging Reader",IF(AND(J11&gt;0,P11&lt;&gt;""),IF(OR(P11&lt;=25%,AND(P11&gt;25%,P11&lt;=50%,Q11=0)),"High Emerging Reader",IF(OR(AND(P11&gt;25%,P11&lt;51%,Q11&gt;=1),AND(P11&gt;50%,P11&lt;76%,Q11&lt;=2)),"Developing Reader",IF(OR(AND(P11&gt;=51%,P11&lt;76%,Q11&gt;=3),AND(P11&gt;75%,Q11&lt;=4)),"Transitioning Reader",IF(AND(P11&gt;75%,Q11&gt;=5),"Reading At Grade Level","")))),"")),"")</f>
        <v>Transitioning Reader</v>
      </c>
      <c r="U11" s="238"/>
    </row>
    <row r="12" spans="1:21" ht="14.45">
      <c r="A12" s="210">
        <v>2</v>
      </c>
      <c r="B12" s="211">
        <f>IF('G3 MT Reading Scoresheet'!B12&lt;&gt;"",'G3 MT Reading Scoresheet'!B12,"")</f>
        <v>11744322002</v>
      </c>
      <c r="C12" s="212" t="str">
        <f>IF('G3 MT Reading Scoresheet'!C12&lt;&gt;"",'G3 MT Reading Scoresheet'!C12,"")</f>
        <v>BANARAIA, KEEPER, ABAY</v>
      </c>
      <c r="D12" s="213" t="str">
        <f>IF('G3 MT Reading Scoresheet'!D12&lt;&gt;"",'G3 MT Reading Scoresheet'!D12,"")</f>
        <v>Male</v>
      </c>
      <c r="E12" s="214" t="str">
        <f>IF('G3 MT Reading Scoresheet'!E12&lt;&gt;"",'G3 MT Reading Scoresheet'!E12,"")</f>
        <v>06/23/2025</v>
      </c>
      <c r="F12" s="215">
        <v>5</v>
      </c>
      <c r="G12" s="216">
        <v>9</v>
      </c>
      <c r="H12" s="211">
        <f t="shared" si="0"/>
        <v>14</v>
      </c>
      <c r="I12" s="211" t="str">
        <f t="shared" si="1"/>
        <v>Light Refresher</v>
      </c>
      <c r="J12" s="228">
        <v>1</v>
      </c>
      <c r="K12" s="228">
        <v>25</v>
      </c>
      <c r="L12" s="211">
        <f t="shared" ref="L12:L75" si="2">IF(AND(J12&lt;&gt;"",K12&lt;&gt;""),100-K12,"")</f>
        <v>75</v>
      </c>
      <c r="M12" s="228">
        <v>2</v>
      </c>
      <c r="N12" s="228">
        <v>0</v>
      </c>
      <c r="O12" s="211">
        <f t="shared" ref="O12:O75" si="3">IFERROR(IF(AND(J12&gt;0,L12&gt;0,OR(M12&gt;0,N12&gt;0)),(L12/((M12*60)+N12))*60,""),"")</f>
        <v>37.5</v>
      </c>
      <c r="P12" s="229">
        <f t="shared" ref="P12:P75" si="4">IF(AND(J12&lt;&gt;"",K12&lt;&gt;""),L12/100,"")</f>
        <v>0.75</v>
      </c>
      <c r="Q12" s="228">
        <v>5</v>
      </c>
      <c r="R12" s="228">
        <v>4</v>
      </c>
      <c r="S12" s="228" t="s">
        <v>61</v>
      </c>
      <c r="T12" s="239" t="str">
        <f t="shared" ref="T12:T75" si="5">IF(I12&lt;&gt;"",IF(I12="Full Refresher","Low Emerging Reader",IF(AND(J12&gt;0,P12&lt;&gt;""),IF(OR(P12&lt;=25%,AND(P12&gt;25%,P12&lt;=50%,Q12=0)),"High Emerging Reader",IF(OR(AND(P12&gt;25%,P12&lt;51%,Q12&gt;=1),AND(P12&gt;50%,P12&lt;76%,Q12&lt;=2)),"Developing Reader",IF(OR(AND(P12&gt;=51%,P12&lt;76%,Q12&gt;=3),AND(P12&gt;75%,Q12&lt;=4)),"Transitioning Reader",IF(AND(P12&gt;75%,Q12&gt;=5),"Reading At Grade Level","")))),"")),"")</f>
        <v>Transitioning Reader</v>
      </c>
      <c r="U12" s="240"/>
    </row>
    <row r="13" spans="1:21" ht="14.45">
      <c r="A13" s="61">
        <v>3</v>
      </c>
      <c r="B13" s="211">
        <f>IF('G3 MT Reading Scoresheet'!B13&lt;&gt;"",'G3 MT Reading Scoresheet'!B13,"")</f>
        <v>117443220017</v>
      </c>
      <c r="C13" s="212" t="str">
        <f>IF('G3 MT Reading Scoresheet'!C13&lt;&gt;"",'G3 MT Reading Scoresheet'!C13,"")</f>
        <v>BARGASA, EDSEL JHON,-</v>
      </c>
      <c r="D13" s="213" t="str">
        <f>IF('G3 MT Reading Scoresheet'!D13&lt;&gt;"",'G3 MT Reading Scoresheet'!D13,"")</f>
        <v>Male</v>
      </c>
      <c r="E13" s="214" t="str">
        <f>IF('G3 MT Reading Scoresheet'!E13&lt;&gt;"",'G3 MT Reading Scoresheet'!E13,"")</f>
        <v>06/23/2025</v>
      </c>
      <c r="F13" s="217">
        <v>8</v>
      </c>
      <c r="G13" s="218">
        <v>10</v>
      </c>
      <c r="H13" s="211">
        <f t="shared" si="0"/>
        <v>18</v>
      </c>
      <c r="I13" s="211" t="str">
        <f t="shared" si="1"/>
        <v>Grade Ready</v>
      </c>
      <c r="J13" s="230">
        <v>1</v>
      </c>
      <c r="K13" s="230">
        <v>2</v>
      </c>
      <c r="L13" s="211">
        <f t="shared" si="2"/>
        <v>98</v>
      </c>
      <c r="M13" s="230">
        <v>1</v>
      </c>
      <c r="N13" s="230">
        <v>30</v>
      </c>
      <c r="O13" s="211">
        <f t="shared" si="3"/>
        <v>65.3333333333333</v>
      </c>
      <c r="P13" s="229">
        <f t="shared" si="4"/>
        <v>0.98</v>
      </c>
      <c r="Q13" s="230">
        <v>6</v>
      </c>
      <c r="R13" s="230">
        <v>5</v>
      </c>
      <c r="S13" s="230" t="s">
        <v>59</v>
      </c>
      <c r="T13" s="239" t="str">
        <f t="shared" si="5"/>
        <v>Reading At Grade Level</v>
      </c>
      <c r="U13" s="241"/>
    </row>
    <row r="14" spans="1:21" ht="14.45">
      <c r="A14" s="210">
        <v>4</v>
      </c>
      <c r="B14" s="211">
        <f>IF('G3 MT Reading Scoresheet'!B14&lt;&gt;"",'G3 MT Reading Scoresheet'!B14,"")</f>
        <v>117443220006</v>
      </c>
      <c r="C14" s="212" t="str">
        <f>IF('G3 MT Reading Scoresheet'!C14&lt;&gt;"",'G3 MT Reading Scoresheet'!C14,"")</f>
        <v>DUMANIEL, KEVIN JOHN , ALVAREZ</v>
      </c>
      <c r="D14" s="213" t="str">
        <f>IF('G3 MT Reading Scoresheet'!D14&lt;&gt;"",'G3 MT Reading Scoresheet'!D14,"")</f>
        <v>Male</v>
      </c>
      <c r="E14" s="214" t="str">
        <f>IF('G3 MT Reading Scoresheet'!E14&lt;&gt;"",'G3 MT Reading Scoresheet'!E14,"")</f>
        <v>06/23/2025</v>
      </c>
      <c r="F14" s="215">
        <v>8</v>
      </c>
      <c r="G14" s="216">
        <v>7</v>
      </c>
      <c r="H14" s="211">
        <f t="shared" si="0"/>
        <v>15</v>
      </c>
      <c r="I14" s="211" t="str">
        <f t="shared" si="1"/>
        <v>Light Refresher</v>
      </c>
      <c r="J14" s="228">
        <v>1</v>
      </c>
      <c r="K14" s="228">
        <v>30</v>
      </c>
      <c r="L14" s="211">
        <f t="shared" si="2"/>
        <v>70</v>
      </c>
      <c r="M14" s="228">
        <v>2</v>
      </c>
      <c r="N14" s="228">
        <v>0</v>
      </c>
      <c r="O14" s="211">
        <f t="shared" si="3"/>
        <v>35</v>
      </c>
      <c r="P14" s="229">
        <f t="shared" si="4"/>
        <v>0.7</v>
      </c>
      <c r="Q14" s="228">
        <v>2</v>
      </c>
      <c r="R14" s="228">
        <v>3</v>
      </c>
      <c r="S14" s="228" t="s">
        <v>61</v>
      </c>
      <c r="T14" s="239" t="str">
        <f t="shared" si="5"/>
        <v>Developing Reader</v>
      </c>
      <c r="U14" s="240"/>
    </row>
    <row r="15" spans="1:21" ht="14.45">
      <c r="A15" s="61">
        <v>5</v>
      </c>
      <c r="B15" s="211">
        <f>IF('G3 MT Reading Scoresheet'!B15&lt;&gt;"",'G3 MT Reading Scoresheet'!B15,"")</f>
        <v>117443220018</v>
      </c>
      <c r="C15" s="212" t="str">
        <f>IF('G3 MT Reading Scoresheet'!C15&lt;&gt;"",'G3 MT Reading Scoresheet'!C15,"")</f>
        <v>ESTOCADA, JOEMARIE III, OMPAD</v>
      </c>
      <c r="D15" s="213" t="str">
        <f>IF('G3 MT Reading Scoresheet'!D15&lt;&gt;"",'G3 MT Reading Scoresheet'!D15,"")</f>
        <v>Male</v>
      </c>
      <c r="E15" s="214" t="str">
        <f>IF('G3 MT Reading Scoresheet'!E15&lt;&gt;"",'G3 MT Reading Scoresheet'!E15,"")</f>
        <v>06/24/2025</v>
      </c>
      <c r="F15" s="217">
        <v>8</v>
      </c>
      <c r="G15" s="218">
        <v>8</v>
      </c>
      <c r="H15" s="211">
        <f t="shared" si="0"/>
        <v>16</v>
      </c>
      <c r="I15" s="211" t="str">
        <f t="shared" si="1"/>
        <v>Light Refresher</v>
      </c>
      <c r="J15" s="230">
        <v>1</v>
      </c>
      <c r="K15" s="230">
        <v>34</v>
      </c>
      <c r="L15" s="211">
        <f t="shared" si="2"/>
        <v>66</v>
      </c>
      <c r="M15" s="230">
        <v>2</v>
      </c>
      <c r="N15" s="230">
        <v>0</v>
      </c>
      <c r="O15" s="211">
        <f t="shared" si="3"/>
        <v>33</v>
      </c>
      <c r="P15" s="229">
        <f t="shared" si="4"/>
        <v>0.66</v>
      </c>
      <c r="Q15" s="230">
        <v>2</v>
      </c>
      <c r="R15" s="230">
        <v>3</v>
      </c>
      <c r="S15" s="230" t="s">
        <v>61</v>
      </c>
      <c r="T15" s="239" t="str">
        <f t="shared" si="5"/>
        <v>Developing Reader</v>
      </c>
      <c r="U15" s="241"/>
    </row>
    <row r="16" spans="1:21" ht="14.45">
      <c r="A16" s="210">
        <v>6</v>
      </c>
      <c r="B16" s="211">
        <f>IF('G3 MT Reading Scoresheet'!B16&lt;&gt;"",'G3 MT Reading Scoresheet'!B16,"")</f>
        <v>117542220012</v>
      </c>
      <c r="C16" s="212" t="str">
        <f>IF('G3 MT Reading Scoresheet'!C16&lt;&gt;"",'G3 MT Reading Scoresheet'!C16,"")</f>
        <v>GO, NEAL XANDRIE, DOMANIEL</v>
      </c>
      <c r="D16" s="213" t="str">
        <f>IF('G3 MT Reading Scoresheet'!D16&lt;&gt;"",'G3 MT Reading Scoresheet'!D16,"")</f>
        <v>Male</v>
      </c>
      <c r="E16" s="214" t="str">
        <f>IF('G3 MT Reading Scoresheet'!E16&lt;&gt;"",'G3 MT Reading Scoresheet'!E16,"")</f>
        <v>06/24/2025</v>
      </c>
      <c r="F16" s="215">
        <v>8</v>
      </c>
      <c r="G16" s="216">
        <v>10</v>
      </c>
      <c r="H16" s="211">
        <f t="shared" si="0"/>
        <v>18</v>
      </c>
      <c r="I16" s="211" t="str">
        <f t="shared" si="1"/>
        <v>Grade Ready</v>
      </c>
      <c r="J16" s="228">
        <v>1</v>
      </c>
      <c r="K16" s="228">
        <v>25</v>
      </c>
      <c r="L16" s="211">
        <f t="shared" si="2"/>
        <v>75</v>
      </c>
      <c r="M16" s="228">
        <v>2</v>
      </c>
      <c r="N16" s="228">
        <v>0</v>
      </c>
      <c r="O16" s="211">
        <f t="shared" si="3"/>
        <v>37.5</v>
      </c>
      <c r="P16" s="229">
        <f t="shared" si="4"/>
        <v>0.75</v>
      </c>
      <c r="Q16" s="228">
        <v>3</v>
      </c>
      <c r="R16" s="228">
        <v>4</v>
      </c>
      <c r="S16" s="228" t="s">
        <v>61</v>
      </c>
      <c r="T16" s="239" t="str">
        <f t="shared" si="5"/>
        <v>Transitioning Reader</v>
      </c>
      <c r="U16" s="240"/>
    </row>
    <row r="17" spans="1:21" ht="14.45">
      <c r="A17" s="61">
        <v>7</v>
      </c>
      <c r="B17" s="211">
        <f>IF('G3 MT Reading Scoresheet'!B17&lt;&gt;"",'G3 MT Reading Scoresheet'!B17,"")</f>
        <v>1174432290003</v>
      </c>
      <c r="C17" s="212" t="str">
        <f>IF('G3 MT Reading Scoresheet'!C17&lt;&gt;"",'G3 MT Reading Scoresheet'!C17,"")</f>
        <v>GREGORIO, JOHN MARK, ABELLAR</v>
      </c>
      <c r="D17" s="213" t="str">
        <f>IF('G3 MT Reading Scoresheet'!D17&lt;&gt;"",'G3 MT Reading Scoresheet'!D17,"")</f>
        <v>Male</v>
      </c>
      <c r="E17" s="214" t="str">
        <f>IF('G3 MT Reading Scoresheet'!E17&lt;&gt;"",'G3 MT Reading Scoresheet'!E17,"")</f>
        <v>06/24/2025</v>
      </c>
      <c r="F17" s="217">
        <v>4</v>
      </c>
      <c r="G17" s="218">
        <v>4</v>
      </c>
      <c r="H17" s="211">
        <f t="shared" si="0"/>
        <v>8</v>
      </c>
      <c r="I17" s="211" t="str">
        <f t="shared" si="1"/>
        <v>Moderate Refresher</v>
      </c>
      <c r="J17" s="230">
        <v>1</v>
      </c>
      <c r="K17" s="230">
        <v>45</v>
      </c>
      <c r="L17" s="211">
        <f t="shared" si="2"/>
        <v>55</v>
      </c>
      <c r="M17" s="230">
        <v>2</v>
      </c>
      <c r="N17" s="230">
        <v>0</v>
      </c>
      <c r="O17" s="211">
        <f t="shared" si="3"/>
        <v>27.5</v>
      </c>
      <c r="P17" s="229">
        <f t="shared" si="4"/>
        <v>0.55000000000000004</v>
      </c>
      <c r="Q17" s="230">
        <v>1</v>
      </c>
      <c r="R17" s="230">
        <v>2</v>
      </c>
      <c r="S17" s="230" t="s">
        <v>61</v>
      </c>
      <c r="T17" s="239" t="str">
        <f t="shared" si="5"/>
        <v>Developing Reader</v>
      </c>
      <c r="U17" s="241"/>
    </row>
    <row r="18" spans="1:21" ht="14.45">
      <c r="A18" s="210">
        <v>8</v>
      </c>
      <c r="B18" s="211">
        <f>IF('G3 MT Reading Scoresheet'!B18&lt;&gt;"",'G3 MT Reading Scoresheet'!B18,"")</f>
        <v>117443220005</v>
      </c>
      <c r="C18" s="212" t="str">
        <f>IF('G3 MT Reading Scoresheet'!C18&lt;&gt;"",'G3 MT Reading Scoresheet'!C18,"")</f>
        <v>JUMBAS, CYREL JAY, BARILLO</v>
      </c>
      <c r="D18" s="213" t="str">
        <f>IF('G3 MT Reading Scoresheet'!D18&lt;&gt;"",'G3 MT Reading Scoresheet'!D18,"")</f>
        <v>Male</v>
      </c>
      <c r="E18" s="214" t="str">
        <f>IF('G3 MT Reading Scoresheet'!E18&lt;&gt;"",'G3 MT Reading Scoresheet'!E18,"")</f>
        <v>06/24/2025</v>
      </c>
      <c r="F18" s="215">
        <v>8</v>
      </c>
      <c r="G18" s="216">
        <v>10</v>
      </c>
      <c r="H18" s="211">
        <f t="shared" si="0"/>
        <v>18</v>
      </c>
      <c r="I18" s="211" t="str">
        <f t="shared" si="1"/>
        <v>Grade Ready</v>
      </c>
      <c r="J18" s="228">
        <v>1</v>
      </c>
      <c r="K18" s="228">
        <v>17</v>
      </c>
      <c r="L18" s="211">
        <f t="shared" si="2"/>
        <v>83</v>
      </c>
      <c r="M18" s="228">
        <v>2</v>
      </c>
      <c r="N18" s="228">
        <v>0</v>
      </c>
      <c r="O18" s="211">
        <f t="shared" si="3"/>
        <v>41.5</v>
      </c>
      <c r="P18" s="229">
        <f t="shared" si="4"/>
        <v>0.83</v>
      </c>
      <c r="Q18" s="228">
        <v>5</v>
      </c>
      <c r="R18" s="228">
        <v>4</v>
      </c>
      <c r="S18" s="228" t="s">
        <v>61</v>
      </c>
      <c r="T18" s="239" t="str">
        <f t="shared" si="5"/>
        <v>Reading At Grade Level</v>
      </c>
      <c r="U18" s="240"/>
    </row>
    <row r="19" spans="1:21" ht="14.45">
      <c r="A19" s="61">
        <v>9</v>
      </c>
      <c r="B19" s="211">
        <f>IF('G3 MT Reading Scoresheet'!B19&lt;&gt;"",'G3 MT Reading Scoresheet'!B19,"")</f>
        <v>11744322007</v>
      </c>
      <c r="C19" s="212" t="str">
        <f>IF('G3 MT Reading Scoresheet'!C19&lt;&gt;"",'G3 MT Reading Scoresheet'!C19,"")</f>
        <v>LEMORINAS, ARTHUR, BAYLON</v>
      </c>
      <c r="D19" s="213" t="str">
        <f>IF('G3 MT Reading Scoresheet'!D19&lt;&gt;"",'G3 MT Reading Scoresheet'!D19,"")</f>
        <v>Male</v>
      </c>
      <c r="E19" s="214" t="str">
        <f>IF('G3 MT Reading Scoresheet'!E19&lt;&gt;"",'G3 MT Reading Scoresheet'!E19,"")</f>
        <v>06/24/2025</v>
      </c>
      <c r="F19" s="217">
        <v>4</v>
      </c>
      <c r="G19" s="218">
        <v>10</v>
      </c>
      <c r="H19" s="211">
        <f t="shared" si="0"/>
        <v>14</v>
      </c>
      <c r="I19" s="211" t="str">
        <f t="shared" si="1"/>
        <v>Light Refresher</v>
      </c>
      <c r="J19" s="230">
        <v>2</v>
      </c>
      <c r="K19" s="230">
        <v>2</v>
      </c>
      <c r="L19" s="211">
        <f t="shared" si="2"/>
        <v>98</v>
      </c>
      <c r="M19" s="230">
        <v>1</v>
      </c>
      <c r="N19" s="230">
        <v>20</v>
      </c>
      <c r="O19" s="211">
        <f t="shared" si="3"/>
        <v>73.5</v>
      </c>
      <c r="P19" s="229">
        <f t="shared" si="4"/>
        <v>0.98</v>
      </c>
      <c r="Q19" s="230">
        <v>5</v>
      </c>
      <c r="R19" s="230">
        <v>5</v>
      </c>
      <c r="S19" s="230" t="s">
        <v>59</v>
      </c>
      <c r="T19" s="239" t="str">
        <f t="shared" si="5"/>
        <v>Reading At Grade Level</v>
      </c>
      <c r="U19" s="241"/>
    </row>
    <row r="20" spans="1:21" ht="14.45">
      <c r="A20" s="210">
        <v>10</v>
      </c>
      <c r="B20" s="211">
        <f>IF('G3 MT Reading Scoresheet'!B20&lt;&gt;"",'G3 MT Reading Scoresheet'!B20,"")</f>
        <v>117443220008</v>
      </c>
      <c r="C20" s="212" t="str">
        <f>IF('G3 MT Reading Scoresheet'!C20&lt;&gt;"",'G3 MT Reading Scoresheet'!C20,"")</f>
        <v>MARASIGAN, ZHENKIE NATHAN, DELA CRUZ</v>
      </c>
      <c r="D20" s="213" t="str">
        <f>IF('G3 MT Reading Scoresheet'!D20&lt;&gt;"",'G3 MT Reading Scoresheet'!D20,"")</f>
        <v>Male</v>
      </c>
      <c r="E20" s="214" t="str">
        <f>IF('G3 MT Reading Scoresheet'!E20&lt;&gt;"",'G3 MT Reading Scoresheet'!E20,"")</f>
        <v>06/24/2025</v>
      </c>
      <c r="F20" s="215">
        <v>10</v>
      </c>
      <c r="G20" s="216">
        <v>9</v>
      </c>
      <c r="H20" s="211">
        <f t="shared" si="0"/>
        <v>19</v>
      </c>
      <c r="I20" s="211" t="str">
        <f t="shared" si="1"/>
        <v>Grade Ready</v>
      </c>
      <c r="J20" s="228">
        <v>1</v>
      </c>
      <c r="K20" s="228">
        <v>23</v>
      </c>
      <c r="L20" s="211">
        <f t="shared" si="2"/>
        <v>77</v>
      </c>
      <c r="M20" s="228">
        <v>2</v>
      </c>
      <c r="N20" s="228">
        <v>0</v>
      </c>
      <c r="O20" s="211">
        <f t="shared" si="3"/>
        <v>38.5</v>
      </c>
      <c r="P20" s="229">
        <f t="shared" si="4"/>
        <v>0.77</v>
      </c>
      <c r="Q20" s="228">
        <v>5</v>
      </c>
      <c r="R20" s="228">
        <v>4</v>
      </c>
      <c r="S20" s="228" t="s">
        <v>61</v>
      </c>
      <c r="T20" s="239" t="str">
        <f t="shared" si="5"/>
        <v>Reading At Grade Level</v>
      </c>
      <c r="U20" s="240"/>
    </row>
    <row r="21" spans="1:21" ht="14.45">
      <c r="A21" s="61">
        <v>11</v>
      </c>
      <c r="B21" s="211">
        <f>IF('G3 MT Reading Scoresheet'!B21&lt;&gt;"",'G3 MT Reading Scoresheet'!B21,"")</f>
        <v>136651220284</v>
      </c>
      <c r="C21" s="212" t="str">
        <f>IF('G3 MT Reading Scoresheet'!C21&lt;&gt;"",'G3 MT Reading Scoresheet'!C21,"")</f>
        <v>ABRINILLO, VERONICA, SIASAT</v>
      </c>
      <c r="D21" s="213" t="str">
        <f>IF('G3 MT Reading Scoresheet'!D21&lt;&gt;"",'G3 MT Reading Scoresheet'!D21,"")</f>
        <v>Male</v>
      </c>
      <c r="E21" s="214" t="str">
        <f>IF('G3 MT Reading Scoresheet'!E21&lt;&gt;"",'G3 MT Reading Scoresheet'!E21,"")</f>
        <v>06/24/2025</v>
      </c>
      <c r="F21" s="217">
        <v>3</v>
      </c>
      <c r="G21" s="218">
        <v>0</v>
      </c>
      <c r="H21" s="211">
        <f t="shared" si="0"/>
        <v>3</v>
      </c>
      <c r="I21" s="211" t="str">
        <f t="shared" si="1"/>
        <v>Moderate Refresher</v>
      </c>
      <c r="J21" s="230">
        <v>1</v>
      </c>
      <c r="K21" s="230">
        <v>56</v>
      </c>
      <c r="L21" s="211">
        <f t="shared" si="2"/>
        <v>44</v>
      </c>
      <c r="M21" s="230">
        <v>2</v>
      </c>
      <c r="N21" s="230">
        <v>0</v>
      </c>
      <c r="O21" s="211">
        <f t="shared" si="3"/>
        <v>22</v>
      </c>
      <c r="P21" s="229">
        <f t="shared" si="4"/>
        <v>0.44</v>
      </c>
      <c r="Q21" s="230">
        <v>1</v>
      </c>
      <c r="R21" s="230">
        <v>1</v>
      </c>
      <c r="S21" s="230" t="s">
        <v>61</v>
      </c>
      <c r="T21" s="239" t="str">
        <f t="shared" si="5"/>
        <v>Developing Reader</v>
      </c>
      <c r="U21" s="241"/>
    </row>
    <row r="22" spans="1:21" ht="14.45">
      <c r="A22" s="210">
        <v>12</v>
      </c>
      <c r="B22" s="211">
        <f>IF('G3 MT Reading Scoresheet'!B22&lt;&gt;"",'G3 MT Reading Scoresheet'!B22,"")</f>
        <v>117443220019</v>
      </c>
      <c r="C22" s="212" t="str">
        <f>IF('G3 MT Reading Scoresheet'!C22&lt;&gt;"",'G3 MT Reading Scoresheet'!C22,"")</f>
        <v>CARDINAL,KISHIA,-</v>
      </c>
      <c r="D22" s="213" t="str">
        <f>IF('G3 MT Reading Scoresheet'!D22&lt;&gt;"",'G3 MT Reading Scoresheet'!D22,"")</f>
        <v>Female</v>
      </c>
      <c r="E22" s="214" t="str">
        <f>IF('G3 MT Reading Scoresheet'!E22&lt;&gt;"",'G3 MT Reading Scoresheet'!E22,"")</f>
        <v>06/24/2025</v>
      </c>
      <c r="F22" s="215">
        <v>10</v>
      </c>
      <c r="G22" s="216">
        <v>8</v>
      </c>
      <c r="H22" s="211">
        <f t="shared" si="0"/>
        <v>18</v>
      </c>
      <c r="I22" s="211" t="str">
        <f t="shared" si="1"/>
        <v>Grade Ready</v>
      </c>
      <c r="J22" s="228">
        <v>1</v>
      </c>
      <c r="K22" s="228">
        <v>14</v>
      </c>
      <c r="L22" s="211">
        <f t="shared" si="2"/>
        <v>86</v>
      </c>
      <c r="M22" s="228">
        <v>2</v>
      </c>
      <c r="N22" s="228">
        <v>0</v>
      </c>
      <c r="O22" s="211">
        <f t="shared" si="3"/>
        <v>43</v>
      </c>
      <c r="P22" s="229">
        <f t="shared" si="4"/>
        <v>0.86</v>
      </c>
      <c r="Q22" s="228">
        <v>5</v>
      </c>
      <c r="R22" s="228">
        <v>4</v>
      </c>
      <c r="S22" s="228" t="s">
        <v>56</v>
      </c>
      <c r="T22" s="239" t="str">
        <f t="shared" si="5"/>
        <v>Reading At Grade Level</v>
      </c>
      <c r="U22" s="240"/>
    </row>
    <row r="23" spans="1:21" ht="14.45">
      <c r="A23" s="61">
        <v>13</v>
      </c>
      <c r="B23" s="211">
        <f>IF('G3 MT Reading Scoresheet'!B23&lt;&gt;"",'G3 MT Reading Scoresheet'!B23,"")</f>
        <v>117443220009</v>
      </c>
      <c r="C23" s="212" t="str">
        <f>IF('G3 MT Reading Scoresheet'!C23&lt;&gt;"",'G3 MT Reading Scoresheet'!C23,"")</f>
        <v>CARDINAL, LEXIE, SUNDAYON</v>
      </c>
      <c r="D23" s="213" t="str">
        <f>IF('G3 MT Reading Scoresheet'!D23&lt;&gt;"",'G3 MT Reading Scoresheet'!D23,"")</f>
        <v>Female</v>
      </c>
      <c r="E23" s="214">
        <f>IF('G3 MT Reading Scoresheet'!E23&lt;&gt;"",'G3 MT Reading Scoresheet'!E23,"")</f>
        <v>45721</v>
      </c>
      <c r="F23" s="217">
        <v>10</v>
      </c>
      <c r="G23" s="218">
        <v>10</v>
      </c>
      <c r="H23" s="211">
        <f t="shared" si="0"/>
        <v>20</v>
      </c>
      <c r="I23" s="211" t="str">
        <f t="shared" si="1"/>
        <v>Grade Ready</v>
      </c>
      <c r="J23" s="230">
        <v>1</v>
      </c>
      <c r="K23" s="230">
        <v>3</v>
      </c>
      <c r="L23" s="211">
        <f t="shared" si="2"/>
        <v>97</v>
      </c>
      <c r="M23" s="230">
        <v>1</v>
      </c>
      <c r="N23" s="230">
        <v>39</v>
      </c>
      <c r="O23" s="211">
        <f t="shared" si="3"/>
        <v>58.787878787878803</v>
      </c>
      <c r="P23" s="229">
        <f t="shared" si="4"/>
        <v>0.97</v>
      </c>
      <c r="Q23" s="230">
        <v>6</v>
      </c>
      <c r="R23" s="230">
        <v>5</v>
      </c>
      <c r="S23" s="230" t="s">
        <v>59</v>
      </c>
      <c r="T23" s="239" t="str">
        <f t="shared" si="5"/>
        <v>Reading At Grade Level</v>
      </c>
      <c r="U23" s="241"/>
    </row>
    <row r="24" spans="1:21" ht="14.45">
      <c r="A24" s="210">
        <v>14</v>
      </c>
      <c r="B24" s="211" t="str">
        <f>IF('G3 MT Reading Scoresheet'!B24&lt;&gt;"",'G3 MT Reading Scoresheet'!B24,"")</f>
        <v/>
      </c>
      <c r="C24" s="212" t="str">
        <f>IF('G3 MT Reading Scoresheet'!C24&lt;&gt;"",'G3 MT Reading Scoresheet'!C24,"")</f>
        <v>DIONSON, AIRA, BAUTISTA</v>
      </c>
      <c r="D24" s="213" t="str">
        <f>IF('G3 MT Reading Scoresheet'!D24&lt;&gt;"",'G3 MT Reading Scoresheet'!D24,"")</f>
        <v>Female</v>
      </c>
      <c r="E24" s="214">
        <f>IF('G3 MT Reading Scoresheet'!E24&lt;&gt;"",'G3 MT Reading Scoresheet'!E24,"")</f>
        <v>45721</v>
      </c>
      <c r="F24" s="215">
        <v>10</v>
      </c>
      <c r="G24" s="216">
        <v>10</v>
      </c>
      <c r="H24" s="211">
        <f t="shared" si="0"/>
        <v>20</v>
      </c>
      <c r="I24" s="211" t="str">
        <f t="shared" si="1"/>
        <v>Grade Ready</v>
      </c>
      <c r="J24" s="228">
        <v>1</v>
      </c>
      <c r="K24" s="228">
        <v>9</v>
      </c>
      <c r="L24" s="211">
        <f t="shared" si="2"/>
        <v>91</v>
      </c>
      <c r="M24" s="228">
        <v>1</v>
      </c>
      <c r="N24" s="228">
        <v>36</v>
      </c>
      <c r="O24" s="211">
        <f t="shared" si="3"/>
        <v>56.875</v>
      </c>
      <c r="P24" s="229">
        <f t="shared" si="4"/>
        <v>0.91</v>
      </c>
      <c r="Q24" s="228">
        <v>5</v>
      </c>
      <c r="R24" s="228">
        <v>5</v>
      </c>
      <c r="S24" s="228" t="s">
        <v>69</v>
      </c>
      <c r="T24" s="239" t="str">
        <f t="shared" si="5"/>
        <v>Reading At Grade Level</v>
      </c>
      <c r="U24" s="240"/>
    </row>
    <row r="25" spans="1:21" ht="14.45">
      <c r="A25" s="61">
        <v>15</v>
      </c>
      <c r="B25" s="211" t="str">
        <f>IF('G3 MT Reading Scoresheet'!B25&lt;&gt;"",'G3 MT Reading Scoresheet'!B25,"")</f>
        <v/>
      </c>
      <c r="C25" s="212" t="str">
        <f>IF('G3 MT Reading Scoresheet'!C25&lt;&gt;"",'G3 MT Reading Scoresheet'!C25,"")</f>
        <v>ESTOCADA, ANGEL, E.</v>
      </c>
      <c r="D25" s="213" t="str">
        <f>IF('G3 MT Reading Scoresheet'!D25&lt;&gt;"",'G3 MT Reading Scoresheet'!D25,"")</f>
        <v>Female</v>
      </c>
      <c r="E25" s="214">
        <f>IF('G3 MT Reading Scoresheet'!E25&lt;&gt;"",'G3 MT Reading Scoresheet'!E25,"")</f>
        <v>45721</v>
      </c>
      <c r="F25" s="217">
        <v>8</v>
      </c>
      <c r="G25" s="218">
        <v>10</v>
      </c>
      <c r="H25" s="211">
        <f t="shared" si="0"/>
        <v>18</v>
      </c>
      <c r="I25" s="211" t="str">
        <f t="shared" si="1"/>
        <v>Grade Ready</v>
      </c>
      <c r="J25" s="230">
        <v>1</v>
      </c>
      <c r="K25" s="230">
        <v>1</v>
      </c>
      <c r="L25" s="211">
        <f t="shared" si="2"/>
        <v>99</v>
      </c>
      <c r="M25" s="230">
        <v>1</v>
      </c>
      <c r="N25" s="230">
        <v>25</v>
      </c>
      <c r="O25" s="211">
        <f t="shared" si="3"/>
        <v>69.882352941176507</v>
      </c>
      <c r="P25" s="229">
        <f t="shared" si="4"/>
        <v>0.99</v>
      </c>
      <c r="Q25" s="230">
        <v>6</v>
      </c>
      <c r="R25" s="230">
        <v>5</v>
      </c>
      <c r="S25" s="230" t="s">
        <v>59</v>
      </c>
      <c r="T25" s="239" t="str">
        <f t="shared" si="5"/>
        <v>Reading At Grade Level</v>
      </c>
      <c r="U25" s="241"/>
    </row>
    <row r="26" spans="1:21" ht="14.45">
      <c r="A26" s="210">
        <v>16</v>
      </c>
      <c r="B26" s="211">
        <f>IF('G3 MT Reading Scoresheet'!B26&lt;&gt;"",'G3 MT Reading Scoresheet'!B26,"")</f>
        <v>117443220010</v>
      </c>
      <c r="C26" s="212" t="str">
        <f>IF('G3 MT Reading Scoresheet'!C26&lt;&gt;"",'G3 MT Reading Scoresheet'!C26,"")</f>
        <v>ESTOCADA, GENYZA, BACARO</v>
      </c>
      <c r="D26" s="213" t="str">
        <f>IF('G3 MT Reading Scoresheet'!D26&lt;&gt;"",'G3 MT Reading Scoresheet'!D26,"")</f>
        <v>Female</v>
      </c>
      <c r="E26" s="214">
        <f>IF('G3 MT Reading Scoresheet'!E26&lt;&gt;"",'G3 MT Reading Scoresheet'!E26,"")</f>
        <v>45721</v>
      </c>
      <c r="F26" s="215">
        <v>9</v>
      </c>
      <c r="G26" s="216">
        <v>8</v>
      </c>
      <c r="H26" s="211">
        <f t="shared" si="0"/>
        <v>17</v>
      </c>
      <c r="I26" s="211" t="str">
        <f t="shared" si="1"/>
        <v>Grade Ready</v>
      </c>
      <c r="J26" s="228">
        <v>1</v>
      </c>
      <c r="K26" s="228">
        <v>19</v>
      </c>
      <c r="L26" s="211">
        <f t="shared" si="2"/>
        <v>81</v>
      </c>
      <c r="M26" s="228">
        <v>2</v>
      </c>
      <c r="N26" s="228">
        <v>0</v>
      </c>
      <c r="O26" s="211">
        <f t="shared" si="3"/>
        <v>40.5</v>
      </c>
      <c r="P26" s="229">
        <f t="shared" si="4"/>
        <v>0.81</v>
      </c>
      <c r="Q26" s="228">
        <v>4</v>
      </c>
      <c r="R26" s="228">
        <v>4</v>
      </c>
      <c r="S26" s="228" t="s">
        <v>61</v>
      </c>
      <c r="T26" s="239" t="str">
        <f t="shared" si="5"/>
        <v>Transitioning Reader</v>
      </c>
      <c r="U26" s="240"/>
    </row>
    <row r="27" spans="1:21" ht="14.45">
      <c r="A27" s="61">
        <v>17</v>
      </c>
      <c r="B27" s="211" t="str">
        <f>IF('G3 MT Reading Scoresheet'!B27&lt;&gt;"",'G3 MT Reading Scoresheet'!B27,"")</f>
        <v/>
      </c>
      <c r="C27" s="212" t="str">
        <f>IF('G3 MT Reading Scoresheet'!C27&lt;&gt;"",'G3 MT Reading Scoresheet'!C27,"")</f>
        <v>ESTOCADA, JERCEL JANE, SIASAT</v>
      </c>
      <c r="D27" s="213" t="str">
        <f>IF('G3 MT Reading Scoresheet'!D27&lt;&gt;"",'G3 MT Reading Scoresheet'!D27,"")</f>
        <v>Female</v>
      </c>
      <c r="E27" s="214">
        <f>IF('G3 MT Reading Scoresheet'!E27&lt;&gt;"",'G3 MT Reading Scoresheet'!E27,"")</f>
        <v>45722</v>
      </c>
      <c r="F27" s="217">
        <v>10</v>
      </c>
      <c r="G27" s="218">
        <v>10</v>
      </c>
      <c r="H27" s="211">
        <f t="shared" si="0"/>
        <v>20</v>
      </c>
      <c r="I27" s="211" t="str">
        <f t="shared" si="1"/>
        <v>Grade Ready</v>
      </c>
      <c r="J27" s="230">
        <v>1</v>
      </c>
      <c r="K27" s="230">
        <v>3</v>
      </c>
      <c r="L27" s="211">
        <f t="shared" si="2"/>
        <v>97</v>
      </c>
      <c r="M27" s="230">
        <v>1</v>
      </c>
      <c r="N27" s="230">
        <v>25</v>
      </c>
      <c r="O27" s="211">
        <f t="shared" si="3"/>
        <v>68.470588235294102</v>
      </c>
      <c r="P27" s="229">
        <f t="shared" si="4"/>
        <v>0.97</v>
      </c>
      <c r="Q27" s="230">
        <v>6</v>
      </c>
      <c r="R27" s="230">
        <v>5</v>
      </c>
      <c r="S27" s="230" t="s">
        <v>69</v>
      </c>
      <c r="T27" s="239" t="str">
        <f t="shared" si="5"/>
        <v>Reading At Grade Level</v>
      </c>
      <c r="U27" s="241"/>
    </row>
    <row r="28" spans="1:21" ht="14.45">
      <c r="A28" s="210">
        <v>18</v>
      </c>
      <c r="B28" s="211">
        <f>IF('G3 MT Reading Scoresheet'!B28&lt;&gt;"",'G3 MT Reading Scoresheet'!B28,"")</f>
        <v>1206372200024</v>
      </c>
      <c r="C28" s="212" t="str">
        <f>IF('G3 MT Reading Scoresheet'!C28&lt;&gt;"",'G3 MT Reading Scoresheet'!C28,"")</f>
        <v>ESTOCADA, REANNA, LLAGOSO</v>
      </c>
      <c r="D28" s="213" t="str">
        <f>IF('G3 MT Reading Scoresheet'!D28&lt;&gt;"",'G3 MT Reading Scoresheet'!D28,"")</f>
        <v>Female</v>
      </c>
      <c r="E28" s="214">
        <f>IF('G3 MT Reading Scoresheet'!E28&lt;&gt;"",'G3 MT Reading Scoresheet'!E28,"")</f>
        <v>45722</v>
      </c>
      <c r="F28" s="215">
        <v>10</v>
      </c>
      <c r="G28" s="216">
        <v>10</v>
      </c>
      <c r="H28" s="211">
        <f t="shared" si="0"/>
        <v>20</v>
      </c>
      <c r="I28" s="211" t="str">
        <f t="shared" si="1"/>
        <v>Grade Ready</v>
      </c>
      <c r="J28" s="228">
        <v>1</v>
      </c>
      <c r="K28" s="228">
        <v>10</v>
      </c>
      <c r="L28" s="211">
        <f t="shared" si="2"/>
        <v>90</v>
      </c>
      <c r="M28" s="228">
        <v>1</v>
      </c>
      <c r="N28" s="228">
        <v>29</v>
      </c>
      <c r="O28" s="211">
        <f t="shared" si="3"/>
        <v>60.674157303370798</v>
      </c>
      <c r="P28" s="229">
        <f t="shared" si="4"/>
        <v>0.9</v>
      </c>
      <c r="Q28" s="228">
        <v>5</v>
      </c>
      <c r="R28" s="228">
        <v>5</v>
      </c>
      <c r="S28" s="228" t="s">
        <v>56</v>
      </c>
      <c r="T28" s="239" t="str">
        <f t="shared" si="5"/>
        <v>Reading At Grade Level</v>
      </c>
      <c r="U28" s="240"/>
    </row>
    <row r="29" spans="1:21" ht="14.45">
      <c r="A29" s="61">
        <v>19</v>
      </c>
      <c r="B29" s="211">
        <f>IF('G3 MT Reading Scoresheet'!B29&lt;&gt;"",'G3 MT Reading Scoresheet'!B29,"")</f>
        <v>117443220012</v>
      </c>
      <c r="C29" s="212" t="str">
        <f>IF('G3 MT Reading Scoresheet'!C29&lt;&gt;"",'G3 MT Reading Scoresheet'!C29,"")</f>
        <v>ESTOCADA, RHEAN SHAN, DEMAFILES</v>
      </c>
      <c r="D29" s="213" t="str">
        <f>IF('G3 MT Reading Scoresheet'!D29&lt;&gt;"",'G3 MT Reading Scoresheet'!D29,"")</f>
        <v>Female</v>
      </c>
      <c r="E29" s="214">
        <f>IF('G3 MT Reading Scoresheet'!E29&lt;&gt;"",'G3 MT Reading Scoresheet'!E29,"")</f>
        <v>45722</v>
      </c>
      <c r="F29" s="217">
        <v>5</v>
      </c>
      <c r="G29" s="218">
        <v>2</v>
      </c>
      <c r="H29" s="211">
        <f t="shared" si="0"/>
        <v>7</v>
      </c>
      <c r="I29" s="211" t="str">
        <f t="shared" si="1"/>
        <v>Moderate Refresher</v>
      </c>
      <c r="J29" s="230">
        <v>1</v>
      </c>
      <c r="K29" s="230">
        <v>58</v>
      </c>
      <c r="L29" s="211">
        <f t="shared" si="2"/>
        <v>42</v>
      </c>
      <c r="M29" s="230">
        <v>2</v>
      </c>
      <c r="N29" s="230">
        <v>0</v>
      </c>
      <c r="O29" s="211">
        <f t="shared" si="3"/>
        <v>21</v>
      </c>
      <c r="P29" s="229">
        <f t="shared" si="4"/>
        <v>0.42</v>
      </c>
      <c r="Q29" s="230">
        <v>1</v>
      </c>
      <c r="R29" s="230">
        <v>1</v>
      </c>
      <c r="S29" s="230" t="s">
        <v>61</v>
      </c>
      <c r="T29" s="239" t="str">
        <f t="shared" si="5"/>
        <v>Developing Reader</v>
      </c>
      <c r="U29" s="241"/>
    </row>
    <row r="30" spans="1:21" ht="14.45">
      <c r="A30" s="210">
        <v>20</v>
      </c>
      <c r="B30" s="211">
        <f>IF('G3 MT Reading Scoresheet'!B30&lt;&gt;"",'G3 MT Reading Scoresheet'!B30,"")</f>
        <v>117443220020</v>
      </c>
      <c r="C30" s="212" t="str">
        <f>IF('G3 MT Reading Scoresheet'!C30&lt;&gt;"",'G3 MT Reading Scoresheet'!C30,"")</f>
        <v>LABANZA, HOPE ANGELAINE,-</v>
      </c>
      <c r="D30" s="213" t="str">
        <f>IF('G3 MT Reading Scoresheet'!D30&lt;&gt;"",'G3 MT Reading Scoresheet'!D30,"")</f>
        <v>Female</v>
      </c>
      <c r="E30" s="214">
        <f>IF('G3 MT Reading Scoresheet'!E30&lt;&gt;"",'G3 MT Reading Scoresheet'!E30,"")</f>
        <v>45722</v>
      </c>
      <c r="F30" s="215">
        <v>6</v>
      </c>
      <c r="G30" s="216">
        <v>7</v>
      </c>
      <c r="H30" s="211">
        <f t="shared" si="0"/>
        <v>13</v>
      </c>
      <c r="I30" s="211" t="str">
        <f t="shared" si="1"/>
        <v>Light Refresher</v>
      </c>
      <c r="J30" s="228">
        <v>1</v>
      </c>
      <c r="K30" s="228">
        <v>20</v>
      </c>
      <c r="L30" s="211">
        <f t="shared" si="2"/>
        <v>80</v>
      </c>
      <c r="M30" s="228">
        <v>2</v>
      </c>
      <c r="N30" s="228">
        <v>0</v>
      </c>
      <c r="O30" s="211">
        <f t="shared" si="3"/>
        <v>40</v>
      </c>
      <c r="P30" s="229">
        <f t="shared" si="4"/>
        <v>0.8</v>
      </c>
      <c r="Q30" s="228">
        <v>5</v>
      </c>
      <c r="R30" s="228">
        <v>4</v>
      </c>
      <c r="S30" s="228" t="s">
        <v>61</v>
      </c>
      <c r="T30" s="239" t="str">
        <f t="shared" si="5"/>
        <v>Reading At Grade Level</v>
      </c>
      <c r="U30" s="240"/>
    </row>
    <row r="31" spans="1:21" ht="14.45">
      <c r="A31" s="61">
        <v>21</v>
      </c>
      <c r="B31" s="211" t="str">
        <f>IF('G3 MT Reading Scoresheet'!B31&lt;&gt;"",'G3 MT Reading Scoresheet'!B31,"")</f>
        <v/>
      </c>
      <c r="C31" s="212" t="str">
        <f>IF('G3 MT Reading Scoresheet'!C31&lt;&gt;"",'G3 MT Reading Scoresheet'!C31,"")</f>
        <v>LABANZA, JESEL, PARBA</v>
      </c>
      <c r="D31" s="213" t="str">
        <f>IF('G3 MT Reading Scoresheet'!D31&lt;&gt;"",'G3 MT Reading Scoresheet'!D31,"")</f>
        <v>Female</v>
      </c>
      <c r="E31" s="214">
        <f>IF('G3 MT Reading Scoresheet'!E31&lt;&gt;"",'G3 MT Reading Scoresheet'!E31,"")</f>
        <v>45722</v>
      </c>
      <c r="F31" s="217">
        <v>8</v>
      </c>
      <c r="G31" s="218">
        <v>8</v>
      </c>
      <c r="H31" s="211">
        <f t="shared" si="0"/>
        <v>16</v>
      </c>
      <c r="I31" s="211" t="str">
        <f t="shared" si="1"/>
        <v>Light Refresher</v>
      </c>
      <c r="J31" s="230">
        <v>1</v>
      </c>
      <c r="K31" s="230">
        <v>15</v>
      </c>
      <c r="L31" s="211">
        <f t="shared" si="2"/>
        <v>85</v>
      </c>
      <c r="M31" s="230">
        <v>2</v>
      </c>
      <c r="N31" s="230">
        <v>38</v>
      </c>
      <c r="O31" s="211">
        <f t="shared" si="3"/>
        <v>32.278481012658197</v>
      </c>
      <c r="P31" s="229">
        <f t="shared" si="4"/>
        <v>0.85</v>
      </c>
      <c r="Q31" s="230">
        <v>5</v>
      </c>
      <c r="R31" s="230">
        <v>5</v>
      </c>
      <c r="S31" s="230" t="s">
        <v>61</v>
      </c>
      <c r="T31" s="239" t="str">
        <f t="shared" si="5"/>
        <v>Reading At Grade Level</v>
      </c>
      <c r="U31" s="241"/>
    </row>
    <row r="32" spans="1:21" ht="14.45">
      <c r="A32" s="210">
        <v>22</v>
      </c>
      <c r="B32" s="211" t="str">
        <f>IF('G3 MT Reading Scoresheet'!B32&lt;&gt;"",'G3 MT Reading Scoresheet'!B32,"")</f>
        <v/>
      </c>
      <c r="C32" s="212" t="str">
        <f>IF('G3 MT Reading Scoresheet'!C32&lt;&gt;"",'G3 MT Reading Scoresheet'!C32,"")</f>
        <v>LANOJAN, JASHLYN KATE, JADIA</v>
      </c>
      <c r="D32" s="213" t="str">
        <f>IF('G3 MT Reading Scoresheet'!D32&lt;&gt;"",'G3 MT Reading Scoresheet'!D32,"")</f>
        <v>Female</v>
      </c>
      <c r="E32" s="214">
        <f>IF('G3 MT Reading Scoresheet'!E32&lt;&gt;"",'G3 MT Reading Scoresheet'!E32,"")</f>
        <v>45722</v>
      </c>
      <c r="F32" s="215">
        <v>10</v>
      </c>
      <c r="G32" s="216">
        <v>10</v>
      </c>
      <c r="H32" s="211">
        <f t="shared" si="0"/>
        <v>20</v>
      </c>
      <c r="I32" s="211" t="str">
        <f t="shared" si="1"/>
        <v>Grade Ready</v>
      </c>
      <c r="J32" s="228">
        <v>1</v>
      </c>
      <c r="K32" s="228">
        <v>3</v>
      </c>
      <c r="L32" s="211">
        <f t="shared" si="2"/>
        <v>97</v>
      </c>
      <c r="M32" s="228">
        <v>1</v>
      </c>
      <c r="N32" s="228">
        <v>30</v>
      </c>
      <c r="O32" s="211">
        <f t="shared" si="3"/>
        <v>64.6666666666667</v>
      </c>
      <c r="P32" s="229">
        <f t="shared" si="4"/>
        <v>0.97</v>
      </c>
      <c r="Q32" s="228">
        <v>5</v>
      </c>
      <c r="R32" s="228">
        <v>5</v>
      </c>
      <c r="S32" s="228" t="s">
        <v>69</v>
      </c>
      <c r="T32" s="239" t="str">
        <f t="shared" si="5"/>
        <v>Reading At Grade Level</v>
      </c>
      <c r="U32" s="240"/>
    </row>
    <row r="33" spans="1:21" ht="14.45">
      <c r="A33" s="61">
        <v>23</v>
      </c>
      <c r="B33" s="211">
        <f>IF('G3 MT Reading Scoresheet'!B33&lt;&gt;"",'G3 MT Reading Scoresheet'!B33,"")</f>
        <v>117443220015</v>
      </c>
      <c r="C33" s="212" t="str">
        <f>IF('G3 MT Reading Scoresheet'!C33&lt;&gt;"",'G3 MT Reading Scoresheet'!C33,"")</f>
        <v>MANGUBAT, AMARAH DENISE, LABANZA</v>
      </c>
      <c r="D33" s="213" t="str">
        <f>IF('G3 MT Reading Scoresheet'!D33&lt;&gt;"",'G3 MT Reading Scoresheet'!D33,"")</f>
        <v>Female</v>
      </c>
      <c r="E33" s="214" t="str">
        <f>IF('G3 MT Reading Scoresheet'!E33&lt;&gt;"",'G3 MT Reading Scoresheet'!E33,"")</f>
        <v>06/24/2025</v>
      </c>
      <c r="F33" s="217">
        <v>8</v>
      </c>
      <c r="G33" s="218">
        <v>8</v>
      </c>
      <c r="H33" s="211">
        <f t="shared" si="0"/>
        <v>16</v>
      </c>
      <c r="I33" s="211" t="str">
        <f t="shared" si="1"/>
        <v>Light Refresher</v>
      </c>
      <c r="J33" s="230">
        <v>1</v>
      </c>
      <c r="K33" s="230">
        <v>5</v>
      </c>
      <c r="L33" s="211">
        <f t="shared" si="2"/>
        <v>95</v>
      </c>
      <c r="M33" s="230">
        <v>2</v>
      </c>
      <c r="N33" s="230">
        <v>15</v>
      </c>
      <c r="O33" s="211">
        <f t="shared" si="3"/>
        <v>42.2222222222222</v>
      </c>
      <c r="P33" s="229">
        <f t="shared" si="4"/>
        <v>0.95</v>
      </c>
      <c r="Q33" s="230">
        <v>4</v>
      </c>
      <c r="R33" s="230">
        <v>4</v>
      </c>
      <c r="S33" s="230" t="s">
        <v>56</v>
      </c>
      <c r="T33" s="239" t="str">
        <f t="shared" si="5"/>
        <v>Transitioning Reader</v>
      </c>
      <c r="U33" s="241"/>
    </row>
    <row r="34" spans="1:21" ht="14.45">
      <c r="A34" s="210">
        <v>24</v>
      </c>
      <c r="B34" s="211">
        <f>IF('G3 MT Reading Scoresheet'!B34&lt;&gt;"",'G3 MT Reading Scoresheet'!B34,"")</f>
        <v>117443220016</v>
      </c>
      <c r="C34" s="212" t="str">
        <f>IF('G3 MT Reading Scoresheet'!C34&lt;&gt;"",'G3 MT Reading Scoresheet'!C34,"")</f>
        <v>SUMOLAY, GRACE ANN, ESPARTERO</v>
      </c>
      <c r="D34" s="213" t="str">
        <f>IF('G3 MT Reading Scoresheet'!D34&lt;&gt;"",'G3 MT Reading Scoresheet'!D34,"")</f>
        <v>Female</v>
      </c>
      <c r="E34" s="214" t="str">
        <f>IF('G3 MT Reading Scoresheet'!E34&lt;&gt;"",'G3 MT Reading Scoresheet'!E34,"")</f>
        <v>06/24/2025</v>
      </c>
      <c r="F34" s="215">
        <v>10</v>
      </c>
      <c r="G34" s="216">
        <v>10</v>
      </c>
      <c r="H34" s="211">
        <f t="shared" si="0"/>
        <v>20</v>
      </c>
      <c r="I34" s="211" t="str">
        <f t="shared" si="1"/>
        <v>Grade Ready</v>
      </c>
      <c r="J34" s="228">
        <v>1</v>
      </c>
      <c r="K34" s="228">
        <v>1</v>
      </c>
      <c r="L34" s="211">
        <f t="shared" si="2"/>
        <v>99</v>
      </c>
      <c r="M34" s="228">
        <v>1</v>
      </c>
      <c r="N34" s="228">
        <v>10</v>
      </c>
      <c r="O34" s="211">
        <f t="shared" si="3"/>
        <v>84.857142857142904</v>
      </c>
      <c r="P34" s="229">
        <f t="shared" si="4"/>
        <v>0.99</v>
      </c>
      <c r="Q34" s="228">
        <v>6</v>
      </c>
      <c r="R34" s="228">
        <v>5</v>
      </c>
      <c r="S34" s="228" t="s">
        <v>69</v>
      </c>
      <c r="T34" s="239" t="str">
        <f t="shared" si="5"/>
        <v>Reading At Grade Level</v>
      </c>
      <c r="U34" s="240"/>
    </row>
    <row r="35" spans="1:21" ht="14.45">
      <c r="A35" s="61">
        <v>25</v>
      </c>
      <c r="B35" s="211">
        <f>IF('G3 MT Reading Scoresheet'!B35&lt;&gt;"",'G3 MT Reading Scoresheet'!B35,"")</f>
        <v>117692220048</v>
      </c>
      <c r="C35" s="212" t="str">
        <f>IF('G3 MT Reading Scoresheet'!C35&lt;&gt;"",'G3 MT Reading Scoresheet'!C35,"")</f>
        <v>TAPIC, KYZYL ZYNN MJ,-</v>
      </c>
      <c r="D35" s="213" t="str">
        <f>IF('G3 MT Reading Scoresheet'!D35&lt;&gt;"",'G3 MT Reading Scoresheet'!D35,"")</f>
        <v>Female</v>
      </c>
      <c r="E35" s="214" t="str">
        <f>IF('G3 MT Reading Scoresheet'!E35&lt;&gt;"",'G3 MT Reading Scoresheet'!E35,"")</f>
        <v>06/24/2025</v>
      </c>
      <c r="F35" s="217">
        <v>9</v>
      </c>
      <c r="G35" s="218">
        <v>9</v>
      </c>
      <c r="H35" s="211">
        <f t="shared" si="0"/>
        <v>18</v>
      </c>
      <c r="I35" s="211" t="str">
        <f t="shared" si="1"/>
        <v>Grade Ready</v>
      </c>
      <c r="J35" s="230">
        <v>1</v>
      </c>
      <c r="K35" s="230">
        <v>1</v>
      </c>
      <c r="L35" s="211">
        <f t="shared" si="2"/>
        <v>99</v>
      </c>
      <c r="M35" s="230">
        <v>1</v>
      </c>
      <c r="N35" s="230">
        <v>30</v>
      </c>
      <c r="O35" s="211">
        <f t="shared" si="3"/>
        <v>66</v>
      </c>
      <c r="P35" s="229">
        <f t="shared" si="4"/>
        <v>0.99</v>
      </c>
      <c r="Q35" s="230">
        <v>5</v>
      </c>
      <c r="R35" s="230">
        <v>5</v>
      </c>
      <c r="S35" s="230" t="s">
        <v>69</v>
      </c>
      <c r="T35" s="239" t="str">
        <f t="shared" si="5"/>
        <v>Reading At Grade Level</v>
      </c>
      <c r="U35" s="241"/>
    </row>
    <row r="36" spans="1:21" ht="14.45">
      <c r="A36" s="210">
        <v>26</v>
      </c>
      <c r="B36" s="211" t="str">
        <f>IF('G3 MT Reading Scoresheet'!B36&lt;&gt;"",'G3 MT Reading Scoresheet'!B36,"")</f>
        <v/>
      </c>
      <c r="C36" s="212" t="str">
        <f>IF('G3 MT Reading Scoresheet'!C36&lt;&gt;"",'G3 MT Reading Scoresheet'!C36,"")</f>
        <v/>
      </c>
      <c r="D36" s="213" t="str">
        <f>IF('G3 MT Reading Scoresheet'!D36&lt;&gt;"",'G3 MT Reading Scoresheet'!D36,"")</f>
        <v/>
      </c>
      <c r="E36" s="214" t="str">
        <f>IF('G3 MT Reading Scoresheet'!E36&lt;&gt;"",'G3 MT Reading Scoresheet'!E36,"")</f>
        <v/>
      </c>
      <c r="F36" s="215"/>
      <c r="G36" s="216"/>
      <c r="H36" s="211" t="str">
        <f t="shared" si="0"/>
        <v/>
      </c>
      <c r="I36" s="211" t="str">
        <f t="shared" si="1"/>
        <v/>
      </c>
      <c r="J36" s="228"/>
      <c r="K36" s="228"/>
      <c r="L36" s="211" t="str">
        <f t="shared" si="2"/>
        <v/>
      </c>
      <c r="M36" s="228"/>
      <c r="N36" s="228"/>
      <c r="O36" s="211" t="str">
        <f t="shared" si="3"/>
        <v/>
      </c>
      <c r="P36" s="229" t="str">
        <f t="shared" si="4"/>
        <v/>
      </c>
      <c r="Q36" s="228"/>
      <c r="R36" s="228"/>
      <c r="S36" s="228"/>
      <c r="T36" s="239" t="str">
        <f t="shared" si="5"/>
        <v/>
      </c>
      <c r="U36" s="240"/>
    </row>
    <row r="37" spans="1:21" ht="14.45">
      <c r="A37" s="61">
        <v>27</v>
      </c>
      <c r="B37" s="211" t="str">
        <f>IF('G3 MT Reading Scoresheet'!B37&lt;&gt;"",'G3 MT Reading Scoresheet'!B37,"")</f>
        <v/>
      </c>
      <c r="C37" s="212" t="str">
        <f>IF('G3 MT Reading Scoresheet'!C37&lt;&gt;"",'G3 MT Reading Scoresheet'!C37,"")</f>
        <v/>
      </c>
      <c r="D37" s="213" t="str">
        <f>IF('G3 MT Reading Scoresheet'!D37&lt;&gt;"",'G3 MT Reading Scoresheet'!D37,"")</f>
        <v/>
      </c>
      <c r="E37" s="214" t="str">
        <f>IF('G3 MT Reading Scoresheet'!E37&lt;&gt;"",'G3 MT Reading Scoresheet'!E37,"")</f>
        <v/>
      </c>
      <c r="F37" s="217"/>
      <c r="G37" s="218"/>
      <c r="H37" s="211" t="str">
        <f t="shared" si="0"/>
        <v/>
      </c>
      <c r="I37" s="211" t="str">
        <f t="shared" si="1"/>
        <v/>
      </c>
      <c r="J37" s="230"/>
      <c r="K37" s="230"/>
      <c r="L37" s="211" t="str">
        <f t="shared" si="2"/>
        <v/>
      </c>
      <c r="M37" s="230"/>
      <c r="N37" s="230"/>
      <c r="O37" s="211" t="str">
        <f t="shared" si="3"/>
        <v/>
      </c>
      <c r="P37" s="229" t="str">
        <f t="shared" si="4"/>
        <v/>
      </c>
      <c r="Q37" s="230"/>
      <c r="R37" s="230"/>
      <c r="S37" s="230"/>
      <c r="T37" s="239" t="str">
        <f t="shared" si="5"/>
        <v/>
      </c>
      <c r="U37" s="241"/>
    </row>
    <row r="38" spans="1:21" ht="14.45">
      <c r="A38" s="210">
        <v>28</v>
      </c>
      <c r="B38" s="211" t="str">
        <f>IF('G3 MT Reading Scoresheet'!B38&lt;&gt;"",'G3 MT Reading Scoresheet'!B38,"")</f>
        <v/>
      </c>
      <c r="C38" s="212" t="str">
        <f>IF('G3 MT Reading Scoresheet'!C38&lt;&gt;"",'G3 MT Reading Scoresheet'!C38,"")</f>
        <v/>
      </c>
      <c r="D38" s="213" t="str">
        <f>IF('G3 MT Reading Scoresheet'!D38&lt;&gt;"",'G3 MT Reading Scoresheet'!D38,"")</f>
        <v/>
      </c>
      <c r="E38" s="214" t="str">
        <f>IF('G3 MT Reading Scoresheet'!E38&lt;&gt;"",'G3 MT Reading Scoresheet'!E38,"")</f>
        <v/>
      </c>
      <c r="F38" s="215"/>
      <c r="G38" s="216"/>
      <c r="H38" s="211" t="str">
        <f t="shared" si="0"/>
        <v/>
      </c>
      <c r="I38" s="211" t="str">
        <f t="shared" si="1"/>
        <v/>
      </c>
      <c r="J38" s="228"/>
      <c r="K38" s="228"/>
      <c r="L38" s="211" t="str">
        <f t="shared" si="2"/>
        <v/>
      </c>
      <c r="M38" s="228"/>
      <c r="N38" s="228"/>
      <c r="O38" s="211" t="str">
        <f t="shared" si="3"/>
        <v/>
      </c>
      <c r="P38" s="229" t="str">
        <f t="shared" si="4"/>
        <v/>
      </c>
      <c r="Q38" s="228"/>
      <c r="R38" s="228"/>
      <c r="S38" s="228"/>
      <c r="T38" s="239" t="str">
        <f t="shared" si="5"/>
        <v/>
      </c>
      <c r="U38" s="240"/>
    </row>
    <row r="39" spans="1:21" ht="14.45">
      <c r="A39" s="61">
        <v>29</v>
      </c>
      <c r="B39" s="211" t="str">
        <f>IF('G3 MT Reading Scoresheet'!B39&lt;&gt;"",'G3 MT Reading Scoresheet'!B39,"")</f>
        <v/>
      </c>
      <c r="C39" s="212" t="str">
        <f>IF('G3 MT Reading Scoresheet'!C39&lt;&gt;"",'G3 MT Reading Scoresheet'!C39,"")</f>
        <v/>
      </c>
      <c r="D39" s="213" t="str">
        <f>IF('G3 MT Reading Scoresheet'!D39&lt;&gt;"",'G3 MT Reading Scoresheet'!D39,"")</f>
        <v/>
      </c>
      <c r="E39" s="214" t="str">
        <f>IF('G3 MT Reading Scoresheet'!E39&lt;&gt;"",'G3 MT Reading Scoresheet'!E39,"")</f>
        <v/>
      </c>
      <c r="F39" s="217"/>
      <c r="G39" s="218"/>
      <c r="H39" s="211" t="str">
        <f t="shared" si="0"/>
        <v/>
      </c>
      <c r="I39" s="211" t="str">
        <f t="shared" si="1"/>
        <v/>
      </c>
      <c r="J39" s="230"/>
      <c r="K39" s="230"/>
      <c r="L39" s="211" t="str">
        <f t="shared" si="2"/>
        <v/>
      </c>
      <c r="M39" s="230"/>
      <c r="N39" s="230"/>
      <c r="O39" s="211" t="str">
        <f t="shared" si="3"/>
        <v/>
      </c>
      <c r="P39" s="229" t="str">
        <f t="shared" si="4"/>
        <v/>
      </c>
      <c r="Q39" s="230"/>
      <c r="R39" s="230"/>
      <c r="S39" s="230"/>
      <c r="T39" s="239" t="str">
        <f t="shared" si="5"/>
        <v/>
      </c>
      <c r="U39" s="241"/>
    </row>
    <row r="40" spans="1:21" ht="14.45">
      <c r="A40" s="210">
        <v>30</v>
      </c>
      <c r="B40" s="211" t="str">
        <f>IF('G3 MT Reading Scoresheet'!B40&lt;&gt;"",'G3 MT Reading Scoresheet'!B40,"")</f>
        <v/>
      </c>
      <c r="C40" s="212" t="str">
        <f>IF('G3 MT Reading Scoresheet'!C40&lt;&gt;"",'G3 MT Reading Scoresheet'!C40,"")</f>
        <v/>
      </c>
      <c r="D40" s="213" t="str">
        <f>IF('G3 MT Reading Scoresheet'!D40&lt;&gt;"",'G3 MT Reading Scoresheet'!D40,"")</f>
        <v/>
      </c>
      <c r="E40" s="214" t="str">
        <f>IF('G3 MT Reading Scoresheet'!E40&lt;&gt;"",'G3 MT Reading Scoresheet'!E40,"")</f>
        <v/>
      </c>
      <c r="F40" s="215"/>
      <c r="G40" s="216"/>
      <c r="H40" s="211" t="str">
        <f t="shared" si="0"/>
        <v/>
      </c>
      <c r="I40" s="211" t="str">
        <f t="shared" si="1"/>
        <v/>
      </c>
      <c r="J40" s="228"/>
      <c r="K40" s="228"/>
      <c r="L40" s="211" t="str">
        <f t="shared" si="2"/>
        <v/>
      </c>
      <c r="M40" s="228"/>
      <c r="N40" s="228"/>
      <c r="O40" s="211" t="str">
        <f t="shared" si="3"/>
        <v/>
      </c>
      <c r="P40" s="229" t="str">
        <f t="shared" si="4"/>
        <v/>
      </c>
      <c r="Q40" s="228"/>
      <c r="R40" s="228"/>
      <c r="S40" s="228"/>
      <c r="T40" s="239" t="str">
        <f t="shared" si="5"/>
        <v/>
      </c>
      <c r="U40" s="240"/>
    </row>
    <row r="41" spans="1:21" ht="14.45">
      <c r="A41" s="61">
        <v>31</v>
      </c>
      <c r="B41" s="211" t="str">
        <f>IF('G3 MT Reading Scoresheet'!B41&lt;&gt;"",'G3 MT Reading Scoresheet'!B41,"")</f>
        <v/>
      </c>
      <c r="C41" s="212" t="str">
        <f>IF('G3 MT Reading Scoresheet'!C41&lt;&gt;"",'G3 MT Reading Scoresheet'!C41,"")</f>
        <v/>
      </c>
      <c r="D41" s="213" t="str">
        <f>IF('G3 MT Reading Scoresheet'!D41&lt;&gt;"",'G3 MT Reading Scoresheet'!D41,"")</f>
        <v/>
      </c>
      <c r="E41" s="214" t="str">
        <f>IF('G3 MT Reading Scoresheet'!E41&lt;&gt;"",'G3 MT Reading Scoresheet'!E41,"")</f>
        <v/>
      </c>
      <c r="F41" s="217"/>
      <c r="G41" s="218"/>
      <c r="H41" s="211" t="str">
        <f t="shared" si="0"/>
        <v/>
      </c>
      <c r="I41" s="211" t="str">
        <f t="shared" si="1"/>
        <v/>
      </c>
      <c r="J41" s="230"/>
      <c r="K41" s="230"/>
      <c r="L41" s="211" t="str">
        <f t="shared" si="2"/>
        <v/>
      </c>
      <c r="M41" s="230"/>
      <c r="N41" s="230"/>
      <c r="O41" s="211" t="str">
        <f t="shared" si="3"/>
        <v/>
      </c>
      <c r="P41" s="229" t="str">
        <f t="shared" si="4"/>
        <v/>
      </c>
      <c r="Q41" s="230"/>
      <c r="R41" s="230"/>
      <c r="S41" s="230"/>
      <c r="T41" s="239" t="str">
        <f t="shared" si="5"/>
        <v/>
      </c>
      <c r="U41" s="241"/>
    </row>
    <row r="42" spans="1:21" ht="14.45">
      <c r="A42" s="210">
        <v>32</v>
      </c>
      <c r="B42" s="211" t="str">
        <f>IF('G3 MT Reading Scoresheet'!B42&lt;&gt;"",'G3 MT Reading Scoresheet'!B42,"")</f>
        <v/>
      </c>
      <c r="C42" s="212" t="str">
        <f>IF('G3 MT Reading Scoresheet'!C42&lt;&gt;"",'G3 MT Reading Scoresheet'!C42,"")</f>
        <v/>
      </c>
      <c r="D42" s="213" t="str">
        <f>IF('G3 MT Reading Scoresheet'!D42&lt;&gt;"",'G3 MT Reading Scoresheet'!D42,"")</f>
        <v/>
      </c>
      <c r="E42" s="214" t="str">
        <f>IF('G3 MT Reading Scoresheet'!E42&lt;&gt;"",'G3 MT Reading Scoresheet'!E42,"")</f>
        <v/>
      </c>
      <c r="F42" s="215"/>
      <c r="G42" s="216"/>
      <c r="H42" s="211" t="str">
        <f t="shared" si="0"/>
        <v/>
      </c>
      <c r="I42" s="211" t="str">
        <f t="shared" si="1"/>
        <v/>
      </c>
      <c r="J42" s="228"/>
      <c r="K42" s="228"/>
      <c r="L42" s="211" t="str">
        <f t="shared" si="2"/>
        <v/>
      </c>
      <c r="M42" s="228"/>
      <c r="N42" s="228"/>
      <c r="O42" s="211" t="str">
        <f t="shared" si="3"/>
        <v/>
      </c>
      <c r="P42" s="229" t="str">
        <f t="shared" si="4"/>
        <v/>
      </c>
      <c r="Q42" s="228"/>
      <c r="R42" s="228"/>
      <c r="S42" s="228"/>
      <c r="T42" s="239" t="str">
        <f t="shared" si="5"/>
        <v/>
      </c>
      <c r="U42" s="240"/>
    </row>
    <row r="43" spans="1:21" ht="14.45">
      <c r="A43" s="61">
        <v>33</v>
      </c>
      <c r="B43" s="211" t="str">
        <f>IF('G3 MT Reading Scoresheet'!B43&lt;&gt;"",'G3 MT Reading Scoresheet'!B43,"")</f>
        <v/>
      </c>
      <c r="C43" s="212" t="str">
        <f>IF('G3 MT Reading Scoresheet'!C43&lt;&gt;"",'G3 MT Reading Scoresheet'!C43,"")</f>
        <v/>
      </c>
      <c r="D43" s="213" t="str">
        <f>IF('G3 MT Reading Scoresheet'!D43&lt;&gt;"",'G3 MT Reading Scoresheet'!D43,"")</f>
        <v/>
      </c>
      <c r="E43" s="214" t="str">
        <f>IF('G3 MT Reading Scoresheet'!E43&lt;&gt;"",'G3 MT Reading Scoresheet'!E43,"")</f>
        <v/>
      </c>
      <c r="F43" s="217"/>
      <c r="G43" s="218"/>
      <c r="H43" s="211" t="str">
        <f t="shared" ref="H43:H74" si="6">IF(ISBLANK(F43),"",IF(F43=0,0,F43+G43))</f>
        <v/>
      </c>
      <c r="I43" s="211" t="str">
        <f t="shared" ref="I43:I74" si="7">IF(ISBLANK(F43),"",IF(H43=0,"Full Refresher",IF(H43&lt;11,"Moderate Refresher",IF(H43&lt;17,"Light Refresher","Grade Ready"))))</f>
        <v/>
      </c>
      <c r="J43" s="230"/>
      <c r="K43" s="230"/>
      <c r="L43" s="211" t="str">
        <f t="shared" si="2"/>
        <v/>
      </c>
      <c r="M43" s="230"/>
      <c r="N43" s="230"/>
      <c r="O43" s="211" t="str">
        <f t="shared" si="3"/>
        <v/>
      </c>
      <c r="P43" s="229" t="str">
        <f t="shared" si="4"/>
        <v/>
      </c>
      <c r="Q43" s="230"/>
      <c r="R43" s="230"/>
      <c r="S43" s="230"/>
      <c r="T43" s="239" t="str">
        <f t="shared" si="5"/>
        <v/>
      </c>
      <c r="U43" s="241"/>
    </row>
    <row r="44" spans="1:21" ht="14.45">
      <c r="A44" s="210">
        <v>34</v>
      </c>
      <c r="B44" s="211" t="str">
        <f>IF('G3 MT Reading Scoresheet'!B44&lt;&gt;"",'G3 MT Reading Scoresheet'!B44,"")</f>
        <v/>
      </c>
      <c r="C44" s="212" t="str">
        <f>IF('G3 MT Reading Scoresheet'!C44&lt;&gt;"",'G3 MT Reading Scoresheet'!C44,"")</f>
        <v/>
      </c>
      <c r="D44" s="213" t="str">
        <f>IF('G3 MT Reading Scoresheet'!D44&lt;&gt;"",'G3 MT Reading Scoresheet'!D44,"")</f>
        <v/>
      </c>
      <c r="E44" s="214" t="str">
        <f>IF('G3 MT Reading Scoresheet'!E44&lt;&gt;"",'G3 MT Reading Scoresheet'!E44,"")</f>
        <v/>
      </c>
      <c r="F44" s="215"/>
      <c r="G44" s="216"/>
      <c r="H44" s="211" t="str">
        <f t="shared" si="6"/>
        <v/>
      </c>
      <c r="I44" s="211" t="str">
        <f t="shared" si="7"/>
        <v/>
      </c>
      <c r="J44" s="228"/>
      <c r="K44" s="228"/>
      <c r="L44" s="211" t="str">
        <f t="shared" si="2"/>
        <v/>
      </c>
      <c r="M44" s="228"/>
      <c r="N44" s="228"/>
      <c r="O44" s="211" t="str">
        <f t="shared" si="3"/>
        <v/>
      </c>
      <c r="P44" s="229" t="str">
        <f t="shared" si="4"/>
        <v/>
      </c>
      <c r="Q44" s="228"/>
      <c r="R44" s="228"/>
      <c r="S44" s="228"/>
      <c r="T44" s="239" t="str">
        <f t="shared" si="5"/>
        <v/>
      </c>
      <c r="U44" s="240"/>
    </row>
    <row r="45" spans="1:21" ht="14.45">
      <c r="A45" s="61">
        <v>35</v>
      </c>
      <c r="B45" s="211" t="str">
        <f>IF('G3 MT Reading Scoresheet'!B45&lt;&gt;"",'G3 MT Reading Scoresheet'!B45,"")</f>
        <v/>
      </c>
      <c r="C45" s="212" t="str">
        <f>IF('G3 MT Reading Scoresheet'!C45&lt;&gt;"",'G3 MT Reading Scoresheet'!C45,"")</f>
        <v/>
      </c>
      <c r="D45" s="213" t="str">
        <f>IF('G3 MT Reading Scoresheet'!D45&lt;&gt;"",'G3 MT Reading Scoresheet'!D45,"")</f>
        <v/>
      </c>
      <c r="E45" s="214" t="str">
        <f>IF('G3 MT Reading Scoresheet'!E45&lt;&gt;"",'G3 MT Reading Scoresheet'!E45,"")</f>
        <v/>
      </c>
      <c r="F45" s="217"/>
      <c r="G45" s="218"/>
      <c r="H45" s="211" t="str">
        <f t="shared" si="6"/>
        <v/>
      </c>
      <c r="I45" s="211" t="str">
        <f t="shared" si="7"/>
        <v/>
      </c>
      <c r="J45" s="230"/>
      <c r="K45" s="230"/>
      <c r="L45" s="211" t="str">
        <f t="shared" si="2"/>
        <v/>
      </c>
      <c r="M45" s="230"/>
      <c r="N45" s="230"/>
      <c r="O45" s="211" t="str">
        <f t="shared" si="3"/>
        <v/>
      </c>
      <c r="P45" s="229" t="str">
        <f t="shared" si="4"/>
        <v/>
      </c>
      <c r="Q45" s="230"/>
      <c r="R45" s="230"/>
      <c r="S45" s="230"/>
      <c r="T45" s="239" t="str">
        <f t="shared" si="5"/>
        <v/>
      </c>
      <c r="U45" s="241"/>
    </row>
    <row r="46" spans="1:21" ht="14.45">
      <c r="A46" s="210">
        <v>36</v>
      </c>
      <c r="B46" s="211" t="str">
        <f>IF('G3 MT Reading Scoresheet'!B46&lt;&gt;"",'G3 MT Reading Scoresheet'!B46,"")</f>
        <v/>
      </c>
      <c r="C46" s="212" t="str">
        <f>IF('G3 MT Reading Scoresheet'!C46&lt;&gt;"",'G3 MT Reading Scoresheet'!C46,"")</f>
        <v/>
      </c>
      <c r="D46" s="213" t="str">
        <f>IF('G3 MT Reading Scoresheet'!D46&lt;&gt;"",'G3 MT Reading Scoresheet'!D46,"")</f>
        <v/>
      </c>
      <c r="E46" s="214" t="str">
        <f>IF('G3 MT Reading Scoresheet'!E46&lt;&gt;"",'G3 MT Reading Scoresheet'!E46,"")</f>
        <v/>
      </c>
      <c r="F46" s="215"/>
      <c r="G46" s="216"/>
      <c r="H46" s="211" t="str">
        <f t="shared" si="6"/>
        <v/>
      </c>
      <c r="I46" s="211" t="str">
        <f t="shared" si="7"/>
        <v/>
      </c>
      <c r="J46" s="228"/>
      <c r="K46" s="228"/>
      <c r="L46" s="211" t="str">
        <f t="shared" si="2"/>
        <v/>
      </c>
      <c r="M46" s="228"/>
      <c r="N46" s="228"/>
      <c r="O46" s="211" t="str">
        <f t="shared" si="3"/>
        <v/>
      </c>
      <c r="P46" s="229" t="str">
        <f t="shared" si="4"/>
        <v/>
      </c>
      <c r="Q46" s="228"/>
      <c r="R46" s="228"/>
      <c r="S46" s="228"/>
      <c r="T46" s="239" t="str">
        <f t="shared" si="5"/>
        <v/>
      </c>
      <c r="U46" s="240"/>
    </row>
    <row r="47" spans="1:21" ht="14.45">
      <c r="A47" s="61">
        <v>37</v>
      </c>
      <c r="B47" s="211" t="str">
        <f>IF('G3 MT Reading Scoresheet'!B47&lt;&gt;"",'G3 MT Reading Scoresheet'!B47,"")</f>
        <v/>
      </c>
      <c r="C47" s="212" t="str">
        <f>IF('G3 MT Reading Scoresheet'!C47&lt;&gt;"",'G3 MT Reading Scoresheet'!C47,"")</f>
        <v/>
      </c>
      <c r="D47" s="213" t="str">
        <f>IF('G3 MT Reading Scoresheet'!D47&lt;&gt;"",'G3 MT Reading Scoresheet'!D47,"")</f>
        <v/>
      </c>
      <c r="E47" s="214" t="str">
        <f>IF('G3 MT Reading Scoresheet'!E47&lt;&gt;"",'G3 MT Reading Scoresheet'!E47,"")</f>
        <v/>
      </c>
      <c r="F47" s="217"/>
      <c r="G47" s="218"/>
      <c r="H47" s="211" t="str">
        <f t="shared" si="6"/>
        <v/>
      </c>
      <c r="I47" s="211" t="str">
        <f t="shared" si="7"/>
        <v/>
      </c>
      <c r="J47" s="230"/>
      <c r="K47" s="230"/>
      <c r="L47" s="211" t="str">
        <f t="shared" si="2"/>
        <v/>
      </c>
      <c r="M47" s="230"/>
      <c r="N47" s="230"/>
      <c r="O47" s="211" t="str">
        <f t="shared" si="3"/>
        <v/>
      </c>
      <c r="P47" s="229" t="str">
        <f t="shared" si="4"/>
        <v/>
      </c>
      <c r="Q47" s="230"/>
      <c r="R47" s="230"/>
      <c r="S47" s="230"/>
      <c r="T47" s="239" t="str">
        <f t="shared" si="5"/>
        <v/>
      </c>
      <c r="U47" s="241"/>
    </row>
    <row r="48" spans="1:21" ht="14.45">
      <c r="A48" s="210">
        <v>38</v>
      </c>
      <c r="B48" s="211" t="str">
        <f>IF('G3 MT Reading Scoresheet'!B48&lt;&gt;"",'G3 MT Reading Scoresheet'!B48,"")</f>
        <v/>
      </c>
      <c r="C48" s="212" t="str">
        <f>IF('G3 MT Reading Scoresheet'!C48&lt;&gt;"",'G3 MT Reading Scoresheet'!C48,"")</f>
        <v/>
      </c>
      <c r="D48" s="213" t="str">
        <f>IF('G3 MT Reading Scoresheet'!D48&lt;&gt;"",'G3 MT Reading Scoresheet'!D48,"")</f>
        <v/>
      </c>
      <c r="E48" s="214" t="str">
        <f>IF('G3 MT Reading Scoresheet'!E48&lt;&gt;"",'G3 MT Reading Scoresheet'!E48,"")</f>
        <v/>
      </c>
      <c r="F48" s="215"/>
      <c r="G48" s="216"/>
      <c r="H48" s="211" t="str">
        <f t="shared" si="6"/>
        <v/>
      </c>
      <c r="I48" s="211" t="str">
        <f t="shared" si="7"/>
        <v/>
      </c>
      <c r="J48" s="228"/>
      <c r="K48" s="228"/>
      <c r="L48" s="211" t="str">
        <f t="shared" si="2"/>
        <v/>
      </c>
      <c r="M48" s="228"/>
      <c r="N48" s="228"/>
      <c r="O48" s="211" t="str">
        <f t="shared" si="3"/>
        <v/>
      </c>
      <c r="P48" s="229" t="str">
        <f t="shared" si="4"/>
        <v/>
      </c>
      <c r="Q48" s="228"/>
      <c r="R48" s="228"/>
      <c r="S48" s="228"/>
      <c r="T48" s="239" t="str">
        <f t="shared" si="5"/>
        <v/>
      </c>
      <c r="U48" s="240"/>
    </row>
    <row r="49" spans="1:21" ht="14.45">
      <c r="A49" s="61">
        <v>39</v>
      </c>
      <c r="B49" s="211" t="str">
        <f>IF('G3 MT Reading Scoresheet'!B49&lt;&gt;"",'G3 MT Reading Scoresheet'!B49,"")</f>
        <v/>
      </c>
      <c r="C49" s="212" t="str">
        <f>IF('G3 MT Reading Scoresheet'!C49&lt;&gt;"",'G3 MT Reading Scoresheet'!C49,"")</f>
        <v/>
      </c>
      <c r="D49" s="213" t="str">
        <f>IF('G3 MT Reading Scoresheet'!D49&lt;&gt;"",'G3 MT Reading Scoresheet'!D49,"")</f>
        <v/>
      </c>
      <c r="E49" s="214" t="str">
        <f>IF('G3 MT Reading Scoresheet'!E49&lt;&gt;"",'G3 MT Reading Scoresheet'!E49,"")</f>
        <v/>
      </c>
      <c r="F49" s="217"/>
      <c r="G49" s="218"/>
      <c r="H49" s="211" t="str">
        <f t="shared" si="6"/>
        <v/>
      </c>
      <c r="I49" s="211" t="str">
        <f t="shared" si="7"/>
        <v/>
      </c>
      <c r="J49" s="230"/>
      <c r="K49" s="230"/>
      <c r="L49" s="211" t="str">
        <f t="shared" si="2"/>
        <v/>
      </c>
      <c r="M49" s="230"/>
      <c r="N49" s="230"/>
      <c r="O49" s="211" t="str">
        <f t="shared" si="3"/>
        <v/>
      </c>
      <c r="P49" s="229" t="str">
        <f t="shared" si="4"/>
        <v/>
      </c>
      <c r="Q49" s="230"/>
      <c r="R49" s="230"/>
      <c r="S49" s="230"/>
      <c r="T49" s="239" t="str">
        <f t="shared" si="5"/>
        <v/>
      </c>
      <c r="U49" s="241"/>
    </row>
    <row r="50" spans="1:21" ht="14.45">
      <c r="A50" s="210">
        <v>40</v>
      </c>
      <c r="B50" s="211" t="str">
        <f>IF('G3 MT Reading Scoresheet'!B50&lt;&gt;"",'G3 MT Reading Scoresheet'!B50,"")</f>
        <v/>
      </c>
      <c r="C50" s="212" t="str">
        <f>IF('G3 MT Reading Scoresheet'!C50&lt;&gt;"",'G3 MT Reading Scoresheet'!C50,"")</f>
        <v/>
      </c>
      <c r="D50" s="213" t="str">
        <f>IF('G3 MT Reading Scoresheet'!D50&lt;&gt;"",'G3 MT Reading Scoresheet'!D50,"")</f>
        <v/>
      </c>
      <c r="E50" s="214" t="str">
        <f>IF('G3 MT Reading Scoresheet'!E50&lt;&gt;"",'G3 MT Reading Scoresheet'!E50,"")</f>
        <v/>
      </c>
      <c r="F50" s="215"/>
      <c r="G50" s="216"/>
      <c r="H50" s="211" t="str">
        <f t="shared" si="6"/>
        <v/>
      </c>
      <c r="I50" s="211" t="str">
        <f t="shared" si="7"/>
        <v/>
      </c>
      <c r="J50" s="228"/>
      <c r="K50" s="228"/>
      <c r="L50" s="211" t="str">
        <f t="shared" si="2"/>
        <v/>
      </c>
      <c r="M50" s="228"/>
      <c r="N50" s="228"/>
      <c r="O50" s="211" t="str">
        <f t="shared" si="3"/>
        <v/>
      </c>
      <c r="P50" s="229" t="str">
        <f t="shared" si="4"/>
        <v/>
      </c>
      <c r="Q50" s="228"/>
      <c r="R50" s="228"/>
      <c r="S50" s="228"/>
      <c r="T50" s="239" t="str">
        <f t="shared" si="5"/>
        <v/>
      </c>
      <c r="U50" s="240"/>
    </row>
    <row r="51" spans="1:21" ht="14.45">
      <c r="A51" s="61">
        <v>41</v>
      </c>
      <c r="B51" s="211" t="str">
        <f>IF('G3 MT Reading Scoresheet'!B51&lt;&gt;"",'G3 MT Reading Scoresheet'!B51,"")</f>
        <v/>
      </c>
      <c r="C51" s="212" t="str">
        <f>IF('G3 MT Reading Scoresheet'!C51&lt;&gt;"",'G3 MT Reading Scoresheet'!C51,"")</f>
        <v/>
      </c>
      <c r="D51" s="213" t="str">
        <f>IF('G3 MT Reading Scoresheet'!D51&lt;&gt;"",'G3 MT Reading Scoresheet'!D51,"")</f>
        <v/>
      </c>
      <c r="E51" s="214" t="str">
        <f>IF('G3 MT Reading Scoresheet'!E51&lt;&gt;"",'G3 MT Reading Scoresheet'!E51,"")</f>
        <v/>
      </c>
      <c r="F51" s="217"/>
      <c r="G51" s="218"/>
      <c r="H51" s="211" t="str">
        <f t="shared" si="6"/>
        <v/>
      </c>
      <c r="I51" s="211" t="str">
        <f t="shared" si="7"/>
        <v/>
      </c>
      <c r="J51" s="230"/>
      <c r="K51" s="230"/>
      <c r="L51" s="211" t="str">
        <f t="shared" si="2"/>
        <v/>
      </c>
      <c r="M51" s="230"/>
      <c r="N51" s="230"/>
      <c r="O51" s="211" t="str">
        <f t="shared" si="3"/>
        <v/>
      </c>
      <c r="P51" s="229" t="str">
        <f t="shared" si="4"/>
        <v/>
      </c>
      <c r="Q51" s="230"/>
      <c r="R51" s="230"/>
      <c r="S51" s="230"/>
      <c r="T51" s="239" t="str">
        <f t="shared" si="5"/>
        <v/>
      </c>
      <c r="U51" s="241"/>
    </row>
    <row r="52" spans="1:21" ht="14.45">
      <c r="A52" s="210">
        <v>42</v>
      </c>
      <c r="B52" s="211" t="str">
        <f>IF('G3 MT Reading Scoresheet'!B52&lt;&gt;"",'G3 MT Reading Scoresheet'!B52,"")</f>
        <v/>
      </c>
      <c r="C52" s="212" t="str">
        <f>IF('G3 MT Reading Scoresheet'!C52&lt;&gt;"",'G3 MT Reading Scoresheet'!C52,"")</f>
        <v/>
      </c>
      <c r="D52" s="213" t="str">
        <f>IF('G3 MT Reading Scoresheet'!D52&lt;&gt;"",'G3 MT Reading Scoresheet'!D52,"")</f>
        <v/>
      </c>
      <c r="E52" s="214" t="str">
        <f>IF('G3 MT Reading Scoresheet'!E52&lt;&gt;"",'G3 MT Reading Scoresheet'!E52,"")</f>
        <v/>
      </c>
      <c r="F52" s="215"/>
      <c r="G52" s="216"/>
      <c r="H52" s="211" t="str">
        <f t="shared" si="6"/>
        <v/>
      </c>
      <c r="I52" s="211" t="str">
        <f t="shared" si="7"/>
        <v/>
      </c>
      <c r="J52" s="228"/>
      <c r="K52" s="228"/>
      <c r="L52" s="211" t="str">
        <f t="shared" si="2"/>
        <v/>
      </c>
      <c r="M52" s="228"/>
      <c r="N52" s="228"/>
      <c r="O52" s="211" t="str">
        <f t="shared" si="3"/>
        <v/>
      </c>
      <c r="P52" s="229" t="str">
        <f t="shared" si="4"/>
        <v/>
      </c>
      <c r="Q52" s="228"/>
      <c r="R52" s="228"/>
      <c r="S52" s="228"/>
      <c r="T52" s="239" t="str">
        <f t="shared" si="5"/>
        <v/>
      </c>
      <c r="U52" s="240"/>
    </row>
    <row r="53" spans="1:21" ht="14.45">
      <c r="A53" s="61">
        <v>43</v>
      </c>
      <c r="B53" s="211" t="str">
        <f>IF('G3 MT Reading Scoresheet'!B53&lt;&gt;"",'G3 MT Reading Scoresheet'!B53,"")</f>
        <v/>
      </c>
      <c r="C53" s="212" t="str">
        <f>IF('G3 MT Reading Scoresheet'!C53&lt;&gt;"",'G3 MT Reading Scoresheet'!C53,"")</f>
        <v/>
      </c>
      <c r="D53" s="213" t="str">
        <f>IF('G3 MT Reading Scoresheet'!D53&lt;&gt;"",'G3 MT Reading Scoresheet'!D53,"")</f>
        <v/>
      </c>
      <c r="E53" s="214" t="str">
        <f>IF('G3 MT Reading Scoresheet'!E53&lt;&gt;"",'G3 MT Reading Scoresheet'!E53,"")</f>
        <v/>
      </c>
      <c r="F53" s="217"/>
      <c r="G53" s="218"/>
      <c r="H53" s="211" t="str">
        <f t="shared" si="6"/>
        <v/>
      </c>
      <c r="I53" s="211" t="str">
        <f t="shared" si="7"/>
        <v/>
      </c>
      <c r="J53" s="230"/>
      <c r="K53" s="230"/>
      <c r="L53" s="211" t="str">
        <f t="shared" si="2"/>
        <v/>
      </c>
      <c r="M53" s="230"/>
      <c r="N53" s="230"/>
      <c r="O53" s="211" t="str">
        <f t="shared" si="3"/>
        <v/>
      </c>
      <c r="P53" s="229" t="str">
        <f t="shared" si="4"/>
        <v/>
      </c>
      <c r="Q53" s="230"/>
      <c r="R53" s="230"/>
      <c r="S53" s="230"/>
      <c r="T53" s="239" t="str">
        <f t="shared" si="5"/>
        <v/>
      </c>
      <c r="U53" s="241"/>
    </row>
    <row r="54" spans="1:21" ht="14.45">
      <c r="A54" s="210">
        <v>44</v>
      </c>
      <c r="B54" s="211" t="str">
        <f>IF('G3 MT Reading Scoresheet'!B54&lt;&gt;"",'G3 MT Reading Scoresheet'!B54,"")</f>
        <v/>
      </c>
      <c r="C54" s="212" t="str">
        <f>IF('G3 MT Reading Scoresheet'!C54&lt;&gt;"",'G3 MT Reading Scoresheet'!C54,"")</f>
        <v/>
      </c>
      <c r="D54" s="213" t="str">
        <f>IF('G3 MT Reading Scoresheet'!D54&lt;&gt;"",'G3 MT Reading Scoresheet'!D54,"")</f>
        <v/>
      </c>
      <c r="E54" s="214" t="str">
        <f>IF('G3 MT Reading Scoresheet'!E54&lt;&gt;"",'G3 MT Reading Scoresheet'!E54,"")</f>
        <v/>
      </c>
      <c r="F54" s="215"/>
      <c r="G54" s="216"/>
      <c r="H54" s="211" t="str">
        <f t="shared" si="6"/>
        <v/>
      </c>
      <c r="I54" s="211" t="str">
        <f t="shared" si="7"/>
        <v/>
      </c>
      <c r="J54" s="228"/>
      <c r="K54" s="228"/>
      <c r="L54" s="211" t="str">
        <f t="shared" si="2"/>
        <v/>
      </c>
      <c r="M54" s="228"/>
      <c r="N54" s="228"/>
      <c r="O54" s="211" t="str">
        <f t="shared" si="3"/>
        <v/>
      </c>
      <c r="P54" s="229" t="str">
        <f t="shared" si="4"/>
        <v/>
      </c>
      <c r="Q54" s="228"/>
      <c r="R54" s="228"/>
      <c r="S54" s="228"/>
      <c r="T54" s="239" t="str">
        <f t="shared" si="5"/>
        <v/>
      </c>
      <c r="U54" s="240"/>
    </row>
    <row r="55" spans="1:21" ht="14.45">
      <c r="A55" s="61">
        <v>45</v>
      </c>
      <c r="B55" s="211" t="str">
        <f>IF('G3 MT Reading Scoresheet'!B55&lt;&gt;"",'G3 MT Reading Scoresheet'!B55,"")</f>
        <v/>
      </c>
      <c r="C55" s="212" t="str">
        <f>IF('G3 MT Reading Scoresheet'!C55&lt;&gt;"",'G3 MT Reading Scoresheet'!C55,"")</f>
        <v/>
      </c>
      <c r="D55" s="213" t="str">
        <f>IF('G3 MT Reading Scoresheet'!D55&lt;&gt;"",'G3 MT Reading Scoresheet'!D55,"")</f>
        <v/>
      </c>
      <c r="E55" s="214" t="str">
        <f>IF('G3 MT Reading Scoresheet'!E55&lt;&gt;"",'G3 MT Reading Scoresheet'!E55,"")</f>
        <v/>
      </c>
      <c r="F55" s="217"/>
      <c r="G55" s="218"/>
      <c r="H55" s="211" t="str">
        <f t="shared" si="6"/>
        <v/>
      </c>
      <c r="I55" s="211" t="str">
        <f t="shared" si="7"/>
        <v/>
      </c>
      <c r="J55" s="230"/>
      <c r="K55" s="230"/>
      <c r="L55" s="211" t="str">
        <f t="shared" si="2"/>
        <v/>
      </c>
      <c r="M55" s="230"/>
      <c r="N55" s="230"/>
      <c r="O55" s="211" t="str">
        <f t="shared" si="3"/>
        <v/>
      </c>
      <c r="P55" s="229" t="str">
        <f t="shared" si="4"/>
        <v/>
      </c>
      <c r="Q55" s="230"/>
      <c r="R55" s="230"/>
      <c r="S55" s="230"/>
      <c r="T55" s="239" t="str">
        <f t="shared" si="5"/>
        <v/>
      </c>
      <c r="U55" s="241"/>
    </row>
    <row r="56" spans="1:21" ht="14.45">
      <c r="A56" s="210">
        <v>46</v>
      </c>
      <c r="B56" s="211" t="str">
        <f>IF('G3 MT Reading Scoresheet'!B56&lt;&gt;"",'G3 MT Reading Scoresheet'!B56,"")</f>
        <v/>
      </c>
      <c r="C56" s="212" t="str">
        <f>IF('G3 MT Reading Scoresheet'!C56&lt;&gt;"",'G3 MT Reading Scoresheet'!C56,"")</f>
        <v/>
      </c>
      <c r="D56" s="213" t="str">
        <f>IF('G3 MT Reading Scoresheet'!D56&lt;&gt;"",'G3 MT Reading Scoresheet'!D56,"")</f>
        <v/>
      </c>
      <c r="E56" s="214" t="str">
        <f>IF('G3 MT Reading Scoresheet'!E56&lt;&gt;"",'G3 MT Reading Scoresheet'!E56,"")</f>
        <v/>
      </c>
      <c r="F56" s="215"/>
      <c r="G56" s="216"/>
      <c r="H56" s="211" t="str">
        <f t="shared" si="6"/>
        <v/>
      </c>
      <c r="I56" s="211" t="str">
        <f t="shared" si="7"/>
        <v/>
      </c>
      <c r="J56" s="228"/>
      <c r="K56" s="228"/>
      <c r="L56" s="211" t="str">
        <f t="shared" si="2"/>
        <v/>
      </c>
      <c r="M56" s="228"/>
      <c r="N56" s="228"/>
      <c r="O56" s="211" t="str">
        <f t="shared" si="3"/>
        <v/>
      </c>
      <c r="P56" s="229" t="str">
        <f t="shared" si="4"/>
        <v/>
      </c>
      <c r="Q56" s="228"/>
      <c r="R56" s="228"/>
      <c r="S56" s="228"/>
      <c r="T56" s="239" t="str">
        <f t="shared" si="5"/>
        <v/>
      </c>
      <c r="U56" s="240"/>
    </row>
    <row r="57" spans="1:21" ht="14.45">
      <c r="A57" s="61">
        <v>47</v>
      </c>
      <c r="B57" s="211" t="str">
        <f>IF('G3 MT Reading Scoresheet'!B57&lt;&gt;"",'G3 MT Reading Scoresheet'!B57,"")</f>
        <v/>
      </c>
      <c r="C57" s="212" t="str">
        <f>IF('G3 MT Reading Scoresheet'!C57&lt;&gt;"",'G3 MT Reading Scoresheet'!C57,"")</f>
        <v/>
      </c>
      <c r="D57" s="213" t="str">
        <f>IF('G3 MT Reading Scoresheet'!D57&lt;&gt;"",'G3 MT Reading Scoresheet'!D57,"")</f>
        <v/>
      </c>
      <c r="E57" s="214" t="str">
        <f>IF('G3 MT Reading Scoresheet'!E57&lt;&gt;"",'G3 MT Reading Scoresheet'!E57,"")</f>
        <v/>
      </c>
      <c r="F57" s="217"/>
      <c r="G57" s="218"/>
      <c r="H57" s="211" t="str">
        <f t="shared" si="6"/>
        <v/>
      </c>
      <c r="I57" s="211" t="str">
        <f t="shared" si="7"/>
        <v/>
      </c>
      <c r="J57" s="230"/>
      <c r="K57" s="230"/>
      <c r="L57" s="211" t="str">
        <f t="shared" si="2"/>
        <v/>
      </c>
      <c r="M57" s="230"/>
      <c r="N57" s="230"/>
      <c r="O57" s="211" t="str">
        <f t="shared" si="3"/>
        <v/>
      </c>
      <c r="P57" s="229" t="str">
        <f t="shared" si="4"/>
        <v/>
      </c>
      <c r="Q57" s="230"/>
      <c r="R57" s="230"/>
      <c r="S57" s="230"/>
      <c r="T57" s="239" t="str">
        <f t="shared" si="5"/>
        <v/>
      </c>
      <c r="U57" s="241"/>
    </row>
    <row r="58" spans="1:21" ht="14.45">
      <c r="A58" s="210">
        <v>48</v>
      </c>
      <c r="B58" s="211" t="str">
        <f>IF('G3 MT Reading Scoresheet'!B58&lt;&gt;"",'G3 MT Reading Scoresheet'!B58,"")</f>
        <v/>
      </c>
      <c r="C58" s="212" t="str">
        <f>IF('G3 MT Reading Scoresheet'!C58&lt;&gt;"",'G3 MT Reading Scoresheet'!C58,"")</f>
        <v/>
      </c>
      <c r="D58" s="213" t="str">
        <f>IF('G3 MT Reading Scoresheet'!D58&lt;&gt;"",'G3 MT Reading Scoresheet'!D58,"")</f>
        <v/>
      </c>
      <c r="E58" s="214" t="str">
        <f>IF('G3 MT Reading Scoresheet'!E58&lt;&gt;"",'G3 MT Reading Scoresheet'!E58,"")</f>
        <v/>
      </c>
      <c r="F58" s="215"/>
      <c r="G58" s="216"/>
      <c r="H58" s="211" t="str">
        <f t="shared" si="6"/>
        <v/>
      </c>
      <c r="I58" s="211" t="str">
        <f t="shared" si="7"/>
        <v/>
      </c>
      <c r="J58" s="228"/>
      <c r="K58" s="228"/>
      <c r="L58" s="211" t="str">
        <f t="shared" si="2"/>
        <v/>
      </c>
      <c r="M58" s="228"/>
      <c r="N58" s="228"/>
      <c r="O58" s="211" t="str">
        <f t="shared" si="3"/>
        <v/>
      </c>
      <c r="P58" s="229" t="str">
        <f t="shared" si="4"/>
        <v/>
      </c>
      <c r="Q58" s="228"/>
      <c r="R58" s="228"/>
      <c r="S58" s="228"/>
      <c r="T58" s="239" t="str">
        <f t="shared" si="5"/>
        <v/>
      </c>
      <c r="U58" s="240"/>
    </row>
    <row r="59" spans="1:21" ht="14.45">
      <c r="A59" s="61">
        <v>49</v>
      </c>
      <c r="B59" s="211" t="str">
        <f>IF('G3 MT Reading Scoresheet'!B59&lt;&gt;"",'G3 MT Reading Scoresheet'!B59,"")</f>
        <v/>
      </c>
      <c r="C59" s="212" t="str">
        <f>IF('G3 MT Reading Scoresheet'!C59&lt;&gt;"",'G3 MT Reading Scoresheet'!C59,"")</f>
        <v/>
      </c>
      <c r="D59" s="213" t="str">
        <f>IF('G3 MT Reading Scoresheet'!D59&lt;&gt;"",'G3 MT Reading Scoresheet'!D59,"")</f>
        <v/>
      </c>
      <c r="E59" s="214" t="str">
        <f>IF('G3 MT Reading Scoresheet'!E59&lt;&gt;"",'G3 MT Reading Scoresheet'!E59,"")</f>
        <v/>
      </c>
      <c r="F59" s="217"/>
      <c r="G59" s="218"/>
      <c r="H59" s="211" t="str">
        <f t="shared" si="6"/>
        <v/>
      </c>
      <c r="I59" s="211" t="str">
        <f t="shared" si="7"/>
        <v/>
      </c>
      <c r="J59" s="230"/>
      <c r="K59" s="230"/>
      <c r="L59" s="211" t="str">
        <f t="shared" si="2"/>
        <v/>
      </c>
      <c r="M59" s="230"/>
      <c r="N59" s="230"/>
      <c r="O59" s="211" t="str">
        <f t="shared" si="3"/>
        <v/>
      </c>
      <c r="P59" s="229" t="str">
        <f t="shared" si="4"/>
        <v/>
      </c>
      <c r="Q59" s="230"/>
      <c r="R59" s="230"/>
      <c r="S59" s="230"/>
      <c r="T59" s="239" t="str">
        <f t="shared" si="5"/>
        <v/>
      </c>
      <c r="U59" s="241"/>
    </row>
    <row r="60" spans="1:21" ht="14.45">
      <c r="A60" s="210">
        <v>50</v>
      </c>
      <c r="B60" s="211" t="str">
        <f>IF('G3 MT Reading Scoresheet'!B60&lt;&gt;"",'G3 MT Reading Scoresheet'!B60,"")</f>
        <v/>
      </c>
      <c r="C60" s="212" t="str">
        <f>IF('G3 MT Reading Scoresheet'!C60&lt;&gt;"",'G3 MT Reading Scoresheet'!C60,"")</f>
        <v/>
      </c>
      <c r="D60" s="213" t="str">
        <f>IF('G3 MT Reading Scoresheet'!D60&lt;&gt;"",'G3 MT Reading Scoresheet'!D60,"")</f>
        <v/>
      </c>
      <c r="E60" s="214" t="str">
        <f>IF('G3 MT Reading Scoresheet'!E60&lt;&gt;"",'G3 MT Reading Scoresheet'!E60,"")</f>
        <v/>
      </c>
      <c r="F60" s="215"/>
      <c r="G60" s="216"/>
      <c r="H60" s="211" t="str">
        <f t="shared" si="6"/>
        <v/>
      </c>
      <c r="I60" s="211" t="str">
        <f t="shared" si="7"/>
        <v/>
      </c>
      <c r="J60" s="228"/>
      <c r="K60" s="228"/>
      <c r="L60" s="211" t="str">
        <f t="shared" si="2"/>
        <v/>
      </c>
      <c r="M60" s="228"/>
      <c r="N60" s="228"/>
      <c r="O60" s="211" t="str">
        <f t="shared" si="3"/>
        <v/>
      </c>
      <c r="P60" s="229" t="str">
        <f t="shared" si="4"/>
        <v/>
      </c>
      <c r="Q60" s="228"/>
      <c r="R60" s="228"/>
      <c r="S60" s="228"/>
      <c r="T60" s="239" t="str">
        <f t="shared" si="5"/>
        <v/>
      </c>
      <c r="U60" s="240"/>
    </row>
    <row r="61" spans="1:21" ht="14.45">
      <c r="A61" s="61">
        <v>51</v>
      </c>
      <c r="B61" s="211" t="str">
        <f>IF('G3 MT Reading Scoresheet'!B61&lt;&gt;"",'G3 MT Reading Scoresheet'!B61,"")</f>
        <v/>
      </c>
      <c r="C61" s="212" t="str">
        <f>IF('G3 MT Reading Scoresheet'!C61&lt;&gt;"",'G3 MT Reading Scoresheet'!C61,"")</f>
        <v/>
      </c>
      <c r="D61" s="213" t="str">
        <f>IF('G3 MT Reading Scoresheet'!D61&lt;&gt;"",'G3 MT Reading Scoresheet'!D61,"")</f>
        <v/>
      </c>
      <c r="E61" s="214" t="str">
        <f>IF('G3 MT Reading Scoresheet'!E61&lt;&gt;"",'G3 MT Reading Scoresheet'!E61,"")</f>
        <v/>
      </c>
      <c r="F61" s="217"/>
      <c r="G61" s="218"/>
      <c r="H61" s="211" t="str">
        <f t="shared" si="6"/>
        <v/>
      </c>
      <c r="I61" s="211" t="str">
        <f t="shared" si="7"/>
        <v/>
      </c>
      <c r="J61" s="230"/>
      <c r="K61" s="230"/>
      <c r="L61" s="211" t="str">
        <f t="shared" si="2"/>
        <v/>
      </c>
      <c r="M61" s="230"/>
      <c r="N61" s="230"/>
      <c r="O61" s="211" t="str">
        <f t="shared" si="3"/>
        <v/>
      </c>
      <c r="P61" s="229" t="str">
        <f t="shared" si="4"/>
        <v/>
      </c>
      <c r="Q61" s="230"/>
      <c r="R61" s="230"/>
      <c r="S61" s="230"/>
      <c r="T61" s="239" t="str">
        <f t="shared" si="5"/>
        <v/>
      </c>
      <c r="U61" s="241"/>
    </row>
    <row r="62" spans="1:21" ht="14.45">
      <c r="A62" s="210">
        <v>52</v>
      </c>
      <c r="B62" s="211" t="str">
        <f>IF('G3 MT Reading Scoresheet'!B62&lt;&gt;"",'G3 MT Reading Scoresheet'!B62,"")</f>
        <v/>
      </c>
      <c r="C62" s="212" t="str">
        <f>IF('G3 MT Reading Scoresheet'!C62&lt;&gt;"",'G3 MT Reading Scoresheet'!C62,"")</f>
        <v/>
      </c>
      <c r="D62" s="213" t="str">
        <f>IF('G3 MT Reading Scoresheet'!D62&lt;&gt;"",'G3 MT Reading Scoresheet'!D62,"")</f>
        <v/>
      </c>
      <c r="E62" s="214" t="str">
        <f>IF('G3 MT Reading Scoresheet'!E62&lt;&gt;"",'G3 MT Reading Scoresheet'!E62,"")</f>
        <v/>
      </c>
      <c r="F62" s="215"/>
      <c r="G62" s="216"/>
      <c r="H62" s="211" t="str">
        <f t="shared" si="6"/>
        <v/>
      </c>
      <c r="I62" s="211" t="str">
        <f t="shared" si="7"/>
        <v/>
      </c>
      <c r="J62" s="228"/>
      <c r="K62" s="228"/>
      <c r="L62" s="211" t="str">
        <f t="shared" si="2"/>
        <v/>
      </c>
      <c r="M62" s="228"/>
      <c r="N62" s="228"/>
      <c r="O62" s="211" t="str">
        <f t="shared" si="3"/>
        <v/>
      </c>
      <c r="P62" s="229" t="str">
        <f t="shared" si="4"/>
        <v/>
      </c>
      <c r="Q62" s="228"/>
      <c r="R62" s="228"/>
      <c r="S62" s="228"/>
      <c r="T62" s="239" t="str">
        <f t="shared" si="5"/>
        <v/>
      </c>
      <c r="U62" s="240"/>
    </row>
    <row r="63" spans="1:21" ht="14.45">
      <c r="A63" s="61">
        <v>53</v>
      </c>
      <c r="B63" s="211" t="str">
        <f>IF('G3 MT Reading Scoresheet'!B63&lt;&gt;"",'G3 MT Reading Scoresheet'!B63,"")</f>
        <v/>
      </c>
      <c r="C63" s="212" t="str">
        <f>IF('G3 MT Reading Scoresheet'!C63&lt;&gt;"",'G3 MT Reading Scoresheet'!C63,"")</f>
        <v/>
      </c>
      <c r="D63" s="213" t="str">
        <f>IF('G3 MT Reading Scoresheet'!D63&lt;&gt;"",'G3 MT Reading Scoresheet'!D63,"")</f>
        <v/>
      </c>
      <c r="E63" s="214" t="str">
        <f>IF('G3 MT Reading Scoresheet'!E63&lt;&gt;"",'G3 MT Reading Scoresheet'!E63,"")</f>
        <v/>
      </c>
      <c r="F63" s="217"/>
      <c r="G63" s="218"/>
      <c r="H63" s="211" t="str">
        <f t="shared" si="6"/>
        <v/>
      </c>
      <c r="I63" s="211" t="str">
        <f t="shared" si="7"/>
        <v/>
      </c>
      <c r="J63" s="230"/>
      <c r="K63" s="230"/>
      <c r="L63" s="211" t="str">
        <f t="shared" si="2"/>
        <v/>
      </c>
      <c r="M63" s="230"/>
      <c r="N63" s="230"/>
      <c r="O63" s="211" t="str">
        <f t="shared" si="3"/>
        <v/>
      </c>
      <c r="P63" s="229" t="str">
        <f t="shared" si="4"/>
        <v/>
      </c>
      <c r="Q63" s="230"/>
      <c r="R63" s="230"/>
      <c r="S63" s="230"/>
      <c r="T63" s="239" t="str">
        <f t="shared" si="5"/>
        <v/>
      </c>
      <c r="U63" s="241"/>
    </row>
    <row r="64" spans="1:21" ht="14.45">
      <c r="A64" s="210">
        <v>54</v>
      </c>
      <c r="B64" s="211" t="str">
        <f>IF('G3 MT Reading Scoresheet'!B64&lt;&gt;"",'G3 MT Reading Scoresheet'!B64,"")</f>
        <v/>
      </c>
      <c r="C64" s="212" t="str">
        <f>IF('G3 MT Reading Scoresheet'!C64&lt;&gt;"",'G3 MT Reading Scoresheet'!C64,"")</f>
        <v/>
      </c>
      <c r="D64" s="213" t="str">
        <f>IF('G3 MT Reading Scoresheet'!D64&lt;&gt;"",'G3 MT Reading Scoresheet'!D64,"")</f>
        <v/>
      </c>
      <c r="E64" s="214" t="str">
        <f>IF('G3 MT Reading Scoresheet'!E64&lt;&gt;"",'G3 MT Reading Scoresheet'!E64,"")</f>
        <v/>
      </c>
      <c r="F64" s="215"/>
      <c r="G64" s="216"/>
      <c r="H64" s="211" t="str">
        <f t="shared" si="6"/>
        <v/>
      </c>
      <c r="I64" s="211" t="str">
        <f t="shared" si="7"/>
        <v/>
      </c>
      <c r="J64" s="228"/>
      <c r="K64" s="228"/>
      <c r="L64" s="211" t="str">
        <f t="shared" si="2"/>
        <v/>
      </c>
      <c r="M64" s="228"/>
      <c r="N64" s="228"/>
      <c r="O64" s="211" t="str">
        <f t="shared" si="3"/>
        <v/>
      </c>
      <c r="P64" s="229" t="str">
        <f t="shared" si="4"/>
        <v/>
      </c>
      <c r="Q64" s="228"/>
      <c r="R64" s="228"/>
      <c r="S64" s="228"/>
      <c r="T64" s="239" t="str">
        <f t="shared" si="5"/>
        <v/>
      </c>
      <c r="U64" s="240"/>
    </row>
    <row r="65" spans="1:21" ht="14.45">
      <c r="A65" s="61">
        <v>55</v>
      </c>
      <c r="B65" s="211" t="str">
        <f>IF('G3 MT Reading Scoresheet'!B65&lt;&gt;"",'G3 MT Reading Scoresheet'!B65,"")</f>
        <v/>
      </c>
      <c r="C65" s="212" t="str">
        <f>IF('G3 MT Reading Scoresheet'!C65&lt;&gt;"",'G3 MT Reading Scoresheet'!C65,"")</f>
        <v/>
      </c>
      <c r="D65" s="213" t="str">
        <f>IF('G3 MT Reading Scoresheet'!D65&lt;&gt;"",'G3 MT Reading Scoresheet'!D65,"")</f>
        <v/>
      </c>
      <c r="E65" s="214" t="str">
        <f>IF('G3 MT Reading Scoresheet'!E65&lt;&gt;"",'G3 MT Reading Scoresheet'!E65,"")</f>
        <v/>
      </c>
      <c r="F65" s="217"/>
      <c r="G65" s="218"/>
      <c r="H65" s="211" t="str">
        <f t="shared" si="6"/>
        <v/>
      </c>
      <c r="I65" s="211" t="str">
        <f t="shared" si="7"/>
        <v/>
      </c>
      <c r="J65" s="230"/>
      <c r="K65" s="230"/>
      <c r="L65" s="211" t="str">
        <f t="shared" si="2"/>
        <v/>
      </c>
      <c r="M65" s="230"/>
      <c r="N65" s="230"/>
      <c r="O65" s="211" t="str">
        <f t="shared" si="3"/>
        <v/>
      </c>
      <c r="P65" s="229" t="str">
        <f t="shared" si="4"/>
        <v/>
      </c>
      <c r="Q65" s="230"/>
      <c r="R65" s="230"/>
      <c r="S65" s="230"/>
      <c r="T65" s="239" t="str">
        <f t="shared" si="5"/>
        <v/>
      </c>
      <c r="U65" s="241"/>
    </row>
    <row r="66" spans="1:21" ht="14.45">
      <c r="A66" s="210">
        <v>56</v>
      </c>
      <c r="B66" s="211" t="str">
        <f>IF('G3 MT Reading Scoresheet'!B66&lt;&gt;"",'G3 MT Reading Scoresheet'!B66,"")</f>
        <v/>
      </c>
      <c r="C66" s="212" t="str">
        <f>IF('G3 MT Reading Scoresheet'!C66&lt;&gt;"",'G3 MT Reading Scoresheet'!C66,"")</f>
        <v/>
      </c>
      <c r="D66" s="213" t="str">
        <f>IF('G3 MT Reading Scoresheet'!D66&lt;&gt;"",'G3 MT Reading Scoresheet'!D66,"")</f>
        <v/>
      </c>
      <c r="E66" s="214" t="str">
        <f>IF('G3 MT Reading Scoresheet'!E66&lt;&gt;"",'G3 MT Reading Scoresheet'!E66,"")</f>
        <v/>
      </c>
      <c r="F66" s="215"/>
      <c r="G66" s="216"/>
      <c r="H66" s="211" t="str">
        <f t="shared" si="6"/>
        <v/>
      </c>
      <c r="I66" s="211" t="str">
        <f t="shared" si="7"/>
        <v/>
      </c>
      <c r="J66" s="228"/>
      <c r="K66" s="228"/>
      <c r="L66" s="211" t="str">
        <f t="shared" si="2"/>
        <v/>
      </c>
      <c r="M66" s="228"/>
      <c r="N66" s="228"/>
      <c r="O66" s="211" t="str">
        <f t="shared" si="3"/>
        <v/>
      </c>
      <c r="P66" s="229" t="str">
        <f t="shared" si="4"/>
        <v/>
      </c>
      <c r="Q66" s="228"/>
      <c r="R66" s="228"/>
      <c r="S66" s="228"/>
      <c r="T66" s="239" t="str">
        <f t="shared" si="5"/>
        <v/>
      </c>
      <c r="U66" s="240"/>
    </row>
    <row r="67" spans="1:21" ht="14.45">
      <c r="A67" s="61">
        <v>57</v>
      </c>
      <c r="B67" s="211" t="str">
        <f>IF('G3 MT Reading Scoresheet'!B67&lt;&gt;"",'G3 MT Reading Scoresheet'!B67,"")</f>
        <v/>
      </c>
      <c r="C67" s="212" t="str">
        <f>IF('G3 MT Reading Scoresheet'!C67&lt;&gt;"",'G3 MT Reading Scoresheet'!C67,"")</f>
        <v/>
      </c>
      <c r="D67" s="213" t="str">
        <f>IF('G3 MT Reading Scoresheet'!D67&lt;&gt;"",'G3 MT Reading Scoresheet'!D67,"")</f>
        <v/>
      </c>
      <c r="E67" s="214" t="str">
        <f>IF('G3 MT Reading Scoresheet'!E67&lt;&gt;"",'G3 MT Reading Scoresheet'!E67,"")</f>
        <v/>
      </c>
      <c r="F67" s="217"/>
      <c r="G67" s="218"/>
      <c r="H67" s="211" t="str">
        <f t="shared" si="6"/>
        <v/>
      </c>
      <c r="I67" s="211" t="str">
        <f t="shared" si="7"/>
        <v/>
      </c>
      <c r="J67" s="230"/>
      <c r="K67" s="230"/>
      <c r="L67" s="211" t="str">
        <f t="shared" si="2"/>
        <v/>
      </c>
      <c r="M67" s="230"/>
      <c r="N67" s="230"/>
      <c r="O67" s="211" t="str">
        <f t="shared" si="3"/>
        <v/>
      </c>
      <c r="P67" s="229" t="str">
        <f t="shared" si="4"/>
        <v/>
      </c>
      <c r="Q67" s="230"/>
      <c r="R67" s="230"/>
      <c r="S67" s="230"/>
      <c r="T67" s="239" t="str">
        <f t="shared" si="5"/>
        <v/>
      </c>
      <c r="U67" s="241"/>
    </row>
    <row r="68" spans="1:21" ht="14.45">
      <c r="A68" s="210">
        <v>58</v>
      </c>
      <c r="B68" s="211" t="str">
        <f>IF('G3 MT Reading Scoresheet'!B68&lt;&gt;"",'G3 MT Reading Scoresheet'!B68,"")</f>
        <v/>
      </c>
      <c r="C68" s="212" t="str">
        <f>IF('G3 MT Reading Scoresheet'!C68&lt;&gt;"",'G3 MT Reading Scoresheet'!C68,"")</f>
        <v/>
      </c>
      <c r="D68" s="213" t="str">
        <f>IF('G3 MT Reading Scoresheet'!D68&lt;&gt;"",'G3 MT Reading Scoresheet'!D68,"")</f>
        <v/>
      </c>
      <c r="E68" s="214" t="str">
        <f>IF('G3 MT Reading Scoresheet'!E68&lt;&gt;"",'G3 MT Reading Scoresheet'!E68,"")</f>
        <v/>
      </c>
      <c r="F68" s="215"/>
      <c r="G68" s="216"/>
      <c r="H68" s="211" t="str">
        <f t="shared" si="6"/>
        <v/>
      </c>
      <c r="I68" s="211" t="str">
        <f t="shared" si="7"/>
        <v/>
      </c>
      <c r="J68" s="228"/>
      <c r="K68" s="228"/>
      <c r="L68" s="211" t="str">
        <f t="shared" si="2"/>
        <v/>
      </c>
      <c r="M68" s="228"/>
      <c r="N68" s="228"/>
      <c r="O68" s="211" t="str">
        <f t="shared" si="3"/>
        <v/>
      </c>
      <c r="P68" s="229" t="str">
        <f t="shared" si="4"/>
        <v/>
      </c>
      <c r="Q68" s="228"/>
      <c r="R68" s="228"/>
      <c r="S68" s="228"/>
      <c r="T68" s="239" t="str">
        <f t="shared" si="5"/>
        <v/>
      </c>
      <c r="U68" s="240"/>
    </row>
    <row r="69" spans="1:21" ht="14.45">
      <c r="A69" s="61">
        <v>59</v>
      </c>
      <c r="B69" s="211" t="str">
        <f>IF('G3 MT Reading Scoresheet'!B69&lt;&gt;"",'G3 MT Reading Scoresheet'!B69,"")</f>
        <v/>
      </c>
      <c r="C69" s="212" t="str">
        <f>IF('G3 MT Reading Scoresheet'!C69&lt;&gt;"",'G3 MT Reading Scoresheet'!C69,"")</f>
        <v/>
      </c>
      <c r="D69" s="213" t="str">
        <f>IF('G3 MT Reading Scoresheet'!D69&lt;&gt;"",'G3 MT Reading Scoresheet'!D69,"")</f>
        <v/>
      </c>
      <c r="E69" s="214" t="str">
        <f>IF('G3 MT Reading Scoresheet'!E69&lt;&gt;"",'G3 MT Reading Scoresheet'!E69,"")</f>
        <v/>
      </c>
      <c r="F69" s="217"/>
      <c r="G69" s="218"/>
      <c r="H69" s="211" t="str">
        <f t="shared" si="6"/>
        <v/>
      </c>
      <c r="I69" s="211" t="str">
        <f t="shared" si="7"/>
        <v/>
      </c>
      <c r="J69" s="230"/>
      <c r="K69" s="230"/>
      <c r="L69" s="211" t="str">
        <f t="shared" si="2"/>
        <v/>
      </c>
      <c r="M69" s="230"/>
      <c r="N69" s="230"/>
      <c r="O69" s="211" t="str">
        <f t="shared" si="3"/>
        <v/>
      </c>
      <c r="P69" s="229" t="str">
        <f t="shared" si="4"/>
        <v/>
      </c>
      <c r="Q69" s="230"/>
      <c r="R69" s="230"/>
      <c r="S69" s="230"/>
      <c r="T69" s="239" t="str">
        <f t="shared" si="5"/>
        <v/>
      </c>
      <c r="U69" s="241"/>
    </row>
    <row r="70" spans="1:21" ht="14.45">
      <c r="A70" s="61">
        <f>A69+1</f>
        <v>60</v>
      </c>
      <c r="B70" s="211" t="str">
        <f>IF('G3 MT Reading Scoresheet'!B70&lt;&gt;"",'G3 MT Reading Scoresheet'!B70,"")</f>
        <v/>
      </c>
      <c r="C70" s="212" t="str">
        <f>IF('G3 MT Reading Scoresheet'!C70&lt;&gt;"",'G3 MT Reading Scoresheet'!C70,"")</f>
        <v/>
      </c>
      <c r="D70" s="213" t="str">
        <f>IF('G3 MT Reading Scoresheet'!D70&lt;&gt;"",'G3 MT Reading Scoresheet'!D70,"")</f>
        <v/>
      </c>
      <c r="E70" s="214" t="str">
        <f>IF('G3 MT Reading Scoresheet'!E70&lt;&gt;"",'G3 MT Reading Scoresheet'!E70,"")</f>
        <v/>
      </c>
      <c r="F70" s="217"/>
      <c r="G70" s="216"/>
      <c r="H70" s="211" t="str">
        <f t="shared" si="6"/>
        <v/>
      </c>
      <c r="I70" s="211" t="str">
        <f t="shared" si="7"/>
        <v/>
      </c>
      <c r="J70" s="228"/>
      <c r="K70" s="228"/>
      <c r="L70" s="211" t="str">
        <f t="shared" si="2"/>
        <v/>
      </c>
      <c r="M70" s="228"/>
      <c r="N70" s="228"/>
      <c r="O70" s="211" t="str">
        <f t="shared" si="3"/>
        <v/>
      </c>
      <c r="P70" s="229" t="str">
        <f t="shared" si="4"/>
        <v/>
      </c>
      <c r="Q70" s="228"/>
      <c r="R70" s="228"/>
      <c r="S70" s="228"/>
      <c r="T70" s="239" t="str">
        <f t="shared" si="5"/>
        <v/>
      </c>
      <c r="U70" s="240"/>
    </row>
    <row r="71" spans="1:21" ht="14.45">
      <c r="A71" s="210">
        <f t="shared" ref="A71:A109" si="8">A70+1</f>
        <v>61</v>
      </c>
      <c r="B71" s="211" t="str">
        <f>IF('G3 MT Reading Scoresheet'!B71&lt;&gt;"",'G3 MT Reading Scoresheet'!B71,"")</f>
        <v/>
      </c>
      <c r="C71" s="212" t="str">
        <f>IF('G3 MT Reading Scoresheet'!C71&lt;&gt;"",'G3 MT Reading Scoresheet'!C71,"")</f>
        <v/>
      </c>
      <c r="D71" s="213" t="str">
        <f>IF('G3 MT Reading Scoresheet'!D71&lt;&gt;"",'G3 MT Reading Scoresheet'!D71,"")</f>
        <v/>
      </c>
      <c r="E71" s="214" t="str">
        <f>IF('G3 MT Reading Scoresheet'!E71&lt;&gt;"",'G3 MT Reading Scoresheet'!E71,"")</f>
        <v/>
      </c>
      <c r="F71" s="215"/>
      <c r="G71" s="218"/>
      <c r="H71" s="211" t="str">
        <f t="shared" si="6"/>
        <v/>
      </c>
      <c r="I71" s="211" t="str">
        <f t="shared" si="7"/>
        <v/>
      </c>
      <c r="J71" s="230"/>
      <c r="K71" s="230"/>
      <c r="L71" s="211" t="str">
        <f t="shared" si="2"/>
        <v/>
      </c>
      <c r="M71" s="230"/>
      <c r="N71" s="230"/>
      <c r="O71" s="211" t="str">
        <f t="shared" si="3"/>
        <v/>
      </c>
      <c r="P71" s="229" t="str">
        <f t="shared" si="4"/>
        <v/>
      </c>
      <c r="Q71" s="230"/>
      <c r="R71" s="230"/>
      <c r="S71" s="230"/>
      <c r="T71" s="239" t="str">
        <f t="shared" si="5"/>
        <v/>
      </c>
      <c r="U71" s="241"/>
    </row>
    <row r="72" spans="1:21" ht="14.45">
      <c r="A72" s="61">
        <f t="shared" si="8"/>
        <v>62</v>
      </c>
      <c r="B72" s="211" t="str">
        <f>IF('G3 MT Reading Scoresheet'!B72&lt;&gt;"",'G3 MT Reading Scoresheet'!B72,"")</f>
        <v/>
      </c>
      <c r="C72" s="212" t="str">
        <f>IF('G3 MT Reading Scoresheet'!C72&lt;&gt;"",'G3 MT Reading Scoresheet'!C72,"")</f>
        <v/>
      </c>
      <c r="D72" s="213" t="str">
        <f>IF('G3 MT Reading Scoresheet'!D72&lt;&gt;"",'G3 MT Reading Scoresheet'!D72,"")</f>
        <v/>
      </c>
      <c r="E72" s="214" t="str">
        <f>IF('G3 MT Reading Scoresheet'!E72&lt;&gt;"",'G3 MT Reading Scoresheet'!E72,"")</f>
        <v/>
      </c>
      <c r="F72" s="217"/>
      <c r="G72" s="216"/>
      <c r="H72" s="211" t="str">
        <f t="shared" si="6"/>
        <v/>
      </c>
      <c r="I72" s="211" t="str">
        <f t="shared" si="7"/>
        <v/>
      </c>
      <c r="J72" s="228"/>
      <c r="K72" s="228"/>
      <c r="L72" s="211" t="str">
        <f t="shared" si="2"/>
        <v/>
      </c>
      <c r="M72" s="228"/>
      <c r="N72" s="228"/>
      <c r="O72" s="211" t="str">
        <f t="shared" si="3"/>
        <v/>
      </c>
      <c r="P72" s="229" t="str">
        <f t="shared" si="4"/>
        <v/>
      </c>
      <c r="Q72" s="228"/>
      <c r="R72" s="228"/>
      <c r="S72" s="228"/>
      <c r="T72" s="239" t="str">
        <f t="shared" si="5"/>
        <v/>
      </c>
      <c r="U72" s="240"/>
    </row>
    <row r="73" spans="1:21" ht="14.45">
      <c r="A73" s="210">
        <f t="shared" si="8"/>
        <v>63</v>
      </c>
      <c r="B73" s="211" t="str">
        <f>IF('G3 MT Reading Scoresheet'!B73&lt;&gt;"",'G3 MT Reading Scoresheet'!B73,"")</f>
        <v/>
      </c>
      <c r="C73" s="212" t="str">
        <f>IF('G3 MT Reading Scoresheet'!C73&lt;&gt;"",'G3 MT Reading Scoresheet'!C73,"")</f>
        <v/>
      </c>
      <c r="D73" s="213" t="str">
        <f>IF('G3 MT Reading Scoresheet'!D73&lt;&gt;"",'G3 MT Reading Scoresheet'!D73,"")</f>
        <v/>
      </c>
      <c r="E73" s="214" t="str">
        <f>IF('G3 MT Reading Scoresheet'!E73&lt;&gt;"",'G3 MT Reading Scoresheet'!E73,"")</f>
        <v/>
      </c>
      <c r="F73" s="215"/>
      <c r="G73" s="218"/>
      <c r="H73" s="211" t="str">
        <f t="shared" si="6"/>
        <v/>
      </c>
      <c r="I73" s="211" t="str">
        <f t="shared" si="7"/>
        <v/>
      </c>
      <c r="J73" s="230"/>
      <c r="K73" s="230"/>
      <c r="L73" s="211" t="str">
        <f t="shared" si="2"/>
        <v/>
      </c>
      <c r="M73" s="230"/>
      <c r="N73" s="230"/>
      <c r="O73" s="211" t="str">
        <f t="shared" si="3"/>
        <v/>
      </c>
      <c r="P73" s="229" t="str">
        <f t="shared" si="4"/>
        <v/>
      </c>
      <c r="Q73" s="230"/>
      <c r="R73" s="230"/>
      <c r="S73" s="230"/>
      <c r="T73" s="239" t="str">
        <f t="shared" si="5"/>
        <v/>
      </c>
      <c r="U73" s="241"/>
    </row>
    <row r="74" spans="1:21" ht="14.45">
      <c r="A74" s="61">
        <f t="shared" si="8"/>
        <v>64</v>
      </c>
      <c r="B74" s="211" t="str">
        <f>IF('G3 MT Reading Scoresheet'!B74&lt;&gt;"",'G3 MT Reading Scoresheet'!B74,"")</f>
        <v/>
      </c>
      <c r="C74" s="212" t="str">
        <f>IF('G3 MT Reading Scoresheet'!C74&lt;&gt;"",'G3 MT Reading Scoresheet'!C74,"")</f>
        <v/>
      </c>
      <c r="D74" s="213" t="str">
        <f>IF('G3 MT Reading Scoresheet'!D74&lt;&gt;"",'G3 MT Reading Scoresheet'!D74,"")</f>
        <v/>
      </c>
      <c r="E74" s="214" t="str">
        <f>IF('G3 MT Reading Scoresheet'!E74&lt;&gt;"",'G3 MT Reading Scoresheet'!E74,"")</f>
        <v/>
      </c>
      <c r="F74" s="217"/>
      <c r="G74" s="216"/>
      <c r="H74" s="211" t="str">
        <f t="shared" si="6"/>
        <v/>
      </c>
      <c r="I74" s="211" t="str">
        <f t="shared" si="7"/>
        <v/>
      </c>
      <c r="J74" s="228"/>
      <c r="K74" s="228"/>
      <c r="L74" s="211" t="str">
        <f t="shared" si="2"/>
        <v/>
      </c>
      <c r="M74" s="228"/>
      <c r="N74" s="228"/>
      <c r="O74" s="211" t="str">
        <f t="shared" si="3"/>
        <v/>
      </c>
      <c r="P74" s="229" t="str">
        <f t="shared" si="4"/>
        <v/>
      </c>
      <c r="Q74" s="228"/>
      <c r="R74" s="228"/>
      <c r="S74" s="228"/>
      <c r="T74" s="239" t="str">
        <f t="shared" si="5"/>
        <v/>
      </c>
      <c r="U74" s="240"/>
    </row>
    <row r="75" spans="1:21" ht="14.45">
      <c r="A75" s="210">
        <f t="shared" si="8"/>
        <v>65</v>
      </c>
      <c r="B75" s="211" t="str">
        <f>IF('G3 MT Reading Scoresheet'!B75&lt;&gt;"",'G3 MT Reading Scoresheet'!B75,"")</f>
        <v/>
      </c>
      <c r="C75" s="212" t="str">
        <f>IF('G3 MT Reading Scoresheet'!C75&lt;&gt;"",'G3 MT Reading Scoresheet'!C75,"")</f>
        <v/>
      </c>
      <c r="D75" s="213" t="str">
        <f>IF('G3 MT Reading Scoresheet'!D75&lt;&gt;"",'G3 MT Reading Scoresheet'!D75,"")</f>
        <v/>
      </c>
      <c r="E75" s="214" t="str">
        <f>IF('G3 MT Reading Scoresheet'!E75&lt;&gt;"",'G3 MT Reading Scoresheet'!E75,"")</f>
        <v/>
      </c>
      <c r="F75" s="215"/>
      <c r="G75" s="218"/>
      <c r="H75" s="211" t="str">
        <f t="shared" ref="H75:H106" si="9">IF(ISBLANK(F75),"",IF(F75=0,0,F75+G75))</f>
        <v/>
      </c>
      <c r="I75" s="211" t="str">
        <f t="shared" ref="I75:I106" si="10">IF(ISBLANK(F75),"",IF(H75=0,"Full Refresher",IF(H75&lt;11,"Moderate Refresher",IF(H75&lt;17,"Light Refresher","Grade Ready"))))</f>
        <v/>
      </c>
      <c r="J75" s="230"/>
      <c r="K75" s="230"/>
      <c r="L75" s="211" t="str">
        <f t="shared" si="2"/>
        <v/>
      </c>
      <c r="M75" s="230"/>
      <c r="N75" s="230"/>
      <c r="O75" s="211" t="str">
        <f t="shared" si="3"/>
        <v/>
      </c>
      <c r="P75" s="229" t="str">
        <f t="shared" si="4"/>
        <v/>
      </c>
      <c r="Q75" s="230"/>
      <c r="R75" s="230"/>
      <c r="S75" s="230"/>
      <c r="T75" s="239" t="str">
        <f t="shared" si="5"/>
        <v/>
      </c>
      <c r="U75" s="241"/>
    </row>
    <row r="76" spans="1:21" ht="14.45">
      <c r="A76" s="61">
        <f t="shared" si="8"/>
        <v>66</v>
      </c>
      <c r="B76" s="211" t="str">
        <f>IF('G3 MT Reading Scoresheet'!B76&lt;&gt;"",'G3 MT Reading Scoresheet'!B76,"")</f>
        <v/>
      </c>
      <c r="C76" s="212" t="str">
        <f>IF('G3 MT Reading Scoresheet'!C76&lt;&gt;"",'G3 MT Reading Scoresheet'!C76,"")</f>
        <v/>
      </c>
      <c r="D76" s="213" t="str">
        <f>IF('G3 MT Reading Scoresheet'!D76&lt;&gt;"",'G3 MT Reading Scoresheet'!D76,"")</f>
        <v/>
      </c>
      <c r="E76" s="214" t="str">
        <f>IF('G3 MT Reading Scoresheet'!E76&lt;&gt;"",'G3 MT Reading Scoresheet'!E76,"")</f>
        <v/>
      </c>
      <c r="F76" s="217"/>
      <c r="G76" s="216"/>
      <c r="H76" s="211" t="str">
        <f t="shared" si="9"/>
        <v/>
      </c>
      <c r="I76" s="211" t="str">
        <f t="shared" si="10"/>
        <v/>
      </c>
      <c r="J76" s="228"/>
      <c r="K76" s="228"/>
      <c r="L76" s="211" t="str">
        <f t="shared" ref="L76:L110" si="11">IF(AND(J76&lt;&gt;"",K76&lt;&gt;""),100-K76,"")</f>
        <v/>
      </c>
      <c r="M76" s="228"/>
      <c r="N76" s="228"/>
      <c r="O76" s="211" t="str">
        <f t="shared" ref="O76:O110" si="12">IFERROR(IF(AND(J76&gt;0,L76&gt;0,OR(M76&gt;0,N76&gt;0)),(L76/((M76*60)+N76))*60,""),"")</f>
        <v/>
      </c>
      <c r="P76" s="229" t="str">
        <f t="shared" ref="P76:P110" si="13">IF(AND(J76&lt;&gt;"",K76&lt;&gt;""),L76/100,"")</f>
        <v/>
      </c>
      <c r="Q76" s="228"/>
      <c r="R76" s="228"/>
      <c r="S76" s="228"/>
      <c r="T76" s="239" t="str">
        <f t="shared" ref="T76:T110" si="14">IF(I76&lt;&gt;"",IF(I76="Full Refresher","Low Emerging Reader",IF(AND(J76&gt;0,P76&lt;&gt;""),IF(OR(P76&lt;=25%,AND(P76&gt;25%,P76&lt;=50%,Q76=0)),"High Emerging Reader",IF(OR(AND(P76&gt;25%,P76&lt;51%,Q76&gt;=1),AND(P76&gt;50%,P76&lt;76%,Q76&lt;=2)),"Developing Reader",IF(OR(AND(P76&gt;=51%,P76&lt;76%,Q76&gt;=3),AND(P76&gt;75%,Q76&lt;=4)),"Transitioning Reader",IF(AND(P76&gt;75%,Q76&gt;=5),"Reading At Grade Level","")))),"")),"")</f>
        <v/>
      </c>
      <c r="U76" s="240"/>
    </row>
    <row r="77" spans="1:21" ht="14.45">
      <c r="A77" s="210">
        <f t="shared" si="8"/>
        <v>67</v>
      </c>
      <c r="B77" s="211" t="str">
        <f>IF('G3 MT Reading Scoresheet'!B77&lt;&gt;"",'G3 MT Reading Scoresheet'!B77,"")</f>
        <v/>
      </c>
      <c r="C77" s="212" t="str">
        <f>IF('G3 MT Reading Scoresheet'!C77&lt;&gt;"",'G3 MT Reading Scoresheet'!C77,"")</f>
        <v/>
      </c>
      <c r="D77" s="213" t="str">
        <f>IF('G3 MT Reading Scoresheet'!D77&lt;&gt;"",'G3 MT Reading Scoresheet'!D77,"")</f>
        <v/>
      </c>
      <c r="E77" s="214" t="str">
        <f>IF('G3 MT Reading Scoresheet'!E77&lt;&gt;"",'G3 MT Reading Scoresheet'!E77,"")</f>
        <v/>
      </c>
      <c r="F77" s="215"/>
      <c r="G77" s="218"/>
      <c r="H77" s="211" t="str">
        <f t="shared" si="9"/>
        <v/>
      </c>
      <c r="I77" s="211" t="str">
        <f t="shared" si="10"/>
        <v/>
      </c>
      <c r="J77" s="230"/>
      <c r="K77" s="230"/>
      <c r="L77" s="211" t="str">
        <f t="shared" si="11"/>
        <v/>
      </c>
      <c r="M77" s="230"/>
      <c r="N77" s="230"/>
      <c r="O77" s="211" t="str">
        <f t="shared" si="12"/>
        <v/>
      </c>
      <c r="P77" s="229" t="str">
        <f t="shared" si="13"/>
        <v/>
      </c>
      <c r="Q77" s="230"/>
      <c r="R77" s="230"/>
      <c r="S77" s="230"/>
      <c r="T77" s="239" t="str">
        <f t="shared" si="14"/>
        <v/>
      </c>
      <c r="U77" s="241"/>
    </row>
    <row r="78" spans="1:21" ht="14.45">
      <c r="A78" s="61">
        <f t="shared" si="8"/>
        <v>68</v>
      </c>
      <c r="B78" s="211" t="str">
        <f>IF('G3 MT Reading Scoresheet'!B78&lt;&gt;"",'G3 MT Reading Scoresheet'!B78,"")</f>
        <v/>
      </c>
      <c r="C78" s="212" t="str">
        <f>IF('G3 MT Reading Scoresheet'!C78&lt;&gt;"",'G3 MT Reading Scoresheet'!C78,"")</f>
        <v/>
      </c>
      <c r="D78" s="213" t="str">
        <f>IF('G3 MT Reading Scoresheet'!D78&lt;&gt;"",'G3 MT Reading Scoresheet'!D78,"")</f>
        <v/>
      </c>
      <c r="E78" s="214" t="str">
        <f>IF('G3 MT Reading Scoresheet'!E78&lt;&gt;"",'G3 MT Reading Scoresheet'!E78,"")</f>
        <v/>
      </c>
      <c r="F78" s="217"/>
      <c r="G78" s="216"/>
      <c r="H78" s="211" t="str">
        <f t="shared" si="9"/>
        <v/>
      </c>
      <c r="I78" s="211" t="str">
        <f t="shared" si="10"/>
        <v/>
      </c>
      <c r="J78" s="228"/>
      <c r="K78" s="228"/>
      <c r="L78" s="211" t="str">
        <f t="shared" si="11"/>
        <v/>
      </c>
      <c r="M78" s="228"/>
      <c r="N78" s="228"/>
      <c r="O78" s="211" t="str">
        <f t="shared" si="12"/>
        <v/>
      </c>
      <c r="P78" s="229" t="str">
        <f t="shared" si="13"/>
        <v/>
      </c>
      <c r="Q78" s="228"/>
      <c r="R78" s="228"/>
      <c r="S78" s="228"/>
      <c r="T78" s="239" t="str">
        <f t="shared" si="14"/>
        <v/>
      </c>
      <c r="U78" s="240"/>
    </row>
    <row r="79" spans="1:21" ht="14.45">
      <c r="A79" s="210">
        <f t="shared" si="8"/>
        <v>69</v>
      </c>
      <c r="B79" s="211" t="str">
        <f>IF('G3 MT Reading Scoresheet'!B79&lt;&gt;"",'G3 MT Reading Scoresheet'!B79,"")</f>
        <v/>
      </c>
      <c r="C79" s="212" t="str">
        <f>IF('G3 MT Reading Scoresheet'!C79&lt;&gt;"",'G3 MT Reading Scoresheet'!C79,"")</f>
        <v/>
      </c>
      <c r="D79" s="213" t="str">
        <f>IF('G3 MT Reading Scoresheet'!D79&lt;&gt;"",'G3 MT Reading Scoresheet'!D79,"")</f>
        <v/>
      </c>
      <c r="E79" s="214" t="str">
        <f>IF('G3 MT Reading Scoresheet'!E79&lt;&gt;"",'G3 MT Reading Scoresheet'!E79,"")</f>
        <v/>
      </c>
      <c r="F79" s="215"/>
      <c r="G79" s="218"/>
      <c r="H79" s="211" t="str">
        <f t="shared" si="9"/>
        <v/>
      </c>
      <c r="I79" s="211" t="str">
        <f t="shared" si="10"/>
        <v/>
      </c>
      <c r="J79" s="230"/>
      <c r="K79" s="230"/>
      <c r="L79" s="211" t="str">
        <f t="shared" si="11"/>
        <v/>
      </c>
      <c r="M79" s="230"/>
      <c r="N79" s="230"/>
      <c r="O79" s="211" t="str">
        <f t="shared" si="12"/>
        <v/>
      </c>
      <c r="P79" s="229" t="str">
        <f t="shared" si="13"/>
        <v/>
      </c>
      <c r="Q79" s="230"/>
      <c r="R79" s="230"/>
      <c r="S79" s="230"/>
      <c r="T79" s="239" t="str">
        <f t="shared" si="14"/>
        <v/>
      </c>
      <c r="U79" s="241"/>
    </row>
    <row r="80" spans="1:21" ht="14.45">
      <c r="A80" s="61">
        <f t="shared" si="8"/>
        <v>70</v>
      </c>
      <c r="B80" s="211" t="str">
        <f>IF('G3 MT Reading Scoresheet'!B80&lt;&gt;"",'G3 MT Reading Scoresheet'!B80,"")</f>
        <v/>
      </c>
      <c r="C80" s="212" t="str">
        <f>IF('G3 MT Reading Scoresheet'!C80&lt;&gt;"",'G3 MT Reading Scoresheet'!C80,"")</f>
        <v/>
      </c>
      <c r="D80" s="213" t="str">
        <f>IF('G3 MT Reading Scoresheet'!D80&lt;&gt;"",'G3 MT Reading Scoresheet'!D80,"")</f>
        <v/>
      </c>
      <c r="E80" s="214" t="str">
        <f>IF('G3 MT Reading Scoresheet'!E80&lt;&gt;"",'G3 MT Reading Scoresheet'!E80,"")</f>
        <v/>
      </c>
      <c r="F80" s="217"/>
      <c r="G80" s="216"/>
      <c r="H80" s="211" t="str">
        <f t="shared" si="9"/>
        <v/>
      </c>
      <c r="I80" s="211" t="str">
        <f t="shared" si="10"/>
        <v/>
      </c>
      <c r="J80" s="228"/>
      <c r="K80" s="228"/>
      <c r="L80" s="211" t="str">
        <f t="shared" si="11"/>
        <v/>
      </c>
      <c r="M80" s="228"/>
      <c r="N80" s="228"/>
      <c r="O80" s="211" t="str">
        <f t="shared" si="12"/>
        <v/>
      </c>
      <c r="P80" s="229" t="str">
        <f t="shared" si="13"/>
        <v/>
      </c>
      <c r="Q80" s="228"/>
      <c r="R80" s="228"/>
      <c r="S80" s="228"/>
      <c r="T80" s="239" t="str">
        <f t="shared" si="14"/>
        <v/>
      </c>
      <c r="U80" s="240"/>
    </row>
    <row r="81" spans="1:21" ht="14.45">
      <c r="A81" s="210">
        <f t="shared" si="8"/>
        <v>71</v>
      </c>
      <c r="B81" s="211" t="str">
        <f>IF('G3 MT Reading Scoresheet'!B81&lt;&gt;"",'G3 MT Reading Scoresheet'!B81,"")</f>
        <v/>
      </c>
      <c r="C81" s="212" t="str">
        <f>IF('G3 MT Reading Scoresheet'!C81&lt;&gt;"",'G3 MT Reading Scoresheet'!C81,"")</f>
        <v/>
      </c>
      <c r="D81" s="213" t="str">
        <f>IF('G3 MT Reading Scoresheet'!D81&lt;&gt;"",'G3 MT Reading Scoresheet'!D81,"")</f>
        <v/>
      </c>
      <c r="E81" s="214" t="str">
        <f>IF('G3 MT Reading Scoresheet'!E81&lt;&gt;"",'G3 MT Reading Scoresheet'!E81,"")</f>
        <v/>
      </c>
      <c r="F81" s="215"/>
      <c r="G81" s="218"/>
      <c r="H81" s="211" t="str">
        <f t="shared" si="9"/>
        <v/>
      </c>
      <c r="I81" s="211" t="str">
        <f t="shared" si="10"/>
        <v/>
      </c>
      <c r="J81" s="230"/>
      <c r="K81" s="230"/>
      <c r="L81" s="211" t="str">
        <f t="shared" si="11"/>
        <v/>
      </c>
      <c r="M81" s="230"/>
      <c r="N81" s="230"/>
      <c r="O81" s="211" t="str">
        <f t="shared" si="12"/>
        <v/>
      </c>
      <c r="P81" s="229" t="str">
        <f t="shared" si="13"/>
        <v/>
      </c>
      <c r="Q81" s="230"/>
      <c r="R81" s="230"/>
      <c r="S81" s="230"/>
      <c r="T81" s="239" t="str">
        <f t="shared" si="14"/>
        <v/>
      </c>
      <c r="U81" s="241"/>
    </row>
    <row r="82" spans="1:21" ht="14.45">
      <c r="A82" s="61">
        <f t="shared" si="8"/>
        <v>72</v>
      </c>
      <c r="B82" s="211" t="str">
        <f>IF('G3 MT Reading Scoresheet'!B82&lt;&gt;"",'G3 MT Reading Scoresheet'!B82,"")</f>
        <v/>
      </c>
      <c r="C82" s="212" t="str">
        <f>IF('G3 MT Reading Scoresheet'!C82&lt;&gt;"",'G3 MT Reading Scoresheet'!C82,"")</f>
        <v/>
      </c>
      <c r="D82" s="213" t="str">
        <f>IF('G3 MT Reading Scoresheet'!D82&lt;&gt;"",'G3 MT Reading Scoresheet'!D82,"")</f>
        <v/>
      </c>
      <c r="E82" s="214" t="str">
        <f>IF('G3 MT Reading Scoresheet'!E82&lt;&gt;"",'G3 MT Reading Scoresheet'!E82,"")</f>
        <v/>
      </c>
      <c r="F82" s="217"/>
      <c r="G82" s="216"/>
      <c r="H82" s="211" t="str">
        <f t="shared" si="9"/>
        <v/>
      </c>
      <c r="I82" s="211" t="str">
        <f t="shared" si="10"/>
        <v/>
      </c>
      <c r="J82" s="228"/>
      <c r="K82" s="228"/>
      <c r="L82" s="211" t="str">
        <f t="shared" si="11"/>
        <v/>
      </c>
      <c r="M82" s="228"/>
      <c r="N82" s="228"/>
      <c r="O82" s="211" t="str">
        <f t="shared" si="12"/>
        <v/>
      </c>
      <c r="P82" s="229" t="str">
        <f t="shared" si="13"/>
        <v/>
      </c>
      <c r="Q82" s="228"/>
      <c r="R82" s="228"/>
      <c r="S82" s="228"/>
      <c r="T82" s="239" t="str">
        <f t="shared" si="14"/>
        <v/>
      </c>
      <c r="U82" s="240"/>
    </row>
    <row r="83" spans="1:21" ht="14.45">
      <c r="A83" s="210">
        <f t="shared" si="8"/>
        <v>73</v>
      </c>
      <c r="B83" s="211" t="str">
        <f>IF('G3 MT Reading Scoresheet'!B83&lt;&gt;"",'G3 MT Reading Scoresheet'!B83,"")</f>
        <v/>
      </c>
      <c r="C83" s="212" t="str">
        <f>IF('G3 MT Reading Scoresheet'!C83&lt;&gt;"",'G3 MT Reading Scoresheet'!C83,"")</f>
        <v/>
      </c>
      <c r="D83" s="213" t="str">
        <f>IF('G3 MT Reading Scoresheet'!D83&lt;&gt;"",'G3 MT Reading Scoresheet'!D83,"")</f>
        <v/>
      </c>
      <c r="E83" s="214" t="str">
        <f>IF('G3 MT Reading Scoresheet'!E83&lt;&gt;"",'G3 MT Reading Scoresheet'!E83,"")</f>
        <v/>
      </c>
      <c r="F83" s="215"/>
      <c r="G83" s="218"/>
      <c r="H83" s="211" t="str">
        <f t="shared" si="9"/>
        <v/>
      </c>
      <c r="I83" s="211" t="str">
        <f t="shared" si="10"/>
        <v/>
      </c>
      <c r="J83" s="230"/>
      <c r="K83" s="230"/>
      <c r="L83" s="211" t="str">
        <f t="shared" si="11"/>
        <v/>
      </c>
      <c r="M83" s="230"/>
      <c r="N83" s="230"/>
      <c r="O83" s="211" t="str">
        <f t="shared" si="12"/>
        <v/>
      </c>
      <c r="P83" s="229" t="str">
        <f t="shared" si="13"/>
        <v/>
      </c>
      <c r="Q83" s="230"/>
      <c r="R83" s="230"/>
      <c r="S83" s="230"/>
      <c r="T83" s="239" t="str">
        <f t="shared" si="14"/>
        <v/>
      </c>
      <c r="U83" s="241"/>
    </row>
    <row r="84" spans="1:21" ht="14.45">
      <c r="A84" s="61">
        <f t="shared" si="8"/>
        <v>74</v>
      </c>
      <c r="B84" s="211" t="str">
        <f>IF('G3 MT Reading Scoresheet'!B84&lt;&gt;"",'G3 MT Reading Scoresheet'!B84,"")</f>
        <v/>
      </c>
      <c r="C84" s="212" t="str">
        <f>IF('G3 MT Reading Scoresheet'!C84&lt;&gt;"",'G3 MT Reading Scoresheet'!C84,"")</f>
        <v/>
      </c>
      <c r="D84" s="213" t="str">
        <f>IF('G3 MT Reading Scoresheet'!D84&lt;&gt;"",'G3 MT Reading Scoresheet'!D84,"")</f>
        <v/>
      </c>
      <c r="E84" s="214" t="str">
        <f>IF('G3 MT Reading Scoresheet'!E84&lt;&gt;"",'G3 MT Reading Scoresheet'!E84,"")</f>
        <v/>
      </c>
      <c r="F84" s="217"/>
      <c r="G84" s="216"/>
      <c r="H84" s="211" t="str">
        <f t="shared" si="9"/>
        <v/>
      </c>
      <c r="I84" s="211" t="str">
        <f t="shared" si="10"/>
        <v/>
      </c>
      <c r="J84" s="228"/>
      <c r="K84" s="228"/>
      <c r="L84" s="211" t="str">
        <f t="shared" si="11"/>
        <v/>
      </c>
      <c r="M84" s="228"/>
      <c r="N84" s="228"/>
      <c r="O84" s="211" t="str">
        <f t="shared" si="12"/>
        <v/>
      </c>
      <c r="P84" s="229" t="str">
        <f t="shared" si="13"/>
        <v/>
      </c>
      <c r="Q84" s="228"/>
      <c r="R84" s="228"/>
      <c r="S84" s="228"/>
      <c r="T84" s="239" t="str">
        <f t="shared" si="14"/>
        <v/>
      </c>
      <c r="U84" s="240"/>
    </row>
    <row r="85" spans="1:21" ht="14.45">
      <c r="A85" s="210">
        <f t="shared" si="8"/>
        <v>75</v>
      </c>
      <c r="B85" s="211" t="str">
        <f>IF('G3 MT Reading Scoresheet'!B85&lt;&gt;"",'G3 MT Reading Scoresheet'!B85,"")</f>
        <v/>
      </c>
      <c r="C85" s="212" t="str">
        <f>IF('G3 MT Reading Scoresheet'!C85&lt;&gt;"",'G3 MT Reading Scoresheet'!C85,"")</f>
        <v/>
      </c>
      <c r="D85" s="213" t="str">
        <f>IF('G3 MT Reading Scoresheet'!D85&lt;&gt;"",'G3 MT Reading Scoresheet'!D85,"")</f>
        <v/>
      </c>
      <c r="E85" s="214" t="str">
        <f>IF('G3 MT Reading Scoresheet'!E85&lt;&gt;"",'G3 MT Reading Scoresheet'!E85,"")</f>
        <v/>
      </c>
      <c r="F85" s="215"/>
      <c r="G85" s="218"/>
      <c r="H85" s="211" t="str">
        <f t="shared" si="9"/>
        <v/>
      </c>
      <c r="I85" s="211" t="str">
        <f t="shared" si="10"/>
        <v/>
      </c>
      <c r="J85" s="230"/>
      <c r="K85" s="230"/>
      <c r="L85" s="211" t="str">
        <f t="shared" si="11"/>
        <v/>
      </c>
      <c r="M85" s="230"/>
      <c r="N85" s="230"/>
      <c r="O85" s="211" t="str">
        <f t="shared" si="12"/>
        <v/>
      </c>
      <c r="P85" s="229" t="str">
        <f t="shared" si="13"/>
        <v/>
      </c>
      <c r="Q85" s="230"/>
      <c r="R85" s="230"/>
      <c r="S85" s="230"/>
      <c r="T85" s="239" t="str">
        <f t="shared" si="14"/>
        <v/>
      </c>
      <c r="U85" s="241"/>
    </row>
    <row r="86" spans="1:21" ht="14.45">
      <c r="A86" s="61">
        <f t="shared" si="8"/>
        <v>76</v>
      </c>
      <c r="B86" s="211" t="str">
        <f>IF('G3 MT Reading Scoresheet'!B86&lt;&gt;"",'G3 MT Reading Scoresheet'!B86,"")</f>
        <v/>
      </c>
      <c r="C86" s="212" t="str">
        <f>IF('G3 MT Reading Scoresheet'!C86&lt;&gt;"",'G3 MT Reading Scoresheet'!C86,"")</f>
        <v/>
      </c>
      <c r="D86" s="213" t="str">
        <f>IF('G3 MT Reading Scoresheet'!D86&lt;&gt;"",'G3 MT Reading Scoresheet'!D86,"")</f>
        <v/>
      </c>
      <c r="E86" s="214" t="str">
        <f>IF('G3 MT Reading Scoresheet'!E86&lt;&gt;"",'G3 MT Reading Scoresheet'!E86,"")</f>
        <v/>
      </c>
      <c r="F86" s="217"/>
      <c r="G86" s="216"/>
      <c r="H86" s="211" t="str">
        <f t="shared" si="9"/>
        <v/>
      </c>
      <c r="I86" s="211" t="str">
        <f t="shared" si="10"/>
        <v/>
      </c>
      <c r="J86" s="228"/>
      <c r="K86" s="228"/>
      <c r="L86" s="211" t="str">
        <f t="shared" si="11"/>
        <v/>
      </c>
      <c r="M86" s="228"/>
      <c r="N86" s="228"/>
      <c r="O86" s="211" t="str">
        <f t="shared" si="12"/>
        <v/>
      </c>
      <c r="P86" s="229" t="str">
        <f t="shared" si="13"/>
        <v/>
      </c>
      <c r="Q86" s="228"/>
      <c r="R86" s="228"/>
      <c r="S86" s="228"/>
      <c r="T86" s="239" t="str">
        <f t="shared" si="14"/>
        <v/>
      </c>
      <c r="U86" s="240"/>
    </row>
    <row r="87" spans="1:21" ht="14.45">
      <c r="A87" s="210">
        <f t="shared" si="8"/>
        <v>77</v>
      </c>
      <c r="B87" s="211" t="str">
        <f>IF('G3 MT Reading Scoresheet'!B87&lt;&gt;"",'G3 MT Reading Scoresheet'!B87,"")</f>
        <v/>
      </c>
      <c r="C87" s="212" t="str">
        <f>IF('G3 MT Reading Scoresheet'!C87&lt;&gt;"",'G3 MT Reading Scoresheet'!C87,"")</f>
        <v/>
      </c>
      <c r="D87" s="213" t="str">
        <f>IF('G3 MT Reading Scoresheet'!D87&lt;&gt;"",'G3 MT Reading Scoresheet'!D87,"")</f>
        <v/>
      </c>
      <c r="E87" s="214" t="str">
        <f>IF('G3 MT Reading Scoresheet'!E87&lt;&gt;"",'G3 MT Reading Scoresheet'!E87,"")</f>
        <v/>
      </c>
      <c r="F87" s="215"/>
      <c r="G87" s="218"/>
      <c r="H87" s="211" t="str">
        <f t="shared" si="9"/>
        <v/>
      </c>
      <c r="I87" s="211" t="str">
        <f t="shared" si="10"/>
        <v/>
      </c>
      <c r="J87" s="230"/>
      <c r="K87" s="230"/>
      <c r="L87" s="211" t="str">
        <f t="shared" si="11"/>
        <v/>
      </c>
      <c r="M87" s="230"/>
      <c r="N87" s="230"/>
      <c r="O87" s="211" t="str">
        <f t="shared" si="12"/>
        <v/>
      </c>
      <c r="P87" s="229" t="str">
        <f t="shared" si="13"/>
        <v/>
      </c>
      <c r="Q87" s="230"/>
      <c r="R87" s="230"/>
      <c r="S87" s="230"/>
      <c r="T87" s="239" t="str">
        <f t="shared" si="14"/>
        <v/>
      </c>
      <c r="U87" s="241"/>
    </row>
    <row r="88" spans="1:21" ht="14.45">
      <c r="A88" s="61">
        <f t="shared" si="8"/>
        <v>78</v>
      </c>
      <c r="B88" s="211" t="str">
        <f>IF('G3 MT Reading Scoresheet'!B88&lt;&gt;"",'G3 MT Reading Scoresheet'!B88,"")</f>
        <v/>
      </c>
      <c r="C88" s="212" t="str">
        <f>IF('G3 MT Reading Scoresheet'!C88&lt;&gt;"",'G3 MT Reading Scoresheet'!C88,"")</f>
        <v/>
      </c>
      <c r="D88" s="213" t="str">
        <f>IF('G3 MT Reading Scoresheet'!D88&lt;&gt;"",'G3 MT Reading Scoresheet'!D88,"")</f>
        <v/>
      </c>
      <c r="E88" s="214" t="str">
        <f>IF('G3 MT Reading Scoresheet'!E88&lt;&gt;"",'G3 MT Reading Scoresheet'!E88,"")</f>
        <v/>
      </c>
      <c r="F88" s="217"/>
      <c r="G88" s="216"/>
      <c r="H88" s="211" t="str">
        <f t="shared" si="9"/>
        <v/>
      </c>
      <c r="I88" s="211" t="str">
        <f t="shared" si="10"/>
        <v/>
      </c>
      <c r="J88" s="228"/>
      <c r="K88" s="228"/>
      <c r="L88" s="211" t="str">
        <f t="shared" si="11"/>
        <v/>
      </c>
      <c r="M88" s="228"/>
      <c r="N88" s="228"/>
      <c r="O88" s="211" t="str">
        <f t="shared" si="12"/>
        <v/>
      </c>
      <c r="P88" s="229" t="str">
        <f t="shared" si="13"/>
        <v/>
      </c>
      <c r="Q88" s="228"/>
      <c r="R88" s="228"/>
      <c r="S88" s="228"/>
      <c r="T88" s="239" t="str">
        <f t="shared" si="14"/>
        <v/>
      </c>
      <c r="U88" s="240"/>
    </row>
    <row r="89" spans="1:21" ht="14.45">
      <c r="A89" s="210">
        <f t="shared" si="8"/>
        <v>79</v>
      </c>
      <c r="B89" s="211" t="str">
        <f>IF('G3 MT Reading Scoresheet'!B89&lt;&gt;"",'G3 MT Reading Scoresheet'!B89,"")</f>
        <v/>
      </c>
      <c r="C89" s="212" t="str">
        <f>IF('G3 MT Reading Scoresheet'!C89&lt;&gt;"",'G3 MT Reading Scoresheet'!C89,"")</f>
        <v/>
      </c>
      <c r="D89" s="213" t="str">
        <f>IF('G3 MT Reading Scoresheet'!D89&lt;&gt;"",'G3 MT Reading Scoresheet'!D89,"")</f>
        <v/>
      </c>
      <c r="E89" s="214" t="str">
        <f>IF('G3 MT Reading Scoresheet'!E89&lt;&gt;"",'G3 MT Reading Scoresheet'!E89,"")</f>
        <v/>
      </c>
      <c r="F89" s="215"/>
      <c r="G89" s="218"/>
      <c r="H89" s="211" t="str">
        <f t="shared" si="9"/>
        <v/>
      </c>
      <c r="I89" s="211" t="str">
        <f t="shared" si="10"/>
        <v/>
      </c>
      <c r="J89" s="230"/>
      <c r="K89" s="230"/>
      <c r="L89" s="211" t="str">
        <f t="shared" si="11"/>
        <v/>
      </c>
      <c r="M89" s="230"/>
      <c r="N89" s="230"/>
      <c r="O89" s="211" t="str">
        <f t="shared" si="12"/>
        <v/>
      </c>
      <c r="P89" s="229" t="str">
        <f t="shared" si="13"/>
        <v/>
      </c>
      <c r="Q89" s="230"/>
      <c r="R89" s="230"/>
      <c r="S89" s="230"/>
      <c r="T89" s="239" t="str">
        <f t="shared" si="14"/>
        <v/>
      </c>
      <c r="U89" s="241"/>
    </row>
    <row r="90" spans="1:21" ht="14.45">
      <c r="A90" s="61">
        <f t="shared" si="8"/>
        <v>80</v>
      </c>
      <c r="B90" s="211" t="str">
        <f>IF('G3 MT Reading Scoresheet'!B90&lt;&gt;"",'G3 MT Reading Scoresheet'!B90,"")</f>
        <v/>
      </c>
      <c r="C90" s="212" t="str">
        <f>IF('G3 MT Reading Scoresheet'!C90&lt;&gt;"",'G3 MT Reading Scoresheet'!C90,"")</f>
        <v/>
      </c>
      <c r="D90" s="213" t="str">
        <f>IF('G3 MT Reading Scoresheet'!D90&lt;&gt;"",'G3 MT Reading Scoresheet'!D90,"")</f>
        <v/>
      </c>
      <c r="E90" s="214" t="str">
        <f>IF('G3 MT Reading Scoresheet'!E90&lt;&gt;"",'G3 MT Reading Scoresheet'!E90,"")</f>
        <v/>
      </c>
      <c r="F90" s="217"/>
      <c r="G90" s="216"/>
      <c r="H90" s="211" t="str">
        <f t="shared" si="9"/>
        <v/>
      </c>
      <c r="I90" s="211" t="str">
        <f t="shared" si="10"/>
        <v/>
      </c>
      <c r="J90" s="228"/>
      <c r="K90" s="228"/>
      <c r="L90" s="211" t="str">
        <f t="shared" si="11"/>
        <v/>
      </c>
      <c r="M90" s="228"/>
      <c r="N90" s="228"/>
      <c r="O90" s="211" t="str">
        <f t="shared" si="12"/>
        <v/>
      </c>
      <c r="P90" s="229" t="str">
        <f t="shared" si="13"/>
        <v/>
      </c>
      <c r="Q90" s="228"/>
      <c r="R90" s="228"/>
      <c r="S90" s="228"/>
      <c r="T90" s="239" t="str">
        <f t="shared" si="14"/>
        <v/>
      </c>
      <c r="U90" s="240"/>
    </row>
    <row r="91" spans="1:21" ht="14.45">
      <c r="A91" s="210">
        <f t="shared" si="8"/>
        <v>81</v>
      </c>
      <c r="B91" s="211" t="str">
        <f>IF('G3 MT Reading Scoresheet'!B91&lt;&gt;"",'G3 MT Reading Scoresheet'!B91,"")</f>
        <v/>
      </c>
      <c r="C91" s="212" t="str">
        <f>IF('G3 MT Reading Scoresheet'!C91&lt;&gt;"",'G3 MT Reading Scoresheet'!C91,"")</f>
        <v/>
      </c>
      <c r="D91" s="213" t="str">
        <f>IF('G3 MT Reading Scoresheet'!D91&lt;&gt;"",'G3 MT Reading Scoresheet'!D91,"")</f>
        <v/>
      </c>
      <c r="E91" s="214" t="str">
        <f>IF('G3 MT Reading Scoresheet'!E91&lt;&gt;"",'G3 MT Reading Scoresheet'!E91,"")</f>
        <v/>
      </c>
      <c r="F91" s="215"/>
      <c r="G91" s="218"/>
      <c r="H91" s="211" t="str">
        <f t="shared" si="9"/>
        <v/>
      </c>
      <c r="I91" s="211" t="str">
        <f t="shared" si="10"/>
        <v/>
      </c>
      <c r="J91" s="230"/>
      <c r="K91" s="230"/>
      <c r="L91" s="211" t="str">
        <f t="shared" si="11"/>
        <v/>
      </c>
      <c r="M91" s="230"/>
      <c r="N91" s="230"/>
      <c r="O91" s="211" t="str">
        <f t="shared" si="12"/>
        <v/>
      </c>
      <c r="P91" s="229" t="str">
        <f t="shared" si="13"/>
        <v/>
      </c>
      <c r="Q91" s="230"/>
      <c r="R91" s="230"/>
      <c r="S91" s="230"/>
      <c r="T91" s="239" t="str">
        <f t="shared" si="14"/>
        <v/>
      </c>
      <c r="U91" s="241"/>
    </row>
    <row r="92" spans="1:21" ht="14.45">
      <c r="A92" s="61">
        <f t="shared" si="8"/>
        <v>82</v>
      </c>
      <c r="B92" s="211" t="str">
        <f>IF('G3 MT Reading Scoresheet'!B92&lt;&gt;"",'G3 MT Reading Scoresheet'!B92,"")</f>
        <v/>
      </c>
      <c r="C92" s="212" t="str">
        <f>IF('G3 MT Reading Scoresheet'!C92&lt;&gt;"",'G3 MT Reading Scoresheet'!C92,"")</f>
        <v/>
      </c>
      <c r="D92" s="213" t="str">
        <f>IF('G3 MT Reading Scoresheet'!D92&lt;&gt;"",'G3 MT Reading Scoresheet'!D92,"")</f>
        <v/>
      </c>
      <c r="E92" s="214" t="str">
        <f>IF('G3 MT Reading Scoresheet'!E92&lt;&gt;"",'G3 MT Reading Scoresheet'!E92,"")</f>
        <v/>
      </c>
      <c r="F92" s="217"/>
      <c r="G92" s="216"/>
      <c r="H92" s="211" t="str">
        <f t="shared" si="9"/>
        <v/>
      </c>
      <c r="I92" s="211" t="str">
        <f t="shared" si="10"/>
        <v/>
      </c>
      <c r="J92" s="228"/>
      <c r="K92" s="228"/>
      <c r="L92" s="211" t="str">
        <f t="shared" si="11"/>
        <v/>
      </c>
      <c r="M92" s="228"/>
      <c r="N92" s="228"/>
      <c r="O92" s="211" t="str">
        <f t="shared" si="12"/>
        <v/>
      </c>
      <c r="P92" s="229" t="str">
        <f t="shared" si="13"/>
        <v/>
      </c>
      <c r="Q92" s="228"/>
      <c r="R92" s="228"/>
      <c r="S92" s="228"/>
      <c r="T92" s="239" t="str">
        <f t="shared" si="14"/>
        <v/>
      </c>
      <c r="U92" s="240"/>
    </row>
    <row r="93" spans="1:21" ht="14.45">
      <c r="A93" s="210">
        <f t="shared" si="8"/>
        <v>83</v>
      </c>
      <c r="B93" s="211" t="str">
        <f>IF('G3 MT Reading Scoresheet'!B93&lt;&gt;"",'G3 MT Reading Scoresheet'!B93,"")</f>
        <v/>
      </c>
      <c r="C93" s="212" t="str">
        <f>IF('G3 MT Reading Scoresheet'!C93&lt;&gt;"",'G3 MT Reading Scoresheet'!C93,"")</f>
        <v/>
      </c>
      <c r="D93" s="213" t="str">
        <f>IF('G3 MT Reading Scoresheet'!D93&lt;&gt;"",'G3 MT Reading Scoresheet'!D93,"")</f>
        <v/>
      </c>
      <c r="E93" s="214" t="str">
        <f>IF('G3 MT Reading Scoresheet'!E93&lt;&gt;"",'G3 MT Reading Scoresheet'!E93,"")</f>
        <v/>
      </c>
      <c r="F93" s="215"/>
      <c r="G93" s="218"/>
      <c r="H93" s="211" t="str">
        <f t="shared" si="9"/>
        <v/>
      </c>
      <c r="I93" s="211" t="str">
        <f t="shared" si="10"/>
        <v/>
      </c>
      <c r="J93" s="230"/>
      <c r="K93" s="230"/>
      <c r="L93" s="211" t="str">
        <f t="shared" si="11"/>
        <v/>
      </c>
      <c r="M93" s="230"/>
      <c r="N93" s="230"/>
      <c r="O93" s="211" t="str">
        <f t="shared" si="12"/>
        <v/>
      </c>
      <c r="P93" s="229" t="str">
        <f t="shared" si="13"/>
        <v/>
      </c>
      <c r="Q93" s="230"/>
      <c r="R93" s="230"/>
      <c r="S93" s="230"/>
      <c r="T93" s="239" t="str">
        <f t="shared" si="14"/>
        <v/>
      </c>
      <c r="U93" s="241"/>
    </row>
    <row r="94" spans="1:21" ht="14.45">
      <c r="A94" s="61">
        <f t="shared" si="8"/>
        <v>84</v>
      </c>
      <c r="B94" s="211" t="str">
        <f>IF('G3 MT Reading Scoresheet'!B94&lt;&gt;"",'G3 MT Reading Scoresheet'!B94,"")</f>
        <v/>
      </c>
      <c r="C94" s="212" t="str">
        <f>IF('G3 MT Reading Scoresheet'!C94&lt;&gt;"",'G3 MT Reading Scoresheet'!C94,"")</f>
        <v/>
      </c>
      <c r="D94" s="213" t="str">
        <f>IF('G3 MT Reading Scoresheet'!D94&lt;&gt;"",'G3 MT Reading Scoresheet'!D94,"")</f>
        <v/>
      </c>
      <c r="E94" s="214" t="str">
        <f>IF('G3 MT Reading Scoresheet'!E94&lt;&gt;"",'G3 MT Reading Scoresheet'!E94,"")</f>
        <v/>
      </c>
      <c r="F94" s="217"/>
      <c r="G94" s="216"/>
      <c r="H94" s="211" t="str">
        <f t="shared" si="9"/>
        <v/>
      </c>
      <c r="I94" s="211" t="str">
        <f t="shared" si="10"/>
        <v/>
      </c>
      <c r="J94" s="228"/>
      <c r="K94" s="228"/>
      <c r="L94" s="211" t="str">
        <f t="shared" si="11"/>
        <v/>
      </c>
      <c r="M94" s="228"/>
      <c r="N94" s="228"/>
      <c r="O94" s="211" t="str">
        <f t="shared" si="12"/>
        <v/>
      </c>
      <c r="P94" s="229" t="str">
        <f t="shared" si="13"/>
        <v/>
      </c>
      <c r="Q94" s="228"/>
      <c r="R94" s="228"/>
      <c r="S94" s="228"/>
      <c r="T94" s="239" t="str">
        <f t="shared" si="14"/>
        <v/>
      </c>
      <c r="U94" s="240"/>
    </row>
    <row r="95" spans="1:21" ht="14.45">
      <c r="A95" s="210">
        <f t="shared" si="8"/>
        <v>85</v>
      </c>
      <c r="B95" s="211" t="str">
        <f>IF('G3 MT Reading Scoresheet'!B95&lt;&gt;"",'G3 MT Reading Scoresheet'!B95,"")</f>
        <v/>
      </c>
      <c r="C95" s="212" t="str">
        <f>IF('G3 MT Reading Scoresheet'!C95&lt;&gt;"",'G3 MT Reading Scoresheet'!C95,"")</f>
        <v/>
      </c>
      <c r="D95" s="213" t="str">
        <f>IF('G3 MT Reading Scoresheet'!D95&lt;&gt;"",'G3 MT Reading Scoresheet'!D95,"")</f>
        <v/>
      </c>
      <c r="E95" s="214" t="str">
        <f>IF('G3 MT Reading Scoresheet'!E95&lt;&gt;"",'G3 MT Reading Scoresheet'!E95,"")</f>
        <v/>
      </c>
      <c r="F95" s="215"/>
      <c r="G95" s="218"/>
      <c r="H95" s="211" t="str">
        <f t="shared" si="9"/>
        <v/>
      </c>
      <c r="I95" s="211" t="str">
        <f t="shared" si="10"/>
        <v/>
      </c>
      <c r="J95" s="230"/>
      <c r="K95" s="230"/>
      <c r="L95" s="211" t="str">
        <f t="shared" si="11"/>
        <v/>
      </c>
      <c r="M95" s="230"/>
      <c r="N95" s="230"/>
      <c r="O95" s="211" t="str">
        <f t="shared" si="12"/>
        <v/>
      </c>
      <c r="P95" s="229" t="str">
        <f t="shared" si="13"/>
        <v/>
      </c>
      <c r="Q95" s="230"/>
      <c r="R95" s="230"/>
      <c r="S95" s="230"/>
      <c r="T95" s="239" t="str">
        <f t="shared" si="14"/>
        <v/>
      </c>
      <c r="U95" s="241"/>
    </row>
    <row r="96" spans="1:21" ht="14.45">
      <c r="A96" s="61">
        <f t="shared" si="8"/>
        <v>86</v>
      </c>
      <c r="B96" s="211" t="str">
        <f>IF('G3 MT Reading Scoresheet'!B96&lt;&gt;"",'G3 MT Reading Scoresheet'!B96,"")</f>
        <v/>
      </c>
      <c r="C96" s="212" t="str">
        <f>IF('G3 MT Reading Scoresheet'!C96&lt;&gt;"",'G3 MT Reading Scoresheet'!C96,"")</f>
        <v/>
      </c>
      <c r="D96" s="213" t="str">
        <f>IF('G3 MT Reading Scoresheet'!D96&lt;&gt;"",'G3 MT Reading Scoresheet'!D96,"")</f>
        <v/>
      </c>
      <c r="E96" s="214" t="str">
        <f>IF('G3 MT Reading Scoresheet'!E96&lt;&gt;"",'G3 MT Reading Scoresheet'!E96,"")</f>
        <v/>
      </c>
      <c r="F96" s="217"/>
      <c r="G96" s="216"/>
      <c r="H96" s="211" t="str">
        <f t="shared" si="9"/>
        <v/>
      </c>
      <c r="I96" s="211" t="str">
        <f t="shared" si="10"/>
        <v/>
      </c>
      <c r="J96" s="228"/>
      <c r="K96" s="228"/>
      <c r="L96" s="211" t="str">
        <f t="shared" si="11"/>
        <v/>
      </c>
      <c r="M96" s="228"/>
      <c r="N96" s="228"/>
      <c r="O96" s="211" t="str">
        <f t="shared" si="12"/>
        <v/>
      </c>
      <c r="P96" s="229" t="str">
        <f t="shared" si="13"/>
        <v/>
      </c>
      <c r="Q96" s="228"/>
      <c r="R96" s="228"/>
      <c r="S96" s="228"/>
      <c r="T96" s="239" t="str">
        <f t="shared" si="14"/>
        <v/>
      </c>
      <c r="U96" s="240"/>
    </row>
    <row r="97" spans="1:21" ht="14.45">
      <c r="A97" s="210">
        <f t="shared" si="8"/>
        <v>87</v>
      </c>
      <c r="B97" s="211" t="str">
        <f>IF('G3 MT Reading Scoresheet'!B97&lt;&gt;"",'G3 MT Reading Scoresheet'!B97,"")</f>
        <v/>
      </c>
      <c r="C97" s="212" t="str">
        <f>IF('G3 MT Reading Scoresheet'!C97&lt;&gt;"",'G3 MT Reading Scoresheet'!C97,"")</f>
        <v/>
      </c>
      <c r="D97" s="213" t="str">
        <f>IF('G3 MT Reading Scoresheet'!D97&lt;&gt;"",'G3 MT Reading Scoresheet'!D97,"")</f>
        <v/>
      </c>
      <c r="E97" s="214" t="str">
        <f>IF('G3 MT Reading Scoresheet'!E97&lt;&gt;"",'G3 MT Reading Scoresheet'!E97,"")</f>
        <v/>
      </c>
      <c r="F97" s="215"/>
      <c r="G97" s="218"/>
      <c r="H97" s="211" t="str">
        <f t="shared" si="9"/>
        <v/>
      </c>
      <c r="I97" s="211" t="str">
        <f t="shared" si="10"/>
        <v/>
      </c>
      <c r="J97" s="230"/>
      <c r="K97" s="230"/>
      <c r="L97" s="211" t="str">
        <f t="shared" si="11"/>
        <v/>
      </c>
      <c r="M97" s="230"/>
      <c r="N97" s="230"/>
      <c r="O97" s="211" t="str">
        <f t="shared" si="12"/>
        <v/>
      </c>
      <c r="P97" s="229" t="str">
        <f t="shared" si="13"/>
        <v/>
      </c>
      <c r="Q97" s="230"/>
      <c r="R97" s="230"/>
      <c r="S97" s="230"/>
      <c r="T97" s="239" t="str">
        <f t="shared" si="14"/>
        <v/>
      </c>
      <c r="U97" s="241"/>
    </row>
    <row r="98" spans="1:21" ht="14.45">
      <c r="A98" s="61">
        <f t="shared" si="8"/>
        <v>88</v>
      </c>
      <c r="B98" s="211" t="str">
        <f>IF('G3 MT Reading Scoresheet'!B98&lt;&gt;"",'G3 MT Reading Scoresheet'!B98,"")</f>
        <v/>
      </c>
      <c r="C98" s="212" t="str">
        <f>IF('G3 MT Reading Scoresheet'!C98&lt;&gt;"",'G3 MT Reading Scoresheet'!C98,"")</f>
        <v/>
      </c>
      <c r="D98" s="213" t="str">
        <f>IF('G3 MT Reading Scoresheet'!D98&lt;&gt;"",'G3 MT Reading Scoresheet'!D98,"")</f>
        <v/>
      </c>
      <c r="E98" s="214" t="str">
        <f>IF('G3 MT Reading Scoresheet'!E98&lt;&gt;"",'G3 MT Reading Scoresheet'!E98,"")</f>
        <v/>
      </c>
      <c r="F98" s="217"/>
      <c r="G98" s="216"/>
      <c r="H98" s="211" t="str">
        <f t="shared" si="9"/>
        <v/>
      </c>
      <c r="I98" s="211" t="str">
        <f t="shared" si="10"/>
        <v/>
      </c>
      <c r="J98" s="228"/>
      <c r="K98" s="228"/>
      <c r="L98" s="211" t="str">
        <f t="shared" si="11"/>
        <v/>
      </c>
      <c r="M98" s="228"/>
      <c r="N98" s="228"/>
      <c r="O98" s="211" t="str">
        <f t="shared" si="12"/>
        <v/>
      </c>
      <c r="P98" s="229" t="str">
        <f t="shared" si="13"/>
        <v/>
      </c>
      <c r="Q98" s="228"/>
      <c r="R98" s="228"/>
      <c r="S98" s="228"/>
      <c r="T98" s="239" t="str">
        <f t="shared" si="14"/>
        <v/>
      </c>
      <c r="U98" s="240"/>
    </row>
    <row r="99" spans="1:21" ht="14.45">
      <c r="A99" s="210">
        <f t="shared" si="8"/>
        <v>89</v>
      </c>
      <c r="B99" s="211" t="str">
        <f>IF('G3 MT Reading Scoresheet'!B99&lt;&gt;"",'G3 MT Reading Scoresheet'!B99,"")</f>
        <v/>
      </c>
      <c r="C99" s="212" t="str">
        <f>IF('G3 MT Reading Scoresheet'!C99&lt;&gt;"",'G3 MT Reading Scoresheet'!C99,"")</f>
        <v/>
      </c>
      <c r="D99" s="213" t="str">
        <f>IF('G3 MT Reading Scoresheet'!D99&lt;&gt;"",'G3 MT Reading Scoresheet'!D99,"")</f>
        <v/>
      </c>
      <c r="E99" s="214" t="str">
        <f>IF('G3 MT Reading Scoresheet'!E99&lt;&gt;"",'G3 MT Reading Scoresheet'!E99,"")</f>
        <v/>
      </c>
      <c r="F99" s="215"/>
      <c r="G99" s="218"/>
      <c r="H99" s="211" t="str">
        <f t="shared" si="9"/>
        <v/>
      </c>
      <c r="I99" s="211" t="str">
        <f t="shared" si="10"/>
        <v/>
      </c>
      <c r="J99" s="230"/>
      <c r="K99" s="230"/>
      <c r="L99" s="211" t="str">
        <f t="shared" si="11"/>
        <v/>
      </c>
      <c r="M99" s="230"/>
      <c r="N99" s="230"/>
      <c r="O99" s="211" t="str">
        <f t="shared" si="12"/>
        <v/>
      </c>
      <c r="P99" s="229" t="str">
        <f t="shared" si="13"/>
        <v/>
      </c>
      <c r="Q99" s="230"/>
      <c r="R99" s="230"/>
      <c r="S99" s="230"/>
      <c r="T99" s="239" t="str">
        <f t="shared" si="14"/>
        <v/>
      </c>
      <c r="U99" s="241"/>
    </row>
    <row r="100" spans="1:21" ht="14.45">
      <c r="A100" s="61">
        <f t="shared" si="8"/>
        <v>90</v>
      </c>
      <c r="B100" s="211" t="str">
        <f>IF('G3 MT Reading Scoresheet'!B100&lt;&gt;"",'G3 MT Reading Scoresheet'!B100,"")</f>
        <v/>
      </c>
      <c r="C100" s="212" t="str">
        <f>IF('G3 MT Reading Scoresheet'!C100&lt;&gt;"",'G3 MT Reading Scoresheet'!C100,"")</f>
        <v/>
      </c>
      <c r="D100" s="213" t="str">
        <f>IF('G3 MT Reading Scoresheet'!D100&lt;&gt;"",'G3 MT Reading Scoresheet'!D100,"")</f>
        <v/>
      </c>
      <c r="E100" s="214" t="str">
        <f>IF('G3 MT Reading Scoresheet'!E100&lt;&gt;"",'G3 MT Reading Scoresheet'!E100,"")</f>
        <v/>
      </c>
      <c r="F100" s="217"/>
      <c r="G100" s="216"/>
      <c r="H100" s="211" t="str">
        <f t="shared" si="9"/>
        <v/>
      </c>
      <c r="I100" s="211" t="str">
        <f t="shared" si="10"/>
        <v/>
      </c>
      <c r="J100" s="228"/>
      <c r="K100" s="228"/>
      <c r="L100" s="211" t="str">
        <f t="shared" si="11"/>
        <v/>
      </c>
      <c r="M100" s="228"/>
      <c r="N100" s="228"/>
      <c r="O100" s="211" t="str">
        <f t="shared" si="12"/>
        <v/>
      </c>
      <c r="P100" s="229" t="str">
        <f t="shared" si="13"/>
        <v/>
      </c>
      <c r="Q100" s="228"/>
      <c r="R100" s="228"/>
      <c r="S100" s="228"/>
      <c r="T100" s="239" t="str">
        <f t="shared" si="14"/>
        <v/>
      </c>
      <c r="U100" s="240"/>
    </row>
    <row r="101" spans="1:21" ht="14.45">
      <c r="A101" s="210">
        <f t="shared" si="8"/>
        <v>91</v>
      </c>
      <c r="B101" s="211" t="str">
        <f>IF('G3 MT Reading Scoresheet'!B101&lt;&gt;"",'G3 MT Reading Scoresheet'!B101,"")</f>
        <v/>
      </c>
      <c r="C101" s="212" t="str">
        <f>IF('G3 MT Reading Scoresheet'!C101&lt;&gt;"",'G3 MT Reading Scoresheet'!C101,"")</f>
        <v/>
      </c>
      <c r="D101" s="213" t="str">
        <f>IF('G3 MT Reading Scoresheet'!D101&lt;&gt;"",'G3 MT Reading Scoresheet'!D101,"")</f>
        <v/>
      </c>
      <c r="E101" s="214" t="str">
        <f>IF('G3 MT Reading Scoresheet'!E101&lt;&gt;"",'G3 MT Reading Scoresheet'!E101,"")</f>
        <v/>
      </c>
      <c r="F101" s="215"/>
      <c r="G101" s="218"/>
      <c r="H101" s="211" t="str">
        <f t="shared" si="9"/>
        <v/>
      </c>
      <c r="I101" s="211" t="str">
        <f t="shared" si="10"/>
        <v/>
      </c>
      <c r="J101" s="230"/>
      <c r="K101" s="230"/>
      <c r="L101" s="211" t="str">
        <f t="shared" si="11"/>
        <v/>
      </c>
      <c r="M101" s="230"/>
      <c r="N101" s="230"/>
      <c r="O101" s="211" t="str">
        <f t="shared" si="12"/>
        <v/>
      </c>
      <c r="P101" s="229" t="str">
        <f t="shared" si="13"/>
        <v/>
      </c>
      <c r="Q101" s="230"/>
      <c r="R101" s="230"/>
      <c r="S101" s="230"/>
      <c r="T101" s="239" t="str">
        <f t="shared" si="14"/>
        <v/>
      </c>
      <c r="U101" s="241"/>
    </row>
    <row r="102" spans="1:21" ht="14.45">
      <c r="A102" s="61">
        <f t="shared" si="8"/>
        <v>92</v>
      </c>
      <c r="B102" s="211" t="str">
        <f>IF('G3 MT Reading Scoresheet'!B102&lt;&gt;"",'G3 MT Reading Scoresheet'!B102,"")</f>
        <v/>
      </c>
      <c r="C102" s="212" t="str">
        <f>IF('G3 MT Reading Scoresheet'!C102&lt;&gt;"",'G3 MT Reading Scoresheet'!C102,"")</f>
        <v/>
      </c>
      <c r="D102" s="213" t="str">
        <f>IF('G3 MT Reading Scoresheet'!D102&lt;&gt;"",'G3 MT Reading Scoresheet'!D102,"")</f>
        <v/>
      </c>
      <c r="E102" s="214" t="str">
        <f>IF('G3 MT Reading Scoresheet'!E102&lt;&gt;"",'G3 MT Reading Scoresheet'!E102,"")</f>
        <v/>
      </c>
      <c r="F102" s="217"/>
      <c r="G102" s="216"/>
      <c r="H102" s="211" t="str">
        <f t="shared" si="9"/>
        <v/>
      </c>
      <c r="I102" s="211" t="str">
        <f t="shared" si="10"/>
        <v/>
      </c>
      <c r="J102" s="228"/>
      <c r="K102" s="228"/>
      <c r="L102" s="211" t="str">
        <f t="shared" si="11"/>
        <v/>
      </c>
      <c r="M102" s="228"/>
      <c r="N102" s="228"/>
      <c r="O102" s="211" t="str">
        <f t="shared" si="12"/>
        <v/>
      </c>
      <c r="P102" s="229" t="str">
        <f t="shared" si="13"/>
        <v/>
      </c>
      <c r="Q102" s="228"/>
      <c r="R102" s="228"/>
      <c r="S102" s="228"/>
      <c r="T102" s="239" t="str">
        <f t="shared" si="14"/>
        <v/>
      </c>
      <c r="U102" s="240"/>
    </row>
    <row r="103" spans="1:21" ht="14.45">
      <c r="A103" s="210">
        <f t="shared" si="8"/>
        <v>93</v>
      </c>
      <c r="B103" s="211" t="str">
        <f>IF('G3 MT Reading Scoresheet'!B103&lt;&gt;"",'G3 MT Reading Scoresheet'!B103,"")</f>
        <v/>
      </c>
      <c r="C103" s="212" t="str">
        <f>IF('G3 MT Reading Scoresheet'!C103&lt;&gt;"",'G3 MT Reading Scoresheet'!C103,"")</f>
        <v/>
      </c>
      <c r="D103" s="213" t="str">
        <f>IF('G3 MT Reading Scoresheet'!D103&lt;&gt;"",'G3 MT Reading Scoresheet'!D103,"")</f>
        <v/>
      </c>
      <c r="E103" s="214" t="str">
        <f>IF('G3 MT Reading Scoresheet'!E103&lt;&gt;"",'G3 MT Reading Scoresheet'!E103,"")</f>
        <v/>
      </c>
      <c r="F103" s="215"/>
      <c r="G103" s="218"/>
      <c r="H103" s="211" t="str">
        <f t="shared" si="9"/>
        <v/>
      </c>
      <c r="I103" s="211" t="str">
        <f t="shared" si="10"/>
        <v/>
      </c>
      <c r="J103" s="230"/>
      <c r="K103" s="230"/>
      <c r="L103" s="211" t="str">
        <f t="shared" si="11"/>
        <v/>
      </c>
      <c r="M103" s="230"/>
      <c r="N103" s="230"/>
      <c r="O103" s="211" t="str">
        <f t="shared" si="12"/>
        <v/>
      </c>
      <c r="P103" s="229" t="str">
        <f t="shared" si="13"/>
        <v/>
      </c>
      <c r="Q103" s="230"/>
      <c r="R103" s="230"/>
      <c r="S103" s="230"/>
      <c r="T103" s="239" t="str">
        <f t="shared" si="14"/>
        <v/>
      </c>
      <c r="U103" s="241"/>
    </row>
    <row r="104" spans="1:21" ht="14.45">
      <c r="A104" s="61">
        <f t="shared" si="8"/>
        <v>94</v>
      </c>
      <c r="B104" s="211" t="str">
        <f>IF('G3 MT Reading Scoresheet'!B104&lt;&gt;"",'G3 MT Reading Scoresheet'!B104,"")</f>
        <v/>
      </c>
      <c r="C104" s="212" t="str">
        <f>IF('G3 MT Reading Scoresheet'!C104&lt;&gt;"",'G3 MT Reading Scoresheet'!C104,"")</f>
        <v/>
      </c>
      <c r="D104" s="213" t="str">
        <f>IF('G3 MT Reading Scoresheet'!D104&lt;&gt;"",'G3 MT Reading Scoresheet'!D104,"")</f>
        <v/>
      </c>
      <c r="E104" s="214" t="str">
        <f>IF('G3 MT Reading Scoresheet'!E104&lt;&gt;"",'G3 MT Reading Scoresheet'!E104,"")</f>
        <v/>
      </c>
      <c r="F104" s="217"/>
      <c r="G104" s="216"/>
      <c r="H104" s="211" t="str">
        <f t="shared" si="9"/>
        <v/>
      </c>
      <c r="I104" s="211" t="str">
        <f t="shared" si="10"/>
        <v/>
      </c>
      <c r="J104" s="228"/>
      <c r="K104" s="228"/>
      <c r="L104" s="211" t="str">
        <f t="shared" si="11"/>
        <v/>
      </c>
      <c r="M104" s="228"/>
      <c r="N104" s="228"/>
      <c r="O104" s="211" t="str">
        <f t="shared" si="12"/>
        <v/>
      </c>
      <c r="P104" s="229" t="str">
        <f t="shared" si="13"/>
        <v/>
      </c>
      <c r="Q104" s="228"/>
      <c r="R104" s="228"/>
      <c r="S104" s="228"/>
      <c r="T104" s="239" t="str">
        <f t="shared" si="14"/>
        <v/>
      </c>
      <c r="U104" s="240"/>
    </row>
    <row r="105" spans="1:21" ht="14.45">
      <c r="A105" s="210">
        <f t="shared" si="8"/>
        <v>95</v>
      </c>
      <c r="B105" s="211" t="str">
        <f>IF('G3 MT Reading Scoresheet'!B105&lt;&gt;"",'G3 MT Reading Scoresheet'!B105,"")</f>
        <v/>
      </c>
      <c r="C105" s="212" t="str">
        <f>IF('G3 MT Reading Scoresheet'!C105&lt;&gt;"",'G3 MT Reading Scoresheet'!C105,"")</f>
        <v/>
      </c>
      <c r="D105" s="213" t="str">
        <f>IF('G3 MT Reading Scoresheet'!D105&lt;&gt;"",'G3 MT Reading Scoresheet'!D105,"")</f>
        <v/>
      </c>
      <c r="E105" s="214" t="str">
        <f>IF('G3 MT Reading Scoresheet'!E105&lt;&gt;"",'G3 MT Reading Scoresheet'!E105,"")</f>
        <v/>
      </c>
      <c r="F105" s="215"/>
      <c r="G105" s="218"/>
      <c r="H105" s="211" t="str">
        <f t="shared" si="9"/>
        <v/>
      </c>
      <c r="I105" s="211" t="str">
        <f t="shared" si="10"/>
        <v/>
      </c>
      <c r="J105" s="230"/>
      <c r="K105" s="230"/>
      <c r="L105" s="211" t="str">
        <f t="shared" si="11"/>
        <v/>
      </c>
      <c r="M105" s="230"/>
      <c r="N105" s="230"/>
      <c r="O105" s="211" t="str">
        <f t="shared" si="12"/>
        <v/>
      </c>
      <c r="P105" s="229" t="str">
        <f t="shared" si="13"/>
        <v/>
      </c>
      <c r="Q105" s="230"/>
      <c r="R105" s="230"/>
      <c r="S105" s="230"/>
      <c r="T105" s="239" t="str">
        <f t="shared" si="14"/>
        <v/>
      </c>
      <c r="U105" s="241"/>
    </row>
    <row r="106" spans="1:21" ht="14.45">
      <c r="A106" s="61">
        <f t="shared" si="8"/>
        <v>96</v>
      </c>
      <c r="B106" s="211" t="str">
        <f>IF('G3 MT Reading Scoresheet'!B106&lt;&gt;"",'G3 MT Reading Scoresheet'!B106,"")</f>
        <v/>
      </c>
      <c r="C106" s="212" t="str">
        <f>IF('G3 MT Reading Scoresheet'!C106&lt;&gt;"",'G3 MT Reading Scoresheet'!C106,"")</f>
        <v/>
      </c>
      <c r="D106" s="213" t="str">
        <f>IF('G3 MT Reading Scoresheet'!D106&lt;&gt;"",'G3 MT Reading Scoresheet'!D106,"")</f>
        <v/>
      </c>
      <c r="E106" s="214" t="str">
        <f>IF('G3 MT Reading Scoresheet'!E106&lt;&gt;"",'G3 MT Reading Scoresheet'!E106,"")</f>
        <v/>
      </c>
      <c r="F106" s="217"/>
      <c r="G106" s="216"/>
      <c r="H106" s="211" t="str">
        <f t="shared" si="9"/>
        <v/>
      </c>
      <c r="I106" s="211" t="str">
        <f t="shared" si="10"/>
        <v/>
      </c>
      <c r="J106" s="228"/>
      <c r="K106" s="228"/>
      <c r="L106" s="211" t="str">
        <f t="shared" si="11"/>
        <v/>
      </c>
      <c r="M106" s="228"/>
      <c r="N106" s="228"/>
      <c r="O106" s="211" t="str">
        <f t="shared" si="12"/>
        <v/>
      </c>
      <c r="P106" s="229" t="str">
        <f t="shared" si="13"/>
        <v/>
      </c>
      <c r="Q106" s="228"/>
      <c r="R106" s="228"/>
      <c r="S106" s="228"/>
      <c r="T106" s="239" t="str">
        <f t="shared" si="14"/>
        <v/>
      </c>
      <c r="U106" s="240"/>
    </row>
    <row r="107" spans="1:21" ht="14.45">
      <c r="A107" s="210">
        <f t="shared" si="8"/>
        <v>97</v>
      </c>
      <c r="B107" s="211" t="str">
        <f>IF('G3 MT Reading Scoresheet'!B107&lt;&gt;"",'G3 MT Reading Scoresheet'!B107,"")</f>
        <v/>
      </c>
      <c r="C107" s="212" t="str">
        <f>IF('G3 MT Reading Scoresheet'!C107&lt;&gt;"",'G3 MT Reading Scoresheet'!C107,"")</f>
        <v/>
      </c>
      <c r="D107" s="213" t="str">
        <f>IF('G3 MT Reading Scoresheet'!D107&lt;&gt;"",'G3 MT Reading Scoresheet'!D107,"")</f>
        <v/>
      </c>
      <c r="E107" s="214" t="str">
        <f>IF('G3 MT Reading Scoresheet'!E107&lt;&gt;"",'G3 MT Reading Scoresheet'!E107,"")</f>
        <v/>
      </c>
      <c r="F107" s="215"/>
      <c r="G107" s="218"/>
      <c r="H107" s="211" t="str">
        <f t="shared" ref="H107:H110" si="15">IF(ISBLANK(F107),"",IF(F107=0,0,F107+G107))</f>
        <v/>
      </c>
      <c r="I107" s="211" t="str">
        <f t="shared" ref="I107:I110" si="16">IF(ISBLANK(F107),"",IF(H107=0,"Full Refresher",IF(H107&lt;11,"Moderate Refresher",IF(H107&lt;17,"Light Refresher","Grade Ready"))))</f>
        <v/>
      </c>
      <c r="J107" s="230"/>
      <c r="K107" s="230"/>
      <c r="L107" s="211" t="str">
        <f t="shared" si="11"/>
        <v/>
      </c>
      <c r="M107" s="230"/>
      <c r="N107" s="230"/>
      <c r="O107" s="211" t="str">
        <f t="shared" si="12"/>
        <v/>
      </c>
      <c r="P107" s="229" t="str">
        <f t="shared" si="13"/>
        <v/>
      </c>
      <c r="Q107" s="230"/>
      <c r="R107" s="230"/>
      <c r="S107" s="230"/>
      <c r="T107" s="239" t="str">
        <f t="shared" si="14"/>
        <v/>
      </c>
      <c r="U107" s="241"/>
    </row>
    <row r="108" spans="1:21" ht="14.45">
      <c r="A108" s="61">
        <f t="shared" si="8"/>
        <v>98</v>
      </c>
      <c r="B108" s="211" t="str">
        <f>IF('G3 MT Reading Scoresheet'!B108&lt;&gt;"",'G3 MT Reading Scoresheet'!B108,"")</f>
        <v/>
      </c>
      <c r="C108" s="212" t="str">
        <f>IF('G3 MT Reading Scoresheet'!C108&lt;&gt;"",'G3 MT Reading Scoresheet'!C108,"")</f>
        <v/>
      </c>
      <c r="D108" s="213" t="str">
        <f>IF('G3 MT Reading Scoresheet'!D108&lt;&gt;"",'G3 MT Reading Scoresheet'!D108,"")</f>
        <v/>
      </c>
      <c r="E108" s="214" t="str">
        <f>IF('G3 MT Reading Scoresheet'!E108&lt;&gt;"",'G3 MT Reading Scoresheet'!E108,"")</f>
        <v/>
      </c>
      <c r="F108" s="217"/>
      <c r="G108" s="216"/>
      <c r="H108" s="211" t="str">
        <f t="shared" si="15"/>
        <v/>
      </c>
      <c r="I108" s="211" t="str">
        <f t="shared" si="16"/>
        <v/>
      </c>
      <c r="J108" s="228"/>
      <c r="K108" s="228"/>
      <c r="L108" s="211" t="str">
        <f t="shared" si="11"/>
        <v/>
      </c>
      <c r="M108" s="228"/>
      <c r="N108" s="228"/>
      <c r="O108" s="211" t="str">
        <f t="shared" si="12"/>
        <v/>
      </c>
      <c r="P108" s="229" t="str">
        <f t="shared" si="13"/>
        <v/>
      </c>
      <c r="Q108" s="228"/>
      <c r="R108" s="228"/>
      <c r="S108" s="228"/>
      <c r="T108" s="239" t="str">
        <f t="shared" si="14"/>
        <v/>
      </c>
      <c r="U108" s="240"/>
    </row>
    <row r="109" spans="1:21" ht="14.45">
      <c r="A109" s="210">
        <f t="shared" si="8"/>
        <v>99</v>
      </c>
      <c r="B109" s="211" t="str">
        <f>IF('G3 MT Reading Scoresheet'!B109&lt;&gt;"",'G3 MT Reading Scoresheet'!B109,"")</f>
        <v/>
      </c>
      <c r="C109" s="212" t="str">
        <f>IF('G3 MT Reading Scoresheet'!C109&lt;&gt;"",'G3 MT Reading Scoresheet'!C109,"")</f>
        <v/>
      </c>
      <c r="D109" s="213" t="str">
        <f>IF('G3 MT Reading Scoresheet'!D109&lt;&gt;"",'G3 MT Reading Scoresheet'!D109,"")</f>
        <v/>
      </c>
      <c r="E109" s="214" t="str">
        <f>IF('G3 MT Reading Scoresheet'!E109&lt;&gt;"",'G3 MT Reading Scoresheet'!E109,"")</f>
        <v/>
      </c>
      <c r="F109" s="215"/>
      <c r="G109" s="218"/>
      <c r="H109" s="211" t="str">
        <f t="shared" si="15"/>
        <v/>
      </c>
      <c r="I109" s="211" t="str">
        <f t="shared" si="16"/>
        <v/>
      </c>
      <c r="J109" s="230"/>
      <c r="K109" s="230"/>
      <c r="L109" s="211" t="str">
        <f t="shared" si="11"/>
        <v/>
      </c>
      <c r="M109" s="230"/>
      <c r="N109" s="230"/>
      <c r="O109" s="211" t="str">
        <f t="shared" si="12"/>
        <v/>
      </c>
      <c r="P109" s="229" t="str">
        <f t="shared" si="13"/>
        <v/>
      </c>
      <c r="Q109" s="230"/>
      <c r="R109" s="230"/>
      <c r="S109" s="230"/>
      <c r="T109" s="239" t="str">
        <f t="shared" si="14"/>
        <v/>
      </c>
      <c r="U109" s="241"/>
    </row>
    <row r="110" spans="1:21" ht="14.45">
      <c r="A110" s="242">
        <v>100</v>
      </c>
      <c r="B110" s="243" t="str">
        <f>IF('G3 MT Reading Scoresheet'!B110&lt;&gt;"",'G3 MT Reading Scoresheet'!B110,"")</f>
        <v/>
      </c>
      <c r="C110" s="244" t="str">
        <f>IF('G3 MT Reading Scoresheet'!C110&lt;&gt;"",'G3 MT Reading Scoresheet'!C110,"")</f>
        <v/>
      </c>
      <c r="D110" s="245" t="str">
        <f>IF('G3 MT Reading Scoresheet'!D110&lt;&gt;"",'G3 MT Reading Scoresheet'!D110,"")</f>
        <v/>
      </c>
      <c r="E110" s="246" t="str">
        <f>IF('G3 MT Reading Scoresheet'!E110&lt;&gt;"",'G3 MT Reading Scoresheet'!E110,"")</f>
        <v/>
      </c>
      <c r="F110" s="247"/>
      <c r="G110" s="248"/>
      <c r="H110" s="243" t="str">
        <f t="shared" si="15"/>
        <v/>
      </c>
      <c r="I110" s="243" t="str">
        <f t="shared" si="16"/>
        <v/>
      </c>
      <c r="J110" s="249"/>
      <c r="K110" s="249"/>
      <c r="L110" s="243" t="str">
        <f t="shared" si="11"/>
        <v/>
      </c>
      <c r="M110" s="249"/>
      <c r="N110" s="249"/>
      <c r="O110" s="243" t="str">
        <f t="shared" si="12"/>
        <v/>
      </c>
      <c r="P110" s="250" t="str">
        <f t="shared" si="13"/>
        <v/>
      </c>
      <c r="Q110" s="249"/>
      <c r="R110" s="249"/>
      <c r="S110" s="249"/>
      <c r="T110" s="251" t="str">
        <f t="shared" si="14"/>
        <v/>
      </c>
      <c r="U110" s="252"/>
    </row>
    <row r="111" spans="1:21" ht="14.45"/>
    <row r="112" spans="1:21" ht="14.45"/>
    <row r="113" ht="14.45"/>
    <row r="114" ht="14.45"/>
  </sheetData>
  <sheetProtection algorithmName="SHA-512" hashValue="JE8wUSzhE7E2Q9ityh2S7I/vihWcuqsN0XdsnCzjvu5hr1Q6xU3MlF/1AOlmSNq/qm5QcnC2fuZKD/fGh9Nitg==" saltValue="HpCf5Yz047uI2Cerh7oe3A==" spinCount="100000" sheet="1" objects="1" scenarios="1" formatColumns="0" formatRows="0" selectLockedCells="1" autoFilter="0"/>
  <autoFilter ref="A10:U110" xr:uid="{00000000-0009-0000-0000-000002000000}"/>
  <mergeCells count="24">
    <mergeCell ref="A3:B3"/>
    <mergeCell ref="A4:B4"/>
    <mergeCell ref="D4:E4"/>
    <mergeCell ref="A5:B5"/>
    <mergeCell ref="A6:B6"/>
    <mergeCell ref="A7:B7"/>
    <mergeCell ref="A8:B8"/>
    <mergeCell ref="A9:B9"/>
    <mergeCell ref="M10:N10"/>
    <mergeCell ref="D7:D9"/>
    <mergeCell ref="E7:E9"/>
    <mergeCell ref="F7:F9"/>
    <mergeCell ref="G7:G9"/>
    <mergeCell ref="H7:H9"/>
    <mergeCell ref="I5:I9"/>
    <mergeCell ref="J7:J9"/>
    <mergeCell ref="K7:K9"/>
    <mergeCell ref="L7:L9"/>
    <mergeCell ref="O7:O9"/>
    <mergeCell ref="F5:H6"/>
    <mergeCell ref="P6:S9"/>
    <mergeCell ref="T6:U9"/>
    <mergeCell ref="M7:N9"/>
    <mergeCell ref="J5:O6"/>
  </mergeCells>
  <conditionalFormatting sqref="C5">
    <cfRule type="containsText" dxfId="23" priority="20" operator="containsText" text="[enter school school id here]">
      <formula>NOT(ISERROR(SEARCH("[enter school school id here]",C5)))</formula>
    </cfRule>
  </conditionalFormatting>
  <conditionalFormatting sqref="C6">
    <cfRule type="containsText" dxfId="22" priority="21" operator="containsText" text="[enter teacher name here]">
      <formula>NOT(ISERROR(SEARCH("[enter teacher name here]",C6)))</formula>
    </cfRule>
  </conditionalFormatting>
  <conditionalFormatting sqref="C9">
    <cfRule type="containsText" dxfId="21" priority="19" operator="containsText" text="[choose language here]">
      <formula>NOT(ISERROR(SEARCH("[choose language here]",C9)))</formula>
    </cfRule>
  </conditionalFormatting>
  <conditionalFormatting sqref="G11:G110">
    <cfRule type="expression" dxfId="20" priority="9">
      <formula>$F11=0</formula>
    </cfRule>
  </conditionalFormatting>
  <conditionalFormatting sqref="H4">
    <cfRule type="cellIs" dxfId="19" priority="18" operator="notEqual">
      <formula>$F$4</formula>
    </cfRule>
    <cfRule type="cellIs" dxfId="18" priority="22" operator="lessThan">
      <formula>#REF!+#REF!</formula>
    </cfRule>
    <cfRule type="cellIs" dxfId="17" priority="23" operator="lessThan">
      <formula>#REF!+#REF!</formula>
    </cfRule>
  </conditionalFormatting>
  <conditionalFormatting sqref="I11:I110">
    <cfRule type="containsText" dxfId="16" priority="13" operator="containsText" text="Full">
      <formula>NOT(ISERROR(SEARCH("Full",I11)))</formula>
    </cfRule>
  </conditionalFormatting>
  <conditionalFormatting sqref="J11:S110">
    <cfRule type="expression" dxfId="15" priority="1">
      <formula>$I11="Full Refresher"</formula>
    </cfRule>
  </conditionalFormatting>
  <conditionalFormatting sqref="T11:T110">
    <cfRule type="containsText" dxfId="14" priority="10" operator="containsText" text="Grade Level">
      <formula>NOT(ISERROR(SEARCH("Grade Level",T11)))</formula>
    </cfRule>
    <cfRule type="containsText" dxfId="13" priority="11" operator="containsText" text="High">
      <formula>NOT(ISERROR(SEARCH("High",T11)))</formula>
    </cfRule>
    <cfRule type="containsText" dxfId="12" priority="12" operator="containsText" text="Low">
      <formula>NOT(ISERROR(SEARCH("Low",T11)))</formula>
    </cfRule>
    <cfRule type="expression" dxfId="11" priority="15">
      <formula>AND($I11="Grade Ready",#REF!="Full Intervention")</formula>
    </cfRule>
  </conditionalFormatting>
  <dataValidations count="16">
    <dataValidation type="whole" allowBlank="1" showInputMessage="1" showErrorMessage="1" error="Enter the 6-digit School ID" sqref="C4 A5" xr:uid="{00000000-0002-0000-0200-000000000000}">
      <formula1>100000</formula1>
      <formula2>999999</formula2>
    </dataValidation>
    <dataValidation allowBlank="1" showInputMessage="1" showErrorMessage="1" prompt="Choose Language here" sqref="G4 C9" xr:uid="{00000000-0002-0000-0200-000001000000}"/>
    <dataValidation allowBlank="1" showInputMessage="1" showErrorMessage="1" sqref="H4" xr:uid="{00000000-0002-0000-0200-000002000000}"/>
    <dataValidation type="textLength" operator="greaterThan" showInputMessage="1" showErrorMessage="1" error="Enter School Name" sqref="C5" xr:uid="{00000000-0002-0000-0200-000003000000}">
      <formula1>5</formula1>
    </dataValidation>
    <dataValidation type="whole" allowBlank="1" showInputMessage="1" showErrorMessage="1" sqref="D6:E6" xr:uid="{00000000-0002-0000-0200-000004000000}">
      <formula1>0</formula1>
      <formula2>100</formula2>
    </dataValidation>
    <dataValidation allowBlank="1" showInputMessage="1" showErrorMessage="1" error="Enter Level between 1 to 4" sqref="T11:U11 T12:T110" xr:uid="{00000000-0002-0000-0200-000005000000}"/>
    <dataValidation type="whole" allowBlank="1" showInputMessage="1" showErrorMessage="1" error="Enter Score between 0 to 10" sqref="F11:F110" xr:uid="{00000000-0002-0000-0200-000006000000}">
      <formula1>0</formula1>
      <formula2>10</formula2>
    </dataValidation>
    <dataValidation type="custom" allowBlank="1" showInputMessage="1" showErrorMessage="1" errorTitle="Error Message" error="Enter value less than equal to 10_x000a_" sqref="G11:G110" xr:uid="{00000000-0002-0000-0200-000007000000}">
      <formula1>AND($F11&lt;11,$G11&lt;11)</formula1>
    </dataValidation>
    <dataValidation type="whole" allowBlank="1" showInputMessage="1" showErrorMessage="1" error="Story 1 or 2" sqref="J11:J110" xr:uid="{00000000-0002-0000-0200-000008000000}">
      <formula1>1</formula1>
      <formula2>2</formula2>
    </dataValidation>
    <dataValidation type="whole" allowBlank="1" showInputMessage="1" showErrorMessage="1" error="Total Miscues must be between 0 to 100" sqref="K11:K110" xr:uid="{00000000-0002-0000-0200-000009000000}">
      <formula1>0</formula1>
      <formula2>100</formula2>
    </dataValidation>
    <dataValidation allowBlank="1" showInputMessage="1" showErrorMessage="1" errorTitle="Error Message" error="Total Number of Words must be less than or equal to 100" sqref="L1:L1048576" xr:uid="{00000000-0002-0000-0200-00000A000000}"/>
    <dataValidation type="whole" allowBlank="1" showInputMessage="1" showErrorMessage="1" errorTitle="Error Message" error="Must not exceed 2 minutes" sqref="M11:M110" xr:uid="{00000000-0002-0000-0200-00000B000000}">
      <formula1>0</formula1>
      <formula2>2</formula2>
    </dataValidation>
    <dataValidation type="whole" allowBlank="1" showInputMessage="1" showErrorMessage="1" errorTitle="Error Message" error="Number of seconds between 0 to 59" sqref="N11:N110" xr:uid="{00000000-0002-0000-0200-00000C000000}">
      <formula1>0</formula1>
      <formula2>59</formula2>
    </dataValidation>
    <dataValidation type="whole" allowBlank="1" showInputMessage="1" showErrorMessage="1" error="Enter Answer between 0 to 6" sqref="Q11:Q110" xr:uid="{00000000-0002-0000-0200-00000D000000}">
      <formula1>0</formula1>
      <formula2>6</formula2>
    </dataValidation>
    <dataValidation type="whole" allowBlank="1" showInputMessage="1" showErrorMessage="1" error="Enter Leaner Experience from 1 - 5" sqref="R11:R110" xr:uid="{00000000-0002-0000-0200-00000E000000}">
      <formula1>1</formula1>
      <formula2>5</formula2>
    </dataValidation>
    <dataValidation type="list" allowBlank="1" showInputMessage="1" showErrorMessage="1" error="Enter Level between 1 to 4" sqref="S11:S110" xr:uid="{00000000-0002-0000-0200-00000F000000}">
      <formula1>"Level 1, Level 2, Level 3, Level 4"</formula1>
    </dataValidation>
  </dataValidations>
  <pageMargins left="0.7" right="0.7" top="0.81" bottom="0.47" header="0.3" footer="0.3"/>
  <pageSetup paperSize="256" scale="55"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2:X107"/>
  <sheetViews>
    <sheetView tabSelected="1" zoomScale="72" zoomScaleNormal="72" workbookViewId="0">
      <pane xSplit="3" ySplit="7" topLeftCell="D8" activePane="bottomRight" state="frozen"/>
      <selection pane="bottomRight" activeCell="C7" sqref="C6:V32"/>
      <selection pane="bottomLeft"/>
      <selection pane="topRight"/>
    </sheetView>
  </sheetViews>
  <sheetFormatPr defaultColWidth="8.875" defaultRowHeight="14.45"/>
  <cols>
    <col min="1" max="1" width="5.5" customWidth="1"/>
    <col min="2" max="2" width="14.75" customWidth="1"/>
    <col min="3" max="3" width="23" customWidth="1"/>
    <col min="4" max="4" width="10.25" style="1" customWidth="1"/>
    <col min="5" max="5" width="17.875" style="112" customWidth="1"/>
    <col min="6" max="7" width="9.25" style="112" customWidth="1"/>
    <col min="8" max="8" width="13.25" style="1" customWidth="1"/>
    <col min="9" max="9" width="9.5" style="1" customWidth="1"/>
    <col min="10" max="10" width="22.5" style="1" customWidth="1"/>
    <col min="11" max="11" width="17.25" style="112" customWidth="1"/>
    <col min="12" max="12" width="9.75" style="112" customWidth="1"/>
    <col min="13" max="13" width="9" style="112" customWidth="1"/>
    <col min="14" max="14" width="14" style="1" customWidth="1"/>
    <col min="15" max="15" width="8.25" style="1" customWidth="1"/>
    <col min="16" max="16" width="22.5" style="1" customWidth="1"/>
    <col min="17" max="17" width="19.25" style="112" customWidth="1"/>
    <col min="18" max="18" width="9" style="112" customWidth="1"/>
    <col min="19" max="19" width="9.75" style="112" customWidth="1"/>
    <col min="20" max="20" width="14.125" style="1" customWidth="1"/>
    <col min="21" max="21" width="8.25" style="1" customWidth="1"/>
    <col min="22" max="22" width="23.75" style="1" customWidth="1"/>
    <col min="23" max="23" width="40.25" style="1" customWidth="1"/>
    <col min="24" max="24" width="5.125" customWidth="1"/>
    <col min="25" max="28" width="8.875" customWidth="1"/>
    <col min="29" max="30" width="13.75" customWidth="1"/>
    <col min="31" max="31" width="8.875" customWidth="1"/>
    <col min="32" max="35" width="13.75" customWidth="1"/>
  </cols>
  <sheetData>
    <row r="2" spans="1:24" ht="27" customHeight="1"/>
    <row r="3" spans="1:24" ht="24" customHeight="1"/>
    <row r="4" spans="1:24" ht="18">
      <c r="A4" s="420" t="s">
        <v>101</v>
      </c>
      <c r="B4" s="421"/>
      <c r="C4" s="422" t="str">
        <f>'G3 MT Reading Scoresheet'!$C$5</f>
        <v>ROMANA ELEM. SCHOOL</v>
      </c>
      <c r="D4" s="422"/>
      <c r="E4" s="423" t="s">
        <v>102</v>
      </c>
      <c r="F4" s="424"/>
      <c r="G4" s="424"/>
      <c r="H4" s="424"/>
      <c r="I4" s="424"/>
      <c r="J4" s="424"/>
      <c r="K4" s="424"/>
      <c r="L4" s="424"/>
      <c r="M4" s="424"/>
      <c r="N4" s="424"/>
      <c r="O4" s="424"/>
      <c r="P4" s="424"/>
      <c r="Q4" s="424"/>
      <c r="R4" s="424"/>
      <c r="S4" s="424"/>
      <c r="T4" s="424"/>
      <c r="U4" s="424"/>
      <c r="V4" s="424"/>
      <c r="W4" s="425"/>
    </row>
    <row r="5" spans="1:24">
      <c r="A5" s="411" t="s">
        <v>13</v>
      </c>
      <c r="B5" s="412"/>
      <c r="C5" s="426" t="str">
        <f>'G3 MT Reading Scoresheet'!C6</f>
        <v>KEMBERLY G. BELMIS</v>
      </c>
      <c r="D5" s="426"/>
      <c r="E5" s="427" t="str">
        <f>CONCATENATE("MOTHER TONGUE","(",'G3 MT Reading Scoresheet'!C9,")")</f>
        <v>MOTHER TONGUE(Hiligaynon)</v>
      </c>
      <c r="F5" s="427"/>
      <c r="G5" s="427"/>
      <c r="H5" s="427"/>
      <c r="I5" s="427"/>
      <c r="J5" s="427"/>
      <c r="K5" s="428" t="s">
        <v>103</v>
      </c>
      <c r="L5" s="428"/>
      <c r="M5" s="428"/>
      <c r="N5" s="428"/>
      <c r="O5" s="428"/>
      <c r="P5" s="428"/>
      <c r="Q5" s="429" t="s">
        <v>104</v>
      </c>
      <c r="R5" s="429"/>
      <c r="S5" s="429"/>
      <c r="T5" s="429"/>
      <c r="U5" s="429"/>
      <c r="V5" s="429"/>
      <c r="W5" s="402" t="s">
        <v>53</v>
      </c>
    </row>
    <row r="6" spans="1:24" ht="14.45" customHeight="1">
      <c r="A6" s="411" t="s">
        <v>15</v>
      </c>
      <c r="B6" s="412"/>
      <c r="C6" s="413" t="s">
        <v>16</v>
      </c>
      <c r="D6" s="414"/>
      <c r="E6" s="415" t="s">
        <v>105</v>
      </c>
      <c r="F6" s="415"/>
      <c r="G6" s="416" t="s">
        <v>106</v>
      </c>
      <c r="H6" s="417"/>
      <c r="I6" s="418"/>
      <c r="J6" s="409" t="s">
        <v>52</v>
      </c>
      <c r="K6" s="419" t="s">
        <v>105</v>
      </c>
      <c r="L6" s="419"/>
      <c r="M6" s="405" t="s">
        <v>107</v>
      </c>
      <c r="N6" s="406"/>
      <c r="O6" s="407"/>
      <c r="P6" s="410" t="s">
        <v>52</v>
      </c>
      <c r="Q6" s="408" t="s">
        <v>105</v>
      </c>
      <c r="R6" s="408"/>
      <c r="S6" s="408" t="s">
        <v>106</v>
      </c>
      <c r="T6" s="408"/>
      <c r="U6" s="150"/>
      <c r="V6" s="401" t="s">
        <v>52</v>
      </c>
      <c r="W6" s="403"/>
    </row>
    <row r="7" spans="1:24" ht="33.6" customHeight="1">
      <c r="A7" s="113" t="s">
        <v>33</v>
      </c>
      <c r="B7" s="114" t="s">
        <v>34</v>
      </c>
      <c r="C7" s="115" t="s">
        <v>35</v>
      </c>
      <c r="D7" s="116" t="s">
        <v>36</v>
      </c>
      <c r="E7" s="117" t="s">
        <v>108</v>
      </c>
      <c r="F7" s="117" t="s">
        <v>109</v>
      </c>
      <c r="G7" s="117" t="s">
        <v>110</v>
      </c>
      <c r="H7" s="118" t="s">
        <v>111</v>
      </c>
      <c r="I7" s="118" t="s">
        <v>112</v>
      </c>
      <c r="J7" s="409"/>
      <c r="K7" s="136" t="s">
        <v>108</v>
      </c>
      <c r="L7" s="136" t="s">
        <v>109</v>
      </c>
      <c r="M7" s="136" t="s">
        <v>110</v>
      </c>
      <c r="N7" s="137" t="s">
        <v>111</v>
      </c>
      <c r="O7" s="137" t="s">
        <v>112</v>
      </c>
      <c r="P7" s="410"/>
      <c r="Q7" s="151" t="s">
        <v>108</v>
      </c>
      <c r="R7" s="151" t="s">
        <v>109</v>
      </c>
      <c r="S7" s="151" t="s">
        <v>110</v>
      </c>
      <c r="T7" s="152" t="s">
        <v>111</v>
      </c>
      <c r="U7" s="152" t="s">
        <v>112</v>
      </c>
      <c r="V7" s="401"/>
      <c r="W7" s="404"/>
    </row>
    <row r="8" spans="1:24">
      <c r="A8" s="119">
        <v>1</v>
      </c>
      <c r="B8" s="120">
        <f>IF('G3 MT Reading Scoresheet'!B11&lt;&gt;"",'G3 MT Reading Scoresheet'!B11,"")</f>
        <v>117443220001</v>
      </c>
      <c r="C8" s="121" t="str">
        <f>IF('G3 MT Reading Scoresheet'!C11&lt;&gt;"",'G3 MT Reading Scoresheet'!C11,"")</f>
        <v>ABAY, KENNETH ALEXANDER, NALAONAN</v>
      </c>
      <c r="D8" s="122" t="str">
        <f>IF('G3 MT Reading Scoresheet'!D11&lt;&gt;"",'G3 MT Reading Scoresheet'!D11,"")</f>
        <v>Male</v>
      </c>
      <c r="E8" s="123" t="str">
        <f>'G3 MT Reading Scoresheet'!$J11</f>
        <v>Light Refresher</v>
      </c>
      <c r="F8" s="124">
        <f>IF($C8&lt;&gt;"",'G3 MT Reading Scoresheet'!$I11/30,"")</f>
        <v>0.86666666666666703</v>
      </c>
      <c r="G8" s="124">
        <f>IF(AND($C8&lt;&gt;"",$E8&lt;&gt;"Full Refresher"),'G3 MT Reading Scoresheet'!$Q11,"")</f>
        <v>0.98347107438016501</v>
      </c>
      <c r="H8" s="125">
        <f>IF(AND($C8&lt;&gt;"",$E8&lt;&gt;"Full Refresher"),'G3 MT Reading Scoresheet'!$R11/7,"")</f>
        <v>0.71428571428571397</v>
      </c>
      <c r="I8" s="138">
        <f>IF(AND($C8&lt;&gt;"",$E8&lt;&gt;"Full Refresher"),'G3 MT Reading Scoresheet'!$P11,"")</f>
        <v>39.6666666666667</v>
      </c>
      <c r="J8" s="138" t="str">
        <f>'G3 MT Reading Scoresheet'!$U11</f>
        <v>Transitioning Reader</v>
      </c>
      <c r="K8" s="139" t="str">
        <f>'G3 FIL Reading Scoresheet'!$J11</f>
        <v>Light Refresher</v>
      </c>
      <c r="L8" s="140">
        <f>IF($C8&lt;&gt;"",'G3 FIL Reading Scoresheet'!$I11/30,"")</f>
        <v>0.86666666666666703</v>
      </c>
      <c r="M8" s="140">
        <f>IF(AND($C8&lt;&gt;"",$K8&lt;&gt;"Full Refresher"),'G3 MT Reading Scoresheet'!$Q11,"")</f>
        <v>0.98347107438016501</v>
      </c>
      <c r="N8" s="141">
        <f>IF(AND($C8&lt;&gt;"",$K8&lt;&gt;"Full Refresher"),'G3 MT Reading Scoresheet'!$R11/7,"")</f>
        <v>0.71428571428571397</v>
      </c>
      <c r="O8" s="142">
        <f>IF(AND($C8&lt;&gt;"",$K8&lt;&gt;"Full Refresher"),'G3 FIL Reading Scoresheet'!$P11,"")</f>
        <v>33.6666666666667</v>
      </c>
      <c r="P8" s="142" t="str">
        <f>'G3 FIL Reading Scoresheet'!$U11</f>
        <v>Transitioning Reader</v>
      </c>
      <c r="Q8" s="153" t="str">
        <f>'G3 ENG Reading Scoresheet'!$I11</f>
        <v>Grade Ready</v>
      </c>
      <c r="R8" s="154">
        <f>IF($C8&lt;&gt;"",'G3 ENG Reading Scoresheet'!$H11/20,"")</f>
        <v>0.85</v>
      </c>
      <c r="S8" s="154">
        <f>IF(AND($C8&lt;&gt;"",$Q8&lt;&gt;"Full Refresher"),'G3 ENG Reading Scoresheet'!$P11,"")</f>
        <v>0.7</v>
      </c>
      <c r="T8" s="155">
        <f>IF(AND($C8&lt;&gt;"",$Q8&lt;&gt;"Full Refresher"),'G3 ENG Reading Scoresheet'!$Q11/6,"")</f>
        <v>0.83333333333333304</v>
      </c>
      <c r="U8" s="156">
        <f>IF(AND($C8&lt;&gt;"",$O8&lt;&gt;"Full Refresher"),'G3 ENG Reading Scoresheet'!$O11,"")</f>
        <v>35</v>
      </c>
      <c r="V8" s="156" t="str">
        <f>'G3 ENG Reading Scoresheet'!$T11</f>
        <v>Transitioning Reader</v>
      </c>
      <c r="W8" s="157" t="str">
        <f>CONCATENATE(IF(ISBLANK('G3 MT Reading Scoresheet'!V11),"",CONCATENATE("MT:",TRIM('G3 MT Reading Scoresheet'!V11)))," ",IF(ISBLANK('G3 FIL Reading Scoresheet'!V11),"",CONCATENATE("FIL:",TRIM('G3 FIL Reading Scoresheet'!V11)))," ",IF(ISBLANK('G3 ENG Reading Scoresheet'!U11),"",CONCATENATE("ENG:",TRIM('G3 ENG Reading Scoresheet'!U11))))</f>
        <v/>
      </c>
      <c r="X8" t="s">
        <v>113</v>
      </c>
    </row>
    <row r="9" spans="1:24">
      <c r="A9" s="126">
        <v>2</v>
      </c>
      <c r="B9" s="127">
        <f>IF('G3 MT Reading Scoresheet'!B12&lt;&gt;"",'G3 MT Reading Scoresheet'!B12,"")</f>
        <v>11744322002</v>
      </c>
      <c r="C9" s="128" t="str">
        <f>IF('G3 MT Reading Scoresheet'!C12&lt;&gt;"",'G3 MT Reading Scoresheet'!C12,"")</f>
        <v>BANARAIA, KEEPER, ABAY</v>
      </c>
      <c r="D9" s="129" t="str">
        <f>IF('G3 MT Reading Scoresheet'!D12&lt;&gt;"",'G3 MT Reading Scoresheet'!D12,"")</f>
        <v>Male</v>
      </c>
      <c r="E9" s="130" t="str">
        <f>'G3 MT Reading Scoresheet'!$J12</f>
        <v>Moderate Refresher</v>
      </c>
      <c r="F9" s="131">
        <f>IF(C9&lt;&gt;"",'G3 MT Reading Scoresheet'!$I12/30,"")</f>
        <v>0.36666666666666697</v>
      </c>
      <c r="G9" s="131">
        <f>IF(AND($C9&lt;&gt;"",$E9&lt;&gt;"Full Refresher"),'G3 MT Reading Scoresheet'!$Q12,"")</f>
        <v>1</v>
      </c>
      <c r="H9" s="132">
        <f>IF(AND(C9&lt;&gt;"",E9&lt;&gt;"Full Refresher"),'G3 MT Reading Scoresheet'!$R12/7,"")</f>
        <v>0.85714285714285698</v>
      </c>
      <c r="I9" s="143">
        <f>IF(AND($C9&lt;&gt;"",$E9&lt;&gt;"Full Refresher"),'G3 MT Reading Scoresheet'!$P12,"")</f>
        <v>43.734939759036102</v>
      </c>
      <c r="J9" s="144" t="str">
        <f>'G3 MT Reading Scoresheet'!$U12</f>
        <v>Reading At Grade Level</v>
      </c>
      <c r="K9" s="145" t="str">
        <f>'G3 FIL Reading Scoresheet'!$J12</f>
        <v>Full Refresher</v>
      </c>
      <c r="L9" s="146">
        <f>IF($C9&lt;&gt;"",'G3 FIL Reading Scoresheet'!$I12/30,"")</f>
        <v>0.33333333333333298</v>
      </c>
      <c r="M9" s="146" t="str">
        <f>IF(AND($C9&lt;&gt;"",$K9&lt;&gt;"Full Refresher"),'G3 MT Reading Scoresheet'!$Q12,"")</f>
        <v/>
      </c>
      <c r="N9" s="147" t="str">
        <f>IF(AND($C9&lt;&gt;"",$K9&lt;&gt;"Full Refresher"),'G3 MT Reading Scoresheet'!$R12/7,"")</f>
        <v/>
      </c>
      <c r="O9" s="148" t="str">
        <f>IF(AND($C9&lt;&gt;"",$K9&lt;&gt;"Full Refresher"),'G3 FIL Reading Scoresheet'!$P12,"")</f>
        <v/>
      </c>
      <c r="P9" s="149" t="str">
        <f>'G3 FIL Reading Scoresheet'!$U12</f>
        <v>Low Emerging Reader</v>
      </c>
      <c r="Q9" s="158" t="str">
        <f>'G3 ENG Reading Scoresheet'!$I12</f>
        <v>Light Refresher</v>
      </c>
      <c r="R9" s="159">
        <f>IF($C9&lt;&gt;"",'G3 ENG Reading Scoresheet'!$H12/20,"")</f>
        <v>0.7</v>
      </c>
      <c r="S9" s="159">
        <f>IF(AND($C9&lt;&gt;"",$Q9&lt;&gt;"Full Refresher"),'G3 ENG Reading Scoresheet'!$P12,"")</f>
        <v>0.75</v>
      </c>
      <c r="T9" s="160">
        <f>IF(AND($C9&lt;&gt;"",$Q9&lt;&gt;"Full Refresher"),'G3 ENG Reading Scoresheet'!$Q12/6,"")</f>
        <v>0.83333333333333304</v>
      </c>
      <c r="U9" s="161">
        <f>IF(AND($C9&lt;&gt;"",$O9&lt;&gt;"Full Refresher"),'G3 ENG Reading Scoresheet'!$O12,"")</f>
        <v>37.5</v>
      </c>
      <c r="V9" s="162" t="str">
        <f>'G3 ENG Reading Scoresheet'!$T12</f>
        <v>Transitioning Reader</v>
      </c>
      <c r="W9" s="163" t="str">
        <f>CONCATENATE(IF(ISBLANK('G3 MT Reading Scoresheet'!V12),"",CONCATENATE("MT:",TRIM('G3 MT Reading Scoresheet'!V12)))," ",IF(ISBLANK('G3 FIL Reading Scoresheet'!V12),"",CONCATENATE("FIL:",TRIM('G3 FIL Reading Scoresheet'!V12)))," ",IF(ISBLANK('G3 ENG Reading Scoresheet'!U12),"",CONCATENATE("ENG:",TRIM('G3 ENG Reading Scoresheet'!U12))))</f>
        <v/>
      </c>
    </row>
    <row r="10" spans="1:24">
      <c r="A10" s="119">
        <v>3</v>
      </c>
      <c r="B10" s="133">
        <f>IF('G3 MT Reading Scoresheet'!B13&lt;&gt;"",'G3 MT Reading Scoresheet'!B13,"")</f>
        <v>117443220017</v>
      </c>
      <c r="C10" s="134" t="str">
        <f>IF('G3 MT Reading Scoresheet'!C13&lt;&gt;"",'G3 MT Reading Scoresheet'!C13,"")</f>
        <v>BARGASA, EDSEL JHON,-</v>
      </c>
      <c r="D10" s="135" t="str">
        <f>IF('G3 MT Reading Scoresheet'!D13&lt;&gt;"",'G3 MT Reading Scoresheet'!D13,"")</f>
        <v>Male</v>
      </c>
      <c r="E10" s="130" t="str">
        <f>'G3 MT Reading Scoresheet'!$J13</f>
        <v>Light Refresher</v>
      </c>
      <c r="F10" s="131">
        <f>IF(C10&lt;&gt;"",'G3 MT Reading Scoresheet'!$I13/30,"")</f>
        <v>0.86666666666666703</v>
      </c>
      <c r="G10" s="131">
        <f>IF(AND($C10&lt;&gt;"",$E10&lt;&gt;"Full Refresher"),'G3 MT Reading Scoresheet'!$Q13,"")</f>
        <v>0.95867768595041303</v>
      </c>
      <c r="H10" s="132">
        <f>IF(AND(C10&lt;&gt;"",E10&lt;&gt;"Full Refresher"),'G3 MT Reading Scoresheet'!$R13/7,"")</f>
        <v>1</v>
      </c>
      <c r="I10" s="143">
        <f>IF(AND($C10&lt;&gt;"",$E10&lt;&gt;"Full Refresher"),'G3 MT Reading Scoresheet'!$P13,"")</f>
        <v>73.263157894736807</v>
      </c>
      <c r="J10" s="144" t="str">
        <f>'G3 MT Reading Scoresheet'!$U13</f>
        <v>Reading At Grade Level</v>
      </c>
      <c r="K10" s="145" t="str">
        <f>'G3 FIL Reading Scoresheet'!$J13</f>
        <v>Grade Ready</v>
      </c>
      <c r="L10" s="146">
        <f>IF($C10&lt;&gt;"",'G3 FIL Reading Scoresheet'!$I13/30,"")</f>
        <v>0.93333333333333302</v>
      </c>
      <c r="M10" s="146">
        <f>IF(AND($C10&lt;&gt;"",$K10&lt;&gt;"Full Refresher"),'G3 MT Reading Scoresheet'!$Q13,"")</f>
        <v>0.95867768595041303</v>
      </c>
      <c r="N10" s="147">
        <f>IF(AND($C10&lt;&gt;"",$K10&lt;&gt;"Full Refresher"),'G3 MT Reading Scoresheet'!$R13/7,"")</f>
        <v>1</v>
      </c>
      <c r="O10" s="148">
        <f>IF(AND($C10&lt;&gt;"",$K10&lt;&gt;"Full Refresher"),'G3 FIL Reading Scoresheet'!$P13,"")</f>
        <v>72.727272727272705</v>
      </c>
      <c r="P10" s="149" t="str">
        <f>'G3 FIL Reading Scoresheet'!$U13</f>
        <v>Reading At Grade Level</v>
      </c>
      <c r="Q10" s="158" t="str">
        <f>'G3 ENG Reading Scoresheet'!$I13</f>
        <v>Grade Ready</v>
      </c>
      <c r="R10" s="159">
        <f>IF($C10&lt;&gt;"",'G3 ENG Reading Scoresheet'!$H13/20,"")</f>
        <v>0.9</v>
      </c>
      <c r="S10" s="159">
        <f>IF(AND($C10&lt;&gt;"",$Q10&lt;&gt;"Full Refresher"),'G3 ENG Reading Scoresheet'!$P13,"")</f>
        <v>0.98</v>
      </c>
      <c r="T10" s="160">
        <f>IF(AND($C10&lt;&gt;"",$Q10&lt;&gt;"Full Refresher"),'G3 ENG Reading Scoresheet'!$Q13/6,"")</f>
        <v>1</v>
      </c>
      <c r="U10" s="161">
        <f>IF(AND($C10&lt;&gt;"",$O10&lt;&gt;"Full Refresher"),'G3 ENG Reading Scoresheet'!$O13,"")</f>
        <v>65.3333333333333</v>
      </c>
      <c r="V10" s="162" t="str">
        <f>'G3 ENG Reading Scoresheet'!$T13</f>
        <v>Reading At Grade Level</v>
      </c>
      <c r="W10" s="164" t="str">
        <f>CONCATENATE(IF(ISBLANK('G3 MT Reading Scoresheet'!V13),"",CONCATENATE("MT:",TRIM('G3 MT Reading Scoresheet'!V13)))," ",IF(ISBLANK('G3 FIL Reading Scoresheet'!V13),"",CONCATENATE("FIL:",TRIM('G3 FIL Reading Scoresheet'!V13)))," ",IF(ISBLANK('G3 ENG Reading Scoresheet'!U13),"",CONCATENATE("ENG:",TRIM('G3 ENG Reading Scoresheet'!U13))))</f>
        <v/>
      </c>
    </row>
    <row r="11" spans="1:24">
      <c r="A11" s="126">
        <v>4</v>
      </c>
      <c r="B11" s="127">
        <f>IF('G3 MT Reading Scoresheet'!B14&lt;&gt;"",'G3 MT Reading Scoresheet'!B14,"")</f>
        <v>117443220006</v>
      </c>
      <c r="C11" s="128" t="str">
        <f>IF('G3 MT Reading Scoresheet'!C14&lt;&gt;"",'G3 MT Reading Scoresheet'!C14,"")</f>
        <v>DUMANIEL, KEVIN JOHN , ALVAREZ</v>
      </c>
      <c r="D11" s="129" t="str">
        <f>IF('G3 MT Reading Scoresheet'!D14&lt;&gt;"",'G3 MT Reading Scoresheet'!D14,"")</f>
        <v>Male</v>
      </c>
      <c r="E11" s="130" t="str">
        <f>'G3 MT Reading Scoresheet'!$J14</f>
        <v>Light Refresher</v>
      </c>
      <c r="F11" s="131">
        <f>IF(C11&lt;&gt;"",'G3 MT Reading Scoresheet'!$I14/30,"")</f>
        <v>0.86666666666666703</v>
      </c>
      <c r="G11" s="131">
        <f>IF(AND($C11&lt;&gt;"",$E11&lt;&gt;"Full Refresher"),'G3 MT Reading Scoresheet'!$Q14,"")</f>
        <v>0.94214876033057804</v>
      </c>
      <c r="H11" s="132">
        <f>IF(AND(C11&lt;&gt;"",E11&lt;&gt;"Full Refresher"),'G3 MT Reading Scoresheet'!$R14/7,"")</f>
        <v>0.42857142857142899</v>
      </c>
      <c r="I11" s="143">
        <f>IF(AND($C11&lt;&gt;"",$E11&lt;&gt;"Full Refresher"),'G3 MT Reading Scoresheet'!$P14,"")</f>
        <v>38</v>
      </c>
      <c r="J11" s="144" t="str">
        <f>'G3 MT Reading Scoresheet'!$U14</f>
        <v>Transitioning Reader</v>
      </c>
      <c r="K11" s="145" t="str">
        <f>'G3 FIL Reading Scoresheet'!$J14</f>
        <v>Grade Ready</v>
      </c>
      <c r="L11" s="146">
        <f>IF($C11&lt;&gt;"",'G3 FIL Reading Scoresheet'!$I14/30,"")</f>
        <v>0.9</v>
      </c>
      <c r="M11" s="146">
        <f>IF(AND($C11&lt;&gt;"",$K11&lt;&gt;"Full Refresher"),'G3 MT Reading Scoresheet'!$Q14,"")</f>
        <v>0.94214876033057804</v>
      </c>
      <c r="N11" s="147">
        <f>IF(AND($C11&lt;&gt;"",$K11&lt;&gt;"Full Refresher"),'G3 MT Reading Scoresheet'!$R14/7,"")</f>
        <v>0.42857142857142899</v>
      </c>
      <c r="O11" s="148">
        <f>IF(AND($C11&lt;&gt;"",$K11&lt;&gt;"Full Refresher"),'G3 FIL Reading Scoresheet'!$P14,"")</f>
        <v>38.6666666666667</v>
      </c>
      <c r="P11" s="149" t="str">
        <f>'G3 FIL Reading Scoresheet'!$U14</f>
        <v>Reading At Grade Level</v>
      </c>
      <c r="Q11" s="158" t="str">
        <f>'G3 ENG Reading Scoresheet'!$I14</f>
        <v>Light Refresher</v>
      </c>
      <c r="R11" s="159">
        <f>IF($C11&lt;&gt;"",'G3 ENG Reading Scoresheet'!$H14/20,"")</f>
        <v>0.75</v>
      </c>
      <c r="S11" s="159">
        <f>IF(AND($C11&lt;&gt;"",$Q11&lt;&gt;"Full Refresher"),'G3 ENG Reading Scoresheet'!$P14,"")</f>
        <v>0.7</v>
      </c>
      <c r="T11" s="160">
        <f>IF(AND($C11&lt;&gt;"",$Q11&lt;&gt;"Full Refresher"),'G3 ENG Reading Scoresheet'!$Q14/6,"")</f>
        <v>0.33333333333333298</v>
      </c>
      <c r="U11" s="161">
        <f>IF(AND($C11&lt;&gt;"",$O11&lt;&gt;"Full Refresher"),'G3 ENG Reading Scoresheet'!$O14,"")</f>
        <v>35</v>
      </c>
      <c r="V11" s="162" t="str">
        <f>'G3 ENG Reading Scoresheet'!$T14</f>
        <v>Developing Reader</v>
      </c>
      <c r="W11" s="163" t="str">
        <f>CONCATENATE(IF(ISBLANK('G3 MT Reading Scoresheet'!V14),"",CONCATENATE("MT:",TRIM('G3 MT Reading Scoresheet'!V14)))," ",IF(ISBLANK('G3 FIL Reading Scoresheet'!V14),"",CONCATENATE("FIL:",TRIM('G3 FIL Reading Scoresheet'!V14)))," ",IF(ISBLANK('G3 ENG Reading Scoresheet'!U14),"",CONCATENATE("ENG:",TRIM('G3 ENG Reading Scoresheet'!U14))))</f>
        <v/>
      </c>
    </row>
    <row r="12" spans="1:24">
      <c r="A12" s="119">
        <v>5</v>
      </c>
      <c r="B12" s="133">
        <f>IF('G3 MT Reading Scoresheet'!B15&lt;&gt;"",'G3 MT Reading Scoresheet'!B15,"")</f>
        <v>117443220018</v>
      </c>
      <c r="C12" s="134" t="str">
        <f>IF('G3 MT Reading Scoresheet'!C15&lt;&gt;"",'G3 MT Reading Scoresheet'!C15,"")</f>
        <v>ESTOCADA, JOEMARIE III, OMPAD</v>
      </c>
      <c r="D12" s="135" t="str">
        <f>IF('G3 MT Reading Scoresheet'!D15&lt;&gt;"",'G3 MT Reading Scoresheet'!D15,"")</f>
        <v>Male</v>
      </c>
      <c r="E12" s="130" t="str">
        <f>'G3 MT Reading Scoresheet'!$J15</f>
        <v>Light Refresher</v>
      </c>
      <c r="F12" s="131">
        <f>IF(C12&lt;&gt;"",'G3 MT Reading Scoresheet'!$I15/30,"")</f>
        <v>0.86666666666666703</v>
      </c>
      <c r="G12" s="131">
        <f>IF(AND($C12&lt;&gt;"",$E12&lt;&gt;"Full Refresher"),'G3 MT Reading Scoresheet'!$Q15,"")</f>
        <v>0.95867768595041303</v>
      </c>
      <c r="H12" s="132">
        <f>IF(AND(C12&lt;&gt;"",E12&lt;&gt;"Full Refresher"),'G3 MT Reading Scoresheet'!$R15/7,"")</f>
        <v>0.42857142857142899</v>
      </c>
      <c r="I12" s="143">
        <f>IF(AND($C12&lt;&gt;"",$E12&lt;&gt;"Full Refresher"),'G3 MT Reading Scoresheet'!$P15,"")</f>
        <v>38.6666666666667</v>
      </c>
      <c r="J12" s="144" t="str">
        <f>'G3 MT Reading Scoresheet'!$U15</f>
        <v>Transitioning Reader</v>
      </c>
      <c r="K12" s="145" t="str">
        <f>'G3 FIL Reading Scoresheet'!$J15</f>
        <v>Light Refresher</v>
      </c>
      <c r="L12" s="146">
        <f>IF($C12&lt;&gt;"",'G3 FIL Reading Scoresheet'!$I15/30,"")</f>
        <v>0.8</v>
      </c>
      <c r="M12" s="146">
        <f>IF(AND($C12&lt;&gt;"",$K12&lt;&gt;"Full Refresher"),'G3 MT Reading Scoresheet'!$Q15,"")</f>
        <v>0.95867768595041303</v>
      </c>
      <c r="N12" s="147">
        <f>IF(AND($C12&lt;&gt;"",$K12&lt;&gt;"Full Refresher"),'G3 MT Reading Scoresheet'!$R15/7,"")</f>
        <v>0.42857142857142899</v>
      </c>
      <c r="O12" s="148">
        <f>IF(AND($C12&lt;&gt;"",$K12&lt;&gt;"Full Refresher"),'G3 FIL Reading Scoresheet'!$P15,"")</f>
        <v>37</v>
      </c>
      <c r="P12" s="149" t="str">
        <f>'G3 FIL Reading Scoresheet'!$U15</f>
        <v>Transitioning Reader</v>
      </c>
      <c r="Q12" s="158" t="str">
        <f>'G3 ENG Reading Scoresheet'!$I15</f>
        <v>Light Refresher</v>
      </c>
      <c r="R12" s="159">
        <f>IF($C12&lt;&gt;"",'G3 ENG Reading Scoresheet'!$H15/20,"")</f>
        <v>0.8</v>
      </c>
      <c r="S12" s="159">
        <f>IF(AND($C12&lt;&gt;"",$Q12&lt;&gt;"Full Refresher"),'G3 ENG Reading Scoresheet'!$P15,"")</f>
        <v>0.66</v>
      </c>
      <c r="T12" s="160">
        <f>IF(AND($C12&lt;&gt;"",$Q12&lt;&gt;"Full Refresher"),'G3 ENG Reading Scoresheet'!$Q15/6,"")</f>
        <v>0.33333333333333298</v>
      </c>
      <c r="U12" s="161">
        <f>IF(AND($C12&lt;&gt;"",$O12&lt;&gt;"Full Refresher"),'G3 ENG Reading Scoresheet'!$O15,"")</f>
        <v>33</v>
      </c>
      <c r="V12" s="162" t="str">
        <f>'G3 ENG Reading Scoresheet'!$T15</f>
        <v>Developing Reader</v>
      </c>
      <c r="W12" s="164" t="str">
        <f>CONCATENATE(IF(ISBLANK('G3 MT Reading Scoresheet'!V15),"",CONCATENATE("MT:",TRIM('G3 MT Reading Scoresheet'!V15)))," ",IF(ISBLANK('G3 FIL Reading Scoresheet'!V15),"",CONCATENATE("FIL:",TRIM('G3 FIL Reading Scoresheet'!V15)))," ",IF(ISBLANK('G3 ENG Reading Scoresheet'!U15),"",CONCATENATE("ENG:",TRIM('G3 ENG Reading Scoresheet'!U15))))</f>
        <v/>
      </c>
    </row>
    <row r="13" spans="1:24">
      <c r="A13" s="126">
        <v>6</v>
      </c>
      <c r="B13" s="127">
        <f>IF('G3 MT Reading Scoresheet'!B16&lt;&gt;"",'G3 MT Reading Scoresheet'!B16,"")</f>
        <v>117542220012</v>
      </c>
      <c r="C13" s="128" t="str">
        <f>IF('G3 MT Reading Scoresheet'!C16&lt;&gt;"",'G3 MT Reading Scoresheet'!C16,"")</f>
        <v>GO, NEAL XANDRIE, DOMANIEL</v>
      </c>
      <c r="D13" s="129" t="str">
        <f>IF('G3 MT Reading Scoresheet'!D16&lt;&gt;"",'G3 MT Reading Scoresheet'!D16,"")</f>
        <v>Male</v>
      </c>
      <c r="E13" s="130" t="str">
        <f>'G3 MT Reading Scoresheet'!$J16</f>
        <v>Light Refresher</v>
      </c>
      <c r="F13" s="131">
        <f>IF(C13&lt;&gt;"",'G3 MT Reading Scoresheet'!$I16/30,"")</f>
        <v>0.86666666666666703</v>
      </c>
      <c r="G13" s="131">
        <f>IF(AND($C13&lt;&gt;"",$E13&lt;&gt;"Full Refresher"),'G3 MT Reading Scoresheet'!$Q16,"")</f>
        <v>0.95867768595041303</v>
      </c>
      <c r="H13" s="132">
        <f>IF(AND(C13&lt;&gt;"",E13&lt;&gt;"Full Refresher"),'G3 MT Reading Scoresheet'!$R16/7,"")</f>
        <v>0.85714285714285698</v>
      </c>
      <c r="I13" s="143">
        <f>IF(AND($C13&lt;&gt;"",$E13&lt;&gt;"Full Refresher"),'G3 MT Reading Scoresheet'!$P16,"")</f>
        <v>38.6666666666667</v>
      </c>
      <c r="J13" s="144" t="str">
        <f>'G3 MT Reading Scoresheet'!$U16</f>
        <v>Reading At Grade Level</v>
      </c>
      <c r="K13" s="145" t="str">
        <f>'G3 FIL Reading Scoresheet'!$J16</f>
        <v>Light Refresher</v>
      </c>
      <c r="L13" s="146">
        <f>IF($C13&lt;&gt;"",'G3 FIL Reading Scoresheet'!$I16/30,"")</f>
        <v>0.86666666666666703</v>
      </c>
      <c r="M13" s="146">
        <f>IF(AND($C13&lt;&gt;"",$K13&lt;&gt;"Full Refresher"),'G3 MT Reading Scoresheet'!$Q16,"")</f>
        <v>0.95867768595041303</v>
      </c>
      <c r="N13" s="147">
        <f>IF(AND($C13&lt;&gt;"",$K13&lt;&gt;"Full Refresher"),'G3 MT Reading Scoresheet'!$R16/7,"")</f>
        <v>0.85714285714285698</v>
      </c>
      <c r="O13" s="148">
        <f>IF(AND($C13&lt;&gt;"",$K13&lt;&gt;"Full Refresher"),'G3 FIL Reading Scoresheet'!$P16,"")</f>
        <v>46.758620689655203</v>
      </c>
      <c r="P13" s="149" t="str">
        <f>'G3 FIL Reading Scoresheet'!$U16</f>
        <v>Transitioning Reader</v>
      </c>
      <c r="Q13" s="158" t="str">
        <f>'G3 ENG Reading Scoresheet'!$I16</f>
        <v>Grade Ready</v>
      </c>
      <c r="R13" s="159">
        <f>IF($C13&lt;&gt;"",'G3 ENG Reading Scoresheet'!$H16/20,"")</f>
        <v>0.9</v>
      </c>
      <c r="S13" s="159">
        <f>IF(AND($C13&lt;&gt;"",$Q13&lt;&gt;"Full Refresher"),'G3 ENG Reading Scoresheet'!$P16,"")</f>
        <v>0.75</v>
      </c>
      <c r="T13" s="160">
        <f>IF(AND($C13&lt;&gt;"",$Q13&lt;&gt;"Full Refresher"),'G3 ENG Reading Scoresheet'!$Q16/6,"")</f>
        <v>0.5</v>
      </c>
      <c r="U13" s="161">
        <f>IF(AND($C13&lt;&gt;"",$O13&lt;&gt;"Full Refresher"),'G3 ENG Reading Scoresheet'!$O16,"")</f>
        <v>37.5</v>
      </c>
      <c r="V13" s="162" t="str">
        <f>'G3 ENG Reading Scoresheet'!$T16</f>
        <v>Transitioning Reader</v>
      </c>
      <c r="W13" s="163" t="str">
        <f>CONCATENATE(IF(ISBLANK('G3 MT Reading Scoresheet'!V16),"",CONCATENATE("MT:",TRIM('G3 MT Reading Scoresheet'!V16)))," ",IF(ISBLANK('G3 FIL Reading Scoresheet'!V16),"",CONCATENATE("FIL:",TRIM('G3 FIL Reading Scoresheet'!V16)))," ",IF(ISBLANK('G3 ENG Reading Scoresheet'!U16),"",CONCATENATE("ENG:",TRIM('G3 ENG Reading Scoresheet'!U16))))</f>
        <v/>
      </c>
    </row>
    <row r="14" spans="1:24">
      <c r="A14" s="119">
        <v>7</v>
      </c>
      <c r="B14" s="133">
        <f>IF('G3 MT Reading Scoresheet'!B17&lt;&gt;"",'G3 MT Reading Scoresheet'!B17,"")</f>
        <v>1174432290003</v>
      </c>
      <c r="C14" s="134" t="str">
        <f>IF('G3 MT Reading Scoresheet'!C17&lt;&gt;"",'G3 MT Reading Scoresheet'!C17,"")</f>
        <v>GREGORIO, JOHN MARK, ABELLAR</v>
      </c>
      <c r="D14" s="135" t="str">
        <f>IF('G3 MT Reading Scoresheet'!D17&lt;&gt;"",'G3 MT Reading Scoresheet'!D17,"")</f>
        <v>Male</v>
      </c>
      <c r="E14" s="130" t="str">
        <f>'G3 MT Reading Scoresheet'!$J17</f>
        <v>Full Refresher</v>
      </c>
      <c r="F14" s="131">
        <f>IF(C14&lt;&gt;"",'G3 MT Reading Scoresheet'!$I17/30,"")</f>
        <v>0.16666666666666699</v>
      </c>
      <c r="G14" s="131" t="str">
        <f>IF(AND($C14&lt;&gt;"",$E14&lt;&gt;"Full Refresher"),'G3 MT Reading Scoresheet'!$Q17,"")</f>
        <v/>
      </c>
      <c r="H14" s="132" t="str">
        <f>IF(AND(C14&lt;&gt;"",E14&lt;&gt;"Full Refresher"),'G3 MT Reading Scoresheet'!$R17/7,"")</f>
        <v/>
      </c>
      <c r="I14" s="143" t="str">
        <f>IF(AND($C14&lt;&gt;"",$E14&lt;&gt;"Full Refresher"),'G3 MT Reading Scoresheet'!$P17,"")</f>
        <v/>
      </c>
      <c r="J14" s="144" t="str">
        <f>'G3 MT Reading Scoresheet'!$U17</f>
        <v>Low Emerging Reader</v>
      </c>
      <c r="K14" s="145" t="str">
        <f>'G3 FIL Reading Scoresheet'!$J17</f>
        <v>Full Refresher</v>
      </c>
      <c r="L14" s="146">
        <f>IF($C14&lt;&gt;"",'G3 FIL Reading Scoresheet'!$I17/30,"")</f>
        <v>0.133333333333333</v>
      </c>
      <c r="M14" s="146" t="str">
        <f>IF(AND($C14&lt;&gt;"",$K14&lt;&gt;"Full Refresher"),'G3 MT Reading Scoresheet'!$Q17,"")</f>
        <v/>
      </c>
      <c r="N14" s="147" t="str">
        <f>IF(AND($C14&lt;&gt;"",$K14&lt;&gt;"Full Refresher"),'G3 MT Reading Scoresheet'!$R17/7,"")</f>
        <v/>
      </c>
      <c r="O14" s="148" t="str">
        <f>IF(AND($C14&lt;&gt;"",$K14&lt;&gt;"Full Refresher"),'G3 FIL Reading Scoresheet'!$P17,"")</f>
        <v/>
      </c>
      <c r="P14" s="149" t="str">
        <f>'G3 FIL Reading Scoresheet'!$U17</f>
        <v>Low Emerging Reader</v>
      </c>
      <c r="Q14" s="158" t="str">
        <f>'G3 ENG Reading Scoresheet'!$I17</f>
        <v>Moderate Refresher</v>
      </c>
      <c r="R14" s="159">
        <f>IF($C14&lt;&gt;"",'G3 ENG Reading Scoresheet'!$H17/20,"")</f>
        <v>0.4</v>
      </c>
      <c r="S14" s="159">
        <f>IF(AND($C14&lt;&gt;"",$Q14&lt;&gt;"Full Refresher"),'G3 ENG Reading Scoresheet'!$P17,"")</f>
        <v>0.55000000000000004</v>
      </c>
      <c r="T14" s="160">
        <f>IF(AND($C14&lt;&gt;"",$Q14&lt;&gt;"Full Refresher"),'G3 ENG Reading Scoresheet'!$Q17/6,"")</f>
        <v>0.16666666666666699</v>
      </c>
      <c r="U14" s="161">
        <f>IF(AND($C14&lt;&gt;"",$O14&lt;&gt;"Full Refresher"),'G3 ENG Reading Scoresheet'!$O17,"")</f>
        <v>27.5</v>
      </c>
      <c r="V14" s="162" t="str">
        <f>'G3 ENG Reading Scoresheet'!$T17</f>
        <v>Developing Reader</v>
      </c>
      <c r="W14" s="164" t="str">
        <f>CONCATENATE(IF(ISBLANK('G3 MT Reading Scoresheet'!V17),"",CONCATENATE("MT:",TRIM('G3 MT Reading Scoresheet'!V17)))," ",IF(ISBLANK('G3 FIL Reading Scoresheet'!V17),"",CONCATENATE("FIL:",TRIM('G3 FIL Reading Scoresheet'!V17)))," ",IF(ISBLANK('G3 ENG Reading Scoresheet'!U17),"",CONCATENATE("ENG:",TRIM('G3 ENG Reading Scoresheet'!U17))))</f>
        <v/>
      </c>
    </row>
    <row r="15" spans="1:24">
      <c r="A15" s="126">
        <v>8</v>
      </c>
      <c r="B15" s="127">
        <f>IF('G3 MT Reading Scoresheet'!B18&lt;&gt;"",'G3 MT Reading Scoresheet'!B18,"")</f>
        <v>117443220005</v>
      </c>
      <c r="C15" s="128" t="str">
        <f>IF('G3 MT Reading Scoresheet'!C18&lt;&gt;"",'G3 MT Reading Scoresheet'!C18,"")</f>
        <v>JUMBAS, CYREL JAY, BARILLO</v>
      </c>
      <c r="D15" s="129" t="str">
        <f>IF('G3 MT Reading Scoresheet'!D18&lt;&gt;"",'G3 MT Reading Scoresheet'!D18,"")</f>
        <v>Male</v>
      </c>
      <c r="E15" s="130" t="str">
        <f>'G3 MT Reading Scoresheet'!$J18</f>
        <v>Moderate Refresher</v>
      </c>
      <c r="F15" s="131">
        <f>IF(C15&lt;&gt;"",'G3 MT Reading Scoresheet'!$I18/30,"")</f>
        <v>0.43333333333333302</v>
      </c>
      <c r="G15" s="131">
        <f>IF(AND($C15&lt;&gt;"",$E15&lt;&gt;"Full Refresher"),'G3 MT Reading Scoresheet'!$Q18,"")</f>
        <v>0.91596638655462204</v>
      </c>
      <c r="H15" s="132">
        <f>IF(AND(C15&lt;&gt;"",E15&lt;&gt;"Full Refresher"),'G3 MT Reading Scoresheet'!$R18/7,"")</f>
        <v>0.85714285714285698</v>
      </c>
      <c r="I15" s="143">
        <f>IF(AND($C15&lt;&gt;"",$E15&lt;&gt;"Full Refresher"),'G3 MT Reading Scoresheet'!$P18,"")</f>
        <v>39.636363636363598</v>
      </c>
      <c r="J15" s="144" t="str">
        <f>'G3 MT Reading Scoresheet'!$U18</f>
        <v>Reading At Grade Level</v>
      </c>
      <c r="K15" s="145" t="str">
        <f>'G3 FIL Reading Scoresheet'!$J18</f>
        <v>Light Refresher</v>
      </c>
      <c r="L15" s="146">
        <f>IF($C15&lt;&gt;"",'G3 FIL Reading Scoresheet'!$I18/30,"")</f>
        <v>0.83333333333333304</v>
      </c>
      <c r="M15" s="146">
        <f>IF(AND($C15&lt;&gt;"",$K15&lt;&gt;"Full Refresher"),'G3 MT Reading Scoresheet'!$Q18,"")</f>
        <v>0.91596638655462204</v>
      </c>
      <c r="N15" s="147">
        <f>IF(AND($C15&lt;&gt;"",$K15&lt;&gt;"Full Refresher"),'G3 MT Reading Scoresheet'!$R18/7,"")</f>
        <v>0.85714285714285698</v>
      </c>
      <c r="O15" s="148">
        <f>IF(AND($C15&lt;&gt;"",$K15&lt;&gt;"Full Refresher"),'G3 FIL Reading Scoresheet'!$P18,"")</f>
        <v>38</v>
      </c>
      <c r="P15" s="149" t="str">
        <f>'G3 FIL Reading Scoresheet'!$U18</f>
        <v>Reading At Grade Level</v>
      </c>
      <c r="Q15" s="158" t="str">
        <f>'G3 ENG Reading Scoresheet'!$I18</f>
        <v>Grade Ready</v>
      </c>
      <c r="R15" s="159">
        <f>IF($C15&lt;&gt;"",'G3 ENG Reading Scoresheet'!$H18/20,"")</f>
        <v>0.9</v>
      </c>
      <c r="S15" s="159">
        <f>IF(AND($C15&lt;&gt;"",$Q15&lt;&gt;"Full Refresher"),'G3 ENG Reading Scoresheet'!$P18,"")</f>
        <v>0.83</v>
      </c>
      <c r="T15" s="160">
        <f>IF(AND($C15&lt;&gt;"",$Q15&lt;&gt;"Full Refresher"),'G3 ENG Reading Scoresheet'!$Q18/6,"")</f>
        <v>0.83333333333333304</v>
      </c>
      <c r="U15" s="161">
        <f>IF(AND($C15&lt;&gt;"",$O15&lt;&gt;"Full Refresher"),'G3 ENG Reading Scoresheet'!$O18,"")</f>
        <v>41.5</v>
      </c>
      <c r="V15" s="162" t="str">
        <f>'G3 ENG Reading Scoresheet'!$T18</f>
        <v>Reading At Grade Level</v>
      </c>
      <c r="W15" s="163" t="str">
        <f>CONCATENATE(IF(ISBLANK('G3 MT Reading Scoresheet'!V18),"",CONCATENATE("MT:",TRIM('G3 MT Reading Scoresheet'!V18)))," ",IF(ISBLANK('G3 FIL Reading Scoresheet'!V18),"",CONCATENATE("FIL:",TRIM('G3 FIL Reading Scoresheet'!V18)))," ",IF(ISBLANK('G3 ENG Reading Scoresheet'!U18),"",CONCATENATE("ENG:",TRIM('G3 ENG Reading Scoresheet'!U18))))</f>
        <v/>
      </c>
    </row>
    <row r="16" spans="1:24">
      <c r="A16" s="119">
        <v>9</v>
      </c>
      <c r="B16" s="133">
        <f>IF('G3 MT Reading Scoresheet'!B19&lt;&gt;"",'G3 MT Reading Scoresheet'!B19,"")</f>
        <v>11744322007</v>
      </c>
      <c r="C16" s="134" t="str">
        <f>IF('G3 MT Reading Scoresheet'!C19&lt;&gt;"",'G3 MT Reading Scoresheet'!C19,"")</f>
        <v>LEMORINAS, ARTHUR, BAYLON</v>
      </c>
      <c r="D16" s="135" t="str">
        <f>IF('G3 MT Reading Scoresheet'!D19&lt;&gt;"",'G3 MT Reading Scoresheet'!D19,"")</f>
        <v>Male</v>
      </c>
      <c r="E16" s="130" t="str">
        <f>'G3 MT Reading Scoresheet'!$J19</f>
        <v>Full Refresher</v>
      </c>
      <c r="F16" s="131">
        <f>IF(C16&lt;&gt;"",'G3 MT Reading Scoresheet'!$I19/30,"")</f>
        <v>0.16666666666666699</v>
      </c>
      <c r="G16" s="131" t="str">
        <f>IF(AND($C16&lt;&gt;"",$E16&lt;&gt;"Full Refresher"),'G3 MT Reading Scoresheet'!$Q19,"")</f>
        <v/>
      </c>
      <c r="H16" s="132" t="str">
        <f>IF(AND(C16&lt;&gt;"",E16&lt;&gt;"Full Refresher"),'G3 MT Reading Scoresheet'!$R19/7,"")</f>
        <v/>
      </c>
      <c r="I16" s="143" t="str">
        <f>IF(AND($C16&lt;&gt;"",$E16&lt;&gt;"Full Refresher"),'G3 MT Reading Scoresheet'!$P19,"")</f>
        <v/>
      </c>
      <c r="J16" s="144" t="str">
        <f>'G3 MT Reading Scoresheet'!$U19</f>
        <v>Low Emerging Reader</v>
      </c>
      <c r="K16" s="145" t="str">
        <f>'G3 FIL Reading Scoresheet'!$J19</f>
        <v>Full Refresher</v>
      </c>
      <c r="L16" s="146">
        <f>IF($C16&lt;&gt;"",'G3 FIL Reading Scoresheet'!$I19/30,"")</f>
        <v>0.266666666666667</v>
      </c>
      <c r="M16" s="146" t="str">
        <f>IF(AND($C16&lt;&gt;"",$K16&lt;&gt;"Full Refresher"),'G3 MT Reading Scoresheet'!$Q19,"")</f>
        <v/>
      </c>
      <c r="N16" s="147" t="str">
        <f>IF(AND($C16&lt;&gt;"",$K16&lt;&gt;"Full Refresher"),'G3 MT Reading Scoresheet'!$R19/7,"")</f>
        <v/>
      </c>
      <c r="O16" s="148" t="str">
        <f>IF(AND($C16&lt;&gt;"",$K16&lt;&gt;"Full Refresher"),'G3 FIL Reading Scoresheet'!$P19,"")</f>
        <v/>
      </c>
      <c r="P16" s="149" t="str">
        <f>'G3 FIL Reading Scoresheet'!$U19</f>
        <v>Low Emerging Reader</v>
      </c>
      <c r="Q16" s="158" t="str">
        <f>'G3 ENG Reading Scoresheet'!$I19</f>
        <v>Light Refresher</v>
      </c>
      <c r="R16" s="159">
        <f>IF($C16&lt;&gt;"",'G3 ENG Reading Scoresheet'!$H19/20,"")</f>
        <v>0.7</v>
      </c>
      <c r="S16" s="159">
        <f>IF(AND($C16&lt;&gt;"",$Q16&lt;&gt;"Full Refresher"),'G3 ENG Reading Scoresheet'!$P19,"")</f>
        <v>0.98</v>
      </c>
      <c r="T16" s="160">
        <f>IF(AND($C16&lt;&gt;"",$Q16&lt;&gt;"Full Refresher"),'G3 ENG Reading Scoresheet'!$Q19/6,"")</f>
        <v>0.83333333333333304</v>
      </c>
      <c r="U16" s="161">
        <f>IF(AND($C16&lt;&gt;"",$O16&lt;&gt;"Full Refresher"),'G3 ENG Reading Scoresheet'!$O19,"")</f>
        <v>73.5</v>
      </c>
      <c r="V16" s="162" t="str">
        <f>'G3 ENG Reading Scoresheet'!$T19</f>
        <v>Reading At Grade Level</v>
      </c>
      <c r="W16" s="164" t="str">
        <f>CONCATENATE(IF(ISBLANK('G3 MT Reading Scoresheet'!V19),"",CONCATENATE("MT:",TRIM('G3 MT Reading Scoresheet'!V19)))," ",IF(ISBLANK('G3 FIL Reading Scoresheet'!V19),"",CONCATENATE("FIL:",TRIM('G3 FIL Reading Scoresheet'!V19)))," ",IF(ISBLANK('G3 ENG Reading Scoresheet'!U19),"",CONCATENATE("ENG:",TRIM('G3 ENG Reading Scoresheet'!U19))))</f>
        <v/>
      </c>
    </row>
    <row r="17" spans="1:23">
      <c r="A17" s="126">
        <v>10</v>
      </c>
      <c r="B17" s="127">
        <f>IF('G3 MT Reading Scoresheet'!B20&lt;&gt;"",'G3 MT Reading Scoresheet'!B20,"")</f>
        <v>117443220008</v>
      </c>
      <c r="C17" s="128" t="str">
        <f>IF('G3 MT Reading Scoresheet'!C20&lt;&gt;"",'G3 MT Reading Scoresheet'!C20,"")</f>
        <v>MARASIGAN, ZHENKIE NATHAN, DELA CRUZ</v>
      </c>
      <c r="D17" s="129" t="str">
        <f>IF('G3 MT Reading Scoresheet'!D20&lt;&gt;"",'G3 MT Reading Scoresheet'!D20,"")</f>
        <v>Male</v>
      </c>
      <c r="E17" s="130" t="str">
        <f>'G3 MT Reading Scoresheet'!$J20</f>
        <v>Grade Ready</v>
      </c>
      <c r="F17" s="131">
        <f>IF(C17&lt;&gt;"",'G3 MT Reading Scoresheet'!$I20/30,"")</f>
        <v>0.9</v>
      </c>
      <c r="G17" s="131">
        <f>IF(AND($C17&lt;&gt;"",$E17&lt;&gt;"Full Refresher"),'G3 MT Reading Scoresheet'!$Q20,"")</f>
        <v>0.99159663865546199</v>
      </c>
      <c r="H17" s="132">
        <f>IF(AND(C17&lt;&gt;"",E17&lt;&gt;"Full Refresher"),'G3 MT Reading Scoresheet'!$R20/7,"")</f>
        <v>0.85714285714285698</v>
      </c>
      <c r="I17" s="143">
        <f>IF(AND($C17&lt;&gt;"",$E17&lt;&gt;"Full Refresher"),'G3 MT Reading Scoresheet'!$P20,"")</f>
        <v>39.3333333333333</v>
      </c>
      <c r="J17" s="144" t="str">
        <f>'G3 MT Reading Scoresheet'!$U20</f>
        <v>Reading At Grade Level</v>
      </c>
      <c r="K17" s="145" t="str">
        <f>'G3 FIL Reading Scoresheet'!$J20</f>
        <v>Grade Ready</v>
      </c>
      <c r="L17" s="146">
        <f>IF($C17&lt;&gt;"",'G3 FIL Reading Scoresheet'!$I20/30,"")</f>
        <v>0.9</v>
      </c>
      <c r="M17" s="146">
        <f>IF(AND($C17&lt;&gt;"",$K17&lt;&gt;"Full Refresher"),'G3 MT Reading Scoresheet'!$Q20,"")</f>
        <v>0.99159663865546199</v>
      </c>
      <c r="N17" s="147">
        <f>IF(AND($C17&lt;&gt;"",$K17&lt;&gt;"Full Refresher"),'G3 MT Reading Scoresheet'!$R20/7,"")</f>
        <v>0.85714285714285698</v>
      </c>
      <c r="O17" s="148">
        <f>IF(AND($C17&lt;&gt;"",$K17&lt;&gt;"Full Refresher"),'G3 FIL Reading Scoresheet'!$P20,"")</f>
        <v>30.6666666666667</v>
      </c>
      <c r="P17" s="149" t="str">
        <f>'G3 FIL Reading Scoresheet'!$U20</f>
        <v>Reading At Grade Level</v>
      </c>
      <c r="Q17" s="158" t="str">
        <f>'G3 ENG Reading Scoresheet'!$I20</f>
        <v>Grade Ready</v>
      </c>
      <c r="R17" s="159">
        <f>IF($C17&lt;&gt;"",'G3 ENG Reading Scoresheet'!$H20/20,"")</f>
        <v>0.95</v>
      </c>
      <c r="S17" s="159">
        <f>IF(AND($C17&lt;&gt;"",$Q17&lt;&gt;"Full Refresher"),'G3 ENG Reading Scoresheet'!$P20,"")</f>
        <v>0.77</v>
      </c>
      <c r="T17" s="160">
        <f>IF(AND($C17&lt;&gt;"",$Q17&lt;&gt;"Full Refresher"),'G3 ENG Reading Scoresheet'!$Q20/6,"")</f>
        <v>0.83333333333333304</v>
      </c>
      <c r="U17" s="161">
        <f>IF(AND($C17&lt;&gt;"",$O17&lt;&gt;"Full Refresher"),'G3 ENG Reading Scoresheet'!$O20,"")</f>
        <v>38.5</v>
      </c>
      <c r="V17" s="162" t="str">
        <f>'G3 ENG Reading Scoresheet'!$T20</f>
        <v>Reading At Grade Level</v>
      </c>
      <c r="W17" s="163" t="str">
        <f>CONCATENATE(IF(ISBLANK('G3 MT Reading Scoresheet'!V20),"",CONCATENATE("MT:",TRIM('G3 MT Reading Scoresheet'!V20)))," ",IF(ISBLANK('G3 FIL Reading Scoresheet'!V20),"",CONCATENATE("FIL:",TRIM('G3 FIL Reading Scoresheet'!V20)))," ",IF(ISBLANK('G3 ENG Reading Scoresheet'!U20),"",CONCATENATE("ENG:",TRIM('G3 ENG Reading Scoresheet'!U20))))</f>
        <v/>
      </c>
    </row>
    <row r="18" spans="1:23">
      <c r="A18" s="119">
        <v>11</v>
      </c>
      <c r="B18" s="133">
        <f>IF('G3 MT Reading Scoresheet'!B21&lt;&gt;"",'G3 MT Reading Scoresheet'!B21,"")</f>
        <v>136651220284</v>
      </c>
      <c r="C18" s="134" t="str">
        <f>IF('G3 MT Reading Scoresheet'!C21&lt;&gt;"",'G3 MT Reading Scoresheet'!C21,"")</f>
        <v>ABRINILLO, VERONICA, SIASAT</v>
      </c>
      <c r="D18" s="135" t="str">
        <f>IF('G3 MT Reading Scoresheet'!D21&lt;&gt;"",'G3 MT Reading Scoresheet'!D21,"")</f>
        <v>Male</v>
      </c>
      <c r="E18" s="130" t="str">
        <f>'G3 MT Reading Scoresheet'!$J21</f>
        <v>Light Refresher</v>
      </c>
      <c r="F18" s="131">
        <f>IF(C18&lt;&gt;"",'G3 MT Reading Scoresheet'!$I21/30,"")</f>
        <v>0.76666666666666705</v>
      </c>
      <c r="G18" s="131">
        <f>IF(AND($C18&lt;&gt;"",$E18&lt;&gt;"Full Refresher"),'G3 MT Reading Scoresheet'!$Q21,"")</f>
        <v>0.42857142857142899</v>
      </c>
      <c r="H18" s="132">
        <f>IF(AND(C18&lt;&gt;"",E18&lt;&gt;"Full Refresher"),'G3 MT Reading Scoresheet'!$R21/7,"")</f>
        <v>0.28571428571428598</v>
      </c>
      <c r="I18" s="143">
        <f>IF(AND($C18&lt;&gt;"",$E18&lt;&gt;"Full Refresher"),'G3 MT Reading Scoresheet'!$P21,"")</f>
        <v>17</v>
      </c>
      <c r="J18" s="144" t="str">
        <f>'G3 MT Reading Scoresheet'!$U21</f>
        <v>Developing Reader</v>
      </c>
      <c r="K18" s="145" t="str">
        <f>'G3 FIL Reading Scoresheet'!$J21</f>
        <v>Light Refresher</v>
      </c>
      <c r="L18" s="146">
        <f>IF($C18&lt;&gt;"",'G3 FIL Reading Scoresheet'!$I21/30,"")</f>
        <v>0.66666666666666696</v>
      </c>
      <c r="M18" s="146">
        <f>IF(AND($C18&lt;&gt;"",$K18&lt;&gt;"Full Refresher"),'G3 MT Reading Scoresheet'!$Q21,"")</f>
        <v>0.42857142857142899</v>
      </c>
      <c r="N18" s="147">
        <f>IF(AND($C18&lt;&gt;"",$K18&lt;&gt;"Full Refresher"),'G3 MT Reading Scoresheet'!$R21/7,"")</f>
        <v>0.28571428571428598</v>
      </c>
      <c r="O18" s="148">
        <f>IF(AND($C18&lt;&gt;"",$K18&lt;&gt;"Full Refresher"),'G3 FIL Reading Scoresheet'!$P21,"")</f>
        <v>20.3333333333333</v>
      </c>
      <c r="P18" s="149" t="str">
        <f>'G3 FIL Reading Scoresheet'!$U21</f>
        <v>Developing Reader</v>
      </c>
      <c r="Q18" s="158" t="str">
        <f>'G3 ENG Reading Scoresheet'!$I21</f>
        <v>Moderate Refresher</v>
      </c>
      <c r="R18" s="159">
        <f>IF($C18&lt;&gt;"",'G3 ENG Reading Scoresheet'!$H21/20,"")</f>
        <v>0.15</v>
      </c>
      <c r="S18" s="159">
        <f>IF(AND($C18&lt;&gt;"",$Q18&lt;&gt;"Full Refresher"),'G3 ENG Reading Scoresheet'!$P21,"")</f>
        <v>0.44</v>
      </c>
      <c r="T18" s="160">
        <f>IF(AND($C18&lt;&gt;"",$Q18&lt;&gt;"Full Refresher"),'G3 ENG Reading Scoresheet'!$Q21/6,"")</f>
        <v>0.16666666666666699</v>
      </c>
      <c r="U18" s="161">
        <f>IF(AND($C18&lt;&gt;"",$O18&lt;&gt;"Full Refresher"),'G3 ENG Reading Scoresheet'!$O21,"")</f>
        <v>22</v>
      </c>
      <c r="V18" s="162" t="str">
        <f>'G3 ENG Reading Scoresheet'!$T21</f>
        <v>Developing Reader</v>
      </c>
      <c r="W18" s="164" t="str">
        <f>CONCATENATE(IF(ISBLANK('G3 MT Reading Scoresheet'!V21),"",CONCATENATE("MT:",TRIM('G3 MT Reading Scoresheet'!V21)))," ",IF(ISBLANK('G3 FIL Reading Scoresheet'!V21),"",CONCATENATE("FIL:",TRIM('G3 FIL Reading Scoresheet'!V21)))," ",IF(ISBLANK('G3 ENG Reading Scoresheet'!U21),"",CONCATENATE("ENG:",TRIM('G3 ENG Reading Scoresheet'!U21))))</f>
        <v/>
      </c>
    </row>
    <row r="19" spans="1:23">
      <c r="A19" s="126">
        <v>12</v>
      </c>
      <c r="B19" s="127">
        <f>IF('G3 MT Reading Scoresheet'!B22&lt;&gt;"",'G3 MT Reading Scoresheet'!B22,"")</f>
        <v>117443220019</v>
      </c>
      <c r="C19" s="128" t="str">
        <f>IF('G3 MT Reading Scoresheet'!C22&lt;&gt;"",'G3 MT Reading Scoresheet'!C22,"")</f>
        <v>CARDINAL,KISHIA,-</v>
      </c>
      <c r="D19" s="129" t="str">
        <f>IF('G3 MT Reading Scoresheet'!D22&lt;&gt;"",'G3 MT Reading Scoresheet'!D22,"")</f>
        <v>Female</v>
      </c>
      <c r="E19" s="130" t="str">
        <f>'G3 MT Reading Scoresheet'!$J22</f>
        <v>Grade Ready</v>
      </c>
      <c r="F19" s="131">
        <f>IF(C19&lt;&gt;"",'G3 MT Reading Scoresheet'!$I22/30,"")</f>
        <v>0.93333333333333302</v>
      </c>
      <c r="G19" s="131">
        <f>IF(AND($C19&lt;&gt;"",$E19&lt;&gt;"Full Refresher"),'G3 MT Reading Scoresheet'!$Q22,"")</f>
        <v>0.99159663865546199</v>
      </c>
      <c r="H19" s="132">
        <f>IF(AND(C19&lt;&gt;"",E19&lt;&gt;"Full Refresher"),'G3 MT Reading Scoresheet'!$R22/7,"")</f>
        <v>0.85714285714285698</v>
      </c>
      <c r="I19" s="143">
        <f>IF(AND($C19&lt;&gt;"",$E19&lt;&gt;"Full Refresher"),'G3 MT Reading Scoresheet'!$P22,"")</f>
        <v>76.956521739130395</v>
      </c>
      <c r="J19" s="144" t="str">
        <f>'G3 MT Reading Scoresheet'!$U22</f>
        <v>Reading At Grade Level</v>
      </c>
      <c r="K19" s="145" t="str">
        <f>'G3 FIL Reading Scoresheet'!$J22</f>
        <v>Grade Ready</v>
      </c>
      <c r="L19" s="146">
        <f>IF($C19&lt;&gt;"",'G3 FIL Reading Scoresheet'!$I22/30,"")</f>
        <v>0.96666666666666701</v>
      </c>
      <c r="M19" s="146">
        <f>IF(AND($C19&lt;&gt;"",$K19&lt;&gt;"Full Refresher"),'G3 MT Reading Scoresheet'!$Q22,"")</f>
        <v>0.99159663865546199</v>
      </c>
      <c r="N19" s="147">
        <f>IF(AND($C19&lt;&gt;"",$K19&lt;&gt;"Full Refresher"),'G3 MT Reading Scoresheet'!$R22/7,"")</f>
        <v>0.85714285714285698</v>
      </c>
      <c r="O19" s="148">
        <f>IF(AND($C19&lt;&gt;"",$K19&lt;&gt;"Full Refresher"),'G3 FIL Reading Scoresheet'!$P22,"")</f>
        <v>35.3333333333333</v>
      </c>
      <c r="P19" s="149" t="str">
        <f>'G3 FIL Reading Scoresheet'!$U22</f>
        <v>Reading At Grade Level</v>
      </c>
      <c r="Q19" s="158" t="str">
        <f>'G3 ENG Reading Scoresheet'!$I22</f>
        <v>Grade Ready</v>
      </c>
      <c r="R19" s="159">
        <f>IF($C19&lt;&gt;"",'G3 ENG Reading Scoresheet'!$H22/20,"")</f>
        <v>0.9</v>
      </c>
      <c r="S19" s="159">
        <f>IF(AND($C19&lt;&gt;"",$Q19&lt;&gt;"Full Refresher"),'G3 ENG Reading Scoresheet'!$P22,"")</f>
        <v>0.86</v>
      </c>
      <c r="T19" s="160">
        <f>IF(AND($C19&lt;&gt;"",$Q19&lt;&gt;"Full Refresher"),'G3 ENG Reading Scoresheet'!$Q22/6,"")</f>
        <v>0.83333333333333304</v>
      </c>
      <c r="U19" s="161">
        <f>IF(AND($C19&lt;&gt;"",$O19&lt;&gt;"Full Refresher"),'G3 ENG Reading Scoresheet'!$O22,"")</f>
        <v>43</v>
      </c>
      <c r="V19" s="162" t="str">
        <f>'G3 ENG Reading Scoresheet'!$T22</f>
        <v>Reading At Grade Level</v>
      </c>
      <c r="W19" s="163" t="str">
        <f>CONCATENATE(IF(ISBLANK('G3 MT Reading Scoresheet'!V22),"",CONCATENATE("MT:",TRIM('G3 MT Reading Scoresheet'!V22)))," ",IF(ISBLANK('G3 FIL Reading Scoresheet'!V22),"",CONCATENATE("FIL:",TRIM('G3 FIL Reading Scoresheet'!V22)))," ",IF(ISBLANK('G3 ENG Reading Scoresheet'!U22),"",CONCATENATE("ENG:",TRIM('G3 ENG Reading Scoresheet'!U22))))</f>
        <v/>
      </c>
    </row>
    <row r="20" spans="1:23">
      <c r="A20" s="119">
        <v>13</v>
      </c>
      <c r="B20" s="133">
        <f>IF('G3 MT Reading Scoresheet'!B23&lt;&gt;"",'G3 MT Reading Scoresheet'!B23,"")</f>
        <v>117443220009</v>
      </c>
      <c r="C20" s="134" t="str">
        <f>IF('G3 MT Reading Scoresheet'!C23&lt;&gt;"",'G3 MT Reading Scoresheet'!C23,"")</f>
        <v>CARDINAL, LEXIE, SUNDAYON</v>
      </c>
      <c r="D20" s="135" t="str">
        <f>IF('G3 MT Reading Scoresheet'!D23&lt;&gt;"",'G3 MT Reading Scoresheet'!D23,"")</f>
        <v>Female</v>
      </c>
      <c r="E20" s="130" t="str">
        <f>'G3 MT Reading Scoresheet'!$J23</f>
        <v>Grade Ready</v>
      </c>
      <c r="F20" s="131">
        <f>IF(C20&lt;&gt;"",'G3 MT Reading Scoresheet'!$I23/30,"")</f>
        <v>0.9</v>
      </c>
      <c r="G20" s="131">
        <f>IF(AND($C20&lt;&gt;"",$E20&lt;&gt;"Full Refresher"),'G3 MT Reading Scoresheet'!$Q23,"")</f>
        <v>1</v>
      </c>
      <c r="H20" s="132">
        <f>IF(AND(C20&lt;&gt;"",E20&lt;&gt;"Full Refresher"),'G3 MT Reading Scoresheet'!$R23/7,"")</f>
        <v>1</v>
      </c>
      <c r="I20" s="143">
        <f>IF(AND($C20&lt;&gt;"",$E20&lt;&gt;"Full Refresher"),'G3 MT Reading Scoresheet'!$P23,"")</f>
        <v>58.048780487804898</v>
      </c>
      <c r="J20" s="144" t="str">
        <f>'G3 MT Reading Scoresheet'!$U23</f>
        <v>Reading At Grade Level</v>
      </c>
      <c r="K20" s="145" t="str">
        <f>'G3 FIL Reading Scoresheet'!$J23</f>
        <v>Grade Ready</v>
      </c>
      <c r="L20" s="146">
        <f>IF($C20&lt;&gt;"",'G3 FIL Reading Scoresheet'!$I23/30,"")</f>
        <v>1</v>
      </c>
      <c r="M20" s="146">
        <f>IF(AND($C20&lt;&gt;"",$K20&lt;&gt;"Full Refresher"),'G3 MT Reading Scoresheet'!$Q23,"")</f>
        <v>1</v>
      </c>
      <c r="N20" s="147">
        <f>IF(AND($C20&lt;&gt;"",$K20&lt;&gt;"Full Refresher"),'G3 MT Reading Scoresheet'!$R23/7,"")</f>
        <v>1</v>
      </c>
      <c r="O20" s="148">
        <f>IF(AND($C20&lt;&gt;"",$K20&lt;&gt;"Full Refresher"),'G3 FIL Reading Scoresheet'!$P23,"")</f>
        <v>71.400000000000006</v>
      </c>
      <c r="P20" s="149" t="str">
        <f>'G3 FIL Reading Scoresheet'!$U23</f>
        <v>Reading At Grade Level</v>
      </c>
      <c r="Q20" s="158" t="str">
        <f>'G3 ENG Reading Scoresheet'!$I23</f>
        <v>Grade Ready</v>
      </c>
      <c r="R20" s="159">
        <f>IF($C20&lt;&gt;"",'G3 ENG Reading Scoresheet'!$H23/20,"")</f>
        <v>1</v>
      </c>
      <c r="S20" s="159">
        <f>IF(AND($C20&lt;&gt;"",$Q20&lt;&gt;"Full Refresher"),'G3 ENG Reading Scoresheet'!$P23,"")</f>
        <v>0.97</v>
      </c>
      <c r="T20" s="160">
        <f>IF(AND($C20&lt;&gt;"",$Q20&lt;&gt;"Full Refresher"),'G3 ENG Reading Scoresheet'!$Q23/6,"")</f>
        <v>1</v>
      </c>
      <c r="U20" s="161">
        <f>IF(AND($C20&lt;&gt;"",$O20&lt;&gt;"Full Refresher"),'G3 ENG Reading Scoresheet'!$O23,"")</f>
        <v>58.787878787878803</v>
      </c>
      <c r="V20" s="162" t="str">
        <f>'G3 ENG Reading Scoresheet'!$T23</f>
        <v>Reading At Grade Level</v>
      </c>
      <c r="W20" s="164" t="str">
        <f>CONCATENATE(IF(ISBLANK('G3 MT Reading Scoresheet'!V23),"",CONCATENATE("MT:",TRIM('G3 MT Reading Scoresheet'!V23)))," ",IF(ISBLANK('G3 FIL Reading Scoresheet'!V23),"",CONCATENATE("FIL:",TRIM('G3 FIL Reading Scoresheet'!V23)))," ",IF(ISBLANK('G3 ENG Reading Scoresheet'!U23),"",CONCATENATE("ENG:",TRIM('G3 ENG Reading Scoresheet'!U23))))</f>
        <v/>
      </c>
    </row>
    <row r="21" spans="1:23">
      <c r="A21" s="126">
        <v>14</v>
      </c>
      <c r="B21" s="127" t="str">
        <f>IF('G3 MT Reading Scoresheet'!B24&lt;&gt;"",'G3 MT Reading Scoresheet'!B24,"")</f>
        <v/>
      </c>
      <c r="C21" s="128" t="str">
        <f>IF('G3 MT Reading Scoresheet'!C24&lt;&gt;"",'G3 MT Reading Scoresheet'!C24,"")</f>
        <v>DIONSON, AIRA, BAUTISTA</v>
      </c>
      <c r="D21" s="129" t="str">
        <f>IF('G3 MT Reading Scoresheet'!D24&lt;&gt;"",'G3 MT Reading Scoresheet'!D24,"")</f>
        <v>Female</v>
      </c>
      <c r="E21" s="130" t="str">
        <f>'G3 MT Reading Scoresheet'!$J24</f>
        <v>Full Refresher</v>
      </c>
      <c r="F21" s="131">
        <f>IF(C21&lt;&gt;"",'G3 MT Reading Scoresheet'!$I24/30,"")</f>
        <v>0.2</v>
      </c>
      <c r="G21" s="131" t="str">
        <f>IF(AND($C21&lt;&gt;"",$E21&lt;&gt;"Full Refresher"),'G3 MT Reading Scoresheet'!$Q24,"")</f>
        <v/>
      </c>
      <c r="H21" s="132" t="str">
        <f>IF(AND(C21&lt;&gt;"",E21&lt;&gt;"Full Refresher"),'G3 MT Reading Scoresheet'!$R24/7,"")</f>
        <v/>
      </c>
      <c r="I21" s="143" t="str">
        <f>IF(AND($C21&lt;&gt;"",$E21&lt;&gt;"Full Refresher"),'G3 MT Reading Scoresheet'!$P24,"")</f>
        <v/>
      </c>
      <c r="J21" s="144" t="str">
        <f>'G3 MT Reading Scoresheet'!$U24</f>
        <v>Low Emerging Reader</v>
      </c>
      <c r="K21" s="145" t="str">
        <f>'G3 FIL Reading Scoresheet'!$J24</f>
        <v>Full Refresher</v>
      </c>
      <c r="L21" s="146">
        <f>IF($C21&lt;&gt;"",'G3 FIL Reading Scoresheet'!$I24/30,"")</f>
        <v>0.233333333333333</v>
      </c>
      <c r="M21" s="146" t="str">
        <f>IF(AND($C21&lt;&gt;"",$K21&lt;&gt;"Full Refresher"),'G3 MT Reading Scoresheet'!$Q24,"")</f>
        <v/>
      </c>
      <c r="N21" s="147" t="str">
        <f>IF(AND($C21&lt;&gt;"",$K21&lt;&gt;"Full Refresher"),'G3 MT Reading Scoresheet'!$R24/7,"")</f>
        <v/>
      </c>
      <c r="O21" s="148" t="str">
        <f>IF(AND($C21&lt;&gt;"",$K21&lt;&gt;"Full Refresher"),'G3 FIL Reading Scoresheet'!$P24,"")</f>
        <v/>
      </c>
      <c r="P21" s="149" t="str">
        <f>'G3 FIL Reading Scoresheet'!$U24</f>
        <v>Low Emerging Reader</v>
      </c>
      <c r="Q21" s="158" t="str">
        <f>'G3 ENG Reading Scoresheet'!$I24</f>
        <v>Grade Ready</v>
      </c>
      <c r="R21" s="159">
        <f>IF($C21&lt;&gt;"",'G3 ENG Reading Scoresheet'!$H24/20,"")</f>
        <v>1</v>
      </c>
      <c r="S21" s="159">
        <f>IF(AND($C21&lt;&gt;"",$Q21&lt;&gt;"Full Refresher"),'G3 ENG Reading Scoresheet'!$P24,"")</f>
        <v>0.91</v>
      </c>
      <c r="T21" s="160">
        <f>IF(AND($C21&lt;&gt;"",$Q21&lt;&gt;"Full Refresher"),'G3 ENG Reading Scoresheet'!$Q24/6,"")</f>
        <v>0.83333333333333304</v>
      </c>
      <c r="U21" s="161">
        <f>IF(AND($C21&lt;&gt;"",$O21&lt;&gt;"Full Refresher"),'G3 ENG Reading Scoresheet'!$O24,"")</f>
        <v>56.875</v>
      </c>
      <c r="V21" s="162" t="str">
        <f>'G3 ENG Reading Scoresheet'!$T24</f>
        <v>Reading At Grade Level</v>
      </c>
      <c r="W21" s="163" t="str">
        <f>CONCATENATE(IF(ISBLANK('G3 MT Reading Scoresheet'!V24),"",CONCATENATE("MT:",TRIM('G3 MT Reading Scoresheet'!V24)))," ",IF(ISBLANK('G3 FIL Reading Scoresheet'!V24),"",CONCATENATE("FIL:",TRIM('G3 FIL Reading Scoresheet'!V24)))," ",IF(ISBLANK('G3 ENG Reading Scoresheet'!U24),"",CONCATENATE("ENG:",TRIM('G3 ENG Reading Scoresheet'!U24))))</f>
        <v/>
      </c>
    </row>
    <row r="22" spans="1:23">
      <c r="A22" s="119">
        <v>15</v>
      </c>
      <c r="B22" s="133" t="str">
        <f>IF('G3 MT Reading Scoresheet'!B25&lt;&gt;"",'G3 MT Reading Scoresheet'!B25,"")</f>
        <v/>
      </c>
      <c r="C22" s="134" t="str">
        <f>IF('G3 MT Reading Scoresheet'!C25&lt;&gt;"",'G3 MT Reading Scoresheet'!C25,"")</f>
        <v>ESTOCADA, ANGEL, E.</v>
      </c>
      <c r="D22" s="135" t="str">
        <f>IF('G3 MT Reading Scoresheet'!D25&lt;&gt;"",'G3 MT Reading Scoresheet'!D25,"")</f>
        <v>Female</v>
      </c>
      <c r="E22" s="130" t="str">
        <f>'G3 MT Reading Scoresheet'!$J25</f>
        <v>Light Refresher</v>
      </c>
      <c r="F22" s="131">
        <f>IF(C22&lt;&gt;"",'G3 MT Reading Scoresheet'!$I25/30,"")</f>
        <v>0.76666666666666705</v>
      </c>
      <c r="G22" s="131">
        <f>IF(AND($C22&lt;&gt;"",$E22&lt;&gt;"Full Refresher"),'G3 MT Reading Scoresheet'!$Q25,"")</f>
        <v>1</v>
      </c>
      <c r="H22" s="132">
        <f>IF(AND(C22&lt;&gt;"",E22&lt;&gt;"Full Refresher"),'G3 MT Reading Scoresheet'!$R25/7,"")</f>
        <v>1</v>
      </c>
      <c r="I22" s="143">
        <f>IF(AND($C22&lt;&gt;"",$E22&lt;&gt;"Full Refresher"),'G3 MT Reading Scoresheet'!$P25,"")</f>
        <v>80.6666666666667</v>
      </c>
      <c r="J22" s="144" t="str">
        <f>'G3 MT Reading Scoresheet'!$U25</f>
        <v>Reading At Grade Level</v>
      </c>
      <c r="K22" s="145" t="str">
        <f>'G3 FIL Reading Scoresheet'!$J25</f>
        <v>Grade Ready</v>
      </c>
      <c r="L22" s="146">
        <f>IF($C22&lt;&gt;"",'G3 FIL Reading Scoresheet'!$I25/30,"")</f>
        <v>0.93333333333333302</v>
      </c>
      <c r="M22" s="146">
        <f>IF(AND($C22&lt;&gt;"",$K22&lt;&gt;"Full Refresher"),'G3 MT Reading Scoresheet'!$Q25,"")</f>
        <v>1</v>
      </c>
      <c r="N22" s="147">
        <f>IF(AND($C22&lt;&gt;"",$K22&lt;&gt;"Full Refresher"),'G3 MT Reading Scoresheet'!$R25/7,"")</f>
        <v>1</v>
      </c>
      <c r="O22" s="148">
        <f>IF(AND($C22&lt;&gt;"",$K22&lt;&gt;"Full Refresher"),'G3 FIL Reading Scoresheet'!$P25,"")</f>
        <v>76.421052631578902</v>
      </c>
      <c r="P22" s="149" t="str">
        <f>'G3 FIL Reading Scoresheet'!$U25</f>
        <v>Reading At Grade Level</v>
      </c>
      <c r="Q22" s="158" t="str">
        <f>'G3 ENG Reading Scoresheet'!$I25</f>
        <v>Grade Ready</v>
      </c>
      <c r="R22" s="159">
        <f>IF($C22&lt;&gt;"",'G3 ENG Reading Scoresheet'!$H25/20,"")</f>
        <v>0.9</v>
      </c>
      <c r="S22" s="159">
        <f>IF(AND($C22&lt;&gt;"",$Q22&lt;&gt;"Full Refresher"),'G3 ENG Reading Scoresheet'!$P25,"")</f>
        <v>0.99</v>
      </c>
      <c r="T22" s="160">
        <f>IF(AND($C22&lt;&gt;"",$Q22&lt;&gt;"Full Refresher"),'G3 ENG Reading Scoresheet'!$Q25/6,"")</f>
        <v>1</v>
      </c>
      <c r="U22" s="161">
        <f>IF(AND($C22&lt;&gt;"",$O22&lt;&gt;"Full Refresher"),'G3 ENG Reading Scoresheet'!$O25,"")</f>
        <v>69.882352941176507</v>
      </c>
      <c r="V22" s="162" t="str">
        <f>'G3 ENG Reading Scoresheet'!$T25</f>
        <v>Reading At Grade Level</v>
      </c>
      <c r="W22" s="164" t="str">
        <f>CONCATENATE(IF(ISBLANK('G3 MT Reading Scoresheet'!V25),"",CONCATENATE("MT:",TRIM('G3 MT Reading Scoresheet'!V25)))," ",IF(ISBLANK('G3 FIL Reading Scoresheet'!V25),"",CONCATENATE("FIL:",TRIM('G3 FIL Reading Scoresheet'!V25)))," ",IF(ISBLANK('G3 ENG Reading Scoresheet'!U25),"",CONCATENATE("ENG:",TRIM('G3 ENG Reading Scoresheet'!U25))))</f>
        <v/>
      </c>
    </row>
    <row r="23" spans="1:23">
      <c r="A23" s="126">
        <v>16</v>
      </c>
      <c r="B23" s="127">
        <f>IF('G3 MT Reading Scoresheet'!B26&lt;&gt;"",'G3 MT Reading Scoresheet'!B26,"")</f>
        <v>117443220010</v>
      </c>
      <c r="C23" s="128" t="str">
        <f>IF('G3 MT Reading Scoresheet'!C26&lt;&gt;"",'G3 MT Reading Scoresheet'!C26,"")</f>
        <v>ESTOCADA, GENYZA, BACARO</v>
      </c>
      <c r="D23" s="129" t="str">
        <f>IF('G3 MT Reading Scoresheet'!D26&lt;&gt;"",'G3 MT Reading Scoresheet'!D26,"")</f>
        <v>Female</v>
      </c>
      <c r="E23" s="130" t="str">
        <f>'G3 MT Reading Scoresheet'!$J26</f>
        <v>Light Refresher</v>
      </c>
      <c r="F23" s="131">
        <f>IF(C23&lt;&gt;"",'G3 MT Reading Scoresheet'!$I26/30,"")</f>
        <v>0.86666666666666703</v>
      </c>
      <c r="G23" s="131">
        <f>IF(AND($C23&lt;&gt;"",$E23&lt;&gt;"Full Refresher"),'G3 MT Reading Scoresheet'!$Q26,"")</f>
        <v>0.91596638655462204</v>
      </c>
      <c r="H23" s="132">
        <f>IF(AND(C23&lt;&gt;"",E23&lt;&gt;"Full Refresher"),'G3 MT Reading Scoresheet'!$R26/7,"")</f>
        <v>0.85714285714285698</v>
      </c>
      <c r="I23" s="143">
        <f>IF(AND($C23&lt;&gt;"",$E23&lt;&gt;"Full Refresher"),'G3 MT Reading Scoresheet'!$P26,"")</f>
        <v>36.3333333333333</v>
      </c>
      <c r="J23" s="144" t="str">
        <f>'G3 MT Reading Scoresheet'!$U26</f>
        <v>Reading At Grade Level</v>
      </c>
      <c r="K23" s="145" t="str">
        <f>'G3 FIL Reading Scoresheet'!$J26</f>
        <v>Grade Ready</v>
      </c>
      <c r="L23" s="146">
        <f>IF($C23&lt;&gt;"",'G3 FIL Reading Scoresheet'!$I26/30,"")</f>
        <v>1</v>
      </c>
      <c r="M23" s="146">
        <f>IF(AND($C23&lt;&gt;"",$K23&lt;&gt;"Full Refresher"),'G3 MT Reading Scoresheet'!$Q26,"")</f>
        <v>0.91596638655462204</v>
      </c>
      <c r="N23" s="147">
        <f>IF(AND($C23&lt;&gt;"",$K23&lt;&gt;"Full Refresher"),'G3 MT Reading Scoresheet'!$R26/7,"")</f>
        <v>0.85714285714285698</v>
      </c>
      <c r="O23" s="148">
        <f>IF(AND($C23&lt;&gt;"",$K23&lt;&gt;"Full Refresher"),'G3 FIL Reading Scoresheet'!$P26,"")</f>
        <v>35.3333333333333</v>
      </c>
      <c r="P23" s="149" t="str">
        <f>'G3 FIL Reading Scoresheet'!$U26</f>
        <v>Reading At Grade Level</v>
      </c>
      <c r="Q23" s="158" t="str">
        <f>'G3 ENG Reading Scoresheet'!$I26</f>
        <v>Grade Ready</v>
      </c>
      <c r="R23" s="159">
        <f>IF($C23&lt;&gt;"",'G3 ENG Reading Scoresheet'!$H26/20,"")</f>
        <v>0.85</v>
      </c>
      <c r="S23" s="159">
        <f>IF(AND($C23&lt;&gt;"",$Q23&lt;&gt;"Full Refresher"),'G3 ENG Reading Scoresheet'!$P26,"")</f>
        <v>0.81</v>
      </c>
      <c r="T23" s="160">
        <f>IF(AND($C23&lt;&gt;"",$Q23&lt;&gt;"Full Refresher"),'G3 ENG Reading Scoresheet'!$Q26/6,"")</f>
        <v>0.66666666666666696</v>
      </c>
      <c r="U23" s="161">
        <f>IF(AND($C23&lt;&gt;"",$O23&lt;&gt;"Full Refresher"),'G3 ENG Reading Scoresheet'!$O26,"")</f>
        <v>40.5</v>
      </c>
      <c r="V23" s="162" t="str">
        <f>'G3 ENG Reading Scoresheet'!$T26</f>
        <v>Transitioning Reader</v>
      </c>
      <c r="W23" s="163" t="str">
        <f>CONCATENATE(IF(ISBLANK('G3 MT Reading Scoresheet'!V26),"",CONCATENATE("MT:",TRIM('G3 MT Reading Scoresheet'!V26)))," ",IF(ISBLANK('G3 FIL Reading Scoresheet'!V26),"",CONCATENATE("FIL:",TRIM('G3 FIL Reading Scoresheet'!V26)))," ",IF(ISBLANK('G3 ENG Reading Scoresheet'!U26),"",CONCATENATE("ENG:",TRIM('G3 ENG Reading Scoresheet'!U26))))</f>
        <v/>
      </c>
    </row>
    <row r="24" spans="1:23">
      <c r="A24" s="119">
        <v>17</v>
      </c>
      <c r="B24" s="133" t="str">
        <f>IF('G3 MT Reading Scoresheet'!B27&lt;&gt;"",'G3 MT Reading Scoresheet'!B27,"")</f>
        <v/>
      </c>
      <c r="C24" s="134" t="str">
        <f>IF('G3 MT Reading Scoresheet'!C27&lt;&gt;"",'G3 MT Reading Scoresheet'!C27,"")</f>
        <v>ESTOCADA, JERCEL JANE, SIASAT</v>
      </c>
      <c r="D24" s="135" t="str">
        <f>IF('G3 MT Reading Scoresheet'!D27&lt;&gt;"",'G3 MT Reading Scoresheet'!D27,"")</f>
        <v>Female</v>
      </c>
      <c r="E24" s="130" t="str">
        <f>'G3 MT Reading Scoresheet'!$J27</f>
        <v>Grade Ready</v>
      </c>
      <c r="F24" s="131">
        <f>IF(C24&lt;&gt;"",'G3 MT Reading Scoresheet'!$I27/30,"")</f>
        <v>0.96666666666666701</v>
      </c>
      <c r="G24" s="131">
        <f>IF(AND($C24&lt;&gt;"",$E24&lt;&gt;"Full Refresher"),'G3 MT Reading Scoresheet'!$Q27,"")</f>
        <v>1</v>
      </c>
      <c r="H24" s="132">
        <f>IF(AND(C24&lt;&gt;"",E24&lt;&gt;"Full Refresher"),'G3 MT Reading Scoresheet'!$R27/7,"")</f>
        <v>1</v>
      </c>
      <c r="I24" s="143">
        <f>IF(AND($C24&lt;&gt;"",$E24&lt;&gt;"Full Refresher"),'G3 MT Reading Scoresheet'!$P27,"")</f>
        <v>51.857142857142897</v>
      </c>
      <c r="J24" s="144" t="str">
        <f>'G3 MT Reading Scoresheet'!$U27</f>
        <v>Reading At Grade Level</v>
      </c>
      <c r="K24" s="145" t="str">
        <f>'G3 FIL Reading Scoresheet'!$J27</f>
        <v>Grade Ready</v>
      </c>
      <c r="L24" s="146">
        <f>IF($C24&lt;&gt;"",'G3 FIL Reading Scoresheet'!$I27/30,"")</f>
        <v>1</v>
      </c>
      <c r="M24" s="146">
        <f>IF(AND($C24&lt;&gt;"",$K24&lt;&gt;"Full Refresher"),'G3 MT Reading Scoresheet'!$Q27,"")</f>
        <v>1</v>
      </c>
      <c r="N24" s="147">
        <f>IF(AND($C24&lt;&gt;"",$K24&lt;&gt;"Full Refresher"),'G3 MT Reading Scoresheet'!$R27/7,"")</f>
        <v>1</v>
      </c>
      <c r="O24" s="148">
        <f>IF(AND($C24&lt;&gt;"",$K24&lt;&gt;"Full Refresher"),'G3 FIL Reading Scoresheet'!$P27,"")</f>
        <v>47.368421052631597</v>
      </c>
      <c r="P24" s="149" t="str">
        <f>'G3 FIL Reading Scoresheet'!$U27</f>
        <v>Reading At Grade Level</v>
      </c>
      <c r="Q24" s="158" t="str">
        <f>'G3 ENG Reading Scoresheet'!$I27</f>
        <v>Grade Ready</v>
      </c>
      <c r="R24" s="159">
        <f>IF($C24&lt;&gt;"",'G3 ENG Reading Scoresheet'!$H27/20,"")</f>
        <v>1</v>
      </c>
      <c r="S24" s="159">
        <f>IF(AND($C24&lt;&gt;"",$Q24&lt;&gt;"Full Refresher"),'G3 ENG Reading Scoresheet'!$P27,"")</f>
        <v>0.97</v>
      </c>
      <c r="T24" s="160">
        <f>IF(AND($C24&lt;&gt;"",$Q24&lt;&gt;"Full Refresher"),'G3 ENG Reading Scoresheet'!$Q27/6,"")</f>
        <v>1</v>
      </c>
      <c r="U24" s="161">
        <f>IF(AND($C24&lt;&gt;"",$O24&lt;&gt;"Full Refresher"),'G3 ENG Reading Scoresheet'!$O27,"")</f>
        <v>68.470588235294102</v>
      </c>
      <c r="V24" s="162" t="str">
        <f>'G3 ENG Reading Scoresheet'!$T27</f>
        <v>Reading At Grade Level</v>
      </c>
      <c r="W24" s="164" t="str">
        <f>CONCATENATE(IF(ISBLANK('G3 MT Reading Scoresheet'!V27),"",CONCATENATE("MT:",TRIM('G3 MT Reading Scoresheet'!V27)))," ",IF(ISBLANK('G3 FIL Reading Scoresheet'!V27),"",CONCATENATE("FIL:",TRIM('G3 FIL Reading Scoresheet'!V27)))," ",IF(ISBLANK('G3 ENG Reading Scoresheet'!U27),"",CONCATENATE("ENG:",TRIM('G3 ENG Reading Scoresheet'!U27))))</f>
        <v/>
      </c>
    </row>
    <row r="25" spans="1:23">
      <c r="A25" s="126">
        <v>18</v>
      </c>
      <c r="B25" s="127">
        <f>IF('G3 MT Reading Scoresheet'!B28&lt;&gt;"",'G3 MT Reading Scoresheet'!B28,"")</f>
        <v>1206372200024</v>
      </c>
      <c r="C25" s="128" t="str">
        <f>IF('G3 MT Reading Scoresheet'!C28&lt;&gt;"",'G3 MT Reading Scoresheet'!C28,"")</f>
        <v>ESTOCADA, REANNA, LLAGOSO</v>
      </c>
      <c r="D25" s="129" t="str">
        <f>IF('G3 MT Reading Scoresheet'!D28&lt;&gt;"",'G3 MT Reading Scoresheet'!D28,"")</f>
        <v>Female</v>
      </c>
      <c r="E25" s="130" t="str">
        <f>'G3 MT Reading Scoresheet'!$J28</f>
        <v>Grade Ready</v>
      </c>
      <c r="F25" s="131">
        <f>IF(C25&lt;&gt;"",'G3 MT Reading Scoresheet'!$I28/30,"")</f>
        <v>0.93333333333333302</v>
      </c>
      <c r="G25" s="131">
        <f>IF(AND($C25&lt;&gt;"",$E25&lt;&gt;"Full Refresher"),'G3 MT Reading Scoresheet'!$Q28,"")</f>
        <v>0.99159663865546199</v>
      </c>
      <c r="H25" s="132">
        <f>IF(AND(C25&lt;&gt;"",E25&lt;&gt;"Full Refresher"),'G3 MT Reading Scoresheet'!$R28/7,"")</f>
        <v>1</v>
      </c>
      <c r="I25" s="143">
        <f>IF(AND($C25&lt;&gt;"",$E25&lt;&gt;"Full Refresher"),'G3 MT Reading Scoresheet'!$P28,"")</f>
        <v>34.038461538461497</v>
      </c>
      <c r="J25" s="144" t="str">
        <f>'G3 MT Reading Scoresheet'!$U28</f>
        <v>Reading At Grade Level</v>
      </c>
      <c r="K25" s="145" t="str">
        <f>'G3 FIL Reading Scoresheet'!$J28</f>
        <v>Grade Ready</v>
      </c>
      <c r="L25" s="146">
        <f>IF($C25&lt;&gt;"",'G3 FIL Reading Scoresheet'!$I28/30,"")</f>
        <v>1</v>
      </c>
      <c r="M25" s="146">
        <f>IF(AND($C25&lt;&gt;"",$K25&lt;&gt;"Full Refresher"),'G3 MT Reading Scoresheet'!$Q28,"")</f>
        <v>0.99159663865546199</v>
      </c>
      <c r="N25" s="147">
        <f>IF(AND($C25&lt;&gt;"",$K25&lt;&gt;"Full Refresher"),'G3 MT Reading Scoresheet'!$R28/7,"")</f>
        <v>1</v>
      </c>
      <c r="O25" s="148">
        <f>IF(AND($C25&lt;&gt;"",$K25&lt;&gt;"Full Refresher"),'G3 FIL Reading Scoresheet'!$P28,"")</f>
        <v>74.526315789473699</v>
      </c>
      <c r="P25" s="149" t="str">
        <f>'G3 FIL Reading Scoresheet'!$U28</f>
        <v>Reading At Grade Level</v>
      </c>
      <c r="Q25" s="158" t="str">
        <f>'G3 ENG Reading Scoresheet'!$I28</f>
        <v>Grade Ready</v>
      </c>
      <c r="R25" s="159">
        <f>IF($C25&lt;&gt;"",'G3 ENG Reading Scoresheet'!$H28/20,"")</f>
        <v>1</v>
      </c>
      <c r="S25" s="159">
        <f>IF(AND($C25&lt;&gt;"",$Q25&lt;&gt;"Full Refresher"),'G3 ENG Reading Scoresheet'!$P28,"")</f>
        <v>0.9</v>
      </c>
      <c r="T25" s="160">
        <f>IF(AND($C25&lt;&gt;"",$Q25&lt;&gt;"Full Refresher"),'G3 ENG Reading Scoresheet'!$Q28/6,"")</f>
        <v>0.83333333333333304</v>
      </c>
      <c r="U25" s="161">
        <f>IF(AND($C25&lt;&gt;"",$O25&lt;&gt;"Full Refresher"),'G3 ENG Reading Scoresheet'!$O28,"")</f>
        <v>60.674157303370798</v>
      </c>
      <c r="V25" s="162" t="str">
        <f>'G3 ENG Reading Scoresheet'!$T28</f>
        <v>Reading At Grade Level</v>
      </c>
      <c r="W25" s="163" t="str">
        <f>CONCATENATE(IF(ISBLANK('G3 MT Reading Scoresheet'!V28),"",CONCATENATE("MT:",TRIM('G3 MT Reading Scoresheet'!V28)))," ",IF(ISBLANK('G3 FIL Reading Scoresheet'!V28),"",CONCATENATE("FIL:",TRIM('G3 FIL Reading Scoresheet'!V28)))," ",IF(ISBLANK('G3 ENG Reading Scoresheet'!U28),"",CONCATENATE("ENG:",TRIM('G3 ENG Reading Scoresheet'!U28))))</f>
        <v/>
      </c>
    </row>
    <row r="26" spans="1:23">
      <c r="A26" s="119">
        <v>19</v>
      </c>
      <c r="B26" s="133">
        <f>IF('G3 MT Reading Scoresheet'!B29&lt;&gt;"",'G3 MT Reading Scoresheet'!B29,"")</f>
        <v>117443220012</v>
      </c>
      <c r="C26" s="134" t="str">
        <f>IF('G3 MT Reading Scoresheet'!C29&lt;&gt;"",'G3 MT Reading Scoresheet'!C29,"")</f>
        <v>ESTOCADA, RHEAN SHAN, DEMAFILES</v>
      </c>
      <c r="D26" s="135" t="str">
        <f>IF('G3 MT Reading Scoresheet'!D29&lt;&gt;"",'G3 MT Reading Scoresheet'!D29,"")</f>
        <v>Female</v>
      </c>
      <c r="E26" s="130" t="str">
        <f>'G3 MT Reading Scoresheet'!$J29</f>
        <v>Moderate Refresher</v>
      </c>
      <c r="F26" s="131">
        <f>IF(C26&lt;&gt;"",'G3 MT Reading Scoresheet'!$I29/30,"")</f>
        <v>0.36666666666666697</v>
      </c>
      <c r="G26" s="131">
        <f>IF(AND($C26&lt;&gt;"",$E26&lt;&gt;"Full Refresher"),'G3 MT Reading Scoresheet'!$Q29,"")</f>
        <v>0.58823529411764697</v>
      </c>
      <c r="H26" s="132">
        <f>IF(AND(C26&lt;&gt;"",E26&lt;&gt;"Full Refresher"),'G3 MT Reading Scoresheet'!$R29/7,"")</f>
        <v>0.71428571428571397</v>
      </c>
      <c r="I26" s="143">
        <f>IF(AND($C26&lt;&gt;"",$E26&lt;&gt;"Full Refresher"),'G3 MT Reading Scoresheet'!$P29,"")</f>
        <v>23.3333333333333</v>
      </c>
      <c r="J26" s="144" t="str">
        <f>'G3 MT Reading Scoresheet'!$U29</f>
        <v>Transitioning Reader</v>
      </c>
      <c r="K26" s="145" t="str">
        <f>'G3 FIL Reading Scoresheet'!$J29</f>
        <v>Light Refresher</v>
      </c>
      <c r="L26" s="146">
        <f>IF($C26&lt;&gt;"",'G3 FIL Reading Scoresheet'!$I29/30,"")</f>
        <v>0.7</v>
      </c>
      <c r="M26" s="146">
        <f>IF(AND($C26&lt;&gt;"",$K26&lt;&gt;"Full Refresher"),'G3 MT Reading Scoresheet'!$Q29,"")</f>
        <v>0.58823529411764697</v>
      </c>
      <c r="N26" s="147">
        <f>IF(AND($C26&lt;&gt;"",$K26&lt;&gt;"Full Refresher"),'G3 MT Reading Scoresheet'!$R29/7,"")</f>
        <v>0.71428571428571397</v>
      </c>
      <c r="O26" s="148">
        <f>IF(AND($C26&lt;&gt;"",$K26&lt;&gt;"Full Refresher"),'G3 FIL Reading Scoresheet'!$P29,"")</f>
        <v>21.6666666666667</v>
      </c>
      <c r="P26" s="149" t="str">
        <f>'G3 FIL Reading Scoresheet'!$U29</f>
        <v>Developing Reader</v>
      </c>
      <c r="Q26" s="158" t="str">
        <f>'G3 ENG Reading Scoresheet'!$I29</f>
        <v>Moderate Refresher</v>
      </c>
      <c r="R26" s="159">
        <f>IF($C26&lt;&gt;"",'G3 ENG Reading Scoresheet'!$H29/20,"")</f>
        <v>0.35</v>
      </c>
      <c r="S26" s="159">
        <f>IF(AND($C26&lt;&gt;"",$Q26&lt;&gt;"Full Refresher"),'G3 ENG Reading Scoresheet'!$P29,"")</f>
        <v>0.42</v>
      </c>
      <c r="T26" s="160">
        <f>IF(AND($C26&lt;&gt;"",$Q26&lt;&gt;"Full Refresher"),'G3 ENG Reading Scoresheet'!$Q29/6,"")</f>
        <v>0.16666666666666699</v>
      </c>
      <c r="U26" s="161">
        <f>IF(AND($C26&lt;&gt;"",$O26&lt;&gt;"Full Refresher"),'G3 ENG Reading Scoresheet'!$O29,"")</f>
        <v>21</v>
      </c>
      <c r="V26" s="162" t="str">
        <f>'G3 ENG Reading Scoresheet'!$T29</f>
        <v>Developing Reader</v>
      </c>
      <c r="W26" s="164" t="str">
        <f>CONCATENATE(IF(ISBLANK('G3 MT Reading Scoresheet'!V29),"",CONCATENATE("MT:",TRIM('G3 MT Reading Scoresheet'!V29)))," ",IF(ISBLANK('G3 FIL Reading Scoresheet'!V29),"",CONCATENATE("FIL:",TRIM('G3 FIL Reading Scoresheet'!V29)))," ",IF(ISBLANK('G3 ENG Reading Scoresheet'!U29),"",CONCATENATE("ENG:",TRIM('G3 ENG Reading Scoresheet'!U29))))</f>
        <v/>
      </c>
    </row>
    <row r="27" spans="1:23">
      <c r="A27" s="126">
        <v>20</v>
      </c>
      <c r="B27" s="127">
        <f>IF('G3 MT Reading Scoresheet'!B30&lt;&gt;"",'G3 MT Reading Scoresheet'!B30,"")</f>
        <v>117443220020</v>
      </c>
      <c r="C27" s="128" t="str">
        <f>IF('G3 MT Reading Scoresheet'!C30&lt;&gt;"",'G3 MT Reading Scoresheet'!C30,"")</f>
        <v>LABANZA, HOPE ANGELAINE,-</v>
      </c>
      <c r="D27" s="129" t="str">
        <f>IF('G3 MT Reading Scoresheet'!D30&lt;&gt;"",'G3 MT Reading Scoresheet'!D30,"")</f>
        <v>Female</v>
      </c>
      <c r="E27" s="130" t="str">
        <f>'G3 MT Reading Scoresheet'!$J30</f>
        <v>Moderate Refresher</v>
      </c>
      <c r="F27" s="131">
        <f>IF(C27&lt;&gt;"",'G3 MT Reading Scoresheet'!$I30/30,"")</f>
        <v>0.36666666666666697</v>
      </c>
      <c r="G27" s="131">
        <f>IF(AND($C27&lt;&gt;"",$E27&lt;&gt;"Full Refresher"),'G3 MT Reading Scoresheet'!$Q30,"")</f>
        <v>0.98319327731092399</v>
      </c>
      <c r="H27" s="132">
        <f>IF(AND(C27&lt;&gt;"",E27&lt;&gt;"Full Refresher"),'G3 MT Reading Scoresheet'!$R30/7,"")</f>
        <v>0.85714285714285698</v>
      </c>
      <c r="I27" s="143">
        <f>IF(AND($C27&lt;&gt;"",$E27&lt;&gt;"Full Refresher"),'G3 MT Reading Scoresheet'!$P30,"")</f>
        <v>39</v>
      </c>
      <c r="J27" s="144" t="str">
        <f>'G3 MT Reading Scoresheet'!$U30</f>
        <v>Reading At Grade Level</v>
      </c>
      <c r="K27" s="145" t="str">
        <f>'G3 FIL Reading Scoresheet'!$J30</f>
        <v>Grade Ready</v>
      </c>
      <c r="L27" s="146">
        <f>IF($C27&lt;&gt;"",'G3 FIL Reading Scoresheet'!$I30/30,"")</f>
        <v>0.93333333333333302</v>
      </c>
      <c r="M27" s="146">
        <f>IF(AND($C27&lt;&gt;"",$K27&lt;&gt;"Full Refresher"),'G3 MT Reading Scoresheet'!$Q30,"")</f>
        <v>0.98319327731092399</v>
      </c>
      <c r="N27" s="147">
        <f>IF(AND($C27&lt;&gt;"",$K27&lt;&gt;"Full Refresher"),'G3 MT Reading Scoresheet'!$R30/7,"")</f>
        <v>0.85714285714285698</v>
      </c>
      <c r="O27" s="148">
        <f>IF(AND($C27&lt;&gt;"",$K27&lt;&gt;"Full Refresher"),'G3 FIL Reading Scoresheet'!$P30,"")</f>
        <v>35.3333333333333</v>
      </c>
      <c r="P27" s="149" t="str">
        <f>'G3 FIL Reading Scoresheet'!$U30</f>
        <v>Reading At Grade Level</v>
      </c>
      <c r="Q27" s="158" t="str">
        <f>'G3 ENG Reading Scoresheet'!$I30</f>
        <v>Light Refresher</v>
      </c>
      <c r="R27" s="159">
        <f>IF($C27&lt;&gt;"",'G3 ENG Reading Scoresheet'!$H30/20,"")</f>
        <v>0.65</v>
      </c>
      <c r="S27" s="159">
        <f>IF(AND($C27&lt;&gt;"",$Q27&lt;&gt;"Full Refresher"),'G3 ENG Reading Scoresheet'!$P30,"")</f>
        <v>0.8</v>
      </c>
      <c r="T27" s="160">
        <f>IF(AND($C27&lt;&gt;"",$Q27&lt;&gt;"Full Refresher"),'G3 ENG Reading Scoresheet'!$Q30/6,"")</f>
        <v>0.83333333333333304</v>
      </c>
      <c r="U27" s="161">
        <f>IF(AND($C27&lt;&gt;"",$O27&lt;&gt;"Full Refresher"),'G3 ENG Reading Scoresheet'!$O30,"")</f>
        <v>40</v>
      </c>
      <c r="V27" s="162" t="str">
        <f>'G3 ENG Reading Scoresheet'!$T30</f>
        <v>Reading At Grade Level</v>
      </c>
      <c r="W27" s="163" t="str">
        <f>CONCATENATE(IF(ISBLANK('G3 MT Reading Scoresheet'!V30),"",CONCATENATE("MT:",TRIM('G3 MT Reading Scoresheet'!V30)))," ",IF(ISBLANK('G3 FIL Reading Scoresheet'!V30),"",CONCATENATE("FIL:",TRIM('G3 FIL Reading Scoresheet'!V30)))," ",IF(ISBLANK('G3 ENG Reading Scoresheet'!U30),"",CONCATENATE("ENG:",TRIM('G3 ENG Reading Scoresheet'!U30))))</f>
        <v/>
      </c>
    </row>
    <row r="28" spans="1:23">
      <c r="A28" s="119">
        <v>21</v>
      </c>
      <c r="B28" s="133" t="str">
        <f>IF('G3 MT Reading Scoresheet'!B31&lt;&gt;"",'G3 MT Reading Scoresheet'!B31,"")</f>
        <v/>
      </c>
      <c r="C28" s="134" t="str">
        <f>IF('G3 MT Reading Scoresheet'!C31&lt;&gt;"",'G3 MT Reading Scoresheet'!C31,"")</f>
        <v>LABANZA, JESEL, PARBA</v>
      </c>
      <c r="D28" s="135" t="str">
        <f>IF('G3 MT Reading Scoresheet'!D31&lt;&gt;"",'G3 MT Reading Scoresheet'!D31,"")</f>
        <v>Female</v>
      </c>
      <c r="E28" s="130" t="str">
        <f>'G3 MT Reading Scoresheet'!$J31</f>
        <v>Light Refresher</v>
      </c>
      <c r="F28" s="131">
        <f>IF(C28&lt;&gt;"",'G3 MT Reading Scoresheet'!$I31/30,"")</f>
        <v>0.8</v>
      </c>
      <c r="G28" s="131">
        <f>IF(AND($C28&lt;&gt;"",$E28&lt;&gt;"Full Refresher"),'G3 MT Reading Scoresheet'!$Q31,"")</f>
        <v>1</v>
      </c>
      <c r="H28" s="132">
        <f>IF(AND(C28&lt;&gt;"",E28&lt;&gt;"Full Refresher"),'G3 MT Reading Scoresheet'!$R31/7,"")</f>
        <v>0.85714285714285698</v>
      </c>
      <c r="I28" s="143">
        <f>IF(AND($C28&lt;&gt;"",$E28&lt;&gt;"Full Refresher"),'G3 MT Reading Scoresheet'!$P31,"")</f>
        <v>45.375</v>
      </c>
      <c r="J28" s="144" t="str">
        <f>'G3 MT Reading Scoresheet'!$U31</f>
        <v>Reading At Grade Level</v>
      </c>
      <c r="K28" s="145" t="str">
        <f>'G3 FIL Reading Scoresheet'!$J31</f>
        <v>Light Refresher</v>
      </c>
      <c r="L28" s="146">
        <f>IF($C28&lt;&gt;"",'G3 FIL Reading Scoresheet'!$I31/30,"")</f>
        <v>0.86666666666666703</v>
      </c>
      <c r="M28" s="146">
        <f>IF(AND($C28&lt;&gt;"",$K28&lt;&gt;"Full Refresher"),'G3 MT Reading Scoresheet'!$Q31,"")</f>
        <v>1</v>
      </c>
      <c r="N28" s="147">
        <f>IF(AND($C28&lt;&gt;"",$K28&lt;&gt;"Full Refresher"),'G3 MT Reading Scoresheet'!$R31/7,"")</f>
        <v>0.85714285714285698</v>
      </c>
      <c r="O28" s="148">
        <f>IF(AND($C28&lt;&gt;"",$K28&lt;&gt;"Full Refresher"),'G3 FIL Reading Scoresheet'!$P31,"")</f>
        <v>46.849315068493198</v>
      </c>
      <c r="P28" s="149" t="str">
        <f>'G3 FIL Reading Scoresheet'!$U31</f>
        <v>Reading At Grade Level</v>
      </c>
      <c r="Q28" s="158" t="str">
        <f>'G3 ENG Reading Scoresheet'!$I31</f>
        <v>Light Refresher</v>
      </c>
      <c r="R28" s="159">
        <f>IF($C28&lt;&gt;"",'G3 ENG Reading Scoresheet'!$H31/20,"")</f>
        <v>0.8</v>
      </c>
      <c r="S28" s="159">
        <f>IF(AND($C28&lt;&gt;"",$Q28&lt;&gt;"Full Refresher"),'G3 ENG Reading Scoresheet'!$P31,"")</f>
        <v>0.85</v>
      </c>
      <c r="T28" s="160">
        <f>IF(AND($C28&lt;&gt;"",$Q28&lt;&gt;"Full Refresher"),'G3 ENG Reading Scoresheet'!$Q31/6,"")</f>
        <v>0.83333333333333304</v>
      </c>
      <c r="U28" s="161">
        <f>IF(AND($C28&lt;&gt;"",$O28&lt;&gt;"Full Refresher"),'G3 ENG Reading Scoresheet'!$O31,"")</f>
        <v>32.278481012658197</v>
      </c>
      <c r="V28" s="162" t="str">
        <f>'G3 ENG Reading Scoresheet'!$T31</f>
        <v>Reading At Grade Level</v>
      </c>
      <c r="W28" s="164" t="str">
        <f>CONCATENATE(IF(ISBLANK('G3 MT Reading Scoresheet'!V31),"",CONCATENATE("MT:",TRIM('G3 MT Reading Scoresheet'!V31)))," ",IF(ISBLANK('G3 FIL Reading Scoresheet'!V31),"",CONCATENATE("FIL:",TRIM('G3 FIL Reading Scoresheet'!V31)))," ",IF(ISBLANK('G3 ENG Reading Scoresheet'!U31),"",CONCATENATE("ENG:",TRIM('G3 ENG Reading Scoresheet'!U31))))</f>
        <v/>
      </c>
    </row>
    <row r="29" spans="1:23">
      <c r="A29" s="126">
        <v>22</v>
      </c>
      <c r="B29" s="127" t="str">
        <f>IF('G3 MT Reading Scoresheet'!B32&lt;&gt;"",'G3 MT Reading Scoresheet'!B32,"")</f>
        <v/>
      </c>
      <c r="C29" s="128" t="str">
        <f>IF('G3 MT Reading Scoresheet'!C32&lt;&gt;"",'G3 MT Reading Scoresheet'!C32,"")</f>
        <v>LANOJAN, JASHLYN KATE, JADIA</v>
      </c>
      <c r="D29" s="129" t="str">
        <f>IF('G3 MT Reading Scoresheet'!D32&lt;&gt;"",'G3 MT Reading Scoresheet'!D32,"")</f>
        <v>Female</v>
      </c>
      <c r="E29" s="130" t="str">
        <f>'G3 MT Reading Scoresheet'!$J32</f>
        <v>Grade Ready</v>
      </c>
      <c r="F29" s="131">
        <f>IF(C29&lt;&gt;"",'G3 MT Reading Scoresheet'!$I32/30,"")</f>
        <v>0.96666666666666701</v>
      </c>
      <c r="G29" s="131">
        <f>IF(AND($C29&lt;&gt;"",$E29&lt;&gt;"Full Refresher"),'G3 MT Reading Scoresheet'!$Q32,"")</f>
        <v>1</v>
      </c>
      <c r="H29" s="132">
        <f>IF(AND(C29&lt;&gt;"",E29&lt;&gt;"Full Refresher"),'G3 MT Reading Scoresheet'!$R32/7,"")</f>
        <v>1</v>
      </c>
      <c r="I29" s="143">
        <f>IF(AND($C29&lt;&gt;"",$E29&lt;&gt;"Full Refresher"),'G3 MT Reading Scoresheet'!$P32,"")</f>
        <v>58.548387096774199</v>
      </c>
      <c r="J29" s="144" t="str">
        <f>'G3 MT Reading Scoresheet'!$U32</f>
        <v>Reading At Grade Level</v>
      </c>
      <c r="K29" s="145" t="str">
        <f>'G3 FIL Reading Scoresheet'!$J32</f>
        <v>Grade Ready</v>
      </c>
      <c r="L29" s="146">
        <f>IF($C29&lt;&gt;"",'G3 FIL Reading Scoresheet'!$I32/30,"")</f>
        <v>1</v>
      </c>
      <c r="M29" s="146">
        <f>IF(AND($C29&lt;&gt;"",$K29&lt;&gt;"Full Refresher"),'G3 MT Reading Scoresheet'!$Q32,"")</f>
        <v>1</v>
      </c>
      <c r="N29" s="147">
        <f>IF(AND($C29&lt;&gt;"",$K29&lt;&gt;"Full Refresher"),'G3 MT Reading Scoresheet'!$R32/7,"")</f>
        <v>1</v>
      </c>
      <c r="O29" s="148">
        <f>IF(AND($C29&lt;&gt;"",$K29&lt;&gt;"Full Refresher"),'G3 FIL Reading Scoresheet'!$P32,"")</f>
        <v>73.469387755102005</v>
      </c>
      <c r="P29" s="149" t="str">
        <f>'G3 FIL Reading Scoresheet'!$U32</f>
        <v>Reading At Grade Level</v>
      </c>
      <c r="Q29" s="158" t="str">
        <f>'G3 ENG Reading Scoresheet'!$I32</f>
        <v>Grade Ready</v>
      </c>
      <c r="R29" s="159">
        <f>IF($C29&lt;&gt;"",'G3 ENG Reading Scoresheet'!$H32/20,"")</f>
        <v>1</v>
      </c>
      <c r="S29" s="159">
        <f>IF(AND($C29&lt;&gt;"",$Q29&lt;&gt;"Full Refresher"),'G3 ENG Reading Scoresheet'!$P32,"")</f>
        <v>0.97</v>
      </c>
      <c r="T29" s="160">
        <f>IF(AND($C29&lt;&gt;"",$Q29&lt;&gt;"Full Refresher"),'G3 ENG Reading Scoresheet'!$Q32/6,"")</f>
        <v>0.83333333333333304</v>
      </c>
      <c r="U29" s="161">
        <f>IF(AND($C29&lt;&gt;"",$O29&lt;&gt;"Full Refresher"),'G3 ENG Reading Scoresheet'!$O32,"")</f>
        <v>64.6666666666667</v>
      </c>
      <c r="V29" s="162" t="str">
        <f>'G3 ENG Reading Scoresheet'!$T32</f>
        <v>Reading At Grade Level</v>
      </c>
      <c r="W29" s="163" t="str">
        <f>CONCATENATE(IF(ISBLANK('G3 MT Reading Scoresheet'!V32),"",CONCATENATE("MT:",TRIM('G3 MT Reading Scoresheet'!V32)))," ",IF(ISBLANK('G3 FIL Reading Scoresheet'!V32),"",CONCATENATE("FIL:",TRIM('G3 FIL Reading Scoresheet'!V32)))," ",IF(ISBLANK('G3 ENG Reading Scoresheet'!U32),"",CONCATENATE("ENG:",TRIM('G3 ENG Reading Scoresheet'!U32))))</f>
        <v/>
      </c>
    </row>
    <row r="30" spans="1:23">
      <c r="A30" s="119">
        <v>23</v>
      </c>
      <c r="B30" s="133">
        <f>IF('G3 MT Reading Scoresheet'!B33&lt;&gt;"",'G3 MT Reading Scoresheet'!B33,"")</f>
        <v>117443220015</v>
      </c>
      <c r="C30" s="134" t="str">
        <f>IF('G3 MT Reading Scoresheet'!C33&lt;&gt;"",'G3 MT Reading Scoresheet'!C33,"")</f>
        <v>MANGUBAT, AMARAH DENISE, LABANZA</v>
      </c>
      <c r="D30" s="135" t="str">
        <f>IF('G3 MT Reading Scoresheet'!D33&lt;&gt;"",'G3 MT Reading Scoresheet'!D33,"")</f>
        <v>Female</v>
      </c>
      <c r="E30" s="130" t="str">
        <f>'G3 MT Reading Scoresheet'!$J33</f>
        <v>Moderate Refresher</v>
      </c>
      <c r="F30" s="131">
        <f>IF(C30&lt;&gt;"",'G3 MT Reading Scoresheet'!$I33/30,"")</f>
        <v>0.4</v>
      </c>
      <c r="G30" s="131">
        <f>IF(AND($C30&lt;&gt;"",$E30&lt;&gt;"Full Refresher"),'G3 MT Reading Scoresheet'!$Q33,"")</f>
        <v>0.91596638655462204</v>
      </c>
      <c r="H30" s="132">
        <f>IF(AND(C30&lt;&gt;"",E30&lt;&gt;"Full Refresher"),'G3 MT Reading Scoresheet'!$R33/7,"")</f>
        <v>0.71428571428571397</v>
      </c>
      <c r="I30" s="143">
        <f>IF(AND($C30&lt;&gt;"",$E30&lt;&gt;"Full Refresher"),'G3 MT Reading Scoresheet'!$P33,"")</f>
        <v>36.3333333333333</v>
      </c>
      <c r="J30" s="144" t="str">
        <f>'G3 MT Reading Scoresheet'!$U33</f>
        <v>Transitioning Reader</v>
      </c>
      <c r="K30" s="145" t="str">
        <f>'G3 FIL Reading Scoresheet'!$J33</f>
        <v>Light Refresher</v>
      </c>
      <c r="L30" s="146">
        <f>IF($C30&lt;&gt;"",'G3 FIL Reading Scoresheet'!$I33/30,"")</f>
        <v>0.8</v>
      </c>
      <c r="M30" s="146">
        <f>IF(AND($C30&lt;&gt;"",$K30&lt;&gt;"Full Refresher"),'G3 MT Reading Scoresheet'!$Q33,"")</f>
        <v>0.91596638655462204</v>
      </c>
      <c r="N30" s="147">
        <f>IF(AND($C30&lt;&gt;"",$K30&lt;&gt;"Full Refresher"),'G3 MT Reading Scoresheet'!$R33/7,"")</f>
        <v>0.71428571428571397</v>
      </c>
      <c r="O30" s="148">
        <f>IF(AND($C30&lt;&gt;"",$K30&lt;&gt;"Full Refresher"),'G3 FIL Reading Scoresheet'!$P33,"")</f>
        <v>45.2</v>
      </c>
      <c r="P30" s="149" t="str">
        <f>'G3 FIL Reading Scoresheet'!$U33</f>
        <v>Transitioning Reader</v>
      </c>
      <c r="Q30" s="158" t="str">
        <f>'G3 ENG Reading Scoresheet'!$I33</f>
        <v>Light Refresher</v>
      </c>
      <c r="R30" s="159">
        <f>IF($C30&lt;&gt;"",'G3 ENG Reading Scoresheet'!$H33/20,"")</f>
        <v>0.8</v>
      </c>
      <c r="S30" s="159">
        <f>IF(AND($C30&lt;&gt;"",$Q30&lt;&gt;"Full Refresher"),'G3 ENG Reading Scoresheet'!$P33,"")</f>
        <v>0.95</v>
      </c>
      <c r="T30" s="160">
        <f>IF(AND($C30&lt;&gt;"",$Q30&lt;&gt;"Full Refresher"),'G3 ENG Reading Scoresheet'!$Q33/6,"")</f>
        <v>0.66666666666666696</v>
      </c>
      <c r="U30" s="161">
        <f>IF(AND($C30&lt;&gt;"",$O30&lt;&gt;"Full Refresher"),'G3 ENG Reading Scoresheet'!$O33,"")</f>
        <v>42.2222222222222</v>
      </c>
      <c r="V30" s="162" t="str">
        <f>'G3 ENG Reading Scoresheet'!$T33</f>
        <v>Transitioning Reader</v>
      </c>
      <c r="W30" s="164" t="str">
        <f>CONCATENATE(IF(ISBLANK('G3 MT Reading Scoresheet'!V33),"",CONCATENATE("MT:",TRIM('G3 MT Reading Scoresheet'!V33)))," ",IF(ISBLANK('G3 FIL Reading Scoresheet'!V33),"",CONCATENATE("FIL:",TRIM('G3 FIL Reading Scoresheet'!V33)))," ",IF(ISBLANK('G3 ENG Reading Scoresheet'!U33),"",CONCATENATE("ENG:",TRIM('G3 ENG Reading Scoresheet'!U33))))</f>
        <v/>
      </c>
    </row>
    <row r="31" spans="1:23">
      <c r="A31" s="126">
        <v>24</v>
      </c>
      <c r="B31" s="127">
        <f>IF('G3 MT Reading Scoresheet'!B34&lt;&gt;"",'G3 MT Reading Scoresheet'!B34,"")</f>
        <v>117443220016</v>
      </c>
      <c r="C31" s="128" t="str">
        <f>IF('G3 MT Reading Scoresheet'!C34&lt;&gt;"",'G3 MT Reading Scoresheet'!C34,"")</f>
        <v>SUMOLAY, GRACE ANN, ESPARTERO</v>
      </c>
      <c r="D31" s="129" t="str">
        <f>IF('G3 MT Reading Scoresheet'!D34&lt;&gt;"",'G3 MT Reading Scoresheet'!D34,"")</f>
        <v>Female</v>
      </c>
      <c r="E31" s="130" t="str">
        <f>'G3 MT Reading Scoresheet'!$J34</f>
        <v>Grade Ready</v>
      </c>
      <c r="F31" s="131">
        <f>IF(C31&lt;&gt;"",'G3 MT Reading Scoresheet'!$I34/30,"")</f>
        <v>0.96666666666666701</v>
      </c>
      <c r="G31" s="131">
        <f>IF(AND($C31&lt;&gt;"",$E31&lt;&gt;"Full Refresher"),'G3 MT Reading Scoresheet'!$Q34,"")</f>
        <v>0.98319327731092399</v>
      </c>
      <c r="H31" s="132">
        <f>IF(AND(C31&lt;&gt;"",E31&lt;&gt;"Full Refresher"),'G3 MT Reading Scoresheet'!$R34/7,"")</f>
        <v>1</v>
      </c>
      <c r="I31" s="143">
        <f>IF(AND($C31&lt;&gt;"",$E31&lt;&gt;"Full Refresher"),'G3 MT Reading Scoresheet'!$P34,"")</f>
        <v>58.5</v>
      </c>
      <c r="J31" s="144" t="str">
        <f>'G3 MT Reading Scoresheet'!$U34</f>
        <v>Reading At Grade Level</v>
      </c>
      <c r="K31" s="145" t="str">
        <f>'G3 FIL Reading Scoresheet'!$J34</f>
        <v>Grade Ready</v>
      </c>
      <c r="L31" s="146">
        <f>IF($C31&lt;&gt;"",'G3 FIL Reading Scoresheet'!$I34/30,"")</f>
        <v>1</v>
      </c>
      <c r="M31" s="146">
        <f>IF(AND($C31&lt;&gt;"",$K31&lt;&gt;"Full Refresher"),'G3 MT Reading Scoresheet'!$Q34,"")</f>
        <v>0.98319327731092399</v>
      </c>
      <c r="N31" s="147">
        <f>IF(AND($C31&lt;&gt;"",$K31&lt;&gt;"Full Refresher"),'G3 MT Reading Scoresheet'!$R34/7,"")</f>
        <v>1</v>
      </c>
      <c r="O31" s="148">
        <f>IF(AND($C31&lt;&gt;"",$K31&lt;&gt;"Full Refresher"),'G3 FIL Reading Scoresheet'!$P34,"")</f>
        <v>58.5</v>
      </c>
      <c r="P31" s="149" t="str">
        <f>'G3 FIL Reading Scoresheet'!$U34</f>
        <v>Reading At Grade Level</v>
      </c>
      <c r="Q31" s="158" t="str">
        <f>'G3 ENG Reading Scoresheet'!$I34</f>
        <v>Grade Ready</v>
      </c>
      <c r="R31" s="159">
        <f>IF($C31&lt;&gt;"",'G3 ENG Reading Scoresheet'!$H34/20,"")</f>
        <v>1</v>
      </c>
      <c r="S31" s="159">
        <f>IF(AND($C31&lt;&gt;"",$Q31&lt;&gt;"Full Refresher"),'G3 ENG Reading Scoresheet'!$P34,"")</f>
        <v>0.99</v>
      </c>
      <c r="T31" s="160">
        <f>IF(AND($C31&lt;&gt;"",$Q31&lt;&gt;"Full Refresher"),'G3 ENG Reading Scoresheet'!$Q34/6,"")</f>
        <v>1</v>
      </c>
      <c r="U31" s="161">
        <f>IF(AND($C31&lt;&gt;"",$O31&lt;&gt;"Full Refresher"),'G3 ENG Reading Scoresheet'!$O34,"")</f>
        <v>84.857142857142904</v>
      </c>
      <c r="V31" s="162" t="str">
        <f>'G3 ENG Reading Scoresheet'!$T34</f>
        <v>Reading At Grade Level</v>
      </c>
      <c r="W31" s="163" t="str">
        <f>CONCATENATE(IF(ISBLANK('G3 MT Reading Scoresheet'!V34),"",CONCATENATE("MT:",TRIM('G3 MT Reading Scoresheet'!V34)))," ",IF(ISBLANK('G3 FIL Reading Scoresheet'!V34),"",CONCATENATE("FIL:",TRIM('G3 FIL Reading Scoresheet'!V34)))," ",IF(ISBLANK('G3 ENG Reading Scoresheet'!U34),"",CONCATENATE("ENG:",TRIM('G3 ENG Reading Scoresheet'!U34))))</f>
        <v/>
      </c>
    </row>
    <row r="32" spans="1:23">
      <c r="A32" s="119">
        <v>25</v>
      </c>
      <c r="B32" s="133">
        <f>IF('G3 MT Reading Scoresheet'!B35&lt;&gt;"",'G3 MT Reading Scoresheet'!B35,"")</f>
        <v>117692220048</v>
      </c>
      <c r="C32" s="134" t="str">
        <f>IF('G3 MT Reading Scoresheet'!C35&lt;&gt;"",'G3 MT Reading Scoresheet'!C35,"")</f>
        <v>TAPIC, KYZYL ZYNN MJ,-</v>
      </c>
      <c r="D32" s="135" t="str">
        <f>IF('G3 MT Reading Scoresheet'!D35&lt;&gt;"",'G3 MT Reading Scoresheet'!D35,"")</f>
        <v>Female</v>
      </c>
      <c r="E32" s="130" t="str">
        <f>'G3 MT Reading Scoresheet'!$J35</f>
        <v>Light Refresher</v>
      </c>
      <c r="F32" s="131">
        <f>IF(C32&lt;&gt;"",'G3 MT Reading Scoresheet'!$I35/30,"")</f>
        <v>0.86666666666666703</v>
      </c>
      <c r="G32" s="131">
        <f>IF(AND($C32&lt;&gt;"",$E32&lt;&gt;"Full Refresher"),'G3 MT Reading Scoresheet'!$Q35,"")</f>
        <v>0.93277310924369705</v>
      </c>
      <c r="H32" s="132">
        <f>IF(AND(C32&lt;&gt;"",E32&lt;&gt;"Full Refresher"),'G3 MT Reading Scoresheet'!$R35/7,"")</f>
        <v>0.57142857142857095</v>
      </c>
      <c r="I32" s="143">
        <f>IF(AND($C32&lt;&gt;"",$E32&lt;&gt;"Full Refresher"),'G3 MT Reading Scoresheet'!$P35,"")</f>
        <v>55.5</v>
      </c>
      <c r="J32" s="144" t="str">
        <f>'G3 MT Reading Scoresheet'!$U35</f>
        <v>Transitioning Reader</v>
      </c>
      <c r="K32" s="145" t="str">
        <f>'G3 FIL Reading Scoresheet'!$J35</f>
        <v>Light Refresher</v>
      </c>
      <c r="L32" s="146">
        <f>IF($C32&lt;&gt;"",'G3 FIL Reading Scoresheet'!$I35/30,"")</f>
        <v>0.86666666666666703</v>
      </c>
      <c r="M32" s="146">
        <f>IF(AND($C32&lt;&gt;"",$K32&lt;&gt;"Full Refresher"),'G3 MT Reading Scoresheet'!$Q35,"")</f>
        <v>0.93277310924369705</v>
      </c>
      <c r="N32" s="147">
        <f>IF(AND($C32&lt;&gt;"",$K32&lt;&gt;"Full Refresher"),'G3 MT Reading Scoresheet'!$R35/7,"")</f>
        <v>0.57142857142857095</v>
      </c>
      <c r="O32" s="148">
        <f>IF(AND($C32&lt;&gt;"",$K32&lt;&gt;"Full Refresher"),'G3 FIL Reading Scoresheet'!$P35,"")</f>
        <v>35.052631578947398</v>
      </c>
      <c r="P32" s="149" t="str">
        <f>'G3 FIL Reading Scoresheet'!$U35</f>
        <v>Transitioning Reader</v>
      </c>
      <c r="Q32" s="158" t="str">
        <f>'G3 ENG Reading Scoresheet'!$I35</f>
        <v>Grade Ready</v>
      </c>
      <c r="R32" s="159">
        <f>IF($C32&lt;&gt;"",'G3 ENG Reading Scoresheet'!$H35/20,"")</f>
        <v>0.9</v>
      </c>
      <c r="S32" s="159">
        <f>IF(AND($C32&lt;&gt;"",$Q32&lt;&gt;"Full Refresher"),'G3 ENG Reading Scoresheet'!$P35,"")</f>
        <v>0.99</v>
      </c>
      <c r="T32" s="160">
        <f>IF(AND($C32&lt;&gt;"",$Q32&lt;&gt;"Full Refresher"),'G3 ENG Reading Scoresheet'!$Q35/6,"")</f>
        <v>0.83333333333333304</v>
      </c>
      <c r="U32" s="161">
        <f>IF(AND($C32&lt;&gt;"",$O32&lt;&gt;"Full Refresher"),'G3 ENG Reading Scoresheet'!$O35,"")</f>
        <v>66</v>
      </c>
      <c r="V32" s="162" t="str">
        <f>'G3 ENG Reading Scoresheet'!$T35</f>
        <v>Reading At Grade Level</v>
      </c>
      <c r="W32" s="164" t="str">
        <f>CONCATENATE(IF(ISBLANK('G3 MT Reading Scoresheet'!V35),"",CONCATENATE("MT:",TRIM('G3 MT Reading Scoresheet'!V35)))," ",IF(ISBLANK('G3 FIL Reading Scoresheet'!V35),"",CONCATENATE("FIL:",TRIM('G3 FIL Reading Scoresheet'!V35)))," ",IF(ISBLANK('G3 ENG Reading Scoresheet'!U35),"",CONCATENATE("ENG:",TRIM('G3 ENG Reading Scoresheet'!U35))))</f>
        <v/>
      </c>
    </row>
    <row r="33" spans="1:23">
      <c r="A33" s="126">
        <v>26</v>
      </c>
      <c r="B33" s="127" t="str">
        <f>IF('G3 MT Reading Scoresheet'!B36&lt;&gt;"",'G3 MT Reading Scoresheet'!B36,"")</f>
        <v/>
      </c>
      <c r="C33" s="128" t="str">
        <f>IF('G3 MT Reading Scoresheet'!C36&lt;&gt;"",'G3 MT Reading Scoresheet'!C36,"")</f>
        <v/>
      </c>
      <c r="D33" s="129" t="str">
        <f>IF('G3 MT Reading Scoresheet'!D36&lt;&gt;"",'G3 MT Reading Scoresheet'!D36,"")</f>
        <v/>
      </c>
      <c r="E33" s="130" t="str">
        <f>'G3 MT Reading Scoresheet'!$J36</f>
        <v/>
      </c>
      <c r="F33" s="131" t="str">
        <f>IF(C33&lt;&gt;"",'G3 MT Reading Scoresheet'!$I36/30,"")</f>
        <v/>
      </c>
      <c r="G33" s="131" t="str">
        <f>IF(AND($C33&lt;&gt;"",$E33&lt;&gt;"Full Refresher"),'G3 MT Reading Scoresheet'!$Q36,"")</f>
        <v/>
      </c>
      <c r="H33" s="132" t="str">
        <f>IF(AND(C33&lt;&gt;"",E33&lt;&gt;"Full Refresher"),'G3 MT Reading Scoresheet'!$R36/7,"")</f>
        <v/>
      </c>
      <c r="I33" s="143" t="str">
        <f>IF(AND($C33&lt;&gt;"",$E33&lt;&gt;"Full Refresher"),'G3 MT Reading Scoresheet'!$P36,"")</f>
        <v/>
      </c>
      <c r="J33" s="144" t="str">
        <f>'G3 MT Reading Scoresheet'!$U36</f>
        <v/>
      </c>
      <c r="K33" s="145" t="str">
        <f>'G3 FIL Reading Scoresheet'!$J36</f>
        <v/>
      </c>
      <c r="L33" s="146" t="str">
        <f>IF($C33&lt;&gt;"",'G3 FIL Reading Scoresheet'!$I36/30,"")</f>
        <v/>
      </c>
      <c r="M33" s="146" t="str">
        <f>IF(AND($C33&lt;&gt;"",$K33&lt;&gt;"Full Refresher"),'G3 MT Reading Scoresheet'!$Q36,"")</f>
        <v/>
      </c>
      <c r="N33" s="147" t="str">
        <f>IF(AND($C33&lt;&gt;"",$K33&lt;&gt;"Full Refresher"),'G3 MT Reading Scoresheet'!$R36/7,"")</f>
        <v/>
      </c>
      <c r="O33" s="148" t="str">
        <f>IF(AND($C33&lt;&gt;"",$K33&lt;&gt;"Full Refresher"),'G3 FIL Reading Scoresheet'!$P36,"")</f>
        <v/>
      </c>
      <c r="P33" s="149" t="str">
        <f>'G3 FIL Reading Scoresheet'!$U36</f>
        <v/>
      </c>
      <c r="Q33" s="158" t="str">
        <f>'G3 ENG Reading Scoresheet'!$I36</f>
        <v/>
      </c>
      <c r="R33" s="159" t="str">
        <f>IF($C33&lt;&gt;"",'G3 ENG Reading Scoresheet'!$H36/20,"")</f>
        <v/>
      </c>
      <c r="S33" s="159" t="str">
        <f>IF(AND($C33&lt;&gt;"",$Q33&lt;&gt;"Full Refresher"),'G3 ENG Reading Scoresheet'!$P36,"")</f>
        <v/>
      </c>
      <c r="T33" s="160" t="str">
        <f>IF(AND($C33&lt;&gt;"",$Q33&lt;&gt;"Full Refresher"),'G3 ENG Reading Scoresheet'!$Q36/6,"")</f>
        <v/>
      </c>
      <c r="U33" s="161" t="str">
        <f>IF(AND($C33&lt;&gt;"",$O33&lt;&gt;"Full Refresher"),'G3 ENG Reading Scoresheet'!$O36,"")</f>
        <v/>
      </c>
      <c r="V33" s="162" t="str">
        <f>'G3 ENG Reading Scoresheet'!$T36</f>
        <v/>
      </c>
      <c r="W33" s="163" t="str">
        <f>CONCATENATE(IF(ISBLANK('G3 MT Reading Scoresheet'!V36),"",CONCATENATE("MT:",TRIM('G3 MT Reading Scoresheet'!V36)))," ",IF(ISBLANK('G3 FIL Reading Scoresheet'!V36),"",CONCATENATE("FIL:",TRIM('G3 FIL Reading Scoresheet'!V36)))," ",IF(ISBLANK('G3 ENG Reading Scoresheet'!U36),"",CONCATENATE("ENG:",TRIM('G3 ENG Reading Scoresheet'!U36))))</f>
        <v/>
      </c>
    </row>
    <row r="34" spans="1:23">
      <c r="A34" s="119">
        <v>27</v>
      </c>
      <c r="B34" s="133" t="str">
        <f>IF('G3 MT Reading Scoresheet'!B37&lt;&gt;"",'G3 MT Reading Scoresheet'!B37,"")</f>
        <v/>
      </c>
      <c r="C34" s="134" t="str">
        <f>IF('G3 MT Reading Scoresheet'!C37&lt;&gt;"",'G3 MT Reading Scoresheet'!C37,"")</f>
        <v/>
      </c>
      <c r="D34" s="135" t="str">
        <f>IF('G3 MT Reading Scoresheet'!D37&lt;&gt;"",'G3 MT Reading Scoresheet'!D37,"")</f>
        <v/>
      </c>
      <c r="E34" s="130" t="str">
        <f>'G3 MT Reading Scoresheet'!$J37</f>
        <v/>
      </c>
      <c r="F34" s="131" t="str">
        <f>IF(C34&lt;&gt;"",'G3 MT Reading Scoresheet'!$I37/30,"")</f>
        <v/>
      </c>
      <c r="G34" s="131" t="str">
        <f>IF(AND($C34&lt;&gt;"",$E34&lt;&gt;"Full Refresher"),'G3 MT Reading Scoresheet'!$Q37,"")</f>
        <v/>
      </c>
      <c r="H34" s="132" t="str">
        <f>IF(AND(C34&lt;&gt;"",E34&lt;&gt;"Full Refresher"),'G3 MT Reading Scoresheet'!$R37/7,"")</f>
        <v/>
      </c>
      <c r="I34" s="143" t="str">
        <f>IF(AND($C34&lt;&gt;"",$E34&lt;&gt;"Full Refresher"),'G3 MT Reading Scoresheet'!$P37,"")</f>
        <v/>
      </c>
      <c r="J34" s="144" t="str">
        <f>'G3 MT Reading Scoresheet'!$U37</f>
        <v/>
      </c>
      <c r="K34" s="145" t="str">
        <f>'G3 FIL Reading Scoresheet'!$J37</f>
        <v/>
      </c>
      <c r="L34" s="146" t="str">
        <f>IF($C34&lt;&gt;"",'G3 FIL Reading Scoresheet'!$I37/30,"")</f>
        <v/>
      </c>
      <c r="M34" s="146" t="str">
        <f>IF(AND($C34&lt;&gt;"",$K34&lt;&gt;"Full Refresher"),'G3 MT Reading Scoresheet'!$Q37,"")</f>
        <v/>
      </c>
      <c r="N34" s="147" t="str">
        <f>IF(AND($C34&lt;&gt;"",$K34&lt;&gt;"Full Refresher"),'G3 MT Reading Scoresheet'!$R37/7,"")</f>
        <v/>
      </c>
      <c r="O34" s="148" t="str">
        <f>IF(AND($C34&lt;&gt;"",$K34&lt;&gt;"Full Refresher"),'G3 FIL Reading Scoresheet'!$P37,"")</f>
        <v/>
      </c>
      <c r="P34" s="149" t="str">
        <f>'G3 FIL Reading Scoresheet'!$U37</f>
        <v/>
      </c>
      <c r="Q34" s="158" t="str">
        <f>'G3 ENG Reading Scoresheet'!$I37</f>
        <v/>
      </c>
      <c r="R34" s="159" t="str">
        <f>IF($C34&lt;&gt;"",'G3 ENG Reading Scoresheet'!$H37/20,"")</f>
        <v/>
      </c>
      <c r="S34" s="159" t="str">
        <f>IF(AND($C34&lt;&gt;"",$Q34&lt;&gt;"Full Refresher"),'G3 ENG Reading Scoresheet'!$P37,"")</f>
        <v/>
      </c>
      <c r="T34" s="160" t="str">
        <f>IF(AND($C34&lt;&gt;"",$Q34&lt;&gt;"Full Refresher"),'G3 ENG Reading Scoresheet'!$Q37/6,"")</f>
        <v/>
      </c>
      <c r="U34" s="161" t="str">
        <f>IF(AND($C34&lt;&gt;"",$O34&lt;&gt;"Full Refresher"),'G3 ENG Reading Scoresheet'!$O37,"")</f>
        <v/>
      </c>
      <c r="V34" s="162" t="str">
        <f>'G3 ENG Reading Scoresheet'!$T37</f>
        <v/>
      </c>
      <c r="W34" s="164" t="str">
        <f>CONCATENATE(IF(ISBLANK('G3 MT Reading Scoresheet'!V37),"",CONCATENATE("MT:",TRIM('G3 MT Reading Scoresheet'!V37)))," ",IF(ISBLANK('G3 FIL Reading Scoresheet'!V37),"",CONCATENATE("FIL:",TRIM('G3 FIL Reading Scoresheet'!V37)))," ",IF(ISBLANK('G3 ENG Reading Scoresheet'!U37),"",CONCATENATE("ENG:",TRIM('G3 ENG Reading Scoresheet'!U37))))</f>
        <v/>
      </c>
    </row>
    <row r="35" spans="1:23">
      <c r="A35" s="126">
        <v>28</v>
      </c>
      <c r="B35" s="127" t="str">
        <f>IF('G3 MT Reading Scoresheet'!B38&lt;&gt;"",'G3 MT Reading Scoresheet'!B38,"")</f>
        <v/>
      </c>
      <c r="C35" s="128" t="str">
        <f>IF('G3 MT Reading Scoresheet'!C38&lt;&gt;"",'G3 MT Reading Scoresheet'!C38,"")</f>
        <v/>
      </c>
      <c r="D35" s="129" t="str">
        <f>IF('G3 MT Reading Scoresheet'!D38&lt;&gt;"",'G3 MT Reading Scoresheet'!D38,"")</f>
        <v/>
      </c>
      <c r="E35" s="130" t="str">
        <f>'G3 MT Reading Scoresheet'!$J38</f>
        <v/>
      </c>
      <c r="F35" s="131" t="str">
        <f>IF(C35&lt;&gt;"",'G3 MT Reading Scoresheet'!$I38/30,"")</f>
        <v/>
      </c>
      <c r="G35" s="131" t="str">
        <f>IF(AND($C35&lt;&gt;"",$E35&lt;&gt;"Full Refresher"),'G3 MT Reading Scoresheet'!$Q38,"")</f>
        <v/>
      </c>
      <c r="H35" s="132" t="str">
        <f>IF(AND(C35&lt;&gt;"",E35&lt;&gt;"Full Refresher"),'G3 MT Reading Scoresheet'!$R38/7,"")</f>
        <v/>
      </c>
      <c r="I35" s="143" t="str">
        <f>IF(AND($C35&lt;&gt;"",$E35&lt;&gt;"Full Refresher"),'G3 MT Reading Scoresheet'!$P38,"")</f>
        <v/>
      </c>
      <c r="J35" s="144" t="str">
        <f>'G3 MT Reading Scoresheet'!$U38</f>
        <v/>
      </c>
      <c r="K35" s="145" t="str">
        <f>'G3 FIL Reading Scoresheet'!$J38</f>
        <v/>
      </c>
      <c r="L35" s="146" t="str">
        <f>IF($C35&lt;&gt;"",'G3 FIL Reading Scoresheet'!$I38/30,"")</f>
        <v/>
      </c>
      <c r="M35" s="146" t="str">
        <f>IF(AND($C35&lt;&gt;"",$K35&lt;&gt;"Full Refresher"),'G3 MT Reading Scoresheet'!$Q38,"")</f>
        <v/>
      </c>
      <c r="N35" s="147" t="str">
        <f>IF(AND($C35&lt;&gt;"",$K35&lt;&gt;"Full Refresher"),'G3 MT Reading Scoresheet'!$R38/7,"")</f>
        <v/>
      </c>
      <c r="O35" s="148" t="str">
        <f>IF(AND($C35&lt;&gt;"",$K35&lt;&gt;"Full Refresher"),'G3 FIL Reading Scoresheet'!$P38,"")</f>
        <v/>
      </c>
      <c r="P35" s="149" t="str">
        <f>'G3 FIL Reading Scoresheet'!$U38</f>
        <v/>
      </c>
      <c r="Q35" s="158" t="str">
        <f>'G3 ENG Reading Scoresheet'!$I38</f>
        <v/>
      </c>
      <c r="R35" s="159" t="str">
        <f>IF($C35&lt;&gt;"",'G3 ENG Reading Scoresheet'!$H38/20,"")</f>
        <v/>
      </c>
      <c r="S35" s="159" t="str">
        <f>IF(AND($C35&lt;&gt;"",$Q35&lt;&gt;"Full Refresher"),'G3 ENG Reading Scoresheet'!$P38,"")</f>
        <v/>
      </c>
      <c r="T35" s="160" t="str">
        <f>IF(AND($C35&lt;&gt;"",$Q35&lt;&gt;"Full Refresher"),'G3 ENG Reading Scoresheet'!$Q38/6,"")</f>
        <v/>
      </c>
      <c r="U35" s="161" t="str">
        <f>IF(AND($C35&lt;&gt;"",$O35&lt;&gt;"Full Refresher"),'G3 ENG Reading Scoresheet'!$O38,"")</f>
        <v/>
      </c>
      <c r="V35" s="162" t="str">
        <f>'G3 ENG Reading Scoresheet'!$T38</f>
        <v/>
      </c>
      <c r="W35" s="163" t="str">
        <f>CONCATENATE(IF(ISBLANK('G3 MT Reading Scoresheet'!V38),"",CONCATENATE("MT:",TRIM('G3 MT Reading Scoresheet'!V38)))," ",IF(ISBLANK('G3 FIL Reading Scoresheet'!V38),"",CONCATENATE("FIL:",TRIM('G3 FIL Reading Scoresheet'!V38)))," ",IF(ISBLANK('G3 ENG Reading Scoresheet'!U38),"",CONCATENATE("ENG:",TRIM('G3 ENG Reading Scoresheet'!U38))))</f>
        <v/>
      </c>
    </row>
    <row r="36" spans="1:23">
      <c r="A36" s="119">
        <v>29</v>
      </c>
      <c r="B36" s="133" t="str">
        <f>IF('G3 MT Reading Scoresheet'!B39&lt;&gt;"",'G3 MT Reading Scoresheet'!B39,"")</f>
        <v/>
      </c>
      <c r="C36" s="134" t="str">
        <f>IF('G3 MT Reading Scoresheet'!C39&lt;&gt;"",'G3 MT Reading Scoresheet'!C39,"")</f>
        <v/>
      </c>
      <c r="D36" s="135" t="str">
        <f>IF('G3 MT Reading Scoresheet'!D39&lt;&gt;"",'G3 MT Reading Scoresheet'!D39,"")</f>
        <v/>
      </c>
      <c r="E36" s="130" t="str">
        <f>'G3 MT Reading Scoresheet'!$J39</f>
        <v/>
      </c>
      <c r="F36" s="131" t="str">
        <f>IF(C36&lt;&gt;"",'G3 MT Reading Scoresheet'!$I39/30,"")</f>
        <v/>
      </c>
      <c r="G36" s="131" t="str">
        <f>IF(AND($C36&lt;&gt;"",$E36&lt;&gt;"Full Refresher"),'G3 MT Reading Scoresheet'!$Q39,"")</f>
        <v/>
      </c>
      <c r="H36" s="132" t="str">
        <f>IF(AND(C36&lt;&gt;"",E36&lt;&gt;"Full Refresher"),'G3 MT Reading Scoresheet'!$R39/7,"")</f>
        <v/>
      </c>
      <c r="I36" s="143" t="str">
        <f>IF(AND($C36&lt;&gt;"",$E36&lt;&gt;"Full Refresher"),'G3 MT Reading Scoresheet'!$P39,"")</f>
        <v/>
      </c>
      <c r="J36" s="144" t="str">
        <f>'G3 MT Reading Scoresheet'!$U39</f>
        <v/>
      </c>
      <c r="K36" s="145" t="str">
        <f>'G3 FIL Reading Scoresheet'!$J39</f>
        <v/>
      </c>
      <c r="L36" s="146" t="str">
        <f>IF($C36&lt;&gt;"",'G3 FIL Reading Scoresheet'!$I39/30,"")</f>
        <v/>
      </c>
      <c r="M36" s="146" t="str">
        <f>IF(AND($C36&lt;&gt;"",$K36&lt;&gt;"Full Refresher"),'G3 MT Reading Scoresheet'!$Q39,"")</f>
        <v/>
      </c>
      <c r="N36" s="147" t="str">
        <f>IF(AND($C36&lt;&gt;"",$K36&lt;&gt;"Full Refresher"),'G3 MT Reading Scoresheet'!$R39/7,"")</f>
        <v/>
      </c>
      <c r="O36" s="148" t="str">
        <f>IF(AND($C36&lt;&gt;"",$K36&lt;&gt;"Full Refresher"),'G3 FIL Reading Scoresheet'!$P39,"")</f>
        <v/>
      </c>
      <c r="P36" s="149" t="str">
        <f>'G3 FIL Reading Scoresheet'!$U39</f>
        <v/>
      </c>
      <c r="Q36" s="158" t="str">
        <f>'G3 ENG Reading Scoresheet'!$I39</f>
        <v/>
      </c>
      <c r="R36" s="159" t="str">
        <f>IF($C36&lt;&gt;"",'G3 ENG Reading Scoresheet'!$H39/20,"")</f>
        <v/>
      </c>
      <c r="S36" s="159" t="str">
        <f>IF(AND($C36&lt;&gt;"",$Q36&lt;&gt;"Full Refresher"),'G3 ENG Reading Scoresheet'!$P39,"")</f>
        <v/>
      </c>
      <c r="T36" s="160" t="str">
        <f>IF(AND($C36&lt;&gt;"",$Q36&lt;&gt;"Full Refresher"),'G3 ENG Reading Scoresheet'!$Q39/6,"")</f>
        <v/>
      </c>
      <c r="U36" s="161" t="str">
        <f>IF(AND($C36&lt;&gt;"",$O36&lt;&gt;"Full Refresher"),'G3 ENG Reading Scoresheet'!$O39,"")</f>
        <v/>
      </c>
      <c r="V36" s="162" t="str">
        <f>'G3 ENG Reading Scoresheet'!$T39</f>
        <v/>
      </c>
      <c r="W36" s="164" t="str">
        <f>CONCATENATE(IF(ISBLANK('G3 MT Reading Scoresheet'!V39),"",CONCATENATE("MT:",TRIM('G3 MT Reading Scoresheet'!V39)))," ",IF(ISBLANK('G3 FIL Reading Scoresheet'!V39),"",CONCATENATE("FIL:",TRIM('G3 FIL Reading Scoresheet'!V39)))," ",IF(ISBLANK('G3 ENG Reading Scoresheet'!U39),"",CONCATENATE("ENG:",TRIM('G3 ENG Reading Scoresheet'!U39))))</f>
        <v/>
      </c>
    </row>
    <row r="37" spans="1:23">
      <c r="A37" s="126">
        <v>30</v>
      </c>
      <c r="B37" s="127" t="str">
        <f>IF('G3 MT Reading Scoresheet'!B40&lt;&gt;"",'G3 MT Reading Scoresheet'!B40,"")</f>
        <v/>
      </c>
      <c r="C37" s="128" t="str">
        <f>IF('G3 MT Reading Scoresheet'!C40&lt;&gt;"",'G3 MT Reading Scoresheet'!C40,"")</f>
        <v/>
      </c>
      <c r="D37" s="129" t="str">
        <f>IF('G3 MT Reading Scoresheet'!D40&lt;&gt;"",'G3 MT Reading Scoresheet'!D40,"")</f>
        <v/>
      </c>
      <c r="E37" s="130" t="str">
        <f>'G3 MT Reading Scoresheet'!$J40</f>
        <v/>
      </c>
      <c r="F37" s="131" t="str">
        <f>IF(C37&lt;&gt;"",'G3 MT Reading Scoresheet'!$I40/30,"")</f>
        <v/>
      </c>
      <c r="G37" s="131" t="str">
        <f>IF(AND($C37&lt;&gt;"",$E37&lt;&gt;"Full Refresher"),'G3 MT Reading Scoresheet'!$Q40,"")</f>
        <v/>
      </c>
      <c r="H37" s="132" t="str">
        <f>IF(AND(C37&lt;&gt;"",E37&lt;&gt;"Full Refresher"),'G3 MT Reading Scoresheet'!$R40/7,"")</f>
        <v/>
      </c>
      <c r="I37" s="143" t="str">
        <f>IF(AND($C37&lt;&gt;"",$E37&lt;&gt;"Full Refresher"),'G3 MT Reading Scoresheet'!$P40,"")</f>
        <v/>
      </c>
      <c r="J37" s="144" t="str">
        <f>'G3 MT Reading Scoresheet'!$U40</f>
        <v/>
      </c>
      <c r="K37" s="145" t="str">
        <f>'G3 FIL Reading Scoresheet'!$J40</f>
        <v/>
      </c>
      <c r="L37" s="146" t="str">
        <f>IF($C37&lt;&gt;"",'G3 FIL Reading Scoresheet'!$I40/30,"")</f>
        <v/>
      </c>
      <c r="M37" s="146" t="str">
        <f>IF(AND($C37&lt;&gt;"",$K37&lt;&gt;"Full Refresher"),'G3 MT Reading Scoresheet'!$Q40,"")</f>
        <v/>
      </c>
      <c r="N37" s="147" t="str">
        <f>IF(AND($C37&lt;&gt;"",$K37&lt;&gt;"Full Refresher"),'G3 MT Reading Scoresheet'!$R40/7,"")</f>
        <v/>
      </c>
      <c r="O37" s="148" t="str">
        <f>IF(AND($C37&lt;&gt;"",$K37&lt;&gt;"Full Refresher"),'G3 FIL Reading Scoresheet'!$P40,"")</f>
        <v/>
      </c>
      <c r="P37" s="149" t="str">
        <f>'G3 FIL Reading Scoresheet'!$U40</f>
        <v/>
      </c>
      <c r="Q37" s="158" t="str">
        <f>'G3 ENG Reading Scoresheet'!$I40</f>
        <v/>
      </c>
      <c r="R37" s="159" t="str">
        <f>IF($C37&lt;&gt;"",'G3 ENG Reading Scoresheet'!$H40/20,"")</f>
        <v/>
      </c>
      <c r="S37" s="159" t="str">
        <f>IF(AND($C37&lt;&gt;"",$Q37&lt;&gt;"Full Refresher"),'G3 ENG Reading Scoresheet'!$P40,"")</f>
        <v/>
      </c>
      <c r="T37" s="160" t="str">
        <f>IF(AND($C37&lt;&gt;"",$Q37&lt;&gt;"Full Refresher"),'G3 ENG Reading Scoresheet'!$Q40/6,"")</f>
        <v/>
      </c>
      <c r="U37" s="161" t="str">
        <f>IF(AND($C37&lt;&gt;"",$O37&lt;&gt;"Full Refresher"),'G3 ENG Reading Scoresheet'!$O40,"")</f>
        <v/>
      </c>
      <c r="V37" s="162" t="str">
        <f>'G3 ENG Reading Scoresheet'!$T40</f>
        <v/>
      </c>
      <c r="W37" s="163" t="str">
        <f>CONCATENATE(IF(ISBLANK('G3 MT Reading Scoresheet'!V40),"",CONCATENATE("MT:",TRIM('G3 MT Reading Scoresheet'!V40)))," ",IF(ISBLANK('G3 FIL Reading Scoresheet'!V40),"",CONCATENATE("FIL:",TRIM('G3 FIL Reading Scoresheet'!V40)))," ",IF(ISBLANK('G3 ENG Reading Scoresheet'!U40),"",CONCATENATE("ENG:",TRIM('G3 ENG Reading Scoresheet'!U40))))</f>
        <v/>
      </c>
    </row>
    <row r="38" spans="1:23">
      <c r="A38" s="119">
        <v>31</v>
      </c>
      <c r="B38" s="133" t="str">
        <f>IF('G3 MT Reading Scoresheet'!B41&lt;&gt;"",'G3 MT Reading Scoresheet'!B41,"")</f>
        <v/>
      </c>
      <c r="C38" s="134" t="str">
        <f>IF('G3 MT Reading Scoresheet'!C41&lt;&gt;"",'G3 MT Reading Scoresheet'!C41,"")</f>
        <v/>
      </c>
      <c r="D38" s="135" t="str">
        <f>IF('G3 MT Reading Scoresheet'!D41&lt;&gt;"",'G3 MT Reading Scoresheet'!D41,"")</f>
        <v/>
      </c>
      <c r="E38" s="130" t="str">
        <f>'G3 MT Reading Scoresheet'!$J41</f>
        <v/>
      </c>
      <c r="F38" s="131" t="str">
        <f>IF(C38&lt;&gt;"",'G3 MT Reading Scoresheet'!$I41/30,"")</f>
        <v/>
      </c>
      <c r="G38" s="131" t="str">
        <f>IF(AND($C38&lt;&gt;"",$E38&lt;&gt;"Full Refresher"),'G3 MT Reading Scoresheet'!$Q41,"")</f>
        <v/>
      </c>
      <c r="H38" s="132" t="str">
        <f>IF(AND(C38&lt;&gt;"",E38&lt;&gt;"Full Refresher"),'G3 MT Reading Scoresheet'!$R41/7,"")</f>
        <v/>
      </c>
      <c r="I38" s="143" t="str">
        <f>IF(AND($C38&lt;&gt;"",$E38&lt;&gt;"Full Refresher"),'G3 MT Reading Scoresheet'!$P41,"")</f>
        <v/>
      </c>
      <c r="J38" s="144" t="str">
        <f>'G3 MT Reading Scoresheet'!$U41</f>
        <v/>
      </c>
      <c r="K38" s="145" t="str">
        <f>'G3 FIL Reading Scoresheet'!$J41</f>
        <v/>
      </c>
      <c r="L38" s="146" t="str">
        <f>IF($C38&lt;&gt;"",'G3 FIL Reading Scoresheet'!$I41/30,"")</f>
        <v/>
      </c>
      <c r="M38" s="146" t="str">
        <f>IF(AND($C38&lt;&gt;"",$K38&lt;&gt;"Full Refresher"),'G3 MT Reading Scoresheet'!$Q41,"")</f>
        <v/>
      </c>
      <c r="N38" s="147" t="str">
        <f>IF(AND($C38&lt;&gt;"",$K38&lt;&gt;"Full Refresher"),'G3 MT Reading Scoresheet'!$R41/7,"")</f>
        <v/>
      </c>
      <c r="O38" s="148" t="str">
        <f>IF(AND($C38&lt;&gt;"",$K38&lt;&gt;"Full Refresher"),'G3 FIL Reading Scoresheet'!$P41,"")</f>
        <v/>
      </c>
      <c r="P38" s="149" t="str">
        <f>'G3 FIL Reading Scoresheet'!$U41</f>
        <v/>
      </c>
      <c r="Q38" s="158" t="str">
        <f>'G3 ENG Reading Scoresheet'!$I41</f>
        <v/>
      </c>
      <c r="R38" s="159" t="str">
        <f>IF($C38&lt;&gt;"",'G3 ENG Reading Scoresheet'!$H41/20,"")</f>
        <v/>
      </c>
      <c r="S38" s="159" t="str">
        <f>IF(AND($C38&lt;&gt;"",$Q38&lt;&gt;"Full Refresher"),'G3 ENG Reading Scoresheet'!$P41,"")</f>
        <v/>
      </c>
      <c r="T38" s="160" t="str">
        <f>IF(AND($C38&lt;&gt;"",$Q38&lt;&gt;"Full Refresher"),'G3 ENG Reading Scoresheet'!$Q41/6,"")</f>
        <v/>
      </c>
      <c r="U38" s="161" t="str">
        <f>IF(AND($C38&lt;&gt;"",$O38&lt;&gt;"Full Refresher"),'G3 ENG Reading Scoresheet'!$O41,"")</f>
        <v/>
      </c>
      <c r="V38" s="162" t="str">
        <f>'G3 ENG Reading Scoresheet'!$T41</f>
        <v/>
      </c>
      <c r="W38" s="164" t="str">
        <f>CONCATENATE(IF(ISBLANK('G3 MT Reading Scoresheet'!V41),"",CONCATENATE("MT:",TRIM('G3 MT Reading Scoresheet'!V41)))," ",IF(ISBLANK('G3 FIL Reading Scoresheet'!V41),"",CONCATENATE("FIL:",TRIM('G3 FIL Reading Scoresheet'!V41)))," ",IF(ISBLANK('G3 ENG Reading Scoresheet'!U41),"",CONCATENATE("ENG:",TRIM('G3 ENG Reading Scoresheet'!U41))))</f>
        <v/>
      </c>
    </row>
    <row r="39" spans="1:23">
      <c r="A39" s="126">
        <v>32</v>
      </c>
      <c r="B39" s="127" t="str">
        <f>IF('G3 MT Reading Scoresheet'!B42&lt;&gt;"",'G3 MT Reading Scoresheet'!B42,"")</f>
        <v/>
      </c>
      <c r="C39" s="128" t="str">
        <f>IF('G3 MT Reading Scoresheet'!C42&lt;&gt;"",'G3 MT Reading Scoresheet'!C42,"")</f>
        <v/>
      </c>
      <c r="D39" s="129" t="str">
        <f>IF('G3 MT Reading Scoresheet'!D42&lt;&gt;"",'G3 MT Reading Scoresheet'!D42,"")</f>
        <v/>
      </c>
      <c r="E39" s="130" t="str">
        <f>'G3 MT Reading Scoresheet'!$J42</f>
        <v/>
      </c>
      <c r="F39" s="131" t="str">
        <f>IF(C39&lt;&gt;"",'G3 MT Reading Scoresheet'!$I42/30,"")</f>
        <v/>
      </c>
      <c r="G39" s="131" t="str">
        <f>IF(AND($C39&lt;&gt;"",$E39&lt;&gt;"Full Refresher"),'G3 MT Reading Scoresheet'!$Q42,"")</f>
        <v/>
      </c>
      <c r="H39" s="132" t="str">
        <f>IF(AND(C39&lt;&gt;"",E39&lt;&gt;"Full Refresher"),'G3 MT Reading Scoresheet'!$R42/7,"")</f>
        <v/>
      </c>
      <c r="I39" s="143" t="str">
        <f>IF(AND($C39&lt;&gt;"",$E39&lt;&gt;"Full Refresher"),'G3 MT Reading Scoresheet'!$P42,"")</f>
        <v/>
      </c>
      <c r="J39" s="144" t="str">
        <f>'G3 MT Reading Scoresheet'!$U42</f>
        <v/>
      </c>
      <c r="K39" s="145" t="str">
        <f>'G3 FIL Reading Scoresheet'!$J42</f>
        <v/>
      </c>
      <c r="L39" s="146" t="str">
        <f>IF($C39&lt;&gt;"",'G3 FIL Reading Scoresheet'!$I42/30,"")</f>
        <v/>
      </c>
      <c r="M39" s="146" t="str">
        <f>IF(AND($C39&lt;&gt;"",$K39&lt;&gt;"Full Refresher"),'G3 MT Reading Scoresheet'!$Q42,"")</f>
        <v/>
      </c>
      <c r="N39" s="147" t="str">
        <f>IF(AND($C39&lt;&gt;"",$K39&lt;&gt;"Full Refresher"),'G3 MT Reading Scoresheet'!$R42/7,"")</f>
        <v/>
      </c>
      <c r="O39" s="148" t="str">
        <f>IF(AND($C39&lt;&gt;"",$K39&lt;&gt;"Full Refresher"),'G3 FIL Reading Scoresheet'!$P42,"")</f>
        <v/>
      </c>
      <c r="P39" s="149" t="str">
        <f>'G3 FIL Reading Scoresheet'!$U42</f>
        <v/>
      </c>
      <c r="Q39" s="158" t="str">
        <f>'G3 ENG Reading Scoresheet'!$I42</f>
        <v/>
      </c>
      <c r="R39" s="159" t="str">
        <f>IF($C39&lt;&gt;"",'G3 ENG Reading Scoresheet'!$H42/20,"")</f>
        <v/>
      </c>
      <c r="S39" s="159" t="str">
        <f>IF(AND($C39&lt;&gt;"",$Q39&lt;&gt;"Full Refresher"),'G3 ENG Reading Scoresheet'!$P42,"")</f>
        <v/>
      </c>
      <c r="T39" s="160" t="str">
        <f>IF(AND($C39&lt;&gt;"",$Q39&lt;&gt;"Full Refresher"),'G3 ENG Reading Scoresheet'!$Q42/6,"")</f>
        <v/>
      </c>
      <c r="U39" s="161" t="str">
        <f>IF(AND($C39&lt;&gt;"",$O39&lt;&gt;"Full Refresher"),'G3 ENG Reading Scoresheet'!$O42,"")</f>
        <v/>
      </c>
      <c r="V39" s="162" t="str">
        <f>'G3 ENG Reading Scoresheet'!$T42</f>
        <v/>
      </c>
      <c r="W39" s="163" t="str">
        <f>CONCATENATE(IF(ISBLANK('G3 MT Reading Scoresheet'!V42),"",CONCATENATE("MT:",TRIM('G3 MT Reading Scoresheet'!V42)))," ",IF(ISBLANK('G3 FIL Reading Scoresheet'!V42),"",CONCATENATE("FIL:",TRIM('G3 FIL Reading Scoresheet'!V42)))," ",IF(ISBLANK('G3 ENG Reading Scoresheet'!U42),"",CONCATENATE("ENG:",TRIM('G3 ENG Reading Scoresheet'!U42))))</f>
        <v/>
      </c>
    </row>
    <row r="40" spans="1:23">
      <c r="A40" s="119">
        <v>33</v>
      </c>
      <c r="B40" s="133" t="str">
        <f>IF('G3 MT Reading Scoresheet'!B43&lt;&gt;"",'G3 MT Reading Scoresheet'!B43,"")</f>
        <v/>
      </c>
      <c r="C40" s="134" t="str">
        <f>IF('G3 MT Reading Scoresheet'!C43&lt;&gt;"",'G3 MT Reading Scoresheet'!C43,"")</f>
        <v/>
      </c>
      <c r="D40" s="135" t="str">
        <f>IF('G3 MT Reading Scoresheet'!D43&lt;&gt;"",'G3 MT Reading Scoresheet'!D43,"")</f>
        <v/>
      </c>
      <c r="E40" s="130" t="str">
        <f>'G3 MT Reading Scoresheet'!$J43</f>
        <v/>
      </c>
      <c r="F40" s="131" t="str">
        <f>IF(C40&lt;&gt;"",'G3 MT Reading Scoresheet'!$I43/30,"")</f>
        <v/>
      </c>
      <c r="G40" s="131" t="str">
        <f>IF(AND($C40&lt;&gt;"",$E40&lt;&gt;"Full Refresher"),'G3 MT Reading Scoresheet'!$Q43,"")</f>
        <v/>
      </c>
      <c r="H40" s="132" t="str">
        <f>IF(AND(C40&lt;&gt;"",E40&lt;&gt;"Full Refresher"),'G3 MT Reading Scoresheet'!$R43/7,"")</f>
        <v/>
      </c>
      <c r="I40" s="143" t="str">
        <f>IF(AND($C40&lt;&gt;"",$E40&lt;&gt;"Full Refresher"),'G3 MT Reading Scoresheet'!$P43,"")</f>
        <v/>
      </c>
      <c r="J40" s="144" t="str">
        <f>'G3 MT Reading Scoresheet'!$U43</f>
        <v/>
      </c>
      <c r="K40" s="145" t="str">
        <f>'G3 FIL Reading Scoresheet'!$J43</f>
        <v/>
      </c>
      <c r="L40" s="146" t="str">
        <f>IF($C40&lt;&gt;"",'G3 FIL Reading Scoresheet'!$I43/30,"")</f>
        <v/>
      </c>
      <c r="M40" s="146" t="str">
        <f>IF(AND($C40&lt;&gt;"",$K40&lt;&gt;"Full Refresher"),'G3 MT Reading Scoresheet'!$Q43,"")</f>
        <v/>
      </c>
      <c r="N40" s="147" t="str">
        <f>IF(AND($C40&lt;&gt;"",$K40&lt;&gt;"Full Refresher"),'G3 MT Reading Scoresheet'!$R43/7,"")</f>
        <v/>
      </c>
      <c r="O40" s="148" t="str">
        <f>IF(AND($C40&lt;&gt;"",$K40&lt;&gt;"Full Refresher"),'G3 FIL Reading Scoresheet'!$P43,"")</f>
        <v/>
      </c>
      <c r="P40" s="149" t="str">
        <f>'G3 FIL Reading Scoresheet'!$U43</f>
        <v/>
      </c>
      <c r="Q40" s="158" t="str">
        <f>'G3 ENG Reading Scoresheet'!$I43</f>
        <v/>
      </c>
      <c r="R40" s="159" t="str">
        <f>IF($C40&lt;&gt;"",'G3 ENG Reading Scoresheet'!$H43/20,"")</f>
        <v/>
      </c>
      <c r="S40" s="159" t="str">
        <f>IF(AND($C40&lt;&gt;"",$Q40&lt;&gt;"Full Refresher"),'G3 ENG Reading Scoresheet'!$P43,"")</f>
        <v/>
      </c>
      <c r="T40" s="160" t="str">
        <f>IF(AND($C40&lt;&gt;"",$Q40&lt;&gt;"Full Refresher"),'G3 ENG Reading Scoresheet'!$Q43/6,"")</f>
        <v/>
      </c>
      <c r="U40" s="161" t="str">
        <f>IF(AND($C40&lt;&gt;"",$O40&lt;&gt;"Full Refresher"),'G3 ENG Reading Scoresheet'!$O43,"")</f>
        <v/>
      </c>
      <c r="V40" s="162" t="str">
        <f>'G3 ENG Reading Scoresheet'!$T43</f>
        <v/>
      </c>
      <c r="W40" s="164" t="str">
        <f>CONCATENATE(IF(ISBLANK('G3 MT Reading Scoresheet'!V43),"",CONCATENATE("MT:",TRIM('G3 MT Reading Scoresheet'!V43)))," ",IF(ISBLANK('G3 FIL Reading Scoresheet'!V43),"",CONCATENATE("FIL:",TRIM('G3 FIL Reading Scoresheet'!V43)))," ",IF(ISBLANK('G3 ENG Reading Scoresheet'!U43),"",CONCATENATE("ENG:",TRIM('G3 ENG Reading Scoresheet'!U43))))</f>
        <v/>
      </c>
    </row>
    <row r="41" spans="1:23">
      <c r="A41" s="126">
        <v>34</v>
      </c>
      <c r="B41" s="127" t="str">
        <f>IF('G3 MT Reading Scoresheet'!B44&lt;&gt;"",'G3 MT Reading Scoresheet'!B44,"")</f>
        <v/>
      </c>
      <c r="C41" s="128" t="str">
        <f>IF('G3 MT Reading Scoresheet'!C44&lt;&gt;"",'G3 MT Reading Scoresheet'!C44,"")</f>
        <v/>
      </c>
      <c r="D41" s="129" t="str">
        <f>IF('G3 MT Reading Scoresheet'!D44&lt;&gt;"",'G3 MT Reading Scoresheet'!D44,"")</f>
        <v/>
      </c>
      <c r="E41" s="130" t="str">
        <f>'G3 MT Reading Scoresheet'!$J44</f>
        <v/>
      </c>
      <c r="F41" s="131" t="str">
        <f>IF(C41&lt;&gt;"",'G3 MT Reading Scoresheet'!$I44/30,"")</f>
        <v/>
      </c>
      <c r="G41" s="131" t="str">
        <f>IF(AND($C41&lt;&gt;"",$E41&lt;&gt;"Full Refresher"),'G3 MT Reading Scoresheet'!$Q44,"")</f>
        <v/>
      </c>
      <c r="H41" s="132" t="str">
        <f>IF(AND(C41&lt;&gt;"",E41&lt;&gt;"Full Refresher"),'G3 MT Reading Scoresheet'!$R44/7,"")</f>
        <v/>
      </c>
      <c r="I41" s="143" t="str">
        <f>IF(AND($C41&lt;&gt;"",$E41&lt;&gt;"Full Refresher"),'G3 MT Reading Scoresheet'!$P44,"")</f>
        <v/>
      </c>
      <c r="J41" s="144" t="str">
        <f>'G3 MT Reading Scoresheet'!$U44</f>
        <v/>
      </c>
      <c r="K41" s="145" t="str">
        <f>'G3 FIL Reading Scoresheet'!$J44</f>
        <v/>
      </c>
      <c r="L41" s="146" t="str">
        <f>IF($C41&lt;&gt;"",'G3 FIL Reading Scoresheet'!$I44/30,"")</f>
        <v/>
      </c>
      <c r="M41" s="146" t="str">
        <f>IF(AND($C41&lt;&gt;"",$K41&lt;&gt;"Full Refresher"),'G3 MT Reading Scoresheet'!$Q44,"")</f>
        <v/>
      </c>
      <c r="N41" s="147" t="str">
        <f>IF(AND($C41&lt;&gt;"",$K41&lt;&gt;"Full Refresher"),'G3 MT Reading Scoresheet'!$R44/7,"")</f>
        <v/>
      </c>
      <c r="O41" s="148" t="str">
        <f>IF(AND($C41&lt;&gt;"",$K41&lt;&gt;"Full Refresher"),'G3 FIL Reading Scoresheet'!$P44,"")</f>
        <v/>
      </c>
      <c r="P41" s="149" t="str">
        <f>'G3 FIL Reading Scoresheet'!$U44</f>
        <v/>
      </c>
      <c r="Q41" s="158" t="str">
        <f>'G3 ENG Reading Scoresheet'!$I44</f>
        <v/>
      </c>
      <c r="R41" s="159" t="str">
        <f>IF($C41&lt;&gt;"",'G3 ENG Reading Scoresheet'!$H44/20,"")</f>
        <v/>
      </c>
      <c r="S41" s="159" t="str">
        <f>IF(AND($C41&lt;&gt;"",$Q41&lt;&gt;"Full Refresher"),'G3 ENG Reading Scoresheet'!$P44,"")</f>
        <v/>
      </c>
      <c r="T41" s="160" t="str">
        <f>IF(AND($C41&lt;&gt;"",$Q41&lt;&gt;"Full Refresher"),'G3 ENG Reading Scoresheet'!$Q44/6,"")</f>
        <v/>
      </c>
      <c r="U41" s="161" t="str">
        <f>IF(AND($C41&lt;&gt;"",$O41&lt;&gt;"Full Refresher"),'G3 ENG Reading Scoresheet'!$O44,"")</f>
        <v/>
      </c>
      <c r="V41" s="162" t="str">
        <f>'G3 ENG Reading Scoresheet'!$T44</f>
        <v/>
      </c>
      <c r="W41" s="163" t="str">
        <f>CONCATENATE(IF(ISBLANK('G3 MT Reading Scoresheet'!V44),"",CONCATENATE("MT:",TRIM('G3 MT Reading Scoresheet'!V44)))," ",IF(ISBLANK('G3 FIL Reading Scoresheet'!V44),"",CONCATENATE("FIL:",TRIM('G3 FIL Reading Scoresheet'!V44)))," ",IF(ISBLANK('G3 ENG Reading Scoresheet'!U44),"",CONCATENATE("ENG:",TRIM('G3 ENG Reading Scoresheet'!U44))))</f>
        <v/>
      </c>
    </row>
    <row r="42" spans="1:23">
      <c r="A42" s="119">
        <v>35</v>
      </c>
      <c r="B42" s="133" t="str">
        <f>IF('G3 MT Reading Scoresheet'!B45&lt;&gt;"",'G3 MT Reading Scoresheet'!B45,"")</f>
        <v/>
      </c>
      <c r="C42" s="134" t="str">
        <f>IF('G3 MT Reading Scoresheet'!C45&lt;&gt;"",'G3 MT Reading Scoresheet'!C45,"")</f>
        <v/>
      </c>
      <c r="D42" s="135" t="str">
        <f>IF('G3 MT Reading Scoresheet'!D45&lt;&gt;"",'G3 MT Reading Scoresheet'!D45,"")</f>
        <v/>
      </c>
      <c r="E42" s="130" t="str">
        <f>'G3 MT Reading Scoresheet'!$J45</f>
        <v/>
      </c>
      <c r="F42" s="131" t="str">
        <f>IF(C42&lt;&gt;"",'G3 MT Reading Scoresheet'!$I45/30,"")</f>
        <v/>
      </c>
      <c r="G42" s="131" t="str">
        <f>IF(AND($C42&lt;&gt;"",$E42&lt;&gt;"Full Refresher"),'G3 MT Reading Scoresheet'!$Q45,"")</f>
        <v/>
      </c>
      <c r="H42" s="132" t="str">
        <f>IF(AND(C42&lt;&gt;"",E42&lt;&gt;"Full Refresher"),'G3 MT Reading Scoresheet'!$R45/7,"")</f>
        <v/>
      </c>
      <c r="I42" s="143" t="str">
        <f>IF(AND($C42&lt;&gt;"",$E42&lt;&gt;"Full Refresher"),'G3 MT Reading Scoresheet'!$P45,"")</f>
        <v/>
      </c>
      <c r="J42" s="144" t="str">
        <f>'G3 MT Reading Scoresheet'!$U45</f>
        <v/>
      </c>
      <c r="K42" s="145" t="str">
        <f>'G3 FIL Reading Scoresheet'!$J45</f>
        <v/>
      </c>
      <c r="L42" s="146" t="str">
        <f>IF($C42&lt;&gt;"",'G3 FIL Reading Scoresheet'!$I45/30,"")</f>
        <v/>
      </c>
      <c r="M42" s="146" t="str">
        <f>IF(AND($C42&lt;&gt;"",$K42&lt;&gt;"Full Refresher"),'G3 MT Reading Scoresheet'!$Q45,"")</f>
        <v/>
      </c>
      <c r="N42" s="147" t="str">
        <f>IF(AND($C42&lt;&gt;"",$K42&lt;&gt;"Full Refresher"),'G3 MT Reading Scoresheet'!$R45/7,"")</f>
        <v/>
      </c>
      <c r="O42" s="148" t="str">
        <f>IF(AND($C42&lt;&gt;"",$K42&lt;&gt;"Full Refresher"),'G3 FIL Reading Scoresheet'!$P45,"")</f>
        <v/>
      </c>
      <c r="P42" s="149" t="str">
        <f>'G3 FIL Reading Scoresheet'!$U45</f>
        <v/>
      </c>
      <c r="Q42" s="158" t="str">
        <f>'G3 ENG Reading Scoresheet'!$I45</f>
        <v/>
      </c>
      <c r="R42" s="159" t="str">
        <f>IF($C42&lt;&gt;"",'G3 ENG Reading Scoresheet'!$H45/20,"")</f>
        <v/>
      </c>
      <c r="S42" s="159" t="str">
        <f>IF(AND($C42&lt;&gt;"",$Q42&lt;&gt;"Full Refresher"),'G3 ENG Reading Scoresheet'!$P45,"")</f>
        <v/>
      </c>
      <c r="T42" s="160" t="str">
        <f>IF(AND($C42&lt;&gt;"",$Q42&lt;&gt;"Full Refresher"),'G3 ENG Reading Scoresheet'!$Q45/6,"")</f>
        <v/>
      </c>
      <c r="U42" s="161" t="str">
        <f>IF(AND($C42&lt;&gt;"",$O42&lt;&gt;"Full Refresher"),'G3 ENG Reading Scoresheet'!$O45,"")</f>
        <v/>
      </c>
      <c r="V42" s="162" t="str">
        <f>'G3 ENG Reading Scoresheet'!$T45</f>
        <v/>
      </c>
      <c r="W42" s="164" t="str">
        <f>CONCATENATE(IF(ISBLANK('G3 MT Reading Scoresheet'!V45),"",CONCATENATE("MT:",TRIM('G3 MT Reading Scoresheet'!V45)))," ",IF(ISBLANK('G3 FIL Reading Scoresheet'!V45),"",CONCATENATE("FIL:",TRIM('G3 FIL Reading Scoresheet'!V45)))," ",IF(ISBLANK('G3 ENG Reading Scoresheet'!U45),"",CONCATENATE("ENG:",TRIM('G3 ENG Reading Scoresheet'!U45))))</f>
        <v/>
      </c>
    </row>
    <row r="43" spans="1:23">
      <c r="A43" s="126">
        <v>36</v>
      </c>
      <c r="B43" s="127" t="str">
        <f>IF('G3 MT Reading Scoresheet'!B46&lt;&gt;"",'G3 MT Reading Scoresheet'!B46,"")</f>
        <v/>
      </c>
      <c r="C43" s="128" t="str">
        <f>IF('G3 MT Reading Scoresheet'!C46&lt;&gt;"",'G3 MT Reading Scoresheet'!C46,"")</f>
        <v/>
      </c>
      <c r="D43" s="129" t="str">
        <f>IF('G3 MT Reading Scoresheet'!D46&lt;&gt;"",'G3 MT Reading Scoresheet'!D46,"")</f>
        <v/>
      </c>
      <c r="E43" s="130" t="str">
        <f>'G3 MT Reading Scoresheet'!$J46</f>
        <v/>
      </c>
      <c r="F43" s="131" t="str">
        <f>IF(C43&lt;&gt;"",'G3 MT Reading Scoresheet'!$I46/30,"")</f>
        <v/>
      </c>
      <c r="G43" s="131" t="str">
        <f>IF(AND($C43&lt;&gt;"",$E43&lt;&gt;"Full Refresher"),'G3 MT Reading Scoresheet'!$Q46,"")</f>
        <v/>
      </c>
      <c r="H43" s="132" t="str">
        <f>IF(AND(C43&lt;&gt;"",E43&lt;&gt;"Full Refresher"),'G3 MT Reading Scoresheet'!$R46/7,"")</f>
        <v/>
      </c>
      <c r="I43" s="143" t="str">
        <f>IF(AND($C43&lt;&gt;"",$E43&lt;&gt;"Full Refresher"),'G3 MT Reading Scoresheet'!$P46,"")</f>
        <v/>
      </c>
      <c r="J43" s="144" t="str">
        <f>'G3 MT Reading Scoresheet'!$U46</f>
        <v/>
      </c>
      <c r="K43" s="145" t="str">
        <f>'G3 FIL Reading Scoresheet'!$J46</f>
        <v/>
      </c>
      <c r="L43" s="146" t="str">
        <f>IF($C43&lt;&gt;"",'G3 FIL Reading Scoresheet'!$I46/30,"")</f>
        <v/>
      </c>
      <c r="M43" s="146" t="str">
        <f>IF(AND($C43&lt;&gt;"",$K43&lt;&gt;"Full Refresher"),'G3 MT Reading Scoresheet'!$Q46,"")</f>
        <v/>
      </c>
      <c r="N43" s="147" t="str">
        <f>IF(AND($C43&lt;&gt;"",$K43&lt;&gt;"Full Refresher"),'G3 MT Reading Scoresheet'!$R46/7,"")</f>
        <v/>
      </c>
      <c r="O43" s="148" t="str">
        <f>IF(AND($C43&lt;&gt;"",$K43&lt;&gt;"Full Refresher"),'G3 FIL Reading Scoresheet'!$P46,"")</f>
        <v/>
      </c>
      <c r="P43" s="149" t="str">
        <f>'G3 FIL Reading Scoresheet'!$U46</f>
        <v/>
      </c>
      <c r="Q43" s="158" t="str">
        <f>'G3 ENG Reading Scoresheet'!$I46</f>
        <v/>
      </c>
      <c r="R43" s="159" t="str">
        <f>IF($C43&lt;&gt;"",'G3 ENG Reading Scoresheet'!$H46/20,"")</f>
        <v/>
      </c>
      <c r="S43" s="159" t="str">
        <f>IF(AND($C43&lt;&gt;"",$Q43&lt;&gt;"Full Refresher"),'G3 ENG Reading Scoresheet'!$P46,"")</f>
        <v/>
      </c>
      <c r="T43" s="160" t="str">
        <f>IF(AND($C43&lt;&gt;"",$Q43&lt;&gt;"Full Refresher"),'G3 ENG Reading Scoresheet'!$Q46/6,"")</f>
        <v/>
      </c>
      <c r="U43" s="161" t="str">
        <f>IF(AND($C43&lt;&gt;"",$O43&lt;&gt;"Full Refresher"),'G3 ENG Reading Scoresheet'!$O46,"")</f>
        <v/>
      </c>
      <c r="V43" s="162" t="str">
        <f>'G3 ENG Reading Scoresheet'!$T46</f>
        <v/>
      </c>
      <c r="W43" s="163" t="str">
        <f>CONCATENATE(IF(ISBLANK('G3 MT Reading Scoresheet'!V46),"",CONCATENATE("MT:",TRIM('G3 MT Reading Scoresheet'!V46)))," ",IF(ISBLANK('G3 FIL Reading Scoresheet'!V46),"",CONCATENATE("FIL:",TRIM('G3 FIL Reading Scoresheet'!V46)))," ",IF(ISBLANK('G3 ENG Reading Scoresheet'!U46),"",CONCATENATE("ENG:",TRIM('G3 ENG Reading Scoresheet'!U46))))</f>
        <v/>
      </c>
    </row>
    <row r="44" spans="1:23">
      <c r="A44" s="119">
        <v>37</v>
      </c>
      <c r="B44" s="133" t="str">
        <f>IF('G3 MT Reading Scoresheet'!B47&lt;&gt;"",'G3 MT Reading Scoresheet'!B47,"")</f>
        <v/>
      </c>
      <c r="C44" s="134" t="str">
        <f>IF('G3 MT Reading Scoresheet'!C47&lt;&gt;"",'G3 MT Reading Scoresheet'!C47,"")</f>
        <v/>
      </c>
      <c r="D44" s="135" t="str">
        <f>IF('G3 MT Reading Scoresheet'!D47&lt;&gt;"",'G3 MT Reading Scoresheet'!D47,"")</f>
        <v/>
      </c>
      <c r="E44" s="130" t="str">
        <f>'G3 MT Reading Scoresheet'!$J47</f>
        <v/>
      </c>
      <c r="F44" s="131" t="str">
        <f>IF(C44&lt;&gt;"",'G3 MT Reading Scoresheet'!$I47/30,"")</f>
        <v/>
      </c>
      <c r="G44" s="131" t="str">
        <f>IF(AND($C44&lt;&gt;"",$E44&lt;&gt;"Full Refresher"),'G3 MT Reading Scoresheet'!$Q47,"")</f>
        <v/>
      </c>
      <c r="H44" s="132" t="str">
        <f>IF(AND(C44&lt;&gt;"",E44&lt;&gt;"Full Refresher"),'G3 MT Reading Scoresheet'!$R47/7,"")</f>
        <v/>
      </c>
      <c r="I44" s="143" t="str">
        <f>IF(AND($C44&lt;&gt;"",$E44&lt;&gt;"Full Refresher"),'G3 MT Reading Scoresheet'!$P47,"")</f>
        <v/>
      </c>
      <c r="J44" s="144" t="str">
        <f>'G3 MT Reading Scoresheet'!$U47</f>
        <v/>
      </c>
      <c r="K44" s="145" t="str">
        <f>'G3 FIL Reading Scoresheet'!$J47</f>
        <v/>
      </c>
      <c r="L44" s="146" t="str">
        <f>IF($C44&lt;&gt;"",'G3 FIL Reading Scoresheet'!$I47/30,"")</f>
        <v/>
      </c>
      <c r="M44" s="146" t="str">
        <f>IF(AND($C44&lt;&gt;"",$K44&lt;&gt;"Full Refresher"),'G3 MT Reading Scoresheet'!$Q47,"")</f>
        <v/>
      </c>
      <c r="N44" s="147" t="str">
        <f>IF(AND($C44&lt;&gt;"",$K44&lt;&gt;"Full Refresher"),'G3 MT Reading Scoresheet'!$R47/7,"")</f>
        <v/>
      </c>
      <c r="O44" s="148" t="str">
        <f>IF(AND($C44&lt;&gt;"",$K44&lt;&gt;"Full Refresher"),'G3 FIL Reading Scoresheet'!$P47,"")</f>
        <v/>
      </c>
      <c r="P44" s="149" t="str">
        <f>'G3 FIL Reading Scoresheet'!$U47</f>
        <v/>
      </c>
      <c r="Q44" s="158" t="str">
        <f>'G3 ENG Reading Scoresheet'!$I47</f>
        <v/>
      </c>
      <c r="R44" s="159" t="str">
        <f>IF($C44&lt;&gt;"",'G3 ENG Reading Scoresheet'!$H47/20,"")</f>
        <v/>
      </c>
      <c r="S44" s="159" t="str">
        <f>IF(AND($C44&lt;&gt;"",$Q44&lt;&gt;"Full Refresher"),'G3 ENG Reading Scoresheet'!$P47,"")</f>
        <v/>
      </c>
      <c r="T44" s="160" t="str">
        <f>IF(AND($C44&lt;&gt;"",$Q44&lt;&gt;"Full Refresher"),'G3 ENG Reading Scoresheet'!$Q47/6,"")</f>
        <v/>
      </c>
      <c r="U44" s="161" t="str">
        <f>IF(AND($C44&lt;&gt;"",$O44&lt;&gt;"Full Refresher"),'G3 ENG Reading Scoresheet'!$O47,"")</f>
        <v/>
      </c>
      <c r="V44" s="162" t="str">
        <f>'G3 ENG Reading Scoresheet'!$T47</f>
        <v/>
      </c>
      <c r="W44" s="164" t="str">
        <f>CONCATENATE(IF(ISBLANK('G3 MT Reading Scoresheet'!V47),"",CONCATENATE("MT:",TRIM('G3 MT Reading Scoresheet'!V47)))," ",IF(ISBLANK('G3 FIL Reading Scoresheet'!V47),"",CONCATENATE("FIL:",TRIM('G3 FIL Reading Scoresheet'!V47)))," ",IF(ISBLANK('G3 ENG Reading Scoresheet'!U47),"",CONCATENATE("ENG:",TRIM('G3 ENG Reading Scoresheet'!U47))))</f>
        <v/>
      </c>
    </row>
    <row r="45" spans="1:23">
      <c r="A45" s="126">
        <v>38</v>
      </c>
      <c r="B45" s="127" t="str">
        <f>IF('G3 MT Reading Scoresheet'!B48&lt;&gt;"",'G3 MT Reading Scoresheet'!B48,"")</f>
        <v/>
      </c>
      <c r="C45" s="128" t="str">
        <f>IF('G3 MT Reading Scoresheet'!C48&lt;&gt;"",'G3 MT Reading Scoresheet'!C48,"")</f>
        <v/>
      </c>
      <c r="D45" s="129" t="str">
        <f>IF('G3 MT Reading Scoresheet'!D48&lt;&gt;"",'G3 MT Reading Scoresheet'!D48,"")</f>
        <v/>
      </c>
      <c r="E45" s="130" t="str">
        <f>'G3 MT Reading Scoresheet'!$J48</f>
        <v/>
      </c>
      <c r="F45" s="131" t="str">
        <f>IF(C45&lt;&gt;"",'G3 MT Reading Scoresheet'!$I48/30,"")</f>
        <v/>
      </c>
      <c r="G45" s="131" t="str">
        <f>IF(AND($C45&lt;&gt;"",$E45&lt;&gt;"Full Refresher"),'G3 MT Reading Scoresheet'!$Q48,"")</f>
        <v/>
      </c>
      <c r="H45" s="132" t="str">
        <f>IF(AND(C45&lt;&gt;"",E45&lt;&gt;"Full Refresher"),'G3 MT Reading Scoresheet'!$R48/7,"")</f>
        <v/>
      </c>
      <c r="I45" s="143" t="str">
        <f>IF(AND($C45&lt;&gt;"",$E45&lt;&gt;"Full Refresher"),'G3 MT Reading Scoresheet'!$P48,"")</f>
        <v/>
      </c>
      <c r="J45" s="144" t="str">
        <f>'G3 MT Reading Scoresheet'!$U48</f>
        <v/>
      </c>
      <c r="K45" s="145" t="str">
        <f>'G3 FIL Reading Scoresheet'!$J48</f>
        <v/>
      </c>
      <c r="L45" s="146" t="str">
        <f>IF($C45&lt;&gt;"",'G3 FIL Reading Scoresheet'!$I48/30,"")</f>
        <v/>
      </c>
      <c r="M45" s="146" t="str">
        <f>IF(AND($C45&lt;&gt;"",$K45&lt;&gt;"Full Refresher"),'G3 MT Reading Scoresheet'!$Q48,"")</f>
        <v/>
      </c>
      <c r="N45" s="147" t="str">
        <f>IF(AND($C45&lt;&gt;"",$K45&lt;&gt;"Full Refresher"),'G3 MT Reading Scoresheet'!$R48/7,"")</f>
        <v/>
      </c>
      <c r="O45" s="148" t="str">
        <f>IF(AND($C45&lt;&gt;"",$K45&lt;&gt;"Full Refresher"),'G3 FIL Reading Scoresheet'!$P48,"")</f>
        <v/>
      </c>
      <c r="P45" s="149" t="str">
        <f>'G3 FIL Reading Scoresheet'!$U48</f>
        <v/>
      </c>
      <c r="Q45" s="158" t="str">
        <f>'G3 ENG Reading Scoresheet'!$I48</f>
        <v/>
      </c>
      <c r="R45" s="159" t="str">
        <f>IF($C45&lt;&gt;"",'G3 ENG Reading Scoresheet'!$H48/20,"")</f>
        <v/>
      </c>
      <c r="S45" s="159" t="str">
        <f>IF(AND($C45&lt;&gt;"",$Q45&lt;&gt;"Full Refresher"),'G3 ENG Reading Scoresheet'!$P48,"")</f>
        <v/>
      </c>
      <c r="T45" s="160" t="str">
        <f>IF(AND($C45&lt;&gt;"",$Q45&lt;&gt;"Full Refresher"),'G3 ENG Reading Scoresheet'!$Q48/6,"")</f>
        <v/>
      </c>
      <c r="U45" s="161" t="str">
        <f>IF(AND($C45&lt;&gt;"",$O45&lt;&gt;"Full Refresher"),'G3 ENG Reading Scoresheet'!$O48,"")</f>
        <v/>
      </c>
      <c r="V45" s="162" t="str">
        <f>'G3 ENG Reading Scoresheet'!$T48</f>
        <v/>
      </c>
      <c r="W45" s="163" t="str">
        <f>CONCATENATE(IF(ISBLANK('G3 MT Reading Scoresheet'!V48),"",CONCATENATE("MT:",TRIM('G3 MT Reading Scoresheet'!V48)))," ",IF(ISBLANK('G3 FIL Reading Scoresheet'!V48),"",CONCATENATE("FIL:",TRIM('G3 FIL Reading Scoresheet'!V48)))," ",IF(ISBLANK('G3 ENG Reading Scoresheet'!U48),"",CONCATENATE("ENG:",TRIM('G3 ENG Reading Scoresheet'!U48))))</f>
        <v/>
      </c>
    </row>
    <row r="46" spans="1:23">
      <c r="A46" s="119">
        <v>39</v>
      </c>
      <c r="B46" s="133" t="str">
        <f>IF('G3 MT Reading Scoresheet'!B49&lt;&gt;"",'G3 MT Reading Scoresheet'!B49,"")</f>
        <v/>
      </c>
      <c r="C46" s="134" t="str">
        <f>IF('G3 MT Reading Scoresheet'!C49&lt;&gt;"",'G3 MT Reading Scoresheet'!C49,"")</f>
        <v/>
      </c>
      <c r="D46" s="135" t="str">
        <f>IF('G3 MT Reading Scoresheet'!D49&lt;&gt;"",'G3 MT Reading Scoresheet'!D49,"")</f>
        <v/>
      </c>
      <c r="E46" s="130" t="str">
        <f>'G3 MT Reading Scoresheet'!$J49</f>
        <v/>
      </c>
      <c r="F46" s="131" t="str">
        <f>IF(C46&lt;&gt;"",'G3 MT Reading Scoresheet'!$I49/30,"")</f>
        <v/>
      </c>
      <c r="G46" s="131" t="str">
        <f>IF(AND($C46&lt;&gt;"",$E46&lt;&gt;"Full Refresher"),'G3 MT Reading Scoresheet'!$Q49,"")</f>
        <v/>
      </c>
      <c r="H46" s="132" t="str">
        <f>IF(AND(C46&lt;&gt;"",E46&lt;&gt;"Full Refresher"),'G3 MT Reading Scoresheet'!$R49/7,"")</f>
        <v/>
      </c>
      <c r="I46" s="143" t="str">
        <f>IF(AND($C46&lt;&gt;"",$E46&lt;&gt;"Full Refresher"),'G3 MT Reading Scoresheet'!$P49,"")</f>
        <v/>
      </c>
      <c r="J46" s="144" t="str">
        <f>'G3 MT Reading Scoresheet'!$U49</f>
        <v/>
      </c>
      <c r="K46" s="145" t="str">
        <f>'G3 FIL Reading Scoresheet'!$J49</f>
        <v/>
      </c>
      <c r="L46" s="146" t="str">
        <f>IF($C46&lt;&gt;"",'G3 FIL Reading Scoresheet'!$I49/30,"")</f>
        <v/>
      </c>
      <c r="M46" s="146" t="str">
        <f>IF(AND($C46&lt;&gt;"",$K46&lt;&gt;"Full Refresher"),'G3 MT Reading Scoresheet'!$Q49,"")</f>
        <v/>
      </c>
      <c r="N46" s="147" t="str">
        <f>IF(AND($C46&lt;&gt;"",$K46&lt;&gt;"Full Refresher"),'G3 MT Reading Scoresheet'!$R49/7,"")</f>
        <v/>
      </c>
      <c r="O46" s="148" t="str">
        <f>IF(AND($C46&lt;&gt;"",$K46&lt;&gt;"Full Refresher"),'G3 FIL Reading Scoresheet'!$P49,"")</f>
        <v/>
      </c>
      <c r="P46" s="149" t="str">
        <f>'G3 FIL Reading Scoresheet'!$U49</f>
        <v/>
      </c>
      <c r="Q46" s="158" t="str">
        <f>'G3 ENG Reading Scoresheet'!$I49</f>
        <v/>
      </c>
      <c r="R46" s="159" t="str">
        <f>IF($C46&lt;&gt;"",'G3 ENG Reading Scoresheet'!$H49/20,"")</f>
        <v/>
      </c>
      <c r="S46" s="159" t="str">
        <f>IF(AND($C46&lt;&gt;"",$Q46&lt;&gt;"Full Refresher"),'G3 ENG Reading Scoresheet'!$P49,"")</f>
        <v/>
      </c>
      <c r="T46" s="160" t="str">
        <f>IF(AND($C46&lt;&gt;"",$Q46&lt;&gt;"Full Refresher"),'G3 ENG Reading Scoresheet'!$Q49/6,"")</f>
        <v/>
      </c>
      <c r="U46" s="161" t="str">
        <f>IF(AND($C46&lt;&gt;"",$O46&lt;&gt;"Full Refresher"),'G3 ENG Reading Scoresheet'!$O49,"")</f>
        <v/>
      </c>
      <c r="V46" s="162" t="str">
        <f>'G3 ENG Reading Scoresheet'!$T49</f>
        <v/>
      </c>
      <c r="W46" s="164" t="str">
        <f>CONCATENATE(IF(ISBLANK('G3 MT Reading Scoresheet'!V49),"",CONCATENATE("MT:",TRIM('G3 MT Reading Scoresheet'!V49)))," ",IF(ISBLANK('G3 FIL Reading Scoresheet'!V49),"",CONCATENATE("FIL:",TRIM('G3 FIL Reading Scoresheet'!V49)))," ",IF(ISBLANK('G3 ENG Reading Scoresheet'!U49),"",CONCATENATE("ENG:",TRIM('G3 ENG Reading Scoresheet'!U49))))</f>
        <v/>
      </c>
    </row>
    <row r="47" spans="1:23">
      <c r="A47" s="126">
        <v>40</v>
      </c>
      <c r="B47" s="127" t="str">
        <f>IF('G3 MT Reading Scoresheet'!B50&lt;&gt;"",'G3 MT Reading Scoresheet'!B50,"")</f>
        <v/>
      </c>
      <c r="C47" s="128" t="str">
        <f>IF('G3 MT Reading Scoresheet'!C50&lt;&gt;"",'G3 MT Reading Scoresheet'!C50,"")</f>
        <v/>
      </c>
      <c r="D47" s="129" t="str">
        <f>IF('G3 MT Reading Scoresheet'!D50&lt;&gt;"",'G3 MT Reading Scoresheet'!D50,"")</f>
        <v/>
      </c>
      <c r="E47" s="130" t="str">
        <f>'G3 MT Reading Scoresheet'!$J50</f>
        <v/>
      </c>
      <c r="F47" s="131" t="str">
        <f>IF(C47&lt;&gt;"",'G3 MT Reading Scoresheet'!$I50/30,"")</f>
        <v/>
      </c>
      <c r="G47" s="131" t="str">
        <f>IF(AND($C47&lt;&gt;"",$E47&lt;&gt;"Full Refresher"),'G3 MT Reading Scoresheet'!$Q50,"")</f>
        <v/>
      </c>
      <c r="H47" s="132" t="str">
        <f>IF(AND(C47&lt;&gt;"",E47&lt;&gt;"Full Refresher"),'G3 MT Reading Scoresheet'!$R50/7,"")</f>
        <v/>
      </c>
      <c r="I47" s="143" t="str">
        <f>IF(AND($C47&lt;&gt;"",$E47&lt;&gt;"Full Refresher"),'G3 MT Reading Scoresheet'!$P50,"")</f>
        <v/>
      </c>
      <c r="J47" s="144" t="str">
        <f>'G3 MT Reading Scoresheet'!$U50</f>
        <v/>
      </c>
      <c r="K47" s="145" t="str">
        <f>'G3 FIL Reading Scoresheet'!$J50</f>
        <v/>
      </c>
      <c r="L47" s="146" t="str">
        <f>IF($C47&lt;&gt;"",'G3 FIL Reading Scoresheet'!$I50/30,"")</f>
        <v/>
      </c>
      <c r="M47" s="146" t="str">
        <f>IF(AND($C47&lt;&gt;"",$K47&lt;&gt;"Full Refresher"),'G3 MT Reading Scoresheet'!$Q50,"")</f>
        <v/>
      </c>
      <c r="N47" s="147" t="str">
        <f>IF(AND($C47&lt;&gt;"",$K47&lt;&gt;"Full Refresher"),'G3 MT Reading Scoresheet'!$R50/7,"")</f>
        <v/>
      </c>
      <c r="O47" s="148" t="str">
        <f>IF(AND($C47&lt;&gt;"",$K47&lt;&gt;"Full Refresher"),'G3 FIL Reading Scoresheet'!$P50,"")</f>
        <v/>
      </c>
      <c r="P47" s="149" t="str">
        <f>'G3 FIL Reading Scoresheet'!$U50</f>
        <v/>
      </c>
      <c r="Q47" s="158" t="str">
        <f>'G3 ENG Reading Scoresheet'!$I50</f>
        <v/>
      </c>
      <c r="R47" s="159" t="str">
        <f>IF($C47&lt;&gt;"",'G3 ENG Reading Scoresheet'!$H50/20,"")</f>
        <v/>
      </c>
      <c r="S47" s="159" t="str">
        <f>IF(AND($C47&lt;&gt;"",$Q47&lt;&gt;"Full Refresher"),'G3 ENG Reading Scoresheet'!$P50,"")</f>
        <v/>
      </c>
      <c r="T47" s="160" t="str">
        <f>IF(AND($C47&lt;&gt;"",$Q47&lt;&gt;"Full Refresher"),'G3 ENG Reading Scoresheet'!$Q50/6,"")</f>
        <v/>
      </c>
      <c r="U47" s="161" t="str">
        <f>IF(AND($C47&lt;&gt;"",$O47&lt;&gt;"Full Refresher"),'G3 ENG Reading Scoresheet'!$O50,"")</f>
        <v/>
      </c>
      <c r="V47" s="162" t="str">
        <f>'G3 ENG Reading Scoresheet'!$T50</f>
        <v/>
      </c>
      <c r="W47" s="163" t="str">
        <f>CONCATENATE(IF(ISBLANK('G3 MT Reading Scoresheet'!V50),"",CONCATENATE("MT:",TRIM('G3 MT Reading Scoresheet'!V50)))," ",IF(ISBLANK('G3 FIL Reading Scoresheet'!V50),"",CONCATENATE("FIL:",TRIM('G3 FIL Reading Scoresheet'!V50)))," ",IF(ISBLANK('G3 ENG Reading Scoresheet'!U50),"",CONCATENATE("ENG:",TRIM('G3 ENG Reading Scoresheet'!U50))))</f>
        <v/>
      </c>
    </row>
    <row r="48" spans="1:23">
      <c r="A48" s="119">
        <v>41</v>
      </c>
      <c r="B48" s="133" t="str">
        <f>IF('G3 MT Reading Scoresheet'!B51&lt;&gt;"",'G3 MT Reading Scoresheet'!B51,"")</f>
        <v/>
      </c>
      <c r="C48" s="134" t="str">
        <f>IF('G3 MT Reading Scoresheet'!C51&lt;&gt;"",'G3 MT Reading Scoresheet'!C51,"")</f>
        <v/>
      </c>
      <c r="D48" s="135" t="str">
        <f>IF('G3 MT Reading Scoresheet'!D51&lt;&gt;"",'G3 MT Reading Scoresheet'!D51,"")</f>
        <v/>
      </c>
      <c r="E48" s="130" t="str">
        <f>'G3 MT Reading Scoresheet'!$J51</f>
        <v/>
      </c>
      <c r="F48" s="131" t="str">
        <f>IF(C48&lt;&gt;"",'G3 MT Reading Scoresheet'!$I51/30,"")</f>
        <v/>
      </c>
      <c r="G48" s="131" t="str">
        <f>IF(AND($C48&lt;&gt;"",$E48&lt;&gt;"Full Refresher"),'G3 MT Reading Scoresheet'!$Q51,"")</f>
        <v/>
      </c>
      <c r="H48" s="132" t="str">
        <f>IF(AND(C48&lt;&gt;"",E48&lt;&gt;"Full Refresher"),'G3 MT Reading Scoresheet'!$R51/7,"")</f>
        <v/>
      </c>
      <c r="I48" s="143" t="str">
        <f>IF(AND($C48&lt;&gt;"",$E48&lt;&gt;"Full Refresher"),'G3 MT Reading Scoresheet'!$P51,"")</f>
        <v/>
      </c>
      <c r="J48" s="144" t="str">
        <f>'G3 MT Reading Scoresheet'!$U51</f>
        <v/>
      </c>
      <c r="K48" s="145" t="str">
        <f>'G3 FIL Reading Scoresheet'!$J51</f>
        <v/>
      </c>
      <c r="L48" s="146" t="str">
        <f>IF($C48&lt;&gt;"",'G3 FIL Reading Scoresheet'!$I51/30,"")</f>
        <v/>
      </c>
      <c r="M48" s="146" t="str">
        <f>IF(AND($C48&lt;&gt;"",$K48&lt;&gt;"Full Refresher"),'G3 MT Reading Scoresheet'!$Q51,"")</f>
        <v/>
      </c>
      <c r="N48" s="147" t="str">
        <f>IF(AND($C48&lt;&gt;"",$K48&lt;&gt;"Full Refresher"),'G3 MT Reading Scoresheet'!$R51/7,"")</f>
        <v/>
      </c>
      <c r="O48" s="148" t="str">
        <f>IF(AND($C48&lt;&gt;"",$K48&lt;&gt;"Full Refresher"),'G3 FIL Reading Scoresheet'!$P51,"")</f>
        <v/>
      </c>
      <c r="P48" s="149" t="str">
        <f>'G3 FIL Reading Scoresheet'!$U51</f>
        <v/>
      </c>
      <c r="Q48" s="158" t="str">
        <f>'G3 ENG Reading Scoresheet'!$I51</f>
        <v/>
      </c>
      <c r="R48" s="159" t="str">
        <f>IF($C48&lt;&gt;"",'G3 ENG Reading Scoresheet'!$H51/20,"")</f>
        <v/>
      </c>
      <c r="S48" s="159" t="str">
        <f>IF(AND($C48&lt;&gt;"",$Q48&lt;&gt;"Full Refresher"),'G3 ENG Reading Scoresheet'!$P51,"")</f>
        <v/>
      </c>
      <c r="T48" s="160" t="str">
        <f>IF(AND($C48&lt;&gt;"",$Q48&lt;&gt;"Full Refresher"),'G3 ENG Reading Scoresheet'!$Q51/6,"")</f>
        <v/>
      </c>
      <c r="U48" s="161" t="str">
        <f>IF(AND($C48&lt;&gt;"",$O48&lt;&gt;"Full Refresher"),'G3 ENG Reading Scoresheet'!$O51,"")</f>
        <v/>
      </c>
      <c r="V48" s="162" t="str">
        <f>'G3 ENG Reading Scoresheet'!$T51</f>
        <v/>
      </c>
      <c r="W48" s="164" t="str">
        <f>CONCATENATE(IF(ISBLANK('G3 MT Reading Scoresheet'!V51),"",CONCATENATE("MT:",TRIM('G3 MT Reading Scoresheet'!V51)))," ",IF(ISBLANK('G3 FIL Reading Scoresheet'!V51),"",CONCATENATE("FIL:",TRIM('G3 FIL Reading Scoresheet'!V51)))," ",IF(ISBLANK('G3 ENG Reading Scoresheet'!U51),"",CONCATENATE("ENG:",TRIM('G3 ENG Reading Scoresheet'!U51))))</f>
        <v/>
      </c>
    </row>
    <row r="49" spans="1:23">
      <c r="A49" s="126">
        <v>42</v>
      </c>
      <c r="B49" s="127" t="str">
        <f>IF('G3 MT Reading Scoresheet'!B52&lt;&gt;"",'G3 MT Reading Scoresheet'!B52,"")</f>
        <v/>
      </c>
      <c r="C49" s="128" t="str">
        <f>IF('G3 MT Reading Scoresheet'!C52&lt;&gt;"",'G3 MT Reading Scoresheet'!C52,"")</f>
        <v/>
      </c>
      <c r="D49" s="129" t="str">
        <f>IF('G3 MT Reading Scoresheet'!D52&lt;&gt;"",'G3 MT Reading Scoresheet'!D52,"")</f>
        <v/>
      </c>
      <c r="E49" s="130" t="str">
        <f>'G3 MT Reading Scoresheet'!$J52</f>
        <v/>
      </c>
      <c r="F49" s="131" t="str">
        <f>IF(C49&lt;&gt;"",'G3 MT Reading Scoresheet'!$I52/30,"")</f>
        <v/>
      </c>
      <c r="G49" s="131" t="str">
        <f>IF(AND($C49&lt;&gt;"",$E49&lt;&gt;"Full Refresher"),'G3 MT Reading Scoresheet'!$Q52,"")</f>
        <v/>
      </c>
      <c r="H49" s="132" t="str">
        <f>IF(AND(C49&lt;&gt;"",E49&lt;&gt;"Full Refresher"),'G3 MT Reading Scoresheet'!$R52/7,"")</f>
        <v/>
      </c>
      <c r="I49" s="143" t="str">
        <f>IF(AND($C49&lt;&gt;"",$E49&lt;&gt;"Full Refresher"),'G3 MT Reading Scoresheet'!$P52,"")</f>
        <v/>
      </c>
      <c r="J49" s="144" t="str">
        <f>'G3 MT Reading Scoresheet'!$U52</f>
        <v/>
      </c>
      <c r="K49" s="145" t="str">
        <f>'G3 FIL Reading Scoresheet'!$J52</f>
        <v/>
      </c>
      <c r="L49" s="146" t="str">
        <f>IF($C49&lt;&gt;"",'G3 FIL Reading Scoresheet'!$I52/30,"")</f>
        <v/>
      </c>
      <c r="M49" s="146" t="str">
        <f>IF(AND($C49&lt;&gt;"",$K49&lt;&gt;"Full Refresher"),'G3 MT Reading Scoresheet'!$Q52,"")</f>
        <v/>
      </c>
      <c r="N49" s="147" t="str">
        <f>IF(AND($C49&lt;&gt;"",$K49&lt;&gt;"Full Refresher"),'G3 MT Reading Scoresheet'!$R52/7,"")</f>
        <v/>
      </c>
      <c r="O49" s="148" t="str">
        <f>IF(AND($C49&lt;&gt;"",$K49&lt;&gt;"Full Refresher"),'G3 FIL Reading Scoresheet'!$P52,"")</f>
        <v/>
      </c>
      <c r="P49" s="149" t="str">
        <f>'G3 FIL Reading Scoresheet'!$U52</f>
        <v/>
      </c>
      <c r="Q49" s="158" t="str">
        <f>'G3 ENG Reading Scoresheet'!$I52</f>
        <v/>
      </c>
      <c r="R49" s="159" t="str">
        <f>IF($C49&lt;&gt;"",'G3 ENG Reading Scoresheet'!$H52/20,"")</f>
        <v/>
      </c>
      <c r="S49" s="159" t="str">
        <f>IF(AND($C49&lt;&gt;"",$Q49&lt;&gt;"Full Refresher"),'G3 ENG Reading Scoresheet'!$P52,"")</f>
        <v/>
      </c>
      <c r="T49" s="160" t="str">
        <f>IF(AND($C49&lt;&gt;"",$Q49&lt;&gt;"Full Refresher"),'G3 ENG Reading Scoresheet'!$Q52/6,"")</f>
        <v/>
      </c>
      <c r="U49" s="161" t="str">
        <f>IF(AND($C49&lt;&gt;"",$O49&lt;&gt;"Full Refresher"),'G3 ENG Reading Scoresheet'!$O52,"")</f>
        <v/>
      </c>
      <c r="V49" s="162" t="str">
        <f>'G3 ENG Reading Scoresheet'!$T52</f>
        <v/>
      </c>
      <c r="W49" s="163" t="str">
        <f>CONCATENATE(IF(ISBLANK('G3 MT Reading Scoresheet'!V52),"",CONCATENATE("MT:",TRIM('G3 MT Reading Scoresheet'!V52)))," ",IF(ISBLANK('G3 FIL Reading Scoresheet'!V52),"",CONCATENATE("FIL:",TRIM('G3 FIL Reading Scoresheet'!V52)))," ",IF(ISBLANK('G3 ENG Reading Scoresheet'!U52),"",CONCATENATE("ENG:",TRIM('G3 ENG Reading Scoresheet'!U52))))</f>
        <v/>
      </c>
    </row>
    <row r="50" spans="1:23">
      <c r="A50" s="119">
        <v>43</v>
      </c>
      <c r="B50" s="133" t="str">
        <f>IF('G3 MT Reading Scoresheet'!B53&lt;&gt;"",'G3 MT Reading Scoresheet'!B53,"")</f>
        <v/>
      </c>
      <c r="C50" s="134" t="str">
        <f>IF('G3 MT Reading Scoresheet'!C53&lt;&gt;"",'G3 MT Reading Scoresheet'!C53,"")</f>
        <v/>
      </c>
      <c r="D50" s="135" t="str">
        <f>IF('G3 MT Reading Scoresheet'!D53&lt;&gt;"",'G3 MT Reading Scoresheet'!D53,"")</f>
        <v/>
      </c>
      <c r="E50" s="130" t="str">
        <f>'G3 MT Reading Scoresheet'!$J53</f>
        <v/>
      </c>
      <c r="F50" s="131" t="str">
        <f>IF(C50&lt;&gt;"",'G3 MT Reading Scoresheet'!$I53/30,"")</f>
        <v/>
      </c>
      <c r="G50" s="131" t="str">
        <f>IF(AND($C50&lt;&gt;"",$E50&lt;&gt;"Full Refresher"),'G3 MT Reading Scoresheet'!$Q53,"")</f>
        <v/>
      </c>
      <c r="H50" s="132" t="str">
        <f>IF(AND(C50&lt;&gt;"",E50&lt;&gt;"Full Refresher"),'G3 MT Reading Scoresheet'!$R53/7,"")</f>
        <v/>
      </c>
      <c r="I50" s="143" t="str">
        <f>IF(AND($C50&lt;&gt;"",$E50&lt;&gt;"Full Refresher"),'G3 MT Reading Scoresheet'!$P53,"")</f>
        <v/>
      </c>
      <c r="J50" s="144" t="str">
        <f>'G3 MT Reading Scoresheet'!$U53</f>
        <v/>
      </c>
      <c r="K50" s="145" t="str">
        <f>'G3 FIL Reading Scoresheet'!$J53</f>
        <v/>
      </c>
      <c r="L50" s="146" t="str">
        <f>IF($C50&lt;&gt;"",'G3 FIL Reading Scoresheet'!$I53/30,"")</f>
        <v/>
      </c>
      <c r="M50" s="146" t="str">
        <f>IF(AND($C50&lt;&gt;"",$K50&lt;&gt;"Full Refresher"),'G3 MT Reading Scoresheet'!$Q53,"")</f>
        <v/>
      </c>
      <c r="N50" s="147" t="str">
        <f>IF(AND($C50&lt;&gt;"",$K50&lt;&gt;"Full Refresher"),'G3 MT Reading Scoresheet'!$R53/7,"")</f>
        <v/>
      </c>
      <c r="O50" s="148" t="str">
        <f>IF(AND($C50&lt;&gt;"",$K50&lt;&gt;"Full Refresher"),'G3 FIL Reading Scoresheet'!$P53,"")</f>
        <v/>
      </c>
      <c r="P50" s="149" t="str">
        <f>'G3 FIL Reading Scoresheet'!$U53</f>
        <v/>
      </c>
      <c r="Q50" s="158" t="str">
        <f>'G3 ENG Reading Scoresheet'!$I53</f>
        <v/>
      </c>
      <c r="R50" s="159" t="str">
        <f>IF($C50&lt;&gt;"",'G3 ENG Reading Scoresheet'!$H53/20,"")</f>
        <v/>
      </c>
      <c r="S50" s="159" t="str">
        <f>IF(AND($C50&lt;&gt;"",$Q50&lt;&gt;"Full Refresher"),'G3 ENG Reading Scoresheet'!$P53,"")</f>
        <v/>
      </c>
      <c r="T50" s="160" t="str">
        <f>IF(AND($C50&lt;&gt;"",$Q50&lt;&gt;"Full Refresher"),'G3 ENG Reading Scoresheet'!$Q53/6,"")</f>
        <v/>
      </c>
      <c r="U50" s="161" t="str">
        <f>IF(AND($C50&lt;&gt;"",$O50&lt;&gt;"Full Refresher"),'G3 ENG Reading Scoresheet'!$O53,"")</f>
        <v/>
      </c>
      <c r="V50" s="162" t="str">
        <f>'G3 ENG Reading Scoresheet'!$T53</f>
        <v/>
      </c>
      <c r="W50" s="164" t="str">
        <f>CONCATENATE(IF(ISBLANK('G3 MT Reading Scoresheet'!V53),"",CONCATENATE("MT:",TRIM('G3 MT Reading Scoresheet'!V53)))," ",IF(ISBLANK('G3 FIL Reading Scoresheet'!V53),"",CONCATENATE("FIL:",TRIM('G3 FIL Reading Scoresheet'!V53)))," ",IF(ISBLANK('G3 ENG Reading Scoresheet'!U53),"",CONCATENATE("ENG:",TRIM('G3 ENG Reading Scoresheet'!U53))))</f>
        <v/>
      </c>
    </row>
    <row r="51" spans="1:23">
      <c r="A51" s="126">
        <v>44</v>
      </c>
      <c r="B51" s="127" t="str">
        <f>IF('G3 MT Reading Scoresheet'!B54&lt;&gt;"",'G3 MT Reading Scoresheet'!B54,"")</f>
        <v/>
      </c>
      <c r="C51" s="128" t="str">
        <f>IF('G3 MT Reading Scoresheet'!C54&lt;&gt;"",'G3 MT Reading Scoresheet'!C54,"")</f>
        <v/>
      </c>
      <c r="D51" s="129" t="str">
        <f>IF('G3 MT Reading Scoresheet'!D54&lt;&gt;"",'G3 MT Reading Scoresheet'!D54,"")</f>
        <v/>
      </c>
      <c r="E51" s="130" t="str">
        <f>'G3 MT Reading Scoresheet'!$J54</f>
        <v/>
      </c>
      <c r="F51" s="131" t="str">
        <f>IF(C51&lt;&gt;"",'G3 MT Reading Scoresheet'!$I54/30,"")</f>
        <v/>
      </c>
      <c r="G51" s="131" t="str">
        <f>IF(AND($C51&lt;&gt;"",$E51&lt;&gt;"Full Refresher"),'G3 MT Reading Scoresheet'!$Q54,"")</f>
        <v/>
      </c>
      <c r="H51" s="132" t="str">
        <f>IF(AND(C51&lt;&gt;"",E51&lt;&gt;"Full Refresher"),'G3 MT Reading Scoresheet'!$R54/7,"")</f>
        <v/>
      </c>
      <c r="I51" s="143" t="str">
        <f>IF(AND($C51&lt;&gt;"",$E51&lt;&gt;"Full Refresher"),'G3 MT Reading Scoresheet'!$P54,"")</f>
        <v/>
      </c>
      <c r="J51" s="144" t="str">
        <f>'G3 MT Reading Scoresheet'!$U54</f>
        <v/>
      </c>
      <c r="K51" s="145" t="str">
        <f>'G3 FIL Reading Scoresheet'!$J54</f>
        <v/>
      </c>
      <c r="L51" s="146" t="str">
        <f>IF($C51&lt;&gt;"",'G3 FIL Reading Scoresheet'!$I54/30,"")</f>
        <v/>
      </c>
      <c r="M51" s="146" t="str">
        <f>IF(AND($C51&lt;&gt;"",$K51&lt;&gt;"Full Refresher"),'G3 MT Reading Scoresheet'!$Q54,"")</f>
        <v/>
      </c>
      <c r="N51" s="147" t="str">
        <f>IF(AND($C51&lt;&gt;"",$K51&lt;&gt;"Full Refresher"),'G3 MT Reading Scoresheet'!$R54/7,"")</f>
        <v/>
      </c>
      <c r="O51" s="148" t="str">
        <f>IF(AND($C51&lt;&gt;"",$K51&lt;&gt;"Full Refresher"),'G3 FIL Reading Scoresheet'!$P54,"")</f>
        <v/>
      </c>
      <c r="P51" s="149" t="str">
        <f>'G3 FIL Reading Scoresheet'!$U54</f>
        <v/>
      </c>
      <c r="Q51" s="158" t="str">
        <f>'G3 ENG Reading Scoresheet'!$I54</f>
        <v/>
      </c>
      <c r="R51" s="159" t="str">
        <f>IF($C51&lt;&gt;"",'G3 ENG Reading Scoresheet'!$H54/20,"")</f>
        <v/>
      </c>
      <c r="S51" s="159" t="str">
        <f>IF(AND($C51&lt;&gt;"",$Q51&lt;&gt;"Full Refresher"),'G3 ENG Reading Scoresheet'!$P54,"")</f>
        <v/>
      </c>
      <c r="T51" s="160" t="str">
        <f>IF(AND($C51&lt;&gt;"",$Q51&lt;&gt;"Full Refresher"),'G3 ENG Reading Scoresheet'!$Q54/6,"")</f>
        <v/>
      </c>
      <c r="U51" s="161" t="str">
        <f>IF(AND($C51&lt;&gt;"",$O51&lt;&gt;"Full Refresher"),'G3 ENG Reading Scoresheet'!$O54,"")</f>
        <v/>
      </c>
      <c r="V51" s="162" t="str">
        <f>'G3 ENG Reading Scoresheet'!$T54</f>
        <v/>
      </c>
      <c r="W51" s="163" t="str">
        <f>CONCATENATE(IF(ISBLANK('G3 MT Reading Scoresheet'!V54),"",CONCATENATE("MT:",TRIM('G3 MT Reading Scoresheet'!V54)))," ",IF(ISBLANK('G3 FIL Reading Scoresheet'!V54),"",CONCATENATE("FIL:",TRIM('G3 FIL Reading Scoresheet'!V54)))," ",IF(ISBLANK('G3 ENG Reading Scoresheet'!U54),"",CONCATENATE("ENG:",TRIM('G3 ENG Reading Scoresheet'!U54))))</f>
        <v/>
      </c>
    </row>
    <row r="52" spans="1:23">
      <c r="A52" s="119">
        <v>45</v>
      </c>
      <c r="B52" s="133" t="str">
        <f>IF('G3 MT Reading Scoresheet'!B55&lt;&gt;"",'G3 MT Reading Scoresheet'!B55,"")</f>
        <v/>
      </c>
      <c r="C52" s="134" t="str">
        <f>IF('G3 MT Reading Scoresheet'!C55&lt;&gt;"",'G3 MT Reading Scoresheet'!C55,"")</f>
        <v/>
      </c>
      <c r="D52" s="135" t="str">
        <f>IF('G3 MT Reading Scoresheet'!D55&lt;&gt;"",'G3 MT Reading Scoresheet'!D55,"")</f>
        <v/>
      </c>
      <c r="E52" s="130" t="str">
        <f>'G3 MT Reading Scoresheet'!$J55</f>
        <v/>
      </c>
      <c r="F52" s="131" t="str">
        <f>IF(C52&lt;&gt;"",'G3 MT Reading Scoresheet'!$I55/30,"")</f>
        <v/>
      </c>
      <c r="G52" s="131" t="str">
        <f>IF(AND($C52&lt;&gt;"",$E52&lt;&gt;"Full Refresher"),'G3 MT Reading Scoresheet'!$Q55,"")</f>
        <v/>
      </c>
      <c r="H52" s="132" t="str">
        <f>IF(AND(C52&lt;&gt;"",E52&lt;&gt;"Full Refresher"),'G3 MT Reading Scoresheet'!$R55/7,"")</f>
        <v/>
      </c>
      <c r="I52" s="143" t="str">
        <f>IF(AND($C52&lt;&gt;"",$E52&lt;&gt;"Full Refresher"),'G3 MT Reading Scoresheet'!$P55,"")</f>
        <v/>
      </c>
      <c r="J52" s="144" t="str">
        <f>'G3 MT Reading Scoresheet'!$U55</f>
        <v/>
      </c>
      <c r="K52" s="145" t="str">
        <f>'G3 FIL Reading Scoresheet'!$J55</f>
        <v/>
      </c>
      <c r="L52" s="146" t="str">
        <f>IF($C52&lt;&gt;"",'G3 FIL Reading Scoresheet'!$I55/30,"")</f>
        <v/>
      </c>
      <c r="M52" s="146" t="str">
        <f>IF(AND($C52&lt;&gt;"",$K52&lt;&gt;"Full Refresher"),'G3 MT Reading Scoresheet'!$Q55,"")</f>
        <v/>
      </c>
      <c r="N52" s="147" t="str">
        <f>IF(AND($C52&lt;&gt;"",$K52&lt;&gt;"Full Refresher"),'G3 MT Reading Scoresheet'!$R55/7,"")</f>
        <v/>
      </c>
      <c r="O52" s="148" t="str">
        <f>IF(AND($C52&lt;&gt;"",$K52&lt;&gt;"Full Refresher"),'G3 FIL Reading Scoresheet'!$P55,"")</f>
        <v/>
      </c>
      <c r="P52" s="149" t="str">
        <f>'G3 FIL Reading Scoresheet'!$U55</f>
        <v/>
      </c>
      <c r="Q52" s="158" t="str">
        <f>'G3 ENG Reading Scoresheet'!$I55</f>
        <v/>
      </c>
      <c r="R52" s="159" t="str">
        <f>IF($C52&lt;&gt;"",'G3 ENG Reading Scoresheet'!$H55/20,"")</f>
        <v/>
      </c>
      <c r="S52" s="159" t="str">
        <f>IF(AND($C52&lt;&gt;"",$Q52&lt;&gt;"Full Refresher"),'G3 ENG Reading Scoresheet'!$P55,"")</f>
        <v/>
      </c>
      <c r="T52" s="160" t="str">
        <f>IF(AND($C52&lt;&gt;"",$Q52&lt;&gt;"Full Refresher"),'G3 ENG Reading Scoresheet'!$Q55/6,"")</f>
        <v/>
      </c>
      <c r="U52" s="161" t="str">
        <f>IF(AND($C52&lt;&gt;"",$O52&lt;&gt;"Full Refresher"),'G3 ENG Reading Scoresheet'!$O55,"")</f>
        <v/>
      </c>
      <c r="V52" s="162" t="str">
        <f>'G3 ENG Reading Scoresheet'!$T55</f>
        <v/>
      </c>
      <c r="W52" s="164" t="str">
        <f>CONCATENATE(IF(ISBLANK('G3 MT Reading Scoresheet'!V55),"",CONCATENATE("MT:",TRIM('G3 MT Reading Scoresheet'!V55)))," ",IF(ISBLANK('G3 FIL Reading Scoresheet'!V55),"",CONCATENATE("FIL:",TRIM('G3 FIL Reading Scoresheet'!V55)))," ",IF(ISBLANK('G3 ENG Reading Scoresheet'!U55),"",CONCATENATE("ENG:",TRIM('G3 ENG Reading Scoresheet'!U55))))</f>
        <v/>
      </c>
    </row>
    <row r="53" spans="1:23">
      <c r="A53" s="126">
        <v>46</v>
      </c>
      <c r="B53" s="127" t="str">
        <f>IF('G3 MT Reading Scoresheet'!B56&lt;&gt;"",'G3 MT Reading Scoresheet'!B56,"")</f>
        <v/>
      </c>
      <c r="C53" s="128" t="str">
        <f>IF('G3 MT Reading Scoresheet'!C56&lt;&gt;"",'G3 MT Reading Scoresheet'!C56,"")</f>
        <v/>
      </c>
      <c r="D53" s="129" t="str">
        <f>IF('G3 MT Reading Scoresheet'!D56&lt;&gt;"",'G3 MT Reading Scoresheet'!D56,"")</f>
        <v/>
      </c>
      <c r="E53" s="130" t="str">
        <f>'G3 MT Reading Scoresheet'!$J56</f>
        <v/>
      </c>
      <c r="F53" s="131" t="str">
        <f>IF(C53&lt;&gt;"",'G3 MT Reading Scoresheet'!$I56/30,"")</f>
        <v/>
      </c>
      <c r="G53" s="131" t="str">
        <f>IF(AND($C53&lt;&gt;"",$E53&lt;&gt;"Full Refresher"),'G3 MT Reading Scoresheet'!$Q56,"")</f>
        <v/>
      </c>
      <c r="H53" s="132" t="str">
        <f>IF(AND(C53&lt;&gt;"",E53&lt;&gt;"Full Refresher"),'G3 MT Reading Scoresheet'!$R56/7,"")</f>
        <v/>
      </c>
      <c r="I53" s="143" t="str">
        <f>IF(AND($C53&lt;&gt;"",$E53&lt;&gt;"Full Refresher"),'G3 MT Reading Scoresheet'!$P56,"")</f>
        <v/>
      </c>
      <c r="J53" s="144" t="str">
        <f>'G3 MT Reading Scoresheet'!$U56</f>
        <v/>
      </c>
      <c r="K53" s="145" t="str">
        <f>'G3 FIL Reading Scoresheet'!$J56</f>
        <v/>
      </c>
      <c r="L53" s="146" t="str">
        <f>IF($C53&lt;&gt;"",'G3 FIL Reading Scoresheet'!$I56/30,"")</f>
        <v/>
      </c>
      <c r="M53" s="146" t="str">
        <f>IF(AND($C53&lt;&gt;"",$K53&lt;&gt;"Full Refresher"),'G3 MT Reading Scoresheet'!$Q56,"")</f>
        <v/>
      </c>
      <c r="N53" s="147" t="str">
        <f>IF(AND($C53&lt;&gt;"",$K53&lt;&gt;"Full Refresher"),'G3 MT Reading Scoresheet'!$R56/7,"")</f>
        <v/>
      </c>
      <c r="O53" s="148" t="str">
        <f>IF(AND($C53&lt;&gt;"",$K53&lt;&gt;"Full Refresher"),'G3 FIL Reading Scoresheet'!$P56,"")</f>
        <v/>
      </c>
      <c r="P53" s="149" t="str">
        <f>'G3 FIL Reading Scoresheet'!$U56</f>
        <v/>
      </c>
      <c r="Q53" s="158" t="str">
        <f>'G3 ENG Reading Scoresheet'!$I56</f>
        <v/>
      </c>
      <c r="R53" s="159" t="str">
        <f>IF($C53&lt;&gt;"",'G3 ENG Reading Scoresheet'!$H56/20,"")</f>
        <v/>
      </c>
      <c r="S53" s="159" t="str">
        <f>IF(AND($C53&lt;&gt;"",$Q53&lt;&gt;"Full Refresher"),'G3 ENG Reading Scoresheet'!$P56,"")</f>
        <v/>
      </c>
      <c r="T53" s="160" t="str">
        <f>IF(AND($C53&lt;&gt;"",$Q53&lt;&gt;"Full Refresher"),'G3 ENG Reading Scoresheet'!$Q56/6,"")</f>
        <v/>
      </c>
      <c r="U53" s="161" t="str">
        <f>IF(AND($C53&lt;&gt;"",$O53&lt;&gt;"Full Refresher"),'G3 ENG Reading Scoresheet'!$O56,"")</f>
        <v/>
      </c>
      <c r="V53" s="162" t="str">
        <f>'G3 ENG Reading Scoresheet'!$T56</f>
        <v/>
      </c>
      <c r="W53" s="163" t="str">
        <f>CONCATENATE(IF(ISBLANK('G3 MT Reading Scoresheet'!V56),"",CONCATENATE("MT:",TRIM('G3 MT Reading Scoresheet'!V56)))," ",IF(ISBLANK('G3 FIL Reading Scoresheet'!V56),"",CONCATENATE("FIL:",TRIM('G3 FIL Reading Scoresheet'!V56)))," ",IF(ISBLANK('G3 ENG Reading Scoresheet'!U56),"",CONCATENATE("ENG:",TRIM('G3 ENG Reading Scoresheet'!U56))))</f>
        <v/>
      </c>
    </row>
    <row r="54" spans="1:23">
      <c r="A54" s="119">
        <v>47</v>
      </c>
      <c r="B54" s="133" t="str">
        <f>IF('G3 MT Reading Scoresheet'!B57&lt;&gt;"",'G3 MT Reading Scoresheet'!B57,"")</f>
        <v/>
      </c>
      <c r="C54" s="134" t="str">
        <f>IF('G3 MT Reading Scoresheet'!C57&lt;&gt;"",'G3 MT Reading Scoresheet'!C57,"")</f>
        <v/>
      </c>
      <c r="D54" s="135" t="str">
        <f>IF('G3 MT Reading Scoresheet'!D57&lt;&gt;"",'G3 MT Reading Scoresheet'!D57,"")</f>
        <v/>
      </c>
      <c r="E54" s="130" t="str">
        <f>'G3 MT Reading Scoresheet'!$J57</f>
        <v/>
      </c>
      <c r="F54" s="131" t="str">
        <f>IF(C54&lt;&gt;"",'G3 MT Reading Scoresheet'!$I57/30,"")</f>
        <v/>
      </c>
      <c r="G54" s="131" t="str">
        <f>IF(AND($C54&lt;&gt;"",$E54&lt;&gt;"Full Refresher"),'G3 MT Reading Scoresheet'!$Q57,"")</f>
        <v/>
      </c>
      <c r="H54" s="132" t="str">
        <f>IF(AND(C54&lt;&gt;"",E54&lt;&gt;"Full Refresher"),'G3 MT Reading Scoresheet'!$R57/7,"")</f>
        <v/>
      </c>
      <c r="I54" s="143" t="str">
        <f>IF(AND($C54&lt;&gt;"",$E54&lt;&gt;"Full Refresher"),'G3 MT Reading Scoresheet'!$P57,"")</f>
        <v/>
      </c>
      <c r="J54" s="144" t="str">
        <f>'G3 MT Reading Scoresheet'!$U57</f>
        <v/>
      </c>
      <c r="K54" s="145" t="str">
        <f>'G3 FIL Reading Scoresheet'!$J57</f>
        <v/>
      </c>
      <c r="L54" s="146" t="str">
        <f>IF($C54&lt;&gt;"",'G3 FIL Reading Scoresheet'!$I57/30,"")</f>
        <v/>
      </c>
      <c r="M54" s="146" t="str">
        <f>IF(AND($C54&lt;&gt;"",$K54&lt;&gt;"Full Refresher"),'G3 MT Reading Scoresheet'!$Q57,"")</f>
        <v/>
      </c>
      <c r="N54" s="147" t="str">
        <f>IF(AND($C54&lt;&gt;"",$K54&lt;&gt;"Full Refresher"),'G3 MT Reading Scoresheet'!$R57/7,"")</f>
        <v/>
      </c>
      <c r="O54" s="148" t="str">
        <f>IF(AND($C54&lt;&gt;"",$K54&lt;&gt;"Full Refresher"),'G3 FIL Reading Scoresheet'!$P57,"")</f>
        <v/>
      </c>
      <c r="P54" s="149" t="str">
        <f>'G3 FIL Reading Scoresheet'!$U57</f>
        <v/>
      </c>
      <c r="Q54" s="158" t="str">
        <f>'G3 ENG Reading Scoresheet'!$I57</f>
        <v/>
      </c>
      <c r="R54" s="159" t="str">
        <f>IF($C54&lt;&gt;"",'G3 ENG Reading Scoresheet'!$H57/20,"")</f>
        <v/>
      </c>
      <c r="S54" s="159" t="str">
        <f>IF(AND($C54&lt;&gt;"",$Q54&lt;&gt;"Full Refresher"),'G3 ENG Reading Scoresheet'!$P57,"")</f>
        <v/>
      </c>
      <c r="T54" s="160" t="str">
        <f>IF(AND($C54&lt;&gt;"",$Q54&lt;&gt;"Full Refresher"),'G3 ENG Reading Scoresheet'!$Q57/6,"")</f>
        <v/>
      </c>
      <c r="U54" s="161" t="str">
        <f>IF(AND($C54&lt;&gt;"",$O54&lt;&gt;"Full Refresher"),'G3 ENG Reading Scoresheet'!$O57,"")</f>
        <v/>
      </c>
      <c r="V54" s="162" t="str">
        <f>'G3 ENG Reading Scoresheet'!$T57</f>
        <v/>
      </c>
      <c r="W54" s="164" t="str">
        <f>CONCATENATE(IF(ISBLANK('G3 MT Reading Scoresheet'!V57),"",CONCATENATE("MT:",TRIM('G3 MT Reading Scoresheet'!V57)))," ",IF(ISBLANK('G3 FIL Reading Scoresheet'!V57),"",CONCATENATE("FIL:",TRIM('G3 FIL Reading Scoresheet'!V57)))," ",IF(ISBLANK('G3 ENG Reading Scoresheet'!U57),"",CONCATENATE("ENG:",TRIM('G3 ENG Reading Scoresheet'!U57))))</f>
        <v/>
      </c>
    </row>
    <row r="55" spans="1:23">
      <c r="A55" s="126">
        <v>48</v>
      </c>
      <c r="B55" s="127" t="str">
        <f>IF('G3 MT Reading Scoresheet'!B58&lt;&gt;"",'G3 MT Reading Scoresheet'!B58,"")</f>
        <v/>
      </c>
      <c r="C55" s="128" t="str">
        <f>IF('G3 MT Reading Scoresheet'!C58&lt;&gt;"",'G3 MT Reading Scoresheet'!C58,"")</f>
        <v/>
      </c>
      <c r="D55" s="129" t="str">
        <f>IF('G3 MT Reading Scoresheet'!D58&lt;&gt;"",'G3 MT Reading Scoresheet'!D58,"")</f>
        <v/>
      </c>
      <c r="E55" s="130" t="str">
        <f>'G3 MT Reading Scoresheet'!$J58</f>
        <v/>
      </c>
      <c r="F55" s="131" t="str">
        <f>IF(C55&lt;&gt;"",'G3 MT Reading Scoresheet'!$I58/30,"")</f>
        <v/>
      </c>
      <c r="G55" s="131" t="str">
        <f>IF(AND($C55&lt;&gt;"",$E55&lt;&gt;"Full Refresher"),'G3 MT Reading Scoresheet'!$Q58,"")</f>
        <v/>
      </c>
      <c r="H55" s="132" t="str">
        <f>IF(AND(C55&lt;&gt;"",E55&lt;&gt;"Full Refresher"),'G3 MT Reading Scoresheet'!$R58/7,"")</f>
        <v/>
      </c>
      <c r="I55" s="143" t="str">
        <f>IF(AND($C55&lt;&gt;"",$E55&lt;&gt;"Full Refresher"),'G3 MT Reading Scoresheet'!$P58,"")</f>
        <v/>
      </c>
      <c r="J55" s="144" t="str">
        <f>'G3 MT Reading Scoresheet'!$U58</f>
        <v/>
      </c>
      <c r="K55" s="145" t="str">
        <f>'G3 FIL Reading Scoresheet'!$J58</f>
        <v/>
      </c>
      <c r="L55" s="146" t="str">
        <f>IF($C55&lt;&gt;"",'G3 FIL Reading Scoresheet'!$I58/30,"")</f>
        <v/>
      </c>
      <c r="M55" s="146" t="str">
        <f>IF(AND($C55&lt;&gt;"",$K55&lt;&gt;"Full Refresher"),'G3 MT Reading Scoresheet'!$Q58,"")</f>
        <v/>
      </c>
      <c r="N55" s="147" t="str">
        <f>IF(AND($C55&lt;&gt;"",$K55&lt;&gt;"Full Refresher"),'G3 MT Reading Scoresheet'!$R58/7,"")</f>
        <v/>
      </c>
      <c r="O55" s="148" t="str">
        <f>IF(AND($C55&lt;&gt;"",$K55&lt;&gt;"Full Refresher"),'G3 FIL Reading Scoresheet'!$P58,"")</f>
        <v/>
      </c>
      <c r="P55" s="149" t="str">
        <f>'G3 FIL Reading Scoresheet'!$U58</f>
        <v/>
      </c>
      <c r="Q55" s="158" t="str">
        <f>'G3 ENG Reading Scoresheet'!$I58</f>
        <v/>
      </c>
      <c r="R55" s="159" t="str">
        <f>IF($C55&lt;&gt;"",'G3 ENG Reading Scoresheet'!$H58/20,"")</f>
        <v/>
      </c>
      <c r="S55" s="159" t="str">
        <f>IF(AND($C55&lt;&gt;"",$Q55&lt;&gt;"Full Refresher"),'G3 ENG Reading Scoresheet'!$P58,"")</f>
        <v/>
      </c>
      <c r="T55" s="160" t="str">
        <f>IF(AND($C55&lt;&gt;"",$Q55&lt;&gt;"Full Refresher"),'G3 ENG Reading Scoresheet'!$Q58/6,"")</f>
        <v/>
      </c>
      <c r="U55" s="161" t="str">
        <f>IF(AND($C55&lt;&gt;"",$O55&lt;&gt;"Full Refresher"),'G3 ENG Reading Scoresheet'!$O58,"")</f>
        <v/>
      </c>
      <c r="V55" s="162" t="str">
        <f>'G3 ENG Reading Scoresheet'!$T58</f>
        <v/>
      </c>
      <c r="W55" s="163" t="str">
        <f>CONCATENATE(IF(ISBLANK('G3 MT Reading Scoresheet'!V58),"",CONCATENATE("MT:",TRIM('G3 MT Reading Scoresheet'!V58)))," ",IF(ISBLANK('G3 FIL Reading Scoresheet'!V58),"",CONCATENATE("FIL:",TRIM('G3 FIL Reading Scoresheet'!V58)))," ",IF(ISBLANK('G3 ENG Reading Scoresheet'!U58),"",CONCATENATE("ENG:",TRIM('G3 ENG Reading Scoresheet'!U58))))</f>
        <v/>
      </c>
    </row>
    <row r="56" spans="1:23">
      <c r="A56" s="119">
        <v>49</v>
      </c>
      <c r="B56" s="133" t="str">
        <f>IF('G3 MT Reading Scoresheet'!B59&lt;&gt;"",'G3 MT Reading Scoresheet'!B59,"")</f>
        <v/>
      </c>
      <c r="C56" s="134" t="str">
        <f>IF('G3 MT Reading Scoresheet'!C59&lt;&gt;"",'G3 MT Reading Scoresheet'!C59,"")</f>
        <v/>
      </c>
      <c r="D56" s="135" t="str">
        <f>IF('G3 MT Reading Scoresheet'!D59&lt;&gt;"",'G3 MT Reading Scoresheet'!D59,"")</f>
        <v/>
      </c>
      <c r="E56" s="130" t="str">
        <f>'G3 MT Reading Scoresheet'!$J59</f>
        <v/>
      </c>
      <c r="F56" s="131" t="str">
        <f>IF(C56&lt;&gt;"",'G3 MT Reading Scoresheet'!$I59/30,"")</f>
        <v/>
      </c>
      <c r="G56" s="131" t="str">
        <f>IF(AND($C56&lt;&gt;"",$E56&lt;&gt;"Full Refresher"),'G3 MT Reading Scoresheet'!$Q59,"")</f>
        <v/>
      </c>
      <c r="H56" s="132" t="str">
        <f>IF(AND(C56&lt;&gt;"",E56&lt;&gt;"Full Refresher"),'G3 MT Reading Scoresheet'!$R59/7,"")</f>
        <v/>
      </c>
      <c r="I56" s="143" t="str">
        <f>IF(AND($C56&lt;&gt;"",$E56&lt;&gt;"Full Refresher"),'G3 MT Reading Scoresheet'!$P59,"")</f>
        <v/>
      </c>
      <c r="J56" s="144" t="str">
        <f>'G3 MT Reading Scoresheet'!$U59</f>
        <v/>
      </c>
      <c r="K56" s="145" t="str">
        <f>'G3 FIL Reading Scoresheet'!$J59</f>
        <v/>
      </c>
      <c r="L56" s="146" t="str">
        <f>IF($C56&lt;&gt;"",'G3 FIL Reading Scoresheet'!$I59/30,"")</f>
        <v/>
      </c>
      <c r="M56" s="146" t="str">
        <f>IF(AND($C56&lt;&gt;"",$K56&lt;&gt;"Full Refresher"),'G3 MT Reading Scoresheet'!$Q59,"")</f>
        <v/>
      </c>
      <c r="N56" s="147" t="str">
        <f>IF(AND($C56&lt;&gt;"",$K56&lt;&gt;"Full Refresher"),'G3 MT Reading Scoresheet'!$R59/7,"")</f>
        <v/>
      </c>
      <c r="O56" s="148" t="str">
        <f>IF(AND($C56&lt;&gt;"",$K56&lt;&gt;"Full Refresher"),'G3 FIL Reading Scoresheet'!$P59,"")</f>
        <v/>
      </c>
      <c r="P56" s="149" t="str">
        <f>'G3 FIL Reading Scoresheet'!$U59</f>
        <v/>
      </c>
      <c r="Q56" s="158" t="str">
        <f>'G3 ENG Reading Scoresheet'!$I59</f>
        <v/>
      </c>
      <c r="R56" s="159" t="str">
        <f>IF($C56&lt;&gt;"",'G3 ENG Reading Scoresheet'!$H59/20,"")</f>
        <v/>
      </c>
      <c r="S56" s="159" t="str">
        <f>IF(AND($C56&lt;&gt;"",$Q56&lt;&gt;"Full Refresher"),'G3 ENG Reading Scoresheet'!$P59,"")</f>
        <v/>
      </c>
      <c r="T56" s="160" t="str">
        <f>IF(AND($C56&lt;&gt;"",$Q56&lt;&gt;"Full Refresher"),'G3 ENG Reading Scoresheet'!$Q59/6,"")</f>
        <v/>
      </c>
      <c r="U56" s="161" t="str">
        <f>IF(AND($C56&lt;&gt;"",$O56&lt;&gt;"Full Refresher"),'G3 ENG Reading Scoresheet'!$O59,"")</f>
        <v/>
      </c>
      <c r="V56" s="162" t="str">
        <f>'G3 ENG Reading Scoresheet'!$T59</f>
        <v/>
      </c>
      <c r="W56" s="164" t="str">
        <f>CONCATENATE(IF(ISBLANK('G3 MT Reading Scoresheet'!V59),"",CONCATENATE("MT:",TRIM('G3 MT Reading Scoresheet'!V59)))," ",IF(ISBLANK('G3 FIL Reading Scoresheet'!V59),"",CONCATENATE("FIL:",TRIM('G3 FIL Reading Scoresheet'!V59)))," ",IF(ISBLANK('G3 ENG Reading Scoresheet'!U59),"",CONCATENATE("ENG:",TRIM('G3 ENG Reading Scoresheet'!U59))))</f>
        <v/>
      </c>
    </row>
    <row r="57" spans="1:23">
      <c r="A57" s="126">
        <v>50</v>
      </c>
      <c r="B57" s="127" t="str">
        <f>IF('G3 MT Reading Scoresheet'!B60&lt;&gt;"",'G3 MT Reading Scoresheet'!B60,"")</f>
        <v/>
      </c>
      <c r="C57" s="128" t="str">
        <f>IF('G3 MT Reading Scoresheet'!C60&lt;&gt;"",'G3 MT Reading Scoresheet'!C60,"")</f>
        <v/>
      </c>
      <c r="D57" s="129" t="str">
        <f>IF('G3 MT Reading Scoresheet'!D60&lt;&gt;"",'G3 MT Reading Scoresheet'!D60,"")</f>
        <v/>
      </c>
      <c r="E57" s="130" t="str">
        <f>'G3 MT Reading Scoresheet'!$J60</f>
        <v/>
      </c>
      <c r="F57" s="131" t="str">
        <f>IF(C57&lt;&gt;"",'G3 MT Reading Scoresheet'!$I60/30,"")</f>
        <v/>
      </c>
      <c r="G57" s="131" t="str">
        <f>IF(AND($C57&lt;&gt;"",$E57&lt;&gt;"Full Refresher"),'G3 MT Reading Scoresheet'!$Q60,"")</f>
        <v/>
      </c>
      <c r="H57" s="132" t="str">
        <f>IF(AND(C57&lt;&gt;"",E57&lt;&gt;"Full Refresher"),'G3 MT Reading Scoresheet'!$R60/7,"")</f>
        <v/>
      </c>
      <c r="I57" s="143" t="str">
        <f>IF(AND($C57&lt;&gt;"",$E57&lt;&gt;"Full Refresher"),'G3 MT Reading Scoresheet'!$P60,"")</f>
        <v/>
      </c>
      <c r="J57" s="144" t="str">
        <f>'G3 MT Reading Scoresheet'!$U60</f>
        <v/>
      </c>
      <c r="K57" s="145" t="str">
        <f>'G3 FIL Reading Scoresheet'!$J60</f>
        <v/>
      </c>
      <c r="L57" s="146" t="str">
        <f>IF($C57&lt;&gt;"",'G3 FIL Reading Scoresheet'!$I60/30,"")</f>
        <v/>
      </c>
      <c r="M57" s="146" t="str">
        <f>IF(AND($C57&lt;&gt;"",$K57&lt;&gt;"Full Refresher"),'G3 MT Reading Scoresheet'!$Q60,"")</f>
        <v/>
      </c>
      <c r="N57" s="147" t="str">
        <f>IF(AND($C57&lt;&gt;"",$K57&lt;&gt;"Full Refresher"),'G3 MT Reading Scoresheet'!$R60/7,"")</f>
        <v/>
      </c>
      <c r="O57" s="148" t="str">
        <f>IF(AND($C57&lt;&gt;"",$K57&lt;&gt;"Full Refresher"),'G3 FIL Reading Scoresheet'!$P60,"")</f>
        <v/>
      </c>
      <c r="P57" s="149" t="str">
        <f>'G3 FIL Reading Scoresheet'!$U60</f>
        <v/>
      </c>
      <c r="Q57" s="158" t="str">
        <f>'G3 ENG Reading Scoresheet'!$I60</f>
        <v/>
      </c>
      <c r="R57" s="159" t="str">
        <f>IF($C57&lt;&gt;"",'G3 ENG Reading Scoresheet'!$H60/20,"")</f>
        <v/>
      </c>
      <c r="S57" s="159" t="str">
        <f>IF(AND($C57&lt;&gt;"",$Q57&lt;&gt;"Full Refresher"),'G3 ENG Reading Scoresheet'!$P60,"")</f>
        <v/>
      </c>
      <c r="T57" s="160" t="str">
        <f>IF(AND($C57&lt;&gt;"",$Q57&lt;&gt;"Full Refresher"),'G3 ENG Reading Scoresheet'!$Q60/6,"")</f>
        <v/>
      </c>
      <c r="U57" s="161" t="str">
        <f>IF(AND($C57&lt;&gt;"",$O57&lt;&gt;"Full Refresher"),'G3 ENG Reading Scoresheet'!$O60,"")</f>
        <v/>
      </c>
      <c r="V57" s="162" t="str">
        <f>'G3 ENG Reading Scoresheet'!$T60</f>
        <v/>
      </c>
      <c r="W57" s="163" t="str">
        <f>CONCATENATE(IF(ISBLANK('G3 MT Reading Scoresheet'!V60),"",CONCATENATE("MT:",TRIM('G3 MT Reading Scoresheet'!V60)))," ",IF(ISBLANK('G3 FIL Reading Scoresheet'!V60),"",CONCATENATE("FIL:",TRIM('G3 FIL Reading Scoresheet'!V60)))," ",IF(ISBLANK('G3 ENG Reading Scoresheet'!U60),"",CONCATENATE("ENG:",TRIM('G3 ENG Reading Scoresheet'!U60))))</f>
        <v/>
      </c>
    </row>
    <row r="58" spans="1:23">
      <c r="A58" s="119">
        <v>51</v>
      </c>
      <c r="B58" s="133" t="str">
        <f>IF('G3 MT Reading Scoresheet'!B61&lt;&gt;"",'G3 MT Reading Scoresheet'!B61,"")</f>
        <v/>
      </c>
      <c r="C58" s="134" t="str">
        <f>IF('G3 MT Reading Scoresheet'!C61&lt;&gt;"",'G3 MT Reading Scoresheet'!C61,"")</f>
        <v/>
      </c>
      <c r="D58" s="135" t="str">
        <f>IF('G3 MT Reading Scoresheet'!D61&lt;&gt;"",'G3 MT Reading Scoresheet'!D61,"")</f>
        <v/>
      </c>
      <c r="E58" s="130" t="str">
        <f>'G3 MT Reading Scoresheet'!$J61</f>
        <v/>
      </c>
      <c r="F58" s="131" t="str">
        <f>IF(C58&lt;&gt;"",'G3 MT Reading Scoresheet'!$I61/30,"")</f>
        <v/>
      </c>
      <c r="G58" s="131" t="str">
        <f>IF(AND($C58&lt;&gt;"",$E58&lt;&gt;"Full Refresher"),'G3 MT Reading Scoresheet'!$Q61,"")</f>
        <v/>
      </c>
      <c r="H58" s="132" t="str">
        <f>IF(AND(C58&lt;&gt;"",E58&lt;&gt;"Full Refresher"),'G3 MT Reading Scoresheet'!$R61/7,"")</f>
        <v/>
      </c>
      <c r="I58" s="143" t="str">
        <f>IF(AND($C58&lt;&gt;"",$E58&lt;&gt;"Full Refresher"),'G3 MT Reading Scoresheet'!$P61,"")</f>
        <v/>
      </c>
      <c r="J58" s="144" t="str">
        <f>'G3 MT Reading Scoresheet'!$U61</f>
        <v/>
      </c>
      <c r="K58" s="145" t="str">
        <f>'G3 FIL Reading Scoresheet'!$J61</f>
        <v/>
      </c>
      <c r="L58" s="146" t="str">
        <f>IF($C58&lt;&gt;"",'G3 FIL Reading Scoresheet'!$I61/30,"")</f>
        <v/>
      </c>
      <c r="M58" s="146" t="str">
        <f>IF(AND($C58&lt;&gt;"",$K58&lt;&gt;"Full Refresher"),'G3 MT Reading Scoresheet'!$Q61,"")</f>
        <v/>
      </c>
      <c r="N58" s="147" t="str">
        <f>IF(AND($C58&lt;&gt;"",$K58&lt;&gt;"Full Refresher"),'G3 MT Reading Scoresheet'!$R61/7,"")</f>
        <v/>
      </c>
      <c r="O58" s="148" t="str">
        <f>IF(AND($C58&lt;&gt;"",$K58&lt;&gt;"Full Refresher"),'G3 FIL Reading Scoresheet'!$P61,"")</f>
        <v/>
      </c>
      <c r="P58" s="149" t="str">
        <f>'G3 FIL Reading Scoresheet'!$U61</f>
        <v/>
      </c>
      <c r="Q58" s="158" t="str">
        <f>'G3 ENG Reading Scoresheet'!$I61</f>
        <v/>
      </c>
      <c r="R58" s="159" t="str">
        <f>IF($C58&lt;&gt;"",'G3 ENG Reading Scoresheet'!$H61/20,"")</f>
        <v/>
      </c>
      <c r="S58" s="159" t="str">
        <f>IF(AND($C58&lt;&gt;"",$Q58&lt;&gt;"Full Refresher"),'G3 ENG Reading Scoresheet'!$P61,"")</f>
        <v/>
      </c>
      <c r="T58" s="160" t="str">
        <f>IF(AND($C58&lt;&gt;"",$Q58&lt;&gt;"Full Refresher"),'G3 ENG Reading Scoresheet'!$Q61/6,"")</f>
        <v/>
      </c>
      <c r="U58" s="161" t="str">
        <f>IF(AND($C58&lt;&gt;"",$O58&lt;&gt;"Full Refresher"),'G3 ENG Reading Scoresheet'!$O61,"")</f>
        <v/>
      </c>
      <c r="V58" s="162" t="str">
        <f>'G3 ENG Reading Scoresheet'!$T61</f>
        <v/>
      </c>
      <c r="W58" s="164" t="str">
        <f>CONCATENATE(IF(ISBLANK('G3 MT Reading Scoresheet'!V61),"",CONCATENATE("MT:",TRIM('G3 MT Reading Scoresheet'!V61)))," ",IF(ISBLANK('G3 FIL Reading Scoresheet'!V61),"",CONCATENATE("FIL:",TRIM('G3 FIL Reading Scoresheet'!V61)))," ",IF(ISBLANK('G3 ENG Reading Scoresheet'!U61),"",CONCATENATE("ENG:",TRIM('G3 ENG Reading Scoresheet'!U61))))</f>
        <v/>
      </c>
    </row>
    <row r="59" spans="1:23">
      <c r="A59" s="126">
        <v>52</v>
      </c>
      <c r="B59" s="127" t="str">
        <f>IF('G3 MT Reading Scoresheet'!B62&lt;&gt;"",'G3 MT Reading Scoresheet'!B62,"")</f>
        <v/>
      </c>
      <c r="C59" s="128" t="str">
        <f>IF('G3 MT Reading Scoresheet'!C62&lt;&gt;"",'G3 MT Reading Scoresheet'!C62,"")</f>
        <v/>
      </c>
      <c r="D59" s="129" t="str">
        <f>IF('G3 MT Reading Scoresheet'!D62&lt;&gt;"",'G3 MT Reading Scoresheet'!D62,"")</f>
        <v/>
      </c>
      <c r="E59" s="130" t="str">
        <f>'G3 MT Reading Scoresheet'!$J62</f>
        <v/>
      </c>
      <c r="F59" s="131" t="str">
        <f>IF(C59&lt;&gt;"",'G3 MT Reading Scoresheet'!$I62/30,"")</f>
        <v/>
      </c>
      <c r="G59" s="131" t="str">
        <f>IF(AND($C59&lt;&gt;"",$E59&lt;&gt;"Full Refresher"),'G3 MT Reading Scoresheet'!$Q62,"")</f>
        <v/>
      </c>
      <c r="H59" s="132" t="str">
        <f>IF(AND(C59&lt;&gt;"",E59&lt;&gt;"Full Refresher"),'G3 MT Reading Scoresheet'!$R62/7,"")</f>
        <v/>
      </c>
      <c r="I59" s="143" t="str">
        <f>IF(AND($C59&lt;&gt;"",$E59&lt;&gt;"Full Refresher"),'G3 MT Reading Scoresheet'!$P62,"")</f>
        <v/>
      </c>
      <c r="J59" s="144" t="str">
        <f>'G3 MT Reading Scoresheet'!$U62</f>
        <v/>
      </c>
      <c r="K59" s="145" t="str">
        <f>'G3 FIL Reading Scoresheet'!$J62</f>
        <v/>
      </c>
      <c r="L59" s="146" t="str">
        <f>IF($C59&lt;&gt;"",'G3 FIL Reading Scoresheet'!$I62/30,"")</f>
        <v/>
      </c>
      <c r="M59" s="146" t="str">
        <f>IF(AND($C59&lt;&gt;"",$K59&lt;&gt;"Full Refresher"),'G3 MT Reading Scoresheet'!$Q62,"")</f>
        <v/>
      </c>
      <c r="N59" s="147" t="str">
        <f>IF(AND($C59&lt;&gt;"",$K59&lt;&gt;"Full Refresher"),'G3 MT Reading Scoresheet'!$R62/7,"")</f>
        <v/>
      </c>
      <c r="O59" s="148" t="str">
        <f>IF(AND($C59&lt;&gt;"",$K59&lt;&gt;"Full Refresher"),'G3 FIL Reading Scoresheet'!$P62,"")</f>
        <v/>
      </c>
      <c r="P59" s="149" t="str">
        <f>'G3 FIL Reading Scoresheet'!$U62</f>
        <v/>
      </c>
      <c r="Q59" s="158" t="str">
        <f>'G3 ENG Reading Scoresheet'!$I62</f>
        <v/>
      </c>
      <c r="R59" s="159" t="str">
        <f>IF($C59&lt;&gt;"",'G3 ENG Reading Scoresheet'!$H62/20,"")</f>
        <v/>
      </c>
      <c r="S59" s="159" t="str">
        <f>IF(AND($C59&lt;&gt;"",$Q59&lt;&gt;"Full Refresher"),'G3 ENG Reading Scoresheet'!$P62,"")</f>
        <v/>
      </c>
      <c r="T59" s="160" t="str">
        <f>IF(AND($C59&lt;&gt;"",$Q59&lt;&gt;"Full Refresher"),'G3 ENG Reading Scoresheet'!$Q62/6,"")</f>
        <v/>
      </c>
      <c r="U59" s="161" t="str">
        <f>IF(AND($C59&lt;&gt;"",$O59&lt;&gt;"Full Refresher"),'G3 ENG Reading Scoresheet'!$O62,"")</f>
        <v/>
      </c>
      <c r="V59" s="162" t="str">
        <f>'G3 ENG Reading Scoresheet'!$T62</f>
        <v/>
      </c>
      <c r="W59" s="163" t="str">
        <f>CONCATENATE(IF(ISBLANK('G3 MT Reading Scoresheet'!V62),"",CONCATENATE("MT:",TRIM('G3 MT Reading Scoresheet'!V62)))," ",IF(ISBLANK('G3 FIL Reading Scoresheet'!V62),"",CONCATENATE("FIL:",TRIM('G3 FIL Reading Scoresheet'!V62)))," ",IF(ISBLANK('G3 ENG Reading Scoresheet'!U62),"",CONCATENATE("ENG:",TRIM('G3 ENG Reading Scoresheet'!U62))))</f>
        <v/>
      </c>
    </row>
    <row r="60" spans="1:23">
      <c r="A60" s="119">
        <v>53</v>
      </c>
      <c r="B60" s="133" t="str">
        <f>IF('G3 MT Reading Scoresheet'!B63&lt;&gt;"",'G3 MT Reading Scoresheet'!B63,"")</f>
        <v/>
      </c>
      <c r="C60" s="134" t="str">
        <f>IF('G3 MT Reading Scoresheet'!C63&lt;&gt;"",'G3 MT Reading Scoresheet'!C63,"")</f>
        <v/>
      </c>
      <c r="D60" s="135" t="str">
        <f>IF('G3 MT Reading Scoresheet'!D63&lt;&gt;"",'G3 MT Reading Scoresheet'!D63,"")</f>
        <v/>
      </c>
      <c r="E60" s="130" t="str">
        <f>'G3 MT Reading Scoresheet'!$J63</f>
        <v/>
      </c>
      <c r="F60" s="131" t="str">
        <f>IF(C60&lt;&gt;"",'G3 MT Reading Scoresheet'!$I63/30,"")</f>
        <v/>
      </c>
      <c r="G60" s="131" t="str">
        <f>IF(AND($C60&lt;&gt;"",$E60&lt;&gt;"Full Refresher"),'G3 MT Reading Scoresheet'!$Q63,"")</f>
        <v/>
      </c>
      <c r="H60" s="132" t="str">
        <f>IF(AND(C60&lt;&gt;"",E60&lt;&gt;"Full Refresher"),'G3 MT Reading Scoresheet'!$R63/7,"")</f>
        <v/>
      </c>
      <c r="I60" s="143" t="str">
        <f>IF(AND($C60&lt;&gt;"",$E60&lt;&gt;"Full Refresher"),'G3 MT Reading Scoresheet'!$P63,"")</f>
        <v/>
      </c>
      <c r="J60" s="144" t="str">
        <f>'G3 MT Reading Scoresheet'!$U63</f>
        <v/>
      </c>
      <c r="K60" s="145" t="str">
        <f>'G3 FIL Reading Scoresheet'!$J63</f>
        <v/>
      </c>
      <c r="L60" s="146" t="str">
        <f>IF($C60&lt;&gt;"",'G3 FIL Reading Scoresheet'!$I63/30,"")</f>
        <v/>
      </c>
      <c r="M60" s="146" t="str">
        <f>IF(AND($C60&lt;&gt;"",$K60&lt;&gt;"Full Refresher"),'G3 MT Reading Scoresheet'!$Q63,"")</f>
        <v/>
      </c>
      <c r="N60" s="147" t="str">
        <f>IF(AND($C60&lt;&gt;"",$K60&lt;&gt;"Full Refresher"),'G3 MT Reading Scoresheet'!$R63/7,"")</f>
        <v/>
      </c>
      <c r="O60" s="148" t="str">
        <f>IF(AND($C60&lt;&gt;"",$K60&lt;&gt;"Full Refresher"),'G3 FIL Reading Scoresheet'!$P63,"")</f>
        <v/>
      </c>
      <c r="P60" s="149" t="str">
        <f>'G3 FIL Reading Scoresheet'!$U63</f>
        <v/>
      </c>
      <c r="Q60" s="158" t="str">
        <f>'G3 ENG Reading Scoresheet'!$I63</f>
        <v/>
      </c>
      <c r="R60" s="159" t="str">
        <f>IF($C60&lt;&gt;"",'G3 ENG Reading Scoresheet'!$H63/20,"")</f>
        <v/>
      </c>
      <c r="S60" s="159" t="str">
        <f>IF(AND($C60&lt;&gt;"",$Q60&lt;&gt;"Full Refresher"),'G3 ENG Reading Scoresheet'!$P63,"")</f>
        <v/>
      </c>
      <c r="T60" s="160" t="str">
        <f>IF(AND($C60&lt;&gt;"",$Q60&lt;&gt;"Full Refresher"),'G3 ENG Reading Scoresheet'!$Q63/6,"")</f>
        <v/>
      </c>
      <c r="U60" s="161" t="str">
        <f>IF(AND($C60&lt;&gt;"",$O60&lt;&gt;"Full Refresher"),'G3 ENG Reading Scoresheet'!$O63,"")</f>
        <v/>
      </c>
      <c r="V60" s="162" t="str">
        <f>'G3 ENG Reading Scoresheet'!$T63</f>
        <v/>
      </c>
      <c r="W60" s="164" t="str">
        <f>CONCATENATE(IF(ISBLANK('G3 MT Reading Scoresheet'!V63),"",CONCATENATE("MT:",TRIM('G3 MT Reading Scoresheet'!V63)))," ",IF(ISBLANK('G3 FIL Reading Scoresheet'!V63),"",CONCATENATE("FIL:",TRIM('G3 FIL Reading Scoresheet'!V63)))," ",IF(ISBLANK('G3 ENG Reading Scoresheet'!U63),"",CONCATENATE("ENG:",TRIM('G3 ENG Reading Scoresheet'!U63))))</f>
        <v/>
      </c>
    </row>
    <row r="61" spans="1:23">
      <c r="A61" s="126">
        <v>54</v>
      </c>
      <c r="B61" s="127" t="str">
        <f>IF('G3 MT Reading Scoresheet'!B64&lt;&gt;"",'G3 MT Reading Scoresheet'!B64,"")</f>
        <v/>
      </c>
      <c r="C61" s="128" t="str">
        <f>IF('G3 MT Reading Scoresheet'!C64&lt;&gt;"",'G3 MT Reading Scoresheet'!C64,"")</f>
        <v/>
      </c>
      <c r="D61" s="129" t="str">
        <f>IF('G3 MT Reading Scoresheet'!D64&lt;&gt;"",'G3 MT Reading Scoresheet'!D64,"")</f>
        <v/>
      </c>
      <c r="E61" s="130" t="str">
        <f>'G3 MT Reading Scoresheet'!$J64</f>
        <v/>
      </c>
      <c r="F61" s="131" t="str">
        <f>IF(C61&lt;&gt;"",'G3 MT Reading Scoresheet'!$I64/30,"")</f>
        <v/>
      </c>
      <c r="G61" s="131" t="str">
        <f>IF(AND($C61&lt;&gt;"",$E61&lt;&gt;"Full Refresher"),'G3 MT Reading Scoresheet'!$Q64,"")</f>
        <v/>
      </c>
      <c r="H61" s="132" t="str">
        <f>IF(AND(C61&lt;&gt;"",E61&lt;&gt;"Full Refresher"),'G3 MT Reading Scoresheet'!$R64/7,"")</f>
        <v/>
      </c>
      <c r="I61" s="143" t="str">
        <f>IF(AND($C61&lt;&gt;"",$E61&lt;&gt;"Full Refresher"),'G3 MT Reading Scoresheet'!$P64,"")</f>
        <v/>
      </c>
      <c r="J61" s="144" t="str">
        <f>'G3 MT Reading Scoresheet'!$U64</f>
        <v/>
      </c>
      <c r="K61" s="145" t="str">
        <f>'G3 FIL Reading Scoresheet'!$J64</f>
        <v/>
      </c>
      <c r="L61" s="146" t="str">
        <f>IF($C61&lt;&gt;"",'G3 FIL Reading Scoresheet'!$I64/30,"")</f>
        <v/>
      </c>
      <c r="M61" s="146" t="str">
        <f>IF(AND($C61&lt;&gt;"",$K61&lt;&gt;"Full Refresher"),'G3 MT Reading Scoresheet'!$Q64,"")</f>
        <v/>
      </c>
      <c r="N61" s="147" t="str">
        <f>IF(AND($C61&lt;&gt;"",$K61&lt;&gt;"Full Refresher"),'G3 MT Reading Scoresheet'!$R64/7,"")</f>
        <v/>
      </c>
      <c r="O61" s="148" t="str">
        <f>IF(AND($C61&lt;&gt;"",$K61&lt;&gt;"Full Refresher"),'G3 FIL Reading Scoresheet'!$P64,"")</f>
        <v/>
      </c>
      <c r="P61" s="149" t="str">
        <f>'G3 FIL Reading Scoresheet'!$U64</f>
        <v/>
      </c>
      <c r="Q61" s="158" t="str">
        <f>'G3 ENG Reading Scoresheet'!$I64</f>
        <v/>
      </c>
      <c r="R61" s="159" t="str">
        <f>IF($C61&lt;&gt;"",'G3 ENG Reading Scoresheet'!$H64/20,"")</f>
        <v/>
      </c>
      <c r="S61" s="159" t="str">
        <f>IF(AND($C61&lt;&gt;"",$Q61&lt;&gt;"Full Refresher"),'G3 ENG Reading Scoresheet'!$P64,"")</f>
        <v/>
      </c>
      <c r="T61" s="160" t="str">
        <f>IF(AND($C61&lt;&gt;"",$Q61&lt;&gt;"Full Refresher"),'G3 ENG Reading Scoresheet'!$Q64/6,"")</f>
        <v/>
      </c>
      <c r="U61" s="161" t="str">
        <f>IF(AND($C61&lt;&gt;"",$O61&lt;&gt;"Full Refresher"),'G3 ENG Reading Scoresheet'!$O64,"")</f>
        <v/>
      </c>
      <c r="V61" s="162" t="str">
        <f>'G3 ENG Reading Scoresheet'!$T64</f>
        <v/>
      </c>
      <c r="W61" s="163" t="str">
        <f>CONCATENATE(IF(ISBLANK('G3 MT Reading Scoresheet'!V64),"",CONCATENATE("MT:",TRIM('G3 MT Reading Scoresheet'!V64)))," ",IF(ISBLANK('G3 FIL Reading Scoresheet'!V64),"",CONCATENATE("FIL:",TRIM('G3 FIL Reading Scoresheet'!V64)))," ",IF(ISBLANK('G3 ENG Reading Scoresheet'!U64),"",CONCATENATE("ENG:",TRIM('G3 ENG Reading Scoresheet'!U64))))</f>
        <v/>
      </c>
    </row>
    <row r="62" spans="1:23">
      <c r="A62" s="119">
        <v>55</v>
      </c>
      <c r="B62" s="133" t="str">
        <f>IF('G3 MT Reading Scoresheet'!B65&lt;&gt;"",'G3 MT Reading Scoresheet'!B65,"")</f>
        <v/>
      </c>
      <c r="C62" s="134" t="str">
        <f>IF('G3 MT Reading Scoresheet'!C65&lt;&gt;"",'G3 MT Reading Scoresheet'!C65,"")</f>
        <v/>
      </c>
      <c r="D62" s="135" t="str">
        <f>IF('G3 MT Reading Scoresheet'!D65&lt;&gt;"",'G3 MT Reading Scoresheet'!D65,"")</f>
        <v/>
      </c>
      <c r="E62" s="130" t="str">
        <f>'G3 MT Reading Scoresheet'!$J65</f>
        <v/>
      </c>
      <c r="F62" s="131" t="str">
        <f>IF(C62&lt;&gt;"",'G3 MT Reading Scoresheet'!$I65/30,"")</f>
        <v/>
      </c>
      <c r="G62" s="131" t="str">
        <f>IF(AND($C62&lt;&gt;"",$E62&lt;&gt;"Full Refresher"),'G3 MT Reading Scoresheet'!$Q65,"")</f>
        <v/>
      </c>
      <c r="H62" s="132" t="str">
        <f>IF(AND(C62&lt;&gt;"",E62&lt;&gt;"Full Refresher"),'G3 MT Reading Scoresheet'!$R65/7,"")</f>
        <v/>
      </c>
      <c r="I62" s="143" t="str">
        <f>IF(AND($C62&lt;&gt;"",$E62&lt;&gt;"Full Refresher"),'G3 MT Reading Scoresheet'!$P65,"")</f>
        <v/>
      </c>
      <c r="J62" s="144" t="str">
        <f>'G3 MT Reading Scoresheet'!$U65</f>
        <v/>
      </c>
      <c r="K62" s="145" t="str">
        <f>'G3 FIL Reading Scoresheet'!$J65</f>
        <v/>
      </c>
      <c r="L62" s="146" t="str">
        <f>IF($C62&lt;&gt;"",'G3 FIL Reading Scoresheet'!$I65/30,"")</f>
        <v/>
      </c>
      <c r="M62" s="146" t="str">
        <f>IF(AND($C62&lt;&gt;"",$K62&lt;&gt;"Full Refresher"),'G3 MT Reading Scoresheet'!$Q65,"")</f>
        <v/>
      </c>
      <c r="N62" s="147" t="str">
        <f>IF(AND($C62&lt;&gt;"",$K62&lt;&gt;"Full Refresher"),'G3 MT Reading Scoresheet'!$R65/7,"")</f>
        <v/>
      </c>
      <c r="O62" s="148" t="str">
        <f>IF(AND($C62&lt;&gt;"",$K62&lt;&gt;"Full Refresher"),'G3 FIL Reading Scoresheet'!$P65,"")</f>
        <v/>
      </c>
      <c r="P62" s="149" t="str">
        <f>'G3 FIL Reading Scoresheet'!$U65</f>
        <v/>
      </c>
      <c r="Q62" s="158" t="str">
        <f>'G3 ENG Reading Scoresheet'!$I65</f>
        <v/>
      </c>
      <c r="R62" s="159" t="str">
        <f>IF($C62&lt;&gt;"",'G3 ENG Reading Scoresheet'!$H65/20,"")</f>
        <v/>
      </c>
      <c r="S62" s="159" t="str">
        <f>IF(AND($C62&lt;&gt;"",$Q62&lt;&gt;"Full Refresher"),'G3 ENG Reading Scoresheet'!$P65,"")</f>
        <v/>
      </c>
      <c r="T62" s="160" t="str">
        <f>IF(AND($C62&lt;&gt;"",$Q62&lt;&gt;"Full Refresher"),'G3 ENG Reading Scoresheet'!$Q65/6,"")</f>
        <v/>
      </c>
      <c r="U62" s="161" t="str">
        <f>IF(AND($C62&lt;&gt;"",$O62&lt;&gt;"Full Refresher"),'G3 ENG Reading Scoresheet'!$O65,"")</f>
        <v/>
      </c>
      <c r="V62" s="162" t="str">
        <f>'G3 ENG Reading Scoresheet'!$T65</f>
        <v/>
      </c>
      <c r="W62" s="164" t="str">
        <f>CONCATENATE(IF(ISBLANK('G3 MT Reading Scoresheet'!V65),"",CONCATENATE("MT:",TRIM('G3 MT Reading Scoresheet'!V65)))," ",IF(ISBLANK('G3 FIL Reading Scoresheet'!V65),"",CONCATENATE("FIL:",TRIM('G3 FIL Reading Scoresheet'!V65)))," ",IF(ISBLANK('G3 ENG Reading Scoresheet'!U65),"",CONCATENATE("ENG:",TRIM('G3 ENG Reading Scoresheet'!U65))))</f>
        <v/>
      </c>
    </row>
    <row r="63" spans="1:23">
      <c r="A63" s="126">
        <v>56</v>
      </c>
      <c r="B63" s="127" t="str">
        <f>IF('G3 MT Reading Scoresheet'!B66&lt;&gt;"",'G3 MT Reading Scoresheet'!B66,"")</f>
        <v/>
      </c>
      <c r="C63" s="128" t="str">
        <f>IF('G3 MT Reading Scoresheet'!C66&lt;&gt;"",'G3 MT Reading Scoresheet'!C66,"")</f>
        <v/>
      </c>
      <c r="D63" s="129" t="str">
        <f>IF('G3 MT Reading Scoresheet'!D66&lt;&gt;"",'G3 MT Reading Scoresheet'!D66,"")</f>
        <v/>
      </c>
      <c r="E63" s="130" t="str">
        <f>'G3 MT Reading Scoresheet'!$J66</f>
        <v/>
      </c>
      <c r="F63" s="131" t="str">
        <f>IF(C63&lt;&gt;"",'G3 MT Reading Scoresheet'!$I66/30,"")</f>
        <v/>
      </c>
      <c r="G63" s="131" t="str">
        <f>IF(AND($C63&lt;&gt;"",$E63&lt;&gt;"Full Refresher"),'G3 MT Reading Scoresheet'!$Q66,"")</f>
        <v/>
      </c>
      <c r="H63" s="132" t="str">
        <f>IF(AND(C63&lt;&gt;"",E63&lt;&gt;"Full Refresher"),'G3 MT Reading Scoresheet'!$R66/7,"")</f>
        <v/>
      </c>
      <c r="I63" s="143" t="str">
        <f>IF(AND($C63&lt;&gt;"",$E63&lt;&gt;"Full Refresher"),'G3 MT Reading Scoresheet'!$P66,"")</f>
        <v/>
      </c>
      <c r="J63" s="144" t="str">
        <f>'G3 MT Reading Scoresheet'!$U66</f>
        <v/>
      </c>
      <c r="K63" s="145" t="str">
        <f>'G3 FIL Reading Scoresheet'!$J66</f>
        <v/>
      </c>
      <c r="L63" s="146" t="str">
        <f>IF($C63&lt;&gt;"",'G3 FIL Reading Scoresheet'!$I66/30,"")</f>
        <v/>
      </c>
      <c r="M63" s="146" t="str">
        <f>IF(AND($C63&lt;&gt;"",$K63&lt;&gt;"Full Refresher"),'G3 MT Reading Scoresheet'!$Q66,"")</f>
        <v/>
      </c>
      <c r="N63" s="147" t="str">
        <f>IF(AND($C63&lt;&gt;"",$K63&lt;&gt;"Full Refresher"),'G3 MT Reading Scoresheet'!$R66/7,"")</f>
        <v/>
      </c>
      <c r="O63" s="148" t="str">
        <f>IF(AND($C63&lt;&gt;"",$K63&lt;&gt;"Full Refresher"),'G3 FIL Reading Scoresheet'!$P66,"")</f>
        <v/>
      </c>
      <c r="P63" s="149" t="str">
        <f>'G3 FIL Reading Scoresheet'!$U66</f>
        <v/>
      </c>
      <c r="Q63" s="158" t="str">
        <f>'G3 ENG Reading Scoresheet'!$I66</f>
        <v/>
      </c>
      <c r="R63" s="159" t="str">
        <f>IF($C63&lt;&gt;"",'G3 ENG Reading Scoresheet'!$H66/20,"")</f>
        <v/>
      </c>
      <c r="S63" s="159" t="str">
        <f>IF(AND($C63&lt;&gt;"",$Q63&lt;&gt;"Full Refresher"),'G3 ENG Reading Scoresheet'!$P66,"")</f>
        <v/>
      </c>
      <c r="T63" s="160" t="str">
        <f>IF(AND($C63&lt;&gt;"",$Q63&lt;&gt;"Full Refresher"),'G3 ENG Reading Scoresheet'!$Q66/6,"")</f>
        <v/>
      </c>
      <c r="U63" s="161" t="str">
        <f>IF(AND($C63&lt;&gt;"",$O63&lt;&gt;"Full Refresher"),'G3 ENG Reading Scoresheet'!$O66,"")</f>
        <v/>
      </c>
      <c r="V63" s="162" t="str">
        <f>'G3 ENG Reading Scoresheet'!$T66</f>
        <v/>
      </c>
      <c r="W63" s="163" t="str">
        <f>CONCATENATE(IF(ISBLANK('G3 MT Reading Scoresheet'!V66),"",CONCATENATE("MT:",TRIM('G3 MT Reading Scoresheet'!V66)))," ",IF(ISBLANK('G3 FIL Reading Scoresheet'!V66),"",CONCATENATE("FIL:",TRIM('G3 FIL Reading Scoresheet'!V66)))," ",IF(ISBLANK('G3 ENG Reading Scoresheet'!U66),"",CONCATENATE("ENG:",TRIM('G3 ENG Reading Scoresheet'!U66))))</f>
        <v/>
      </c>
    </row>
    <row r="64" spans="1:23">
      <c r="A64" s="119">
        <v>57</v>
      </c>
      <c r="B64" s="133" t="str">
        <f>IF('G3 MT Reading Scoresheet'!B67&lt;&gt;"",'G3 MT Reading Scoresheet'!B67,"")</f>
        <v/>
      </c>
      <c r="C64" s="134" t="str">
        <f>IF('G3 MT Reading Scoresheet'!C67&lt;&gt;"",'G3 MT Reading Scoresheet'!C67,"")</f>
        <v/>
      </c>
      <c r="D64" s="135" t="str">
        <f>IF('G3 MT Reading Scoresheet'!D67&lt;&gt;"",'G3 MT Reading Scoresheet'!D67,"")</f>
        <v/>
      </c>
      <c r="E64" s="130" t="str">
        <f>'G3 MT Reading Scoresheet'!$J67</f>
        <v/>
      </c>
      <c r="F64" s="131" t="str">
        <f>IF(C64&lt;&gt;"",'G3 MT Reading Scoresheet'!$I67/30,"")</f>
        <v/>
      </c>
      <c r="G64" s="131" t="str">
        <f>IF(AND($C64&lt;&gt;"",$E64&lt;&gt;"Full Refresher"),'G3 MT Reading Scoresheet'!$Q67,"")</f>
        <v/>
      </c>
      <c r="H64" s="132" t="str">
        <f>IF(AND(C64&lt;&gt;"",E64&lt;&gt;"Full Refresher"),'G3 MT Reading Scoresheet'!$R67/7,"")</f>
        <v/>
      </c>
      <c r="I64" s="143" t="str">
        <f>IF(AND($C64&lt;&gt;"",$E64&lt;&gt;"Full Refresher"),'G3 MT Reading Scoresheet'!$P67,"")</f>
        <v/>
      </c>
      <c r="J64" s="144" t="str">
        <f>'G3 MT Reading Scoresheet'!$U67</f>
        <v/>
      </c>
      <c r="K64" s="145" t="str">
        <f>'G3 FIL Reading Scoresheet'!$J67</f>
        <v/>
      </c>
      <c r="L64" s="146" t="str">
        <f>IF($C64&lt;&gt;"",'G3 FIL Reading Scoresheet'!$I67/30,"")</f>
        <v/>
      </c>
      <c r="M64" s="146" t="str">
        <f>IF(AND($C64&lt;&gt;"",$K64&lt;&gt;"Full Refresher"),'G3 MT Reading Scoresheet'!$Q67,"")</f>
        <v/>
      </c>
      <c r="N64" s="147" t="str">
        <f>IF(AND($C64&lt;&gt;"",$K64&lt;&gt;"Full Refresher"),'G3 MT Reading Scoresheet'!$R67/7,"")</f>
        <v/>
      </c>
      <c r="O64" s="148" t="str">
        <f>IF(AND($C64&lt;&gt;"",$K64&lt;&gt;"Full Refresher"),'G3 FIL Reading Scoresheet'!$P67,"")</f>
        <v/>
      </c>
      <c r="P64" s="149" t="str">
        <f>'G3 FIL Reading Scoresheet'!$U67</f>
        <v/>
      </c>
      <c r="Q64" s="158" t="str">
        <f>'G3 ENG Reading Scoresheet'!$I67</f>
        <v/>
      </c>
      <c r="R64" s="159" t="str">
        <f>IF($C64&lt;&gt;"",'G3 ENG Reading Scoresheet'!$H67/20,"")</f>
        <v/>
      </c>
      <c r="S64" s="159" t="str">
        <f>IF(AND($C64&lt;&gt;"",$Q64&lt;&gt;"Full Refresher"),'G3 ENG Reading Scoresheet'!$P67,"")</f>
        <v/>
      </c>
      <c r="T64" s="160" t="str">
        <f>IF(AND($C64&lt;&gt;"",$Q64&lt;&gt;"Full Refresher"),'G3 ENG Reading Scoresheet'!$Q67/6,"")</f>
        <v/>
      </c>
      <c r="U64" s="161" t="str">
        <f>IF(AND($C64&lt;&gt;"",$O64&lt;&gt;"Full Refresher"),'G3 ENG Reading Scoresheet'!$O67,"")</f>
        <v/>
      </c>
      <c r="V64" s="162" t="str">
        <f>'G3 ENG Reading Scoresheet'!$T67</f>
        <v/>
      </c>
      <c r="W64" s="164" t="str">
        <f>CONCATENATE(IF(ISBLANK('G3 MT Reading Scoresheet'!V67),"",CONCATENATE("MT:",TRIM('G3 MT Reading Scoresheet'!V67)))," ",IF(ISBLANK('G3 FIL Reading Scoresheet'!V67),"",CONCATENATE("FIL:",TRIM('G3 FIL Reading Scoresheet'!V67)))," ",IF(ISBLANK('G3 ENG Reading Scoresheet'!U67),"",CONCATENATE("ENG:",TRIM('G3 ENG Reading Scoresheet'!U67))))</f>
        <v/>
      </c>
    </row>
    <row r="65" spans="1:23">
      <c r="A65" s="126">
        <v>58</v>
      </c>
      <c r="B65" s="127" t="str">
        <f>IF('G3 MT Reading Scoresheet'!B68&lt;&gt;"",'G3 MT Reading Scoresheet'!B68,"")</f>
        <v/>
      </c>
      <c r="C65" s="128" t="str">
        <f>IF('G3 MT Reading Scoresheet'!C68&lt;&gt;"",'G3 MT Reading Scoresheet'!C68,"")</f>
        <v/>
      </c>
      <c r="D65" s="129" t="str">
        <f>IF('G3 MT Reading Scoresheet'!D68&lt;&gt;"",'G3 MT Reading Scoresheet'!D68,"")</f>
        <v/>
      </c>
      <c r="E65" s="130" t="str">
        <f>'G3 MT Reading Scoresheet'!$J68</f>
        <v/>
      </c>
      <c r="F65" s="131" t="str">
        <f>IF(C65&lt;&gt;"",'G3 MT Reading Scoresheet'!$I68/30,"")</f>
        <v/>
      </c>
      <c r="G65" s="131" t="str">
        <f>IF(AND($C65&lt;&gt;"",$E65&lt;&gt;"Full Refresher"),'G3 MT Reading Scoresheet'!$Q68,"")</f>
        <v/>
      </c>
      <c r="H65" s="132" t="str">
        <f>IF(AND(C65&lt;&gt;"",E65&lt;&gt;"Full Refresher"),'G3 MT Reading Scoresheet'!$R68/7,"")</f>
        <v/>
      </c>
      <c r="I65" s="143" t="str">
        <f>IF(AND($C65&lt;&gt;"",$E65&lt;&gt;"Full Refresher"),'G3 MT Reading Scoresheet'!$P68,"")</f>
        <v/>
      </c>
      <c r="J65" s="144" t="str">
        <f>'G3 MT Reading Scoresheet'!$U68</f>
        <v/>
      </c>
      <c r="K65" s="145" t="str">
        <f>'G3 FIL Reading Scoresheet'!$J68</f>
        <v/>
      </c>
      <c r="L65" s="146" t="str">
        <f>IF($C65&lt;&gt;"",'G3 FIL Reading Scoresheet'!$I68/30,"")</f>
        <v/>
      </c>
      <c r="M65" s="146" t="str">
        <f>IF(AND($C65&lt;&gt;"",$K65&lt;&gt;"Full Refresher"),'G3 MT Reading Scoresheet'!$Q68,"")</f>
        <v/>
      </c>
      <c r="N65" s="147" t="str">
        <f>IF(AND($C65&lt;&gt;"",$K65&lt;&gt;"Full Refresher"),'G3 MT Reading Scoresheet'!$R68/7,"")</f>
        <v/>
      </c>
      <c r="O65" s="148" t="str">
        <f>IF(AND($C65&lt;&gt;"",$K65&lt;&gt;"Full Refresher"),'G3 FIL Reading Scoresheet'!$P68,"")</f>
        <v/>
      </c>
      <c r="P65" s="149" t="str">
        <f>'G3 FIL Reading Scoresheet'!$U68</f>
        <v/>
      </c>
      <c r="Q65" s="158" t="str">
        <f>'G3 ENG Reading Scoresheet'!$I68</f>
        <v/>
      </c>
      <c r="R65" s="159" t="str">
        <f>IF($C65&lt;&gt;"",'G3 ENG Reading Scoresheet'!$H68/20,"")</f>
        <v/>
      </c>
      <c r="S65" s="159" t="str">
        <f>IF(AND($C65&lt;&gt;"",$Q65&lt;&gt;"Full Refresher"),'G3 ENG Reading Scoresheet'!$P68,"")</f>
        <v/>
      </c>
      <c r="T65" s="160" t="str">
        <f>IF(AND($C65&lt;&gt;"",$Q65&lt;&gt;"Full Refresher"),'G3 ENG Reading Scoresheet'!$Q68/6,"")</f>
        <v/>
      </c>
      <c r="U65" s="161" t="str">
        <f>IF(AND($C65&lt;&gt;"",$O65&lt;&gt;"Full Refresher"),'G3 ENG Reading Scoresheet'!$O68,"")</f>
        <v/>
      </c>
      <c r="V65" s="162" t="str">
        <f>'G3 ENG Reading Scoresheet'!$T68</f>
        <v/>
      </c>
      <c r="W65" s="163" t="str">
        <f>CONCATENATE(IF(ISBLANK('G3 MT Reading Scoresheet'!V68),"",CONCATENATE("MT:",TRIM('G3 MT Reading Scoresheet'!V68)))," ",IF(ISBLANK('G3 FIL Reading Scoresheet'!V68),"",CONCATENATE("FIL:",TRIM('G3 FIL Reading Scoresheet'!V68)))," ",IF(ISBLANK('G3 ENG Reading Scoresheet'!U68),"",CONCATENATE("ENG:",TRIM('G3 ENG Reading Scoresheet'!U68))))</f>
        <v/>
      </c>
    </row>
    <row r="66" spans="1:23">
      <c r="A66" s="119">
        <v>59</v>
      </c>
      <c r="B66" s="133" t="str">
        <f>IF('G3 MT Reading Scoresheet'!B69&lt;&gt;"",'G3 MT Reading Scoresheet'!B69,"")</f>
        <v/>
      </c>
      <c r="C66" s="134" t="str">
        <f>IF('G3 MT Reading Scoresheet'!C69&lt;&gt;"",'G3 MT Reading Scoresheet'!C69,"")</f>
        <v/>
      </c>
      <c r="D66" s="135" t="str">
        <f>IF('G3 MT Reading Scoresheet'!D69&lt;&gt;"",'G3 MT Reading Scoresheet'!D69,"")</f>
        <v/>
      </c>
      <c r="E66" s="130" t="str">
        <f>'G3 MT Reading Scoresheet'!$J69</f>
        <v/>
      </c>
      <c r="F66" s="131" t="str">
        <f>IF(C66&lt;&gt;"",'G3 MT Reading Scoresheet'!$I69/30,"")</f>
        <v/>
      </c>
      <c r="G66" s="131" t="str">
        <f>IF(AND($C66&lt;&gt;"",$E66&lt;&gt;"Full Refresher"),'G3 MT Reading Scoresheet'!$Q69,"")</f>
        <v/>
      </c>
      <c r="H66" s="132" t="str">
        <f>IF(AND(C66&lt;&gt;"",E66&lt;&gt;"Full Refresher"),'G3 MT Reading Scoresheet'!$R69/7,"")</f>
        <v/>
      </c>
      <c r="I66" s="143" t="str">
        <f>IF(AND($C66&lt;&gt;"",$E66&lt;&gt;"Full Refresher"),'G3 MT Reading Scoresheet'!$P69,"")</f>
        <v/>
      </c>
      <c r="J66" s="144" t="str">
        <f>'G3 MT Reading Scoresheet'!$U69</f>
        <v/>
      </c>
      <c r="K66" s="145" t="str">
        <f>'G3 FIL Reading Scoresheet'!$J69</f>
        <v/>
      </c>
      <c r="L66" s="146" t="str">
        <f>IF($C66&lt;&gt;"",'G3 FIL Reading Scoresheet'!$I69/30,"")</f>
        <v/>
      </c>
      <c r="M66" s="146" t="str">
        <f>IF(AND($C66&lt;&gt;"",$K66&lt;&gt;"Full Refresher"),'G3 MT Reading Scoresheet'!$Q69,"")</f>
        <v/>
      </c>
      <c r="N66" s="147" t="str">
        <f>IF(AND($C66&lt;&gt;"",$K66&lt;&gt;"Full Refresher"),'G3 MT Reading Scoresheet'!$R69/7,"")</f>
        <v/>
      </c>
      <c r="O66" s="148" t="str">
        <f>IF(AND($C66&lt;&gt;"",$K66&lt;&gt;"Full Refresher"),'G3 FIL Reading Scoresheet'!$P69,"")</f>
        <v/>
      </c>
      <c r="P66" s="149" t="str">
        <f>'G3 FIL Reading Scoresheet'!$U69</f>
        <v/>
      </c>
      <c r="Q66" s="158" t="str">
        <f>'G3 ENG Reading Scoresheet'!$I69</f>
        <v/>
      </c>
      <c r="R66" s="159" t="str">
        <f>IF($C66&lt;&gt;"",'G3 ENG Reading Scoresheet'!$H69/20,"")</f>
        <v/>
      </c>
      <c r="S66" s="159" t="str">
        <f>IF(AND($C66&lt;&gt;"",$Q66&lt;&gt;"Full Refresher"),'G3 ENG Reading Scoresheet'!$P69,"")</f>
        <v/>
      </c>
      <c r="T66" s="160" t="str">
        <f>IF(AND($C66&lt;&gt;"",$Q66&lt;&gt;"Full Refresher"),'G3 ENG Reading Scoresheet'!$Q69/6,"")</f>
        <v/>
      </c>
      <c r="U66" s="161" t="str">
        <f>IF(AND($C66&lt;&gt;"",$O66&lt;&gt;"Full Refresher"),'G3 ENG Reading Scoresheet'!$O69,"")</f>
        <v/>
      </c>
      <c r="V66" s="162" t="str">
        <f>'G3 ENG Reading Scoresheet'!$T69</f>
        <v/>
      </c>
      <c r="W66" s="164" t="str">
        <f>CONCATENATE(IF(ISBLANK('G3 MT Reading Scoresheet'!V69),"",CONCATENATE("MT:",TRIM('G3 MT Reading Scoresheet'!V69)))," ",IF(ISBLANK('G3 FIL Reading Scoresheet'!V69),"",CONCATENATE("FIL:",TRIM('G3 FIL Reading Scoresheet'!V69)))," ",IF(ISBLANK('G3 ENG Reading Scoresheet'!U69),"",CONCATENATE("ENG:",TRIM('G3 ENG Reading Scoresheet'!U69))))</f>
        <v/>
      </c>
    </row>
    <row r="67" spans="1:23">
      <c r="A67" s="126">
        <f>A66+1</f>
        <v>60</v>
      </c>
      <c r="B67" s="127" t="str">
        <f>IF('G3 MT Reading Scoresheet'!B70&lt;&gt;"",'G3 MT Reading Scoresheet'!B70,"")</f>
        <v/>
      </c>
      <c r="C67" s="128" t="str">
        <f>IF('G3 MT Reading Scoresheet'!C70&lt;&gt;"",'G3 MT Reading Scoresheet'!C70,"")</f>
        <v/>
      </c>
      <c r="D67" s="129" t="str">
        <f>IF('G3 MT Reading Scoresheet'!D70&lt;&gt;"",'G3 MT Reading Scoresheet'!D70,"")</f>
        <v/>
      </c>
      <c r="E67" s="130" t="str">
        <f>'G3 MT Reading Scoresheet'!$J70</f>
        <v/>
      </c>
      <c r="F67" s="131" t="str">
        <f>IF(C67&lt;&gt;"",'G3 MT Reading Scoresheet'!$I70/30,"")</f>
        <v/>
      </c>
      <c r="G67" s="131" t="str">
        <f>IF(AND($C67&lt;&gt;"",$E67&lt;&gt;"Full Refresher"),'G3 MT Reading Scoresheet'!$Q70,"")</f>
        <v/>
      </c>
      <c r="H67" s="132" t="str">
        <f>IF(AND(C67&lt;&gt;"",E67&lt;&gt;"Full Refresher"),'G3 MT Reading Scoresheet'!$R70/7,"")</f>
        <v/>
      </c>
      <c r="I67" s="143" t="str">
        <f>IF(AND($C67&lt;&gt;"",$E67&lt;&gt;"Full Refresher"),'G3 MT Reading Scoresheet'!$P70,"")</f>
        <v/>
      </c>
      <c r="J67" s="144" t="str">
        <f>'G3 MT Reading Scoresheet'!$U70</f>
        <v/>
      </c>
      <c r="K67" s="145" t="str">
        <f>'G3 FIL Reading Scoresheet'!$J70</f>
        <v/>
      </c>
      <c r="L67" s="146" t="str">
        <f>IF($C67&lt;&gt;"",'G3 FIL Reading Scoresheet'!$I70/30,"")</f>
        <v/>
      </c>
      <c r="M67" s="146" t="str">
        <f>IF(AND($C67&lt;&gt;"",$K67&lt;&gt;"Full Refresher"),'G3 MT Reading Scoresheet'!$Q70,"")</f>
        <v/>
      </c>
      <c r="N67" s="147" t="str">
        <f>IF(AND($C67&lt;&gt;"",$K67&lt;&gt;"Full Refresher"),'G3 MT Reading Scoresheet'!$R70/7,"")</f>
        <v/>
      </c>
      <c r="O67" s="148" t="str">
        <f>IF(AND($C67&lt;&gt;"",$K67&lt;&gt;"Full Refresher"),'G3 FIL Reading Scoresheet'!$P70,"")</f>
        <v/>
      </c>
      <c r="P67" s="149" t="str">
        <f>'G3 FIL Reading Scoresheet'!$U70</f>
        <v/>
      </c>
      <c r="Q67" s="158" t="str">
        <f>'G3 ENG Reading Scoresheet'!$I70</f>
        <v/>
      </c>
      <c r="R67" s="159" t="str">
        <f>IF($C67&lt;&gt;"",'G3 ENG Reading Scoresheet'!$H70/20,"")</f>
        <v/>
      </c>
      <c r="S67" s="159" t="str">
        <f>IF(AND($C67&lt;&gt;"",$Q67&lt;&gt;"Full Refresher"),'G3 ENG Reading Scoresheet'!$P70,"")</f>
        <v/>
      </c>
      <c r="T67" s="160" t="str">
        <f>IF(AND($C67&lt;&gt;"",$Q67&lt;&gt;"Full Refresher"),'G3 ENG Reading Scoresheet'!$Q70/6,"")</f>
        <v/>
      </c>
      <c r="U67" s="161" t="str">
        <f>IF(AND($C67&lt;&gt;"",$O67&lt;&gt;"Full Refresher"),'G3 ENG Reading Scoresheet'!$O70,"")</f>
        <v/>
      </c>
      <c r="V67" s="162" t="str">
        <f>'G3 ENG Reading Scoresheet'!$T70</f>
        <v/>
      </c>
      <c r="W67" s="163" t="str">
        <f>CONCATENATE(IF(ISBLANK('G3 MT Reading Scoresheet'!V70),"",CONCATENATE("MT:",TRIM('G3 MT Reading Scoresheet'!V70)))," ",IF(ISBLANK('G3 FIL Reading Scoresheet'!V70),"",CONCATENATE("FIL:",TRIM('G3 FIL Reading Scoresheet'!V70)))," ",IF(ISBLANK('G3 ENG Reading Scoresheet'!U70),"",CONCATENATE("ENG:",TRIM('G3 ENG Reading Scoresheet'!U70))))</f>
        <v/>
      </c>
    </row>
    <row r="68" spans="1:23">
      <c r="A68" s="119">
        <f t="shared" ref="A68:A106" si="0">A67+1</f>
        <v>61</v>
      </c>
      <c r="B68" s="133" t="str">
        <f>IF('G3 MT Reading Scoresheet'!B71&lt;&gt;"",'G3 MT Reading Scoresheet'!B71,"")</f>
        <v/>
      </c>
      <c r="C68" s="134" t="str">
        <f>IF('G3 MT Reading Scoresheet'!C71&lt;&gt;"",'G3 MT Reading Scoresheet'!C71,"")</f>
        <v/>
      </c>
      <c r="D68" s="135" t="str">
        <f>IF('G3 MT Reading Scoresheet'!D71&lt;&gt;"",'G3 MT Reading Scoresheet'!D71,"")</f>
        <v/>
      </c>
      <c r="E68" s="130" t="str">
        <f>'G3 MT Reading Scoresheet'!$J71</f>
        <v/>
      </c>
      <c r="F68" s="131" t="str">
        <f>IF(C68&lt;&gt;"",'G3 MT Reading Scoresheet'!$I71/30,"")</f>
        <v/>
      </c>
      <c r="G68" s="131" t="str">
        <f>IF(AND($C68&lt;&gt;"",$E68&lt;&gt;"Full Refresher"),'G3 MT Reading Scoresheet'!$Q71,"")</f>
        <v/>
      </c>
      <c r="H68" s="132" t="str">
        <f>IF(AND(C68&lt;&gt;"",E68&lt;&gt;"Full Refresher"),'G3 MT Reading Scoresheet'!$R71/7,"")</f>
        <v/>
      </c>
      <c r="I68" s="143" t="str">
        <f>IF(AND($C68&lt;&gt;"",$E68&lt;&gt;"Full Refresher"),'G3 MT Reading Scoresheet'!$P71,"")</f>
        <v/>
      </c>
      <c r="J68" s="144" t="str">
        <f>'G3 MT Reading Scoresheet'!$U71</f>
        <v/>
      </c>
      <c r="K68" s="145" t="str">
        <f>'G3 FIL Reading Scoresheet'!$J71</f>
        <v/>
      </c>
      <c r="L68" s="146" t="str">
        <f>IF($C68&lt;&gt;"",'G3 FIL Reading Scoresheet'!$I71/30,"")</f>
        <v/>
      </c>
      <c r="M68" s="146" t="str">
        <f>IF(AND($C68&lt;&gt;"",$K68&lt;&gt;"Full Refresher"),'G3 MT Reading Scoresheet'!$Q71,"")</f>
        <v/>
      </c>
      <c r="N68" s="147" t="str">
        <f>IF(AND($C68&lt;&gt;"",$K68&lt;&gt;"Full Refresher"),'G3 MT Reading Scoresheet'!$R71/7,"")</f>
        <v/>
      </c>
      <c r="O68" s="148" t="str">
        <f>IF(AND($C68&lt;&gt;"",$K68&lt;&gt;"Full Refresher"),'G3 FIL Reading Scoresheet'!$P71,"")</f>
        <v/>
      </c>
      <c r="P68" s="149" t="str">
        <f>'G3 FIL Reading Scoresheet'!$U71</f>
        <v/>
      </c>
      <c r="Q68" s="158" t="str">
        <f>'G3 ENG Reading Scoresheet'!$I71</f>
        <v/>
      </c>
      <c r="R68" s="159" t="str">
        <f>IF($C68&lt;&gt;"",'G3 ENG Reading Scoresheet'!$H71/20,"")</f>
        <v/>
      </c>
      <c r="S68" s="159" t="str">
        <f>IF(AND($C68&lt;&gt;"",$Q68&lt;&gt;"Full Refresher"),'G3 ENG Reading Scoresheet'!$P71,"")</f>
        <v/>
      </c>
      <c r="T68" s="160" t="str">
        <f>IF(AND($C68&lt;&gt;"",$Q68&lt;&gt;"Full Refresher"),'G3 ENG Reading Scoresheet'!$Q71/6,"")</f>
        <v/>
      </c>
      <c r="U68" s="161" t="str">
        <f>IF(AND($C68&lt;&gt;"",$O68&lt;&gt;"Full Refresher"),'G3 ENG Reading Scoresheet'!$O71,"")</f>
        <v/>
      </c>
      <c r="V68" s="162" t="str">
        <f>'G3 ENG Reading Scoresheet'!$T71</f>
        <v/>
      </c>
      <c r="W68" s="164" t="str">
        <f>CONCATENATE(IF(ISBLANK('G3 MT Reading Scoresheet'!V71),"",CONCATENATE("MT:",TRIM('G3 MT Reading Scoresheet'!V71)))," ",IF(ISBLANK('G3 FIL Reading Scoresheet'!V71),"",CONCATENATE("FIL:",TRIM('G3 FIL Reading Scoresheet'!V71)))," ",IF(ISBLANK('G3 ENG Reading Scoresheet'!U71),"",CONCATENATE("ENG:",TRIM('G3 ENG Reading Scoresheet'!U71))))</f>
        <v/>
      </c>
    </row>
    <row r="69" spans="1:23">
      <c r="A69" s="126">
        <f t="shared" si="0"/>
        <v>62</v>
      </c>
      <c r="B69" s="127" t="str">
        <f>IF('G3 MT Reading Scoresheet'!B72&lt;&gt;"",'G3 MT Reading Scoresheet'!B72,"")</f>
        <v/>
      </c>
      <c r="C69" s="128" t="str">
        <f>IF('G3 MT Reading Scoresheet'!C72&lt;&gt;"",'G3 MT Reading Scoresheet'!C72,"")</f>
        <v/>
      </c>
      <c r="D69" s="129" t="str">
        <f>IF('G3 MT Reading Scoresheet'!D72&lt;&gt;"",'G3 MT Reading Scoresheet'!D72,"")</f>
        <v/>
      </c>
      <c r="E69" s="130" t="str">
        <f>'G3 MT Reading Scoresheet'!$J72</f>
        <v/>
      </c>
      <c r="F69" s="131" t="str">
        <f>IF(C69&lt;&gt;"",'G3 MT Reading Scoresheet'!$I72/30,"")</f>
        <v/>
      </c>
      <c r="G69" s="131" t="str">
        <f>IF(AND($C69&lt;&gt;"",$E69&lt;&gt;"Full Refresher"),'G3 MT Reading Scoresheet'!$Q72,"")</f>
        <v/>
      </c>
      <c r="H69" s="132" t="str">
        <f>IF(AND(C69&lt;&gt;"",E69&lt;&gt;"Full Refresher"),'G3 MT Reading Scoresheet'!$R72/7,"")</f>
        <v/>
      </c>
      <c r="I69" s="143" t="str">
        <f>IF(AND($C69&lt;&gt;"",$E69&lt;&gt;"Full Refresher"),'G3 MT Reading Scoresheet'!$P72,"")</f>
        <v/>
      </c>
      <c r="J69" s="144" t="str">
        <f>'G3 MT Reading Scoresheet'!$U72</f>
        <v/>
      </c>
      <c r="K69" s="145" t="str">
        <f>'G3 FIL Reading Scoresheet'!$J72</f>
        <v/>
      </c>
      <c r="L69" s="146" t="str">
        <f>IF($C69&lt;&gt;"",'G3 FIL Reading Scoresheet'!$I72/30,"")</f>
        <v/>
      </c>
      <c r="M69" s="146" t="str">
        <f>IF(AND($C69&lt;&gt;"",$K69&lt;&gt;"Full Refresher"),'G3 MT Reading Scoresheet'!$Q72,"")</f>
        <v/>
      </c>
      <c r="N69" s="147" t="str">
        <f>IF(AND($C69&lt;&gt;"",$K69&lt;&gt;"Full Refresher"),'G3 MT Reading Scoresheet'!$R72/7,"")</f>
        <v/>
      </c>
      <c r="O69" s="148" t="str">
        <f>IF(AND($C69&lt;&gt;"",$K69&lt;&gt;"Full Refresher"),'G3 FIL Reading Scoresheet'!$P72,"")</f>
        <v/>
      </c>
      <c r="P69" s="149" t="str">
        <f>'G3 FIL Reading Scoresheet'!$U72</f>
        <v/>
      </c>
      <c r="Q69" s="158" t="str">
        <f>'G3 ENG Reading Scoresheet'!$I72</f>
        <v/>
      </c>
      <c r="R69" s="159" t="str">
        <f>IF($C69&lt;&gt;"",'G3 ENG Reading Scoresheet'!$H72/20,"")</f>
        <v/>
      </c>
      <c r="S69" s="159" t="str">
        <f>IF(AND($C69&lt;&gt;"",$Q69&lt;&gt;"Full Refresher"),'G3 ENG Reading Scoresheet'!$P72,"")</f>
        <v/>
      </c>
      <c r="T69" s="160" t="str">
        <f>IF(AND($C69&lt;&gt;"",$Q69&lt;&gt;"Full Refresher"),'G3 ENG Reading Scoresheet'!$Q72/6,"")</f>
        <v/>
      </c>
      <c r="U69" s="161" t="str">
        <f>IF(AND($C69&lt;&gt;"",$O69&lt;&gt;"Full Refresher"),'G3 ENG Reading Scoresheet'!$O72,"")</f>
        <v/>
      </c>
      <c r="V69" s="162" t="str">
        <f>'G3 ENG Reading Scoresheet'!$T72</f>
        <v/>
      </c>
      <c r="W69" s="163" t="str">
        <f>CONCATENATE(IF(ISBLANK('G3 MT Reading Scoresheet'!V72),"",CONCATENATE("MT:",TRIM('G3 MT Reading Scoresheet'!V72)))," ",IF(ISBLANK('G3 FIL Reading Scoresheet'!V72),"",CONCATENATE("FIL:",TRIM('G3 FIL Reading Scoresheet'!V72)))," ",IF(ISBLANK('G3 ENG Reading Scoresheet'!U72),"",CONCATENATE("ENG:",TRIM('G3 ENG Reading Scoresheet'!U72))))</f>
        <v/>
      </c>
    </row>
    <row r="70" spans="1:23">
      <c r="A70" s="119">
        <f t="shared" si="0"/>
        <v>63</v>
      </c>
      <c r="B70" s="133" t="str">
        <f>IF('G3 MT Reading Scoresheet'!B73&lt;&gt;"",'G3 MT Reading Scoresheet'!B73,"")</f>
        <v/>
      </c>
      <c r="C70" s="134" t="str">
        <f>IF('G3 MT Reading Scoresheet'!C73&lt;&gt;"",'G3 MT Reading Scoresheet'!C73,"")</f>
        <v/>
      </c>
      <c r="D70" s="135" t="str">
        <f>IF('G3 MT Reading Scoresheet'!D73&lt;&gt;"",'G3 MT Reading Scoresheet'!D73,"")</f>
        <v/>
      </c>
      <c r="E70" s="130" t="str">
        <f>'G3 MT Reading Scoresheet'!$J73</f>
        <v/>
      </c>
      <c r="F70" s="131" t="str">
        <f>IF(C70&lt;&gt;"",'G3 MT Reading Scoresheet'!$I73/30,"")</f>
        <v/>
      </c>
      <c r="G70" s="131" t="str">
        <f>IF(AND($C70&lt;&gt;"",$E70&lt;&gt;"Full Refresher"),'G3 MT Reading Scoresheet'!$Q73,"")</f>
        <v/>
      </c>
      <c r="H70" s="132" t="str">
        <f>IF(AND(C70&lt;&gt;"",E70&lt;&gt;"Full Refresher"),'G3 MT Reading Scoresheet'!$R73/7,"")</f>
        <v/>
      </c>
      <c r="I70" s="143" t="str">
        <f>IF(AND($C70&lt;&gt;"",$E70&lt;&gt;"Full Refresher"),'G3 MT Reading Scoresheet'!$P73,"")</f>
        <v/>
      </c>
      <c r="J70" s="144" t="str">
        <f>'G3 MT Reading Scoresheet'!$U73</f>
        <v/>
      </c>
      <c r="K70" s="145" t="str">
        <f>'G3 FIL Reading Scoresheet'!$J73</f>
        <v/>
      </c>
      <c r="L70" s="146" t="str">
        <f>IF($C70&lt;&gt;"",'G3 FIL Reading Scoresheet'!$I73/30,"")</f>
        <v/>
      </c>
      <c r="M70" s="146" t="str">
        <f>IF(AND($C70&lt;&gt;"",$K70&lt;&gt;"Full Refresher"),'G3 MT Reading Scoresheet'!$Q73,"")</f>
        <v/>
      </c>
      <c r="N70" s="147" t="str">
        <f>IF(AND($C70&lt;&gt;"",$K70&lt;&gt;"Full Refresher"),'G3 MT Reading Scoresheet'!$R73/7,"")</f>
        <v/>
      </c>
      <c r="O70" s="148" t="str">
        <f>IF(AND($C70&lt;&gt;"",$K70&lt;&gt;"Full Refresher"),'G3 FIL Reading Scoresheet'!$P73,"")</f>
        <v/>
      </c>
      <c r="P70" s="149" t="str">
        <f>'G3 FIL Reading Scoresheet'!$U73</f>
        <v/>
      </c>
      <c r="Q70" s="158" t="str">
        <f>'G3 ENG Reading Scoresheet'!$I73</f>
        <v/>
      </c>
      <c r="R70" s="159" t="str">
        <f>IF($C70&lt;&gt;"",'G3 ENG Reading Scoresheet'!$H73/20,"")</f>
        <v/>
      </c>
      <c r="S70" s="159" t="str">
        <f>IF(AND($C70&lt;&gt;"",$Q70&lt;&gt;"Full Refresher"),'G3 ENG Reading Scoresheet'!$P73,"")</f>
        <v/>
      </c>
      <c r="T70" s="160" t="str">
        <f>IF(AND($C70&lt;&gt;"",$Q70&lt;&gt;"Full Refresher"),'G3 ENG Reading Scoresheet'!$Q73/6,"")</f>
        <v/>
      </c>
      <c r="U70" s="161" t="str">
        <f>IF(AND($C70&lt;&gt;"",$O70&lt;&gt;"Full Refresher"),'G3 ENG Reading Scoresheet'!$O73,"")</f>
        <v/>
      </c>
      <c r="V70" s="162" t="str">
        <f>'G3 ENG Reading Scoresheet'!$T73</f>
        <v/>
      </c>
      <c r="W70" s="164" t="str">
        <f>CONCATENATE(IF(ISBLANK('G3 MT Reading Scoresheet'!V73),"",CONCATENATE("MT:",TRIM('G3 MT Reading Scoresheet'!V73)))," ",IF(ISBLANK('G3 FIL Reading Scoresheet'!V73),"",CONCATENATE("FIL:",TRIM('G3 FIL Reading Scoresheet'!V73)))," ",IF(ISBLANK('G3 ENG Reading Scoresheet'!U73),"",CONCATENATE("ENG:",TRIM('G3 ENG Reading Scoresheet'!U73))))</f>
        <v/>
      </c>
    </row>
    <row r="71" spans="1:23">
      <c r="A71" s="126">
        <f t="shared" si="0"/>
        <v>64</v>
      </c>
      <c r="B71" s="127" t="str">
        <f>IF('G3 MT Reading Scoresheet'!B74&lt;&gt;"",'G3 MT Reading Scoresheet'!B74,"")</f>
        <v/>
      </c>
      <c r="C71" s="128" t="str">
        <f>IF('G3 MT Reading Scoresheet'!C74&lt;&gt;"",'G3 MT Reading Scoresheet'!C74,"")</f>
        <v/>
      </c>
      <c r="D71" s="129" t="str">
        <f>IF('G3 MT Reading Scoresheet'!D74&lt;&gt;"",'G3 MT Reading Scoresheet'!D74,"")</f>
        <v/>
      </c>
      <c r="E71" s="130" t="str">
        <f>'G3 MT Reading Scoresheet'!$J74</f>
        <v/>
      </c>
      <c r="F71" s="131" t="str">
        <f>IF(C71&lt;&gt;"",'G3 MT Reading Scoresheet'!$I74/30,"")</f>
        <v/>
      </c>
      <c r="G71" s="131" t="str">
        <f>IF(AND($C71&lt;&gt;"",$E71&lt;&gt;"Full Refresher"),'G3 MT Reading Scoresheet'!$Q74,"")</f>
        <v/>
      </c>
      <c r="H71" s="132" t="str">
        <f>IF(AND(C71&lt;&gt;"",E71&lt;&gt;"Full Refresher"),'G3 MT Reading Scoresheet'!$R74/7,"")</f>
        <v/>
      </c>
      <c r="I71" s="143" t="str">
        <f>IF(AND($C71&lt;&gt;"",$E71&lt;&gt;"Full Refresher"),'G3 MT Reading Scoresheet'!$P74,"")</f>
        <v/>
      </c>
      <c r="J71" s="144" t="str">
        <f>'G3 MT Reading Scoresheet'!$U74</f>
        <v/>
      </c>
      <c r="K71" s="145" t="str">
        <f>'G3 FIL Reading Scoresheet'!$J74</f>
        <v/>
      </c>
      <c r="L71" s="146" t="str">
        <f>IF($C71&lt;&gt;"",'G3 FIL Reading Scoresheet'!$I74/30,"")</f>
        <v/>
      </c>
      <c r="M71" s="146" t="str">
        <f>IF(AND($C71&lt;&gt;"",$K71&lt;&gt;"Full Refresher"),'G3 MT Reading Scoresheet'!$Q74,"")</f>
        <v/>
      </c>
      <c r="N71" s="147" t="str">
        <f>IF(AND($C71&lt;&gt;"",$K71&lt;&gt;"Full Refresher"),'G3 MT Reading Scoresheet'!$R74/7,"")</f>
        <v/>
      </c>
      <c r="O71" s="148" t="str">
        <f>IF(AND($C71&lt;&gt;"",$K71&lt;&gt;"Full Refresher"),'G3 FIL Reading Scoresheet'!$P74,"")</f>
        <v/>
      </c>
      <c r="P71" s="149" t="str">
        <f>'G3 FIL Reading Scoresheet'!$U74</f>
        <v/>
      </c>
      <c r="Q71" s="158" t="str">
        <f>'G3 ENG Reading Scoresheet'!$I74</f>
        <v/>
      </c>
      <c r="R71" s="159" t="str">
        <f>IF($C71&lt;&gt;"",'G3 ENG Reading Scoresheet'!$H74/20,"")</f>
        <v/>
      </c>
      <c r="S71" s="159" t="str">
        <f>IF(AND($C71&lt;&gt;"",$Q71&lt;&gt;"Full Refresher"),'G3 ENG Reading Scoresheet'!$P74,"")</f>
        <v/>
      </c>
      <c r="T71" s="160" t="str">
        <f>IF(AND($C71&lt;&gt;"",$Q71&lt;&gt;"Full Refresher"),'G3 ENG Reading Scoresheet'!$Q74/6,"")</f>
        <v/>
      </c>
      <c r="U71" s="161" t="str">
        <f>IF(AND($C71&lt;&gt;"",$O71&lt;&gt;"Full Refresher"),'G3 ENG Reading Scoresheet'!$O74,"")</f>
        <v/>
      </c>
      <c r="V71" s="162" t="str">
        <f>'G3 ENG Reading Scoresheet'!$T74</f>
        <v/>
      </c>
      <c r="W71" s="163" t="str">
        <f>CONCATENATE(IF(ISBLANK('G3 MT Reading Scoresheet'!V74),"",CONCATENATE("MT:",TRIM('G3 MT Reading Scoresheet'!V74)))," ",IF(ISBLANK('G3 FIL Reading Scoresheet'!V74),"",CONCATENATE("FIL:",TRIM('G3 FIL Reading Scoresheet'!V74)))," ",IF(ISBLANK('G3 ENG Reading Scoresheet'!U74),"",CONCATENATE("ENG:",TRIM('G3 ENG Reading Scoresheet'!U74))))</f>
        <v/>
      </c>
    </row>
    <row r="72" spans="1:23">
      <c r="A72" s="119">
        <f t="shared" si="0"/>
        <v>65</v>
      </c>
      <c r="B72" s="133" t="str">
        <f>IF('G3 MT Reading Scoresheet'!B75&lt;&gt;"",'G3 MT Reading Scoresheet'!B75,"")</f>
        <v/>
      </c>
      <c r="C72" s="134" t="str">
        <f>IF('G3 MT Reading Scoresheet'!C75&lt;&gt;"",'G3 MT Reading Scoresheet'!C75,"")</f>
        <v/>
      </c>
      <c r="D72" s="135" t="str">
        <f>IF('G3 MT Reading Scoresheet'!D75&lt;&gt;"",'G3 MT Reading Scoresheet'!D75,"")</f>
        <v/>
      </c>
      <c r="E72" s="130" t="str">
        <f>'G3 MT Reading Scoresheet'!$J75</f>
        <v/>
      </c>
      <c r="F72" s="131" t="str">
        <f>IF(C72&lt;&gt;"",'G3 MT Reading Scoresheet'!$I75/30,"")</f>
        <v/>
      </c>
      <c r="G72" s="131" t="str">
        <f>IF(AND($C72&lt;&gt;"",$E72&lt;&gt;"Full Refresher"),'G3 MT Reading Scoresheet'!$Q75,"")</f>
        <v/>
      </c>
      <c r="H72" s="132" t="str">
        <f>IF(AND(C72&lt;&gt;"",E72&lt;&gt;"Full Refresher"),'G3 MT Reading Scoresheet'!$R75/7,"")</f>
        <v/>
      </c>
      <c r="I72" s="143" t="str">
        <f>IF(AND($C72&lt;&gt;"",$E72&lt;&gt;"Full Refresher"),'G3 MT Reading Scoresheet'!$P75,"")</f>
        <v/>
      </c>
      <c r="J72" s="144" t="str">
        <f>'G3 MT Reading Scoresheet'!$U75</f>
        <v/>
      </c>
      <c r="K72" s="145" t="str">
        <f>'G3 FIL Reading Scoresheet'!$J75</f>
        <v/>
      </c>
      <c r="L72" s="146" t="str">
        <f>IF($C72&lt;&gt;"",'G3 FIL Reading Scoresheet'!$I75/30,"")</f>
        <v/>
      </c>
      <c r="M72" s="146" t="str">
        <f>IF(AND($C72&lt;&gt;"",$K72&lt;&gt;"Full Refresher"),'G3 MT Reading Scoresheet'!$Q75,"")</f>
        <v/>
      </c>
      <c r="N72" s="147" t="str">
        <f>IF(AND($C72&lt;&gt;"",$K72&lt;&gt;"Full Refresher"),'G3 MT Reading Scoresheet'!$R75/7,"")</f>
        <v/>
      </c>
      <c r="O72" s="148" t="str">
        <f>IF(AND($C72&lt;&gt;"",$K72&lt;&gt;"Full Refresher"),'G3 FIL Reading Scoresheet'!$P75,"")</f>
        <v/>
      </c>
      <c r="P72" s="149" t="str">
        <f>'G3 FIL Reading Scoresheet'!$U75</f>
        <v/>
      </c>
      <c r="Q72" s="158" t="str">
        <f>'G3 ENG Reading Scoresheet'!$I75</f>
        <v/>
      </c>
      <c r="R72" s="159" t="str">
        <f>IF($C72&lt;&gt;"",'G3 ENG Reading Scoresheet'!$H75/20,"")</f>
        <v/>
      </c>
      <c r="S72" s="159" t="str">
        <f>IF(AND($C72&lt;&gt;"",$Q72&lt;&gt;"Full Refresher"),'G3 ENG Reading Scoresheet'!$P75,"")</f>
        <v/>
      </c>
      <c r="T72" s="160" t="str">
        <f>IF(AND($C72&lt;&gt;"",$Q72&lt;&gt;"Full Refresher"),'G3 ENG Reading Scoresheet'!$Q75/6,"")</f>
        <v/>
      </c>
      <c r="U72" s="161" t="str">
        <f>IF(AND($C72&lt;&gt;"",$O72&lt;&gt;"Full Refresher"),'G3 ENG Reading Scoresheet'!$O75,"")</f>
        <v/>
      </c>
      <c r="V72" s="162" t="str">
        <f>'G3 ENG Reading Scoresheet'!$T75</f>
        <v/>
      </c>
      <c r="W72" s="164" t="str">
        <f>CONCATENATE(IF(ISBLANK('G3 MT Reading Scoresheet'!V75),"",CONCATENATE("MT:",TRIM('G3 MT Reading Scoresheet'!V75)))," ",IF(ISBLANK('G3 FIL Reading Scoresheet'!V75),"",CONCATENATE("FIL:",TRIM('G3 FIL Reading Scoresheet'!V75)))," ",IF(ISBLANK('G3 ENG Reading Scoresheet'!U75),"",CONCATENATE("ENG:",TRIM('G3 ENG Reading Scoresheet'!U75))))</f>
        <v/>
      </c>
    </row>
    <row r="73" spans="1:23">
      <c r="A73" s="126">
        <f t="shared" si="0"/>
        <v>66</v>
      </c>
      <c r="B73" s="127" t="str">
        <f>IF('G3 MT Reading Scoresheet'!B76&lt;&gt;"",'G3 MT Reading Scoresheet'!B76,"")</f>
        <v/>
      </c>
      <c r="C73" s="128" t="str">
        <f>IF('G3 MT Reading Scoresheet'!C76&lt;&gt;"",'G3 MT Reading Scoresheet'!C76,"")</f>
        <v/>
      </c>
      <c r="D73" s="129" t="str">
        <f>IF('G3 MT Reading Scoresheet'!D76&lt;&gt;"",'G3 MT Reading Scoresheet'!D76,"")</f>
        <v/>
      </c>
      <c r="E73" s="130" t="str">
        <f>'G3 MT Reading Scoresheet'!$J76</f>
        <v/>
      </c>
      <c r="F73" s="131" t="str">
        <f>IF(C73&lt;&gt;"",'G3 MT Reading Scoresheet'!$I76/30,"")</f>
        <v/>
      </c>
      <c r="G73" s="131" t="str">
        <f>IF(AND($C73&lt;&gt;"",$E73&lt;&gt;"Full Refresher"),'G3 MT Reading Scoresheet'!$Q76,"")</f>
        <v/>
      </c>
      <c r="H73" s="132" t="str">
        <f>IF(AND(C73&lt;&gt;"",E73&lt;&gt;"Full Refresher"),'G3 MT Reading Scoresheet'!$R76/7,"")</f>
        <v/>
      </c>
      <c r="I73" s="143" t="str">
        <f>IF(AND($C73&lt;&gt;"",$E73&lt;&gt;"Full Refresher"),'G3 MT Reading Scoresheet'!$P76,"")</f>
        <v/>
      </c>
      <c r="J73" s="144" t="str">
        <f>'G3 MT Reading Scoresheet'!$U76</f>
        <v/>
      </c>
      <c r="K73" s="145" t="str">
        <f>'G3 FIL Reading Scoresheet'!$J76</f>
        <v/>
      </c>
      <c r="L73" s="146" t="str">
        <f>IF($C73&lt;&gt;"",'G3 FIL Reading Scoresheet'!$I76/30,"")</f>
        <v/>
      </c>
      <c r="M73" s="146" t="str">
        <f>IF(AND($C73&lt;&gt;"",$K73&lt;&gt;"Full Refresher"),'G3 MT Reading Scoresheet'!$Q76,"")</f>
        <v/>
      </c>
      <c r="N73" s="147" t="str">
        <f>IF(AND($C73&lt;&gt;"",$K73&lt;&gt;"Full Refresher"),'G3 MT Reading Scoresheet'!$R76/7,"")</f>
        <v/>
      </c>
      <c r="O73" s="148" t="str">
        <f>IF(AND($C73&lt;&gt;"",$K73&lt;&gt;"Full Refresher"),'G3 FIL Reading Scoresheet'!$P76,"")</f>
        <v/>
      </c>
      <c r="P73" s="149" t="str">
        <f>'G3 FIL Reading Scoresheet'!$U76</f>
        <v/>
      </c>
      <c r="Q73" s="158" t="str">
        <f>'G3 ENG Reading Scoresheet'!$I76</f>
        <v/>
      </c>
      <c r="R73" s="159" t="str">
        <f>IF($C73&lt;&gt;"",'G3 ENG Reading Scoresheet'!$H76/20,"")</f>
        <v/>
      </c>
      <c r="S73" s="159" t="str">
        <f>IF(AND($C73&lt;&gt;"",$Q73&lt;&gt;"Full Refresher"),'G3 ENG Reading Scoresheet'!$P76,"")</f>
        <v/>
      </c>
      <c r="T73" s="160" t="str">
        <f>IF(AND($C73&lt;&gt;"",$Q73&lt;&gt;"Full Refresher"),'G3 ENG Reading Scoresheet'!$Q76/6,"")</f>
        <v/>
      </c>
      <c r="U73" s="161" t="str">
        <f>IF(AND($C73&lt;&gt;"",$O73&lt;&gt;"Full Refresher"),'G3 ENG Reading Scoresheet'!$O76,"")</f>
        <v/>
      </c>
      <c r="V73" s="162" t="str">
        <f>'G3 ENG Reading Scoresheet'!$T76</f>
        <v/>
      </c>
      <c r="W73" s="163" t="str">
        <f>CONCATENATE(IF(ISBLANK('G3 MT Reading Scoresheet'!V76),"",CONCATENATE("MT:",TRIM('G3 MT Reading Scoresheet'!V76)))," ",IF(ISBLANK('G3 FIL Reading Scoresheet'!V76),"",CONCATENATE("FIL:",TRIM('G3 FIL Reading Scoresheet'!V76)))," ",IF(ISBLANK('G3 ENG Reading Scoresheet'!U76),"",CONCATENATE("ENG:",TRIM('G3 ENG Reading Scoresheet'!U76))))</f>
        <v/>
      </c>
    </row>
    <row r="74" spans="1:23">
      <c r="A74" s="119">
        <f t="shared" si="0"/>
        <v>67</v>
      </c>
      <c r="B74" s="133" t="str">
        <f>IF('G3 MT Reading Scoresheet'!B77&lt;&gt;"",'G3 MT Reading Scoresheet'!B77,"")</f>
        <v/>
      </c>
      <c r="C74" s="134" t="str">
        <f>IF('G3 MT Reading Scoresheet'!C77&lt;&gt;"",'G3 MT Reading Scoresheet'!C77,"")</f>
        <v/>
      </c>
      <c r="D74" s="135" t="str">
        <f>IF('G3 MT Reading Scoresheet'!D77&lt;&gt;"",'G3 MT Reading Scoresheet'!D77,"")</f>
        <v/>
      </c>
      <c r="E74" s="130" t="str">
        <f>'G3 MT Reading Scoresheet'!$J77</f>
        <v/>
      </c>
      <c r="F74" s="131" t="str">
        <f>IF(C74&lt;&gt;"",'G3 MT Reading Scoresheet'!$I77/30,"")</f>
        <v/>
      </c>
      <c r="G74" s="131" t="str">
        <f>IF(AND($C74&lt;&gt;"",$E74&lt;&gt;"Full Refresher"),'G3 MT Reading Scoresheet'!$Q77,"")</f>
        <v/>
      </c>
      <c r="H74" s="132" t="str">
        <f>IF(AND(C74&lt;&gt;"",E74&lt;&gt;"Full Refresher"),'G3 MT Reading Scoresheet'!$R77/7,"")</f>
        <v/>
      </c>
      <c r="I74" s="143" t="str">
        <f>IF(AND($C74&lt;&gt;"",$E74&lt;&gt;"Full Refresher"),'G3 MT Reading Scoresheet'!$P77,"")</f>
        <v/>
      </c>
      <c r="J74" s="144" t="str">
        <f>'G3 MT Reading Scoresheet'!$U77</f>
        <v/>
      </c>
      <c r="K74" s="145" t="str">
        <f>'G3 FIL Reading Scoresheet'!$J77</f>
        <v/>
      </c>
      <c r="L74" s="146" t="str">
        <f>IF($C74&lt;&gt;"",'G3 FIL Reading Scoresheet'!$I77/30,"")</f>
        <v/>
      </c>
      <c r="M74" s="146" t="str">
        <f>IF(AND($C74&lt;&gt;"",$K74&lt;&gt;"Full Refresher"),'G3 MT Reading Scoresheet'!$Q77,"")</f>
        <v/>
      </c>
      <c r="N74" s="147" t="str">
        <f>IF(AND($C74&lt;&gt;"",$K74&lt;&gt;"Full Refresher"),'G3 MT Reading Scoresheet'!$R77/7,"")</f>
        <v/>
      </c>
      <c r="O74" s="148" t="str">
        <f>IF(AND($C74&lt;&gt;"",$K74&lt;&gt;"Full Refresher"),'G3 FIL Reading Scoresheet'!$P77,"")</f>
        <v/>
      </c>
      <c r="P74" s="149" t="str">
        <f>'G3 FIL Reading Scoresheet'!$U77</f>
        <v/>
      </c>
      <c r="Q74" s="158" t="str">
        <f>'G3 ENG Reading Scoresheet'!$I77</f>
        <v/>
      </c>
      <c r="R74" s="159" t="str">
        <f>IF($C74&lt;&gt;"",'G3 ENG Reading Scoresheet'!$H77/20,"")</f>
        <v/>
      </c>
      <c r="S74" s="159" t="str">
        <f>IF(AND($C74&lt;&gt;"",$Q74&lt;&gt;"Full Refresher"),'G3 ENG Reading Scoresheet'!$P77,"")</f>
        <v/>
      </c>
      <c r="T74" s="160" t="str">
        <f>IF(AND($C74&lt;&gt;"",$Q74&lt;&gt;"Full Refresher"),'G3 ENG Reading Scoresheet'!$Q77/6,"")</f>
        <v/>
      </c>
      <c r="U74" s="161" t="str">
        <f>IF(AND($C74&lt;&gt;"",$O74&lt;&gt;"Full Refresher"),'G3 ENG Reading Scoresheet'!$O77,"")</f>
        <v/>
      </c>
      <c r="V74" s="162" t="str">
        <f>'G3 ENG Reading Scoresheet'!$T77</f>
        <v/>
      </c>
      <c r="W74" s="164" t="str">
        <f>CONCATENATE(IF(ISBLANK('G3 MT Reading Scoresheet'!V77),"",CONCATENATE("MT:",TRIM('G3 MT Reading Scoresheet'!V77)))," ",IF(ISBLANK('G3 FIL Reading Scoresheet'!V77),"",CONCATENATE("FIL:",TRIM('G3 FIL Reading Scoresheet'!V77)))," ",IF(ISBLANK('G3 ENG Reading Scoresheet'!U77),"",CONCATENATE("ENG:",TRIM('G3 ENG Reading Scoresheet'!U77))))</f>
        <v/>
      </c>
    </row>
    <row r="75" spans="1:23">
      <c r="A75" s="126">
        <f t="shared" si="0"/>
        <v>68</v>
      </c>
      <c r="B75" s="127" t="str">
        <f>IF('G3 MT Reading Scoresheet'!B78&lt;&gt;"",'G3 MT Reading Scoresheet'!B78,"")</f>
        <v/>
      </c>
      <c r="C75" s="128" t="str">
        <f>IF('G3 MT Reading Scoresheet'!C78&lt;&gt;"",'G3 MT Reading Scoresheet'!C78,"")</f>
        <v/>
      </c>
      <c r="D75" s="129" t="str">
        <f>IF('G3 MT Reading Scoresheet'!D78&lt;&gt;"",'G3 MT Reading Scoresheet'!D78,"")</f>
        <v/>
      </c>
      <c r="E75" s="130" t="str">
        <f>'G3 MT Reading Scoresheet'!$J78</f>
        <v/>
      </c>
      <c r="F75" s="131" t="str">
        <f>IF(C75&lt;&gt;"",'G3 MT Reading Scoresheet'!$I78/30,"")</f>
        <v/>
      </c>
      <c r="G75" s="131" t="str">
        <f>IF(AND($C75&lt;&gt;"",$E75&lt;&gt;"Full Refresher"),'G3 MT Reading Scoresheet'!$Q78,"")</f>
        <v/>
      </c>
      <c r="H75" s="132" t="str">
        <f>IF(AND(C75&lt;&gt;"",E75&lt;&gt;"Full Refresher"),'G3 MT Reading Scoresheet'!$R78/7,"")</f>
        <v/>
      </c>
      <c r="I75" s="143" t="str">
        <f>IF(AND($C75&lt;&gt;"",$E75&lt;&gt;"Full Refresher"),'G3 MT Reading Scoresheet'!$P78,"")</f>
        <v/>
      </c>
      <c r="J75" s="144" t="str">
        <f>'G3 MT Reading Scoresheet'!$U78</f>
        <v/>
      </c>
      <c r="K75" s="145" t="str">
        <f>'G3 FIL Reading Scoresheet'!$J78</f>
        <v/>
      </c>
      <c r="L75" s="146" t="str">
        <f>IF($C75&lt;&gt;"",'G3 FIL Reading Scoresheet'!$I78/30,"")</f>
        <v/>
      </c>
      <c r="M75" s="146" t="str">
        <f>IF(AND($C75&lt;&gt;"",$K75&lt;&gt;"Full Refresher"),'G3 MT Reading Scoresheet'!$Q78,"")</f>
        <v/>
      </c>
      <c r="N75" s="147" t="str">
        <f>IF(AND($C75&lt;&gt;"",$K75&lt;&gt;"Full Refresher"),'G3 MT Reading Scoresheet'!$R78/7,"")</f>
        <v/>
      </c>
      <c r="O75" s="148" t="str">
        <f>IF(AND($C75&lt;&gt;"",$K75&lt;&gt;"Full Refresher"),'G3 FIL Reading Scoresheet'!$P78,"")</f>
        <v/>
      </c>
      <c r="P75" s="149" t="str">
        <f>'G3 FIL Reading Scoresheet'!$U78</f>
        <v/>
      </c>
      <c r="Q75" s="158" t="str">
        <f>'G3 ENG Reading Scoresheet'!$I78</f>
        <v/>
      </c>
      <c r="R75" s="159" t="str">
        <f>IF($C75&lt;&gt;"",'G3 ENG Reading Scoresheet'!$H78/20,"")</f>
        <v/>
      </c>
      <c r="S75" s="159" t="str">
        <f>IF(AND($C75&lt;&gt;"",$Q75&lt;&gt;"Full Refresher"),'G3 ENG Reading Scoresheet'!$P78,"")</f>
        <v/>
      </c>
      <c r="T75" s="160" t="str">
        <f>IF(AND($C75&lt;&gt;"",$Q75&lt;&gt;"Full Refresher"),'G3 ENG Reading Scoresheet'!$Q78/6,"")</f>
        <v/>
      </c>
      <c r="U75" s="161" t="str">
        <f>IF(AND($C75&lt;&gt;"",$O75&lt;&gt;"Full Refresher"),'G3 ENG Reading Scoresheet'!$O78,"")</f>
        <v/>
      </c>
      <c r="V75" s="162" t="str">
        <f>'G3 ENG Reading Scoresheet'!$T78</f>
        <v/>
      </c>
      <c r="W75" s="163" t="str">
        <f>CONCATENATE(IF(ISBLANK('G3 MT Reading Scoresheet'!V78),"",CONCATENATE("MT:",TRIM('G3 MT Reading Scoresheet'!V78)))," ",IF(ISBLANK('G3 FIL Reading Scoresheet'!V78),"",CONCATENATE("FIL:",TRIM('G3 FIL Reading Scoresheet'!V78)))," ",IF(ISBLANK('G3 ENG Reading Scoresheet'!U78),"",CONCATENATE("ENG:",TRIM('G3 ENG Reading Scoresheet'!U78))))</f>
        <v/>
      </c>
    </row>
    <row r="76" spans="1:23">
      <c r="A76" s="119">
        <f t="shared" si="0"/>
        <v>69</v>
      </c>
      <c r="B76" s="133" t="str">
        <f>IF('G3 MT Reading Scoresheet'!B79&lt;&gt;"",'G3 MT Reading Scoresheet'!B79,"")</f>
        <v/>
      </c>
      <c r="C76" s="134" t="str">
        <f>IF('G3 MT Reading Scoresheet'!C79&lt;&gt;"",'G3 MT Reading Scoresheet'!C79,"")</f>
        <v/>
      </c>
      <c r="D76" s="135" t="str">
        <f>IF('G3 MT Reading Scoresheet'!D79&lt;&gt;"",'G3 MT Reading Scoresheet'!D79,"")</f>
        <v/>
      </c>
      <c r="E76" s="130" t="str">
        <f>'G3 MT Reading Scoresheet'!$J79</f>
        <v/>
      </c>
      <c r="F76" s="131" t="str">
        <f>IF(C76&lt;&gt;"",'G3 MT Reading Scoresheet'!$I79/30,"")</f>
        <v/>
      </c>
      <c r="G76" s="131" t="str">
        <f>IF(AND($C76&lt;&gt;"",$E76&lt;&gt;"Full Refresher"),'G3 MT Reading Scoresheet'!$Q79,"")</f>
        <v/>
      </c>
      <c r="H76" s="132" t="str">
        <f>IF(AND(C76&lt;&gt;"",E76&lt;&gt;"Full Refresher"),'G3 MT Reading Scoresheet'!$R79/7,"")</f>
        <v/>
      </c>
      <c r="I76" s="143" t="str">
        <f>IF(AND($C76&lt;&gt;"",$E76&lt;&gt;"Full Refresher"),'G3 MT Reading Scoresheet'!$P79,"")</f>
        <v/>
      </c>
      <c r="J76" s="144" t="str">
        <f>'G3 MT Reading Scoresheet'!$U79</f>
        <v/>
      </c>
      <c r="K76" s="145" t="str">
        <f>'G3 FIL Reading Scoresheet'!$J79</f>
        <v/>
      </c>
      <c r="L76" s="146" t="str">
        <f>IF($C76&lt;&gt;"",'G3 FIL Reading Scoresheet'!$I79/30,"")</f>
        <v/>
      </c>
      <c r="M76" s="146" t="str">
        <f>IF(AND($C76&lt;&gt;"",$K76&lt;&gt;"Full Refresher"),'G3 MT Reading Scoresheet'!$Q79,"")</f>
        <v/>
      </c>
      <c r="N76" s="147" t="str">
        <f>IF(AND($C76&lt;&gt;"",$K76&lt;&gt;"Full Refresher"),'G3 MT Reading Scoresheet'!$R79/7,"")</f>
        <v/>
      </c>
      <c r="O76" s="148" t="str">
        <f>IF(AND($C76&lt;&gt;"",$K76&lt;&gt;"Full Refresher"),'G3 FIL Reading Scoresheet'!$P79,"")</f>
        <v/>
      </c>
      <c r="P76" s="149" t="str">
        <f>'G3 FIL Reading Scoresheet'!$U79</f>
        <v/>
      </c>
      <c r="Q76" s="158" t="str">
        <f>'G3 ENG Reading Scoresheet'!$I79</f>
        <v/>
      </c>
      <c r="R76" s="159" t="str">
        <f>IF($C76&lt;&gt;"",'G3 ENG Reading Scoresheet'!$H79/20,"")</f>
        <v/>
      </c>
      <c r="S76" s="159" t="str">
        <f>IF(AND($C76&lt;&gt;"",$Q76&lt;&gt;"Full Refresher"),'G3 ENG Reading Scoresheet'!$P79,"")</f>
        <v/>
      </c>
      <c r="T76" s="160" t="str">
        <f>IF(AND($C76&lt;&gt;"",$Q76&lt;&gt;"Full Refresher"),'G3 ENG Reading Scoresheet'!$Q79/6,"")</f>
        <v/>
      </c>
      <c r="U76" s="161" t="str">
        <f>IF(AND($C76&lt;&gt;"",$O76&lt;&gt;"Full Refresher"),'G3 ENG Reading Scoresheet'!$O79,"")</f>
        <v/>
      </c>
      <c r="V76" s="162" t="str">
        <f>'G3 ENG Reading Scoresheet'!$T79</f>
        <v/>
      </c>
      <c r="W76" s="164" t="str">
        <f>CONCATENATE(IF(ISBLANK('G3 MT Reading Scoresheet'!V79),"",CONCATENATE("MT:",TRIM('G3 MT Reading Scoresheet'!V79)))," ",IF(ISBLANK('G3 FIL Reading Scoresheet'!V79),"",CONCATENATE("FIL:",TRIM('G3 FIL Reading Scoresheet'!V79)))," ",IF(ISBLANK('G3 ENG Reading Scoresheet'!U79),"",CONCATENATE("ENG:",TRIM('G3 ENG Reading Scoresheet'!U79))))</f>
        <v/>
      </c>
    </row>
    <row r="77" spans="1:23">
      <c r="A77" s="126">
        <f t="shared" si="0"/>
        <v>70</v>
      </c>
      <c r="B77" s="127" t="str">
        <f>IF('G3 MT Reading Scoresheet'!B80&lt;&gt;"",'G3 MT Reading Scoresheet'!B80,"")</f>
        <v/>
      </c>
      <c r="C77" s="128" t="str">
        <f>IF('G3 MT Reading Scoresheet'!C80&lt;&gt;"",'G3 MT Reading Scoresheet'!C80,"")</f>
        <v/>
      </c>
      <c r="D77" s="129" t="str">
        <f>IF('G3 MT Reading Scoresheet'!D80&lt;&gt;"",'G3 MT Reading Scoresheet'!D80,"")</f>
        <v/>
      </c>
      <c r="E77" s="130" t="str">
        <f>'G3 MT Reading Scoresheet'!$J80</f>
        <v/>
      </c>
      <c r="F77" s="131" t="str">
        <f>IF(C77&lt;&gt;"",'G3 MT Reading Scoresheet'!$I80/30,"")</f>
        <v/>
      </c>
      <c r="G77" s="131" t="str">
        <f>IF(AND($C77&lt;&gt;"",$E77&lt;&gt;"Full Refresher"),'G3 MT Reading Scoresheet'!$Q80,"")</f>
        <v/>
      </c>
      <c r="H77" s="132" t="str">
        <f>IF(AND(C77&lt;&gt;"",E77&lt;&gt;"Full Refresher"),'G3 MT Reading Scoresheet'!$R80/7,"")</f>
        <v/>
      </c>
      <c r="I77" s="143" t="str">
        <f>IF(AND($C77&lt;&gt;"",$E77&lt;&gt;"Full Refresher"),'G3 MT Reading Scoresheet'!$P80,"")</f>
        <v/>
      </c>
      <c r="J77" s="144" t="str">
        <f>'G3 MT Reading Scoresheet'!$U80</f>
        <v/>
      </c>
      <c r="K77" s="145" t="str">
        <f>'G3 FIL Reading Scoresheet'!$J80</f>
        <v/>
      </c>
      <c r="L77" s="146" t="str">
        <f>IF($C77&lt;&gt;"",'G3 FIL Reading Scoresheet'!$I80/30,"")</f>
        <v/>
      </c>
      <c r="M77" s="146" t="str">
        <f>IF(AND($C77&lt;&gt;"",$K77&lt;&gt;"Full Refresher"),'G3 MT Reading Scoresheet'!$Q80,"")</f>
        <v/>
      </c>
      <c r="N77" s="147" t="str">
        <f>IF(AND($C77&lt;&gt;"",$K77&lt;&gt;"Full Refresher"),'G3 MT Reading Scoresheet'!$R80/7,"")</f>
        <v/>
      </c>
      <c r="O77" s="148" t="str">
        <f>IF(AND($C77&lt;&gt;"",$K77&lt;&gt;"Full Refresher"),'G3 FIL Reading Scoresheet'!$P80,"")</f>
        <v/>
      </c>
      <c r="P77" s="149" t="str">
        <f>'G3 FIL Reading Scoresheet'!$U80</f>
        <v/>
      </c>
      <c r="Q77" s="158" t="str">
        <f>'G3 ENG Reading Scoresheet'!$I80</f>
        <v/>
      </c>
      <c r="R77" s="159" t="str">
        <f>IF($C77&lt;&gt;"",'G3 ENG Reading Scoresheet'!$H80/20,"")</f>
        <v/>
      </c>
      <c r="S77" s="159" t="str">
        <f>IF(AND($C77&lt;&gt;"",$Q77&lt;&gt;"Full Refresher"),'G3 ENG Reading Scoresheet'!$P80,"")</f>
        <v/>
      </c>
      <c r="T77" s="160" t="str">
        <f>IF(AND($C77&lt;&gt;"",$Q77&lt;&gt;"Full Refresher"),'G3 ENG Reading Scoresheet'!$Q80/6,"")</f>
        <v/>
      </c>
      <c r="U77" s="161" t="str">
        <f>IF(AND($C77&lt;&gt;"",$O77&lt;&gt;"Full Refresher"),'G3 ENG Reading Scoresheet'!$O80,"")</f>
        <v/>
      </c>
      <c r="V77" s="162" t="str">
        <f>'G3 ENG Reading Scoresheet'!$T80</f>
        <v/>
      </c>
      <c r="W77" s="163" t="str">
        <f>CONCATENATE(IF(ISBLANK('G3 MT Reading Scoresheet'!V80),"",CONCATENATE("MT:",TRIM('G3 MT Reading Scoresheet'!V80)))," ",IF(ISBLANK('G3 FIL Reading Scoresheet'!V80),"",CONCATENATE("FIL:",TRIM('G3 FIL Reading Scoresheet'!V80)))," ",IF(ISBLANK('G3 ENG Reading Scoresheet'!U80),"",CONCATENATE("ENG:",TRIM('G3 ENG Reading Scoresheet'!U80))))</f>
        <v/>
      </c>
    </row>
    <row r="78" spans="1:23">
      <c r="A78" s="119">
        <f t="shared" si="0"/>
        <v>71</v>
      </c>
      <c r="B78" s="133" t="str">
        <f>IF('G3 MT Reading Scoresheet'!B81&lt;&gt;"",'G3 MT Reading Scoresheet'!B81,"")</f>
        <v/>
      </c>
      <c r="C78" s="134" t="str">
        <f>IF('G3 MT Reading Scoresheet'!C81&lt;&gt;"",'G3 MT Reading Scoresheet'!C81,"")</f>
        <v/>
      </c>
      <c r="D78" s="135" t="str">
        <f>IF('G3 MT Reading Scoresheet'!D81&lt;&gt;"",'G3 MT Reading Scoresheet'!D81,"")</f>
        <v/>
      </c>
      <c r="E78" s="130" t="str">
        <f>'G3 MT Reading Scoresheet'!$J81</f>
        <v/>
      </c>
      <c r="F78" s="131" t="str">
        <f>IF(C78&lt;&gt;"",'G3 MT Reading Scoresheet'!$I81/30,"")</f>
        <v/>
      </c>
      <c r="G78" s="131" t="str">
        <f>IF(AND($C78&lt;&gt;"",$E78&lt;&gt;"Full Refresher"),'G3 MT Reading Scoresheet'!$Q81,"")</f>
        <v/>
      </c>
      <c r="H78" s="132" t="str">
        <f>IF(AND(C78&lt;&gt;"",E78&lt;&gt;"Full Refresher"),'G3 MT Reading Scoresheet'!$R81/7,"")</f>
        <v/>
      </c>
      <c r="I78" s="143" t="str">
        <f>IF(AND($C78&lt;&gt;"",$E78&lt;&gt;"Full Refresher"),'G3 MT Reading Scoresheet'!$P81,"")</f>
        <v/>
      </c>
      <c r="J78" s="144" t="str">
        <f>'G3 MT Reading Scoresheet'!$U81</f>
        <v/>
      </c>
      <c r="K78" s="145" t="str">
        <f>'G3 FIL Reading Scoresheet'!$J81</f>
        <v/>
      </c>
      <c r="L78" s="146" t="str">
        <f>IF($C78&lt;&gt;"",'G3 FIL Reading Scoresheet'!$I81/30,"")</f>
        <v/>
      </c>
      <c r="M78" s="146" t="str">
        <f>IF(AND($C78&lt;&gt;"",$K78&lt;&gt;"Full Refresher"),'G3 MT Reading Scoresheet'!$Q81,"")</f>
        <v/>
      </c>
      <c r="N78" s="147" t="str">
        <f>IF(AND($C78&lt;&gt;"",$K78&lt;&gt;"Full Refresher"),'G3 MT Reading Scoresheet'!$R81/7,"")</f>
        <v/>
      </c>
      <c r="O78" s="148" t="str">
        <f>IF(AND($C78&lt;&gt;"",$K78&lt;&gt;"Full Refresher"),'G3 FIL Reading Scoresheet'!$P81,"")</f>
        <v/>
      </c>
      <c r="P78" s="149" t="str">
        <f>'G3 FIL Reading Scoresheet'!$U81</f>
        <v/>
      </c>
      <c r="Q78" s="158" t="str">
        <f>'G3 ENG Reading Scoresheet'!$I81</f>
        <v/>
      </c>
      <c r="R78" s="159" t="str">
        <f>IF($C78&lt;&gt;"",'G3 ENG Reading Scoresheet'!$H81/20,"")</f>
        <v/>
      </c>
      <c r="S78" s="159" t="str">
        <f>IF(AND($C78&lt;&gt;"",$Q78&lt;&gt;"Full Refresher"),'G3 ENG Reading Scoresheet'!$P81,"")</f>
        <v/>
      </c>
      <c r="T78" s="160" t="str">
        <f>IF(AND($C78&lt;&gt;"",$Q78&lt;&gt;"Full Refresher"),'G3 ENG Reading Scoresheet'!$Q81/6,"")</f>
        <v/>
      </c>
      <c r="U78" s="161" t="str">
        <f>IF(AND($C78&lt;&gt;"",$O78&lt;&gt;"Full Refresher"),'G3 ENG Reading Scoresheet'!$O81,"")</f>
        <v/>
      </c>
      <c r="V78" s="162" t="str">
        <f>'G3 ENG Reading Scoresheet'!$T81</f>
        <v/>
      </c>
      <c r="W78" s="164" t="str">
        <f>CONCATENATE(IF(ISBLANK('G3 MT Reading Scoresheet'!V81),"",CONCATENATE("MT:",TRIM('G3 MT Reading Scoresheet'!V81)))," ",IF(ISBLANK('G3 FIL Reading Scoresheet'!V81),"",CONCATENATE("FIL:",TRIM('G3 FIL Reading Scoresheet'!V81)))," ",IF(ISBLANK('G3 ENG Reading Scoresheet'!U81),"",CONCATENATE("ENG:",TRIM('G3 ENG Reading Scoresheet'!U81))))</f>
        <v/>
      </c>
    </row>
    <row r="79" spans="1:23">
      <c r="A79" s="126">
        <f t="shared" si="0"/>
        <v>72</v>
      </c>
      <c r="B79" s="127" t="str">
        <f>IF('G3 MT Reading Scoresheet'!B82&lt;&gt;"",'G3 MT Reading Scoresheet'!B82,"")</f>
        <v/>
      </c>
      <c r="C79" s="128" t="str">
        <f>IF('G3 MT Reading Scoresheet'!C82&lt;&gt;"",'G3 MT Reading Scoresheet'!C82,"")</f>
        <v/>
      </c>
      <c r="D79" s="129" t="str">
        <f>IF('G3 MT Reading Scoresheet'!D82&lt;&gt;"",'G3 MT Reading Scoresheet'!D82,"")</f>
        <v/>
      </c>
      <c r="E79" s="130" t="str">
        <f>'G3 MT Reading Scoresheet'!$J82</f>
        <v/>
      </c>
      <c r="F79" s="131" t="str">
        <f>IF(C79&lt;&gt;"",'G3 MT Reading Scoresheet'!$I82/30,"")</f>
        <v/>
      </c>
      <c r="G79" s="131" t="str">
        <f>IF(AND($C79&lt;&gt;"",$E79&lt;&gt;"Full Refresher"),'G3 MT Reading Scoresheet'!$Q82,"")</f>
        <v/>
      </c>
      <c r="H79" s="132" t="str">
        <f>IF(AND(C79&lt;&gt;"",E79&lt;&gt;"Full Refresher"),'G3 MT Reading Scoresheet'!$R82/7,"")</f>
        <v/>
      </c>
      <c r="I79" s="143" t="str">
        <f>IF(AND($C79&lt;&gt;"",$E79&lt;&gt;"Full Refresher"),'G3 MT Reading Scoresheet'!$P82,"")</f>
        <v/>
      </c>
      <c r="J79" s="144" t="str">
        <f>'G3 MT Reading Scoresheet'!$U82</f>
        <v/>
      </c>
      <c r="K79" s="145" t="str">
        <f>'G3 FIL Reading Scoresheet'!$J82</f>
        <v/>
      </c>
      <c r="L79" s="146" t="str">
        <f>IF($C79&lt;&gt;"",'G3 FIL Reading Scoresheet'!$I82/30,"")</f>
        <v/>
      </c>
      <c r="M79" s="146" t="str">
        <f>IF(AND($C79&lt;&gt;"",$K79&lt;&gt;"Full Refresher"),'G3 MT Reading Scoresheet'!$Q82,"")</f>
        <v/>
      </c>
      <c r="N79" s="147" t="str">
        <f>IF(AND($C79&lt;&gt;"",$K79&lt;&gt;"Full Refresher"),'G3 MT Reading Scoresheet'!$R82/7,"")</f>
        <v/>
      </c>
      <c r="O79" s="148" t="str">
        <f>IF(AND($C79&lt;&gt;"",$K79&lt;&gt;"Full Refresher"),'G3 FIL Reading Scoresheet'!$P82,"")</f>
        <v/>
      </c>
      <c r="P79" s="149" t="str">
        <f>'G3 FIL Reading Scoresheet'!$U82</f>
        <v/>
      </c>
      <c r="Q79" s="158" t="str">
        <f>'G3 ENG Reading Scoresheet'!$I82</f>
        <v/>
      </c>
      <c r="R79" s="159" t="str">
        <f>IF($C79&lt;&gt;"",'G3 ENG Reading Scoresheet'!$H82/20,"")</f>
        <v/>
      </c>
      <c r="S79" s="159" t="str">
        <f>IF(AND($C79&lt;&gt;"",$Q79&lt;&gt;"Full Refresher"),'G3 ENG Reading Scoresheet'!$P82,"")</f>
        <v/>
      </c>
      <c r="T79" s="160" t="str">
        <f>IF(AND($C79&lt;&gt;"",$Q79&lt;&gt;"Full Refresher"),'G3 ENG Reading Scoresheet'!$Q82/6,"")</f>
        <v/>
      </c>
      <c r="U79" s="161" t="str">
        <f>IF(AND($C79&lt;&gt;"",$O79&lt;&gt;"Full Refresher"),'G3 ENG Reading Scoresheet'!$O82,"")</f>
        <v/>
      </c>
      <c r="V79" s="162" t="str">
        <f>'G3 ENG Reading Scoresheet'!$T82</f>
        <v/>
      </c>
      <c r="W79" s="163" t="str">
        <f>CONCATENATE(IF(ISBLANK('G3 MT Reading Scoresheet'!V82),"",CONCATENATE("MT:",TRIM('G3 MT Reading Scoresheet'!V82)))," ",IF(ISBLANK('G3 FIL Reading Scoresheet'!V82),"",CONCATENATE("FIL:",TRIM('G3 FIL Reading Scoresheet'!V82)))," ",IF(ISBLANK('G3 ENG Reading Scoresheet'!U82),"",CONCATENATE("ENG:",TRIM('G3 ENG Reading Scoresheet'!U82))))</f>
        <v/>
      </c>
    </row>
    <row r="80" spans="1:23">
      <c r="A80" s="119">
        <f t="shared" si="0"/>
        <v>73</v>
      </c>
      <c r="B80" s="133" t="str">
        <f>IF('G3 MT Reading Scoresheet'!B83&lt;&gt;"",'G3 MT Reading Scoresheet'!B83,"")</f>
        <v/>
      </c>
      <c r="C80" s="134" t="str">
        <f>IF('G3 MT Reading Scoresheet'!C83&lt;&gt;"",'G3 MT Reading Scoresheet'!C83,"")</f>
        <v/>
      </c>
      <c r="D80" s="135" t="str">
        <f>IF('G3 MT Reading Scoresheet'!D83&lt;&gt;"",'G3 MT Reading Scoresheet'!D83,"")</f>
        <v/>
      </c>
      <c r="E80" s="130" t="str">
        <f>'G3 MT Reading Scoresheet'!$J83</f>
        <v/>
      </c>
      <c r="F80" s="131" t="str">
        <f>IF(C80&lt;&gt;"",'G3 MT Reading Scoresheet'!$I83/30,"")</f>
        <v/>
      </c>
      <c r="G80" s="131" t="str">
        <f>IF(AND($C80&lt;&gt;"",$E80&lt;&gt;"Full Refresher"),'G3 MT Reading Scoresheet'!$Q83,"")</f>
        <v/>
      </c>
      <c r="H80" s="132" t="str">
        <f>IF(AND(C80&lt;&gt;"",E80&lt;&gt;"Full Refresher"),'G3 MT Reading Scoresheet'!$R83/7,"")</f>
        <v/>
      </c>
      <c r="I80" s="143" t="str">
        <f>IF(AND($C80&lt;&gt;"",$E80&lt;&gt;"Full Refresher"),'G3 MT Reading Scoresheet'!$P83,"")</f>
        <v/>
      </c>
      <c r="J80" s="144" t="str">
        <f>'G3 MT Reading Scoresheet'!$U83</f>
        <v/>
      </c>
      <c r="K80" s="145" t="str">
        <f>'G3 FIL Reading Scoresheet'!$J83</f>
        <v/>
      </c>
      <c r="L80" s="146" t="str">
        <f>IF($C80&lt;&gt;"",'G3 FIL Reading Scoresheet'!$I83/30,"")</f>
        <v/>
      </c>
      <c r="M80" s="146" t="str">
        <f>IF(AND($C80&lt;&gt;"",$K80&lt;&gt;"Full Refresher"),'G3 MT Reading Scoresheet'!$Q83,"")</f>
        <v/>
      </c>
      <c r="N80" s="147" t="str">
        <f>IF(AND($C80&lt;&gt;"",$K80&lt;&gt;"Full Refresher"),'G3 MT Reading Scoresheet'!$R83/7,"")</f>
        <v/>
      </c>
      <c r="O80" s="148" t="str">
        <f>IF(AND($C80&lt;&gt;"",$K80&lt;&gt;"Full Refresher"),'G3 FIL Reading Scoresheet'!$P83,"")</f>
        <v/>
      </c>
      <c r="P80" s="149" t="str">
        <f>'G3 FIL Reading Scoresheet'!$U83</f>
        <v/>
      </c>
      <c r="Q80" s="158" t="str">
        <f>'G3 ENG Reading Scoresheet'!$I83</f>
        <v/>
      </c>
      <c r="R80" s="159" t="str">
        <f>IF($C80&lt;&gt;"",'G3 ENG Reading Scoresheet'!$H83/20,"")</f>
        <v/>
      </c>
      <c r="S80" s="159" t="str">
        <f>IF(AND($C80&lt;&gt;"",$Q80&lt;&gt;"Full Refresher"),'G3 ENG Reading Scoresheet'!$P83,"")</f>
        <v/>
      </c>
      <c r="T80" s="160" t="str">
        <f>IF(AND($C80&lt;&gt;"",$Q80&lt;&gt;"Full Refresher"),'G3 ENG Reading Scoresheet'!$Q83/6,"")</f>
        <v/>
      </c>
      <c r="U80" s="161" t="str">
        <f>IF(AND($C80&lt;&gt;"",$O80&lt;&gt;"Full Refresher"),'G3 ENG Reading Scoresheet'!$O83,"")</f>
        <v/>
      </c>
      <c r="V80" s="162" t="str">
        <f>'G3 ENG Reading Scoresheet'!$T83</f>
        <v/>
      </c>
      <c r="W80" s="164" t="str">
        <f>CONCATENATE(IF(ISBLANK('G3 MT Reading Scoresheet'!V83),"",CONCATENATE("MT:",TRIM('G3 MT Reading Scoresheet'!V83)))," ",IF(ISBLANK('G3 FIL Reading Scoresheet'!V83),"",CONCATENATE("FIL:",TRIM('G3 FIL Reading Scoresheet'!V83)))," ",IF(ISBLANK('G3 ENG Reading Scoresheet'!U83),"",CONCATENATE("ENG:",TRIM('G3 ENG Reading Scoresheet'!U83))))</f>
        <v/>
      </c>
    </row>
    <row r="81" spans="1:23">
      <c r="A81" s="126">
        <f t="shared" si="0"/>
        <v>74</v>
      </c>
      <c r="B81" s="127" t="str">
        <f>IF('G3 MT Reading Scoresheet'!B84&lt;&gt;"",'G3 MT Reading Scoresheet'!B84,"")</f>
        <v/>
      </c>
      <c r="C81" s="128" t="str">
        <f>IF('G3 MT Reading Scoresheet'!C84&lt;&gt;"",'G3 MT Reading Scoresheet'!C84,"")</f>
        <v/>
      </c>
      <c r="D81" s="129" t="str">
        <f>IF('G3 MT Reading Scoresheet'!D84&lt;&gt;"",'G3 MT Reading Scoresheet'!D84,"")</f>
        <v/>
      </c>
      <c r="E81" s="130" t="str">
        <f>'G3 MT Reading Scoresheet'!$J84</f>
        <v/>
      </c>
      <c r="F81" s="131" t="str">
        <f>IF(C81&lt;&gt;"",'G3 MT Reading Scoresheet'!$I84/30,"")</f>
        <v/>
      </c>
      <c r="G81" s="131" t="str">
        <f>IF(AND($C81&lt;&gt;"",$E81&lt;&gt;"Full Refresher"),'G3 MT Reading Scoresheet'!$Q84,"")</f>
        <v/>
      </c>
      <c r="H81" s="132" t="str">
        <f>IF(AND(C81&lt;&gt;"",E81&lt;&gt;"Full Refresher"),'G3 MT Reading Scoresheet'!$R84/7,"")</f>
        <v/>
      </c>
      <c r="I81" s="143" t="str">
        <f>IF(AND($C81&lt;&gt;"",$E81&lt;&gt;"Full Refresher"),'G3 MT Reading Scoresheet'!$P84,"")</f>
        <v/>
      </c>
      <c r="J81" s="144" t="str">
        <f>'G3 MT Reading Scoresheet'!$U84</f>
        <v/>
      </c>
      <c r="K81" s="145" t="str">
        <f>'G3 FIL Reading Scoresheet'!$J84</f>
        <v/>
      </c>
      <c r="L81" s="146" t="str">
        <f>IF($C81&lt;&gt;"",'G3 FIL Reading Scoresheet'!$I84/30,"")</f>
        <v/>
      </c>
      <c r="M81" s="146" t="str">
        <f>IF(AND($C81&lt;&gt;"",$K81&lt;&gt;"Full Refresher"),'G3 MT Reading Scoresheet'!$Q84,"")</f>
        <v/>
      </c>
      <c r="N81" s="147" t="str">
        <f>IF(AND($C81&lt;&gt;"",$K81&lt;&gt;"Full Refresher"),'G3 MT Reading Scoresheet'!$R84/7,"")</f>
        <v/>
      </c>
      <c r="O81" s="148" t="str">
        <f>IF(AND($C81&lt;&gt;"",$K81&lt;&gt;"Full Refresher"),'G3 FIL Reading Scoresheet'!$P84,"")</f>
        <v/>
      </c>
      <c r="P81" s="149" t="str">
        <f>'G3 FIL Reading Scoresheet'!$U84</f>
        <v/>
      </c>
      <c r="Q81" s="158" t="str">
        <f>'G3 ENG Reading Scoresheet'!$I84</f>
        <v/>
      </c>
      <c r="R81" s="159" t="str">
        <f>IF($C81&lt;&gt;"",'G3 ENG Reading Scoresheet'!$H84/20,"")</f>
        <v/>
      </c>
      <c r="S81" s="159" t="str">
        <f>IF(AND($C81&lt;&gt;"",$Q81&lt;&gt;"Full Refresher"),'G3 ENG Reading Scoresheet'!$P84,"")</f>
        <v/>
      </c>
      <c r="T81" s="160" t="str">
        <f>IF(AND($C81&lt;&gt;"",$Q81&lt;&gt;"Full Refresher"),'G3 ENG Reading Scoresheet'!$Q84/6,"")</f>
        <v/>
      </c>
      <c r="U81" s="161" t="str">
        <f>IF(AND($C81&lt;&gt;"",$O81&lt;&gt;"Full Refresher"),'G3 ENG Reading Scoresheet'!$O84,"")</f>
        <v/>
      </c>
      <c r="V81" s="162" t="str">
        <f>'G3 ENG Reading Scoresheet'!$T84</f>
        <v/>
      </c>
      <c r="W81" s="163" t="str">
        <f>CONCATENATE(IF(ISBLANK('G3 MT Reading Scoresheet'!V84),"",CONCATENATE("MT:",TRIM('G3 MT Reading Scoresheet'!V84)))," ",IF(ISBLANK('G3 FIL Reading Scoresheet'!V84),"",CONCATENATE("FIL:",TRIM('G3 FIL Reading Scoresheet'!V84)))," ",IF(ISBLANK('G3 ENG Reading Scoresheet'!U84),"",CONCATENATE("ENG:",TRIM('G3 ENG Reading Scoresheet'!U84))))</f>
        <v/>
      </c>
    </row>
    <row r="82" spans="1:23">
      <c r="A82" s="119">
        <f t="shared" si="0"/>
        <v>75</v>
      </c>
      <c r="B82" s="133" t="str">
        <f>IF('G3 MT Reading Scoresheet'!B85&lt;&gt;"",'G3 MT Reading Scoresheet'!B85,"")</f>
        <v/>
      </c>
      <c r="C82" s="134" t="str">
        <f>IF('G3 MT Reading Scoresheet'!C85&lt;&gt;"",'G3 MT Reading Scoresheet'!C85,"")</f>
        <v/>
      </c>
      <c r="D82" s="135" t="str">
        <f>IF('G3 MT Reading Scoresheet'!D85&lt;&gt;"",'G3 MT Reading Scoresheet'!D85,"")</f>
        <v/>
      </c>
      <c r="E82" s="130" t="str">
        <f>'G3 MT Reading Scoresheet'!$J85</f>
        <v/>
      </c>
      <c r="F82" s="131" t="str">
        <f>IF(C82&lt;&gt;"",'G3 MT Reading Scoresheet'!$I85/30,"")</f>
        <v/>
      </c>
      <c r="G82" s="131" t="str">
        <f>IF(AND($C82&lt;&gt;"",$E82&lt;&gt;"Full Refresher"),'G3 MT Reading Scoresheet'!$Q85,"")</f>
        <v/>
      </c>
      <c r="H82" s="132" t="str">
        <f>IF(AND(C82&lt;&gt;"",E82&lt;&gt;"Full Refresher"),'G3 MT Reading Scoresheet'!$R85/7,"")</f>
        <v/>
      </c>
      <c r="I82" s="143" t="str">
        <f>IF(AND($C82&lt;&gt;"",$E82&lt;&gt;"Full Refresher"),'G3 MT Reading Scoresheet'!$P85,"")</f>
        <v/>
      </c>
      <c r="J82" s="144" t="str">
        <f>'G3 MT Reading Scoresheet'!$U85</f>
        <v/>
      </c>
      <c r="K82" s="145" t="str">
        <f>'G3 FIL Reading Scoresheet'!$J85</f>
        <v/>
      </c>
      <c r="L82" s="146" t="str">
        <f>IF($C82&lt;&gt;"",'G3 FIL Reading Scoresheet'!$I85/30,"")</f>
        <v/>
      </c>
      <c r="M82" s="146" t="str">
        <f>IF(AND($C82&lt;&gt;"",$K82&lt;&gt;"Full Refresher"),'G3 MT Reading Scoresheet'!$Q85,"")</f>
        <v/>
      </c>
      <c r="N82" s="147" t="str">
        <f>IF(AND($C82&lt;&gt;"",$K82&lt;&gt;"Full Refresher"),'G3 MT Reading Scoresheet'!$R85/7,"")</f>
        <v/>
      </c>
      <c r="O82" s="148" t="str">
        <f>IF(AND($C82&lt;&gt;"",$K82&lt;&gt;"Full Refresher"),'G3 FIL Reading Scoresheet'!$P85,"")</f>
        <v/>
      </c>
      <c r="P82" s="149" t="str">
        <f>'G3 FIL Reading Scoresheet'!$U85</f>
        <v/>
      </c>
      <c r="Q82" s="158" t="str">
        <f>'G3 ENG Reading Scoresheet'!$I85</f>
        <v/>
      </c>
      <c r="R82" s="159" t="str">
        <f>IF($C82&lt;&gt;"",'G3 ENG Reading Scoresheet'!$H85/20,"")</f>
        <v/>
      </c>
      <c r="S82" s="159" t="str">
        <f>IF(AND($C82&lt;&gt;"",$Q82&lt;&gt;"Full Refresher"),'G3 ENG Reading Scoresheet'!$P85,"")</f>
        <v/>
      </c>
      <c r="T82" s="160" t="str">
        <f>IF(AND($C82&lt;&gt;"",$Q82&lt;&gt;"Full Refresher"),'G3 ENG Reading Scoresheet'!$Q85/6,"")</f>
        <v/>
      </c>
      <c r="U82" s="161" t="str">
        <f>IF(AND($C82&lt;&gt;"",$O82&lt;&gt;"Full Refresher"),'G3 ENG Reading Scoresheet'!$O85,"")</f>
        <v/>
      </c>
      <c r="V82" s="162" t="str">
        <f>'G3 ENG Reading Scoresheet'!$T85</f>
        <v/>
      </c>
      <c r="W82" s="164" t="str">
        <f>CONCATENATE(IF(ISBLANK('G3 MT Reading Scoresheet'!V85),"",CONCATENATE("MT:",TRIM('G3 MT Reading Scoresheet'!V85)))," ",IF(ISBLANK('G3 FIL Reading Scoresheet'!V85),"",CONCATENATE("FIL:",TRIM('G3 FIL Reading Scoresheet'!V85)))," ",IF(ISBLANK('G3 ENG Reading Scoresheet'!U85),"",CONCATENATE("ENG:",TRIM('G3 ENG Reading Scoresheet'!U85))))</f>
        <v/>
      </c>
    </row>
    <row r="83" spans="1:23">
      <c r="A83" s="126">
        <f t="shared" si="0"/>
        <v>76</v>
      </c>
      <c r="B83" s="127" t="str">
        <f>IF('G3 MT Reading Scoresheet'!B86&lt;&gt;"",'G3 MT Reading Scoresheet'!B86,"")</f>
        <v/>
      </c>
      <c r="C83" s="128" t="str">
        <f>IF('G3 MT Reading Scoresheet'!C86&lt;&gt;"",'G3 MT Reading Scoresheet'!C86,"")</f>
        <v/>
      </c>
      <c r="D83" s="129" t="str">
        <f>IF('G3 MT Reading Scoresheet'!D86&lt;&gt;"",'G3 MT Reading Scoresheet'!D86,"")</f>
        <v/>
      </c>
      <c r="E83" s="130" t="str">
        <f>'G3 MT Reading Scoresheet'!$J86</f>
        <v/>
      </c>
      <c r="F83" s="131" t="str">
        <f>IF(C83&lt;&gt;"",'G3 MT Reading Scoresheet'!$I86/30,"")</f>
        <v/>
      </c>
      <c r="G83" s="131" t="str">
        <f>IF(AND($C83&lt;&gt;"",$E83&lt;&gt;"Full Refresher"),'G3 MT Reading Scoresheet'!$Q86,"")</f>
        <v/>
      </c>
      <c r="H83" s="132" t="str">
        <f>IF(AND(C83&lt;&gt;"",E83&lt;&gt;"Full Refresher"),'G3 MT Reading Scoresheet'!$R86/7,"")</f>
        <v/>
      </c>
      <c r="I83" s="143" t="str">
        <f>IF(AND($C83&lt;&gt;"",$E83&lt;&gt;"Full Refresher"),'G3 MT Reading Scoresheet'!$P86,"")</f>
        <v/>
      </c>
      <c r="J83" s="144" t="str">
        <f>'G3 MT Reading Scoresheet'!$U86</f>
        <v/>
      </c>
      <c r="K83" s="145" t="str">
        <f>'G3 FIL Reading Scoresheet'!$J86</f>
        <v/>
      </c>
      <c r="L83" s="146" t="str">
        <f>IF($C83&lt;&gt;"",'G3 FIL Reading Scoresheet'!$I86/30,"")</f>
        <v/>
      </c>
      <c r="M83" s="146" t="str">
        <f>IF(AND($C83&lt;&gt;"",$K83&lt;&gt;"Full Refresher"),'G3 MT Reading Scoresheet'!$Q86,"")</f>
        <v/>
      </c>
      <c r="N83" s="147" t="str">
        <f>IF(AND($C83&lt;&gt;"",$K83&lt;&gt;"Full Refresher"),'G3 MT Reading Scoresheet'!$R86/7,"")</f>
        <v/>
      </c>
      <c r="O83" s="148" t="str">
        <f>IF(AND($C83&lt;&gt;"",$K83&lt;&gt;"Full Refresher"),'G3 FIL Reading Scoresheet'!$P86,"")</f>
        <v/>
      </c>
      <c r="P83" s="149" t="str">
        <f>'G3 FIL Reading Scoresheet'!$U86</f>
        <v/>
      </c>
      <c r="Q83" s="158" t="str">
        <f>'G3 ENG Reading Scoresheet'!$I86</f>
        <v/>
      </c>
      <c r="R83" s="159" t="str">
        <f>IF($C83&lt;&gt;"",'G3 ENG Reading Scoresheet'!$H86/20,"")</f>
        <v/>
      </c>
      <c r="S83" s="159" t="str">
        <f>IF(AND($C83&lt;&gt;"",$Q83&lt;&gt;"Full Refresher"),'G3 ENG Reading Scoresheet'!$P86,"")</f>
        <v/>
      </c>
      <c r="T83" s="160" t="str">
        <f>IF(AND($C83&lt;&gt;"",$Q83&lt;&gt;"Full Refresher"),'G3 ENG Reading Scoresheet'!$Q86/6,"")</f>
        <v/>
      </c>
      <c r="U83" s="161" t="str">
        <f>IF(AND($C83&lt;&gt;"",$O83&lt;&gt;"Full Refresher"),'G3 ENG Reading Scoresheet'!$O86,"")</f>
        <v/>
      </c>
      <c r="V83" s="162" t="str">
        <f>'G3 ENG Reading Scoresheet'!$T86</f>
        <v/>
      </c>
      <c r="W83" s="163" t="str">
        <f>CONCATENATE(IF(ISBLANK('G3 MT Reading Scoresheet'!V86),"",CONCATENATE("MT:",TRIM('G3 MT Reading Scoresheet'!V86)))," ",IF(ISBLANK('G3 FIL Reading Scoresheet'!V86),"",CONCATENATE("FIL:",TRIM('G3 FIL Reading Scoresheet'!V86)))," ",IF(ISBLANK('G3 ENG Reading Scoresheet'!U86),"",CONCATENATE("ENG:",TRIM('G3 ENG Reading Scoresheet'!U86))))</f>
        <v/>
      </c>
    </row>
    <row r="84" spans="1:23">
      <c r="A84" s="119">
        <f t="shared" si="0"/>
        <v>77</v>
      </c>
      <c r="B84" s="133" t="str">
        <f>IF('G3 MT Reading Scoresheet'!B87&lt;&gt;"",'G3 MT Reading Scoresheet'!B87,"")</f>
        <v/>
      </c>
      <c r="C84" s="134" t="str">
        <f>IF('G3 MT Reading Scoresheet'!C87&lt;&gt;"",'G3 MT Reading Scoresheet'!C87,"")</f>
        <v/>
      </c>
      <c r="D84" s="135" t="str">
        <f>IF('G3 MT Reading Scoresheet'!D87&lt;&gt;"",'G3 MT Reading Scoresheet'!D87,"")</f>
        <v/>
      </c>
      <c r="E84" s="130" t="str">
        <f>'G3 MT Reading Scoresheet'!$J87</f>
        <v/>
      </c>
      <c r="F84" s="131" t="str">
        <f>IF(C84&lt;&gt;"",'G3 MT Reading Scoresheet'!$I87/30,"")</f>
        <v/>
      </c>
      <c r="G84" s="131" t="str">
        <f>IF(AND($C84&lt;&gt;"",$E84&lt;&gt;"Full Refresher"),'G3 MT Reading Scoresheet'!$Q87,"")</f>
        <v/>
      </c>
      <c r="H84" s="132" t="str">
        <f>IF(AND(C84&lt;&gt;"",E84&lt;&gt;"Full Refresher"),'G3 MT Reading Scoresheet'!$R87/7,"")</f>
        <v/>
      </c>
      <c r="I84" s="143" t="str">
        <f>IF(AND($C84&lt;&gt;"",$E84&lt;&gt;"Full Refresher"),'G3 MT Reading Scoresheet'!$P87,"")</f>
        <v/>
      </c>
      <c r="J84" s="144" t="str">
        <f>'G3 MT Reading Scoresheet'!$U87</f>
        <v/>
      </c>
      <c r="K84" s="145" t="str">
        <f>'G3 FIL Reading Scoresheet'!$J87</f>
        <v/>
      </c>
      <c r="L84" s="146" t="str">
        <f>IF($C84&lt;&gt;"",'G3 FIL Reading Scoresheet'!$I87/30,"")</f>
        <v/>
      </c>
      <c r="M84" s="146" t="str">
        <f>IF(AND($C84&lt;&gt;"",$K84&lt;&gt;"Full Refresher"),'G3 MT Reading Scoresheet'!$Q87,"")</f>
        <v/>
      </c>
      <c r="N84" s="147" t="str">
        <f>IF(AND($C84&lt;&gt;"",$K84&lt;&gt;"Full Refresher"),'G3 MT Reading Scoresheet'!$R87/7,"")</f>
        <v/>
      </c>
      <c r="O84" s="148" t="str">
        <f>IF(AND($C84&lt;&gt;"",$K84&lt;&gt;"Full Refresher"),'G3 FIL Reading Scoresheet'!$P87,"")</f>
        <v/>
      </c>
      <c r="P84" s="149" t="str">
        <f>'G3 FIL Reading Scoresheet'!$U87</f>
        <v/>
      </c>
      <c r="Q84" s="158" t="str">
        <f>'G3 ENG Reading Scoresheet'!$I87</f>
        <v/>
      </c>
      <c r="R84" s="159" t="str">
        <f>IF($C84&lt;&gt;"",'G3 ENG Reading Scoresheet'!$H87/20,"")</f>
        <v/>
      </c>
      <c r="S84" s="159" t="str">
        <f>IF(AND($C84&lt;&gt;"",$Q84&lt;&gt;"Full Refresher"),'G3 ENG Reading Scoresheet'!$P87,"")</f>
        <v/>
      </c>
      <c r="T84" s="160" t="str">
        <f>IF(AND($C84&lt;&gt;"",$Q84&lt;&gt;"Full Refresher"),'G3 ENG Reading Scoresheet'!$Q87/6,"")</f>
        <v/>
      </c>
      <c r="U84" s="161" t="str">
        <f>IF(AND($C84&lt;&gt;"",$O84&lt;&gt;"Full Refresher"),'G3 ENG Reading Scoresheet'!$O87,"")</f>
        <v/>
      </c>
      <c r="V84" s="162" t="str">
        <f>'G3 ENG Reading Scoresheet'!$T87</f>
        <v/>
      </c>
      <c r="W84" s="164" t="str">
        <f>CONCATENATE(IF(ISBLANK('G3 MT Reading Scoresheet'!V87),"",CONCATENATE("MT:",TRIM('G3 MT Reading Scoresheet'!V87)))," ",IF(ISBLANK('G3 FIL Reading Scoresheet'!V87),"",CONCATENATE("FIL:",TRIM('G3 FIL Reading Scoresheet'!V87)))," ",IF(ISBLANK('G3 ENG Reading Scoresheet'!U87),"",CONCATENATE("ENG:",TRIM('G3 ENG Reading Scoresheet'!U87))))</f>
        <v/>
      </c>
    </row>
    <row r="85" spans="1:23">
      <c r="A85" s="126">
        <f t="shared" si="0"/>
        <v>78</v>
      </c>
      <c r="B85" s="127" t="str">
        <f>IF('G3 MT Reading Scoresheet'!B88&lt;&gt;"",'G3 MT Reading Scoresheet'!B88,"")</f>
        <v/>
      </c>
      <c r="C85" s="128" t="str">
        <f>IF('G3 MT Reading Scoresheet'!C88&lt;&gt;"",'G3 MT Reading Scoresheet'!C88,"")</f>
        <v/>
      </c>
      <c r="D85" s="129" t="str">
        <f>IF('G3 MT Reading Scoresheet'!D88&lt;&gt;"",'G3 MT Reading Scoresheet'!D88,"")</f>
        <v/>
      </c>
      <c r="E85" s="130" t="str">
        <f>'G3 MT Reading Scoresheet'!$J88</f>
        <v/>
      </c>
      <c r="F85" s="131" t="str">
        <f>IF(C85&lt;&gt;"",'G3 MT Reading Scoresheet'!$I88/30,"")</f>
        <v/>
      </c>
      <c r="G85" s="131" t="str">
        <f>IF(AND($C85&lt;&gt;"",$E85&lt;&gt;"Full Refresher"),'G3 MT Reading Scoresheet'!$Q88,"")</f>
        <v/>
      </c>
      <c r="H85" s="132" t="str">
        <f>IF(AND(C85&lt;&gt;"",E85&lt;&gt;"Full Refresher"),'G3 MT Reading Scoresheet'!$R88/7,"")</f>
        <v/>
      </c>
      <c r="I85" s="143" t="str">
        <f>IF(AND($C85&lt;&gt;"",$E85&lt;&gt;"Full Refresher"),'G3 MT Reading Scoresheet'!$P88,"")</f>
        <v/>
      </c>
      <c r="J85" s="144" t="str">
        <f>'G3 MT Reading Scoresheet'!$U88</f>
        <v/>
      </c>
      <c r="K85" s="145" t="str">
        <f>'G3 FIL Reading Scoresheet'!$J88</f>
        <v/>
      </c>
      <c r="L85" s="146" t="str">
        <f>IF($C85&lt;&gt;"",'G3 FIL Reading Scoresheet'!$I88/30,"")</f>
        <v/>
      </c>
      <c r="M85" s="146" t="str">
        <f>IF(AND($C85&lt;&gt;"",$K85&lt;&gt;"Full Refresher"),'G3 MT Reading Scoresheet'!$Q88,"")</f>
        <v/>
      </c>
      <c r="N85" s="147" t="str">
        <f>IF(AND($C85&lt;&gt;"",$K85&lt;&gt;"Full Refresher"),'G3 MT Reading Scoresheet'!$R88/7,"")</f>
        <v/>
      </c>
      <c r="O85" s="148" t="str">
        <f>IF(AND($C85&lt;&gt;"",$K85&lt;&gt;"Full Refresher"),'G3 FIL Reading Scoresheet'!$P88,"")</f>
        <v/>
      </c>
      <c r="P85" s="149" t="str">
        <f>'G3 FIL Reading Scoresheet'!$U88</f>
        <v/>
      </c>
      <c r="Q85" s="158" t="str">
        <f>'G3 ENG Reading Scoresheet'!$I88</f>
        <v/>
      </c>
      <c r="R85" s="159" t="str">
        <f>IF($C85&lt;&gt;"",'G3 ENG Reading Scoresheet'!$H88/20,"")</f>
        <v/>
      </c>
      <c r="S85" s="159" t="str">
        <f>IF(AND($C85&lt;&gt;"",$Q85&lt;&gt;"Full Refresher"),'G3 ENG Reading Scoresheet'!$P88,"")</f>
        <v/>
      </c>
      <c r="T85" s="160" t="str">
        <f>IF(AND($C85&lt;&gt;"",$Q85&lt;&gt;"Full Refresher"),'G3 ENG Reading Scoresheet'!$Q88/6,"")</f>
        <v/>
      </c>
      <c r="U85" s="161" t="str">
        <f>IF(AND($C85&lt;&gt;"",$O85&lt;&gt;"Full Refresher"),'G3 ENG Reading Scoresheet'!$O88,"")</f>
        <v/>
      </c>
      <c r="V85" s="162" t="str">
        <f>'G3 ENG Reading Scoresheet'!$T88</f>
        <v/>
      </c>
      <c r="W85" s="163" t="str">
        <f>CONCATENATE(IF(ISBLANK('G3 MT Reading Scoresheet'!V88),"",CONCATENATE("MT:",TRIM('G3 MT Reading Scoresheet'!V88)))," ",IF(ISBLANK('G3 FIL Reading Scoresheet'!V88),"",CONCATENATE("FIL:",TRIM('G3 FIL Reading Scoresheet'!V88)))," ",IF(ISBLANK('G3 ENG Reading Scoresheet'!U88),"",CONCATENATE("ENG:",TRIM('G3 ENG Reading Scoresheet'!U88))))</f>
        <v/>
      </c>
    </row>
    <row r="86" spans="1:23">
      <c r="A86" s="119">
        <f t="shared" si="0"/>
        <v>79</v>
      </c>
      <c r="B86" s="133" t="str">
        <f>IF('G3 MT Reading Scoresheet'!B89&lt;&gt;"",'G3 MT Reading Scoresheet'!B89,"")</f>
        <v/>
      </c>
      <c r="C86" s="134" t="str">
        <f>IF('G3 MT Reading Scoresheet'!C89&lt;&gt;"",'G3 MT Reading Scoresheet'!C89,"")</f>
        <v/>
      </c>
      <c r="D86" s="135" t="str">
        <f>IF('G3 MT Reading Scoresheet'!D89&lt;&gt;"",'G3 MT Reading Scoresheet'!D89,"")</f>
        <v/>
      </c>
      <c r="E86" s="130" t="str">
        <f>'G3 MT Reading Scoresheet'!$J89</f>
        <v/>
      </c>
      <c r="F86" s="131" t="str">
        <f>IF(C86&lt;&gt;"",'G3 MT Reading Scoresheet'!$I89/30,"")</f>
        <v/>
      </c>
      <c r="G86" s="131" t="str">
        <f>IF(AND($C86&lt;&gt;"",$E86&lt;&gt;"Full Refresher"),'G3 MT Reading Scoresheet'!$Q89,"")</f>
        <v/>
      </c>
      <c r="H86" s="132" t="str">
        <f>IF(AND(C86&lt;&gt;"",E86&lt;&gt;"Full Refresher"),'G3 MT Reading Scoresheet'!$R89/7,"")</f>
        <v/>
      </c>
      <c r="I86" s="143" t="str">
        <f>IF(AND($C86&lt;&gt;"",$E86&lt;&gt;"Full Refresher"),'G3 MT Reading Scoresheet'!$P89,"")</f>
        <v/>
      </c>
      <c r="J86" s="144" t="str">
        <f>'G3 MT Reading Scoresheet'!$U89</f>
        <v/>
      </c>
      <c r="K86" s="145" t="str">
        <f>'G3 FIL Reading Scoresheet'!$J89</f>
        <v/>
      </c>
      <c r="L86" s="146" t="str">
        <f>IF($C86&lt;&gt;"",'G3 FIL Reading Scoresheet'!$I89/30,"")</f>
        <v/>
      </c>
      <c r="M86" s="146" t="str">
        <f>IF(AND($C86&lt;&gt;"",$K86&lt;&gt;"Full Refresher"),'G3 MT Reading Scoresheet'!$Q89,"")</f>
        <v/>
      </c>
      <c r="N86" s="147" t="str">
        <f>IF(AND($C86&lt;&gt;"",$K86&lt;&gt;"Full Refresher"),'G3 MT Reading Scoresheet'!$R89/7,"")</f>
        <v/>
      </c>
      <c r="O86" s="148" t="str">
        <f>IF(AND($C86&lt;&gt;"",$K86&lt;&gt;"Full Refresher"),'G3 FIL Reading Scoresheet'!$P89,"")</f>
        <v/>
      </c>
      <c r="P86" s="149" t="str">
        <f>'G3 FIL Reading Scoresheet'!$U89</f>
        <v/>
      </c>
      <c r="Q86" s="158" t="str">
        <f>'G3 ENG Reading Scoresheet'!$I89</f>
        <v/>
      </c>
      <c r="R86" s="159" t="str">
        <f>IF($C86&lt;&gt;"",'G3 ENG Reading Scoresheet'!$H89/20,"")</f>
        <v/>
      </c>
      <c r="S86" s="159" t="str">
        <f>IF(AND($C86&lt;&gt;"",$Q86&lt;&gt;"Full Refresher"),'G3 ENG Reading Scoresheet'!$P89,"")</f>
        <v/>
      </c>
      <c r="T86" s="160" t="str">
        <f>IF(AND($C86&lt;&gt;"",$Q86&lt;&gt;"Full Refresher"),'G3 ENG Reading Scoresheet'!$Q89/6,"")</f>
        <v/>
      </c>
      <c r="U86" s="161" t="str">
        <f>IF(AND($C86&lt;&gt;"",$O86&lt;&gt;"Full Refresher"),'G3 ENG Reading Scoresheet'!$O89,"")</f>
        <v/>
      </c>
      <c r="V86" s="162" t="str">
        <f>'G3 ENG Reading Scoresheet'!$T89</f>
        <v/>
      </c>
      <c r="W86" s="164" t="str">
        <f>CONCATENATE(IF(ISBLANK('G3 MT Reading Scoresheet'!V89),"",CONCATENATE("MT:",TRIM('G3 MT Reading Scoresheet'!V89)))," ",IF(ISBLANK('G3 FIL Reading Scoresheet'!V89),"",CONCATENATE("FIL:",TRIM('G3 FIL Reading Scoresheet'!V89)))," ",IF(ISBLANK('G3 ENG Reading Scoresheet'!U89),"",CONCATENATE("ENG:",TRIM('G3 ENG Reading Scoresheet'!U89))))</f>
        <v/>
      </c>
    </row>
    <row r="87" spans="1:23">
      <c r="A87" s="126">
        <f t="shared" si="0"/>
        <v>80</v>
      </c>
      <c r="B87" s="127" t="str">
        <f>IF('G3 MT Reading Scoresheet'!B90&lt;&gt;"",'G3 MT Reading Scoresheet'!B90,"")</f>
        <v/>
      </c>
      <c r="C87" s="128" t="str">
        <f>IF('G3 MT Reading Scoresheet'!C90&lt;&gt;"",'G3 MT Reading Scoresheet'!C90,"")</f>
        <v/>
      </c>
      <c r="D87" s="129" t="str">
        <f>IF('G3 MT Reading Scoresheet'!D90&lt;&gt;"",'G3 MT Reading Scoresheet'!D90,"")</f>
        <v/>
      </c>
      <c r="E87" s="130" t="str">
        <f>'G3 MT Reading Scoresheet'!$J90</f>
        <v/>
      </c>
      <c r="F87" s="131" t="str">
        <f>IF(C87&lt;&gt;"",'G3 MT Reading Scoresheet'!$I90/30,"")</f>
        <v/>
      </c>
      <c r="G87" s="131" t="str">
        <f>IF(AND($C87&lt;&gt;"",$E87&lt;&gt;"Full Refresher"),'G3 MT Reading Scoresheet'!$Q90,"")</f>
        <v/>
      </c>
      <c r="H87" s="132" t="str">
        <f>IF(AND(C87&lt;&gt;"",E87&lt;&gt;"Full Refresher"),'G3 MT Reading Scoresheet'!$R90/7,"")</f>
        <v/>
      </c>
      <c r="I87" s="143" t="str">
        <f>IF(AND($C87&lt;&gt;"",$E87&lt;&gt;"Full Refresher"),'G3 MT Reading Scoresheet'!$P90,"")</f>
        <v/>
      </c>
      <c r="J87" s="144" t="str">
        <f>'G3 MT Reading Scoresheet'!$U90</f>
        <v/>
      </c>
      <c r="K87" s="145" t="str">
        <f>'G3 FIL Reading Scoresheet'!$J90</f>
        <v/>
      </c>
      <c r="L87" s="146" t="str">
        <f>IF($C87&lt;&gt;"",'G3 FIL Reading Scoresheet'!$I90/30,"")</f>
        <v/>
      </c>
      <c r="M87" s="146" t="str">
        <f>IF(AND($C87&lt;&gt;"",$K87&lt;&gt;"Full Refresher"),'G3 MT Reading Scoresheet'!$Q90,"")</f>
        <v/>
      </c>
      <c r="N87" s="147" t="str">
        <f>IF(AND($C87&lt;&gt;"",$K87&lt;&gt;"Full Refresher"),'G3 MT Reading Scoresheet'!$R90/7,"")</f>
        <v/>
      </c>
      <c r="O87" s="148" t="str">
        <f>IF(AND($C87&lt;&gt;"",$K87&lt;&gt;"Full Refresher"),'G3 FIL Reading Scoresheet'!$P90,"")</f>
        <v/>
      </c>
      <c r="P87" s="149" t="str">
        <f>'G3 FIL Reading Scoresheet'!$U90</f>
        <v/>
      </c>
      <c r="Q87" s="158" t="str">
        <f>'G3 ENG Reading Scoresheet'!$I90</f>
        <v/>
      </c>
      <c r="R87" s="159" t="str">
        <f>IF($C87&lt;&gt;"",'G3 ENG Reading Scoresheet'!$H90/20,"")</f>
        <v/>
      </c>
      <c r="S87" s="159" t="str">
        <f>IF(AND($C87&lt;&gt;"",$Q87&lt;&gt;"Full Refresher"),'G3 ENG Reading Scoresheet'!$P90,"")</f>
        <v/>
      </c>
      <c r="T87" s="160" t="str">
        <f>IF(AND($C87&lt;&gt;"",$Q87&lt;&gt;"Full Refresher"),'G3 ENG Reading Scoresheet'!$Q90/6,"")</f>
        <v/>
      </c>
      <c r="U87" s="161" t="str">
        <f>IF(AND($C87&lt;&gt;"",$O87&lt;&gt;"Full Refresher"),'G3 ENG Reading Scoresheet'!$O90,"")</f>
        <v/>
      </c>
      <c r="V87" s="162" t="str">
        <f>'G3 ENG Reading Scoresheet'!$T90</f>
        <v/>
      </c>
      <c r="W87" s="163" t="str">
        <f>CONCATENATE(IF(ISBLANK('G3 MT Reading Scoresheet'!V90),"",CONCATENATE("MT:",TRIM('G3 MT Reading Scoresheet'!V90)))," ",IF(ISBLANK('G3 FIL Reading Scoresheet'!V90),"",CONCATENATE("FIL:",TRIM('G3 FIL Reading Scoresheet'!V90)))," ",IF(ISBLANK('G3 ENG Reading Scoresheet'!U90),"",CONCATENATE("ENG:",TRIM('G3 ENG Reading Scoresheet'!U90))))</f>
        <v/>
      </c>
    </row>
    <row r="88" spans="1:23">
      <c r="A88" s="119">
        <f t="shared" si="0"/>
        <v>81</v>
      </c>
      <c r="B88" s="133" t="str">
        <f>IF('G3 MT Reading Scoresheet'!B91&lt;&gt;"",'G3 MT Reading Scoresheet'!B91,"")</f>
        <v/>
      </c>
      <c r="C88" s="134" t="str">
        <f>IF('G3 MT Reading Scoresheet'!C91&lt;&gt;"",'G3 MT Reading Scoresheet'!C91,"")</f>
        <v/>
      </c>
      <c r="D88" s="135" t="str">
        <f>IF('G3 MT Reading Scoresheet'!D91&lt;&gt;"",'G3 MT Reading Scoresheet'!D91,"")</f>
        <v/>
      </c>
      <c r="E88" s="130" t="str">
        <f>'G3 MT Reading Scoresheet'!$J91</f>
        <v/>
      </c>
      <c r="F88" s="131" t="str">
        <f>IF(C88&lt;&gt;"",'G3 MT Reading Scoresheet'!$I91/30,"")</f>
        <v/>
      </c>
      <c r="G88" s="131" t="str">
        <f>IF(AND($C88&lt;&gt;"",$E88&lt;&gt;"Full Refresher"),'G3 MT Reading Scoresheet'!$Q91,"")</f>
        <v/>
      </c>
      <c r="H88" s="132" t="str">
        <f>IF(AND(C88&lt;&gt;"",E88&lt;&gt;"Full Refresher"),'G3 MT Reading Scoresheet'!$R91/7,"")</f>
        <v/>
      </c>
      <c r="I88" s="143" t="str">
        <f>IF(AND($C88&lt;&gt;"",$E88&lt;&gt;"Full Refresher"),'G3 MT Reading Scoresheet'!$P91,"")</f>
        <v/>
      </c>
      <c r="J88" s="144" t="str">
        <f>'G3 MT Reading Scoresheet'!$U91</f>
        <v/>
      </c>
      <c r="K88" s="145" t="str">
        <f>'G3 FIL Reading Scoresheet'!$J91</f>
        <v/>
      </c>
      <c r="L88" s="146" t="str">
        <f>IF($C88&lt;&gt;"",'G3 FIL Reading Scoresheet'!$I91/30,"")</f>
        <v/>
      </c>
      <c r="M88" s="146" t="str">
        <f>IF(AND($C88&lt;&gt;"",$K88&lt;&gt;"Full Refresher"),'G3 MT Reading Scoresheet'!$Q91,"")</f>
        <v/>
      </c>
      <c r="N88" s="147" t="str">
        <f>IF(AND($C88&lt;&gt;"",$K88&lt;&gt;"Full Refresher"),'G3 MT Reading Scoresheet'!$R91/7,"")</f>
        <v/>
      </c>
      <c r="O88" s="148" t="str">
        <f>IF(AND($C88&lt;&gt;"",$K88&lt;&gt;"Full Refresher"),'G3 FIL Reading Scoresheet'!$P91,"")</f>
        <v/>
      </c>
      <c r="P88" s="149" t="str">
        <f>'G3 FIL Reading Scoresheet'!$U91</f>
        <v/>
      </c>
      <c r="Q88" s="158" t="str">
        <f>'G3 ENG Reading Scoresheet'!$I91</f>
        <v/>
      </c>
      <c r="R88" s="159" t="str">
        <f>IF($C88&lt;&gt;"",'G3 ENG Reading Scoresheet'!$H91/20,"")</f>
        <v/>
      </c>
      <c r="S88" s="159" t="str">
        <f>IF(AND($C88&lt;&gt;"",$Q88&lt;&gt;"Full Refresher"),'G3 ENG Reading Scoresheet'!$P91,"")</f>
        <v/>
      </c>
      <c r="T88" s="160" t="str">
        <f>IF(AND($C88&lt;&gt;"",$Q88&lt;&gt;"Full Refresher"),'G3 ENG Reading Scoresheet'!$Q91/6,"")</f>
        <v/>
      </c>
      <c r="U88" s="161" t="str">
        <f>IF(AND($C88&lt;&gt;"",$O88&lt;&gt;"Full Refresher"),'G3 ENG Reading Scoresheet'!$O91,"")</f>
        <v/>
      </c>
      <c r="V88" s="162" t="str">
        <f>'G3 ENG Reading Scoresheet'!$T91</f>
        <v/>
      </c>
      <c r="W88" s="164" t="str">
        <f>CONCATENATE(IF(ISBLANK('G3 MT Reading Scoresheet'!V91),"",CONCATENATE("MT:",TRIM('G3 MT Reading Scoresheet'!V91)))," ",IF(ISBLANK('G3 FIL Reading Scoresheet'!V91),"",CONCATENATE("FIL:",TRIM('G3 FIL Reading Scoresheet'!V91)))," ",IF(ISBLANK('G3 ENG Reading Scoresheet'!U91),"",CONCATENATE("ENG:",TRIM('G3 ENG Reading Scoresheet'!U91))))</f>
        <v/>
      </c>
    </row>
    <row r="89" spans="1:23">
      <c r="A89" s="126">
        <f t="shared" si="0"/>
        <v>82</v>
      </c>
      <c r="B89" s="127" t="str">
        <f>IF('G3 MT Reading Scoresheet'!B92&lt;&gt;"",'G3 MT Reading Scoresheet'!B92,"")</f>
        <v/>
      </c>
      <c r="C89" s="128" t="str">
        <f>IF('G3 MT Reading Scoresheet'!C92&lt;&gt;"",'G3 MT Reading Scoresheet'!C92,"")</f>
        <v/>
      </c>
      <c r="D89" s="129" t="str">
        <f>IF('G3 MT Reading Scoresheet'!D92&lt;&gt;"",'G3 MT Reading Scoresheet'!D92,"")</f>
        <v/>
      </c>
      <c r="E89" s="130" t="str">
        <f>'G3 MT Reading Scoresheet'!$J92</f>
        <v/>
      </c>
      <c r="F89" s="131" t="str">
        <f>IF(C89&lt;&gt;"",'G3 MT Reading Scoresheet'!$I92/30,"")</f>
        <v/>
      </c>
      <c r="G89" s="131" t="str">
        <f>IF(AND($C89&lt;&gt;"",$E89&lt;&gt;"Full Refresher"),'G3 MT Reading Scoresheet'!$Q92,"")</f>
        <v/>
      </c>
      <c r="H89" s="132" t="str">
        <f>IF(AND(C89&lt;&gt;"",E89&lt;&gt;"Full Refresher"),'G3 MT Reading Scoresheet'!$R92/7,"")</f>
        <v/>
      </c>
      <c r="I89" s="143" t="str">
        <f>IF(AND($C89&lt;&gt;"",$E89&lt;&gt;"Full Refresher"),'G3 MT Reading Scoresheet'!$P92,"")</f>
        <v/>
      </c>
      <c r="J89" s="144" t="str">
        <f>'G3 MT Reading Scoresheet'!$U92</f>
        <v/>
      </c>
      <c r="K89" s="145" t="str">
        <f>'G3 FIL Reading Scoresheet'!$J92</f>
        <v/>
      </c>
      <c r="L89" s="146" t="str">
        <f>IF($C89&lt;&gt;"",'G3 FIL Reading Scoresheet'!$I92/30,"")</f>
        <v/>
      </c>
      <c r="M89" s="146" t="str">
        <f>IF(AND($C89&lt;&gt;"",$K89&lt;&gt;"Full Refresher"),'G3 MT Reading Scoresheet'!$Q92,"")</f>
        <v/>
      </c>
      <c r="N89" s="147" t="str">
        <f>IF(AND($C89&lt;&gt;"",$K89&lt;&gt;"Full Refresher"),'G3 MT Reading Scoresheet'!$R92/7,"")</f>
        <v/>
      </c>
      <c r="O89" s="148" t="str">
        <f>IF(AND($C89&lt;&gt;"",$K89&lt;&gt;"Full Refresher"),'G3 FIL Reading Scoresheet'!$P92,"")</f>
        <v/>
      </c>
      <c r="P89" s="149" t="str">
        <f>'G3 FIL Reading Scoresheet'!$U92</f>
        <v/>
      </c>
      <c r="Q89" s="158" t="str">
        <f>'G3 ENG Reading Scoresheet'!$I92</f>
        <v/>
      </c>
      <c r="R89" s="159" t="str">
        <f>IF($C89&lt;&gt;"",'G3 ENG Reading Scoresheet'!$H92/20,"")</f>
        <v/>
      </c>
      <c r="S89" s="159" t="str">
        <f>IF(AND($C89&lt;&gt;"",$Q89&lt;&gt;"Full Refresher"),'G3 ENG Reading Scoresheet'!$P92,"")</f>
        <v/>
      </c>
      <c r="T89" s="160" t="str">
        <f>IF(AND($C89&lt;&gt;"",$Q89&lt;&gt;"Full Refresher"),'G3 ENG Reading Scoresheet'!$Q92/6,"")</f>
        <v/>
      </c>
      <c r="U89" s="161" t="str">
        <f>IF(AND($C89&lt;&gt;"",$O89&lt;&gt;"Full Refresher"),'G3 ENG Reading Scoresheet'!$O92,"")</f>
        <v/>
      </c>
      <c r="V89" s="162" t="str">
        <f>'G3 ENG Reading Scoresheet'!$T92</f>
        <v/>
      </c>
      <c r="W89" s="163" t="str">
        <f>CONCATENATE(IF(ISBLANK('G3 MT Reading Scoresheet'!V92),"",CONCATENATE("MT:",TRIM('G3 MT Reading Scoresheet'!V92)))," ",IF(ISBLANK('G3 FIL Reading Scoresheet'!V92),"",CONCATENATE("FIL:",TRIM('G3 FIL Reading Scoresheet'!V92)))," ",IF(ISBLANK('G3 ENG Reading Scoresheet'!U92),"",CONCATENATE("ENG:",TRIM('G3 ENG Reading Scoresheet'!U92))))</f>
        <v/>
      </c>
    </row>
    <row r="90" spans="1:23">
      <c r="A90" s="119">
        <f t="shared" si="0"/>
        <v>83</v>
      </c>
      <c r="B90" s="133" t="str">
        <f>IF('G3 MT Reading Scoresheet'!B93&lt;&gt;"",'G3 MT Reading Scoresheet'!B93,"")</f>
        <v/>
      </c>
      <c r="C90" s="134" t="str">
        <f>IF('G3 MT Reading Scoresheet'!C93&lt;&gt;"",'G3 MT Reading Scoresheet'!C93,"")</f>
        <v/>
      </c>
      <c r="D90" s="135" t="str">
        <f>IF('G3 MT Reading Scoresheet'!D93&lt;&gt;"",'G3 MT Reading Scoresheet'!D93,"")</f>
        <v/>
      </c>
      <c r="E90" s="130" t="str">
        <f>'G3 MT Reading Scoresheet'!$J93</f>
        <v/>
      </c>
      <c r="F90" s="131" t="str">
        <f>IF(C90&lt;&gt;"",'G3 MT Reading Scoresheet'!$I93/30,"")</f>
        <v/>
      </c>
      <c r="G90" s="131" t="str">
        <f>IF(AND($C90&lt;&gt;"",$E90&lt;&gt;"Full Refresher"),'G3 MT Reading Scoresheet'!$Q93,"")</f>
        <v/>
      </c>
      <c r="H90" s="132" t="str">
        <f>IF(AND(C90&lt;&gt;"",E90&lt;&gt;"Full Refresher"),'G3 MT Reading Scoresheet'!$R93/7,"")</f>
        <v/>
      </c>
      <c r="I90" s="143" t="str">
        <f>IF(AND($C90&lt;&gt;"",$E90&lt;&gt;"Full Refresher"),'G3 MT Reading Scoresheet'!$P93,"")</f>
        <v/>
      </c>
      <c r="J90" s="144" t="str">
        <f>'G3 MT Reading Scoresheet'!$U93</f>
        <v/>
      </c>
      <c r="K90" s="145" t="str">
        <f>'G3 FIL Reading Scoresheet'!$J93</f>
        <v/>
      </c>
      <c r="L90" s="146" t="str">
        <f>IF($C90&lt;&gt;"",'G3 FIL Reading Scoresheet'!$I93/30,"")</f>
        <v/>
      </c>
      <c r="M90" s="146" t="str">
        <f>IF(AND($C90&lt;&gt;"",$K90&lt;&gt;"Full Refresher"),'G3 MT Reading Scoresheet'!$Q93,"")</f>
        <v/>
      </c>
      <c r="N90" s="147" t="str">
        <f>IF(AND($C90&lt;&gt;"",$K90&lt;&gt;"Full Refresher"),'G3 MT Reading Scoresheet'!$R93/7,"")</f>
        <v/>
      </c>
      <c r="O90" s="148" t="str">
        <f>IF(AND($C90&lt;&gt;"",$K90&lt;&gt;"Full Refresher"),'G3 FIL Reading Scoresheet'!$P93,"")</f>
        <v/>
      </c>
      <c r="P90" s="149" t="str">
        <f>'G3 FIL Reading Scoresheet'!$U93</f>
        <v/>
      </c>
      <c r="Q90" s="158" t="str">
        <f>'G3 ENG Reading Scoresheet'!$I93</f>
        <v/>
      </c>
      <c r="R90" s="159" t="str">
        <f>IF($C90&lt;&gt;"",'G3 ENG Reading Scoresheet'!$H93/20,"")</f>
        <v/>
      </c>
      <c r="S90" s="159" t="str">
        <f>IF(AND($C90&lt;&gt;"",$Q90&lt;&gt;"Full Refresher"),'G3 ENG Reading Scoresheet'!$P93,"")</f>
        <v/>
      </c>
      <c r="T90" s="160" t="str">
        <f>IF(AND($C90&lt;&gt;"",$Q90&lt;&gt;"Full Refresher"),'G3 ENG Reading Scoresheet'!$Q93/6,"")</f>
        <v/>
      </c>
      <c r="U90" s="161" t="str">
        <f>IF(AND($C90&lt;&gt;"",$O90&lt;&gt;"Full Refresher"),'G3 ENG Reading Scoresheet'!$O93,"")</f>
        <v/>
      </c>
      <c r="V90" s="162" t="str">
        <f>'G3 ENG Reading Scoresheet'!$T93</f>
        <v/>
      </c>
      <c r="W90" s="164" t="str">
        <f>CONCATENATE(IF(ISBLANK('G3 MT Reading Scoresheet'!V93),"",CONCATENATE("MT:",TRIM('G3 MT Reading Scoresheet'!V93)))," ",IF(ISBLANK('G3 FIL Reading Scoresheet'!V93),"",CONCATENATE("FIL:",TRIM('G3 FIL Reading Scoresheet'!V93)))," ",IF(ISBLANK('G3 ENG Reading Scoresheet'!U93),"",CONCATENATE("ENG:",TRIM('G3 ENG Reading Scoresheet'!U93))))</f>
        <v/>
      </c>
    </row>
    <row r="91" spans="1:23">
      <c r="A91" s="126">
        <f t="shared" si="0"/>
        <v>84</v>
      </c>
      <c r="B91" s="127" t="str">
        <f>IF('G3 MT Reading Scoresheet'!B94&lt;&gt;"",'G3 MT Reading Scoresheet'!B94,"")</f>
        <v/>
      </c>
      <c r="C91" s="128" t="str">
        <f>IF('G3 MT Reading Scoresheet'!C94&lt;&gt;"",'G3 MT Reading Scoresheet'!C94,"")</f>
        <v/>
      </c>
      <c r="D91" s="129" t="str">
        <f>IF('G3 MT Reading Scoresheet'!D94&lt;&gt;"",'G3 MT Reading Scoresheet'!D94,"")</f>
        <v/>
      </c>
      <c r="E91" s="130" t="str">
        <f>'G3 MT Reading Scoresheet'!$J94</f>
        <v/>
      </c>
      <c r="F91" s="131" t="str">
        <f>IF(C91&lt;&gt;"",'G3 MT Reading Scoresheet'!$I94/30,"")</f>
        <v/>
      </c>
      <c r="G91" s="131" t="str">
        <f>IF(AND($C91&lt;&gt;"",$E91&lt;&gt;"Full Refresher"),'G3 MT Reading Scoresheet'!$Q94,"")</f>
        <v/>
      </c>
      <c r="H91" s="132" t="str">
        <f>IF(AND(C91&lt;&gt;"",E91&lt;&gt;"Full Refresher"),'G3 MT Reading Scoresheet'!$R94/7,"")</f>
        <v/>
      </c>
      <c r="I91" s="143" t="str">
        <f>IF(AND($C91&lt;&gt;"",$E91&lt;&gt;"Full Refresher"),'G3 MT Reading Scoresheet'!$P94,"")</f>
        <v/>
      </c>
      <c r="J91" s="144" t="str">
        <f>'G3 MT Reading Scoresheet'!$U94</f>
        <v/>
      </c>
      <c r="K91" s="145" t="str">
        <f>'G3 FIL Reading Scoresheet'!$J94</f>
        <v/>
      </c>
      <c r="L91" s="146" t="str">
        <f>IF($C91&lt;&gt;"",'G3 FIL Reading Scoresheet'!$I94/30,"")</f>
        <v/>
      </c>
      <c r="M91" s="146" t="str">
        <f>IF(AND($C91&lt;&gt;"",$K91&lt;&gt;"Full Refresher"),'G3 MT Reading Scoresheet'!$Q94,"")</f>
        <v/>
      </c>
      <c r="N91" s="147" t="str">
        <f>IF(AND($C91&lt;&gt;"",$K91&lt;&gt;"Full Refresher"),'G3 MT Reading Scoresheet'!$R94/7,"")</f>
        <v/>
      </c>
      <c r="O91" s="148" t="str">
        <f>IF(AND($C91&lt;&gt;"",$K91&lt;&gt;"Full Refresher"),'G3 FIL Reading Scoresheet'!$P94,"")</f>
        <v/>
      </c>
      <c r="P91" s="149" t="str">
        <f>'G3 FIL Reading Scoresheet'!$U94</f>
        <v/>
      </c>
      <c r="Q91" s="158" t="str">
        <f>'G3 ENG Reading Scoresheet'!$I94</f>
        <v/>
      </c>
      <c r="R91" s="159" t="str">
        <f>IF($C91&lt;&gt;"",'G3 ENG Reading Scoresheet'!$H94/20,"")</f>
        <v/>
      </c>
      <c r="S91" s="159" t="str">
        <f>IF(AND($C91&lt;&gt;"",$Q91&lt;&gt;"Full Refresher"),'G3 ENG Reading Scoresheet'!$P94,"")</f>
        <v/>
      </c>
      <c r="T91" s="160" t="str">
        <f>IF(AND($C91&lt;&gt;"",$Q91&lt;&gt;"Full Refresher"),'G3 ENG Reading Scoresheet'!$Q94/6,"")</f>
        <v/>
      </c>
      <c r="U91" s="161" t="str">
        <f>IF(AND($C91&lt;&gt;"",$O91&lt;&gt;"Full Refresher"),'G3 ENG Reading Scoresheet'!$O94,"")</f>
        <v/>
      </c>
      <c r="V91" s="162" t="str">
        <f>'G3 ENG Reading Scoresheet'!$T94</f>
        <v/>
      </c>
      <c r="W91" s="163" t="str">
        <f>CONCATENATE(IF(ISBLANK('G3 MT Reading Scoresheet'!V94),"",CONCATENATE("MT:",TRIM('G3 MT Reading Scoresheet'!V94)))," ",IF(ISBLANK('G3 FIL Reading Scoresheet'!V94),"",CONCATENATE("FIL:",TRIM('G3 FIL Reading Scoresheet'!V94)))," ",IF(ISBLANK('G3 ENG Reading Scoresheet'!U94),"",CONCATENATE("ENG:",TRIM('G3 ENG Reading Scoresheet'!U94))))</f>
        <v/>
      </c>
    </row>
    <row r="92" spans="1:23">
      <c r="A92" s="119">
        <f t="shared" si="0"/>
        <v>85</v>
      </c>
      <c r="B92" s="133" t="str">
        <f>IF('G3 MT Reading Scoresheet'!B95&lt;&gt;"",'G3 MT Reading Scoresheet'!B95,"")</f>
        <v/>
      </c>
      <c r="C92" s="134" t="str">
        <f>IF('G3 MT Reading Scoresheet'!C95&lt;&gt;"",'G3 MT Reading Scoresheet'!C95,"")</f>
        <v/>
      </c>
      <c r="D92" s="135" t="str">
        <f>IF('G3 MT Reading Scoresheet'!D95&lt;&gt;"",'G3 MT Reading Scoresheet'!D95,"")</f>
        <v/>
      </c>
      <c r="E92" s="130" t="str">
        <f>'G3 MT Reading Scoresheet'!$J95</f>
        <v/>
      </c>
      <c r="F92" s="131" t="str">
        <f>IF(C92&lt;&gt;"",'G3 MT Reading Scoresheet'!$I95/30,"")</f>
        <v/>
      </c>
      <c r="G92" s="131" t="str">
        <f>IF(AND($C92&lt;&gt;"",$E92&lt;&gt;"Full Refresher"),'G3 MT Reading Scoresheet'!$Q95,"")</f>
        <v/>
      </c>
      <c r="H92" s="132" t="str">
        <f>IF(AND(C92&lt;&gt;"",E92&lt;&gt;"Full Refresher"),'G3 MT Reading Scoresheet'!$R95/7,"")</f>
        <v/>
      </c>
      <c r="I92" s="143" t="str">
        <f>IF(AND($C92&lt;&gt;"",$E92&lt;&gt;"Full Refresher"),'G3 MT Reading Scoresheet'!$P95,"")</f>
        <v/>
      </c>
      <c r="J92" s="144" t="str">
        <f>'G3 MT Reading Scoresheet'!$U95</f>
        <v/>
      </c>
      <c r="K92" s="145" t="str">
        <f>'G3 FIL Reading Scoresheet'!$J95</f>
        <v/>
      </c>
      <c r="L92" s="146" t="str">
        <f>IF($C92&lt;&gt;"",'G3 FIL Reading Scoresheet'!$I95/30,"")</f>
        <v/>
      </c>
      <c r="M92" s="146" t="str">
        <f>IF(AND($C92&lt;&gt;"",$K92&lt;&gt;"Full Refresher"),'G3 MT Reading Scoresheet'!$Q95,"")</f>
        <v/>
      </c>
      <c r="N92" s="147" t="str">
        <f>IF(AND($C92&lt;&gt;"",$K92&lt;&gt;"Full Refresher"),'G3 MT Reading Scoresheet'!$R95/7,"")</f>
        <v/>
      </c>
      <c r="O92" s="148" t="str">
        <f>IF(AND($C92&lt;&gt;"",$K92&lt;&gt;"Full Refresher"),'G3 FIL Reading Scoresheet'!$P95,"")</f>
        <v/>
      </c>
      <c r="P92" s="149" t="str">
        <f>'G3 FIL Reading Scoresheet'!$U95</f>
        <v/>
      </c>
      <c r="Q92" s="158" t="str">
        <f>'G3 ENG Reading Scoresheet'!$I95</f>
        <v/>
      </c>
      <c r="R92" s="159" t="str">
        <f>IF($C92&lt;&gt;"",'G3 ENG Reading Scoresheet'!$H95/20,"")</f>
        <v/>
      </c>
      <c r="S92" s="159" t="str">
        <f>IF(AND($C92&lt;&gt;"",$Q92&lt;&gt;"Full Refresher"),'G3 ENG Reading Scoresheet'!$P95,"")</f>
        <v/>
      </c>
      <c r="T92" s="160" t="str">
        <f>IF(AND($C92&lt;&gt;"",$Q92&lt;&gt;"Full Refresher"),'G3 ENG Reading Scoresheet'!$Q95/6,"")</f>
        <v/>
      </c>
      <c r="U92" s="161" t="str">
        <f>IF(AND($C92&lt;&gt;"",$O92&lt;&gt;"Full Refresher"),'G3 ENG Reading Scoresheet'!$O95,"")</f>
        <v/>
      </c>
      <c r="V92" s="162" t="str">
        <f>'G3 ENG Reading Scoresheet'!$T95</f>
        <v/>
      </c>
      <c r="W92" s="164" t="str">
        <f>CONCATENATE(IF(ISBLANK('G3 MT Reading Scoresheet'!V95),"",CONCATENATE("MT:",TRIM('G3 MT Reading Scoresheet'!V95)))," ",IF(ISBLANK('G3 FIL Reading Scoresheet'!V95),"",CONCATENATE("FIL:",TRIM('G3 FIL Reading Scoresheet'!V95)))," ",IF(ISBLANK('G3 ENG Reading Scoresheet'!U95),"",CONCATENATE("ENG:",TRIM('G3 ENG Reading Scoresheet'!U95))))</f>
        <v/>
      </c>
    </row>
    <row r="93" spans="1:23">
      <c r="A93" s="126">
        <f t="shared" si="0"/>
        <v>86</v>
      </c>
      <c r="B93" s="127" t="str">
        <f>IF('G3 MT Reading Scoresheet'!B96&lt;&gt;"",'G3 MT Reading Scoresheet'!B96,"")</f>
        <v/>
      </c>
      <c r="C93" s="128" t="str">
        <f>IF('G3 MT Reading Scoresheet'!C96&lt;&gt;"",'G3 MT Reading Scoresheet'!C96,"")</f>
        <v/>
      </c>
      <c r="D93" s="129" t="str">
        <f>IF('G3 MT Reading Scoresheet'!D96&lt;&gt;"",'G3 MT Reading Scoresheet'!D96,"")</f>
        <v/>
      </c>
      <c r="E93" s="130" t="str">
        <f>'G3 MT Reading Scoresheet'!$J96</f>
        <v/>
      </c>
      <c r="F93" s="131" t="str">
        <f>IF(C93&lt;&gt;"",'G3 MT Reading Scoresheet'!$I96/30,"")</f>
        <v/>
      </c>
      <c r="G93" s="131" t="str">
        <f>IF(AND($C93&lt;&gt;"",$E93&lt;&gt;"Full Refresher"),'G3 MT Reading Scoresheet'!$Q96,"")</f>
        <v/>
      </c>
      <c r="H93" s="132" t="str">
        <f>IF(AND(C93&lt;&gt;"",E93&lt;&gt;"Full Refresher"),'G3 MT Reading Scoresheet'!$R96/7,"")</f>
        <v/>
      </c>
      <c r="I93" s="143" t="str">
        <f>IF(AND($C93&lt;&gt;"",$E93&lt;&gt;"Full Refresher"),'G3 MT Reading Scoresheet'!$P96,"")</f>
        <v/>
      </c>
      <c r="J93" s="144" t="str">
        <f>'G3 MT Reading Scoresheet'!$U96</f>
        <v/>
      </c>
      <c r="K93" s="145" t="str">
        <f>'G3 FIL Reading Scoresheet'!$J96</f>
        <v/>
      </c>
      <c r="L93" s="146" t="str">
        <f>IF($C93&lt;&gt;"",'G3 FIL Reading Scoresheet'!$I96/30,"")</f>
        <v/>
      </c>
      <c r="M93" s="146" t="str">
        <f>IF(AND($C93&lt;&gt;"",$K93&lt;&gt;"Full Refresher"),'G3 MT Reading Scoresheet'!$Q96,"")</f>
        <v/>
      </c>
      <c r="N93" s="147" t="str">
        <f>IF(AND($C93&lt;&gt;"",$K93&lt;&gt;"Full Refresher"),'G3 MT Reading Scoresheet'!$R96/7,"")</f>
        <v/>
      </c>
      <c r="O93" s="148" t="str">
        <f>IF(AND($C93&lt;&gt;"",$K93&lt;&gt;"Full Refresher"),'G3 FIL Reading Scoresheet'!$P96,"")</f>
        <v/>
      </c>
      <c r="P93" s="149" t="str">
        <f>'G3 FIL Reading Scoresheet'!$U96</f>
        <v/>
      </c>
      <c r="Q93" s="158" t="str">
        <f>'G3 ENG Reading Scoresheet'!$I96</f>
        <v/>
      </c>
      <c r="R93" s="159" t="str">
        <f>IF($C93&lt;&gt;"",'G3 ENG Reading Scoresheet'!$H96/20,"")</f>
        <v/>
      </c>
      <c r="S93" s="159" t="str">
        <f>IF(AND($C93&lt;&gt;"",$Q93&lt;&gt;"Full Refresher"),'G3 ENG Reading Scoresheet'!$P96,"")</f>
        <v/>
      </c>
      <c r="T93" s="160" t="str">
        <f>IF(AND($C93&lt;&gt;"",$Q93&lt;&gt;"Full Refresher"),'G3 ENG Reading Scoresheet'!$Q96/6,"")</f>
        <v/>
      </c>
      <c r="U93" s="161" t="str">
        <f>IF(AND($C93&lt;&gt;"",$O93&lt;&gt;"Full Refresher"),'G3 ENG Reading Scoresheet'!$O96,"")</f>
        <v/>
      </c>
      <c r="V93" s="162" t="str">
        <f>'G3 ENG Reading Scoresheet'!$T96</f>
        <v/>
      </c>
      <c r="W93" s="163" t="str">
        <f>CONCATENATE(IF(ISBLANK('G3 MT Reading Scoresheet'!V96),"",CONCATENATE("MT:",TRIM('G3 MT Reading Scoresheet'!V96)))," ",IF(ISBLANK('G3 FIL Reading Scoresheet'!V96),"",CONCATENATE("FIL:",TRIM('G3 FIL Reading Scoresheet'!V96)))," ",IF(ISBLANK('G3 ENG Reading Scoresheet'!U96),"",CONCATENATE("ENG:",TRIM('G3 ENG Reading Scoresheet'!U96))))</f>
        <v/>
      </c>
    </row>
    <row r="94" spans="1:23">
      <c r="A94" s="119">
        <f t="shared" si="0"/>
        <v>87</v>
      </c>
      <c r="B94" s="133" t="str">
        <f>IF('G3 MT Reading Scoresheet'!B97&lt;&gt;"",'G3 MT Reading Scoresheet'!B97,"")</f>
        <v/>
      </c>
      <c r="C94" s="134" t="str">
        <f>IF('G3 MT Reading Scoresheet'!C97&lt;&gt;"",'G3 MT Reading Scoresheet'!C97,"")</f>
        <v/>
      </c>
      <c r="D94" s="135" t="str">
        <f>IF('G3 MT Reading Scoresheet'!D97&lt;&gt;"",'G3 MT Reading Scoresheet'!D97,"")</f>
        <v/>
      </c>
      <c r="E94" s="130" t="str">
        <f>'G3 MT Reading Scoresheet'!$J97</f>
        <v/>
      </c>
      <c r="F94" s="131" t="str">
        <f>IF(C94&lt;&gt;"",'G3 MT Reading Scoresheet'!$I97/30,"")</f>
        <v/>
      </c>
      <c r="G94" s="131" t="str">
        <f>IF(AND($C94&lt;&gt;"",$E94&lt;&gt;"Full Refresher"),'G3 MT Reading Scoresheet'!$Q97,"")</f>
        <v/>
      </c>
      <c r="H94" s="132" t="str">
        <f>IF(AND(C94&lt;&gt;"",E94&lt;&gt;"Full Refresher"),'G3 MT Reading Scoresheet'!$R97/7,"")</f>
        <v/>
      </c>
      <c r="I94" s="143" t="str">
        <f>IF(AND($C94&lt;&gt;"",$E94&lt;&gt;"Full Refresher"),'G3 MT Reading Scoresheet'!$P97,"")</f>
        <v/>
      </c>
      <c r="J94" s="144" t="str">
        <f>'G3 MT Reading Scoresheet'!$U97</f>
        <v/>
      </c>
      <c r="K94" s="145" t="str">
        <f>'G3 FIL Reading Scoresheet'!$J97</f>
        <v/>
      </c>
      <c r="L94" s="146" t="str">
        <f>IF($C94&lt;&gt;"",'G3 FIL Reading Scoresheet'!$I97/30,"")</f>
        <v/>
      </c>
      <c r="M94" s="146" t="str">
        <f>IF(AND($C94&lt;&gt;"",$K94&lt;&gt;"Full Refresher"),'G3 MT Reading Scoresheet'!$Q97,"")</f>
        <v/>
      </c>
      <c r="N94" s="147" t="str">
        <f>IF(AND($C94&lt;&gt;"",$K94&lt;&gt;"Full Refresher"),'G3 MT Reading Scoresheet'!$R97/7,"")</f>
        <v/>
      </c>
      <c r="O94" s="148" t="str">
        <f>IF(AND($C94&lt;&gt;"",$K94&lt;&gt;"Full Refresher"),'G3 FIL Reading Scoresheet'!$P97,"")</f>
        <v/>
      </c>
      <c r="P94" s="149" t="str">
        <f>'G3 FIL Reading Scoresheet'!$U97</f>
        <v/>
      </c>
      <c r="Q94" s="158" t="str">
        <f>'G3 ENG Reading Scoresheet'!$I97</f>
        <v/>
      </c>
      <c r="R94" s="159" t="str">
        <f>IF($C94&lt;&gt;"",'G3 ENG Reading Scoresheet'!$H97/20,"")</f>
        <v/>
      </c>
      <c r="S94" s="159" t="str">
        <f>IF(AND($C94&lt;&gt;"",$Q94&lt;&gt;"Full Refresher"),'G3 ENG Reading Scoresheet'!$P97,"")</f>
        <v/>
      </c>
      <c r="T94" s="160" t="str">
        <f>IF(AND($C94&lt;&gt;"",$Q94&lt;&gt;"Full Refresher"),'G3 ENG Reading Scoresheet'!$Q97/6,"")</f>
        <v/>
      </c>
      <c r="U94" s="161" t="str">
        <f>IF(AND($C94&lt;&gt;"",$O94&lt;&gt;"Full Refresher"),'G3 ENG Reading Scoresheet'!$O97,"")</f>
        <v/>
      </c>
      <c r="V94" s="162" t="str">
        <f>'G3 ENG Reading Scoresheet'!$T97</f>
        <v/>
      </c>
      <c r="W94" s="164" t="str">
        <f>CONCATENATE(IF(ISBLANK('G3 MT Reading Scoresheet'!V97),"",CONCATENATE("MT:",TRIM('G3 MT Reading Scoresheet'!V97)))," ",IF(ISBLANK('G3 FIL Reading Scoresheet'!V97),"",CONCATENATE("FIL:",TRIM('G3 FIL Reading Scoresheet'!V97)))," ",IF(ISBLANK('G3 ENG Reading Scoresheet'!U97),"",CONCATENATE("ENG:",TRIM('G3 ENG Reading Scoresheet'!U97))))</f>
        <v/>
      </c>
    </row>
    <row r="95" spans="1:23">
      <c r="A95" s="126">
        <f t="shared" si="0"/>
        <v>88</v>
      </c>
      <c r="B95" s="127" t="str">
        <f>IF('G3 MT Reading Scoresheet'!B98&lt;&gt;"",'G3 MT Reading Scoresheet'!B98,"")</f>
        <v/>
      </c>
      <c r="C95" s="128" t="str">
        <f>IF('G3 MT Reading Scoresheet'!C98&lt;&gt;"",'G3 MT Reading Scoresheet'!C98,"")</f>
        <v/>
      </c>
      <c r="D95" s="129" t="str">
        <f>IF('G3 MT Reading Scoresheet'!D98&lt;&gt;"",'G3 MT Reading Scoresheet'!D98,"")</f>
        <v/>
      </c>
      <c r="E95" s="130" t="str">
        <f>'G3 MT Reading Scoresheet'!$J98</f>
        <v/>
      </c>
      <c r="F95" s="131" t="str">
        <f>IF(C95&lt;&gt;"",'G3 MT Reading Scoresheet'!$I98/30,"")</f>
        <v/>
      </c>
      <c r="G95" s="131" t="str">
        <f>IF(AND($C95&lt;&gt;"",$E95&lt;&gt;"Full Refresher"),'G3 MT Reading Scoresheet'!$Q98,"")</f>
        <v/>
      </c>
      <c r="H95" s="132" t="str">
        <f>IF(AND(C95&lt;&gt;"",E95&lt;&gt;"Full Refresher"),'G3 MT Reading Scoresheet'!$R98/7,"")</f>
        <v/>
      </c>
      <c r="I95" s="143" t="str">
        <f>IF(AND($C95&lt;&gt;"",$E95&lt;&gt;"Full Refresher"),'G3 MT Reading Scoresheet'!$P98,"")</f>
        <v/>
      </c>
      <c r="J95" s="144" t="str">
        <f>'G3 MT Reading Scoresheet'!$U98</f>
        <v/>
      </c>
      <c r="K95" s="145" t="str">
        <f>'G3 FIL Reading Scoresheet'!$J98</f>
        <v/>
      </c>
      <c r="L95" s="146" t="str">
        <f>IF($C95&lt;&gt;"",'G3 FIL Reading Scoresheet'!$I98/30,"")</f>
        <v/>
      </c>
      <c r="M95" s="146" t="str">
        <f>IF(AND($C95&lt;&gt;"",$K95&lt;&gt;"Full Refresher"),'G3 MT Reading Scoresheet'!$Q98,"")</f>
        <v/>
      </c>
      <c r="N95" s="147" t="str">
        <f>IF(AND($C95&lt;&gt;"",$K95&lt;&gt;"Full Refresher"),'G3 MT Reading Scoresheet'!$R98/7,"")</f>
        <v/>
      </c>
      <c r="O95" s="148" t="str">
        <f>IF(AND($C95&lt;&gt;"",$K95&lt;&gt;"Full Refresher"),'G3 FIL Reading Scoresheet'!$P98,"")</f>
        <v/>
      </c>
      <c r="P95" s="149" t="str">
        <f>'G3 FIL Reading Scoresheet'!$U98</f>
        <v/>
      </c>
      <c r="Q95" s="158" t="str">
        <f>'G3 ENG Reading Scoresheet'!$I98</f>
        <v/>
      </c>
      <c r="R95" s="159" t="str">
        <f>IF($C95&lt;&gt;"",'G3 ENG Reading Scoresheet'!$H98/20,"")</f>
        <v/>
      </c>
      <c r="S95" s="159" t="str">
        <f>IF(AND($C95&lt;&gt;"",$Q95&lt;&gt;"Full Refresher"),'G3 ENG Reading Scoresheet'!$P98,"")</f>
        <v/>
      </c>
      <c r="T95" s="160" t="str">
        <f>IF(AND($C95&lt;&gt;"",$Q95&lt;&gt;"Full Refresher"),'G3 ENG Reading Scoresheet'!$Q98/6,"")</f>
        <v/>
      </c>
      <c r="U95" s="161" t="str">
        <f>IF(AND($C95&lt;&gt;"",$O95&lt;&gt;"Full Refresher"),'G3 ENG Reading Scoresheet'!$O98,"")</f>
        <v/>
      </c>
      <c r="V95" s="162" t="str">
        <f>'G3 ENG Reading Scoresheet'!$T98</f>
        <v/>
      </c>
      <c r="W95" s="163" t="str">
        <f>CONCATENATE(IF(ISBLANK('G3 MT Reading Scoresheet'!V98),"",CONCATENATE("MT:",TRIM('G3 MT Reading Scoresheet'!V98)))," ",IF(ISBLANK('G3 FIL Reading Scoresheet'!V98),"",CONCATENATE("FIL:",TRIM('G3 FIL Reading Scoresheet'!V98)))," ",IF(ISBLANK('G3 ENG Reading Scoresheet'!U98),"",CONCATENATE("ENG:",TRIM('G3 ENG Reading Scoresheet'!U98))))</f>
        <v/>
      </c>
    </row>
    <row r="96" spans="1:23">
      <c r="A96" s="119">
        <f t="shared" si="0"/>
        <v>89</v>
      </c>
      <c r="B96" s="133" t="str">
        <f>IF('G3 MT Reading Scoresheet'!B99&lt;&gt;"",'G3 MT Reading Scoresheet'!B99,"")</f>
        <v/>
      </c>
      <c r="C96" s="134" t="str">
        <f>IF('G3 MT Reading Scoresheet'!C99&lt;&gt;"",'G3 MT Reading Scoresheet'!C99,"")</f>
        <v/>
      </c>
      <c r="D96" s="135" t="str">
        <f>IF('G3 MT Reading Scoresheet'!D99&lt;&gt;"",'G3 MT Reading Scoresheet'!D99,"")</f>
        <v/>
      </c>
      <c r="E96" s="130" t="str">
        <f>'G3 MT Reading Scoresheet'!$J99</f>
        <v/>
      </c>
      <c r="F96" s="131" t="str">
        <f>IF(C96&lt;&gt;"",'G3 MT Reading Scoresheet'!$I99/30,"")</f>
        <v/>
      </c>
      <c r="G96" s="131" t="str">
        <f>IF(AND($C96&lt;&gt;"",$E96&lt;&gt;"Full Refresher"),'G3 MT Reading Scoresheet'!$Q99,"")</f>
        <v/>
      </c>
      <c r="H96" s="132" t="str">
        <f>IF(AND(C96&lt;&gt;"",E96&lt;&gt;"Full Refresher"),'G3 MT Reading Scoresheet'!$R99/7,"")</f>
        <v/>
      </c>
      <c r="I96" s="143" t="str">
        <f>IF(AND($C96&lt;&gt;"",$E96&lt;&gt;"Full Refresher"),'G3 MT Reading Scoresheet'!$P99,"")</f>
        <v/>
      </c>
      <c r="J96" s="144" t="str">
        <f>'G3 MT Reading Scoresheet'!$U99</f>
        <v/>
      </c>
      <c r="K96" s="145" t="str">
        <f>'G3 FIL Reading Scoresheet'!$J99</f>
        <v/>
      </c>
      <c r="L96" s="146" t="str">
        <f>IF($C96&lt;&gt;"",'G3 FIL Reading Scoresheet'!$I99/30,"")</f>
        <v/>
      </c>
      <c r="M96" s="146" t="str">
        <f>IF(AND($C96&lt;&gt;"",$K96&lt;&gt;"Full Refresher"),'G3 MT Reading Scoresheet'!$Q99,"")</f>
        <v/>
      </c>
      <c r="N96" s="147" t="str">
        <f>IF(AND($C96&lt;&gt;"",$K96&lt;&gt;"Full Refresher"),'G3 MT Reading Scoresheet'!$R99/7,"")</f>
        <v/>
      </c>
      <c r="O96" s="148" t="str">
        <f>IF(AND($C96&lt;&gt;"",$K96&lt;&gt;"Full Refresher"),'G3 FIL Reading Scoresheet'!$P99,"")</f>
        <v/>
      </c>
      <c r="P96" s="149" t="str">
        <f>'G3 FIL Reading Scoresheet'!$U99</f>
        <v/>
      </c>
      <c r="Q96" s="158" t="str">
        <f>'G3 ENG Reading Scoresheet'!$I99</f>
        <v/>
      </c>
      <c r="R96" s="159" t="str">
        <f>IF($C96&lt;&gt;"",'G3 ENG Reading Scoresheet'!$H99/20,"")</f>
        <v/>
      </c>
      <c r="S96" s="159" t="str">
        <f>IF(AND($C96&lt;&gt;"",$Q96&lt;&gt;"Full Refresher"),'G3 ENG Reading Scoresheet'!$P99,"")</f>
        <v/>
      </c>
      <c r="T96" s="160" t="str">
        <f>IF(AND($C96&lt;&gt;"",$Q96&lt;&gt;"Full Refresher"),'G3 ENG Reading Scoresheet'!$Q99/6,"")</f>
        <v/>
      </c>
      <c r="U96" s="161" t="str">
        <f>IF(AND($C96&lt;&gt;"",$O96&lt;&gt;"Full Refresher"),'G3 ENG Reading Scoresheet'!$O99,"")</f>
        <v/>
      </c>
      <c r="V96" s="162" t="str">
        <f>'G3 ENG Reading Scoresheet'!$T99</f>
        <v/>
      </c>
      <c r="W96" s="164" t="str">
        <f>CONCATENATE(IF(ISBLANK('G3 MT Reading Scoresheet'!V99),"",CONCATENATE("MT:",TRIM('G3 MT Reading Scoresheet'!V99)))," ",IF(ISBLANK('G3 FIL Reading Scoresheet'!V99),"",CONCATENATE("FIL:",TRIM('G3 FIL Reading Scoresheet'!V99)))," ",IF(ISBLANK('G3 ENG Reading Scoresheet'!U99),"",CONCATENATE("ENG:",TRIM('G3 ENG Reading Scoresheet'!U99))))</f>
        <v/>
      </c>
    </row>
    <row r="97" spans="1:23">
      <c r="A97" s="126">
        <f t="shared" si="0"/>
        <v>90</v>
      </c>
      <c r="B97" s="127" t="str">
        <f>IF('G3 MT Reading Scoresheet'!B100&lt;&gt;"",'G3 MT Reading Scoresheet'!B100,"")</f>
        <v/>
      </c>
      <c r="C97" s="128" t="str">
        <f>IF('G3 MT Reading Scoresheet'!C100&lt;&gt;"",'G3 MT Reading Scoresheet'!C100,"")</f>
        <v/>
      </c>
      <c r="D97" s="129" t="str">
        <f>IF('G3 MT Reading Scoresheet'!D100&lt;&gt;"",'G3 MT Reading Scoresheet'!D100,"")</f>
        <v/>
      </c>
      <c r="E97" s="130" t="str">
        <f>'G3 MT Reading Scoresheet'!$J100</f>
        <v/>
      </c>
      <c r="F97" s="131" t="str">
        <f>IF(C97&lt;&gt;"",'G3 MT Reading Scoresheet'!$I100/30,"")</f>
        <v/>
      </c>
      <c r="G97" s="131" t="str">
        <f>IF(AND($C97&lt;&gt;"",$E97&lt;&gt;"Full Refresher"),'G3 MT Reading Scoresheet'!$Q100,"")</f>
        <v/>
      </c>
      <c r="H97" s="132" t="str">
        <f>IF(AND(C97&lt;&gt;"",E97&lt;&gt;"Full Refresher"),'G3 MT Reading Scoresheet'!$R100/7,"")</f>
        <v/>
      </c>
      <c r="I97" s="143" t="str">
        <f>IF(AND($C97&lt;&gt;"",$E97&lt;&gt;"Full Refresher"),'G3 MT Reading Scoresheet'!$P100,"")</f>
        <v/>
      </c>
      <c r="J97" s="144" t="str">
        <f>'G3 MT Reading Scoresheet'!$U100</f>
        <v/>
      </c>
      <c r="K97" s="145" t="str">
        <f>'G3 FIL Reading Scoresheet'!$J100</f>
        <v/>
      </c>
      <c r="L97" s="146" t="str">
        <f>IF($C97&lt;&gt;"",'G3 FIL Reading Scoresheet'!$I100/30,"")</f>
        <v/>
      </c>
      <c r="M97" s="146" t="str">
        <f>IF(AND($C97&lt;&gt;"",$K97&lt;&gt;"Full Refresher"),'G3 MT Reading Scoresheet'!$Q100,"")</f>
        <v/>
      </c>
      <c r="N97" s="147" t="str">
        <f>IF(AND($C97&lt;&gt;"",$K97&lt;&gt;"Full Refresher"),'G3 MT Reading Scoresheet'!$R100/7,"")</f>
        <v/>
      </c>
      <c r="O97" s="148" t="str">
        <f>IF(AND($C97&lt;&gt;"",$K97&lt;&gt;"Full Refresher"),'G3 FIL Reading Scoresheet'!$P100,"")</f>
        <v/>
      </c>
      <c r="P97" s="149" t="str">
        <f>'G3 FIL Reading Scoresheet'!$U100</f>
        <v/>
      </c>
      <c r="Q97" s="158" t="str">
        <f>'G3 ENG Reading Scoresheet'!$I100</f>
        <v/>
      </c>
      <c r="R97" s="159" t="str">
        <f>IF($C97&lt;&gt;"",'G3 ENG Reading Scoresheet'!$H100/20,"")</f>
        <v/>
      </c>
      <c r="S97" s="159" t="str">
        <f>IF(AND($C97&lt;&gt;"",$Q97&lt;&gt;"Full Refresher"),'G3 ENG Reading Scoresheet'!$P100,"")</f>
        <v/>
      </c>
      <c r="T97" s="160" t="str">
        <f>IF(AND($C97&lt;&gt;"",$Q97&lt;&gt;"Full Refresher"),'G3 ENG Reading Scoresheet'!$Q100/6,"")</f>
        <v/>
      </c>
      <c r="U97" s="161" t="str">
        <f>IF(AND($C97&lt;&gt;"",$O97&lt;&gt;"Full Refresher"),'G3 ENG Reading Scoresheet'!$O100,"")</f>
        <v/>
      </c>
      <c r="V97" s="162" t="str">
        <f>'G3 ENG Reading Scoresheet'!$T100</f>
        <v/>
      </c>
      <c r="W97" s="163" t="str">
        <f>CONCATENATE(IF(ISBLANK('G3 MT Reading Scoresheet'!V100),"",CONCATENATE("MT:",TRIM('G3 MT Reading Scoresheet'!V100)))," ",IF(ISBLANK('G3 FIL Reading Scoresheet'!V100),"",CONCATENATE("FIL:",TRIM('G3 FIL Reading Scoresheet'!V100)))," ",IF(ISBLANK('G3 ENG Reading Scoresheet'!U100),"",CONCATENATE("ENG:",TRIM('G3 ENG Reading Scoresheet'!U100))))</f>
        <v/>
      </c>
    </row>
    <row r="98" spans="1:23">
      <c r="A98" s="119">
        <f t="shared" si="0"/>
        <v>91</v>
      </c>
      <c r="B98" s="133" t="str">
        <f>IF('G3 MT Reading Scoresheet'!B101&lt;&gt;"",'G3 MT Reading Scoresheet'!B101,"")</f>
        <v/>
      </c>
      <c r="C98" s="134" t="str">
        <f>IF('G3 MT Reading Scoresheet'!C101&lt;&gt;"",'G3 MT Reading Scoresheet'!C101,"")</f>
        <v/>
      </c>
      <c r="D98" s="135" t="str">
        <f>IF('G3 MT Reading Scoresheet'!D101&lt;&gt;"",'G3 MT Reading Scoresheet'!D101,"")</f>
        <v/>
      </c>
      <c r="E98" s="130" t="str">
        <f>'G3 MT Reading Scoresheet'!$J101</f>
        <v/>
      </c>
      <c r="F98" s="131" t="str">
        <f>IF(C98&lt;&gt;"",'G3 MT Reading Scoresheet'!$I101/30,"")</f>
        <v/>
      </c>
      <c r="G98" s="131" t="str">
        <f>IF(AND($C98&lt;&gt;"",$E98&lt;&gt;"Full Refresher"),'G3 MT Reading Scoresheet'!$Q101,"")</f>
        <v/>
      </c>
      <c r="H98" s="132" t="str">
        <f>IF(AND(C98&lt;&gt;"",E98&lt;&gt;"Full Refresher"),'G3 MT Reading Scoresheet'!$R101/7,"")</f>
        <v/>
      </c>
      <c r="I98" s="143" t="str">
        <f>IF(AND($C98&lt;&gt;"",$E98&lt;&gt;"Full Refresher"),'G3 MT Reading Scoresheet'!$P101,"")</f>
        <v/>
      </c>
      <c r="J98" s="144" t="str">
        <f>'G3 MT Reading Scoresheet'!$U101</f>
        <v/>
      </c>
      <c r="K98" s="145" t="str">
        <f>'G3 FIL Reading Scoresheet'!$J101</f>
        <v/>
      </c>
      <c r="L98" s="146" t="str">
        <f>IF($C98&lt;&gt;"",'G3 FIL Reading Scoresheet'!$I101/30,"")</f>
        <v/>
      </c>
      <c r="M98" s="146" t="str">
        <f>IF(AND($C98&lt;&gt;"",$K98&lt;&gt;"Full Refresher"),'G3 MT Reading Scoresheet'!$Q101,"")</f>
        <v/>
      </c>
      <c r="N98" s="147" t="str">
        <f>IF(AND($C98&lt;&gt;"",$K98&lt;&gt;"Full Refresher"),'G3 MT Reading Scoresheet'!$R101/7,"")</f>
        <v/>
      </c>
      <c r="O98" s="148" t="str">
        <f>IF(AND($C98&lt;&gt;"",$K98&lt;&gt;"Full Refresher"),'G3 FIL Reading Scoresheet'!$P101,"")</f>
        <v/>
      </c>
      <c r="P98" s="149" t="str">
        <f>'G3 FIL Reading Scoresheet'!$U101</f>
        <v/>
      </c>
      <c r="Q98" s="158" t="str">
        <f>'G3 ENG Reading Scoresheet'!$I101</f>
        <v/>
      </c>
      <c r="R98" s="159" t="str">
        <f>IF($C98&lt;&gt;"",'G3 ENG Reading Scoresheet'!$H101/20,"")</f>
        <v/>
      </c>
      <c r="S98" s="159" t="str">
        <f>IF(AND($C98&lt;&gt;"",$Q98&lt;&gt;"Full Refresher"),'G3 ENG Reading Scoresheet'!$P101,"")</f>
        <v/>
      </c>
      <c r="T98" s="160" t="str">
        <f>IF(AND($C98&lt;&gt;"",$Q98&lt;&gt;"Full Refresher"),'G3 ENG Reading Scoresheet'!$Q101/6,"")</f>
        <v/>
      </c>
      <c r="U98" s="161" t="str">
        <f>IF(AND($C98&lt;&gt;"",$O98&lt;&gt;"Full Refresher"),'G3 ENG Reading Scoresheet'!$O101,"")</f>
        <v/>
      </c>
      <c r="V98" s="162" t="str">
        <f>'G3 ENG Reading Scoresheet'!$T101</f>
        <v/>
      </c>
      <c r="W98" s="164" t="str">
        <f>CONCATENATE(IF(ISBLANK('G3 MT Reading Scoresheet'!V101),"",CONCATENATE("MT:",TRIM('G3 MT Reading Scoresheet'!V101)))," ",IF(ISBLANK('G3 FIL Reading Scoresheet'!V101),"",CONCATENATE("FIL:",TRIM('G3 FIL Reading Scoresheet'!V101)))," ",IF(ISBLANK('G3 ENG Reading Scoresheet'!U101),"",CONCATENATE("ENG:",TRIM('G3 ENG Reading Scoresheet'!U101))))</f>
        <v/>
      </c>
    </row>
    <row r="99" spans="1:23">
      <c r="A99" s="126">
        <f t="shared" si="0"/>
        <v>92</v>
      </c>
      <c r="B99" s="127" t="str">
        <f>IF('G3 MT Reading Scoresheet'!B102&lt;&gt;"",'G3 MT Reading Scoresheet'!B102,"")</f>
        <v/>
      </c>
      <c r="C99" s="128" t="str">
        <f>IF('G3 MT Reading Scoresheet'!C102&lt;&gt;"",'G3 MT Reading Scoresheet'!C102,"")</f>
        <v/>
      </c>
      <c r="D99" s="129" t="str">
        <f>IF('G3 MT Reading Scoresheet'!D102&lt;&gt;"",'G3 MT Reading Scoresheet'!D102,"")</f>
        <v/>
      </c>
      <c r="E99" s="130" t="str">
        <f>'G3 MT Reading Scoresheet'!$J102</f>
        <v/>
      </c>
      <c r="F99" s="131" t="str">
        <f>IF(C99&lt;&gt;"",'G3 MT Reading Scoresheet'!$I102/30,"")</f>
        <v/>
      </c>
      <c r="G99" s="131" t="str">
        <f>IF(AND($C99&lt;&gt;"",$E99&lt;&gt;"Full Refresher"),'G3 MT Reading Scoresheet'!$Q102,"")</f>
        <v/>
      </c>
      <c r="H99" s="132" t="str">
        <f>IF(AND(C99&lt;&gt;"",E99&lt;&gt;"Full Refresher"),'G3 MT Reading Scoresheet'!$R102/7,"")</f>
        <v/>
      </c>
      <c r="I99" s="143" t="str">
        <f>IF(AND($C99&lt;&gt;"",$E99&lt;&gt;"Full Refresher"),'G3 MT Reading Scoresheet'!$P102,"")</f>
        <v/>
      </c>
      <c r="J99" s="144" t="str">
        <f>'G3 MT Reading Scoresheet'!$U102</f>
        <v/>
      </c>
      <c r="K99" s="145" t="str">
        <f>'G3 FIL Reading Scoresheet'!$J102</f>
        <v/>
      </c>
      <c r="L99" s="146" t="str">
        <f>IF($C99&lt;&gt;"",'G3 FIL Reading Scoresheet'!$I102/30,"")</f>
        <v/>
      </c>
      <c r="M99" s="146" t="str">
        <f>IF(AND($C99&lt;&gt;"",$K99&lt;&gt;"Full Refresher"),'G3 MT Reading Scoresheet'!$Q102,"")</f>
        <v/>
      </c>
      <c r="N99" s="147" t="str">
        <f>IF(AND($C99&lt;&gt;"",$K99&lt;&gt;"Full Refresher"),'G3 MT Reading Scoresheet'!$R102/7,"")</f>
        <v/>
      </c>
      <c r="O99" s="148" t="str">
        <f>IF(AND($C99&lt;&gt;"",$K99&lt;&gt;"Full Refresher"),'G3 FIL Reading Scoresheet'!$P102,"")</f>
        <v/>
      </c>
      <c r="P99" s="149" t="str">
        <f>'G3 FIL Reading Scoresheet'!$U102</f>
        <v/>
      </c>
      <c r="Q99" s="158" t="str">
        <f>'G3 ENG Reading Scoresheet'!$I102</f>
        <v/>
      </c>
      <c r="R99" s="159" t="str">
        <f>IF($C99&lt;&gt;"",'G3 ENG Reading Scoresheet'!$H102/20,"")</f>
        <v/>
      </c>
      <c r="S99" s="159" t="str">
        <f>IF(AND($C99&lt;&gt;"",$Q99&lt;&gt;"Full Refresher"),'G3 ENG Reading Scoresheet'!$P102,"")</f>
        <v/>
      </c>
      <c r="T99" s="160" t="str">
        <f>IF(AND($C99&lt;&gt;"",$Q99&lt;&gt;"Full Refresher"),'G3 ENG Reading Scoresheet'!$Q102/6,"")</f>
        <v/>
      </c>
      <c r="U99" s="161" t="str">
        <f>IF(AND($C99&lt;&gt;"",$O99&lt;&gt;"Full Refresher"),'G3 ENG Reading Scoresheet'!$O102,"")</f>
        <v/>
      </c>
      <c r="V99" s="162" t="str">
        <f>'G3 ENG Reading Scoresheet'!$T102</f>
        <v/>
      </c>
      <c r="W99" s="163" t="str">
        <f>CONCATENATE(IF(ISBLANK('G3 MT Reading Scoresheet'!V102),"",CONCATENATE("MT:",TRIM('G3 MT Reading Scoresheet'!V102)))," ",IF(ISBLANK('G3 FIL Reading Scoresheet'!V102),"",CONCATENATE("FIL:",TRIM('G3 FIL Reading Scoresheet'!V102)))," ",IF(ISBLANK('G3 ENG Reading Scoresheet'!U102),"",CONCATENATE("ENG:",TRIM('G3 ENG Reading Scoresheet'!U102))))</f>
        <v/>
      </c>
    </row>
    <row r="100" spans="1:23">
      <c r="A100" s="119">
        <f t="shared" si="0"/>
        <v>93</v>
      </c>
      <c r="B100" s="133" t="str">
        <f>IF('G3 MT Reading Scoresheet'!B103&lt;&gt;"",'G3 MT Reading Scoresheet'!B103,"")</f>
        <v/>
      </c>
      <c r="C100" s="134" t="str">
        <f>IF('G3 MT Reading Scoresheet'!C103&lt;&gt;"",'G3 MT Reading Scoresheet'!C103,"")</f>
        <v/>
      </c>
      <c r="D100" s="135" t="str">
        <f>IF('G3 MT Reading Scoresheet'!D103&lt;&gt;"",'G3 MT Reading Scoresheet'!D103,"")</f>
        <v/>
      </c>
      <c r="E100" s="130" t="str">
        <f>'G3 MT Reading Scoresheet'!$J103</f>
        <v/>
      </c>
      <c r="F100" s="131" t="str">
        <f>IF(C100&lt;&gt;"",'G3 MT Reading Scoresheet'!$I103/30,"")</f>
        <v/>
      </c>
      <c r="G100" s="131" t="str">
        <f>IF(AND($C100&lt;&gt;"",$E100&lt;&gt;"Full Refresher"),'G3 MT Reading Scoresheet'!$Q103,"")</f>
        <v/>
      </c>
      <c r="H100" s="132" t="str">
        <f>IF(AND(C100&lt;&gt;"",E100&lt;&gt;"Full Refresher"),'G3 MT Reading Scoresheet'!$R103/7,"")</f>
        <v/>
      </c>
      <c r="I100" s="143" t="str">
        <f>IF(AND($C100&lt;&gt;"",$E100&lt;&gt;"Full Refresher"),'G3 MT Reading Scoresheet'!$P103,"")</f>
        <v/>
      </c>
      <c r="J100" s="144" t="str">
        <f>'G3 MT Reading Scoresheet'!$U103</f>
        <v/>
      </c>
      <c r="K100" s="145" t="str">
        <f>'G3 FIL Reading Scoresheet'!$J103</f>
        <v/>
      </c>
      <c r="L100" s="146" t="str">
        <f>IF($C100&lt;&gt;"",'G3 FIL Reading Scoresheet'!$I103/30,"")</f>
        <v/>
      </c>
      <c r="M100" s="146" t="str">
        <f>IF(AND($C100&lt;&gt;"",$K100&lt;&gt;"Full Refresher"),'G3 MT Reading Scoresheet'!$Q103,"")</f>
        <v/>
      </c>
      <c r="N100" s="147" t="str">
        <f>IF(AND($C100&lt;&gt;"",$K100&lt;&gt;"Full Refresher"),'G3 MT Reading Scoresheet'!$R103/7,"")</f>
        <v/>
      </c>
      <c r="O100" s="148" t="str">
        <f>IF(AND($C100&lt;&gt;"",$K100&lt;&gt;"Full Refresher"),'G3 FIL Reading Scoresheet'!$P103,"")</f>
        <v/>
      </c>
      <c r="P100" s="149" t="str">
        <f>'G3 FIL Reading Scoresheet'!$U103</f>
        <v/>
      </c>
      <c r="Q100" s="158" t="str">
        <f>'G3 ENG Reading Scoresheet'!$I103</f>
        <v/>
      </c>
      <c r="R100" s="159" t="str">
        <f>IF($C100&lt;&gt;"",'G3 ENG Reading Scoresheet'!$H103/20,"")</f>
        <v/>
      </c>
      <c r="S100" s="159" t="str">
        <f>IF(AND($C100&lt;&gt;"",$Q100&lt;&gt;"Full Refresher"),'G3 ENG Reading Scoresheet'!$P103,"")</f>
        <v/>
      </c>
      <c r="T100" s="160" t="str">
        <f>IF(AND($C100&lt;&gt;"",$Q100&lt;&gt;"Full Refresher"),'G3 ENG Reading Scoresheet'!$Q103/6,"")</f>
        <v/>
      </c>
      <c r="U100" s="161" t="str">
        <f>IF(AND($C100&lt;&gt;"",$O100&lt;&gt;"Full Refresher"),'G3 ENG Reading Scoresheet'!$O103,"")</f>
        <v/>
      </c>
      <c r="V100" s="162" t="str">
        <f>'G3 ENG Reading Scoresheet'!$T103</f>
        <v/>
      </c>
      <c r="W100" s="164" t="str">
        <f>CONCATENATE(IF(ISBLANK('G3 MT Reading Scoresheet'!V103),"",CONCATENATE("MT:",TRIM('G3 MT Reading Scoresheet'!V103)))," ",IF(ISBLANK('G3 FIL Reading Scoresheet'!V103),"",CONCATENATE("FIL:",TRIM('G3 FIL Reading Scoresheet'!V103)))," ",IF(ISBLANK('G3 ENG Reading Scoresheet'!U103),"",CONCATENATE("ENG:",TRIM('G3 ENG Reading Scoresheet'!U103))))</f>
        <v/>
      </c>
    </row>
    <row r="101" spans="1:23">
      <c r="A101" s="126">
        <f t="shared" si="0"/>
        <v>94</v>
      </c>
      <c r="B101" s="127" t="str">
        <f>IF('G3 MT Reading Scoresheet'!B104&lt;&gt;"",'G3 MT Reading Scoresheet'!B104,"")</f>
        <v/>
      </c>
      <c r="C101" s="128" t="str">
        <f>IF('G3 MT Reading Scoresheet'!C104&lt;&gt;"",'G3 MT Reading Scoresheet'!C104,"")</f>
        <v/>
      </c>
      <c r="D101" s="129" t="str">
        <f>IF('G3 MT Reading Scoresheet'!D104&lt;&gt;"",'G3 MT Reading Scoresheet'!D104,"")</f>
        <v/>
      </c>
      <c r="E101" s="130" t="str">
        <f>'G3 MT Reading Scoresheet'!$J104</f>
        <v/>
      </c>
      <c r="F101" s="131" t="str">
        <f>IF(C101&lt;&gt;"",'G3 MT Reading Scoresheet'!$I104/30,"")</f>
        <v/>
      </c>
      <c r="G101" s="131" t="str">
        <f>IF(AND($C101&lt;&gt;"",$E101&lt;&gt;"Full Refresher"),'G3 MT Reading Scoresheet'!$Q104,"")</f>
        <v/>
      </c>
      <c r="H101" s="132" t="str">
        <f>IF(AND(C101&lt;&gt;"",E101&lt;&gt;"Full Refresher"),'G3 MT Reading Scoresheet'!$R104/7,"")</f>
        <v/>
      </c>
      <c r="I101" s="143" t="str">
        <f>IF(AND($C101&lt;&gt;"",$E101&lt;&gt;"Full Refresher"),'G3 MT Reading Scoresheet'!$P104,"")</f>
        <v/>
      </c>
      <c r="J101" s="144" t="str">
        <f>'G3 MT Reading Scoresheet'!$U104</f>
        <v/>
      </c>
      <c r="K101" s="145" t="str">
        <f>'G3 FIL Reading Scoresheet'!$J104</f>
        <v/>
      </c>
      <c r="L101" s="146" t="str">
        <f>IF($C101&lt;&gt;"",'G3 FIL Reading Scoresheet'!$I104/30,"")</f>
        <v/>
      </c>
      <c r="M101" s="146" t="str">
        <f>IF(AND($C101&lt;&gt;"",$K101&lt;&gt;"Full Refresher"),'G3 MT Reading Scoresheet'!$Q104,"")</f>
        <v/>
      </c>
      <c r="N101" s="147" t="str">
        <f>IF(AND($C101&lt;&gt;"",$K101&lt;&gt;"Full Refresher"),'G3 MT Reading Scoresheet'!$R104/7,"")</f>
        <v/>
      </c>
      <c r="O101" s="148" t="str">
        <f>IF(AND($C101&lt;&gt;"",$K101&lt;&gt;"Full Refresher"),'G3 FIL Reading Scoresheet'!$P104,"")</f>
        <v/>
      </c>
      <c r="P101" s="149" t="str">
        <f>'G3 FIL Reading Scoresheet'!$U104</f>
        <v/>
      </c>
      <c r="Q101" s="158" t="str">
        <f>'G3 ENG Reading Scoresheet'!$I104</f>
        <v/>
      </c>
      <c r="R101" s="159" t="str">
        <f>IF($C101&lt;&gt;"",'G3 ENG Reading Scoresheet'!$H104/20,"")</f>
        <v/>
      </c>
      <c r="S101" s="159" t="str">
        <f>IF(AND($C101&lt;&gt;"",$Q101&lt;&gt;"Full Refresher"),'G3 ENG Reading Scoresheet'!$P104,"")</f>
        <v/>
      </c>
      <c r="T101" s="160" t="str">
        <f>IF(AND($C101&lt;&gt;"",$Q101&lt;&gt;"Full Refresher"),'G3 ENG Reading Scoresheet'!$Q104/6,"")</f>
        <v/>
      </c>
      <c r="U101" s="161" t="str">
        <f>IF(AND($C101&lt;&gt;"",$O101&lt;&gt;"Full Refresher"),'G3 ENG Reading Scoresheet'!$O104,"")</f>
        <v/>
      </c>
      <c r="V101" s="162" t="str">
        <f>'G3 ENG Reading Scoresheet'!$T104</f>
        <v/>
      </c>
      <c r="W101" s="163" t="str">
        <f>CONCATENATE(IF(ISBLANK('G3 MT Reading Scoresheet'!V104),"",CONCATENATE("MT:",TRIM('G3 MT Reading Scoresheet'!V104)))," ",IF(ISBLANK('G3 FIL Reading Scoresheet'!V104),"",CONCATENATE("FIL:",TRIM('G3 FIL Reading Scoresheet'!V104)))," ",IF(ISBLANK('G3 ENG Reading Scoresheet'!U104),"",CONCATENATE("ENG:",TRIM('G3 ENG Reading Scoresheet'!U104))))</f>
        <v/>
      </c>
    </row>
    <row r="102" spans="1:23">
      <c r="A102" s="119">
        <f t="shared" si="0"/>
        <v>95</v>
      </c>
      <c r="B102" s="133" t="str">
        <f>IF('G3 MT Reading Scoresheet'!B105&lt;&gt;"",'G3 MT Reading Scoresheet'!B105,"")</f>
        <v/>
      </c>
      <c r="C102" s="134" t="str">
        <f>IF('G3 MT Reading Scoresheet'!C105&lt;&gt;"",'G3 MT Reading Scoresheet'!C105,"")</f>
        <v/>
      </c>
      <c r="D102" s="135" t="str">
        <f>IF('G3 MT Reading Scoresheet'!D105&lt;&gt;"",'G3 MT Reading Scoresheet'!D105,"")</f>
        <v/>
      </c>
      <c r="E102" s="130" t="str">
        <f>'G3 MT Reading Scoresheet'!$J105</f>
        <v/>
      </c>
      <c r="F102" s="131" t="str">
        <f>IF(C102&lt;&gt;"",'G3 MT Reading Scoresheet'!$I105/30,"")</f>
        <v/>
      </c>
      <c r="G102" s="131" t="str">
        <f>IF(AND($C102&lt;&gt;"",$E102&lt;&gt;"Full Refresher"),'G3 MT Reading Scoresheet'!$Q105,"")</f>
        <v/>
      </c>
      <c r="H102" s="132" t="str">
        <f>IF(AND(C102&lt;&gt;"",E102&lt;&gt;"Full Refresher"),'G3 MT Reading Scoresheet'!$R105/7,"")</f>
        <v/>
      </c>
      <c r="I102" s="143" t="str">
        <f>IF(AND($C102&lt;&gt;"",$E102&lt;&gt;"Full Refresher"),'G3 MT Reading Scoresheet'!$P105,"")</f>
        <v/>
      </c>
      <c r="J102" s="144" t="str">
        <f>'G3 MT Reading Scoresheet'!$U105</f>
        <v/>
      </c>
      <c r="K102" s="145" t="str">
        <f>'G3 FIL Reading Scoresheet'!$J105</f>
        <v/>
      </c>
      <c r="L102" s="146" t="str">
        <f>IF($C102&lt;&gt;"",'G3 FIL Reading Scoresheet'!$I105/30,"")</f>
        <v/>
      </c>
      <c r="M102" s="146" t="str">
        <f>IF(AND($C102&lt;&gt;"",$K102&lt;&gt;"Full Refresher"),'G3 MT Reading Scoresheet'!$Q105,"")</f>
        <v/>
      </c>
      <c r="N102" s="147" t="str">
        <f>IF(AND($C102&lt;&gt;"",$K102&lt;&gt;"Full Refresher"),'G3 MT Reading Scoresheet'!$R105/7,"")</f>
        <v/>
      </c>
      <c r="O102" s="148" t="str">
        <f>IF(AND($C102&lt;&gt;"",$K102&lt;&gt;"Full Refresher"),'G3 FIL Reading Scoresheet'!$P105,"")</f>
        <v/>
      </c>
      <c r="P102" s="149" t="str">
        <f>'G3 FIL Reading Scoresheet'!$U105</f>
        <v/>
      </c>
      <c r="Q102" s="158" t="str">
        <f>'G3 ENG Reading Scoresheet'!$I105</f>
        <v/>
      </c>
      <c r="R102" s="159" t="str">
        <f>IF($C102&lt;&gt;"",'G3 ENG Reading Scoresheet'!$H105/20,"")</f>
        <v/>
      </c>
      <c r="S102" s="159" t="str">
        <f>IF(AND($C102&lt;&gt;"",$Q102&lt;&gt;"Full Refresher"),'G3 ENG Reading Scoresheet'!$P105,"")</f>
        <v/>
      </c>
      <c r="T102" s="160" t="str">
        <f>IF(AND($C102&lt;&gt;"",$Q102&lt;&gt;"Full Refresher"),'G3 ENG Reading Scoresheet'!$Q105/6,"")</f>
        <v/>
      </c>
      <c r="U102" s="161" t="str">
        <f>IF(AND($C102&lt;&gt;"",$O102&lt;&gt;"Full Refresher"),'G3 ENG Reading Scoresheet'!$O105,"")</f>
        <v/>
      </c>
      <c r="V102" s="162" t="str">
        <f>'G3 ENG Reading Scoresheet'!$T105</f>
        <v/>
      </c>
      <c r="W102" s="164" t="str">
        <f>CONCATENATE(IF(ISBLANK('G3 MT Reading Scoresheet'!V105),"",CONCATENATE("MT:",TRIM('G3 MT Reading Scoresheet'!V105)))," ",IF(ISBLANK('G3 FIL Reading Scoresheet'!V105),"",CONCATENATE("FIL:",TRIM('G3 FIL Reading Scoresheet'!V105)))," ",IF(ISBLANK('G3 ENG Reading Scoresheet'!U105),"",CONCATENATE("ENG:",TRIM('G3 ENG Reading Scoresheet'!U105))))</f>
        <v/>
      </c>
    </row>
    <row r="103" spans="1:23">
      <c r="A103" s="126">
        <f t="shared" si="0"/>
        <v>96</v>
      </c>
      <c r="B103" s="127" t="str">
        <f>IF('G3 MT Reading Scoresheet'!B106&lt;&gt;"",'G3 MT Reading Scoresheet'!B106,"")</f>
        <v/>
      </c>
      <c r="C103" s="128" t="str">
        <f>IF('G3 MT Reading Scoresheet'!C106&lt;&gt;"",'G3 MT Reading Scoresheet'!C106,"")</f>
        <v/>
      </c>
      <c r="D103" s="129" t="str">
        <f>IF('G3 MT Reading Scoresheet'!D106&lt;&gt;"",'G3 MT Reading Scoresheet'!D106,"")</f>
        <v/>
      </c>
      <c r="E103" s="130" t="str">
        <f>'G3 MT Reading Scoresheet'!$J106</f>
        <v/>
      </c>
      <c r="F103" s="131" t="str">
        <f>IF(C103&lt;&gt;"",'G3 MT Reading Scoresheet'!$I106/30,"")</f>
        <v/>
      </c>
      <c r="G103" s="131" t="str">
        <f>IF(AND($C103&lt;&gt;"",$E103&lt;&gt;"Full Refresher"),'G3 MT Reading Scoresheet'!$Q106,"")</f>
        <v/>
      </c>
      <c r="H103" s="132" t="str">
        <f>IF(AND(C103&lt;&gt;"",E103&lt;&gt;"Full Refresher"),'G3 MT Reading Scoresheet'!$R106/7,"")</f>
        <v/>
      </c>
      <c r="I103" s="143" t="str">
        <f>IF(AND($C103&lt;&gt;"",$E103&lt;&gt;"Full Refresher"),'G3 MT Reading Scoresheet'!$P106,"")</f>
        <v/>
      </c>
      <c r="J103" s="144" t="str">
        <f>'G3 MT Reading Scoresheet'!$U106</f>
        <v/>
      </c>
      <c r="K103" s="145" t="str">
        <f>'G3 FIL Reading Scoresheet'!$J106</f>
        <v/>
      </c>
      <c r="L103" s="146" t="str">
        <f>IF($C103&lt;&gt;"",'G3 FIL Reading Scoresheet'!$I106/30,"")</f>
        <v/>
      </c>
      <c r="M103" s="146" t="str">
        <f>IF(AND($C103&lt;&gt;"",$K103&lt;&gt;"Full Refresher"),'G3 MT Reading Scoresheet'!$Q106,"")</f>
        <v/>
      </c>
      <c r="N103" s="147" t="str">
        <f>IF(AND($C103&lt;&gt;"",$K103&lt;&gt;"Full Refresher"),'G3 MT Reading Scoresheet'!$R106/7,"")</f>
        <v/>
      </c>
      <c r="O103" s="148" t="str">
        <f>IF(AND($C103&lt;&gt;"",$K103&lt;&gt;"Full Refresher"),'G3 FIL Reading Scoresheet'!$P106,"")</f>
        <v/>
      </c>
      <c r="P103" s="149" t="str">
        <f>'G3 FIL Reading Scoresheet'!$U106</f>
        <v/>
      </c>
      <c r="Q103" s="158" t="str">
        <f>'G3 ENG Reading Scoresheet'!$I106</f>
        <v/>
      </c>
      <c r="R103" s="159" t="str">
        <f>IF($C103&lt;&gt;"",'G3 ENG Reading Scoresheet'!$H106/20,"")</f>
        <v/>
      </c>
      <c r="S103" s="159" t="str">
        <f>IF(AND($C103&lt;&gt;"",$Q103&lt;&gt;"Full Refresher"),'G3 ENG Reading Scoresheet'!$P106,"")</f>
        <v/>
      </c>
      <c r="T103" s="160" t="str">
        <f>IF(AND($C103&lt;&gt;"",$Q103&lt;&gt;"Full Refresher"),'G3 ENG Reading Scoresheet'!$Q106/6,"")</f>
        <v/>
      </c>
      <c r="U103" s="161" t="str">
        <f>IF(AND($C103&lt;&gt;"",$O103&lt;&gt;"Full Refresher"),'G3 ENG Reading Scoresheet'!$O106,"")</f>
        <v/>
      </c>
      <c r="V103" s="162" t="str">
        <f>'G3 ENG Reading Scoresheet'!$T106</f>
        <v/>
      </c>
      <c r="W103" s="163" t="str">
        <f>CONCATENATE(IF(ISBLANK('G3 MT Reading Scoresheet'!V106),"",CONCATENATE("MT:",TRIM('G3 MT Reading Scoresheet'!V106)))," ",IF(ISBLANK('G3 FIL Reading Scoresheet'!V106),"",CONCATENATE("FIL:",TRIM('G3 FIL Reading Scoresheet'!V106)))," ",IF(ISBLANK('G3 ENG Reading Scoresheet'!U106),"",CONCATENATE("ENG:",TRIM('G3 ENG Reading Scoresheet'!U106))))</f>
        <v/>
      </c>
    </row>
    <row r="104" spans="1:23">
      <c r="A104" s="119">
        <f t="shared" si="0"/>
        <v>97</v>
      </c>
      <c r="B104" s="133" t="str">
        <f>IF('G3 MT Reading Scoresheet'!B107&lt;&gt;"",'G3 MT Reading Scoresheet'!B107,"")</f>
        <v/>
      </c>
      <c r="C104" s="134" t="str">
        <f>IF('G3 MT Reading Scoresheet'!C107&lt;&gt;"",'G3 MT Reading Scoresheet'!C107,"")</f>
        <v/>
      </c>
      <c r="D104" s="135" t="str">
        <f>IF('G3 MT Reading Scoresheet'!D107&lt;&gt;"",'G3 MT Reading Scoresheet'!D107,"")</f>
        <v/>
      </c>
      <c r="E104" s="130" t="str">
        <f>'G3 MT Reading Scoresheet'!$J107</f>
        <v/>
      </c>
      <c r="F104" s="131" t="str">
        <f>IF(C104&lt;&gt;"",'G3 MT Reading Scoresheet'!$I107/30,"")</f>
        <v/>
      </c>
      <c r="G104" s="131" t="str">
        <f>IF(AND($C104&lt;&gt;"",$E104&lt;&gt;"Full Refresher"),'G3 MT Reading Scoresheet'!$Q107,"")</f>
        <v/>
      </c>
      <c r="H104" s="132" t="str">
        <f>IF(AND(C104&lt;&gt;"",E104&lt;&gt;"Full Refresher"),'G3 MT Reading Scoresheet'!$R107/7,"")</f>
        <v/>
      </c>
      <c r="I104" s="143" t="str">
        <f>IF(AND($C104&lt;&gt;"",$E104&lt;&gt;"Full Refresher"),'G3 MT Reading Scoresheet'!$P107,"")</f>
        <v/>
      </c>
      <c r="J104" s="144" t="str">
        <f>'G3 MT Reading Scoresheet'!$U107</f>
        <v/>
      </c>
      <c r="K104" s="145" t="str">
        <f>'G3 FIL Reading Scoresheet'!$J107</f>
        <v/>
      </c>
      <c r="L104" s="146" t="str">
        <f>IF($C104&lt;&gt;"",'G3 FIL Reading Scoresheet'!$I107/30,"")</f>
        <v/>
      </c>
      <c r="M104" s="146" t="str">
        <f>IF(AND($C104&lt;&gt;"",$K104&lt;&gt;"Full Refresher"),'G3 MT Reading Scoresheet'!$Q107,"")</f>
        <v/>
      </c>
      <c r="N104" s="147" t="str">
        <f>IF(AND($C104&lt;&gt;"",$K104&lt;&gt;"Full Refresher"),'G3 MT Reading Scoresheet'!$R107/7,"")</f>
        <v/>
      </c>
      <c r="O104" s="148" t="str">
        <f>IF(AND($C104&lt;&gt;"",$K104&lt;&gt;"Full Refresher"),'G3 FIL Reading Scoresheet'!$P107,"")</f>
        <v/>
      </c>
      <c r="P104" s="149" t="str">
        <f>'G3 FIL Reading Scoresheet'!$U107</f>
        <v/>
      </c>
      <c r="Q104" s="158" t="str">
        <f>'G3 ENG Reading Scoresheet'!$I107</f>
        <v/>
      </c>
      <c r="R104" s="159" t="str">
        <f>IF($C104&lt;&gt;"",'G3 ENG Reading Scoresheet'!$H107/20,"")</f>
        <v/>
      </c>
      <c r="S104" s="159" t="str">
        <f>IF(AND($C104&lt;&gt;"",$Q104&lt;&gt;"Full Refresher"),'G3 ENG Reading Scoresheet'!$P107,"")</f>
        <v/>
      </c>
      <c r="T104" s="160" t="str">
        <f>IF(AND($C104&lt;&gt;"",$Q104&lt;&gt;"Full Refresher"),'G3 ENG Reading Scoresheet'!$Q107/6,"")</f>
        <v/>
      </c>
      <c r="U104" s="161" t="str">
        <f>IF(AND($C104&lt;&gt;"",$O104&lt;&gt;"Full Refresher"),'G3 ENG Reading Scoresheet'!$O107,"")</f>
        <v/>
      </c>
      <c r="V104" s="162" t="str">
        <f>'G3 ENG Reading Scoresheet'!$T107</f>
        <v/>
      </c>
      <c r="W104" s="164" t="str">
        <f>CONCATENATE(IF(ISBLANK('G3 MT Reading Scoresheet'!V107),"",CONCATENATE("MT:",TRIM('G3 MT Reading Scoresheet'!V107)))," ",IF(ISBLANK('G3 FIL Reading Scoresheet'!V107),"",CONCATENATE("FIL:",TRIM('G3 FIL Reading Scoresheet'!V107)))," ",IF(ISBLANK('G3 ENG Reading Scoresheet'!U107),"",CONCATENATE("ENG:",TRIM('G3 ENG Reading Scoresheet'!U107))))</f>
        <v/>
      </c>
    </row>
    <row r="105" spans="1:23">
      <c r="A105" s="126">
        <f t="shared" si="0"/>
        <v>98</v>
      </c>
      <c r="B105" s="127" t="str">
        <f>IF('G3 MT Reading Scoresheet'!B108&lt;&gt;"",'G3 MT Reading Scoresheet'!B108,"")</f>
        <v/>
      </c>
      <c r="C105" s="128" t="str">
        <f>IF('G3 MT Reading Scoresheet'!C108&lt;&gt;"",'G3 MT Reading Scoresheet'!C108,"")</f>
        <v/>
      </c>
      <c r="D105" s="129" t="str">
        <f>IF('G3 MT Reading Scoresheet'!D108&lt;&gt;"",'G3 MT Reading Scoresheet'!D108,"")</f>
        <v/>
      </c>
      <c r="E105" s="130" t="str">
        <f>'G3 MT Reading Scoresheet'!$J108</f>
        <v/>
      </c>
      <c r="F105" s="131" t="str">
        <f>IF(C105&lt;&gt;"",'G3 MT Reading Scoresheet'!$I108/30,"")</f>
        <v/>
      </c>
      <c r="G105" s="131" t="str">
        <f>IF(AND($C105&lt;&gt;"",$E105&lt;&gt;"Full Refresher"),'G3 MT Reading Scoresheet'!$Q108,"")</f>
        <v/>
      </c>
      <c r="H105" s="132" t="str">
        <f>IF(AND(C105&lt;&gt;"",E105&lt;&gt;"Full Refresher"),'G3 MT Reading Scoresheet'!$R108/7,"")</f>
        <v/>
      </c>
      <c r="I105" s="143" t="str">
        <f>IF(AND($C105&lt;&gt;"",$E105&lt;&gt;"Full Refresher"),'G3 MT Reading Scoresheet'!$P108,"")</f>
        <v/>
      </c>
      <c r="J105" s="144" t="str">
        <f>'G3 MT Reading Scoresheet'!$U108</f>
        <v/>
      </c>
      <c r="K105" s="145" t="str">
        <f>'G3 FIL Reading Scoresheet'!$J108</f>
        <v/>
      </c>
      <c r="L105" s="146" t="str">
        <f>IF($C105&lt;&gt;"",'G3 FIL Reading Scoresheet'!$I108/30,"")</f>
        <v/>
      </c>
      <c r="M105" s="146" t="str">
        <f>IF(AND($C105&lt;&gt;"",$K105&lt;&gt;"Full Refresher"),'G3 MT Reading Scoresheet'!$Q108,"")</f>
        <v/>
      </c>
      <c r="N105" s="147" t="str">
        <f>IF(AND($C105&lt;&gt;"",$K105&lt;&gt;"Full Refresher"),'G3 MT Reading Scoresheet'!$R108/7,"")</f>
        <v/>
      </c>
      <c r="O105" s="148" t="str">
        <f>IF(AND($C105&lt;&gt;"",$K105&lt;&gt;"Full Refresher"),'G3 FIL Reading Scoresheet'!$P108,"")</f>
        <v/>
      </c>
      <c r="P105" s="149" t="str">
        <f>'G3 FIL Reading Scoresheet'!$U108</f>
        <v/>
      </c>
      <c r="Q105" s="158" t="str">
        <f>'G3 ENG Reading Scoresheet'!$I108</f>
        <v/>
      </c>
      <c r="R105" s="159" t="str">
        <f>IF($C105&lt;&gt;"",'G3 ENG Reading Scoresheet'!$H108/20,"")</f>
        <v/>
      </c>
      <c r="S105" s="159" t="str">
        <f>IF(AND($C105&lt;&gt;"",$Q105&lt;&gt;"Full Refresher"),'G3 ENG Reading Scoresheet'!$P108,"")</f>
        <v/>
      </c>
      <c r="T105" s="160" t="str">
        <f>IF(AND($C105&lt;&gt;"",$Q105&lt;&gt;"Full Refresher"),'G3 ENG Reading Scoresheet'!$Q108/6,"")</f>
        <v/>
      </c>
      <c r="U105" s="161" t="str">
        <f>IF(AND($C105&lt;&gt;"",$O105&lt;&gt;"Full Refresher"),'G3 ENG Reading Scoresheet'!$O108,"")</f>
        <v/>
      </c>
      <c r="V105" s="162" t="str">
        <f>'G3 ENG Reading Scoresheet'!$T108</f>
        <v/>
      </c>
      <c r="W105" s="163" t="str">
        <f>CONCATENATE(IF(ISBLANK('G3 MT Reading Scoresheet'!V108),"",CONCATENATE("MT:",TRIM('G3 MT Reading Scoresheet'!V108)))," ",IF(ISBLANK('G3 FIL Reading Scoresheet'!V108),"",CONCATENATE("FIL:",TRIM('G3 FIL Reading Scoresheet'!V108)))," ",IF(ISBLANK('G3 ENG Reading Scoresheet'!U108),"",CONCATENATE("ENG:",TRIM('G3 ENG Reading Scoresheet'!U108))))</f>
        <v/>
      </c>
    </row>
    <row r="106" spans="1:23">
      <c r="A106" s="119">
        <f t="shared" si="0"/>
        <v>99</v>
      </c>
      <c r="B106" s="133" t="str">
        <f>IF('G3 MT Reading Scoresheet'!B109&lt;&gt;"",'G3 MT Reading Scoresheet'!B109,"")</f>
        <v/>
      </c>
      <c r="C106" s="134" t="str">
        <f>IF('G3 MT Reading Scoresheet'!C109&lt;&gt;"",'G3 MT Reading Scoresheet'!C109,"")</f>
        <v/>
      </c>
      <c r="D106" s="135" t="str">
        <f>IF('G3 MT Reading Scoresheet'!D109&lt;&gt;"",'G3 MT Reading Scoresheet'!D109,"")</f>
        <v/>
      </c>
      <c r="E106" s="130" t="str">
        <f>'G3 MT Reading Scoresheet'!$J109</f>
        <v/>
      </c>
      <c r="F106" s="131" t="str">
        <f>IF(C106&lt;&gt;"",'G3 MT Reading Scoresheet'!$I109/30,"")</f>
        <v/>
      </c>
      <c r="G106" s="131" t="str">
        <f>IF(AND($C106&lt;&gt;"",$E106&lt;&gt;"Full Refresher"),'G3 MT Reading Scoresheet'!$Q109,"")</f>
        <v/>
      </c>
      <c r="H106" s="132" t="str">
        <f>IF(AND(C106&lt;&gt;"",E106&lt;&gt;"Full Refresher"),'G3 MT Reading Scoresheet'!$R109/7,"")</f>
        <v/>
      </c>
      <c r="I106" s="143" t="str">
        <f>IF(AND($C106&lt;&gt;"",$E106&lt;&gt;"Full Refresher"),'G3 MT Reading Scoresheet'!$P109,"")</f>
        <v/>
      </c>
      <c r="J106" s="144" t="str">
        <f>'G3 MT Reading Scoresheet'!$U109</f>
        <v/>
      </c>
      <c r="K106" s="145" t="str">
        <f>'G3 FIL Reading Scoresheet'!$J109</f>
        <v/>
      </c>
      <c r="L106" s="146" t="str">
        <f>IF($C106&lt;&gt;"",'G3 FIL Reading Scoresheet'!$I109/30,"")</f>
        <v/>
      </c>
      <c r="M106" s="146" t="str">
        <f>IF(AND($C106&lt;&gt;"",$K106&lt;&gt;"Full Refresher"),'G3 MT Reading Scoresheet'!$Q109,"")</f>
        <v/>
      </c>
      <c r="N106" s="147" t="str">
        <f>IF(AND($C106&lt;&gt;"",$K106&lt;&gt;"Full Refresher"),'G3 MT Reading Scoresheet'!$R109/7,"")</f>
        <v/>
      </c>
      <c r="O106" s="148" t="str">
        <f>IF(AND($C106&lt;&gt;"",$K106&lt;&gt;"Full Refresher"),'G3 FIL Reading Scoresheet'!$P109,"")</f>
        <v/>
      </c>
      <c r="P106" s="149" t="str">
        <f>'G3 FIL Reading Scoresheet'!$U109</f>
        <v/>
      </c>
      <c r="Q106" s="158" t="str">
        <f>'G3 ENG Reading Scoresheet'!$I109</f>
        <v/>
      </c>
      <c r="R106" s="159" t="str">
        <f>IF($C106&lt;&gt;"",'G3 ENG Reading Scoresheet'!$H109/20,"")</f>
        <v/>
      </c>
      <c r="S106" s="159" t="str">
        <f>IF(AND($C106&lt;&gt;"",$Q106&lt;&gt;"Full Refresher"),'G3 ENG Reading Scoresheet'!$P109,"")</f>
        <v/>
      </c>
      <c r="T106" s="160" t="str">
        <f>IF(AND($C106&lt;&gt;"",$Q106&lt;&gt;"Full Refresher"),'G3 ENG Reading Scoresheet'!$Q109/6,"")</f>
        <v/>
      </c>
      <c r="U106" s="161" t="str">
        <f>IF(AND($C106&lt;&gt;"",$O106&lt;&gt;"Full Refresher"),'G3 ENG Reading Scoresheet'!$O109,"")</f>
        <v/>
      </c>
      <c r="V106" s="162" t="str">
        <f>'G3 ENG Reading Scoresheet'!$T109</f>
        <v/>
      </c>
      <c r="W106" s="164" t="str">
        <f>CONCATENATE(IF(ISBLANK('G3 MT Reading Scoresheet'!V109),"",CONCATENATE("MT:",TRIM('G3 MT Reading Scoresheet'!V109)))," ",IF(ISBLANK('G3 FIL Reading Scoresheet'!V109),"",CONCATENATE("FIL:",TRIM('G3 FIL Reading Scoresheet'!V109)))," ",IF(ISBLANK('G3 ENG Reading Scoresheet'!U109),"",CONCATENATE("ENG:",TRIM('G3 ENG Reading Scoresheet'!U109))))</f>
        <v/>
      </c>
    </row>
    <row r="107" spans="1:23">
      <c r="A107" s="126">
        <v>100</v>
      </c>
      <c r="B107" s="127" t="str">
        <f>IF('G3 MT Reading Scoresheet'!B110&lt;&gt;"",'G3 MT Reading Scoresheet'!B110,"")</f>
        <v/>
      </c>
      <c r="C107" s="165" t="str">
        <f>IF('G3 MT Reading Scoresheet'!C110&lt;&gt;"",'G3 MT Reading Scoresheet'!C110,"")</f>
        <v/>
      </c>
      <c r="D107" s="166" t="str">
        <f>IF('G3 MT Reading Scoresheet'!D110&lt;&gt;"",'G3 MT Reading Scoresheet'!D110,"")</f>
        <v/>
      </c>
      <c r="E107" s="167" t="str">
        <f>'G3 MT Reading Scoresheet'!$J110</f>
        <v/>
      </c>
      <c r="F107" s="168" t="str">
        <f>IF(C107&lt;&gt;"",'G3 MT Reading Scoresheet'!$I110/30,"")</f>
        <v/>
      </c>
      <c r="G107" s="168" t="str">
        <f>IF(AND($C107&lt;&gt;"",$E107&lt;&gt;"Full Refresher"),'G3 MT Reading Scoresheet'!$Q110,"")</f>
        <v/>
      </c>
      <c r="H107" s="169" t="str">
        <f>IF(AND(C107&lt;&gt;"",E107&lt;&gt;"Full Refresher"),'G3 MT Reading Scoresheet'!$R110/7,"")</f>
        <v/>
      </c>
      <c r="I107" s="170" t="str">
        <f>IF(AND($C107&lt;&gt;"",$E107&lt;&gt;"Full Refresher"),'G3 MT Reading Scoresheet'!$P110,"")</f>
        <v/>
      </c>
      <c r="J107" s="171" t="str">
        <f>'G3 MT Reading Scoresheet'!$U110</f>
        <v/>
      </c>
      <c r="K107" s="172" t="str">
        <f>'G3 FIL Reading Scoresheet'!$J110</f>
        <v/>
      </c>
      <c r="L107" s="173" t="str">
        <f>IF($C107&lt;&gt;"",'G3 FIL Reading Scoresheet'!$I110/30,"")</f>
        <v/>
      </c>
      <c r="M107" s="173" t="str">
        <f>IF(AND($C107&lt;&gt;"",$K107&lt;&gt;"Full Refresher"),'G3 MT Reading Scoresheet'!$Q110,"")</f>
        <v/>
      </c>
      <c r="N107" s="174" t="str">
        <f>IF(AND($C107&lt;&gt;"",$K107&lt;&gt;"Full Refresher"),'G3 MT Reading Scoresheet'!$R110/7,"")</f>
        <v/>
      </c>
      <c r="O107" s="175" t="str">
        <f>IF(AND($C107&lt;&gt;"",$K107&lt;&gt;"Full Refresher"),'G3 FIL Reading Scoresheet'!$P110,"")</f>
        <v/>
      </c>
      <c r="P107" s="176" t="str">
        <f>'G3 FIL Reading Scoresheet'!$U110</f>
        <v/>
      </c>
      <c r="Q107" s="177" t="str">
        <f>'G3 ENG Reading Scoresheet'!$I110</f>
        <v/>
      </c>
      <c r="R107" s="178" t="str">
        <f>IF($C107&lt;&gt;"",'G3 ENG Reading Scoresheet'!$H110/20,"")</f>
        <v/>
      </c>
      <c r="S107" s="178" t="str">
        <f>IF(AND($C107&lt;&gt;"",$Q107&lt;&gt;"Full Refresher"),'G3 ENG Reading Scoresheet'!$P110,"")</f>
        <v/>
      </c>
      <c r="T107" s="179" t="str">
        <f>IF(AND($C107&lt;&gt;"",$Q107&lt;&gt;"Full Refresher"),'G3 ENG Reading Scoresheet'!$Q110/6,"")</f>
        <v/>
      </c>
      <c r="U107" s="180" t="str">
        <f>IF(AND($C107&lt;&gt;"",$O107&lt;&gt;"Full Refresher"),'G3 ENG Reading Scoresheet'!$O110,"")</f>
        <v/>
      </c>
      <c r="V107" s="181" t="str">
        <f>'G3 ENG Reading Scoresheet'!$T110</f>
        <v/>
      </c>
      <c r="W107" s="182" t="str">
        <f>CONCATENATE(IF(ISBLANK('G3 MT Reading Scoresheet'!V110),"",CONCATENATE("MT:",TRIM('G3 MT Reading Scoresheet'!V110)))," ",IF(ISBLANK('G3 FIL Reading Scoresheet'!V110),"",CONCATENATE("FIL:",TRIM('G3 FIL Reading Scoresheet'!V110)))," ",IF(ISBLANK('G3 ENG Reading Scoresheet'!U110),"",CONCATENATE("ENG:",TRIM('G3 ENG Reading Scoresheet'!U110))))</f>
        <v/>
      </c>
    </row>
  </sheetData>
  <sheetProtection algorithmName="SHA-512" hashValue="+KnH7GivwMb4BpSyi3rIF6y6MUW6poGNulRBZbfbr2o6vvDKqEFWuoAt32626+VzrnSwDqa4EYbQuhhQY+G6eg==" saltValue="Oew+CXfmJ3nvX1BcDQLxvA==" spinCount="100000" sheet="1" formatColumns="0" autoFilter="0"/>
  <autoFilter ref="A7:X107" xr:uid="{00000000-0009-0000-0000-000003000000}"/>
  <mergeCells count="20">
    <mergeCell ref="A4:B4"/>
    <mergeCell ref="C4:D4"/>
    <mergeCell ref="E4:W4"/>
    <mergeCell ref="A5:B5"/>
    <mergeCell ref="C5:D5"/>
    <mergeCell ref="E5:J5"/>
    <mergeCell ref="K5:P5"/>
    <mergeCell ref="Q5:V5"/>
    <mergeCell ref="J6:J7"/>
    <mergeCell ref="P6:P7"/>
    <mergeCell ref="A6:B6"/>
    <mergeCell ref="C6:D6"/>
    <mergeCell ref="E6:F6"/>
    <mergeCell ref="G6:I6"/>
    <mergeCell ref="K6:L6"/>
    <mergeCell ref="V6:V7"/>
    <mergeCell ref="W5:W7"/>
    <mergeCell ref="M6:O6"/>
    <mergeCell ref="Q6:R6"/>
    <mergeCell ref="S6:T6"/>
  </mergeCells>
  <conditionalFormatting sqref="C4">
    <cfRule type="containsText" dxfId="10" priority="10" operator="containsText" text="[enter school school id here]">
      <formula>NOT(ISERROR(SEARCH("[enter school school id here]",C4)))</formula>
    </cfRule>
  </conditionalFormatting>
  <conditionalFormatting sqref="C5">
    <cfRule type="containsText" dxfId="9" priority="11" operator="containsText" text="[enter teacher name here]">
      <formula>NOT(ISERROR(SEARCH("[enter teacher name here]",C5)))</formula>
    </cfRule>
  </conditionalFormatting>
  <conditionalFormatting sqref="E8:E107">
    <cfRule type="containsText" dxfId="8" priority="9" operator="containsText" text="Full">
      <formula>NOT(ISERROR(SEARCH("Full",E8)))</formula>
    </cfRule>
  </conditionalFormatting>
  <conditionalFormatting sqref="J8:J107">
    <cfRule type="containsText" dxfId="7" priority="7" operator="containsText" text="High">
      <formula>NOT(ISERROR(SEARCH("High",J8)))</formula>
    </cfRule>
    <cfRule type="containsText" dxfId="6" priority="8" operator="containsText" text="Low">
      <formula>NOT(ISERROR(SEARCH("Low",J8)))</formula>
    </cfRule>
  </conditionalFormatting>
  <conditionalFormatting sqref="K8:K107">
    <cfRule type="containsText" dxfId="5" priority="6" operator="containsText" text="Full">
      <formula>NOT(ISERROR(SEARCH("Full",K8)))</formula>
    </cfRule>
  </conditionalFormatting>
  <conditionalFormatting sqref="P8:P107">
    <cfRule type="containsText" dxfId="4" priority="4" operator="containsText" text="High">
      <formula>NOT(ISERROR(SEARCH("High",P8)))</formula>
    </cfRule>
    <cfRule type="containsText" dxfId="3" priority="5" operator="containsText" text="Low">
      <formula>NOT(ISERROR(SEARCH("Low",P8)))</formula>
    </cfRule>
  </conditionalFormatting>
  <conditionalFormatting sqref="Q8:Q107">
    <cfRule type="containsText" dxfId="2" priority="3" operator="containsText" text="Full">
      <formula>NOT(ISERROR(SEARCH("Full",Q8)))</formula>
    </cfRule>
  </conditionalFormatting>
  <conditionalFormatting sqref="V8:V107">
    <cfRule type="containsText" dxfId="1" priority="1" operator="containsText" text="High">
      <formula>NOT(ISERROR(SEARCH("High",V8)))</formula>
    </cfRule>
    <cfRule type="containsText" dxfId="0" priority="2" operator="containsText" text="Low">
      <formula>NOT(ISERROR(SEARCH("Low",V8)))</formula>
    </cfRule>
  </conditionalFormatting>
  <pageMargins left="0.21" right="0.15" top="1.33" bottom="1.72" header="0.3" footer="0.3"/>
  <pageSetup paperSize="256" scale="45"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U32"/>
  <sheetViews>
    <sheetView zoomScale="65" zoomScaleNormal="70" workbookViewId="0">
      <selection activeCell="F9" sqref="F9"/>
    </sheetView>
  </sheetViews>
  <sheetFormatPr defaultColWidth="0" defaultRowHeight="14.45"/>
  <cols>
    <col min="1" max="1" width="12.25" customWidth="1"/>
    <col min="2" max="2" width="15.25" customWidth="1"/>
    <col min="3" max="3" width="17.125" customWidth="1"/>
    <col min="4" max="4" width="14.875" customWidth="1"/>
    <col min="5" max="5" width="10" customWidth="1"/>
    <col min="6" max="6" width="9.875" customWidth="1"/>
    <col min="7" max="7" width="10.5" customWidth="1"/>
    <col min="8" max="10" width="9.25" customWidth="1"/>
    <col min="11" max="11" width="8.25" customWidth="1"/>
    <col min="12" max="12" width="9.75" style="1" customWidth="1"/>
    <col min="13" max="13" width="11.75" customWidth="1"/>
    <col min="14" max="14" width="10.5" customWidth="1"/>
    <col min="15" max="17" width="9.75" customWidth="1"/>
    <col min="18" max="18" width="11.25" customWidth="1"/>
    <col min="19" max="19" width="10.25" customWidth="1"/>
    <col min="20" max="20" width="8.875" customWidth="1"/>
    <col min="21" max="21" width="0" hidden="1" customWidth="1"/>
    <col min="22" max="16384" width="8.875" hidden="1"/>
  </cols>
  <sheetData>
    <row r="1" spans="1:19">
      <c r="A1" t="s">
        <v>114</v>
      </c>
    </row>
    <row r="2" spans="1:19" ht="15.6">
      <c r="A2" s="447" t="s">
        <v>115</v>
      </c>
      <c r="B2" s="447"/>
      <c r="C2" s="447"/>
      <c r="D2" s="447"/>
      <c r="E2" s="447"/>
      <c r="F2" s="447"/>
    </row>
    <row r="4" spans="1:19">
      <c r="A4" s="448" t="s">
        <v>116</v>
      </c>
      <c r="B4" s="448"/>
      <c r="C4" s="17">
        <f>'G3 MT Reading Scoresheet'!C4</f>
        <v>117443</v>
      </c>
    </row>
    <row r="5" spans="1:19">
      <c r="A5" s="449" t="s">
        <v>117</v>
      </c>
      <c r="B5" s="449"/>
      <c r="C5" s="450" t="str">
        <f>'G3 MT Reading Scoresheet'!C5</f>
        <v>ROMANA ELEM. SCHOOL</v>
      </c>
      <c r="D5" s="450"/>
      <c r="E5" s="450"/>
    </row>
    <row r="6" spans="1:19" ht="14.45" customHeight="1">
      <c r="A6" s="439" t="s">
        <v>118</v>
      </c>
      <c r="B6" s="18"/>
      <c r="C6" s="18"/>
      <c r="D6" s="441" t="s">
        <v>119</v>
      </c>
      <c r="E6" s="441" t="s">
        <v>36</v>
      </c>
      <c r="F6" s="443" t="s">
        <v>120</v>
      </c>
      <c r="G6" s="445" t="s">
        <v>121</v>
      </c>
      <c r="H6" s="451" t="s">
        <v>108</v>
      </c>
      <c r="I6" s="451"/>
      <c r="J6" s="451"/>
      <c r="K6" s="451"/>
      <c r="L6" s="430" t="s">
        <v>122</v>
      </c>
      <c r="M6" s="431"/>
      <c r="N6" s="432"/>
      <c r="O6" s="430" t="s">
        <v>52</v>
      </c>
      <c r="P6" s="431"/>
      <c r="Q6" s="431"/>
      <c r="R6" s="431"/>
      <c r="S6" s="433"/>
    </row>
    <row r="7" spans="1:19" ht="36">
      <c r="A7" s="440"/>
      <c r="B7" s="19" t="s">
        <v>123</v>
      </c>
      <c r="C7" s="19" t="s">
        <v>124</v>
      </c>
      <c r="D7" s="442"/>
      <c r="E7" s="442"/>
      <c r="F7" s="444"/>
      <c r="G7" s="446"/>
      <c r="H7" s="20" t="s">
        <v>125</v>
      </c>
      <c r="I7" s="20" t="s">
        <v>126</v>
      </c>
      <c r="J7" s="20" t="s">
        <v>127</v>
      </c>
      <c r="K7" s="20" t="s">
        <v>128</v>
      </c>
      <c r="L7" s="20" t="s">
        <v>110</v>
      </c>
      <c r="M7" s="20" t="s">
        <v>111</v>
      </c>
      <c r="N7" s="20" t="s">
        <v>112</v>
      </c>
      <c r="O7" s="73" t="s">
        <v>129</v>
      </c>
      <c r="P7" s="73" t="s">
        <v>130</v>
      </c>
      <c r="Q7" s="73" t="s">
        <v>131</v>
      </c>
      <c r="R7" s="73" t="s">
        <v>132</v>
      </c>
      <c r="S7" s="94" t="s">
        <v>133</v>
      </c>
    </row>
    <row r="8" spans="1:19" ht="25.15" customHeight="1">
      <c r="A8" s="21" t="s">
        <v>16</v>
      </c>
      <c r="B8" s="22">
        <f>IF('G3 MT Reading Scoresheet'!$C$8&lt;&gt;"",'G3 MT Reading Scoresheet'!$C$8,"")</f>
        <v>1</v>
      </c>
      <c r="C8" s="23" t="str">
        <f>IF('G3 MT Reading Scoresheet'!$C$6&lt;&gt;"",'G3 MT Reading Scoresheet'!$C$6," ")</f>
        <v>KEMBERLY G. BELMIS</v>
      </c>
      <c r="D8" s="23" t="str">
        <f>IF('G3 MT Reading Scoresheet'!C9&lt;&gt;"",'G3 MT Reading Scoresheet'!C9,"")</f>
        <v>Hiligaynon</v>
      </c>
      <c r="E8" s="23" t="s">
        <v>8</v>
      </c>
      <c r="F8" s="24">
        <f>'G3 MT Reading Scoresheet'!D6</f>
        <v>10</v>
      </c>
      <c r="G8" s="25">
        <f>COUNTIF('G3 MT Reading Scoresheet'!$D$11:$D$110,$E8)</f>
        <v>11</v>
      </c>
      <c r="H8" s="25">
        <f>COUNTIFS('Class Record'!$E$8:$E$107,H$7,'Class Record'!$D$8:$D$107,$E8)</f>
        <v>2</v>
      </c>
      <c r="I8" s="25">
        <f>COUNTIFS('Class Record'!$E$8:$E$107,I$7,'Class Record'!$D$8:$D$107,$E8)</f>
        <v>2</v>
      </c>
      <c r="J8" s="25">
        <f>COUNTIFS('Class Record'!$E$8:$E$107,J$7,'Class Record'!$D$8:$D$107,$E8)</f>
        <v>6</v>
      </c>
      <c r="K8" s="25">
        <f>COUNTIFS('Class Record'!$E$8:$E$107,K$7,'Class Record'!$D$8:$D$107,$E8)</f>
        <v>1</v>
      </c>
      <c r="L8" s="74">
        <f>IFERROR(AVERAGEIFS('Class Record'!G$9:G$108,'Class Record'!$D$9:$D$108,$E8),"")</f>
        <v>0.894289533995416</v>
      </c>
      <c r="M8" s="75">
        <f>IFERROR(AVERAGEIFS('Class Record'!H$9:H$108,'Class Record'!$D$9:$D$108,$E8),"")</f>
        <v>0.69642857142857095</v>
      </c>
      <c r="N8" s="76">
        <f>IFERROR(AVERAGEIFS('Class Record'!I$9:I$108,'Class Record'!$D$9:$D$108,$E8),"")</f>
        <v>41.037640994600402</v>
      </c>
      <c r="O8" s="77">
        <f>COUNTIFS('Class Record'!$J$8:$J$107,O$7,'Class Record'!$D$8:$D$107,$E8)</f>
        <v>2</v>
      </c>
      <c r="P8" s="77">
        <f>COUNTIFS('Class Record'!$J$8:$J$107,P$7,'Class Record'!$D$8:$D$107,$E8)</f>
        <v>0</v>
      </c>
      <c r="Q8" s="77">
        <f>COUNTIFS('Class Record'!$J$8:$J$107,Q$7,'Class Record'!$D$8:$D$107,$E8)</f>
        <v>1</v>
      </c>
      <c r="R8" s="77">
        <f>COUNTIFS('Class Record'!$J$8:$J$107,R$7,'Class Record'!$D$8:$D$107,$E8)</f>
        <v>3</v>
      </c>
      <c r="S8" s="107">
        <f>COUNTIFS('Class Record'!$J$8:$J$107,S$7,'Class Record'!$D$8:$D$107,$E8)</f>
        <v>5</v>
      </c>
    </row>
    <row r="9" spans="1:19" ht="25.15" customHeight="1">
      <c r="A9" s="21" t="str">
        <f>A8</f>
        <v>Grade 3</v>
      </c>
      <c r="B9" s="22">
        <f t="shared" ref="B9:D9" si="0">B8</f>
        <v>1</v>
      </c>
      <c r="C9" s="23" t="str">
        <f t="shared" si="0"/>
        <v>KEMBERLY G. BELMIS</v>
      </c>
      <c r="D9" s="23" t="str">
        <f t="shared" si="0"/>
        <v>Hiligaynon</v>
      </c>
      <c r="E9" s="23" t="s">
        <v>9</v>
      </c>
      <c r="F9" s="24">
        <f>'G3 MT Reading Scoresheet'!E6</f>
        <v>15</v>
      </c>
      <c r="G9" s="26">
        <f>COUNTIF('G3 MT Reading Scoresheet'!$D$11:$D$110,E9)</f>
        <v>14</v>
      </c>
      <c r="H9" s="25">
        <f>COUNTIFS('Class Record'!$E$8:$E$107,H$7,'Class Record'!$D$8:$D$107,$E9)</f>
        <v>1</v>
      </c>
      <c r="I9" s="25">
        <f>COUNTIFS('Class Record'!$E$8:$E$107,I$7,'Class Record'!$D$8:$D$107,$E9)</f>
        <v>3</v>
      </c>
      <c r="J9" s="25">
        <f>COUNTIFS('Class Record'!$E$8:$E$107,J$7,'Class Record'!$D$8:$D$107,$E9)</f>
        <v>4</v>
      </c>
      <c r="K9" s="25">
        <f>COUNTIFS('Class Record'!$E$8:$E$107,K$7,'Class Record'!$D$8:$D$107,$E9)</f>
        <v>6</v>
      </c>
      <c r="L9" s="74">
        <f>IFERROR(AVERAGEIFS('Class Record'!G$9:G$108,'Class Record'!$D$9:$D$108,$E9),"")</f>
        <v>0.94634776987718205</v>
      </c>
      <c r="M9" s="75">
        <f>IFERROR(AVERAGEIFS('Class Record'!H$9:H$108,'Class Record'!$D$9:$D$108,$E9),"")</f>
        <v>0.879120879120879</v>
      </c>
      <c r="N9" s="76">
        <f>IFERROR(AVERAGEIFS('Class Record'!I$9:I$108,'Class Record'!$D$9:$D$108,$E9),"")</f>
        <v>50.345458491229302</v>
      </c>
      <c r="O9" s="77">
        <f>COUNTIFS('Class Record'!$J$8:$J$107,O$7,'Class Record'!$D$8:$D$107,$E9)</f>
        <v>1</v>
      </c>
      <c r="P9" s="77">
        <f>COUNTIFS('Class Record'!$J$8:$J$107,P$7,'Class Record'!$D$8:$D$107,$E9)</f>
        <v>0</v>
      </c>
      <c r="Q9" s="77">
        <f>COUNTIFS('Class Record'!$J$8:$J$107,Q$7,'Class Record'!$D$8:$D$107,$E9)</f>
        <v>0</v>
      </c>
      <c r="R9" s="77">
        <f>COUNTIFS('Class Record'!$J$8:$J$107,R$7,'Class Record'!$D$8:$D$107,$E9)</f>
        <v>3</v>
      </c>
      <c r="S9" s="107">
        <f>COUNTIFS('Class Record'!$J$8:$J$107,S$7,'Class Record'!$D$8:$D$107,$E9)</f>
        <v>10</v>
      </c>
    </row>
    <row r="10" spans="1:19" ht="25.15" customHeight="1">
      <c r="A10" s="21" t="str">
        <f>A9</f>
        <v>Grade 3</v>
      </c>
      <c r="B10" s="22">
        <f>B9</f>
        <v>1</v>
      </c>
      <c r="C10" s="23" t="str">
        <f>C9</f>
        <v>KEMBERLY G. BELMIS</v>
      </c>
      <c r="D10" s="23" t="s">
        <v>87</v>
      </c>
      <c r="E10" s="23" t="s">
        <v>8</v>
      </c>
      <c r="F10" s="24">
        <f>'G3 FIL Reading Scoresheet'!$D$6</f>
        <v>10</v>
      </c>
      <c r="G10" s="25">
        <f>COUNTIF('G3 FIL Reading Scoresheet'!$D$11:$D$110,$E10)</f>
        <v>11</v>
      </c>
      <c r="H10" s="25">
        <f>COUNTIFS('Class Record'!$K$8:$K$107,H$7,'Class Record'!$D$8:$D$107,$E10)</f>
        <v>3</v>
      </c>
      <c r="I10" s="25">
        <f>COUNTIFS('Class Record'!$K$8:$K$107,I$7,'Class Record'!$D$8:$D$107,$E10)</f>
        <v>0</v>
      </c>
      <c r="J10" s="25">
        <f>COUNTIFS('Class Record'!$K$8:$K$107,J$7,'Class Record'!$D$8:$D$107,$E10)</f>
        <v>5</v>
      </c>
      <c r="K10" s="25">
        <f>COUNTIFS('Class Record'!$K$8:$K$107,K$7,'Class Record'!$D$8:$D$107,$E10)</f>
        <v>3</v>
      </c>
      <c r="L10" s="74">
        <f>IFERROR(AVERAGEIFS('Class Record'!M$9:M$108,'Class Record'!$D$9:$D$108,$E10),"")</f>
        <v>0.879188038851904</v>
      </c>
      <c r="M10" s="75">
        <f>IFERROR(AVERAGEIFS('Class Record'!N$9:N$108,'Class Record'!$D$9:$D$108,$E10),"")</f>
        <v>0.67346938775510201</v>
      </c>
      <c r="N10" s="76">
        <f>IFERROR(AVERAGEIFS('Class Record'!O$9:O$108,'Class Record'!$D$9:$D$108,$E10),"")</f>
        <v>40.593222869084897</v>
      </c>
      <c r="O10" s="77">
        <f>COUNTIFS('Class Record'!$P$8:$P$107,O$7,'Class Record'!$D$8:$D$107,$E10)</f>
        <v>3</v>
      </c>
      <c r="P10" s="77">
        <f>COUNTIFS('Class Record'!$P$8:$P$107,P$7,'Class Record'!$D$8:$D$107,$E10)</f>
        <v>0</v>
      </c>
      <c r="Q10" s="77">
        <f>COUNTIFS('Class Record'!$P$8:$P$107,Q$7,'Class Record'!$D$8:$D$107,$E10)</f>
        <v>1</v>
      </c>
      <c r="R10" s="77">
        <f>COUNTIFS('Class Record'!$P$8:$P$107,R$7,'Class Record'!$D$8:$D$107,$E10)</f>
        <v>3</v>
      </c>
      <c r="S10" s="107">
        <f>COUNTIFS('Class Record'!$P$8:$P$107,S$7,'Class Record'!$D$8:$D$107,$E10)</f>
        <v>4</v>
      </c>
    </row>
    <row r="11" spans="1:19" ht="25.15" customHeight="1">
      <c r="A11" s="21" t="str">
        <f>A10</f>
        <v>Grade 3</v>
      </c>
      <c r="B11" s="22">
        <f t="shared" ref="B11:D11" si="1">B10</f>
        <v>1</v>
      </c>
      <c r="C11" s="23" t="str">
        <f t="shared" si="1"/>
        <v>KEMBERLY G. BELMIS</v>
      </c>
      <c r="D11" s="23" t="str">
        <f t="shared" si="1"/>
        <v>Filipino</v>
      </c>
      <c r="E11" s="23" t="s">
        <v>9</v>
      </c>
      <c r="F11" s="24">
        <f>'G3 FIL Reading Scoresheet'!$E$6</f>
        <v>15</v>
      </c>
      <c r="G11" s="26">
        <f>COUNTIF('G3 FIL Reading Scoresheet'!$D$11:$D$110,E11)</f>
        <v>14</v>
      </c>
      <c r="H11" s="25">
        <f>COUNTIFS('Class Record'!$K$8:$K$107,H$7,'Class Record'!$D$8:$D$107,$E11)</f>
        <v>1</v>
      </c>
      <c r="I11" s="25">
        <f>COUNTIFS('Class Record'!$K$8:$K$107,I$7,'Class Record'!$D$8:$D$107,$E11)</f>
        <v>0</v>
      </c>
      <c r="J11" s="25">
        <f>COUNTIFS('Class Record'!$K$8:$K$107,J$7,'Class Record'!$D$8:$D$107,$E11)</f>
        <v>4</v>
      </c>
      <c r="K11" s="25">
        <f>COUNTIFS('Class Record'!$K$8:$K$107,K$7,'Class Record'!$D$8:$D$107,$E11)</f>
        <v>9</v>
      </c>
      <c r="L11" s="74">
        <f>IFERROR(AVERAGEIFS('Class Record'!M$9:M$108,'Class Record'!$D$9:$D$108,$E11),"")</f>
        <v>0.94634776987718205</v>
      </c>
      <c r="M11" s="75">
        <f>IFERROR(AVERAGEIFS('Class Record'!N$9:N$108,'Class Record'!$D$9:$D$108,$E11),"")</f>
        <v>0.879120879120879</v>
      </c>
      <c r="N11" s="76">
        <f>IFERROR(AVERAGEIFS('Class Record'!O$9:O$108,'Class Record'!$D$9:$D$108,$E11),"")</f>
        <v>50.496445426376397</v>
      </c>
      <c r="O11" s="77">
        <f>COUNTIFS('Class Record'!$P$8:$P$107,O$7,'Class Record'!$D$8:$D$107,$E11)</f>
        <v>1</v>
      </c>
      <c r="P11" s="77">
        <f>COUNTIFS('Class Record'!$P$8:$P$107,P$7,'Class Record'!$D$8:$D$107,$E11)</f>
        <v>0</v>
      </c>
      <c r="Q11" s="77">
        <f>COUNTIFS('Class Record'!$P$8:$P$107,Q$7,'Class Record'!$D$8:$D$107,$E11)</f>
        <v>1</v>
      </c>
      <c r="R11" s="77">
        <f>COUNTIFS('Class Record'!$P$8:$P$107,R$7,'Class Record'!$D$8:$D$107,$E11)</f>
        <v>2</v>
      </c>
      <c r="S11" s="107">
        <f>COUNTIFS('Class Record'!$P$8:$P$107,S$7,'Class Record'!$D$8:$D$107,$E11)</f>
        <v>10</v>
      </c>
    </row>
    <row r="12" spans="1:19" ht="25.15" customHeight="1">
      <c r="A12" s="21" t="str">
        <f>A11</f>
        <v>Grade 3</v>
      </c>
      <c r="B12" s="22">
        <f>B11</f>
        <v>1</v>
      </c>
      <c r="C12" s="23" t="str">
        <f>C11</f>
        <v>KEMBERLY G. BELMIS</v>
      </c>
      <c r="D12" s="23" t="s">
        <v>98</v>
      </c>
      <c r="E12" s="23" t="s">
        <v>8</v>
      </c>
      <c r="F12" s="24">
        <f>'G3 ENG Reading Scoresheet'!$D$6</f>
        <v>11</v>
      </c>
      <c r="G12" s="25">
        <f>COUNTIF('G3 ENG Reading Scoresheet'!$D$11:$D$110,$E12)</f>
        <v>11</v>
      </c>
      <c r="H12" s="25">
        <f>COUNTIFS('Class Record'!$Q$8:$Q$107,H$7,'Class Record'!$D$8:$D$107,$E12)</f>
        <v>0</v>
      </c>
      <c r="I12" s="25">
        <f>COUNTIFS('Class Record'!$Q$8:$Q$107,I$7,'Class Record'!$D$8:$D$107,$E12)</f>
        <v>2</v>
      </c>
      <c r="J12" s="25">
        <f>COUNTIFS('Class Record'!$Q$8:$Q$107,J$7,'Class Record'!$D$8:$D$107,$E12)</f>
        <v>4</v>
      </c>
      <c r="K12" s="25">
        <f>COUNTIFS('Class Record'!$Q$8:$Q$107,K$7,'Class Record'!$D$8:$D$107,$E12)</f>
        <v>5</v>
      </c>
      <c r="L12" s="74">
        <f>IFERROR(AVERAGEIFS('Class Record'!S$9:S$108,'Class Record'!$D$9:$D$108,$E12),"")</f>
        <v>0.74099999999999999</v>
      </c>
      <c r="M12" s="75">
        <f>IFERROR(AVERAGEIFS('Class Record'!T$9:T$108,'Class Record'!$D$9:$D$108,$E12),"")</f>
        <v>0.58333333333333304</v>
      </c>
      <c r="N12" s="76">
        <f>IFERROR(AVERAGEIFS('Class Record'!U$9:U$108,'Class Record'!$D$9:$D$108,$E12),"")</f>
        <v>41.133333333333297</v>
      </c>
      <c r="O12" s="77">
        <f>COUNTIFS('Class Record'!$V$8:$V$107,O$7,'Class Record'!$D$8:$D$107,$E12)</f>
        <v>0</v>
      </c>
      <c r="P12" s="77">
        <f>COUNTIFS('Class Record'!$V$8:$V$107,P$7,'Class Record'!$D$8:$D$107,$E12)</f>
        <v>0</v>
      </c>
      <c r="Q12" s="77">
        <f>COUNTIFS('Class Record'!$V$8:$V$107,Q$7,'Class Record'!$D$8:$D$107,$E12)</f>
        <v>4</v>
      </c>
      <c r="R12" s="77">
        <f>COUNTIFS('Class Record'!$V$8:$V$107,R$7,'Class Record'!$D$8:$D$107,$E12)</f>
        <v>3</v>
      </c>
      <c r="S12" s="107">
        <f>COUNTIFS('Class Record'!$V$8:$V$107,S$7,'Class Record'!$D$8:$D$107,$E12)</f>
        <v>4</v>
      </c>
    </row>
    <row r="13" spans="1:19" ht="25.15" customHeight="1">
      <c r="A13" s="27" t="str">
        <f>A12</f>
        <v>Grade 3</v>
      </c>
      <c r="B13" s="28">
        <f t="shared" ref="B13:D13" si="2">B12</f>
        <v>1</v>
      </c>
      <c r="C13" s="29" t="str">
        <f t="shared" si="2"/>
        <v>KEMBERLY G. BELMIS</v>
      </c>
      <c r="D13" s="29" t="str">
        <f t="shared" si="2"/>
        <v>English</v>
      </c>
      <c r="E13" s="29" t="s">
        <v>9</v>
      </c>
      <c r="F13" s="30">
        <f>'G3 ENG Reading Scoresheet'!$E$6</f>
        <v>11</v>
      </c>
      <c r="G13" s="31">
        <f>COUNTIF('G3 ENG Reading Scoresheet'!$D$11:$D$110,E13)</f>
        <v>14</v>
      </c>
      <c r="H13" s="32">
        <f>COUNTIFS('Class Record'!$Q$8:$Q$107,H$7,'Class Record'!$D$8:$D$107,$E13)</f>
        <v>0</v>
      </c>
      <c r="I13" s="32">
        <f>COUNTIFS('Class Record'!$Q$8:$Q$107,I$7,'Class Record'!$D$8:$D$107,$E13)</f>
        <v>1</v>
      </c>
      <c r="J13" s="32">
        <f>COUNTIFS('Class Record'!$Q$8:$Q$107,J$7,'Class Record'!$D$8:$D$107,$E13)</f>
        <v>3</v>
      </c>
      <c r="K13" s="32">
        <f>COUNTIFS('Class Record'!$Q$8:$Q$107,K$7,'Class Record'!$D$8:$D$107,$E13)</f>
        <v>10</v>
      </c>
      <c r="L13" s="78">
        <f>IFERROR(AVERAGEIFS('Class Record'!S$9:S$108,'Class Record'!$D$9:$D$108,$E13),"")</f>
        <v>0.88428571428571401</v>
      </c>
      <c r="M13" s="79">
        <f>IFERROR(AVERAGEIFS('Class Record'!T$9:T$108,'Class Record'!$D$9:$D$108,$E13),"")</f>
        <v>0.80952380952380998</v>
      </c>
      <c r="N13" s="80">
        <f>IFERROR(AVERAGEIFS('Class Record'!U$9:U$108,'Class Record'!$D$9:$D$108,$E13),"")</f>
        <v>53.515320716172198</v>
      </c>
      <c r="O13" s="81">
        <f>COUNTIFS('Class Record'!$V$8:$V$107,O$7,'Class Record'!$D$8:$D$107,$E13)</f>
        <v>0</v>
      </c>
      <c r="P13" s="81">
        <f>COUNTIFS('Class Record'!$V$8:$V$107,P$7,'Class Record'!$D$8:$D$107,$E13)</f>
        <v>0</v>
      </c>
      <c r="Q13" s="81">
        <f>COUNTIFS('Class Record'!$V$8:$V$107,Q$7,'Class Record'!$D$8:$D$107,$E13)</f>
        <v>1</v>
      </c>
      <c r="R13" s="81">
        <f>COUNTIFS('Class Record'!$V$8:$V$107,R$7,'Class Record'!$D$8:$D$107,$E13)</f>
        <v>2</v>
      </c>
      <c r="S13" s="108">
        <f>COUNTIFS('Class Record'!$V$8:$V$107,S$7,'Class Record'!$D$8:$D$107,$E13)</f>
        <v>11</v>
      </c>
    </row>
    <row r="14" spans="1:19" ht="21" customHeight="1">
      <c r="A14" s="33"/>
      <c r="B14" s="33"/>
      <c r="C14" s="33"/>
      <c r="D14" s="33"/>
      <c r="E14" s="33"/>
      <c r="F14" s="34"/>
      <c r="G14" s="35"/>
      <c r="H14" s="36"/>
      <c r="I14" s="36"/>
      <c r="J14" s="36"/>
      <c r="K14" s="36"/>
      <c r="L14" s="82"/>
      <c r="M14" s="36"/>
      <c r="N14" s="36"/>
      <c r="O14" s="36"/>
      <c r="P14" s="36"/>
      <c r="Q14" s="36"/>
      <c r="R14" s="36"/>
      <c r="S14" s="36"/>
    </row>
    <row r="15" spans="1:19" ht="25.15" customHeight="1">
      <c r="A15" s="37" t="str">
        <f t="shared" ref="A15:D16" si="3">A9</f>
        <v>Grade 3</v>
      </c>
      <c r="B15" s="38">
        <f t="shared" si="3"/>
        <v>1</v>
      </c>
      <c r="C15" s="39" t="str">
        <f t="shared" si="3"/>
        <v>KEMBERLY G. BELMIS</v>
      </c>
      <c r="D15" s="39" t="str">
        <f t="shared" si="3"/>
        <v>Hiligaynon</v>
      </c>
      <c r="E15" s="39" t="s">
        <v>134</v>
      </c>
      <c r="F15" s="40">
        <f>F8+F9</f>
        <v>25</v>
      </c>
      <c r="G15" s="41">
        <f>G8+G9</f>
        <v>25</v>
      </c>
      <c r="H15" s="42">
        <f t="shared" ref="H15:K15" si="4">H8+H9</f>
        <v>3</v>
      </c>
      <c r="I15" s="42">
        <f t="shared" si="4"/>
        <v>5</v>
      </c>
      <c r="J15" s="42">
        <f t="shared" si="4"/>
        <v>10</v>
      </c>
      <c r="K15" s="42">
        <f t="shared" si="4"/>
        <v>7</v>
      </c>
      <c r="L15" s="83">
        <f>IFERROR((L8+L9)/2,"")</f>
        <v>0.92031865193629903</v>
      </c>
      <c r="M15" s="84">
        <f>IFERROR((M8+M9)/2,"")</f>
        <v>0.78777472527472503</v>
      </c>
      <c r="N15" s="85">
        <f>IFERROR((N8+N9)/2,"")</f>
        <v>45.691549742914802</v>
      </c>
      <c r="O15" s="86">
        <f t="shared" ref="O15:P15" si="5">O8+O9</f>
        <v>3</v>
      </c>
      <c r="P15" s="86">
        <f t="shared" si="5"/>
        <v>0</v>
      </c>
      <c r="Q15" s="86">
        <f t="shared" ref="Q15:S15" si="6">Q8+Q9</f>
        <v>1</v>
      </c>
      <c r="R15" s="86">
        <f t="shared" si="6"/>
        <v>6</v>
      </c>
      <c r="S15" s="109">
        <f t="shared" si="6"/>
        <v>15</v>
      </c>
    </row>
    <row r="16" spans="1:19" ht="25.15" customHeight="1">
      <c r="A16" s="43" t="str">
        <f t="shared" si="3"/>
        <v>Grade 3</v>
      </c>
      <c r="B16" s="44">
        <f t="shared" si="3"/>
        <v>1</v>
      </c>
      <c r="C16" s="45" t="str">
        <f t="shared" si="3"/>
        <v>KEMBERLY G. BELMIS</v>
      </c>
      <c r="D16" s="45" t="str">
        <f t="shared" si="3"/>
        <v>Filipino</v>
      </c>
      <c r="E16" s="45" t="s">
        <v>134</v>
      </c>
      <c r="F16" s="46">
        <f>F10+F11</f>
        <v>25</v>
      </c>
      <c r="G16" s="47">
        <f t="shared" ref="G16:K17" si="7">G10+G11</f>
        <v>25</v>
      </c>
      <c r="H16" s="48">
        <f t="shared" si="7"/>
        <v>4</v>
      </c>
      <c r="I16" s="48">
        <f t="shared" si="7"/>
        <v>0</v>
      </c>
      <c r="J16" s="48">
        <f t="shared" si="7"/>
        <v>9</v>
      </c>
      <c r="K16" s="48">
        <f t="shared" si="7"/>
        <v>12</v>
      </c>
      <c r="L16" s="74">
        <f>IFERROR((L10+L11)/2,"")</f>
        <v>0.91276790436454303</v>
      </c>
      <c r="M16" s="87">
        <f>IFERROR((M10+M11)/2,"")</f>
        <v>0.77629513343798995</v>
      </c>
      <c r="N16" s="88">
        <f>IFERROR((N10+N11)/2,"")</f>
        <v>45.544834147730697</v>
      </c>
      <c r="O16" s="89">
        <f t="shared" ref="O16:S17" si="8">O10+O11</f>
        <v>4</v>
      </c>
      <c r="P16" s="89">
        <f t="shared" si="8"/>
        <v>0</v>
      </c>
      <c r="Q16" s="89">
        <f t="shared" si="8"/>
        <v>2</v>
      </c>
      <c r="R16" s="89">
        <f t="shared" si="8"/>
        <v>5</v>
      </c>
      <c r="S16" s="110">
        <f t="shared" si="8"/>
        <v>14</v>
      </c>
    </row>
    <row r="17" spans="1:19" ht="25.15" customHeight="1">
      <c r="A17" s="49" t="str">
        <f>A11</f>
        <v>Grade 3</v>
      </c>
      <c r="B17" s="50">
        <f>B11</f>
        <v>1</v>
      </c>
      <c r="C17" s="51" t="str">
        <f>C11</f>
        <v>KEMBERLY G. BELMIS</v>
      </c>
      <c r="D17" s="51" t="s">
        <v>98</v>
      </c>
      <c r="E17" s="51" t="s">
        <v>134</v>
      </c>
      <c r="F17" s="52">
        <f>F12+F13</f>
        <v>22</v>
      </c>
      <c r="G17" s="53">
        <f t="shared" si="7"/>
        <v>25</v>
      </c>
      <c r="H17" s="54">
        <f t="shared" si="7"/>
        <v>1</v>
      </c>
      <c r="I17" s="54">
        <f t="shared" si="7"/>
        <v>2</v>
      </c>
      <c r="J17" s="54">
        <f t="shared" si="7"/>
        <v>8</v>
      </c>
      <c r="K17" s="54">
        <f t="shared" si="7"/>
        <v>14</v>
      </c>
      <c r="L17" s="78">
        <f>IFERROR((L12+L13)/2,"")</f>
        <v>0.812642857142857</v>
      </c>
      <c r="M17" s="90">
        <f>IFERROR((M12+M13)/2,"")</f>
        <v>0.69642857142857095</v>
      </c>
      <c r="N17" s="91">
        <f>IFERROR((N12+N13)/2,"")</f>
        <v>47.324327024752698</v>
      </c>
      <c r="O17" s="92">
        <f t="shared" si="8"/>
        <v>1</v>
      </c>
      <c r="P17" s="92">
        <f t="shared" si="8"/>
        <v>0</v>
      </c>
      <c r="Q17" s="92">
        <f t="shared" si="8"/>
        <v>5</v>
      </c>
      <c r="R17" s="92">
        <f t="shared" si="8"/>
        <v>5</v>
      </c>
      <c r="S17" s="111">
        <f t="shared" si="8"/>
        <v>14</v>
      </c>
    </row>
    <row r="19" spans="1:19">
      <c r="A19" s="434" t="s">
        <v>135</v>
      </c>
      <c r="B19" s="435"/>
      <c r="C19" s="435"/>
      <c r="D19" s="435"/>
      <c r="E19" s="435"/>
      <c r="F19" s="435"/>
      <c r="G19" s="435"/>
      <c r="H19" s="435"/>
      <c r="I19" s="435"/>
      <c r="J19" s="435"/>
      <c r="K19" s="435"/>
      <c r="L19" s="435"/>
      <c r="M19" s="435"/>
      <c r="N19" s="435"/>
      <c r="O19" s="436"/>
    </row>
    <row r="20" spans="1:19" ht="14.45" customHeight="1">
      <c r="A20" s="55"/>
      <c r="B20" s="56"/>
      <c r="C20" s="57"/>
      <c r="D20" s="437" t="s">
        <v>108</v>
      </c>
      <c r="E20" s="437"/>
      <c r="F20" s="437"/>
      <c r="G20" s="437"/>
      <c r="H20" s="437" t="s">
        <v>122</v>
      </c>
      <c r="I20" s="437"/>
      <c r="J20" s="437"/>
      <c r="K20" s="93"/>
      <c r="L20" s="437" t="s">
        <v>52</v>
      </c>
      <c r="M20" s="437"/>
      <c r="N20" s="437"/>
      <c r="O20" s="438"/>
    </row>
    <row r="21" spans="1:19" ht="36">
      <c r="A21" s="58" t="s">
        <v>119</v>
      </c>
      <c r="B21" s="59" t="s">
        <v>36</v>
      </c>
      <c r="C21" s="60" t="s">
        <v>136</v>
      </c>
      <c r="D21" s="20" t="s">
        <v>125</v>
      </c>
      <c r="E21" s="20" t="s">
        <v>126</v>
      </c>
      <c r="F21" s="20" t="s">
        <v>127</v>
      </c>
      <c r="G21" s="20" t="s">
        <v>128</v>
      </c>
      <c r="H21" s="20" t="s">
        <v>110</v>
      </c>
      <c r="I21" s="20" t="s">
        <v>111</v>
      </c>
      <c r="J21" s="20" t="s">
        <v>112</v>
      </c>
      <c r="K21" s="73" t="s">
        <v>129</v>
      </c>
      <c r="L21" s="73" t="s">
        <v>130</v>
      </c>
      <c r="M21" s="73" t="s">
        <v>131</v>
      </c>
      <c r="N21" s="73" t="s">
        <v>132</v>
      </c>
      <c r="O21" s="94" t="s">
        <v>133</v>
      </c>
    </row>
    <row r="22" spans="1:19">
      <c r="A22" s="61" t="str">
        <f>D8</f>
        <v>Hiligaynon</v>
      </c>
      <c r="B22" s="62" t="s">
        <v>8</v>
      </c>
      <c r="C22" s="63">
        <f>IFERROR(G8/F8,"")</f>
        <v>1.1000000000000001</v>
      </c>
      <c r="D22" s="63">
        <f t="shared" ref="D22" si="9">IFERROR(H8/$G8,"")</f>
        <v>0.18181818181818199</v>
      </c>
      <c r="E22" s="63">
        <f t="shared" ref="E22" si="10">IFERROR(I8/$G8,"")</f>
        <v>0.18181818181818199</v>
      </c>
      <c r="F22" s="63">
        <f t="shared" ref="F22" si="11">IFERROR(J8/$G8,"")</f>
        <v>0.54545454545454497</v>
      </c>
      <c r="G22" s="63">
        <f t="shared" ref="G22" si="12">IFERROR(K8/$G8,"")</f>
        <v>9.0909090909090898E-2</v>
      </c>
      <c r="H22" s="63">
        <f>L8</f>
        <v>0.894289533995416</v>
      </c>
      <c r="I22" s="63">
        <f t="shared" ref="I22:J22" si="13">M8</f>
        <v>0.69642857142857095</v>
      </c>
      <c r="J22" s="95">
        <f t="shared" si="13"/>
        <v>41.037640994600402</v>
      </c>
      <c r="K22" s="96">
        <f>IFERROR(O8/$G8,"")</f>
        <v>0.18181818181818199</v>
      </c>
      <c r="L22" s="96">
        <f t="shared" ref="L22:O22" si="14">IFERROR(P8/$G8,"")</f>
        <v>0</v>
      </c>
      <c r="M22" s="96">
        <f t="shared" si="14"/>
        <v>9.0909090909090898E-2</v>
      </c>
      <c r="N22" s="96">
        <f t="shared" si="14"/>
        <v>0.27272727272727298</v>
      </c>
      <c r="O22" s="97">
        <f t="shared" si="14"/>
        <v>0.45454545454545497</v>
      </c>
    </row>
    <row r="23" spans="1:19">
      <c r="A23" s="61" t="str">
        <f>A22</f>
        <v>Hiligaynon</v>
      </c>
      <c r="B23" s="62" t="s">
        <v>9</v>
      </c>
      <c r="C23" s="64">
        <f>IFERROR(G9/F9,"")</f>
        <v>0.93333333333333302</v>
      </c>
      <c r="D23" s="64">
        <f t="shared" ref="D23" si="15">IFERROR(H9/$G9,"")</f>
        <v>7.1428571428571397E-2</v>
      </c>
      <c r="E23" s="64">
        <f t="shared" ref="E23" si="16">IFERROR(I9/$G9,"")</f>
        <v>0.214285714285714</v>
      </c>
      <c r="F23" s="64">
        <f t="shared" ref="F23" si="17">IFERROR(J9/$G9,"")</f>
        <v>0.28571428571428598</v>
      </c>
      <c r="G23" s="64">
        <f t="shared" ref="G23" si="18">IFERROR(K9/$G9,"")</f>
        <v>0.42857142857142899</v>
      </c>
      <c r="H23" s="64">
        <f>L9</f>
        <v>0.94634776987718205</v>
      </c>
      <c r="I23" s="64">
        <f t="shared" ref="I23" si="19">M9</f>
        <v>0.879120879120879</v>
      </c>
      <c r="J23" s="98">
        <f t="shared" ref="J23" si="20">N9</f>
        <v>50.345458491229302</v>
      </c>
      <c r="K23" s="99">
        <f>IFERROR(O9/$G9,"")</f>
        <v>7.1428571428571397E-2</v>
      </c>
      <c r="L23" s="99">
        <f t="shared" ref="L23" si="21">IFERROR(P9/$G9,"")</f>
        <v>0</v>
      </c>
      <c r="M23" s="99">
        <f t="shared" ref="M23" si="22">IFERROR(Q9/$G9,"")</f>
        <v>0</v>
      </c>
      <c r="N23" s="99">
        <f t="shared" ref="N23" si="23">IFERROR(R9/$G9,"")</f>
        <v>0.214285714285714</v>
      </c>
      <c r="O23" s="100">
        <f t="shared" ref="O23" si="24">IFERROR(S9/$G9,"")</f>
        <v>0.71428571428571397</v>
      </c>
    </row>
    <row r="24" spans="1:19">
      <c r="A24" s="65" t="str">
        <f>A23</f>
        <v>Hiligaynon</v>
      </c>
      <c r="B24" s="66" t="s">
        <v>134</v>
      </c>
      <c r="C24" s="67">
        <f>IFERROR(G15/F15,"")</f>
        <v>1</v>
      </c>
      <c r="D24" s="67">
        <f t="shared" ref="D24:G24" si="25">IFERROR(H15/$G15,"")</f>
        <v>0.12</v>
      </c>
      <c r="E24" s="67">
        <f t="shared" si="25"/>
        <v>0.2</v>
      </c>
      <c r="F24" s="67">
        <f t="shared" si="25"/>
        <v>0.4</v>
      </c>
      <c r="G24" s="67">
        <f t="shared" si="25"/>
        <v>0.28000000000000003</v>
      </c>
      <c r="H24" s="67">
        <f>L15</f>
        <v>0.92031865193629903</v>
      </c>
      <c r="I24" s="67">
        <f t="shared" ref="I24:J24" si="26">M15</f>
        <v>0.78777472527472503</v>
      </c>
      <c r="J24" s="101">
        <f t="shared" si="26"/>
        <v>45.691549742914802</v>
      </c>
      <c r="K24" s="102">
        <f>IFERROR(O15/$G15,"")</f>
        <v>0.12</v>
      </c>
      <c r="L24" s="102">
        <f t="shared" ref="L24:O24" si="27">IFERROR(P15/$G15,"")</f>
        <v>0</v>
      </c>
      <c r="M24" s="102">
        <f t="shared" si="27"/>
        <v>0.04</v>
      </c>
      <c r="N24" s="102">
        <f t="shared" si="27"/>
        <v>0.24</v>
      </c>
      <c r="O24" s="103">
        <f t="shared" si="27"/>
        <v>0.6</v>
      </c>
    </row>
    <row r="25" spans="1:19">
      <c r="A25" s="61" t="str">
        <f>D11</f>
        <v>Filipino</v>
      </c>
      <c r="B25" s="62" t="s">
        <v>8</v>
      </c>
      <c r="C25" s="63">
        <f>IFERROR(G10/F10,"")</f>
        <v>1.1000000000000001</v>
      </c>
      <c r="D25" s="63">
        <f>IFERROR(H10/$G10,"")</f>
        <v>0.27272727272727298</v>
      </c>
      <c r="E25" s="63">
        <f t="shared" ref="E25:G25" si="28">IFERROR(I10/$G10,"")</f>
        <v>0</v>
      </c>
      <c r="F25" s="63">
        <f t="shared" si="28"/>
        <v>0.45454545454545497</v>
      </c>
      <c r="G25" s="63">
        <f t="shared" si="28"/>
        <v>0.27272727272727298</v>
      </c>
      <c r="H25" s="63">
        <f t="shared" ref="H25:J26" si="29">L10</f>
        <v>0.879188038851904</v>
      </c>
      <c r="I25" s="63">
        <f t="shared" si="29"/>
        <v>0.67346938775510201</v>
      </c>
      <c r="J25" s="95">
        <f t="shared" si="29"/>
        <v>40.593222869084897</v>
      </c>
      <c r="K25" s="96">
        <f>IFERROR(O10/$G10,"")</f>
        <v>0.27272727272727298</v>
      </c>
      <c r="L25" s="96">
        <f t="shared" ref="L25:O25" si="30">IFERROR(P10/$G10,"")</f>
        <v>0</v>
      </c>
      <c r="M25" s="96">
        <f t="shared" si="30"/>
        <v>9.0909090909090898E-2</v>
      </c>
      <c r="N25" s="96">
        <f t="shared" si="30"/>
        <v>0.27272727272727298</v>
      </c>
      <c r="O25" s="97">
        <f t="shared" si="30"/>
        <v>0.36363636363636398</v>
      </c>
    </row>
    <row r="26" spans="1:19">
      <c r="A26" s="61" t="str">
        <f>A25</f>
        <v>Filipino</v>
      </c>
      <c r="B26" s="62" t="s">
        <v>9</v>
      </c>
      <c r="C26" s="64">
        <f>IFERROR(G11/F11,"")</f>
        <v>0.93333333333333302</v>
      </c>
      <c r="D26" s="64">
        <f>IFERROR(H11/$G11,"")</f>
        <v>7.1428571428571397E-2</v>
      </c>
      <c r="E26" s="64">
        <f t="shared" ref="E26" si="31">IFERROR(I11/$G11,"")</f>
        <v>0</v>
      </c>
      <c r="F26" s="64">
        <f t="shared" ref="F26" si="32">IFERROR(J11/$G11,"")</f>
        <v>0.28571428571428598</v>
      </c>
      <c r="G26" s="64">
        <f t="shared" ref="G26" si="33">IFERROR(K11/$G11,"")</f>
        <v>0.64285714285714302</v>
      </c>
      <c r="H26" s="64">
        <f t="shared" si="29"/>
        <v>0.94634776987718205</v>
      </c>
      <c r="I26" s="64">
        <f t="shared" si="29"/>
        <v>0.879120879120879</v>
      </c>
      <c r="J26" s="98">
        <f t="shared" si="29"/>
        <v>50.496445426376397</v>
      </c>
      <c r="K26" s="99">
        <f>IFERROR(O11/$G11,"")</f>
        <v>7.1428571428571397E-2</v>
      </c>
      <c r="L26" s="99">
        <f t="shared" ref="L26" si="34">IFERROR(P11/$G11,"")</f>
        <v>0</v>
      </c>
      <c r="M26" s="99">
        <f t="shared" ref="M26" si="35">IFERROR(Q11/$G11,"")</f>
        <v>7.1428571428571397E-2</v>
      </c>
      <c r="N26" s="99">
        <f t="shared" ref="N26" si="36">IFERROR(R11/$G11,"")</f>
        <v>0.14285714285714299</v>
      </c>
      <c r="O26" s="100">
        <f t="shared" ref="O26" si="37">IFERROR(S11/$G11,"")</f>
        <v>0.71428571428571397</v>
      </c>
    </row>
    <row r="27" spans="1:19">
      <c r="A27" s="65" t="str">
        <f>A26</f>
        <v>Filipino</v>
      </c>
      <c r="B27" s="66" t="s">
        <v>134</v>
      </c>
      <c r="C27" s="67">
        <f>IFERROR(G16/F16,"")</f>
        <v>1</v>
      </c>
      <c r="D27" s="67">
        <f>IFERROR(H16/$G16,"")</f>
        <v>0.16</v>
      </c>
      <c r="E27" s="67">
        <f t="shared" ref="E27:G27" si="38">IFERROR(I16/$G16,"")</f>
        <v>0</v>
      </c>
      <c r="F27" s="67">
        <f t="shared" si="38"/>
        <v>0.36</v>
      </c>
      <c r="G27" s="67">
        <f t="shared" si="38"/>
        <v>0.48</v>
      </c>
      <c r="H27" s="67">
        <f t="shared" ref="H27:J27" si="39">L16</f>
        <v>0.91276790436454303</v>
      </c>
      <c r="I27" s="67">
        <f t="shared" si="39"/>
        <v>0.77629513343798995</v>
      </c>
      <c r="J27" s="101">
        <f t="shared" si="39"/>
        <v>45.544834147730697</v>
      </c>
      <c r="K27" s="102">
        <f>IFERROR(O16/$G16,"")</f>
        <v>0.16</v>
      </c>
      <c r="L27" s="102">
        <f t="shared" ref="L27:O27" si="40">IFERROR(P16/$G16,"")</f>
        <v>0</v>
      </c>
      <c r="M27" s="102">
        <f t="shared" si="40"/>
        <v>0.08</v>
      </c>
      <c r="N27" s="102">
        <f t="shared" si="40"/>
        <v>0.2</v>
      </c>
      <c r="O27" s="103">
        <f t="shared" si="40"/>
        <v>0.56000000000000005</v>
      </c>
    </row>
    <row r="28" spans="1:19">
      <c r="A28" s="61" t="str">
        <f t="shared" ref="A28:A29" si="41">D12</f>
        <v>English</v>
      </c>
      <c r="B28" s="62" t="s">
        <v>8</v>
      </c>
      <c r="C28" s="63">
        <f>IFERROR(G12/F12,"")</f>
        <v>1</v>
      </c>
      <c r="D28" s="63">
        <f t="shared" ref="D28:G29" si="42">IFERROR(H12/$G12,"")</f>
        <v>0</v>
      </c>
      <c r="E28" s="63">
        <f t="shared" si="42"/>
        <v>0.18181818181818199</v>
      </c>
      <c r="F28" s="63">
        <f t="shared" si="42"/>
        <v>0.36363636363636398</v>
      </c>
      <c r="G28" s="63">
        <f t="shared" si="42"/>
        <v>0.45454545454545497</v>
      </c>
      <c r="H28" s="63">
        <f t="shared" ref="H28:J29" si="43">L12</f>
        <v>0.74099999999999999</v>
      </c>
      <c r="I28" s="63">
        <f t="shared" si="43"/>
        <v>0.58333333333333304</v>
      </c>
      <c r="J28" s="95">
        <f t="shared" si="43"/>
        <v>41.133333333333297</v>
      </c>
      <c r="K28" s="96">
        <f>IFERROR(O12/$G12,"")</f>
        <v>0</v>
      </c>
      <c r="L28" s="96">
        <f t="shared" ref="L28:O28" si="44">IFERROR(P12/$G12,"")</f>
        <v>0</v>
      </c>
      <c r="M28" s="96">
        <f t="shared" si="44"/>
        <v>0.36363636363636398</v>
      </c>
      <c r="N28" s="96">
        <f t="shared" si="44"/>
        <v>0.27272727272727298</v>
      </c>
      <c r="O28" s="97">
        <f t="shared" si="44"/>
        <v>0.36363636363636398</v>
      </c>
    </row>
    <row r="29" spans="1:19">
      <c r="A29" s="61" t="str">
        <f t="shared" si="41"/>
        <v>English</v>
      </c>
      <c r="B29" s="62" t="s">
        <v>9</v>
      </c>
      <c r="C29" s="64">
        <f>IFERROR(G13/F13,"")</f>
        <v>1.27272727272727</v>
      </c>
      <c r="D29" s="64">
        <f t="shared" si="42"/>
        <v>0</v>
      </c>
      <c r="E29" s="64">
        <f t="shared" si="42"/>
        <v>7.1428571428571397E-2</v>
      </c>
      <c r="F29" s="64">
        <f t="shared" si="42"/>
        <v>0.214285714285714</v>
      </c>
      <c r="G29" s="64">
        <f t="shared" si="42"/>
        <v>0.71428571428571397</v>
      </c>
      <c r="H29" s="64">
        <f t="shared" si="43"/>
        <v>0.88428571428571401</v>
      </c>
      <c r="I29" s="64">
        <f t="shared" si="43"/>
        <v>0.80952380952380998</v>
      </c>
      <c r="J29" s="98">
        <f t="shared" si="43"/>
        <v>53.515320716172198</v>
      </c>
      <c r="K29" s="99">
        <f>IFERROR(O13/$G13,"")</f>
        <v>0</v>
      </c>
      <c r="L29" s="99">
        <f t="shared" ref="L29" si="45">IFERROR(P13/$G13,"")</f>
        <v>0</v>
      </c>
      <c r="M29" s="99">
        <f t="shared" ref="M29" si="46">IFERROR(Q13/$G13,"")</f>
        <v>7.1428571428571397E-2</v>
      </c>
      <c r="N29" s="99">
        <f t="shared" ref="N29" si="47">IFERROR(R13/$G13,"")</f>
        <v>0.14285714285714299</v>
      </c>
      <c r="O29" s="100">
        <f t="shared" ref="O29" si="48">IFERROR(S13/$G13,"")</f>
        <v>0.78571428571428603</v>
      </c>
    </row>
    <row r="30" spans="1:19">
      <c r="A30" s="68" t="str">
        <f>A29</f>
        <v>English</v>
      </c>
      <c r="B30" s="69" t="s">
        <v>134</v>
      </c>
      <c r="C30" s="70">
        <f>IFERROR(G17/F17,"")</f>
        <v>1.13636363636364</v>
      </c>
      <c r="D30" s="70">
        <f>IFERROR(H17/$G17,"")</f>
        <v>0.04</v>
      </c>
      <c r="E30" s="70">
        <f>IFERROR(I17/$G17,"")</f>
        <v>0.08</v>
      </c>
      <c r="F30" s="70">
        <f t="shared" ref="F30:G30" si="49">IFERROR(J17/$G17,"")</f>
        <v>0.32</v>
      </c>
      <c r="G30" s="70">
        <f t="shared" si="49"/>
        <v>0.56000000000000005</v>
      </c>
      <c r="H30" s="70">
        <f t="shared" ref="H30:J30" si="50">L17</f>
        <v>0.812642857142857</v>
      </c>
      <c r="I30" s="70">
        <f t="shared" si="50"/>
        <v>0.69642857142857095</v>
      </c>
      <c r="J30" s="104">
        <f t="shared" si="50"/>
        <v>47.324327024752698</v>
      </c>
      <c r="K30" s="105">
        <f>IFERROR(O17/$G17,"")</f>
        <v>0.04</v>
      </c>
      <c r="L30" s="105">
        <f t="shared" ref="L30:O30" si="51">IFERROR(P17/$G17,"")</f>
        <v>0</v>
      </c>
      <c r="M30" s="105">
        <f t="shared" si="51"/>
        <v>0.2</v>
      </c>
      <c r="N30" s="105">
        <f t="shared" si="51"/>
        <v>0.2</v>
      </c>
      <c r="O30" s="106">
        <f t="shared" si="51"/>
        <v>0.56000000000000005</v>
      </c>
    </row>
    <row r="31" spans="1:19">
      <c r="A31" s="71"/>
      <c r="B31" s="71"/>
      <c r="C31" s="72"/>
      <c r="D31" s="72"/>
      <c r="E31" s="72"/>
      <c r="F31" s="72"/>
      <c r="G31" s="72"/>
      <c r="H31" s="72"/>
      <c r="I31" s="72"/>
      <c r="J31" s="72"/>
      <c r="K31" s="72"/>
      <c r="L31" s="72"/>
      <c r="M31" s="72"/>
      <c r="N31" s="72"/>
      <c r="O31" s="72"/>
    </row>
    <row r="32" spans="1:19">
      <c r="A32" s="71"/>
      <c r="B32" s="71"/>
      <c r="C32" s="72"/>
      <c r="D32" s="72"/>
      <c r="E32" s="72"/>
      <c r="F32" s="72"/>
      <c r="G32" s="72"/>
      <c r="H32" s="72"/>
      <c r="I32" s="72"/>
      <c r="J32" s="72"/>
      <c r="K32" s="72"/>
      <c r="L32" s="72"/>
      <c r="M32" s="72"/>
      <c r="N32" s="72"/>
      <c r="O32" s="72"/>
    </row>
  </sheetData>
  <sheetProtection algorithmName="SHA-512" hashValue="qam7g6JePwrmZ5lqb4LoReW3pSRTsot+VE0zIkk6lgj/zvm9FxDRKxz4cN7qSBIpJap99WA84jh3dhj6cY/MyA==" saltValue="GFhuFOhIwcjGdT6jvLBajA==" spinCount="100000" sheet="1" objects="1" scenarios="1"/>
  <mergeCells count="16">
    <mergeCell ref="A2:F2"/>
    <mergeCell ref="A4:B4"/>
    <mergeCell ref="A5:B5"/>
    <mergeCell ref="C5:E5"/>
    <mergeCell ref="H6:K6"/>
    <mergeCell ref="L6:N6"/>
    <mergeCell ref="O6:S6"/>
    <mergeCell ref="A19:O19"/>
    <mergeCell ref="D20:G20"/>
    <mergeCell ref="H20:J20"/>
    <mergeCell ref="L20:O20"/>
    <mergeCell ref="A6:A7"/>
    <mergeCell ref="D6:D7"/>
    <mergeCell ref="E6:E7"/>
    <mergeCell ref="F6:F7"/>
    <mergeCell ref="G6:G7"/>
  </mergeCells>
  <pageMargins left="0.7" right="0.7" top="0.75" bottom="0.75" header="0.3" footer="0.3"/>
  <pageSetup paperSize="14" scale="5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B2:E9"/>
  <sheetViews>
    <sheetView topLeftCell="A4" workbookViewId="0">
      <selection activeCell="A11" sqref="A11"/>
    </sheetView>
  </sheetViews>
  <sheetFormatPr defaultColWidth="9" defaultRowHeight="14.45"/>
  <cols>
    <col min="1" max="1" width="15.75" customWidth="1"/>
    <col min="2" max="2" width="22" customWidth="1"/>
    <col min="3" max="3" width="72.25" customWidth="1"/>
    <col min="4" max="4" width="11.5" customWidth="1"/>
    <col min="5" max="5" width="26.75" customWidth="1"/>
  </cols>
  <sheetData>
    <row r="2" spans="2:5">
      <c r="B2" t="s">
        <v>113</v>
      </c>
    </row>
    <row r="4" spans="2:5" ht="19.899999999999999" customHeight="1">
      <c r="B4" s="5" t="s">
        <v>137</v>
      </c>
      <c r="C4" s="6" t="s">
        <v>138</v>
      </c>
      <c r="D4" s="452" t="s">
        <v>139</v>
      </c>
      <c r="E4" s="453"/>
    </row>
    <row r="5" spans="2:5" ht="30" customHeight="1">
      <c r="B5" s="7" t="s">
        <v>129</v>
      </c>
      <c r="C5" s="8" t="s">
        <v>140</v>
      </c>
      <c r="D5" s="9"/>
      <c r="E5" s="10"/>
    </row>
    <row r="6" spans="2:5" ht="30" customHeight="1">
      <c r="B6" s="7" t="s">
        <v>130</v>
      </c>
      <c r="C6" s="11" t="s">
        <v>141</v>
      </c>
      <c r="D6" s="9" t="s">
        <v>61</v>
      </c>
      <c r="E6" s="10" t="s">
        <v>142</v>
      </c>
    </row>
    <row r="7" spans="2:5" ht="30" customHeight="1">
      <c r="B7" s="7" t="s">
        <v>131</v>
      </c>
      <c r="C7" s="11" t="s">
        <v>143</v>
      </c>
      <c r="D7" s="9" t="s">
        <v>56</v>
      </c>
      <c r="E7" s="10" t="s">
        <v>144</v>
      </c>
    </row>
    <row r="8" spans="2:5" ht="39" customHeight="1">
      <c r="B8" s="12" t="s">
        <v>132</v>
      </c>
      <c r="C8" s="11" t="s">
        <v>145</v>
      </c>
      <c r="D8" s="9" t="s">
        <v>69</v>
      </c>
      <c r="E8" s="10" t="s">
        <v>146</v>
      </c>
    </row>
    <row r="9" spans="2:5" ht="30" customHeight="1">
      <c r="B9" s="13" t="s">
        <v>133</v>
      </c>
      <c r="C9" s="14" t="s">
        <v>147</v>
      </c>
      <c r="D9" s="15" t="s">
        <v>59</v>
      </c>
      <c r="E9" s="16" t="s">
        <v>148</v>
      </c>
    </row>
  </sheetData>
  <sheetProtection algorithmName="SHA-512" hashValue="iNMT/kGLhkqeMfABCAKL5K5Qehyt24VQ6Ti0f3q0aSkFAOHz6BYD5DM6kZDUT38n73BmZQhzvXklBpUNPSZxQg==" saltValue="q+UPVJ1AiXOMNQAhCw5gcA==" spinCount="100000" sheet="1" objects="1" scenarios="1" selectLockedCells="1" selectUnlockedCells="1"/>
  <mergeCells count="1">
    <mergeCell ref="D4:E4"/>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M35"/>
  <sheetViews>
    <sheetView workbookViewId="0">
      <selection activeCell="G29" sqref="G29"/>
    </sheetView>
  </sheetViews>
  <sheetFormatPr defaultColWidth="9" defaultRowHeight="14.45"/>
  <cols>
    <col min="1" max="1" width="12.25" customWidth="1"/>
    <col min="2" max="2" width="22.75" customWidth="1"/>
    <col min="3" max="3" width="34.5" customWidth="1"/>
    <col min="4" max="4" width="8" customWidth="1"/>
    <col min="5" max="5" width="18.125" style="1" customWidth="1"/>
    <col min="6" max="6" width="16.75" customWidth="1"/>
    <col min="7" max="7" width="23.25" customWidth="1"/>
    <col min="8" max="8" width="13" style="1" customWidth="1"/>
    <col min="9" max="9" width="24.75" customWidth="1"/>
    <col min="10" max="10" width="16.75" style="1" customWidth="1"/>
    <col min="11" max="11" width="14.25" style="1" customWidth="1"/>
    <col min="12" max="12" width="27.75" customWidth="1"/>
    <col min="13" max="13" width="17.25" style="1" customWidth="1"/>
  </cols>
  <sheetData>
    <row r="1" spans="1:13">
      <c r="A1" t="s">
        <v>149</v>
      </c>
      <c r="B1" s="2" t="s">
        <v>150</v>
      </c>
      <c r="C1" s="2" t="s">
        <v>119</v>
      </c>
      <c r="D1" s="2"/>
      <c r="F1" t="s">
        <v>151</v>
      </c>
      <c r="G1" t="s">
        <v>119</v>
      </c>
      <c r="H1" s="1" t="s">
        <v>23</v>
      </c>
      <c r="I1" t="s">
        <v>152</v>
      </c>
      <c r="J1" s="1" t="s">
        <v>153</v>
      </c>
      <c r="K1" s="1" t="s">
        <v>154</v>
      </c>
      <c r="L1" t="s">
        <v>152</v>
      </c>
      <c r="M1" s="1" t="s">
        <v>153</v>
      </c>
    </row>
    <row r="2" spans="1:13">
      <c r="A2" s="328" t="s">
        <v>155</v>
      </c>
      <c r="B2" t="s">
        <v>156</v>
      </c>
      <c r="C2" s="3" t="s">
        <v>157</v>
      </c>
      <c r="D2" s="3">
        <v>1</v>
      </c>
      <c r="F2" t="s">
        <v>16</v>
      </c>
      <c r="G2" t="s">
        <v>158</v>
      </c>
      <c r="H2" s="1">
        <v>1</v>
      </c>
      <c r="I2" t="s">
        <v>159</v>
      </c>
      <c r="J2" s="1">
        <v>121</v>
      </c>
      <c r="K2" s="1">
        <v>2</v>
      </c>
      <c r="L2" t="s">
        <v>160</v>
      </c>
      <c r="M2" s="1">
        <v>121</v>
      </c>
    </row>
    <row r="3" spans="1:13">
      <c r="A3" s="328" t="s">
        <v>161</v>
      </c>
      <c r="B3" t="s">
        <v>162</v>
      </c>
      <c r="C3" s="3" t="s">
        <v>163</v>
      </c>
      <c r="D3" s="3">
        <v>1</v>
      </c>
      <c r="F3" t="s">
        <v>16</v>
      </c>
      <c r="G3" t="s">
        <v>164</v>
      </c>
      <c r="H3" s="1">
        <v>1</v>
      </c>
      <c r="I3" t="s">
        <v>165</v>
      </c>
      <c r="J3" s="1">
        <v>121</v>
      </c>
      <c r="K3" s="1">
        <v>2</v>
      </c>
      <c r="L3" t="s">
        <v>166</v>
      </c>
      <c r="M3" s="1">
        <v>121</v>
      </c>
    </row>
    <row r="4" spans="1:13">
      <c r="A4" s="328" t="s">
        <v>167</v>
      </c>
      <c r="B4" t="s">
        <v>168</v>
      </c>
      <c r="C4" s="3" t="s">
        <v>169</v>
      </c>
      <c r="D4" s="3"/>
      <c r="F4" t="s">
        <v>16</v>
      </c>
      <c r="G4" t="s">
        <v>170</v>
      </c>
      <c r="H4" s="1">
        <v>1</v>
      </c>
      <c r="I4" t="s">
        <v>171</v>
      </c>
      <c r="J4" s="1">
        <v>120</v>
      </c>
      <c r="K4" s="1">
        <v>2</v>
      </c>
      <c r="L4" t="s">
        <v>172</v>
      </c>
      <c r="M4" s="1">
        <v>121</v>
      </c>
    </row>
    <row r="5" spans="1:13">
      <c r="A5" t="s">
        <v>173</v>
      </c>
      <c r="B5" t="s">
        <v>174</v>
      </c>
      <c r="C5" s="3" t="s">
        <v>175</v>
      </c>
      <c r="D5" s="3"/>
      <c r="F5" t="s">
        <v>16</v>
      </c>
      <c r="G5" t="s">
        <v>176</v>
      </c>
      <c r="H5" s="1">
        <v>1</v>
      </c>
      <c r="I5" t="s">
        <v>177</v>
      </c>
      <c r="J5" s="1">
        <v>121</v>
      </c>
      <c r="K5" s="1">
        <v>2</v>
      </c>
      <c r="L5" t="s">
        <v>178</v>
      </c>
      <c r="M5" s="1">
        <v>121</v>
      </c>
    </row>
    <row r="6" spans="1:13">
      <c r="A6" s="328" t="s">
        <v>179</v>
      </c>
      <c r="B6" t="s">
        <v>180</v>
      </c>
      <c r="C6" s="3" t="s">
        <v>181</v>
      </c>
      <c r="D6" s="3"/>
      <c r="F6" t="s">
        <v>16</v>
      </c>
      <c r="G6" t="s">
        <v>87</v>
      </c>
      <c r="H6" s="1">
        <v>1</v>
      </c>
      <c r="I6" t="s">
        <v>165</v>
      </c>
      <c r="J6" s="1">
        <v>121</v>
      </c>
      <c r="K6" s="1">
        <v>2</v>
      </c>
      <c r="L6" t="s">
        <v>166</v>
      </c>
      <c r="M6" s="1">
        <v>121</v>
      </c>
    </row>
    <row r="7" spans="1:13">
      <c r="B7" t="s">
        <v>182</v>
      </c>
      <c r="C7" s="3" t="s">
        <v>158</v>
      </c>
      <c r="D7" s="3">
        <v>1</v>
      </c>
      <c r="F7" t="s">
        <v>16</v>
      </c>
      <c r="G7" t="s">
        <v>98</v>
      </c>
      <c r="H7" s="1">
        <v>1</v>
      </c>
      <c r="I7" t="s">
        <v>183</v>
      </c>
      <c r="J7" s="1">
        <v>100</v>
      </c>
      <c r="K7" s="1">
        <v>2</v>
      </c>
      <c r="L7" t="s">
        <v>184</v>
      </c>
      <c r="M7" s="1">
        <v>100</v>
      </c>
    </row>
    <row r="8" spans="1:13">
      <c r="B8" t="s">
        <v>185</v>
      </c>
      <c r="C8" s="3" t="s">
        <v>186</v>
      </c>
      <c r="D8" s="3">
        <v>1</v>
      </c>
      <c r="F8" t="s">
        <v>16</v>
      </c>
      <c r="G8" t="s">
        <v>187</v>
      </c>
      <c r="H8" s="1">
        <v>1</v>
      </c>
      <c r="I8" t="s">
        <v>188</v>
      </c>
      <c r="J8" s="1">
        <v>121</v>
      </c>
      <c r="K8" s="1">
        <v>2</v>
      </c>
      <c r="L8" t="s">
        <v>189</v>
      </c>
      <c r="M8" s="1">
        <v>119</v>
      </c>
    </row>
    <row r="9" spans="1:13">
      <c r="B9" t="s">
        <v>190</v>
      </c>
      <c r="C9" t="s">
        <v>191</v>
      </c>
      <c r="F9" t="s">
        <v>16</v>
      </c>
      <c r="G9" t="s">
        <v>32</v>
      </c>
      <c r="H9" s="1">
        <v>1</v>
      </c>
      <c r="I9" t="s">
        <v>192</v>
      </c>
      <c r="J9" s="1">
        <v>121</v>
      </c>
      <c r="K9" s="1">
        <v>2</v>
      </c>
      <c r="L9" t="s">
        <v>193</v>
      </c>
      <c r="M9" s="1">
        <v>119</v>
      </c>
    </row>
    <row r="10" spans="1:13">
      <c r="B10" t="s">
        <v>194</v>
      </c>
      <c r="C10" s="3" t="s">
        <v>32</v>
      </c>
      <c r="D10" s="3">
        <v>1</v>
      </c>
      <c r="F10" t="s">
        <v>16</v>
      </c>
      <c r="G10" t="s">
        <v>157</v>
      </c>
      <c r="H10" s="1">
        <v>1</v>
      </c>
      <c r="I10" t="s">
        <v>195</v>
      </c>
      <c r="J10" s="1">
        <v>121</v>
      </c>
      <c r="K10" s="1">
        <v>2</v>
      </c>
      <c r="L10" t="s">
        <v>196</v>
      </c>
      <c r="M10" s="1">
        <v>121</v>
      </c>
    </row>
    <row r="11" spans="1:13">
      <c r="B11" t="s">
        <v>197</v>
      </c>
      <c r="C11" s="3" t="s">
        <v>198</v>
      </c>
      <c r="D11" s="3"/>
      <c r="F11" t="s">
        <v>16</v>
      </c>
      <c r="G11" t="s">
        <v>199</v>
      </c>
      <c r="H11" s="1">
        <v>1</v>
      </c>
      <c r="I11" t="s">
        <v>200</v>
      </c>
      <c r="J11" s="1">
        <v>119</v>
      </c>
      <c r="K11" s="1">
        <v>2</v>
      </c>
      <c r="L11" t="s">
        <v>201</v>
      </c>
      <c r="M11" s="1">
        <v>121</v>
      </c>
    </row>
    <row r="12" spans="1:13">
      <c r="B12" t="s">
        <v>202</v>
      </c>
      <c r="C12" s="3" t="s">
        <v>203</v>
      </c>
      <c r="D12" s="3">
        <v>1</v>
      </c>
      <c r="F12" t="s">
        <v>16</v>
      </c>
      <c r="G12" t="s">
        <v>204</v>
      </c>
      <c r="H12" s="1">
        <v>1</v>
      </c>
      <c r="I12" t="s">
        <v>205</v>
      </c>
      <c r="J12" s="1">
        <v>121</v>
      </c>
      <c r="K12" s="1">
        <v>2</v>
      </c>
      <c r="L12" t="s">
        <v>206</v>
      </c>
      <c r="M12" s="1">
        <v>121</v>
      </c>
    </row>
    <row r="13" spans="1:13">
      <c r="B13" t="s">
        <v>207</v>
      </c>
      <c r="C13" s="3" t="s">
        <v>208</v>
      </c>
      <c r="D13" s="3">
        <v>1</v>
      </c>
      <c r="F13" t="s">
        <v>16</v>
      </c>
      <c r="G13" t="s">
        <v>198</v>
      </c>
      <c r="H13" s="1">
        <v>1</v>
      </c>
      <c r="I13" t="s">
        <v>209</v>
      </c>
      <c r="J13" s="1">
        <v>119</v>
      </c>
      <c r="K13" s="1">
        <v>2</v>
      </c>
      <c r="L13" t="s">
        <v>210</v>
      </c>
      <c r="M13" s="1">
        <v>120</v>
      </c>
    </row>
    <row r="14" spans="1:13">
      <c r="B14" t="s">
        <v>211</v>
      </c>
      <c r="C14" s="3" t="s">
        <v>212</v>
      </c>
      <c r="D14" s="3"/>
      <c r="F14" t="s">
        <v>16</v>
      </c>
      <c r="G14" t="s">
        <v>208</v>
      </c>
      <c r="H14" s="1">
        <v>1</v>
      </c>
      <c r="J14" s="1">
        <v>119</v>
      </c>
      <c r="K14" s="1">
        <v>2</v>
      </c>
      <c r="M14" s="1">
        <v>121</v>
      </c>
    </row>
    <row r="15" spans="1:13">
      <c r="B15" t="s">
        <v>213</v>
      </c>
      <c r="C15" s="4" t="s">
        <v>214</v>
      </c>
      <c r="D15" s="4">
        <v>1</v>
      </c>
      <c r="F15" t="s">
        <v>16</v>
      </c>
      <c r="G15" t="s">
        <v>215</v>
      </c>
      <c r="H15" s="1">
        <v>1</v>
      </c>
      <c r="J15" s="1">
        <v>121</v>
      </c>
      <c r="K15" s="1">
        <v>2</v>
      </c>
      <c r="M15" s="1">
        <v>121</v>
      </c>
    </row>
    <row r="16" spans="1:13">
      <c r="B16" t="s">
        <v>216</v>
      </c>
      <c r="C16" s="4" t="s">
        <v>217</v>
      </c>
      <c r="D16" s="4">
        <v>1</v>
      </c>
      <c r="F16" t="s">
        <v>16</v>
      </c>
      <c r="G16" t="s">
        <v>218</v>
      </c>
      <c r="H16" s="1">
        <v>1</v>
      </c>
      <c r="J16" s="1">
        <v>119</v>
      </c>
      <c r="K16" s="1">
        <v>2</v>
      </c>
      <c r="M16" s="1">
        <v>121</v>
      </c>
    </row>
    <row r="17" spans="2:13">
      <c r="B17" t="s">
        <v>219</v>
      </c>
      <c r="C17" s="3" t="s">
        <v>199</v>
      </c>
      <c r="D17" s="3">
        <v>1</v>
      </c>
      <c r="F17" t="s">
        <v>16</v>
      </c>
      <c r="G17" t="s">
        <v>217</v>
      </c>
      <c r="H17" s="1">
        <v>1</v>
      </c>
      <c r="J17" s="1">
        <v>120</v>
      </c>
      <c r="K17" s="1">
        <v>2</v>
      </c>
      <c r="M17" s="1">
        <v>120</v>
      </c>
    </row>
    <row r="18" spans="2:13">
      <c r="B18" t="s">
        <v>220</v>
      </c>
      <c r="C18" s="4" t="s">
        <v>204</v>
      </c>
      <c r="D18" s="4">
        <v>1</v>
      </c>
      <c r="F18" t="s">
        <v>16</v>
      </c>
      <c r="G18" t="s">
        <v>221</v>
      </c>
      <c r="H18" s="1">
        <v>1</v>
      </c>
      <c r="J18" s="1">
        <v>119</v>
      </c>
      <c r="K18" s="1">
        <v>2</v>
      </c>
      <c r="M18" s="1">
        <v>119</v>
      </c>
    </row>
    <row r="19" spans="2:13">
      <c r="C19" s="3" t="s">
        <v>222</v>
      </c>
      <c r="D19" s="3">
        <v>1</v>
      </c>
      <c r="F19" t="s">
        <v>16</v>
      </c>
      <c r="G19" t="s">
        <v>212</v>
      </c>
      <c r="H19" s="1">
        <v>1</v>
      </c>
      <c r="J19" s="1">
        <v>119</v>
      </c>
      <c r="K19" s="1">
        <v>2</v>
      </c>
      <c r="M19" s="1">
        <v>121</v>
      </c>
    </row>
    <row r="20" spans="2:13">
      <c r="C20" s="3" t="s">
        <v>176</v>
      </c>
      <c r="D20" s="3"/>
      <c r="F20" t="s">
        <v>16</v>
      </c>
      <c r="G20" t="s">
        <v>186</v>
      </c>
      <c r="H20" s="1">
        <v>1</v>
      </c>
      <c r="J20" s="1">
        <v>119</v>
      </c>
      <c r="K20" s="1">
        <v>2</v>
      </c>
      <c r="M20" s="1">
        <v>121</v>
      </c>
    </row>
    <row r="21" spans="2:13">
      <c r="C21" s="4" t="s">
        <v>223</v>
      </c>
      <c r="D21" s="4"/>
      <c r="F21" t="s">
        <v>16</v>
      </c>
      <c r="G21" t="s">
        <v>224</v>
      </c>
      <c r="H21" s="1">
        <v>1</v>
      </c>
      <c r="J21" s="1">
        <v>120</v>
      </c>
      <c r="K21" s="1">
        <v>2</v>
      </c>
      <c r="M21" s="1">
        <v>120</v>
      </c>
    </row>
    <row r="22" spans="2:13">
      <c r="C22" s="3" t="s">
        <v>225</v>
      </c>
      <c r="D22" s="3"/>
    </row>
    <row r="23" spans="2:13">
      <c r="C23" s="3" t="s">
        <v>226</v>
      </c>
      <c r="D23" s="3"/>
    </row>
    <row r="24" spans="2:13">
      <c r="C24" s="3" t="s">
        <v>215</v>
      </c>
      <c r="D24" s="3">
        <v>1</v>
      </c>
    </row>
    <row r="25" spans="2:13">
      <c r="C25" s="3" t="s">
        <v>170</v>
      </c>
      <c r="D25" s="3"/>
    </row>
    <row r="26" spans="2:13">
      <c r="C26" t="s">
        <v>227</v>
      </c>
      <c r="D26">
        <v>1</v>
      </c>
    </row>
    <row r="27" spans="2:13">
      <c r="C27" t="s">
        <v>187</v>
      </c>
      <c r="D27">
        <v>1</v>
      </c>
    </row>
    <row r="28" spans="2:13">
      <c r="C28" t="s">
        <v>228</v>
      </c>
    </row>
    <row r="29" spans="2:13">
      <c r="C29" t="s">
        <v>229</v>
      </c>
    </row>
    <row r="30" spans="2:13">
      <c r="C30" t="s">
        <v>224</v>
      </c>
      <c r="D30">
        <v>1</v>
      </c>
    </row>
    <row r="31" spans="2:13">
      <c r="C31" t="s">
        <v>164</v>
      </c>
      <c r="D31">
        <v>1</v>
      </c>
    </row>
    <row r="32" spans="2:13">
      <c r="C32" t="s">
        <v>221</v>
      </c>
      <c r="D32">
        <v>1</v>
      </c>
    </row>
    <row r="33" spans="3:4">
      <c r="C33" t="s">
        <v>230</v>
      </c>
    </row>
    <row r="34" spans="3:4">
      <c r="C34" t="s">
        <v>231</v>
      </c>
      <c r="D34">
        <v>1</v>
      </c>
    </row>
    <row r="35" spans="3:4">
      <c r="C35" t="s">
        <v>232</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allowEditUser xmlns="https://web.wps.cn/et/2018/main" xmlns:s="http://schemas.openxmlformats.org/spreadsheetml/2006/main" hasInvisiblePropRange="0">
  <rangeList sheetStid="1" master="" otherUserPermission="visible"/>
  <rangeList sheetStid="6" master="" otherUserPermission="visible"/>
  <rangeList sheetStid="7" master="" otherUserPermission="visible"/>
  <rangeList sheetStid="3" master="" otherUserPermission="visible"/>
  <rangeList sheetStid="2" master="" otherUserPermission="visible"/>
  <rangeList sheetStid="5" master="" otherUserPermission="visible"/>
  <rangeList sheetStid="4" master="" otherUserPermission="visible"/>
</allowEditUser>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A73AD90E-E628-47D8-A8AB-E954313DF9C3}"/>
</file>

<file path=customXml/itemProps2.xml><?xml version="1.0" encoding="utf-8"?>
<ds:datastoreItem xmlns:ds="http://schemas.openxmlformats.org/officeDocument/2006/customXml" ds:itemID="{59672054-8529-4133-960B-9176EF7B30DA}"/>
</file>

<file path=customXml/itemProps3.xml><?xml version="1.0" encoding="utf-8"?>
<ds:datastoreItem xmlns:ds="http://schemas.openxmlformats.org/officeDocument/2006/customXml" ds:itemID="{E40F74CC-5DFF-417A-B2F6-72C59B026C28}"/>
</file>

<file path=customXml/itemProps4.xml><?xml version="1.0" encoding="utf-8"?>
<ds:datastoreItem xmlns:ds="http://schemas.openxmlformats.org/officeDocument/2006/customXml" ds:itemID="{5A5607D9-04D2-4DE1-AC0E-A7772F01BC71}"/>
</file>

<file path=customXml/itemProps5.xml><?xml version="1.0" encoding="utf-8"?>
<ds:datastoreItem xmlns:ds="http://schemas.openxmlformats.org/officeDocument/2006/customXml" ds:itemID="{411AFC44-EAE0-4AEE-9BAF-FFDFC4EFE3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2025-10-22T01:46:19Z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C5D017E45D4C4ACCA7C27FEC1B88C46C_13</vt:lpwstr>
  </property>
  <property fmtid="{D5CDD505-2E9C-101B-9397-08002B2CF9AE}" pid="3" name="KSOProductBuildVer">
    <vt:lpwstr>1033-12.2.0.22549</vt:lpwstr>
  </property>
  <property fmtid="{D5CDD505-2E9C-101B-9397-08002B2CF9AE}" pid="4" name="ContentTypeId">
    <vt:lpwstr>0x010100E389F3844E834B438EAF4C3974A5E888</vt:lpwstr>
  </property>
  <property fmtid="{D5CDD505-2E9C-101B-9397-08002B2CF9AE}" pid="5" name="MediaServiceImageTags">
    <vt:lpwstr/>
  </property>
</Properties>
</file>