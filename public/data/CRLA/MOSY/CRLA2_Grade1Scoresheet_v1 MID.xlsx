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codeName="ThisWorkbook"/>
  <mc:AlternateContent xmlns:mc="http://schemas.openxmlformats.org/markup-compatibility/2006">
    <mc:Choice Requires="x15">
      <x15ac:absPath xmlns:x15ac="http://schemas.microsoft.com/office/spreadsheetml/2010/11/ac" url="https://d.docs.live.net/5cccfe913319b9e7/Desktop/SY. 2025-2026/CRLA/"/>
    </mc:Choice>
  </mc:AlternateContent>
  <xr:revisionPtr revIDLastSave="115" documentId="13_ncr:1_{44D0F861-7261-4F05-A1E7-275CA11ADE3C}" xr6:coauthVersionLast="47" xr6:coauthVersionMax="47" xr10:uidLastSave="{B12D01AC-EB02-4608-8299-79EB08F7CF9F}"/>
  <workbookProtection workbookAlgorithmName="SHA-512" workbookHashValue="DoSN5EiMs+ClQ9jRqml5bg3CSsYKv2UwiOwf4T5Ne0acxzIQAIerteJk2LxIoA2NMSi1BXPPNxcUXkUi8WLxtw==" workbookSaltValue="yw7r1wK//k2y9EBbKMwYOw==" workbookSpinCount="100000" lockStructure="1"/>
  <bookViews>
    <workbookView xWindow="-110" yWindow="-110" windowWidth="19420" windowHeight="10300" xr2:uid="{00000000-000D-0000-FFFF-FFFF00000000}"/>
  </bookViews>
  <sheets>
    <sheet name="G1 MT Reading Scoresheet" sheetId="1" r:id="rId1"/>
    <sheet name="Class Record" sheetId="3" r:id="rId2"/>
    <sheet name="Class Summary" sheetId="2" r:id="rId3"/>
    <sheet name="Scoring Reference" sheetId="6" r:id="rId4"/>
    <sheet name="List" sheetId="4" state="hidden" r:id="rId5"/>
  </sheets>
  <definedNames>
    <definedName name="_xlnm._FilterDatabase" localSheetId="1" hidden="1">'Class Record'!$A$7:$K$107</definedName>
    <definedName name="_xlnm._FilterDatabase" localSheetId="0" hidden="1">'G1 MT Reading Scoresheet'!$C$10:$U$110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6" i="2" l="1"/>
  <c r="A17" i="2" s="1"/>
  <c r="A18" i="2" s="1"/>
  <c r="A11" i="2"/>
  <c r="G9" i="2"/>
  <c r="F9" i="2"/>
  <c r="D9" i="2"/>
  <c r="D11" i="2" s="1"/>
  <c r="A9" i="2"/>
  <c r="G8" i="2"/>
  <c r="F8" i="2"/>
  <c r="D8" i="2"/>
  <c r="C8" i="2"/>
  <c r="C9" i="2" s="1"/>
  <c r="C11" i="2" s="1"/>
  <c r="B8" i="2"/>
  <c r="B9" i="2" s="1"/>
  <c r="B11" i="2" s="1"/>
  <c r="C5" i="2"/>
  <c r="C4" i="2"/>
  <c r="K107" i="3"/>
  <c r="J107" i="3"/>
  <c r="I107" i="3"/>
  <c r="G107" i="3"/>
  <c r="E107" i="3"/>
  <c r="D107" i="3"/>
  <c r="C107" i="3"/>
  <c r="H107" i="3" s="1"/>
  <c r="B107" i="3"/>
  <c r="K106" i="3"/>
  <c r="J106" i="3"/>
  <c r="I106" i="3"/>
  <c r="E106" i="3"/>
  <c r="D106" i="3"/>
  <c r="C106" i="3"/>
  <c r="G106" i="3" s="1"/>
  <c r="B106" i="3"/>
  <c r="A106" i="3"/>
  <c r="K105" i="3"/>
  <c r="J105" i="3"/>
  <c r="F105" i="3"/>
  <c r="E105" i="3"/>
  <c r="G105" i="3" s="1"/>
  <c r="D105" i="3"/>
  <c r="C105" i="3"/>
  <c r="I105" i="3" s="1"/>
  <c r="B105" i="3"/>
  <c r="A105" i="3"/>
  <c r="K104" i="3"/>
  <c r="J104" i="3"/>
  <c r="I104" i="3"/>
  <c r="H104" i="3"/>
  <c r="G104" i="3"/>
  <c r="E104" i="3"/>
  <c r="D104" i="3"/>
  <c r="C104" i="3"/>
  <c r="F104" i="3" s="1"/>
  <c r="B104" i="3"/>
  <c r="A104" i="3"/>
  <c r="K103" i="3"/>
  <c r="J103" i="3"/>
  <c r="E103" i="3"/>
  <c r="D103" i="3"/>
  <c r="C103" i="3"/>
  <c r="H103" i="3" s="1"/>
  <c r="B103" i="3"/>
  <c r="A103" i="3"/>
  <c r="K102" i="3"/>
  <c r="J102" i="3"/>
  <c r="F102" i="3"/>
  <c r="E102" i="3"/>
  <c r="H102" i="3" s="1"/>
  <c r="D102" i="3"/>
  <c r="C102" i="3"/>
  <c r="I102" i="3" s="1"/>
  <c r="B102" i="3"/>
  <c r="A102" i="3"/>
  <c r="K101" i="3"/>
  <c r="J101" i="3"/>
  <c r="I101" i="3"/>
  <c r="H101" i="3"/>
  <c r="E101" i="3"/>
  <c r="D101" i="3"/>
  <c r="C101" i="3"/>
  <c r="F101" i="3" s="1"/>
  <c r="B101" i="3"/>
  <c r="A101" i="3"/>
  <c r="K100" i="3"/>
  <c r="J100" i="3"/>
  <c r="E100" i="3"/>
  <c r="D100" i="3"/>
  <c r="C100" i="3"/>
  <c r="I100" i="3" s="1"/>
  <c r="B100" i="3"/>
  <c r="A100" i="3"/>
  <c r="K99" i="3"/>
  <c r="J99" i="3"/>
  <c r="I99" i="3"/>
  <c r="H99" i="3"/>
  <c r="G99" i="3"/>
  <c r="F99" i="3"/>
  <c r="E99" i="3"/>
  <c r="D99" i="3"/>
  <c r="C99" i="3"/>
  <c r="B99" i="3"/>
  <c r="A99" i="3"/>
  <c r="K98" i="3"/>
  <c r="J98" i="3"/>
  <c r="I98" i="3"/>
  <c r="E98" i="3"/>
  <c r="D98" i="3"/>
  <c r="C98" i="3"/>
  <c r="G98" i="3" s="1"/>
  <c r="B98" i="3"/>
  <c r="A98" i="3"/>
  <c r="K97" i="3"/>
  <c r="J97" i="3"/>
  <c r="F97" i="3"/>
  <c r="E97" i="3"/>
  <c r="G97" i="3" s="1"/>
  <c r="D97" i="3"/>
  <c r="C97" i="3"/>
  <c r="I97" i="3" s="1"/>
  <c r="B97" i="3"/>
  <c r="A97" i="3"/>
  <c r="K96" i="3"/>
  <c r="J96" i="3"/>
  <c r="I96" i="3"/>
  <c r="H96" i="3"/>
  <c r="G96" i="3"/>
  <c r="E96" i="3"/>
  <c r="D96" i="3"/>
  <c r="C96" i="3"/>
  <c r="F96" i="3" s="1"/>
  <c r="B96" i="3"/>
  <c r="A96" i="3"/>
  <c r="K95" i="3"/>
  <c r="J95" i="3"/>
  <c r="E95" i="3"/>
  <c r="D95" i="3"/>
  <c r="C95" i="3"/>
  <c r="H95" i="3" s="1"/>
  <c r="B95" i="3"/>
  <c r="A95" i="3"/>
  <c r="K94" i="3"/>
  <c r="J94" i="3"/>
  <c r="F94" i="3"/>
  <c r="E94" i="3"/>
  <c r="H94" i="3" s="1"/>
  <c r="D94" i="3"/>
  <c r="C94" i="3"/>
  <c r="I94" i="3" s="1"/>
  <c r="B94" i="3"/>
  <c r="A94" i="3"/>
  <c r="K93" i="3"/>
  <c r="J93" i="3"/>
  <c r="I93" i="3"/>
  <c r="H93" i="3"/>
  <c r="E93" i="3"/>
  <c r="D93" i="3"/>
  <c r="C93" i="3"/>
  <c r="F93" i="3" s="1"/>
  <c r="B93" i="3"/>
  <c r="A93" i="3"/>
  <c r="K92" i="3"/>
  <c r="J92" i="3"/>
  <c r="E92" i="3"/>
  <c r="D92" i="3"/>
  <c r="C92" i="3"/>
  <c r="I92" i="3" s="1"/>
  <c r="B92" i="3"/>
  <c r="A92" i="3"/>
  <c r="K91" i="3"/>
  <c r="J91" i="3"/>
  <c r="I91" i="3"/>
  <c r="H91" i="3"/>
  <c r="G91" i="3"/>
  <c r="F91" i="3"/>
  <c r="E91" i="3"/>
  <c r="D91" i="3"/>
  <c r="C91" i="3"/>
  <c r="B91" i="3"/>
  <c r="A91" i="3"/>
  <c r="K90" i="3"/>
  <c r="J90" i="3"/>
  <c r="I90" i="3"/>
  <c r="E90" i="3"/>
  <c r="D90" i="3"/>
  <c r="C90" i="3"/>
  <c r="G90" i="3" s="1"/>
  <c r="B90" i="3"/>
  <c r="A90" i="3"/>
  <c r="K89" i="3"/>
  <c r="J89" i="3"/>
  <c r="F89" i="3"/>
  <c r="E89" i="3"/>
  <c r="G89" i="3" s="1"/>
  <c r="D89" i="3"/>
  <c r="C89" i="3"/>
  <c r="I89" i="3" s="1"/>
  <c r="B89" i="3"/>
  <c r="A89" i="3"/>
  <c r="K88" i="3"/>
  <c r="J88" i="3"/>
  <c r="I88" i="3"/>
  <c r="H88" i="3"/>
  <c r="G88" i="3"/>
  <c r="E88" i="3"/>
  <c r="D88" i="3"/>
  <c r="C88" i="3"/>
  <c r="F88" i="3" s="1"/>
  <c r="B88" i="3"/>
  <c r="A88" i="3"/>
  <c r="K87" i="3"/>
  <c r="J87" i="3"/>
  <c r="E87" i="3"/>
  <c r="D87" i="3"/>
  <c r="C87" i="3"/>
  <c r="H87" i="3" s="1"/>
  <c r="B87" i="3"/>
  <c r="A87" i="3"/>
  <c r="K86" i="3"/>
  <c r="J86" i="3"/>
  <c r="F86" i="3"/>
  <c r="E86" i="3"/>
  <c r="G86" i="3" s="1"/>
  <c r="D86" i="3"/>
  <c r="C86" i="3"/>
  <c r="I86" i="3" s="1"/>
  <c r="B86" i="3"/>
  <c r="A86" i="3"/>
  <c r="K85" i="3"/>
  <c r="J85" i="3"/>
  <c r="I85" i="3"/>
  <c r="H85" i="3"/>
  <c r="E85" i="3"/>
  <c r="D85" i="3"/>
  <c r="C85" i="3"/>
  <c r="F85" i="3" s="1"/>
  <c r="B85" i="3"/>
  <c r="A85" i="3"/>
  <c r="K84" i="3"/>
  <c r="J84" i="3"/>
  <c r="E84" i="3"/>
  <c r="D84" i="3"/>
  <c r="C84" i="3"/>
  <c r="I84" i="3" s="1"/>
  <c r="B84" i="3"/>
  <c r="A84" i="3"/>
  <c r="K83" i="3"/>
  <c r="J83" i="3"/>
  <c r="I83" i="3"/>
  <c r="H83" i="3"/>
  <c r="G83" i="3"/>
  <c r="F83" i="3"/>
  <c r="E83" i="3"/>
  <c r="D83" i="3"/>
  <c r="C83" i="3"/>
  <c r="B83" i="3"/>
  <c r="A83" i="3"/>
  <c r="K82" i="3"/>
  <c r="J82" i="3"/>
  <c r="I82" i="3"/>
  <c r="E82" i="3"/>
  <c r="D82" i="3"/>
  <c r="C82" i="3"/>
  <c r="G82" i="3" s="1"/>
  <c r="B82" i="3"/>
  <c r="A82" i="3"/>
  <c r="K81" i="3"/>
  <c r="J81" i="3"/>
  <c r="F81" i="3"/>
  <c r="E81" i="3"/>
  <c r="G81" i="3" s="1"/>
  <c r="D81" i="3"/>
  <c r="C81" i="3"/>
  <c r="I81" i="3" s="1"/>
  <c r="B81" i="3"/>
  <c r="A81" i="3"/>
  <c r="K80" i="3"/>
  <c r="J80" i="3"/>
  <c r="I80" i="3"/>
  <c r="H80" i="3"/>
  <c r="G80" i="3"/>
  <c r="F80" i="3"/>
  <c r="E80" i="3"/>
  <c r="D80" i="3"/>
  <c r="C80" i="3"/>
  <c r="B80" i="3"/>
  <c r="A80" i="3"/>
  <c r="K79" i="3"/>
  <c r="J79" i="3"/>
  <c r="E79" i="3"/>
  <c r="D79" i="3"/>
  <c r="C79" i="3"/>
  <c r="H79" i="3" s="1"/>
  <c r="B79" i="3"/>
  <c r="A79" i="3"/>
  <c r="K78" i="3"/>
  <c r="J78" i="3"/>
  <c r="F78" i="3"/>
  <c r="E78" i="3"/>
  <c r="H78" i="3" s="1"/>
  <c r="D78" i="3"/>
  <c r="C78" i="3"/>
  <c r="I78" i="3" s="1"/>
  <c r="B78" i="3"/>
  <c r="A78" i="3"/>
  <c r="K77" i="3"/>
  <c r="J77" i="3"/>
  <c r="I77" i="3"/>
  <c r="H77" i="3"/>
  <c r="E77" i="3"/>
  <c r="D77" i="3"/>
  <c r="C77" i="3"/>
  <c r="F77" i="3" s="1"/>
  <c r="B77" i="3"/>
  <c r="A77" i="3"/>
  <c r="K76" i="3"/>
  <c r="J76" i="3"/>
  <c r="E76" i="3"/>
  <c r="D76" i="3"/>
  <c r="C76" i="3"/>
  <c r="I76" i="3" s="1"/>
  <c r="B76" i="3"/>
  <c r="A76" i="3"/>
  <c r="K75" i="3"/>
  <c r="J75" i="3"/>
  <c r="I75" i="3"/>
  <c r="H75" i="3"/>
  <c r="G75" i="3"/>
  <c r="F75" i="3"/>
  <c r="E75" i="3"/>
  <c r="D75" i="3"/>
  <c r="C75" i="3"/>
  <c r="B75" i="3"/>
  <c r="A75" i="3"/>
  <c r="K74" i="3"/>
  <c r="J74" i="3"/>
  <c r="I74" i="3"/>
  <c r="E74" i="3"/>
  <c r="D74" i="3"/>
  <c r="C74" i="3"/>
  <c r="G74" i="3" s="1"/>
  <c r="B74" i="3"/>
  <c r="A74" i="3"/>
  <c r="K73" i="3"/>
  <c r="J73" i="3"/>
  <c r="F73" i="3"/>
  <c r="E73" i="3"/>
  <c r="G73" i="3" s="1"/>
  <c r="D73" i="3"/>
  <c r="C73" i="3"/>
  <c r="I73" i="3" s="1"/>
  <c r="B73" i="3"/>
  <c r="A73" i="3"/>
  <c r="K72" i="3"/>
  <c r="J72" i="3"/>
  <c r="I72" i="3"/>
  <c r="H72" i="3"/>
  <c r="G72" i="3"/>
  <c r="F72" i="3"/>
  <c r="E72" i="3"/>
  <c r="D72" i="3"/>
  <c r="C72" i="3"/>
  <c r="B72" i="3"/>
  <c r="A72" i="3"/>
  <c r="K71" i="3"/>
  <c r="J71" i="3"/>
  <c r="E71" i="3"/>
  <c r="D71" i="3"/>
  <c r="C71" i="3"/>
  <c r="H71" i="3" s="1"/>
  <c r="B71" i="3"/>
  <c r="A71" i="3"/>
  <c r="K70" i="3"/>
  <c r="J70" i="3"/>
  <c r="F70" i="3"/>
  <c r="E70" i="3"/>
  <c r="H70" i="3" s="1"/>
  <c r="D70" i="3"/>
  <c r="C70" i="3"/>
  <c r="I70" i="3" s="1"/>
  <c r="B70" i="3"/>
  <c r="A70" i="3"/>
  <c r="K69" i="3"/>
  <c r="J69" i="3"/>
  <c r="I69" i="3"/>
  <c r="H69" i="3"/>
  <c r="E69" i="3"/>
  <c r="D69" i="3"/>
  <c r="C69" i="3"/>
  <c r="F69" i="3" s="1"/>
  <c r="B69" i="3"/>
  <c r="A69" i="3"/>
  <c r="K68" i="3"/>
  <c r="J68" i="3"/>
  <c r="E68" i="3"/>
  <c r="D68" i="3"/>
  <c r="C68" i="3"/>
  <c r="I68" i="3" s="1"/>
  <c r="B68" i="3"/>
  <c r="A68" i="3"/>
  <c r="K67" i="3"/>
  <c r="J67" i="3"/>
  <c r="I67" i="3"/>
  <c r="H67" i="3"/>
  <c r="G67" i="3"/>
  <c r="F67" i="3"/>
  <c r="E67" i="3"/>
  <c r="D67" i="3"/>
  <c r="C67" i="3"/>
  <c r="B67" i="3"/>
  <c r="A67" i="3"/>
  <c r="K66" i="3"/>
  <c r="J66" i="3"/>
  <c r="I66" i="3"/>
  <c r="E66" i="3"/>
  <c r="D66" i="3"/>
  <c r="C66" i="3"/>
  <c r="G66" i="3" s="1"/>
  <c r="B66" i="3"/>
  <c r="K65" i="3"/>
  <c r="J65" i="3"/>
  <c r="E65" i="3"/>
  <c r="D65" i="3"/>
  <c r="C65" i="3"/>
  <c r="I65" i="3" s="1"/>
  <c r="B65" i="3"/>
  <c r="K64" i="3"/>
  <c r="J64" i="3"/>
  <c r="F64" i="3"/>
  <c r="E64" i="3"/>
  <c r="H64" i="3" s="1"/>
  <c r="D64" i="3"/>
  <c r="C64" i="3"/>
  <c r="I64" i="3" s="1"/>
  <c r="B64" i="3"/>
  <c r="K63" i="3"/>
  <c r="J63" i="3"/>
  <c r="I63" i="3"/>
  <c r="H63" i="3"/>
  <c r="G63" i="3"/>
  <c r="F63" i="3"/>
  <c r="E63" i="3"/>
  <c r="D63" i="3"/>
  <c r="C63" i="3"/>
  <c r="B63" i="3"/>
  <c r="K62" i="3"/>
  <c r="J62" i="3"/>
  <c r="I62" i="3"/>
  <c r="E62" i="3"/>
  <c r="D62" i="3"/>
  <c r="C62" i="3"/>
  <c r="G62" i="3" s="1"/>
  <c r="B62" i="3"/>
  <c r="K61" i="3"/>
  <c r="J61" i="3"/>
  <c r="E61" i="3"/>
  <c r="D61" i="3"/>
  <c r="C61" i="3"/>
  <c r="I61" i="3" s="1"/>
  <c r="B61" i="3"/>
  <c r="K60" i="3"/>
  <c r="J60" i="3"/>
  <c r="F60" i="3"/>
  <c r="E60" i="3"/>
  <c r="G60" i="3" s="1"/>
  <c r="D60" i="3"/>
  <c r="C60" i="3"/>
  <c r="I60" i="3" s="1"/>
  <c r="B60" i="3"/>
  <c r="K59" i="3"/>
  <c r="J59" i="3"/>
  <c r="I59" i="3"/>
  <c r="H59" i="3"/>
  <c r="G59" i="3"/>
  <c r="F59" i="3"/>
  <c r="E59" i="3"/>
  <c r="D59" i="3"/>
  <c r="C59" i="3"/>
  <c r="B59" i="3"/>
  <c r="K58" i="3"/>
  <c r="J58" i="3"/>
  <c r="I58" i="3"/>
  <c r="E58" i="3"/>
  <c r="D58" i="3"/>
  <c r="C58" i="3"/>
  <c r="G58" i="3" s="1"/>
  <c r="B58" i="3"/>
  <c r="K57" i="3"/>
  <c r="J57" i="3"/>
  <c r="E57" i="3"/>
  <c r="D57" i="3"/>
  <c r="C57" i="3"/>
  <c r="I57" i="3" s="1"/>
  <c r="B57" i="3"/>
  <c r="K56" i="3"/>
  <c r="J56" i="3"/>
  <c r="F56" i="3"/>
  <c r="E56" i="3"/>
  <c r="G56" i="3" s="1"/>
  <c r="D56" i="3"/>
  <c r="C56" i="3"/>
  <c r="I56" i="3" s="1"/>
  <c r="B56" i="3"/>
  <c r="K55" i="3"/>
  <c r="J55" i="3"/>
  <c r="I55" i="3"/>
  <c r="H55" i="3"/>
  <c r="G55" i="3"/>
  <c r="F55" i="3"/>
  <c r="E55" i="3"/>
  <c r="D55" i="3"/>
  <c r="C55" i="3"/>
  <c r="B55" i="3"/>
  <c r="K54" i="3"/>
  <c r="J54" i="3"/>
  <c r="I54" i="3"/>
  <c r="E54" i="3"/>
  <c r="D54" i="3"/>
  <c r="C54" i="3"/>
  <c r="G54" i="3" s="1"/>
  <c r="B54" i="3"/>
  <c r="K53" i="3"/>
  <c r="J53" i="3"/>
  <c r="E53" i="3"/>
  <c r="D53" i="3"/>
  <c r="C53" i="3"/>
  <c r="I53" i="3" s="1"/>
  <c r="B53" i="3"/>
  <c r="K52" i="3"/>
  <c r="J52" i="3"/>
  <c r="F52" i="3"/>
  <c r="E52" i="3"/>
  <c r="G52" i="3" s="1"/>
  <c r="D52" i="3"/>
  <c r="C52" i="3"/>
  <c r="I52" i="3" s="1"/>
  <c r="B52" i="3"/>
  <c r="K51" i="3"/>
  <c r="J51" i="3"/>
  <c r="I51" i="3"/>
  <c r="H51" i="3"/>
  <c r="G51" i="3"/>
  <c r="F51" i="3"/>
  <c r="E51" i="3"/>
  <c r="D51" i="3"/>
  <c r="C51" i="3"/>
  <c r="B51" i="3"/>
  <c r="K50" i="3"/>
  <c r="J50" i="3"/>
  <c r="I50" i="3"/>
  <c r="E50" i="3"/>
  <c r="D50" i="3"/>
  <c r="C50" i="3"/>
  <c r="G50" i="3" s="1"/>
  <c r="B50" i="3"/>
  <c r="K49" i="3"/>
  <c r="J49" i="3"/>
  <c r="E49" i="3"/>
  <c r="D49" i="3"/>
  <c r="C49" i="3"/>
  <c r="I49" i="3" s="1"/>
  <c r="B49" i="3"/>
  <c r="K48" i="3"/>
  <c r="J48" i="3"/>
  <c r="F48" i="3"/>
  <c r="E48" i="3"/>
  <c r="H48" i="3" s="1"/>
  <c r="D48" i="3"/>
  <c r="C48" i="3"/>
  <c r="I48" i="3" s="1"/>
  <c r="B48" i="3"/>
  <c r="K47" i="3"/>
  <c r="J47" i="3"/>
  <c r="I47" i="3"/>
  <c r="H47" i="3"/>
  <c r="G47" i="3"/>
  <c r="F47" i="3"/>
  <c r="E47" i="3"/>
  <c r="D47" i="3"/>
  <c r="C47" i="3"/>
  <c r="B47" i="3"/>
  <c r="K46" i="3"/>
  <c r="J46" i="3"/>
  <c r="I46" i="3"/>
  <c r="E46" i="3"/>
  <c r="D46" i="3"/>
  <c r="C46" i="3"/>
  <c r="G46" i="3" s="1"/>
  <c r="B46" i="3"/>
  <c r="K45" i="3"/>
  <c r="J45" i="3"/>
  <c r="E45" i="3"/>
  <c r="D45" i="3"/>
  <c r="C45" i="3"/>
  <c r="I45" i="3" s="1"/>
  <c r="B45" i="3"/>
  <c r="K44" i="3"/>
  <c r="J44" i="3"/>
  <c r="F44" i="3"/>
  <c r="E44" i="3"/>
  <c r="H44" i="3" s="1"/>
  <c r="D44" i="3"/>
  <c r="C44" i="3"/>
  <c r="I44" i="3" s="1"/>
  <c r="B44" i="3"/>
  <c r="K43" i="3"/>
  <c r="J43" i="3"/>
  <c r="I43" i="3"/>
  <c r="H43" i="3"/>
  <c r="G43" i="3"/>
  <c r="F43" i="3"/>
  <c r="E43" i="3"/>
  <c r="D43" i="3"/>
  <c r="C43" i="3"/>
  <c r="B43" i="3"/>
  <c r="K42" i="3"/>
  <c r="J42" i="3"/>
  <c r="I42" i="3"/>
  <c r="E42" i="3"/>
  <c r="D42" i="3"/>
  <c r="C42" i="3"/>
  <c r="G42" i="3" s="1"/>
  <c r="B42" i="3"/>
  <c r="K41" i="3"/>
  <c r="F41" i="3"/>
  <c r="D41" i="3"/>
  <c r="C41" i="3"/>
  <c r="B41" i="3"/>
  <c r="K40" i="3"/>
  <c r="J40" i="3"/>
  <c r="I40" i="3"/>
  <c r="H40" i="3"/>
  <c r="E40" i="3"/>
  <c r="D40" i="3"/>
  <c r="C40" i="3"/>
  <c r="F40" i="3" s="1"/>
  <c r="B40" i="3"/>
  <c r="K39" i="3"/>
  <c r="J39" i="3"/>
  <c r="E39" i="3"/>
  <c r="D39" i="3"/>
  <c r="C39" i="3"/>
  <c r="H39" i="3" s="1"/>
  <c r="B39" i="3"/>
  <c r="K38" i="3"/>
  <c r="J38" i="3"/>
  <c r="F38" i="3"/>
  <c r="E38" i="3"/>
  <c r="G38" i="3" s="1"/>
  <c r="D38" i="3"/>
  <c r="C38" i="3"/>
  <c r="I38" i="3" s="1"/>
  <c r="B38" i="3"/>
  <c r="K37" i="3"/>
  <c r="J37" i="3"/>
  <c r="I37" i="3"/>
  <c r="H37" i="3"/>
  <c r="G37" i="3"/>
  <c r="F37" i="3"/>
  <c r="E37" i="3"/>
  <c r="D37" i="3"/>
  <c r="C37" i="3"/>
  <c r="B37" i="3"/>
  <c r="K36" i="3"/>
  <c r="J36" i="3"/>
  <c r="I36" i="3"/>
  <c r="H36" i="3"/>
  <c r="E36" i="3"/>
  <c r="D36" i="3"/>
  <c r="C36" i="3"/>
  <c r="F36" i="3" s="1"/>
  <c r="B36" i="3"/>
  <c r="K35" i="3"/>
  <c r="J35" i="3"/>
  <c r="E35" i="3"/>
  <c r="D35" i="3"/>
  <c r="C35" i="3"/>
  <c r="H35" i="3" s="1"/>
  <c r="B35" i="3"/>
  <c r="K34" i="3"/>
  <c r="J34" i="3"/>
  <c r="F34" i="3"/>
  <c r="E34" i="3"/>
  <c r="G34" i="3" s="1"/>
  <c r="D34" i="3"/>
  <c r="C34" i="3"/>
  <c r="I34" i="3" s="1"/>
  <c r="B34" i="3"/>
  <c r="K33" i="3"/>
  <c r="J33" i="3"/>
  <c r="I33" i="3"/>
  <c r="H33" i="3"/>
  <c r="G33" i="3"/>
  <c r="F33" i="3"/>
  <c r="E33" i="3"/>
  <c r="D33" i="3"/>
  <c r="C33" i="3"/>
  <c r="B33" i="3"/>
  <c r="K32" i="3"/>
  <c r="J32" i="3"/>
  <c r="I32" i="3"/>
  <c r="H32" i="3"/>
  <c r="E32" i="3"/>
  <c r="D32" i="3"/>
  <c r="C32" i="3"/>
  <c r="F32" i="3" s="1"/>
  <c r="B32" i="3"/>
  <c r="K31" i="3"/>
  <c r="J31" i="3"/>
  <c r="E31" i="3"/>
  <c r="D31" i="3"/>
  <c r="C31" i="3"/>
  <c r="H31" i="3" s="1"/>
  <c r="B31" i="3"/>
  <c r="K30" i="3"/>
  <c r="J30" i="3"/>
  <c r="F30" i="3"/>
  <c r="E30" i="3"/>
  <c r="G30" i="3" s="1"/>
  <c r="D30" i="3"/>
  <c r="C30" i="3"/>
  <c r="I30" i="3" s="1"/>
  <c r="B30" i="3"/>
  <c r="K29" i="3"/>
  <c r="J29" i="3"/>
  <c r="I29" i="3"/>
  <c r="H29" i="3"/>
  <c r="G29" i="3"/>
  <c r="F29" i="3"/>
  <c r="E29" i="3"/>
  <c r="D29" i="3"/>
  <c r="C29" i="3"/>
  <c r="B29" i="3"/>
  <c r="K28" i="3"/>
  <c r="J28" i="3"/>
  <c r="I28" i="3"/>
  <c r="H28" i="3"/>
  <c r="E28" i="3"/>
  <c r="D28" i="3"/>
  <c r="C28" i="3"/>
  <c r="F28" i="3" s="1"/>
  <c r="B28" i="3"/>
  <c r="K27" i="3"/>
  <c r="J27" i="3"/>
  <c r="E27" i="3"/>
  <c r="D27" i="3"/>
  <c r="C27" i="3"/>
  <c r="H27" i="3" s="1"/>
  <c r="B27" i="3"/>
  <c r="K26" i="3"/>
  <c r="J26" i="3"/>
  <c r="F26" i="3"/>
  <c r="E26" i="3"/>
  <c r="G26" i="3" s="1"/>
  <c r="D26" i="3"/>
  <c r="C26" i="3"/>
  <c r="I26" i="3" s="1"/>
  <c r="B26" i="3"/>
  <c r="K25" i="3"/>
  <c r="D25" i="3"/>
  <c r="C25" i="3"/>
  <c r="B25" i="3"/>
  <c r="K24" i="3"/>
  <c r="D24" i="3"/>
  <c r="C24" i="3"/>
  <c r="B24" i="3"/>
  <c r="K23" i="3"/>
  <c r="D23" i="3"/>
  <c r="C23" i="3"/>
  <c r="B23" i="3"/>
  <c r="K22" i="3"/>
  <c r="D22" i="3"/>
  <c r="C22" i="3"/>
  <c r="B22" i="3"/>
  <c r="K21" i="3"/>
  <c r="D21" i="3"/>
  <c r="C21" i="3"/>
  <c r="B21" i="3"/>
  <c r="K20" i="3"/>
  <c r="D20" i="3"/>
  <c r="C20" i="3"/>
  <c r="B20" i="3"/>
  <c r="K19" i="3"/>
  <c r="D19" i="3"/>
  <c r="C19" i="3"/>
  <c r="B19" i="3"/>
  <c r="K18" i="3"/>
  <c r="D18" i="3"/>
  <c r="C18" i="3"/>
  <c r="B18" i="3"/>
  <c r="K17" i="3"/>
  <c r="D17" i="3"/>
  <c r="C17" i="3"/>
  <c r="B17" i="3"/>
  <c r="K16" i="3"/>
  <c r="D16" i="3"/>
  <c r="C16" i="3"/>
  <c r="B16" i="3"/>
  <c r="K15" i="3"/>
  <c r="D15" i="3"/>
  <c r="C15" i="3"/>
  <c r="B15" i="3"/>
  <c r="K14" i="3"/>
  <c r="D14" i="3"/>
  <c r="C14" i="3"/>
  <c r="B14" i="3"/>
  <c r="K13" i="3"/>
  <c r="D13" i="3"/>
  <c r="C13" i="3"/>
  <c r="B13" i="3"/>
  <c r="K12" i="3"/>
  <c r="D12" i="3"/>
  <c r="C12" i="3"/>
  <c r="B12" i="3"/>
  <c r="K11" i="3"/>
  <c r="D11" i="3"/>
  <c r="C11" i="3"/>
  <c r="B11" i="3"/>
  <c r="K10" i="3"/>
  <c r="D10" i="3"/>
  <c r="C10" i="3"/>
  <c r="B10" i="3"/>
  <c r="K9" i="3"/>
  <c r="D9" i="3"/>
  <c r="C9" i="3"/>
  <c r="B9" i="3"/>
  <c r="K8" i="3"/>
  <c r="D8" i="3"/>
  <c r="C8" i="3"/>
  <c r="B8" i="3"/>
  <c r="E5" i="3"/>
  <c r="C5" i="3"/>
  <c r="C4" i="3"/>
  <c r="AA110" i="1"/>
  <c r="Z110" i="1"/>
  <c r="X110" i="1"/>
  <c r="U110" i="1"/>
  <c r="Q110" i="1"/>
  <c r="P110" i="1"/>
  <c r="M110" i="1"/>
  <c r="J110" i="1"/>
  <c r="I110" i="1"/>
  <c r="AA109" i="1"/>
  <c r="Z109" i="1"/>
  <c r="X109" i="1"/>
  <c r="U109" i="1"/>
  <c r="Q109" i="1"/>
  <c r="P109" i="1"/>
  <c r="M109" i="1"/>
  <c r="J109" i="1"/>
  <c r="I109" i="1"/>
  <c r="A109" i="1"/>
  <c r="AA108" i="1"/>
  <c r="Z108" i="1"/>
  <c r="X108" i="1"/>
  <c r="U108" i="1"/>
  <c r="Q108" i="1"/>
  <c r="P108" i="1"/>
  <c r="M108" i="1"/>
  <c r="J108" i="1"/>
  <c r="I108" i="1"/>
  <c r="A108" i="1"/>
  <c r="AA107" i="1"/>
  <c r="Z107" i="1"/>
  <c r="X107" i="1"/>
  <c r="U107" i="1"/>
  <c r="Q107" i="1"/>
  <c r="P107" i="1"/>
  <c r="M107" i="1"/>
  <c r="J107" i="1"/>
  <c r="I107" i="1"/>
  <c r="A107" i="1"/>
  <c r="AA106" i="1"/>
  <c r="Z106" i="1"/>
  <c r="X106" i="1"/>
  <c r="U106" i="1"/>
  <c r="Q106" i="1"/>
  <c r="P106" i="1"/>
  <c r="M106" i="1"/>
  <c r="J106" i="1"/>
  <c r="I106" i="1"/>
  <c r="A106" i="1"/>
  <c r="AA105" i="1"/>
  <c r="Z105" i="1"/>
  <c r="X105" i="1"/>
  <c r="U105" i="1"/>
  <c r="Q105" i="1"/>
  <c r="P105" i="1"/>
  <c r="M105" i="1"/>
  <c r="J105" i="1"/>
  <c r="I105" i="1"/>
  <c r="A105" i="1"/>
  <c r="AA104" i="1"/>
  <c r="Z104" i="1"/>
  <c r="X104" i="1"/>
  <c r="U104" i="1"/>
  <c r="Q104" i="1"/>
  <c r="P104" i="1"/>
  <c r="M104" i="1"/>
  <c r="J104" i="1"/>
  <c r="I104" i="1"/>
  <c r="A104" i="1"/>
  <c r="AA103" i="1"/>
  <c r="Z103" i="1"/>
  <c r="X103" i="1"/>
  <c r="U103" i="1"/>
  <c r="Q103" i="1"/>
  <c r="P103" i="1"/>
  <c r="M103" i="1"/>
  <c r="J103" i="1"/>
  <c r="I103" i="1"/>
  <c r="A103" i="1"/>
  <c r="AA102" i="1"/>
  <c r="Z102" i="1"/>
  <c r="X102" i="1"/>
  <c r="U102" i="1"/>
  <c r="Q102" i="1"/>
  <c r="P102" i="1"/>
  <c r="M102" i="1"/>
  <c r="J102" i="1"/>
  <c r="I102" i="1"/>
  <c r="A102" i="1"/>
  <c r="AA101" i="1"/>
  <c r="Z101" i="1"/>
  <c r="X101" i="1"/>
  <c r="U101" i="1"/>
  <c r="Q101" i="1"/>
  <c r="P101" i="1"/>
  <c r="M101" i="1"/>
  <c r="J101" i="1"/>
  <c r="I101" i="1"/>
  <c r="A101" i="1"/>
  <c r="AA100" i="1"/>
  <c r="Z100" i="1"/>
  <c r="X100" i="1"/>
  <c r="U100" i="1"/>
  <c r="Q100" i="1"/>
  <c r="P100" i="1"/>
  <c r="M100" i="1"/>
  <c r="J100" i="1"/>
  <c r="I100" i="1"/>
  <c r="A100" i="1"/>
  <c r="AA99" i="1"/>
  <c r="Z99" i="1"/>
  <c r="X99" i="1"/>
  <c r="U99" i="1"/>
  <c r="Q99" i="1"/>
  <c r="P99" i="1"/>
  <c r="M99" i="1"/>
  <c r="J99" i="1"/>
  <c r="I99" i="1"/>
  <c r="A99" i="1"/>
  <c r="AA98" i="1"/>
  <c r="Z98" i="1"/>
  <c r="X98" i="1"/>
  <c r="U98" i="1"/>
  <c r="Q98" i="1"/>
  <c r="P98" i="1"/>
  <c r="M98" i="1"/>
  <c r="J98" i="1"/>
  <c r="I98" i="1"/>
  <c r="A98" i="1"/>
  <c r="AA97" i="1"/>
  <c r="Z97" i="1"/>
  <c r="X97" i="1"/>
  <c r="U97" i="1"/>
  <c r="Q97" i="1"/>
  <c r="P97" i="1"/>
  <c r="M97" i="1"/>
  <c r="J97" i="1"/>
  <c r="I97" i="1"/>
  <c r="A97" i="1"/>
  <c r="AA96" i="1"/>
  <c r="Z96" i="1"/>
  <c r="X96" i="1"/>
  <c r="U96" i="1"/>
  <c r="Q96" i="1"/>
  <c r="P96" i="1"/>
  <c r="M96" i="1"/>
  <c r="J96" i="1"/>
  <c r="I96" i="1"/>
  <c r="A96" i="1"/>
  <c r="AA95" i="1"/>
  <c r="Z95" i="1"/>
  <c r="X95" i="1"/>
  <c r="U95" i="1"/>
  <c r="Q95" i="1"/>
  <c r="P95" i="1"/>
  <c r="M95" i="1"/>
  <c r="J95" i="1"/>
  <c r="I95" i="1"/>
  <c r="A95" i="1"/>
  <c r="AA94" i="1"/>
  <c r="Z94" i="1"/>
  <c r="X94" i="1"/>
  <c r="U94" i="1"/>
  <c r="Q94" i="1"/>
  <c r="P94" i="1"/>
  <c r="M94" i="1"/>
  <c r="J94" i="1"/>
  <c r="I94" i="1"/>
  <c r="A94" i="1"/>
  <c r="AA93" i="1"/>
  <c r="Z93" i="1"/>
  <c r="X93" i="1"/>
  <c r="U93" i="1"/>
  <c r="Q93" i="1"/>
  <c r="P93" i="1"/>
  <c r="M93" i="1"/>
  <c r="J93" i="1"/>
  <c r="I93" i="1"/>
  <c r="A93" i="1"/>
  <c r="AA92" i="1"/>
  <c r="Z92" i="1"/>
  <c r="X92" i="1"/>
  <c r="U92" i="1"/>
  <c r="Q92" i="1"/>
  <c r="P92" i="1"/>
  <c r="M92" i="1"/>
  <c r="J92" i="1"/>
  <c r="I92" i="1"/>
  <c r="A92" i="1"/>
  <c r="AA91" i="1"/>
  <c r="Z91" i="1"/>
  <c r="X91" i="1"/>
  <c r="U91" i="1"/>
  <c r="Q91" i="1"/>
  <c r="P91" i="1"/>
  <c r="M91" i="1"/>
  <c r="J91" i="1"/>
  <c r="I91" i="1"/>
  <c r="A91" i="1"/>
  <c r="AA90" i="1"/>
  <c r="Z90" i="1"/>
  <c r="X90" i="1"/>
  <c r="U90" i="1"/>
  <c r="Q90" i="1"/>
  <c r="P90" i="1"/>
  <c r="M90" i="1"/>
  <c r="J90" i="1"/>
  <c r="I90" i="1"/>
  <c r="A90" i="1"/>
  <c r="AA89" i="1"/>
  <c r="Z89" i="1"/>
  <c r="X89" i="1"/>
  <c r="U89" i="1"/>
  <c r="Q89" i="1"/>
  <c r="P89" i="1"/>
  <c r="M89" i="1"/>
  <c r="J89" i="1"/>
  <c r="I89" i="1"/>
  <c r="A89" i="1"/>
  <c r="AA88" i="1"/>
  <c r="Z88" i="1"/>
  <c r="X88" i="1"/>
  <c r="U88" i="1"/>
  <c r="Q88" i="1"/>
  <c r="P88" i="1"/>
  <c r="M88" i="1"/>
  <c r="J88" i="1"/>
  <c r="I88" i="1"/>
  <c r="A88" i="1"/>
  <c r="AA87" i="1"/>
  <c r="Z87" i="1"/>
  <c r="X87" i="1"/>
  <c r="U87" i="1"/>
  <c r="Q87" i="1"/>
  <c r="P87" i="1"/>
  <c r="M87" i="1"/>
  <c r="J87" i="1"/>
  <c r="I87" i="1"/>
  <c r="A87" i="1"/>
  <c r="AA86" i="1"/>
  <c r="Z86" i="1"/>
  <c r="X86" i="1"/>
  <c r="U86" i="1"/>
  <c r="Q86" i="1"/>
  <c r="P86" i="1"/>
  <c r="M86" i="1"/>
  <c r="J86" i="1"/>
  <c r="I86" i="1"/>
  <c r="A86" i="1"/>
  <c r="AA85" i="1"/>
  <c r="Z85" i="1"/>
  <c r="X85" i="1"/>
  <c r="U85" i="1"/>
  <c r="Q85" i="1"/>
  <c r="P85" i="1"/>
  <c r="M85" i="1"/>
  <c r="J85" i="1"/>
  <c r="I85" i="1"/>
  <c r="A85" i="1"/>
  <c r="AA84" i="1"/>
  <c r="Z84" i="1"/>
  <c r="X84" i="1"/>
  <c r="U84" i="1"/>
  <c r="Q84" i="1"/>
  <c r="P84" i="1"/>
  <c r="M84" i="1"/>
  <c r="J84" i="1"/>
  <c r="I84" i="1"/>
  <c r="A84" i="1"/>
  <c r="AA83" i="1"/>
  <c r="Z83" i="1"/>
  <c r="X83" i="1"/>
  <c r="U83" i="1"/>
  <c r="Q83" i="1"/>
  <c r="P83" i="1"/>
  <c r="M83" i="1"/>
  <c r="J83" i="1"/>
  <c r="I83" i="1"/>
  <c r="A83" i="1"/>
  <c r="AA82" i="1"/>
  <c r="Z82" i="1"/>
  <c r="X82" i="1"/>
  <c r="U82" i="1"/>
  <c r="Q82" i="1"/>
  <c r="P82" i="1"/>
  <c r="M82" i="1"/>
  <c r="J82" i="1"/>
  <c r="I82" i="1"/>
  <c r="A82" i="1"/>
  <c r="AA81" i="1"/>
  <c r="Z81" i="1"/>
  <c r="X81" i="1"/>
  <c r="U81" i="1"/>
  <c r="Q81" i="1"/>
  <c r="P81" i="1"/>
  <c r="M81" i="1"/>
  <c r="J81" i="1"/>
  <c r="I81" i="1"/>
  <c r="A81" i="1"/>
  <c r="AA80" i="1"/>
  <c r="Z80" i="1"/>
  <c r="X80" i="1"/>
  <c r="U80" i="1"/>
  <c r="Q80" i="1"/>
  <c r="P80" i="1"/>
  <c r="M80" i="1"/>
  <c r="J80" i="1"/>
  <c r="I80" i="1"/>
  <c r="A80" i="1"/>
  <c r="AA79" i="1"/>
  <c r="Z79" i="1"/>
  <c r="X79" i="1"/>
  <c r="U79" i="1"/>
  <c r="Q79" i="1"/>
  <c r="P79" i="1"/>
  <c r="M79" i="1"/>
  <c r="J79" i="1"/>
  <c r="I79" i="1"/>
  <c r="A79" i="1"/>
  <c r="AA78" i="1"/>
  <c r="Z78" i="1"/>
  <c r="X78" i="1"/>
  <c r="U78" i="1"/>
  <c r="Q78" i="1"/>
  <c r="P78" i="1"/>
  <c r="M78" i="1"/>
  <c r="J78" i="1"/>
  <c r="I78" i="1"/>
  <c r="A78" i="1"/>
  <c r="AA77" i="1"/>
  <c r="Z77" i="1"/>
  <c r="X77" i="1"/>
  <c r="U77" i="1"/>
  <c r="Q77" i="1"/>
  <c r="P77" i="1"/>
  <c r="M77" i="1"/>
  <c r="J77" i="1"/>
  <c r="I77" i="1"/>
  <c r="A77" i="1"/>
  <c r="AA76" i="1"/>
  <c r="Z76" i="1"/>
  <c r="X76" i="1"/>
  <c r="U76" i="1"/>
  <c r="Q76" i="1"/>
  <c r="P76" i="1"/>
  <c r="M76" i="1"/>
  <c r="J76" i="1"/>
  <c r="I76" i="1"/>
  <c r="A76" i="1"/>
  <c r="AA75" i="1"/>
  <c r="Z75" i="1"/>
  <c r="X75" i="1"/>
  <c r="U75" i="1"/>
  <c r="Q75" i="1"/>
  <c r="P75" i="1"/>
  <c r="M75" i="1"/>
  <c r="J75" i="1"/>
  <c r="I75" i="1"/>
  <c r="A75" i="1"/>
  <c r="AA74" i="1"/>
  <c r="Z74" i="1"/>
  <c r="X74" i="1"/>
  <c r="U74" i="1"/>
  <c r="Q74" i="1"/>
  <c r="P74" i="1"/>
  <c r="M74" i="1"/>
  <c r="J74" i="1"/>
  <c r="I74" i="1"/>
  <c r="A74" i="1"/>
  <c r="AA73" i="1"/>
  <c r="Z73" i="1"/>
  <c r="X73" i="1"/>
  <c r="U73" i="1"/>
  <c r="Q73" i="1"/>
  <c r="P73" i="1"/>
  <c r="M73" i="1"/>
  <c r="J73" i="1"/>
  <c r="I73" i="1"/>
  <c r="A73" i="1"/>
  <c r="AA72" i="1"/>
  <c r="Z72" i="1"/>
  <c r="X72" i="1"/>
  <c r="U72" i="1"/>
  <c r="Q72" i="1"/>
  <c r="P72" i="1"/>
  <c r="M72" i="1"/>
  <c r="J72" i="1"/>
  <c r="I72" i="1"/>
  <c r="A72" i="1"/>
  <c r="AA71" i="1"/>
  <c r="Z71" i="1"/>
  <c r="X71" i="1"/>
  <c r="U71" i="1"/>
  <c r="Q71" i="1"/>
  <c r="P71" i="1"/>
  <c r="M71" i="1"/>
  <c r="J71" i="1"/>
  <c r="I71" i="1"/>
  <c r="A71" i="1"/>
  <c r="AA70" i="1"/>
  <c r="Z70" i="1"/>
  <c r="X70" i="1"/>
  <c r="U70" i="1"/>
  <c r="Q70" i="1"/>
  <c r="P70" i="1"/>
  <c r="M70" i="1"/>
  <c r="J70" i="1"/>
  <c r="I70" i="1"/>
  <c r="A70" i="1"/>
  <c r="AA69" i="1"/>
  <c r="Z69" i="1"/>
  <c r="X69" i="1"/>
  <c r="U69" i="1"/>
  <c r="Q69" i="1"/>
  <c r="P69" i="1"/>
  <c r="M69" i="1"/>
  <c r="J69" i="1"/>
  <c r="I69" i="1"/>
  <c r="AA68" i="1"/>
  <c r="Z68" i="1"/>
  <c r="X68" i="1"/>
  <c r="U68" i="1"/>
  <c r="Q68" i="1"/>
  <c r="P68" i="1"/>
  <c r="M68" i="1"/>
  <c r="J68" i="1"/>
  <c r="I68" i="1"/>
  <c r="AA67" i="1"/>
  <c r="Z67" i="1"/>
  <c r="X67" i="1"/>
  <c r="U67" i="1"/>
  <c r="Q67" i="1"/>
  <c r="P67" i="1"/>
  <c r="M67" i="1"/>
  <c r="J67" i="1"/>
  <c r="I67" i="1"/>
  <c r="AA66" i="1"/>
  <c r="Z66" i="1"/>
  <c r="X66" i="1"/>
  <c r="U66" i="1"/>
  <c r="Q66" i="1"/>
  <c r="P66" i="1"/>
  <c r="M66" i="1"/>
  <c r="J66" i="1"/>
  <c r="I66" i="1"/>
  <c r="AA65" i="1"/>
  <c r="Z65" i="1"/>
  <c r="X65" i="1"/>
  <c r="U65" i="1"/>
  <c r="Q65" i="1"/>
  <c r="P65" i="1"/>
  <c r="M65" i="1"/>
  <c r="J65" i="1"/>
  <c r="I65" i="1"/>
  <c r="AA64" i="1"/>
  <c r="Z64" i="1"/>
  <c r="X64" i="1"/>
  <c r="U64" i="1"/>
  <c r="Q64" i="1"/>
  <c r="P64" i="1"/>
  <c r="M64" i="1"/>
  <c r="J64" i="1"/>
  <c r="I64" i="1"/>
  <c r="AA63" i="1"/>
  <c r="Z63" i="1"/>
  <c r="X63" i="1"/>
  <c r="U63" i="1"/>
  <c r="Q63" i="1"/>
  <c r="P63" i="1"/>
  <c r="M63" i="1"/>
  <c r="J63" i="1"/>
  <c r="I63" i="1"/>
  <c r="AA62" i="1"/>
  <c r="Z62" i="1"/>
  <c r="X62" i="1"/>
  <c r="U62" i="1"/>
  <c r="Q62" i="1"/>
  <c r="P62" i="1"/>
  <c r="M62" i="1"/>
  <c r="J62" i="1"/>
  <c r="I62" i="1"/>
  <c r="AA61" i="1"/>
  <c r="Z61" i="1"/>
  <c r="X61" i="1"/>
  <c r="U61" i="1"/>
  <c r="Q61" i="1"/>
  <c r="P61" i="1"/>
  <c r="M61" i="1"/>
  <c r="J61" i="1"/>
  <c r="I61" i="1"/>
  <c r="AA60" i="1"/>
  <c r="Z60" i="1"/>
  <c r="X60" i="1"/>
  <c r="U60" i="1"/>
  <c r="Q60" i="1"/>
  <c r="P60" i="1"/>
  <c r="M60" i="1"/>
  <c r="J60" i="1"/>
  <c r="I60" i="1"/>
  <c r="AA59" i="1"/>
  <c r="Z59" i="1"/>
  <c r="X59" i="1"/>
  <c r="U59" i="1"/>
  <c r="Q59" i="1"/>
  <c r="P59" i="1"/>
  <c r="M59" i="1"/>
  <c r="J59" i="1"/>
  <c r="I59" i="1"/>
  <c r="AA58" i="1"/>
  <c r="Z58" i="1"/>
  <c r="X58" i="1"/>
  <c r="U58" i="1"/>
  <c r="Q58" i="1"/>
  <c r="P58" i="1"/>
  <c r="M58" i="1"/>
  <c r="J58" i="1"/>
  <c r="I58" i="1"/>
  <c r="AA57" i="1"/>
  <c r="Z57" i="1"/>
  <c r="X57" i="1"/>
  <c r="U57" i="1"/>
  <c r="Q57" i="1"/>
  <c r="P57" i="1"/>
  <c r="M57" i="1"/>
  <c r="J57" i="1"/>
  <c r="I57" i="1"/>
  <c r="AA56" i="1"/>
  <c r="Z56" i="1"/>
  <c r="X56" i="1"/>
  <c r="U56" i="1"/>
  <c r="Q56" i="1"/>
  <c r="P56" i="1"/>
  <c r="M56" i="1"/>
  <c r="J56" i="1"/>
  <c r="I56" i="1"/>
  <c r="AA55" i="1"/>
  <c r="Z55" i="1"/>
  <c r="X55" i="1"/>
  <c r="U55" i="1"/>
  <c r="Q55" i="1"/>
  <c r="P55" i="1"/>
  <c r="M55" i="1"/>
  <c r="J55" i="1"/>
  <c r="I55" i="1"/>
  <c r="AA54" i="1"/>
  <c r="Z54" i="1"/>
  <c r="X54" i="1"/>
  <c r="U54" i="1"/>
  <c r="Q54" i="1"/>
  <c r="P54" i="1"/>
  <c r="M54" i="1"/>
  <c r="J54" i="1"/>
  <c r="I54" i="1"/>
  <c r="AA53" i="1"/>
  <c r="Z53" i="1"/>
  <c r="X53" i="1"/>
  <c r="U53" i="1"/>
  <c r="Q53" i="1"/>
  <c r="P53" i="1"/>
  <c r="M53" i="1"/>
  <c r="J53" i="1"/>
  <c r="I53" i="1"/>
  <c r="AA52" i="1"/>
  <c r="Z52" i="1"/>
  <c r="X52" i="1"/>
  <c r="U52" i="1"/>
  <c r="Q52" i="1"/>
  <c r="P52" i="1"/>
  <c r="M52" i="1"/>
  <c r="J52" i="1"/>
  <c r="I52" i="1"/>
  <c r="AA51" i="1"/>
  <c r="Z51" i="1"/>
  <c r="X51" i="1"/>
  <c r="U51" i="1"/>
  <c r="Q51" i="1"/>
  <c r="P51" i="1"/>
  <c r="M51" i="1"/>
  <c r="J51" i="1"/>
  <c r="I51" i="1"/>
  <c r="AA50" i="1"/>
  <c r="Z50" i="1"/>
  <c r="X50" i="1"/>
  <c r="U50" i="1"/>
  <c r="Q50" i="1"/>
  <c r="P50" i="1"/>
  <c r="M50" i="1"/>
  <c r="J50" i="1"/>
  <c r="I50" i="1"/>
  <c r="AA49" i="1"/>
  <c r="Z49" i="1"/>
  <c r="X49" i="1"/>
  <c r="U49" i="1"/>
  <c r="Q49" i="1"/>
  <c r="P49" i="1"/>
  <c r="M49" i="1"/>
  <c r="J49" i="1"/>
  <c r="I49" i="1"/>
  <c r="AA48" i="1"/>
  <c r="Z48" i="1"/>
  <c r="X48" i="1"/>
  <c r="U48" i="1"/>
  <c r="Q48" i="1"/>
  <c r="P48" i="1"/>
  <c r="M48" i="1"/>
  <c r="J48" i="1"/>
  <c r="I48" i="1"/>
  <c r="AA47" i="1"/>
  <c r="Z47" i="1"/>
  <c r="X47" i="1"/>
  <c r="U47" i="1"/>
  <c r="Q47" i="1"/>
  <c r="P47" i="1"/>
  <c r="M47" i="1"/>
  <c r="J47" i="1"/>
  <c r="I47" i="1"/>
  <c r="AA46" i="1"/>
  <c r="Z46" i="1"/>
  <c r="X46" i="1"/>
  <c r="U46" i="1"/>
  <c r="Q46" i="1"/>
  <c r="P46" i="1"/>
  <c r="M46" i="1"/>
  <c r="J46" i="1"/>
  <c r="I46" i="1"/>
  <c r="AA45" i="1"/>
  <c r="Z45" i="1"/>
  <c r="X45" i="1"/>
  <c r="U45" i="1"/>
  <c r="Q45" i="1"/>
  <c r="P45" i="1"/>
  <c r="M45" i="1"/>
  <c r="J45" i="1"/>
  <c r="I45" i="1"/>
  <c r="AA44" i="1"/>
  <c r="Z44" i="1"/>
  <c r="X44" i="1"/>
  <c r="Q44" i="1"/>
  <c r="P44" i="1"/>
  <c r="M44" i="1"/>
  <c r="I44" i="1"/>
  <c r="J44" i="1" s="1"/>
  <c r="AA43" i="1"/>
  <c r="Z43" i="1"/>
  <c r="X43" i="1"/>
  <c r="U43" i="1"/>
  <c r="Q43" i="1"/>
  <c r="P43" i="1"/>
  <c r="M43" i="1"/>
  <c r="J43" i="1"/>
  <c r="I43" i="1"/>
  <c r="AA42" i="1"/>
  <c r="Z42" i="1"/>
  <c r="X42" i="1"/>
  <c r="U42" i="1"/>
  <c r="Q42" i="1"/>
  <c r="P42" i="1"/>
  <c r="M42" i="1"/>
  <c r="J42" i="1"/>
  <c r="I42" i="1"/>
  <c r="AA41" i="1"/>
  <c r="Z41" i="1"/>
  <c r="X41" i="1"/>
  <c r="U41" i="1"/>
  <c r="Q41" i="1"/>
  <c r="P41" i="1"/>
  <c r="M41" i="1"/>
  <c r="J41" i="1"/>
  <c r="I41" i="1"/>
  <c r="AA40" i="1"/>
  <c r="Z40" i="1"/>
  <c r="X40" i="1"/>
  <c r="U40" i="1"/>
  <c r="Q40" i="1"/>
  <c r="P40" i="1"/>
  <c r="M40" i="1"/>
  <c r="J40" i="1"/>
  <c r="I40" i="1"/>
  <c r="AA39" i="1"/>
  <c r="Z39" i="1"/>
  <c r="X39" i="1"/>
  <c r="U39" i="1"/>
  <c r="Q39" i="1"/>
  <c r="P39" i="1"/>
  <c r="M39" i="1"/>
  <c r="J39" i="1"/>
  <c r="I39" i="1"/>
  <c r="AA38" i="1"/>
  <c r="Z38" i="1"/>
  <c r="X38" i="1"/>
  <c r="U38" i="1"/>
  <c r="Q38" i="1"/>
  <c r="P38" i="1"/>
  <c r="M38" i="1"/>
  <c r="J38" i="1"/>
  <c r="I38" i="1"/>
  <c r="AA37" i="1"/>
  <c r="Z37" i="1"/>
  <c r="X37" i="1"/>
  <c r="U37" i="1"/>
  <c r="Q37" i="1"/>
  <c r="P37" i="1"/>
  <c r="M37" i="1"/>
  <c r="J37" i="1"/>
  <c r="I37" i="1"/>
  <c r="AA36" i="1"/>
  <c r="Z36" i="1"/>
  <c r="X36" i="1"/>
  <c r="U36" i="1"/>
  <c r="Q36" i="1"/>
  <c r="P36" i="1"/>
  <c r="M36" i="1"/>
  <c r="J36" i="1"/>
  <c r="I36" i="1"/>
  <c r="AA35" i="1"/>
  <c r="Z35" i="1"/>
  <c r="X35" i="1"/>
  <c r="U35" i="1"/>
  <c r="Q35" i="1"/>
  <c r="P35" i="1"/>
  <c r="M35" i="1"/>
  <c r="J35" i="1"/>
  <c r="I35" i="1"/>
  <c r="AA34" i="1"/>
  <c r="Z34" i="1"/>
  <c r="X34" i="1"/>
  <c r="U34" i="1"/>
  <c r="Q34" i="1"/>
  <c r="P34" i="1"/>
  <c r="M34" i="1"/>
  <c r="J34" i="1"/>
  <c r="I34" i="1"/>
  <c r="AA33" i="1"/>
  <c r="Z33" i="1"/>
  <c r="X33" i="1"/>
  <c r="U33" i="1"/>
  <c r="Q33" i="1"/>
  <c r="P33" i="1"/>
  <c r="M33" i="1"/>
  <c r="J33" i="1"/>
  <c r="I33" i="1"/>
  <c r="AA32" i="1"/>
  <c r="Z32" i="1"/>
  <c r="X32" i="1"/>
  <c r="U32" i="1"/>
  <c r="Q32" i="1"/>
  <c r="P32" i="1"/>
  <c r="M32" i="1"/>
  <c r="J32" i="1"/>
  <c r="I32" i="1"/>
  <c r="AA31" i="1"/>
  <c r="Z31" i="1"/>
  <c r="X31" i="1"/>
  <c r="U31" i="1"/>
  <c r="Q31" i="1"/>
  <c r="P31" i="1"/>
  <c r="M31" i="1"/>
  <c r="J31" i="1"/>
  <c r="I31" i="1"/>
  <c r="AA30" i="1"/>
  <c r="Z30" i="1"/>
  <c r="X30" i="1"/>
  <c r="U30" i="1"/>
  <c r="Q30" i="1"/>
  <c r="P30" i="1"/>
  <c r="M30" i="1"/>
  <c r="J30" i="1"/>
  <c r="I30" i="1"/>
  <c r="AA29" i="1"/>
  <c r="Z29" i="1"/>
  <c r="X29" i="1"/>
  <c r="U29" i="1"/>
  <c r="Q29" i="1"/>
  <c r="P29" i="1"/>
  <c r="M29" i="1"/>
  <c r="J29" i="1"/>
  <c r="I29" i="1"/>
  <c r="AA28" i="1"/>
  <c r="M28" i="1"/>
  <c r="P28" i="1" s="1"/>
  <c r="I28" i="1"/>
  <c r="J28" i="1" s="1"/>
  <c r="AA27" i="1"/>
  <c r="M27" i="1"/>
  <c r="P27" i="1" s="1"/>
  <c r="I27" i="1"/>
  <c r="X27" i="1" s="1"/>
  <c r="AA26" i="1"/>
  <c r="M26" i="1"/>
  <c r="P26" i="1" s="1"/>
  <c r="I26" i="1"/>
  <c r="J26" i="1" s="1"/>
  <c r="AA25" i="1"/>
  <c r="M25" i="1"/>
  <c r="P25" i="1" s="1"/>
  <c r="I25" i="1"/>
  <c r="J25" i="1" s="1"/>
  <c r="AA24" i="1"/>
  <c r="M24" i="1"/>
  <c r="P24" i="1" s="1"/>
  <c r="I24" i="1"/>
  <c r="J24" i="1" s="1"/>
  <c r="AA23" i="1"/>
  <c r="M23" i="1"/>
  <c r="P23" i="1" s="1"/>
  <c r="I23" i="1"/>
  <c r="J23" i="1" s="1"/>
  <c r="AA22" i="1"/>
  <c r="M22" i="1"/>
  <c r="P22" i="1" s="1"/>
  <c r="I22" i="1"/>
  <c r="J22" i="1" s="1"/>
  <c r="E19" i="3" s="1"/>
  <c r="AA21" i="1"/>
  <c r="M21" i="1"/>
  <c r="Q21" i="1" s="1"/>
  <c r="Z21" i="1" s="1"/>
  <c r="I21" i="1"/>
  <c r="X21" i="1" s="1"/>
  <c r="AA20" i="1"/>
  <c r="M20" i="1"/>
  <c r="Q20" i="1" s="1"/>
  <c r="Z20" i="1" s="1"/>
  <c r="I20" i="1"/>
  <c r="J20" i="1" s="1"/>
  <c r="AA19" i="1"/>
  <c r="Z19" i="1"/>
  <c r="Q19" i="1"/>
  <c r="M19" i="1"/>
  <c r="P19" i="1" s="1"/>
  <c r="I19" i="1"/>
  <c r="X19" i="1" s="1"/>
  <c r="AA18" i="1"/>
  <c r="M18" i="1"/>
  <c r="P18" i="1" s="1"/>
  <c r="I18" i="1"/>
  <c r="J18" i="1" s="1"/>
  <c r="AA17" i="1"/>
  <c r="M17" i="1"/>
  <c r="P17" i="1" s="1"/>
  <c r="I17" i="1"/>
  <c r="X17" i="1" s="1"/>
  <c r="AA16" i="1"/>
  <c r="Z16" i="1"/>
  <c r="Q16" i="1"/>
  <c r="M16" i="1"/>
  <c r="P16" i="1" s="1"/>
  <c r="I16" i="1"/>
  <c r="J16" i="1" s="1"/>
  <c r="AA15" i="1"/>
  <c r="M15" i="1"/>
  <c r="P15" i="1" s="1"/>
  <c r="I15" i="1"/>
  <c r="X15" i="1" s="1"/>
  <c r="AA14" i="1"/>
  <c r="M14" i="1"/>
  <c r="P14" i="1" s="1"/>
  <c r="I14" i="1"/>
  <c r="X14" i="1" s="1"/>
  <c r="AA13" i="1"/>
  <c r="M13" i="1"/>
  <c r="P13" i="1" s="1"/>
  <c r="I13" i="1"/>
  <c r="J13" i="1" s="1"/>
  <c r="E10" i="3" s="1"/>
  <c r="AA12" i="1"/>
  <c r="M12" i="1"/>
  <c r="Q12" i="1" s="1"/>
  <c r="Z12" i="1" s="1"/>
  <c r="I12" i="1"/>
  <c r="J12" i="1" s="1"/>
  <c r="E9" i="3" s="1"/>
  <c r="AA11" i="1"/>
  <c r="M11" i="1"/>
  <c r="P11" i="1" s="1"/>
  <c r="I11" i="1"/>
  <c r="J11" i="1" s="1"/>
  <c r="Z8" i="1"/>
  <c r="Y8" i="1"/>
  <c r="X8" i="1"/>
  <c r="P7" i="1"/>
  <c r="M7" i="1"/>
  <c r="I4" i="1"/>
  <c r="F4" i="1"/>
  <c r="Q11" i="1" l="1"/>
  <c r="Z11" i="1" s="1"/>
  <c r="Q22" i="1"/>
  <c r="Z22" i="1" s="1"/>
  <c r="Q13" i="1"/>
  <c r="Z13" i="1" s="1"/>
  <c r="Q28" i="1"/>
  <c r="Z28" i="1" s="1"/>
  <c r="G48" i="3"/>
  <c r="G64" i="3"/>
  <c r="F45" i="3"/>
  <c r="H60" i="3"/>
  <c r="F65" i="3"/>
  <c r="F68" i="3"/>
  <c r="F76" i="3"/>
  <c r="H86" i="3"/>
  <c r="I27" i="3"/>
  <c r="G28" i="3"/>
  <c r="I31" i="3"/>
  <c r="G32" i="3"/>
  <c r="I35" i="3"/>
  <c r="G36" i="3"/>
  <c r="I39" i="3"/>
  <c r="G40" i="3"/>
  <c r="H42" i="3"/>
  <c r="H46" i="3"/>
  <c r="H50" i="3"/>
  <c r="H54" i="3"/>
  <c r="H58" i="3"/>
  <c r="H62" i="3"/>
  <c r="H66" i="3"/>
  <c r="G69" i="3"/>
  <c r="I71" i="3"/>
  <c r="H74" i="3"/>
  <c r="G77" i="3"/>
  <c r="I79" i="3"/>
  <c r="H82" i="3"/>
  <c r="G85" i="3"/>
  <c r="I87" i="3"/>
  <c r="H90" i="3"/>
  <c r="G93" i="3"/>
  <c r="I95" i="3"/>
  <c r="H98" i="3"/>
  <c r="G101" i="3"/>
  <c r="I103" i="3"/>
  <c r="H106" i="3"/>
  <c r="F107" i="3"/>
  <c r="F11" i="2"/>
  <c r="G44" i="3"/>
  <c r="G78" i="3"/>
  <c r="H52" i="3"/>
  <c r="H56" i="3"/>
  <c r="F61" i="3"/>
  <c r="H26" i="3"/>
  <c r="F27" i="3"/>
  <c r="H30" i="3"/>
  <c r="F31" i="3"/>
  <c r="H34" i="3"/>
  <c r="F35" i="3"/>
  <c r="H38" i="3"/>
  <c r="F39" i="3"/>
  <c r="G45" i="3"/>
  <c r="G49" i="3"/>
  <c r="G53" i="3"/>
  <c r="G57" i="3"/>
  <c r="G61" i="3"/>
  <c r="G65" i="3"/>
  <c r="G68" i="3"/>
  <c r="F71" i="3"/>
  <c r="H73" i="3"/>
  <c r="G76" i="3"/>
  <c r="F79" i="3"/>
  <c r="H81" i="3"/>
  <c r="G84" i="3"/>
  <c r="F87" i="3"/>
  <c r="H89" i="3"/>
  <c r="G92" i="3"/>
  <c r="F95" i="3"/>
  <c r="H97" i="3"/>
  <c r="G100" i="3"/>
  <c r="F103" i="3"/>
  <c r="H105" i="3"/>
  <c r="G102" i="3"/>
  <c r="F92" i="3"/>
  <c r="G27" i="3"/>
  <c r="G31" i="3"/>
  <c r="G35" i="3"/>
  <c r="G39" i="3"/>
  <c r="F42" i="3"/>
  <c r="H45" i="3"/>
  <c r="F46" i="3"/>
  <c r="H49" i="3"/>
  <c r="F50" i="3"/>
  <c r="H53" i="3"/>
  <c r="F54" i="3"/>
  <c r="H57" i="3"/>
  <c r="F58" i="3"/>
  <c r="H61" i="3"/>
  <c r="F62" i="3"/>
  <c r="H65" i="3"/>
  <c r="F66" i="3"/>
  <c r="H68" i="3"/>
  <c r="G71" i="3"/>
  <c r="F74" i="3"/>
  <c r="H76" i="3"/>
  <c r="G79" i="3"/>
  <c r="F82" i="3"/>
  <c r="H84" i="3"/>
  <c r="G87" i="3"/>
  <c r="F90" i="3"/>
  <c r="H92" i="3"/>
  <c r="G95" i="3"/>
  <c r="F98" i="3"/>
  <c r="H100" i="3"/>
  <c r="G103" i="3"/>
  <c r="F106" i="3"/>
  <c r="G70" i="3"/>
  <c r="G94" i="3"/>
  <c r="F49" i="3"/>
  <c r="F53" i="3"/>
  <c r="F57" i="3"/>
  <c r="F84" i="3"/>
  <c r="F100" i="3"/>
  <c r="C16" i="2"/>
  <c r="P20" i="1"/>
  <c r="F10" i="3"/>
  <c r="X20" i="1"/>
  <c r="Q18" i="1"/>
  <c r="Z18" i="1" s="1"/>
  <c r="Q25" i="1"/>
  <c r="Z25" i="1" s="1"/>
  <c r="P21" i="1"/>
  <c r="Q17" i="1"/>
  <c r="Z17" i="1" s="1"/>
  <c r="Q15" i="1"/>
  <c r="Z15" i="1" s="1"/>
  <c r="Q14" i="1"/>
  <c r="Z14" i="1" s="1"/>
  <c r="Q24" i="1"/>
  <c r="Z24" i="1" s="1"/>
  <c r="Q23" i="1"/>
  <c r="Z23" i="1" s="1"/>
  <c r="Q27" i="1"/>
  <c r="Z27" i="1" s="1"/>
  <c r="Q26" i="1"/>
  <c r="Z26" i="1" s="1"/>
  <c r="X28" i="1"/>
  <c r="E25" i="3"/>
  <c r="F25" i="3"/>
  <c r="F17" i="3"/>
  <c r="X22" i="1"/>
  <c r="X18" i="1"/>
  <c r="X16" i="1"/>
  <c r="P12" i="1"/>
  <c r="I9" i="3" s="1"/>
  <c r="X23" i="1"/>
  <c r="I10" i="3"/>
  <c r="U44" i="1"/>
  <c r="J41" i="3" s="1"/>
  <c r="E41" i="3"/>
  <c r="J27" i="1"/>
  <c r="X26" i="1"/>
  <c r="X25" i="1"/>
  <c r="X24" i="1"/>
  <c r="F13" i="3"/>
  <c r="X13" i="1"/>
  <c r="X12" i="1"/>
  <c r="X11" i="1"/>
  <c r="J17" i="1"/>
  <c r="F14" i="3"/>
  <c r="E13" i="3"/>
  <c r="G13" i="3" s="1"/>
  <c r="U16" i="1"/>
  <c r="J13" i="3" s="1"/>
  <c r="J15" i="1"/>
  <c r="J14" i="1"/>
  <c r="U12" i="1"/>
  <c r="J9" i="3" s="1"/>
  <c r="F9" i="3"/>
  <c r="E8" i="3"/>
  <c r="H8" i="3" s="1"/>
  <c r="E15" i="3"/>
  <c r="H15" i="3" s="1"/>
  <c r="J19" i="1"/>
  <c r="E17" i="3"/>
  <c r="H17" i="3" s="1"/>
  <c r="U20" i="1"/>
  <c r="J17" i="3" s="1"/>
  <c r="F18" i="3"/>
  <c r="J21" i="1"/>
  <c r="I19" i="3"/>
  <c r="E20" i="3"/>
  <c r="H20" i="3" s="1"/>
  <c r="E21" i="3"/>
  <c r="I21" i="3" s="1"/>
  <c r="F21" i="3"/>
  <c r="E22" i="3"/>
  <c r="I22" i="3" s="1"/>
  <c r="F22" i="3"/>
  <c r="E23" i="3"/>
  <c r="H23" i="3" s="1"/>
  <c r="G11" i="2"/>
  <c r="C17" i="2"/>
  <c r="F24" i="3"/>
  <c r="F23" i="3"/>
  <c r="F19" i="3"/>
  <c r="H19" i="3"/>
  <c r="F15" i="3"/>
  <c r="F11" i="3"/>
  <c r="H10" i="3"/>
  <c r="G9" i="3"/>
  <c r="H9" i="3"/>
  <c r="F8" i="3"/>
  <c r="F12" i="3"/>
  <c r="F16" i="3"/>
  <c r="F20" i="3"/>
  <c r="G19" i="3" l="1"/>
  <c r="U23" i="1"/>
  <c r="J20" i="3" s="1"/>
  <c r="G10" i="3"/>
  <c r="U11" i="1"/>
  <c r="J8" i="3" s="1"/>
  <c r="U24" i="1"/>
  <c r="J21" i="3" s="1"/>
  <c r="U22" i="1"/>
  <c r="J19" i="3" s="1"/>
  <c r="H21" i="3"/>
  <c r="U25" i="1"/>
  <c r="J22" i="3" s="1"/>
  <c r="U13" i="1"/>
  <c r="J10" i="3" s="1"/>
  <c r="U28" i="1"/>
  <c r="J25" i="3" s="1"/>
  <c r="C18" i="2"/>
  <c r="G20" i="3"/>
  <c r="I20" i="3"/>
  <c r="U18" i="1"/>
  <c r="J15" i="3" s="1"/>
  <c r="G15" i="3"/>
  <c r="U26" i="1"/>
  <c r="J23" i="3" s="1"/>
  <c r="G25" i="3"/>
  <c r="I25" i="3"/>
  <c r="H25" i="3"/>
  <c r="I15" i="3"/>
  <c r="I8" i="3"/>
  <c r="G8" i="3"/>
  <c r="I23" i="3"/>
  <c r="G23" i="3"/>
  <c r="H22" i="3"/>
  <c r="G22" i="3"/>
  <c r="I41" i="3"/>
  <c r="H41" i="3"/>
  <c r="G41" i="3"/>
  <c r="U27" i="1"/>
  <c r="J24" i="3" s="1"/>
  <c r="E24" i="3"/>
  <c r="G21" i="3"/>
  <c r="G17" i="3"/>
  <c r="I17" i="3"/>
  <c r="E14" i="3"/>
  <c r="U17" i="1"/>
  <c r="J14" i="3" s="1"/>
  <c r="H13" i="3"/>
  <c r="I13" i="3"/>
  <c r="U15" i="1"/>
  <c r="J12" i="3" s="1"/>
  <c r="E12" i="3"/>
  <c r="E11" i="3"/>
  <c r="U14" i="1"/>
  <c r="J11" i="3" s="1"/>
  <c r="U19" i="1"/>
  <c r="J16" i="3" s="1"/>
  <c r="E16" i="3"/>
  <c r="E18" i="3"/>
  <c r="U21" i="1"/>
  <c r="J18" i="3" s="1"/>
  <c r="K9" i="2" l="1"/>
  <c r="G17" i="2" s="1"/>
  <c r="Q8" i="2"/>
  <c r="J16" i="2" s="1"/>
  <c r="J9" i="2"/>
  <c r="F17" i="2" s="1"/>
  <c r="I24" i="3"/>
  <c r="H24" i="3"/>
  <c r="G24" i="3"/>
  <c r="R9" i="2"/>
  <c r="K17" i="2" s="1"/>
  <c r="I8" i="2"/>
  <c r="E16" i="2" s="1"/>
  <c r="S8" i="2"/>
  <c r="L16" i="2" s="1"/>
  <c r="K8" i="2"/>
  <c r="I9" i="2"/>
  <c r="E17" i="2" s="1"/>
  <c r="H8" i="2"/>
  <c r="D16" i="2" s="1"/>
  <c r="J8" i="2"/>
  <c r="F16" i="2" s="1"/>
  <c r="R8" i="2"/>
  <c r="K16" i="2" s="1"/>
  <c r="Q9" i="2"/>
  <c r="J17" i="2" s="1"/>
  <c r="P8" i="2"/>
  <c r="I16" i="2" s="1"/>
  <c r="S9" i="2"/>
  <c r="L17" i="2" s="1"/>
  <c r="G14" i="3"/>
  <c r="H14" i="3"/>
  <c r="I14" i="3"/>
  <c r="H12" i="3"/>
  <c r="I12" i="3"/>
  <c r="G12" i="3"/>
  <c r="G11" i="3"/>
  <c r="H11" i="3"/>
  <c r="I11" i="3"/>
  <c r="I16" i="3"/>
  <c r="G16" i="3"/>
  <c r="H16" i="3"/>
  <c r="O9" i="2"/>
  <c r="H17" i="2" s="1"/>
  <c r="O8" i="2"/>
  <c r="P9" i="2"/>
  <c r="I17" i="2" s="1"/>
  <c r="H9" i="2"/>
  <c r="D17" i="2" s="1"/>
  <c r="G18" i="3"/>
  <c r="H18" i="3"/>
  <c r="I18" i="3"/>
  <c r="N9" i="2" s="1"/>
  <c r="K11" i="2" l="1"/>
  <c r="G18" i="2" s="1"/>
  <c r="M9" i="2"/>
  <c r="L9" i="2"/>
  <c r="M8" i="2"/>
  <c r="G16" i="2"/>
  <c r="J11" i="2"/>
  <c r="F18" i="2" s="1"/>
  <c r="N8" i="2"/>
  <c r="N11" i="2" s="1"/>
  <c r="I11" i="2"/>
  <c r="E18" i="2" s="1"/>
  <c r="Q11" i="2"/>
  <c r="J18" i="2" s="1"/>
  <c r="R11" i="2"/>
  <c r="K18" i="2" s="1"/>
  <c r="L8" i="2"/>
  <c r="S11" i="2"/>
  <c r="L18" i="2" s="1"/>
  <c r="H11" i="2"/>
  <c r="D18" i="2" s="1"/>
  <c r="P11" i="2"/>
  <c r="I18" i="2" s="1"/>
  <c r="H16" i="2"/>
  <c r="O11" i="2"/>
  <c r="H18" i="2" s="1"/>
  <c r="M11" i="2" l="1"/>
  <c r="L11" i="2"/>
</calcChain>
</file>

<file path=xl/sharedStrings.xml><?xml version="1.0" encoding="utf-8"?>
<sst xmlns="http://schemas.openxmlformats.org/spreadsheetml/2006/main" count="299" uniqueCount="206">
  <si>
    <t>CRLA2v1</t>
  </si>
  <si>
    <t xml:space="preserve"> </t>
  </si>
  <si>
    <t>ASSESSMENT TYPE</t>
  </si>
  <si>
    <t>MoSY</t>
  </si>
  <si>
    <t>School ID:</t>
  </si>
  <si>
    <t>Total Enrolment</t>
  </si>
  <si>
    <t>Total Assessed :</t>
  </si>
  <si>
    <t>Schoo Name:</t>
  </si>
  <si>
    <t>ROMANA ES</t>
  </si>
  <si>
    <t>Male</t>
  </si>
  <si>
    <t>Female</t>
  </si>
  <si>
    <t>Assessment Part 1
(Letter Sounds,  Rhyming Words and Sentences Reading)</t>
  </si>
  <si>
    <r>
      <rPr>
        <b/>
        <sz val="9"/>
        <color theme="1"/>
        <rFont val="Calibri"/>
        <family val="2"/>
        <scheme val="minor"/>
      </rPr>
      <t xml:space="preserve">RHYME SCORE 
</t>
    </r>
    <r>
      <rPr>
        <sz val="9"/>
        <color theme="1"/>
        <rFont val="Calibri"/>
        <family val="2"/>
        <scheme val="minor"/>
      </rPr>
      <t xml:space="preserve">0 to 10 – Full Refresher
11 to 16 – Moderate Refresher
</t>
    </r>
    <r>
      <rPr>
        <b/>
        <sz val="9"/>
        <color theme="1"/>
        <rFont val="Calibri"/>
        <family val="2"/>
        <scheme val="minor"/>
      </rPr>
      <t xml:space="preserve">SENTENCE SCORE </t>
    </r>
    <r>
      <rPr>
        <sz val="9"/>
        <color theme="1"/>
        <rFont val="Calibri"/>
        <family val="2"/>
        <scheme val="minor"/>
      </rPr>
      <t xml:space="preserve">
17 to 26 – Light Refresher
27 to 30 – Grade Ready</t>
    </r>
  </si>
  <si>
    <t>Asssessment Part 2
 (Reading Fluency and Comprehension)</t>
  </si>
  <si>
    <t>Teacher:</t>
  </si>
  <si>
    <t>RAMONA B. PUNZALAN</t>
  </si>
  <si>
    <t>Grade:</t>
  </si>
  <si>
    <t>Grade 1</t>
  </si>
  <si>
    <t>Total Words per Story</t>
  </si>
  <si>
    <t>Task 1 – Write the number of letters sounded out correctly</t>
  </si>
  <si>
    <t>Rhymes 
(Task 2) 
If task 1 score is 0 to 6</t>
  </si>
  <si>
    <t>Sentence
 (Task 2) 
If task 1 score is 7 to 10
Task 2L=10</t>
  </si>
  <si>
    <t>Total Score = Task 1 Score + Task 2L+Task 2H Score</t>
  </si>
  <si>
    <t>Total Words Per Story</t>
  </si>
  <si>
    <t>Story 1</t>
  </si>
  <si>
    <t>Story 2</t>
  </si>
  <si>
    <t>Section:</t>
  </si>
  <si>
    <t>Story Number 
1 or 2</t>
  </si>
  <si>
    <t>Total Reading Miscues</t>
  </si>
  <si>
    <t>Number of Words Read within 1 min</t>
  </si>
  <si>
    <t>Total Time Used in Reading 
(Max : 1 Min)</t>
  </si>
  <si>
    <t>Number of Words per Minute (WPM)</t>
  </si>
  <si>
    <t>Language:</t>
  </si>
  <si>
    <t>Hiligaynon</t>
  </si>
  <si>
    <t>S/N</t>
  </si>
  <si>
    <t>LRN</t>
  </si>
  <si>
    <t>Name of Learner</t>
  </si>
  <si>
    <t>Sex</t>
  </si>
  <si>
    <t>Date of Asessment</t>
  </si>
  <si>
    <t>Task 1 
(10)</t>
  </si>
  <si>
    <t>Task 2L
Rymes
(10)</t>
  </si>
  <si>
    <t>Task 2H
Sentences
(10)</t>
  </si>
  <si>
    <t>Total Score</t>
  </si>
  <si>
    <t xml:space="preserve"> Assessment Part 1
 Reading Level</t>
  </si>
  <si>
    <t>Story Number</t>
  </si>
  <si>
    <t>Number of Miscue</t>
  </si>
  <si>
    <t>Words Read</t>
  </si>
  <si>
    <t>Total 
Mins    Secs</t>
  </si>
  <si>
    <t>WPM</t>
  </si>
  <si>
    <t>% of Correct Words Read</t>
  </si>
  <si>
    <t>Total Correct Answer</t>
  </si>
  <si>
    <t>Leaner Experience
(Rating 1-5)</t>
  </si>
  <si>
    <t>Observation Level</t>
  </si>
  <si>
    <t>LEARNER READING PROFILE</t>
  </si>
  <si>
    <t>Remarks</t>
  </si>
  <si>
    <t>Task 1</t>
  </si>
  <si>
    <t>Task 3</t>
  </si>
  <si>
    <t>Task 4</t>
  </si>
  <si>
    <t>CARDINAL,CIAN, DEMIAR</t>
  </si>
  <si>
    <t>Level 1</t>
  </si>
  <si>
    <t>CARDINAL,REY ROES, PANGANTIHON</t>
  </si>
  <si>
    <t>FRANTE,ARK JAY, CABALLERO</t>
  </si>
  <si>
    <t>GANCIA,JELLO, GIER</t>
  </si>
  <si>
    <t>GANCIA, RHAYCO, NARCISO</t>
  </si>
  <si>
    <t>GARDOSE,KIETH DION, CADUCOY</t>
  </si>
  <si>
    <t>GILUA,ARON JAMES, SUNDAYON</t>
  </si>
  <si>
    <t>LABANZA,DAVID RHON, PALACIO</t>
  </si>
  <si>
    <t>LABANZA,JAY-K, NOBLE</t>
  </si>
  <si>
    <t>LANGYON,JOHN KENNETH, ESTOCADA</t>
  </si>
  <si>
    <t>ESLANA,SHANEL, JACOMILLA</t>
  </si>
  <si>
    <t>JUMBAS,JHANEZZA KAYE, ARCENAL</t>
  </si>
  <si>
    <t>LLAGOSO,PAULA JADE, RICABO</t>
  </si>
  <si>
    <t>MESIAS, SAVINNAH DOMINIQUE, GARDOSE</t>
  </si>
  <si>
    <t>School:</t>
  </si>
  <si>
    <t>GRADE 1 Reading Assessment CLASS RECORD</t>
  </si>
  <si>
    <t>Assessment Part 1</t>
  </si>
  <si>
    <t>Assessment Part 2</t>
  </si>
  <si>
    <t>READING PROFILE</t>
  </si>
  <si>
    <t>Assessment Part 1 
Level</t>
  </si>
  <si>
    <t>% of Total Score</t>
  </si>
  <si>
    <t xml:space="preserve">Reading Fluency </t>
  </si>
  <si>
    <t>Reading Comprehension</t>
  </si>
  <si>
    <t>Average Word Per Minute</t>
  </si>
  <si>
    <t>REMARKS</t>
  </si>
  <si>
    <t>CRLA3v1</t>
  </si>
  <si>
    <t>GRADE 1 Assessment Scoresheet (CLASS SUMMARY)</t>
  </si>
  <si>
    <t>SCHOOL ID :</t>
  </si>
  <si>
    <t>SCHOOL NAME:</t>
  </si>
  <si>
    <t>Grade</t>
  </si>
  <si>
    <t>Language</t>
  </si>
  <si>
    <t>Number of Learners Enrolled</t>
  </si>
  <si>
    <t>Number of Learners Assessed</t>
  </si>
  <si>
    <t>Assessment Part 1 Level</t>
  </si>
  <si>
    <t>Assessment Part 2 Average Score</t>
  </si>
  <si>
    <t>Section</t>
  </si>
  <si>
    <t>Teacher</t>
  </si>
  <si>
    <t>Full Refresher</t>
  </si>
  <si>
    <t>Moderate Refresher</t>
  </si>
  <si>
    <t>Light Refresher</t>
  </si>
  <si>
    <t>Grade Ready</t>
  </si>
  <si>
    <t>Reading Fluency</t>
  </si>
  <si>
    <t>Low Emerging Reader</t>
  </si>
  <si>
    <t>High Emerging Reader</t>
  </si>
  <si>
    <t>Developing Reader</t>
  </si>
  <si>
    <t>Transitioning Reader</t>
  </si>
  <si>
    <t>Reading At Grade Level</t>
  </si>
  <si>
    <t>Total</t>
  </si>
  <si>
    <t xml:space="preserve">Percent (%) of Learners </t>
  </si>
  <si>
    <t>Percent of Learners assessed</t>
  </si>
  <si>
    <t>Reading Profile</t>
  </si>
  <si>
    <t>Reading Level</t>
  </si>
  <si>
    <t>Criteria</t>
  </si>
  <si>
    <t>Observations Level</t>
  </si>
  <si>
    <t>Learner scores 0 to 16 in Assessment Part 1</t>
  </si>
  <si>
    <t>Learner reads less than 25% of the passage in 1minute and cannot answer any of the questions</t>
  </si>
  <si>
    <t>Reads word by word</t>
  </si>
  <si>
    <t>Learner reads between 26% to 50% of  passage accurately in 1 minute  and answers 1 question correctly</t>
  </si>
  <si>
    <t>Level 2</t>
  </si>
  <si>
    <t>Reads word in chunks</t>
  </si>
  <si>
    <t>Learner reads between 51% to 75% of  passage accurately in 1 minute AND answers 2 to 3 questions correctly.</t>
  </si>
  <si>
    <t>Level 3</t>
  </si>
  <si>
    <t>Reads fluently but not observing functuation marks</t>
  </si>
  <si>
    <t>Learner reads between 76% to 100% of  passage accurately in 1 minute AND answers 4 to 5 questions correctly.</t>
  </si>
  <si>
    <t>Level 4</t>
  </si>
  <si>
    <t>Reads fluently with proper expression</t>
  </si>
  <si>
    <t>Reading</t>
  </si>
  <si>
    <t xml:space="preserve">Region </t>
  </si>
  <si>
    <t>Grade Level</t>
  </si>
  <si>
    <t>Passage Title</t>
  </si>
  <si>
    <t>Number of Words</t>
  </si>
  <si>
    <t xml:space="preserve"> Story 2</t>
  </si>
  <si>
    <t>0%</t>
  </si>
  <si>
    <t>NCR</t>
  </si>
  <si>
    <t>Akeanon</t>
  </si>
  <si>
    <t>Central Bikol</t>
  </si>
  <si>
    <t>Maugma si Alma</t>
  </si>
  <si>
    <t>An Mga Ataman ni Mako</t>
  </si>
  <si>
    <t>&lt;50%</t>
  </si>
  <si>
    <t>CAR</t>
  </si>
  <si>
    <t>Bahasa Sug</t>
  </si>
  <si>
    <t>Tagalog</t>
  </si>
  <si>
    <t>Hindi na Ako Natatakot</t>
  </si>
  <si>
    <t>Kaarawan ni Ate</t>
  </si>
  <si>
    <t>50%</t>
  </si>
  <si>
    <t>Region I</t>
  </si>
  <si>
    <t>Bikol Libon</t>
  </si>
  <si>
    <t>Rinconada</t>
  </si>
  <si>
    <t>ALOP NA UPOS</t>
  </si>
  <si>
    <t>LASO NI LALA</t>
  </si>
  <si>
    <t>&gt;50%</t>
  </si>
  <si>
    <t>Region II</t>
  </si>
  <si>
    <t>Buhi-non</t>
  </si>
  <si>
    <t>Minasbate</t>
  </si>
  <si>
    <t>SI KAKA NI PAKA</t>
  </si>
  <si>
    <t>AN MAISAN NI SIMA</t>
  </si>
  <si>
    <t>100%</t>
  </si>
  <si>
    <t>Region III</t>
  </si>
  <si>
    <t>Caluyanen</t>
  </si>
  <si>
    <t>Pamilya Rama</t>
  </si>
  <si>
    <t>Si Bela</t>
  </si>
  <si>
    <t>Region IV-A</t>
  </si>
  <si>
    <t>Ang Pulseras ni Nika</t>
  </si>
  <si>
    <t> Ang Regalo</t>
  </si>
  <si>
    <t xml:space="preserve">Region IV-B </t>
  </si>
  <si>
    <t>Chavacano</t>
  </si>
  <si>
    <t>Hiliray-a (Kinaray-a Iloilo)</t>
  </si>
  <si>
    <t>AY, URAN</t>
  </si>
  <si>
    <t>Pinutos ni Tatay</t>
  </si>
  <si>
    <t xml:space="preserve">Region V </t>
  </si>
  <si>
    <t>Cuyonon</t>
  </si>
  <si>
    <t xml:space="preserve">Kinaray-a </t>
  </si>
  <si>
    <t>Ang Matandus ko nga Tatay</t>
  </si>
  <si>
    <t>Si Dina</t>
  </si>
  <si>
    <t>Region VI</t>
  </si>
  <si>
    <t>Magindanawn</t>
  </si>
  <si>
    <t>Si Alim a Matulanged</t>
  </si>
  <si>
    <t>Su Manga Ulak</t>
  </si>
  <si>
    <t xml:space="preserve">Region VII </t>
  </si>
  <si>
    <t>Sinugbuanong Binisaya</t>
  </si>
  <si>
    <t>Ang Pagbisita ni Lola Neneng</t>
  </si>
  <si>
    <t>Ang Batang Buotan</t>
  </si>
  <si>
    <t xml:space="preserve">Region VIII </t>
  </si>
  <si>
    <t>Ibanag</t>
  </si>
  <si>
    <t>Region IX</t>
  </si>
  <si>
    <t>Ilocano</t>
  </si>
  <si>
    <t xml:space="preserve">Region X </t>
  </si>
  <si>
    <t>Inabaknon</t>
  </si>
  <si>
    <t xml:space="preserve">Region XI </t>
  </si>
  <si>
    <t>Ivatan</t>
  </si>
  <si>
    <t xml:space="preserve">Region XII </t>
  </si>
  <si>
    <t>Kapampangan</t>
  </si>
  <si>
    <t xml:space="preserve">Region XIII </t>
  </si>
  <si>
    <t>BARMM</t>
  </si>
  <si>
    <t xml:space="preserve">Meranaw </t>
  </si>
  <si>
    <t>Miraya</t>
  </si>
  <si>
    <t>Northern Catanduanes</t>
  </si>
  <si>
    <t>Northern Sorsoganon</t>
  </si>
  <si>
    <t>Pangasinan</t>
  </si>
  <si>
    <t xml:space="preserve">Sambal </t>
  </si>
  <si>
    <t>Southern Catanduanes</t>
  </si>
  <si>
    <t>Southern Sorsoganon</t>
  </si>
  <si>
    <t>Surigaonon</t>
  </si>
  <si>
    <t>Waray</t>
  </si>
  <si>
    <t>West Albay Bikol</t>
  </si>
  <si>
    <t>Yakan</t>
  </si>
  <si>
    <t>Other 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</si>
</sst>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m/dd/yy;@"/>
  </numFmts>
  <fonts count="30">
    <font>
      <sz val="11"/>
      <color theme="1"/>
      <name val="Calibri"/>
      <charset val="134"/>
      <scheme val="minor"/>
    </font>
    <font>
      <b/>
      <sz val="11"/>
      <color theme="1"/>
      <name val="Calibri"/>
      <family val="2"/>
      <scheme val="minor"/>
    </font>
    <font>
      <b/>
      <sz val="12"/>
      <color theme="1"/>
      <name val="Calibri"/>
      <family val="2"/>
      <scheme val="minor"/>
    </font>
    <font>
      <b/>
      <sz val="12"/>
      <color theme="0"/>
      <name val="Arial"/>
      <family val="2"/>
    </font>
    <font>
      <b/>
      <sz val="9"/>
      <color theme="1"/>
      <name val="Calibri"/>
      <family val="2"/>
      <scheme val="minor"/>
    </font>
    <font>
      <b/>
      <sz val="10"/>
      <color theme="1"/>
      <name val="Calibri"/>
      <family val="2"/>
      <scheme val="minor"/>
    </font>
    <font>
      <sz val="10"/>
      <color theme="1"/>
      <name val="Calibri"/>
      <family val="2"/>
      <scheme val="minor"/>
    </font>
    <font>
      <sz val="9"/>
      <color theme="1"/>
      <name val="Arial"/>
      <family val="2"/>
    </font>
    <font>
      <b/>
      <sz val="10"/>
      <color theme="1"/>
      <name val="Arial"/>
      <family val="2"/>
    </font>
    <font>
      <sz val="10"/>
      <name val="Arial"/>
      <family val="2"/>
    </font>
    <font>
      <b/>
      <sz val="10"/>
      <color theme="0"/>
      <name val="Arial"/>
      <family val="2"/>
    </font>
    <font>
      <b/>
      <sz val="10"/>
      <name val="Arial"/>
      <family val="2"/>
    </font>
    <font>
      <b/>
      <sz val="9"/>
      <color theme="1"/>
      <name val="Arial"/>
      <family val="2"/>
    </font>
    <font>
      <b/>
      <sz val="11"/>
      <color theme="0"/>
      <name val="Calibri"/>
      <family val="2"/>
      <scheme val="minor"/>
    </font>
    <font>
      <sz val="18"/>
      <color theme="1"/>
      <name val="Calibri"/>
      <family val="2"/>
      <scheme val="minor"/>
    </font>
    <font>
      <sz val="12"/>
      <color theme="1"/>
      <name val="Arial"/>
      <family val="2"/>
    </font>
    <font>
      <sz val="12"/>
      <name val="Arial"/>
      <family val="2"/>
    </font>
    <font>
      <b/>
      <sz val="9"/>
      <name val="Arial"/>
      <family val="2"/>
    </font>
    <font>
      <sz val="10"/>
      <color theme="1"/>
      <name val="Arial"/>
      <family val="2"/>
    </font>
    <font>
      <b/>
      <sz val="8"/>
      <name val="Arial"/>
      <family val="2"/>
    </font>
    <font>
      <sz val="8"/>
      <color theme="1"/>
      <name val="Arial"/>
      <family val="2"/>
    </font>
    <font>
      <b/>
      <sz val="8"/>
      <color theme="1"/>
      <name val="Arial"/>
      <family val="2"/>
    </font>
    <font>
      <i/>
      <sz val="10"/>
      <name val="Arial"/>
      <family val="2"/>
    </font>
    <font>
      <i/>
      <sz val="10"/>
      <color theme="1"/>
      <name val="Arial"/>
      <family val="2"/>
    </font>
    <font>
      <sz val="12"/>
      <color theme="1"/>
      <name val="Calibri"/>
      <family val="2"/>
      <scheme val="minor"/>
    </font>
    <font>
      <sz val="9"/>
      <color theme="1"/>
      <name val="Calibri"/>
      <family val="2"/>
      <scheme val="minor"/>
    </font>
    <font>
      <b/>
      <i/>
      <sz val="8"/>
      <color theme="1"/>
      <name val="Arial"/>
      <family val="2"/>
    </font>
    <font>
      <sz val="8"/>
      <color theme="1"/>
      <name val="Calibri"/>
      <family val="2"/>
      <scheme val="minor"/>
    </font>
    <font>
      <sz val="11"/>
      <name val="Calibri"/>
      <family val="2"/>
      <scheme val="minor"/>
    </font>
    <font>
      <sz val="11"/>
      <color theme="1"/>
      <name val="Calibri"/>
      <family val="2"/>
      <scheme val="minor"/>
    </font>
  </fonts>
  <fills count="18">
    <fill>
      <patternFill patternType="none"/>
    </fill>
    <fill>
      <patternFill patternType="gray125"/>
    </fill>
    <fill>
      <patternFill patternType="solid">
        <fgColor rgb="FFFFFF00"/>
        <bgColor indexed="64"/>
      </patternFill>
    </fill>
    <fill>
      <patternFill patternType="solid">
        <fgColor theme="9" tint="0.79995117038483843"/>
        <bgColor indexed="64"/>
      </patternFill>
    </fill>
    <fill>
      <patternFill patternType="solid">
        <fgColor rgb="FFFFC000"/>
        <bgColor indexed="64"/>
      </patternFill>
    </fill>
    <fill>
      <patternFill patternType="solid">
        <fgColor theme="0" tint="-0.14996795556505021"/>
        <bgColor indexed="64"/>
      </patternFill>
    </fill>
    <fill>
      <patternFill patternType="solid">
        <fgColor theme="0" tint="-0.499984740745262"/>
        <bgColor indexed="64"/>
      </patternFill>
    </fill>
    <fill>
      <patternFill patternType="solid">
        <fgColor theme="7" tint="0.79995117038483843"/>
        <bgColor indexed="64"/>
      </patternFill>
    </fill>
    <fill>
      <patternFill patternType="solid">
        <fgColor theme="0" tint="-4.9989318521683403E-2"/>
        <bgColor indexed="64"/>
      </patternFill>
    </fill>
    <fill>
      <patternFill patternType="solid">
        <fgColor theme="8" tint="0.79995117038483843"/>
        <bgColor indexed="64"/>
      </patternFill>
    </fill>
    <fill>
      <patternFill patternType="solid">
        <fgColor theme="8" tint="0.59999389629810485"/>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79995117038483843"/>
        <bgColor indexed="64"/>
      </patternFill>
    </fill>
    <fill>
      <patternFill patternType="solid">
        <fgColor theme="1" tint="0.499984740745262"/>
        <bgColor indexed="64"/>
      </patternFill>
    </fill>
    <fill>
      <patternFill patternType="solid">
        <fgColor rgb="FFFFFFFF"/>
        <bgColor indexed="64"/>
      </patternFill>
    </fill>
    <fill>
      <patternFill patternType="solid">
        <fgColor theme="0"/>
        <bgColor indexed="64"/>
      </patternFill>
    </fill>
    <fill>
      <patternFill patternType="solid">
        <fgColor theme="2" tint="-0.249977111117893"/>
        <bgColor indexed="64"/>
      </patternFill>
    </fill>
  </fills>
  <borders count="56">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thin">
        <color auto="1"/>
      </left>
      <right style="thin">
        <color auto="1"/>
      </right>
      <top style="medium">
        <color auto="1"/>
      </top>
      <bottom/>
      <diagonal/>
    </border>
    <border>
      <left style="thin">
        <color auto="1"/>
      </left>
      <right style="thin">
        <color auto="1"/>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medium">
        <color auto="1"/>
      </right>
      <top style="medium">
        <color auto="1"/>
      </top>
      <bottom style="medium">
        <color auto="1"/>
      </bottom>
      <diagonal/>
    </border>
    <border>
      <left/>
      <right style="medium">
        <color auto="1"/>
      </right>
      <top style="medium">
        <color auto="1"/>
      </top>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thin">
        <color auto="1"/>
      </top>
      <bottom style="thin">
        <color auto="1"/>
      </bottom>
      <diagonal/>
    </border>
    <border>
      <left/>
      <right style="medium">
        <color auto="1"/>
      </right>
      <top style="medium">
        <color auto="1"/>
      </top>
      <bottom style="thin">
        <color auto="1"/>
      </bottom>
      <diagonal/>
    </border>
    <border>
      <left style="thin">
        <color auto="1"/>
      </left>
      <right style="medium">
        <color auto="1"/>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medium">
        <color auto="1"/>
      </right>
      <top/>
      <bottom/>
      <diagonal/>
    </border>
    <border>
      <left/>
      <right style="thin">
        <color auto="1"/>
      </right>
      <top/>
      <bottom style="thin">
        <color auto="1"/>
      </bottom>
      <diagonal/>
    </border>
    <border>
      <left style="thin">
        <color auto="1"/>
      </left>
      <right style="medium">
        <color auto="1"/>
      </right>
      <top/>
      <bottom style="thin">
        <color auto="1"/>
      </bottom>
      <diagonal/>
    </border>
    <border>
      <left style="thin">
        <color auto="1"/>
      </left>
      <right/>
      <top/>
      <bottom style="thin">
        <color auto="1"/>
      </bottom>
      <diagonal/>
    </border>
    <border>
      <left style="thin">
        <color auto="1"/>
      </left>
      <right/>
      <top style="thin">
        <color auto="1"/>
      </top>
      <bottom style="medium">
        <color auto="1"/>
      </bottom>
      <diagonal/>
    </border>
    <border>
      <left/>
      <right/>
      <top/>
      <bottom style="thin">
        <color auto="1"/>
      </bottom>
      <diagonal/>
    </border>
    <border>
      <left style="medium">
        <color auto="1"/>
      </left>
      <right style="medium">
        <color auto="1"/>
      </right>
      <top style="medium">
        <color auto="1"/>
      </top>
      <bottom style="medium">
        <color auto="1"/>
      </bottom>
      <diagonal/>
    </border>
    <border>
      <left style="medium">
        <color auto="1"/>
      </left>
      <right/>
      <top style="thin">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top style="medium">
        <color auto="1"/>
      </top>
      <bottom style="medium">
        <color auto="1"/>
      </bottom>
      <diagonal/>
    </border>
    <border>
      <left style="medium">
        <color auto="1"/>
      </left>
      <right style="thin">
        <color auto="1"/>
      </right>
      <top/>
      <bottom style="thin">
        <color auto="1"/>
      </bottom>
      <diagonal/>
    </border>
    <border>
      <left/>
      <right/>
      <top style="medium">
        <color auto="1"/>
      </top>
      <bottom style="medium">
        <color auto="1"/>
      </bottom>
      <diagonal/>
    </border>
    <border>
      <left style="medium">
        <color auto="1"/>
      </left>
      <right/>
      <top/>
      <bottom/>
      <diagonal/>
    </border>
    <border>
      <left/>
      <right style="medium">
        <color auto="1"/>
      </right>
      <top/>
      <bottom/>
      <diagonal/>
    </border>
    <border>
      <left style="thin">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right style="thin">
        <color auto="1"/>
      </right>
      <top/>
      <bottom style="medium">
        <color auto="1"/>
      </bottom>
      <diagonal/>
    </border>
    <border>
      <left/>
      <right style="medium">
        <color auto="1"/>
      </right>
      <top style="medium">
        <color auto="1"/>
      </top>
      <bottom style="medium">
        <color auto="1"/>
      </bottom>
      <diagonal/>
    </border>
    <border>
      <left/>
      <right style="thin">
        <color auto="1"/>
      </right>
      <top style="medium">
        <color auto="1"/>
      </top>
      <bottom style="medium">
        <color auto="1"/>
      </bottom>
      <diagonal/>
    </border>
    <border>
      <left style="thin">
        <color auto="1"/>
      </left>
      <right/>
      <top/>
      <bottom/>
      <diagonal/>
    </border>
    <border>
      <left/>
      <right style="medium">
        <color auto="1"/>
      </right>
      <top/>
      <bottom style="medium">
        <color auto="1"/>
      </bottom>
      <diagonal/>
    </border>
    <border>
      <left/>
      <right style="thin">
        <color auto="1"/>
      </right>
      <top style="thin">
        <color auto="1"/>
      </top>
      <bottom style="medium">
        <color auto="1"/>
      </bottom>
      <diagonal/>
    </border>
  </borders>
  <cellStyleXfs count="3">
    <xf numFmtId="0" fontId="0" fillId="0" borderId="0"/>
    <xf numFmtId="9" fontId="29" fillId="0" borderId="0" applyFont="0" applyFill="0" applyBorder="0" applyAlignment="0" applyProtection="0"/>
    <xf numFmtId="0" fontId="9" fillId="0" borderId="0" applyNumberFormat="0" applyFont="0" applyFill="0" applyBorder="0" applyAlignment="0" applyProtection="0"/>
  </cellStyleXfs>
  <cellXfs count="319">
    <xf numFmtId="0" fontId="0" fillId="0" borderId="0" xfId="0"/>
    <xf numFmtId="0" fontId="0" fillId="0" borderId="0" xfId="0" applyAlignment="1">
      <alignment horizontal="center"/>
    </xf>
    <xf numFmtId="0" fontId="0" fillId="2" borderId="0" xfId="0" applyFill="1"/>
    <xf numFmtId="0" fontId="0" fillId="3" borderId="0" xfId="0" applyFill="1"/>
    <xf numFmtId="0" fontId="0" fillId="4" borderId="0" xfId="0" applyFill="1"/>
    <xf numFmtId="0" fontId="0" fillId="0" borderId="0" xfId="0" applyAlignment="1">
      <alignment vertical="center" wrapText="1"/>
    </xf>
    <xf numFmtId="0" fontId="2" fillId="5" borderId="1" xfId="0" applyFont="1" applyFill="1" applyBorder="1" applyAlignment="1">
      <alignment horizontal="center" vertical="center"/>
    </xf>
    <xf numFmtId="0" fontId="2" fillId="5" borderId="2" xfId="0" applyFont="1" applyFill="1" applyBorder="1" applyAlignment="1">
      <alignment horizontal="center" vertical="center" wrapText="1"/>
    </xf>
    <xf numFmtId="0" fontId="1" fillId="0" borderId="4" xfId="0" applyFont="1" applyBorder="1" applyAlignment="1">
      <alignment vertical="center"/>
    </xf>
    <xf numFmtId="0" fontId="1" fillId="0" borderId="5" xfId="0" applyFont="1" applyBorder="1" applyAlignment="1">
      <alignment horizontal="left" vertical="center" indent="1"/>
    </xf>
    <xf numFmtId="0" fontId="0" fillId="0" borderId="6" xfId="0" applyBorder="1" applyAlignment="1">
      <alignment vertical="center" wrapText="1"/>
    </xf>
    <xf numFmtId="0" fontId="0" fillId="0" borderId="5" xfId="0" applyBorder="1" applyAlignment="1">
      <alignment vertical="center" wrapText="1"/>
    </xf>
    <xf numFmtId="0" fontId="1" fillId="0" borderId="7" xfId="0" applyFont="1" applyBorder="1" applyAlignment="1">
      <alignment vertical="center"/>
    </xf>
    <xf numFmtId="0" fontId="1" fillId="0" borderId="8" xfId="0" applyFont="1" applyBorder="1" applyAlignment="1">
      <alignment vertical="center"/>
    </xf>
    <xf numFmtId="0" fontId="0" fillId="0" borderId="9" xfId="0" applyBorder="1" applyAlignment="1">
      <alignment vertical="center" wrapText="1"/>
    </xf>
    <xf numFmtId="0" fontId="1" fillId="0" borderId="9" xfId="0" applyFont="1" applyBorder="1" applyAlignment="1">
      <alignment horizontal="left" vertical="center" indent="1"/>
    </xf>
    <xf numFmtId="0" fontId="0" fillId="0" borderId="10" xfId="0" applyBorder="1" applyAlignment="1">
      <alignment vertical="center" wrapText="1"/>
    </xf>
    <xf numFmtId="0" fontId="0" fillId="0" borderId="0" xfId="0" applyAlignment="1">
      <alignment horizontal="left"/>
    </xf>
    <xf numFmtId="0" fontId="1" fillId="5" borderId="2" xfId="0" applyFont="1" applyFill="1" applyBorder="1" applyAlignment="1" applyProtection="1">
      <alignment horizontal="center"/>
      <protection hidden="1"/>
    </xf>
    <xf numFmtId="0" fontId="1" fillId="5" borderId="12" xfId="0" applyFont="1" applyFill="1" applyBorder="1" applyProtection="1">
      <protection hidden="1"/>
    </xf>
    <xf numFmtId="0" fontId="1" fillId="5" borderId="5" xfId="0" applyFont="1" applyFill="1" applyBorder="1" applyAlignment="1" applyProtection="1">
      <alignment horizontal="center"/>
      <protection hidden="1"/>
    </xf>
    <xf numFmtId="0" fontId="1" fillId="5" borderId="13" xfId="0" applyFont="1" applyFill="1" applyBorder="1" applyAlignment="1" applyProtection="1">
      <alignment horizontal="center"/>
      <protection hidden="1"/>
    </xf>
    <xf numFmtId="0" fontId="4" fillId="5" borderId="5" xfId="0" applyFont="1" applyFill="1" applyBorder="1" applyAlignment="1" applyProtection="1">
      <alignment horizontal="center" vertical="center" wrapText="1"/>
      <protection hidden="1"/>
    </xf>
    <xf numFmtId="0" fontId="6" fillId="0" borderId="4" xfId="0" applyFont="1" applyBorder="1" applyAlignment="1" applyProtection="1">
      <alignment vertical="center"/>
      <protection hidden="1"/>
    </xf>
    <xf numFmtId="0" fontId="6" fillId="0" borderId="5" xfId="0" applyFont="1" applyBorder="1" applyAlignment="1" applyProtection="1">
      <alignment vertical="center"/>
      <protection hidden="1"/>
    </xf>
    <xf numFmtId="0" fontId="6" fillId="0" borderId="5" xfId="0" applyFont="1" applyBorder="1" applyAlignment="1" applyProtection="1">
      <alignment horizontal="center" vertical="center"/>
      <protection hidden="1"/>
    </xf>
    <xf numFmtId="0" fontId="6" fillId="0" borderId="5" xfId="0" applyFont="1" applyBorder="1" applyAlignment="1" applyProtection="1">
      <alignment horizontal="center" vertical="center" wrapText="1"/>
      <protection hidden="1"/>
    </xf>
    <xf numFmtId="0" fontId="0" fillId="0" borderId="5" xfId="0" applyBorder="1" applyAlignment="1" applyProtection="1">
      <alignment horizontal="center" vertical="center"/>
      <protection hidden="1"/>
    </xf>
    <xf numFmtId="1" fontId="0" fillId="7" borderId="5" xfId="0" applyNumberFormat="1" applyFill="1" applyBorder="1" applyAlignment="1" applyProtection="1">
      <alignment horizontal="center" vertical="center"/>
      <protection hidden="1"/>
    </xf>
    <xf numFmtId="0" fontId="6" fillId="0" borderId="8" xfId="0" applyFont="1" applyBorder="1" applyAlignment="1" applyProtection="1">
      <alignment vertical="center"/>
      <protection hidden="1"/>
    </xf>
    <xf numFmtId="0" fontId="6" fillId="0" borderId="9" xfId="0" applyFont="1" applyBorder="1" applyAlignment="1" applyProtection="1">
      <alignment vertical="center"/>
      <protection hidden="1"/>
    </xf>
    <xf numFmtId="0" fontId="6" fillId="0" borderId="9" xfId="0" applyFont="1" applyBorder="1" applyAlignment="1" applyProtection="1">
      <alignment horizontal="center" vertical="center"/>
      <protection hidden="1"/>
    </xf>
    <xf numFmtId="0" fontId="6" fillId="0" borderId="9" xfId="0" applyFont="1" applyBorder="1" applyAlignment="1" applyProtection="1">
      <alignment horizontal="center" vertical="center" wrapText="1"/>
      <protection hidden="1"/>
    </xf>
    <xf numFmtId="0" fontId="0" fillId="0" borderId="9" xfId="0" applyBorder="1" applyAlignment="1" applyProtection="1">
      <alignment horizontal="center" vertical="center" wrapText="1"/>
      <protection hidden="1"/>
    </xf>
    <xf numFmtId="1" fontId="0" fillId="7" borderId="9" xfId="0" applyNumberFormat="1" applyFill="1" applyBorder="1" applyAlignment="1" applyProtection="1">
      <alignment horizontal="center" vertical="center"/>
      <protection hidden="1"/>
    </xf>
    <xf numFmtId="0" fontId="6" fillId="0" borderId="0" xfId="0" applyFont="1" applyAlignment="1" applyProtection="1">
      <alignment vertical="center"/>
      <protection hidden="1"/>
    </xf>
    <xf numFmtId="0" fontId="6" fillId="0" borderId="0" xfId="0" applyFont="1" applyAlignment="1" applyProtection="1">
      <alignment horizontal="center" vertical="center"/>
      <protection hidden="1"/>
    </xf>
    <xf numFmtId="0" fontId="6" fillId="0" borderId="0" xfId="0" applyFont="1" applyAlignment="1" applyProtection="1">
      <alignment horizontal="center" vertical="center" wrapText="1"/>
      <protection hidden="1"/>
    </xf>
    <xf numFmtId="0" fontId="0" fillId="0" borderId="0" xfId="0" applyAlignment="1" applyProtection="1">
      <alignment horizontal="center" vertical="center" wrapText="1"/>
      <protection hidden="1"/>
    </xf>
    <xf numFmtId="0" fontId="0" fillId="0" borderId="0" xfId="0" applyAlignment="1" applyProtection="1">
      <alignment horizontal="center" vertical="center"/>
      <protection hidden="1"/>
    </xf>
    <xf numFmtId="0" fontId="5" fillId="0" borderId="14" xfId="0" applyFont="1" applyBorder="1" applyAlignment="1" applyProtection="1">
      <alignment vertical="center"/>
      <protection hidden="1"/>
    </xf>
    <xf numFmtId="0" fontId="5" fillId="0" borderId="15" xfId="0" applyFont="1" applyBorder="1" applyAlignment="1" applyProtection="1">
      <alignment vertical="center"/>
      <protection hidden="1"/>
    </xf>
    <xf numFmtId="0" fontId="5" fillId="0" borderId="15" xfId="0" applyFont="1" applyBorder="1" applyAlignment="1" applyProtection="1">
      <alignment horizontal="center" vertical="center"/>
      <protection hidden="1"/>
    </xf>
    <xf numFmtId="0" fontId="5" fillId="0" borderId="15" xfId="0" applyFont="1" applyBorder="1" applyAlignment="1" applyProtection="1">
      <alignment horizontal="center" vertical="center" wrapText="1"/>
      <protection hidden="1"/>
    </xf>
    <xf numFmtId="0" fontId="1" fillId="0" borderId="15" xfId="0" applyFont="1" applyBorder="1" applyAlignment="1" applyProtection="1">
      <alignment horizontal="center" vertical="center" wrapText="1"/>
      <protection hidden="1"/>
    </xf>
    <xf numFmtId="0" fontId="1" fillId="7" borderId="15" xfId="0" applyFont="1" applyFill="1" applyBorder="1" applyAlignment="1" applyProtection="1">
      <alignment horizontal="center" vertical="center"/>
      <protection hidden="1"/>
    </xf>
    <xf numFmtId="0" fontId="5" fillId="5" borderId="18" xfId="0" applyFont="1" applyFill="1" applyBorder="1"/>
    <xf numFmtId="0" fontId="5" fillId="5" borderId="13" xfId="0" applyFont="1" applyFill="1" applyBorder="1" applyAlignment="1">
      <alignment horizontal="center"/>
    </xf>
    <xf numFmtId="17" fontId="4" fillId="5" borderId="5" xfId="0" applyNumberFormat="1" applyFont="1" applyFill="1" applyBorder="1" applyAlignment="1" applyProtection="1">
      <alignment horizontal="center" vertical="center" wrapText="1"/>
      <protection hidden="1"/>
    </xf>
    <xf numFmtId="0" fontId="0" fillId="0" borderId="4" xfId="0" applyBorder="1"/>
    <xf numFmtId="0" fontId="0" fillId="0" borderId="5" xfId="0" applyBorder="1"/>
    <xf numFmtId="9" fontId="0" fillId="0" borderId="5" xfId="1" applyFont="1" applyBorder="1" applyAlignment="1">
      <alignment horizontal="center"/>
    </xf>
    <xf numFmtId="9" fontId="0" fillId="7" borderId="5" xfId="0" applyNumberFormat="1" applyFill="1" applyBorder="1" applyAlignment="1" applyProtection="1">
      <alignment horizontal="center" vertical="center"/>
      <protection hidden="1"/>
    </xf>
    <xf numFmtId="9" fontId="0" fillId="3" borderId="5" xfId="1" applyFont="1" applyFill="1" applyBorder="1" applyAlignment="1">
      <alignment horizontal="center"/>
    </xf>
    <xf numFmtId="9" fontId="0" fillId="0" borderId="5" xfId="0" applyNumberFormat="1" applyBorder="1" applyAlignment="1">
      <alignment horizontal="center"/>
    </xf>
    <xf numFmtId="0" fontId="1" fillId="8" borderId="8" xfId="0" applyFont="1" applyFill="1" applyBorder="1"/>
    <xf numFmtId="0" fontId="1" fillId="0" borderId="9" xfId="0" applyFont="1" applyBorder="1"/>
    <xf numFmtId="9" fontId="1" fillId="0" borderId="9" xfId="0" applyNumberFormat="1" applyFont="1" applyBorder="1" applyAlignment="1">
      <alignment horizontal="center"/>
    </xf>
    <xf numFmtId="9" fontId="0" fillId="7" borderId="9" xfId="0" applyNumberFormat="1" applyFill="1" applyBorder="1" applyAlignment="1" applyProtection="1">
      <alignment horizontal="center" vertical="center"/>
      <protection hidden="1"/>
    </xf>
    <xf numFmtId="9" fontId="1" fillId="3" borderId="9" xfId="0" applyNumberFormat="1" applyFont="1" applyFill="1" applyBorder="1" applyAlignment="1">
      <alignment horizontal="center"/>
    </xf>
    <xf numFmtId="10" fontId="0" fillId="9" borderId="5" xfId="0" applyNumberFormat="1" applyFill="1" applyBorder="1" applyAlignment="1" applyProtection="1">
      <alignment horizontal="center" vertical="center"/>
      <protection hidden="1"/>
    </xf>
    <xf numFmtId="2" fontId="0" fillId="9" borderId="5" xfId="0" applyNumberFormat="1" applyFill="1" applyBorder="1" applyAlignment="1">
      <alignment horizontal="center"/>
    </xf>
    <xf numFmtId="1" fontId="0" fillId="3" borderId="5" xfId="0" applyNumberFormat="1" applyFill="1" applyBorder="1" applyAlignment="1" applyProtection="1">
      <alignment horizontal="center" vertical="center"/>
      <protection hidden="1"/>
    </xf>
    <xf numFmtId="10" fontId="0" fillId="9" borderId="9" xfId="0" applyNumberFormat="1" applyFill="1" applyBorder="1" applyAlignment="1" applyProtection="1">
      <alignment horizontal="center" vertical="center"/>
      <protection hidden="1"/>
    </xf>
    <xf numFmtId="2" fontId="0" fillId="9" borderId="9" xfId="0" applyNumberFormat="1" applyFill="1" applyBorder="1" applyAlignment="1">
      <alignment horizontal="center"/>
    </xf>
    <xf numFmtId="0" fontId="0" fillId="3" borderId="9" xfId="0" applyFill="1" applyBorder="1" applyAlignment="1" applyProtection="1">
      <alignment horizontal="center" vertical="center"/>
      <protection hidden="1"/>
    </xf>
    <xf numFmtId="2" fontId="0" fillId="0" borderId="0" xfId="0" applyNumberFormat="1" applyAlignment="1">
      <alignment horizontal="center"/>
    </xf>
    <xf numFmtId="10" fontId="1" fillId="10" borderId="15" xfId="0" applyNumberFormat="1" applyFont="1" applyFill="1" applyBorder="1" applyAlignment="1" applyProtection="1">
      <alignment horizontal="center" vertical="center"/>
      <protection hidden="1"/>
    </xf>
    <xf numFmtId="10" fontId="1" fillId="10" borderId="20" xfId="0" applyNumberFormat="1" applyFont="1" applyFill="1" applyBorder="1" applyAlignment="1" applyProtection="1">
      <alignment horizontal="center" vertical="center"/>
      <protection hidden="1"/>
    </xf>
    <xf numFmtId="2" fontId="0" fillId="10" borderId="14" xfId="0" applyNumberFormat="1" applyFill="1" applyBorder="1" applyAlignment="1">
      <alignment horizontal="center"/>
    </xf>
    <xf numFmtId="0" fontId="1" fillId="3" borderId="15" xfId="0" applyFont="1" applyFill="1" applyBorder="1" applyAlignment="1" applyProtection="1">
      <alignment horizontal="center" vertical="center"/>
      <protection hidden="1"/>
    </xf>
    <xf numFmtId="0" fontId="1" fillId="0" borderId="0" xfId="0" applyFont="1"/>
    <xf numFmtId="0" fontId="4" fillId="5" borderId="6" xfId="0" applyFont="1" applyFill="1" applyBorder="1" applyAlignment="1" applyProtection="1">
      <alignment horizontal="center" vertical="center" wrapText="1"/>
      <protection hidden="1"/>
    </xf>
    <xf numFmtId="9" fontId="0" fillId="3" borderId="6" xfId="1" applyFont="1" applyFill="1" applyBorder="1" applyAlignment="1">
      <alignment horizontal="center"/>
    </xf>
    <xf numFmtId="9" fontId="1" fillId="3" borderId="10" xfId="0" applyNumberFormat="1" applyFont="1" applyFill="1" applyBorder="1" applyAlignment="1">
      <alignment horizontal="center"/>
    </xf>
    <xf numFmtId="0" fontId="0" fillId="3" borderId="5" xfId="0" applyFill="1" applyBorder="1" applyAlignment="1" applyProtection="1">
      <alignment horizontal="center" vertical="center"/>
      <protection hidden="1"/>
    </xf>
    <xf numFmtId="0" fontId="0" fillId="3" borderId="6" xfId="0" applyFill="1" applyBorder="1" applyAlignment="1" applyProtection="1">
      <alignment horizontal="center" vertical="center"/>
      <protection hidden="1"/>
    </xf>
    <xf numFmtId="0" fontId="0" fillId="3" borderId="10" xfId="0" applyFill="1" applyBorder="1" applyAlignment="1" applyProtection="1">
      <alignment horizontal="center" vertical="center"/>
      <protection hidden="1"/>
    </xf>
    <xf numFmtId="0" fontId="1" fillId="3" borderId="20" xfId="0" applyFont="1" applyFill="1" applyBorder="1" applyAlignment="1" applyProtection="1">
      <alignment horizontal="center" vertical="center"/>
      <protection hidden="1"/>
    </xf>
    <xf numFmtId="0" fontId="7" fillId="0" borderId="0" xfId="0" applyFont="1" applyAlignment="1">
      <alignment horizontal="center"/>
    </xf>
    <xf numFmtId="0" fontId="12" fillId="11" borderId="4" xfId="0" applyFont="1" applyFill="1" applyBorder="1" applyAlignment="1">
      <alignment horizontal="center" vertical="center" wrapText="1"/>
    </xf>
    <xf numFmtId="0" fontId="12" fillId="11" borderId="5" xfId="0" applyFont="1" applyFill="1" applyBorder="1" applyAlignment="1">
      <alignment horizontal="center" vertical="center" wrapText="1"/>
    </xf>
    <xf numFmtId="0" fontId="12" fillId="11" borderId="5" xfId="0" applyFont="1" applyFill="1" applyBorder="1" applyAlignment="1">
      <alignment vertical="center"/>
    </xf>
    <xf numFmtId="0" fontId="12" fillId="11" borderId="5" xfId="0" applyFont="1" applyFill="1" applyBorder="1" applyAlignment="1">
      <alignment horizontal="center" vertical="center"/>
    </xf>
    <xf numFmtId="0" fontId="12" fillId="13" borderId="5" xfId="0" applyFont="1" applyFill="1" applyBorder="1" applyAlignment="1">
      <alignment horizontal="center" vertical="center" wrapText="1"/>
    </xf>
    <xf numFmtId="1" fontId="6" fillId="0" borderId="13" xfId="0" applyNumberFormat="1" applyFont="1" applyBorder="1" applyAlignment="1">
      <alignment horizontal="left"/>
    </xf>
    <xf numFmtId="0" fontId="6" fillId="0" borderId="13" xfId="0" applyFont="1" applyBorder="1"/>
    <xf numFmtId="0" fontId="6" fillId="0" borderId="13" xfId="0" applyFont="1" applyBorder="1" applyAlignment="1">
      <alignment horizontal="center"/>
    </xf>
    <xf numFmtId="1" fontId="6" fillId="13" borderId="13" xfId="0" applyNumberFormat="1" applyFont="1" applyFill="1" applyBorder="1" applyAlignment="1">
      <alignment horizontal="center"/>
    </xf>
    <xf numFmtId="9" fontId="6" fillId="13" borderId="13" xfId="0" applyNumberFormat="1" applyFont="1" applyFill="1" applyBorder="1" applyAlignment="1">
      <alignment horizontal="center"/>
    </xf>
    <xf numFmtId="9" fontId="6" fillId="13" borderId="13" xfId="0" applyNumberFormat="1" applyFont="1" applyFill="1" applyBorder="1" applyAlignment="1">
      <alignment horizontal="center" vertical="top" wrapText="1"/>
    </xf>
    <xf numFmtId="0" fontId="0" fillId="8" borderId="4" xfId="0" applyFill="1" applyBorder="1"/>
    <xf numFmtId="1" fontId="6" fillId="8" borderId="5" xfId="0" applyNumberFormat="1" applyFont="1" applyFill="1" applyBorder="1" applyAlignment="1">
      <alignment horizontal="left"/>
    </xf>
    <xf numFmtId="0" fontId="6" fillId="8" borderId="5" xfId="0" applyFont="1" applyFill="1" applyBorder="1"/>
    <xf numFmtId="0" fontId="6" fillId="8" borderId="5" xfId="0" applyFont="1" applyFill="1" applyBorder="1" applyAlignment="1">
      <alignment horizontal="center"/>
    </xf>
    <xf numFmtId="1" fontId="6" fillId="13" borderId="5" xfId="0" applyNumberFormat="1" applyFont="1" applyFill="1" applyBorder="1" applyAlignment="1">
      <alignment horizontal="center"/>
    </xf>
    <xf numFmtId="9" fontId="6" fillId="13" borderId="5" xfId="0" applyNumberFormat="1" applyFont="1" applyFill="1" applyBorder="1" applyAlignment="1">
      <alignment horizontal="center"/>
    </xf>
    <xf numFmtId="9" fontId="6" fillId="13" borderId="5" xfId="0" applyNumberFormat="1" applyFont="1" applyFill="1" applyBorder="1" applyAlignment="1">
      <alignment horizontal="center" vertical="top" wrapText="1"/>
    </xf>
    <xf numFmtId="1" fontId="6" fillId="0" borderId="5" xfId="0" applyNumberFormat="1" applyFont="1" applyBorder="1" applyAlignment="1">
      <alignment horizontal="left"/>
    </xf>
    <xf numFmtId="0" fontId="6" fillId="0" borderId="5" xfId="0" applyFont="1" applyBorder="1"/>
    <xf numFmtId="0" fontId="6" fillId="0" borderId="5" xfId="0" applyFont="1" applyBorder="1" applyAlignment="1">
      <alignment horizontal="center"/>
    </xf>
    <xf numFmtId="0" fontId="12" fillId="11" borderId="28" xfId="0" applyFont="1" applyFill="1" applyBorder="1" applyAlignment="1">
      <alignment wrapText="1"/>
    </xf>
    <xf numFmtId="0" fontId="12" fillId="13" borderId="29" xfId="0" applyFont="1" applyFill="1" applyBorder="1" applyAlignment="1">
      <alignment horizontal="center" wrapText="1"/>
    </xf>
    <xf numFmtId="0" fontId="12" fillId="11" borderId="31" xfId="0" applyFont="1" applyFill="1" applyBorder="1" applyAlignment="1">
      <alignment wrapText="1"/>
    </xf>
    <xf numFmtId="0" fontId="12" fillId="13" borderId="32" xfId="0" applyFont="1" applyFill="1" applyBorder="1" applyAlignment="1">
      <alignment horizontal="center" vertical="center" wrapText="1"/>
    </xf>
    <xf numFmtId="0" fontId="12" fillId="11" borderId="33" xfId="0" applyFont="1" applyFill="1" applyBorder="1" applyAlignment="1">
      <alignment horizontal="center" wrapText="1"/>
    </xf>
    <xf numFmtId="1" fontId="6" fillId="13" borderId="34" xfId="0" applyNumberFormat="1" applyFont="1" applyFill="1" applyBorder="1" applyAlignment="1">
      <alignment horizontal="center" vertical="top" wrapText="1"/>
    </xf>
    <xf numFmtId="0" fontId="6" fillId="0" borderId="33" xfId="0" applyFont="1" applyBorder="1" applyAlignment="1">
      <alignment horizontal="left" wrapText="1"/>
    </xf>
    <xf numFmtId="1" fontId="6" fillId="13" borderId="19" xfId="0" applyNumberFormat="1" applyFont="1" applyFill="1" applyBorder="1" applyAlignment="1">
      <alignment horizontal="center" vertical="top" wrapText="1"/>
    </xf>
    <xf numFmtId="0" fontId="6" fillId="13" borderId="19" xfId="0" applyFont="1" applyFill="1" applyBorder="1" applyAlignment="1">
      <alignment horizontal="center" vertical="top" wrapText="1"/>
    </xf>
    <xf numFmtId="0" fontId="6" fillId="8" borderId="6" xfId="0" applyFont="1" applyFill="1" applyBorder="1" applyAlignment="1">
      <alignment horizontal="left" wrapText="1"/>
    </xf>
    <xf numFmtId="0" fontId="6" fillId="0" borderId="6" xfId="0" applyFont="1" applyBorder="1" applyAlignment="1">
      <alignment horizontal="left" wrapText="1"/>
    </xf>
    <xf numFmtId="0" fontId="6" fillId="8" borderId="9" xfId="0" applyFont="1" applyFill="1" applyBorder="1"/>
    <xf numFmtId="0" fontId="6" fillId="8" borderId="9" xfId="0" applyFont="1" applyFill="1" applyBorder="1" applyAlignment="1">
      <alignment horizontal="center"/>
    </xf>
    <xf numFmtId="1" fontId="6" fillId="13" borderId="9" xfId="0" applyNumberFormat="1" applyFont="1" applyFill="1" applyBorder="1" applyAlignment="1">
      <alignment horizontal="center"/>
    </xf>
    <xf numFmtId="9" fontId="6" fillId="13" borderId="9" xfId="0" applyNumberFormat="1" applyFont="1" applyFill="1" applyBorder="1" applyAlignment="1">
      <alignment horizontal="center"/>
    </xf>
    <xf numFmtId="9" fontId="6" fillId="13" borderId="9" xfId="0" applyNumberFormat="1" applyFont="1" applyFill="1" applyBorder="1" applyAlignment="1">
      <alignment horizontal="center" vertical="top" wrapText="1"/>
    </xf>
    <xf numFmtId="1" fontId="6" fillId="13" borderId="35" xfId="0" applyNumberFormat="1" applyFont="1" applyFill="1" applyBorder="1" applyAlignment="1">
      <alignment horizontal="center" vertical="top" wrapText="1"/>
    </xf>
    <xf numFmtId="0" fontId="6" fillId="13" borderId="35" xfId="0" applyFont="1" applyFill="1" applyBorder="1" applyAlignment="1">
      <alignment horizontal="center" vertical="top" wrapText="1"/>
    </xf>
    <xf numFmtId="0" fontId="6" fillId="8" borderId="10" xfId="0" applyFont="1" applyFill="1" applyBorder="1" applyAlignment="1">
      <alignment horizontal="left" wrapText="1"/>
    </xf>
    <xf numFmtId="0" fontId="0" fillId="0" borderId="0" xfId="0" applyAlignment="1">
      <alignment vertical="center"/>
    </xf>
    <xf numFmtId="0" fontId="0" fillId="0" borderId="0" xfId="0" applyAlignment="1">
      <alignment horizontal="center" wrapText="1"/>
    </xf>
    <xf numFmtId="0" fontId="14" fillId="0" borderId="37" xfId="0" applyFont="1" applyBorder="1" applyAlignment="1" applyProtection="1">
      <alignment vertical="center"/>
      <protection locked="0"/>
    </xf>
    <xf numFmtId="0" fontId="0" fillId="0" borderId="0" xfId="0" applyAlignment="1">
      <alignment horizontal="center" vertical="center"/>
    </xf>
    <xf numFmtId="0" fontId="15" fillId="0" borderId="24" xfId="0" applyFont="1" applyBorder="1" applyAlignment="1" applyProtection="1">
      <alignment horizontal="left"/>
      <protection locked="0"/>
    </xf>
    <xf numFmtId="0" fontId="11" fillId="5" borderId="1" xfId="0" applyFont="1" applyFill="1" applyBorder="1" applyAlignment="1">
      <alignment horizontal="center" wrapText="1"/>
    </xf>
    <xf numFmtId="0" fontId="16" fillId="0" borderId="34" xfId="0" applyFont="1" applyBorder="1" applyAlignment="1" applyProtection="1">
      <alignment wrapText="1"/>
      <protection locked="0"/>
    </xf>
    <xf numFmtId="0" fontId="17" fillId="11" borderId="5" xfId="0" applyFont="1" applyFill="1" applyBorder="1" applyAlignment="1" applyProtection="1">
      <alignment horizontal="center" wrapText="1"/>
      <protection locked="0"/>
    </xf>
    <xf numFmtId="0" fontId="17" fillId="11" borderId="6" xfId="0" applyFont="1" applyFill="1" applyBorder="1" applyAlignment="1" applyProtection="1">
      <alignment horizontal="center" wrapText="1"/>
      <protection locked="0"/>
    </xf>
    <xf numFmtId="0" fontId="16" fillId="0" borderId="19" xfId="0" applyFont="1" applyBorder="1" applyAlignment="1" applyProtection="1">
      <alignment wrapText="1"/>
      <protection locked="0"/>
    </xf>
    <xf numFmtId="0" fontId="18" fillId="0" borderId="5" xfId="0" applyFont="1" applyBorder="1" applyAlignment="1" applyProtection="1">
      <alignment horizontal="center"/>
      <protection locked="0"/>
    </xf>
    <xf numFmtId="0" fontId="18" fillId="0" borderId="6" xfId="0" applyFont="1" applyBorder="1" applyAlignment="1" applyProtection="1">
      <alignment horizontal="center"/>
      <protection locked="0"/>
    </xf>
    <xf numFmtId="0" fontId="9" fillId="5" borderId="19" xfId="0" applyFont="1" applyFill="1" applyBorder="1" applyAlignment="1">
      <alignment wrapText="1"/>
    </xf>
    <xf numFmtId="0" fontId="19" fillId="12" borderId="5" xfId="0" applyFont="1" applyFill="1" applyBorder="1" applyAlignment="1">
      <alignment horizontal="center" vertical="center" wrapText="1"/>
    </xf>
    <xf numFmtId="0" fontId="9" fillId="0" borderId="40" xfId="0" applyFont="1" applyBorder="1" applyAlignment="1" applyProtection="1">
      <alignment horizontal="left" wrapText="1"/>
      <protection locked="0"/>
    </xf>
    <xf numFmtId="0" fontId="21" fillId="12" borderId="6" xfId="0" applyFont="1" applyFill="1" applyBorder="1" applyAlignment="1">
      <alignment horizontal="center" vertical="center" wrapText="1"/>
    </xf>
    <xf numFmtId="0" fontId="6" fillId="0" borderId="35" xfId="0" applyFont="1" applyBorder="1" applyProtection="1">
      <protection locked="0"/>
    </xf>
    <xf numFmtId="0" fontId="22" fillId="0" borderId="9" xfId="0" applyFont="1" applyBorder="1" applyAlignment="1" applyProtection="1">
      <alignment horizontal="center" wrapText="1"/>
      <protection locked="0"/>
    </xf>
    <xf numFmtId="0" fontId="23" fillId="0" borderId="10" xfId="0" applyFont="1" applyBorder="1" applyAlignment="1" applyProtection="1">
      <alignment horizontal="center" wrapText="1"/>
      <protection locked="0"/>
    </xf>
    <xf numFmtId="0" fontId="8" fillId="11" borderId="14" xfId="0" applyFont="1" applyFill="1" applyBorder="1" applyAlignment="1">
      <alignment horizontal="center" vertical="center" wrapText="1"/>
    </xf>
    <xf numFmtId="0" fontId="8" fillId="11" borderId="20" xfId="0" applyFont="1" applyFill="1" applyBorder="1" applyAlignment="1">
      <alignment horizontal="center" vertical="center" wrapText="1"/>
    </xf>
    <xf numFmtId="0" fontId="5" fillId="11" borderId="41" xfId="0" applyFont="1" applyFill="1" applyBorder="1" applyAlignment="1">
      <alignment horizontal="center" vertical="center"/>
    </xf>
    <xf numFmtId="0" fontId="5" fillId="11" borderId="15" xfId="0" applyFont="1" applyFill="1" applyBorder="1" applyAlignment="1">
      <alignment horizontal="center" vertical="center"/>
    </xf>
    <xf numFmtId="0" fontId="5" fillId="11" borderId="20" xfId="0" applyFont="1" applyFill="1" applyBorder="1" applyAlignment="1">
      <alignment horizontal="center" vertical="center" wrapText="1"/>
    </xf>
    <xf numFmtId="0" fontId="4" fillId="11" borderId="14" xfId="0" applyFont="1" applyFill="1" applyBorder="1" applyAlignment="1">
      <alignment horizontal="center" vertical="center" wrapText="1"/>
    </xf>
    <xf numFmtId="0" fontId="4" fillId="11" borderId="15" xfId="0" applyFont="1" applyFill="1" applyBorder="1" applyAlignment="1">
      <alignment horizontal="center" vertical="center" wrapText="1"/>
    </xf>
    <xf numFmtId="0" fontId="0" fillId="0" borderId="42" xfId="0" applyBorder="1"/>
    <xf numFmtId="1" fontId="24" fillId="0" borderId="13" xfId="0" applyNumberFormat="1" applyFont="1" applyBorder="1" applyAlignment="1" applyProtection="1">
      <alignment horizontal="center"/>
      <protection locked="0"/>
    </xf>
    <xf numFmtId="0" fontId="24" fillId="0" borderId="13" xfId="0" applyFont="1" applyBorder="1" applyProtection="1">
      <protection locked="0"/>
    </xf>
    <xf numFmtId="0" fontId="24" fillId="0" borderId="13" xfId="0" applyFont="1" applyBorder="1" applyAlignment="1" applyProtection="1">
      <alignment horizontal="center"/>
      <protection locked="0"/>
    </xf>
    <xf numFmtId="164" fontId="6" fillId="0" borderId="33" xfId="0" applyNumberFormat="1" applyFont="1" applyBorder="1" applyAlignment="1" applyProtection="1">
      <alignment horizontal="center"/>
      <protection locked="0"/>
    </xf>
    <xf numFmtId="0" fontId="6" fillId="0" borderId="42" xfId="0" applyFont="1" applyBorder="1" applyAlignment="1" applyProtection="1">
      <alignment horizontal="center" wrapText="1"/>
      <protection locked="0"/>
    </xf>
    <xf numFmtId="0" fontId="6" fillId="0" borderId="13" xfId="0" applyFont="1" applyBorder="1" applyAlignment="1" applyProtection="1">
      <alignment horizontal="center" wrapText="1"/>
      <protection locked="0"/>
    </xf>
    <xf numFmtId="1" fontId="24" fillId="8" borderId="5" xfId="0" applyNumberFormat="1" applyFont="1" applyFill="1" applyBorder="1" applyAlignment="1" applyProtection="1">
      <alignment horizontal="center"/>
      <protection locked="0"/>
    </xf>
    <xf numFmtId="0" fontId="24" fillId="8" borderId="5" xfId="0" applyFont="1" applyFill="1" applyBorder="1" applyProtection="1">
      <protection locked="0"/>
    </xf>
    <xf numFmtId="0" fontId="24" fillId="8" borderId="5" xfId="0" applyFont="1" applyFill="1" applyBorder="1" applyAlignment="1" applyProtection="1">
      <alignment horizontal="center"/>
      <protection locked="0"/>
    </xf>
    <xf numFmtId="0" fontId="18" fillId="8" borderId="4" xfId="0" applyFont="1" applyFill="1" applyBorder="1" applyAlignment="1" applyProtection="1">
      <alignment horizontal="center" vertical="top" wrapText="1"/>
      <protection locked="0"/>
    </xf>
    <xf numFmtId="0" fontId="6" fillId="8" borderId="5" xfId="0" applyFont="1" applyFill="1" applyBorder="1" applyAlignment="1" applyProtection="1">
      <alignment horizontal="center" wrapText="1"/>
      <protection locked="0"/>
    </xf>
    <xf numFmtId="1" fontId="24" fillId="0" borderId="5" xfId="0" applyNumberFormat="1" applyFont="1" applyBorder="1" applyAlignment="1" applyProtection="1">
      <alignment horizontal="center"/>
      <protection locked="0"/>
    </xf>
    <xf numFmtId="0" fontId="24" fillId="0" borderId="5" xfId="0" applyFont="1" applyBorder="1" applyAlignment="1" applyProtection="1">
      <alignment horizontal="center"/>
      <protection locked="0"/>
    </xf>
    <xf numFmtId="0" fontId="18" fillId="15" borderId="4" xfId="0" applyFont="1" applyFill="1" applyBorder="1" applyAlignment="1" applyProtection="1">
      <alignment horizontal="center" vertical="top" wrapText="1"/>
      <protection locked="0"/>
    </xf>
    <xf numFmtId="1" fontId="6" fillId="0" borderId="5" xfId="0" applyNumberFormat="1" applyFont="1" applyBorder="1" applyAlignment="1" applyProtection="1">
      <alignment horizontal="center"/>
      <protection locked="0"/>
    </xf>
    <xf numFmtId="0" fontId="24" fillId="0" borderId="5" xfId="0" applyFont="1" applyBorder="1" applyProtection="1">
      <protection locked="0"/>
    </xf>
    <xf numFmtId="1" fontId="6" fillId="8" borderId="5" xfId="0" applyNumberFormat="1" applyFont="1" applyFill="1" applyBorder="1" applyAlignment="1" applyProtection="1">
      <alignment horizontal="center"/>
      <protection locked="0"/>
    </xf>
    <xf numFmtId="0" fontId="6" fillId="0" borderId="5" xfId="0" applyFont="1" applyBorder="1" applyProtection="1">
      <protection locked="0"/>
    </xf>
    <xf numFmtId="0" fontId="6" fillId="0" borderId="5" xfId="0" applyFont="1" applyBorder="1" applyAlignment="1" applyProtection="1">
      <alignment horizontal="center"/>
      <protection locked="0"/>
    </xf>
    <xf numFmtId="164" fontId="6" fillId="0" borderId="6" xfId="0" applyNumberFormat="1" applyFont="1" applyBorder="1" applyAlignment="1" applyProtection="1">
      <alignment horizontal="center"/>
      <protection locked="0"/>
    </xf>
    <xf numFmtId="0" fontId="6" fillId="8" borderId="5" xfId="0" applyFont="1" applyFill="1" applyBorder="1" applyProtection="1">
      <protection locked="0"/>
    </xf>
    <xf numFmtId="0" fontId="6" fillId="8" borderId="5" xfId="0" applyFont="1" applyFill="1" applyBorder="1" applyAlignment="1" applyProtection="1">
      <alignment horizontal="center"/>
      <protection locked="0"/>
    </xf>
    <xf numFmtId="164" fontId="6" fillId="8" borderId="6" xfId="0" applyNumberFormat="1" applyFont="1" applyFill="1" applyBorder="1" applyAlignment="1" applyProtection="1">
      <alignment horizontal="center"/>
      <protection locked="0"/>
    </xf>
    <xf numFmtId="0" fontId="0" fillId="0" borderId="0" xfId="0" applyAlignment="1">
      <alignment horizontal="center" vertical="center" wrapText="1"/>
    </xf>
    <xf numFmtId="0" fontId="8" fillId="5" borderId="2" xfId="0" applyFont="1" applyFill="1" applyBorder="1" applyAlignment="1" applyProtection="1">
      <alignment horizontal="center" vertical="center" wrapText="1"/>
      <protection hidden="1"/>
    </xf>
    <xf numFmtId="0" fontId="3" fillId="6" borderId="43" xfId="0" applyFont="1" applyFill="1" applyBorder="1"/>
    <xf numFmtId="0" fontId="3" fillId="6" borderId="17" xfId="0" applyFont="1" applyFill="1" applyBorder="1"/>
    <xf numFmtId="0" fontId="21" fillId="11" borderId="4" xfId="0" applyFont="1" applyFill="1" applyBorder="1" applyAlignment="1">
      <alignment horizontal="center" vertical="center" wrapText="1"/>
    </xf>
    <xf numFmtId="0" fontId="26" fillId="11" borderId="5" xfId="0" applyFont="1" applyFill="1" applyBorder="1" applyAlignment="1">
      <alignment horizontal="center" vertical="center" wrapText="1"/>
    </xf>
    <xf numFmtId="0" fontId="18" fillId="5" borderId="5" xfId="0" applyFont="1" applyFill="1" applyBorder="1" applyAlignment="1">
      <alignment horizontal="center" vertical="center" wrapText="1"/>
    </xf>
    <xf numFmtId="0" fontId="4" fillId="11" borderId="51" xfId="0" applyFont="1" applyFill="1" applyBorder="1" applyAlignment="1">
      <alignment horizontal="center" vertical="center" wrapText="1"/>
    </xf>
    <xf numFmtId="0" fontId="4" fillId="17" borderId="14" xfId="0" applyFont="1" applyFill="1" applyBorder="1" applyAlignment="1">
      <alignment horizontal="center" vertical="center" wrapText="1"/>
    </xf>
    <xf numFmtId="0" fontId="4" fillId="17" borderId="52" xfId="0" applyFont="1" applyFill="1" applyBorder="1" applyAlignment="1">
      <alignment horizontal="center" vertical="center" wrapText="1"/>
    </xf>
    <xf numFmtId="0" fontId="4" fillId="17" borderId="15" xfId="0" applyFont="1" applyFill="1" applyBorder="1" applyAlignment="1">
      <alignment horizontal="center" vertical="center" wrapText="1"/>
    </xf>
    <xf numFmtId="1" fontId="6" fillId="5" borderId="13" xfId="0" applyNumberFormat="1" applyFont="1" applyFill="1" applyBorder="1" applyAlignment="1">
      <alignment horizontal="center"/>
    </xf>
    <xf numFmtId="1" fontId="6" fillId="5" borderId="33" xfId="0" applyNumberFormat="1" applyFont="1" applyFill="1" applyBorder="1" applyAlignment="1">
      <alignment horizontal="center"/>
    </xf>
    <xf numFmtId="1" fontId="6" fillId="0" borderId="42" xfId="0" applyNumberFormat="1" applyFont="1" applyBorder="1" applyAlignment="1" applyProtection="1">
      <alignment horizontal="center"/>
      <protection locked="0"/>
    </xf>
    <xf numFmtId="1" fontId="6" fillId="0" borderId="32" xfId="0" applyNumberFormat="1" applyFont="1" applyBorder="1" applyAlignment="1" applyProtection="1">
      <alignment horizontal="center"/>
      <protection locked="0"/>
    </xf>
    <xf numFmtId="1" fontId="6" fillId="0" borderId="13" xfId="0" applyNumberFormat="1" applyFont="1" applyBorder="1" applyAlignment="1" applyProtection="1">
      <alignment horizontal="center"/>
      <protection locked="0"/>
    </xf>
    <xf numFmtId="1" fontId="6" fillId="5" borderId="5" xfId="0" applyNumberFormat="1" applyFont="1" applyFill="1" applyBorder="1" applyAlignment="1">
      <alignment horizontal="center"/>
    </xf>
    <xf numFmtId="1" fontId="6" fillId="5" borderId="6" xfId="0" applyNumberFormat="1" applyFont="1" applyFill="1" applyBorder="1" applyAlignment="1">
      <alignment horizontal="center"/>
    </xf>
    <xf numFmtId="1" fontId="6" fillId="8" borderId="4" xfId="0" applyNumberFormat="1" applyFont="1" applyFill="1" applyBorder="1" applyAlignment="1" applyProtection="1">
      <alignment horizontal="center"/>
      <protection locked="0"/>
    </xf>
    <xf numFmtId="1" fontId="6" fillId="8" borderId="26" xfId="0" applyNumberFormat="1" applyFont="1" applyFill="1" applyBorder="1" applyAlignment="1" applyProtection="1">
      <alignment horizontal="center"/>
      <protection locked="0"/>
    </xf>
    <xf numFmtId="1" fontId="6" fillId="0" borderId="4" xfId="0" applyNumberFormat="1" applyFont="1" applyBorder="1" applyAlignment="1" applyProtection="1">
      <alignment horizontal="center"/>
      <protection locked="0"/>
    </xf>
    <xf numFmtId="1" fontId="6" fillId="0" borderId="26" xfId="0" applyNumberFormat="1" applyFont="1" applyBorder="1" applyAlignment="1" applyProtection="1">
      <alignment horizontal="center"/>
      <protection locked="0"/>
    </xf>
    <xf numFmtId="0" fontId="3" fillId="6" borderId="21" xfId="0" applyFont="1" applyFill="1" applyBorder="1"/>
    <xf numFmtId="0" fontId="3" fillId="6" borderId="0" xfId="0" applyFont="1" applyFill="1"/>
    <xf numFmtId="0" fontId="3" fillId="6" borderId="45" xfId="0" applyFont="1" applyFill="1" applyBorder="1"/>
    <xf numFmtId="0" fontId="28" fillId="16" borderId="0" xfId="0" applyFont="1" applyFill="1"/>
    <xf numFmtId="0" fontId="5" fillId="17" borderId="20" xfId="0" applyFont="1" applyFill="1" applyBorder="1" applyAlignment="1">
      <alignment horizontal="center" vertical="center" wrapText="1"/>
    </xf>
    <xf numFmtId="0" fontId="5" fillId="17" borderId="51" xfId="0" applyFont="1" applyFill="1" applyBorder="1" applyAlignment="1">
      <alignment horizontal="center" vertical="center" wrapText="1"/>
    </xf>
    <xf numFmtId="0" fontId="5" fillId="17" borderId="37" xfId="0" applyFont="1" applyFill="1" applyBorder="1" applyAlignment="1">
      <alignment horizontal="center" vertical="center"/>
    </xf>
    <xf numFmtId="0" fontId="28" fillId="0" borderId="0" xfId="0" applyFont="1"/>
    <xf numFmtId="9" fontId="6" fillId="5" borderId="13" xfId="0" applyNumberFormat="1" applyFont="1" applyFill="1" applyBorder="1" applyAlignment="1">
      <alignment horizontal="center"/>
    </xf>
    <xf numFmtId="1" fontId="6" fillId="0" borderId="33" xfId="0" applyNumberFormat="1" applyFont="1" applyBorder="1" applyAlignment="1" applyProtection="1">
      <alignment horizontal="center"/>
      <protection locked="0"/>
    </xf>
    <xf numFmtId="1" fontId="6" fillId="5" borderId="32" xfId="0" applyNumberFormat="1" applyFont="1" applyFill="1" applyBorder="1" applyAlignment="1">
      <alignment horizontal="center"/>
    </xf>
    <xf numFmtId="1" fontId="6" fillId="0" borderId="33" xfId="0" applyNumberFormat="1" applyFont="1" applyBorder="1" applyProtection="1">
      <protection locked="0"/>
    </xf>
    <xf numFmtId="10" fontId="28" fillId="0" borderId="0" xfId="0" applyNumberFormat="1" applyFont="1"/>
    <xf numFmtId="9" fontId="6" fillId="5" borderId="5" xfId="0" applyNumberFormat="1" applyFont="1" applyFill="1" applyBorder="1" applyAlignment="1">
      <alignment horizontal="center"/>
    </xf>
    <xf numFmtId="1" fontId="6" fillId="8" borderId="6" xfId="0" applyNumberFormat="1" applyFont="1" applyFill="1" applyBorder="1" applyAlignment="1" applyProtection="1">
      <alignment horizontal="center"/>
      <protection locked="0"/>
    </xf>
    <xf numFmtId="1" fontId="6" fillId="5" borderId="26" xfId="0" applyNumberFormat="1" applyFont="1" applyFill="1" applyBorder="1" applyAlignment="1">
      <alignment horizontal="center"/>
    </xf>
    <xf numFmtId="1" fontId="6" fillId="8" borderId="6" xfId="0" applyNumberFormat="1" applyFont="1" applyFill="1" applyBorder="1" applyProtection="1">
      <protection locked="0"/>
    </xf>
    <xf numFmtId="1" fontId="6" fillId="0" borderId="6" xfId="0" applyNumberFormat="1" applyFont="1" applyBorder="1" applyAlignment="1" applyProtection="1">
      <alignment horizontal="center"/>
      <protection locked="0"/>
    </xf>
    <xf numFmtId="1" fontId="6" fillId="0" borderId="6" xfId="0" applyNumberFormat="1" applyFont="1" applyBorder="1" applyProtection="1">
      <protection locked="0"/>
    </xf>
    <xf numFmtId="1" fontId="6" fillId="8" borderId="6" xfId="0" applyNumberFormat="1" applyFont="1" applyFill="1" applyBorder="1" applyAlignment="1" applyProtection="1">
      <alignment horizontal="center" vertical="center"/>
      <protection locked="0"/>
    </xf>
    <xf numFmtId="9" fontId="28" fillId="0" borderId="0" xfId="0" applyNumberFormat="1" applyFont="1"/>
    <xf numFmtId="0" fontId="0" fillId="8" borderId="8" xfId="0" applyFill="1" applyBorder="1"/>
    <xf numFmtId="1" fontId="6" fillId="0" borderId="9" xfId="0" applyNumberFormat="1" applyFont="1" applyBorder="1" applyAlignment="1" applyProtection="1">
      <alignment horizontal="center"/>
      <protection locked="0"/>
    </xf>
    <xf numFmtId="0" fontId="6" fillId="0" borderId="9" xfId="0" applyFont="1" applyBorder="1" applyProtection="1">
      <protection locked="0"/>
    </xf>
    <xf numFmtId="0" fontId="6" fillId="0" borderId="9" xfId="0" applyFont="1" applyBorder="1" applyAlignment="1" applyProtection="1">
      <alignment horizontal="center"/>
      <protection locked="0"/>
    </xf>
    <xf numFmtId="164" fontId="6" fillId="0" borderId="10" xfId="0" applyNumberFormat="1" applyFont="1" applyBorder="1" applyAlignment="1" applyProtection="1">
      <alignment horizontal="center"/>
      <protection locked="0"/>
    </xf>
    <xf numFmtId="0" fontId="18" fillId="0" borderId="8" xfId="0" applyFont="1" applyBorder="1" applyAlignment="1" applyProtection="1">
      <alignment horizontal="center" vertical="top" wrapText="1"/>
      <protection locked="0"/>
    </xf>
    <xf numFmtId="0" fontId="6" fillId="8" borderId="9" xfId="0" applyFont="1" applyFill="1" applyBorder="1" applyAlignment="1" applyProtection="1">
      <alignment horizontal="center" wrapText="1"/>
      <protection locked="0"/>
    </xf>
    <xf numFmtId="1" fontId="6" fillId="8" borderId="9" xfId="0" applyNumberFormat="1" applyFont="1" applyFill="1" applyBorder="1" applyAlignment="1" applyProtection="1">
      <alignment horizontal="center"/>
      <protection locked="0"/>
    </xf>
    <xf numFmtId="1" fontId="6" fillId="5" borderId="9" xfId="0" applyNumberFormat="1" applyFont="1" applyFill="1" applyBorder="1" applyAlignment="1">
      <alignment horizontal="center"/>
    </xf>
    <xf numFmtId="1" fontId="6" fillId="5" borderId="10" xfId="0" applyNumberFormat="1" applyFont="1" applyFill="1" applyBorder="1" applyAlignment="1">
      <alignment horizontal="center"/>
    </xf>
    <xf numFmtId="1" fontId="6" fillId="8" borderId="8" xfId="0" applyNumberFormat="1" applyFont="1" applyFill="1" applyBorder="1" applyAlignment="1" applyProtection="1">
      <alignment horizontal="center"/>
      <protection locked="0"/>
    </xf>
    <xf numFmtId="1" fontId="6" fillId="8" borderId="55" xfId="0" applyNumberFormat="1" applyFont="1" applyFill="1" applyBorder="1" applyAlignment="1" applyProtection="1">
      <alignment horizontal="center"/>
      <protection locked="0"/>
    </xf>
    <xf numFmtId="9" fontId="6" fillId="5" borderId="9" xfId="0" applyNumberFormat="1" applyFont="1" applyFill="1" applyBorder="1" applyAlignment="1">
      <alignment horizontal="center"/>
    </xf>
    <xf numFmtId="1" fontId="6" fillId="8" borderId="10" xfId="0" applyNumberFormat="1" applyFont="1" applyFill="1" applyBorder="1" applyAlignment="1" applyProtection="1">
      <alignment horizontal="center"/>
      <protection locked="0"/>
    </xf>
    <xf numFmtId="1" fontId="6" fillId="5" borderId="55" xfId="0" applyNumberFormat="1" applyFont="1" applyFill="1" applyBorder="1" applyAlignment="1">
      <alignment horizontal="center"/>
    </xf>
    <xf numFmtId="1" fontId="6" fillId="8" borderId="10" xfId="0" applyNumberFormat="1" applyFont="1" applyFill="1" applyBorder="1" applyProtection="1">
      <protection locked="0"/>
    </xf>
    <xf numFmtId="0" fontId="0" fillId="0" borderId="0" xfId="0" quotePrefix="1"/>
    <xf numFmtId="0" fontId="0" fillId="0" borderId="0" xfId="0" applyProtection="1">
      <protection locked="0"/>
    </xf>
    <xf numFmtId="0" fontId="13" fillId="14" borderId="36" xfId="0" applyFont="1" applyFill="1" applyBorder="1" applyAlignment="1">
      <alignment horizontal="center" vertical="center"/>
    </xf>
    <xf numFmtId="0" fontId="8" fillId="11" borderId="4" xfId="0" applyFont="1" applyFill="1" applyBorder="1" applyAlignment="1">
      <alignment horizontal="right"/>
    </xf>
    <xf numFmtId="0" fontId="8" fillId="11" borderId="19" xfId="0" applyFont="1" applyFill="1" applyBorder="1" applyAlignment="1">
      <alignment horizontal="right"/>
    </xf>
    <xf numFmtId="0" fontId="11" fillId="11" borderId="2" xfId="0" applyFont="1" applyFill="1" applyBorder="1" applyAlignment="1" applyProtection="1">
      <alignment horizontal="center" wrapText="1"/>
      <protection locked="0"/>
    </xf>
    <xf numFmtId="0" fontId="11" fillId="11" borderId="3" xfId="0" applyFont="1" applyFill="1" applyBorder="1" applyAlignment="1" applyProtection="1">
      <alignment horizontal="center" wrapText="1"/>
      <protection locked="0"/>
    </xf>
    <xf numFmtId="0" fontId="12" fillId="11" borderId="2" xfId="0" applyFont="1" applyFill="1" applyBorder="1" applyAlignment="1">
      <alignment horizontal="center" vertical="center"/>
    </xf>
    <xf numFmtId="0" fontId="8" fillId="11" borderId="36" xfId="0" applyFont="1" applyFill="1" applyBorder="1" applyAlignment="1">
      <alignment horizontal="right" wrapText="1"/>
    </xf>
    <xf numFmtId="0" fontId="8" fillId="11" borderId="32" xfId="0" applyFont="1" applyFill="1" applyBorder="1" applyAlignment="1">
      <alignment horizontal="right" wrapText="1"/>
    </xf>
    <xf numFmtId="0" fontId="1" fillId="11" borderId="29" xfId="0" applyFont="1" applyFill="1" applyBorder="1" applyAlignment="1">
      <alignment horizontal="right"/>
    </xf>
    <xf numFmtId="0" fontId="4" fillId="17" borderId="15" xfId="0" applyFont="1" applyFill="1" applyBorder="1" applyAlignment="1">
      <alignment horizontal="center" vertical="center" wrapText="1"/>
    </xf>
    <xf numFmtId="0" fontId="20" fillId="0" borderId="4" xfId="0" applyFont="1" applyBorder="1" applyAlignment="1">
      <alignment horizontal="center" vertical="center" wrapText="1"/>
    </xf>
    <xf numFmtId="0" fontId="20" fillId="0" borderId="7" xfId="0" applyFont="1" applyBorder="1" applyAlignment="1">
      <alignment horizontal="center" vertical="center" wrapText="1"/>
    </xf>
    <xf numFmtId="0" fontId="20" fillId="0" borderId="5" xfId="0" applyFont="1" applyBorder="1" applyAlignment="1">
      <alignment horizontal="center" vertical="center" wrapText="1"/>
    </xf>
    <xf numFmtId="0" fontId="20" fillId="0" borderId="18" xfId="0" applyFont="1" applyBorder="1" applyAlignment="1">
      <alignment horizontal="center" vertical="center" wrapText="1"/>
    </xf>
    <xf numFmtId="0" fontId="20" fillId="0" borderId="46" xfId="0" applyFont="1" applyBorder="1" applyAlignment="1">
      <alignment horizontal="center" vertical="center" wrapText="1"/>
    </xf>
    <xf numFmtId="0" fontId="25" fillId="16" borderId="21" xfId="0" applyFont="1" applyFill="1" applyBorder="1" applyAlignment="1">
      <alignment horizontal="center" vertical="center" wrapText="1"/>
    </xf>
    <xf numFmtId="0" fontId="25" fillId="16" borderId="45" xfId="0" applyFont="1" applyFill="1" applyBorder="1" applyAlignment="1">
      <alignment horizontal="center" vertical="center" wrapText="1"/>
    </xf>
    <xf numFmtId="0" fontId="20" fillId="0" borderId="47" xfId="0" applyFont="1" applyBorder="1" applyAlignment="1">
      <alignment horizontal="center" vertical="center" wrapText="1"/>
    </xf>
    <xf numFmtId="0" fontId="20" fillId="0" borderId="48" xfId="0" applyFont="1" applyBorder="1" applyAlignment="1">
      <alignment horizontal="center" vertical="center" wrapText="1"/>
    </xf>
    <xf numFmtId="0" fontId="8" fillId="11" borderId="4" xfId="0" applyFont="1" applyFill="1" applyBorder="1" applyAlignment="1">
      <alignment horizontal="right" wrapText="1"/>
    </xf>
    <xf numFmtId="0" fontId="8" fillId="11" borderId="19" xfId="0" applyFont="1" applyFill="1" applyBorder="1" applyAlignment="1">
      <alignment horizontal="right" wrapText="1"/>
    </xf>
    <xf numFmtId="0" fontId="19" fillId="12" borderId="5" xfId="0" applyFont="1" applyFill="1" applyBorder="1" applyAlignment="1">
      <alignment horizontal="center" vertical="center" wrapText="1"/>
    </xf>
    <xf numFmtId="0" fontId="19" fillId="12" borderId="6" xfId="0" applyFont="1" applyFill="1" applyBorder="1" applyAlignment="1">
      <alignment horizontal="center" vertical="center" wrapText="1"/>
    </xf>
    <xf numFmtId="0" fontId="26" fillId="11" borderId="5" xfId="0" applyFont="1" applyFill="1" applyBorder="1" applyAlignment="1">
      <alignment horizontal="center" vertical="center" wrapText="1"/>
    </xf>
    <xf numFmtId="0" fontId="27" fillId="0" borderId="18" xfId="0" applyFont="1" applyBorder="1" applyAlignment="1">
      <alignment horizontal="center" vertical="center" wrapText="1"/>
    </xf>
    <xf numFmtId="0" fontId="27" fillId="0" borderId="48" xfId="0" applyFont="1" applyBorder="1" applyAlignment="1">
      <alignment horizontal="center" vertical="center" wrapText="1"/>
    </xf>
    <xf numFmtId="0" fontId="4" fillId="11" borderId="38" xfId="0" applyFont="1" applyFill="1" applyBorder="1" applyAlignment="1">
      <alignment horizontal="center" vertical="center" wrapText="1"/>
    </xf>
    <xf numFmtId="0" fontId="4" fillId="11" borderId="29" xfId="0" applyFont="1" applyFill="1" applyBorder="1" applyAlignment="1">
      <alignment horizontal="center" vertical="center"/>
    </xf>
    <xf numFmtId="0" fontId="4" fillId="11" borderId="39" xfId="0" applyFont="1" applyFill="1" applyBorder="1" applyAlignment="1">
      <alignment horizontal="center" vertical="center"/>
    </xf>
    <xf numFmtId="0" fontId="4" fillId="11" borderId="36" xfId="0" applyFont="1" applyFill="1" applyBorder="1" applyAlignment="1">
      <alignment horizontal="center" vertical="center"/>
    </xf>
    <xf numFmtId="0" fontId="1" fillId="12" borderId="53" xfId="0" applyFont="1" applyFill="1" applyBorder="1" applyAlignment="1">
      <alignment horizontal="center"/>
    </xf>
    <xf numFmtId="0" fontId="1" fillId="12" borderId="0" xfId="0" applyFont="1" applyFill="1" applyAlignment="1">
      <alignment horizontal="center"/>
    </xf>
    <xf numFmtId="0" fontId="1" fillId="12" borderId="45" xfId="0" applyFont="1" applyFill="1" applyBorder="1" applyAlignment="1">
      <alignment horizontal="center"/>
    </xf>
    <xf numFmtId="0" fontId="1" fillId="12" borderId="49" xfId="0" applyFont="1" applyFill="1" applyBorder="1" applyAlignment="1">
      <alignment horizontal="center"/>
    </xf>
    <xf numFmtId="0" fontId="1" fillId="12" borderId="11" xfId="0" applyFont="1" applyFill="1" applyBorder="1" applyAlignment="1">
      <alignment horizontal="center"/>
    </xf>
    <xf numFmtId="0" fontId="1" fillId="12" borderId="54" xfId="0" applyFont="1" applyFill="1" applyBorder="1" applyAlignment="1">
      <alignment horizontal="center"/>
    </xf>
    <xf numFmtId="0" fontId="1" fillId="11" borderId="44" xfId="0" applyFont="1" applyFill="1" applyBorder="1" applyAlignment="1">
      <alignment horizontal="center" vertical="center" wrapText="1"/>
    </xf>
    <xf numFmtId="0" fontId="1" fillId="11" borderId="0" xfId="0" applyFont="1" applyFill="1" applyAlignment="1">
      <alignment horizontal="center" vertical="center" wrapText="1"/>
    </xf>
    <xf numFmtId="0" fontId="1" fillId="11" borderId="39" xfId="0" applyFont="1" applyFill="1" applyBorder="1" applyAlignment="1">
      <alignment horizontal="center" vertical="center" wrapText="1"/>
    </xf>
    <xf numFmtId="0" fontId="1" fillId="11" borderId="36" xfId="0" applyFont="1" applyFill="1" applyBorder="1" applyAlignment="1">
      <alignment horizontal="center" vertical="center" wrapText="1"/>
    </xf>
    <xf numFmtId="0" fontId="20" fillId="0" borderId="40" xfId="0" applyFont="1" applyBorder="1" applyAlignment="1">
      <alignment horizontal="center" vertical="center" wrapText="1"/>
    </xf>
    <xf numFmtId="0" fontId="20" fillId="0" borderId="30" xfId="0" applyFont="1" applyBorder="1" applyAlignment="1">
      <alignment horizontal="center" vertical="center" wrapText="1"/>
    </xf>
    <xf numFmtId="0" fontId="20" fillId="0" borderId="49" xfId="0" applyFont="1" applyBorder="1" applyAlignment="1">
      <alignment horizontal="center" vertical="center" wrapText="1"/>
    </xf>
    <xf numFmtId="0" fontId="20" fillId="0" borderId="50" xfId="0" applyFont="1" applyBorder="1" applyAlignment="1">
      <alignment horizontal="center" vertical="center" wrapText="1"/>
    </xf>
    <xf numFmtId="0" fontId="8" fillId="11" borderId="1" xfId="0" applyFont="1" applyFill="1" applyBorder="1" applyAlignment="1">
      <alignment horizontal="center" wrapText="1"/>
    </xf>
    <xf numFmtId="0" fontId="8" fillId="11" borderId="2" xfId="0" applyFont="1" applyFill="1" applyBorder="1" applyAlignment="1">
      <alignment horizontal="center" wrapText="1"/>
    </xf>
    <xf numFmtId="0" fontId="9" fillId="11" borderId="2" xfId="0" applyFont="1" applyFill="1" applyBorder="1" applyAlignment="1">
      <alignment horizontal="left" wrapText="1"/>
    </xf>
    <xf numFmtId="0" fontId="10" fillId="12" borderId="24" xfId="0" applyFont="1" applyFill="1" applyBorder="1" applyAlignment="1">
      <alignment horizontal="right" wrapText="1"/>
    </xf>
    <xf numFmtId="0" fontId="10" fillId="12" borderId="25" xfId="0" applyFont="1" applyFill="1" applyBorder="1" applyAlignment="1">
      <alignment horizontal="right" wrapText="1"/>
    </xf>
    <xf numFmtId="0" fontId="10" fillId="12" borderId="27" xfId="0" applyFont="1" applyFill="1" applyBorder="1" applyAlignment="1">
      <alignment horizontal="right" wrapText="1"/>
    </xf>
    <xf numFmtId="0" fontId="8" fillId="11" borderId="4" xfId="0" applyFont="1" applyFill="1" applyBorder="1" applyAlignment="1">
      <alignment horizontal="center" wrapText="1"/>
    </xf>
    <xf numFmtId="0" fontId="8" fillId="11" borderId="5" xfId="0" applyFont="1" applyFill="1" applyBorder="1" applyAlignment="1">
      <alignment horizontal="center" wrapText="1"/>
    </xf>
    <xf numFmtId="0" fontId="9" fillId="11" borderId="5" xfId="0" applyFont="1" applyFill="1" applyBorder="1" applyAlignment="1">
      <alignment horizontal="left" wrapText="1"/>
    </xf>
    <xf numFmtId="0" fontId="8" fillId="11" borderId="19" xfId="0" applyFont="1" applyFill="1" applyBorder="1" applyAlignment="1">
      <alignment horizontal="center" wrapText="1"/>
    </xf>
    <xf numFmtId="0" fontId="8" fillId="11" borderId="22" xfId="0" applyFont="1" applyFill="1" applyBorder="1" applyAlignment="1">
      <alignment horizontal="center" wrapText="1"/>
    </xf>
    <xf numFmtId="0" fontId="8" fillId="11" borderId="26" xfId="0" applyFont="1" applyFill="1" applyBorder="1" applyAlignment="1">
      <alignment horizontal="center" wrapText="1"/>
    </xf>
    <xf numFmtId="0" fontId="9" fillId="11" borderId="19" xfId="0" applyFont="1" applyFill="1" applyBorder="1" applyAlignment="1">
      <alignment horizontal="left" wrapText="1"/>
    </xf>
    <xf numFmtId="0" fontId="9" fillId="11" borderId="26" xfId="0" applyFont="1" applyFill="1" applyBorder="1" applyAlignment="1">
      <alignment horizontal="left" wrapText="1"/>
    </xf>
    <xf numFmtId="0" fontId="11" fillId="13" borderId="19" xfId="0" applyFont="1" applyFill="1" applyBorder="1" applyAlignment="1">
      <alignment horizontal="center" wrapText="1"/>
    </xf>
    <xf numFmtId="0" fontId="11" fillId="13" borderId="26" xfId="0" applyFont="1" applyFill="1" applyBorder="1" applyAlignment="1">
      <alignment horizontal="center" wrapText="1"/>
    </xf>
    <xf numFmtId="0" fontId="12" fillId="13" borderId="22" xfId="0" applyFont="1" applyFill="1" applyBorder="1" applyAlignment="1">
      <alignment horizontal="center" wrapText="1"/>
    </xf>
    <xf numFmtId="0" fontId="12" fillId="13" borderId="30" xfId="0" applyFont="1" applyFill="1" applyBorder="1" applyAlignment="1">
      <alignment horizontal="center" vertical="center"/>
    </xf>
    <xf numFmtId="0" fontId="12" fillId="13" borderId="32" xfId="0" applyFont="1" applyFill="1" applyBorder="1" applyAlignment="1">
      <alignment horizontal="center" vertical="center"/>
    </xf>
    <xf numFmtId="0" fontId="3" fillId="6" borderId="0" xfId="0" applyFont="1" applyFill="1" applyAlignment="1">
      <alignment horizontal="left"/>
    </xf>
    <xf numFmtId="0" fontId="1" fillId="0" borderId="0" xfId="0" applyFont="1" applyAlignment="1">
      <alignment horizontal="right" indent="3"/>
    </xf>
    <xf numFmtId="0" fontId="1" fillId="0" borderId="11" xfId="0" applyFont="1" applyBorder="1" applyAlignment="1">
      <alignment horizontal="right" indent="3"/>
    </xf>
    <xf numFmtId="0" fontId="0" fillId="0" borderId="11" xfId="0" applyBorder="1" applyAlignment="1">
      <alignment horizontal="left"/>
    </xf>
    <xf numFmtId="0" fontId="5" fillId="5" borderId="2" xfId="0" applyFont="1" applyFill="1" applyBorder="1" applyAlignment="1" applyProtection="1">
      <alignment horizontal="center" wrapText="1"/>
      <protection hidden="1"/>
    </xf>
    <xf numFmtId="0" fontId="5" fillId="5" borderId="3" xfId="0" applyFont="1" applyFill="1" applyBorder="1" applyAlignment="1" applyProtection="1">
      <alignment horizontal="center" wrapText="1"/>
      <protection hidden="1"/>
    </xf>
    <xf numFmtId="0" fontId="1" fillId="5" borderId="16" xfId="0" applyFont="1" applyFill="1" applyBorder="1" applyAlignment="1">
      <alignment horizontal="center"/>
    </xf>
    <xf numFmtId="0" fontId="1" fillId="5" borderId="17" xfId="0" applyFont="1" applyFill="1" applyBorder="1" applyAlignment="1">
      <alignment horizontal="center"/>
    </xf>
    <xf numFmtId="0" fontId="1" fillId="5" borderId="21" xfId="0" applyFont="1" applyFill="1" applyBorder="1" applyAlignment="1">
      <alignment horizontal="center"/>
    </xf>
    <xf numFmtId="0" fontId="5" fillId="5" borderId="19" xfId="0" applyFont="1" applyFill="1" applyBorder="1" applyAlignment="1" applyProtection="1">
      <alignment horizontal="center" wrapText="1"/>
      <protection hidden="1"/>
    </xf>
    <xf numFmtId="0" fontId="5" fillId="5" borderId="22" xfId="0" applyFont="1" applyFill="1" applyBorder="1" applyAlignment="1" applyProtection="1">
      <alignment horizontal="center" wrapText="1"/>
      <protection hidden="1"/>
    </xf>
    <xf numFmtId="0" fontId="5" fillId="5" borderId="23" xfId="0" applyFont="1" applyFill="1" applyBorder="1" applyAlignment="1" applyProtection="1">
      <alignment horizontal="center" wrapText="1"/>
      <protection hidden="1"/>
    </xf>
    <xf numFmtId="0" fontId="1" fillId="5" borderId="1" xfId="0" applyFont="1" applyFill="1" applyBorder="1" applyAlignment="1" applyProtection="1">
      <alignment horizontal="center"/>
      <protection hidden="1"/>
    </xf>
    <xf numFmtId="0" fontId="1" fillId="5" borderId="4" xfId="0" applyFont="1" applyFill="1" applyBorder="1" applyAlignment="1" applyProtection="1">
      <alignment horizontal="center"/>
      <protection hidden="1"/>
    </xf>
    <xf numFmtId="0" fontId="5" fillId="5" borderId="4" xfId="0" applyFont="1" applyFill="1" applyBorder="1" applyAlignment="1">
      <alignment horizontal="center"/>
    </xf>
    <xf numFmtId="0" fontId="5" fillId="5" borderId="5" xfId="0" applyFont="1" applyFill="1" applyBorder="1" applyAlignment="1">
      <alignment horizontal="center" wrapText="1"/>
    </xf>
    <xf numFmtId="0" fontId="1" fillId="5" borderId="2" xfId="0" applyFont="1" applyFill="1" applyBorder="1" applyAlignment="1" applyProtection="1">
      <alignment horizontal="center"/>
      <protection hidden="1"/>
    </xf>
    <xf numFmtId="0" fontId="1" fillId="5" borderId="5" xfId="0" applyFont="1" applyFill="1" applyBorder="1" applyAlignment="1" applyProtection="1">
      <alignment horizontal="center"/>
      <protection hidden="1"/>
    </xf>
    <xf numFmtId="0" fontId="4" fillId="5" borderId="2" xfId="0" applyFont="1" applyFill="1" applyBorder="1" applyAlignment="1" applyProtection="1">
      <alignment horizontal="center" wrapText="1"/>
      <protection hidden="1"/>
    </xf>
    <xf numFmtId="0" fontId="4" fillId="5" borderId="5" xfId="0" applyFont="1" applyFill="1" applyBorder="1" applyAlignment="1" applyProtection="1">
      <alignment horizontal="center" wrapText="1"/>
      <protection hidden="1"/>
    </xf>
    <xf numFmtId="0" fontId="4" fillId="5" borderId="2" xfId="0" applyFont="1" applyFill="1" applyBorder="1" applyAlignment="1" applyProtection="1">
      <alignment horizontal="center" vertical="center" wrapText="1"/>
      <protection hidden="1"/>
    </xf>
    <xf numFmtId="0" fontId="4" fillId="5" borderId="5" xfId="0" applyFont="1" applyFill="1" applyBorder="1" applyAlignment="1" applyProtection="1">
      <alignment horizontal="center" vertical="center" wrapText="1"/>
      <protection hidden="1"/>
    </xf>
    <xf numFmtId="0" fontId="1" fillId="0" borderId="0" xfId="0" applyFont="1" applyAlignment="1">
      <alignment horizontal="center"/>
    </xf>
    <xf numFmtId="0" fontId="2" fillId="5" borderId="2" xfId="0" applyFont="1" applyFill="1" applyBorder="1" applyAlignment="1">
      <alignment horizontal="center" vertical="center"/>
    </xf>
    <xf numFmtId="0" fontId="2" fillId="5" borderId="3" xfId="0" applyFont="1" applyFill="1" applyBorder="1" applyAlignment="1">
      <alignment horizontal="center" vertical="center"/>
    </xf>
  </cellXfs>
  <cellStyles count="3">
    <cellStyle name="Normal" xfId="0" builtinId="0"/>
    <cellStyle name="Normal 2" xfId="2" xr:uid="{550E7F37-DC47-48A6-A4B9-39ED9E910C38}"/>
    <cellStyle name="Percent" xfId="1" builtinId="5"/>
  </cellStyles>
  <dxfs count="3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tint="-0.24994659260841701"/>
      </font>
    </dxf>
    <dxf>
      <font>
        <color theme="0" tint="-0.24994659260841701"/>
      </font>
    </dxf>
    <dxf>
      <font>
        <color rgb="FF9C0006"/>
      </font>
      <fill>
        <patternFill patternType="solid">
          <bgColor rgb="FFFFC7CE"/>
        </patternFill>
      </fill>
    </dxf>
    <dxf>
      <font>
        <color rgb="FF006100"/>
      </font>
      <fill>
        <patternFill patternType="solid">
          <bgColor rgb="FFC6EFCE"/>
        </patternFill>
      </fill>
    </dxf>
    <dxf>
      <fill>
        <patternFill patternType="solid">
          <bgColor theme="1" tint="0.14993743705557422"/>
        </patternFill>
      </fill>
    </dxf>
    <dxf>
      <font>
        <color rgb="FF9C0006"/>
      </font>
      <fill>
        <patternFill patternType="solid">
          <bgColor rgb="FFFFC7CE"/>
        </patternFill>
      </fill>
    </dxf>
    <dxf>
      <font>
        <color rgb="FF9C0006"/>
      </font>
      <fill>
        <patternFill patternType="solid">
          <bgColor rgb="FFFFC7CE"/>
        </patternFill>
      </fill>
    </dxf>
    <dxf>
      <font>
        <b/>
        <i val="0"/>
        <color rgb="FFFF0000"/>
      </font>
    </dxf>
    <dxf>
      <font>
        <color rgb="FF9C0006"/>
      </font>
      <fill>
        <patternFill patternType="solid">
          <bgColor rgb="FFFFC7CE"/>
        </patternFill>
      </fill>
    </dxf>
    <dxf>
      <fill>
        <patternFill patternType="solid">
          <bgColor rgb="FFF69582"/>
        </patternFill>
      </fill>
    </dxf>
    <dxf>
      <font>
        <color theme="1" tint="0.24994659260841701"/>
      </font>
      <fill>
        <patternFill patternType="solid">
          <bgColor theme="1" tint="0.24994659260841701"/>
        </patternFill>
      </fill>
    </dxf>
    <dxf>
      <font>
        <color theme="1" tint="0.24994659260841701"/>
      </font>
      <fill>
        <patternFill patternType="solid">
          <bgColor theme="1" tint="0.24994659260841701"/>
        </patternFill>
      </fill>
    </dxf>
    <dxf>
      <font>
        <color theme="1"/>
      </font>
      <fill>
        <patternFill patternType="solid">
          <bgColor theme="1"/>
        </patternFill>
      </fill>
    </dxf>
    <dxf>
      <font>
        <b val="0"/>
        <i val="0"/>
        <color theme="0" tint="-0.499984740745262"/>
      </font>
    </dxf>
    <dxf>
      <font>
        <color theme="0" tint="-0.24994659260841701"/>
      </font>
    </dxf>
    <dxf>
      <font>
        <color theme="0" tint="-0.24994659260841701"/>
      </font>
    </dxf>
    <dxf>
      <fill>
        <patternFill patternType="solid">
          <fgColor theme="4" tint="0.79998168889431442"/>
          <bgColor theme="4" tint="0.79998168889431442"/>
        </patternFill>
      </fill>
      <border>
        <bottom style="thin">
          <color theme="4" tint="0.39997558519241921"/>
        </bottom>
      </border>
    </dxf>
    <dxf>
      <font>
        <b/>
      </font>
      <fill>
        <patternFill patternType="solid">
          <fgColor theme="4" tint="0.79998168889431442"/>
          <bgColor theme="4" tint="0.79998168889431442"/>
        </patternFill>
      </fill>
      <border>
        <bottom style="thin">
          <color theme="4" tint="0.39997558519241921"/>
        </bottom>
      </border>
    </dxf>
    <dxf>
      <font>
        <color theme="1"/>
      </font>
    </dxf>
    <dxf>
      <font>
        <color theme="1"/>
      </font>
      <border>
        <bottom style="thin">
          <color theme="4" tint="0.39997558519241921"/>
        </bottom>
      </border>
    </dxf>
    <dxf>
      <font>
        <b/>
        <color theme="1"/>
      </font>
    </dxf>
    <dxf>
      <font>
        <b/>
        <color theme="1"/>
      </font>
      <border>
        <top style="thin">
          <color theme="4"/>
        </top>
        <bottom style="thin">
          <color theme="4"/>
        </bottom>
      </border>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fill>
        <patternFill patternType="solid">
          <fgColor theme="4" tint="0.79998168889431442"/>
          <bgColor theme="4" tint="0.79998168889431442"/>
        </patternFill>
      </fill>
      <border>
        <top style="thin">
          <color theme="4" tint="0.39997558519241921"/>
        </top>
        <bottom style="thin">
          <color theme="4" tint="0.39997558519241921"/>
        </bottom>
      </border>
    </dxf>
    <dxf>
      <font>
        <b/>
        <color theme="1"/>
      </font>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21"/>
        </horizontal>
      </border>
    </dxf>
  </dxfs>
  <tableStyles count="2" defaultTableStyle="TableStyleMedium2" defaultPivotStyle="PivotStyleLight16">
    <tableStyle name="TableStylePreset3_Accent1" pivot="0" count="7" xr9:uid="{7365F514-EBAB-48AA-B9A8-D7B376F29C7C}">
      <tableStyleElement type="wholeTable" dxfId="35"/>
      <tableStyleElement type="headerRow" dxfId="34"/>
      <tableStyleElement type="totalRow" dxfId="33"/>
      <tableStyleElement type="firstColumn" dxfId="32"/>
      <tableStyleElement type="lastColumn" dxfId="31"/>
      <tableStyleElement type="firstRowStripe" dxfId="30"/>
      <tableStyleElement type="firstColumnStripe" dxfId="29"/>
    </tableStyle>
    <tableStyle name="PivotStylePreset2_Accent1" table="0" count="10" xr9:uid="{5CF71AE2-A582-42AA-B240-E3DD04684DF5}">
      <tableStyleElement type="headerRow" dxfId="28"/>
      <tableStyleElement type="totalRow" dxfId="27"/>
      <tableStyleElement type="firstRowStripe" dxfId="26"/>
      <tableStyleElement type="firstColumnStripe" dxfId="25"/>
      <tableStyleElement type="firstSubtotalRow" dxfId="24"/>
      <tableStyleElement type="secondSubtotalRow" dxfId="23"/>
      <tableStyleElement type="firstRowSubheading" dxfId="22"/>
      <tableStyleElement type="secondRowSubheading" dxfId="21"/>
      <tableStyleElement type="pageFieldLabels" dxfId="20"/>
      <tableStyleElement type="pageFieldValues" dxfId="19"/>
    </tableStyle>
  </tableStyles>
  <colors>
    <mruColors>
      <color rgb="FFFF6600"/>
      <color rgb="FFF695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 Id="rId14" Type="http://schemas.openxmlformats.org/officeDocument/2006/relationships/customXml" Target="../customXml/item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 of Grade 1 Learners Assessed In</a:t>
            </a:r>
            <a:r>
              <a:rPr lang="en-US" baseline="0"/>
              <a:t> Mother Tongue By Reading Profile</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Summary'!$H$15</c:f>
              <c:strCache>
                <c:ptCount val="1"/>
                <c:pt idx="0">
                  <c:v>Low Emerging Reader</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Summary'!$B$16:$B$18</c:f>
              <c:strCache>
                <c:ptCount val="3"/>
                <c:pt idx="0">
                  <c:v>Male</c:v>
                </c:pt>
                <c:pt idx="1">
                  <c:v>Female</c:v>
                </c:pt>
                <c:pt idx="2">
                  <c:v>Total</c:v>
                </c:pt>
              </c:strCache>
            </c:strRef>
          </c:cat>
          <c:val>
            <c:numRef>
              <c:f>'Class Summary'!$H$16:$H$18</c:f>
              <c:numCache>
                <c:formatCode>0%</c:formatCode>
                <c:ptCount val="3"/>
                <c:pt idx="0">
                  <c:v>0.5</c:v>
                </c:pt>
                <c:pt idx="1">
                  <c:v>0</c:v>
                </c:pt>
                <c:pt idx="2">
                  <c:v>0.35714285714285715</c:v>
                </c:pt>
              </c:numCache>
            </c:numRef>
          </c:val>
          <c:extLst>
            <c:ext xmlns:c16="http://schemas.microsoft.com/office/drawing/2014/chart" uri="{C3380CC4-5D6E-409C-BE32-E72D297353CC}">
              <c16:uniqueId val="{00000000-7499-4E24-AA81-CF425EE3AD40}"/>
            </c:ext>
          </c:extLst>
        </c:ser>
        <c:ser>
          <c:idx val="1"/>
          <c:order val="1"/>
          <c:tx>
            <c:strRef>
              <c:f>'Class Summary'!$I$15</c:f>
              <c:strCache>
                <c:ptCount val="1"/>
                <c:pt idx="0">
                  <c:v>High Emerging Reader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Summary'!$B$16:$B$18</c:f>
              <c:strCache>
                <c:ptCount val="3"/>
                <c:pt idx="0">
                  <c:v>Male</c:v>
                </c:pt>
                <c:pt idx="1">
                  <c:v>Female</c:v>
                </c:pt>
                <c:pt idx="2">
                  <c:v>Total</c:v>
                </c:pt>
              </c:strCache>
            </c:strRef>
          </c:cat>
          <c:val>
            <c:numRef>
              <c:f>'Class Summary'!$I$16:$I$18</c:f>
              <c:numCache>
                <c:formatCode>0%</c:formatCode>
                <c:ptCount val="3"/>
                <c:pt idx="0">
                  <c:v>0</c:v>
                </c:pt>
                <c:pt idx="1">
                  <c:v>0</c:v>
                </c:pt>
                <c:pt idx="2">
                  <c:v>0</c:v>
                </c:pt>
              </c:numCache>
            </c:numRef>
          </c:val>
          <c:extLst>
            <c:ext xmlns:c16="http://schemas.microsoft.com/office/drawing/2014/chart" uri="{C3380CC4-5D6E-409C-BE32-E72D297353CC}">
              <c16:uniqueId val="{00000001-7499-4E24-AA81-CF425EE3AD40}"/>
            </c:ext>
          </c:extLst>
        </c:ser>
        <c:ser>
          <c:idx val="2"/>
          <c:order val="2"/>
          <c:tx>
            <c:strRef>
              <c:f>'Class Summary'!$J$15</c:f>
              <c:strCache>
                <c:ptCount val="1"/>
                <c:pt idx="0">
                  <c:v>Developing Reader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Summary'!$B$16:$B$18</c:f>
              <c:strCache>
                <c:ptCount val="3"/>
                <c:pt idx="0">
                  <c:v>Male</c:v>
                </c:pt>
                <c:pt idx="1">
                  <c:v>Female</c:v>
                </c:pt>
                <c:pt idx="2">
                  <c:v>Total</c:v>
                </c:pt>
              </c:strCache>
            </c:strRef>
          </c:cat>
          <c:val>
            <c:numRef>
              <c:f>'Class Summary'!$J$16:$J$18</c:f>
              <c:numCache>
                <c:formatCode>0%</c:formatCode>
                <c:ptCount val="3"/>
                <c:pt idx="0">
                  <c:v>0.4</c:v>
                </c:pt>
                <c:pt idx="1">
                  <c:v>0</c:v>
                </c:pt>
                <c:pt idx="2">
                  <c:v>0.2857142857142857</c:v>
                </c:pt>
              </c:numCache>
            </c:numRef>
          </c:val>
          <c:extLst>
            <c:ext xmlns:c16="http://schemas.microsoft.com/office/drawing/2014/chart" uri="{C3380CC4-5D6E-409C-BE32-E72D297353CC}">
              <c16:uniqueId val="{00000002-7499-4E24-AA81-CF425EE3AD40}"/>
            </c:ext>
          </c:extLst>
        </c:ser>
        <c:ser>
          <c:idx val="3"/>
          <c:order val="3"/>
          <c:tx>
            <c:strRef>
              <c:f>'Class Summary'!$K$15</c:f>
              <c:strCache>
                <c:ptCount val="1"/>
                <c:pt idx="0">
                  <c:v>Transitioning Reader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Summary'!$B$16:$B$18</c:f>
              <c:strCache>
                <c:ptCount val="3"/>
                <c:pt idx="0">
                  <c:v>Male</c:v>
                </c:pt>
                <c:pt idx="1">
                  <c:v>Female</c:v>
                </c:pt>
                <c:pt idx="2">
                  <c:v>Total</c:v>
                </c:pt>
              </c:strCache>
            </c:strRef>
          </c:cat>
          <c:val>
            <c:numRef>
              <c:f>'Class Summary'!$K$16:$K$18</c:f>
              <c:numCache>
                <c:formatCode>0%</c:formatCode>
                <c:ptCount val="3"/>
                <c:pt idx="0">
                  <c:v>0</c:v>
                </c:pt>
                <c:pt idx="1">
                  <c:v>1</c:v>
                </c:pt>
                <c:pt idx="2">
                  <c:v>0.2857142857142857</c:v>
                </c:pt>
              </c:numCache>
            </c:numRef>
          </c:val>
          <c:extLst>
            <c:ext xmlns:c16="http://schemas.microsoft.com/office/drawing/2014/chart" uri="{C3380CC4-5D6E-409C-BE32-E72D297353CC}">
              <c16:uniqueId val="{00000003-7499-4E24-AA81-CF425EE3AD40}"/>
            </c:ext>
          </c:extLst>
        </c:ser>
        <c:ser>
          <c:idx val="4"/>
          <c:order val="4"/>
          <c:tx>
            <c:strRef>
              <c:f>'Class Summary'!$L$15</c:f>
              <c:strCache>
                <c:ptCount val="1"/>
                <c:pt idx="0">
                  <c:v>Reading At Grade Level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Summary'!$B$16:$B$18</c:f>
              <c:strCache>
                <c:ptCount val="3"/>
                <c:pt idx="0">
                  <c:v>Male</c:v>
                </c:pt>
                <c:pt idx="1">
                  <c:v>Female</c:v>
                </c:pt>
                <c:pt idx="2">
                  <c:v>Total</c:v>
                </c:pt>
              </c:strCache>
            </c:strRef>
          </c:cat>
          <c:val>
            <c:numRef>
              <c:f>'Class Summary'!$L$16:$L$18</c:f>
              <c:numCache>
                <c:formatCode>0%</c:formatCode>
                <c:ptCount val="3"/>
                <c:pt idx="0">
                  <c:v>0.1</c:v>
                </c:pt>
                <c:pt idx="1">
                  <c:v>0</c:v>
                </c:pt>
                <c:pt idx="2">
                  <c:v>7.1428571428571425E-2</c:v>
                </c:pt>
              </c:numCache>
            </c:numRef>
          </c:val>
          <c:extLst>
            <c:ext xmlns:c16="http://schemas.microsoft.com/office/drawing/2014/chart" uri="{C3380CC4-5D6E-409C-BE32-E72D297353CC}">
              <c16:uniqueId val="{00000004-7499-4E24-AA81-CF425EE3AD40}"/>
            </c:ext>
          </c:extLst>
        </c:ser>
        <c:dLbls>
          <c:showLegendKey val="0"/>
          <c:showVal val="1"/>
          <c:showCatName val="0"/>
          <c:showSerName val="0"/>
          <c:showPercent val="0"/>
          <c:showBubbleSize val="0"/>
        </c:dLbls>
        <c:gapWidth val="219"/>
        <c:overlap val="-27"/>
        <c:axId val="194928544"/>
        <c:axId val="194934368"/>
      </c:barChart>
      <c:catAx>
        <c:axId val="1949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crossAx val="194934368"/>
        <c:crosses val="autoZero"/>
        <c:auto val="1"/>
        <c:lblAlgn val="ctr"/>
        <c:lblOffset val="100"/>
        <c:noMultiLvlLbl val="0"/>
      </c:catAx>
      <c:valAx>
        <c:axId val="194934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285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1482513030676801"/>
          <c:y val="4.1392392273854703E-2"/>
        </c:manualLayout>
      </c:layout>
      <c:overlay val="0"/>
      <c:spPr>
        <a:noFill/>
        <a:ln>
          <a:noFill/>
        </a:ln>
        <a:effectLst/>
      </c:spPr>
      <c:txPr>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7931556424356901"/>
          <c:y val="0.14026210265383501"/>
          <c:w val="0.46641666666666698"/>
          <c:h val="0.77736111111111095"/>
        </c:manualLayout>
      </c:layout>
      <c:pieChart>
        <c:varyColors val="1"/>
        <c:ser>
          <c:idx val="0"/>
          <c:order val="0"/>
          <c:tx>
            <c:strRef>
              <c:f>'Class Summary'!$G$6</c:f>
              <c:strCache>
                <c:ptCount val="1"/>
                <c:pt idx="0">
                  <c:v>Number of Learners Assessed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ACD-4FDA-B6BA-64ADA59F7E23}"/>
              </c:ext>
            </c:extLst>
          </c:dPt>
          <c:dPt>
            <c:idx val="1"/>
            <c:bubble3D val="0"/>
            <c:spPr>
              <a:solidFill>
                <a:srgbClr val="FF6600"/>
              </a:solidFill>
              <a:ln w="19050">
                <a:solidFill>
                  <a:schemeClr val="lt1"/>
                </a:solidFill>
              </a:ln>
              <a:effectLst/>
            </c:spPr>
            <c:extLst>
              <c:ext xmlns:c16="http://schemas.microsoft.com/office/drawing/2014/chart" uri="{C3380CC4-5D6E-409C-BE32-E72D297353CC}">
                <c16:uniqueId val="{00000003-9ACD-4FDA-B6BA-64ADA59F7E23}"/>
              </c:ext>
            </c:extLst>
          </c:dPt>
          <c:dLbls>
            <c:dLbl>
              <c:idx val="0"/>
              <c:layout>
                <c:manualLayout>
                  <c:x val="-0.11582819839816499"/>
                  <c:y val="8.9861393773881405E-3"/>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9ACD-4FDA-B6BA-64ADA59F7E23}"/>
                </c:ext>
              </c:extLst>
            </c:dLbl>
            <c:dLbl>
              <c:idx val="1"/>
              <c:layout>
                <c:manualLayout>
                  <c:x val="0.172759334236776"/>
                  <c:y val="-6.4924014449141101E-2"/>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9ACD-4FDA-B6BA-64ADA59F7E2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extLst>
                <c:ext xmlns:c15="http://schemas.microsoft.com/office/drawing/2012/chart" uri="{02D57815-91ED-43cb-92C2-25804820EDAC}">
                  <c15:fullRef>
                    <c15:sqref>'Class Summary'!$E$7:$E$9</c15:sqref>
                  </c15:fullRef>
                </c:ext>
              </c:extLst>
              <c:f>'Class Summary'!$E$8:$E$9</c:f>
              <c:strCache>
                <c:ptCount val="2"/>
                <c:pt idx="0">
                  <c:v>Male</c:v>
                </c:pt>
                <c:pt idx="1">
                  <c:v>Female</c:v>
                </c:pt>
              </c:strCache>
            </c:strRef>
          </c:cat>
          <c:val>
            <c:numRef>
              <c:extLst>
                <c:ext xmlns:c15="http://schemas.microsoft.com/office/drawing/2012/chart" uri="{02D57815-91ED-43cb-92C2-25804820EDAC}">
                  <c15:fullRef>
                    <c15:sqref>'Class Summary'!$G$7:$G$9</c15:sqref>
                  </c15:fullRef>
                </c:ext>
              </c:extLst>
              <c:f>'Class Summary'!$G$8:$G$9</c:f>
              <c:numCache>
                <c:formatCode>General</c:formatCode>
                <c:ptCount val="2"/>
                <c:pt idx="0">
                  <c:v>10</c:v>
                </c:pt>
                <c:pt idx="1">
                  <c:v>4</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4-9ACD-4FDA-B6BA-64ADA59F7E23}"/>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lang="en-US"/>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PH"/>
              <a:t>Reading</a:t>
            </a:r>
            <a:r>
              <a:rPr lang="en-PH" baseline="0"/>
              <a:t> Fluency and Comprehesion  Average Percentage</a:t>
            </a:r>
            <a:endParaRPr lang="en-PH"/>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'Class Summary'!$L$7</c:f>
              <c:strCache>
                <c:ptCount val="1"/>
                <c:pt idx="0">
                  <c:v>Reading Fluency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Summary'!$E$8:$E$9,'Class Summary'!$E$11)</c:f>
              <c:strCache>
                <c:ptCount val="3"/>
                <c:pt idx="0">
                  <c:v>Male</c:v>
                </c:pt>
                <c:pt idx="1">
                  <c:v>Female</c:v>
                </c:pt>
                <c:pt idx="2">
                  <c:v>Total</c:v>
                </c:pt>
              </c:strCache>
            </c:strRef>
          </c:cat>
          <c:val>
            <c:numRef>
              <c:f>('Class Summary'!$L$8:$L$9,'Class Summary'!$L$11)</c:f>
              <c:numCache>
                <c:formatCode>0.00%</c:formatCode>
                <c:ptCount val="3"/>
                <c:pt idx="0">
                  <c:v>0.54342857142857137</c:v>
                </c:pt>
                <c:pt idx="1">
                  <c:v>0.80183673469387751</c:v>
                </c:pt>
                <c:pt idx="2">
                  <c:v>0.67263265306122444</c:v>
                </c:pt>
              </c:numCache>
            </c:numRef>
          </c:val>
          <c:extLst>
            <c:ext xmlns:c16="http://schemas.microsoft.com/office/drawing/2014/chart" uri="{C3380CC4-5D6E-409C-BE32-E72D297353CC}">
              <c16:uniqueId val="{00000000-C4DD-4321-BD6C-7E27A7ED8A2E}"/>
            </c:ext>
          </c:extLst>
        </c:ser>
        <c:ser>
          <c:idx val="1"/>
          <c:order val="1"/>
          <c:tx>
            <c:strRef>
              <c:f>'Class Summary'!$M$7</c:f>
              <c:strCache>
                <c:ptCount val="1"/>
                <c:pt idx="0">
                  <c:v>Reading Comprehension</c:v>
                </c:pt>
              </c:strCache>
            </c:strRef>
          </c:tx>
          <c:spPr>
            <a:solidFill>
              <a:srgbClr val="FF66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Summary'!$E$8:$E$9,'Class Summary'!$E$11)</c:f>
              <c:strCache>
                <c:ptCount val="3"/>
                <c:pt idx="0">
                  <c:v>Male</c:v>
                </c:pt>
                <c:pt idx="1">
                  <c:v>Female</c:v>
                </c:pt>
                <c:pt idx="2">
                  <c:v>Total</c:v>
                </c:pt>
              </c:strCache>
            </c:strRef>
          </c:cat>
          <c:val>
            <c:numRef>
              <c:f>('Class Summary'!$M$8:$M$9,'Class Summary'!$M$11)</c:f>
              <c:numCache>
                <c:formatCode>0.00%</c:formatCode>
                <c:ptCount val="3"/>
                <c:pt idx="0">
                  <c:v>0.22857142857142856</c:v>
                </c:pt>
                <c:pt idx="1">
                  <c:v>0.5</c:v>
                </c:pt>
                <c:pt idx="2">
                  <c:v>0.36428571428571427</c:v>
                </c:pt>
              </c:numCache>
            </c:numRef>
          </c:val>
          <c:extLst>
            <c:ext xmlns:c16="http://schemas.microsoft.com/office/drawing/2014/chart" uri="{C3380CC4-5D6E-409C-BE32-E72D297353CC}">
              <c16:uniqueId val="{00000001-C4DD-4321-BD6C-7E27A7ED8A2E}"/>
            </c:ext>
          </c:extLst>
        </c:ser>
        <c:dLbls>
          <c:showLegendKey val="0"/>
          <c:showVal val="1"/>
          <c:showCatName val="0"/>
          <c:showSerName val="0"/>
          <c:showPercent val="0"/>
          <c:showBubbleSize val="0"/>
        </c:dLbls>
        <c:gapWidth val="219"/>
        <c:overlap val="-27"/>
        <c:axId val="1151450608"/>
        <c:axId val="1086050176"/>
      </c:barChart>
      <c:catAx>
        <c:axId val="115145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1" i="0" u="none" strike="noStrike" kern="1200" baseline="0">
                <a:solidFill>
                  <a:schemeClr val="tx1">
                    <a:lumMod val="65000"/>
                    <a:lumOff val="35000"/>
                  </a:schemeClr>
                </a:solidFill>
                <a:latin typeface="+mn-lt"/>
                <a:ea typeface="+mn-ea"/>
                <a:cs typeface="+mn-cs"/>
              </a:defRPr>
            </a:pPr>
            <a:endParaRPr lang="en-US"/>
          </a:p>
        </c:txPr>
        <c:crossAx val="1086050176"/>
        <c:crosses val="autoZero"/>
        <c:auto val="1"/>
        <c:lblAlgn val="ctr"/>
        <c:lblOffset val="100"/>
        <c:noMultiLvlLbl val="0"/>
      </c:catAx>
      <c:valAx>
        <c:axId val="108605017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151450608"/>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 of Grade 1 Learners Assessed Part 1 Level</a:t>
            </a:r>
            <a:endParaRPr lang="en-US" baseline="0"/>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Summary'!$D$15</c:f>
              <c:strCache>
                <c:ptCount val="1"/>
                <c:pt idx="0">
                  <c:v>Full Refresher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Summary'!$B$16:$B$18</c:f>
              <c:strCache>
                <c:ptCount val="3"/>
                <c:pt idx="0">
                  <c:v>Male</c:v>
                </c:pt>
                <c:pt idx="1">
                  <c:v>Female</c:v>
                </c:pt>
                <c:pt idx="2">
                  <c:v>Total</c:v>
                </c:pt>
              </c:strCache>
            </c:strRef>
          </c:cat>
          <c:val>
            <c:numRef>
              <c:f>'Class Summary'!$D$16:$D$18</c:f>
              <c:numCache>
                <c:formatCode>0%</c:formatCode>
                <c:ptCount val="3"/>
                <c:pt idx="0">
                  <c:v>0.3</c:v>
                </c:pt>
                <c:pt idx="1">
                  <c:v>0</c:v>
                </c:pt>
                <c:pt idx="2">
                  <c:v>0.21428571428571427</c:v>
                </c:pt>
              </c:numCache>
            </c:numRef>
          </c:val>
          <c:extLst>
            <c:ext xmlns:c16="http://schemas.microsoft.com/office/drawing/2014/chart" uri="{C3380CC4-5D6E-409C-BE32-E72D297353CC}">
              <c16:uniqueId val="{00000000-9439-41C0-9669-5A92FE6EA8E0}"/>
            </c:ext>
          </c:extLst>
        </c:ser>
        <c:ser>
          <c:idx val="1"/>
          <c:order val="1"/>
          <c:tx>
            <c:strRef>
              <c:f>'Class Summary'!$E$15</c:f>
              <c:strCache>
                <c:ptCount val="1"/>
                <c:pt idx="0">
                  <c:v>Moderate Refresher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Summary'!$B$16:$B$18</c:f>
              <c:strCache>
                <c:ptCount val="3"/>
                <c:pt idx="0">
                  <c:v>Male</c:v>
                </c:pt>
                <c:pt idx="1">
                  <c:v>Female</c:v>
                </c:pt>
                <c:pt idx="2">
                  <c:v>Total</c:v>
                </c:pt>
              </c:strCache>
            </c:strRef>
          </c:cat>
          <c:val>
            <c:numRef>
              <c:f>'Class Summary'!$E$16:$E$18</c:f>
              <c:numCache>
                <c:formatCode>0%</c:formatCode>
                <c:ptCount val="3"/>
                <c:pt idx="0">
                  <c:v>0.2</c:v>
                </c:pt>
                <c:pt idx="1">
                  <c:v>0</c:v>
                </c:pt>
                <c:pt idx="2">
                  <c:v>0.14285714285714285</c:v>
                </c:pt>
              </c:numCache>
            </c:numRef>
          </c:val>
          <c:extLst>
            <c:ext xmlns:c16="http://schemas.microsoft.com/office/drawing/2014/chart" uri="{C3380CC4-5D6E-409C-BE32-E72D297353CC}">
              <c16:uniqueId val="{00000001-9439-41C0-9669-5A92FE6EA8E0}"/>
            </c:ext>
          </c:extLst>
        </c:ser>
        <c:ser>
          <c:idx val="2"/>
          <c:order val="2"/>
          <c:tx>
            <c:strRef>
              <c:f>'Class Summary'!$F$15</c:f>
              <c:strCache>
                <c:ptCount val="1"/>
                <c:pt idx="0">
                  <c:v>Light Refresher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Summary'!$B$16:$B$18</c:f>
              <c:strCache>
                <c:ptCount val="3"/>
                <c:pt idx="0">
                  <c:v>Male</c:v>
                </c:pt>
                <c:pt idx="1">
                  <c:v>Female</c:v>
                </c:pt>
                <c:pt idx="2">
                  <c:v>Total</c:v>
                </c:pt>
              </c:strCache>
            </c:strRef>
          </c:cat>
          <c:val>
            <c:numRef>
              <c:f>'Class Summary'!$F$16:$F$18</c:f>
              <c:numCache>
                <c:formatCode>0%</c:formatCode>
                <c:ptCount val="3"/>
                <c:pt idx="0">
                  <c:v>0.4</c:v>
                </c:pt>
                <c:pt idx="1">
                  <c:v>0</c:v>
                </c:pt>
                <c:pt idx="2">
                  <c:v>0.2857142857142857</c:v>
                </c:pt>
              </c:numCache>
            </c:numRef>
          </c:val>
          <c:extLst>
            <c:ext xmlns:c16="http://schemas.microsoft.com/office/drawing/2014/chart" uri="{C3380CC4-5D6E-409C-BE32-E72D297353CC}">
              <c16:uniqueId val="{00000002-9439-41C0-9669-5A92FE6EA8E0}"/>
            </c:ext>
          </c:extLst>
        </c:ser>
        <c:ser>
          <c:idx val="3"/>
          <c:order val="3"/>
          <c:tx>
            <c:strRef>
              <c:f>'Class Summary'!$G$15</c:f>
              <c:strCache>
                <c:ptCount val="1"/>
                <c:pt idx="0">
                  <c:v>Grade Ready</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Summary'!$B$16:$B$18</c:f>
              <c:strCache>
                <c:ptCount val="3"/>
                <c:pt idx="0">
                  <c:v>Male</c:v>
                </c:pt>
                <c:pt idx="1">
                  <c:v>Female</c:v>
                </c:pt>
                <c:pt idx="2">
                  <c:v>Total</c:v>
                </c:pt>
              </c:strCache>
            </c:strRef>
          </c:cat>
          <c:val>
            <c:numRef>
              <c:f>'Class Summary'!$G$16:$G$18</c:f>
              <c:numCache>
                <c:formatCode>0%</c:formatCode>
                <c:ptCount val="3"/>
                <c:pt idx="0">
                  <c:v>0.1</c:v>
                </c:pt>
                <c:pt idx="1">
                  <c:v>1</c:v>
                </c:pt>
                <c:pt idx="2">
                  <c:v>0.35714285714285715</c:v>
                </c:pt>
              </c:numCache>
            </c:numRef>
          </c:val>
          <c:extLst>
            <c:ext xmlns:c16="http://schemas.microsoft.com/office/drawing/2014/chart" uri="{C3380CC4-5D6E-409C-BE32-E72D297353CC}">
              <c16:uniqueId val="{00000003-9439-41C0-9669-5A92FE6EA8E0}"/>
            </c:ext>
          </c:extLst>
        </c:ser>
        <c:dLbls>
          <c:showLegendKey val="0"/>
          <c:showVal val="1"/>
          <c:showCatName val="0"/>
          <c:showSerName val="0"/>
          <c:showPercent val="0"/>
          <c:showBubbleSize val="0"/>
        </c:dLbls>
        <c:gapWidth val="219"/>
        <c:overlap val="-27"/>
        <c:axId val="194928544"/>
        <c:axId val="194934368"/>
      </c:barChart>
      <c:catAx>
        <c:axId val="1949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crossAx val="194934368"/>
        <c:crosses val="autoZero"/>
        <c:auto val="1"/>
        <c:lblAlgn val="ctr"/>
        <c:lblOffset val="100"/>
        <c:noMultiLvlLbl val="0"/>
      </c:catAx>
      <c:valAx>
        <c:axId val="194934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285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PH"/>
              <a:t>Reading</a:t>
            </a:r>
            <a:r>
              <a:rPr lang="en-PH" baseline="0"/>
              <a:t> Fluency and Comprehesion  Average Percentage</a:t>
            </a:r>
            <a:endParaRPr lang="en-PH"/>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'Class Summary'!$N$7</c:f>
              <c:strCache>
                <c:ptCount val="1"/>
                <c:pt idx="0">
                  <c:v>Average Word Per Minute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Summary'!$E$8:$E$9,'Class Summary'!$E$11)</c:f>
              <c:strCache>
                <c:ptCount val="3"/>
                <c:pt idx="0">
                  <c:v>Male</c:v>
                </c:pt>
                <c:pt idx="1">
                  <c:v>Female</c:v>
                </c:pt>
                <c:pt idx="2">
                  <c:v>Total</c:v>
                </c:pt>
              </c:strCache>
            </c:strRef>
          </c:cat>
          <c:val>
            <c:numRef>
              <c:f>('Class Summary'!$N$8:$N$9,'Class Summary'!$N$11)</c:f>
              <c:numCache>
                <c:formatCode>0.00</c:formatCode>
                <c:ptCount val="3"/>
                <c:pt idx="0">
                  <c:v>26.8</c:v>
                </c:pt>
                <c:pt idx="1">
                  <c:v>39.5</c:v>
                </c:pt>
                <c:pt idx="2">
                  <c:v>33.15</c:v>
                </c:pt>
              </c:numCache>
            </c:numRef>
          </c:val>
          <c:extLst>
            <c:ext xmlns:c16="http://schemas.microsoft.com/office/drawing/2014/chart" uri="{C3380CC4-5D6E-409C-BE32-E72D297353CC}">
              <c16:uniqueId val="{00000000-5765-48A9-940A-9926D0F910D2}"/>
            </c:ext>
          </c:extLst>
        </c:ser>
        <c:dLbls>
          <c:showLegendKey val="0"/>
          <c:showVal val="1"/>
          <c:showCatName val="0"/>
          <c:showSerName val="0"/>
          <c:showPercent val="0"/>
          <c:showBubbleSize val="0"/>
        </c:dLbls>
        <c:gapWidth val="219"/>
        <c:overlap val="-27"/>
        <c:axId val="1151450608"/>
        <c:axId val="1086050176"/>
      </c:barChart>
      <c:catAx>
        <c:axId val="115145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1" i="0" u="none" strike="noStrike" kern="1200" baseline="0">
                <a:solidFill>
                  <a:schemeClr val="tx1">
                    <a:lumMod val="65000"/>
                    <a:lumOff val="35000"/>
                  </a:schemeClr>
                </a:solidFill>
                <a:latin typeface="+mn-lt"/>
                <a:ea typeface="+mn-ea"/>
                <a:cs typeface="+mn-cs"/>
              </a:defRPr>
            </a:pPr>
            <a:endParaRPr lang="en-US"/>
          </a:p>
        </c:txPr>
        <c:crossAx val="1086050176"/>
        <c:crosses val="autoZero"/>
        <c:auto val="1"/>
        <c:lblAlgn val="ctr"/>
        <c:lblOffset val="100"/>
        <c:noMultiLvlLbl val="0"/>
      </c:catAx>
      <c:valAx>
        <c:axId val="1086050176"/>
        <c:scaling>
          <c:orientation val="minMax"/>
          <c:min val="0"/>
        </c:scaling>
        <c:delete val="1"/>
        <c:axPos val="l"/>
        <c:numFmt formatCode="0.00" sourceLinked="1"/>
        <c:majorTickMark val="none"/>
        <c:minorTickMark val="none"/>
        <c:tickLblPos val="nextTo"/>
        <c:crossAx val="1151450608"/>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5.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image" Target="../media/image4.png"/><Relationship Id="rId4"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7</xdr:col>
      <xdr:colOff>106680</xdr:colOff>
      <xdr:row>115</xdr:row>
      <xdr:rowOff>30480</xdr:rowOff>
    </xdr:from>
    <xdr:ext cx="184731" cy="264560"/>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6913880" y="2240470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twoCellAnchor>
    <xdr:from>
      <xdr:col>0</xdr:col>
      <xdr:colOff>76200</xdr:colOff>
      <xdr:row>110</xdr:row>
      <xdr:rowOff>91440</xdr:rowOff>
    </xdr:from>
    <xdr:to>
      <xdr:col>13</xdr:col>
      <xdr:colOff>91197</xdr:colOff>
      <xdr:row>113</xdr:row>
      <xdr:rowOff>38100</xdr:rowOff>
    </xdr:to>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76200" y="21551265"/>
          <a:ext cx="11630025"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20</xdr:col>
      <xdr:colOff>1059815</xdr:colOff>
      <xdr:row>110</xdr:row>
      <xdr:rowOff>114301</xdr:rowOff>
    </xdr:from>
    <xdr:to>
      <xdr:col>21</xdr:col>
      <xdr:colOff>1659561</xdr:colOff>
      <xdr:row>113</xdr:row>
      <xdr:rowOff>50663</xdr:rowOff>
    </xdr:to>
    <xdr:pic>
      <xdr:nvPicPr>
        <xdr:cNvPr id="14" name="Picture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a:stretch>
          <a:fillRect/>
        </a:stretch>
      </xdr:blipFill>
      <xdr:spPr>
        <a:xfrm>
          <a:off x="17140555" y="21574125"/>
          <a:ext cx="2230120" cy="484505"/>
        </a:xfrm>
        <a:prstGeom prst="rect">
          <a:avLst/>
        </a:prstGeom>
        <a:noFill/>
        <a:ln>
          <a:noFill/>
        </a:ln>
      </xdr:spPr>
    </xdr:pic>
    <xdr:clientData/>
  </xdr:twoCellAnchor>
  <xdr:twoCellAnchor>
    <xdr:from>
      <xdr:col>4</xdr:col>
      <xdr:colOff>162392</xdr:colOff>
      <xdr:row>0</xdr:row>
      <xdr:rowOff>100092</xdr:rowOff>
    </xdr:from>
    <xdr:to>
      <xdr:col>13</xdr:col>
      <xdr:colOff>181130</xdr:colOff>
      <xdr:row>2</xdr:row>
      <xdr:rowOff>201494</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4881245" y="99695"/>
          <a:ext cx="6915150" cy="6121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PH" sz="1600" b="1"/>
            <a:t>Department of Education</a:t>
          </a:r>
        </a:p>
        <a:p>
          <a:pPr algn="l"/>
          <a:r>
            <a:rPr lang="en-PH" sz="1600" b="1"/>
            <a:t>Comprehensive Rapid Literacy Assessment (CRLA) Scoresheet</a:t>
          </a:r>
        </a:p>
      </xdr:txBody>
    </xdr:sp>
    <xdr:clientData/>
  </xdr:twoCellAnchor>
  <xdr:twoCellAnchor>
    <xdr:from>
      <xdr:col>17</xdr:col>
      <xdr:colOff>615091</xdr:colOff>
      <xdr:row>3</xdr:row>
      <xdr:rowOff>59720</xdr:rowOff>
    </xdr:from>
    <xdr:to>
      <xdr:col>21</xdr:col>
      <xdr:colOff>1709275</xdr:colOff>
      <xdr:row>4</xdr:row>
      <xdr:rowOff>154970</xdr:rowOff>
    </xdr:to>
    <xdr:sp macro="" textlink="">
      <xdr:nvSpPr>
        <xdr:cNvPr id="17" name="TextBox 16">
          <a:extLst>
            <a:ext uri="{FF2B5EF4-FFF2-40B4-BE49-F238E27FC236}">
              <a16:creationId xmlns:a16="http://schemas.microsoft.com/office/drawing/2014/main" id="{00000000-0008-0000-0000-000011000000}"/>
            </a:ext>
          </a:extLst>
        </xdr:cNvPr>
        <xdr:cNvSpPr txBox="1"/>
      </xdr:nvSpPr>
      <xdr:spPr>
        <a:xfrm>
          <a:off x="14401800" y="913130"/>
          <a:ext cx="5018405" cy="33147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PH" sz="1800" b="1">
              <a:solidFill>
                <a:schemeClr val="bg1"/>
              </a:solidFill>
            </a:rPr>
            <a:t>GRADE 1  Mother Tongue Reading Assessment Scoresheet</a:t>
          </a:r>
        </a:p>
      </xdr:txBody>
    </xdr:sp>
    <xdr:clientData/>
  </xdr:twoCellAnchor>
  <xdr:twoCellAnchor>
    <xdr:from>
      <xdr:col>19</xdr:col>
      <xdr:colOff>532022</xdr:colOff>
      <xdr:row>0</xdr:row>
      <xdr:rowOff>86599</xdr:rowOff>
    </xdr:from>
    <xdr:to>
      <xdr:col>21</xdr:col>
      <xdr:colOff>1550457</xdr:colOff>
      <xdr:row>2</xdr:row>
      <xdr:rowOff>225429</xdr:rowOff>
    </xdr:to>
    <xdr:grpSp>
      <xdr:nvGrpSpPr>
        <xdr:cNvPr id="9" name="Group 8">
          <a:extLst>
            <a:ext uri="{FF2B5EF4-FFF2-40B4-BE49-F238E27FC236}">
              <a16:creationId xmlns:a16="http://schemas.microsoft.com/office/drawing/2014/main" id="{00000000-0008-0000-0000-000009000000}"/>
            </a:ext>
          </a:extLst>
        </xdr:cNvPr>
        <xdr:cNvGrpSpPr/>
      </xdr:nvGrpSpPr>
      <xdr:grpSpPr>
        <a:xfrm>
          <a:off x="18162797" y="86599"/>
          <a:ext cx="3666385" cy="643655"/>
          <a:chOff x="16253460" y="45720"/>
          <a:chExt cx="3198311" cy="645560"/>
        </a:xfrm>
      </xdr:grpSpPr>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6524208" y="45720"/>
            <a:ext cx="2551828" cy="480696"/>
          </a:xfrm>
          <a:prstGeom prst="rect">
            <a:avLst/>
          </a:prstGeom>
          <a:noFill/>
          <a:ln>
            <a:noFill/>
          </a:ln>
        </xdr:spPr>
      </xdr:pic>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16253460" y="426720"/>
            <a:ext cx="319831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100" b="1">
                <a:solidFill>
                  <a:srgbClr val="FF0000"/>
                </a:solidFill>
              </a:rPr>
              <a:t>ABC+</a:t>
            </a:r>
            <a:r>
              <a:rPr lang="en-PH" sz="1100" b="1" baseline="0">
                <a:solidFill>
                  <a:srgbClr val="FF0000"/>
                </a:solidFill>
              </a:rPr>
              <a:t> : </a:t>
            </a:r>
            <a:r>
              <a:rPr lang="en-PH" sz="1100" b="1" baseline="0">
                <a:solidFill>
                  <a:srgbClr val="0070C0"/>
                </a:solidFill>
              </a:rPr>
              <a:t>Advancing Basic Education in the Philippines</a:t>
            </a:r>
            <a:endParaRPr lang="en-PH" sz="1100" b="1">
              <a:solidFill>
                <a:srgbClr val="0070C0"/>
              </a:solidFill>
            </a:endParaRPr>
          </a:p>
        </xdr:txBody>
      </xdr:sp>
    </xdr:grpSp>
    <xdr:clientData/>
  </xdr:twoCellAnchor>
  <xdr:twoCellAnchor editAs="oneCell">
    <xdr:from>
      <xdr:col>16</xdr:col>
      <xdr:colOff>56944</xdr:colOff>
      <xdr:row>4</xdr:row>
      <xdr:rowOff>146281</xdr:rowOff>
    </xdr:from>
    <xdr:to>
      <xdr:col>21</xdr:col>
      <xdr:colOff>1637733</xdr:colOff>
      <xdr:row>8</xdr:row>
      <xdr:rowOff>91811</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3195935" y="1235710"/>
          <a:ext cx="6153150" cy="1065530"/>
        </a:xfrm>
        <a:prstGeom prst="rect">
          <a:avLst/>
        </a:prstGeom>
      </xdr:spPr>
    </xdr:pic>
    <xdr:clientData/>
  </xdr:twoCellAnchor>
  <xdr:twoCellAnchor editAs="oneCell">
    <xdr:from>
      <xdr:col>3</xdr:col>
      <xdr:colOff>97717</xdr:colOff>
      <xdr:row>0</xdr:row>
      <xdr:rowOff>18738</xdr:rowOff>
    </xdr:from>
    <xdr:to>
      <xdr:col>4</xdr:col>
      <xdr:colOff>171075</xdr:colOff>
      <xdr:row>2</xdr:row>
      <xdr:rowOff>326952</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955415" y="18415"/>
          <a:ext cx="934720" cy="8185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99060</xdr:colOff>
      <xdr:row>107</xdr:row>
      <xdr:rowOff>99060</xdr:rowOff>
    </xdr:from>
    <xdr:to>
      <xdr:col>9</xdr:col>
      <xdr:colOff>902970</xdr:colOff>
      <xdr:row>110</xdr:row>
      <xdr:rowOff>41910</xdr:rowOff>
    </xdr:to>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99060" y="20471130"/>
          <a:ext cx="9536430" cy="491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10</xdr:col>
      <xdr:colOff>391160</xdr:colOff>
      <xdr:row>107</xdr:row>
      <xdr:rowOff>72391</xdr:rowOff>
    </xdr:from>
    <xdr:to>
      <xdr:col>10</xdr:col>
      <xdr:colOff>2630805</xdr:colOff>
      <xdr:row>109</xdr:row>
      <xdr:rowOff>133987</xdr:rowOff>
    </xdr:to>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1"/>
        <a:stretch>
          <a:fillRect/>
        </a:stretch>
      </xdr:blipFill>
      <xdr:spPr>
        <a:xfrm>
          <a:off x="10525760" y="20444460"/>
          <a:ext cx="2239645" cy="427355"/>
        </a:xfrm>
        <a:prstGeom prst="rect">
          <a:avLst/>
        </a:prstGeom>
        <a:noFill/>
        <a:ln>
          <a:noFill/>
        </a:ln>
      </xdr:spPr>
    </xdr:pic>
    <xdr:clientData/>
  </xdr:twoCellAnchor>
  <xdr:twoCellAnchor editAs="oneCell">
    <xdr:from>
      <xdr:col>0</xdr:col>
      <xdr:colOff>167641</xdr:colOff>
      <xdr:row>0</xdr:row>
      <xdr:rowOff>60960</xdr:rowOff>
    </xdr:from>
    <xdr:to>
      <xdr:col>4</xdr:col>
      <xdr:colOff>648901</xdr:colOff>
      <xdr:row>2</xdr:row>
      <xdr:rowOff>247650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stretch>
          <a:fillRect/>
        </a:stretch>
      </xdr:blipFill>
      <xdr:spPr>
        <a:xfrm>
          <a:off x="167640" y="60960"/>
          <a:ext cx="4763135" cy="59817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298847</xdr:colOff>
      <xdr:row>66</xdr:row>
      <xdr:rowOff>37622</xdr:rowOff>
    </xdr:from>
    <xdr:to>
      <xdr:col>12</xdr:col>
      <xdr:colOff>47704</xdr:colOff>
      <xdr:row>70</xdr:row>
      <xdr:rowOff>106760</xdr:rowOff>
    </xdr:to>
    <xdr:sp macro="" textlink="">
      <xdr:nvSpPr>
        <xdr:cNvPr id="11" name="TextBox 10">
          <a:extLst>
            <a:ext uri="{FF2B5EF4-FFF2-40B4-BE49-F238E27FC236}">
              <a16:creationId xmlns:a16="http://schemas.microsoft.com/office/drawing/2014/main" id="{00000000-0008-0000-0200-00000B000000}"/>
            </a:ext>
          </a:extLst>
        </xdr:cNvPr>
        <xdr:cNvSpPr txBox="1"/>
      </xdr:nvSpPr>
      <xdr:spPr>
        <a:xfrm>
          <a:off x="298450" y="12303760"/>
          <a:ext cx="9304655" cy="678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000"/>
            <a:t>This Scoresheet is made possible with the assistance of USAID through </a:t>
          </a:r>
          <a:r>
            <a:rPr lang="en-PH" sz="1000">
              <a:solidFill>
                <a:srgbClr val="FF0000"/>
              </a:solidFill>
            </a:rPr>
            <a:t>ABC+:</a:t>
          </a:r>
          <a:r>
            <a:rPr lang="en-PH" sz="1000">
              <a:solidFill>
                <a:srgbClr val="0070C0"/>
              </a:solidFill>
            </a:rPr>
            <a:t> Advancing Basic Education in the Philippines</a:t>
          </a:r>
          <a:r>
            <a:rPr lang="en-PH" sz="10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16</xdr:col>
      <xdr:colOff>247729</xdr:colOff>
      <xdr:row>64</xdr:row>
      <xdr:rowOff>112866</xdr:rowOff>
    </xdr:from>
    <xdr:to>
      <xdr:col>28</xdr:col>
      <xdr:colOff>205821</xdr:colOff>
      <xdr:row>69</xdr:row>
      <xdr:rowOff>95506</xdr:rowOff>
    </xdr:to>
    <xdr:pic>
      <xdr:nvPicPr>
        <xdr:cNvPr id="12" name="Picture 11">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1"/>
        <a:stretch>
          <a:fillRect/>
        </a:stretch>
      </xdr:blipFill>
      <xdr:spPr>
        <a:xfrm>
          <a:off x="12934950" y="12073890"/>
          <a:ext cx="2754630" cy="744855"/>
        </a:xfrm>
        <a:prstGeom prst="rect">
          <a:avLst/>
        </a:prstGeom>
      </xdr:spPr>
    </xdr:pic>
    <xdr:clientData/>
  </xdr:twoCellAnchor>
  <xdr:twoCellAnchor>
    <xdr:from>
      <xdr:col>0</xdr:col>
      <xdr:colOff>285828</xdr:colOff>
      <xdr:row>21</xdr:row>
      <xdr:rowOff>21590</xdr:rowOff>
    </xdr:from>
    <xdr:to>
      <xdr:col>11</xdr:col>
      <xdr:colOff>55561</xdr:colOff>
      <xdr:row>40</xdr:row>
      <xdr:rowOff>127874</xdr:rowOff>
    </xdr:to>
    <xdr:graphicFrame macro="">
      <xdr:nvGraphicFramePr>
        <xdr:cNvPr id="13" name="Chart 12">
          <a:extLst>
            <a:ext uri="{FF2B5EF4-FFF2-40B4-BE49-F238E27FC236}">
              <a16:creationId xmlns:a16="http://schemas.microsoft.com/office/drawing/2014/main" id="{00000000-0008-0000-02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245667</xdr:colOff>
      <xdr:row>11</xdr:row>
      <xdr:rowOff>85487</xdr:rowOff>
    </xdr:from>
    <xdr:to>
      <xdr:col>18</xdr:col>
      <xdr:colOff>37782</xdr:colOff>
      <xdr:row>21</xdr:row>
      <xdr:rowOff>1</xdr:rowOff>
    </xdr:to>
    <xdr:graphicFrame macro="">
      <xdr:nvGraphicFramePr>
        <xdr:cNvPr id="15" name="Chart 14">
          <a:extLst>
            <a:ext uri="{FF2B5EF4-FFF2-40B4-BE49-F238E27FC236}">
              <a16:creationId xmlns:a16="http://schemas.microsoft.com/office/drawing/2014/main" id="{00000000-0008-0000-02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137002</xdr:colOff>
      <xdr:row>21</xdr:row>
      <xdr:rowOff>9921</xdr:rowOff>
    </xdr:from>
    <xdr:to>
      <xdr:col>28</xdr:col>
      <xdr:colOff>210104</xdr:colOff>
      <xdr:row>41</xdr:row>
      <xdr:rowOff>39687</xdr:rowOff>
    </xdr:to>
    <xdr:graphicFrame macro="">
      <xdr:nvGraphicFramePr>
        <xdr:cNvPr id="16" name="Chart 15">
          <a:extLst>
            <a:ext uri="{FF2B5EF4-FFF2-40B4-BE49-F238E27FC236}">
              <a16:creationId xmlns:a16="http://schemas.microsoft.com/office/drawing/2014/main" id="{00000000-0008-0000-02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63500</xdr:colOff>
      <xdr:row>0</xdr:row>
      <xdr:rowOff>85467</xdr:rowOff>
    </xdr:from>
    <xdr:to>
      <xdr:col>18</xdr:col>
      <xdr:colOff>324881</xdr:colOff>
      <xdr:row>4</xdr:row>
      <xdr:rowOff>92243</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5"/>
        <a:stretch>
          <a:fillRect/>
        </a:stretch>
      </xdr:blipFill>
      <xdr:spPr>
        <a:xfrm>
          <a:off x="6685280" y="85090"/>
          <a:ext cx="7835265" cy="1020445"/>
        </a:xfrm>
        <a:prstGeom prst="rect">
          <a:avLst/>
        </a:prstGeom>
      </xdr:spPr>
    </xdr:pic>
    <xdr:clientData/>
  </xdr:twoCellAnchor>
  <xdr:twoCellAnchor>
    <xdr:from>
      <xdr:col>0</xdr:col>
      <xdr:colOff>228204</xdr:colOff>
      <xdr:row>43</xdr:row>
      <xdr:rowOff>0</xdr:rowOff>
    </xdr:from>
    <xdr:to>
      <xdr:col>11</xdr:col>
      <xdr:colOff>9367</xdr:colOff>
      <xdr:row>62</xdr:row>
      <xdr:rowOff>113904</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122873</xdr:colOff>
      <xdr:row>43</xdr:row>
      <xdr:rowOff>0</xdr:rowOff>
    </xdr:from>
    <xdr:to>
      <xdr:col>28</xdr:col>
      <xdr:colOff>182640</xdr:colOff>
      <xdr:row>63</xdr:row>
      <xdr:rowOff>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95250</xdr:colOff>
      <xdr:row>15</xdr:row>
      <xdr:rowOff>20955</xdr:rowOff>
    </xdr:from>
    <xdr:to>
      <xdr:col>5</xdr:col>
      <xdr:colOff>190345</xdr:colOff>
      <xdr:row>43</xdr:row>
      <xdr:rowOff>104775</xdr:rowOff>
    </xdr:to>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1"/>
        <a:stretch>
          <a:fillRect/>
        </a:stretch>
      </xdr:blipFill>
      <xdr:spPr>
        <a:xfrm>
          <a:off x="758190" y="3796665"/>
          <a:ext cx="9070975" cy="59207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VRO110"/>
  <sheetViews>
    <sheetView tabSelected="1" zoomScale="63" zoomScaleNormal="25" workbookViewId="0">
      <pane xSplit="3" ySplit="10" topLeftCell="D11" activePane="bottomRight" state="frozen"/>
      <selection pane="bottomRight" activeCell="S26" sqref="S26"/>
      <selection pane="bottomLeft"/>
      <selection pane="topRight"/>
    </sheetView>
  </sheetViews>
  <sheetFormatPr defaultColWidth="0" defaultRowHeight="14.45"/>
  <cols>
    <col min="1" max="1" width="4.875" customWidth="1"/>
    <col min="2" max="2" width="19.125" customWidth="1"/>
    <col min="3" max="3" width="39.5" customWidth="1"/>
    <col min="4" max="4" width="12.5" style="1" customWidth="1"/>
    <col min="5" max="5" width="12.875" style="1" customWidth="1"/>
    <col min="6" max="6" width="9.625" style="1" customWidth="1"/>
    <col min="7" max="7" width="8" style="1" customWidth="1"/>
    <col min="8" max="8" width="10" style="1" customWidth="1"/>
    <col min="9" max="9" width="10.875" style="1" customWidth="1"/>
    <col min="10" max="10" width="21" style="121" customWidth="1"/>
    <col min="11" max="11" width="10.375" style="1" customWidth="1"/>
    <col min="12" max="12" width="8.625" style="1" customWidth="1"/>
    <col min="13" max="13" width="9.375" style="1" customWidth="1"/>
    <col min="14" max="14" width="6.875" style="1" customWidth="1"/>
    <col min="15" max="15" width="5.125" style="1" customWidth="1"/>
    <col min="16" max="16" width="10.375" style="1" customWidth="1"/>
    <col min="17" max="17" width="9.5" style="1" customWidth="1"/>
    <col min="18" max="18" width="10.875" style="1" customWidth="1"/>
    <col min="19" max="19" width="11.875" style="1" customWidth="1"/>
    <col min="20" max="20" width="10.875" style="1" customWidth="1"/>
    <col min="21" max="21" width="23.875" style="1" customWidth="1"/>
    <col min="22" max="22" width="26.875" customWidth="1"/>
    <col min="23" max="23" width="8.875" customWidth="1"/>
    <col min="24" max="27" width="8.875" hidden="1" customWidth="1"/>
    <col min="28" max="28" width="8.875" customWidth="1"/>
    <col min="29" max="15355" width="8.875" hidden="1"/>
    <col min="15356" max="16384" width="10.625" hidden="1"/>
  </cols>
  <sheetData>
    <row r="1" spans="1:27" ht="22.35" customHeight="1">
      <c r="A1" t="s">
        <v>0</v>
      </c>
    </row>
    <row r="2" spans="1:27" ht="18" customHeight="1">
      <c r="U2" s="1" t="s">
        <v>1</v>
      </c>
    </row>
    <row r="3" spans="1:27" s="120" customFormat="1" ht="27" customHeight="1">
      <c r="A3" s="231" t="s">
        <v>2</v>
      </c>
      <c r="B3" s="231"/>
      <c r="C3" s="122" t="s">
        <v>3</v>
      </c>
      <c r="D3" s="123"/>
      <c r="E3" s="123"/>
      <c r="F3" s="123"/>
      <c r="G3" s="123"/>
      <c r="H3" s="123"/>
      <c r="I3" s="123"/>
      <c r="J3" s="170"/>
      <c r="K3" s="123"/>
      <c r="L3" s="123"/>
      <c r="M3" s="123"/>
      <c r="N3" s="123"/>
      <c r="O3" s="123"/>
      <c r="P3" s="123"/>
      <c r="Q3" s="123"/>
      <c r="R3" s="123"/>
      <c r="S3" s="123"/>
      <c r="T3" s="123"/>
      <c r="U3" s="123"/>
    </row>
    <row r="4" spans="1:27" ht="18.600000000000001" customHeight="1">
      <c r="A4" s="232" t="s">
        <v>4</v>
      </c>
      <c r="B4" s="233"/>
      <c r="C4" s="124">
        <v>117443</v>
      </c>
      <c r="D4" s="234" t="s">
        <v>5</v>
      </c>
      <c r="E4" s="235"/>
      <c r="F4" s="125">
        <f>D6+E6</f>
        <v>14</v>
      </c>
      <c r="G4" s="236" t="s">
        <v>6</v>
      </c>
      <c r="H4" s="236"/>
      <c r="I4" s="171">
        <f>COUNTIF(F11:F110,"&lt;&gt;")</f>
        <v>14</v>
      </c>
      <c r="J4" s="172"/>
      <c r="K4" s="173"/>
      <c r="L4" s="173"/>
      <c r="M4" s="173"/>
      <c r="N4" s="173"/>
      <c r="O4" s="173"/>
      <c r="P4" s="173"/>
      <c r="Q4" s="173"/>
      <c r="R4" s="173"/>
      <c r="S4" s="173"/>
      <c r="T4" s="173"/>
      <c r="U4" s="173"/>
      <c r="V4" s="192"/>
    </row>
    <row r="5" spans="1:27" ht="17.45" customHeight="1">
      <c r="A5" s="237" t="s">
        <v>7</v>
      </c>
      <c r="B5" s="238"/>
      <c r="C5" s="126" t="s">
        <v>8</v>
      </c>
      <c r="D5" s="127" t="s">
        <v>9</v>
      </c>
      <c r="E5" s="128" t="s">
        <v>10</v>
      </c>
      <c r="F5" s="257" t="s">
        <v>11</v>
      </c>
      <c r="G5" s="258"/>
      <c r="H5" s="258"/>
      <c r="I5" s="258"/>
      <c r="J5" s="246" t="s">
        <v>12</v>
      </c>
      <c r="K5" s="267" t="s">
        <v>13</v>
      </c>
      <c r="L5" s="268"/>
      <c r="M5" s="268"/>
      <c r="N5" s="268"/>
      <c r="O5" s="268"/>
      <c r="P5" s="268"/>
      <c r="Q5" s="193"/>
      <c r="R5" s="193"/>
      <c r="S5" s="193"/>
      <c r="T5" s="193"/>
      <c r="U5" s="193"/>
      <c r="V5" s="194"/>
    </row>
    <row r="6" spans="1:27" ht="19.350000000000001" customHeight="1">
      <c r="A6" s="250" t="s">
        <v>14</v>
      </c>
      <c r="B6" s="251"/>
      <c r="C6" s="129" t="s">
        <v>15</v>
      </c>
      <c r="D6" s="130">
        <v>10</v>
      </c>
      <c r="E6" s="131">
        <v>4</v>
      </c>
      <c r="F6" s="259"/>
      <c r="G6" s="260"/>
      <c r="H6" s="260"/>
      <c r="I6" s="260"/>
      <c r="J6" s="247"/>
      <c r="K6" s="269"/>
      <c r="L6" s="270"/>
      <c r="M6" s="270"/>
      <c r="N6" s="270"/>
      <c r="O6" s="270"/>
      <c r="P6" s="270"/>
      <c r="Q6" s="261"/>
      <c r="R6" s="262"/>
      <c r="S6" s="262"/>
      <c r="T6" s="262"/>
      <c r="U6" s="262"/>
      <c r="V6" s="263"/>
    </row>
    <row r="7" spans="1:27" ht="34.35" customHeight="1">
      <c r="A7" s="250" t="s">
        <v>16</v>
      </c>
      <c r="B7" s="251"/>
      <c r="C7" s="132" t="s">
        <v>17</v>
      </c>
      <c r="D7" s="252" t="s">
        <v>18</v>
      </c>
      <c r="E7" s="253"/>
      <c r="F7" s="241" t="s">
        <v>19</v>
      </c>
      <c r="G7" s="243" t="s">
        <v>20</v>
      </c>
      <c r="H7" s="243" t="s">
        <v>21</v>
      </c>
      <c r="I7" s="244" t="s">
        <v>22</v>
      </c>
      <c r="J7" s="247"/>
      <c r="K7" s="174" t="s">
        <v>23</v>
      </c>
      <c r="L7" s="175" t="s">
        <v>24</v>
      </c>
      <c r="M7" s="176">
        <f>_xlfn.IFNA(IF(X8=1,Y8,IF(D9&gt;0,D9,50)),"")</f>
        <v>50</v>
      </c>
      <c r="N7" s="254" t="s">
        <v>25</v>
      </c>
      <c r="O7" s="254"/>
      <c r="P7" s="176">
        <f>_xlfn.IFNA(IF(X8=1,Z8,IF(E9&gt;0,E9,50)),"")</f>
        <v>49</v>
      </c>
      <c r="Q7" s="261"/>
      <c r="R7" s="262"/>
      <c r="S7" s="262"/>
      <c r="T7" s="262"/>
      <c r="U7" s="262"/>
      <c r="V7" s="263"/>
      <c r="X7" s="195"/>
      <c r="Y7" s="195" t="s">
        <v>24</v>
      </c>
      <c r="Z7" s="195" t="s">
        <v>25</v>
      </c>
    </row>
    <row r="8" spans="1:27" ht="17.45" customHeight="1">
      <c r="A8" s="250" t="s">
        <v>26</v>
      </c>
      <c r="B8" s="251"/>
      <c r="C8" s="134">
        <v>1</v>
      </c>
      <c r="D8" s="133" t="s">
        <v>24</v>
      </c>
      <c r="E8" s="135" t="s">
        <v>25</v>
      </c>
      <c r="F8" s="241"/>
      <c r="G8" s="243"/>
      <c r="H8" s="243"/>
      <c r="I8" s="245"/>
      <c r="J8" s="247"/>
      <c r="K8" s="242" t="s">
        <v>27</v>
      </c>
      <c r="L8" s="244" t="s">
        <v>28</v>
      </c>
      <c r="M8" s="244" t="s">
        <v>29</v>
      </c>
      <c r="N8" s="271" t="s">
        <v>30</v>
      </c>
      <c r="O8" s="272"/>
      <c r="P8" s="255" t="s">
        <v>31</v>
      </c>
      <c r="Q8" s="261"/>
      <c r="R8" s="262"/>
      <c r="S8" s="262"/>
      <c r="T8" s="262"/>
      <c r="U8" s="262"/>
      <c r="V8" s="263"/>
      <c r="X8" s="195">
        <f>IF(_xlfn.IFNA(VLOOKUP(C9,List!G2:G21,1,0),"")=C9,1,0)</f>
        <v>1</v>
      </c>
      <c r="Y8" s="195">
        <f>VLOOKUP($C$9,List!$G$2:$M$21,4,0)</f>
        <v>50</v>
      </c>
      <c r="Z8" s="195">
        <f>VLOOKUP($C$9,List!$G$2:$M$21,7,0)</f>
        <v>49</v>
      </c>
      <c r="AA8" s="199"/>
    </row>
    <row r="9" spans="1:27" ht="20.45" customHeight="1">
      <c r="A9" s="239" t="s">
        <v>32</v>
      </c>
      <c r="B9" s="239"/>
      <c r="C9" s="136" t="s">
        <v>33</v>
      </c>
      <c r="D9" s="137"/>
      <c r="E9" s="138"/>
      <c r="F9" s="242"/>
      <c r="G9" s="244"/>
      <c r="H9" s="244"/>
      <c r="I9" s="245"/>
      <c r="J9" s="247"/>
      <c r="K9" s="248"/>
      <c r="L9" s="249"/>
      <c r="M9" s="249"/>
      <c r="N9" s="273"/>
      <c r="O9" s="274"/>
      <c r="P9" s="256"/>
      <c r="Q9" s="264"/>
      <c r="R9" s="265"/>
      <c r="S9" s="265"/>
      <c r="T9" s="265"/>
      <c r="U9" s="265"/>
      <c r="V9" s="266"/>
      <c r="X9">
        <v>10</v>
      </c>
      <c r="Y9">
        <v>20</v>
      </c>
      <c r="AA9" s="199">
        <v>5</v>
      </c>
    </row>
    <row r="10" spans="1:27" ht="35.450000000000003" customHeight="1" thickBot="1">
      <c r="A10" s="139" t="s">
        <v>34</v>
      </c>
      <c r="B10" s="140" t="s">
        <v>35</v>
      </c>
      <c r="C10" s="141" t="s">
        <v>36</v>
      </c>
      <c r="D10" s="142" t="s">
        <v>37</v>
      </c>
      <c r="E10" s="143" t="s">
        <v>38</v>
      </c>
      <c r="F10" s="144" t="s">
        <v>39</v>
      </c>
      <c r="G10" s="145" t="s">
        <v>40</v>
      </c>
      <c r="H10" s="145" t="s">
        <v>41</v>
      </c>
      <c r="I10" s="145" t="s">
        <v>42</v>
      </c>
      <c r="J10" s="177" t="s">
        <v>43</v>
      </c>
      <c r="K10" s="178" t="s">
        <v>44</v>
      </c>
      <c r="L10" s="179" t="s">
        <v>45</v>
      </c>
      <c r="M10" s="180" t="s">
        <v>46</v>
      </c>
      <c r="N10" s="240" t="s">
        <v>47</v>
      </c>
      <c r="O10" s="240"/>
      <c r="P10" s="180" t="s">
        <v>48</v>
      </c>
      <c r="Q10" s="180" t="s">
        <v>49</v>
      </c>
      <c r="R10" s="180" t="s">
        <v>50</v>
      </c>
      <c r="S10" s="180" t="s">
        <v>51</v>
      </c>
      <c r="T10" s="196" t="s">
        <v>52</v>
      </c>
      <c r="U10" s="197" t="s">
        <v>53</v>
      </c>
      <c r="V10" s="198" t="s">
        <v>54</v>
      </c>
      <c r="X10" s="199" t="s">
        <v>55</v>
      </c>
      <c r="Y10" s="199"/>
      <c r="Z10" s="199" t="s">
        <v>56</v>
      </c>
      <c r="AA10" s="199" t="s">
        <v>57</v>
      </c>
    </row>
    <row r="11" spans="1:27" ht="14.45" customHeight="1">
      <c r="A11" s="146">
        <v>1</v>
      </c>
      <c r="B11" s="147">
        <v>117443240002</v>
      </c>
      <c r="C11" s="148" t="s">
        <v>58</v>
      </c>
      <c r="D11" s="149" t="s">
        <v>9</v>
      </c>
      <c r="E11" s="150">
        <v>45936</v>
      </c>
      <c r="F11" s="151">
        <v>8</v>
      </c>
      <c r="G11" s="152">
        <v>7</v>
      </c>
      <c r="H11" s="152">
        <v>6</v>
      </c>
      <c r="I11" s="181">
        <f t="shared" ref="I11:I29" si="0">IF(AND(F11="",G11=""),"",IF(F11&lt;7,F11+G11,F11+10+H11))</f>
        <v>24</v>
      </c>
      <c r="J11" s="182" t="str">
        <f>IF(I11="","",IF(F11&lt;7,IF(I11&lt;=10,"Full Refresher","Moderate Refresher"),IF(I11&lt;27,"Light Refresher","Grade Ready")))</f>
        <v>Light Refresher</v>
      </c>
      <c r="K11" s="183">
        <v>2</v>
      </c>
      <c r="L11" s="184">
        <v>30</v>
      </c>
      <c r="M11" s="181">
        <f>IF($C$9&lt;&gt;"",IF(OR(K11=1,K11=2),IF(K11=1,M$7-L11,$P$7-L11),""),"")</f>
        <v>19</v>
      </c>
      <c r="N11" s="185">
        <v>1</v>
      </c>
      <c r="O11" s="185">
        <v>0</v>
      </c>
      <c r="P11" s="181">
        <f>IFERROR(IF(AND(K11&gt;0,M11&gt;0,OR(N11&gt;0,O11&gt;0)),(M11/((N11*60)+O11))*60,""),"")</f>
        <v>19</v>
      </c>
      <c r="Q11" s="200">
        <f>IFERROR(IF(OR(K11=1,K11=2),IF(K11=1,M11/$M$7,M11/$P$7),""),"")</f>
        <v>0.38775510204081631</v>
      </c>
      <c r="R11" s="185">
        <v>1</v>
      </c>
      <c r="S11" s="185">
        <v>5</v>
      </c>
      <c r="T11" s="201" t="s">
        <v>59</v>
      </c>
      <c r="U11" s="202" t="str">
        <f>IF(J11&lt;&gt;"",IF(OR(J11="Full Refresher",J11="Moderate Refresher"),"Low Emerging Reader",IF(AND(K11&gt;0,Q11&lt;&gt;""),IF(OR(Q11&lt;=25%,AND(Q11&gt;25%,Q11&lt;=50%,R11=0)),"High Emerging Reader",IF(OR(AND(Q11&gt;25%,Q11&lt;51%,R11&gt;=1),AND(Q11&gt;50%,Q11&lt;76%,R11&lt;=1)),"Developing Reader",IF(OR(AND(Q11&gt;=51%,Q11&lt;76%,R11&gt;=2),AND(Q11&gt;75%,R11&lt;=3)),"Transitioning Reader",IF(AND(Q11&gt;75%,R11&gt;=4),"Reading At Grade Level","")))),"")),"")</f>
        <v>Developing Reader</v>
      </c>
      <c r="V11" s="203"/>
      <c r="X11" s="204">
        <f>IF(C11&lt;&gt;"",$I11/30,"")</f>
        <v>0.8</v>
      </c>
      <c r="Y11" s="204"/>
      <c r="Z11" s="212">
        <f t="shared" ref="Z11:Z42" si="1">IF($C11&lt;&gt;"",IF($F11&gt;6,Q11,0%),"")</f>
        <v>0.38775510204081631</v>
      </c>
      <c r="AA11" s="212">
        <f t="shared" ref="AA11:AA42" si="2">IF($C11&lt;&gt;"",IF($F11&gt;6,S11/$AA$9,0%),"")</f>
        <v>1</v>
      </c>
    </row>
    <row r="12" spans="1:27" ht="14.45" customHeight="1">
      <c r="A12" s="91">
        <v>2</v>
      </c>
      <c r="B12" s="153">
        <v>117443240003</v>
      </c>
      <c r="C12" s="154" t="s">
        <v>60</v>
      </c>
      <c r="D12" s="155" t="s">
        <v>9</v>
      </c>
      <c r="E12" s="150">
        <v>45936</v>
      </c>
      <c r="F12" s="156">
        <v>10</v>
      </c>
      <c r="G12" s="157"/>
      <c r="H12" s="157">
        <v>10</v>
      </c>
      <c r="I12" s="186">
        <f t="shared" si="0"/>
        <v>30</v>
      </c>
      <c r="J12" s="187" t="str">
        <f t="shared" ref="J12:J75" si="3">IF(I12="","",IF(F12&lt;7,IF(I12&lt;=10,"Full Refresher","Moderate Refresher"),IF(I12&lt;27,"Light Refresher","Grade Ready")))</f>
        <v>Grade Ready</v>
      </c>
      <c r="K12" s="188">
        <v>1</v>
      </c>
      <c r="L12" s="189">
        <v>7</v>
      </c>
      <c r="M12" s="186">
        <f t="shared" ref="M12:M75" si="4">IF($C$9&lt;&gt;"",IF(OR(K12=1,K12=2),IF(K12=1,M$7-L12,$P$7-L12),""),"")</f>
        <v>43</v>
      </c>
      <c r="N12" s="163">
        <v>1</v>
      </c>
      <c r="O12" s="163">
        <v>0</v>
      </c>
      <c r="P12" s="186">
        <f t="shared" ref="P12:P75" si="5">IFERROR(IF(AND(K12&gt;0,M12&gt;0,OR(N12&gt;0,O12&gt;0)),(M12/((N12*60)+O12))*60,""),"")</f>
        <v>43</v>
      </c>
      <c r="Q12" s="205">
        <f t="shared" ref="Q12:Q75" si="6">IFERROR(IF(OR(K12=1,K12=2),IF(K12=1,M12/$M$7,M12/$P$7),""),"")</f>
        <v>0.86</v>
      </c>
      <c r="R12" s="163">
        <v>4</v>
      </c>
      <c r="S12" s="163">
        <v>5</v>
      </c>
      <c r="T12" s="206" t="s">
        <v>59</v>
      </c>
      <c r="U12" s="207" t="str">
        <f t="shared" ref="U12:U75" si="7">IF(J12&lt;&gt;"",IF(OR(J12="Full Refresher",J12="Moderate Refresher"),"Low Emerging Reader",IF(AND(K12&gt;0,Q12&lt;&gt;""),IF(OR(Q12&lt;=25%,AND(Q12&gt;25%,Q12&lt;=50%,R12=0)),"High Emerging Reader",IF(OR(AND(Q12&gt;25%,Q12&lt;51%,R12&gt;=1),AND(Q12&gt;50%,Q12&lt;76%,R12&lt;=1)),"Developing Reader",IF(OR(AND(Q12&gt;=51%,Q12&lt;76%,R12&gt;=2),AND(Q12&gt;75%,R12&lt;=3)),"Transitioning Reader",IF(AND(Q12&gt;75%,R12&gt;=4),"Reading At Grade Level","")))),"")),"")</f>
        <v>Reading At Grade Level</v>
      </c>
      <c r="V12" s="208"/>
      <c r="X12" s="204">
        <f t="shared" ref="X12:X75" si="8">IF(C12&lt;&gt;"",$I12/30,"")</f>
        <v>1</v>
      </c>
      <c r="Y12" s="204"/>
      <c r="Z12" s="212">
        <f t="shared" si="1"/>
        <v>0.86</v>
      </c>
      <c r="AA12" s="212">
        <f t="shared" si="2"/>
        <v>1</v>
      </c>
    </row>
    <row r="13" spans="1:27" ht="14.45" customHeight="1">
      <c r="A13" s="49">
        <v>3</v>
      </c>
      <c r="B13" s="158">
        <v>117443240005</v>
      </c>
      <c r="C13" s="154" t="s">
        <v>61</v>
      </c>
      <c r="D13" s="159" t="s">
        <v>9</v>
      </c>
      <c r="E13" s="150">
        <v>45936</v>
      </c>
      <c r="F13" s="160">
        <v>7</v>
      </c>
      <c r="G13" s="152">
        <v>4</v>
      </c>
      <c r="H13" s="161">
        <v>7</v>
      </c>
      <c r="I13" s="186">
        <f t="shared" si="0"/>
        <v>24</v>
      </c>
      <c r="J13" s="187" t="str">
        <f t="shared" si="3"/>
        <v>Light Refresher</v>
      </c>
      <c r="K13" s="190">
        <v>2</v>
      </c>
      <c r="L13" s="191">
        <v>17</v>
      </c>
      <c r="M13" s="186">
        <f t="shared" si="4"/>
        <v>32</v>
      </c>
      <c r="N13" s="161">
        <v>1</v>
      </c>
      <c r="O13" s="161">
        <v>0</v>
      </c>
      <c r="P13" s="186">
        <f t="shared" si="5"/>
        <v>32</v>
      </c>
      <c r="Q13" s="205">
        <f t="shared" si="6"/>
        <v>0.65306122448979587</v>
      </c>
      <c r="R13" s="161">
        <v>1</v>
      </c>
      <c r="S13" s="161">
        <v>5</v>
      </c>
      <c r="T13" s="209" t="s">
        <v>59</v>
      </c>
      <c r="U13" s="207" t="str">
        <f t="shared" si="7"/>
        <v>Developing Reader</v>
      </c>
      <c r="V13" s="210"/>
      <c r="X13" s="204">
        <f t="shared" si="8"/>
        <v>0.8</v>
      </c>
      <c r="Y13" s="204"/>
      <c r="Z13" s="212">
        <f t="shared" si="1"/>
        <v>0.65306122448979587</v>
      </c>
      <c r="AA13" s="212">
        <f t="shared" si="2"/>
        <v>1</v>
      </c>
    </row>
    <row r="14" spans="1:27" ht="14.45" customHeight="1">
      <c r="A14" s="91">
        <v>4</v>
      </c>
      <c r="B14" s="153">
        <v>117443240006</v>
      </c>
      <c r="C14" s="162" t="s">
        <v>62</v>
      </c>
      <c r="D14" s="155" t="s">
        <v>9</v>
      </c>
      <c r="E14" s="150">
        <v>45936</v>
      </c>
      <c r="F14" s="156">
        <v>0</v>
      </c>
      <c r="G14" s="152">
        <v>0</v>
      </c>
      <c r="H14" s="163"/>
      <c r="I14" s="186">
        <f t="shared" si="0"/>
        <v>0</v>
      </c>
      <c r="J14" s="187" t="str">
        <f t="shared" si="3"/>
        <v>Full Refresher</v>
      </c>
      <c r="K14" s="188"/>
      <c r="L14" s="189"/>
      <c r="M14" s="186" t="str">
        <f t="shared" si="4"/>
        <v/>
      </c>
      <c r="N14" s="163"/>
      <c r="O14" s="163"/>
      <c r="P14" s="186" t="str">
        <f t="shared" si="5"/>
        <v/>
      </c>
      <c r="Q14" s="205" t="str">
        <f t="shared" si="6"/>
        <v/>
      </c>
      <c r="R14" s="163"/>
      <c r="S14" s="163"/>
      <c r="T14" s="206"/>
      <c r="U14" s="207" t="str">
        <f t="shared" si="7"/>
        <v>Low Emerging Reader</v>
      </c>
      <c r="V14" s="208"/>
      <c r="X14" s="204">
        <f t="shared" si="8"/>
        <v>0</v>
      </c>
      <c r="Y14" s="204"/>
      <c r="Z14" s="212">
        <f t="shared" si="1"/>
        <v>0</v>
      </c>
      <c r="AA14" s="212">
        <f t="shared" si="2"/>
        <v>0</v>
      </c>
    </row>
    <row r="15" spans="1:27" ht="14.45" customHeight="1">
      <c r="A15" s="49">
        <v>5</v>
      </c>
      <c r="B15" s="158">
        <v>117443230006</v>
      </c>
      <c r="C15" s="162" t="s">
        <v>63</v>
      </c>
      <c r="D15" s="159" t="s">
        <v>9</v>
      </c>
      <c r="E15" s="150">
        <v>45936</v>
      </c>
      <c r="F15" s="160">
        <v>5</v>
      </c>
      <c r="G15" s="152">
        <v>7</v>
      </c>
      <c r="H15" s="161"/>
      <c r="I15" s="186">
        <f t="shared" si="0"/>
        <v>12</v>
      </c>
      <c r="J15" s="187" t="str">
        <f t="shared" si="3"/>
        <v>Moderate Refresher</v>
      </c>
      <c r="K15" s="190"/>
      <c r="L15" s="191"/>
      <c r="M15" s="186" t="str">
        <f t="shared" si="4"/>
        <v/>
      </c>
      <c r="N15" s="161"/>
      <c r="O15" s="161"/>
      <c r="P15" s="186" t="str">
        <f t="shared" si="5"/>
        <v/>
      </c>
      <c r="Q15" s="205" t="str">
        <f t="shared" si="6"/>
        <v/>
      </c>
      <c r="R15" s="161"/>
      <c r="S15" s="161"/>
      <c r="T15" s="209"/>
      <c r="U15" s="207" t="str">
        <f t="shared" si="7"/>
        <v>Low Emerging Reader</v>
      </c>
      <c r="V15" s="210"/>
      <c r="X15" s="204">
        <f t="shared" si="8"/>
        <v>0.4</v>
      </c>
      <c r="Y15" s="204"/>
      <c r="Z15" s="212">
        <f t="shared" si="1"/>
        <v>0</v>
      </c>
      <c r="AA15" s="212">
        <f t="shared" si="2"/>
        <v>0</v>
      </c>
    </row>
    <row r="16" spans="1:27" ht="14.45" customHeight="1">
      <c r="A16" s="91">
        <v>6</v>
      </c>
      <c r="B16" s="158">
        <v>117443240004</v>
      </c>
      <c r="C16" s="162" t="s">
        <v>64</v>
      </c>
      <c r="D16" s="155" t="s">
        <v>9</v>
      </c>
      <c r="E16" s="150">
        <v>45936</v>
      </c>
      <c r="F16" s="156">
        <v>5</v>
      </c>
      <c r="G16" s="157">
        <v>7</v>
      </c>
      <c r="H16" s="163"/>
      <c r="I16" s="186">
        <f t="shared" si="0"/>
        <v>12</v>
      </c>
      <c r="J16" s="187" t="str">
        <f t="shared" si="3"/>
        <v>Moderate Refresher</v>
      </c>
      <c r="K16" s="188"/>
      <c r="L16" s="189"/>
      <c r="M16" s="186" t="str">
        <f t="shared" si="4"/>
        <v/>
      </c>
      <c r="N16" s="163"/>
      <c r="O16" s="163"/>
      <c r="P16" s="186" t="str">
        <f t="shared" si="5"/>
        <v/>
      </c>
      <c r="Q16" s="205" t="str">
        <f t="shared" si="6"/>
        <v/>
      </c>
      <c r="R16" s="163"/>
      <c r="S16" s="163"/>
      <c r="T16" s="206"/>
      <c r="U16" s="207" t="str">
        <f t="shared" si="7"/>
        <v>Low Emerging Reader</v>
      </c>
      <c r="V16" s="208"/>
      <c r="X16" s="204">
        <f t="shared" si="8"/>
        <v>0.4</v>
      </c>
      <c r="Y16" s="204"/>
      <c r="Z16" s="212">
        <f t="shared" si="1"/>
        <v>0</v>
      </c>
      <c r="AA16" s="212">
        <f t="shared" si="2"/>
        <v>0</v>
      </c>
    </row>
    <row r="17" spans="1:27" ht="14.45" customHeight="1">
      <c r="A17" s="49">
        <v>7</v>
      </c>
      <c r="B17" s="153">
        <v>117443240007</v>
      </c>
      <c r="C17" s="154" t="s">
        <v>65</v>
      </c>
      <c r="D17" s="159" t="s">
        <v>9</v>
      </c>
      <c r="E17" s="150">
        <v>45939</v>
      </c>
      <c r="F17" s="160">
        <v>8</v>
      </c>
      <c r="G17" s="152">
        <v>5</v>
      </c>
      <c r="H17" s="161">
        <v>6</v>
      </c>
      <c r="I17" s="186">
        <f t="shared" si="0"/>
        <v>24</v>
      </c>
      <c r="J17" s="187" t="str">
        <f t="shared" si="3"/>
        <v>Light Refresher</v>
      </c>
      <c r="K17" s="190">
        <v>2</v>
      </c>
      <c r="L17" s="191">
        <v>28</v>
      </c>
      <c r="M17" s="186">
        <f t="shared" si="4"/>
        <v>21</v>
      </c>
      <c r="N17" s="161">
        <v>1</v>
      </c>
      <c r="O17" s="161">
        <v>0</v>
      </c>
      <c r="P17" s="186">
        <f t="shared" si="5"/>
        <v>21</v>
      </c>
      <c r="Q17" s="205">
        <f t="shared" si="6"/>
        <v>0.42857142857142855</v>
      </c>
      <c r="R17" s="161">
        <v>1</v>
      </c>
      <c r="S17" s="161">
        <v>5</v>
      </c>
      <c r="T17" s="209" t="s">
        <v>59</v>
      </c>
      <c r="U17" s="207" t="str">
        <f t="shared" si="7"/>
        <v>Developing Reader</v>
      </c>
      <c r="V17" s="208"/>
      <c r="X17" s="204">
        <f t="shared" si="8"/>
        <v>0.8</v>
      </c>
      <c r="Y17" s="204"/>
      <c r="Z17" s="212">
        <f t="shared" si="1"/>
        <v>0.42857142857142855</v>
      </c>
      <c r="AA17" s="212">
        <f t="shared" si="2"/>
        <v>1</v>
      </c>
    </row>
    <row r="18" spans="1:27" ht="14.45" customHeight="1">
      <c r="A18" s="91">
        <v>8</v>
      </c>
      <c r="B18" s="153">
        <v>117443240008</v>
      </c>
      <c r="C18" s="154" t="s">
        <v>66</v>
      </c>
      <c r="D18" s="155" t="s">
        <v>9</v>
      </c>
      <c r="E18" s="150">
        <v>45939</v>
      </c>
      <c r="F18" s="156">
        <v>7</v>
      </c>
      <c r="G18" s="157">
        <v>7</v>
      </c>
      <c r="H18" s="163">
        <v>8</v>
      </c>
      <c r="I18" s="186">
        <f t="shared" si="0"/>
        <v>25</v>
      </c>
      <c r="J18" s="187" t="str">
        <f t="shared" si="3"/>
        <v>Light Refresher</v>
      </c>
      <c r="K18" s="188">
        <v>2</v>
      </c>
      <c r="L18" s="189">
        <v>30</v>
      </c>
      <c r="M18" s="186">
        <f t="shared" si="4"/>
        <v>19</v>
      </c>
      <c r="N18" s="163">
        <v>1</v>
      </c>
      <c r="O18" s="163">
        <v>0</v>
      </c>
      <c r="P18" s="186">
        <f t="shared" si="5"/>
        <v>19</v>
      </c>
      <c r="Q18" s="205">
        <f t="shared" si="6"/>
        <v>0.38775510204081631</v>
      </c>
      <c r="R18" s="163">
        <v>1</v>
      </c>
      <c r="S18" s="163">
        <v>5</v>
      </c>
      <c r="T18" s="206" t="s">
        <v>59</v>
      </c>
      <c r="U18" s="207" t="str">
        <f t="shared" si="7"/>
        <v>Developing Reader</v>
      </c>
      <c r="V18" s="230"/>
      <c r="X18" s="204">
        <f t="shared" si="8"/>
        <v>0.83333333333333337</v>
      </c>
      <c r="Y18" s="204"/>
      <c r="Z18" s="212">
        <f t="shared" si="1"/>
        <v>0.38775510204081631</v>
      </c>
      <c r="AA18" s="212">
        <f t="shared" si="2"/>
        <v>1</v>
      </c>
    </row>
    <row r="19" spans="1:27" ht="14.45" customHeight="1">
      <c r="A19" s="49">
        <v>9</v>
      </c>
      <c r="B19" s="158">
        <v>117443240009</v>
      </c>
      <c r="C19" s="162" t="s">
        <v>67</v>
      </c>
      <c r="D19" s="159" t="s">
        <v>9</v>
      </c>
      <c r="E19" s="150">
        <v>45939</v>
      </c>
      <c r="F19" s="160">
        <v>2</v>
      </c>
      <c r="G19" s="152">
        <v>4</v>
      </c>
      <c r="H19" s="161"/>
      <c r="I19" s="186">
        <f t="shared" si="0"/>
        <v>6</v>
      </c>
      <c r="J19" s="187" t="str">
        <f t="shared" si="3"/>
        <v>Full Refresher</v>
      </c>
      <c r="K19" s="190"/>
      <c r="L19" s="191"/>
      <c r="M19" s="186" t="str">
        <f t="shared" si="4"/>
        <v/>
      </c>
      <c r="N19" s="161"/>
      <c r="O19" s="161"/>
      <c r="P19" s="186" t="str">
        <f t="shared" si="5"/>
        <v/>
      </c>
      <c r="Q19" s="205" t="str">
        <f t="shared" si="6"/>
        <v/>
      </c>
      <c r="R19" s="161"/>
      <c r="S19" s="161"/>
      <c r="T19" s="209"/>
      <c r="U19" s="207" t="str">
        <f t="shared" si="7"/>
        <v>Low Emerging Reader</v>
      </c>
      <c r="V19" s="210"/>
      <c r="X19" s="204">
        <f t="shared" si="8"/>
        <v>0.2</v>
      </c>
      <c r="Y19" s="204"/>
      <c r="Z19" s="212">
        <f t="shared" si="1"/>
        <v>0</v>
      </c>
      <c r="AA19" s="212">
        <f t="shared" si="2"/>
        <v>0</v>
      </c>
    </row>
    <row r="20" spans="1:27" ht="15.6">
      <c r="A20" s="91">
        <v>10</v>
      </c>
      <c r="B20" s="153">
        <v>117443240010</v>
      </c>
      <c r="C20" s="154" t="s">
        <v>68</v>
      </c>
      <c r="D20" s="155" t="s">
        <v>9</v>
      </c>
      <c r="E20" s="150">
        <v>45939</v>
      </c>
      <c r="F20" s="156">
        <v>0</v>
      </c>
      <c r="G20" s="157">
        <v>0</v>
      </c>
      <c r="H20" s="163"/>
      <c r="I20" s="186">
        <f t="shared" si="0"/>
        <v>0</v>
      </c>
      <c r="J20" s="187" t="str">
        <f t="shared" si="3"/>
        <v>Full Refresher</v>
      </c>
      <c r="K20" s="188"/>
      <c r="L20" s="189"/>
      <c r="M20" s="186" t="str">
        <f t="shared" si="4"/>
        <v/>
      </c>
      <c r="N20" s="163"/>
      <c r="O20" s="163"/>
      <c r="P20" s="186" t="str">
        <f t="shared" si="5"/>
        <v/>
      </c>
      <c r="Q20" s="205" t="str">
        <f t="shared" si="6"/>
        <v/>
      </c>
      <c r="R20" s="163"/>
      <c r="S20" s="163"/>
      <c r="T20" s="206"/>
      <c r="U20" s="207" t="str">
        <f t="shared" si="7"/>
        <v>Low Emerging Reader</v>
      </c>
      <c r="V20" s="208"/>
      <c r="X20" s="204">
        <f t="shared" si="8"/>
        <v>0</v>
      </c>
      <c r="Y20" s="204"/>
      <c r="Z20" s="212">
        <f t="shared" si="1"/>
        <v>0</v>
      </c>
      <c r="AA20" s="212">
        <f t="shared" si="2"/>
        <v>0</v>
      </c>
    </row>
    <row r="21" spans="1:27" ht="15.6">
      <c r="A21" s="49">
        <v>11</v>
      </c>
      <c r="B21" s="158">
        <v>117443240012</v>
      </c>
      <c r="C21" s="162" t="s">
        <v>69</v>
      </c>
      <c r="D21" s="159" t="s">
        <v>10</v>
      </c>
      <c r="E21" s="150">
        <v>45936</v>
      </c>
      <c r="F21" s="160">
        <v>10</v>
      </c>
      <c r="G21" s="152"/>
      <c r="H21" s="161">
        <v>10</v>
      </c>
      <c r="I21" s="186">
        <f t="shared" si="0"/>
        <v>30</v>
      </c>
      <c r="J21" s="187" t="str">
        <f t="shared" si="3"/>
        <v>Grade Ready</v>
      </c>
      <c r="K21" s="190">
        <v>2</v>
      </c>
      <c r="L21" s="191">
        <v>12</v>
      </c>
      <c r="M21" s="186">
        <f t="shared" si="4"/>
        <v>37</v>
      </c>
      <c r="N21" s="161">
        <v>1</v>
      </c>
      <c r="O21" s="161">
        <v>0</v>
      </c>
      <c r="P21" s="186">
        <f t="shared" si="5"/>
        <v>37</v>
      </c>
      <c r="Q21" s="205">
        <f t="shared" si="6"/>
        <v>0.75510204081632648</v>
      </c>
      <c r="R21" s="161">
        <v>2</v>
      </c>
      <c r="S21" s="161">
        <v>5</v>
      </c>
      <c r="T21" s="209" t="s">
        <v>59</v>
      </c>
      <c r="U21" s="207" t="str">
        <f t="shared" si="7"/>
        <v>Transitioning Reader</v>
      </c>
      <c r="V21" s="210"/>
      <c r="X21" s="204">
        <f t="shared" si="8"/>
        <v>1</v>
      </c>
      <c r="Y21" s="204"/>
      <c r="Z21" s="212">
        <f t="shared" si="1"/>
        <v>0.75510204081632648</v>
      </c>
      <c r="AA21" s="212">
        <f t="shared" si="2"/>
        <v>1</v>
      </c>
    </row>
    <row r="22" spans="1:27" ht="15.6">
      <c r="A22" s="91">
        <v>12</v>
      </c>
      <c r="B22" s="153">
        <v>117443240013</v>
      </c>
      <c r="C22" s="154" t="s">
        <v>70</v>
      </c>
      <c r="D22" s="155" t="s">
        <v>10</v>
      </c>
      <c r="E22" s="150">
        <v>45936</v>
      </c>
      <c r="F22" s="156">
        <v>10</v>
      </c>
      <c r="G22" s="157"/>
      <c r="H22" s="163">
        <v>10</v>
      </c>
      <c r="I22" s="186">
        <f t="shared" si="0"/>
        <v>30</v>
      </c>
      <c r="J22" s="187" t="str">
        <f t="shared" si="3"/>
        <v>Grade Ready</v>
      </c>
      <c r="K22" s="188">
        <v>2</v>
      </c>
      <c r="L22" s="189">
        <v>9</v>
      </c>
      <c r="M22" s="186">
        <f t="shared" si="4"/>
        <v>40</v>
      </c>
      <c r="N22" s="163">
        <v>1</v>
      </c>
      <c r="O22" s="163">
        <v>0</v>
      </c>
      <c r="P22" s="186">
        <f t="shared" si="5"/>
        <v>40</v>
      </c>
      <c r="Q22" s="205">
        <f t="shared" si="6"/>
        <v>0.81632653061224492</v>
      </c>
      <c r="R22" s="163">
        <v>3</v>
      </c>
      <c r="S22" s="163">
        <v>5</v>
      </c>
      <c r="T22" s="206" t="s">
        <v>59</v>
      </c>
      <c r="U22" s="207" t="str">
        <f t="shared" si="7"/>
        <v>Transitioning Reader</v>
      </c>
      <c r="V22" s="208"/>
      <c r="X22" s="204">
        <f t="shared" si="8"/>
        <v>1</v>
      </c>
      <c r="Y22" s="204"/>
      <c r="Z22" s="212">
        <f t="shared" si="1"/>
        <v>0.81632653061224492</v>
      </c>
      <c r="AA22" s="212">
        <f t="shared" si="2"/>
        <v>1</v>
      </c>
    </row>
    <row r="23" spans="1:27" ht="15.6">
      <c r="A23" s="49">
        <v>13</v>
      </c>
      <c r="B23" s="158">
        <v>117443240014</v>
      </c>
      <c r="C23" s="162" t="s">
        <v>71</v>
      </c>
      <c r="D23" s="159" t="s">
        <v>10</v>
      </c>
      <c r="E23" s="150">
        <v>45936</v>
      </c>
      <c r="F23" s="160">
        <v>10</v>
      </c>
      <c r="G23" s="152"/>
      <c r="H23" s="161">
        <v>10</v>
      </c>
      <c r="I23" s="186">
        <f t="shared" si="0"/>
        <v>30</v>
      </c>
      <c r="J23" s="187" t="str">
        <f t="shared" si="3"/>
        <v>Grade Ready</v>
      </c>
      <c r="K23" s="190">
        <v>1</v>
      </c>
      <c r="L23" s="191">
        <v>8</v>
      </c>
      <c r="M23" s="186">
        <f t="shared" si="4"/>
        <v>42</v>
      </c>
      <c r="N23" s="161">
        <v>1</v>
      </c>
      <c r="O23" s="161">
        <v>0</v>
      </c>
      <c r="P23" s="186">
        <f t="shared" si="5"/>
        <v>42</v>
      </c>
      <c r="Q23" s="205">
        <f t="shared" si="6"/>
        <v>0.84</v>
      </c>
      <c r="R23" s="161">
        <v>3</v>
      </c>
      <c r="S23" s="161">
        <v>5</v>
      </c>
      <c r="T23" s="209" t="s">
        <v>59</v>
      </c>
      <c r="U23" s="207" t="str">
        <f t="shared" si="7"/>
        <v>Transitioning Reader</v>
      </c>
      <c r="V23" s="210"/>
      <c r="X23" s="204">
        <f t="shared" si="8"/>
        <v>1</v>
      </c>
      <c r="Y23" s="204"/>
      <c r="Z23" s="212">
        <f t="shared" si="1"/>
        <v>0.84</v>
      </c>
      <c r="AA23" s="212">
        <f t="shared" si="2"/>
        <v>1</v>
      </c>
    </row>
    <row r="24" spans="1:27" ht="15.6">
      <c r="A24" s="91">
        <v>14</v>
      </c>
      <c r="B24" s="153">
        <v>117441240034</v>
      </c>
      <c r="C24" s="154" t="s">
        <v>72</v>
      </c>
      <c r="D24" s="155" t="s">
        <v>10</v>
      </c>
      <c r="E24" s="150">
        <v>45936</v>
      </c>
      <c r="F24" s="156">
        <v>10</v>
      </c>
      <c r="G24" s="157"/>
      <c r="H24" s="163">
        <v>10</v>
      </c>
      <c r="I24" s="186">
        <f t="shared" si="0"/>
        <v>30</v>
      </c>
      <c r="J24" s="187" t="str">
        <f t="shared" si="3"/>
        <v>Grade Ready</v>
      </c>
      <c r="K24" s="188">
        <v>2</v>
      </c>
      <c r="L24" s="189">
        <v>10</v>
      </c>
      <c r="M24" s="186">
        <f t="shared" si="4"/>
        <v>39</v>
      </c>
      <c r="N24" s="163">
        <v>1</v>
      </c>
      <c r="O24" s="163">
        <v>0</v>
      </c>
      <c r="P24" s="186">
        <f t="shared" si="5"/>
        <v>39</v>
      </c>
      <c r="Q24" s="205">
        <f t="shared" si="6"/>
        <v>0.79591836734693877</v>
      </c>
      <c r="R24" s="163">
        <v>2</v>
      </c>
      <c r="S24" s="163">
        <v>5</v>
      </c>
      <c r="T24" s="206" t="s">
        <v>59</v>
      </c>
      <c r="U24" s="207" t="str">
        <f t="shared" si="7"/>
        <v>Transitioning Reader</v>
      </c>
      <c r="V24" s="208"/>
      <c r="X24" s="204">
        <f t="shared" si="8"/>
        <v>1</v>
      </c>
      <c r="Y24" s="204"/>
      <c r="Z24" s="212">
        <f t="shared" si="1"/>
        <v>0.79591836734693877</v>
      </c>
      <c r="AA24" s="212">
        <f t="shared" si="2"/>
        <v>1</v>
      </c>
    </row>
    <row r="25" spans="1:27" ht="15.6">
      <c r="A25" s="49">
        <v>15</v>
      </c>
      <c r="B25" s="158"/>
      <c r="C25" s="162"/>
      <c r="D25" s="159"/>
      <c r="E25" s="150"/>
      <c r="F25" s="160"/>
      <c r="G25" s="152"/>
      <c r="H25" s="161"/>
      <c r="I25" s="186" t="str">
        <f t="shared" si="0"/>
        <v/>
      </c>
      <c r="J25" s="187" t="str">
        <f t="shared" si="3"/>
        <v/>
      </c>
      <c r="K25" s="190"/>
      <c r="L25" s="191"/>
      <c r="M25" s="186" t="str">
        <f t="shared" si="4"/>
        <v/>
      </c>
      <c r="N25" s="161"/>
      <c r="O25" s="161"/>
      <c r="P25" s="186" t="str">
        <f t="shared" si="5"/>
        <v/>
      </c>
      <c r="Q25" s="205" t="str">
        <f t="shared" si="6"/>
        <v/>
      </c>
      <c r="R25" s="161"/>
      <c r="S25" s="161"/>
      <c r="T25" s="209"/>
      <c r="U25" s="207" t="str">
        <f t="shared" si="7"/>
        <v/>
      </c>
      <c r="V25" s="210"/>
      <c r="X25" s="204" t="str">
        <f t="shared" si="8"/>
        <v/>
      </c>
      <c r="Y25" s="204"/>
      <c r="Z25" s="212" t="str">
        <f t="shared" si="1"/>
        <v/>
      </c>
      <c r="AA25" s="212" t="str">
        <f t="shared" si="2"/>
        <v/>
      </c>
    </row>
    <row r="26" spans="1:27" ht="15.6">
      <c r="A26" s="91">
        <v>16</v>
      </c>
      <c r="B26" s="153"/>
      <c r="C26" s="154"/>
      <c r="D26" s="155"/>
      <c r="E26" s="150"/>
      <c r="F26" s="156"/>
      <c r="G26" s="157"/>
      <c r="H26" s="163"/>
      <c r="I26" s="186" t="str">
        <f t="shared" si="0"/>
        <v/>
      </c>
      <c r="J26" s="187" t="str">
        <f t="shared" si="3"/>
        <v/>
      </c>
      <c r="K26" s="188"/>
      <c r="L26" s="189"/>
      <c r="M26" s="186" t="str">
        <f t="shared" si="4"/>
        <v/>
      </c>
      <c r="N26" s="163"/>
      <c r="O26" s="163"/>
      <c r="P26" s="186" t="str">
        <f t="shared" si="5"/>
        <v/>
      </c>
      <c r="Q26" s="205" t="str">
        <f t="shared" si="6"/>
        <v/>
      </c>
      <c r="R26" s="163"/>
      <c r="S26" s="163"/>
      <c r="T26" s="206"/>
      <c r="U26" s="207" t="str">
        <f t="shared" si="7"/>
        <v/>
      </c>
      <c r="V26" s="208"/>
      <c r="X26" s="204" t="str">
        <f t="shared" si="8"/>
        <v/>
      </c>
      <c r="Y26" s="204"/>
      <c r="Z26" s="212" t="str">
        <f t="shared" si="1"/>
        <v/>
      </c>
      <c r="AA26" s="212" t="str">
        <f t="shared" si="2"/>
        <v/>
      </c>
    </row>
    <row r="27" spans="1:27" ht="15.6">
      <c r="A27" s="49">
        <v>17</v>
      </c>
      <c r="B27" s="158"/>
      <c r="C27" s="162"/>
      <c r="D27" s="159"/>
      <c r="E27" s="166"/>
      <c r="F27" s="160"/>
      <c r="G27" s="152"/>
      <c r="H27" s="161"/>
      <c r="I27" s="186" t="str">
        <f t="shared" si="0"/>
        <v/>
      </c>
      <c r="J27" s="187" t="str">
        <f t="shared" si="3"/>
        <v/>
      </c>
      <c r="K27" s="190"/>
      <c r="L27" s="191"/>
      <c r="M27" s="186" t="str">
        <f t="shared" si="4"/>
        <v/>
      </c>
      <c r="N27" s="161"/>
      <c r="O27" s="161"/>
      <c r="P27" s="186" t="str">
        <f t="shared" si="5"/>
        <v/>
      </c>
      <c r="Q27" s="205" t="str">
        <f t="shared" si="6"/>
        <v/>
      </c>
      <c r="R27" s="161"/>
      <c r="S27" s="161"/>
      <c r="T27" s="209"/>
      <c r="U27" s="207" t="str">
        <f t="shared" si="7"/>
        <v/>
      </c>
      <c r="V27" s="210"/>
      <c r="X27" s="204" t="str">
        <f t="shared" si="8"/>
        <v/>
      </c>
      <c r="Y27" s="204"/>
      <c r="Z27" s="212" t="str">
        <f t="shared" si="1"/>
        <v/>
      </c>
      <c r="AA27" s="212" t="str">
        <f t="shared" si="2"/>
        <v/>
      </c>
    </row>
    <row r="28" spans="1:27" ht="15.6">
      <c r="A28" s="91">
        <v>18</v>
      </c>
      <c r="B28" s="153"/>
      <c r="C28" s="154"/>
      <c r="D28" s="155"/>
      <c r="E28" s="169"/>
      <c r="F28" s="156"/>
      <c r="G28" s="157"/>
      <c r="H28" s="163"/>
      <c r="I28" s="186" t="str">
        <f t="shared" si="0"/>
        <v/>
      </c>
      <c r="J28" s="187" t="str">
        <f t="shared" si="3"/>
        <v/>
      </c>
      <c r="K28" s="188"/>
      <c r="L28" s="189"/>
      <c r="M28" s="186" t="str">
        <f t="shared" si="4"/>
        <v/>
      </c>
      <c r="N28" s="163"/>
      <c r="O28" s="163"/>
      <c r="P28" s="186" t="str">
        <f t="shared" si="5"/>
        <v/>
      </c>
      <c r="Q28" s="205" t="str">
        <f t="shared" si="6"/>
        <v/>
      </c>
      <c r="R28" s="163"/>
      <c r="S28" s="163"/>
      <c r="T28" s="206"/>
      <c r="U28" s="207" t="str">
        <f t="shared" si="7"/>
        <v/>
      </c>
      <c r="V28" s="208"/>
      <c r="X28" s="204" t="str">
        <f t="shared" si="8"/>
        <v/>
      </c>
      <c r="Y28" s="204"/>
      <c r="Z28" s="212" t="str">
        <f t="shared" si="1"/>
        <v/>
      </c>
      <c r="AA28" s="212" t="str">
        <f t="shared" si="2"/>
        <v/>
      </c>
    </row>
    <row r="29" spans="1:27">
      <c r="A29" s="49">
        <v>19</v>
      </c>
      <c r="B29" s="161"/>
      <c r="C29" s="164"/>
      <c r="D29" s="165"/>
      <c r="E29" s="166"/>
      <c r="F29" s="160"/>
      <c r="G29" s="152"/>
      <c r="H29" s="161"/>
      <c r="I29" s="186" t="str">
        <f t="shared" si="0"/>
        <v/>
      </c>
      <c r="J29" s="187" t="str">
        <f t="shared" si="3"/>
        <v/>
      </c>
      <c r="K29" s="190"/>
      <c r="L29" s="191"/>
      <c r="M29" s="186" t="str">
        <f t="shared" si="4"/>
        <v/>
      </c>
      <c r="N29" s="161"/>
      <c r="O29" s="161"/>
      <c r="P29" s="186" t="str">
        <f t="shared" si="5"/>
        <v/>
      </c>
      <c r="Q29" s="205" t="str">
        <f t="shared" si="6"/>
        <v/>
      </c>
      <c r="R29" s="161"/>
      <c r="S29" s="161"/>
      <c r="T29" s="209"/>
      <c r="U29" s="207" t="str">
        <f t="shared" si="7"/>
        <v/>
      </c>
      <c r="V29" s="210"/>
      <c r="X29" s="204" t="str">
        <f t="shared" si="8"/>
        <v/>
      </c>
      <c r="Y29" s="204"/>
      <c r="Z29" s="212" t="str">
        <f t="shared" si="1"/>
        <v/>
      </c>
      <c r="AA29" s="212" t="str">
        <f t="shared" si="2"/>
        <v/>
      </c>
    </row>
    <row r="30" spans="1:27">
      <c r="A30" s="91">
        <v>20</v>
      </c>
      <c r="B30" s="163"/>
      <c r="C30" s="167"/>
      <c r="D30" s="168"/>
      <c r="E30" s="169"/>
      <c r="F30" s="156"/>
      <c r="G30" s="157"/>
      <c r="H30" s="163"/>
      <c r="I30" s="186" t="str">
        <f t="shared" ref="I30:I93" si="9">IF(AND(F30="",G30=""),"",IF(F30&lt;7,F30+G30,F30+10+H30))</f>
        <v/>
      </c>
      <c r="J30" s="187" t="str">
        <f t="shared" si="3"/>
        <v/>
      </c>
      <c r="K30" s="188"/>
      <c r="L30" s="189"/>
      <c r="M30" s="186" t="str">
        <f t="shared" si="4"/>
        <v/>
      </c>
      <c r="N30" s="163"/>
      <c r="O30" s="163"/>
      <c r="P30" s="186" t="str">
        <f t="shared" si="5"/>
        <v/>
      </c>
      <c r="Q30" s="205" t="str">
        <f t="shared" si="6"/>
        <v/>
      </c>
      <c r="R30" s="163"/>
      <c r="S30" s="163"/>
      <c r="T30" s="206"/>
      <c r="U30" s="207" t="str">
        <f t="shared" si="7"/>
        <v/>
      </c>
      <c r="V30" s="208"/>
      <c r="X30" s="204" t="str">
        <f t="shared" si="8"/>
        <v/>
      </c>
      <c r="Y30" s="204"/>
      <c r="Z30" s="212" t="str">
        <f t="shared" si="1"/>
        <v/>
      </c>
      <c r="AA30" s="212" t="str">
        <f t="shared" si="2"/>
        <v/>
      </c>
    </row>
    <row r="31" spans="1:27">
      <c r="A31" s="49">
        <v>21</v>
      </c>
      <c r="B31" s="161"/>
      <c r="C31" s="164"/>
      <c r="D31" s="165"/>
      <c r="E31" s="166"/>
      <c r="F31" s="160"/>
      <c r="G31" s="152"/>
      <c r="H31" s="161"/>
      <c r="I31" s="186" t="str">
        <f t="shared" si="9"/>
        <v/>
      </c>
      <c r="J31" s="187" t="str">
        <f t="shared" si="3"/>
        <v/>
      </c>
      <c r="K31" s="190"/>
      <c r="L31" s="191"/>
      <c r="M31" s="186" t="str">
        <f t="shared" si="4"/>
        <v/>
      </c>
      <c r="N31" s="161"/>
      <c r="O31" s="161"/>
      <c r="P31" s="186" t="str">
        <f t="shared" si="5"/>
        <v/>
      </c>
      <c r="Q31" s="205" t="str">
        <f t="shared" si="6"/>
        <v/>
      </c>
      <c r="R31" s="161"/>
      <c r="S31" s="161"/>
      <c r="T31" s="209"/>
      <c r="U31" s="207" t="str">
        <f t="shared" si="7"/>
        <v/>
      </c>
      <c r="V31" s="210"/>
      <c r="X31" s="204" t="str">
        <f t="shared" si="8"/>
        <v/>
      </c>
      <c r="Y31" s="204"/>
      <c r="Z31" s="212" t="str">
        <f t="shared" si="1"/>
        <v/>
      </c>
      <c r="AA31" s="212" t="str">
        <f t="shared" si="2"/>
        <v/>
      </c>
    </row>
    <row r="32" spans="1:27">
      <c r="A32" s="91">
        <v>22</v>
      </c>
      <c r="B32" s="163"/>
      <c r="C32" s="167"/>
      <c r="D32" s="168"/>
      <c r="E32" s="169"/>
      <c r="F32" s="156"/>
      <c r="G32" s="157"/>
      <c r="H32" s="163"/>
      <c r="I32" s="186" t="str">
        <f t="shared" si="9"/>
        <v/>
      </c>
      <c r="J32" s="187" t="str">
        <f t="shared" si="3"/>
        <v/>
      </c>
      <c r="K32" s="188"/>
      <c r="L32" s="189"/>
      <c r="M32" s="186" t="str">
        <f t="shared" si="4"/>
        <v/>
      </c>
      <c r="N32" s="163"/>
      <c r="O32" s="163"/>
      <c r="P32" s="186" t="str">
        <f t="shared" si="5"/>
        <v/>
      </c>
      <c r="Q32" s="205" t="str">
        <f t="shared" si="6"/>
        <v/>
      </c>
      <c r="R32" s="163"/>
      <c r="S32" s="163"/>
      <c r="T32" s="206"/>
      <c r="U32" s="207" t="str">
        <f t="shared" si="7"/>
        <v/>
      </c>
      <c r="V32" s="208"/>
      <c r="X32" s="204" t="str">
        <f t="shared" si="8"/>
        <v/>
      </c>
      <c r="Y32" s="204"/>
      <c r="Z32" s="212" t="str">
        <f t="shared" si="1"/>
        <v/>
      </c>
      <c r="AA32" s="212" t="str">
        <f t="shared" si="2"/>
        <v/>
      </c>
    </row>
    <row r="33" spans="1:27">
      <c r="A33" s="49">
        <v>23</v>
      </c>
      <c r="B33" s="161"/>
      <c r="C33" s="164"/>
      <c r="D33" s="165"/>
      <c r="E33" s="166"/>
      <c r="F33" s="160"/>
      <c r="G33" s="152"/>
      <c r="H33" s="161"/>
      <c r="I33" s="186" t="str">
        <f t="shared" si="9"/>
        <v/>
      </c>
      <c r="J33" s="187" t="str">
        <f t="shared" si="3"/>
        <v/>
      </c>
      <c r="K33" s="190"/>
      <c r="L33" s="191"/>
      <c r="M33" s="186" t="str">
        <f t="shared" si="4"/>
        <v/>
      </c>
      <c r="N33" s="161"/>
      <c r="O33" s="161"/>
      <c r="P33" s="186" t="str">
        <f t="shared" si="5"/>
        <v/>
      </c>
      <c r="Q33" s="205" t="str">
        <f t="shared" si="6"/>
        <v/>
      </c>
      <c r="R33" s="161"/>
      <c r="S33" s="161"/>
      <c r="T33" s="209"/>
      <c r="U33" s="207" t="str">
        <f t="shared" si="7"/>
        <v/>
      </c>
      <c r="V33" s="210"/>
      <c r="X33" s="204" t="str">
        <f t="shared" si="8"/>
        <v/>
      </c>
      <c r="Y33" s="204"/>
      <c r="Z33" s="212" t="str">
        <f t="shared" si="1"/>
        <v/>
      </c>
      <c r="AA33" s="212" t="str">
        <f t="shared" si="2"/>
        <v/>
      </c>
    </row>
    <row r="34" spans="1:27">
      <c r="A34" s="91">
        <v>24</v>
      </c>
      <c r="B34" s="163"/>
      <c r="C34" s="167"/>
      <c r="D34" s="168"/>
      <c r="E34" s="169"/>
      <c r="F34" s="156"/>
      <c r="G34" s="157"/>
      <c r="H34" s="163"/>
      <c r="I34" s="186" t="str">
        <f t="shared" si="9"/>
        <v/>
      </c>
      <c r="J34" s="187" t="str">
        <f t="shared" si="3"/>
        <v/>
      </c>
      <c r="K34" s="188"/>
      <c r="L34" s="189"/>
      <c r="M34" s="186" t="str">
        <f t="shared" si="4"/>
        <v/>
      </c>
      <c r="N34" s="163"/>
      <c r="O34" s="163"/>
      <c r="P34" s="186" t="str">
        <f t="shared" si="5"/>
        <v/>
      </c>
      <c r="Q34" s="205" t="str">
        <f t="shared" si="6"/>
        <v/>
      </c>
      <c r="R34" s="163"/>
      <c r="S34" s="163"/>
      <c r="T34" s="206"/>
      <c r="U34" s="207" t="str">
        <f t="shared" si="7"/>
        <v/>
      </c>
      <c r="V34" s="208"/>
      <c r="X34" s="204" t="str">
        <f t="shared" si="8"/>
        <v/>
      </c>
      <c r="Y34" s="204"/>
      <c r="Z34" s="212" t="str">
        <f t="shared" si="1"/>
        <v/>
      </c>
      <c r="AA34" s="212" t="str">
        <f t="shared" si="2"/>
        <v/>
      </c>
    </row>
    <row r="35" spans="1:27">
      <c r="A35" s="49">
        <v>25</v>
      </c>
      <c r="B35" s="161"/>
      <c r="C35" s="164"/>
      <c r="D35" s="165"/>
      <c r="E35" s="166"/>
      <c r="F35" s="160"/>
      <c r="G35" s="152"/>
      <c r="H35" s="161"/>
      <c r="I35" s="186" t="str">
        <f t="shared" si="9"/>
        <v/>
      </c>
      <c r="J35" s="187" t="str">
        <f t="shared" si="3"/>
        <v/>
      </c>
      <c r="K35" s="190"/>
      <c r="L35" s="191"/>
      <c r="M35" s="186" t="str">
        <f t="shared" si="4"/>
        <v/>
      </c>
      <c r="N35" s="161"/>
      <c r="O35" s="161"/>
      <c r="P35" s="186" t="str">
        <f t="shared" si="5"/>
        <v/>
      </c>
      <c r="Q35" s="205" t="str">
        <f t="shared" si="6"/>
        <v/>
      </c>
      <c r="R35" s="161"/>
      <c r="S35" s="161"/>
      <c r="T35" s="209"/>
      <c r="U35" s="207" t="str">
        <f t="shared" si="7"/>
        <v/>
      </c>
      <c r="V35" s="210"/>
      <c r="X35" s="204" t="str">
        <f t="shared" si="8"/>
        <v/>
      </c>
      <c r="Y35" s="204"/>
      <c r="Z35" s="212" t="str">
        <f t="shared" si="1"/>
        <v/>
      </c>
      <c r="AA35" s="212" t="str">
        <f t="shared" si="2"/>
        <v/>
      </c>
    </row>
    <row r="36" spans="1:27">
      <c r="A36" s="91">
        <v>26</v>
      </c>
      <c r="B36" s="163"/>
      <c r="C36" s="167"/>
      <c r="D36" s="168"/>
      <c r="E36" s="169"/>
      <c r="F36" s="156"/>
      <c r="G36" s="157"/>
      <c r="H36" s="163"/>
      <c r="I36" s="186" t="str">
        <f t="shared" si="9"/>
        <v/>
      </c>
      <c r="J36" s="187" t="str">
        <f t="shared" si="3"/>
        <v/>
      </c>
      <c r="K36" s="188"/>
      <c r="L36" s="189"/>
      <c r="M36" s="186" t="str">
        <f t="shared" si="4"/>
        <v/>
      </c>
      <c r="N36" s="163"/>
      <c r="O36" s="163"/>
      <c r="P36" s="186" t="str">
        <f t="shared" si="5"/>
        <v/>
      </c>
      <c r="Q36" s="205" t="str">
        <f t="shared" si="6"/>
        <v/>
      </c>
      <c r="R36" s="163"/>
      <c r="S36" s="163"/>
      <c r="T36" s="206"/>
      <c r="U36" s="207" t="str">
        <f t="shared" si="7"/>
        <v/>
      </c>
      <c r="V36" s="208"/>
      <c r="X36" s="204" t="str">
        <f t="shared" si="8"/>
        <v/>
      </c>
      <c r="Y36" s="204"/>
      <c r="Z36" s="212" t="str">
        <f t="shared" si="1"/>
        <v/>
      </c>
      <c r="AA36" s="212" t="str">
        <f t="shared" si="2"/>
        <v/>
      </c>
    </row>
    <row r="37" spans="1:27">
      <c r="A37" s="49">
        <v>27</v>
      </c>
      <c r="B37" s="161"/>
      <c r="C37" s="164"/>
      <c r="D37" s="165"/>
      <c r="E37" s="166"/>
      <c r="F37" s="160"/>
      <c r="G37" s="152"/>
      <c r="H37" s="161"/>
      <c r="I37" s="186" t="str">
        <f t="shared" si="9"/>
        <v/>
      </c>
      <c r="J37" s="187" t="str">
        <f t="shared" si="3"/>
        <v/>
      </c>
      <c r="K37" s="190"/>
      <c r="L37" s="191"/>
      <c r="M37" s="186" t="str">
        <f t="shared" si="4"/>
        <v/>
      </c>
      <c r="N37" s="161"/>
      <c r="O37" s="161"/>
      <c r="P37" s="186" t="str">
        <f t="shared" si="5"/>
        <v/>
      </c>
      <c r="Q37" s="205" t="str">
        <f t="shared" si="6"/>
        <v/>
      </c>
      <c r="R37" s="161"/>
      <c r="S37" s="161"/>
      <c r="T37" s="209"/>
      <c r="U37" s="207" t="str">
        <f t="shared" si="7"/>
        <v/>
      </c>
      <c r="V37" s="210"/>
      <c r="X37" s="204" t="str">
        <f t="shared" si="8"/>
        <v/>
      </c>
      <c r="Y37" s="204"/>
      <c r="Z37" s="212" t="str">
        <f t="shared" si="1"/>
        <v/>
      </c>
      <c r="AA37" s="212" t="str">
        <f t="shared" si="2"/>
        <v/>
      </c>
    </row>
    <row r="38" spans="1:27">
      <c r="A38" s="91">
        <v>28</v>
      </c>
      <c r="B38" s="163"/>
      <c r="C38" s="167"/>
      <c r="D38" s="168"/>
      <c r="E38" s="169"/>
      <c r="F38" s="156"/>
      <c r="G38" s="157"/>
      <c r="H38" s="163"/>
      <c r="I38" s="186" t="str">
        <f t="shared" si="9"/>
        <v/>
      </c>
      <c r="J38" s="187" t="str">
        <f t="shared" si="3"/>
        <v/>
      </c>
      <c r="K38" s="188"/>
      <c r="L38" s="189"/>
      <c r="M38" s="186" t="str">
        <f t="shared" si="4"/>
        <v/>
      </c>
      <c r="N38" s="163"/>
      <c r="O38" s="163"/>
      <c r="P38" s="186" t="str">
        <f t="shared" si="5"/>
        <v/>
      </c>
      <c r="Q38" s="205" t="str">
        <f t="shared" si="6"/>
        <v/>
      </c>
      <c r="R38" s="163"/>
      <c r="S38" s="185"/>
      <c r="T38" s="201"/>
      <c r="U38" s="207" t="str">
        <f t="shared" si="7"/>
        <v/>
      </c>
      <c r="V38" s="208"/>
      <c r="X38" s="204" t="str">
        <f t="shared" si="8"/>
        <v/>
      </c>
      <c r="Y38" s="204"/>
      <c r="Z38" s="212" t="str">
        <f t="shared" si="1"/>
        <v/>
      </c>
      <c r="AA38" s="212" t="str">
        <f t="shared" si="2"/>
        <v/>
      </c>
    </row>
    <row r="39" spans="1:27">
      <c r="A39" s="49">
        <v>29</v>
      </c>
      <c r="B39" s="161"/>
      <c r="C39" s="164"/>
      <c r="D39" s="165"/>
      <c r="E39" s="166"/>
      <c r="F39" s="160"/>
      <c r="G39" s="152"/>
      <c r="H39" s="161"/>
      <c r="I39" s="186" t="str">
        <f t="shared" si="9"/>
        <v/>
      </c>
      <c r="J39" s="187" t="str">
        <f t="shared" si="3"/>
        <v/>
      </c>
      <c r="K39" s="190"/>
      <c r="L39" s="191"/>
      <c r="M39" s="186" t="str">
        <f t="shared" si="4"/>
        <v/>
      </c>
      <c r="N39" s="161"/>
      <c r="O39" s="161"/>
      <c r="P39" s="186" t="str">
        <f t="shared" si="5"/>
        <v/>
      </c>
      <c r="Q39" s="205" t="str">
        <f t="shared" si="6"/>
        <v/>
      </c>
      <c r="R39" s="161"/>
      <c r="S39" s="163"/>
      <c r="T39" s="206"/>
      <c r="U39" s="207" t="str">
        <f t="shared" si="7"/>
        <v/>
      </c>
      <c r="V39" s="210"/>
      <c r="X39" s="204" t="str">
        <f t="shared" si="8"/>
        <v/>
      </c>
      <c r="Y39" s="204"/>
      <c r="Z39" s="212" t="str">
        <f t="shared" si="1"/>
        <v/>
      </c>
      <c r="AA39" s="212" t="str">
        <f t="shared" si="2"/>
        <v/>
      </c>
    </row>
    <row r="40" spans="1:27">
      <c r="A40" s="91">
        <v>30</v>
      </c>
      <c r="B40" s="163"/>
      <c r="C40" s="167"/>
      <c r="D40" s="168"/>
      <c r="E40" s="169"/>
      <c r="F40" s="156"/>
      <c r="G40" s="157"/>
      <c r="H40" s="163"/>
      <c r="I40" s="186" t="str">
        <f t="shared" si="9"/>
        <v/>
      </c>
      <c r="J40" s="187" t="str">
        <f t="shared" si="3"/>
        <v/>
      </c>
      <c r="K40" s="188"/>
      <c r="L40" s="189"/>
      <c r="M40" s="186" t="str">
        <f t="shared" si="4"/>
        <v/>
      </c>
      <c r="N40" s="163"/>
      <c r="O40" s="163"/>
      <c r="P40" s="186" t="str">
        <f t="shared" si="5"/>
        <v/>
      </c>
      <c r="Q40" s="205" t="str">
        <f t="shared" si="6"/>
        <v/>
      </c>
      <c r="R40" s="163"/>
      <c r="S40" s="161"/>
      <c r="T40" s="209"/>
      <c r="U40" s="207" t="str">
        <f t="shared" si="7"/>
        <v/>
      </c>
      <c r="V40" s="208"/>
      <c r="X40" s="204" t="str">
        <f t="shared" si="8"/>
        <v/>
      </c>
      <c r="Y40" s="204"/>
      <c r="Z40" s="212" t="str">
        <f t="shared" si="1"/>
        <v/>
      </c>
      <c r="AA40" s="212" t="str">
        <f t="shared" si="2"/>
        <v/>
      </c>
    </row>
    <row r="41" spans="1:27">
      <c r="A41" s="49">
        <v>31</v>
      </c>
      <c r="B41" s="161"/>
      <c r="C41" s="164"/>
      <c r="D41" s="165"/>
      <c r="E41" s="166"/>
      <c r="F41" s="160"/>
      <c r="G41" s="152"/>
      <c r="H41" s="161"/>
      <c r="I41" s="186" t="str">
        <f t="shared" si="9"/>
        <v/>
      </c>
      <c r="J41" s="187" t="str">
        <f t="shared" si="3"/>
        <v/>
      </c>
      <c r="K41" s="190"/>
      <c r="L41" s="191"/>
      <c r="M41" s="186" t="str">
        <f t="shared" si="4"/>
        <v/>
      </c>
      <c r="N41" s="161"/>
      <c r="O41" s="161"/>
      <c r="P41" s="186" t="str">
        <f t="shared" si="5"/>
        <v/>
      </c>
      <c r="Q41" s="205" t="str">
        <f t="shared" si="6"/>
        <v/>
      </c>
      <c r="R41" s="161"/>
      <c r="S41" s="163"/>
      <c r="T41" s="206"/>
      <c r="U41" s="207" t="str">
        <f t="shared" si="7"/>
        <v/>
      </c>
      <c r="V41" s="210"/>
      <c r="X41" s="204" t="str">
        <f t="shared" si="8"/>
        <v/>
      </c>
      <c r="Y41" s="204"/>
      <c r="Z41" s="212" t="str">
        <f t="shared" si="1"/>
        <v/>
      </c>
      <c r="AA41" s="212" t="str">
        <f t="shared" si="2"/>
        <v/>
      </c>
    </row>
    <row r="42" spans="1:27">
      <c r="A42" s="91">
        <v>32</v>
      </c>
      <c r="B42" s="163"/>
      <c r="C42" s="167"/>
      <c r="D42" s="168"/>
      <c r="E42" s="169"/>
      <c r="F42" s="156"/>
      <c r="G42" s="157"/>
      <c r="H42" s="163"/>
      <c r="I42" s="186" t="str">
        <f t="shared" si="9"/>
        <v/>
      </c>
      <c r="J42" s="187" t="str">
        <f t="shared" si="3"/>
        <v/>
      </c>
      <c r="K42" s="188"/>
      <c r="L42" s="189"/>
      <c r="M42" s="186" t="str">
        <f t="shared" si="4"/>
        <v/>
      </c>
      <c r="N42" s="163"/>
      <c r="O42" s="163"/>
      <c r="P42" s="186" t="str">
        <f t="shared" si="5"/>
        <v/>
      </c>
      <c r="Q42" s="205" t="str">
        <f t="shared" si="6"/>
        <v/>
      </c>
      <c r="R42" s="163"/>
      <c r="S42" s="161"/>
      <c r="T42" s="209"/>
      <c r="U42" s="207" t="str">
        <f t="shared" si="7"/>
        <v/>
      </c>
      <c r="V42" s="208"/>
      <c r="X42" s="204" t="str">
        <f t="shared" si="8"/>
        <v/>
      </c>
      <c r="Y42" s="204"/>
      <c r="Z42" s="212" t="str">
        <f t="shared" si="1"/>
        <v/>
      </c>
      <c r="AA42" s="212" t="str">
        <f t="shared" si="2"/>
        <v/>
      </c>
    </row>
    <row r="43" spans="1:27">
      <c r="A43" s="49">
        <v>33</v>
      </c>
      <c r="B43" s="161"/>
      <c r="C43" s="164"/>
      <c r="D43" s="165"/>
      <c r="E43" s="166"/>
      <c r="F43" s="160"/>
      <c r="G43" s="152"/>
      <c r="H43" s="161"/>
      <c r="I43" s="186" t="str">
        <f t="shared" si="9"/>
        <v/>
      </c>
      <c r="J43" s="187" t="str">
        <f t="shared" si="3"/>
        <v/>
      </c>
      <c r="K43" s="190"/>
      <c r="L43" s="191"/>
      <c r="M43" s="186" t="str">
        <f t="shared" si="4"/>
        <v/>
      </c>
      <c r="N43" s="161"/>
      <c r="O43" s="161"/>
      <c r="P43" s="186" t="str">
        <f t="shared" si="5"/>
        <v/>
      </c>
      <c r="Q43" s="205" t="str">
        <f t="shared" si="6"/>
        <v/>
      </c>
      <c r="R43" s="161"/>
      <c r="S43" s="163"/>
      <c r="T43" s="206"/>
      <c r="U43" s="207" t="str">
        <f t="shared" si="7"/>
        <v/>
      </c>
      <c r="V43" s="210"/>
      <c r="X43" s="204" t="str">
        <f t="shared" si="8"/>
        <v/>
      </c>
      <c r="Y43" s="204"/>
      <c r="Z43" s="212" t="str">
        <f t="shared" ref="Z43:Z74" si="10">IF($C43&lt;&gt;"",IF($F43&gt;6,Q43,0%),"")</f>
        <v/>
      </c>
      <c r="AA43" s="212" t="str">
        <f t="shared" ref="AA43:AA74" si="11">IF($C43&lt;&gt;"",IF($F43&gt;6,S43/$AA$9,0%),"")</f>
        <v/>
      </c>
    </row>
    <row r="44" spans="1:27">
      <c r="A44" s="91">
        <v>34</v>
      </c>
      <c r="B44" s="163"/>
      <c r="C44" s="167"/>
      <c r="D44" s="168"/>
      <c r="E44" s="169"/>
      <c r="F44" s="156"/>
      <c r="G44" s="157"/>
      <c r="H44" s="163"/>
      <c r="I44" s="186" t="str">
        <f t="shared" si="9"/>
        <v/>
      </c>
      <c r="J44" s="187" t="str">
        <f t="shared" si="3"/>
        <v/>
      </c>
      <c r="K44" s="188"/>
      <c r="L44" s="189"/>
      <c r="M44" s="186" t="str">
        <f t="shared" si="4"/>
        <v/>
      </c>
      <c r="N44" s="163"/>
      <c r="O44" s="163"/>
      <c r="P44" s="186" t="str">
        <f t="shared" si="5"/>
        <v/>
      </c>
      <c r="Q44" s="205" t="str">
        <f t="shared" si="6"/>
        <v/>
      </c>
      <c r="R44" s="163"/>
      <c r="S44" s="161"/>
      <c r="T44" s="209"/>
      <c r="U44" s="207" t="str">
        <f t="shared" si="7"/>
        <v/>
      </c>
      <c r="V44" s="208"/>
      <c r="X44" s="204" t="str">
        <f t="shared" si="8"/>
        <v/>
      </c>
      <c r="Y44" s="204"/>
      <c r="Z44" s="212" t="str">
        <f t="shared" si="10"/>
        <v/>
      </c>
      <c r="AA44" s="212" t="str">
        <f t="shared" si="11"/>
        <v/>
      </c>
    </row>
    <row r="45" spans="1:27">
      <c r="A45" s="49">
        <v>35</v>
      </c>
      <c r="B45" s="161"/>
      <c r="C45" s="164"/>
      <c r="D45" s="165"/>
      <c r="E45" s="166"/>
      <c r="F45" s="160"/>
      <c r="G45" s="152"/>
      <c r="H45" s="161"/>
      <c r="I45" s="186" t="str">
        <f t="shared" si="9"/>
        <v/>
      </c>
      <c r="J45" s="187" t="str">
        <f t="shared" si="3"/>
        <v/>
      </c>
      <c r="K45" s="190"/>
      <c r="L45" s="191"/>
      <c r="M45" s="186" t="str">
        <f t="shared" si="4"/>
        <v/>
      </c>
      <c r="N45" s="161"/>
      <c r="O45" s="161"/>
      <c r="P45" s="186" t="str">
        <f t="shared" si="5"/>
        <v/>
      </c>
      <c r="Q45" s="205" t="str">
        <f t="shared" si="6"/>
        <v/>
      </c>
      <c r="R45" s="161"/>
      <c r="S45" s="163"/>
      <c r="T45" s="206"/>
      <c r="U45" s="207" t="str">
        <f t="shared" si="7"/>
        <v/>
      </c>
      <c r="V45" s="210"/>
      <c r="X45" s="204" t="str">
        <f t="shared" si="8"/>
        <v/>
      </c>
      <c r="Y45" s="204"/>
      <c r="Z45" s="212" t="str">
        <f t="shared" si="10"/>
        <v/>
      </c>
      <c r="AA45" s="212" t="str">
        <f t="shared" si="11"/>
        <v/>
      </c>
    </row>
    <row r="46" spans="1:27">
      <c r="A46" s="91">
        <v>36</v>
      </c>
      <c r="B46" s="163"/>
      <c r="C46" s="167"/>
      <c r="D46" s="168"/>
      <c r="E46" s="169"/>
      <c r="F46" s="156"/>
      <c r="G46" s="157"/>
      <c r="H46" s="163"/>
      <c r="I46" s="186" t="str">
        <f t="shared" si="9"/>
        <v/>
      </c>
      <c r="J46" s="187" t="str">
        <f t="shared" si="3"/>
        <v/>
      </c>
      <c r="K46" s="188"/>
      <c r="L46" s="189"/>
      <c r="M46" s="186" t="str">
        <f t="shared" si="4"/>
        <v/>
      </c>
      <c r="N46" s="163"/>
      <c r="O46" s="163"/>
      <c r="P46" s="186" t="str">
        <f t="shared" si="5"/>
        <v/>
      </c>
      <c r="Q46" s="205" t="str">
        <f t="shared" si="6"/>
        <v/>
      </c>
      <c r="R46" s="163"/>
      <c r="S46" s="161"/>
      <c r="T46" s="209"/>
      <c r="U46" s="207" t="str">
        <f t="shared" si="7"/>
        <v/>
      </c>
      <c r="V46" s="208"/>
      <c r="X46" s="204" t="str">
        <f t="shared" si="8"/>
        <v/>
      </c>
      <c r="Y46" s="204"/>
      <c r="Z46" s="212" t="str">
        <f t="shared" si="10"/>
        <v/>
      </c>
      <c r="AA46" s="212" t="str">
        <f t="shared" si="11"/>
        <v/>
      </c>
    </row>
    <row r="47" spans="1:27">
      <c r="A47" s="49">
        <v>37</v>
      </c>
      <c r="B47" s="161"/>
      <c r="C47" s="164"/>
      <c r="D47" s="165"/>
      <c r="E47" s="166"/>
      <c r="F47" s="160"/>
      <c r="G47" s="152"/>
      <c r="H47" s="161"/>
      <c r="I47" s="186" t="str">
        <f t="shared" si="9"/>
        <v/>
      </c>
      <c r="J47" s="187" t="str">
        <f t="shared" si="3"/>
        <v/>
      </c>
      <c r="K47" s="190"/>
      <c r="L47" s="191"/>
      <c r="M47" s="186" t="str">
        <f t="shared" si="4"/>
        <v/>
      </c>
      <c r="N47" s="161"/>
      <c r="O47" s="161"/>
      <c r="P47" s="186" t="str">
        <f t="shared" si="5"/>
        <v/>
      </c>
      <c r="Q47" s="205" t="str">
        <f t="shared" si="6"/>
        <v/>
      </c>
      <c r="R47" s="161"/>
      <c r="S47" s="163"/>
      <c r="T47" s="206"/>
      <c r="U47" s="207" t="str">
        <f t="shared" si="7"/>
        <v/>
      </c>
      <c r="V47" s="210"/>
      <c r="X47" s="204" t="str">
        <f t="shared" si="8"/>
        <v/>
      </c>
      <c r="Y47" s="204"/>
      <c r="Z47" s="212" t="str">
        <f t="shared" si="10"/>
        <v/>
      </c>
      <c r="AA47" s="212" t="str">
        <f t="shared" si="11"/>
        <v/>
      </c>
    </row>
    <row r="48" spans="1:27">
      <c r="A48" s="91">
        <v>38</v>
      </c>
      <c r="B48" s="163"/>
      <c r="C48" s="167"/>
      <c r="D48" s="168"/>
      <c r="E48" s="169"/>
      <c r="F48" s="156"/>
      <c r="G48" s="157"/>
      <c r="H48" s="163"/>
      <c r="I48" s="186" t="str">
        <f t="shared" si="9"/>
        <v/>
      </c>
      <c r="J48" s="187" t="str">
        <f t="shared" si="3"/>
        <v/>
      </c>
      <c r="K48" s="188"/>
      <c r="L48" s="189"/>
      <c r="M48" s="186" t="str">
        <f t="shared" si="4"/>
        <v/>
      </c>
      <c r="N48" s="163"/>
      <c r="O48" s="163"/>
      <c r="P48" s="186" t="str">
        <f t="shared" si="5"/>
        <v/>
      </c>
      <c r="Q48" s="205" t="str">
        <f t="shared" si="6"/>
        <v/>
      </c>
      <c r="R48" s="163"/>
      <c r="S48" s="161"/>
      <c r="T48" s="209"/>
      <c r="U48" s="207" t="str">
        <f t="shared" si="7"/>
        <v/>
      </c>
      <c r="V48" s="208"/>
      <c r="X48" s="204" t="str">
        <f t="shared" si="8"/>
        <v/>
      </c>
      <c r="Y48" s="204"/>
      <c r="Z48" s="212" t="str">
        <f t="shared" si="10"/>
        <v/>
      </c>
      <c r="AA48" s="212" t="str">
        <f t="shared" si="11"/>
        <v/>
      </c>
    </row>
    <row r="49" spans="1:27">
      <c r="A49" s="49">
        <v>39</v>
      </c>
      <c r="B49" s="161"/>
      <c r="C49" s="164"/>
      <c r="D49" s="165"/>
      <c r="E49" s="166"/>
      <c r="F49" s="160"/>
      <c r="G49" s="152"/>
      <c r="H49" s="161"/>
      <c r="I49" s="186" t="str">
        <f t="shared" si="9"/>
        <v/>
      </c>
      <c r="J49" s="187" t="str">
        <f t="shared" si="3"/>
        <v/>
      </c>
      <c r="K49" s="190"/>
      <c r="L49" s="191"/>
      <c r="M49" s="186" t="str">
        <f t="shared" si="4"/>
        <v/>
      </c>
      <c r="N49" s="161"/>
      <c r="O49" s="161"/>
      <c r="P49" s="186" t="str">
        <f t="shared" si="5"/>
        <v/>
      </c>
      <c r="Q49" s="205" t="str">
        <f t="shared" si="6"/>
        <v/>
      </c>
      <c r="R49" s="161"/>
      <c r="S49" s="163"/>
      <c r="T49" s="206"/>
      <c r="U49" s="207" t="str">
        <f t="shared" si="7"/>
        <v/>
      </c>
      <c r="V49" s="210"/>
      <c r="X49" s="204" t="str">
        <f t="shared" si="8"/>
        <v/>
      </c>
      <c r="Y49" s="204"/>
      <c r="Z49" s="212" t="str">
        <f t="shared" si="10"/>
        <v/>
      </c>
      <c r="AA49" s="212" t="str">
        <f t="shared" si="11"/>
        <v/>
      </c>
    </row>
    <row r="50" spans="1:27">
      <c r="A50" s="91">
        <v>40</v>
      </c>
      <c r="B50" s="163"/>
      <c r="C50" s="167"/>
      <c r="D50" s="168"/>
      <c r="E50" s="169"/>
      <c r="F50" s="156"/>
      <c r="G50" s="157"/>
      <c r="H50" s="163"/>
      <c r="I50" s="186" t="str">
        <f t="shared" si="9"/>
        <v/>
      </c>
      <c r="J50" s="187" t="str">
        <f t="shared" si="3"/>
        <v/>
      </c>
      <c r="K50" s="188"/>
      <c r="L50" s="189"/>
      <c r="M50" s="186" t="str">
        <f t="shared" si="4"/>
        <v/>
      </c>
      <c r="N50" s="163"/>
      <c r="O50" s="163"/>
      <c r="P50" s="186" t="str">
        <f t="shared" si="5"/>
        <v/>
      </c>
      <c r="Q50" s="205" t="str">
        <f t="shared" si="6"/>
        <v/>
      </c>
      <c r="R50" s="163"/>
      <c r="S50" s="161"/>
      <c r="T50" s="209"/>
      <c r="U50" s="207" t="str">
        <f t="shared" si="7"/>
        <v/>
      </c>
      <c r="V50" s="208"/>
      <c r="X50" s="204" t="str">
        <f t="shared" si="8"/>
        <v/>
      </c>
      <c r="Y50" s="204"/>
      <c r="Z50" s="212" t="str">
        <f t="shared" si="10"/>
        <v/>
      </c>
      <c r="AA50" s="212" t="str">
        <f t="shared" si="11"/>
        <v/>
      </c>
    </row>
    <row r="51" spans="1:27">
      <c r="A51" s="49">
        <v>41</v>
      </c>
      <c r="B51" s="161"/>
      <c r="C51" s="164"/>
      <c r="D51" s="165"/>
      <c r="E51" s="166"/>
      <c r="F51" s="160"/>
      <c r="G51" s="152"/>
      <c r="H51" s="161"/>
      <c r="I51" s="186" t="str">
        <f t="shared" si="9"/>
        <v/>
      </c>
      <c r="J51" s="187" t="str">
        <f t="shared" si="3"/>
        <v/>
      </c>
      <c r="K51" s="190"/>
      <c r="L51" s="191"/>
      <c r="M51" s="186" t="str">
        <f t="shared" si="4"/>
        <v/>
      </c>
      <c r="N51" s="161"/>
      <c r="O51" s="161"/>
      <c r="P51" s="186" t="str">
        <f t="shared" si="5"/>
        <v/>
      </c>
      <c r="Q51" s="205" t="str">
        <f t="shared" si="6"/>
        <v/>
      </c>
      <c r="R51" s="161"/>
      <c r="S51" s="163"/>
      <c r="T51" s="206"/>
      <c r="U51" s="207" t="str">
        <f t="shared" si="7"/>
        <v/>
      </c>
      <c r="V51" s="210"/>
      <c r="X51" s="204" t="str">
        <f t="shared" si="8"/>
        <v/>
      </c>
      <c r="Y51" s="204"/>
      <c r="Z51" s="212" t="str">
        <f t="shared" si="10"/>
        <v/>
      </c>
      <c r="AA51" s="212" t="str">
        <f t="shared" si="11"/>
        <v/>
      </c>
    </row>
    <row r="52" spans="1:27">
      <c r="A52" s="91">
        <v>42</v>
      </c>
      <c r="B52" s="163"/>
      <c r="C52" s="167"/>
      <c r="D52" s="168"/>
      <c r="E52" s="169"/>
      <c r="F52" s="156"/>
      <c r="G52" s="157"/>
      <c r="H52" s="163"/>
      <c r="I52" s="186" t="str">
        <f t="shared" si="9"/>
        <v/>
      </c>
      <c r="J52" s="187" t="str">
        <f t="shared" si="3"/>
        <v/>
      </c>
      <c r="K52" s="188"/>
      <c r="L52" s="189"/>
      <c r="M52" s="186" t="str">
        <f t="shared" si="4"/>
        <v/>
      </c>
      <c r="N52" s="163"/>
      <c r="O52" s="163"/>
      <c r="P52" s="186" t="str">
        <f t="shared" si="5"/>
        <v/>
      </c>
      <c r="Q52" s="205" t="str">
        <f t="shared" si="6"/>
        <v/>
      </c>
      <c r="R52" s="163"/>
      <c r="S52" s="161"/>
      <c r="T52" s="209"/>
      <c r="U52" s="207" t="str">
        <f t="shared" si="7"/>
        <v/>
      </c>
      <c r="V52" s="208"/>
      <c r="X52" s="204" t="str">
        <f t="shared" si="8"/>
        <v/>
      </c>
      <c r="Y52" s="204"/>
      <c r="Z52" s="212" t="str">
        <f t="shared" si="10"/>
        <v/>
      </c>
      <c r="AA52" s="212" t="str">
        <f t="shared" si="11"/>
        <v/>
      </c>
    </row>
    <row r="53" spans="1:27">
      <c r="A53" s="49">
        <v>43</v>
      </c>
      <c r="B53" s="161"/>
      <c r="C53" s="164"/>
      <c r="D53" s="165"/>
      <c r="E53" s="166"/>
      <c r="F53" s="160"/>
      <c r="G53" s="152"/>
      <c r="H53" s="161"/>
      <c r="I53" s="186" t="str">
        <f t="shared" si="9"/>
        <v/>
      </c>
      <c r="J53" s="187" t="str">
        <f t="shared" si="3"/>
        <v/>
      </c>
      <c r="K53" s="190"/>
      <c r="L53" s="191"/>
      <c r="M53" s="186" t="str">
        <f t="shared" si="4"/>
        <v/>
      </c>
      <c r="N53" s="161"/>
      <c r="O53" s="161"/>
      <c r="P53" s="186" t="str">
        <f t="shared" si="5"/>
        <v/>
      </c>
      <c r="Q53" s="205" t="str">
        <f t="shared" si="6"/>
        <v/>
      </c>
      <c r="R53" s="161"/>
      <c r="S53" s="163"/>
      <c r="T53" s="211"/>
      <c r="U53" s="207" t="str">
        <f t="shared" si="7"/>
        <v/>
      </c>
      <c r="V53" s="210"/>
      <c r="X53" s="204" t="str">
        <f t="shared" si="8"/>
        <v/>
      </c>
      <c r="Y53" s="204"/>
      <c r="Z53" s="212" t="str">
        <f t="shared" si="10"/>
        <v/>
      </c>
      <c r="AA53" s="212" t="str">
        <f t="shared" si="11"/>
        <v/>
      </c>
    </row>
    <row r="54" spans="1:27">
      <c r="A54" s="91">
        <v>44</v>
      </c>
      <c r="B54" s="163"/>
      <c r="C54" s="167"/>
      <c r="D54" s="168"/>
      <c r="E54" s="169"/>
      <c r="F54" s="156"/>
      <c r="G54" s="157"/>
      <c r="H54" s="163"/>
      <c r="I54" s="186" t="str">
        <f t="shared" si="9"/>
        <v/>
      </c>
      <c r="J54" s="187" t="str">
        <f t="shared" si="3"/>
        <v/>
      </c>
      <c r="K54" s="188"/>
      <c r="L54" s="189"/>
      <c r="M54" s="186" t="str">
        <f t="shared" si="4"/>
        <v/>
      </c>
      <c r="N54" s="163"/>
      <c r="O54" s="163"/>
      <c r="P54" s="186" t="str">
        <f t="shared" si="5"/>
        <v/>
      </c>
      <c r="Q54" s="205" t="str">
        <f t="shared" si="6"/>
        <v/>
      </c>
      <c r="R54" s="163"/>
      <c r="S54" s="161"/>
      <c r="T54" s="209"/>
      <c r="U54" s="207" t="str">
        <f t="shared" si="7"/>
        <v/>
      </c>
      <c r="V54" s="208"/>
      <c r="X54" s="204" t="str">
        <f t="shared" si="8"/>
        <v/>
      </c>
      <c r="Y54" s="204"/>
      <c r="Z54" s="212" t="str">
        <f t="shared" si="10"/>
        <v/>
      </c>
      <c r="AA54" s="212" t="str">
        <f t="shared" si="11"/>
        <v/>
      </c>
    </row>
    <row r="55" spans="1:27">
      <c r="A55" s="49">
        <v>45</v>
      </c>
      <c r="B55" s="161"/>
      <c r="C55" s="164"/>
      <c r="D55" s="165"/>
      <c r="E55" s="166"/>
      <c r="F55" s="160"/>
      <c r="G55" s="152"/>
      <c r="H55" s="161"/>
      <c r="I55" s="186" t="str">
        <f t="shared" si="9"/>
        <v/>
      </c>
      <c r="J55" s="187" t="str">
        <f t="shared" si="3"/>
        <v/>
      </c>
      <c r="K55" s="190"/>
      <c r="L55" s="191"/>
      <c r="M55" s="186" t="str">
        <f t="shared" si="4"/>
        <v/>
      </c>
      <c r="N55" s="161"/>
      <c r="O55" s="161"/>
      <c r="P55" s="186" t="str">
        <f t="shared" si="5"/>
        <v/>
      </c>
      <c r="Q55" s="205" t="str">
        <f t="shared" si="6"/>
        <v/>
      </c>
      <c r="R55" s="161"/>
      <c r="S55" s="163"/>
      <c r="T55" s="206"/>
      <c r="U55" s="207" t="str">
        <f t="shared" si="7"/>
        <v/>
      </c>
      <c r="V55" s="210"/>
      <c r="X55" s="204" t="str">
        <f t="shared" si="8"/>
        <v/>
      </c>
      <c r="Y55" s="204"/>
      <c r="Z55" s="212" t="str">
        <f t="shared" si="10"/>
        <v/>
      </c>
      <c r="AA55" s="212" t="str">
        <f t="shared" si="11"/>
        <v/>
      </c>
    </row>
    <row r="56" spans="1:27">
      <c r="A56" s="91">
        <v>46</v>
      </c>
      <c r="B56" s="163"/>
      <c r="C56" s="167"/>
      <c r="D56" s="168"/>
      <c r="E56" s="169"/>
      <c r="F56" s="156"/>
      <c r="G56" s="157"/>
      <c r="H56" s="163"/>
      <c r="I56" s="186" t="str">
        <f t="shared" si="9"/>
        <v/>
      </c>
      <c r="J56" s="187" t="str">
        <f t="shared" si="3"/>
        <v/>
      </c>
      <c r="K56" s="188"/>
      <c r="L56" s="189"/>
      <c r="M56" s="186" t="str">
        <f t="shared" si="4"/>
        <v/>
      </c>
      <c r="N56" s="163"/>
      <c r="O56" s="163"/>
      <c r="P56" s="186" t="str">
        <f t="shared" si="5"/>
        <v/>
      </c>
      <c r="Q56" s="205" t="str">
        <f t="shared" si="6"/>
        <v/>
      </c>
      <c r="R56" s="163"/>
      <c r="S56" s="161"/>
      <c r="T56" s="209"/>
      <c r="U56" s="207" t="str">
        <f t="shared" si="7"/>
        <v/>
      </c>
      <c r="V56" s="208"/>
      <c r="X56" s="204" t="str">
        <f t="shared" si="8"/>
        <v/>
      </c>
      <c r="Y56" s="204"/>
      <c r="Z56" s="212" t="str">
        <f t="shared" si="10"/>
        <v/>
      </c>
      <c r="AA56" s="212" t="str">
        <f t="shared" si="11"/>
        <v/>
      </c>
    </row>
    <row r="57" spans="1:27">
      <c r="A57" s="49">
        <v>47</v>
      </c>
      <c r="B57" s="161"/>
      <c r="C57" s="164"/>
      <c r="D57" s="165"/>
      <c r="E57" s="166"/>
      <c r="F57" s="160"/>
      <c r="G57" s="152"/>
      <c r="H57" s="161"/>
      <c r="I57" s="186" t="str">
        <f t="shared" si="9"/>
        <v/>
      </c>
      <c r="J57" s="187" t="str">
        <f t="shared" si="3"/>
        <v/>
      </c>
      <c r="K57" s="190"/>
      <c r="L57" s="191"/>
      <c r="M57" s="186" t="str">
        <f t="shared" si="4"/>
        <v/>
      </c>
      <c r="N57" s="161"/>
      <c r="O57" s="161"/>
      <c r="P57" s="186" t="str">
        <f t="shared" si="5"/>
        <v/>
      </c>
      <c r="Q57" s="205" t="str">
        <f t="shared" si="6"/>
        <v/>
      </c>
      <c r="R57" s="161"/>
      <c r="S57" s="163"/>
      <c r="T57" s="206"/>
      <c r="U57" s="207" t="str">
        <f t="shared" si="7"/>
        <v/>
      </c>
      <c r="V57" s="210"/>
      <c r="X57" s="204" t="str">
        <f t="shared" si="8"/>
        <v/>
      </c>
      <c r="Y57" s="204"/>
      <c r="Z57" s="212" t="str">
        <f t="shared" si="10"/>
        <v/>
      </c>
      <c r="AA57" s="212" t="str">
        <f t="shared" si="11"/>
        <v/>
      </c>
    </row>
    <row r="58" spans="1:27">
      <c r="A58" s="91">
        <v>48</v>
      </c>
      <c r="B58" s="163"/>
      <c r="C58" s="167"/>
      <c r="D58" s="168"/>
      <c r="E58" s="169"/>
      <c r="F58" s="156"/>
      <c r="G58" s="157"/>
      <c r="H58" s="163"/>
      <c r="I58" s="186" t="str">
        <f t="shared" si="9"/>
        <v/>
      </c>
      <c r="J58" s="187" t="str">
        <f t="shared" si="3"/>
        <v/>
      </c>
      <c r="K58" s="188"/>
      <c r="L58" s="189"/>
      <c r="M58" s="186" t="str">
        <f t="shared" si="4"/>
        <v/>
      </c>
      <c r="N58" s="163"/>
      <c r="O58" s="163"/>
      <c r="P58" s="186" t="str">
        <f t="shared" si="5"/>
        <v/>
      </c>
      <c r="Q58" s="205" t="str">
        <f t="shared" si="6"/>
        <v/>
      </c>
      <c r="R58" s="163"/>
      <c r="S58" s="161"/>
      <c r="T58" s="209"/>
      <c r="U58" s="207" t="str">
        <f t="shared" si="7"/>
        <v/>
      </c>
      <c r="V58" s="208"/>
      <c r="X58" s="204" t="str">
        <f t="shared" si="8"/>
        <v/>
      </c>
      <c r="Y58" s="204"/>
      <c r="Z58" s="212" t="str">
        <f t="shared" si="10"/>
        <v/>
      </c>
      <c r="AA58" s="212" t="str">
        <f t="shared" si="11"/>
        <v/>
      </c>
    </row>
    <row r="59" spans="1:27">
      <c r="A59" s="49">
        <v>49</v>
      </c>
      <c r="B59" s="161"/>
      <c r="C59" s="164"/>
      <c r="D59" s="165"/>
      <c r="E59" s="166"/>
      <c r="F59" s="160"/>
      <c r="G59" s="152"/>
      <c r="H59" s="161"/>
      <c r="I59" s="186" t="str">
        <f t="shared" si="9"/>
        <v/>
      </c>
      <c r="J59" s="187" t="str">
        <f t="shared" si="3"/>
        <v/>
      </c>
      <c r="K59" s="190"/>
      <c r="L59" s="191"/>
      <c r="M59" s="186" t="str">
        <f t="shared" si="4"/>
        <v/>
      </c>
      <c r="N59" s="161"/>
      <c r="O59" s="161"/>
      <c r="P59" s="186" t="str">
        <f t="shared" si="5"/>
        <v/>
      </c>
      <c r="Q59" s="205" t="str">
        <f t="shared" si="6"/>
        <v/>
      </c>
      <c r="R59" s="161"/>
      <c r="S59" s="163"/>
      <c r="T59" s="206"/>
      <c r="U59" s="207" t="str">
        <f t="shared" si="7"/>
        <v/>
      </c>
      <c r="V59" s="210"/>
      <c r="X59" s="204" t="str">
        <f t="shared" si="8"/>
        <v/>
      </c>
      <c r="Y59" s="204"/>
      <c r="Z59" s="212" t="str">
        <f t="shared" si="10"/>
        <v/>
      </c>
      <c r="AA59" s="212" t="str">
        <f t="shared" si="11"/>
        <v/>
      </c>
    </row>
    <row r="60" spans="1:27">
      <c r="A60" s="91">
        <v>50</v>
      </c>
      <c r="B60" s="163"/>
      <c r="C60" s="167"/>
      <c r="D60" s="168"/>
      <c r="E60" s="169"/>
      <c r="F60" s="156"/>
      <c r="G60" s="157"/>
      <c r="H60" s="163"/>
      <c r="I60" s="186" t="str">
        <f t="shared" si="9"/>
        <v/>
      </c>
      <c r="J60" s="187" t="str">
        <f t="shared" si="3"/>
        <v/>
      </c>
      <c r="K60" s="188"/>
      <c r="L60" s="189"/>
      <c r="M60" s="186" t="str">
        <f t="shared" si="4"/>
        <v/>
      </c>
      <c r="N60" s="163"/>
      <c r="O60" s="163"/>
      <c r="P60" s="186" t="str">
        <f t="shared" si="5"/>
        <v/>
      </c>
      <c r="Q60" s="205" t="str">
        <f t="shared" si="6"/>
        <v/>
      </c>
      <c r="R60" s="163"/>
      <c r="S60" s="161"/>
      <c r="T60" s="209"/>
      <c r="U60" s="207" t="str">
        <f t="shared" si="7"/>
        <v/>
      </c>
      <c r="V60" s="208"/>
      <c r="X60" s="204" t="str">
        <f t="shared" si="8"/>
        <v/>
      </c>
      <c r="Y60" s="204"/>
      <c r="Z60" s="212" t="str">
        <f t="shared" si="10"/>
        <v/>
      </c>
      <c r="AA60" s="212" t="str">
        <f t="shared" si="11"/>
        <v/>
      </c>
    </row>
    <row r="61" spans="1:27">
      <c r="A61" s="49">
        <v>51</v>
      </c>
      <c r="B61" s="161"/>
      <c r="C61" s="164"/>
      <c r="D61" s="165"/>
      <c r="E61" s="166"/>
      <c r="F61" s="160"/>
      <c r="G61" s="152"/>
      <c r="H61" s="161"/>
      <c r="I61" s="186" t="str">
        <f t="shared" si="9"/>
        <v/>
      </c>
      <c r="J61" s="187" t="str">
        <f t="shared" si="3"/>
        <v/>
      </c>
      <c r="K61" s="190"/>
      <c r="L61" s="191"/>
      <c r="M61" s="186" t="str">
        <f t="shared" si="4"/>
        <v/>
      </c>
      <c r="N61" s="161"/>
      <c r="O61" s="161"/>
      <c r="P61" s="186" t="str">
        <f t="shared" si="5"/>
        <v/>
      </c>
      <c r="Q61" s="205" t="str">
        <f t="shared" si="6"/>
        <v/>
      </c>
      <c r="R61" s="161"/>
      <c r="S61" s="163"/>
      <c r="T61" s="206"/>
      <c r="U61" s="207" t="str">
        <f t="shared" si="7"/>
        <v/>
      </c>
      <c r="V61" s="210"/>
      <c r="X61" s="204" t="str">
        <f t="shared" si="8"/>
        <v/>
      </c>
      <c r="Y61" s="204"/>
      <c r="Z61" s="212" t="str">
        <f t="shared" si="10"/>
        <v/>
      </c>
      <c r="AA61" s="212" t="str">
        <f t="shared" si="11"/>
        <v/>
      </c>
    </row>
    <row r="62" spans="1:27">
      <c r="A62" s="91">
        <v>52</v>
      </c>
      <c r="B62" s="163"/>
      <c r="C62" s="167"/>
      <c r="D62" s="168"/>
      <c r="E62" s="169"/>
      <c r="F62" s="156"/>
      <c r="G62" s="157"/>
      <c r="H62" s="163"/>
      <c r="I62" s="186" t="str">
        <f t="shared" si="9"/>
        <v/>
      </c>
      <c r="J62" s="187" t="str">
        <f t="shared" si="3"/>
        <v/>
      </c>
      <c r="K62" s="188"/>
      <c r="L62" s="189"/>
      <c r="M62" s="186" t="str">
        <f t="shared" si="4"/>
        <v/>
      </c>
      <c r="N62" s="163"/>
      <c r="O62" s="163"/>
      <c r="P62" s="186" t="str">
        <f t="shared" si="5"/>
        <v/>
      </c>
      <c r="Q62" s="205" t="str">
        <f t="shared" si="6"/>
        <v/>
      </c>
      <c r="R62" s="163"/>
      <c r="S62" s="161"/>
      <c r="T62" s="209"/>
      <c r="U62" s="207" t="str">
        <f t="shared" si="7"/>
        <v/>
      </c>
      <c r="V62" s="208"/>
      <c r="X62" s="204" t="str">
        <f t="shared" si="8"/>
        <v/>
      </c>
      <c r="Y62" s="204"/>
      <c r="Z62" s="212" t="str">
        <f t="shared" si="10"/>
        <v/>
      </c>
      <c r="AA62" s="212" t="str">
        <f t="shared" si="11"/>
        <v/>
      </c>
    </row>
    <row r="63" spans="1:27">
      <c r="A63" s="49">
        <v>53</v>
      </c>
      <c r="B63" s="161"/>
      <c r="C63" s="164"/>
      <c r="D63" s="165"/>
      <c r="E63" s="166"/>
      <c r="F63" s="160"/>
      <c r="G63" s="152"/>
      <c r="H63" s="161"/>
      <c r="I63" s="186" t="str">
        <f t="shared" si="9"/>
        <v/>
      </c>
      <c r="J63" s="187" t="str">
        <f t="shared" si="3"/>
        <v/>
      </c>
      <c r="K63" s="190"/>
      <c r="L63" s="191"/>
      <c r="M63" s="186" t="str">
        <f t="shared" si="4"/>
        <v/>
      </c>
      <c r="N63" s="161"/>
      <c r="O63" s="161"/>
      <c r="P63" s="186" t="str">
        <f t="shared" si="5"/>
        <v/>
      </c>
      <c r="Q63" s="205" t="str">
        <f t="shared" si="6"/>
        <v/>
      </c>
      <c r="R63" s="161"/>
      <c r="S63" s="163"/>
      <c r="T63" s="206"/>
      <c r="U63" s="207" t="str">
        <f t="shared" si="7"/>
        <v/>
      </c>
      <c r="V63" s="210"/>
      <c r="X63" s="204" t="str">
        <f t="shared" si="8"/>
        <v/>
      </c>
      <c r="Y63" s="204"/>
      <c r="Z63" s="212" t="str">
        <f t="shared" si="10"/>
        <v/>
      </c>
      <c r="AA63" s="212" t="str">
        <f t="shared" si="11"/>
        <v/>
      </c>
    </row>
    <row r="64" spans="1:27">
      <c r="A64" s="91">
        <v>54</v>
      </c>
      <c r="B64" s="163"/>
      <c r="C64" s="167"/>
      <c r="D64" s="168"/>
      <c r="E64" s="169"/>
      <c r="F64" s="156"/>
      <c r="G64" s="157"/>
      <c r="H64" s="163"/>
      <c r="I64" s="186" t="str">
        <f t="shared" si="9"/>
        <v/>
      </c>
      <c r="J64" s="187" t="str">
        <f t="shared" si="3"/>
        <v/>
      </c>
      <c r="K64" s="188"/>
      <c r="L64" s="189"/>
      <c r="M64" s="186" t="str">
        <f t="shared" si="4"/>
        <v/>
      </c>
      <c r="N64" s="163"/>
      <c r="O64" s="163"/>
      <c r="P64" s="186" t="str">
        <f t="shared" si="5"/>
        <v/>
      </c>
      <c r="Q64" s="205" t="str">
        <f t="shared" si="6"/>
        <v/>
      </c>
      <c r="R64" s="163"/>
      <c r="S64" s="161"/>
      <c r="T64" s="209"/>
      <c r="U64" s="207" t="str">
        <f t="shared" si="7"/>
        <v/>
      </c>
      <c r="V64" s="208"/>
      <c r="X64" s="204" t="str">
        <f t="shared" si="8"/>
        <v/>
      </c>
      <c r="Y64" s="204"/>
      <c r="Z64" s="212" t="str">
        <f t="shared" si="10"/>
        <v/>
      </c>
      <c r="AA64" s="212" t="str">
        <f t="shared" si="11"/>
        <v/>
      </c>
    </row>
    <row r="65" spans="1:27">
      <c r="A65" s="49">
        <v>55</v>
      </c>
      <c r="B65" s="161"/>
      <c r="C65" s="164"/>
      <c r="D65" s="165"/>
      <c r="E65" s="166"/>
      <c r="F65" s="160"/>
      <c r="G65" s="152"/>
      <c r="H65" s="161"/>
      <c r="I65" s="186" t="str">
        <f t="shared" si="9"/>
        <v/>
      </c>
      <c r="J65" s="187" t="str">
        <f t="shared" si="3"/>
        <v/>
      </c>
      <c r="K65" s="190"/>
      <c r="L65" s="191"/>
      <c r="M65" s="186" t="str">
        <f t="shared" si="4"/>
        <v/>
      </c>
      <c r="N65" s="161"/>
      <c r="O65" s="161"/>
      <c r="P65" s="186" t="str">
        <f t="shared" si="5"/>
        <v/>
      </c>
      <c r="Q65" s="205" t="str">
        <f t="shared" si="6"/>
        <v/>
      </c>
      <c r="R65" s="161"/>
      <c r="S65" s="163"/>
      <c r="T65" s="206"/>
      <c r="U65" s="207" t="str">
        <f t="shared" si="7"/>
        <v/>
      </c>
      <c r="V65" s="210"/>
      <c r="X65" s="204" t="str">
        <f t="shared" si="8"/>
        <v/>
      </c>
      <c r="Y65" s="204"/>
      <c r="Z65" s="212" t="str">
        <f t="shared" si="10"/>
        <v/>
      </c>
      <c r="AA65" s="212" t="str">
        <f t="shared" si="11"/>
        <v/>
      </c>
    </row>
    <row r="66" spans="1:27">
      <c r="A66" s="91">
        <v>56</v>
      </c>
      <c r="B66" s="163"/>
      <c r="C66" s="167"/>
      <c r="D66" s="168"/>
      <c r="E66" s="169"/>
      <c r="F66" s="156"/>
      <c r="G66" s="157"/>
      <c r="H66" s="163"/>
      <c r="I66" s="186" t="str">
        <f t="shared" si="9"/>
        <v/>
      </c>
      <c r="J66" s="187" t="str">
        <f t="shared" si="3"/>
        <v/>
      </c>
      <c r="K66" s="188"/>
      <c r="L66" s="189"/>
      <c r="M66" s="186" t="str">
        <f t="shared" si="4"/>
        <v/>
      </c>
      <c r="N66" s="163"/>
      <c r="O66" s="163"/>
      <c r="P66" s="186" t="str">
        <f t="shared" si="5"/>
        <v/>
      </c>
      <c r="Q66" s="205" t="str">
        <f t="shared" si="6"/>
        <v/>
      </c>
      <c r="R66" s="163"/>
      <c r="S66" s="161"/>
      <c r="T66" s="209"/>
      <c r="U66" s="207" t="str">
        <f t="shared" si="7"/>
        <v/>
      </c>
      <c r="V66" s="208"/>
      <c r="X66" s="204" t="str">
        <f t="shared" si="8"/>
        <v/>
      </c>
      <c r="Y66" s="204"/>
      <c r="Z66" s="212" t="str">
        <f t="shared" si="10"/>
        <v/>
      </c>
      <c r="AA66" s="212" t="str">
        <f t="shared" si="11"/>
        <v/>
      </c>
    </row>
    <row r="67" spans="1:27">
      <c r="A67" s="49">
        <v>57</v>
      </c>
      <c r="B67" s="161"/>
      <c r="C67" s="164"/>
      <c r="D67" s="165"/>
      <c r="E67" s="166"/>
      <c r="F67" s="160"/>
      <c r="G67" s="152"/>
      <c r="H67" s="161"/>
      <c r="I67" s="186" t="str">
        <f t="shared" si="9"/>
        <v/>
      </c>
      <c r="J67" s="187" t="str">
        <f t="shared" si="3"/>
        <v/>
      </c>
      <c r="K67" s="190"/>
      <c r="L67" s="191"/>
      <c r="M67" s="186" t="str">
        <f t="shared" si="4"/>
        <v/>
      </c>
      <c r="N67" s="161"/>
      <c r="O67" s="161"/>
      <c r="P67" s="186" t="str">
        <f t="shared" si="5"/>
        <v/>
      </c>
      <c r="Q67" s="205" t="str">
        <f t="shared" si="6"/>
        <v/>
      </c>
      <c r="R67" s="161"/>
      <c r="S67" s="163"/>
      <c r="T67" s="206"/>
      <c r="U67" s="207" t="str">
        <f t="shared" si="7"/>
        <v/>
      </c>
      <c r="V67" s="210"/>
      <c r="X67" s="204" t="str">
        <f t="shared" si="8"/>
        <v/>
      </c>
      <c r="Y67" s="204"/>
      <c r="Z67" s="212" t="str">
        <f t="shared" si="10"/>
        <v/>
      </c>
      <c r="AA67" s="212" t="str">
        <f t="shared" si="11"/>
        <v/>
      </c>
    </row>
    <row r="68" spans="1:27">
      <c r="A68" s="91">
        <v>58</v>
      </c>
      <c r="B68" s="163"/>
      <c r="C68" s="167"/>
      <c r="D68" s="168"/>
      <c r="E68" s="169"/>
      <c r="F68" s="156"/>
      <c r="G68" s="157"/>
      <c r="H68" s="163"/>
      <c r="I68" s="186" t="str">
        <f t="shared" si="9"/>
        <v/>
      </c>
      <c r="J68" s="187" t="str">
        <f t="shared" si="3"/>
        <v/>
      </c>
      <c r="K68" s="188"/>
      <c r="L68" s="189"/>
      <c r="M68" s="186" t="str">
        <f t="shared" si="4"/>
        <v/>
      </c>
      <c r="N68" s="163"/>
      <c r="O68" s="163"/>
      <c r="P68" s="186" t="str">
        <f t="shared" si="5"/>
        <v/>
      </c>
      <c r="Q68" s="205" t="str">
        <f t="shared" si="6"/>
        <v/>
      </c>
      <c r="R68" s="163"/>
      <c r="S68" s="161"/>
      <c r="T68" s="209"/>
      <c r="U68" s="207" t="str">
        <f t="shared" si="7"/>
        <v/>
      </c>
      <c r="V68" s="208"/>
      <c r="X68" s="204" t="str">
        <f t="shared" si="8"/>
        <v/>
      </c>
      <c r="Y68" s="204"/>
      <c r="Z68" s="212" t="str">
        <f t="shared" si="10"/>
        <v/>
      </c>
      <c r="AA68" s="212" t="str">
        <f t="shared" si="11"/>
        <v/>
      </c>
    </row>
    <row r="69" spans="1:27">
      <c r="A69" s="49">
        <v>59</v>
      </c>
      <c r="B69" s="161"/>
      <c r="C69" s="164"/>
      <c r="D69" s="165"/>
      <c r="E69" s="166"/>
      <c r="F69" s="160"/>
      <c r="G69" s="152"/>
      <c r="H69" s="161"/>
      <c r="I69" s="186" t="str">
        <f t="shared" si="9"/>
        <v/>
      </c>
      <c r="J69" s="187" t="str">
        <f t="shared" si="3"/>
        <v/>
      </c>
      <c r="K69" s="190"/>
      <c r="L69" s="191"/>
      <c r="M69" s="186" t="str">
        <f t="shared" si="4"/>
        <v/>
      </c>
      <c r="N69" s="161"/>
      <c r="O69" s="161"/>
      <c r="P69" s="186" t="str">
        <f t="shared" si="5"/>
        <v/>
      </c>
      <c r="Q69" s="205" t="str">
        <f t="shared" si="6"/>
        <v/>
      </c>
      <c r="R69" s="161"/>
      <c r="S69" s="161"/>
      <c r="T69" s="209"/>
      <c r="U69" s="207" t="str">
        <f t="shared" si="7"/>
        <v/>
      </c>
      <c r="V69" s="210"/>
      <c r="X69" s="204" t="str">
        <f t="shared" si="8"/>
        <v/>
      </c>
      <c r="Y69" s="204"/>
      <c r="Z69" s="212" t="str">
        <f t="shared" si="10"/>
        <v/>
      </c>
      <c r="AA69" s="212" t="str">
        <f t="shared" si="11"/>
        <v/>
      </c>
    </row>
    <row r="70" spans="1:27">
      <c r="A70" s="49">
        <f>A69+1</f>
        <v>60</v>
      </c>
      <c r="B70" s="161"/>
      <c r="C70" s="164"/>
      <c r="D70" s="165"/>
      <c r="E70" s="166"/>
      <c r="F70" s="160"/>
      <c r="G70" s="157"/>
      <c r="H70" s="163"/>
      <c r="I70" s="186" t="str">
        <f t="shared" si="9"/>
        <v/>
      </c>
      <c r="J70" s="187" t="str">
        <f t="shared" si="3"/>
        <v/>
      </c>
      <c r="K70" s="188"/>
      <c r="L70" s="189"/>
      <c r="M70" s="186" t="str">
        <f t="shared" si="4"/>
        <v/>
      </c>
      <c r="N70" s="163"/>
      <c r="O70" s="163"/>
      <c r="P70" s="186" t="str">
        <f t="shared" si="5"/>
        <v/>
      </c>
      <c r="Q70" s="205" t="str">
        <f t="shared" si="6"/>
        <v/>
      </c>
      <c r="R70" s="163"/>
      <c r="S70" s="163"/>
      <c r="T70" s="206"/>
      <c r="U70" s="207" t="str">
        <f t="shared" si="7"/>
        <v/>
      </c>
      <c r="V70" s="208"/>
      <c r="X70" s="204" t="str">
        <f t="shared" si="8"/>
        <v/>
      </c>
      <c r="Y70" s="204"/>
      <c r="Z70" s="212" t="str">
        <f t="shared" si="10"/>
        <v/>
      </c>
      <c r="AA70" s="212" t="str">
        <f t="shared" si="11"/>
        <v/>
      </c>
    </row>
    <row r="71" spans="1:27">
      <c r="A71" s="91">
        <f t="shared" ref="A71:A109" si="12">A70+1</f>
        <v>61</v>
      </c>
      <c r="B71" s="163"/>
      <c r="C71" s="167"/>
      <c r="D71" s="168"/>
      <c r="E71" s="169"/>
      <c r="F71" s="156"/>
      <c r="G71" s="152"/>
      <c r="H71" s="161"/>
      <c r="I71" s="186" t="str">
        <f t="shared" si="9"/>
        <v/>
      </c>
      <c r="J71" s="187" t="str">
        <f t="shared" si="3"/>
        <v/>
      </c>
      <c r="K71" s="190"/>
      <c r="L71" s="191"/>
      <c r="M71" s="186" t="str">
        <f t="shared" si="4"/>
        <v/>
      </c>
      <c r="N71" s="161"/>
      <c r="O71" s="161"/>
      <c r="P71" s="186" t="str">
        <f t="shared" si="5"/>
        <v/>
      </c>
      <c r="Q71" s="205" t="str">
        <f t="shared" si="6"/>
        <v/>
      </c>
      <c r="R71" s="161"/>
      <c r="S71" s="161"/>
      <c r="T71" s="209"/>
      <c r="U71" s="207" t="str">
        <f t="shared" si="7"/>
        <v/>
      </c>
      <c r="V71" s="210"/>
      <c r="X71" s="204" t="str">
        <f t="shared" si="8"/>
        <v/>
      </c>
      <c r="Y71" s="204"/>
      <c r="Z71" s="212" t="str">
        <f t="shared" si="10"/>
        <v/>
      </c>
      <c r="AA71" s="212" t="str">
        <f t="shared" si="11"/>
        <v/>
      </c>
    </row>
    <row r="72" spans="1:27">
      <c r="A72" s="49">
        <f t="shared" si="12"/>
        <v>62</v>
      </c>
      <c r="B72" s="161"/>
      <c r="C72" s="164"/>
      <c r="D72" s="165"/>
      <c r="E72" s="166"/>
      <c r="F72" s="160"/>
      <c r="G72" s="157"/>
      <c r="H72" s="163"/>
      <c r="I72" s="186" t="str">
        <f t="shared" si="9"/>
        <v/>
      </c>
      <c r="J72" s="187" t="str">
        <f t="shared" si="3"/>
        <v/>
      </c>
      <c r="K72" s="188"/>
      <c r="L72" s="189"/>
      <c r="M72" s="186" t="str">
        <f t="shared" si="4"/>
        <v/>
      </c>
      <c r="N72" s="163"/>
      <c r="O72" s="163"/>
      <c r="P72" s="186" t="str">
        <f t="shared" si="5"/>
        <v/>
      </c>
      <c r="Q72" s="205" t="str">
        <f t="shared" si="6"/>
        <v/>
      </c>
      <c r="R72" s="163"/>
      <c r="S72" s="163"/>
      <c r="T72" s="206"/>
      <c r="U72" s="207" t="str">
        <f t="shared" si="7"/>
        <v/>
      </c>
      <c r="V72" s="208"/>
      <c r="X72" s="204" t="str">
        <f t="shared" si="8"/>
        <v/>
      </c>
      <c r="Y72" s="204"/>
      <c r="Z72" s="212" t="str">
        <f t="shared" si="10"/>
        <v/>
      </c>
      <c r="AA72" s="212" t="str">
        <f t="shared" si="11"/>
        <v/>
      </c>
    </row>
    <row r="73" spans="1:27">
      <c r="A73" s="91">
        <f t="shared" si="12"/>
        <v>63</v>
      </c>
      <c r="B73" s="163"/>
      <c r="C73" s="167"/>
      <c r="D73" s="168"/>
      <c r="E73" s="169"/>
      <c r="F73" s="156"/>
      <c r="G73" s="152"/>
      <c r="H73" s="161"/>
      <c r="I73" s="186" t="str">
        <f t="shared" si="9"/>
        <v/>
      </c>
      <c r="J73" s="187" t="str">
        <f t="shared" si="3"/>
        <v/>
      </c>
      <c r="K73" s="190"/>
      <c r="L73" s="191"/>
      <c r="M73" s="186" t="str">
        <f t="shared" si="4"/>
        <v/>
      </c>
      <c r="N73" s="161"/>
      <c r="O73" s="161"/>
      <c r="P73" s="186" t="str">
        <f t="shared" si="5"/>
        <v/>
      </c>
      <c r="Q73" s="205" t="str">
        <f t="shared" si="6"/>
        <v/>
      </c>
      <c r="R73" s="161"/>
      <c r="S73" s="161"/>
      <c r="T73" s="209"/>
      <c r="U73" s="207" t="str">
        <f t="shared" si="7"/>
        <v/>
      </c>
      <c r="V73" s="210"/>
      <c r="X73" s="204" t="str">
        <f t="shared" si="8"/>
        <v/>
      </c>
      <c r="Y73" s="204"/>
      <c r="Z73" s="212" t="str">
        <f t="shared" si="10"/>
        <v/>
      </c>
      <c r="AA73" s="212" t="str">
        <f t="shared" si="11"/>
        <v/>
      </c>
    </row>
    <row r="74" spans="1:27">
      <c r="A74" s="49">
        <f t="shared" si="12"/>
        <v>64</v>
      </c>
      <c r="B74" s="161"/>
      <c r="C74" s="164"/>
      <c r="D74" s="165"/>
      <c r="E74" s="166"/>
      <c r="F74" s="160"/>
      <c r="G74" s="157"/>
      <c r="H74" s="163"/>
      <c r="I74" s="186" t="str">
        <f t="shared" si="9"/>
        <v/>
      </c>
      <c r="J74" s="187" t="str">
        <f t="shared" si="3"/>
        <v/>
      </c>
      <c r="K74" s="188"/>
      <c r="L74" s="189"/>
      <c r="M74" s="186" t="str">
        <f t="shared" si="4"/>
        <v/>
      </c>
      <c r="N74" s="163"/>
      <c r="O74" s="163"/>
      <c r="P74" s="186" t="str">
        <f t="shared" si="5"/>
        <v/>
      </c>
      <c r="Q74" s="205" t="str">
        <f t="shared" si="6"/>
        <v/>
      </c>
      <c r="R74" s="163"/>
      <c r="S74" s="163"/>
      <c r="T74" s="206"/>
      <c r="U74" s="207" t="str">
        <f t="shared" si="7"/>
        <v/>
      </c>
      <c r="V74" s="208"/>
      <c r="X74" s="204" t="str">
        <f t="shared" si="8"/>
        <v/>
      </c>
      <c r="Y74" s="204"/>
      <c r="Z74" s="212" t="str">
        <f t="shared" si="10"/>
        <v/>
      </c>
      <c r="AA74" s="212" t="str">
        <f t="shared" si="11"/>
        <v/>
      </c>
    </row>
    <row r="75" spans="1:27">
      <c r="A75" s="91">
        <f t="shared" si="12"/>
        <v>65</v>
      </c>
      <c r="B75" s="163"/>
      <c r="C75" s="167"/>
      <c r="D75" s="168"/>
      <c r="E75" s="169"/>
      <c r="F75" s="156"/>
      <c r="G75" s="152"/>
      <c r="H75" s="161"/>
      <c r="I75" s="186" t="str">
        <f t="shared" si="9"/>
        <v/>
      </c>
      <c r="J75" s="187" t="str">
        <f t="shared" si="3"/>
        <v/>
      </c>
      <c r="K75" s="190"/>
      <c r="L75" s="191"/>
      <c r="M75" s="186" t="str">
        <f t="shared" si="4"/>
        <v/>
      </c>
      <c r="N75" s="161"/>
      <c r="O75" s="161"/>
      <c r="P75" s="186" t="str">
        <f t="shared" si="5"/>
        <v/>
      </c>
      <c r="Q75" s="205" t="str">
        <f t="shared" si="6"/>
        <v/>
      </c>
      <c r="R75" s="161"/>
      <c r="S75" s="161"/>
      <c r="T75" s="209"/>
      <c r="U75" s="207" t="str">
        <f t="shared" si="7"/>
        <v/>
      </c>
      <c r="V75" s="210"/>
      <c r="X75" s="204" t="str">
        <f t="shared" si="8"/>
        <v/>
      </c>
      <c r="Y75" s="204"/>
      <c r="Z75" s="212" t="str">
        <f t="shared" ref="Z75:Z110" si="13">IF($C75&lt;&gt;"",IF($F75&gt;6,Q75,0%),"")</f>
        <v/>
      </c>
      <c r="AA75" s="212" t="str">
        <f t="shared" ref="AA75:AA110" si="14">IF($C75&lt;&gt;"",IF($F75&gt;6,S75/$AA$9,0%),"")</f>
        <v/>
      </c>
    </row>
    <row r="76" spans="1:27">
      <c r="A76" s="49">
        <f t="shared" si="12"/>
        <v>66</v>
      </c>
      <c r="B76" s="161"/>
      <c r="C76" s="164"/>
      <c r="D76" s="165"/>
      <c r="E76" s="166"/>
      <c r="F76" s="160"/>
      <c r="G76" s="157"/>
      <c r="H76" s="163"/>
      <c r="I76" s="186" t="str">
        <f t="shared" si="9"/>
        <v/>
      </c>
      <c r="J76" s="187" t="str">
        <f t="shared" ref="J76:J110" si="15">IF(I76="","",IF(F76&lt;7,IF(I76&lt;=10,"Full Refresher","Moderate Refresher"),IF(I76&lt;27,"Light Refresher","Grade Ready")))</f>
        <v/>
      </c>
      <c r="K76" s="188"/>
      <c r="L76" s="189"/>
      <c r="M76" s="186" t="str">
        <f t="shared" ref="M76:M110" si="16">IF($C$9&lt;&gt;"",IF(OR(K76=1,K76=2),IF(K76=1,M$7-L76,$P$7-L76),""),"")</f>
        <v/>
      </c>
      <c r="N76" s="163"/>
      <c r="O76" s="163"/>
      <c r="P76" s="186" t="str">
        <f t="shared" ref="P76:P110" si="17">IFERROR(IF(AND(K76&gt;0,M76&gt;0,OR(N76&gt;0,O76&gt;0)),(M76/((N76*60)+O76))*60,""),"")</f>
        <v/>
      </c>
      <c r="Q76" s="205" t="str">
        <f t="shared" ref="Q76:Q110" si="18">IFERROR(IF(OR(K76=1,K76=2),IF(K76=1,M76/$M$7,M76/$P$7),""),"")</f>
        <v/>
      </c>
      <c r="R76" s="163"/>
      <c r="S76" s="163"/>
      <c r="T76" s="206"/>
      <c r="U76" s="207" t="str">
        <f t="shared" ref="U76:U110" si="19">IF(J76&lt;&gt;"",IF(OR(J76="Full Refresher",J76="Moderate Refresher"),"Low Emerging Reader",IF(AND(K76&gt;0,Q76&lt;&gt;""),IF(OR(Q76&lt;=25%,AND(Q76&gt;25%,Q76&lt;=50%,R76=0)),"High Emerging Reader",IF(OR(AND(Q76&gt;25%,Q76&lt;51%,R76&gt;=1),AND(Q76&gt;50%,Q76&lt;76%,R76&lt;=1)),"Developing Reader",IF(OR(AND(Q76&gt;=51%,Q76&lt;76%,R76&gt;=2),AND(Q76&gt;75%,R76&lt;=3)),"Transitioning Reader",IF(AND(Q76&gt;75%,R76&gt;=4),"Reading At Grade Level","")))),"")),"")</f>
        <v/>
      </c>
      <c r="V76" s="208"/>
      <c r="X76" s="204" t="str">
        <f t="shared" ref="X76:X110" si="20">IF(C76&lt;&gt;"",$I76/30,"")</f>
        <v/>
      </c>
      <c r="Y76" s="204"/>
      <c r="Z76" s="212" t="str">
        <f t="shared" si="13"/>
        <v/>
      </c>
      <c r="AA76" s="212" t="str">
        <f t="shared" si="14"/>
        <v/>
      </c>
    </row>
    <row r="77" spans="1:27">
      <c r="A77" s="91">
        <f t="shared" si="12"/>
        <v>67</v>
      </c>
      <c r="B77" s="163"/>
      <c r="C77" s="167"/>
      <c r="D77" s="168"/>
      <c r="E77" s="169"/>
      <c r="F77" s="156"/>
      <c r="G77" s="152"/>
      <c r="H77" s="161"/>
      <c r="I77" s="186" t="str">
        <f t="shared" si="9"/>
        <v/>
      </c>
      <c r="J77" s="187" t="str">
        <f t="shared" si="15"/>
        <v/>
      </c>
      <c r="K77" s="190"/>
      <c r="L77" s="191"/>
      <c r="M77" s="186" t="str">
        <f t="shared" si="16"/>
        <v/>
      </c>
      <c r="N77" s="161"/>
      <c r="O77" s="161"/>
      <c r="P77" s="186" t="str">
        <f t="shared" si="17"/>
        <v/>
      </c>
      <c r="Q77" s="205" t="str">
        <f t="shared" si="18"/>
        <v/>
      </c>
      <c r="R77" s="161"/>
      <c r="S77" s="161"/>
      <c r="T77" s="209"/>
      <c r="U77" s="207" t="str">
        <f t="shared" si="19"/>
        <v/>
      </c>
      <c r="V77" s="210"/>
      <c r="X77" s="204" t="str">
        <f t="shared" si="20"/>
        <v/>
      </c>
      <c r="Y77" s="204"/>
      <c r="Z77" s="212" t="str">
        <f t="shared" si="13"/>
        <v/>
      </c>
      <c r="AA77" s="212" t="str">
        <f t="shared" si="14"/>
        <v/>
      </c>
    </row>
    <row r="78" spans="1:27">
      <c r="A78" s="49">
        <f t="shared" si="12"/>
        <v>68</v>
      </c>
      <c r="B78" s="161"/>
      <c r="C78" s="164"/>
      <c r="D78" s="165"/>
      <c r="E78" s="166"/>
      <c r="F78" s="160"/>
      <c r="G78" s="157"/>
      <c r="H78" s="163"/>
      <c r="I78" s="186" t="str">
        <f t="shared" si="9"/>
        <v/>
      </c>
      <c r="J78" s="187" t="str">
        <f t="shared" si="15"/>
        <v/>
      </c>
      <c r="K78" s="188"/>
      <c r="L78" s="189"/>
      <c r="M78" s="186" t="str">
        <f t="shared" si="16"/>
        <v/>
      </c>
      <c r="N78" s="163"/>
      <c r="O78" s="163"/>
      <c r="P78" s="186" t="str">
        <f t="shared" si="17"/>
        <v/>
      </c>
      <c r="Q78" s="205" t="str">
        <f t="shared" si="18"/>
        <v/>
      </c>
      <c r="R78" s="163"/>
      <c r="S78" s="163"/>
      <c r="T78" s="206"/>
      <c r="U78" s="207" t="str">
        <f t="shared" si="19"/>
        <v/>
      </c>
      <c r="V78" s="208"/>
      <c r="X78" s="204" t="str">
        <f t="shared" si="20"/>
        <v/>
      </c>
      <c r="Y78" s="204"/>
      <c r="Z78" s="212" t="str">
        <f t="shared" si="13"/>
        <v/>
      </c>
      <c r="AA78" s="212" t="str">
        <f t="shared" si="14"/>
        <v/>
      </c>
    </row>
    <row r="79" spans="1:27">
      <c r="A79" s="91">
        <f t="shared" si="12"/>
        <v>69</v>
      </c>
      <c r="B79" s="163"/>
      <c r="C79" s="167"/>
      <c r="D79" s="168"/>
      <c r="E79" s="169"/>
      <c r="F79" s="156"/>
      <c r="G79" s="152"/>
      <c r="H79" s="161"/>
      <c r="I79" s="186" t="str">
        <f t="shared" si="9"/>
        <v/>
      </c>
      <c r="J79" s="187" t="str">
        <f t="shared" si="15"/>
        <v/>
      </c>
      <c r="K79" s="190"/>
      <c r="L79" s="191"/>
      <c r="M79" s="186" t="str">
        <f t="shared" si="16"/>
        <v/>
      </c>
      <c r="N79" s="161"/>
      <c r="O79" s="161"/>
      <c r="P79" s="186" t="str">
        <f t="shared" si="17"/>
        <v/>
      </c>
      <c r="Q79" s="205" t="str">
        <f t="shared" si="18"/>
        <v/>
      </c>
      <c r="R79" s="161"/>
      <c r="S79" s="161"/>
      <c r="T79" s="209"/>
      <c r="U79" s="207" t="str">
        <f t="shared" si="19"/>
        <v/>
      </c>
      <c r="V79" s="210"/>
      <c r="X79" s="204" t="str">
        <f t="shared" si="20"/>
        <v/>
      </c>
      <c r="Y79" s="204"/>
      <c r="Z79" s="212" t="str">
        <f t="shared" si="13"/>
        <v/>
      </c>
      <c r="AA79" s="212" t="str">
        <f t="shared" si="14"/>
        <v/>
      </c>
    </row>
    <row r="80" spans="1:27">
      <c r="A80" s="49">
        <f t="shared" si="12"/>
        <v>70</v>
      </c>
      <c r="B80" s="161"/>
      <c r="C80" s="164"/>
      <c r="D80" s="165"/>
      <c r="E80" s="166"/>
      <c r="F80" s="160"/>
      <c r="G80" s="157"/>
      <c r="H80" s="163"/>
      <c r="I80" s="186" t="str">
        <f t="shared" si="9"/>
        <v/>
      </c>
      <c r="J80" s="187" t="str">
        <f t="shared" si="15"/>
        <v/>
      </c>
      <c r="K80" s="188"/>
      <c r="L80" s="189"/>
      <c r="M80" s="186" t="str">
        <f t="shared" si="16"/>
        <v/>
      </c>
      <c r="N80" s="163"/>
      <c r="O80" s="163"/>
      <c r="P80" s="186" t="str">
        <f t="shared" si="17"/>
        <v/>
      </c>
      <c r="Q80" s="205" t="str">
        <f t="shared" si="18"/>
        <v/>
      </c>
      <c r="R80" s="163"/>
      <c r="S80" s="163"/>
      <c r="T80" s="206"/>
      <c r="U80" s="207" t="str">
        <f t="shared" si="19"/>
        <v/>
      </c>
      <c r="V80" s="208"/>
      <c r="X80" s="204" t="str">
        <f t="shared" si="20"/>
        <v/>
      </c>
      <c r="Y80" s="204"/>
      <c r="Z80" s="212" t="str">
        <f t="shared" si="13"/>
        <v/>
      </c>
      <c r="AA80" s="212" t="str">
        <f t="shared" si="14"/>
        <v/>
      </c>
    </row>
    <row r="81" spans="1:27">
      <c r="A81" s="91">
        <f t="shared" si="12"/>
        <v>71</v>
      </c>
      <c r="B81" s="163"/>
      <c r="C81" s="167"/>
      <c r="D81" s="168"/>
      <c r="E81" s="169"/>
      <c r="F81" s="156"/>
      <c r="G81" s="152"/>
      <c r="H81" s="161"/>
      <c r="I81" s="186" t="str">
        <f t="shared" si="9"/>
        <v/>
      </c>
      <c r="J81" s="187" t="str">
        <f t="shared" si="15"/>
        <v/>
      </c>
      <c r="K81" s="190"/>
      <c r="L81" s="191"/>
      <c r="M81" s="186" t="str">
        <f t="shared" si="16"/>
        <v/>
      </c>
      <c r="N81" s="161"/>
      <c r="O81" s="161"/>
      <c r="P81" s="186" t="str">
        <f t="shared" si="17"/>
        <v/>
      </c>
      <c r="Q81" s="205" t="str">
        <f t="shared" si="18"/>
        <v/>
      </c>
      <c r="R81" s="161"/>
      <c r="S81" s="161"/>
      <c r="T81" s="209"/>
      <c r="U81" s="207" t="str">
        <f t="shared" si="19"/>
        <v/>
      </c>
      <c r="V81" s="210"/>
      <c r="X81" s="204" t="str">
        <f t="shared" si="20"/>
        <v/>
      </c>
      <c r="Y81" s="204"/>
      <c r="Z81" s="212" t="str">
        <f t="shared" si="13"/>
        <v/>
      </c>
      <c r="AA81" s="212" t="str">
        <f t="shared" si="14"/>
        <v/>
      </c>
    </row>
    <row r="82" spans="1:27">
      <c r="A82" s="49">
        <f t="shared" si="12"/>
        <v>72</v>
      </c>
      <c r="B82" s="161"/>
      <c r="C82" s="164"/>
      <c r="D82" s="165"/>
      <c r="E82" s="166"/>
      <c r="F82" s="160"/>
      <c r="G82" s="157"/>
      <c r="H82" s="163"/>
      <c r="I82" s="186" t="str">
        <f t="shared" si="9"/>
        <v/>
      </c>
      <c r="J82" s="187" t="str">
        <f t="shared" si="15"/>
        <v/>
      </c>
      <c r="K82" s="188"/>
      <c r="L82" s="189"/>
      <c r="M82" s="186" t="str">
        <f t="shared" si="16"/>
        <v/>
      </c>
      <c r="N82" s="163"/>
      <c r="O82" s="163"/>
      <c r="P82" s="186" t="str">
        <f t="shared" si="17"/>
        <v/>
      </c>
      <c r="Q82" s="205" t="str">
        <f t="shared" si="18"/>
        <v/>
      </c>
      <c r="R82" s="163"/>
      <c r="S82" s="163"/>
      <c r="T82" s="206"/>
      <c r="U82" s="207" t="str">
        <f t="shared" si="19"/>
        <v/>
      </c>
      <c r="V82" s="208"/>
      <c r="X82" s="204" t="str">
        <f t="shared" si="20"/>
        <v/>
      </c>
      <c r="Y82" s="204"/>
      <c r="Z82" s="212" t="str">
        <f t="shared" si="13"/>
        <v/>
      </c>
      <c r="AA82" s="212" t="str">
        <f t="shared" si="14"/>
        <v/>
      </c>
    </row>
    <row r="83" spans="1:27">
      <c r="A83" s="91">
        <f t="shared" si="12"/>
        <v>73</v>
      </c>
      <c r="B83" s="163"/>
      <c r="C83" s="167"/>
      <c r="D83" s="168"/>
      <c r="E83" s="169"/>
      <c r="F83" s="156"/>
      <c r="G83" s="152"/>
      <c r="H83" s="161"/>
      <c r="I83" s="186" t="str">
        <f t="shared" si="9"/>
        <v/>
      </c>
      <c r="J83" s="187" t="str">
        <f t="shared" si="15"/>
        <v/>
      </c>
      <c r="K83" s="190"/>
      <c r="L83" s="191"/>
      <c r="M83" s="186" t="str">
        <f t="shared" si="16"/>
        <v/>
      </c>
      <c r="N83" s="161"/>
      <c r="O83" s="161"/>
      <c r="P83" s="186" t="str">
        <f t="shared" si="17"/>
        <v/>
      </c>
      <c r="Q83" s="205" t="str">
        <f t="shared" si="18"/>
        <v/>
      </c>
      <c r="R83" s="161"/>
      <c r="S83" s="161"/>
      <c r="T83" s="209"/>
      <c r="U83" s="207" t="str">
        <f t="shared" si="19"/>
        <v/>
      </c>
      <c r="V83" s="210"/>
      <c r="X83" s="204" t="str">
        <f t="shared" si="20"/>
        <v/>
      </c>
      <c r="Y83" s="204"/>
      <c r="Z83" s="212" t="str">
        <f t="shared" si="13"/>
        <v/>
      </c>
      <c r="AA83" s="212" t="str">
        <f t="shared" si="14"/>
        <v/>
      </c>
    </row>
    <row r="84" spans="1:27">
      <c r="A84" s="49">
        <f t="shared" si="12"/>
        <v>74</v>
      </c>
      <c r="B84" s="161"/>
      <c r="C84" s="164"/>
      <c r="D84" s="165"/>
      <c r="E84" s="166"/>
      <c r="F84" s="160"/>
      <c r="G84" s="157"/>
      <c r="H84" s="163"/>
      <c r="I84" s="186" t="str">
        <f t="shared" si="9"/>
        <v/>
      </c>
      <c r="J84" s="187" t="str">
        <f t="shared" si="15"/>
        <v/>
      </c>
      <c r="K84" s="188"/>
      <c r="L84" s="189"/>
      <c r="M84" s="186" t="str">
        <f t="shared" si="16"/>
        <v/>
      </c>
      <c r="N84" s="163"/>
      <c r="O84" s="163"/>
      <c r="P84" s="186" t="str">
        <f t="shared" si="17"/>
        <v/>
      </c>
      <c r="Q84" s="205" t="str">
        <f t="shared" si="18"/>
        <v/>
      </c>
      <c r="R84" s="163"/>
      <c r="S84" s="163"/>
      <c r="T84" s="206"/>
      <c r="U84" s="207" t="str">
        <f t="shared" si="19"/>
        <v/>
      </c>
      <c r="V84" s="208"/>
      <c r="X84" s="204" t="str">
        <f t="shared" si="20"/>
        <v/>
      </c>
      <c r="Y84" s="204"/>
      <c r="Z84" s="212" t="str">
        <f t="shared" si="13"/>
        <v/>
      </c>
      <c r="AA84" s="212" t="str">
        <f t="shared" si="14"/>
        <v/>
      </c>
    </row>
    <row r="85" spans="1:27">
      <c r="A85" s="91">
        <f t="shared" si="12"/>
        <v>75</v>
      </c>
      <c r="B85" s="163"/>
      <c r="C85" s="167"/>
      <c r="D85" s="168"/>
      <c r="E85" s="169"/>
      <c r="F85" s="156"/>
      <c r="G85" s="152"/>
      <c r="H85" s="161"/>
      <c r="I85" s="186" t="str">
        <f t="shared" si="9"/>
        <v/>
      </c>
      <c r="J85" s="187" t="str">
        <f t="shared" si="15"/>
        <v/>
      </c>
      <c r="K85" s="190"/>
      <c r="L85" s="191"/>
      <c r="M85" s="186" t="str">
        <f t="shared" si="16"/>
        <v/>
      </c>
      <c r="N85" s="161"/>
      <c r="O85" s="161"/>
      <c r="P85" s="186" t="str">
        <f t="shared" si="17"/>
        <v/>
      </c>
      <c r="Q85" s="205" t="str">
        <f t="shared" si="18"/>
        <v/>
      </c>
      <c r="R85" s="161"/>
      <c r="S85" s="161"/>
      <c r="T85" s="209"/>
      <c r="U85" s="207" t="str">
        <f t="shared" si="19"/>
        <v/>
      </c>
      <c r="V85" s="210"/>
      <c r="X85" s="204" t="str">
        <f t="shared" si="20"/>
        <v/>
      </c>
      <c r="Y85" s="204"/>
      <c r="Z85" s="212" t="str">
        <f t="shared" si="13"/>
        <v/>
      </c>
      <c r="AA85" s="212" t="str">
        <f t="shared" si="14"/>
        <v/>
      </c>
    </row>
    <row r="86" spans="1:27">
      <c r="A86" s="49">
        <f t="shared" si="12"/>
        <v>76</v>
      </c>
      <c r="B86" s="161"/>
      <c r="C86" s="164"/>
      <c r="D86" s="165"/>
      <c r="E86" s="166"/>
      <c r="F86" s="160"/>
      <c r="G86" s="157"/>
      <c r="H86" s="163"/>
      <c r="I86" s="186" t="str">
        <f t="shared" si="9"/>
        <v/>
      </c>
      <c r="J86" s="187" t="str">
        <f t="shared" si="15"/>
        <v/>
      </c>
      <c r="K86" s="188"/>
      <c r="L86" s="189"/>
      <c r="M86" s="186" t="str">
        <f t="shared" si="16"/>
        <v/>
      </c>
      <c r="N86" s="163"/>
      <c r="O86" s="163"/>
      <c r="P86" s="186" t="str">
        <f t="shared" si="17"/>
        <v/>
      </c>
      <c r="Q86" s="205" t="str">
        <f t="shared" si="18"/>
        <v/>
      </c>
      <c r="R86" s="163"/>
      <c r="S86" s="163"/>
      <c r="T86" s="206"/>
      <c r="U86" s="207" t="str">
        <f t="shared" si="19"/>
        <v/>
      </c>
      <c r="V86" s="208"/>
      <c r="X86" s="204" t="str">
        <f t="shared" si="20"/>
        <v/>
      </c>
      <c r="Y86" s="204"/>
      <c r="Z86" s="212" t="str">
        <f t="shared" si="13"/>
        <v/>
      </c>
      <c r="AA86" s="212" t="str">
        <f t="shared" si="14"/>
        <v/>
      </c>
    </row>
    <row r="87" spans="1:27">
      <c r="A87" s="91">
        <f t="shared" si="12"/>
        <v>77</v>
      </c>
      <c r="B87" s="163"/>
      <c r="C87" s="167"/>
      <c r="D87" s="168"/>
      <c r="E87" s="169"/>
      <c r="F87" s="156"/>
      <c r="G87" s="152"/>
      <c r="H87" s="161"/>
      <c r="I87" s="186" t="str">
        <f t="shared" si="9"/>
        <v/>
      </c>
      <c r="J87" s="187" t="str">
        <f t="shared" si="15"/>
        <v/>
      </c>
      <c r="K87" s="190"/>
      <c r="L87" s="191"/>
      <c r="M87" s="186" t="str">
        <f t="shared" si="16"/>
        <v/>
      </c>
      <c r="N87" s="161"/>
      <c r="O87" s="161"/>
      <c r="P87" s="186" t="str">
        <f t="shared" si="17"/>
        <v/>
      </c>
      <c r="Q87" s="205" t="str">
        <f t="shared" si="18"/>
        <v/>
      </c>
      <c r="R87" s="161"/>
      <c r="S87" s="161"/>
      <c r="T87" s="209"/>
      <c r="U87" s="207" t="str">
        <f t="shared" si="19"/>
        <v/>
      </c>
      <c r="V87" s="210"/>
      <c r="X87" s="204" t="str">
        <f t="shared" si="20"/>
        <v/>
      </c>
      <c r="Y87" s="204"/>
      <c r="Z87" s="212" t="str">
        <f t="shared" si="13"/>
        <v/>
      </c>
      <c r="AA87" s="212" t="str">
        <f t="shared" si="14"/>
        <v/>
      </c>
    </row>
    <row r="88" spans="1:27">
      <c r="A88" s="49">
        <f t="shared" si="12"/>
        <v>78</v>
      </c>
      <c r="B88" s="161"/>
      <c r="C88" s="164"/>
      <c r="D88" s="165"/>
      <c r="E88" s="166"/>
      <c r="F88" s="160"/>
      <c r="G88" s="157"/>
      <c r="H88" s="163"/>
      <c r="I88" s="186" t="str">
        <f t="shared" si="9"/>
        <v/>
      </c>
      <c r="J88" s="187" t="str">
        <f t="shared" si="15"/>
        <v/>
      </c>
      <c r="K88" s="188"/>
      <c r="L88" s="189"/>
      <c r="M88" s="186" t="str">
        <f t="shared" si="16"/>
        <v/>
      </c>
      <c r="N88" s="163"/>
      <c r="O88" s="163"/>
      <c r="P88" s="186" t="str">
        <f t="shared" si="17"/>
        <v/>
      </c>
      <c r="Q88" s="205" t="str">
        <f t="shared" si="18"/>
        <v/>
      </c>
      <c r="R88" s="163"/>
      <c r="S88" s="163"/>
      <c r="T88" s="206"/>
      <c r="U88" s="207" t="str">
        <f t="shared" si="19"/>
        <v/>
      </c>
      <c r="V88" s="208"/>
      <c r="X88" s="204" t="str">
        <f t="shared" si="20"/>
        <v/>
      </c>
      <c r="Y88" s="204"/>
      <c r="Z88" s="212" t="str">
        <f t="shared" si="13"/>
        <v/>
      </c>
      <c r="AA88" s="212" t="str">
        <f t="shared" si="14"/>
        <v/>
      </c>
    </row>
    <row r="89" spans="1:27">
      <c r="A89" s="91">
        <f t="shared" si="12"/>
        <v>79</v>
      </c>
      <c r="B89" s="163"/>
      <c r="C89" s="167"/>
      <c r="D89" s="168"/>
      <c r="E89" s="169"/>
      <c r="F89" s="156"/>
      <c r="G89" s="152"/>
      <c r="H89" s="161"/>
      <c r="I89" s="186" t="str">
        <f t="shared" si="9"/>
        <v/>
      </c>
      <c r="J89" s="187" t="str">
        <f t="shared" si="15"/>
        <v/>
      </c>
      <c r="K89" s="190"/>
      <c r="L89" s="191"/>
      <c r="M89" s="186" t="str">
        <f t="shared" si="16"/>
        <v/>
      </c>
      <c r="N89" s="161"/>
      <c r="O89" s="161"/>
      <c r="P89" s="186" t="str">
        <f t="shared" si="17"/>
        <v/>
      </c>
      <c r="Q89" s="205" t="str">
        <f t="shared" si="18"/>
        <v/>
      </c>
      <c r="R89" s="161"/>
      <c r="S89" s="161"/>
      <c r="T89" s="209"/>
      <c r="U89" s="207" t="str">
        <f t="shared" si="19"/>
        <v/>
      </c>
      <c r="V89" s="210"/>
      <c r="X89" s="204" t="str">
        <f t="shared" si="20"/>
        <v/>
      </c>
      <c r="Y89" s="204"/>
      <c r="Z89" s="212" t="str">
        <f t="shared" si="13"/>
        <v/>
      </c>
      <c r="AA89" s="212" t="str">
        <f t="shared" si="14"/>
        <v/>
      </c>
    </row>
    <row r="90" spans="1:27">
      <c r="A90" s="49">
        <f t="shared" si="12"/>
        <v>80</v>
      </c>
      <c r="B90" s="161"/>
      <c r="C90" s="164"/>
      <c r="D90" s="165"/>
      <c r="E90" s="166"/>
      <c r="F90" s="160"/>
      <c r="G90" s="157"/>
      <c r="H90" s="163"/>
      <c r="I90" s="186" t="str">
        <f t="shared" si="9"/>
        <v/>
      </c>
      <c r="J90" s="187" t="str">
        <f t="shared" si="15"/>
        <v/>
      </c>
      <c r="K90" s="188"/>
      <c r="L90" s="189"/>
      <c r="M90" s="186" t="str">
        <f t="shared" si="16"/>
        <v/>
      </c>
      <c r="N90" s="163"/>
      <c r="O90" s="163"/>
      <c r="P90" s="186" t="str">
        <f t="shared" si="17"/>
        <v/>
      </c>
      <c r="Q90" s="205" t="str">
        <f t="shared" si="18"/>
        <v/>
      </c>
      <c r="R90" s="163"/>
      <c r="S90" s="163"/>
      <c r="T90" s="206"/>
      <c r="U90" s="207" t="str">
        <f t="shared" si="19"/>
        <v/>
      </c>
      <c r="V90" s="208"/>
      <c r="X90" s="204" t="str">
        <f t="shared" si="20"/>
        <v/>
      </c>
      <c r="Y90" s="204"/>
      <c r="Z90" s="212" t="str">
        <f t="shared" si="13"/>
        <v/>
      </c>
      <c r="AA90" s="212" t="str">
        <f t="shared" si="14"/>
        <v/>
      </c>
    </row>
    <row r="91" spans="1:27">
      <c r="A91" s="91">
        <f t="shared" si="12"/>
        <v>81</v>
      </c>
      <c r="B91" s="163"/>
      <c r="C91" s="167"/>
      <c r="D91" s="168"/>
      <c r="E91" s="169"/>
      <c r="F91" s="156"/>
      <c r="G91" s="152"/>
      <c r="H91" s="161"/>
      <c r="I91" s="186" t="str">
        <f t="shared" si="9"/>
        <v/>
      </c>
      <c r="J91" s="187" t="str">
        <f t="shared" si="15"/>
        <v/>
      </c>
      <c r="K91" s="190"/>
      <c r="L91" s="191"/>
      <c r="M91" s="186" t="str">
        <f t="shared" si="16"/>
        <v/>
      </c>
      <c r="N91" s="161"/>
      <c r="O91" s="161"/>
      <c r="P91" s="186" t="str">
        <f t="shared" si="17"/>
        <v/>
      </c>
      <c r="Q91" s="205" t="str">
        <f t="shared" si="18"/>
        <v/>
      </c>
      <c r="R91" s="161"/>
      <c r="S91" s="161"/>
      <c r="T91" s="209"/>
      <c r="U91" s="207" t="str">
        <f t="shared" si="19"/>
        <v/>
      </c>
      <c r="V91" s="210"/>
      <c r="X91" s="204" t="str">
        <f t="shared" si="20"/>
        <v/>
      </c>
      <c r="Y91" s="204"/>
      <c r="Z91" s="212" t="str">
        <f t="shared" si="13"/>
        <v/>
      </c>
      <c r="AA91" s="212" t="str">
        <f t="shared" si="14"/>
        <v/>
      </c>
    </row>
    <row r="92" spans="1:27">
      <c r="A92" s="49">
        <f t="shared" si="12"/>
        <v>82</v>
      </c>
      <c r="B92" s="161"/>
      <c r="C92" s="164"/>
      <c r="D92" s="165"/>
      <c r="E92" s="166"/>
      <c r="F92" s="160"/>
      <c r="G92" s="157"/>
      <c r="H92" s="163"/>
      <c r="I92" s="186" t="str">
        <f t="shared" si="9"/>
        <v/>
      </c>
      <c r="J92" s="187" t="str">
        <f t="shared" si="15"/>
        <v/>
      </c>
      <c r="K92" s="188"/>
      <c r="L92" s="189"/>
      <c r="M92" s="186" t="str">
        <f t="shared" si="16"/>
        <v/>
      </c>
      <c r="N92" s="163"/>
      <c r="O92" s="163"/>
      <c r="P92" s="186" t="str">
        <f t="shared" si="17"/>
        <v/>
      </c>
      <c r="Q92" s="205" t="str">
        <f t="shared" si="18"/>
        <v/>
      </c>
      <c r="R92" s="163"/>
      <c r="S92" s="163"/>
      <c r="T92" s="206"/>
      <c r="U92" s="207" t="str">
        <f t="shared" si="19"/>
        <v/>
      </c>
      <c r="V92" s="208"/>
      <c r="X92" s="204" t="str">
        <f t="shared" si="20"/>
        <v/>
      </c>
      <c r="Y92" s="204"/>
      <c r="Z92" s="212" t="str">
        <f t="shared" si="13"/>
        <v/>
      </c>
      <c r="AA92" s="212" t="str">
        <f t="shared" si="14"/>
        <v/>
      </c>
    </row>
    <row r="93" spans="1:27">
      <c r="A93" s="91">
        <f t="shared" si="12"/>
        <v>83</v>
      </c>
      <c r="B93" s="163"/>
      <c r="C93" s="167"/>
      <c r="D93" s="168"/>
      <c r="E93" s="169"/>
      <c r="F93" s="156"/>
      <c r="G93" s="152"/>
      <c r="H93" s="161"/>
      <c r="I93" s="186" t="str">
        <f t="shared" si="9"/>
        <v/>
      </c>
      <c r="J93" s="187" t="str">
        <f t="shared" si="15"/>
        <v/>
      </c>
      <c r="K93" s="190"/>
      <c r="L93" s="191"/>
      <c r="M93" s="186" t="str">
        <f t="shared" si="16"/>
        <v/>
      </c>
      <c r="N93" s="161"/>
      <c r="O93" s="161"/>
      <c r="P93" s="186" t="str">
        <f t="shared" si="17"/>
        <v/>
      </c>
      <c r="Q93" s="205" t="str">
        <f t="shared" si="18"/>
        <v/>
      </c>
      <c r="R93" s="161"/>
      <c r="S93" s="161"/>
      <c r="T93" s="209"/>
      <c r="U93" s="207" t="str">
        <f t="shared" si="19"/>
        <v/>
      </c>
      <c r="V93" s="210"/>
      <c r="X93" s="204" t="str">
        <f t="shared" si="20"/>
        <v/>
      </c>
      <c r="Y93" s="204"/>
      <c r="Z93" s="212" t="str">
        <f t="shared" si="13"/>
        <v/>
      </c>
      <c r="AA93" s="212" t="str">
        <f t="shared" si="14"/>
        <v/>
      </c>
    </row>
    <row r="94" spans="1:27">
      <c r="A94" s="49">
        <f t="shared" si="12"/>
        <v>84</v>
      </c>
      <c r="B94" s="161"/>
      <c r="C94" s="164"/>
      <c r="D94" s="165"/>
      <c r="E94" s="166"/>
      <c r="F94" s="160"/>
      <c r="G94" s="157"/>
      <c r="H94" s="163"/>
      <c r="I94" s="186" t="str">
        <f t="shared" ref="I94:I110" si="21">IF(AND(F94="",G94=""),"",IF(F94&lt;7,F94+G94,F94+10+H94))</f>
        <v/>
      </c>
      <c r="J94" s="187" t="str">
        <f t="shared" si="15"/>
        <v/>
      </c>
      <c r="K94" s="188"/>
      <c r="L94" s="189"/>
      <c r="M94" s="186" t="str">
        <f t="shared" si="16"/>
        <v/>
      </c>
      <c r="N94" s="163"/>
      <c r="O94" s="163"/>
      <c r="P94" s="186" t="str">
        <f t="shared" si="17"/>
        <v/>
      </c>
      <c r="Q94" s="205" t="str">
        <f t="shared" si="18"/>
        <v/>
      </c>
      <c r="R94" s="163"/>
      <c r="S94" s="163"/>
      <c r="T94" s="206"/>
      <c r="U94" s="207" t="str">
        <f t="shared" si="19"/>
        <v/>
      </c>
      <c r="V94" s="208"/>
      <c r="X94" s="204" t="str">
        <f t="shared" si="20"/>
        <v/>
      </c>
      <c r="Y94" s="204"/>
      <c r="Z94" s="212" t="str">
        <f t="shared" si="13"/>
        <v/>
      </c>
      <c r="AA94" s="212" t="str">
        <f t="shared" si="14"/>
        <v/>
      </c>
    </row>
    <row r="95" spans="1:27">
      <c r="A95" s="91">
        <f t="shared" si="12"/>
        <v>85</v>
      </c>
      <c r="B95" s="163"/>
      <c r="C95" s="167"/>
      <c r="D95" s="168"/>
      <c r="E95" s="169"/>
      <c r="F95" s="156"/>
      <c r="G95" s="152"/>
      <c r="H95" s="161"/>
      <c r="I95" s="186" t="str">
        <f t="shared" si="21"/>
        <v/>
      </c>
      <c r="J95" s="187" t="str">
        <f t="shared" si="15"/>
        <v/>
      </c>
      <c r="K95" s="190"/>
      <c r="L95" s="191"/>
      <c r="M95" s="186" t="str">
        <f t="shared" si="16"/>
        <v/>
      </c>
      <c r="N95" s="161"/>
      <c r="O95" s="161"/>
      <c r="P95" s="186" t="str">
        <f t="shared" si="17"/>
        <v/>
      </c>
      <c r="Q95" s="205" t="str">
        <f t="shared" si="18"/>
        <v/>
      </c>
      <c r="R95" s="161"/>
      <c r="S95" s="161"/>
      <c r="T95" s="209"/>
      <c r="U95" s="207" t="str">
        <f t="shared" si="19"/>
        <v/>
      </c>
      <c r="V95" s="210"/>
      <c r="X95" s="204" t="str">
        <f t="shared" si="20"/>
        <v/>
      </c>
      <c r="Y95" s="204"/>
      <c r="Z95" s="212" t="str">
        <f t="shared" si="13"/>
        <v/>
      </c>
      <c r="AA95" s="212" t="str">
        <f t="shared" si="14"/>
        <v/>
      </c>
    </row>
    <row r="96" spans="1:27">
      <c r="A96" s="49">
        <f t="shared" si="12"/>
        <v>86</v>
      </c>
      <c r="B96" s="161"/>
      <c r="C96" s="164"/>
      <c r="D96" s="165"/>
      <c r="E96" s="166"/>
      <c r="F96" s="160"/>
      <c r="G96" s="157"/>
      <c r="H96" s="163"/>
      <c r="I96" s="186" t="str">
        <f t="shared" si="21"/>
        <v/>
      </c>
      <c r="J96" s="187" t="str">
        <f t="shared" si="15"/>
        <v/>
      </c>
      <c r="K96" s="188"/>
      <c r="L96" s="189"/>
      <c r="M96" s="186" t="str">
        <f t="shared" si="16"/>
        <v/>
      </c>
      <c r="N96" s="163"/>
      <c r="O96" s="163"/>
      <c r="P96" s="186" t="str">
        <f t="shared" si="17"/>
        <v/>
      </c>
      <c r="Q96" s="205" t="str">
        <f t="shared" si="18"/>
        <v/>
      </c>
      <c r="R96" s="163"/>
      <c r="S96" s="163"/>
      <c r="T96" s="206"/>
      <c r="U96" s="207" t="str">
        <f t="shared" si="19"/>
        <v/>
      </c>
      <c r="V96" s="208"/>
      <c r="X96" s="204" t="str">
        <f t="shared" si="20"/>
        <v/>
      </c>
      <c r="Y96" s="204"/>
      <c r="Z96" s="212" t="str">
        <f t="shared" si="13"/>
        <v/>
      </c>
      <c r="AA96" s="212" t="str">
        <f t="shared" si="14"/>
        <v/>
      </c>
    </row>
    <row r="97" spans="1:27">
      <c r="A97" s="91">
        <f t="shared" si="12"/>
        <v>87</v>
      </c>
      <c r="B97" s="163"/>
      <c r="C97" s="167"/>
      <c r="D97" s="168"/>
      <c r="E97" s="169"/>
      <c r="F97" s="156"/>
      <c r="G97" s="152"/>
      <c r="H97" s="161"/>
      <c r="I97" s="186" t="str">
        <f t="shared" si="21"/>
        <v/>
      </c>
      <c r="J97" s="187" t="str">
        <f t="shared" si="15"/>
        <v/>
      </c>
      <c r="K97" s="190"/>
      <c r="L97" s="191"/>
      <c r="M97" s="186" t="str">
        <f t="shared" si="16"/>
        <v/>
      </c>
      <c r="N97" s="161"/>
      <c r="O97" s="161"/>
      <c r="P97" s="186" t="str">
        <f t="shared" si="17"/>
        <v/>
      </c>
      <c r="Q97" s="205" t="str">
        <f t="shared" si="18"/>
        <v/>
      </c>
      <c r="R97" s="161"/>
      <c r="S97" s="161"/>
      <c r="T97" s="209"/>
      <c r="U97" s="207" t="str">
        <f t="shared" si="19"/>
        <v/>
      </c>
      <c r="V97" s="210"/>
      <c r="X97" s="204" t="str">
        <f t="shared" si="20"/>
        <v/>
      </c>
      <c r="Y97" s="204"/>
      <c r="Z97" s="212" t="str">
        <f t="shared" si="13"/>
        <v/>
      </c>
      <c r="AA97" s="212" t="str">
        <f t="shared" si="14"/>
        <v/>
      </c>
    </row>
    <row r="98" spans="1:27">
      <c r="A98" s="49">
        <f t="shared" si="12"/>
        <v>88</v>
      </c>
      <c r="B98" s="161"/>
      <c r="C98" s="164"/>
      <c r="D98" s="165"/>
      <c r="E98" s="166"/>
      <c r="F98" s="160"/>
      <c r="G98" s="157"/>
      <c r="H98" s="163"/>
      <c r="I98" s="186" t="str">
        <f t="shared" si="21"/>
        <v/>
      </c>
      <c r="J98" s="187" t="str">
        <f t="shared" si="15"/>
        <v/>
      </c>
      <c r="K98" s="188"/>
      <c r="L98" s="189"/>
      <c r="M98" s="186" t="str">
        <f t="shared" si="16"/>
        <v/>
      </c>
      <c r="N98" s="163"/>
      <c r="O98" s="163"/>
      <c r="P98" s="186" t="str">
        <f t="shared" si="17"/>
        <v/>
      </c>
      <c r="Q98" s="205" t="str">
        <f t="shared" si="18"/>
        <v/>
      </c>
      <c r="R98" s="163"/>
      <c r="S98" s="163"/>
      <c r="T98" s="206"/>
      <c r="U98" s="207" t="str">
        <f t="shared" si="19"/>
        <v/>
      </c>
      <c r="V98" s="208"/>
      <c r="X98" s="204" t="str">
        <f t="shared" si="20"/>
        <v/>
      </c>
      <c r="Y98" s="204"/>
      <c r="Z98" s="212" t="str">
        <f t="shared" si="13"/>
        <v/>
      </c>
      <c r="AA98" s="212" t="str">
        <f t="shared" si="14"/>
        <v/>
      </c>
    </row>
    <row r="99" spans="1:27">
      <c r="A99" s="91">
        <f t="shared" si="12"/>
        <v>89</v>
      </c>
      <c r="B99" s="163"/>
      <c r="C99" s="167"/>
      <c r="D99" s="168"/>
      <c r="E99" s="169"/>
      <c r="F99" s="156"/>
      <c r="G99" s="152"/>
      <c r="H99" s="161"/>
      <c r="I99" s="186" t="str">
        <f t="shared" si="21"/>
        <v/>
      </c>
      <c r="J99" s="187" t="str">
        <f t="shared" si="15"/>
        <v/>
      </c>
      <c r="K99" s="190"/>
      <c r="L99" s="191"/>
      <c r="M99" s="186" t="str">
        <f t="shared" si="16"/>
        <v/>
      </c>
      <c r="N99" s="161"/>
      <c r="O99" s="161"/>
      <c r="P99" s="186" t="str">
        <f t="shared" si="17"/>
        <v/>
      </c>
      <c r="Q99" s="205" t="str">
        <f t="shared" si="18"/>
        <v/>
      </c>
      <c r="R99" s="161"/>
      <c r="S99" s="161"/>
      <c r="T99" s="209"/>
      <c r="U99" s="207" t="str">
        <f t="shared" si="19"/>
        <v/>
      </c>
      <c r="V99" s="210"/>
      <c r="X99" s="204" t="str">
        <f t="shared" si="20"/>
        <v/>
      </c>
      <c r="Y99" s="204"/>
      <c r="Z99" s="212" t="str">
        <f t="shared" si="13"/>
        <v/>
      </c>
      <c r="AA99" s="212" t="str">
        <f t="shared" si="14"/>
        <v/>
      </c>
    </row>
    <row r="100" spans="1:27">
      <c r="A100" s="49">
        <f t="shared" si="12"/>
        <v>90</v>
      </c>
      <c r="B100" s="161"/>
      <c r="C100" s="164"/>
      <c r="D100" s="165"/>
      <c r="E100" s="166"/>
      <c r="F100" s="160"/>
      <c r="G100" s="157"/>
      <c r="H100" s="163"/>
      <c r="I100" s="186" t="str">
        <f t="shared" si="21"/>
        <v/>
      </c>
      <c r="J100" s="187" t="str">
        <f t="shared" si="15"/>
        <v/>
      </c>
      <c r="K100" s="188"/>
      <c r="L100" s="189"/>
      <c r="M100" s="186" t="str">
        <f t="shared" si="16"/>
        <v/>
      </c>
      <c r="N100" s="163"/>
      <c r="O100" s="163"/>
      <c r="P100" s="186" t="str">
        <f t="shared" si="17"/>
        <v/>
      </c>
      <c r="Q100" s="205" t="str">
        <f t="shared" si="18"/>
        <v/>
      </c>
      <c r="R100" s="163"/>
      <c r="S100" s="163"/>
      <c r="T100" s="206"/>
      <c r="U100" s="207" t="str">
        <f t="shared" si="19"/>
        <v/>
      </c>
      <c r="V100" s="208"/>
      <c r="X100" s="204" t="str">
        <f t="shared" si="20"/>
        <v/>
      </c>
      <c r="Y100" s="204"/>
      <c r="Z100" s="212" t="str">
        <f t="shared" si="13"/>
        <v/>
      </c>
      <c r="AA100" s="212" t="str">
        <f t="shared" si="14"/>
        <v/>
      </c>
    </row>
    <row r="101" spans="1:27">
      <c r="A101" s="91">
        <f t="shared" si="12"/>
        <v>91</v>
      </c>
      <c r="B101" s="163"/>
      <c r="C101" s="167"/>
      <c r="D101" s="168"/>
      <c r="E101" s="169"/>
      <c r="F101" s="156"/>
      <c r="G101" s="152"/>
      <c r="H101" s="161"/>
      <c r="I101" s="186" t="str">
        <f t="shared" si="21"/>
        <v/>
      </c>
      <c r="J101" s="187" t="str">
        <f t="shared" si="15"/>
        <v/>
      </c>
      <c r="K101" s="190"/>
      <c r="L101" s="191"/>
      <c r="M101" s="186" t="str">
        <f t="shared" si="16"/>
        <v/>
      </c>
      <c r="N101" s="161"/>
      <c r="O101" s="161"/>
      <c r="P101" s="186" t="str">
        <f t="shared" si="17"/>
        <v/>
      </c>
      <c r="Q101" s="205" t="str">
        <f t="shared" si="18"/>
        <v/>
      </c>
      <c r="R101" s="161"/>
      <c r="S101" s="161"/>
      <c r="T101" s="209"/>
      <c r="U101" s="207" t="str">
        <f t="shared" si="19"/>
        <v/>
      </c>
      <c r="V101" s="210"/>
      <c r="X101" s="204" t="str">
        <f t="shared" si="20"/>
        <v/>
      </c>
      <c r="Y101" s="204"/>
      <c r="Z101" s="212" t="str">
        <f t="shared" si="13"/>
        <v/>
      </c>
      <c r="AA101" s="212" t="str">
        <f t="shared" si="14"/>
        <v/>
      </c>
    </row>
    <row r="102" spans="1:27">
      <c r="A102" s="49">
        <f t="shared" si="12"/>
        <v>92</v>
      </c>
      <c r="B102" s="161"/>
      <c r="C102" s="164"/>
      <c r="D102" s="165"/>
      <c r="E102" s="166"/>
      <c r="F102" s="160"/>
      <c r="G102" s="157"/>
      <c r="H102" s="163"/>
      <c r="I102" s="186" t="str">
        <f t="shared" si="21"/>
        <v/>
      </c>
      <c r="J102" s="187" t="str">
        <f t="shared" si="15"/>
        <v/>
      </c>
      <c r="K102" s="188"/>
      <c r="L102" s="189"/>
      <c r="M102" s="186" t="str">
        <f t="shared" si="16"/>
        <v/>
      </c>
      <c r="N102" s="163"/>
      <c r="O102" s="163"/>
      <c r="P102" s="186" t="str">
        <f t="shared" si="17"/>
        <v/>
      </c>
      <c r="Q102" s="205" t="str">
        <f t="shared" si="18"/>
        <v/>
      </c>
      <c r="R102" s="163"/>
      <c r="S102" s="163"/>
      <c r="T102" s="206"/>
      <c r="U102" s="207" t="str">
        <f t="shared" si="19"/>
        <v/>
      </c>
      <c r="V102" s="208"/>
      <c r="X102" s="204" t="str">
        <f t="shared" si="20"/>
        <v/>
      </c>
      <c r="Y102" s="204"/>
      <c r="Z102" s="212" t="str">
        <f t="shared" si="13"/>
        <v/>
      </c>
      <c r="AA102" s="212" t="str">
        <f t="shared" si="14"/>
        <v/>
      </c>
    </row>
    <row r="103" spans="1:27">
      <c r="A103" s="91">
        <f t="shared" si="12"/>
        <v>93</v>
      </c>
      <c r="B103" s="163"/>
      <c r="C103" s="167"/>
      <c r="D103" s="168"/>
      <c r="E103" s="169"/>
      <c r="F103" s="156"/>
      <c r="G103" s="152"/>
      <c r="H103" s="161"/>
      <c r="I103" s="186" t="str">
        <f t="shared" si="21"/>
        <v/>
      </c>
      <c r="J103" s="187" t="str">
        <f t="shared" si="15"/>
        <v/>
      </c>
      <c r="K103" s="190"/>
      <c r="L103" s="191"/>
      <c r="M103" s="186" t="str">
        <f t="shared" si="16"/>
        <v/>
      </c>
      <c r="N103" s="161"/>
      <c r="O103" s="161"/>
      <c r="P103" s="186" t="str">
        <f t="shared" si="17"/>
        <v/>
      </c>
      <c r="Q103" s="205" t="str">
        <f t="shared" si="18"/>
        <v/>
      </c>
      <c r="R103" s="161"/>
      <c r="S103" s="161"/>
      <c r="T103" s="209"/>
      <c r="U103" s="207" t="str">
        <f t="shared" si="19"/>
        <v/>
      </c>
      <c r="V103" s="210"/>
      <c r="X103" s="204" t="str">
        <f t="shared" si="20"/>
        <v/>
      </c>
      <c r="Y103" s="204"/>
      <c r="Z103" s="212" t="str">
        <f t="shared" si="13"/>
        <v/>
      </c>
      <c r="AA103" s="212" t="str">
        <f t="shared" si="14"/>
        <v/>
      </c>
    </row>
    <row r="104" spans="1:27">
      <c r="A104" s="49">
        <f t="shared" si="12"/>
        <v>94</v>
      </c>
      <c r="B104" s="161"/>
      <c r="C104" s="164"/>
      <c r="D104" s="165"/>
      <c r="E104" s="166"/>
      <c r="F104" s="160"/>
      <c r="G104" s="157"/>
      <c r="H104" s="163"/>
      <c r="I104" s="186" t="str">
        <f t="shared" si="21"/>
        <v/>
      </c>
      <c r="J104" s="187" t="str">
        <f t="shared" si="15"/>
        <v/>
      </c>
      <c r="K104" s="188"/>
      <c r="L104" s="189"/>
      <c r="M104" s="186" t="str">
        <f t="shared" si="16"/>
        <v/>
      </c>
      <c r="N104" s="163"/>
      <c r="O104" s="163"/>
      <c r="P104" s="186" t="str">
        <f t="shared" si="17"/>
        <v/>
      </c>
      <c r="Q104" s="205" t="str">
        <f t="shared" si="18"/>
        <v/>
      </c>
      <c r="R104" s="163"/>
      <c r="S104" s="163"/>
      <c r="T104" s="206"/>
      <c r="U104" s="207" t="str">
        <f t="shared" si="19"/>
        <v/>
      </c>
      <c r="V104" s="208"/>
      <c r="X104" s="204" t="str">
        <f t="shared" si="20"/>
        <v/>
      </c>
      <c r="Y104" s="204"/>
      <c r="Z104" s="212" t="str">
        <f t="shared" si="13"/>
        <v/>
      </c>
      <c r="AA104" s="212" t="str">
        <f t="shared" si="14"/>
        <v/>
      </c>
    </row>
    <row r="105" spans="1:27">
      <c r="A105" s="91">
        <f t="shared" si="12"/>
        <v>95</v>
      </c>
      <c r="B105" s="163"/>
      <c r="C105" s="167"/>
      <c r="D105" s="168"/>
      <c r="E105" s="169"/>
      <c r="F105" s="156"/>
      <c r="G105" s="152"/>
      <c r="H105" s="161"/>
      <c r="I105" s="186" t="str">
        <f t="shared" si="21"/>
        <v/>
      </c>
      <c r="J105" s="187" t="str">
        <f t="shared" si="15"/>
        <v/>
      </c>
      <c r="K105" s="190"/>
      <c r="L105" s="191"/>
      <c r="M105" s="186" t="str">
        <f t="shared" si="16"/>
        <v/>
      </c>
      <c r="N105" s="161"/>
      <c r="O105" s="161"/>
      <c r="P105" s="186" t="str">
        <f t="shared" si="17"/>
        <v/>
      </c>
      <c r="Q105" s="205" t="str">
        <f t="shared" si="18"/>
        <v/>
      </c>
      <c r="R105" s="161"/>
      <c r="S105" s="161"/>
      <c r="T105" s="209"/>
      <c r="U105" s="207" t="str">
        <f t="shared" si="19"/>
        <v/>
      </c>
      <c r="V105" s="210"/>
      <c r="X105" s="204" t="str">
        <f t="shared" si="20"/>
        <v/>
      </c>
      <c r="Y105" s="204"/>
      <c r="Z105" s="212" t="str">
        <f t="shared" si="13"/>
        <v/>
      </c>
      <c r="AA105" s="212" t="str">
        <f t="shared" si="14"/>
        <v/>
      </c>
    </row>
    <row r="106" spans="1:27">
      <c r="A106" s="49">
        <f t="shared" si="12"/>
        <v>96</v>
      </c>
      <c r="B106" s="161"/>
      <c r="C106" s="164"/>
      <c r="D106" s="165"/>
      <c r="E106" s="166"/>
      <c r="F106" s="160"/>
      <c r="G106" s="157"/>
      <c r="H106" s="163"/>
      <c r="I106" s="186" t="str">
        <f t="shared" si="21"/>
        <v/>
      </c>
      <c r="J106" s="187" t="str">
        <f t="shared" si="15"/>
        <v/>
      </c>
      <c r="K106" s="188"/>
      <c r="L106" s="189"/>
      <c r="M106" s="186" t="str">
        <f t="shared" si="16"/>
        <v/>
      </c>
      <c r="N106" s="163"/>
      <c r="O106" s="163"/>
      <c r="P106" s="186" t="str">
        <f t="shared" si="17"/>
        <v/>
      </c>
      <c r="Q106" s="205" t="str">
        <f t="shared" si="18"/>
        <v/>
      </c>
      <c r="R106" s="163"/>
      <c r="S106" s="163"/>
      <c r="T106" s="206"/>
      <c r="U106" s="207" t="str">
        <f t="shared" si="19"/>
        <v/>
      </c>
      <c r="V106" s="208"/>
      <c r="X106" s="204" t="str">
        <f t="shared" si="20"/>
        <v/>
      </c>
      <c r="Y106" s="204"/>
      <c r="Z106" s="212" t="str">
        <f t="shared" si="13"/>
        <v/>
      </c>
      <c r="AA106" s="212" t="str">
        <f t="shared" si="14"/>
        <v/>
      </c>
    </row>
    <row r="107" spans="1:27">
      <c r="A107" s="91">
        <f t="shared" si="12"/>
        <v>97</v>
      </c>
      <c r="B107" s="163"/>
      <c r="C107" s="167"/>
      <c r="D107" s="168"/>
      <c r="E107" s="169"/>
      <c r="F107" s="156"/>
      <c r="G107" s="152"/>
      <c r="H107" s="161"/>
      <c r="I107" s="186" t="str">
        <f t="shared" si="21"/>
        <v/>
      </c>
      <c r="J107" s="187" t="str">
        <f t="shared" si="15"/>
        <v/>
      </c>
      <c r="K107" s="190"/>
      <c r="L107" s="191"/>
      <c r="M107" s="186" t="str">
        <f t="shared" si="16"/>
        <v/>
      </c>
      <c r="N107" s="161"/>
      <c r="O107" s="161"/>
      <c r="P107" s="186" t="str">
        <f t="shared" si="17"/>
        <v/>
      </c>
      <c r="Q107" s="205" t="str">
        <f t="shared" si="18"/>
        <v/>
      </c>
      <c r="R107" s="161"/>
      <c r="S107" s="161"/>
      <c r="T107" s="209"/>
      <c r="U107" s="207" t="str">
        <f t="shared" si="19"/>
        <v/>
      </c>
      <c r="V107" s="210"/>
      <c r="X107" s="204" t="str">
        <f t="shared" si="20"/>
        <v/>
      </c>
      <c r="Y107" s="204"/>
      <c r="Z107" s="212" t="str">
        <f t="shared" si="13"/>
        <v/>
      </c>
      <c r="AA107" s="212" t="str">
        <f t="shared" si="14"/>
        <v/>
      </c>
    </row>
    <row r="108" spans="1:27">
      <c r="A108" s="49">
        <f t="shared" si="12"/>
        <v>98</v>
      </c>
      <c r="B108" s="161"/>
      <c r="C108" s="164"/>
      <c r="D108" s="165"/>
      <c r="E108" s="166"/>
      <c r="F108" s="160"/>
      <c r="G108" s="157"/>
      <c r="H108" s="163"/>
      <c r="I108" s="186" t="str">
        <f t="shared" si="21"/>
        <v/>
      </c>
      <c r="J108" s="187" t="str">
        <f t="shared" si="15"/>
        <v/>
      </c>
      <c r="K108" s="188"/>
      <c r="L108" s="189"/>
      <c r="M108" s="186" t="str">
        <f t="shared" si="16"/>
        <v/>
      </c>
      <c r="N108" s="163"/>
      <c r="O108" s="163"/>
      <c r="P108" s="186" t="str">
        <f t="shared" si="17"/>
        <v/>
      </c>
      <c r="Q108" s="205" t="str">
        <f t="shared" si="18"/>
        <v/>
      </c>
      <c r="R108" s="163"/>
      <c r="S108" s="163"/>
      <c r="T108" s="206"/>
      <c r="U108" s="207" t="str">
        <f t="shared" si="19"/>
        <v/>
      </c>
      <c r="V108" s="208"/>
      <c r="X108" s="204" t="str">
        <f t="shared" si="20"/>
        <v/>
      </c>
      <c r="Y108" s="204"/>
      <c r="Z108" s="212" t="str">
        <f t="shared" si="13"/>
        <v/>
      </c>
      <c r="AA108" s="212" t="str">
        <f t="shared" si="14"/>
        <v/>
      </c>
    </row>
    <row r="109" spans="1:27">
      <c r="A109" s="91">
        <f t="shared" si="12"/>
        <v>99</v>
      </c>
      <c r="B109" s="163"/>
      <c r="C109" s="167"/>
      <c r="D109" s="168"/>
      <c r="E109" s="169"/>
      <c r="F109" s="156"/>
      <c r="G109" s="152"/>
      <c r="H109" s="161"/>
      <c r="I109" s="186" t="str">
        <f t="shared" si="21"/>
        <v/>
      </c>
      <c r="J109" s="187" t="str">
        <f t="shared" si="15"/>
        <v/>
      </c>
      <c r="K109" s="190"/>
      <c r="L109" s="191"/>
      <c r="M109" s="186" t="str">
        <f t="shared" si="16"/>
        <v/>
      </c>
      <c r="N109" s="161"/>
      <c r="O109" s="161"/>
      <c r="P109" s="186" t="str">
        <f t="shared" si="17"/>
        <v/>
      </c>
      <c r="Q109" s="205" t="str">
        <f t="shared" si="18"/>
        <v/>
      </c>
      <c r="R109" s="161"/>
      <c r="S109" s="161"/>
      <c r="T109" s="209"/>
      <c r="U109" s="207" t="str">
        <f t="shared" si="19"/>
        <v/>
      </c>
      <c r="V109" s="210"/>
      <c r="X109" s="204" t="str">
        <f t="shared" si="20"/>
        <v/>
      </c>
      <c r="Y109" s="204"/>
      <c r="Z109" s="212" t="str">
        <f t="shared" si="13"/>
        <v/>
      </c>
      <c r="AA109" s="212" t="str">
        <f t="shared" si="14"/>
        <v/>
      </c>
    </row>
    <row r="110" spans="1:27">
      <c r="A110" s="213">
        <v>100</v>
      </c>
      <c r="B110" s="214"/>
      <c r="C110" s="215"/>
      <c r="D110" s="216"/>
      <c r="E110" s="217"/>
      <c r="F110" s="218"/>
      <c r="G110" s="219"/>
      <c r="H110" s="220"/>
      <c r="I110" s="221" t="str">
        <f t="shared" si="21"/>
        <v/>
      </c>
      <c r="J110" s="222" t="str">
        <f t="shared" si="15"/>
        <v/>
      </c>
      <c r="K110" s="223"/>
      <c r="L110" s="224"/>
      <c r="M110" s="221" t="str">
        <f t="shared" si="16"/>
        <v/>
      </c>
      <c r="N110" s="220"/>
      <c r="O110" s="220"/>
      <c r="P110" s="221" t="str">
        <f t="shared" si="17"/>
        <v/>
      </c>
      <c r="Q110" s="225" t="str">
        <f t="shared" si="18"/>
        <v/>
      </c>
      <c r="R110" s="220"/>
      <c r="S110" s="220"/>
      <c r="T110" s="226"/>
      <c r="U110" s="227" t="str">
        <f t="shared" si="19"/>
        <v/>
      </c>
      <c r="V110" s="228"/>
      <c r="X110" s="204" t="str">
        <f t="shared" si="20"/>
        <v/>
      </c>
      <c r="Y110" s="204"/>
      <c r="Z110" s="212" t="str">
        <f t="shared" si="13"/>
        <v/>
      </c>
      <c r="AA110" s="212" t="str">
        <f t="shared" si="14"/>
        <v/>
      </c>
    </row>
  </sheetData>
  <sheetProtection algorithmName="SHA-512" hashValue="tS4H2fGKskaOu/Tfvg4rsHfKWxarMlXxVZJ41eKrnMqyhETOaPo9EAqcfrLUrP0l+C5VaPlK7etwb/8R68kE8Q==" saltValue="Fs4ZkWR2XY3247y/YzcnYw==" spinCount="100000" sheet="1" objects="1" scenarios="1" formatCells="0" formatColumns="0" formatRows="0" selectLockedCells="1" autoFilter="0"/>
  <autoFilter ref="C10:U110" xr:uid="{00000000-0009-0000-0000-000000000000}"/>
  <mergeCells count="25">
    <mergeCell ref="P8:P9"/>
    <mergeCell ref="F5:I6"/>
    <mergeCell ref="Q6:V9"/>
    <mergeCell ref="K5:P6"/>
    <mergeCell ref="N8:O9"/>
    <mergeCell ref="A9:B9"/>
    <mergeCell ref="N10:O10"/>
    <mergeCell ref="F7:F9"/>
    <mergeCell ref="G7:G9"/>
    <mergeCell ref="H7:H9"/>
    <mergeCell ref="I7:I9"/>
    <mergeCell ref="J5:J9"/>
    <mergeCell ref="K8:K9"/>
    <mergeCell ref="L8:L9"/>
    <mergeCell ref="M8:M9"/>
    <mergeCell ref="A6:B6"/>
    <mergeCell ref="A7:B7"/>
    <mergeCell ref="D7:E7"/>
    <mergeCell ref="N7:O7"/>
    <mergeCell ref="A8:B8"/>
    <mergeCell ref="A3:B3"/>
    <mergeCell ref="A4:B4"/>
    <mergeCell ref="D4:E4"/>
    <mergeCell ref="G4:H4"/>
    <mergeCell ref="A5:B5"/>
  </mergeCells>
  <conditionalFormatting sqref="C5">
    <cfRule type="containsText" dxfId="18" priority="1" operator="containsText" text="[enter school school id here]">
      <formula>NOT(ISERROR(SEARCH("[enter school school id here]",C5)))</formula>
    </cfRule>
  </conditionalFormatting>
  <conditionalFormatting sqref="C6">
    <cfRule type="containsText" dxfId="17" priority="44" operator="containsText" text="[enter teacher name here]">
      <formula>NOT(ISERROR(SEARCH("[enter teacher name here]",C6)))</formula>
    </cfRule>
  </conditionalFormatting>
  <conditionalFormatting sqref="C9">
    <cfRule type="containsText" dxfId="16" priority="21" operator="containsText" text="[choose language here]">
      <formula>NOT(ISERROR(SEARCH("[choose language here]",C9)))</formula>
    </cfRule>
  </conditionalFormatting>
  <conditionalFormatting sqref="D9:E9">
    <cfRule type="expression" dxfId="15" priority="54">
      <formula>$X$8=1</formula>
    </cfRule>
  </conditionalFormatting>
  <conditionalFormatting sqref="G11:G110">
    <cfRule type="expression" dxfId="14" priority="13">
      <formula>$F11&gt;6</formula>
    </cfRule>
  </conditionalFormatting>
  <conditionalFormatting sqref="H11:H110">
    <cfRule type="expression" dxfId="13" priority="12">
      <formula>$F11&lt;7</formula>
    </cfRule>
  </conditionalFormatting>
  <conditionalFormatting sqref="I4">
    <cfRule type="cellIs" dxfId="12" priority="20" operator="notEqual">
      <formula>$F$4</formula>
    </cfRule>
    <cfRule type="cellIs" dxfId="11" priority="51" operator="lessThan">
      <formula>#REF!+#REF!</formula>
    </cfRule>
    <cfRule type="cellIs" dxfId="10" priority="52" operator="lessThan">
      <formula>#REF!+#REF!</formula>
    </cfRule>
  </conditionalFormatting>
  <conditionalFormatting sqref="J11:J110">
    <cfRule type="containsText" dxfId="9" priority="2" operator="containsText" text="Moderate">
      <formula>NOT(ISERROR(SEARCH("Moderate",J11)))</formula>
    </cfRule>
    <cfRule type="containsText" dxfId="8" priority="3" operator="containsText" text="Full Refresher">
      <formula>NOT(ISERROR(SEARCH("Full Refresher",J11)))</formula>
    </cfRule>
  </conditionalFormatting>
  <conditionalFormatting sqref="K11:T110">
    <cfRule type="expression" dxfId="7" priority="8">
      <formula>OR($J11="Full Refresher",$J11="Moderate Refresher")</formula>
    </cfRule>
  </conditionalFormatting>
  <conditionalFormatting sqref="U11:U110">
    <cfRule type="containsText" dxfId="6" priority="5" operator="containsText" text="At Grade Level">
      <formula>NOT(ISERROR(SEARCH("At Grade Level",U11)))</formula>
    </cfRule>
    <cfRule type="containsText" dxfId="5" priority="6" operator="containsText" text="Emerging Reader">
      <formula>NOT(ISERROR(SEARCH("Emerging Reader",U11)))</formula>
    </cfRule>
  </conditionalFormatting>
  <dataValidations count="23">
    <dataValidation type="list" allowBlank="1" showInputMessage="1" showErrorMessage="1" sqref="C3" xr:uid="{00000000-0002-0000-0000-000000000000}">
      <formula1>"BoSY, MoSY, EoSY"</formula1>
    </dataValidation>
    <dataValidation type="whole" allowBlank="1" showInputMessage="1" showErrorMessage="1" error="Enter the 6-digit School ID" sqref="C4 A5" xr:uid="{00000000-0002-0000-0000-000001000000}">
      <formula1>100000</formula1>
      <formula2>999999</formula2>
    </dataValidation>
    <dataValidation allowBlank="1" showInputMessage="1" showErrorMessage="1" prompt="Choose Language here" sqref="G4" xr:uid="{00000000-0002-0000-0000-000002000000}"/>
    <dataValidation allowBlank="1" showInputMessage="1" showErrorMessage="1" sqref="I4" xr:uid="{00000000-0002-0000-0000-000003000000}"/>
    <dataValidation type="textLength" operator="greaterThan" showInputMessage="1" showErrorMessage="1" error="Enter School Name" sqref="C5" xr:uid="{00000000-0002-0000-0000-000004000000}">
      <formula1>5</formula1>
    </dataValidation>
    <dataValidation type="whole" allowBlank="1" showInputMessage="1" showErrorMessage="1" sqref="D6:E6" xr:uid="{00000000-0002-0000-0000-000005000000}">
      <formula1>0</formula1>
      <formula2>100</formula2>
    </dataValidation>
    <dataValidation type="whole" allowBlank="1" showInputMessage="1" showErrorMessage="1" error="Total Words per Story must be between 40 to 51" sqref="D9:E9" xr:uid="{00000000-0002-0000-0000-000007000000}">
      <formula1>49</formula1>
      <formula2>51</formula2>
    </dataValidation>
    <dataValidation allowBlank="1" showInputMessage="1" showErrorMessage="1" errorTitle="Error Message" error="Total Number of Words must be less than or equal to 50" sqref="M11" xr:uid="{00000000-0002-0000-0000-000008000000}"/>
    <dataValidation allowBlank="1" showInputMessage="1" showErrorMessage="1" error="Enter Level between 1 to 4" sqref="U11:V11 U12:U110" xr:uid="{00000000-0002-0000-0000-000009000000}"/>
    <dataValidation type="list" allowBlank="1" showInputMessage="1" showErrorMessage="1" sqref="D11:D110" xr:uid="{00000000-0002-0000-0000-00000A000000}">
      <formula1>"Male, Female"</formula1>
    </dataValidation>
    <dataValidation type="date" errorStyle="warning" allowBlank="1" showInputMessage="1" showErrorMessage="1" error="Enter the Date of Assessment in Correct Format (mm/dd/yy)" sqref="E11:E110" xr:uid="{00000000-0002-0000-0000-00000B000000}">
      <formula1>44197</formula1>
      <formula2>55153</formula2>
    </dataValidation>
    <dataValidation type="whole" allowBlank="1" showInputMessage="1" showErrorMessage="1" error="Enter Score between 0 to 10" sqref="F11:F110" xr:uid="{00000000-0002-0000-0000-00000C000000}">
      <formula1>0</formula1>
      <formula2>10</formula2>
    </dataValidation>
    <dataValidation type="custom" allowBlank="1" showInputMessage="1" showErrorMessage="1" errorTitle="Error Message" error="Enter value less than or equal to 10_x000a_if Task 1 score is greater than 6, Words should be left blank or empty." sqref="G11:G110" xr:uid="{00000000-0002-0000-0000-00000D000000}">
      <formula1>AND($F11&lt;7,$G11&lt;11)</formula1>
    </dataValidation>
    <dataValidation type="custom" allowBlank="1" showInputMessage="1" showErrorMessage="1" errorTitle="Error Message" error="Enter value less than or equal to 10_x000a_If Task 1 score is less than 7, Sentences should be left blank or empty." sqref="H11:H110" xr:uid="{00000000-0002-0000-0000-00000E000000}">
      <formula1>AND($F11&gt;6,$H11&lt;11)</formula1>
    </dataValidation>
    <dataValidation type="whole" allowBlank="1" showInputMessage="1" showErrorMessage="1" error="Story 1 or 2" sqref="K11:K110" xr:uid="{00000000-0002-0000-0000-00000F000000}">
      <formula1>1</formula1>
      <formula2>2</formula2>
    </dataValidation>
    <dataValidation type="whole" allowBlank="1" showInputMessage="1" showErrorMessage="1" error="Enter Number of Miscues" sqref="L11:L19" xr:uid="{00000000-0002-0000-0000-000010000000}">
      <formula1>1</formula1>
      <formula2>51</formula2>
    </dataValidation>
    <dataValidation type="whole" allowBlank="1" showInputMessage="1" showErrorMessage="1" error="Enter Number of Miscues" sqref="L20:L110" xr:uid="{00000000-0002-0000-0000-000011000000}">
      <formula1>0</formula1>
      <formula2>51</formula2>
    </dataValidation>
    <dataValidation type="whole" operator="lessThanOrEqual" allowBlank="1" showInputMessage="1" showErrorMessage="1" errorTitle="Error Message" error="Total Number of Words must be less than or equal to 50" sqref="M12:M110" xr:uid="{00000000-0002-0000-0000-000012000000}">
      <formula1>51</formula1>
    </dataValidation>
    <dataValidation type="whole" allowBlank="1" showInputMessage="1" showErrorMessage="1" errorTitle="Error Message" error="Must not exceed 1 minute" sqref="N11:N110" xr:uid="{00000000-0002-0000-0000-000013000000}">
      <formula1>0</formula1>
      <formula2>1</formula2>
    </dataValidation>
    <dataValidation type="whole" allowBlank="1" showInputMessage="1" showErrorMessage="1" errorTitle="Error Message" error="Number of seconds between 0 to 59" sqref="O11:O110" xr:uid="{00000000-0002-0000-0000-000014000000}">
      <formula1>0</formula1>
      <formula2>59</formula2>
    </dataValidation>
    <dataValidation type="whole" allowBlank="1" showInputMessage="1" showErrorMessage="1" error="Enter Answer between 0 to 5" sqref="R11:R110" xr:uid="{00000000-0002-0000-0000-000016000000}">
      <formula1>0</formula1>
      <formula2>5</formula2>
    </dataValidation>
    <dataValidation type="whole" allowBlank="1" showInputMessage="1" showErrorMessage="1" error="Enter Leaner Experience from 1 - 5" sqref="S11:S110" xr:uid="{00000000-0002-0000-0000-000017000000}">
      <formula1>1</formula1>
      <formula2>5</formula2>
    </dataValidation>
    <dataValidation type="list" allowBlank="1" showInputMessage="1" showErrorMessage="1" error="Enter Level between 1 to 4" sqref="T11:T110" xr:uid="{00000000-0002-0000-0000-000018000000}">
      <formula1>"Level 1, Level 2, Level 3, Level 4"</formula1>
    </dataValidation>
  </dataValidations>
  <pageMargins left="0.84" right="0.25" top="0.75" bottom="4.1900000000000004" header="0.3" footer="4.17"/>
  <pageSetup paperSize="10000" scale="50" orientation="landscape"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prompt="Choose Language here" xr:uid="{00000000-0002-0000-0000-000006000000}">
          <x14:formula1>
            <xm:f>List!$C$2:$C$35</xm:f>
          </x14:formula1>
          <xm:sqref>C9</xm:sqref>
        </x14:dataValidation>
        <x14:dataValidation type="list" allowBlank="1" showInputMessage="1" showErrorMessage="1" xr:uid="{00000000-0002-0000-0000-000015000000}">
          <x14:formula1>
            <xm:f>List!$A$2:$A$6</xm:f>
          </x14:formula1>
          <xm:sqref>Q12:Q110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W107"/>
  <sheetViews>
    <sheetView zoomScale="64" workbookViewId="0">
      <pane xSplit="11" ySplit="6" topLeftCell="L7" activePane="bottomRight" state="frozen"/>
      <selection pane="bottomRight" activeCell="E85" sqref="E85"/>
      <selection pane="bottomLeft"/>
      <selection pane="topRight"/>
    </sheetView>
  </sheetViews>
  <sheetFormatPr defaultColWidth="0" defaultRowHeight="14.45"/>
  <cols>
    <col min="1" max="1" width="5.5" customWidth="1"/>
    <col min="2" max="2" width="14.875" customWidth="1"/>
    <col min="3" max="3" width="31.875" customWidth="1"/>
    <col min="4" max="4" width="10.125" style="1" customWidth="1"/>
    <col min="5" max="5" width="16.5" style="1" customWidth="1"/>
    <col min="6" max="6" width="11.875" style="79" customWidth="1"/>
    <col min="7" max="7" width="12.125" style="79" customWidth="1"/>
    <col min="8" max="8" width="13.125" style="1" customWidth="1"/>
    <col min="9" max="9" width="11.125" style="1" customWidth="1"/>
    <col min="10" max="10" width="20.5" style="1" customWidth="1"/>
    <col min="11" max="11" width="40.375" style="1" customWidth="1"/>
    <col min="12" max="12" width="5.125" customWidth="1"/>
    <col min="13" max="13" width="8.875" customWidth="1"/>
    <col min="14" max="16" width="8.875" hidden="1" customWidth="1"/>
    <col min="17" max="18" width="13.625" hidden="1" customWidth="1"/>
    <col min="19" max="19" width="8.875" hidden="1" customWidth="1"/>
    <col min="20" max="23" width="13.625" hidden="1" customWidth="1"/>
    <col min="24" max="16384" width="8.875" hidden="1"/>
  </cols>
  <sheetData>
    <row r="1" spans="1:12" ht="18" customHeight="1"/>
    <row r="3" spans="1:12" ht="26.1" customHeight="1"/>
    <row r="4" spans="1:12" ht="17.45" customHeight="1">
      <c r="A4" s="275" t="s">
        <v>73</v>
      </c>
      <c r="B4" s="276"/>
      <c r="C4" s="277" t="str">
        <f>'G1 MT Reading Scoresheet'!$C$5</f>
        <v>ROMANA ES</v>
      </c>
      <c r="D4" s="277"/>
      <c r="E4" s="278" t="s">
        <v>74</v>
      </c>
      <c r="F4" s="279"/>
      <c r="G4" s="279"/>
      <c r="H4" s="279"/>
      <c r="I4" s="279"/>
      <c r="J4" s="279"/>
      <c r="K4" s="280"/>
    </row>
    <row r="5" spans="1:12" ht="18" customHeight="1">
      <c r="A5" s="281" t="s">
        <v>14</v>
      </c>
      <c r="B5" s="282"/>
      <c r="C5" s="283" t="str">
        <f>'G1 MT Reading Scoresheet'!C6</f>
        <v>RAMONA B. PUNZALAN</v>
      </c>
      <c r="D5" s="283"/>
      <c r="E5" s="284" t="str">
        <f>CONCATENATE("MOTHER TONGUE","(",'G1 MT Reading Scoresheet'!C9,")")</f>
        <v>MOTHER TONGUE(Hiligaynon)</v>
      </c>
      <c r="F5" s="285"/>
      <c r="G5" s="285"/>
      <c r="H5" s="285"/>
      <c r="I5" s="285"/>
      <c r="J5" s="286"/>
      <c r="K5" s="101" t="s">
        <v>1</v>
      </c>
    </row>
    <row r="6" spans="1:12" ht="18" customHeight="1">
      <c r="A6" s="281" t="s">
        <v>16</v>
      </c>
      <c r="B6" s="282"/>
      <c r="C6" s="287" t="s">
        <v>17</v>
      </c>
      <c r="D6" s="288"/>
      <c r="E6" s="289" t="s">
        <v>75</v>
      </c>
      <c r="F6" s="290"/>
      <c r="G6" s="291" t="s">
        <v>76</v>
      </c>
      <c r="H6" s="291"/>
      <c r="I6" s="102"/>
      <c r="J6" s="292" t="s">
        <v>77</v>
      </c>
      <c r="K6" s="103"/>
    </row>
    <row r="7" spans="1:12" ht="51.6" customHeight="1">
      <c r="A7" s="80" t="s">
        <v>34</v>
      </c>
      <c r="B7" s="81" t="s">
        <v>35</v>
      </c>
      <c r="C7" s="82" t="s">
        <v>36</v>
      </c>
      <c r="D7" s="83" t="s">
        <v>37</v>
      </c>
      <c r="E7" s="84" t="s">
        <v>78</v>
      </c>
      <c r="F7" s="84" t="s">
        <v>79</v>
      </c>
      <c r="G7" s="84" t="s">
        <v>80</v>
      </c>
      <c r="H7" s="84" t="s">
        <v>81</v>
      </c>
      <c r="I7" s="104" t="s">
        <v>82</v>
      </c>
      <c r="J7" s="293"/>
      <c r="K7" s="105" t="s">
        <v>83</v>
      </c>
    </row>
    <row r="8" spans="1:12">
      <c r="A8" s="49">
        <v>1</v>
      </c>
      <c r="B8" s="85">
        <f>IF('G1 MT Reading Scoresheet'!B11&lt;&gt;"",'G1 MT Reading Scoresheet'!B11,"")</f>
        <v>117443240002</v>
      </c>
      <c r="C8" s="86" t="str">
        <f>IF('G1 MT Reading Scoresheet'!C11&lt;&gt;"",'G1 MT Reading Scoresheet'!C11,"")</f>
        <v>CARDINAL,CIAN, DEMIAR</v>
      </c>
      <c r="D8" s="87" t="str">
        <f>IF('G1 MT Reading Scoresheet'!D11&lt;&gt;"",'G1 MT Reading Scoresheet'!D11,"")</f>
        <v>Male</v>
      </c>
      <c r="E8" s="88" t="str">
        <f>'G1 MT Reading Scoresheet'!J11</f>
        <v>Light Refresher</v>
      </c>
      <c r="F8" s="89">
        <f>IF($C8&lt;&gt;"",'G1 MT Reading Scoresheet'!$I11/30,"")</f>
        <v>0.8</v>
      </c>
      <c r="G8" s="89">
        <f>IF(AND($C8&lt;&gt;"",$E8&lt;&gt;"Full Refresher"),'G1 MT Reading Scoresheet'!$Q11,"")</f>
        <v>0.38775510204081631</v>
      </c>
      <c r="H8" s="90">
        <f>IF(AND($C8&lt;&gt;"",$E8&lt;&gt;"Full Refresher"),'G1 MT Reading Scoresheet'!$R11/5,"")</f>
        <v>0.2</v>
      </c>
      <c r="I8" s="106">
        <f>IF(AND($C8&lt;&gt;"",$E8&lt;&gt;"Full Refresher"),'G1 MT Reading Scoresheet'!$P11,"")</f>
        <v>19</v>
      </c>
      <c r="J8" s="106" t="str">
        <f>'G1 MT Reading Scoresheet'!$U11</f>
        <v>Developing Reader</v>
      </c>
      <c r="K8" s="107" t="str">
        <f>IF('G1 MT Reading Scoresheet'!V11&lt;&gt;"",'G1 MT Reading Scoresheet'!V11,"")</f>
        <v/>
      </c>
      <c r="L8" t="s">
        <v>1</v>
      </c>
    </row>
    <row r="9" spans="1:12">
      <c r="A9" s="91">
        <v>2</v>
      </c>
      <c r="B9" s="92">
        <f>IF('G1 MT Reading Scoresheet'!B12&lt;&gt;"",'G1 MT Reading Scoresheet'!B12,"")</f>
        <v>117443240003</v>
      </c>
      <c r="C9" s="93" t="str">
        <f>IF('G1 MT Reading Scoresheet'!C12&lt;&gt;"",'G1 MT Reading Scoresheet'!C12,"")</f>
        <v>CARDINAL,REY ROES, PANGANTIHON</v>
      </c>
      <c r="D9" s="94" t="str">
        <f>IF('G1 MT Reading Scoresheet'!D12&lt;&gt;"",'G1 MT Reading Scoresheet'!D12,"")</f>
        <v>Male</v>
      </c>
      <c r="E9" s="95" t="str">
        <f>'G1 MT Reading Scoresheet'!J12</f>
        <v>Grade Ready</v>
      </c>
      <c r="F9" s="96">
        <f>IF($C9&lt;&gt;"",'G1 MT Reading Scoresheet'!$I12/30,"")</f>
        <v>1</v>
      </c>
      <c r="G9" s="96">
        <f>IF(AND($C9&lt;&gt;"",$E9&lt;&gt;"Full Refresher"),'G1 MT Reading Scoresheet'!$Q12,"")</f>
        <v>0.86</v>
      </c>
      <c r="H9" s="97">
        <f>IF(AND($C9&lt;&gt;"",$E9&lt;&gt;"Full Refresher"),'G1 MT Reading Scoresheet'!$R12/5,"")</f>
        <v>0.8</v>
      </c>
      <c r="I9" s="108">
        <f>IF(AND($C9&lt;&gt;"",$E9&lt;&gt;"Full Refresher"),'G1 MT Reading Scoresheet'!$P12,"")</f>
        <v>43</v>
      </c>
      <c r="J9" s="109" t="str">
        <f>'G1 MT Reading Scoresheet'!$U12</f>
        <v>Reading At Grade Level</v>
      </c>
      <c r="K9" s="110" t="str">
        <f>IF('G1 MT Reading Scoresheet'!V12&lt;&gt;"",'G1 MT Reading Scoresheet'!V12,"")</f>
        <v/>
      </c>
    </row>
    <row r="10" spans="1:12">
      <c r="A10" s="49">
        <v>3</v>
      </c>
      <c r="B10" s="98">
        <f>IF('G1 MT Reading Scoresheet'!B13&lt;&gt;"",'G1 MT Reading Scoresheet'!B13,"")</f>
        <v>117443240005</v>
      </c>
      <c r="C10" s="99" t="str">
        <f>IF('G1 MT Reading Scoresheet'!C13&lt;&gt;"",'G1 MT Reading Scoresheet'!C13,"")</f>
        <v>FRANTE,ARK JAY, CABALLERO</v>
      </c>
      <c r="D10" s="100" t="str">
        <f>IF('G1 MT Reading Scoresheet'!D13&lt;&gt;"",'G1 MT Reading Scoresheet'!D13,"")</f>
        <v>Male</v>
      </c>
      <c r="E10" s="95" t="str">
        <f>'G1 MT Reading Scoresheet'!J13</f>
        <v>Light Refresher</v>
      </c>
      <c r="F10" s="96">
        <f>IF($C10&lt;&gt;"",'G1 MT Reading Scoresheet'!$I13/30,"")</f>
        <v>0.8</v>
      </c>
      <c r="G10" s="96">
        <f>IF(AND($C10&lt;&gt;"",$E10&lt;&gt;"Full Refresher"),'G1 MT Reading Scoresheet'!$Q13,"")</f>
        <v>0.65306122448979587</v>
      </c>
      <c r="H10" s="97">
        <f>IF(AND($C10&lt;&gt;"",$E10&lt;&gt;"Full Refresher"),'G1 MT Reading Scoresheet'!$R13/5,"")</f>
        <v>0.2</v>
      </c>
      <c r="I10" s="108">
        <f>IF(AND($C10&lt;&gt;"",$E10&lt;&gt;"Full Refresher"),'G1 MT Reading Scoresheet'!$P13,"")</f>
        <v>32</v>
      </c>
      <c r="J10" s="109" t="str">
        <f>'G1 MT Reading Scoresheet'!$U13</f>
        <v>Developing Reader</v>
      </c>
      <c r="K10" s="111" t="str">
        <f>IF('G1 MT Reading Scoresheet'!V13&lt;&gt;"",'G1 MT Reading Scoresheet'!V13,"")</f>
        <v/>
      </c>
    </row>
    <row r="11" spans="1:12">
      <c r="A11" s="91">
        <v>4</v>
      </c>
      <c r="B11" s="92">
        <f>IF('G1 MT Reading Scoresheet'!B14&lt;&gt;"",'G1 MT Reading Scoresheet'!B14,"")</f>
        <v>117443240006</v>
      </c>
      <c r="C11" s="93" t="str">
        <f>IF('G1 MT Reading Scoresheet'!C14&lt;&gt;"",'G1 MT Reading Scoresheet'!C14,"")</f>
        <v>GANCIA,JELLO, GIER</v>
      </c>
      <c r="D11" s="94" t="str">
        <f>IF('G1 MT Reading Scoresheet'!D14&lt;&gt;"",'G1 MT Reading Scoresheet'!D14,"")</f>
        <v>Male</v>
      </c>
      <c r="E11" s="95" t="str">
        <f>'G1 MT Reading Scoresheet'!J14</f>
        <v>Full Refresher</v>
      </c>
      <c r="F11" s="96">
        <f>IF($C11&lt;&gt;"",'G1 MT Reading Scoresheet'!$I14/30,"")</f>
        <v>0</v>
      </c>
      <c r="G11" s="96" t="str">
        <f>IF(AND($C11&lt;&gt;"",$E11&lt;&gt;"Full Refresher"),'G1 MT Reading Scoresheet'!$Q14,"")</f>
        <v/>
      </c>
      <c r="H11" s="97" t="str">
        <f>IF(AND($C11&lt;&gt;"",$E11&lt;&gt;"Full Refresher"),'G1 MT Reading Scoresheet'!$R14/5,"")</f>
        <v/>
      </c>
      <c r="I11" s="108" t="str">
        <f>IF(AND($C11&lt;&gt;"",$E11&lt;&gt;"Full Refresher"),'G1 MT Reading Scoresheet'!$P14,"")</f>
        <v/>
      </c>
      <c r="J11" s="109" t="str">
        <f>'G1 MT Reading Scoresheet'!$U14</f>
        <v>Low Emerging Reader</v>
      </c>
      <c r="K11" s="110" t="str">
        <f>IF('G1 MT Reading Scoresheet'!V14&lt;&gt;"",'G1 MT Reading Scoresheet'!V14,"")</f>
        <v/>
      </c>
    </row>
    <row r="12" spans="1:12">
      <c r="A12" s="49">
        <v>5</v>
      </c>
      <c r="B12" s="98">
        <f>IF('G1 MT Reading Scoresheet'!B15&lt;&gt;"",'G1 MT Reading Scoresheet'!B15,"")</f>
        <v>117443230006</v>
      </c>
      <c r="C12" s="99" t="str">
        <f>IF('G1 MT Reading Scoresheet'!C15&lt;&gt;"",'G1 MT Reading Scoresheet'!C15,"")</f>
        <v>GANCIA, RHAYCO, NARCISO</v>
      </c>
      <c r="D12" s="100" t="str">
        <f>IF('G1 MT Reading Scoresheet'!D15&lt;&gt;"",'G1 MT Reading Scoresheet'!D15,"")</f>
        <v>Male</v>
      </c>
      <c r="E12" s="95" t="str">
        <f>'G1 MT Reading Scoresheet'!J15</f>
        <v>Moderate Refresher</v>
      </c>
      <c r="F12" s="96">
        <f>IF($C12&lt;&gt;"",'G1 MT Reading Scoresheet'!$I15/30,"")</f>
        <v>0.4</v>
      </c>
      <c r="G12" s="96" t="str">
        <f>IF(AND($C12&lt;&gt;"",$E12&lt;&gt;"Full Refresher"),'G1 MT Reading Scoresheet'!$Q15,"")</f>
        <v/>
      </c>
      <c r="H12" s="97">
        <f>IF(AND($C12&lt;&gt;"",$E12&lt;&gt;"Full Refresher"),'G1 MT Reading Scoresheet'!$R15/5,"")</f>
        <v>0</v>
      </c>
      <c r="I12" s="108" t="str">
        <f>IF(AND($C12&lt;&gt;"",$E12&lt;&gt;"Full Refresher"),'G1 MT Reading Scoresheet'!$P15,"")</f>
        <v/>
      </c>
      <c r="J12" s="109" t="str">
        <f>'G1 MT Reading Scoresheet'!$U15</f>
        <v>Low Emerging Reader</v>
      </c>
      <c r="K12" s="111" t="str">
        <f>IF('G1 MT Reading Scoresheet'!V15&lt;&gt;"",'G1 MT Reading Scoresheet'!V15,"")</f>
        <v/>
      </c>
    </row>
    <row r="13" spans="1:12">
      <c r="A13" s="91">
        <v>6</v>
      </c>
      <c r="B13" s="92">
        <f>IF('G1 MT Reading Scoresheet'!B16&lt;&gt;"",'G1 MT Reading Scoresheet'!B16,"")</f>
        <v>117443240004</v>
      </c>
      <c r="C13" s="93" t="str">
        <f>IF('G1 MT Reading Scoresheet'!C16&lt;&gt;"",'G1 MT Reading Scoresheet'!C16,"")</f>
        <v>GARDOSE,KIETH DION, CADUCOY</v>
      </c>
      <c r="D13" s="94" t="str">
        <f>IF('G1 MT Reading Scoresheet'!D16&lt;&gt;"",'G1 MT Reading Scoresheet'!D16,"")</f>
        <v>Male</v>
      </c>
      <c r="E13" s="95" t="str">
        <f>'G1 MT Reading Scoresheet'!J16</f>
        <v>Moderate Refresher</v>
      </c>
      <c r="F13" s="96">
        <f>IF($C13&lt;&gt;"",'G1 MT Reading Scoresheet'!$I16/30,"")</f>
        <v>0.4</v>
      </c>
      <c r="G13" s="96" t="str">
        <f>IF(AND($C13&lt;&gt;"",$E13&lt;&gt;"Full Refresher"),'G1 MT Reading Scoresheet'!$Q16,"")</f>
        <v/>
      </c>
      <c r="H13" s="97">
        <f>IF(AND($C13&lt;&gt;"",$E13&lt;&gt;"Full Refresher"),'G1 MT Reading Scoresheet'!$R16/5,"")</f>
        <v>0</v>
      </c>
      <c r="I13" s="108" t="str">
        <f>IF(AND($C13&lt;&gt;"",$E13&lt;&gt;"Full Refresher"),'G1 MT Reading Scoresheet'!$P16,"")</f>
        <v/>
      </c>
      <c r="J13" s="109" t="str">
        <f>'G1 MT Reading Scoresheet'!$U16</f>
        <v>Low Emerging Reader</v>
      </c>
      <c r="K13" s="110" t="str">
        <f>IF('G1 MT Reading Scoresheet'!V16&lt;&gt;"",'G1 MT Reading Scoresheet'!V16,"")</f>
        <v/>
      </c>
    </row>
    <row r="14" spans="1:12">
      <c r="A14" s="49">
        <v>7</v>
      </c>
      <c r="B14" s="98">
        <f>IF('G1 MT Reading Scoresheet'!B17&lt;&gt;"",'G1 MT Reading Scoresheet'!B17,"")</f>
        <v>117443240007</v>
      </c>
      <c r="C14" s="99" t="str">
        <f>IF('G1 MT Reading Scoresheet'!C17&lt;&gt;"",'G1 MT Reading Scoresheet'!C17,"")</f>
        <v>GILUA,ARON JAMES, SUNDAYON</v>
      </c>
      <c r="D14" s="100" t="str">
        <f>IF('G1 MT Reading Scoresheet'!D17&lt;&gt;"",'G1 MT Reading Scoresheet'!D17,"")</f>
        <v>Male</v>
      </c>
      <c r="E14" s="95" t="str">
        <f>'G1 MT Reading Scoresheet'!J17</f>
        <v>Light Refresher</v>
      </c>
      <c r="F14" s="96">
        <f>IF($C14&lt;&gt;"",'G1 MT Reading Scoresheet'!$I17/30,"")</f>
        <v>0.8</v>
      </c>
      <c r="G14" s="96">
        <f>IF(AND($C14&lt;&gt;"",$E14&lt;&gt;"Full Refresher"),'G1 MT Reading Scoresheet'!$Q17,"")</f>
        <v>0.42857142857142855</v>
      </c>
      <c r="H14" s="97">
        <f>IF(AND($C14&lt;&gt;"",$E14&lt;&gt;"Full Refresher"),'G1 MT Reading Scoresheet'!$R17/5,"")</f>
        <v>0.2</v>
      </c>
      <c r="I14" s="108">
        <f>IF(AND($C14&lt;&gt;"",$E14&lt;&gt;"Full Refresher"),'G1 MT Reading Scoresheet'!$P17,"")</f>
        <v>21</v>
      </c>
      <c r="J14" s="109" t="str">
        <f>'G1 MT Reading Scoresheet'!$U17</f>
        <v>Developing Reader</v>
      </c>
      <c r="K14" s="111" t="e">
        <f>IF('G1 MT Reading Scoresheet'!#REF!&lt;&gt;"",'G1 MT Reading Scoresheet'!#REF!,"")</f>
        <v>#REF!</v>
      </c>
    </row>
    <row r="15" spans="1:12">
      <c r="A15" s="91">
        <v>8</v>
      </c>
      <c r="B15" s="92">
        <f>IF('G1 MT Reading Scoresheet'!B18&lt;&gt;"",'G1 MT Reading Scoresheet'!B18,"")</f>
        <v>117443240008</v>
      </c>
      <c r="C15" s="93" t="str">
        <f>IF('G1 MT Reading Scoresheet'!C18&lt;&gt;"",'G1 MT Reading Scoresheet'!C18,"")</f>
        <v>LABANZA,DAVID RHON, PALACIO</v>
      </c>
      <c r="D15" s="94" t="str">
        <f>IF('G1 MT Reading Scoresheet'!D18&lt;&gt;"",'G1 MT Reading Scoresheet'!D18,"")</f>
        <v>Male</v>
      </c>
      <c r="E15" s="95" t="str">
        <f>'G1 MT Reading Scoresheet'!J18</f>
        <v>Light Refresher</v>
      </c>
      <c r="F15" s="96">
        <f>IF($C15&lt;&gt;"",'G1 MT Reading Scoresheet'!$I18/30,"")</f>
        <v>0.83333333333333337</v>
      </c>
      <c r="G15" s="96">
        <f>IF(AND($C15&lt;&gt;"",$E15&lt;&gt;"Full Refresher"),'G1 MT Reading Scoresheet'!$Q18,"")</f>
        <v>0.38775510204081631</v>
      </c>
      <c r="H15" s="97">
        <f>IF(AND($C15&lt;&gt;"",$E15&lt;&gt;"Full Refresher"),'G1 MT Reading Scoresheet'!$R18/5,"")</f>
        <v>0.2</v>
      </c>
      <c r="I15" s="108">
        <f>IF(AND($C15&lt;&gt;"",$E15&lt;&gt;"Full Refresher"),'G1 MT Reading Scoresheet'!$P18,"")</f>
        <v>19</v>
      </c>
      <c r="J15" s="109" t="str">
        <f>'G1 MT Reading Scoresheet'!$U18</f>
        <v>Developing Reader</v>
      </c>
      <c r="K15" s="110" t="str">
        <f>IF('G1 MT Reading Scoresheet'!V17&lt;&gt;"",'G1 MT Reading Scoresheet'!V17,"")</f>
        <v/>
      </c>
    </row>
    <row r="16" spans="1:12">
      <c r="A16" s="49">
        <v>9</v>
      </c>
      <c r="B16" s="98">
        <f>IF('G1 MT Reading Scoresheet'!B19&lt;&gt;"",'G1 MT Reading Scoresheet'!B19,"")</f>
        <v>117443240009</v>
      </c>
      <c r="C16" s="99" t="str">
        <f>IF('G1 MT Reading Scoresheet'!C19&lt;&gt;"",'G1 MT Reading Scoresheet'!C19,"")</f>
        <v>LABANZA,JAY-K, NOBLE</v>
      </c>
      <c r="D16" s="100" t="str">
        <f>IF('G1 MT Reading Scoresheet'!D19&lt;&gt;"",'G1 MT Reading Scoresheet'!D19,"")</f>
        <v>Male</v>
      </c>
      <c r="E16" s="95" t="str">
        <f>'G1 MT Reading Scoresheet'!J19</f>
        <v>Full Refresher</v>
      </c>
      <c r="F16" s="96">
        <f>IF($C16&lt;&gt;"",'G1 MT Reading Scoresheet'!$I19/30,"")</f>
        <v>0.2</v>
      </c>
      <c r="G16" s="96" t="str">
        <f>IF(AND($C16&lt;&gt;"",$E16&lt;&gt;"Full Refresher"),'G1 MT Reading Scoresheet'!$Q19,"")</f>
        <v/>
      </c>
      <c r="H16" s="97" t="str">
        <f>IF(AND($C16&lt;&gt;"",$E16&lt;&gt;"Full Refresher"),'G1 MT Reading Scoresheet'!$R19/5,"")</f>
        <v/>
      </c>
      <c r="I16" s="108" t="str">
        <f>IF(AND($C16&lt;&gt;"",$E16&lt;&gt;"Full Refresher"),'G1 MT Reading Scoresheet'!$P19,"")</f>
        <v/>
      </c>
      <c r="J16" s="109" t="str">
        <f>'G1 MT Reading Scoresheet'!$U19</f>
        <v>Low Emerging Reader</v>
      </c>
      <c r="K16" s="111" t="str">
        <f>IF('G1 MT Reading Scoresheet'!V19&lt;&gt;"",'G1 MT Reading Scoresheet'!V19,"")</f>
        <v/>
      </c>
    </row>
    <row r="17" spans="1:11">
      <c r="A17" s="91">
        <v>10</v>
      </c>
      <c r="B17" s="92">
        <f>IF('G1 MT Reading Scoresheet'!B20&lt;&gt;"",'G1 MT Reading Scoresheet'!B20,"")</f>
        <v>117443240010</v>
      </c>
      <c r="C17" s="93" t="str">
        <f>IF('G1 MT Reading Scoresheet'!C20&lt;&gt;"",'G1 MT Reading Scoresheet'!C20,"")</f>
        <v>LANGYON,JOHN KENNETH, ESTOCADA</v>
      </c>
      <c r="D17" s="94" t="str">
        <f>IF('G1 MT Reading Scoresheet'!D20&lt;&gt;"",'G1 MT Reading Scoresheet'!D20,"")</f>
        <v>Male</v>
      </c>
      <c r="E17" s="95" t="str">
        <f>'G1 MT Reading Scoresheet'!J20</f>
        <v>Full Refresher</v>
      </c>
      <c r="F17" s="96">
        <f>IF($C17&lt;&gt;"",'G1 MT Reading Scoresheet'!$I20/30,"")</f>
        <v>0</v>
      </c>
      <c r="G17" s="96" t="str">
        <f>IF(AND($C17&lt;&gt;"",$E17&lt;&gt;"Full Refresher"),'G1 MT Reading Scoresheet'!$Q20,"")</f>
        <v/>
      </c>
      <c r="H17" s="97" t="str">
        <f>IF(AND($C17&lt;&gt;"",$E17&lt;&gt;"Full Refresher"),'G1 MT Reading Scoresheet'!$R20/5,"")</f>
        <v/>
      </c>
      <c r="I17" s="108" t="str">
        <f>IF(AND($C17&lt;&gt;"",$E17&lt;&gt;"Full Refresher"),'G1 MT Reading Scoresheet'!$P20,"")</f>
        <v/>
      </c>
      <c r="J17" s="109" t="str">
        <f>'G1 MT Reading Scoresheet'!$U20</f>
        <v>Low Emerging Reader</v>
      </c>
      <c r="K17" s="110" t="str">
        <f>IF('G1 MT Reading Scoresheet'!V20&lt;&gt;"",'G1 MT Reading Scoresheet'!V20,"")</f>
        <v/>
      </c>
    </row>
    <row r="18" spans="1:11">
      <c r="A18" s="49">
        <v>11</v>
      </c>
      <c r="B18" s="98">
        <f>IF('G1 MT Reading Scoresheet'!B21&lt;&gt;"",'G1 MT Reading Scoresheet'!B21,"")</f>
        <v>117443240012</v>
      </c>
      <c r="C18" s="99" t="str">
        <f>IF('G1 MT Reading Scoresheet'!C21&lt;&gt;"",'G1 MT Reading Scoresheet'!C21,"")</f>
        <v>ESLANA,SHANEL, JACOMILLA</v>
      </c>
      <c r="D18" s="100" t="str">
        <f>IF('G1 MT Reading Scoresheet'!D21&lt;&gt;"",'G1 MT Reading Scoresheet'!D21,"")</f>
        <v>Female</v>
      </c>
      <c r="E18" s="95" t="str">
        <f>'G1 MT Reading Scoresheet'!J21</f>
        <v>Grade Ready</v>
      </c>
      <c r="F18" s="96">
        <f>IF($C18&lt;&gt;"",'G1 MT Reading Scoresheet'!$I21/30,"")</f>
        <v>1</v>
      </c>
      <c r="G18" s="96">
        <f>IF(AND($C18&lt;&gt;"",$E18&lt;&gt;"Full Refresher"),'G1 MT Reading Scoresheet'!$Q21,"")</f>
        <v>0.75510204081632648</v>
      </c>
      <c r="H18" s="97">
        <f>IF(AND($C18&lt;&gt;"",$E18&lt;&gt;"Full Refresher"),'G1 MT Reading Scoresheet'!$R21/5,"")</f>
        <v>0.4</v>
      </c>
      <c r="I18" s="108">
        <f>IF(AND($C18&lt;&gt;"",$E18&lt;&gt;"Full Refresher"),'G1 MT Reading Scoresheet'!$P21,"")</f>
        <v>37</v>
      </c>
      <c r="J18" s="109" t="str">
        <f>'G1 MT Reading Scoresheet'!$U21</f>
        <v>Transitioning Reader</v>
      </c>
      <c r="K18" s="111" t="str">
        <f>IF('G1 MT Reading Scoresheet'!V21&lt;&gt;"",'G1 MT Reading Scoresheet'!V21,"")</f>
        <v/>
      </c>
    </row>
    <row r="19" spans="1:11">
      <c r="A19" s="91">
        <v>12</v>
      </c>
      <c r="B19" s="92">
        <f>IF('G1 MT Reading Scoresheet'!B22&lt;&gt;"",'G1 MT Reading Scoresheet'!B22,"")</f>
        <v>117443240013</v>
      </c>
      <c r="C19" s="93" t="str">
        <f>IF('G1 MT Reading Scoresheet'!C22&lt;&gt;"",'G1 MT Reading Scoresheet'!C22,"")</f>
        <v>JUMBAS,JHANEZZA KAYE, ARCENAL</v>
      </c>
      <c r="D19" s="94" t="str">
        <f>IF('G1 MT Reading Scoresheet'!D22&lt;&gt;"",'G1 MT Reading Scoresheet'!D22,"")</f>
        <v>Female</v>
      </c>
      <c r="E19" s="95" t="str">
        <f>'G1 MT Reading Scoresheet'!J22</f>
        <v>Grade Ready</v>
      </c>
      <c r="F19" s="96">
        <f>IF($C19&lt;&gt;"",'G1 MT Reading Scoresheet'!$I22/30,"")</f>
        <v>1</v>
      </c>
      <c r="G19" s="96">
        <f>IF(AND($C19&lt;&gt;"",$E19&lt;&gt;"Full Refresher"),'G1 MT Reading Scoresheet'!$Q22,"")</f>
        <v>0.81632653061224492</v>
      </c>
      <c r="H19" s="97">
        <f>IF(AND($C19&lt;&gt;"",$E19&lt;&gt;"Full Refresher"),'G1 MT Reading Scoresheet'!$R22/5,"")</f>
        <v>0.6</v>
      </c>
      <c r="I19" s="108">
        <f>IF(AND($C19&lt;&gt;"",$E19&lt;&gt;"Full Refresher"),'G1 MT Reading Scoresheet'!$P22,"")</f>
        <v>40</v>
      </c>
      <c r="J19" s="109" t="str">
        <f>'G1 MT Reading Scoresheet'!$U22</f>
        <v>Transitioning Reader</v>
      </c>
      <c r="K19" s="110" t="str">
        <f>IF('G1 MT Reading Scoresheet'!V22&lt;&gt;"",'G1 MT Reading Scoresheet'!V22,"")</f>
        <v/>
      </c>
    </row>
    <row r="20" spans="1:11">
      <c r="A20" s="49">
        <v>13</v>
      </c>
      <c r="B20" s="98">
        <f>IF('G1 MT Reading Scoresheet'!B23&lt;&gt;"",'G1 MT Reading Scoresheet'!B23,"")</f>
        <v>117443240014</v>
      </c>
      <c r="C20" s="99" t="str">
        <f>IF('G1 MT Reading Scoresheet'!C23&lt;&gt;"",'G1 MT Reading Scoresheet'!C23,"")</f>
        <v>LLAGOSO,PAULA JADE, RICABO</v>
      </c>
      <c r="D20" s="100" t="str">
        <f>IF('G1 MT Reading Scoresheet'!D23&lt;&gt;"",'G1 MT Reading Scoresheet'!D23,"")</f>
        <v>Female</v>
      </c>
      <c r="E20" s="95" t="str">
        <f>'G1 MT Reading Scoresheet'!J23</f>
        <v>Grade Ready</v>
      </c>
      <c r="F20" s="96">
        <f>IF($C20&lt;&gt;"",'G1 MT Reading Scoresheet'!$I23/30,"")</f>
        <v>1</v>
      </c>
      <c r="G20" s="96">
        <f>IF(AND($C20&lt;&gt;"",$E20&lt;&gt;"Full Refresher"),'G1 MT Reading Scoresheet'!$Q23,"")</f>
        <v>0.84</v>
      </c>
      <c r="H20" s="97">
        <f>IF(AND($C20&lt;&gt;"",$E20&lt;&gt;"Full Refresher"),'G1 MT Reading Scoresheet'!$R23/5,"")</f>
        <v>0.6</v>
      </c>
      <c r="I20" s="108">
        <f>IF(AND($C20&lt;&gt;"",$E20&lt;&gt;"Full Refresher"),'G1 MT Reading Scoresheet'!$P23,"")</f>
        <v>42</v>
      </c>
      <c r="J20" s="109" t="str">
        <f>'G1 MT Reading Scoresheet'!$U23</f>
        <v>Transitioning Reader</v>
      </c>
      <c r="K20" s="111" t="str">
        <f>IF('G1 MT Reading Scoresheet'!V23&lt;&gt;"",'G1 MT Reading Scoresheet'!V23,"")</f>
        <v/>
      </c>
    </row>
    <row r="21" spans="1:11">
      <c r="A21" s="91">
        <v>14</v>
      </c>
      <c r="B21" s="92">
        <f>IF('G1 MT Reading Scoresheet'!B24&lt;&gt;"",'G1 MT Reading Scoresheet'!B24,"")</f>
        <v>117441240034</v>
      </c>
      <c r="C21" s="93" t="str">
        <f>IF('G1 MT Reading Scoresheet'!C24&lt;&gt;"",'G1 MT Reading Scoresheet'!C24,"")</f>
        <v>MESIAS, SAVINNAH DOMINIQUE, GARDOSE</v>
      </c>
      <c r="D21" s="94" t="str">
        <f>IF('G1 MT Reading Scoresheet'!D24&lt;&gt;"",'G1 MT Reading Scoresheet'!D24,"")</f>
        <v>Female</v>
      </c>
      <c r="E21" s="95" t="str">
        <f>'G1 MT Reading Scoresheet'!J24</f>
        <v>Grade Ready</v>
      </c>
      <c r="F21" s="96">
        <f>IF($C21&lt;&gt;"",'G1 MT Reading Scoresheet'!$I24/30,"")</f>
        <v>1</v>
      </c>
      <c r="G21" s="96">
        <f>IF(AND($C21&lt;&gt;"",$E21&lt;&gt;"Full Refresher"),'G1 MT Reading Scoresheet'!$Q24,"")</f>
        <v>0.79591836734693877</v>
      </c>
      <c r="H21" s="97">
        <f>IF(AND($C21&lt;&gt;"",$E21&lt;&gt;"Full Refresher"),'G1 MT Reading Scoresheet'!$R24/5,"")</f>
        <v>0.4</v>
      </c>
      <c r="I21" s="108">
        <f>IF(AND($C21&lt;&gt;"",$E21&lt;&gt;"Full Refresher"),'G1 MT Reading Scoresheet'!$P24,"")</f>
        <v>39</v>
      </c>
      <c r="J21" s="109" t="str">
        <f>'G1 MT Reading Scoresheet'!$U24</f>
        <v>Transitioning Reader</v>
      </c>
      <c r="K21" s="110" t="str">
        <f>IF('G1 MT Reading Scoresheet'!V24&lt;&gt;"",'G1 MT Reading Scoresheet'!V24,"")</f>
        <v/>
      </c>
    </row>
    <row r="22" spans="1:11">
      <c r="A22" s="49">
        <v>15</v>
      </c>
      <c r="B22" s="98" t="str">
        <f>IF('G1 MT Reading Scoresheet'!B25&lt;&gt;"",'G1 MT Reading Scoresheet'!B25,"")</f>
        <v/>
      </c>
      <c r="C22" s="99" t="str">
        <f>IF('G1 MT Reading Scoresheet'!C25&lt;&gt;"",'G1 MT Reading Scoresheet'!C25,"")</f>
        <v/>
      </c>
      <c r="D22" s="100" t="str">
        <f>IF('G1 MT Reading Scoresheet'!D25&lt;&gt;"",'G1 MT Reading Scoresheet'!D25,"")</f>
        <v/>
      </c>
      <c r="E22" s="95" t="str">
        <f>'G1 MT Reading Scoresheet'!J25</f>
        <v/>
      </c>
      <c r="F22" s="96" t="str">
        <f>IF($C22&lt;&gt;"",'G1 MT Reading Scoresheet'!$I25/30,"")</f>
        <v/>
      </c>
      <c r="G22" s="96" t="str">
        <f>IF(AND($C22&lt;&gt;"",$E22&lt;&gt;"Full Refresher"),'G1 MT Reading Scoresheet'!$Q25,"")</f>
        <v/>
      </c>
      <c r="H22" s="97" t="str">
        <f>IF(AND($C22&lt;&gt;"",$E22&lt;&gt;"Full Refresher"),'G1 MT Reading Scoresheet'!$R25/5,"")</f>
        <v/>
      </c>
      <c r="I22" s="108" t="str">
        <f>IF(AND($C22&lt;&gt;"",$E22&lt;&gt;"Full Refresher"),'G1 MT Reading Scoresheet'!$P25,"")</f>
        <v/>
      </c>
      <c r="J22" s="109" t="str">
        <f>'G1 MT Reading Scoresheet'!$U25</f>
        <v/>
      </c>
      <c r="K22" s="111" t="str">
        <f>IF('G1 MT Reading Scoresheet'!V25&lt;&gt;"",'G1 MT Reading Scoresheet'!V25,"")</f>
        <v/>
      </c>
    </row>
    <row r="23" spans="1:11">
      <c r="A23" s="91">
        <v>16</v>
      </c>
      <c r="B23" s="92" t="str">
        <f>IF('G1 MT Reading Scoresheet'!B26&lt;&gt;"",'G1 MT Reading Scoresheet'!B26,"")</f>
        <v/>
      </c>
      <c r="C23" s="93" t="str">
        <f>IF('G1 MT Reading Scoresheet'!C26&lt;&gt;"",'G1 MT Reading Scoresheet'!C26,"")</f>
        <v/>
      </c>
      <c r="D23" s="94" t="str">
        <f>IF('G1 MT Reading Scoresheet'!D26&lt;&gt;"",'G1 MT Reading Scoresheet'!D26,"")</f>
        <v/>
      </c>
      <c r="E23" s="95" t="str">
        <f>'G1 MT Reading Scoresheet'!J26</f>
        <v/>
      </c>
      <c r="F23" s="96" t="str">
        <f>IF($C23&lt;&gt;"",'G1 MT Reading Scoresheet'!$I26/30,"")</f>
        <v/>
      </c>
      <c r="G23" s="96" t="str">
        <f>IF(AND($C23&lt;&gt;"",$E23&lt;&gt;"Full Refresher"),'G1 MT Reading Scoresheet'!$Q26,"")</f>
        <v/>
      </c>
      <c r="H23" s="97" t="str">
        <f>IF(AND($C23&lt;&gt;"",$E23&lt;&gt;"Full Refresher"),'G1 MT Reading Scoresheet'!$R26/5,"")</f>
        <v/>
      </c>
      <c r="I23" s="108" t="str">
        <f>IF(AND($C23&lt;&gt;"",$E23&lt;&gt;"Full Refresher"),'G1 MT Reading Scoresheet'!$P26,"")</f>
        <v/>
      </c>
      <c r="J23" s="109" t="str">
        <f>'G1 MT Reading Scoresheet'!$U26</f>
        <v/>
      </c>
      <c r="K23" s="110" t="str">
        <f>IF('G1 MT Reading Scoresheet'!V26&lt;&gt;"",'G1 MT Reading Scoresheet'!V26,"")</f>
        <v/>
      </c>
    </row>
    <row r="24" spans="1:11">
      <c r="A24" s="49">
        <v>17</v>
      </c>
      <c r="B24" s="98" t="str">
        <f>IF('G1 MT Reading Scoresheet'!B27&lt;&gt;"",'G1 MT Reading Scoresheet'!B27,"")</f>
        <v/>
      </c>
      <c r="C24" s="99" t="str">
        <f>IF('G1 MT Reading Scoresheet'!C27&lt;&gt;"",'G1 MT Reading Scoresheet'!C27,"")</f>
        <v/>
      </c>
      <c r="D24" s="100" t="str">
        <f>IF('G1 MT Reading Scoresheet'!D27&lt;&gt;"",'G1 MT Reading Scoresheet'!D27,"")</f>
        <v/>
      </c>
      <c r="E24" s="95" t="str">
        <f>'G1 MT Reading Scoresheet'!J27</f>
        <v/>
      </c>
      <c r="F24" s="96" t="str">
        <f>IF($C24&lt;&gt;"",'G1 MT Reading Scoresheet'!$I27/30,"")</f>
        <v/>
      </c>
      <c r="G24" s="96" t="str">
        <f>IF(AND($C24&lt;&gt;"",$E24&lt;&gt;"Full Refresher"),'G1 MT Reading Scoresheet'!$Q27,"")</f>
        <v/>
      </c>
      <c r="H24" s="97" t="str">
        <f>IF(AND($C24&lt;&gt;"",$E24&lt;&gt;"Full Refresher"),'G1 MT Reading Scoresheet'!$R27/5,"")</f>
        <v/>
      </c>
      <c r="I24" s="108" t="str">
        <f>IF(AND($C24&lt;&gt;"",$E24&lt;&gt;"Full Refresher"),'G1 MT Reading Scoresheet'!$P27,"")</f>
        <v/>
      </c>
      <c r="J24" s="109" t="str">
        <f>'G1 MT Reading Scoresheet'!$U27</f>
        <v/>
      </c>
      <c r="K24" s="111" t="str">
        <f>IF('G1 MT Reading Scoresheet'!V27&lt;&gt;"",'G1 MT Reading Scoresheet'!V27,"")</f>
        <v/>
      </c>
    </row>
    <row r="25" spans="1:11">
      <c r="A25" s="91">
        <v>18</v>
      </c>
      <c r="B25" s="92" t="str">
        <f>IF('G1 MT Reading Scoresheet'!B28&lt;&gt;"",'G1 MT Reading Scoresheet'!B28,"")</f>
        <v/>
      </c>
      <c r="C25" s="93" t="str">
        <f>IF('G1 MT Reading Scoresheet'!C28&lt;&gt;"",'G1 MT Reading Scoresheet'!C28,"")</f>
        <v/>
      </c>
      <c r="D25" s="94" t="str">
        <f>IF('G1 MT Reading Scoresheet'!D28&lt;&gt;"",'G1 MT Reading Scoresheet'!D28,"")</f>
        <v/>
      </c>
      <c r="E25" s="95" t="str">
        <f>'G1 MT Reading Scoresheet'!J28</f>
        <v/>
      </c>
      <c r="F25" s="96" t="str">
        <f>IF($C25&lt;&gt;"",'G1 MT Reading Scoresheet'!$I28/30,"")</f>
        <v/>
      </c>
      <c r="G25" s="96" t="str">
        <f>IF(AND($C25&lt;&gt;"",$E25&lt;&gt;"Full Refresher"),'G1 MT Reading Scoresheet'!$Q28,"")</f>
        <v/>
      </c>
      <c r="H25" s="97" t="str">
        <f>IF(AND($C25&lt;&gt;"",$E25&lt;&gt;"Full Refresher"),'G1 MT Reading Scoresheet'!$R28/5,"")</f>
        <v/>
      </c>
      <c r="I25" s="108" t="str">
        <f>IF(AND($C25&lt;&gt;"",$E25&lt;&gt;"Full Refresher"),'G1 MT Reading Scoresheet'!$P28,"")</f>
        <v/>
      </c>
      <c r="J25" s="109" t="str">
        <f>'G1 MT Reading Scoresheet'!$U28</f>
        <v/>
      </c>
      <c r="K25" s="110" t="str">
        <f>IF('G1 MT Reading Scoresheet'!V28&lt;&gt;"",'G1 MT Reading Scoresheet'!V28,"")</f>
        <v/>
      </c>
    </row>
    <row r="26" spans="1:11">
      <c r="A26" s="49">
        <v>19</v>
      </c>
      <c r="B26" s="98" t="str">
        <f>IF('G1 MT Reading Scoresheet'!B29&lt;&gt;"",'G1 MT Reading Scoresheet'!B29,"")</f>
        <v/>
      </c>
      <c r="C26" s="99" t="str">
        <f>IF('G1 MT Reading Scoresheet'!C29&lt;&gt;"",'G1 MT Reading Scoresheet'!C29,"")</f>
        <v/>
      </c>
      <c r="D26" s="100" t="str">
        <f>IF('G1 MT Reading Scoresheet'!D29&lt;&gt;"",'G1 MT Reading Scoresheet'!D29,"")</f>
        <v/>
      </c>
      <c r="E26" s="95" t="str">
        <f>'G1 MT Reading Scoresheet'!J29</f>
        <v/>
      </c>
      <c r="F26" s="96" t="str">
        <f>IF($C26&lt;&gt;"",'G1 MT Reading Scoresheet'!$I29/30,"")</f>
        <v/>
      </c>
      <c r="G26" s="96" t="str">
        <f>IF(AND($C26&lt;&gt;"",$E26&lt;&gt;"Full Refresher"),'G1 MT Reading Scoresheet'!$Q29,"")</f>
        <v/>
      </c>
      <c r="H26" s="97" t="str">
        <f>IF(AND($C26&lt;&gt;"",$E26&lt;&gt;"Full Refresher"),'G1 MT Reading Scoresheet'!$R29/5,"")</f>
        <v/>
      </c>
      <c r="I26" s="108" t="str">
        <f>IF(AND($C26&lt;&gt;"",$E26&lt;&gt;"Full Refresher"),'G1 MT Reading Scoresheet'!$P29,"")</f>
        <v/>
      </c>
      <c r="J26" s="109" t="str">
        <f>'G1 MT Reading Scoresheet'!$U29</f>
        <v/>
      </c>
      <c r="K26" s="111" t="str">
        <f>IF('G1 MT Reading Scoresheet'!V29&lt;&gt;"",'G1 MT Reading Scoresheet'!V29,"")</f>
        <v/>
      </c>
    </row>
    <row r="27" spans="1:11">
      <c r="A27" s="91">
        <v>20</v>
      </c>
      <c r="B27" s="92" t="str">
        <f>IF('G1 MT Reading Scoresheet'!B30&lt;&gt;"",'G1 MT Reading Scoresheet'!B30,"")</f>
        <v/>
      </c>
      <c r="C27" s="93" t="str">
        <f>IF('G1 MT Reading Scoresheet'!C30&lt;&gt;"",'G1 MT Reading Scoresheet'!C30,"")</f>
        <v/>
      </c>
      <c r="D27" s="94" t="str">
        <f>IF('G1 MT Reading Scoresheet'!D30&lt;&gt;"",'G1 MT Reading Scoresheet'!D30,"")</f>
        <v/>
      </c>
      <c r="E27" s="95" t="str">
        <f>'G1 MT Reading Scoresheet'!J30</f>
        <v/>
      </c>
      <c r="F27" s="96" t="str">
        <f>IF($C27&lt;&gt;"",'G1 MT Reading Scoresheet'!$I30/30,"")</f>
        <v/>
      </c>
      <c r="G27" s="96" t="str">
        <f>IF(AND($C27&lt;&gt;"",$E27&lt;&gt;"Full Refresher"),'G1 MT Reading Scoresheet'!$Q30,"")</f>
        <v/>
      </c>
      <c r="H27" s="97" t="str">
        <f>IF(AND($C27&lt;&gt;"",$E27&lt;&gt;"Full Refresher"),'G1 MT Reading Scoresheet'!$R30/5,"")</f>
        <v/>
      </c>
      <c r="I27" s="108" t="str">
        <f>IF(AND($C27&lt;&gt;"",$E27&lt;&gt;"Full Refresher"),'G1 MT Reading Scoresheet'!$P30,"")</f>
        <v/>
      </c>
      <c r="J27" s="109" t="str">
        <f>'G1 MT Reading Scoresheet'!$U30</f>
        <v/>
      </c>
      <c r="K27" s="110" t="str">
        <f>IF('G1 MT Reading Scoresheet'!V30&lt;&gt;"",'G1 MT Reading Scoresheet'!V30,"")</f>
        <v/>
      </c>
    </row>
    <row r="28" spans="1:11">
      <c r="A28" s="49">
        <v>21</v>
      </c>
      <c r="B28" s="98" t="str">
        <f>IF('G1 MT Reading Scoresheet'!B31&lt;&gt;"",'G1 MT Reading Scoresheet'!B31,"")</f>
        <v/>
      </c>
      <c r="C28" s="99" t="str">
        <f>IF('G1 MT Reading Scoresheet'!C31&lt;&gt;"",'G1 MT Reading Scoresheet'!C31,"")</f>
        <v/>
      </c>
      <c r="D28" s="100" t="str">
        <f>IF('G1 MT Reading Scoresheet'!D31&lt;&gt;"",'G1 MT Reading Scoresheet'!D31,"")</f>
        <v/>
      </c>
      <c r="E28" s="95" t="str">
        <f>'G1 MT Reading Scoresheet'!J31</f>
        <v/>
      </c>
      <c r="F28" s="96" t="str">
        <f>IF($C28&lt;&gt;"",'G1 MT Reading Scoresheet'!$I31/30,"")</f>
        <v/>
      </c>
      <c r="G28" s="96" t="str">
        <f>IF(AND($C28&lt;&gt;"",$E28&lt;&gt;"Full Refresher"),'G1 MT Reading Scoresheet'!$Q31,"")</f>
        <v/>
      </c>
      <c r="H28" s="97" t="str">
        <f>IF(AND($C28&lt;&gt;"",$E28&lt;&gt;"Full Refresher"),'G1 MT Reading Scoresheet'!$R31/5,"")</f>
        <v/>
      </c>
      <c r="I28" s="108" t="str">
        <f>IF(AND($C28&lt;&gt;"",$E28&lt;&gt;"Full Refresher"),'G1 MT Reading Scoresheet'!$P31,"")</f>
        <v/>
      </c>
      <c r="J28" s="109" t="str">
        <f>'G1 MT Reading Scoresheet'!$U31</f>
        <v/>
      </c>
      <c r="K28" s="111" t="str">
        <f>IF('G1 MT Reading Scoresheet'!V31&lt;&gt;"",'G1 MT Reading Scoresheet'!V31,"")</f>
        <v/>
      </c>
    </row>
    <row r="29" spans="1:11">
      <c r="A29" s="91">
        <v>22</v>
      </c>
      <c r="B29" s="92" t="str">
        <f>IF('G1 MT Reading Scoresheet'!B32&lt;&gt;"",'G1 MT Reading Scoresheet'!B32,"")</f>
        <v/>
      </c>
      <c r="C29" s="93" t="str">
        <f>IF('G1 MT Reading Scoresheet'!C32&lt;&gt;"",'G1 MT Reading Scoresheet'!C32,"")</f>
        <v/>
      </c>
      <c r="D29" s="94" t="str">
        <f>IF('G1 MT Reading Scoresheet'!D32&lt;&gt;"",'G1 MT Reading Scoresheet'!D32,"")</f>
        <v/>
      </c>
      <c r="E29" s="95" t="str">
        <f>'G1 MT Reading Scoresheet'!J32</f>
        <v/>
      </c>
      <c r="F29" s="96" t="str">
        <f>IF($C29&lt;&gt;"",'G1 MT Reading Scoresheet'!$I32/30,"")</f>
        <v/>
      </c>
      <c r="G29" s="96" t="str">
        <f>IF(AND($C29&lt;&gt;"",$E29&lt;&gt;"Full Refresher"),'G1 MT Reading Scoresheet'!$Q32,"")</f>
        <v/>
      </c>
      <c r="H29" s="97" t="str">
        <f>IF(AND($C29&lt;&gt;"",$E29&lt;&gt;"Full Refresher"),'G1 MT Reading Scoresheet'!$R32/5,"")</f>
        <v/>
      </c>
      <c r="I29" s="108" t="str">
        <f>IF(AND($C29&lt;&gt;"",$E29&lt;&gt;"Full Refresher"),'G1 MT Reading Scoresheet'!$P32,"")</f>
        <v/>
      </c>
      <c r="J29" s="109" t="str">
        <f>'G1 MT Reading Scoresheet'!$U32</f>
        <v/>
      </c>
      <c r="K29" s="110" t="str">
        <f>IF('G1 MT Reading Scoresheet'!V32&lt;&gt;"",'G1 MT Reading Scoresheet'!V32,"")</f>
        <v/>
      </c>
    </row>
    <row r="30" spans="1:11">
      <c r="A30" s="49">
        <v>23</v>
      </c>
      <c r="B30" s="98" t="str">
        <f>IF('G1 MT Reading Scoresheet'!B33&lt;&gt;"",'G1 MT Reading Scoresheet'!B33,"")</f>
        <v/>
      </c>
      <c r="C30" s="99" t="str">
        <f>IF('G1 MT Reading Scoresheet'!C33&lt;&gt;"",'G1 MT Reading Scoresheet'!C33,"")</f>
        <v/>
      </c>
      <c r="D30" s="100" t="str">
        <f>IF('G1 MT Reading Scoresheet'!D33&lt;&gt;"",'G1 MT Reading Scoresheet'!D33,"")</f>
        <v/>
      </c>
      <c r="E30" s="95" t="str">
        <f>'G1 MT Reading Scoresheet'!J33</f>
        <v/>
      </c>
      <c r="F30" s="96" t="str">
        <f>IF($C30&lt;&gt;"",'G1 MT Reading Scoresheet'!$I33/30,"")</f>
        <v/>
      </c>
      <c r="G30" s="96" t="str">
        <f>IF(AND($C30&lt;&gt;"",$E30&lt;&gt;"Full Refresher"),'G1 MT Reading Scoresheet'!$Q33,"")</f>
        <v/>
      </c>
      <c r="H30" s="97" t="str">
        <f>IF(AND($C30&lt;&gt;"",$E30&lt;&gt;"Full Refresher"),'G1 MT Reading Scoresheet'!$R33/5,"")</f>
        <v/>
      </c>
      <c r="I30" s="108" t="str">
        <f>IF(AND($C30&lt;&gt;"",$E30&lt;&gt;"Full Refresher"),'G1 MT Reading Scoresheet'!$P33,"")</f>
        <v/>
      </c>
      <c r="J30" s="109" t="str">
        <f>'G1 MT Reading Scoresheet'!$U33</f>
        <v/>
      </c>
      <c r="K30" s="111" t="str">
        <f>IF('G1 MT Reading Scoresheet'!V33&lt;&gt;"",'G1 MT Reading Scoresheet'!V33,"")</f>
        <v/>
      </c>
    </row>
    <row r="31" spans="1:11">
      <c r="A31" s="91">
        <v>24</v>
      </c>
      <c r="B31" s="92" t="str">
        <f>IF('G1 MT Reading Scoresheet'!B34&lt;&gt;"",'G1 MT Reading Scoresheet'!B34,"")</f>
        <v/>
      </c>
      <c r="C31" s="93" t="str">
        <f>IF('G1 MT Reading Scoresheet'!C34&lt;&gt;"",'G1 MT Reading Scoresheet'!C34,"")</f>
        <v/>
      </c>
      <c r="D31" s="94" t="str">
        <f>IF('G1 MT Reading Scoresheet'!D34&lt;&gt;"",'G1 MT Reading Scoresheet'!D34,"")</f>
        <v/>
      </c>
      <c r="E31" s="95" t="str">
        <f>'G1 MT Reading Scoresheet'!J34</f>
        <v/>
      </c>
      <c r="F31" s="96" t="str">
        <f>IF($C31&lt;&gt;"",'G1 MT Reading Scoresheet'!$I34/30,"")</f>
        <v/>
      </c>
      <c r="G31" s="96" t="str">
        <f>IF(AND($C31&lt;&gt;"",$E31&lt;&gt;"Full Refresher"),'G1 MT Reading Scoresheet'!$Q34,"")</f>
        <v/>
      </c>
      <c r="H31" s="97" t="str">
        <f>IF(AND($C31&lt;&gt;"",$E31&lt;&gt;"Full Refresher"),'G1 MT Reading Scoresheet'!$R34/5,"")</f>
        <v/>
      </c>
      <c r="I31" s="108" t="str">
        <f>IF(AND($C31&lt;&gt;"",$E31&lt;&gt;"Full Refresher"),'G1 MT Reading Scoresheet'!$P34,"")</f>
        <v/>
      </c>
      <c r="J31" s="109" t="str">
        <f>'G1 MT Reading Scoresheet'!$U34</f>
        <v/>
      </c>
      <c r="K31" s="110" t="str">
        <f>IF('G1 MT Reading Scoresheet'!V34&lt;&gt;"",'G1 MT Reading Scoresheet'!V34,"")</f>
        <v/>
      </c>
    </row>
    <row r="32" spans="1:11">
      <c r="A32" s="49">
        <v>25</v>
      </c>
      <c r="B32" s="98" t="str">
        <f>IF('G1 MT Reading Scoresheet'!B35&lt;&gt;"",'G1 MT Reading Scoresheet'!B35,"")</f>
        <v/>
      </c>
      <c r="C32" s="99" t="str">
        <f>IF('G1 MT Reading Scoresheet'!C35&lt;&gt;"",'G1 MT Reading Scoresheet'!C35,"")</f>
        <v/>
      </c>
      <c r="D32" s="100" t="str">
        <f>IF('G1 MT Reading Scoresheet'!D35&lt;&gt;"",'G1 MT Reading Scoresheet'!D35,"")</f>
        <v/>
      </c>
      <c r="E32" s="95" t="str">
        <f>'G1 MT Reading Scoresheet'!J35</f>
        <v/>
      </c>
      <c r="F32" s="96" t="str">
        <f>IF($C32&lt;&gt;"",'G1 MT Reading Scoresheet'!$I35/30,"")</f>
        <v/>
      </c>
      <c r="G32" s="96" t="str">
        <f>IF(AND($C32&lt;&gt;"",$E32&lt;&gt;"Full Refresher"),'G1 MT Reading Scoresheet'!$Q35,"")</f>
        <v/>
      </c>
      <c r="H32" s="97" t="str">
        <f>IF(AND($C32&lt;&gt;"",$E32&lt;&gt;"Full Refresher"),'G1 MT Reading Scoresheet'!$R35/5,"")</f>
        <v/>
      </c>
      <c r="I32" s="108" t="str">
        <f>IF(AND($C32&lt;&gt;"",$E32&lt;&gt;"Full Refresher"),'G1 MT Reading Scoresheet'!$P35,"")</f>
        <v/>
      </c>
      <c r="J32" s="109" t="str">
        <f>'G1 MT Reading Scoresheet'!$U35</f>
        <v/>
      </c>
      <c r="K32" s="111" t="str">
        <f>IF('G1 MT Reading Scoresheet'!V35&lt;&gt;"",'G1 MT Reading Scoresheet'!V35,"")</f>
        <v/>
      </c>
    </row>
    <row r="33" spans="1:11">
      <c r="A33" s="91">
        <v>26</v>
      </c>
      <c r="B33" s="92" t="str">
        <f>IF('G1 MT Reading Scoresheet'!B36&lt;&gt;"",'G1 MT Reading Scoresheet'!B36,"")</f>
        <v/>
      </c>
      <c r="C33" s="93" t="str">
        <f>IF('G1 MT Reading Scoresheet'!C36&lt;&gt;"",'G1 MT Reading Scoresheet'!C36,"")</f>
        <v/>
      </c>
      <c r="D33" s="94" t="str">
        <f>IF('G1 MT Reading Scoresheet'!D36&lt;&gt;"",'G1 MT Reading Scoresheet'!D36,"")</f>
        <v/>
      </c>
      <c r="E33" s="95" t="str">
        <f>'G1 MT Reading Scoresheet'!J36</f>
        <v/>
      </c>
      <c r="F33" s="96" t="str">
        <f>IF($C33&lt;&gt;"",'G1 MT Reading Scoresheet'!$I36/30,"")</f>
        <v/>
      </c>
      <c r="G33" s="96" t="str">
        <f>IF(AND($C33&lt;&gt;"",$E33&lt;&gt;"Full Refresher"),'G1 MT Reading Scoresheet'!$Q36,"")</f>
        <v/>
      </c>
      <c r="H33" s="97" t="str">
        <f>IF(AND($C33&lt;&gt;"",$E33&lt;&gt;"Full Refresher"),'G1 MT Reading Scoresheet'!$R36/5,"")</f>
        <v/>
      </c>
      <c r="I33" s="108" t="str">
        <f>IF(AND($C33&lt;&gt;"",$E33&lt;&gt;"Full Refresher"),'G1 MT Reading Scoresheet'!$P36,"")</f>
        <v/>
      </c>
      <c r="J33" s="109" t="str">
        <f>'G1 MT Reading Scoresheet'!$U36</f>
        <v/>
      </c>
      <c r="K33" s="110" t="str">
        <f>IF('G1 MT Reading Scoresheet'!V36&lt;&gt;"",'G1 MT Reading Scoresheet'!V36,"")</f>
        <v/>
      </c>
    </row>
    <row r="34" spans="1:11">
      <c r="A34" s="49">
        <v>27</v>
      </c>
      <c r="B34" s="98" t="str">
        <f>IF('G1 MT Reading Scoresheet'!B37&lt;&gt;"",'G1 MT Reading Scoresheet'!B37,"")</f>
        <v/>
      </c>
      <c r="C34" s="99" t="str">
        <f>IF('G1 MT Reading Scoresheet'!C37&lt;&gt;"",'G1 MT Reading Scoresheet'!C37,"")</f>
        <v/>
      </c>
      <c r="D34" s="100" t="str">
        <f>IF('G1 MT Reading Scoresheet'!D37&lt;&gt;"",'G1 MT Reading Scoresheet'!D37,"")</f>
        <v/>
      </c>
      <c r="E34" s="95" t="str">
        <f>'G1 MT Reading Scoresheet'!J37</f>
        <v/>
      </c>
      <c r="F34" s="96" t="str">
        <f>IF($C34&lt;&gt;"",'G1 MT Reading Scoresheet'!$I37/30,"")</f>
        <v/>
      </c>
      <c r="G34" s="96" t="str">
        <f>IF(AND($C34&lt;&gt;"",$E34&lt;&gt;"Full Refresher"),'G1 MT Reading Scoresheet'!$Q37,"")</f>
        <v/>
      </c>
      <c r="H34" s="97" t="str">
        <f>IF(AND($C34&lt;&gt;"",$E34&lt;&gt;"Full Refresher"),'G1 MT Reading Scoresheet'!$R37/5,"")</f>
        <v/>
      </c>
      <c r="I34" s="108" t="str">
        <f>IF(AND($C34&lt;&gt;"",$E34&lt;&gt;"Full Refresher"),'G1 MT Reading Scoresheet'!$P37,"")</f>
        <v/>
      </c>
      <c r="J34" s="109" t="str">
        <f>'G1 MT Reading Scoresheet'!$U37</f>
        <v/>
      </c>
      <c r="K34" s="111" t="str">
        <f>IF('G1 MT Reading Scoresheet'!V37&lt;&gt;"",'G1 MT Reading Scoresheet'!V37,"")</f>
        <v/>
      </c>
    </row>
    <row r="35" spans="1:11">
      <c r="A35" s="91">
        <v>28</v>
      </c>
      <c r="B35" s="92" t="str">
        <f>IF('G1 MT Reading Scoresheet'!B38&lt;&gt;"",'G1 MT Reading Scoresheet'!B38,"")</f>
        <v/>
      </c>
      <c r="C35" s="93" t="str">
        <f>IF('G1 MT Reading Scoresheet'!C38&lt;&gt;"",'G1 MT Reading Scoresheet'!C38,"")</f>
        <v/>
      </c>
      <c r="D35" s="94" t="str">
        <f>IF('G1 MT Reading Scoresheet'!D38&lt;&gt;"",'G1 MT Reading Scoresheet'!D38,"")</f>
        <v/>
      </c>
      <c r="E35" s="95" t="str">
        <f>'G1 MT Reading Scoresheet'!J38</f>
        <v/>
      </c>
      <c r="F35" s="96" t="str">
        <f>IF($C35&lt;&gt;"",'G1 MT Reading Scoresheet'!$I38/30,"")</f>
        <v/>
      </c>
      <c r="G35" s="96" t="str">
        <f>IF(AND($C35&lt;&gt;"",$E35&lt;&gt;"Full Refresher"),'G1 MT Reading Scoresheet'!$Q38,"")</f>
        <v/>
      </c>
      <c r="H35" s="97" t="str">
        <f>IF(AND($C35&lt;&gt;"",$E35&lt;&gt;"Full Refresher"),'G1 MT Reading Scoresheet'!$R38/5,"")</f>
        <v/>
      </c>
      <c r="I35" s="108" t="str">
        <f>IF(AND($C35&lt;&gt;"",$E35&lt;&gt;"Full Refresher"),'G1 MT Reading Scoresheet'!$P38,"")</f>
        <v/>
      </c>
      <c r="J35" s="109" t="str">
        <f>'G1 MT Reading Scoresheet'!$U38</f>
        <v/>
      </c>
      <c r="K35" s="110" t="str">
        <f>IF('G1 MT Reading Scoresheet'!V38&lt;&gt;"",'G1 MT Reading Scoresheet'!V38,"")</f>
        <v/>
      </c>
    </row>
    <row r="36" spans="1:11">
      <c r="A36" s="49">
        <v>29</v>
      </c>
      <c r="B36" s="98" t="str">
        <f>IF('G1 MT Reading Scoresheet'!B39&lt;&gt;"",'G1 MT Reading Scoresheet'!B39,"")</f>
        <v/>
      </c>
      <c r="C36" s="99" t="str">
        <f>IF('G1 MT Reading Scoresheet'!C39&lt;&gt;"",'G1 MT Reading Scoresheet'!C39,"")</f>
        <v/>
      </c>
      <c r="D36" s="100" t="str">
        <f>IF('G1 MT Reading Scoresheet'!D39&lt;&gt;"",'G1 MT Reading Scoresheet'!D39,"")</f>
        <v/>
      </c>
      <c r="E36" s="95" t="str">
        <f>'G1 MT Reading Scoresheet'!J39</f>
        <v/>
      </c>
      <c r="F36" s="96" t="str">
        <f>IF($C36&lt;&gt;"",'G1 MT Reading Scoresheet'!$I39/30,"")</f>
        <v/>
      </c>
      <c r="G36" s="96" t="str">
        <f>IF(AND($C36&lt;&gt;"",$E36&lt;&gt;"Full Refresher"),'G1 MT Reading Scoresheet'!$Q39,"")</f>
        <v/>
      </c>
      <c r="H36" s="97" t="str">
        <f>IF(AND($C36&lt;&gt;"",$E36&lt;&gt;"Full Refresher"),'G1 MT Reading Scoresheet'!$R39/5,"")</f>
        <v/>
      </c>
      <c r="I36" s="108" t="str">
        <f>IF(AND($C36&lt;&gt;"",$E36&lt;&gt;"Full Refresher"),'G1 MT Reading Scoresheet'!$P39,"")</f>
        <v/>
      </c>
      <c r="J36" s="109" t="str">
        <f>'G1 MT Reading Scoresheet'!$U39</f>
        <v/>
      </c>
      <c r="K36" s="111" t="str">
        <f>IF('G1 MT Reading Scoresheet'!V39&lt;&gt;"",'G1 MT Reading Scoresheet'!V39,"")</f>
        <v/>
      </c>
    </row>
    <row r="37" spans="1:11">
      <c r="A37" s="91">
        <v>30</v>
      </c>
      <c r="B37" s="92" t="str">
        <f>IF('G1 MT Reading Scoresheet'!B40&lt;&gt;"",'G1 MT Reading Scoresheet'!B40,"")</f>
        <v/>
      </c>
      <c r="C37" s="93" t="str">
        <f>IF('G1 MT Reading Scoresheet'!C40&lt;&gt;"",'G1 MT Reading Scoresheet'!C40,"")</f>
        <v/>
      </c>
      <c r="D37" s="94" t="str">
        <f>IF('G1 MT Reading Scoresheet'!D40&lt;&gt;"",'G1 MT Reading Scoresheet'!D40,"")</f>
        <v/>
      </c>
      <c r="E37" s="95" t="str">
        <f>'G1 MT Reading Scoresheet'!J40</f>
        <v/>
      </c>
      <c r="F37" s="96" t="str">
        <f>IF($C37&lt;&gt;"",'G1 MT Reading Scoresheet'!$I40/30,"")</f>
        <v/>
      </c>
      <c r="G37" s="96" t="str">
        <f>IF(AND($C37&lt;&gt;"",$E37&lt;&gt;"Full Refresher"),'G1 MT Reading Scoresheet'!$Q40,"")</f>
        <v/>
      </c>
      <c r="H37" s="97" t="str">
        <f>IF(AND($C37&lt;&gt;"",$E37&lt;&gt;"Full Refresher"),'G1 MT Reading Scoresheet'!$R40/5,"")</f>
        <v/>
      </c>
      <c r="I37" s="108" t="str">
        <f>IF(AND($C37&lt;&gt;"",$E37&lt;&gt;"Full Refresher"),'G1 MT Reading Scoresheet'!$P40,"")</f>
        <v/>
      </c>
      <c r="J37" s="109" t="str">
        <f>'G1 MT Reading Scoresheet'!$U40</f>
        <v/>
      </c>
      <c r="K37" s="110" t="str">
        <f>IF('G1 MT Reading Scoresheet'!V40&lt;&gt;"",'G1 MT Reading Scoresheet'!V40,"")</f>
        <v/>
      </c>
    </row>
    <row r="38" spans="1:11">
      <c r="A38" s="49">
        <v>31</v>
      </c>
      <c r="B38" s="98" t="str">
        <f>IF('G1 MT Reading Scoresheet'!B41&lt;&gt;"",'G1 MT Reading Scoresheet'!B41,"")</f>
        <v/>
      </c>
      <c r="C38" s="99" t="str">
        <f>IF('G1 MT Reading Scoresheet'!C41&lt;&gt;"",'G1 MT Reading Scoresheet'!C41,"")</f>
        <v/>
      </c>
      <c r="D38" s="100" t="str">
        <f>IF('G1 MT Reading Scoresheet'!D41&lt;&gt;"",'G1 MT Reading Scoresheet'!D41,"")</f>
        <v/>
      </c>
      <c r="E38" s="95" t="str">
        <f>'G1 MT Reading Scoresheet'!J41</f>
        <v/>
      </c>
      <c r="F38" s="96" t="str">
        <f>IF($C38&lt;&gt;"",'G1 MT Reading Scoresheet'!$I41/30,"")</f>
        <v/>
      </c>
      <c r="G38" s="96" t="str">
        <f>IF(AND($C38&lt;&gt;"",$E38&lt;&gt;"Full Refresher"),'G1 MT Reading Scoresheet'!$Q41,"")</f>
        <v/>
      </c>
      <c r="H38" s="97" t="str">
        <f>IF(AND($C38&lt;&gt;"",$E38&lt;&gt;"Full Refresher"),'G1 MT Reading Scoresheet'!$R41/5,"")</f>
        <v/>
      </c>
      <c r="I38" s="108" t="str">
        <f>IF(AND($C38&lt;&gt;"",$E38&lt;&gt;"Full Refresher"),'G1 MT Reading Scoresheet'!$P41,"")</f>
        <v/>
      </c>
      <c r="J38" s="109" t="str">
        <f>'G1 MT Reading Scoresheet'!$U41</f>
        <v/>
      </c>
      <c r="K38" s="111" t="str">
        <f>IF('G1 MT Reading Scoresheet'!V41&lt;&gt;"",'G1 MT Reading Scoresheet'!V41,"")</f>
        <v/>
      </c>
    </row>
    <row r="39" spans="1:11">
      <c r="A39" s="91">
        <v>32</v>
      </c>
      <c r="B39" s="92" t="str">
        <f>IF('G1 MT Reading Scoresheet'!B42&lt;&gt;"",'G1 MT Reading Scoresheet'!B42,"")</f>
        <v/>
      </c>
      <c r="C39" s="93" t="str">
        <f>IF('G1 MT Reading Scoresheet'!C42&lt;&gt;"",'G1 MT Reading Scoresheet'!C42,"")</f>
        <v/>
      </c>
      <c r="D39" s="94" t="str">
        <f>IF('G1 MT Reading Scoresheet'!D42&lt;&gt;"",'G1 MT Reading Scoresheet'!D42,"")</f>
        <v/>
      </c>
      <c r="E39" s="95" t="str">
        <f>'G1 MT Reading Scoresheet'!J42</f>
        <v/>
      </c>
      <c r="F39" s="96" t="str">
        <f>IF($C39&lt;&gt;"",'G1 MT Reading Scoresheet'!$I42/30,"")</f>
        <v/>
      </c>
      <c r="G39" s="96" t="str">
        <f>IF(AND($C39&lt;&gt;"",$E39&lt;&gt;"Full Refresher"),'G1 MT Reading Scoresheet'!$Q42,"")</f>
        <v/>
      </c>
      <c r="H39" s="97" t="str">
        <f>IF(AND($C39&lt;&gt;"",$E39&lt;&gt;"Full Refresher"),'G1 MT Reading Scoresheet'!$R42/5,"")</f>
        <v/>
      </c>
      <c r="I39" s="108" t="str">
        <f>IF(AND($C39&lt;&gt;"",$E39&lt;&gt;"Full Refresher"),'G1 MT Reading Scoresheet'!$P42,"")</f>
        <v/>
      </c>
      <c r="J39" s="109" t="str">
        <f>'G1 MT Reading Scoresheet'!$U42</f>
        <v/>
      </c>
      <c r="K39" s="110" t="str">
        <f>IF('G1 MT Reading Scoresheet'!V42&lt;&gt;"",'G1 MT Reading Scoresheet'!V42,"")</f>
        <v/>
      </c>
    </row>
    <row r="40" spans="1:11">
      <c r="A40" s="49">
        <v>33</v>
      </c>
      <c r="B40" s="98" t="str">
        <f>IF('G1 MT Reading Scoresheet'!B43&lt;&gt;"",'G1 MT Reading Scoresheet'!B43,"")</f>
        <v/>
      </c>
      <c r="C40" s="99" t="str">
        <f>IF('G1 MT Reading Scoresheet'!C43&lt;&gt;"",'G1 MT Reading Scoresheet'!C43,"")</f>
        <v/>
      </c>
      <c r="D40" s="100" t="str">
        <f>IF('G1 MT Reading Scoresheet'!D43&lt;&gt;"",'G1 MT Reading Scoresheet'!D43,"")</f>
        <v/>
      </c>
      <c r="E40" s="95" t="str">
        <f>'G1 MT Reading Scoresheet'!J43</f>
        <v/>
      </c>
      <c r="F40" s="96" t="str">
        <f>IF($C40&lt;&gt;"",'G1 MT Reading Scoresheet'!$I43/30,"")</f>
        <v/>
      </c>
      <c r="G40" s="96" t="str">
        <f>IF(AND($C40&lt;&gt;"",$E40&lt;&gt;"Full Refresher"),'G1 MT Reading Scoresheet'!$Q43,"")</f>
        <v/>
      </c>
      <c r="H40" s="97" t="str">
        <f>IF(AND($C40&lt;&gt;"",$E40&lt;&gt;"Full Refresher"),'G1 MT Reading Scoresheet'!$R43/5,"")</f>
        <v/>
      </c>
      <c r="I40" s="108" t="str">
        <f>IF(AND($C40&lt;&gt;"",$E40&lt;&gt;"Full Refresher"),'G1 MT Reading Scoresheet'!$P43,"")</f>
        <v/>
      </c>
      <c r="J40" s="109" t="str">
        <f>'G1 MT Reading Scoresheet'!$U43</f>
        <v/>
      </c>
      <c r="K40" s="111" t="str">
        <f>IF('G1 MT Reading Scoresheet'!V43&lt;&gt;"",'G1 MT Reading Scoresheet'!V43,"")</f>
        <v/>
      </c>
    </row>
    <row r="41" spans="1:11">
      <c r="A41" s="91">
        <v>34</v>
      </c>
      <c r="B41" s="92" t="str">
        <f>IF('G1 MT Reading Scoresheet'!B44&lt;&gt;"",'G1 MT Reading Scoresheet'!B44,"")</f>
        <v/>
      </c>
      <c r="C41" s="93" t="str">
        <f>IF('G1 MT Reading Scoresheet'!C44&lt;&gt;"",'G1 MT Reading Scoresheet'!C44,"")</f>
        <v/>
      </c>
      <c r="D41" s="94" t="str">
        <f>IF('G1 MT Reading Scoresheet'!D44&lt;&gt;"",'G1 MT Reading Scoresheet'!D44,"")</f>
        <v/>
      </c>
      <c r="E41" s="95" t="str">
        <f>'G1 MT Reading Scoresheet'!J44</f>
        <v/>
      </c>
      <c r="F41" s="96" t="str">
        <f>IF($C41&lt;&gt;"",'G1 MT Reading Scoresheet'!$I44/30,"")</f>
        <v/>
      </c>
      <c r="G41" s="96" t="str">
        <f>IF(AND($C41&lt;&gt;"",$E41&lt;&gt;"Full Refresher"),'G1 MT Reading Scoresheet'!$Q44,"")</f>
        <v/>
      </c>
      <c r="H41" s="97" t="str">
        <f>IF(AND($C41&lt;&gt;"",$E41&lt;&gt;"Full Refresher"),'G1 MT Reading Scoresheet'!$R44/5,"")</f>
        <v/>
      </c>
      <c r="I41" s="108" t="str">
        <f>IF(AND($C41&lt;&gt;"",$E41&lt;&gt;"Full Refresher"),'G1 MT Reading Scoresheet'!$P44,"")</f>
        <v/>
      </c>
      <c r="J41" s="109" t="str">
        <f>'G1 MT Reading Scoresheet'!$U44</f>
        <v/>
      </c>
      <c r="K41" s="110" t="str">
        <f>IF('G1 MT Reading Scoresheet'!V44&lt;&gt;"",'G1 MT Reading Scoresheet'!V44,"")</f>
        <v/>
      </c>
    </row>
    <row r="42" spans="1:11">
      <c r="A42" s="49">
        <v>35</v>
      </c>
      <c r="B42" s="98" t="str">
        <f>IF('G1 MT Reading Scoresheet'!B45&lt;&gt;"",'G1 MT Reading Scoresheet'!B45,"")</f>
        <v/>
      </c>
      <c r="C42" s="99" t="str">
        <f>IF('G1 MT Reading Scoresheet'!C45&lt;&gt;"",'G1 MT Reading Scoresheet'!C45,"")</f>
        <v/>
      </c>
      <c r="D42" s="100" t="str">
        <f>IF('G1 MT Reading Scoresheet'!D45&lt;&gt;"",'G1 MT Reading Scoresheet'!D45,"")</f>
        <v/>
      </c>
      <c r="E42" s="95" t="str">
        <f>'G1 MT Reading Scoresheet'!J45</f>
        <v/>
      </c>
      <c r="F42" s="96" t="str">
        <f>IF($C42&lt;&gt;"",'G1 MT Reading Scoresheet'!$I45/30,"")</f>
        <v/>
      </c>
      <c r="G42" s="96" t="str">
        <f>IF(AND($C42&lt;&gt;"",$E42&lt;&gt;"Full Refresher"),'G1 MT Reading Scoresheet'!$Q45,"")</f>
        <v/>
      </c>
      <c r="H42" s="97" t="str">
        <f>IF(AND($C42&lt;&gt;"",$E42&lt;&gt;"Full Refresher"),'G1 MT Reading Scoresheet'!$R45/5,"")</f>
        <v/>
      </c>
      <c r="I42" s="108" t="str">
        <f>IF(AND($C42&lt;&gt;"",$E42&lt;&gt;"Full Refresher"),'G1 MT Reading Scoresheet'!$P45,"")</f>
        <v/>
      </c>
      <c r="J42" s="109" t="str">
        <f>'G1 MT Reading Scoresheet'!$U45</f>
        <v/>
      </c>
      <c r="K42" s="111" t="str">
        <f>IF('G1 MT Reading Scoresheet'!V45&lt;&gt;"",'G1 MT Reading Scoresheet'!V45,"")</f>
        <v/>
      </c>
    </row>
    <row r="43" spans="1:11">
      <c r="A43" s="91">
        <v>36</v>
      </c>
      <c r="B43" s="92" t="str">
        <f>IF('G1 MT Reading Scoresheet'!B46&lt;&gt;"",'G1 MT Reading Scoresheet'!B46,"")</f>
        <v/>
      </c>
      <c r="C43" s="93" t="str">
        <f>IF('G1 MT Reading Scoresheet'!C46&lt;&gt;"",'G1 MT Reading Scoresheet'!C46,"")</f>
        <v/>
      </c>
      <c r="D43" s="94" t="str">
        <f>IF('G1 MT Reading Scoresheet'!D46&lt;&gt;"",'G1 MT Reading Scoresheet'!D46,"")</f>
        <v/>
      </c>
      <c r="E43" s="95" t="str">
        <f>'G1 MT Reading Scoresheet'!J46</f>
        <v/>
      </c>
      <c r="F43" s="96" t="str">
        <f>IF($C43&lt;&gt;"",'G1 MT Reading Scoresheet'!$I46/30,"")</f>
        <v/>
      </c>
      <c r="G43" s="96" t="str">
        <f>IF(AND($C43&lt;&gt;"",$E43&lt;&gt;"Full Refresher"),'G1 MT Reading Scoresheet'!$Q46,"")</f>
        <v/>
      </c>
      <c r="H43" s="97" t="str">
        <f>IF(AND($C43&lt;&gt;"",$E43&lt;&gt;"Full Refresher"),'G1 MT Reading Scoresheet'!$R46/5,"")</f>
        <v/>
      </c>
      <c r="I43" s="108" t="str">
        <f>IF(AND($C43&lt;&gt;"",$E43&lt;&gt;"Full Refresher"),'G1 MT Reading Scoresheet'!$P46,"")</f>
        <v/>
      </c>
      <c r="J43" s="109" t="str">
        <f>'G1 MT Reading Scoresheet'!$U46</f>
        <v/>
      </c>
      <c r="K43" s="110" t="str">
        <f>IF('G1 MT Reading Scoresheet'!V46&lt;&gt;"",'G1 MT Reading Scoresheet'!V46,"")</f>
        <v/>
      </c>
    </row>
    <row r="44" spans="1:11">
      <c r="A44" s="49">
        <v>37</v>
      </c>
      <c r="B44" s="98" t="str">
        <f>IF('G1 MT Reading Scoresheet'!B47&lt;&gt;"",'G1 MT Reading Scoresheet'!B47,"")</f>
        <v/>
      </c>
      <c r="C44" s="99" t="str">
        <f>IF('G1 MT Reading Scoresheet'!C47&lt;&gt;"",'G1 MT Reading Scoresheet'!C47,"")</f>
        <v/>
      </c>
      <c r="D44" s="100" t="str">
        <f>IF('G1 MT Reading Scoresheet'!D47&lt;&gt;"",'G1 MT Reading Scoresheet'!D47,"")</f>
        <v/>
      </c>
      <c r="E44" s="95" t="str">
        <f>'G1 MT Reading Scoresheet'!J47</f>
        <v/>
      </c>
      <c r="F44" s="96" t="str">
        <f>IF($C44&lt;&gt;"",'G1 MT Reading Scoresheet'!$I47/30,"")</f>
        <v/>
      </c>
      <c r="G44" s="96" t="str">
        <f>IF(AND($C44&lt;&gt;"",$E44&lt;&gt;"Full Refresher"),'G1 MT Reading Scoresheet'!$Q47,"")</f>
        <v/>
      </c>
      <c r="H44" s="97" t="str">
        <f>IF(AND($C44&lt;&gt;"",$E44&lt;&gt;"Full Refresher"),'G1 MT Reading Scoresheet'!$R47/5,"")</f>
        <v/>
      </c>
      <c r="I44" s="108" t="str">
        <f>IF(AND($C44&lt;&gt;"",$E44&lt;&gt;"Full Refresher"),'G1 MT Reading Scoresheet'!$P47,"")</f>
        <v/>
      </c>
      <c r="J44" s="109" t="str">
        <f>'G1 MT Reading Scoresheet'!$U47</f>
        <v/>
      </c>
      <c r="K44" s="111" t="str">
        <f>IF('G1 MT Reading Scoresheet'!V47&lt;&gt;"",'G1 MT Reading Scoresheet'!V47,"")</f>
        <v/>
      </c>
    </row>
    <row r="45" spans="1:11">
      <c r="A45" s="91">
        <v>38</v>
      </c>
      <c r="B45" s="92" t="str">
        <f>IF('G1 MT Reading Scoresheet'!B48&lt;&gt;"",'G1 MT Reading Scoresheet'!B48,"")</f>
        <v/>
      </c>
      <c r="C45" s="93" t="str">
        <f>IF('G1 MT Reading Scoresheet'!C48&lt;&gt;"",'G1 MT Reading Scoresheet'!C48,"")</f>
        <v/>
      </c>
      <c r="D45" s="94" t="str">
        <f>IF('G1 MT Reading Scoresheet'!D48&lt;&gt;"",'G1 MT Reading Scoresheet'!D48,"")</f>
        <v/>
      </c>
      <c r="E45" s="95" t="str">
        <f>'G1 MT Reading Scoresheet'!J48</f>
        <v/>
      </c>
      <c r="F45" s="96" t="str">
        <f>IF($C45&lt;&gt;"",'G1 MT Reading Scoresheet'!$I48/30,"")</f>
        <v/>
      </c>
      <c r="G45" s="96" t="str">
        <f>IF(AND($C45&lt;&gt;"",$E45&lt;&gt;"Full Refresher"),'G1 MT Reading Scoresheet'!$Q48,"")</f>
        <v/>
      </c>
      <c r="H45" s="97" t="str">
        <f>IF(AND($C45&lt;&gt;"",$E45&lt;&gt;"Full Refresher"),'G1 MT Reading Scoresheet'!$R48/5,"")</f>
        <v/>
      </c>
      <c r="I45" s="108" t="str">
        <f>IF(AND($C45&lt;&gt;"",$E45&lt;&gt;"Full Refresher"),'G1 MT Reading Scoresheet'!$P48,"")</f>
        <v/>
      </c>
      <c r="J45" s="109" t="str">
        <f>'G1 MT Reading Scoresheet'!$U48</f>
        <v/>
      </c>
      <c r="K45" s="110" t="str">
        <f>IF('G1 MT Reading Scoresheet'!V48&lt;&gt;"",'G1 MT Reading Scoresheet'!V48,"")</f>
        <v/>
      </c>
    </row>
    <row r="46" spans="1:11">
      <c r="A46" s="49">
        <v>39</v>
      </c>
      <c r="B46" s="98" t="str">
        <f>IF('G1 MT Reading Scoresheet'!B49&lt;&gt;"",'G1 MT Reading Scoresheet'!B49,"")</f>
        <v/>
      </c>
      <c r="C46" s="99" t="str">
        <f>IF('G1 MT Reading Scoresheet'!C49&lt;&gt;"",'G1 MT Reading Scoresheet'!C49,"")</f>
        <v/>
      </c>
      <c r="D46" s="100" t="str">
        <f>IF('G1 MT Reading Scoresheet'!D49&lt;&gt;"",'G1 MT Reading Scoresheet'!D49,"")</f>
        <v/>
      </c>
      <c r="E46" s="95" t="str">
        <f>'G1 MT Reading Scoresheet'!J49</f>
        <v/>
      </c>
      <c r="F46" s="96" t="str">
        <f>IF($C46&lt;&gt;"",'G1 MT Reading Scoresheet'!$I49/30,"")</f>
        <v/>
      </c>
      <c r="G46" s="96" t="str">
        <f>IF(AND($C46&lt;&gt;"",$E46&lt;&gt;"Full Refresher"),'G1 MT Reading Scoresheet'!$Q49,"")</f>
        <v/>
      </c>
      <c r="H46" s="97" t="str">
        <f>IF(AND($C46&lt;&gt;"",$E46&lt;&gt;"Full Refresher"),'G1 MT Reading Scoresheet'!$R49/5,"")</f>
        <v/>
      </c>
      <c r="I46" s="108" t="str">
        <f>IF(AND($C46&lt;&gt;"",$E46&lt;&gt;"Full Refresher"),'G1 MT Reading Scoresheet'!$P49,"")</f>
        <v/>
      </c>
      <c r="J46" s="109" t="str">
        <f>'G1 MT Reading Scoresheet'!$U49</f>
        <v/>
      </c>
      <c r="K46" s="111" t="str">
        <f>IF('G1 MT Reading Scoresheet'!V49&lt;&gt;"",'G1 MT Reading Scoresheet'!V49,"")</f>
        <v/>
      </c>
    </row>
    <row r="47" spans="1:11">
      <c r="A47" s="91">
        <v>40</v>
      </c>
      <c r="B47" s="92" t="str">
        <f>IF('G1 MT Reading Scoresheet'!B50&lt;&gt;"",'G1 MT Reading Scoresheet'!B50,"")</f>
        <v/>
      </c>
      <c r="C47" s="93" t="str">
        <f>IF('G1 MT Reading Scoresheet'!C50&lt;&gt;"",'G1 MT Reading Scoresheet'!C50,"")</f>
        <v/>
      </c>
      <c r="D47" s="94" t="str">
        <f>IF('G1 MT Reading Scoresheet'!D50&lt;&gt;"",'G1 MT Reading Scoresheet'!D50,"")</f>
        <v/>
      </c>
      <c r="E47" s="95" t="str">
        <f>'G1 MT Reading Scoresheet'!J50</f>
        <v/>
      </c>
      <c r="F47" s="96" t="str">
        <f>IF($C47&lt;&gt;"",'G1 MT Reading Scoresheet'!$I50/30,"")</f>
        <v/>
      </c>
      <c r="G47" s="96" t="str">
        <f>IF(AND($C47&lt;&gt;"",$E47&lt;&gt;"Full Refresher"),'G1 MT Reading Scoresheet'!$Q50,"")</f>
        <v/>
      </c>
      <c r="H47" s="97" t="str">
        <f>IF(AND($C47&lt;&gt;"",$E47&lt;&gt;"Full Refresher"),'G1 MT Reading Scoresheet'!$R50/5,"")</f>
        <v/>
      </c>
      <c r="I47" s="108" t="str">
        <f>IF(AND($C47&lt;&gt;"",$E47&lt;&gt;"Full Refresher"),'G1 MT Reading Scoresheet'!$P50,"")</f>
        <v/>
      </c>
      <c r="J47" s="109" t="str">
        <f>'G1 MT Reading Scoresheet'!$U50</f>
        <v/>
      </c>
      <c r="K47" s="110" t="str">
        <f>IF('G1 MT Reading Scoresheet'!V50&lt;&gt;"",'G1 MT Reading Scoresheet'!V50,"")</f>
        <v/>
      </c>
    </row>
    <row r="48" spans="1:11">
      <c r="A48" s="49">
        <v>41</v>
      </c>
      <c r="B48" s="98" t="str">
        <f>IF('G1 MT Reading Scoresheet'!B51&lt;&gt;"",'G1 MT Reading Scoresheet'!B51,"")</f>
        <v/>
      </c>
      <c r="C48" s="99" t="str">
        <f>IF('G1 MT Reading Scoresheet'!C51&lt;&gt;"",'G1 MT Reading Scoresheet'!C51,"")</f>
        <v/>
      </c>
      <c r="D48" s="100" t="str">
        <f>IF('G1 MT Reading Scoresheet'!D51&lt;&gt;"",'G1 MT Reading Scoresheet'!D51,"")</f>
        <v/>
      </c>
      <c r="E48" s="95" t="str">
        <f>'G1 MT Reading Scoresheet'!J51</f>
        <v/>
      </c>
      <c r="F48" s="96" t="str">
        <f>IF($C48&lt;&gt;"",'G1 MT Reading Scoresheet'!$I51/30,"")</f>
        <v/>
      </c>
      <c r="G48" s="96" t="str">
        <f>IF(AND($C48&lt;&gt;"",$E48&lt;&gt;"Full Refresher"),'G1 MT Reading Scoresheet'!$Q51,"")</f>
        <v/>
      </c>
      <c r="H48" s="97" t="str">
        <f>IF(AND($C48&lt;&gt;"",$E48&lt;&gt;"Full Refresher"),'G1 MT Reading Scoresheet'!$R51/5,"")</f>
        <v/>
      </c>
      <c r="I48" s="108" t="str">
        <f>IF(AND($C48&lt;&gt;"",$E48&lt;&gt;"Full Refresher"),'G1 MT Reading Scoresheet'!$P51,"")</f>
        <v/>
      </c>
      <c r="J48" s="109" t="str">
        <f>'G1 MT Reading Scoresheet'!$U51</f>
        <v/>
      </c>
      <c r="K48" s="111" t="str">
        <f>IF('G1 MT Reading Scoresheet'!V51&lt;&gt;"",'G1 MT Reading Scoresheet'!V51,"")</f>
        <v/>
      </c>
    </row>
    <row r="49" spans="1:11">
      <c r="A49" s="91">
        <v>42</v>
      </c>
      <c r="B49" s="92" t="str">
        <f>IF('G1 MT Reading Scoresheet'!B52&lt;&gt;"",'G1 MT Reading Scoresheet'!B52,"")</f>
        <v/>
      </c>
      <c r="C49" s="93" t="str">
        <f>IF('G1 MT Reading Scoresheet'!C52&lt;&gt;"",'G1 MT Reading Scoresheet'!C52,"")</f>
        <v/>
      </c>
      <c r="D49" s="94" t="str">
        <f>IF('G1 MT Reading Scoresheet'!D52&lt;&gt;"",'G1 MT Reading Scoresheet'!D52,"")</f>
        <v/>
      </c>
      <c r="E49" s="95" t="str">
        <f>'G1 MT Reading Scoresheet'!J52</f>
        <v/>
      </c>
      <c r="F49" s="96" t="str">
        <f>IF($C49&lt;&gt;"",'G1 MT Reading Scoresheet'!$I52/30,"")</f>
        <v/>
      </c>
      <c r="G49" s="96" t="str">
        <f>IF(AND($C49&lt;&gt;"",$E49&lt;&gt;"Full Refresher"),'G1 MT Reading Scoresheet'!$Q52,"")</f>
        <v/>
      </c>
      <c r="H49" s="97" t="str">
        <f>IF(AND($C49&lt;&gt;"",$E49&lt;&gt;"Full Refresher"),'G1 MT Reading Scoresheet'!$R52/5,"")</f>
        <v/>
      </c>
      <c r="I49" s="108" t="str">
        <f>IF(AND($C49&lt;&gt;"",$E49&lt;&gt;"Full Refresher"),'G1 MT Reading Scoresheet'!$P52,"")</f>
        <v/>
      </c>
      <c r="J49" s="109" t="str">
        <f>'G1 MT Reading Scoresheet'!$U52</f>
        <v/>
      </c>
      <c r="K49" s="110" t="str">
        <f>IF('G1 MT Reading Scoresheet'!V52&lt;&gt;"",'G1 MT Reading Scoresheet'!V52,"")</f>
        <v/>
      </c>
    </row>
    <row r="50" spans="1:11">
      <c r="A50" s="49">
        <v>43</v>
      </c>
      <c r="B50" s="98" t="str">
        <f>IF('G1 MT Reading Scoresheet'!B53&lt;&gt;"",'G1 MT Reading Scoresheet'!B53,"")</f>
        <v/>
      </c>
      <c r="C50" s="99" t="str">
        <f>IF('G1 MT Reading Scoresheet'!C53&lt;&gt;"",'G1 MT Reading Scoresheet'!C53,"")</f>
        <v/>
      </c>
      <c r="D50" s="100" t="str">
        <f>IF('G1 MT Reading Scoresheet'!D53&lt;&gt;"",'G1 MT Reading Scoresheet'!D53,"")</f>
        <v/>
      </c>
      <c r="E50" s="95" t="str">
        <f>'G1 MT Reading Scoresheet'!J53</f>
        <v/>
      </c>
      <c r="F50" s="96" t="str">
        <f>IF($C50&lt;&gt;"",'G1 MT Reading Scoresheet'!$I53/30,"")</f>
        <v/>
      </c>
      <c r="G50" s="96" t="str">
        <f>IF(AND($C50&lt;&gt;"",$E50&lt;&gt;"Full Refresher"),'G1 MT Reading Scoresheet'!$Q53,"")</f>
        <v/>
      </c>
      <c r="H50" s="97" t="str">
        <f>IF(AND($C50&lt;&gt;"",$E50&lt;&gt;"Full Refresher"),'G1 MT Reading Scoresheet'!$R53/5,"")</f>
        <v/>
      </c>
      <c r="I50" s="108" t="str">
        <f>IF(AND($C50&lt;&gt;"",$E50&lt;&gt;"Full Refresher"),'G1 MT Reading Scoresheet'!$P53,"")</f>
        <v/>
      </c>
      <c r="J50" s="109" t="str">
        <f>'G1 MT Reading Scoresheet'!$U53</f>
        <v/>
      </c>
      <c r="K50" s="111" t="str">
        <f>IF('G1 MT Reading Scoresheet'!V53&lt;&gt;"",'G1 MT Reading Scoresheet'!V53,"")</f>
        <v/>
      </c>
    </row>
    <row r="51" spans="1:11">
      <c r="A51" s="91">
        <v>44</v>
      </c>
      <c r="B51" s="92" t="str">
        <f>IF('G1 MT Reading Scoresheet'!B54&lt;&gt;"",'G1 MT Reading Scoresheet'!B54,"")</f>
        <v/>
      </c>
      <c r="C51" s="93" t="str">
        <f>IF('G1 MT Reading Scoresheet'!C54&lt;&gt;"",'G1 MT Reading Scoresheet'!C54,"")</f>
        <v/>
      </c>
      <c r="D51" s="94" t="str">
        <f>IF('G1 MT Reading Scoresheet'!D54&lt;&gt;"",'G1 MT Reading Scoresheet'!D54,"")</f>
        <v/>
      </c>
      <c r="E51" s="95" t="str">
        <f>'G1 MT Reading Scoresheet'!J54</f>
        <v/>
      </c>
      <c r="F51" s="96" t="str">
        <f>IF($C51&lt;&gt;"",'G1 MT Reading Scoresheet'!$I54/30,"")</f>
        <v/>
      </c>
      <c r="G51" s="96" t="str">
        <f>IF(AND($C51&lt;&gt;"",$E51&lt;&gt;"Full Refresher"),'G1 MT Reading Scoresheet'!$Q54,"")</f>
        <v/>
      </c>
      <c r="H51" s="97" t="str">
        <f>IF(AND($C51&lt;&gt;"",$E51&lt;&gt;"Full Refresher"),'G1 MT Reading Scoresheet'!$R54/5,"")</f>
        <v/>
      </c>
      <c r="I51" s="108" t="str">
        <f>IF(AND($C51&lt;&gt;"",$E51&lt;&gt;"Full Refresher"),'G1 MT Reading Scoresheet'!$P54,"")</f>
        <v/>
      </c>
      <c r="J51" s="109" t="str">
        <f>'G1 MT Reading Scoresheet'!$U54</f>
        <v/>
      </c>
      <c r="K51" s="110" t="str">
        <f>IF('G1 MT Reading Scoresheet'!V54&lt;&gt;"",'G1 MT Reading Scoresheet'!V54,"")</f>
        <v/>
      </c>
    </row>
    <row r="52" spans="1:11">
      <c r="A52" s="49">
        <v>45</v>
      </c>
      <c r="B52" s="98" t="str">
        <f>IF('G1 MT Reading Scoresheet'!B55&lt;&gt;"",'G1 MT Reading Scoresheet'!B55,"")</f>
        <v/>
      </c>
      <c r="C52" s="99" t="str">
        <f>IF('G1 MT Reading Scoresheet'!C55&lt;&gt;"",'G1 MT Reading Scoresheet'!C55,"")</f>
        <v/>
      </c>
      <c r="D52" s="100" t="str">
        <f>IF('G1 MT Reading Scoresheet'!D55&lt;&gt;"",'G1 MT Reading Scoresheet'!D55,"")</f>
        <v/>
      </c>
      <c r="E52" s="95" t="str">
        <f>'G1 MT Reading Scoresheet'!J55</f>
        <v/>
      </c>
      <c r="F52" s="96" t="str">
        <f>IF($C52&lt;&gt;"",'G1 MT Reading Scoresheet'!$I55/30,"")</f>
        <v/>
      </c>
      <c r="G52" s="96" t="str">
        <f>IF(AND($C52&lt;&gt;"",$E52&lt;&gt;"Full Refresher"),'G1 MT Reading Scoresheet'!$Q55,"")</f>
        <v/>
      </c>
      <c r="H52" s="97" t="str">
        <f>IF(AND($C52&lt;&gt;"",$E52&lt;&gt;"Full Refresher"),'G1 MT Reading Scoresheet'!$R55/5,"")</f>
        <v/>
      </c>
      <c r="I52" s="108" t="str">
        <f>IF(AND($C52&lt;&gt;"",$E52&lt;&gt;"Full Refresher"),'G1 MT Reading Scoresheet'!$P55,"")</f>
        <v/>
      </c>
      <c r="J52" s="109" t="str">
        <f>'G1 MT Reading Scoresheet'!$U55</f>
        <v/>
      </c>
      <c r="K52" s="111" t="str">
        <f>IF('G1 MT Reading Scoresheet'!V55&lt;&gt;"",'G1 MT Reading Scoresheet'!V55,"")</f>
        <v/>
      </c>
    </row>
    <row r="53" spans="1:11">
      <c r="A53" s="91">
        <v>46</v>
      </c>
      <c r="B53" s="92" t="str">
        <f>IF('G1 MT Reading Scoresheet'!B56&lt;&gt;"",'G1 MT Reading Scoresheet'!B56,"")</f>
        <v/>
      </c>
      <c r="C53" s="93" t="str">
        <f>IF('G1 MT Reading Scoresheet'!C56&lt;&gt;"",'G1 MT Reading Scoresheet'!C56,"")</f>
        <v/>
      </c>
      <c r="D53" s="94" t="str">
        <f>IF('G1 MT Reading Scoresheet'!D56&lt;&gt;"",'G1 MT Reading Scoresheet'!D56,"")</f>
        <v/>
      </c>
      <c r="E53" s="95" t="str">
        <f>'G1 MT Reading Scoresheet'!J56</f>
        <v/>
      </c>
      <c r="F53" s="96" t="str">
        <f>IF($C53&lt;&gt;"",'G1 MT Reading Scoresheet'!$I56/30,"")</f>
        <v/>
      </c>
      <c r="G53" s="96" t="str">
        <f>IF(AND($C53&lt;&gt;"",$E53&lt;&gt;"Full Refresher"),'G1 MT Reading Scoresheet'!$Q56,"")</f>
        <v/>
      </c>
      <c r="H53" s="97" t="str">
        <f>IF(AND($C53&lt;&gt;"",$E53&lt;&gt;"Full Refresher"),'G1 MT Reading Scoresheet'!$R56/5,"")</f>
        <v/>
      </c>
      <c r="I53" s="108" t="str">
        <f>IF(AND($C53&lt;&gt;"",$E53&lt;&gt;"Full Refresher"),'G1 MT Reading Scoresheet'!$P56,"")</f>
        <v/>
      </c>
      <c r="J53" s="109" t="str">
        <f>'G1 MT Reading Scoresheet'!$U56</f>
        <v/>
      </c>
      <c r="K53" s="110" t="str">
        <f>IF('G1 MT Reading Scoresheet'!V56&lt;&gt;"",'G1 MT Reading Scoresheet'!V56,"")</f>
        <v/>
      </c>
    </row>
    <row r="54" spans="1:11">
      <c r="A54" s="49">
        <v>47</v>
      </c>
      <c r="B54" s="98" t="str">
        <f>IF('G1 MT Reading Scoresheet'!B57&lt;&gt;"",'G1 MT Reading Scoresheet'!B57,"")</f>
        <v/>
      </c>
      <c r="C54" s="99" t="str">
        <f>IF('G1 MT Reading Scoresheet'!C57&lt;&gt;"",'G1 MT Reading Scoresheet'!C57,"")</f>
        <v/>
      </c>
      <c r="D54" s="100" t="str">
        <f>IF('G1 MT Reading Scoresheet'!D57&lt;&gt;"",'G1 MT Reading Scoresheet'!D57,"")</f>
        <v/>
      </c>
      <c r="E54" s="95" t="str">
        <f>'G1 MT Reading Scoresheet'!J57</f>
        <v/>
      </c>
      <c r="F54" s="96" t="str">
        <f>IF($C54&lt;&gt;"",'G1 MT Reading Scoresheet'!$I57/30,"")</f>
        <v/>
      </c>
      <c r="G54" s="96" t="str">
        <f>IF(AND($C54&lt;&gt;"",$E54&lt;&gt;"Full Refresher"),'G1 MT Reading Scoresheet'!$Q57,"")</f>
        <v/>
      </c>
      <c r="H54" s="97" t="str">
        <f>IF(AND($C54&lt;&gt;"",$E54&lt;&gt;"Full Refresher"),'G1 MT Reading Scoresheet'!$R57/5,"")</f>
        <v/>
      </c>
      <c r="I54" s="108" t="str">
        <f>IF(AND($C54&lt;&gt;"",$E54&lt;&gt;"Full Refresher"),'G1 MT Reading Scoresheet'!$P57,"")</f>
        <v/>
      </c>
      <c r="J54" s="109" t="str">
        <f>'G1 MT Reading Scoresheet'!$U57</f>
        <v/>
      </c>
      <c r="K54" s="111" t="str">
        <f>IF('G1 MT Reading Scoresheet'!V57&lt;&gt;"",'G1 MT Reading Scoresheet'!V57,"")</f>
        <v/>
      </c>
    </row>
    <row r="55" spans="1:11">
      <c r="A55" s="91">
        <v>48</v>
      </c>
      <c r="B55" s="92" t="str">
        <f>IF('G1 MT Reading Scoresheet'!B58&lt;&gt;"",'G1 MT Reading Scoresheet'!B58,"")</f>
        <v/>
      </c>
      <c r="C55" s="93" t="str">
        <f>IF('G1 MT Reading Scoresheet'!C58&lt;&gt;"",'G1 MT Reading Scoresheet'!C58,"")</f>
        <v/>
      </c>
      <c r="D55" s="94" t="str">
        <f>IF('G1 MT Reading Scoresheet'!D58&lt;&gt;"",'G1 MT Reading Scoresheet'!D58,"")</f>
        <v/>
      </c>
      <c r="E55" s="95" t="str">
        <f>'G1 MT Reading Scoresheet'!J58</f>
        <v/>
      </c>
      <c r="F55" s="96" t="str">
        <f>IF($C55&lt;&gt;"",'G1 MT Reading Scoresheet'!$I58/30,"")</f>
        <v/>
      </c>
      <c r="G55" s="96" t="str">
        <f>IF(AND($C55&lt;&gt;"",$E55&lt;&gt;"Full Refresher"),'G1 MT Reading Scoresheet'!$Q58,"")</f>
        <v/>
      </c>
      <c r="H55" s="97" t="str">
        <f>IF(AND($C55&lt;&gt;"",$E55&lt;&gt;"Full Refresher"),'G1 MT Reading Scoresheet'!$R58/5,"")</f>
        <v/>
      </c>
      <c r="I55" s="108" t="str">
        <f>IF(AND($C55&lt;&gt;"",$E55&lt;&gt;"Full Refresher"),'G1 MT Reading Scoresheet'!$P58,"")</f>
        <v/>
      </c>
      <c r="J55" s="109" t="str">
        <f>'G1 MT Reading Scoresheet'!$U58</f>
        <v/>
      </c>
      <c r="K55" s="110" t="str">
        <f>IF('G1 MT Reading Scoresheet'!V58&lt;&gt;"",'G1 MT Reading Scoresheet'!V58,"")</f>
        <v/>
      </c>
    </row>
    <row r="56" spans="1:11">
      <c r="A56" s="49">
        <v>49</v>
      </c>
      <c r="B56" s="98" t="str">
        <f>IF('G1 MT Reading Scoresheet'!B59&lt;&gt;"",'G1 MT Reading Scoresheet'!B59,"")</f>
        <v/>
      </c>
      <c r="C56" s="99" t="str">
        <f>IF('G1 MT Reading Scoresheet'!C59&lt;&gt;"",'G1 MT Reading Scoresheet'!C59,"")</f>
        <v/>
      </c>
      <c r="D56" s="100" t="str">
        <f>IF('G1 MT Reading Scoresheet'!D59&lt;&gt;"",'G1 MT Reading Scoresheet'!D59,"")</f>
        <v/>
      </c>
      <c r="E56" s="95" t="str">
        <f>'G1 MT Reading Scoresheet'!J59</f>
        <v/>
      </c>
      <c r="F56" s="96" t="str">
        <f>IF($C56&lt;&gt;"",'G1 MT Reading Scoresheet'!$I59/30,"")</f>
        <v/>
      </c>
      <c r="G56" s="96" t="str">
        <f>IF(AND($C56&lt;&gt;"",$E56&lt;&gt;"Full Refresher"),'G1 MT Reading Scoresheet'!$Q59,"")</f>
        <v/>
      </c>
      <c r="H56" s="97" t="str">
        <f>IF(AND($C56&lt;&gt;"",$E56&lt;&gt;"Full Refresher"),'G1 MT Reading Scoresheet'!$R59/5,"")</f>
        <v/>
      </c>
      <c r="I56" s="108" t="str">
        <f>IF(AND($C56&lt;&gt;"",$E56&lt;&gt;"Full Refresher"),'G1 MT Reading Scoresheet'!$P59,"")</f>
        <v/>
      </c>
      <c r="J56" s="109" t="str">
        <f>'G1 MT Reading Scoresheet'!$U59</f>
        <v/>
      </c>
      <c r="K56" s="111" t="str">
        <f>IF('G1 MT Reading Scoresheet'!V59&lt;&gt;"",'G1 MT Reading Scoresheet'!V59,"")</f>
        <v/>
      </c>
    </row>
    <row r="57" spans="1:11">
      <c r="A57" s="91">
        <v>50</v>
      </c>
      <c r="B57" s="92" t="str">
        <f>IF('G1 MT Reading Scoresheet'!B60&lt;&gt;"",'G1 MT Reading Scoresheet'!B60,"")</f>
        <v/>
      </c>
      <c r="C57" s="93" t="str">
        <f>IF('G1 MT Reading Scoresheet'!C60&lt;&gt;"",'G1 MT Reading Scoresheet'!C60,"")</f>
        <v/>
      </c>
      <c r="D57" s="94" t="str">
        <f>IF('G1 MT Reading Scoresheet'!D60&lt;&gt;"",'G1 MT Reading Scoresheet'!D60,"")</f>
        <v/>
      </c>
      <c r="E57" s="95" t="str">
        <f>'G1 MT Reading Scoresheet'!J60</f>
        <v/>
      </c>
      <c r="F57" s="96" t="str">
        <f>IF($C57&lt;&gt;"",'G1 MT Reading Scoresheet'!$I60/30,"")</f>
        <v/>
      </c>
      <c r="G57" s="96" t="str">
        <f>IF(AND($C57&lt;&gt;"",$E57&lt;&gt;"Full Refresher"),'G1 MT Reading Scoresheet'!$Q60,"")</f>
        <v/>
      </c>
      <c r="H57" s="97" t="str">
        <f>IF(AND($C57&lt;&gt;"",$E57&lt;&gt;"Full Refresher"),'G1 MT Reading Scoresheet'!$R60/5,"")</f>
        <v/>
      </c>
      <c r="I57" s="108" t="str">
        <f>IF(AND($C57&lt;&gt;"",$E57&lt;&gt;"Full Refresher"),'G1 MT Reading Scoresheet'!$P60,"")</f>
        <v/>
      </c>
      <c r="J57" s="109" t="str">
        <f>'G1 MT Reading Scoresheet'!$U60</f>
        <v/>
      </c>
      <c r="K57" s="110" t="str">
        <f>IF('G1 MT Reading Scoresheet'!V60&lt;&gt;"",'G1 MT Reading Scoresheet'!V60,"")</f>
        <v/>
      </c>
    </row>
    <row r="58" spans="1:11">
      <c r="A58" s="49">
        <v>51</v>
      </c>
      <c r="B58" s="98" t="str">
        <f>IF('G1 MT Reading Scoresheet'!B61&lt;&gt;"",'G1 MT Reading Scoresheet'!B61,"")</f>
        <v/>
      </c>
      <c r="C58" s="99" t="str">
        <f>IF('G1 MT Reading Scoresheet'!C61&lt;&gt;"",'G1 MT Reading Scoresheet'!C61,"")</f>
        <v/>
      </c>
      <c r="D58" s="100" t="str">
        <f>IF('G1 MT Reading Scoresheet'!D61&lt;&gt;"",'G1 MT Reading Scoresheet'!D61,"")</f>
        <v/>
      </c>
      <c r="E58" s="95" t="str">
        <f>'G1 MT Reading Scoresheet'!J61</f>
        <v/>
      </c>
      <c r="F58" s="96" t="str">
        <f>IF($C58&lt;&gt;"",'G1 MT Reading Scoresheet'!$I61/30,"")</f>
        <v/>
      </c>
      <c r="G58" s="96" t="str">
        <f>IF(AND($C58&lt;&gt;"",$E58&lt;&gt;"Full Refresher"),'G1 MT Reading Scoresheet'!$Q61,"")</f>
        <v/>
      </c>
      <c r="H58" s="97" t="str">
        <f>IF(AND($C58&lt;&gt;"",$E58&lt;&gt;"Full Refresher"),'G1 MT Reading Scoresheet'!$R61/5,"")</f>
        <v/>
      </c>
      <c r="I58" s="108" t="str">
        <f>IF(AND($C58&lt;&gt;"",$E58&lt;&gt;"Full Refresher"),'G1 MT Reading Scoresheet'!$P61,"")</f>
        <v/>
      </c>
      <c r="J58" s="109" t="str">
        <f>'G1 MT Reading Scoresheet'!$U61</f>
        <v/>
      </c>
      <c r="K58" s="111" t="str">
        <f>IF('G1 MT Reading Scoresheet'!V61&lt;&gt;"",'G1 MT Reading Scoresheet'!V61,"")</f>
        <v/>
      </c>
    </row>
    <row r="59" spans="1:11">
      <c r="A59" s="91">
        <v>52</v>
      </c>
      <c r="B59" s="92" t="str">
        <f>IF('G1 MT Reading Scoresheet'!B62&lt;&gt;"",'G1 MT Reading Scoresheet'!B62,"")</f>
        <v/>
      </c>
      <c r="C59" s="93" t="str">
        <f>IF('G1 MT Reading Scoresheet'!C62&lt;&gt;"",'G1 MT Reading Scoresheet'!C62,"")</f>
        <v/>
      </c>
      <c r="D59" s="94" t="str">
        <f>IF('G1 MT Reading Scoresheet'!D62&lt;&gt;"",'G1 MT Reading Scoresheet'!D62,"")</f>
        <v/>
      </c>
      <c r="E59" s="95" t="str">
        <f>'G1 MT Reading Scoresheet'!J62</f>
        <v/>
      </c>
      <c r="F59" s="96" t="str">
        <f>IF($C59&lt;&gt;"",'G1 MT Reading Scoresheet'!$I62/30,"")</f>
        <v/>
      </c>
      <c r="G59" s="96" t="str">
        <f>IF(AND($C59&lt;&gt;"",$E59&lt;&gt;"Full Refresher"),'G1 MT Reading Scoresheet'!$Q62,"")</f>
        <v/>
      </c>
      <c r="H59" s="97" t="str">
        <f>IF(AND($C59&lt;&gt;"",$E59&lt;&gt;"Full Refresher"),'G1 MT Reading Scoresheet'!$R62/5,"")</f>
        <v/>
      </c>
      <c r="I59" s="108" t="str">
        <f>IF(AND($C59&lt;&gt;"",$E59&lt;&gt;"Full Refresher"),'G1 MT Reading Scoresheet'!$P62,"")</f>
        <v/>
      </c>
      <c r="J59" s="109" t="str">
        <f>'G1 MT Reading Scoresheet'!$U62</f>
        <v/>
      </c>
      <c r="K59" s="110" t="str">
        <f>IF('G1 MT Reading Scoresheet'!V62&lt;&gt;"",'G1 MT Reading Scoresheet'!V62,"")</f>
        <v/>
      </c>
    </row>
    <row r="60" spans="1:11">
      <c r="A60" s="49">
        <v>53</v>
      </c>
      <c r="B60" s="98" t="str">
        <f>IF('G1 MT Reading Scoresheet'!B63&lt;&gt;"",'G1 MT Reading Scoresheet'!B63,"")</f>
        <v/>
      </c>
      <c r="C60" s="99" t="str">
        <f>IF('G1 MT Reading Scoresheet'!C63&lt;&gt;"",'G1 MT Reading Scoresheet'!C63,"")</f>
        <v/>
      </c>
      <c r="D60" s="100" t="str">
        <f>IF('G1 MT Reading Scoresheet'!D63&lt;&gt;"",'G1 MT Reading Scoresheet'!D63,"")</f>
        <v/>
      </c>
      <c r="E60" s="95" t="str">
        <f>'G1 MT Reading Scoresheet'!J63</f>
        <v/>
      </c>
      <c r="F60" s="96" t="str">
        <f>IF($C60&lt;&gt;"",'G1 MT Reading Scoresheet'!$I63/30,"")</f>
        <v/>
      </c>
      <c r="G60" s="96" t="str">
        <f>IF(AND($C60&lt;&gt;"",$E60&lt;&gt;"Full Refresher"),'G1 MT Reading Scoresheet'!$Q63,"")</f>
        <v/>
      </c>
      <c r="H60" s="97" t="str">
        <f>IF(AND($C60&lt;&gt;"",$E60&lt;&gt;"Full Refresher"),'G1 MT Reading Scoresheet'!$R63/5,"")</f>
        <v/>
      </c>
      <c r="I60" s="108" t="str">
        <f>IF(AND($C60&lt;&gt;"",$E60&lt;&gt;"Full Refresher"),'G1 MT Reading Scoresheet'!$P63,"")</f>
        <v/>
      </c>
      <c r="J60" s="109" t="str">
        <f>'G1 MT Reading Scoresheet'!$U63</f>
        <v/>
      </c>
      <c r="K60" s="111" t="str">
        <f>IF('G1 MT Reading Scoresheet'!V63&lt;&gt;"",'G1 MT Reading Scoresheet'!V63,"")</f>
        <v/>
      </c>
    </row>
    <row r="61" spans="1:11">
      <c r="A61" s="91">
        <v>54</v>
      </c>
      <c r="B61" s="92" t="str">
        <f>IF('G1 MT Reading Scoresheet'!B64&lt;&gt;"",'G1 MT Reading Scoresheet'!B64,"")</f>
        <v/>
      </c>
      <c r="C61" s="93" t="str">
        <f>IF('G1 MT Reading Scoresheet'!C64&lt;&gt;"",'G1 MT Reading Scoresheet'!C64,"")</f>
        <v/>
      </c>
      <c r="D61" s="94" t="str">
        <f>IF('G1 MT Reading Scoresheet'!D64&lt;&gt;"",'G1 MT Reading Scoresheet'!D64,"")</f>
        <v/>
      </c>
      <c r="E61" s="95" t="str">
        <f>'G1 MT Reading Scoresheet'!J64</f>
        <v/>
      </c>
      <c r="F61" s="96" t="str">
        <f>IF($C61&lt;&gt;"",'G1 MT Reading Scoresheet'!$I64/30,"")</f>
        <v/>
      </c>
      <c r="G61" s="96" t="str">
        <f>IF(AND($C61&lt;&gt;"",$E61&lt;&gt;"Full Refresher"),'G1 MT Reading Scoresheet'!$Q64,"")</f>
        <v/>
      </c>
      <c r="H61" s="97" t="str">
        <f>IF(AND($C61&lt;&gt;"",$E61&lt;&gt;"Full Refresher"),'G1 MT Reading Scoresheet'!$R64/5,"")</f>
        <v/>
      </c>
      <c r="I61" s="108" t="str">
        <f>IF(AND($C61&lt;&gt;"",$E61&lt;&gt;"Full Refresher"),'G1 MT Reading Scoresheet'!$P64,"")</f>
        <v/>
      </c>
      <c r="J61" s="109" t="str">
        <f>'G1 MT Reading Scoresheet'!$U64</f>
        <v/>
      </c>
      <c r="K61" s="110" t="str">
        <f>IF('G1 MT Reading Scoresheet'!V64&lt;&gt;"",'G1 MT Reading Scoresheet'!V64,"")</f>
        <v/>
      </c>
    </row>
    <row r="62" spans="1:11">
      <c r="A62" s="49">
        <v>55</v>
      </c>
      <c r="B62" s="98" t="str">
        <f>IF('G1 MT Reading Scoresheet'!B65&lt;&gt;"",'G1 MT Reading Scoresheet'!B65,"")</f>
        <v/>
      </c>
      <c r="C62" s="99" t="str">
        <f>IF('G1 MT Reading Scoresheet'!C65&lt;&gt;"",'G1 MT Reading Scoresheet'!C65,"")</f>
        <v/>
      </c>
      <c r="D62" s="100" t="str">
        <f>IF('G1 MT Reading Scoresheet'!D65&lt;&gt;"",'G1 MT Reading Scoresheet'!D65,"")</f>
        <v/>
      </c>
      <c r="E62" s="95" t="str">
        <f>'G1 MT Reading Scoresheet'!J65</f>
        <v/>
      </c>
      <c r="F62" s="96" t="str">
        <f>IF($C62&lt;&gt;"",'G1 MT Reading Scoresheet'!$I65/30,"")</f>
        <v/>
      </c>
      <c r="G62" s="96" t="str">
        <f>IF(AND($C62&lt;&gt;"",$E62&lt;&gt;"Full Refresher"),'G1 MT Reading Scoresheet'!$Q65,"")</f>
        <v/>
      </c>
      <c r="H62" s="97" t="str">
        <f>IF(AND($C62&lt;&gt;"",$E62&lt;&gt;"Full Refresher"),'G1 MT Reading Scoresheet'!$R65/5,"")</f>
        <v/>
      </c>
      <c r="I62" s="108" t="str">
        <f>IF(AND($C62&lt;&gt;"",$E62&lt;&gt;"Full Refresher"),'G1 MT Reading Scoresheet'!$P65,"")</f>
        <v/>
      </c>
      <c r="J62" s="109" t="str">
        <f>'G1 MT Reading Scoresheet'!$U65</f>
        <v/>
      </c>
      <c r="K62" s="111" t="str">
        <f>IF('G1 MT Reading Scoresheet'!V65&lt;&gt;"",'G1 MT Reading Scoresheet'!V65,"")</f>
        <v/>
      </c>
    </row>
    <row r="63" spans="1:11">
      <c r="A63" s="91">
        <v>56</v>
      </c>
      <c r="B63" s="92" t="str">
        <f>IF('G1 MT Reading Scoresheet'!B66&lt;&gt;"",'G1 MT Reading Scoresheet'!B66,"")</f>
        <v/>
      </c>
      <c r="C63" s="93" t="str">
        <f>IF('G1 MT Reading Scoresheet'!C66&lt;&gt;"",'G1 MT Reading Scoresheet'!C66,"")</f>
        <v/>
      </c>
      <c r="D63" s="94" t="str">
        <f>IF('G1 MT Reading Scoresheet'!D66&lt;&gt;"",'G1 MT Reading Scoresheet'!D66,"")</f>
        <v/>
      </c>
      <c r="E63" s="95" t="str">
        <f>'G1 MT Reading Scoresheet'!J66</f>
        <v/>
      </c>
      <c r="F63" s="96" t="str">
        <f>IF($C63&lt;&gt;"",'G1 MT Reading Scoresheet'!$I66/30,"")</f>
        <v/>
      </c>
      <c r="G63" s="96" t="str">
        <f>IF(AND($C63&lt;&gt;"",$E63&lt;&gt;"Full Refresher"),'G1 MT Reading Scoresheet'!$Q66,"")</f>
        <v/>
      </c>
      <c r="H63" s="97" t="str">
        <f>IF(AND($C63&lt;&gt;"",$E63&lt;&gt;"Full Refresher"),'G1 MT Reading Scoresheet'!$R66/5,"")</f>
        <v/>
      </c>
      <c r="I63" s="108" t="str">
        <f>IF(AND($C63&lt;&gt;"",$E63&lt;&gt;"Full Refresher"),'G1 MT Reading Scoresheet'!$P66,"")</f>
        <v/>
      </c>
      <c r="J63" s="109" t="str">
        <f>'G1 MT Reading Scoresheet'!$U66</f>
        <v/>
      </c>
      <c r="K63" s="110" t="str">
        <f>IF('G1 MT Reading Scoresheet'!V66&lt;&gt;"",'G1 MT Reading Scoresheet'!V66,"")</f>
        <v/>
      </c>
    </row>
    <row r="64" spans="1:11">
      <c r="A64" s="49">
        <v>57</v>
      </c>
      <c r="B64" s="98" t="str">
        <f>IF('G1 MT Reading Scoresheet'!B67&lt;&gt;"",'G1 MT Reading Scoresheet'!B67,"")</f>
        <v/>
      </c>
      <c r="C64" s="99" t="str">
        <f>IF('G1 MT Reading Scoresheet'!C67&lt;&gt;"",'G1 MT Reading Scoresheet'!C67,"")</f>
        <v/>
      </c>
      <c r="D64" s="100" t="str">
        <f>IF('G1 MT Reading Scoresheet'!D67&lt;&gt;"",'G1 MT Reading Scoresheet'!D67,"")</f>
        <v/>
      </c>
      <c r="E64" s="95" t="str">
        <f>'G1 MT Reading Scoresheet'!J67</f>
        <v/>
      </c>
      <c r="F64" s="96" t="str">
        <f>IF($C64&lt;&gt;"",'G1 MT Reading Scoresheet'!$I67/30,"")</f>
        <v/>
      </c>
      <c r="G64" s="96" t="str">
        <f>IF(AND($C64&lt;&gt;"",$E64&lt;&gt;"Full Refresher"),'G1 MT Reading Scoresheet'!$Q67,"")</f>
        <v/>
      </c>
      <c r="H64" s="97" t="str">
        <f>IF(AND($C64&lt;&gt;"",$E64&lt;&gt;"Full Refresher"),'G1 MT Reading Scoresheet'!$R67/5,"")</f>
        <v/>
      </c>
      <c r="I64" s="108" t="str">
        <f>IF(AND($C64&lt;&gt;"",$E64&lt;&gt;"Full Refresher"),'G1 MT Reading Scoresheet'!$P67,"")</f>
        <v/>
      </c>
      <c r="J64" s="109" t="str">
        <f>'G1 MT Reading Scoresheet'!$U67</f>
        <v/>
      </c>
      <c r="K64" s="111" t="str">
        <f>IF('G1 MT Reading Scoresheet'!V67&lt;&gt;"",'G1 MT Reading Scoresheet'!V67,"")</f>
        <v/>
      </c>
    </row>
    <row r="65" spans="1:11">
      <c r="A65" s="91">
        <v>58</v>
      </c>
      <c r="B65" s="92" t="str">
        <f>IF('G1 MT Reading Scoresheet'!B68&lt;&gt;"",'G1 MT Reading Scoresheet'!B68,"")</f>
        <v/>
      </c>
      <c r="C65" s="93" t="str">
        <f>IF('G1 MT Reading Scoresheet'!C68&lt;&gt;"",'G1 MT Reading Scoresheet'!C68,"")</f>
        <v/>
      </c>
      <c r="D65" s="94" t="str">
        <f>IF('G1 MT Reading Scoresheet'!D68&lt;&gt;"",'G1 MT Reading Scoresheet'!D68,"")</f>
        <v/>
      </c>
      <c r="E65" s="95" t="str">
        <f>'G1 MT Reading Scoresheet'!J68</f>
        <v/>
      </c>
      <c r="F65" s="96" t="str">
        <f>IF($C65&lt;&gt;"",'G1 MT Reading Scoresheet'!$I68/30,"")</f>
        <v/>
      </c>
      <c r="G65" s="96" t="str">
        <f>IF(AND($C65&lt;&gt;"",$E65&lt;&gt;"Full Refresher"),'G1 MT Reading Scoresheet'!$Q68,"")</f>
        <v/>
      </c>
      <c r="H65" s="97" t="str">
        <f>IF(AND($C65&lt;&gt;"",$E65&lt;&gt;"Full Refresher"),'G1 MT Reading Scoresheet'!$R68/5,"")</f>
        <v/>
      </c>
      <c r="I65" s="108" t="str">
        <f>IF(AND($C65&lt;&gt;"",$E65&lt;&gt;"Full Refresher"),'G1 MT Reading Scoresheet'!$P68,"")</f>
        <v/>
      </c>
      <c r="J65" s="109" t="str">
        <f>'G1 MT Reading Scoresheet'!$U68</f>
        <v/>
      </c>
      <c r="K65" s="110" t="str">
        <f>IF('G1 MT Reading Scoresheet'!V68&lt;&gt;"",'G1 MT Reading Scoresheet'!V68,"")</f>
        <v/>
      </c>
    </row>
    <row r="66" spans="1:11">
      <c r="A66" s="49">
        <v>59</v>
      </c>
      <c r="B66" s="98" t="str">
        <f>IF('G1 MT Reading Scoresheet'!B69&lt;&gt;"",'G1 MT Reading Scoresheet'!B69,"")</f>
        <v/>
      </c>
      <c r="C66" s="99" t="str">
        <f>IF('G1 MT Reading Scoresheet'!C69&lt;&gt;"",'G1 MT Reading Scoresheet'!C69,"")</f>
        <v/>
      </c>
      <c r="D66" s="100" t="str">
        <f>IF('G1 MT Reading Scoresheet'!D69&lt;&gt;"",'G1 MT Reading Scoresheet'!D69,"")</f>
        <v/>
      </c>
      <c r="E66" s="95" t="str">
        <f>'G1 MT Reading Scoresheet'!J69</f>
        <v/>
      </c>
      <c r="F66" s="96" t="str">
        <f>IF($C66&lt;&gt;"",'G1 MT Reading Scoresheet'!$I69/30,"")</f>
        <v/>
      </c>
      <c r="G66" s="96" t="str">
        <f>IF(AND($C66&lt;&gt;"",$E66&lt;&gt;"Full Refresher"),'G1 MT Reading Scoresheet'!$Q69,"")</f>
        <v/>
      </c>
      <c r="H66" s="97" t="str">
        <f>IF(AND($C66&lt;&gt;"",$E66&lt;&gt;"Full Refresher"),'G1 MT Reading Scoresheet'!$R69/5,"")</f>
        <v/>
      </c>
      <c r="I66" s="108" t="str">
        <f>IF(AND($C66&lt;&gt;"",$E66&lt;&gt;"Full Refresher"),'G1 MT Reading Scoresheet'!$P69,"")</f>
        <v/>
      </c>
      <c r="J66" s="109" t="str">
        <f>'G1 MT Reading Scoresheet'!$U69</f>
        <v/>
      </c>
      <c r="K66" s="111" t="str">
        <f>IF('G1 MT Reading Scoresheet'!V69&lt;&gt;"",'G1 MT Reading Scoresheet'!V69,"")</f>
        <v/>
      </c>
    </row>
    <row r="67" spans="1:11">
      <c r="A67" s="91">
        <f>A66+1</f>
        <v>60</v>
      </c>
      <c r="B67" s="92" t="str">
        <f>IF('G1 MT Reading Scoresheet'!B70&lt;&gt;"",'G1 MT Reading Scoresheet'!B70,"")</f>
        <v/>
      </c>
      <c r="C67" s="93" t="str">
        <f>IF('G1 MT Reading Scoresheet'!C70&lt;&gt;"",'G1 MT Reading Scoresheet'!C70,"")</f>
        <v/>
      </c>
      <c r="D67" s="94" t="str">
        <f>IF('G1 MT Reading Scoresheet'!D70&lt;&gt;"",'G1 MT Reading Scoresheet'!D70,"")</f>
        <v/>
      </c>
      <c r="E67" s="95" t="str">
        <f>'G1 MT Reading Scoresheet'!J70</f>
        <v/>
      </c>
      <c r="F67" s="96" t="str">
        <f>IF($C67&lt;&gt;"",'G1 MT Reading Scoresheet'!$I70/30,"")</f>
        <v/>
      </c>
      <c r="G67" s="96" t="str">
        <f>IF(AND($C67&lt;&gt;"",$E67&lt;&gt;"Full Refresher"),'G1 MT Reading Scoresheet'!$Q70,"")</f>
        <v/>
      </c>
      <c r="H67" s="97" t="str">
        <f>IF(AND($C67&lt;&gt;"",$E67&lt;&gt;"Full Refresher"),'G1 MT Reading Scoresheet'!$R70/5,"")</f>
        <v/>
      </c>
      <c r="I67" s="108" t="str">
        <f>IF(AND($C67&lt;&gt;"",$E67&lt;&gt;"Full Refresher"),'G1 MT Reading Scoresheet'!$P70,"")</f>
        <v/>
      </c>
      <c r="J67" s="109" t="str">
        <f>'G1 MT Reading Scoresheet'!$U70</f>
        <v/>
      </c>
      <c r="K67" s="110" t="str">
        <f>IF('G1 MT Reading Scoresheet'!V70&lt;&gt;"",'G1 MT Reading Scoresheet'!V70,"")</f>
        <v/>
      </c>
    </row>
    <row r="68" spans="1:11">
      <c r="A68" s="49">
        <f t="shared" ref="A68:A106" si="0">A67+1</f>
        <v>61</v>
      </c>
      <c r="B68" s="98" t="str">
        <f>IF('G1 MT Reading Scoresheet'!B71&lt;&gt;"",'G1 MT Reading Scoresheet'!B71,"")</f>
        <v/>
      </c>
      <c r="C68" s="99" t="str">
        <f>IF('G1 MT Reading Scoresheet'!C71&lt;&gt;"",'G1 MT Reading Scoresheet'!C71,"")</f>
        <v/>
      </c>
      <c r="D68" s="100" t="str">
        <f>IF('G1 MT Reading Scoresheet'!D71&lt;&gt;"",'G1 MT Reading Scoresheet'!D71,"")</f>
        <v/>
      </c>
      <c r="E68" s="95" t="str">
        <f>'G1 MT Reading Scoresheet'!J71</f>
        <v/>
      </c>
      <c r="F68" s="96" t="str">
        <f>IF($C68&lt;&gt;"",'G1 MT Reading Scoresheet'!$I71/30,"")</f>
        <v/>
      </c>
      <c r="G68" s="96" t="str">
        <f>IF(AND($C68&lt;&gt;"",$E68&lt;&gt;"Full Refresher"),'G1 MT Reading Scoresheet'!$Q71,"")</f>
        <v/>
      </c>
      <c r="H68" s="97" t="str">
        <f>IF(AND($C68&lt;&gt;"",$E68&lt;&gt;"Full Refresher"),'G1 MT Reading Scoresheet'!$R71/5,"")</f>
        <v/>
      </c>
      <c r="I68" s="108" t="str">
        <f>IF(AND($C68&lt;&gt;"",$E68&lt;&gt;"Full Refresher"),'G1 MT Reading Scoresheet'!$P71,"")</f>
        <v/>
      </c>
      <c r="J68" s="109" t="str">
        <f>'G1 MT Reading Scoresheet'!$U71</f>
        <v/>
      </c>
      <c r="K68" s="111" t="str">
        <f>IF('G1 MT Reading Scoresheet'!V71&lt;&gt;"",'G1 MT Reading Scoresheet'!V71,"")</f>
        <v/>
      </c>
    </row>
    <row r="69" spans="1:11">
      <c r="A69" s="91">
        <f t="shared" si="0"/>
        <v>62</v>
      </c>
      <c r="B69" s="92" t="str">
        <f>IF('G1 MT Reading Scoresheet'!B72&lt;&gt;"",'G1 MT Reading Scoresheet'!B72,"")</f>
        <v/>
      </c>
      <c r="C69" s="93" t="str">
        <f>IF('G1 MT Reading Scoresheet'!C72&lt;&gt;"",'G1 MT Reading Scoresheet'!C72,"")</f>
        <v/>
      </c>
      <c r="D69" s="94" t="str">
        <f>IF('G1 MT Reading Scoresheet'!D72&lt;&gt;"",'G1 MT Reading Scoresheet'!D72,"")</f>
        <v/>
      </c>
      <c r="E69" s="95" t="str">
        <f>'G1 MT Reading Scoresheet'!J72</f>
        <v/>
      </c>
      <c r="F69" s="96" t="str">
        <f>IF($C69&lt;&gt;"",'G1 MT Reading Scoresheet'!$I72/30,"")</f>
        <v/>
      </c>
      <c r="G69" s="96" t="str">
        <f>IF(AND($C69&lt;&gt;"",$E69&lt;&gt;"Full Refresher"),'G1 MT Reading Scoresheet'!$Q72,"")</f>
        <v/>
      </c>
      <c r="H69" s="97" t="str">
        <f>IF(AND($C69&lt;&gt;"",$E69&lt;&gt;"Full Refresher"),'G1 MT Reading Scoresheet'!$R72/5,"")</f>
        <v/>
      </c>
      <c r="I69" s="108" t="str">
        <f>IF(AND($C69&lt;&gt;"",$E69&lt;&gt;"Full Refresher"),'G1 MT Reading Scoresheet'!$P72,"")</f>
        <v/>
      </c>
      <c r="J69" s="109" t="str">
        <f>'G1 MT Reading Scoresheet'!$U72</f>
        <v/>
      </c>
      <c r="K69" s="110" t="str">
        <f>IF('G1 MT Reading Scoresheet'!V72&lt;&gt;"",'G1 MT Reading Scoresheet'!V72,"")</f>
        <v/>
      </c>
    </row>
    <row r="70" spans="1:11">
      <c r="A70" s="49">
        <f t="shared" si="0"/>
        <v>63</v>
      </c>
      <c r="B70" s="98" t="str">
        <f>IF('G1 MT Reading Scoresheet'!B73&lt;&gt;"",'G1 MT Reading Scoresheet'!B73,"")</f>
        <v/>
      </c>
      <c r="C70" s="99" t="str">
        <f>IF('G1 MT Reading Scoresheet'!C73&lt;&gt;"",'G1 MT Reading Scoresheet'!C73,"")</f>
        <v/>
      </c>
      <c r="D70" s="100" t="str">
        <f>IF('G1 MT Reading Scoresheet'!D73&lt;&gt;"",'G1 MT Reading Scoresheet'!D73,"")</f>
        <v/>
      </c>
      <c r="E70" s="95" t="str">
        <f>'G1 MT Reading Scoresheet'!J73</f>
        <v/>
      </c>
      <c r="F70" s="96" t="str">
        <f>IF($C70&lt;&gt;"",'G1 MT Reading Scoresheet'!$I73/30,"")</f>
        <v/>
      </c>
      <c r="G70" s="96" t="str">
        <f>IF(AND($C70&lt;&gt;"",$E70&lt;&gt;"Full Refresher"),'G1 MT Reading Scoresheet'!$Q73,"")</f>
        <v/>
      </c>
      <c r="H70" s="97" t="str">
        <f>IF(AND($C70&lt;&gt;"",$E70&lt;&gt;"Full Refresher"),'G1 MT Reading Scoresheet'!$R73/5,"")</f>
        <v/>
      </c>
      <c r="I70" s="108" t="str">
        <f>IF(AND($C70&lt;&gt;"",$E70&lt;&gt;"Full Refresher"),'G1 MT Reading Scoresheet'!$P73,"")</f>
        <v/>
      </c>
      <c r="J70" s="109" t="str">
        <f>'G1 MT Reading Scoresheet'!$U73</f>
        <v/>
      </c>
      <c r="K70" s="111" t="str">
        <f>IF('G1 MT Reading Scoresheet'!V73&lt;&gt;"",'G1 MT Reading Scoresheet'!V73,"")</f>
        <v/>
      </c>
    </row>
    <row r="71" spans="1:11">
      <c r="A71" s="91">
        <f t="shared" si="0"/>
        <v>64</v>
      </c>
      <c r="B71" s="92" t="str">
        <f>IF('G1 MT Reading Scoresheet'!B74&lt;&gt;"",'G1 MT Reading Scoresheet'!B74,"")</f>
        <v/>
      </c>
      <c r="C71" s="93" t="str">
        <f>IF('G1 MT Reading Scoresheet'!C74&lt;&gt;"",'G1 MT Reading Scoresheet'!C74,"")</f>
        <v/>
      </c>
      <c r="D71" s="94" t="str">
        <f>IF('G1 MT Reading Scoresheet'!D74&lt;&gt;"",'G1 MT Reading Scoresheet'!D74,"")</f>
        <v/>
      </c>
      <c r="E71" s="95" t="str">
        <f>'G1 MT Reading Scoresheet'!J74</f>
        <v/>
      </c>
      <c r="F71" s="96" t="str">
        <f>IF($C71&lt;&gt;"",'G1 MT Reading Scoresheet'!$I74/30,"")</f>
        <v/>
      </c>
      <c r="G71" s="96" t="str">
        <f>IF(AND($C71&lt;&gt;"",$E71&lt;&gt;"Full Refresher"),'G1 MT Reading Scoresheet'!$Q74,"")</f>
        <v/>
      </c>
      <c r="H71" s="97" t="str">
        <f>IF(AND($C71&lt;&gt;"",$E71&lt;&gt;"Full Refresher"),'G1 MT Reading Scoresheet'!$R74/5,"")</f>
        <v/>
      </c>
      <c r="I71" s="108" t="str">
        <f>IF(AND($C71&lt;&gt;"",$E71&lt;&gt;"Full Refresher"),'G1 MT Reading Scoresheet'!$P74,"")</f>
        <v/>
      </c>
      <c r="J71" s="109" t="str">
        <f>'G1 MT Reading Scoresheet'!$U74</f>
        <v/>
      </c>
      <c r="K71" s="110" t="str">
        <f>IF('G1 MT Reading Scoresheet'!V74&lt;&gt;"",'G1 MT Reading Scoresheet'!V74,"")</f>
        <v/>
      </c>
    </row>
    <row r="72" spans="1:11">
      <c r="A72" s="49">
        <f t="shared" si="0"/>
        <v>65</v>
      </c>
      <c r="B72" s="98" t="str">
        <f>IF('G1 MT Reading Scoresheet'!B75&lt;&gt;"",'G1 MT Reading Scoresheet'!B75,"")</f>
        <v/>
      </c>
      <c r="C72" s="99" t="str">
        <f>IF('G1 MT Reading Scoresheet'!C75&lt;&gt;"",'G1 MT Reading Scoresheet'!C75,"")</f>
        <v/>
      </c>
      <c r="D72" s="100" t="str">
        <f>IF('G1 MT Reading Scoresheet'!D75&lt;&gt;"",'G1 MT Reading Scoresheet'!D75,"")</f>
        <v/>
      </c>
      <c r="E72" s="95" t="str">
        <f>'G1 MT Reading Scoresheet'!J75</f>
        <v/>
      </c>
      <c r="F72" s="96" t="str">
        <f>IF($C72&lt;&gt;"",'G1 MT Reading Scoresheet'!$I75/30,"")</f>
        <v/>
      </c>
      <c r="G72" s="96" t="str">
        <f>IF(AND($C72&lt;&gt;"",$E72&lt;&gt;"Full Refresher"),'G1 MT Reading Scoresheet'!$Q75,"")</f>
        <v/>
      </c>
      <c r="H72" s="97" t="str">
        <f>IF(AND($C72&lt;&gt;"",$E72&lt;&gt;"Full Refresher"),'G1 MT Reading Scoresheet'!$R75/5,"")</f>
        <v/>
      </c>
      <c r="I72" s="108" t="str">
        <f>IF(AND($C72&lt;&gt;"",$E72&lt;&gt;"Full Refresher"),'G1 MT Reading Scoresheet'!$P75,"")</f>
        <v/>
      </c>
      <c r="J72" s="109" t="str">
        <f>'G1 MT Reading Scoresheet'!$U75</f>
        <v/>
      </c>
      <c r="K72" s="111" t="str">
        <f>IF('G1 MT Reading Scoresheet'!V75&lt;&gt;"",'G1 MT Reading Scoresheet'!V75,"")</f>
        <v/>
      </c>
    </row>
    <row r="73" spans="1:11">
      <c r="A73" s="91">
        <f t="shared" si="0"/>
        <v>66</v>
      </c>
      <c r="B73" s="92" t="str">
        <f>IF('G1 MT Reading Scoresheet'!B76&lt;&gt;"",'G1 MT Reading Scoresheet'!B76,"")</f>
        <v/>
      </c>
      <c r="C73" s="93" t="str">
        <f>IF('G1 MT Reading Scoresheet'!C76&lt;&gt;"",'G1 MT Reading Scoresheet'!C76,"")</f>
        <v/>
      </c>
      <c r="D73" s="94" t="str">
        <f>IF('G1 MT Reading Scoresheet'!D76&lt;&gt;"",'G1 MT Reading Scoresheet'!D76,"")</f>
        <v/>
      </c>
      <c r="E73" s="95" t="str">
        <f>'G1 MT Reading Scoresheet'!J76</f>
        <v/>
      </c>
      <c r="F73" s="96" t="str">
        <f>IF($C73&lt;&gt;"",'G1 MT Reading Scoresheet'!$I76/30,"")</f>
        <v/>
      </c>
      <c r="G73" s="96" t="str">
        <f>IF(AND($C73&lt;&gt;"",$E73&lt;&gt;"Full Refresher"),'G1 MT Reading Scoresheet'!$Q76,"")</f>
        <v/>
      </c>
      <c r="H73" s="97" t="str">
        <f>IF(AND($C73&lt;&gt;"",$E73&lt;&gt;"Full Refresher"),'G1 MT Reading Scoresheet'!$R76/5,"")</f>
        <v/>
      </c>
      <c r="I73" s="108" t="str">
        <f>IF(AND($C73&lt;&gt;"",$E73&lt;&gt;"Full Refresher"),'G1 MT Reading Scoresheet'!$P76,"")</f>
        <v/>
      </c>
      <c r="J73" s="109" t="str">
        <f>'G1 MT Reading Scoresheet'!$U76</f>
        <v/>
      </c>
      <c r="K73" s="110" t="str">
        <f>IF('G1 MT Reading Scoresheet'!V76&lt;&gt;"",'G1 MT Reading Scoresheet'!V76,"")</f>
        <v/>
      </c>
    </row>
    <row r="74" spans="1:11">
      <c r="A74" s="49">
        <f t="shared" si="0"/>
        <v>67</v>
      </c>
      <c r="B74" s="98" t="str">
        <f>IF('G1 MT Reading Scoresheet'!B77&lt;&gt;"",'G1 MT Reading Scoresheet'!B77,"")</f>
        <v/>
      </c>
      <c r="C74" s="99" t="str">
        <f>IF('G1 MT Reading Scoresheet'!C77&lt;&gt;"",'G1 MT Reading Scoresheet'!C77,"")</f>
        <v/>
      </c>
      <c r="D74" s="100" t="str">
        <f>IF('G1 MT Reading Scoresheet'!D77&lt;&gt;"",'G1 MT Reading Scoresheet'!D77,"")</f>
        <v/>
      </c>
      <c r="E74" s="95" t="str">
        <f>'G1 MT Reading Scoresheet'!J77</f>
        <v/>
      </c>
      <c r="F74" s="96" t="str">
        <f>IF($C74&lt;&gt;"",'G1 MT Reading Scoresheet'!$I77/30,"")</f>
        <v/>
      </c>
      <c r="G74" s="96" t="str">
        <f>IF(AND($C74&lt;&gt;"",$E74&lt;&gt;"Full Refresher"),'G1 MT Reading Scoresheet'!$Q77,"")</f>
        <v/>
      </c>
      <c r="H74" s="97" t="str">
        <f>IF(AND($C74&lt;&gt;"",$E74&lt;&gt;"Full Refresher"),'G1 MT Reading Scoresheet'!$R77/5,"")</f>
        <v/>
      </c>
      <c r="I74" s="108" t="str">
        <f>IF(AND($C74&lt;&gt;"",$E74&lt;&gt;"Full Refresher"),'G1 MT Reading Scoresheet'!$P77,"")</f>
        <v/>
      </c>
      <c r="J74" s="109" t="str">
        <f>'G1 MT Reading Scoresheet'!$U77</f>
        <v/>
      </c>
      <c r="K74" s="111" t="str">
        <f>IF('G1 MT Reading Scoresheet'!V77&lt;&gt;"",'G1 MT Reading Scoresheet'!V77,"")</f>
        <v/>
      </c>
    </row>
    <row r="75" spans="1:11">
      <c r="A75" s="91">
        <f t="shared" si="0"/>
        <v>68</v>
      </c>
      <c r="B75" s="92" t="str">
        <f>IF('G1 MT Reading Scoresheet'!B78&lt;&gt;"",'G1 MT Reading Scoresheet'!B78,"")</f>
        <v/>
      </c>
      <c r="C75" s="93" t="str">
        <f>IF('G1 MT Reading Scoresheet'!C78&lt;&gt;"",'G1 MT Reading Scoresheet'!C78,"")</f>
        <v/>
      </c>
      <c r="D75" s="94" t="str">
        <f>IF('G1 MT Reading Scoresheet'!D78&lt;&gt;"",'G1 MT Reading Scoresheet'!D78,"")</f>
        <v/>
      </c>
      <c r="E75" s="95" t="str">
        <f>'G1 MT Reading Scoresheet'!J78</f>
        <v/>
      </c>
      <c r="F75" s="96" t="str">
        <f>IF($C75&lt;&gt;"",'G1 MT Reading Scoresheet'!$I78/30,"")</f>
        <v/>
      </c>
      <c r="G75" s="96" t="str">
        <f>IF(AND($C75&lt;&gt;"",$E75&lt;&gt;"Full Refresher"),'G1 MT Reading Scoresheet'!$Q78,"")</f>
        <v/>
      </c>
      <c r="H75" s="97" t="str">
        <f>IF(AND($C75&lt;&gt;"",$E75&lt;&gt;"Full Refresher"),'G1 MT Reading Scoresheet'!$R78/5,"")</f>
        <v/>
      </c>
      <c r="I75" s="108" t="str">
        <f>IF(AND($C75&lt;&gt;"",$E75&lt;&gt;"Full Refresher"),'G1 MT Reading Scoresheet'!$P78,"")</f>
        <v/>
      </c>
      <c r="J75" s="109" t="str">
        <f>'G1 MT Reading Scoresheet'!$U78</f>
        <v/>
      </c>
      <c r="K75" s="110" t="str">
        <f>IF('G1 MT Reading Scoresheet'!V78&lt;&gt;"",'G1 MT Reading Scoresheet'!V78,"")</f>
        <v/>
      </c>
    </row>
    <row r="76" spans="1:11">
      <c r="A76" s="49">
        <f t="shared" si="0"/>
        <v>69</v>
      </c>
      <c r="B76" s="98" t="str">
        <f>IF('G1 MT Reading Scoresheet'!B79&lt;&gt;"",'G1 MT Reading Scoresheet'!B79,"")</f>
        <v/>
      </c>
      <c r="C76" s="99" t="str">
        <f>IF('G1 MT Reading Scoresheet'!C79&lt;&gt;"",'G1 MT Reading Scoresheet'!C79,"")</f>
        <v/>
      </c>
      <c r="D76" s="100" t="str">
        <f>IF('G1 MT Reading Scoresheet'!D79&lt;&gt;"",'G1 MT Reading Scoresheet'!D79,"")</f>
        <v/>
      </c>
      <c r="E76" s="95" t="str">
        <f>'G1 MT Reading Scoresheet'!J79</f>
        <v/>
      </c>
      <c r="F76" s="96" t="str">
        <f>IF($C76&lt;&gt;"",'G1 MT Reading Scoresheet'!$I79/30,"")</f>
        <v/>
      </c>
      <c r="G76" s="96" t="str">
        <f>IF(AND($C76&lt;&gt;"",$E76&lt;&gt;"Full Refresher"),'G1 MT Reading Scoresheet'!$Q79,"")</f>
        <v/>
      </c>
      <c r="H76" s="97" t="str">
        <f>IF(AND($C76&lt;&gt;"",$E76&lt;&gt;"Full Refresher"),'G1 MT Reading Scoresheet'!$R79/5,"")</f>
        <v/>
      </c>
      <c r="I76" s="108" t="str">
        <f>IF(AND($C76&lt;&gt;"",$E76&lt;&gt;"Full Refresher"),'G1 MT Reading Scoresheet'!$P79,"")</f>
        <v/>
      </c>
      <c r="J76" s="109" t="str">
        <f>'G1 MT Reading Scoresheet'!$U79</f>
        <v/>
      </c>
      <c r="K76" s="111" t="str">
        <f>IF('G1 MT Reading Scoresheet'!V79&lt;&gt;"",'G1 MT Reading Scoresheet'!V79,"")</f>
        <v/>
      </c>
    </row>
    <row r="77" spans="1:11">
      <c r="A77" s="91">
        <f t="shared" si="0"/>
        <v>70</v>
      </c>
      <c r="B77" s="92" t="str">
        <f>IF('G1 MT Reading Scoresheet'!B80&lt;&gt;"",'G1 MT Reading Scoresheet'!B80,"")</f>
        <v/>
      </c>
      <c r="C77" s="93" t="str">
        <f>IF('G1 MT Reading Scoresheet'!C80&lt;&gt;"",'G1 MT Reading Scoresheet'!C80,"")</f>
        <v/>
      </c>
      <c r="D77" s="94" t="str">
        <f>IF('G1 MT Reading Scoresheet'!D80&lt;&gt;"",'G1 MT Reading Scoresheet'!D80,"")</f>
        <v/>
      </c>
      <c r="E77" s="95" t="str">
        <f>'G1 MT Reading Scoresheet'!J80</f>
        <v/>
      </c>
      <c r="F77" s="96" t="str">
        <f>IF($C77&lt;&gt;"",'G1 MT Reading Scoresheet'!$I80/30,"")</f>
        <v/>
      </c>
      <c r="G77" s="96" t="str">
        <f>IF(AND($C77&lt;&gt;"",$E77&lt;&gt;"Full Refresher"),'G1 MT Reading Scoresheet'!$Q80,"")</f>
        <v/>
      </c>
      <c r="H77" s="97" t="str">
        <f>IF(AND($C77&lt;&gt;"",$E77&lt;&gt;"Full Refresher"),'G1 MT Reading Scoresheet'!$R80/5,"")</f>
        <v/>
      </c>
      <c r="I77" s="108" t="str">
        <f>IF(AND($C77&lt;&gt;"",$E77&lt;&gt;"Full Refresher"),'G1 MT Reading Scoresheet'!$P80,"")</f>
        <v/>
      </c>
      <c r="J77" s="109" t="str">
        <f>'G1 MT Reading Scoresheet'!$U80</f>
        <v/>
      </c>
      <c r="K77" s="110" t="str">
        <f>IF('G1 MT Reading Scoresheet'!V80&lt;&gt;"",'G1 MT Reading Scoresheet'!V80,"")</f>
        <v/>
      </c>
    </row>
    <row r="78" spans="1:11">
      <c r="A78" s="49">
        <f t="shared" si="0"/>
        <v>71</v>
      </c>
      <c r="B78" s="98" t="str">
        <f>IF('G1 MT Reading Scoresheet'!B81&lt;&gt;"",'G1 MT Reading Scoresheet'!B81,"")</f>
        <v/>
      </c>
      <c r="C78" s="99" t="str">
        <f>IF('G1 MT Reading Scoresheet'!C81&lt;&gt;"",'G1 MT Reading Scoresheet'!C81,"")</f>
        <v/>
      </c>
      <c r="D78" s="100" t="str">
        <f>IF('G1 MT Reading Scoresheet'!D81&lt;&gt;"",'G1 MT Reading Scoresheet'!D81,"")</f>
        <v/>
      </c>
      <c r="E78" s="95" t="str">
        <f>'G1 MT Reading Scoresheet'!J81</f>
        <v/>
      </c>
      <c r="F78" s="96" t="str">
        <f>IF($C78&lt;&gt;"",'G1 MT Reading Scoresheet'!$I81/30,"")</f>
        <v/>
      </c>
      <c r="G78" s="96" t="str">
        <f>IF(AND($C78&lt;&gt;"",$E78&lt;&gt;"Full Refresher"),'G1 MT Reading Scoresheet'!$Q81,"")</f>
        <v/>
      </c>
      <c r="H78" s="97" t="str">
        <f>IF(AND($C78&lt;&gt;"",$E78&lt;&gt;"Full Refresher"),'G1 MT Reading Scoresheet'!$R81/5,"")</f>
        <v/>
      </c>
      <c r="I78" s="108" t="str">
        <f>IF(AND($C78&lt;&gt;"",$E78&lt;&gt;"Full Refresher"),'G1 MT Reading Scoresheet'!$P81,"")</f>
        <v/>
      </c>
      <c r="J78" s="109" t="str">
        <f>'G1 MT Reading Scoresheet'!$U81</f>
        <v/>
      </c>
      <c r="K78" s="111" t="str">
        <f>IF('G1 MT Reading Scoresheet'!V81&lt;&gt;"",'G1 MT Reading Scoresheet'!V81,"")</f>
        <v/>
      </c>
    </row>
    <row r="79" spans="1:11">
      <c r="A79" s="91">
        <f t="shared" si="0"/>
        <v>72</v>
      </c>
      <c r="B79" s="92" t="str">
        <f>IF('G1 MT Reading Scoresheet'!B82&lt;&gt;"",'G1 MT Reading Scoresheet'!B82,"")</f>
        <v/>
      </c>
      <c r="C79" s="93" t="str">
        <f>IF('G1 MT Reading Scoresheet'!C82&lt;&gt;"",'G1 MT Reading Scoresheet'!C82,"")</f>
        <v/>
      </c>
      <c r="D79" s="94" t="str">
        <f>IF('G1 MT Reading Scoresheet'!D82&lt;&gt;"",'G1 MT Reading Scoresheet'!D82,"")</f>
        <v/>
      </c>
      <c r="E79" s="95" t="str">
        <f>'G1 MT Reading Scoresheet'!J82</f>
        <v/>
      </c>
      <c r="F79" s="96" t="str">
        <f>IF($C79&lt;&gt;"",'G1 MT Reading Scoresheet'!$I82/30,"")</f>
        <v/>
      </c>
      <c r="G79" s="96" t="str">
        <f>IF(AND($C79&lt;&gt;"",$E79&lt;&gt;"Full Refresher"),'G1 MT Reading Scoresheet'!$Q82,"")</f>
        <v/>
      </c>
      <c r="H79" s="97" t="str">
        <f>IF(AND($C79&lt;&gt;"",$E79&lt;&gt;"Full Refresher"),'G1 MT Reading Scoresheet'!$R82/5,"")</f>
        <v/>
      </c>
      <c r="I79" s="108" t="str">
        <f>IF(AND($C79&lt;&gt;"",$E79&lt;&gt;"Full Refresher"),'G1 MT Reading Scoresheet'!$P82,"")</f>
        <v/>
      </c>
      <c r="J79" s="109" t="str">
        <f>'G1 MT Reading Scoresheet'!$U82</f>
        <v/>
      </c>
      <c r="K79" s="110" t="str">
        <f>IF('G1 MT Reading Scoresheet'!V82&lt;&gt;"",'G1 MT Reading Scoresheet'!V82,"")</f>
        <v/>
      </c>
    </row>
    <row r="80" spans="1:11">
      <c r="A80" s="49">
        <f t="shared" si="0"/>
        <v>73</v>
      </c>
      <c r="B80" s="98" t="str">
        <f>IF('G1 MT Reading Scoresheet'!B83&lt;&gt;"",'G1 MT Reading Scoresheet'!B83,"")</f>
        <v/>
      </c>
      <c r="C80" s="99" t="str">
        <f>IF('G1 MT Reading Scoresheet'!C83&lt;&gt;"",'G1 MT Reading Scoresheet'!C83,"")</f>
        <v/>
      </c>
      <c r="D80" s="100" t="str">
        <f>IF('G1 MT Reading Scoresheet'!D83&lt;&gt;"",'G1 MT Reading Scoresheet'!D83,"")</f>
        <v/>
      </c>
      <c r="E80" s="95" t="str">
        <f>'G1 MT Reading Scoresheet'!J83</f>
        <v/>
      </c>
      <c r="F80" s="96" t="str">
        <f>IF($C80&lt;&gt;"",'G1 MT Reading Scoresheet'!$I83/30,"")</f>
        <v/>
      </c>
      <c r="G80" s="96" t="str">
        <f>IF(AND($C80&lt;&gt;"",$E80&lt;&gt;"Full Refresher"),'G1 MT Reading Scoresheet'!$Q83,"")</f>
        <v/>
      </c>
      <c r="H80" s="97" t="str">
        <f>IF(AND($C80&lt;&gt;"",$E80&lt;&gt;"Full Refresher"),'G1 MT Reading Scoresheet'!$R83/5,"")</f>
        <v/>
      </c>
      <c r="I80" s="108" t="str">
        <f>IF(AND($C80&lt;&gt;"",$E80&lt;&gt;"Full Refresher"),'G1 MT Reading Scoresheet'!$P83,"")</f>
        <v/>
      </c>
      <c r="J80" s="109" t="str">
        <f>'G1 MT Reading Scoresheet'!$U83</f>
        <v/>
      </c>
      <c r="K80" s="111" t="str">
        <f>IF('G1 MT Reading Scoresheet'!V83&lt;&gt;"",'G1 MT Reading Scoresheet'!V83,"")</f>
        <v/>
      </c>
    </row>
    <row r="81" spans="1:11">
      <c r="A81" s="91">
        <f t="shared" si="0"/>
        <v>74</v>
      </c>
      <c r="B81" s="92" t="str">
        <f>IF('G1 MT Reading Scoresheet'!B84&lt;&gt;"",'G1 MT Reading Scoresheet'!B84,"")</f>
        <v/>
      </c>
      <c r="C81" s="93" t="str">
        <f>IF('G1 MT Reading Scoresheet'!C84&lt;&gt;"",'G1 MT Reading Scoresheet'!C84,"")</f>
        <v/>
      </c>
      <c r="D81" s="94" t="str">
        <f>IF('G1 MT Reading Scoresheet'!D84&lt;&gt;"",'G1 MT Reading Scoresheet'!D84,"")</f>
        <v/>
      </c>
      <c r="E81" s="95" t="str">
        <f>'G1 MT Reading Scoresheet'!J84</f>
        <v/>
      </c>
      <c r="F81" s="96" t="str">
        <f>IF($C81&lt;&gt;"",'G1 MT Reading Scoresheet'!$I84/30,"")</f>
        <v/>
      </c>
      <c r="G81" s="96" t="str">
        <f>IF(AND($C81&lt;&gt;"",$E81&lt;&gt;"Full Refresher"),'G1 MT Reading Scoresheet'!$Q84,"")</f>
        <v/>
      </c>
      <c r="H81" s="97" t="str">
        <f>IF(AND($C81&lt;&gt;"",$E81&lt;&gt;"Full Refresher"),'G1 MT Reading Scoresheet'!$R84/5,"")</f>
        <v/>
      </c>
      <c r="I81" s="108" t="str">
        <f>IF(AND($C81&lt;&gt;"",$E81&lt;&gt;"Full Refresher"),'G1 MT Reading Scoresheet'!$P84,"")</f>
        <v/>
      </c>
      <c r="J81" s="109" t="str">
        <f>'G1 MT Reading Scoresheet'!$U84</f>
        <v/>
      </c>
      <c r="K81" s="110" t="str">
        <f>IF('G1 MT Reading Scoresheet'!V84&lt;&gt;"",'G1 MT Reading Scoresheet'!V84,"")</f>
        <v/>
      </c>
    </row>
    <row r="82" spans="1:11">
      <c r="A82" s="49">
        <f t="shared" si="0"/>
        <v>75</v>
      </c>
      <c r="B82" s="98" t="str">
        <f>IF('G1 MT Reading Scoresheet'!B85&lt;&gt;"",'G1 MT Reading Scoresheet'!B85,"")</f>
        <v/>
      </c>
      <c r="C82" s="99" t="str">
        <f>IF('G1 MT Reading Scoresheet'!C85&lt;&gt;"",'G1 MT Reading Scoresheet'!C85,"")</f>
        <v/>
      </c>
      <c r="D82" s="100" t="str">
        <f>IF('G1 MT Reading Scoresheet'!D85&lt;&gt;"",'G1 MT Reading Scoresheet'!D85,"")</f>
        <v/>
      </c>
      <c r="E82" s="95" t="str">
        <f>'G1 MT Reading Scoresheet'!J85</f>
        <v/>
      </c>
      <c r="F82" s="96" t="str">
        <f>IF($C82&lt;&gt;"",'G1 MT Reading Scoresheet'!$I85/30,"")</f>
        <v/>
      </c>
      <c r="G82" s="96" t="str">
        <f>IF(AND($C82&lt;&gt;"",$E82&lt;&gt;"Full Refresher"),'G1 MT Reading Scoresheet'!$Q85,"")</f>
        <v/>
      </c>
      <c r="H82" s="97" t="str">
        <f>IF(AND($C82&lt;&gt;"",$E82&lt;&gt;"Full Refresher"),'G1 MT Reading Scoresheet'!$R85/5,"")</f>
        <v/>
      </c>
      <c r="I82" s="108" t="str">
        <f>IF(AND($C82&lt;&gt;"",$E82&lt;&gt;"Full Refresher"),'G1 MT Reading Scoresheet'!$P85,"")</f>
        <v/>
      </c>
      <c r="J82" s="109" t="str">
        <f>'G1 MT Reading Scoresheet'!$U85</f>
        <v/>
      </c>
      <c r="K82" s="111" t="str">
        <f>IF('G1 MT Reading Scoresheet'!V85&lt;&gt;"",'G1 MT Reading Scoresheet'!V85,"")</f>
        <v/>
      </c>
    </row>
    <row r="83" spans="1:11">
      <c r="A83" s="91">
        <f t="shared" si="0"/>
        <v>76</v>
      </c>
      <c r="B83" s="92" t="str">
        <f>IF('G1 MT Reading Scoresheet'!B86&lt;&gt;"",'G1 MT Reading Scoresheet'!B86,"")</f>
        <v/>
      </c>
      <c r="C83" s="93" t="str">
        <f>IF('G1 MT Reading Scoresheet'!C86&lt;&gt;"",'G1 MT Reading Scoresheet'!C86,"")</f>
        <v/>
      </c>
      <c r="D83" s="94" t="str">
        <f>IF('G1 MT Reading Scoresheet'!D86&lt;&gt;"",'G1 MT Reading Scoresheet'!D86,"")</f>
        <v/>
      </c>
      <c r="E83" s="95" t="str">
        <f>'G1 MT Reading Scoresheet'!J86</f>
        <v/>
      </c>
      <c r="F83" s="96" t="str">
        <f>IF($C83&lt;&gt;"",'G1 MT Reading Scoresheet'!$I86/30,"")</f>
        <v/>
      </c>
      <c r="G83" s="96" t="str">
        <f>IF(AND($C83&lt;&gt;"",$E83&lt;&gt;"Full Refresher"),'G1 MT Reading Scoresheet'!$Q86,"")</f>
        <v/>
      </c>
      <c r="H83" s="97" t="str">
        <f>IF(AND($C83&lt;&gt;"",$E83&lt;&gt;"Full Refresher"),'G1 MT Reading Scoresheet'!$R86/5,"")</f>
        <v/>
      </c>
      <c r="I83" s="108" t="str">
        <f>IF(AND($C83&lt;&gt;"",$E83&lt;&gt;"Full Refresher"),'G1 MT Reading Scoresheet'!$P86,"")</f>
        <v/>
      </c>
      <c r="J83" s="109" t="str">
        <f>'G1 MT Reading Scoresheet'!$U86</f>
        <v/>
      </c>
      <c r="K83" s="110" t="str">
        <f>IF('G1 MT Reading Scoresheet'!V86&lt;&gt;"",'G1 MT Reading Scoresheet'!V86,"")</f>
        <v/>
      </c>
    </row>
    <row r="84" spans="1:11">
      <c r="A84" s="49">
        <f t="shared" si="0"/>
        <v>77</v>
      </c>
      <c r="B84" s="98" t="str">
        <f>IF('G1 MT Reading Scoresheet'!B87&lt;&gt;"",'G1 MT Reading Scoresheet'!B87,"")</f>
        <v/>
      </c>
      <c r="C84" s="99" t="str">
        <f>IF('G1 MT Reading Scoresheet'!C87&lt;&gt;"",'G1 MT Reading Scoresheet'!C87,"")</f>
        <v/>
      </c>
      <c r="D84" s="100" t="str">
        <f>IF('G1 MT Reading Scoresheet'!D87&lt;&gt;"",'G1 MT Reading Scoresheet'!D87,"")</f>
        <v/>
      </c>
      <c r="E84" s="95" t="str">
        <f>'G1 MT Reading Scoresheet'!J87</f>
        <v/>
      </c>
      <c r="F84" s="96" t="str">
        <f>IF($C84&lt;&gt;"",'G1 MT Reading Scoresheet'!$I87/30,"")</f>
        <v/>
      </c>
      <c r="G84" s="96" t="str">
        <f>IF(AND($C84&lt;&gt;"",$E84&lt;&gt;"Full Refresher"),'G1 MT Reading Scoresheet'!$Q87,"")</f>
        <v/>
      </c>
      <c r="H84" s="97" t="str">
        <f>IF(AND($C84&lt;&gt;"",$E84&lt;&gt;"Full Refresher"),'G1 MT Reading Scoresheet'!$R87/5,"")</f>
        <v/>
      </c>
      <c r="I84" s="108" t="str">
        <f>IF(AND($C84&lt;&gt;"",$E84&lt;&gt;"Full Refresher"),'G1 MT Reading Scoresheet'!$P87,"")</f>
        <v/>
      </c>
      <c r="J84" s="109" t="str">
        <f>'G1 MT Reading Scoresheet'!$U87</f>
        <v/>
      </c>
      <c r="K84" s="111" t="str">
        <f>IF('G1 MT Reading Scoresheet'!V87&lt;&gt;"",'G1 MT Reading Scoresheet'!V87,"")</f>
        <v/>
      </c>
    </row>
    <row r="85" spans="1:11">
      <c r="A85" s="91">
        <f t="shared" si="0"/>
        <v>78</v>
      </c>
      <c r="B85" s="92" t="str">
        <f>IF('G1 MT Reading Scoresheet'!B88&lt;&gt;"",'G1 MT Reading Scoresheet'!B88,"")</f>
        <v/>
      </c>
      <c r="C85" s="93" t="str">
        <f>IF('G1 MT Reading Scoresheet'!C88&lt;&gt;"",'G1 MT Reading Scoresheet'!C88,"")</f>
        <v/>
      </c>
      <c r="D85" s="94" t="str">
        <f>IF('G1 MT Reading Scoresheet'!D88&lt;&gt;"",'G1 MT Reading Scoresheet'!D88,"")</f>
        <v/>
      </c>
      <c r="E85" s="95" t="str">
        <f>'G1 MT Reading Scoresheet'!J88</f>
        <v/>
      </c>
      <c r="F85" s="96" t="str">
        <f>IF($C85&lt;&gt;"",'G1 MT Reading Scoresheet'!$I88/30,"")</f>
        <v/>
      </c>
      <c r="G85" s="96" t="str">
        <f>IF(AND($C85&lt;&gt;"",$E85&lt;&gt;"Full Refresher"),'G1 MT Reading Scoresheet'!$Q88,"")</f>
        <v/>
      </c>
      <c r="H85" s="97" t="str">
        <f>IF(AND($C85&lt;&gt;"",$E85&lt;&gt;"Full Refresher"),'G1 MT Reading Scoresheet'!$R88/5,"")</f>
        <v/>
      </c>
      <c r="I85" s="108" t="str">
        <f>IF(AND($C85&lt;&gt;"",$E85&lt;&gt;"Full Refresher"),'G1 MT Reading Scoresheet'!$P88,"")</f>
        <v/>
      </c>
      <c r="J85" s="109" t="str">
        <f>'G1 MT Reading Scoresheet'!$U88</f>
        <v/>
      </c>
      <c r="K85" s="110" t="str">
        <f>IF('G1 MT Reading Scoresheet'!V88&lt;&gt;"",'G1 MT Reading Scoresheet'!V88,"")</f>
        <v/>
      </c>
    </row>
    <row r="86" spans="1:11">
      <c r="A86" s="49">
        <f t="shared" si="0"/>
        <v>79</v>
      </c>
      <c r="B86" s="98" t="str">
        <f>IF('G1 MT Reading Scoresheet'!B89&lt;&gt;"",'G1 MT Reading Scoresheet'!B89,"")</f>
        <v/>
      </c>
      <c r="C86" s="99" t="str">
        <f>IF('G1 MT Reading Scoresheet'!C89&lt;&gt;"",'G1 MT Reading Scoresheet'!C89,"")</f>
        <v/>
      </c>
      <c r="D86" s="100" t="str">
        <f>IF('G1 MT Reading Scoresheet'!D89&lt;&gt;"",'G1 MT Reading Scoresheet'!D89,"")</f>
        <v/>
      </c>
      <c r="E86" s="95" t="str">
        <f>'G1 MT Reading Scoresheet'!J89</f>
        <v/>
      </c>
      <c r="F86" s="96" t="str">
        <f>IF($C86&lt;&gt;"",'G1 MT Reading Scoresheet'!$I89/30,"")</f>
        <v/>
      </c>
      <c r="G86" s="96" t="str">
        <f>IF(AND($C86&lt;&gt;"",$E86&lt;&gt;"Full Refresher"),'G1 MT Reading Scoresheet'!$Q89,"")</f>
        <v/>
      </c>
      <c r="H86" s="97" t="str">
        <f>IF(AND($C86&lt;&gt;"",$E86&lt;&gt;"Full Refresher"),'G1 MT Reading Scoresheet'!$R89/5,"")</f>
        <v/>
      </c>
      <c r="I86" s="108" t="str">
        <f>IF(AND($C86&lt;&gt;"",$E86&lt;&gt;"Full Refresher"),'G1 MT Reading Scoresheet'!$P89,"")</f>
        <v/>
      </c>
      <c r="J86" s="109" t="str">
        <f>'G1 MT Reading Scoresheet'!$U89</f>
        <v/>
      </c>
      <c r="K86" s="111" t="str">
        <f>IF('G1 MT Reading Scoresheet'!V89&lt;&gt;"",'G1 MT Reading Scoresheet'!V89,"")</f>
        <v/>
      </c>
    </row>
    <row r="87" spans="1:11">
      <c r="A87" s="91">
        <f t="shared" si="0"/>
        <v>80</v>
      </c>
      <c r="B87" s="92" t="str">
        <f>IF('G1 MT Reading Scoresheet'!B90&lt;&gt;"",'G1 MT Reading Scoresheet'!B90,"")</f>
        <v/>
      </c>
      <c r="C87" s="93" t="str">
        <f>IF('G1 MT Reading Scoresheet'!C90&lt;&gt;"",'G1 MT Reading Scoresheet'!C90,"")</f>
        <v/>
      </c>
      <c r="D87" s="94" t="str">
        <f>IF('G1 MT Reading Scoresheet'!D90&lt;&gt;"",'G1 MT Reading Scoresheet'!D90,"")</f>
        <v/>
      </c>
      <c r="E87" s="95" t="str">
        <f>'G1 MT Reading Scoresheet'!J90</f>
        <v/>
      </c>
      <c r="F87" s="96" t="str">
        <f>IF($C87&lt;&gt;"",'G1 MT Reading Scoresheet'!$I90/30,"")</f>
        <v/>
      </c>
      <c r="G87" s="96" t="str">
        <f>IF(AND($C87&lt;&gt;"",$E87&lt;&gt;"Full Refresher"),'G1 MT Reading Scoresheet'!$Q90,"")</f>
        <v/>
      </c>
      <c r="H87" s="97" t="str">
        <f>IF(AND($C87&lt;&gt;"",$E87&lt;&gt;"Full Refresher"),'G1 MT Reading Scoresheet'!$R90/5,"")</f>
        <v/>
      </c>
      <c r="I87" s="108" t="str">
        <f>IF(AND($C87&lt;&gt;"",$E87&lt;&gt;"Full Refresher"),'G1 MT Reading Scoresheet'!$P90,"")</f>
        <v/>
      </c>
      <c r="J87" s="109" t="str">
        <f>'G1 MT Reading Scoresheet'!$U90</f>
        <v/>
      </c>
      <c r="K87" s="110" t="str">
        <f>IF('G1 MT Reading Scoresheet'!V90&lt;&gt;"",'G1 MT Reading Scoresheet'!V90,"")</f>
        <v/>
      </c>
    </row>
    <row r="88" spans="1:11">
      <c r="A88" s="49">
        <f t="shared" si="0"/>
        <v>81</v>
      </c>
      <c r="B88" s="98" t="str">
        <f>IF('G1 MT Reading Scoresheet'!B91&lt;&gt;"",'G1 MT Reading Scoresheet'!B91,"")</f>
        <v/>
      </c>
      <c r="C88" s="99" t="str">
        <f>IF('G1 MT Reading Scoresheet'!C91&lt;&gt;"",'G1 MT Reading Scoresheet'!C91,"")</f>
        <v/>
      </c>
      <c r="D88" s="100" t="str">
        <f>IF('G1 MT Reading Scoresheet'!D91&lt;&gt;"",'G1 MT Reading Scoresheet'!D91,"")</f>
        <v/>
      </c>
      <c r="E88" s="95" t="str">
        <f>'G1 MT Reading Scoresheet'!J91</f>
        <v/>
      </c>
      <c r="F88" s="96" t="str">
        <f>IF($C88&lt;&gt;"",'G1 MT Reading Scoresheet'!$I91/30,"")</f>
        <v/>
      </c>
      <c r="G88" s="96" t="str">
        <f>IF(AND($C88&lt;&gt;"",$E88&lt;&gt;"Full Refresher"),'G1 MT Reading Scoresheet'!$Q91,"")</f>
        <v/>
      </c>
      <c r="H88" s="97" t="str">
        <f>IF(AND($C88&lt;&gt;"",$E88&lt;&gt;"Full Refresher"),'G1 MT Reading Scoresheet'!$R91/5,"")</f>
        <v/>
      </c>
      <c r="I88" s="108" t="str">
        <f>IF(AND($C88&lt;&gt;"",$E88&lt;&gt;"Full Refresher"),'G1 MT Reading Scoresheet'!$P91,"")</f>
        <v/>
      </c>
      <c r="J88" s="109" t="str">
        <f>'G1 MT Reading Scoresheet'!$U91</f>
        <v/>
      </c>
      <c r="K88" s="111" t="str">
        <f>IF('G1 MT Reading Scoresheet'!V91&lt;&gt;"",'G1 MT Reading Scoresheet'!V91,"")</f>
        <v/>
      </c>
    </row>
    <row r="89" spans="1:11">
      <c r="A89" s="91">
        <f t="shared" si="0"/>
        <v>82</v>
      </c>
      <c r="B89" s="92" t="str">
        <f>IF('G1 MT Reading Scoresheet'!B92&lt;&gt;"",'G1 MT Reading Scoresheet'!B92,"")</f>
        <v/>
      </c>
      <c r="C89" s="93" t="str">
        <f>IF('G1 MT Reading Scoresheet'!C92&lt;&gt;"",'G1 MT Reading Scoresheet'!C92,"")</f>
        <v/>
      </c>
      <c r="D89" s="94" t="str">
        <f>IF('G1 MT Reading Scoresheet'!D92&lt;&gt;"",'G1 MT Reading Scoresheet'!D92,"")</f>
        <v/>
      </c>
      <c r="E89" s="95" t="str">
        <f>'G1 MT Reading Scoresheet'!J92</f>
        <v/>
      </c>
      <c r="F89" s="96" t="str">
        <f>IF($C89&lt;&gt;"",'G1 MT Reading Scoresheet'!$I92/30,"")</f>
        <v/>
      </c>
      <c r="G89" s="96" t="str">
        <f>IF(AND($C89&lt;&gt;"",$E89&lt;&gt;"Full Refresher"),'G1 MT Reading Scoresheet'!$Q92,"")</f>
        <v/>
      </c>
      <c r="H89" s="97" t="str">
        <f>IF(AND($C89&lt;&gt;"",$E89&lt;&gt;"Full Refresher"),'G1 MT Reading Scoresheet'!$R92/5,"")</f>
        <v/>
      </c>
      <c r="I89" s="108" t="str">
        <f>IF(AND($C89&lt;&gt;"",$E89&lt;&gt;"Full Refresher"),'G1 MT Reading Scoresheet'!$P92,"")</f>
        <v/>
      </c>
      <c r="J89" s="109" t="str">
        <f>'G1 MT Reading Scoresheet'!$U92</f>
        <v/>
      </c>
      <c r="K89" s="110" t="str">
        <f>IF('G1 MT Reading Scoresheet'!V92&lt;&gt;"",'G1 MT Reading Scoresheet'!V92,"")</f>
        <v/>
      </c>
    </row>
    <row r="90" spans="1:11">
      <c r="A90" s="49">
        <f t="shared" si="0"/>
        <v>83</v>
      </c>
      <c r="B90" s="98" t="str">
        <f>IF('G1 MT Reading Scoresheet'!B93&lt;&gt;"",'G1 MT Reading Scoresheet'!B93,"")</f>
        <v/>
      </c>
      <c r="C90" s="99" t="str">
        <f>IF('G1 MT Reading Scoresheet'!C93&lt;&gt;"",'G1 MT Reading Scoresheet'!C93,"")</f>
        <v/>
      </c>
      <c r="D90" s="100" t="str">
        <f>IF('G1 MT Reading Scoresheet'!D93&lt;&gt;"",'G1 MT Reading Scoresheet'!D93,"")</f>
        <v/>
      </c>
      <c r="E90" s="95" t="str">
        <f>'G1 MT Reading Scoresheet'!J93</f>
        <v/>
      </c>
      <c r="F90" s="96" t="str">
        <f>IF($C90&lt;&gt;"",'G1 MT Reading Scoresheet'!$I93/30,"")</f>
        <v/>
      </c>
      <c r="G90" s="96" t="str">
        <f>IF(AND($C90&lt;&gt;"",$E90&lt;&gt;"Full Refresher"),'G1 MT Reading Scoresheet'!$Q93,"")</f>
        <v/>
      </c>
      <c r="H90" s="97" t="str">
        <f>IF(AND($C90&lt;&gt;"",$E90&lt;&gt;"Full Refresher"),'G1 MT Reading Scoresheet'!$R93/5,"")</f>
        <v/>
      </c>
      <c r="I90" s="108" t="str">
        <f>IF(AND($C90&lt;&gt;"",$E90&lt;&gt;"Full Refresher"),'G1 MT Reading Scoresheet'!$P93,"")</f>
        <v/>
      </c>
      <c r="J90" s="109" t="str">
        <f>'G1 MT Reading Scoresheet'!$U93</f>
        <v/>
      </c>
      <c r="K90" s="111" t="str">
        <f>IF('G1 MT Reading Scoresheet'!V93&lt;&gt;"",'G1 MT Reading Scoresheet'!V93,"")</f>
        <v/>
      </c>
    </row>
    <row r="91" spans="1:11">
      <c r="A91" s="91">
        <f t="shared" si="0"/>
        <v>84</v>
      </c>
      <c r="B91" s="92" t="str">
        <f>IF('G1 MT Reading Scoresheet'!B94&lt;&gt;"",'G1 MT Reading Scoresheet'!B94,"")</f>
        <v/>
      </c>
      <c r="C91" s="93" t="str">
        <f>IF('G1 MT Reading Scoresheet'!C94&lt;&gt;"",'G1 MT Reading Scoresheet'!C94,"")</f>
        <v/>
      </c>
      <c r="D91" s="94" t="str">
        <f>IF('G1 MT Reading Scoresheet'!D94&lt;&gt;"",'G1 MT Reading Scoresheet'!D94,"")</f>
        <v/>
      </c>
      <c r="E91" s="95" t="str">
        <f>'G1 MT Reading Scoresheet'!J94</f>
        <v/>
      </c>
      <c r="F91" s="96" t="str">
        <f>IF($C91&lt;&gt;"",'G1 MT Reading Scoresheet'!$I94/30,"")</f>
        <v/>
      </c>
      <c r="G91" s="96" t="str">
        <f>IF(AND($C91&lt;&gt;"",$E91&lt;&gt;"Full Refresher"),'G1 MT Reading Scoresheet'!$Q94,"")</f>
        <v/>
      </c>
      <c r="H91" s="97" t="str">
        <f>IF(AND($C91&lt;&gt;"",$E91&lt;&gt;"Full Refresher"),'G1 MT Reading Scoresheet'!$R94/5,"")</f>
        <v/>
      </c>
      <c r="I91" s="108" t="str">
        <f>IF(AND($C91&lt;&gt;"",$E91&lt;&gt;"Full Refresher"),'G1 MT Reading Scoresheet'!$P94,"")</f>
        <v/>
      </c>
      <c r="J91" s="109" t="str">
        <f>'G1 MT Reading Scoresheet'!$U94</f>
        <v/>
      </c>
      <c r="K91" s="110" t="str">
        <f>IF('G1 MT Reading Scoresheet'!V94&lt;&gt;"",'G1 MT Reading Scoresheet'!V94,"")</f>
        <v/>
      </c>
    </row>
    <row r="92" spans="1:11">
      <c r="A92" s="49">
        <f t="shared" si="0"/>
        <v>85</v>
      </c>
      <c r="B92" s="98" t="str">
        <f>IF('G1 MT Reading Scoresheet'!B95&lt;&gt;"",'G1 MT Reading Scoresheet'!B95,"")</f>
        <v/>
      </c>
      <c r="C92" s="99" t="str">
        <f>IF('G1 MT Reading Scoresheet'!C95&lt;&gt;"",'G1 MT Reading Scoresheet'!C95,"")</f>
        <v/>
      </c>
      <c r="D92" s="100" t="str">
        <f>IF('G1 MT Reading Scoresheet'!D95&lt;&gt;"",'G1 MT Reading Scoresheet'!D95,"")</f>
        <v/>
      </c>
      <c r="E92" s="95" t="str">
        <f>'G1 MT Reading Scoresheet'!J95</f>
        <v/>
      </c>
      <c r="F92" s="96" t="str">
        <f>IF($C92&lt;&gt;"",'G1 MT Reading Scoresheet'!$I95/30,"")</f>
        <v/>
      </c>
      <c r="G92" s="96" t="str">
        <f>IF(AND($C92&lt;&gt;"",$E92&lt;&gt;"Full Refresher"),'G1 MT Reading Scoresheet'!$Q95,"")</f>
        <v/>
      </c>
      <c r="H92" s="97" t="str">
        <f>IF(AND($C92&lt;&gt;"",$E92&lt;&gt;"Full Refresher"),'G1 MT Reading Scoresheet'!$R95/5,"")</f>
        <v/>
      </c>
      <c r="I92" s="108" t="str">
        <f>IF(AND($C92&lt;&gt;"",$E92&lt;&gt;"Full Refresher"),'G1 MT Reading Scoresheet'!$P95,"")</f>
        <v/>
      </c>
      <c r="J92" s="109" t="str">
        <f>'G1 MT Reading Scoresheet'!$U95</f>
        <v/>
      </c>
      <c r="K92" s="111" t="str">
        <f>IF('G1 MT Reading Scoresheet'!V95&lt;&gt;"",'G1 MT Reading Scoresheet'!V95,"")</f>
        <v/>
      </c>
    </row>
    <row r="93" spans="1:11">
      <c r="A93" s="91">
        <f t="shared" si="0"/>
        <v>86</v>
      </c>
      <c r="B93" s="92" t="str">
        <f>IF('G1 MT Reading Scoresheet'!B96&lt;&gt;"",'G1 MT Reading Scoresheet'!B96,"")</f>
        <v/>
      </c>
      <c r="C93" s="93" t="str">
        <f>IF('G1 MT Reading Scoresheet'!C96&lt;&gt;"",'G1 MT Reading Scoresheet'!C96,"")</f>
        <v/>
      </c>
      <c r="D93" s="94" t="str">
        <f>IF('G1 MT Reading Scoresheet'!D96&lt;&gt;"",'G1 MT Reading Scoresheet'!D96,"")</f>
        <v/>
      </c>
      <c r="E93" s="95" t="str">
        <f>'G1 MT Reading Scoresheet'!J96</f>
        <v/>
      </c>
      <c r="F93" s="96" t="str">
        <f>IF($C93&lt;&gt;"",'G1 MT Reading Scoresheet'!$I96/30,"")</f>
        <v/>
      </c>
      <c r="G93" s="96" t="str">
        <f>IF(AND($C93&lt;&gt;"",$E93&lt;&gt;"Full Refresher"),'G1 MT Reading Scoresheet'!$Q96,"")</f>
        <v/>
      </c>
      <c r="H93" s="97" t="str">
        <f>IF(AND($C93&lt;&gt;"",$E93&lt;&gt;"Full Refresher"),'G1 MT Reading Scoresheet'!$R96/5,"")</f>
        <v/>
      </c>
      <c r="I93" s="108" t="str">
        <f>IF(AND($C93&lt;&gt;"",$E93&lt;&gt;"Full Refresher"),'G1 MT Reading Scoresheet'!$P96,"")</f>
        <v/>
      </c>
      <c r="J93" s="109" t="str">
        <f>'G1 MT Reading Scoresheet'!$U96</f>
        <v/>
      </c>
      <c r="K93" s="110" t="str">
        <f>IF('G1 MT Reading Scoresheet'!V96&lt;&gt;"",'G1 MT Reading Scoresheet'!V96,"")</f>
        <v/>
      </c>
    </row>
    <row r="94" spans="1:11">
      <c r="A94" s="49">
        <f t="shared" si="0"/>
        <v>87</v>
      </c>
      <c r="B94" s="98" t="str">
        <f>IF('G1 MT Reading Scoresheet'!B97&lt;&gt;"",'G1 MT Reading Scoresheet'!B97,"")</f>
        <v/>
      </c>
      <c r="C94" s="99" t="str">
        <f>IF('G1 MT Reading Scoresheet'!C97&lt;&gt;"",'G1 MT Reading Scoresheet'!C97,"")</f>
        <v/>
      </c>
      <c r="D94" s="100" t="str">
        <f>IF('G1 MT Reading Scoresheet'!D97&lt;&gt;"",'G1 MT Reading Scoresheet'!D97,"")</f>
        <v/>
      </c>
      <c r="E94" s="95" t="str">
        <f>'G1 MT Reading Scoresheet'!J97</f>
        <v/>
      </c>
      <c r="F94" s="96" t="str">
        <f>IF($C94&lt;&gt;"",'G1 MT Reading Scoresheet'!$I97/30,"")</f>
        <v/>
      </c>
      <c r="G94" s="96" t="str">
        <f>IF(AND($C94&lt;&gt;"",$E94&lt;&gt;"Full Refresher"),'G1 MT Reading Scoresheet'!$Q97,"")</f>
        <v/>
      </c>
      <c r="H94" s="97" t="str">
        <f>IF(AND($C94&lt;&gt;"",$E94&lt;&gt;"Full Refresher"),'G1 MT Reading Scoresheet'!$R97/5,"")</f>
        <v/>
      </c>
      <c r="I94" s="108" t="str">
        <f>IF(AND($C94&lt;&gt;"",$E94&lt;&gt;"Full Refresher"),'G1 MT Reading Scoresheet'!$P97,"")</f>
        <v/>
      </c>
      <c r="J94" s="109" t="str">
        <f>'G1 MT Reading Scoresheet'!$U97</f>
        <v/>
      </c>
      <c r="K94" s="111" t="str">
        <f>IF('G1 MT Reading Scoresheet'!V97&lt;&gt;"",'G1 MT Reading Scoresheet'!V97,"")</f>
        <v/>
      </c>
    </row>
    <row r="95" spans="1:11">
      <c r="A95" s="91">
        <f t="shared" si="0"/>
        <v>88</v>
      </c>
      <c r="B95" s="92" t="str">
        <f>IF('G1 MT Reading Scoresheet'!B98&lt;&gt;"",'G1 MT Reading Scoresheet'!B98,"")</f>
        <v/>
      </c>
      <c r="C95" s="93" t="str">
        <f>IF('G1 MT Reading Scoresheet'!C98&lt;&gt;"",'G1 MT Reading Scoresheet'!C98,"")</f>
        <v/>
      </c>
      <c r="D95" s="94" t="str">
        <f>IF('G1 MT Reading Scoresheet'!D98&lt;&gt;"",'G1 MT Reading Scoresheet'!D98,"")</f>
        <v/>
      </c>
      <c r="E95" s="95" t="str">
        <f>'G1 MT Reading Scoresheet'!J98</f>
        <v/>
      </c>
      <c r="F95" s="96" t="str">
        <f>IF($C95&lt;&gt;"",'G1 MT Reading Scoresheet'!$I98/30,"")</f>
        <v/>
      </c>
      <c r="G95" s="96" t="str">
        <f>IF(AND($C95&lt;&gt;"",$E95&lt;&gt;"Full Refresher"),'G1 MT Reading Scoresheet'!$Q98,"")</f>
        <v/>
      </c>
      <c r="H95" s="97" t="str">
        <f>IF(AND($C95&lt;&gt;"",$E95&lt;&gt;"Full Refresher"),'G1 MT Reading Scoresheet'!$R98/5,"")</f>
        <v/>
      </c>
      <c r="I95" s="108" t="str">
        <f>IF(AND($C95&lt;&gt;"",$E95&lt;&gt;"Full Refresher"),'G1 MT Reading Scoresheet'!$P98,"")</f>
        <v/>
      </c>
      <c r="J95" s="109" t="str">
        <f>'G1 MT Reading Scoresheet'!$U98</f>
        <v/>
      </c>
      <c r="K95" s="110" t="str">
        <f>IF('G1 MT Reading Scoresheet'!V98&lt;&gt;"",'G1 MT Reading Scoresheet'!V98,"")</f>
        <v/>
      </c>
    </row>
    <row r="96" spans="1:11">
      <c r="A96" s="49">
        <f t="shared" si="0"/>
        <v>89</v>
      </c>
      <c r="B96" s="98" t="str">
        <f>IF('G1 MT Reading Scoresheet'!B99&lt;&gt;"",'G1 MT Reading Scoresheet'!B99,"")</f>
        <v/>
      </c>
      <c r="C96" s="99" t="str">
        <f>IF('G1 MT Reading Scoresheet'!C99&lt;&gt;"",'G1 MT Reading Scoresheet'!C99,"")</f>
        <v/>
      </c>
      <c r="D96" s="100" t="str">
        <f>IF('G1 MT Reading Scoresheet'!D99&lt;&gt;"",'G1 MT Reading Scoresheet'!D99,"")</f>
        <v/>
      </c>
      <c r="E96" s="95" t="str">
        <f>'G1 MT Reading Scoresheet'!J99</f>
        <v/>
      </c>
      <c r="F96" s="96" t="str">
        <f>IF($C96&lt;&gt;"",'G1 MT Reading Scoresheet'!$I99/30,"")</f>
        <v/>
      </c>
      <c r="G96" s="96" t="str">
        <f>IF(AND($C96&lt;&gt;"",$E96&lt;&gt;"Full Refresher"),'G1 MT Reading Scoresheet'!$Q99,"")</f>
        <v/>
      </c>
      <c r="H96" s="97" t="str">
        <f>IF(AND($C96&lt;&gt;"",$E96&lt;&gt;"Full Refresher"),'G1 MT Reading Scoresheet'!$R99/5,"")</f>
        <v/>
      </c>
      <c r="I96" s="108" t="str">
        <f>IF(AND($C96&lt;&gt;"",$E96&lt;&gt;"Full Refresher"),'G1 MT Reading Scoresheet'!$P99,"")</f>
        <v/>
      </c>
      <c r="J96" s="109" t="str">
        <f>'G1 MT Reading Scoresheet'!$U99</f>
        <v/>
      </c>
      <c r="K96" s="111" t="str">
        <f>IF('G1 MT Reading Scoresheet'!V99&lt;&gt;"",'G1 MT Reading Scoresheet'!V99,"")</f>
        <v/>
      </c>
    </row>
    <row r="97" spans="1:11">
      <c r="A97" s="91">
        <f t="shared" si="0"/>
        <v>90</v>
      </c>
      <c r="B97" s="92" t="str">
        <f>IF('G1 MT Reading Scoresheet'!B100&lt;&gt;"",'G1 MT Reading Scoresheet'!B100,"")</f>
        <v/>
      </c>
      <c r="C97" s="93" t="str">
        <f>IF('G1 MT Reading Scoresheet'!C100&lt;&gt;"",'G1 MT Reading Scoresheet'!C100,"")</f>
        <v/>
      </c>
      <c r="D97" s="94" t="str">
        <f>IF('G1 MT Reading Scoresheet'!D100&lt;&gt;"",'G1 MT Reading Scoresheet'!D100,"")</f>
        <v/>
      </c>
      <c r="E97" s="95" t="str">
        <f>'G1 MT Reading Scoresheet'!J100</f>
        <v/>
      </c>
      <c r="F97" s="96" t="str">
        <f>IF($C97&lt;&gt;"",'G1 MT Reading Scoresheet'!$I100/30,"")</f>
        <v/>
      </c>
      <c r="G97" s="96" t="str">
        <f>IF(AND($C97&lt;&gt;"",$E97&lt;&gt;"Full Refresher"),'G1 MT Reading Scoresheet'!$Q100,"")</f>
        <v/>
      </c>
      <c r="H97" s="97" t="str">
        <f>IF(AND($C97&lt;&gt;"",$E97&lt;&gt;"Full Refresher"),'G1 MT Reading Scoresheet'!$R100/5,"")</f>
        <v/>
      </c>
      <c r="I97" s="108" t="str">
        <f>IF(AND($C97&lt;&gt;"",$E97&lt;&gt;"Full Refresher"),'G1 MT Reading Scoresheet'!$P100,"")</f>
        <v/>
      </c>
      <c r="J97" s="109" t="str">
        <f>'G1 MT Reading Scoresheet'!$U100</f>
        <v/>
      </c>
      <c r="K97" s="110" t="str">
        <f>IF('G1 MT Reading Scoresheet'!V100&lt;&gt;"",'G1 MT Reading Scoresheet'!V100,"")</f>
        <v/>
      </c>
    </row>
    <row r="98" spans="1:11">
      <c r="A98" s="49">
        <f t="shared" si="0"/>
        <v>91</v>
      </c>
      <c r="B98" s="98" t="str">
        <f>IF('G1 MT Reading Scoresheet'!B101&lt;&gt;"",'G1 MT Reading Scoresheet'!B101,"")</f>
        <v/>
      </c>
      <c r="C98" s="99" t="str">
        <f>IF('G1 MT Reading Scoresheet'!C101&lt;&gt;"",'G1 MT Reading Scoresheet'!C101,"")</f>
        <v/>
      </c>
      <c r="D98" s="100" t="str">
        <f>IF('G1 MT Reading Scoresheet'!D101&lt;&gt;"",'G1 MT Reading Scoresheet'!D101,"")</f>
        <v/>
      </c>
      <c r="E98" s="95" t="str">
        <f>'G1 MT Reading Scoresheet'!J101</f>
        <v/>
      </c>
      <c r="F98" s="96" t="str">
        <f>IF($C98&lt;&gt;"",'G1 MT Reading Scoresheet'!$I101/30,"")</f>
        <v/>
      </c>
      <c r="G98" s="96" t="str">
        <f>IF(AND($C98&lt;&gt;"",$E98&lt;&gt;"Full Refresher"),'G1 MT Reading Scoresheet'!$Q101,"")</f>
        <v/>
      </c>
      <c r="H98" s="97" t="str">
        <f>IF(AND($C98&lt;&gt;"",$E98&lt;&gt;"Full Refresher"),'G1 MT Reading Scoresheet'!$R101/5,"")</f>
        <v/>
      </c>
      <c r="I98" s="108" t="str">
        <f>IF(AND($C98&lt;&gt;"",$E98&lt;&gt;"Full Refresher"),'G1 MT Reading Scoresheet'!$P101,"")</f>
        <v/>
      </c>
      <c r="J98" s="109" t="str">
        <f>'G1 MT Reading Scoresheet'!$U101</f>
        <v/>
      </c>
      <c r="K98" s="111" t="str">
        <f>IF('G1 MT Reading Scoresheet'!V101&lt;&gt;"",'G1 MT Reading Scoresheet'!V101,"")</f>
        <v/>
      </c>
    </row>
    <row r="99" spans="1:11">
      <c r="A99" s="91">
        <f t="shared" si="0"/>
        <v>92</v>
      </c>
      <c r="B99" s="92" t="str">
        <f>IF('G1 MT Reading Scoresheet'!B102&lt;&gt;"",'G1 MT Reading Scoresheet'!B102,"")</f>
        <v/>
      </c>
      <c r="C99" s="93" t="str">
        <f>IF('G1 MT Reading Scoresheet'!C102&lt;&gt;"",'G1 MT Reading Scoresheet'!C102,"")</f>
        <v/>
      </c>
      <c r="D99" s="94" t="str">
        <f>IF('G1 MT Reading Scoresheet'!D102&lt;&gt;"",'G1 MT Reading Scoresheet'!D102,"")</f>
        <v/>
      </c>
      <c r="E99" s="95" t="str">
        <f>'G1 MT Reading Scoresheet'!J102</f>
        <v/>
      </c>
      <c r="F99" s="96" t="str">
        <f>IF($C99&lt;&gt;"",'G1 MT Reading Scoresheet'!$I102/30,"")</f>
        <v/>
      </c>
      <c r="G99" s="96" t="str">
        <f>IF(AND($C99&lt;&gt;"",$E99&lt;&gt;"Full Refresher"),'G1 MT Reading Scoresheet'!$Q102,"")</f>
        <v/>
      </c>
      <c r="H99" s="97" t="str">
        <f>IF(AND($C99&lt;&gt;"",$E99&lt;&gt;"Full Refresher"),'G1 MT Reading Scoresheet'!$R102/5,"")</f>
        <v/>
      </c>
      <c r="I99" s="108" t="str">
        <f>IF(AND($C99&lt;&gt;"",$E99&lt;&gt;"Full Refresher"),'G1 MT Reading Scoresheet'!$P102,"")</f>
        <v/>
      </c>
      <c r="J99" s="109" t="str">
        <f>'G1 MT Reading Scoresheet'!$U102</f>
        <v/>
      </c>
      <c r="K99" s="110" t="str">
        <f>IF('G1 MT Reading Scoresheet'!V102&lt;&gt;"",'G1 MT Reading Scoresheet'!V102,"")</f>
        <v/>
      </c>
    </row>
    <row r="100" spans="1:11">
      <c r="A100" s="49">
        <f t="shared" si="0"/>
        <v>93</v>
      </c>
      <c r="B100" s="98" t="str">
        <f>IF('G1 MT Reading Scoresheet'!B103&lt;&gt;"",'G1 MT Reading Scoresheet'!B103,"")</f>
        <v/>
      </c>
      <c r="C100" s="99" t="str">
        <f>IF('G1 MT Reading Scoresheet'!C103&lt;&gt;"",'G1 MT Reading Scoresheet'!C103,"")</f>
        <v/>
      </c>
      <c r="D100" s="100" t="str">
        <f>IF('G1 MT Reading Scoresheet'!D103&lt;&gt;"",'G1 MT Reading Scoresheet'!D103,"")</f>
        <v/>
      </c>
      <c r="E100" s="95" t="str">
        <f>'G1 MT Reading Scoresheet'!J103</f>
        <v/>
      </c>
      <c r="F100" s="96" t="str">
        <f>IF($C100&lt;&gt;"",'G1 MT Reading Scoresheet'!$I103/30,"")</f>
        <v/>
      </c>
      <c r="G100" s="96" t="str">
        <f>IF(AND($C100&lt;&gt;"",$E100&lt;&gt;"Full Refresher"),'G1 MT Reading Scoresheet'!$Q103,"")</f>
        <v/>
      </c>
      <c r="H100" s="97" t="str">
        <f>IF(AND($C100&lt;&gt;"",$E100&lt;&gt;"Full Refresher"),'G1 MT Reading Scoresheet'!$R103/5,"")</f>
        <v/>
      </c>
      <c r="I100" s="108" t="str">
        <f>IF(AND($C100&lt;&gt;"",$E100&lt;&gt;"Full Refresher"),'G1 MT Reading Scoresheet'!$P103,"")</f>
        <v/>
      </c>
      <c r="J100" s="109" t="str">
        <f>'G1 MT Reading Scoresheet'!$U103</f>
        <v/>
      </c>
      <c r="K100" s="111" t="str">
        <f>IF('G1 MT Reading Scoresheet'!V103&lt;&gt;"",'G1 MT Reading Scoresheet'!V103,"")</f>
        <v/>
      </c>
    </row>
    <row r="101" spans="1:11">
      <c r="A101" s="91">
        <f t="shared" si="0"/>
        <v>94</v>
      </c>
      <c r="B101" s="92" t="str">
        <f>IF('G1 MT Reading Scoresheet'!B104&lt;&gt;"",'G1 MT Reading Scoresheet'!B104,"")</f>
        <v/>
      </c>
      <c r="C101" s="93" t="str">
        <f>IF('G1 MT Reading Scoresheet'!C104&lt;&gt;"",'G1 MT Reading Scoresheet'!C104,"")</f>
        <v/>
      </c>
      <c r="D101" s="94" t="str">
        <f>IF('G1 MT Reading Scoresheet'!D104&lt;&gt;"",'G1 MT Reading Scoresheet'!D104,"")</f>
        <v/>
      </c>
      <c r="E101" s="95" t="str">
        <f>'G1 MT Reading Scoresheet'!J104</f>
        <v/>
      </c>
      <c r="F101" s="96" t="str">
        <f>IF($C101&lt;&gt;"",'G1 MT Reading Scoresheet'!$I104/30,"")</f>
        <v/>
      </c>
      <c r="G101" s="96" t="str">
        <f>IF(AND($C101&lt;&gt;"",$E101&lt;&gt;"Full Refresher"),'G1 MT Reading Scoresheet'!$Q104,"")</f>
        <v/>
      </c>
      <c r="H101" s="97" t="str">
        <f>IF(AND($C101&lt;&gt;"",$E101&lt;&gt;"Full Refresher"),'G1 MT Reading Scoresheet'!$R104/5,"")</f>
        <v/>
      </c>
      <c r="I101" s="108" t="str">
        <f>IF(AND($C101&lt;&gt;"",$E101&lt;&gt;"Full Refresher"),'G1 MT Reading Scoresheet'!$P104,"")</f>
        <v/>
      </c>
      <c r="J101" s="109" t="str">
        <f>'G1 MT Reading Scoresheet'!$U104</f>
        <v/>
      </c>
      <c r="K101" s="110" t="str">
        <f>IF('G1 MT Reading Scoresheet'!V104&lt;&gt;"",'G1 MT Reading Scoresheet'!V104,"")</f>
        <v/>
      </c>
    </row>
    <row r="102" spans="1:11">
      <c r="A102" s="49">
        <f t="shared" si="0"/>
        <v>95</v>
      </c>
      <c r="B102" s="98" t="str">
        <f>IF('G1 MT Reading Scoresheet'!B105&lt;&gt;"",'G1 MT Reading Scoresheet'!B105,"")</f>
        <v/>
      </c>
      <c r="C102" s="99" t="str">
        <f>IF('G1 MT Reading Scoresheet'!C105&lt;&gt;"",'G1 MT Reading Scoresheet'!C105,"")</f>
        <v/>
      </c>
      <c r="D102" s="100" t="str">
        <f>IF('G1 MT Reading Scoresheet'!D105&lt;&gt;"",'G1 MT Reading Scoresheet'!D105,"")</f>
        <v/>
      </c>
      <c r="E102" s="95" t="str">
        <f>'G1 MT Reading Scoresheet'!J105</f>
        <v/>
      </c>
      <c r="F102" s="96" t="str">
        <f>IF($C102&lt;&gt;"",'G1 MT Reading Scoresheet'!$I105/30,"")</f>
        <v/>
      </c>
      <c r="G102" s="96" t="str">
        <f>IF(AND($C102&lt;&gt;"",$E102&lt;&gt;"Full Refresher"),'G1 MT Reading Scoresheet'!$Q105,"")</f>
        <v/>
      </c>
      <c r="H102" s="97" t="str">
        <f>IF(AND($C102&lt;&gt;"",$E102&lt;&gt;"Full Refresher"),'G1 MT Reading Scoresheet'!$R105/5,"")</f>
        <v/>
      </c>
      <c r="I102" s="108" t="str">
        <f>IF(AND($C102&lt;&gt;"",$E102&lt;&gt;"Full Refresher"),'G1 MT Reading Scoresheet'!$P105,"")</f>
        <v/>
      </c>
      <c r="J102" s="109" t="str">
        <f>'G1 MT Reading Scoresheet'!$U105</f>
        <v/>
      </c>
      <c r="K102" s="111" t="str">
        <f>IF('G1 MT Reading Scoresheet'!V105&lt;&gt;"",'G1 MT Reading Scoresheet'!V105,"")</f>
        <v/>
      </c>
    </row>
    <row r="103" spans="1:11">
      <c r="A103" s="91">
        <f t="shared" si="0"/>
        <v>96</v>
      </c>
      <c r="B103" s="92" t="str">
        <f>IF('G1 MT Reading Scoresheet'!B106&lt;&gt;"",'G1 MT Reading Scoresheet'!B106,"")</f>
        <v/>
      </c>
      <c r="C103" s="93" t="str">
        <f>IF('G1 MT Reading Scoresheet'!C106&lt;&gt;"",'G1 MT Reading Scoresheet'!C106,"")</f>
        <v/>
      </c>
      <c r="D103" s="94" t="str">
        <f>IF('G1 MT Reading Scoresheet'!D106&lt;&gt;"",'G1 MT Reading Scoresheet'!D106,"")</f>
        <v/>
      </c>
      <c r="E103" s="95" t="str">
        <f>'G1 MT Reading Scoresheet'!J106</f>
        <v/>
      </c>
      <c r="F103" s="96" t="str">
        <f>IF($C103&lt;&gt;"",'G1 MT Reading Scoresheet'!$I106/30,"")</f>
        <v/>
      </c>
      <c r="G103" s="96" t="str">
        <f>IF(AND($C103&lt;&gt;"",$E103&lt;&gt;"Full Refresher"),'G1 MT Reading Scoresheet'!$Q106,"")</f>
        <v/>
      </c>
      <c r="H103" s="97" t="str">
        <f>IF(AND($C103&lt;&gt;"",$E103&lt;&gt;"Full Refresher"),'G1 MT Reading Scoresheet'!$R106/5,"")</f>
        <v/>
      </c>
      <c r="I103" s="108" t="str">
        <f>IF(AND($C103&lt;&gt;"",$E103&lt;&gt;"Full Refresher"),'G1 MT Reading Scoresheet'!$P106,"")</f>
        <v/>
      </c>
      <c r="J103" s="109" t="str">
        <f>'G1 MT Reading Scoresheet'!$U106</f>
        <v/>
      </c>
      <c r="K103" s="110" t="str">
        <f>IF('G1 MT Reading Scoresheet'!V106&lt;&gt;"",'G1 MT Reading Scoresheet'!V106,"")</f>
        <v/>
      </c>
    </row>
    <row r="104" spans="1:11">
      <c r="A104" s="49">
        <f t="shared" si="0"/>
        <v>97</v>
      </c>
      <c r="B104" s="98" t="str">
        <f>IF('G1 MT Reading Scoresheet'!B107&lt;&gt;"",'G1 MT Reading Scoresheet'!B107,"")</f>
        <v/>
      </c>
      <c r="C104" s="99" t="str">
        <f>IF('G1 MT Reading Scoresheet'!C107&lt;&gt;"",'G1 MT Reading Scoresheet'!C107,"")</f>
        <v/>
      </c>
      <c r="D104" s="100" t="str">
        <f>IF('G1 MT Reading Scoresheet'!D107&lt;&gt;"",'G1 MT Reading Scoresheet'!D107,"")</f>
        <v/>
      </c>
      <c r="E104" s="95" t="str">
        <f>'G1 MT Reading Scoresheet'!J107</f>
        <v/>
      </c>
      <c r="F104" s="96" t="str">
        <f>IF($C104&lt;&gt;"",'G1 MT Reading Scoresheet'!$I107/30,"")</f>
        <v/>
      </c>
      <c r="G104" s="96" t="str">
        <f>IF(AND($C104&lt;&gt;"",$E104&lt;&gt;"Full Refresher"),'G1 MT Reading Scoresheet'!$Q107,"")</f>
        <v/>
      </c>
      <c r="H104" s="97" t="str">
        <f>IF(AND($C104&lt;&gt;"",$E104&lt;&gt;"Full Refresher"),'G1 MT Reading Scoresheet'!$R107/5,"")</f>
        <v/>
      </c>
      <c r="I104" s="108" t="str">
        <f>IF(AND($C104&lt;&gt;"",$E104&lt;&gt;"Full Refresher"),'G1 MT Reading Scoresheet'!$P107,"")</f>
        <v/>
      </c>
      <c r="J104" s="109" t="str">
        <f>'G1 MT Reading Scoresheet'!$U107</f>
        <v/>
      </c>
      <c r="K104" s="111" t="str">
        <f>IF('G1 MT Reading Scoresheet'!V107&lt;&gt;"",'G1 MT Reading Scoresheet'!V107,"")</f>
        <v/>
      </c>
    </row>
    <row r="105" spans="1:11">
      <c r="A105" s="91">
        <f t="shared" si="0"/>
        <v>98</v>
      </c>
      <c r="B105" s="92" t="str">
        <f>IF('G1 MT Reading Scoresheet'!B108&lt;&gt;"",'G1 MT Reading Scoresheet'!B108,"")</f>
        <v/>
      </c>
      <c r="C105" s="93" t="str">
        <f>IF('G1 MT Reading Scoresheet'!C108&lt;&gt;"",'G1 MT Reading Scoresheet'!C108,"")</f>
        <v/>
      </c>
      <c r="D105" s="94" t="str">
        <f>IF('G1 MT Reading Scoresheet'!D108&lt;&gt;"",'G1 MT Reading Scoresheet'!D108,"")</f>
        <v/>
      </c>
      <c r="E105" s="95" t="str">
        <f>'G1 MT Reading Scoresheet'!J108</f>
        <v/>
      </c>
      <c r="F105" s="96" t="str">
        <f>IF($C105&lt;&gt;"",'G1 MT Reading Scoresheet'!$I108/30,"")</f>
        <v/>
      </c>
      <c r="G105" s="96" t="str">
        <f>IF(AND($C105&lt;&gt;"",$E105&lt;&gt;"Full Refresher"),'G1 MT Reading Scoresheet'!$Q108,"")</f>
        <v/>
      </c>
      <c r="H105" s="97" t="str">
        <f>IF(AND($C105&lt;&gt;"",$E105&lt;&gt;"Full Refresher"),'G1 MT Reading Scoresheet'!$R108/5,"")</f>
        <v/>
      </c>
      <c r="I105" s="108" t="str">
        <f>IF(AND($C105&lt;&gt;"",$E105&lt;&gt;"Full Refresher"),'G1 MT Reading Scoresheet'!$P108,"")</f>
        <v/>
      </c>
      <c r="J105" s="109" t="str">
        <f>'G1 MT Reading Scoresheet'!$U108</f>
        <v/>
      </c>
      <c r="K105" s="110" t="str">
        <f>IF('G1 MT Reading Scoresheet'!V108&lt;&gt;"",'G1 MT Reading Scoresheet'!V108,"")</f>
        <v/>
      </c>
    </row>
    <row r="106" spans="1:11">
      <c r="A106" s="49">
        <f t="shared" si="0"/>
        <v>99</v>
      </c>
      <c r="B106" s="98" t="str">
        <f>IF('G1 MT Reading Scoresheet'!B109&lt;&gt;"",'G1 MT Reading Scoresheet'!B109,"")</f>
        <v/>
      </c>
      <c r="C106" s="99" t="str">
        <f>IF('G1 MT Reading Scoresheet'!C109&lt;&gt;"",'G1 MT Reading Scoresheet'!C109,"")</f>
        <v/>
      </c>
      <c r="D106" s="100" t="str">
        <f>IF('G1 MT Reading Scoresheet'!D109&lt;&gt;"",'G1 MT Reading Scoresheet'!D109,"")</f>
        <v/>
      </c>
      <c r="E106" s="95" t="str">
        <f>'G1 MT Reading Scoresheet'!J109</f>
        <v/>
      </c>
      <c r="F106" s="96" t="str">
        <f>IF($C106&lt;&gt;"",'G1 MT Reading Scoresheet'!$I109/30,"")</f>
        <v/>
      </c>
      <c r="G106" s="96" t="str">
        <f>IF(AND($C106&lt;&gt;"",$E106&lt;&gt;"Full Refresher"),'G1 MT Reading Scoresheet'!$Q109,"")</f>
        <v/>
      </c>
      <c r="H106" s="97" t="str">
        <f>IF(AND($C106&lt;&gt;"",$E106&lt;&gt;"Full Refresher"),'G1 MT Reading Scoresheet'!$R109/5,"")</f>
        <v/>
      </c>
      <c r="I106" s="108" t="str">
        <f>IF(AND($C106&lt;&gt;"",$E106&lt;&gt;"Full Refresher"),'G1 MT Reading Scoresheet'!$P109,"")</f>
        <v/>
      </c>
      <c r="J106" s="109" t="str">
        <f>'G1 MT Reading Scoresheet'!$U109</f>
        <v/>
      </c>
      <c r="K106" s="111" t="str">
        <f>IF('G1 MT Reading Scoresheet'!V109&lt;&gt;"",'G1 MT Reading Scoresheet'!V109,"")</f>
        <v/>
      </c>
    </row>
    <row r="107" spans="1:11">
      <c r="A107" s="91">
        <v>100</v>
      </c>
      <c r="B107" s="92" t="str">
        <f>IF('G1 MT Reading Scoresheet'!B110&lt;&gt;"",'G1 MT Reading Scoresheet'!B110,"")</f>
        <v/>
      </c>
      <c r="C107" s="112" t="str">
        <f>IF('G1 MT Reading Scoresheet'!C110&lt;&gt;"",'G1 MT Reading Scoresheet'!C110,"")</f>
        <v/>
      </c>
      <c r="D107" s="113" t="str">
        <f>IF('G1 MT Reading Scoresheet'!D110&lt;&gt;"",'G1 MT Reading Scoresheet'!D110,"")</f>
        <v/>
      </c>
      <c r="E107" s="114" t="str">
        <f>'G1 MT Reading Scoresheet'!J110</f>
        <v/>
      </c>
      <c r="F107" s="115" t="str">
        <f>IF($C107&lt;&gt;"",'G1 MT Reading Scoresheet'!$I110/30,"")</f>
        <v/>
      </c>
      <c r="G107" s="115" t="str">
        <f>IF(AND($C107&lt;&gt;"",$E107&lt;&gt;"Full Refresher"),'G1 MT Reading Scoresheet'!$Q110,"")</f>
        <v/>
      </c>
      <c r="H107" s="116" t="str">
        <f>IF(AND($C107&lt;&gt;"",$E107&lt;&gt;"Full Refresher"),'G1 MT Reading Scoresheet'!$R110/5,"")</f>
        <v/>
      </c>
      <c r="I107" s="117" t="str">
        <f>IF(AND($C107&lt;&gt;"",$E107&lt;&gt;"Full Refresher"),'G1 MT Reading Scoresheet'!$P110,"")</f>
        <v/>
      </c>
      <c r="J107" s="118" t="str">
        <f>'G1 MT Reading Scoresheet'!$U110</f>
        <v/>
      </c>
      <c r="K107" s="119" t="str">
        <f>IF('G1 MT Reading Scoresheet'!V110&lt;&gt;"",'G1 MT Reading Scoresheet'!V110,"")</f>
        <v/>
      </c>
    </row>
  </sheetData>
  <sheetProtection algorithmName="SHA-512" hashValue="KQaR5kuIxtLkyw864t+pSlGDe+BrY6tGjbfDZ+UdOTLPpS+tBfIsjGeXV/fp1hCbTTy7c5EQkA3CpzwK1QeLvg==" saltValue="ZfugVy5n8kepGktOWS17gw==" spinCount="100000" sheet="1" objects="1" scenarios="1" selectLockedCells="1" autoFilter="0" selectUnlockedCells="1"/>
  <autoFilter ref="A7:K107" xr:uid="{00000000-0009-0000-0000-000001000000}"/>
  <mergeCells count="11">
    <mergeCell ref="A6:B6"/>
    <mergeCell ref="C6:D6"/>
    <mergeCell ref="E6:F6"/>
    <mergeCell ref="G6:H6"/>
    <mergeCell ref="J6:J7"/>
    <mergeCell ref="A4:B4"/>
    <mergeCell ref="C4:D4"/>
    <mergeCell ref="E4:K4"/>
    <mergeCell ref="A5:B5"/>
    <mergeCell ref="C5:D5"/>
    <mergeCell ref="E5:J5"/>
  </mergeCells>
  <conditionalFormatting sqref="C4">
    <cfRule type="containsText" dxfId="4" priority="5" operator="containsText" text="[enter school school id here]">
      <formula>NOT(ISERROR(SEARCH("[enter school school id here]",C4)))</formula>
    </cfRule>
  </conditionalFormatting>
  <conditionalFormatting sqref="C5">
    <cfRule type="containsText" dxfId="3" priority="6" operator="containsText" text="[enter teacher name here]">
      <formula>NOT(ISERROR(SEARCH("[enter teacher name here]",C5)))</formula>
    </cfRule>
  </conditionalFormatting>
  <conditionalFormatting sqref="E8:E107">
    <cfRule type="containsText" dxfId="2" priority="1" operator="containsText" text="Moderate">
      <formula>NOT(ISERROR(SEARCH("Moderate",E8)))</formula>
    </cfRule>
    <cfRule type="containsText" dxfId="1" priority="2" operator="containsText" text="FUll">
      <formula>NOT(ISERROR(SEARCH("FUll",E8)))</formula>
    </cfRule>
  </conditionalFormatting>
  <conditionalFormatting sqref="J1:J1048576">
    <cfRule type="containsText" dxfId="0" priority="3" operator="containsText" text="Emerging">
      <formula>NOT(ISERROR(SEARCH("Emerging",J1)))</formula>
    </cfRule>
  </conditionalFormatting>
  <pageMargins left="0.76" right="0.31496062992126" top="0.74803149606299202" bottom="3.39" header="0.31496062992126" footer="0.31496062992126"/>
  <pageSetup paperSize="9" scale="7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XFC18"/>
  <sheetViews>
    <sheetView zoomScale="65" zoomScaleNormal="85" workbookViewId="0">
      <selection activeCell="L9" sqref="L9"/>
    </sheetView>
  </sheetViews>
  <sheetFormatPr defaultColWidth="0" defaultRowHeight="12" customHeight="1"/>
  <cols>
    <col min="1" max="1" width="12.375" customWidth="1"/>
    <col min="2" max="2" width="15.125" customWidth="1"/>
    <col min="3" max="3" width="15.5" customWidth="1"/>
    <col min="4" max="4" width="11.375" customWidth="1"/>
    <col min="5" max="5" width="11.875" customWidth="1"/>
    <col min="6" max="6" width="9.875" customWidth="1"/>
    <col min="7" max="7" width="10.5" customWidth="1"/>
    <col min="8" max="8" width="9.875" style="1" customWidth="1"/>
    <col min="9" max="9" width="11.875" style="1" customWidth="1"/>
    <col min="10" max="10" width="11" style="1" customWidth="1"/>
    <col min="11" max="11" width="10.625" customWidth="1"/>
    <col min="12" max="12" width="9.125" customWidth="1"/>
    <col min="13" max="13" width="12.5" customWidth="1"/>
    <col min="14" max="14" width="11.5" style="1" customWidth="1"/>
    <col min="15" max="16" width="10.875" customWidth="1"/>
    <col min="17" max="17" width="11.375" customWidth="1"/>
    <col min="18" max="18" width="10.625" customWidth="1"/>
    <col min="19" max="19" width="9.875" customWidth="1"/>
    <col min="20" max="20" width="8.875" customWidth="1"/>
    <col min="21" max="28" width="0" hidden="1" customWidth="1"/>
    <col min="29" max="29" width="8.875" customWidth="1"/>
    <col min="30" max="30" width="9.5" hidden="1"/>
    <col min="31" max="16383" width="8.875" hidden="1"/>
    <col min="16384" max="16384" width="0.375" hidden="1"/>
  </cols>
  <sheetData>
    <row r="1" spans="1:19" ht="20.100000000000001" customHeight="1">
      <c r="A1" t="s">
        <v>84</v>
      </c>
    </row>
    <row r="2" spans="1:19" ht="20.100000000000001" customHeight="1">
      <c r="A2" s="294" t="s">
        <v>85</v>
      </c>
      <c r="B2" s="294"/>
      <c r="C2" s="294"/>
      <c r="D2" s="294"/>
      <c r="E2" s="294"/>
      <c r="F2" s="294"/>
    </row>
    <row r="3" spans="1:19" ht="20.100000000000001" customHeight="1"/>
    <row r="4" spans="1:19" ht="20.100000000000001" customHeight="1">
      <c r="A4" s="295" t="s">
        <v>86</v>
      </c>
      <c r="B4" s="295"/>
      <c r="C4" s="17">
        <f>'G1 MT Reading Scoresheet'!C4</f>
        <v>117443</v>
      </c>
    </row>
    <row r="5" spans="1:19" ht="20.100000000000001" customHeight="1">
      <c r="A5" s="296" t="s">
        <v>87</v>
      </c>
      <c r="B5" s="296"/>
      <c r="C5" s="297" t="str">
        <f>'G1 MT Reading Scoresheet'!C5</f>
        <v>ROMANA ES</v>
      </c>
      <c r="D5" s="297"/>
      <c r="E5" s="297"/>
    </row>
    <row r="6" spans="1:19" ht="20.100000000000001" customHeight="1">
      <c r="A6" s="306" t="s">
        <v>88</v>
      </c>
      <c r="B6" s="18"/>
      <c r="C6" s="18"/>
      <c r="D6" s="310" t="s">
        <v>89</v>
      </c>
      <c r="E6" s="19" t="s">
        <v>1</v>
      </c>
      <c r="F6" s="312" t="s">
        <v>90</v>
      </c>
      <c r="G6" s="314" t="s">
        <v>91</v>
      </c>
      <c r="H6" s="298" t="s">
        <v>92</v>
      </c>
      <c r="I6" s="298"/>
      <c r="J6" s="298"/>
      <c r="K6" s="298"/>
      <c r="L6" s="298" t="s">
        <v>93</v>
      </c>
      <c r="M6" s="298"/>
      <c r="N6" s="298"/>
      <c r="O6" s="298" t="s">
        <v>77</v>
      </c>
      <c r="P6" s="298"/>
      <c r="Q6" s="298"/>
      <c r="R6" s="298"/>
      <c r="S6" s="299"/>
    </row>
    <row r="7" spans="1:19" ht="34.35" customHeight="1">
      <c r="A7" s="307"/>
      <c r="B7" s="20" t="s">
        <v>94</v>
      </c>
      <c r="C7" s="20" t="s">
        <v>95</v>
      </c>
      <c r="D7" s="311"/>
      <c r="E7" s="21" t="s">
        <v>37</v>
      </c>
      <c r="F7" s="313"/>
      <c r="G7" s="315"/>
      <c r="H7" s="22" t="s">
        <v>96</v>
      </c>
      <c r="I7" s="48" t="s">
        <v>97</v>
      </c>
      <c r="J7" s="22" t="s">
        <v>98</v>
      </c>
      <c r="K7" s="22" t="s">
        <v>99</v>
      </c>
      <c r="L7" s="22" t="s">
        <v>100</v>
      </c>
      <c r="M7" s="22" t="s">
        <v>81</v>
      </c>
      <c r="N7" s="22" t="s">
        <v>82</v>
      </c>
      <c r="O7" s="22" t="s">
        <v>101</v>
      </c>
      <c r="P7" s="22" t="s">
        <v>102</v>
      </c>
      <c r="Q7" s="22" t="s">
        <v>103</v>
      </c>
      <c r="R7" s="22" t="s">
        <v>104</v>
      </c>
      <c r="S7" s="72" t="s">
        <v>105</v>
      </c>
    </row>
    <row r="8" spans="1:19" ht="20.100000000000001" customHeight="1">
      <c r="A8" s="23" t="s">
        <v>17</v>
      </c>
      <c r="B8" s="24">
        <f>IF('G1 MT Reading Scoresheet'!$C$8&lt;&gt;"",'G1 MT Reading Scoresheet'!$C$8,"")</f>
        <v>1</v>
      </c>
      <c r="C8" s="24" t="str">
        <f>IF('G1 MT Reading Scoresheet'!$C$6&lt;&gt;"",'G1 MT Reading Scoresheet'!$C$6," ")</f>
        <v>RAMONA B. PUNZALAN</v>
      </c>
      <c r="D8" s="24" t="str">
        <f>IF('G1 MT Reading Scoresheet'!C9&lt;&gt;"",'G1 MT Reading Scoresheet'!C9,"")</f>
        <v>Hiligaynon</v>
      </c>
      <c r="E8" s="25" t="s">
        <v>9</v>
      </c>
      <c r="F8" s="26">
        <f>'G1 MT Reading Scoresheet'!D6</f>
        <v>10</v>
      </c>
      <c r="G8" s="27">
        <f>COUNTIF('G1 MT Reading Scoresheet'!$D$11:$D$110,$E8)</f>
        <v>10</v>
      </c>
      <c r="H8" s="28">
        <f>COUNTIFS('Class Record'!$E$8:$E$107,H$7,'Class Record'!$D$8:$D$107,$E8)</f>
        <v>3</v>
      </c>
      <c r="I8" s="28">
        <f>COUNTIFS('Class Record'!$E$8:$E$107,I$7,'Class Record'!$D$8:$D$107,$E8)</f>
        <v>2</v>
      </c>
      <c r="J8" s="28">
        <f>COUNTIFS('Class Record'!$E$8:$E$107,J$7,'Class Record'!$D$8:$D$107,$E8)</f>
        <v>4</v>
      </c>
      <c r="K8" s="28">
        <f>COUNTIFS('Class Record'!$E$8:$E$107,K$7,'Class Record'!$D$8:$D$107,$E8)</f>
        <v>1</v>
      </c>
      <c r="L8" s="60">
        <f>IFERROR(AVERAGEIFS('Class Record'!G$8:G$107,'Class Record'!$D$8:$D$107,$E8),"")</f>
        <v>0.54342857142857137</v>
      </c>
      <c r="M8" s="60">
        <f>IFERROR(AVERAGEIFS('Class Record'!H$8:H$107,'Class Record'!$D$8:$D$107,$E8),"")</f>
        <v>0.22857142857142856</v>
      </c>
      <c r="N8" s="61">
        <f>IFERROR(AVERAGEIFS('Class Record'!I$8:I$107,'Class Record'!$D$8:$D$107,$E8),"")</f>
        <v>26.8</v>
      </c>
      <c r="O8" s="62">
        <f>COUNTIFS('Class Record'!$J$8:$J$107,O$7,'Class Record'!$D$8:$D$107,$E8)</f>
        <v>5</v>
      </c>
      <c r="P8" s="62">
        <f>COUNTIFS('Class Record'!$J$8:$J$107,P$7,'Class Record'!$D$8:$D$107,$E8)</f>
        <v>0</v>
      </c>
      <c r="Q8" s="75">
        <f>COUNTIFS('Class Record'!$J$8:$J$107,Q$7,'Class Record'!$D$8:$D$107,$E8)</f>
        <v>4</v>
      </c>
      <c r="R8" s="75">
        <f>COUNTIFS('Class Record'!$J$8:$J$107,R$7,'Class Record'!$D$8:$D$107,$E8)</f>
        <v>0</v>
      </c>
      <c r="S8" s="76">
        <f>COUNTIFS('Class Record'!$J$8:$J$107,S$7,'Class Record'!$D$8:$D$107,$E8)</f>
        <v>1</v>
      </c>
    </row>
    <row r="9" spans="1:19" ht="20.100000000000001" customHeight="1">
      <c r="A9" s="29" t="str">
        <f>A8</f>
        <v>Grade 1</v>
      </c>
      <c r="B9" s="30">
        <f t="shared" ref="B9:D9" si="0">B8</f>
        <v>1</v>
      </c>
      <c r="C9" s="30" t="str">
        <f t="shared" si="0"/>
        <v>RAMONA B. PUNZALAN</v>
      </c>
      <c r="D9" s="30" t="str">
        <f t="shared" si="0"/>
        <v>Hiligaynon</v>
      </c>
      <c r="E9" s="31" t="s">
        <v>10</v>
      </c>
      <c r="F9" s="32">
        <f>'G1 MT Reading Scoresheet'!E6</f>
        <v>4</v>
      </c>
      <c r="G9" s="33">
        <f>COUNTIF('G1 MT Reading Scoresheet'!$D$11:$D$110,E9)</f>
        <v>4</v>
      </c>
      <c r="H9" s="34">
        <f>COUNTIFS('Class Record'!$E$8:$E$107,H$7,'Class Record'!$D$8:$D$107,$E9)</f>
        <v>0</v>
      </c>
      <c r="I9" s="34">
        <f>COUNTIFS('Class Record'!$E$8:$E$107,I$7,'Class Record'!$D$8:$D$107,$E9)</f>
        <v>0</v>
      </c>
      <c r="J9" s="34">
        <f>COUNTIFS('Class Record'!$E$8:$E$107,J$7,'Class Record'!$D$8:$D$107,$E9)</f>
        <v>0</v>
      </c>
      <c r="K9" s="34">
        <f>COUNTIFS('Class Record'!$E$8:$E$107,K$7,'Class Record'!$D$8:$D$107,$E9)</f>
        <v>4</v>
      </c>
      <c r="L9" s="63">
        <f>IFERROR(AVERAGEIFS('Class Record'!G$8:G$107,'Class Record'!$D$8:$D$107,$E9),"")</f>
        <v>0.80183673469387751</v>
      </c>
      <c r="M9" s="63">
        <f>IFERROR(AVERAGEIFS('Class Record'!H$8:H$107,'Class Record'!$D$8:$D$107,$E9),"")</f>
        <v>0.5</v>
      </c>
      <c r="N9" s="64">
        <f>IFERROR(AVERAGEIFS('Class Record'!I$8:I$107,'Class Record'!$D$8:$D$107,$E9),"")</f>
        <v>39.5</v>
      </c>
      <c r="O9" s="65">
        <f>COUNTIFS('Class Record'!$J$8:$J$107,O$7,'Class Record'!$D$8:$D$107,$E9)</f>
        <v>0</v>
      </c>
      <c r="P9" s="65">
        <f>COUNTIFS('Class Record'!$J$8:$J$107,P$7,'Class Record'!$D$8:$D$107,$E9)</f>
        <v>0</v>
      </c>
      <c r="Q9" s="65">
        <f>COUNTIFS('Class Record'!$J$8:$J$107,Q$7,'Class Record'!$D$8:$D$107,$E9)</f>
        <v>0</v>
      </c>
      <c r="R9" s="65">
        <f>COUNTIFS('Class Record'!$J$8:$J$107,R$7,'Class Record'!$D$8:$D$107,$E9)</f>
        <v>4</v>
      </c>
      <c r="S9" s="77">
        <f>COUNTIFS('Class Record'!$J$8:$J$107,S$7,'Class Record'!$D$8:$D$107,$E9)</f>
        <v>0</v>
      </c>
    </row>
    <row r="10" spans="1:19" ht="20.100000000000001" customHeight="1">
      <c r="A10" s="35"/>
      <c r="B10" s="35"/>
      <c r="C10" s="35"/>
      <c r="D10" s="35"/>
      <c r="E10" s="36"/>
      <c r="F10" s="37"/>
      <c r="G10" s="38"/>
      <c r="H10" s="39"/>
      <c r="I10" s="39"/>
      <c r="L10" s="39"/>
      <c r="M10" s="39"/>
      <c r="N10" s="66"/>
      <c r="O10" s="39"/>
      <c r="P10" s="39"/>
      <c r="Q10" s="39"/>
      <c r="R10" s="39"/>
      <c r="S10" s="39"/>
    </row>
    <row r="11" spans="1:19" ht="20.100000000000001" customHeight="1">
      <c r="A11" s="40" t="str">
        <f>A9</f>
        <v>Grade 1</v>
      </c>
      <c r="B11" s="41">
        <f t="shared" ref="B11" si="1">B9</f>
        <v>1</v>
      </c>
      <c r="C11" s="41" t="str">
        <f t="shared" ref="C11" si="2">C9</f>
        <v>RAMONA B. PUNZALAN</v>
      </c>
      <c r="D11" s="41" t="str">
        <f t="shared" ref="D11" si="3">D9</f>
        <v>Hiligaynon</v>
      </c>
      <c r="E11" s="42" t="s">
        <v>106</v>
      </c>
      <c r="F11" s="43">
        <f>F8+F9</f>
        <v>14</v>
      </c>
      <c r="G11" s="44">
        <f>G8+G9</f>
        <v>14</v>
      </c>
      <c r="H11" s="45">
        <f t="shared" ref="H11:K11" si="4">H8+H9</f>
        <v>3</v>
      </c>
      <c r="I11" s="45">
        <f t="shared" si="4"/>
        <v>2</v>
      </c>
      <c r="J11" s="45">
        <f t="shared" si="4"/>
        <v>4</v>
      </c>
      <c r="K11" s="45">
        <f t="shared" si="4"/>
        <v>5</v>
      </c>
      <c r="L11" s="67">
        <f>IFERROR((L8+L9)/2,"")</f>
        <v>0.67263265306122444</v>
      </c>
      <c r="M11" s="68">
        <f>IFERROR((M8+M9)/2,"")</f>
        <v>0.36428571428571427</v>
      </c>
      <c r="N11" s="69">
        <f>IFERROR((N8+N9)/2,"")</f>
        <v>33.15</v>
      </c>
      <c r="O11" s="70">
        <f t="shared" ref="O11:S11" si="5">O8+O9</f>
        <v>5</v>
      </c>
      <c r="P11" s="70">
        <f t="shared" si="5"/>
        <v>0</v>
      </c>
      <c r="Q11" s="70">
        <f t="shared" si="5"/>
        <v>4</v>
      </c>
      <c r="R11" s="70">
        <f t="shared" si="5"/>
        <v>4</v>
      </c>
      <c r="S11" s="78">
        <f t="shared" si="5"/>
        <v>1</v>
      </c>
    </row>
    <row r="12" spans="1:19" ht="20.100000000000001" customHeight="1"/>
    <row r="13" spans="1:19" ht="20.100000000000001" customHeight="1">
      <c r="A13" s="300" t="s">
        <v>107</v>
      </c>
      <c r="B13" s="301"/>
      <c r="C13" s="301"/>
      <c r="D13" s="301"/>
      <c r="E13" s="301"/>
      <c r="F13" s="301"/>
      <c r="G13" s="301"/>
      <c r="H13" s="301"/>
      <c r="I13" s="301"/>
      <c r="J13" s="301"/>
      <c r="K13" s="301"/>
      <c r="L13" s="302"/>
      <c r="M13" s="71"/>
      <c r="N13" s="71"/>
      <c r="O13" s="71"/>
      <c r="P13" s="71"/>
      <c r="Q13" s="71"/>
      <c r="R13" s="71"/>
      <c r="S13" s="71"/>
    </row>
    <row r="14" spans="1:19" ht="21.6" customHeight="1">
      <c r="A14" s="308" t="s">
        <v>89</v>
      </c>
      <c r="B14" s="46" t="s">
        <v>1</v>
      </c>
      <c r="C14" s="309" t="s">
        <v>108</v>
      </c>
      <c r="D14" s="298" t="s">
        <v>92</v>
      </c>
      <c r="E14" s="298"/>
      <c r="F14" s="298"/>
      <c r="G14" s="298"/>
      <c r="H14" s="303" t="s">
        <v>109</v>
      </c>
      <c r="I14" s="304"/>
      <c r="J14" s="304"/>
      <c r="K14" s="304"/>
      <c r="L14" s="305"/>
    </row>
    <row r="15" spans="1:19" ht="34.700000000000003" customHeight="1">
      <c r="A15" s="308"/>
      <c r="B15" s="47" t="s">
        <v>37</v>
      </c>
      <c r="C15" s="309"/>
      <c r="D15" s="22" t="s">
        <v>96</v>
      </c>
      <c r="E15" s="48" t="s">
        <v>97</v>
      </c>
      <c r="F15" s="22" t="s">
        <v>98</v>
      </c>
      <c r="G15" s="22" t="s">
        <v>99</v>
      </c>
      <c r="H15" s="22" t="s">
        <v>101</v>
      </c>
      <c r="I15" s="22" t="s">
        <v>102</v>
      </c>
      <c r="J15" s="22" t="s">
        <v>103</v>
      </c>
      <c r="K15" s="22" t="s">
        <v>104</v>
      </c>
      <c r="L15" s="72" t="s">
        <v>105</v>
      </c>
    </row>
    <row r="16" spans="1:19" ht="20.100000000000001" customHeight="1">
      <c r="A16" s="49" t="str">
        <f>D8</f>
        <v>Hiligaynon</v>
      </c>
      <c r="B16" s="50" t="s">
        <v>9</v>
      </c>
      <c r="C16" s="51">
        <f>IFERROR(G8/F8,"")</f>
        <v>1</v>
      </c>
      <c r="D16" s="52">
        <f>IFERROR(H8/$G8,"")</f>
        <v>0.3</v>
      </c>
      <c r="E16" s="52">
        <f t="shared" ref="E16:G16" si="6">IFERROR(I8/$G8,"")</f>
        <v>0.2</v>
      </c>
      <c r="F16" s="52">
        <f t="shared" si="6"/>
        <v>0.4</v>
      </c>
      <c r="G16" s="52">
        <f t="shared" si="6"/>
        <v>0.1</v>
      </c>
      <c r="H16" s="53">
        <f t="shared" ref="H16:L17" si="7">IFERROR(O8/$G8,"")</f>
        <v>0.5</v>
      </c>
      <c r="I16" s="53">
        <f t="shared" si="7"/>
        <v>0</v>
      </c>
      <c r="J16" s="53">
        <f t="shared" si="7"/>
        <v>0.4</v>
      </c>
      <c r="K16" s="53">
        <f t="shared" si="7"/>
        <v>0</v>
      </c>
      <c r="L16" s="73">
        <f t="shared" si="7"/>
        <v>0.1</v>
      </c>
    </row>
    <row r="17" spans="1:12" ht="20.100000000000001" customHeight="1">
      <c r="A17" s="49" t="str">
        <f>A16</f>
        <v>Hiligaynon</v>
      </c>
      <c r="B17" s="50" t="s">
        <v>10</v>
      </c>
      <c r="C17" s="54">
        <f>IFERROR(G9/F9,"")</f>
        <v>1</v>
      </c>
      <c r="D17" s="52">
        <f>IFERROR(H9/$G9,"")</f>
        <v>0</v>
      </c>
      <c r="E17" s="52">
        <f t="shared" ref="E17" si="8">IFERROR(I9/$G9,"")</f>
        <v>0</v>
      </c>
      <c r="F17" s="52">
        <f t="shared" ref="F17" si="9">IFERROR(J9/$G9,"")</f>
        <v>0</v>
      </c>
      <c r="G17" s="52">
        <f t="shared" ref="G17" si="10">IFERROR(K9/$G9,"")</f>
        <v>1</v>
      </c>
      <c r="H17" s="53">
        <f t="shared" si="7"/>
        <v>0</v>
      </c>
      <c r="I17" s="53">
        <f t="shared" si="7"/>
        <v>0</v>
      </c>
      <c r="J17" s="53">
        <f t="shared" si="7"/>
        <v>0</v>
      </c>
      <c r="K17" s="53">
        <f t="shared" si="7"/>
        <v>1</v>
      </c>
      <c r="L17" s="73">
        <f t="shared" si="7"/>
        <v>0</v>
      </c>
    </row>
    <row r="18" spans="1:12" ht="20.100000000000001" customHeight="1">
      <c r="A18" s="55" t="str">
        <f>A17</f>
        <v>Hiligaynon</v>
      </c>
      <c r="B18" s="56" t="s">
        <v>106</v>
      </c>
      <c r="C18" s="57">
        <f>IFERROR(G11/F11,"")</f>
        <v>1</v>
      </c>
      <c r="D18" s="58">
        <f>IFERROR(H11/$G11,"")</f>
        <v>0.21428571428571427</v>
      </c>
      <c r="E18" s="58">
        <f t="shared" ref="E18:G18" si="11">IFERROR(I11/$G11,"")</f>
        <v>0.14285714285714285</v>
      </c>
      <c r="F18" s="58">
        <f t="shared" si="11"/>
        <v>0.2857142857142857</v>
      </c>
      <c r="G18" s="58">
        <f t="shared" si="11"/>
        <v>0.35714285714285715</v>
      </c>
      <c r="H18" s="59">
        <f>IFERROR(O11/$G11,"")</f>
        <v>0.35714285714285715</v>
      </c>
      <c r="I18" s="59">
        <f>IFERROR(P11/$G11,"")</f>
        <v>0</v>
      </c>
      <c r="J18" s="59">
        <f>IFERROR(Q11/$G11,"")</f>
        <v>0.2857142857142857</v>
      </c>
      <c r="K18" s="59">
        <f>IFERROR(R11/$G11,"")</f>
        <v>0.2857142857142857</v>
      </c>
      <c r="L18" s="74">
        <f>IFERROR(S11/$G11,"")</f>
        <v>7.1428571428571425E-2</v>
      </c>
    </row>
  </sheetData>
  <sheetProtection algorithmName="SHA-512" hashValue="En+hOxTv0K/l/nalnHWczySDcEGhcSZSptwFPL2LukrHSqw7gVOe7LqjdNAq58yclg1PWcg/sbPKpjzAoVn82w==" saltValue="VKeSCk1Cx2qP4nyMdENbvQ==" spinCount="100000" sheet="1" objects="1" scenarios="1"/>
  <mergeCells count="16">
    <mergeCell ref="L6:N6"/>
    <mergeCell ref="O6:S6"/>
    <mergeCell ref="A13:L13"/>
    <mergeCell ref="D14:G14"/>
    <mergeCell ref="H14:L14"/>
    <mergeCell ref="A6:A7"/>
    <mergeCell ref="A14:A15"/>
    <mergeCell ref="C14:C15"/>
    <mergeCell ref="D6:D7"/>
    <mergeCell ref="F6:F7"/>
    <mergeCell ref="G6:G7"/>
    <mergeCell ref="A2:F2"/>
    <mergeCell ref="A4:B4"/>
    <mergeCell ref="A5:B5"/>
    <mergeCell ref="C5:E5"/>
    <mergeCell ref="H6:K6"/>
  </mergeCells>
  <pageMargins left="0.7" right="0.7" top="0.75" bottom="0.75" header="0.3" footer="0.3"/>
  <pageSetup paperSize="10000" scale="47"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E27"/>
  <sheetViews>
    <sheetView topLeftCell="A34" zoomScale="45" workbookViewId="0">
      <selection activeCell="H15" sqref="H15"/>
    </sheetView>
  </sheetViews>
  <sheetFormatPr defaultColWidth="9" defaultRowHeight="14.45"/>
  <cols>
    <col min="1" max="1" width="9.625" customWidth="1"/>
    <col min="2" max="2" width="24.125" customWidth="1"/>
    <col min="3" max="3" width="70.625" style="5" customWidth="1"/>
    <col min="4" max="4" width="10.875" customWidth="1"/>
    <col min="5" max="5" width="25.125" style="5" customWidth="1"/>
  </cols>
  <sheetData>
    <row r="2" spans="1:5">
      <c r="A2" t="s">
        <v>1</v>
      </c>
    </row>
    <row r="3" spans="1:5">
      <c r="B3" s="316" t="s">
        <v>1</v>
      </c>
      <c r="C3" s="316"/>
    </row>
    <row r="5" spans="1:5" ht="15.6">
      <c r="B5" s="6" t="s">
        <v>110</v>
      </c>
      <c r="C5" s="7" t="s">
        <v>111</v>
      </c>
      <c r="D5" s="317" t="s">
        <v>112</v>
      </c>
      <c r="E5" s="318"/>
    </row>
    <row r="6" spans="1:5" ht="21" customHeight="1">
      <c r="B6" s="8" t="s">
        <v>101</v>
      </c>
      <c r="C6" s="5" t="s">
        <v>113</v>
      </c>
      <c r="D6" s="9"/>
      <c r="E6" s="10"/>
    </row>
    <row r="7" spans="1:5" ht="31.35" customHeight="1">
      <c r="B7" s="8" t="s">
        <v>102</v>
      </c>
      <c r="C7" s="11" t="s">
        <v>114</v>
      </c>
      <c r="D7" s="9" t="s">
        <v>59</v>
      </c>
      <c r="E7" s="10" t="s">
        <v>115</v>
      </c>
    </row>
    <row r="8" spans="1:5" ht="34.700000000000003" customHeight="1">
      <c r="B8" s="8" t="s">
        <v>103</v>
      </c>
      <c r="C8" s="11" t="s">
        <v>116</v>
      </c>
      <c r="D8" s="9" t="s">
        <v>117</v>
      </c>
      <c r="E8" s="10" t="s">
        <v>118</v>
      </c>
    </row>
    <row r="9" spans="1:5" ht="34.700000000000003" customHeight="1">
      <c r="B9" s="12" t="s">
        <v>104</v>
      </c>
      <c r="C9" s="11" t="s">
        <v>119</v>
      </c>
      <c r="D9" s="9" t="s">
        <v>120</v>
      </c>
      <c r="E9" s="10" t="s">
        <v>121</v>
      </c>
    </row>
    <row r="10" spans="1:5" ht="29.1">
      <c r="B10" s="13" t="s">
        <v>105</v>
      </c>
      <c r="C10" s="14" t="s">
        <v>122</v>
      </c>
      <c r="D10" s="15" t="s">
        <v>123</v>
      </c>
      <c r="E10" s="16" t="s">
        <v>124</v>
      </c>
    </row>
    <row r="24" ht="15.6" customHeight="1"/>
    <row r="26" ht="46.7" customHeight="1"/>
    <row r="27" ht="37.35" customHeight="1"/>
  </sheetData>
  <sheetProtection algorithmName="SHA-512" hashValue="Ok5BleCAPhlhzv2q4Y7HxE0/C0ZXA2Cku7O2pmmcPsjFRTbTcIdB87vRwGKh6pEkt2EK4hJSpI1YgrPFQZ1BwQ==" saltValue="PlG9UX2C4Q5hjq6AWpWgPA==" spinCount="100000" sheet="1" objects="1" scenarios="1" selectLockedCells="1" selectUnlockedCells="1"/>
  <mergeCells count="2">
    <mergeCell ref="B3:C3"/>
    <mergeCell ref="D5:E5"/>
  </mergeCells>
  <pageMargins left="1.0900000000000001" right="0.7" top="0.75" bottom="0.75" header="0.3" footer="0.3"/>
  <pageSetup paperSize="10000" scale="60" orientation="landscape"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M35"/>
  <sheetViews>
    <sheetView workbookViewId="0">
      <selection activeCell="F21" sqref="F21"/>
    </sheetView>
  </sheetViews>
  <sheetFormatPr defaultColWidth="9" defaultRowHeight="14.45"/>
  <cols>
    <col min="1" max="1" width="12.375" customWidth="1"/>
    <col min="2" max="2" width="22.875" customWidth="1"/>
    <col min="3" max="3" width="34.5" customWidth="1"/>
    <col min="4" max="4" width="5.875" style="1" customWidth="1"/>
    <col min="5" max="5" width="12.5" style="1" customWidth="1"/>
    <col min="6" max="6" width="14.5" customWidth="1"/>
    <col min="7" max="7" width="23.5" customWidth="1"/>
    <col min="8" max="8" width="7.125" customWidth="1"/>
    <col min="9" max="9" width="22.125" customWidth="1"/>
    <col min="10" max="10" width="13.875" style="1" customWidth="1"/>
    <col min="12" max="12" width="21.375" customWidth="1"/>
    <col min="13" max="13" width="8.875" style="1"/>
  </cols>
  <sheetData>
    <row r="1" spans="1:13">
      <c r="A1" t="s">
        <v>125</v>
      </c>
      <c r="B1" s="2" t="s">
        <v>126</v>
      </c>
      <c r="C1" s="2" t="s">
        <v>89</v>
      </c>
      <c r="F1" t="s">
        <v>127</v>
      </c>
      <c r="G1" t="s">
        <v>89</v>
      </c>
      <c r="H1" t="s">
        <v>24</v>
      </c>
      <c r="I1" t="s">
        <v>128</v>
      </c>
      <c r="J1" s="1" t="s">
        <v>129</v>
      </c>
      <c r="K1" t="s">
        <v>130</v>
      </c>
      <c r="L1" t="s">
        <v>128</v>
      </c>
      <c r="M1" s="1" t="s">
        <v>129</v>
      </c>
    </row>
    <row r="2" spans="1:13">
      <c r="A2" s="229" t="s">
        <v>131</v>
      </c>
      <c r="B2" t="s">
        <v>132</v>
      </c>
      <c r="C2" s="3" t="s">
        <v>133</v>
      </c>
      <c r="D2" s="1">
        <v>1</v>
      </c>
      <c r="F2" t="s">
        <v>17</v>
      </c>
      <c r="G2" t="s">
        <v>134</v>
      </c>
      <c r="H2">
        <v>1</v>
      </c>
      <c r="I2" t="s">
        <v>135</v>
      </c>
      <c r="J2" s="1">
        <v>49</v>
      </c>
      <c r="K2">
        <v>2</v>
      </c>
      <c r="L2" t="s">
        <v>136</v>
      </c>
      <c r="M2" s="1">
        <v>50</v>
      </c>
    </row>
    <row r="3" spans="1:13">
      <c r="A3" s="229" t="s">
        <v>137</v>
      </c>
      <c r="B3" t="s">
        <v>138</v>
      </c>
      <c r="C3" s="3" t="s">
        <v>139</v>
      </c>
      <c r="D3" s="1">
        <v>1</v>
      </c>
      <c r="F3" t="s">
        <v>17</v>
      </c>
      <c r="G3" t="s">
        <v>140</v>
      </c>
      <c r="H3">
        <v>1</v>
      </c>
      <c r="I3" t="s">
        <v>141</v>
      </c>
      <c r="J3" s="1">
        <v>51</v>
      </c>
      <c r="K3">
        <v>2</v>
      </c>
      <c r="L3" t="s">
        <v>142</v>
      </c>
      <c r="M3" s="1">
        <v>51</v>
      </c>
    </row>
    <row r="4" spans="1:13">
      <c r="A4" s="229" t="s">
        <v>143</v>
      </c>
      <c r="B4" t="s">
        <v>144</v>
      </c>
      <c r="C4" s="3" t="s">
        <v>145</v>
      </c>
      <c r="F4" t="s">
        <v>17</v>
      </c>
      <c r="G4" t="s">
        <v>146</v>
      </c>
      <c r="H4">
        <v>1</v>
      </c>
      <c r="I4" t="s">
        <v>147</v>
      </c>
      <c r="J4" s="1">
        <v>51</v>
      </c>
      <c r="K4">
        <v>2</v>
      </c>
      <c r="L4" t="s">
        <v>148</v>
      </c>
      <c r="M4" s="1">
        <v>50</v>
      </c>
    </row>
    <row r="5" spans="1:13">
      <c r="A5" t="s">
        <v>149</v>
      </c>
      <c r="B5" t="s">
        <v>150</v>
      </c>
      <c r="C5" s="3" t="s">
        <v>151</v>
      </c>
      <c r="F5" t="s">
        <v>17</v>
      </c>
      <c r="G5" t="s">
        <v>152</v>
      </c>
      <c r="H5">
        <v>1</v>
      </c>
      <c r="I5" t="s">
        <v>153</v>
      </c>
      <c r="J5" s="1">
        <v>51</v>
      </c>
      <c r="K5">
        <v>2</v>
      </c>
      <c r="L5" t="s">
        <v>154</v>
      </c>
      <c r="M5" s="1">
        <v>50</v>
      </c>
    </row>
    <row r="6" spans="1:13">
      <c r="A6" s="229" t="s">
        <v>155</v>
      </c>
      <c r="B6" t="s">
        <v>156</v>
      </c>
      <c r="C6" s="3" t="s">
        <v>157</v>
      </c>
      <c r="F6" t="s">
        <v>17</v>
      </c>
      <c r="G6" t="s">
        <v>133</v>
      </c>
      <c r="H6">
        <v>1</v>
      </c>
      <c r="I6" t="s">
        <v>158</v>
      </c>
      <c r="J6" s="1">
        <v>51</v>
      </c>
      <c r="K6">
        <v>2</v>
      </c>
      <c r="L6" t="s">
        <v>159</v>
      </c>
      <c r="M6" s="1">
        <v>50</v>
      </c>
    </row>
    <row r="7" spans="1:13">
      <c r="B7" t="s">
        <v>160</v>
      </c>
      <c r="C7" s="3" t="s">
        <v>134</v>
      </c>
      <c r="D7" s="1">
        <v>1</v>
      </c>
      <c r="F7" t="s">
        <v>17</v>
      </c>
      <c r="G7" t="s">
        <v>33</v>
      </c>
      <c r="H7">
        <v>1</v>
      </c>
      <c r="I7" t="s">
        <v>161</v>
      </c>
      <c r="J7" s="1">
        <v>50</v>
      </c>
      <c r="K7">
        <v>2</v>
      </c>
      <c r="L7" t="s">
        <v>162</v>
      </c>
      <c r="M7" s="1">
        <v>49</v>
      </c>
    </row>
    <row r="8" spans="1:13">
      <c r="B8" t="s">
        <v>163</v>
      </c>
      <c r="C8" s="3" t="s">
        <v>164</v>
      </c>
      <c r="D8" s="1">
        <v>1</v>
      </c>
      <c r="F8" t="s">
        <v>17</v>
      </c>
      <c r="G8" t="s">
        <v>165</v>
      </c>
      <c r="H8">
        <v>1</v>
      </c>
      <c r="I8" t="s">
        <v>166</v>
      </c>
      <c r="J8" s="1">
        <v>50</v>
      </c>
      <c r="K8">
        <v>2</v>
      </c>
      <c r="L8" t="s">
        <v>167</v>
      </c>
      <c r="M8" s="1">
        <v>50</v>
      </c>
    </row>
    <row r="9" spans="1:13">
      <c r="B9" t="s">
        <v>168</v>
      </c>
      <c r="C9" t="s">
        <v>169</v>
      </c>
      <c r="F9" t="s">
        <v>17</v>
      </c>
      <c r="G9" t="s">
        <v>170</v>
      </c>
      <c r="H9">
        <v>1</v>
      </c>
      <c r="I9" t="s">
        <v>171</v>
      </c>
      <c r="J9" s="1">
        <v>51</v>
      </c>
      <c r="K9">
        <v>2</v>
      </c>
      <c r="L9" t="s">
        <v>172</v>
      </c>
      <c r="M9" s="1">
        <v>50</v>
      </c>
    </row>
    <row r="10" spans="1:13">
      <c r="B10" t="s">
        <v>173</v>
      </c>
      <c r="C10" s="3" t="s">
        <v>33</v>
      </c>
      <c r="F10" t="s">
        <v>17</v>
      </c>
      <c r="G10" t="s">
        <v>174</v>
      </c>
      <c r="H10">
        <v>1</v>
      </c>
      <c r="I10" t="s">
        <v>175</v>
      </c>
      <c r="J10" s="1">
        <v>49</v>
      </c>
      <c r="K10">
        <v>2</v>
      </c>
      <c r="L10" t="s">
        <v>176</v>
      </c>
      <c r="M10" s="1">
        <v>50</v>
      </c>
    </row>
    <row r="11" spans="1:13">
      <c r="B11" t="s">
        <v>177</v>
      </c>
      <c r="C11" s="3" t="s">
        <v>165</v>
      </c>
      <c r="D11" s="1">
        <v>1</v>
      </c>
      <c r="F11" t="s">
        <v>17</v>
      </c>
      <c r="G11" t="s">
        <v>178</v>
      </c>
      <c r="H11">
        <v>1</v>
      </c>
      <c r="I11" t="s">
        <v>179</v>
      </c>
      <c r="J11" s="1">
        <v>50</v>
      </c>
      <c r="K11">
        <v>2</v>
      </c>
      <c r="L11" t="s">
        <v>180</v>
      </c>
      <c r="M11" s="1">
        <v>49</v>
      </c>
    </row>
    <row r="12" spans="1:13">
      <c r="B12" t="s">
        <v>181</v>
      </c>
      <c r="C12" s="3" t="s">
        <v>182</v>
      </c>
    </row>
    <row r="13" spans="1:13">
      <c r="B13" t="s">
        <v>183</v>
      </c>
      <c r="C13" s="3" t="s">
        <v>184</v>
      </c>
      <c r="D13" s="1">
        <v>1</v>
      </c>
    </row>
    <row r="14" spans="1:13">
      <c r="B14" t="s">
        <v>185</v>
      </c>
      <c r="C14" s="3" t="s">
        <v>186</v>
      </c>
      <c r="D14" s="1">
        <v>1</v>
      </c>
    </row>
    <row r="15" spans="1:13">
      <c r="B15" t="s">
        <v>187</v>
      </c>
      <c r="C15" s="3" t="s">
        <v>188</v>
      </c>
    </row>
    <row r="16" spans="1:13">
      <c r="B16" t="s">
        <v>189</v>
      </c>
      <c r="C16" s="4" t="s">
        <v>190</v>
      </c>
      <c r="D16" s="1">
        <v>1</v>
      </c>
    </row>
    <row r="17" spans="2:4">
      <c r="B17" t="s">
        <v>191</v>
      </c>
      <c r="C17" s="4" t="s">
        <v>170</v>
      </c>
      <c r="D17" s="1">
        <v>1</v>
      </c>
    </row>
    <row r="18" spans="2:4">
      <c r="B18" t="s">
        <v>192</v>
      </c>
      <c r="C18" s="4" t="s">
        <v>174</v>
      </c>
      <c r="D18" s="1">
        <v>1</v>
      </c>
    </row>
    <row r="19" spans="2:4">
      <c r="C19" s="3" t="s">
        <v>193</v>
      </c>
      <c r="D19" s="1">
        <v>1</v>
      </c>
    </row>
    <row r="20" spans="2:4">
      <c r="C20" s="3" t="s">
        <v>152</v>
      </c>
      <c r="D20" s="1">
        <v>1</v>
      </c>
    </row>
    <row r="21" spans="2:4">
      <c r="C21" s="4" t="s">
        <v>194</v>
      </c>
    </row>
    <row r="22" spans="2:4">
      <c r="C22" s="3" t="s">
        <v>195</v>
      </c>
    </row>
    <row r="23" spans="2:4">
      <c r="C23" t="s">
        <v>196</v>
      </c>
    </row>
    <row r="24" spans="2:4">
      <c r="C24" s="3" t="s">
        <v>197</v>
      </c>
    </row>
    <row r="25" spans="2:4">
      <c r="C25" s="3" t="s">
        <v>146</v>
      </c>
      <c r="D25" s="1">
        <v>1</v>
      </c>
    </row>
    <row r="26" spans="2:4">
      <c r="C26" t="s">
        <v>198</v>
      </c>
    </row>
    <row r="27" spans="2:4">
      <c r="C27" t="s">
        <v>178</v>
      </c>
      <c r="D27" s="1">
        <v>1</v>
      </c>
    </row>
    <row r="28" spans="2:4">
      <c r="C28" s="3" t="s">
        <v>199</v>
      </c>
      <c r="D28" s="1">
        <v>1</v>
      </c>
    </row>
    <row r="29" spans="2:4">
      <c r="C29" t="s">
        <v>200</v>
      </c>
    </row>
    <row r="30" spans="2:4">
      <c r="C30" t="s">
        <v>201</v>
      </c>
    </row>
    <row r="31" spans="2:4">
      <c r="C31" t="s">
        <v>140</v>
      </c>
      <c r="D31" s="1">
        <v>1</v>
      </c>
    </row>
    <row r="32" spans="2:4">
      <c r="C32" t="s">
        <v>202</v>
      </c>
      <c r="D32" s="1">
        <v>1</v>
      </c>
    </row>
    <row r="33" spans="3:4">
      <c r="C33" t="s">
        <v>203</v>
      </c>
      <c r="D33" s="1">
        <v>1</v>
      </c>
    </row>
    <row r="34" spans="3:4">
      <c r="C34" t="s">
        <v>204</v>
      </c>
    </row>
    <row r="35" spans="3:4">
      <c r="C35" t="s">
        <v>205</v>
      </c>
      <c r="D35" s="1">
        <v>1</v>
      </c>
    </row>
  </sheetData>
  <sortState xmlns:xlrd2="http://schemas.microsoft.com/office/spreadsheetml/2017/richdata2" ref="C2:D35">
    <sortCondition ref="C2:C35"/>
  </sortState>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allowEditUser xmlns="https://web.wps.cn/et/2018/main" xmlns:s="http://schemas.openxmlformats.org/spreadsheetml/2006/main" hasInvisiblePropRange="0">
  <rangeList sheetStid="1" master="" otherUserPermission="visible"/>
  <rangeList sheetStid="3" master="" otherUserPermission="visible"/>
  <rangeList sheetStid="2" master="" otherUserPermission="visible"/>
  <rangeList sheetStid="6" master="" otherUserPermission="visible"/>
  <rangeList sheetStid="4" master="" otherUserPermission="visible"/>
</allowEditUser>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e44e982-49b1-48d0-a492-bcf8ba0a9108">
      <Terms xmlns="http://schemas.microsoft.com/office/infopath/2007/PartnerControls"/>
    </lcf76f155ced4ddcb4097134ff3c332f>
    <TaxCatchAll xmlns="7be803ac-07b3-4e6d-8a33-6b4a239830d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E389F3844E834B438EAF4C3974A5E888" ma:contentTypeVersion="11" ma:contentTypeDescription="Create a new document." ma:contentTypeScope="" ma:versionID="89245a8d4224f5167348500a84c4c9de">
  <xsd:schema xmlns:xsd="http://www.w3.org/2001/XMLSchema" xmlns:xs="http://www.w3.org/2001/XMLSchema" xmlns:p="http://schemas.microsoft.com/office/2006/metadata/properties" xmlns:ns2="ce44e982-49b1-48d0-a492-bcf8ba0a9108" xmlns:ns3="7be803ac-07b3-4e6d-8a33-6b4a239830db" targetNamespace="http://schemas.microsoft.com/office/2006/metadata/properties" ma:root="true" ma:fieldsID="57b8972c019eebd534a8adf3ddd9e864" ns2:_="" ns3:_="">
    <xsd:import namespace="ce44e982-49b1-48d0-a492-bcf8ba0a9108"/>
    <xsd:import namespace="7be803ac-07b3-4e6d-8a33-6b4a239830d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44e982-49b1-48d0-a492-bcf8ba0a91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3be0efa-dd52-4515-a411-1eb6e0b8c109"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e803ac-07b3-4e6d-8a33-6b4a239830db"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16fe3e7-c3dc-4b79-a838-9d087c3829a1}" ma:internalName="TaxCatchAll" ma:showField="CatchAllData" ma:web="7be803ac-07b3-4e6d-8a33-6b4a239830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
</file>

<file path=customXml/itemProps1.xml><?xml version="1.0" encoding="utf-8"?>
<ds:datastoreItem xmlns:ds="http://schemas.openxmlformats.org/officeDocument/2006/customXml" ds:itemID="{5A5607D9-04D2-4DE1-AC0E-A7772F01BC71}"/>
</file>

<file path=customXml/itemProps2.xml><?xml version="1.0" encoding="utf-8"?>
<ds:datastoreItem xmlns:ds="http://schemas.openxmlformats.org/officeDocument/2006/customXml" ds:itemID="{36F704FB-2241-45C5-B821-AB4F3C5F4278}"/>
</file>

<file path=customXml/itemProps3.xml><?xml version="1.0" encoding="utf-8"?>
<ds:datastoreItem xmlns:ds="http://schemas.openxmlformats.org/officeDocument/2006/customXml" ds:itemID="{24B6FE96-E200-4E34-9585-BCAED5F80D0D}"/>
</file>

<file path=customXml/itemProps4.xml><?xml version="1.0" encoding="utf-8"?>
<ds:datastoreItem xmlns:ds="http://schemas.openxmlformats.org/officeDocument/2006/customXml" ds:itemID="{94FC7996-8A77-432E-B9E4-229CF87E67B3}"/>
</file>

<file path=customXml/itemProps5.xml><?xml version="1.0" encoding="utf-8"?>
<ds:datastoreItem xmlns:ds="http://schemas.openxmlformats.org/officeDocument/2006/customXml" ds:itemID="{E40F74CC-5DFF-417A-B2F6-72C59B026C2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Emil Monroy</dc:creator>
  <cp:keywords/>
  <dc:description/>
  <cp:lastModifiedBy>MC WELSON SOLOMON</cp:lastModifiedBy>
  <cp:revision/>
  <dcterms:created xsi:type="dcterms:W3CDTF">2021-07-15T02:28:00Z</dcterms:created>
  <dcterms:modified xsi:type="dcterms:W3CDTF">2025-12-07T18:22:30Z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1033-12.2.0.18165</vt:lpwstr>
  </property>
  <property fmtid="{D5CDD505-2E9C-101B-9397-08002B2CF9AE}" pid="3" name="ICV">
    <vt:lpwstr>1059FE74ADA9417EB211105F2B9F8B24_12</vt:lpwstr>
  </property>
  <property fmtid="{D5CDD505-2E9C-101B-9397-08002B2CF9AE}" pid="4" name="ContentTypeId">
    <vt:lpwstr>0x010100E389F3844E834B438EAF4C3974A5E888</vt:lpwstr>
  </property>
  <property fmtid="{D5CDD505-2E9C-101B-9397-08002B2CF9AE}" pid="5" name="MediaServiceImageTags">
    <vt:lpwstr/>
  </property>
</Properties>
</file>