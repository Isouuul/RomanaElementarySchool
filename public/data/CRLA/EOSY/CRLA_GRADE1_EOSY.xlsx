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516"/>
  <workbookPr codeName="ThisWorkbook"/>
  <mc:AlternateContent xmlns:mc="http://schemas.openxmlformats.org/markup-compatibility/2006">
    <mc:Choice Requires="x15">
      <x15ac:absPath xmlns:x15ac="http://schemas.microsoft.com/office/spreadsheetml/2010/11/ac" url="C:\Users\ADMIN\Desktop\CRLA\EOSY\"/>
    </mc:Choice>
  </mc:AlternateContent>
  <xr:revisionPtr revIDLastSave="0" documentId="13_ncr:1_{1D8A3846-B84E-4F1B-8282-B01C0FD771F6}" xr6:coauthVersionLast="47" xr6:coauthVersionMax="47" xr10:uidLastSave="{00000000-0000-0000-0000-000000000000}"/>
  <workbookProtection workbookAlgorithmName="SHA-512" workbookHashValue="DoSN5EiMs+ClQ9jRqml5bg3CSsYKv2UwiOwf4T5Ne0acxzIQAIerteJk2LxIoA2NMSi1BXPPNxcUXkUi8WLxtw==" workbookSaltValue="yw7r1wK//k2y9EBbKMwYOw==" workbookSpinCount="100000" lockStructure="1"/>
  <bookViews>
    <workbookView xWindow="-110" yWindow="-110" windowWidth="19420" windowHeight="10300" xr2:uid="{00000000-000D-0000-FFFF-FFFF00000000}"/>
  </bookViews>
  <sheets>
    <sheet name="G1 MT Reading Scoresheet" sheetId="1" r:id="rId1"/>
    <sheet name="Class Record" sheetId="3" r:id="rId2"/>
    <sheet name="Class Summary" sheetId="2" r:id="rId3"/>
    <sheet name="Scoring Reference" sheetId="6" r:id="rId4"/>
    <sheet name="List" sheetId="4" state="hidden" r:id="rId5"/>
  </sheets>
  <definedNames>
    <definedName name="_xlnm._FilterDatabase" localSheetId="1" hidden="1">'Class Record'!$A$7:$K$107</definedName>
    <definedName name="_xlnm._FilterDatabase" localSheetId="0" hidden="1">'G1 MT Reading Scoresheet'!$C$10:$U$110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 i="2" l="1"/>
  <c r="A17" i="2"/>
  <c r="A16" i="2"/>
  <c r="D11" i="2"/>
  <c r="B11" i="2"/>
  <c r="A11" i="2"/>
  <c r="G9" i="2"/>
  <c r="F9" i="2"/>
  <c r="D9" i="2"/>
  <c r="B9" i="2"/>
  <c r="A9" i="2"/>
  <c r="G8" i="2"/>
  <c r="F8" i="2"/>
  <c r="D8" i="2"/>
  <c r="C8" i="2"/>
  <c r="C9" i="2" s="1"/>
  <c r="C11" i="2" s="1"/>
  <c r="B8" i="2"/>
  <c r="C5" i="2"/>
  <c r="C4" i="2"/>
  <c r="K107" i="3"/>
  <c r="D107" i="3"/>
  <c r="C107" i="3"/>
  <c r="F107" i="3" s="1"/>
  <c r="B107" i="3"/>
  <c r="K106" i="3"/>
  <c r="D106" i="3"/>
  <c r="C106" i="3"/>
  <c r="F106" i="3" s="1"/>
  <c r="B106" i="3"/>
  <c r="A106" i="3"/>
  <c r="K105" i="3"/>
  <c r="D105" i="3"/>
  <c r="C105" i="3"/>
  <c r="B105" i="3"/>
  <c r="A105" i="3"/>
  <c r="K104" i="3"/>
  <c r="D104" i="3"/>
  <c r="C104" i="3"/>
  <c r="F104" i="3" s="1"/>
  <c r="B104" i="3"/>
  <c r="A104" i="3"/>
  <c r="K103" i="3"/>
  <c r="D103" i="3"/>
  <c r="C103" i="3"/>
  <c r="B103" i="3"/>
  <c r="A103" i="3"/>
  <c r="K102" i="3"/>
  <c r="D102" i="3"/>
  <c r="C102" i="3"/>
  <c r="F102" i="3" s="1"/>
  <c r="B102" i="3"/>
  <c r="A102" i="3"/>
  <c r="K101" i="3"/>
  <c r="D101" i="3"/>
  <c r="C101" i="3"/>
  <c r="B101" i="3"/>
  <c r="A101" i="3"/>
  <c r="K100" i="3"/>
  <c r="D100" i="3"/>
  <c r="C100" i="3"/>
  <c r="F100" i="3" s="1"/>
  <c r="B100" i="3"/>
  <c r="A100" i="3"/>
  <c r="K99" i="3"/>
  <c r="D99" i="3"/>
  <c r="C99" i="3"/>
  <c r="B99" i="3"/>
  <c r="A99" i="3"/>
  <c r="K98" i="3"/>
  <c r="D98" i="3"/>
  <c r="C98" i="3"/>
  <c r="F98" i="3" s="1"/>
  <c r="B98" i="3"/>
  <c r="A98" i="3"/>
  <c r="K97" i="3"/>
  <c r="D97" i="3"/>
  <c r="C97" i="3"/>
  <c r="B97" i="3"/>
  <c r="A97" i="3"/>
  <c r="K96" i="3"/>
  <c r="F96" i="3"/>
  <c r="D96" i="3"/>
  <c r="C96" i="3"/>
  <c r="B96" i="3"/>
  <c r="A96" i="3"/>
  <c r="K95" i="3"/>
  <c r="D95" i="3"/>
  <c r="C95" i="3"/>
  <c r="B95" i="3"/>
  <c r="A95" i="3"/>
  <c r="K94" i="3"/>
  <c r="F94" i="3"/>
  <c r="D94" i="3"/>
  <c r="C94" i="3"/>
  <c r="B94" i="3"/>
  <c r="A94" i="3"/>
  <c r="K93" i="3"/>
  <c r="D93" i="3"/>
  <c r="C93" i="3"/>
  <c r="B93" i="3"/>
  <c r="A93" i="3"/>
  <c r="K92" i="3"/>
  <c r="D92" i="3"/>
  <c r="C92" i="3"/>
  <c r="F92" i="3" s="1"/>
  <c r="B92" i="3"/>
  <c r="A92" i="3"/>
  <c r="K91" i="3"/>
  <c r="D91" i="3"/>
  <c r="C91" i="3"/>
  <c r="B91" i="3"/>
  <c r="A91" i="3"/>
  <c r="K90" i="3"/>
  <c r="D90" i="3"/>
  <c r="C90" i="3"/>
  <c r="F90" i="3" s="1"/>
  <c r="B90" i="3"/>
  <c r="A90" i="3"/>
  <c r="K89" i="3"/>
  <c r="D89" i="3"/>
  <c r="C89" i="3"/>
  <c r="B89" i="3"/>
  <c r="A89" i="3"/>
  <c r="K88" i="3"/>
  <c r="D88" i="3"/>
  <c r="C88" i="3"/>
  <c r="B88" i="3"/>
  <c r="A88" i="3"/>
  <c r="K87" i="3"/>
  <c r="D87" i="3"/>
  <c r="C87" i="3"/>
  <c r="B87" i="3"/>
  <c r="A87" i="3"/>
  <c r="K86" i="3"/>
  <c r="D86" i="3"/>
  <c r="C86" i="3"/>
  <c r="F86" i="3" s="1"/>
  <c r="B86" i="3"/>
  <c r="A86" i="3"/>
  <c r="K85" i="3"/>
  <c r="D85" i="3"/>
  <c r="C85" i="3"/>
  <c r="B85" i="3"/>
  <c r="A85" i="3"/>
  <c r="K84" i="3"/>
  <c r="D84" i="3"/>
  <c r="C84" i="3"/>
  <c r="B84" i="3"/>
  <c r="A84" i="3"/>
  <c r="K83" i="3"/>
  <c r="D83" i="3"/>
  <c r="C83" i="3"/>
  <c r="B83" i="3"/>
  <c r="A83" i="3"/>
  <c r="K82" i="3"/>
  <c r="F82" i="3"/>
  <c r="D82" i="3"/>
  <c r="C82" i="3"/>
  <c r="B82" i="3"/>
  <c r="A82" i="3"/>
  <c r="K81" i="3"/>
  <c r="D81" i="3"/>
  <c r="C81" i="3"/>
  <c r="B81" i="3"/>
  <c r="A81" i="3"/>
  <c r="K80" i="3"/>
  <c r="D80" i="3"/>
  <c r="C80" i="3"/>
  <c r="B80" i="3"/>
  <c r="A80" i="3"/>
  <c r="K79" i="3"/>
  <c r="D79" i="3"/>
  <c r="C79" i="3"/>
  <c r="B79" i="3"/>
  <c r="A79" i="3"/>
  <c r="K78" i="3"/>
  <c r="D78" i="3"/>
  <c r="C78" i="3"/>
  <c r="F78" i="3" s="1"/>
  <c r="B78" i="3"/>
  <c r="A78" i="3"/>
  <c r="K77" i="3"/>
  <c r="D77" i="3"/>
  <c r="C77" i="3"/>
  <c r="B77" i="3"/>
  <c r="A77" i="3"/>
  <c r="K76" i="3"/>
  <c r="D76" i="3"/>
  <c r="C76" i="3"/>
  <c r="B76" i="3"/>
  <c r="A76" i="3"/>
  <c r="K75" i="3"/>
  <c r="D75" i="3"/>
  <c r="C75" i="3"/>
  <c r="B75" i="3"/>
  <c r="A75" i="3"/>
  <c r="K74" i="3"/>
  <c r="D74" i="3"/>
  <c r="C74" i="3"/>
  <c r="F74" i="3" s="1"/>
  <c r="B74" i="3"/>
  <c r="A74" i="3"/>
  <c r="K73" i="3"/>
  <c r="D73" i="3"/>
  <c r="C73" i="3"/>
  <c r="B73" i="3"/>
  <c r="A73" i="3"/>
  <c r="K72" i="3"/>
  <c r="D72" i="3"/>
  <c r="C72" i="3"/>
  <c r="B72" i="3"/>
  <c r="A72" i="3"/>
  <c r="K71" i="3"/>
  <c r="D71" i="3"/>
  <c r="C71" i="3"/>
  <c r="B71" i="3"/>
  <c r="A71" i="3"/>
  <c r="K70" i="3"/>
  <c r="D70" i="3"/>
  <c r="C70" i="3"/>
  <c r="F70" i="3" s="1"/>
  <c r="B70" i="3"/>
  <c r="A70" i="3"/>
  <c r="K69" i="3"/>
  <c r="D69" i="3"/>
  <c r="C69" i="3"/>
  <c r="B69" i="3"/>
  <c r="A69" i="3"/>
  <c r="K68" i="3"/>
  <c r="D68" i="3"/>
  <c r="C68" i="3"/>
  <c r="B68" i="3"/>
  <c r="A68" i="3"/>
  <c r="K67" i="3"/>
  <c r="D67" i="3"/>
  <c r="C67" i="3"/>
  <c r="B67" i="3"/>
  <c r="A67" i="3"/>
  <c r="K66" i="3"/>
  <c r="D66" i="3"/>
  <c r="C66" i="3"/>
  <c r="F66" i="3" s="1"/>
  <c r="B66" i="3"/>
  <c r="K65" i="3"/>
  <c r="D65" i="3"/>
  <c r="C65" i="3"/>
  <c r="B65" i="3"/>
  <c r="K64" i="3"/>
  <c r="D64" i="3"/>
  <c r="C64" i="3"/>
  <c r="F64" i="3" s="1"/>
  <c r="B64" i="3"/>
  <c r="K63" i="3"/>
  <c r="D63" i="3"/>
  <c r="C63" i="3"/>
  <c r="B63" i="3"/>
  <c r="K62" i="3"/>
  <c r="D62" i="3"/>
  <c r="C62" i="3"/>
  <c r="F62" i="3" s="1"/>
  <c r="B62" i="3"/>
  <c r="K61" i="3"/>
  <c r="D61" i="3"/>
  <c r="C61" i="3"/>
  <c r="B61" i="3"/>
  <c r="K60" i="3"/>
  <c r="D60" i="3"/>
  <c r="C60" i="3"/>
  <c r="F60" i="3" s="1"/>
  <c r="B60" i="3"/>
  <c r="K59" i="3"/>
  <c r="D59" i="3"/>
  <c r="C59" i="3"/>
  <c r="F59" i="3" s="1"/>
  <c r="B59" i="3"/>
  <c r="K58" i="3"/>
  <c r="D58" i="3"/>
  <c r="C58" i="3"/>
  <c r="F58" i="3" s="1"/>
  <c r="B58" i="3"/>
  <c r="K57" i="3"/>
  <c r="D57" i="3"/>
  <c r="C57" i="3"/>
  <c r="B57" i="3"/>
  <c r="K56" i="3"/>
  <c r="D56" i="3"/>
  <c r="C56" i="3"/>
  <c r="F56" i="3" s="1"/>
  <c r="B56" i="3"/>
  <c r="K55" i="3"/>
  <c r="D55" i="3"/>
  <c r="C55" i="3"/>
  <c r="B55" i="3"/>
  <c r="K54" i="3"/>
  <c r="F54" i="3"/>
  <c r="D54" i="3"/>
  <c r="C54" i="3"/>
  <c r="B54" i="3"/>
  <c r="K53" i="3"/>
  <c r="D53" i="3"/>
  <c r="C53" i="3"/>
  <c r="F53" i="3" s="1"/>
  <c r="B53" i="3"/>
  <c r="K52" i="3"/>
  <c r="D52" i="3"/>
  <c r="C52" i="3"/>
  <c r="F52" i="3" s="1"/>
  <c r="B52" i="3"/>
  <c r="K51" i="3"/>
  <c r="D51" i="3"/>
  <c r="C51" i="3"/>
  <c r="F51" i="3" s="1"/>
  <c r="B51" i="3"/>
  <c r="K50" i="3"/>
  <c r="F50" i="3"/>
  <c r="D50" i="3"/>
  <c r="C50" i="3"/>
  <c r="B50" i="3"/>
  <c r="K49" i="3"/>
  <c r="D49" i="3"/>
  <c r="C49" i="3"/>
  <c r="B49" i="3"/>
  <c r="K48" i="3"/>
  <c r="D48" i="3"/>
  <c r="C48" i="3"/>
  <c r="F48" i="3" s="1"/>
  <c r="B48" i="3"/>
  <c r="K47" i="3"/>
  <c r="D47" i="3"/>
  <c r="C47" i="3"/>
  <c r="B47" i="3"/>
  <c r="K46" i="3"/>
  <c r="D46" i="3"/>
  <c r="C46" i="3"/>
  <c r="F46" i="3" s="1"/>
  <c r="B46" i="3"/>
  <c r="K45" i="3"/>
  <c r="D45" i="3"/>
  <c r="C45" i="3"/>
  <c r="F45" i="3" s="1"/>
  <c r="B45" i="3"/>
  <c r="K44" i="3"/>
  <c r="D44" i="3"/>
  <c r="C44" i="3"/>
  <c r="F44" i="3" s="1"/>
  <c r="B44" i="3"/>
  <c r="K43" i="3"/>
  <c r="D43" i="3"/>
  <c r="C43" i="3"/>
  <c r="F43" i="3" s="1"/>
  <c r="B43" i="3"/>
  <c r="K42" i="3"/>
  <c r="D42" i="3"/>
  <c r="C42" i="3"/>
  <c r="F42" i="3" s="1"/>
  <c r="B42" i="3"/>
  <c r="K41" i="3"/>
  <c r="D41" i="3"/>
  <c r="C41" i="3"/>
  <c r="B41" i="3"/>
  <c r="K40" i="3"/>
  <c r="D40" i="3"/>
  <c r="C40" i="3"/>
  <c r="F40" i="3" s="1"/>
  <c r="B40" i="3"/>
  <c r="K39" i="3"/>
  <c r="D39" i="3"/>
  <c r="C39" i="3"/>
  <c r="B39" i="3"/>
  <c r="K38" i="3"/>
  <c r="D38" i="3"/>
  <c r="C38" i="3"/>
  <c r="F38" i="3" s="1"/>
  <c r="B38" i="3"/>
  <c r="K37" i="3"/>
  <c r="D37" i="3"/>
  <c r="C37" i="3"/>
  <c r="F37" i="3" s="1"/>
  <c r="B37" i="3"/>
  <c r="K36" i="3"/>
  <c r="D36" i="3"/>
  <c r="C36" i="3"/>
  <c r="F36" i="3" s="1"/>
  <c r="B36" i="3"/>
  <c r="K35" i="3"/>
  <c r="D35" i="3"/>
  <c r="C35" i="3"/>
  <c r="F35" i="3" s="1"/>
  <c r="B35" i="3"/>
  <c r="K34" i="3"/>
  <c r="F34" i="3"/>
  <c r="D34" i="3"/>
  <c r="C34" i="3"/>
  <c r="B34" i="3"/>
  <c r="K33" i="3"/>
  <c r="D33" i="3"/>
  <c r="C33" i="3"/>
  <c r="B33" i="3"/>
  <c r="K32" i="3"/>
  <c r="D32" i="3"/>
  <c r="C32" i="3"/>
  <c r="F32" i="3" s="1"/>
  <c r="B32" i="3"/>
  <c r="K31" i="3"/>
  <c r="D31" i="3"/>
  <c r="C31" i="3"/>
  <c r="B31" i="3"/>
  <c r="K30" i="3"/>
  <c r="D30" i="3"/>
  <c r="C30" i="3"/>
  <c r="F30" i="3" s="1"/>
  <c r="B30" i="3"/>
  <c r="K29" i="3"/>
  <c r="D29" i="3"/>
  <c r="C29" i="3"/>
  <c r="F29" i="3" s="1"/>
  <c r="B29" i="3"/>
  <c r="K28" i="3"/>
  <c r="F28" i="3"/>
  <c r="D28" i="3"/>
  <c r="C28" i="3"/>
  <c r="B28" i="3"/>
  <c r="K27" i="3"/>
  <c r="D27" i="3"/>
  <c r="C27" i="3"/>
  <c r="F27" i="3" s="1"/>
  <c r="B27" i="3"/>
  <c r="K26" i="3"/>
  <c r="D26" i="3"/>
  <c r="C26" i="3"/>
  <c r="F26" i="3" s="1"/>
  <c r="B26" i="3"/>
  <c r="K25" i="3"/>
  <c r="D25" i="3"/>
  <c r="C25" i="3"/>
  <c r="F25" i="3" s="1"/>
  <c r="B25" i="3"/>
  <c r="K24" i="3"/>
  <c r="D24" i="3"/>
  <c r="C24" i="3"/>
  <c r="F24" i="3" s="1"/>
  <c r="B24" i="3"/>
  <c r="K23" i="3"/>
  <c r="D23" i="3"/>
  <c r="C23" i="3"/>
  <c r="F23" i="3" s="1"/>
  <c r="B23" i="3"/>
  <c r="K22" i="3"/>
  <c r="D22" i="3"/>
  <c r="C22" i="3"/>
  <c r="F22" i="3" s="1"/>
  <c r="B22" i="3"/>
  <c r="K21" i="3"/>
  <c r="D21" i="3"/>
  <c r="C21" i="3"/>
  <c r="B21" i="3"/>
  <c r="K20" i="3"/>
  <c r="D20" i="3"/>
  <c r="C20" i="3"/>
  <c r="B20" i="3"/>
  <c r="K19" i="3"/>
  <c r="D19" i="3"/>
  <c r="C19" i="3"/>
  <c r="B19" i="3"/>
  <c r="K18" i="3"/>
  <c r="D18" i="3"/>
  <c r="C18" i="3"/>
  <c r="B18" i="3"/>
  <c r="K17" i="3"/>
  <c r="D17" i="3"/>
  <c r="C17" i="3"/>
  <c r="B17" i="3"/>
  <c r="K16" i="3"/>
  <c r="D16" i="3"/>
  <c r="C16" i="3"/>
  <c r="B16" i="3"/>
  <c r="K15" i="3"/>
  <c r="D15" i="3"/>
  <c r="C15" i="3"/>
  <c r="B15" i="3"/>
  <c r="K14" i="3"/>
  <c r="D14" i="3"/>
  <c r="C14" i="3"/>
  <c r="B14" i="3"/>
  <c r="K13" i="3"/>
  <c r="D13" i="3"/>
  <c r="C13" i="3"/>
  <c r="B13" i="3"/>
  <c r="K12" i="3"/>
  <c r="D12" i="3"/>
  <c r="C12" i="3"/>
  <c r="B12" i="3"/>
  <c r="K11" i="3"/>
  <c r="D11" i="3"/>
  <c r="C11" i="3"/>
  <c r="B11" i="3"/>
  <c r="K10" i="3"/>
  <c r="D10" i="3"/>
  <c r="C10" i="3"/>
  <c r="B10" i="3"/>
  <c r="K9" i="3"/>
  <c r="D9" i="3"/>
  <c r="C9" i="3"/>
  <c r="B9" i="3"/>
  <c r="K8" i="3"/>
  <c r="D8" i="3"/>
  <c r="C8" i="3"/>
  <c r="B8" i="3"/>
  <c r="E5" i="3"/>
  <c r="C5" i="3"/>
  <c r="C4" i="3"/>
  <c r="AA110" i="1"/>
  <c r="Z110" i="1"/>
  <c r="X110" i="1"/>
  <c r="Q110" i="1"/>
  <c r="M110" i="1"/>
  <c r="P110" i="1" s="1"/>
  <c r="I110" i="1"/>
  <c r="J110" i="1" s="1"/>
  <c r="AA109" i="1"/>
  <c r="Z109" i="1"/>
  <c r="X109" i="1"/>
  <c r="Q109" i="1"/>
  <c r="M109" i="1"/>
  <c r="P109" i="1" s="1"/>
  <c r="J109" i="1"/>
  <c r="E106" i="3" s="1"/>
  <c r="I109" i="1"/>
  <c r="AA108" i="1"/>
  <c r="Z108" i="1"/>
  <c r="X108" i="1"/>
  <c r="Q108" i="1"/>
  <c r="M108" i="1"/>
  <c r="P108" i="1" s="1"/>
  <c r="I108" i="1"/>
  <c r="J108" i="1" s="1"/>
  <c r="AA107" i="1"/>
  <c r="Z107" i="1"/>
  <c r="X107" i="1"/>
  <c r="Q107" i="1"/>
  <c r="M107" i="1"/>
  <c r="P107" i="1" s="1"/>
  <c r="I107" i="1"/>
  <c r="J107" i="1" s="1"/>
  <c r="AA106" i="1"/>
  <c r="Z106" i="1"/>
  <c r="X106" i="1"/>
  <c r="Q106" i="1"/>
  <c r="M106" i="1"/>
  <c r="P106" i="1" s="1"/>
  <c r="I106" i="1"/>
  <c r="J106" i="1" s="1"/>
  <c r="AA105" i="1"/>
  <c r="Z105" i="1"/>
  <c r="X105" i="1"/>
  <c r="Q105" i="1"/>
  <c r="M105" i="1"/>
  <c r="P105" i="1" s="1"/>
  <c r="I105" i="1"/>
  <c r="J105" i="1" s="1"/>
  <c r="E102" i="3" s="1"/>
  <c r="AA104" i="1"/>
  <c r="Z104" i="1"/>
  <c r="X104" i="1"/>
  <c r="Q104" i="1"/>
  <c r="P104" i="1"/>
  <c r="M104" i="1"/>
  <c r="I104" i="1"/>
  <c r="J104" i="1" s="1"/>
  <c r="AA103" i="1"/>
  <c r="Z103" i="1"/>
  <c r="X103" i="1"/>
  <c r="Q103" i="1"/>
  <c r="M103" i="1"/>
  <c r="P103" i="1" s="1"/>
  <c r="I103" i="1"/>
  <c r="J103" i="1" s="1"/>
  <c r="AA102" i="1"/>
  <c r="Z102" i="1"/>
  <c r="X102" i="1"/>
  <c r="Q102" i="1"/>
  <c r="M102" i="1"/>
  <c r="P102" i="1" s="1"/>
  <c r="I102" i="1"/>
  <c r="J102" i="1" s="1"/>
  <c r="AA101" i="1"/>
  <c r="Z101" i="1"/>
  <c r="X101" i="1"/>
  <c r="Q101" i="1"/>
  <c r="M101" i="1"/>
  <c r="P101" i="1" s="1"/>
  <c r="J101" i="1"/>
  <c r="E98" i="3" s="1"/>
  <c r="I101" i="1"/>
  <c r="AA100" i="1"/>
  <c r="Z100" i="1"/>
  <c r="X100" i="1"/>
  <c r="Q100" i="1"/>
  <c r="M100" i="1"/>
  <c r="P100" i="1" s="1"/>
  <c r="I100" i="1"/>
  <c r="J100" i="1" s="1"/>
  <c r="U100" i="1" s="1"/>
  <c r="J97" i="3" s="1"/>
  <c r="AA99" i="1"/>
  <c r="Z99" i="1"/>
  <c r="X99" i="1"/>
  <c r="Q99" i="1"/>
  <c r="M99" i="1"/>
  <c r="P99" i="1" s="1"/>
  <c r="I99" i="1"/>
  <c r="J99" i="1" s="1"/>
  <c r="AA98" i="1"/>
  <c r="Z98" i="1"/>
  <c r="X98" i="1"/>
  <c r="Q98" i="1"/>
  <c r="M98" i="1"/>
  <c r="P98" i="1" s="1"/>
  <c r="I98" i="1"/>
  <c r="J98" i="1" s="1"/>
  <c r="AA97" i="1"/>
  <c r="Z97" i="1"/>
  <c r="X97" i="1"/>
  <c r="Q97" i="1"/>
  <c r="M97" i="1"/>
  <c r="P97" i="1" s="1"/>
  <c r="I97" i="1"/>
  <c r="J97" i="1" s="1"/>
  <c r="E94" i="3" s="1"/>
  <c r="AA96" i="1"/>
  <c r="Z96" i="1"/>
  <c r="X96" i="1"/>
  <c r="Q96" i="1"/>
  <c r="P96" i="1"/>
  <c r="M96" i="1"/>
  <c r="I96" i="1"/>
  <c r="J96" i="1" s="1"/>
  <c r="U96" i="1" s="1"/>
  <c r="J93" i="3" s="1"/>
  <c r="AA95" i="1"/>
  <c r="Z95" i="1"/>
  <c r="X95" i="1"/>
  <c r="Q95" i="1"/>
  <c r="M95" i="1"/>
  <c r="P95" i="1" s="1"/>
  <c r="I95" i="1"/>
  <c r="J95" i="1" s="1"/>
  <c r="AA94" i="1"/>
  <c r="Z94" i="1"/>
  <c r="X94" i="1"/>
  <c r="Q94" i="1"/>
  <c r="M94" i="1"/>
  <c r="P94" i="1" s="1"/>
  <c r="I94" i="1"/>
  <c r="J94" i="1" s="1"/>
  <c r="AA93" i="1"/>
  <c r="Z93" i="1"/>
  <c r="X93" i="1"/>
  <c r="Q93" i="1"/>
  <c r="M93" i="1"/>
  <c r="P93" i="1" s="1"/>
  <c r="J93" i="1"/>
  <c r="E90" i="3" s="1"/>
  <c r="I93" i="1"/>
  <c r="AA92" i="1"/>
  <c r="Z92" i="1"/>
  <c r="X92" i="1"/>
  <c r="Q92" i="1"/>
  <c r="M92" i="1"/>
  <c r="P92" i="1" s="1"/>
  <c r="I92" i="1"/>
  <c r="J92" i="1" s="1"/>
  <c r="AA91" i="1"/>
  <c r="Z91" i="1"/>
  <c r="X91" i="1"/>
  <c r="Q91" i="1"/>
  <c r="M91" i="1"/>
  <c r="P91" i="1" s="1"/>
  <c r="I91" i="1"/>
  <c r="J91" i="1" s="1"/>
  <c r="AA90" i="1"/>
  <c r="Z90" i="1"/>
  <c r="X90" i="1"/>
  <c r="Q90" i="1"/>
  <c r="M90" i="1"/>
  <c r="P90" i="1" s="1"/>
  <c r="I90" i="1"/>
  <c r="J90" i="1" s="1"/>
  <c r="AA89" i="1"/>
  <c r="Z89" i="1"/>
  <c r="X89" i="1"/>
  <c r="Q89" i="1"/>
  <c r="M89" i="1"/>
  <c r="P89" i="1" s="1"/>
  <c r="I89" i="1"/>
  <c r="J89" i="1" s="1"/>
  <c r="E86" i="3" s="1"/>
  <c r="AA88" i="1"/>
  <c r="Z88" i="1"/>
  <c r="X88" i="1"/>
  <c r="Q88" i="1"/>
  <c r="P88" i="1"/>
  <c r="M88" i="1"/>
  <c r="I88" i="1"/>
  <c r="J88" i="1" s="1"/>
  <c r="U88" i="1" s="1"/>
  <c r="J85" i="3" s="1"/>
  <c r="AA87" i="1"/>
  <c r="Z87" i="1"/>
  <c r="X87" i="1"/>
  <c r="Q87" i="1"/>
  <c r="M87" i="1"/>
  <c r="P87" i="1" s="1"/>
  <c r="I87" i="1"/>
  <c r="J87" i="1" s="1"/>
  <c r="AA86" i="1"/>
  <c r="Z86" i="1"/>
  <c r="X86" i="1"/>
  <c r="Q86" i="1"/>
  <c r="M86" i="1"/>
  <c r="P86" i="1" s="1"/>
  <c r="I86" i="1"/>
  <c r="J86" i="1" s="1"/>
  <c r="AA85" i="1"/>
  <c r="Z85" i="1"/>
  <c r="X85" i="1"/>
  <c r="Q85" i="1"/>
  <c r="M85" i="1"/>
  <c r="P85" i="1" s="1"/>
  <c r="J85" i="1"/>
  <c r="E82" i="3" s="1"/>
  <c r="I85" i="1"/>
  <c r="AA84" i="1"/>
  <c r="Z84" i="1"/>
  <c r="X84" i="1"/>
  <c r="Q84" i="1"/>
  <c r="M84" i="1"/>
  <c r="P84" i="1" s="1"/>
  <c r="I84" i="1"/>
  <c r="J84" i="1" s="1"/>
  <c r="AA83" i="1"/>
  <c r="Z83" i="1"/>
  <c r="X83" i="1"/>
  <c r="Q83" i="1"/>
  <c r="M83" i="1"/>
  <c r="P83" i="1" s="1"/>
  <c r="I83" i="1"/>
  <c r="J83" i="1" s="1"/>
  <c r="AA82" i="1"/>
  <c r="Z82" i="1"/>
  <c r="X82" i="1"/>
  <c r="Q82" i="1"/>
  <c r="M82" i="1"/>
  <c r="P82" i="1" s="1"/>
  <c r="I82" i="1"/>
  <c r="J82" i="1" s="1"/>
  <c r="AA81" i="1"/>
  <c r="Z81" i="1"/>
  <c r="X81" i="1"/>
  <c r="Q81" i="1"/>
  <c r="M81" i="1"/>
  <c r="P81" i="1" s="1"/>
  <c r="I81" i="1"/>
  <c r="J81" i="1" s="1"/>
  <c r="E78" i="3" s="1"/>
  <c r="AA80" i="1"/>
  <c r="Z80" i="1"/>
  <c r="X80" i="1"/>
  <c r="Q80" i="1"/>
  <c r="P80" i="1"/>
  <c r="M80" i="1"/>
  <c r="I80" i="1"/>
  <c r="J80" i="1" s="1"/>
  <c r="AA79" i="1"/>
  <c r="Z79" i="1"/>
  <c r="X79" i="1"/>
  <c r="Q79" i="1"/>
  <c r="M79" i="1"/>
  <c r="P79" i="1" s="1"/>
  <c r="I79" i="1"/>
  <c r="J79" i="1" s="1"/>
  <c r="AA78" i="1"/>
  <c r="Z78" i="1"/>
  <c r="X78" i="1"/>
  <c r="Q78" i="1"/>
  <c r="M78" i="1"/>
  <c r="P78" i="1" s="1"/>
  <c r="I78" i="1"/>
  <c r="J78" i="1" s="1"/>
  <c r="AA77" i="1"/>
  <c r="Z77" i="1"/>
  <c r="X77" i="1"/>
  <c r="Q77" i="1"/>
  <c r="M77" i="1"/>
  <c r="P77" i="1" s="1"/>
  <c r="J77" i="1"/>
  <c r="E74" i="3" s="1"/>
  <c r="I77" i="1"/>
  <c r="AA76" i="1"/>
  <c r="Z76" i="1"/>
  <c r="X76" i="1"/>
  <c r="Q76" i="1"/>
  <c r="M76" i="1"/>
  <c r="P76" i="1" s="1"/>
  <c r="I76" i="1"/>
  <c r="J76" i="1" s="1"/>
  <c r="U76" i="1" s="1"/>
  <c r="J73" i="3" s="1"/>
  <c r="AA75" i="1"/>
  <c r="Z75" i="1"/>
  <c r="X75" i="1"/>
  <c r="Q75" i="1"/>
  <c r="M75" i="1"/>
  <c r="P75" i="1" s="1"/>
  <c r="I75" i="1"/>
  <c r="J75" i="1" s="1"/>
  <c r="AA74" i="1"/>
  <c r="Z74" i="1"/>
  <c r="X74" i="1"/>
  <c r="Q74" i="1"/>
  <c r="M74" i="1"/>
  <c r="P74" i="1" s="1"/>
  <c r="I74" i="1"/>
  <c r="J74" i="1" s="1"/>
  <c r="AA73" i="1"/>
  <c r="Z73" i="1"/>
  <c r="X73" i="1"/>
  <c r="Q73" i="1"/>
  <c r="M73" i="1"/>
  <c r="P73" i="1" s="1"/>
  <c r="I73" i="1"/>
  <c r="J73" i="1" s="1"/>
  <c r="AA72" i="1"/>
  <c r="Z72" i="1"/>
  <c r="X72" i="1"/>
  <c r="Q72" i="1"/>
  <c r="M72" i="1"/>
  <c r="P72" i="1" s="1"/>
  <c r="I72" i="1"/>
  <c r="J72" i="1" s="1"/>
  <c r="AA71" i="1"/>
  <c r="Z71" i="1"/>
  <c r="X71" i="1"/>
  <c r="Q71" i="1"/>
  <c r="M71" i="1"/>
  <c r="P71" i="1" s="1"/>
  <c r="I71" i="1"/>
  <c r="J71" i="1" s="1"/>
  <c r="AA70" i="1"/>
  <c r="Z70" i="1"/>
  <c r="X70" i="1"/>
  <c r="Q70" i="1"/>
  <c r="P70" i="1"/>
  <c r="M70" i="1"/>
  <c r="I70" i="1"/>
  <c r="J70" i="1" s="1"/>
  <c r="A70" i="1"/>
  <c r="A71" i="1" s="1"/>
  <c r="A72" i="1" s="1"/>
  <c r="A73" i="1" s="1"/>
  <c r="A74" i="1" s="1"/>
  <c r="A75" i="1" s="1"/>
  <c r="A76" i="1" s="1"/>
  <c r="A77" i="1" s="1"/>
  <c r="A78" i="1" s="1"/>
  <c r="A79" i="1" s="1"/>
  <c r="A80" i="1" s="1"/>
  <c r="A81" i="1" s="1"/>
  <c r="A82" i="1" s="1"/>
  <c r="A83" i="1" s="1"/>
  <c r="A84" i="1" s="1"/>
  <c r="A85" i="1" s="1"/>
  <c r="A86" i="1" s="1"/>
  <c r="A87" i="1" s="1"/>
  <c r="A88" i="1" s="1"/>
  <c r="A89" i="1" s="1"/>
  <c r="A90" i="1" s="1"/>
  <c r="A91" i="1" s="1"/>
  <c r="A92" i="1" s="1"/>
  <c r="A93" i="1" s="1"/>
  <c r="A94" i="1" s="1"/>
  <c r="A95" i="1" s="1"/>
  <c r="A96" i="1" s="1"/>
  <c r="A97" i="1" s="1"/>
  <c r="A98" i="1" s="1"/>
  <c r="A99" i="1" s="1"/>
  <c r="A100" i="1" s="1"/>
  <c r="A101" i="1" s="1"/>
  <c r="A102" i="1" s="1"/>
  <c r="A103" i="1" s="1"/>
  <c r="A104" i="1" s="1"/>
  <c r="A105" i="1" s="1"/>
  <c r="A106" i="1" s="1"/>
  <c r="A107" i="1" s="1"/>
  <c r="A108" i="1" s="1"/>
  <c r="A109" i="1" s="1"/>
  <c r="AA69" i="1"/>
  <c r="Z69" i="1"/>
  <c r="X69" i="1"/>
  <c r="Q69" i="1"/>
  <c r="M69" i="1"/>
  <c r="P69" i="1" s="1"/>
  <c r="I69" i="1"/>
  <c r="J69" i="1" s="1"/>
  <c r="AA68" i="1"/>
  <c r="Z68" i="1"/>
  <c r="X68" i="1"/>
  <c r="Q68" i="1"/>
  <c r="M68" i="1"/>
  <c r="P68" i="1" s="1"/>
  <c r="I68" i="1"/>
  <c r="J68" i="1" s="1"/>
  <c r="E65" i="3" s="1"/>
  <c r="AA67" i="1"/>
  <c r="Z67" i="1"/>
  <c r="X67" i="1"/>
  <c r="Q67" i="1"/>
  <c r="M67" i="1"/>
  <c r="P67" i="1" s="1"/>
  <c r="I67" i="1"/>
  <c r="J67" i="1" s="1"/>
  <c r="AA66" i="1"/>
  <c r="Z66" i="1"/>
  <c r="X66" i="1"/>
  <c r="Q66" i="1"/>
  <c r="M66" i="1"/>
  <c r="P66" i="1" s="1"/>
  <c r="I66" i="1"/>
  <c r="J66" i="1" s="1"/>
  <c r="AA65" i="1"/>
  <c r="Z65" i="1"/>
  <c r="X65" i="1"/>
  <c r="Q65" i="1"/>
  <c r="M65" i="1"/>
  <c r="P65" i="1" s="1"/>
  <c r="I65" i="1"/>
  <c r="J65" i="1" s="1"/>
  <c r="AA64" i="1"/>
  <c r="Z64" i="1"/>
  <c r="X64" i="1"/>
  <c r="Q64" i="1"/>
  <c r="M64" i="1"/>
  <c r="P64" i="1" s="1"/>
  <c r="I64" i="1"/>
  <c r="J64" i="1" s="1"/>
  <c r="E61" i="3" s="1"/>
  <c r="AA63" i="1"/>
  <c r="Z63" i="1"/>
  <c r="X63" i="1"/>
  <c r="Q63" i="1"/>
  <c r="M63" i="1"/>
  <c r="P63" i="1" s="1"/>
  <c r="I63" i="1"/>
  <c r="J63" i="1" s="1"/>
  <c r="AA62" i="1"/>
  <c r="Z62" i="1"/>
  <c r="X62" i="1"/>
  <c r="Q62" i="1"/>
  <c r="M62" i="1"/>
  <c r="P62" i="1" s="1"/>
  <c r="I62" i="1"/>
  <c r="J62" i="1" s="1"/>
  <c r="E59" i="3" s="1"/>
  <c r="G59" i="3" s="1"/>
  <c r="AA61" i="1"/>
  <c r="Z61" i="1"/>
  <c r="X61" i="1"/>
  <c r="Q61" i="1"/>
  <c r="M61" i="1"/>
  <c r="P61" i="1" s="1"/>
  <c r="J61" i="1"/>
  <c r="E58" i="3" s="1"/>
  <c r="H58" i="3" s="1"/>
  <c r="I61" i="1"/>
  <c r="AA60" i="1"/>
  <c r="Z60" i="1"/>
  <c r="X60" i="1"/>
  <c r="Q60" i="1"/>
  <c r="M60" i="1"/>
  <c r="P60" i="1" s="1"/>
  <c r="I60" i="1"/>
  <c r="J60" i="1" s="1"/>
  <c r="E57" i="3" s="1"/>
  <c r="H57" i="3" s="1"/>
  <c r="AA59" i="1"/>
  <c r="Z59" i="1"/>
  <c r="X59" i="1"/>
  <c r="Q59" i="1"/>
  <c r="M59" i="1"/>
  <c r="P59" i="1" s="1"/>
  <c r="I59" i="1"/>
  <c r="J59" i="1" s="1"/>
  <c r="AA58" i="1"/>
  <c r="Z58" i="1"/>
  <c r="X58" i="1"/>
  <c r="Q58" i="1"/>
  <c r="M58" i="1"/>
  <c r="P58" i="1" s="1"/>
  <c r="I58" i="1"/>
  <c r="J58" i="1" s="1"/>
  <c r="AA57" i="1"/>
  <c r="Z57" i="1"/>
  <c r="X57" i="1"/>
  <c r="Q57" i="1"/>
  <c r="M57" i="1"/>
  <c r="P57" i="1" s="1"/>
  <c r="I57" i="1"/>
  <c r="J57" i="1" s="1"/>
  <c r="AA56" i="1"/>
  <c r="Z56" i="1"/>
  <c r="X56" i="1"/>
  <c r="Q56" i="1"/>
  <c r="M56" i="1"/>
  <c r="P56" i="1" s="1"/>
  <c r="J56" i="1"/>
  <c r="E53" i="3" s="1"/>
  <c r="G53" i="3" s="1"/>
  <c r="I56" i="1"/>
  <c r="AA55" i="1"/>
  <c r="Z55" i="1"/>
  <c r="X55" i="1"/>
  <c r="Q55" i="1"/>
  <c r="M55" i="1"/>
  <c r="P55" i="1" s="1"/>
  <c r="I55" i="1"/>
  <c r="J55" i="1" s="1"/>
  <c r="U55" i="1" s="1"/>
  <c r="J52" i="3" s="1"/>
  <c r="AA54" i="1"/>
  <c r="Z54" i="1"/>
  <c r="X54" i="1"/>
  <c r="Q54" i="1"/>
  <c r="M54" i="1"/>
  <c r="P54" i="1" s="1"/>
  <c r="I54" i="1"/>
  <c r="J54" i="1" s="1"/>
  <c r="AA53" i="1"/>
  <c r="Z53" i="1"/>
  <c r="X53" i="1"/>
  <c r="Q53" i="1"/>
  <c r="M53" i="1"/>
  <c r="P53" i="1" s="1"/>
  <c r="I53" i="1"/>
  <c r="J53" i="1" s="1"/>
  <c r="AA52" i="1"/>
  <c r="Z52" i="1"/>
  <c r="X52" i="1"/>
  <c r="Q52" i="1"/>
  <c r="M52" i="1"/>
  <c r="P52" i="1" s="1"/>
  <c r="I52" i="1"/>
  <c r="J52" i="1" s="1"/>
  <c r="E49" i="3" s="1"/>
  <c r="G49" i="3" s="1"/>
  <c r="AA51" i="1"/>
  <c r="Z51" i="1"/>
  <c r="X51" i="1"/>
  <c r="Q51" i="1"/>
  <c r="M51" i="1"/>
  <c r="P51" i="1" s="1"/>
  <c r="I51" i="1"/>
  <c r="J51" i="1" s="1"/>
  <c r="AA50" i="1"/>
  <c r="Z50" i="1"/>
  <c r="X50" i="1"/>
  <c r="Q50" i="1"/>
  <c r="M50" i="1"/>
  <c r="P50" i="1" s="1"/>
  <c r="I50" i="1"/>
  <c r="J50" i="1" s="1"/>
  <c r="AA49" i="1"/>
  <c r="Z49" i="1"/>
  <c r="X49" i="1"/>
  <c r="Q49" i="1"/>
  <c r="M49" i="1"/>
  <c r="P49" i="1" s="1"/>
  <c r="I49" i="1"/>
  <c r="J49" i="1" s="1"/>
  <c r="AA48" i="1"/>
  <c r="Z48" i="1"/>
  <c r="X48" i="1"/>
  <c r="Q48" i="1"/>
  <c r="M48" i="1"/>
  <c r="P48" i="1" s="1"/>
  <c r="I48" i="1"/>
  <c r="J48" i="1" s="1"/>
  <c r="E45" i="3" s="1"/>
  <c r="G45" i="3" s="1"/>
  <c r="AA47" i="1"/>
  <c r="Z47" i="1"/>
  <c r="X47" i="1"/>
  <c r="Q47" i="1"/>
  <c r="M47" i="1"/>
  <c r="P47" i="1" s="1"/>
  <c r="I47" i="1"/>
  <c r="J47" i="1" s="1"/>
  <c r="U47" i="1" s="1"/>
  <c r="J44" i="3" s="1"/>
  <c r="AA46" i="1"/>
  <c r="Z46" i="1"/>
  <c r="X46" i="1"/>
  <c r="Q46" i="1"/>
  <c r="M46" i="1"/>
  <c r="P46" i="1" s="1"/>
  <c r="I46" i="1"/>
  <c r="J46" i="1" s="1"/>
  <c r="E43" i="3" s="1"/>
  <c r="AA45" i="1"/>
  <c r="Z45" i="1"/>
  <c r="X45" i="1"/>
  <c r="Q45" i="1"/>
  <c r="M45" i="1"/>
  <c r="P45" i="1" s="1"/>
  <c r="J45" i="1"/>
  <c r="E42" i="3" s="1"/>
  <c r="I45" i="1"/>
  <c r="AA44" i="1"/>
  <c r="Z44" i="1"/>
  <c r="X44" i="1"/>
  <c r="Q44" i="1"/>
  <c r="M44" i="1"/>
  <c r="P44" i="1" s="1"/>
  <c r="I44" i="1"/>
  <c r="J44" i="1" s="1"/>
  <c r="E41" i="3" s="1"/>
  <c r="G41" i="3" s="1"/>
  <c r="AA43" i="1"/>
  <c r="Z43" i="1"/>
  <c r="X43" i="1"/>
  <c r="Q43" i="1"/>
  <c r="M43" i="1"/>
  <c r="P43" i="1" s="1"/>
  <c r="I43" i="1"/>
  <c r="J43" i="1" s="1"/>
  <c r="AA42" i="1"/>
  <c r="Z42" i="1"/>
  <c r="X42" i="1"/>
  <c r="Q42" i="1"/>
  <c r="M42" i="1"/>
  <c r="P42" i="1" s="1"/>
  <c r="I42" i="1"/>
  <c r="J42" i="1" s="1"/>
  <c r="AA41" i="1"/>
  <c r="Z41" i="1"/>
  <c r="X41" i="1"/>
  <c r="Q41" i="1"/>
  <c r="M41" i="1"/>
  <c r="P41" i="1" s="1"/>
  <c r="I41" i="1"/>
  <c r="J41" i="1" s="1"/>
  <c r="AA40" i="1"/>
  <c r="Z40" i="1"/>
  <c r="X40" i="1"/>
  <c r="Q40" i="1"/>
  <c r="M40" i="1"/>
  <c r="P40" i="1" s="1"/>
  <c r="I40" i="1"/>
  <c r="J40" i="1" s="1"/>
  <c r="AA39" i="1"/>
  <c r="Z39" i="1"/>
  <c r="X39" i="1"/>
  <c r="Q39" i="1"/>
  <c r="M39" i="1"/>
  <c r="P39" i="1" s="1"/>
  <c r="I39" i="1"/>
  <c r="J39" i="1" s="1"/>
  <c r="AA38" i="1"/>
  <c r="Z38" i="1"/>
  <c r="X38" i="1"/>
  <c r="Q38" i="1"/>
  <c r="M38" i="1"/>
  <c r="P38" i="1" s="1"/>
  <c r="J38" i="1"/>
  <c r="E35" i="3" s="1"/>
  <c r="G35" i="3" s="1"/>
  <c r="I38" i="1"/>
  <c r="AA37" i="1"/>
  <c r="Z37" i="1"/>
  <c r="X37" i="1"/>
  <c r="Q37" i="1"/>
  <c r="M37" i="1"/>
  <c r="P37" i="1" s="1"/>
  <c r="I37" i="1"/>
  <c r="J37" i="1" s="1"/>
  <c r="AA36" i="1"/>
  <c r="Z36" i="1"/>
  <c r="X36" i="1"/>
  <c r="Q36" i="1"/>
  <c r="P36" i="1"/>
  <c r="M36" i="1"/>
  <c r="I36" i="1"/>
  <c r="J36" i="1" s="1"/>
  <c r="AA35" i="1"/>
  <c r="Z35" i="1"/>
  <c r="X35" i="1"/>
  <c r="Q35" i="1"/>
  <c r="M35" i="1"/>
  <c r="P35" i="1" s="1"/>
  <c r="I35" i="1"/>
  <c r="J35" i="1" s="1"/>
  <c r="AA34" i="1"/>
  <c r="Z34" i="1"/>
  <c r="X34" i="1"/>
  <c r="Q34" i="1"/>
  <c r="M34" i="1"/>
  <c r="P34" i="1" s="1"/>
  <c r="I34" i="1"/>
  <c r="J34" i="1" s="1"/>
  <c r="E31" i="3" s="1"/>
  <c r="H31" i="3" s="1"/>
  <c r="AA33" i="1"/>
  <c r="Z33" i="1"/>
  <c r="X33" i="1"/>
  <c r="Q33" i="1"/>
  <c r="M33" i="1"/>
  <c r="P33" i="1" s="1"/>
  <c r="I33" i="1"/>
  <c r="J33" i="1" s="1"/>
  <c r="AA32" i="1"/>
  <c r="Z32" i="1"/>
  <c r="X32" i="1"/>
  <c r="Q32" i="1"/>
  <c r="M32" i="1"/>
  <c r="P32" i="1" s="1"/>
  <c r="I32" i="1"/>
  <c r="J32" i="1" s="1"/>
  <c r="AA31" i="1"/>
  <c r="Z31" i="1"/>
  <c r="X31" i="1"/>
  <c r="Q31" i="1"/>
  <c r="M31" i="1"/>
  <c r="P31" i="1" s="1"/>
  <c r="I31" i="1"/>
  <c r="J31" i="1" s="1"/>
  <c r="AA30" i="1"/>
  <c r="Z30" i="1"/>
  <c r="X30" i="1"/>
  <c r="Q30" i="1"/>
  <c r="M30" i="1"/>
  <c r="P30" i="1" s="1"/>
  <c r="J30" i="1"/>
  <c r="E27" i="3" s="1"/>
  <c r="G27" i="3" s="1"/>
  <c r="I30" i="1"/>
  <c r="AA29" i="1"/>
  <c r="Z29" i="1"/>
  <c r="X29" i="1"/>
  <c r="Q29" i="1"/>
  <c r="M29" i="1"/>
  <c r="P29" i="1" s="1"/>
  <c r="I29" i="1"/>
  <c r="J29" i="1" s="1"/>
  <c r="AA28" i="1"/>
  <c r="Z28" i="1"/>
  <c r="X28" i="1"/>
  <c r="Q28" i="1"/>
  <c r="P28" i="1"/>
  <c r="M28" i="1"/>
  <c r="I28" i="1"/>
  <c r="J28" i="1" s="1"/>
  <c r="AA27" i="1"/>
  <c r="Z27" i="1"/>
  <c r="X27" i="1"/>
  <c r="Q27" i="1"/>
  <c r="M27" i="1"/>
  <c r="P27" i="1" s="1"/>
  <c r="I27" i="1"/>
  <c r="J27" i="1" s="1"/>
  <c r="AA26" i="1"/>
  <c r="Z26" i="1"/>
  <c r="X26" i="1"/>
  <c r="Q26" i="1"/>
  <c r="M26" i="1"/>
  <c r="P26" i="1" s="1"/>
  <c r="I26" i="1"/>
  <c r="J26" i="1" s="1"/>
  <c r="E23" i="3" s="1"/>
  <c r="I23" i="3" s="1"/>
  <c r="AA25" i="1"/>
  <c r="Z25" i="1"/>
  <c r="X25" i="1"/>
  <c r="Q25" i="1"/>
  <c r="M25" i="1"/>
  <c r="P25" i="1" s="1"/>
  <c r="I25" i="1"/>
  <c r="J25" i="1" s="1"/>
  <c r="AA24" i="1"/>
  <c r="M24" i="1"/>
  <c r="Q24" i="1" s="1"/>
  <c r="I24" i="1"/>
  <c r="AA23" i="1"/>
  <c r="X23" i="1"/>
  <c r="M23" i="1"/>
  <c r="Q23" i="1" s="1"/>
  <c r="Z23" i="1" s="1"/>
  <c r="J23" i="1"/>
  <c r="E20" i="3" s="1"/>
  <c r="I23" i="1"/>
  <c r="AA22" i="1"/>
  <c r="M22" i="1"/>
  <c r="Q22" i="1" s="1"/>
  <c r="I22" i="1"/>
  <c r="AA21" i="1"/>
  <c r="M21" i="1"/>
  <c r="Q21" i="1" s="1"/>
  <c r="Z21" i="1" s="1"/>
  <c r="I21" i="1"/>
  <c r="AA20" i="1"/>
  <c r="Z20" i="1"/>
  <c r="Q20" i="1"/>
  <c r="P20" i="1"/>
  <c r="M20" i="1"/>
  <c r="I20" i="1"/>
  <c r="X20" i="1" s="1"/>
  <c r="AA19" i="1"/>
  <c r="Z19" i="1"/>
  <c r="Q19" i="1"/>
  <c r="M19" i="1"/>
  <c r="P19" i="1" s="1"/>
  <c r="I19" i="1"/>
  <c r="AA18" i="1"/>
  <c r="M18" i="1"/>
  <c r="P18" i="1" s="1"/>
  <c r="I18" i="1"/>
  <c r="J18" i="1" s="1"/>
  <c r="E15" i="3" s="1"/>
  <c r="AA17" i="1"/>
  <c r="X17" i="1"/>
  <c r="M17" i="1"/>
  <c r="Q17" i="1" s="1"/>
  <c r="I17" i="1"/>
  <c r="AA16" i="1"/>
  <c r="M16" i="1"/>
  <c r="P16" i="1" s="1"/>
  <c r="I16" i="1"/>
  <c r="AA15" i="1"/>
  <c r="M15" i="1"/>
  <c r="P15" i="1" s="1"/>
  <c r="I15" i="1"/>
  <c r="AA14" i="1"/>
  <c r="Z14" i="1"/>
  <c r="Q14" i="1"/>
  <c r="M14" i="1"/>
  <c r="P14" i="1" s="1"/>
  <c r="I14" i="1"/>
  <c r="AA13" i="1"/>
  <c r="M13" i="1"/>
  <c r="P13" i="1" s="1"/>
  <c r="I13" i="1"/>
  <c r="AA12" i="1"/>
  <c r="M12" i="1"/>
  <c r="P12" i="1" s="1"/>
  <c r="I12" i="1"/>
  <c r="AA11" i="1"/>
  <c r="M11" i="1"/>
  <c r="Q11" i="1" s="1"/>
  <c r="I11" i="1"/>
  <c r="J11" i="1" s="1"/>
  <c r="E8" i="3" s="1"/>
  <c r="Z8" i="1"/>
  <c r="Y8" i="1"/>
  <c r="X8" i="1"/>
  <c r="P7" i="1"/>
  <c r="M7" i="1"/>
  <c r="I4" i="1"/>
  <c r="F4" i="1"/>
  <c r="F11" i="2" l="1"/>
  <c r="C17" i="2"/>
  <c r="C16" i="2"/>
  <c r="G43" i="3"/>
  <c r="Q13" i="1"/>
  <c r="Z13" i="1" s="1"/>
  <c r="H15" i="3"/>
  <c r="F10" i="3"/>
  <c r="F11" i="3"/>
  <c r="E76" i="3"/>
  <c r="U79" i="1"/>
  <c r="J76" i="3" s="1"/>
  <c r="E84" i="3"/>
  <c r="H84" i="3" s="1"/>
  <c r="U87" i="1"/>
  <c r="J84" i="3" s="1"/>
  <c r="E92" i="3"/>
  <c r="H92" i="3" s="1"/>
  <c r="U95" i="1"/>
  <c r="J92" i="3" s="1"/>
  <c r="E72" i="3"/>
  <c r="I72" i="3" s="1"/>
  <c r="U75" i="1"/>
  <c r="J72" i="3" s="1"/>
  <c r="E80" i="3"/>
  <c r="H80" i="3" s="1"/>
  <c r="U83" i="1"/>
  <c r="J80" i="3" s="1"/>
  <c r="E88" i="3"/>
  <c r="H88" i="3" s="1"/>
  <c r="U91" i="1"/>
  <c r="J88" i="3" s="1"/>
  <c r="E96" i="3"/>
  <c r="H96" i="3" s="1"/>
  <c r="U99" i="1"/>
  <c r="J96" i="3" s="1"/>
  <c r="E104" i="3"/>
  <c r="H104" i="3" s="1"/>
  <c r="U107" i="1"/>
  <c r="J104" i="3" s="1"/>
  <c r="E107" i="3"/>
  <c r="H107" i="3" s="1"/>
  <c r="U110" i="1"/>
  <c r="J107" i="3" s="1"/>
  <c r="E100" i="3"/>
  <c r="H100" i="3" s="1"/>
  <c r="U103" i="1"/>
  <c r="J100" i="3" s="1"/>
  <c r="E85" i="3"/>
  <c r="F9" i="3"/>
  <c r="J14" i="1"/>
  <c r="E11" i="3" s="1"/>
  <c r="I11" i="3" s="1"/>
  <c r="Q15" i="1"/>
  <c r="X18" i="1"/>
  <c r="F19" i="3"/>
  <c r="F20" i="3"/>
  <c r="U77" i="1"/>
  <c r="J74" i="3" s="1"/>
  <c r="U85" i="1"/>
  <c r="J82" i="3" s="1"/>
  <c r="U93" i="1"/>
  <c r="J90" i="3" s="1"/>
  <c r="U101" i="1"/>
  <c r="J98" i="3" s="1"/>
  <c r="E97" i="3"/>
  <c r="I97" i="3" s="1"/>
  <c r="X14" i="1"/>
  <c r="F14" i="3"/>
  <c r="F18" i="3"/>
  <c r="F21" i="3"/>
  <c r="X11" i="1"/>
  <c r="F12" i="3"/>
  <c r="F13" i="3"/>
  <c r="F16" i="3"/>
  <c r="P22" i="1"/>
  <c r="U81" i="1"/>
  <c r="J78" i="3" s="1"/>
  <c r="U89" i="1"/>
  <c r="J86" i="3" s="1"/>
  <c r="U97" i="1"/>
  <c r="J94" i="3" s="1"/>
  <c r="U105" i="1"/>
  <c r="J102" i="3" s="1"/>
  <c r="E25" i="3"/>
  <c r="U28" i="1"/>
  <c r="J25" i="3" s="1"/>
  <c r="U31" i="1"/>
  <c r="J28" i="3" s="1"/>
  <c r="E28" i="3"/>
  <c r="E33" i="3"/>
  <c r="G33" i="3" s="1"/>
  <c r="U36" i="1"/>
  <c r="J33" i="3" s="1"/>
  <c r="U39" i="1"/>
  <c r="J36" i="3" s="1"/>
  <c r="E36" i="3"/>
  <c r="E22" i="3"/>
  <c r="U25" i="1"/>
  <c r="J22" i="3" s="1"/>
  <c r="E38" i="3"/>
  <c r="G38" i="3" s="1"/>
  <c r="U41" i="1"/>
  <c r="J38" i="3" s="1"/>
  <c r="E47" i="3"/>
  <c r="U50" i="1"/>
  <c r="J47" i="3" s="1"/>
  <c r="E50" i="3"/>
  <c r="G50" i="3" s="1"/>
  <c r="U53" i="1"/>
  <c r="J50" i="3" s="1"/>
  <c r="E54" i="3"/>
  <c r="U57" i="1"/>
  <c r="J54" i="3" s="1"/>
  <c r="E63" i="3"/>
  <c r="I63" i="3" s="1"/>
  <c r="U66" i="1"/>
  <c r="J63" i="3" s="1"/>
  <c r="E66" i="3"/>
  <c r="U69" i="1"/>
  <c r="J66" i="3" s="1"/>
  <c r="E70" i="3"/>
  <c r="G70" i="3" s="1"/>
  <c r="U73" i="1"/>
  <c r="J70" i="3" s="1"/>
  <c r="E30" i="3"/>
  <c r="U33" i="1"/>
  <c r="J30" i="3" s="1"/>
  <c r="E24" i="3"/>
  <c r="H24" i="3" s="1"/>
  <c r="U27" i="1"/>
  <c r="J24" i="3" s="1"/>
  <c r="E29" i="3"/>
  <c r="G29" i="3" s="1"/>
  <c r="U32" i="1"/>
  <c r="J29" i="3" s="1"/>
  <c r="E32" i="3"/>
  <c r="G32" i="3" s="1"/>
  <c r="U35" i="1"/>
  <c r="J32" i="3" s="1"/>
  <c r="E37" i="3"/>
  <c r="G37" i="3" s="1"/>
  <c r="U40" i="1"/>
  <c r="J37" i="3" s="1"/>
  <c r="E26" i="3"/>
  <c r="H26" i="3" s="1"/>
  <c r="U29" i="1"/>
  <c r="J26" i="3" s="1"/>
  <c r="E34" i="3"/>
  <c r="U37" i="1"/>
  <c r="J34" i="3" s="1"/>
  <c r="E39" i="3"/>
  <c r="H39" i="3" s="1"/>
  <c r="U42" i="1"/>
  <c r="J39" i="3" s="1"/>
  <c r="E46" i="3"/>
  <c r="U49" i="1"/>
  <c r="J46" i="3" s="1"/>
  <c r="E51" i="3"/>
  <c r="G51" i="3" s="1"/>
  <c r="U54" i="1"/>
  <c r="J51" i="3" s="1"/>
  <c r="E55" i="3"/>
  <c r="G55" i="3" s="1"/>
  <c r="U58" i="1"/>
  <c r="J55" i="3" s="1"/>
  <c r="E62" i="3"/>
  <c r="G62" i="3" s="1"/>
  <c r="U65" i="1"/>
  <c r="J62" i="3" s="1"/>
  <c r="E68" i="3"/>
  <c r="U71" i="1"/>
  <c r="J68" i="3" s="1"/>
  <c r="X16" i="1"/>
  <c r="X24" i="1"/>
  <c r="U38" i="1"/>
  <c r="J35" i="3" s="1"/>
  <c r="U48" i="1"/>
  <c r="J45" i="3" s="1"/>
  <c r="U62" i="1"/>
  <c r="J59" i="3" s="1"/>
  <c r="E60" i="3"/>
  <c r="U63" i="1"/>
  <c r="J60" i="3" s="1"/>
  <c r="U64" i="1"/>
  <c r="J61" i="3" s="1"/>
  <c r="F8" i="3"/>
  <c r="I47" i="3"/>
  <c r="G47" i="3"/>
  <c r="F47" i="3"/>
  <c r="E52" i="3"/>
  <c r="G52" i="3" s="1"/>
  <c r="I58" i="3"/>
  <c r="H85" i="3"/>
  <c r="I85" i="3"/>
  <c r="F99" i="3"/>
  <c r="U26" i="1"/>
  <c r="J23" i="3" s="1"/>
  <c r="U30" i="1"/>
  <c r="J27" i="3" s="1"/>
  <c r="J15" i="1"/>
  <c r="E12" i="3" s="1"/>
  <c r="I12" i="3" s="1"/>
  <c r="J16" i="1"/>
  <c r="E13" i="3" s="1"/>
  <c r="H13" i="3" s="1"/>
  <c r="U52" i="1"/>
  <c r="J49" i="3" s="1"/>
  <c r="I22" i="3"/>
  <c r="I24" i="3"/>
  <c r="I55" i="3"/>
  <c r="F55" i="3"/>
  <c r="G58" i="3"/>
  <c r="I75" i="3"/>
  <c r="F75" i="3"/>
  <c r="U34" i="1"/>
  <c r="J31" i="3" s="1"/>
  <c r="U46" i="1"/>
  <c r="J43" i="3" s="1"/>
  <c r="I15" i="3"/>
  <c r="P21" i="1"/>
  <c r="X22" i="1"/>
  <c r="E48" i="3"/>
  <c r="U51" i="1"/>
  <c r="J48" i="3" s="1"/>
  <c r="E64" i="3"/>
  <c r="U67" i="1"/>
  <c r="J64" i="3" s="1"/>
  <c r="U68" i="1"/>
  <c r="J65" i="3" s="1"/>
  <c r="Q12" i="1"/>
  <c r="Z12" i="1" s="1"/>
  <c r="J13" i="1"/>
  <c r="E10" i="3" s="1"/>
  <c r="I10" i="3" s="1"/>
  <c r="Z15" i="1"/>
  <c r="X19" i="1"/>
  <c r="J20" i="1"/>
  <c r="J22" i="1"/>
  <c r="E19" i="3" s="1"/>
  <c r="I19" i="3" s="1"/>
  <c r="P23" i="1"/>
  <c r="I20" i="3" s="1"/>
  <c r="U56" i="1"/>
  <c r="J53" i="3" s="1"/>
  <c r="E67" i="3"/>
  <c r="U70" i="1"/>
  <c r="J67" i="3" s="1"/>
  <c r="E69" i="3"/>
  <c r="U72" i="1"/>
  <c r="J69" i="3" s="1"/>
  <c r="E71" i="3"/>
  <c r="U74" i="1"/>
  <c r="J71" i="3" s="1"/>
  <c r="H74" i="3"/>
  <c r="I74" i="3"/>
  <c r="E75" i="3"/>
  <c r="H75" i="3" s="1"/>
  <c r="U78" i="1"/>
  <c r="J75" i="3" s="1"/>
  <c r="E77" i="3"/>
  <c r="U80" i="1"/>
  <c r="J77" i="3" s="1"/>
  <c r="I78" i="3"/>
  <c r="H78" i="3"/>
  <c r="E79" i="3"/>
  <c r="U82" i="1"/>
  <c r="J79" i="3" s="1"/>
  <c r="E81" i="3"/>
  <c r="G81" i="3" s="1"/>
  <c r="U84" i="1"/>
  <c r="J81" i="3" s="1"/>
  <c r="I82" i="3"/>
  <c r="H82" i="3"/>
  <c r="E83" i="3"/>
  <c r="G83" i="3" s="1"/>
  <c r="U86" i="1"/>
  <c r="J83" i="3" s="1"/>
  <c r="I86" i="3"/>
  <c r="H86" i="3"/>
  <c r="E87" i="3"/>
  <c r="I87" i="3" s="1"/>
  <c r="U90" i="1"/>
  <c r="J87" i="3" s="1"/>
  <c r="E89" i="3"/>
  <c r="I89" i="3" s="1"/>
  <c r="U92" i="1"/>
  <c r="J89" i="3" s="1"/>
  <c r="I90" i="3"/>
  <c r="H90" i="3"/>
  <c r="E91" i="3"/>
  <c r="G91" i="3" s="1"/>
  <c r="U94" i="1"/>
  <c r="J91" i="3" s="1"/>
  <c r="I94" i="3"/>
  <c r="H94" i="3"/>
  <c r="E95" i="3"/>
  <c r="U98" i="1"/>
  <c r="J95" i="3" s="1"/>
  <c r="I98" i="3"/>
  <c r="H98" i="3"/>
  <c r="E99" i="3"/>
  <c r="I99" i="3" s="1"/>
  <c r="U102" i="1"/>
  <c r="J99" i="3" s="1"/>
  <c r="E101" i="3"/>
  <c r="I101" i="3" s="1"/>
  <c r="U104" i="1"/>
  <c r="J101" i="3" s="1"/>
  <c r="I102" i="3"/>
  <c r="H102" i="3"/>
  <c r="E103" i="3"/>
  <c r="G103" i="3" s="1"/>
  <c r="U106" i="1"/>
  <c r="J103" i="3" s="1"/>
  <c r="E105" i="3"/>
  <c r="I105" i="3" s="1"/>
  <c r="U108" i="1"/>
  <c r="J105" i="3" s="1"/>
  <c r="H8" i="3"/>
  <c r="F15" i="3"/>
  <c r="F17" i="3"/>
  <c r="H23" i="3"/>
  <c r="I31" i="3"/>
  <c r="G31" i="3"/>
  <c r="F31" i="3"/>
  <c r="H47" i="3"/>
  <c r="F68" i="3"/>
  <c r="I68" i="3"/>
  <c r="H68" i="3"/>
  <c r="G68" i="3"/>
  <c r="E73" i="3"/>
  <c r="G92" i="3"/>
  <c r="E93" i="3"/>
  <c r="I93" i="3" s="1"/>
  <c r="U23" i="1"/>
  <c r="J20" i="3" s="1"/>
  <c r="I42" i="3"/>
  <c r="H42" i="3"/>
  <c r="X13" i="1"/>
  <c r="X15" i="1"/>
  <c r="J19" i="1"/>
  <c r="J24" i="1"/>
  <c r="E21" i="3" s="1"/>
  <c r="H21" i="3" s="1"/>
  <c r="J12" i="1"/>
  <c r="E9" i="3" s="1"/>
  <c r="X12" i="1"/>
  <c r="Q16" i="1"/>
  <c r="J17" i="1"/>
  <c r="E14" i="3" s="1"/>
  <c r="H14" i="3" s="1"/>
  <c r="J21" i="1"/>
  <c r="E18" i="3" s="1"/>
  <c r="H18" i="3" s="1"/>
  <c r="X21" i="1"/>
  <c r="P24" i="1"/>
  <c r="I21" i="3" s="1"/>
  <c r="E40" i="3"/>
  <c r="G40" i="3" s="1"/>
  <c r="U43" i="1"/>
  <c r="J40" i="3" s="1"/>
  <c r="U44" i="1"/>
  <c r="J41" i="3" s="1"/>
  <c r="U45" i="1"/>
  <c r="J42" i="3" s="1"/>
  <c r="E56" i="3"/>
  <c r="G56" i="3" s="1"/>
  <c r="U59" i="1"/>
  <c r="J56" i="3" s="1"/>
  <c r="U60" i="1"/>
  <c r="J57" i="3" s="1"/>
  <c r="U61" i="1"/>
  <c r="J58" i="3" s="1"/>
  <c r="H20" i="3"/>
  <c r="G23" i="3"/>
  <c r="G25" i="3"/>
  <c r="G39" i="3"/>
  <c r="F39" i="3"/>
  <c r="E44" i="3"/>
  <c r="H55" i="3"/>
  <c r="F87" i="3"/>
  <c r="G87" i="3"/>
  <c r="G11" i="3"/>
  <c r="G20" i="3"/>
  <c r="G22" i="3"/>
  <c r="G26" i="3"/>
  <c r="I33" i="3"/>
  <c r="H33" i="3"/>
  <c r="G34" i="3"/>
  <c r="I41" i="3"/>
  <c r="H41" i="3"/>
  <c r="G42" i="3"/>
  <c r="I49" i="3"/>
  <c r="H49" i="3"/>
  <c r="I57" i="3"/>
  <c r="F57" i="3"/>
  <c r="F61" i="3"/>
  <c r="I61" i="3"/>
  <c r="G61" i="3"/>
  <c r="F65" i="3"/>
  <c r="I65" i="3"/>
  <c r="G65" i="3"/>
  <c r="F72" i="3"/>
  <c r="G72" i="3"/>
  <c r="F79" i="3"/>
  <c r="I79" i="3"/>
  <c r="H79" i="3"/>
  <c r="G79" i="3"/>
  <c r="G84" i="3"/>
  <c r="G86" i="3"/>
  <c r="G98" i="3"/>
  <c r="H105" i="3"/>
  <c r="H11" i="3"/>
  <c r="H22" i="3"/>
  <c r="I27" i="3"/>
  <c r="H27" i="3"/>
  <c r="G28" i="3"/>
  <c r="I35" i="3"/>
  <c r="H35" i="3"/>
  <c r="G36" i="3"/>
  <c r="I43" i="3"/>
  <c r="H43" i="3"/>
  <c r="H51" i="3"/>
  <c r="G60" i="3"/>
  <c r="I67" i="3"/>
  <c r="H67" i="3"/>
  <c r="G67" i="3"/>
  <c r="F67" i="3"/>
  <c r="G76" i="3"/>
  <c r="F76" i="3"/>
  <c r="I76" i="3"/>
  <c r="H76" i="3"/>
  <c r="G78" i="3"/>
  <c r="G102" i="3"/>
  <c r="I106" i="3"/>
  <c r="H106" i="3"/>
  <c r="U109" i="1"/>
  <c r="J106" i="3" s="1"/>
  <c r="I29" i="3"/>
  <c r="H29" i="3"/>
  <c r="G30" i="3"/>
  <c r="F33" i="3"/>
  <c r="I37" i="3"/>
  <c r="H37" i="3"/>
  <c r="F41" i="3"/>
  <c r="I45" i="3"/>
  <c r="H45" i="3"/>
  <c r="G46" i="3"/>
  <c r="F49" i="3"/>
  <c r="I53" i="3"/>
  <c r="H53" i="3"/>
  <c r="G54" i="3"/>
  <c r="G57" i="3"/>
  <c r="I59" i="3"/>
  <c r="H59" i="3"/>
  <c r="H61" i="3"/>
  <c r="G64" i="3"/>
  <c r="H65" i="3"/>
  <c r="I71" i="3"/>
  <c r="H71" i="3"/>
  <c r="G71" i="3"/>
  <c r="F71" i="3"/>
  <c r="H89" i="3"/>
  <c r="F95" i="3"/>
  <c r="I95" i="3"/>
  <c r="H95" i="3"/>
  <c r="G95" i="3"/>
  <c r="G107" i="3"/>
  <c r="G77" i="3"/>
  <c r="G80" i="3"/>
  <c r="F83" i="3"/>
  <c r="I83" i="3"/>
  <c r="H83" i="3"/>
  <c r="G85" i="3"/>
  <c r="F91" i="3"/>
  <c r="I91" i="3"/>
  <c r="H91" i="3"/>
  <c r="G94" i="3"/>
  <c r="G100" i="3"/>
  <c r="F63" i="3"/>
  <c r="G66" i="3"/>
  <c r="G69" i="3"/>
  <c r="G73" i="3"/>
  <c r="G74" i="3"/>
  <c r="G82" i="3"/>
  <c r="G90" i="3"/>
  <c r="H93" i="3"/>
  <c r="G96" i="3"/>
  <c r="F103" i="3"/>
  <c r="H103" i="3"/>
  <c r="G106" i="3"/>
  <c r="F69" i="3"/>
  <c r="F73" i="3"/>
  <c r="F77" i="3"/>
  <c r="I80" i="3"/>
  <c r="F81" i="3"/>
  <c r="F85" i="3"/>
  <c r="I88" i="3"/>
  <c r="F89" i="3"/>
  <c r="I92" i="3"/>
  <c r="F93" i="3"/>
  <c r="I96" i="3"/>
  <c r="F97" i="3"/>
  <c r="F101" i="3"/>
  <c r="I104" i="3"/>
  <c r="F105" i="3"/>
  <c r="I107" i="3"/>
  <c r="G11" i="2"/>
  <c r="C18" i="2" s="1"/>
  <c r="F80" i="3"/>
  <c r="F84" i="3"/>
  <c r="F88" i="3"/>
  <c r="G89" i="3"/>
  <c r="G93" i="3"/>
  <c r="G101" i="3"/>
  <c r="G105" i="3"/>
  <c r="U11" i="1"/>
  <c r="J8" i="3" s="1"/>
  <c r="G8" i="3"/>
  <c r="Z11" i="1"/>
  <c r="P11" i="1"/>
  <c r="I8" i="3" s="1"/>
  <c r="Z16" i="1"/>
  <c r="U17" i="1"/>
  <c r="J14" i="3" s="1"/>
  <c r="G14" i="3"/>
  <c r="Z17" i="1"/>
  <c r="P17" i="1"/>
  <c r="I14" i="3" s="1"/>
  <c r="Q18" i="1"/>
  <c r="Z22" i="1"/>
  <c r="G21" i="3"/>
  <c r="Z24" i="1"/>
  <c r="U24" i="1"/>
  <c r="J21" i="3" s="1"/>
  <c r="U13" i="1"/>
  <c r="J10" i="3" s="1"/>
  <c r="G10" i="3"/>
  <c r="G9" i="3" l="1"/>
  <c r="U12" i="1"/>
  <c r="J9" i="3" s="1"/>
  <c r="I100" i="3"/>
  <c r="I84" i="3"/>
  <c r="I103" i="3"/>
  <c r="G88" i="3"/>
  <c r="G104" i="3"/>
  <c r="H72" i="3"/>
  <c r="H87" i="3"/>
  <c r="U14" i="1"/>
  <c r="J11" i="3" s="1"/>
  <c r="G12" i="3"/>
  <c r="U21" i="1"/>
  <c r="J18" i="3" s="1"/>
  <c r="I51" i="3"/>
  <c r="G24" i="3"/>
  <c r="I39" i="3"/>
  <c r="H19" i="3"/>
  <c r="U16" i="1"/>
  <c r="J13" i="3" s="1"/>
  <c r="H97" i="3"/>
  <c r="U22" i="1"/>
  <c r="J19" i="3" s="1"/>
  <c r="G18" i="3"/>
  <c r="I26" i="3"/>
  <c r="G13" i="3"/>
  <c r="H10" i="3"/>
  <c r="G19" i="3"/>
  <c r="G97" i="3"/>
  <c r="I13" i="3"/>
  <c r="H101" i="3"/>
  <c r="I52" i="3"/>
  <c r="H52" i="3"/>
  <c r="H12" i="3"/>
  <c r="H60" i="3"/>
  <c r="I60" i="3"/>
  <c r="I9" i="3"/>
  <c r="H70" i="3"/>
  <c r="I70" i="3"/>
  <c r="G63" i="3"/>
  <c r="H63" i="3"/>
  <c r="I50" i="3"/>
  <c r="H50" i="3"/>
  <c r="H38" i="3"/>
  <c r="I38" i="3"/>
  <c r="I44" i="3"/>
  <c r="H44" i="3"/>
  <c r="I56" i="3"/>
  <c r="H56" i="3"/>
  <c r="I40" i="3"/>
  <c r="H40" i="3"/>
  <c r="H77" i="3"/>
  <c r="I77" i="3"/>
  <c r="I69" i="3"/>
  <c r="H69" i="3"/>
  <c r="I48" i="3"/>
  <c r="H48" i="3"/>
  <c r="G48" i="3"/>
  <c r="G99" i="3"/>
  <c r="H46" i="3"/>
  <c r="I46" i="3"/>
  <c r="I34" i="3"/>
  <c r="H34" i="3"/>
  <c r="G44" i="3"/>
  <c r="M9" i="2"/>
  <c r="G75" i="3"/>
  <c r="H9" i="3"/>
  <c r="H99" i="3"/>
  <c r="H30" i="3"/>
  <c r="I30" i="3"/>
  <c r="H66" i="3"/>
  <c r="I66" i="3"/>
  <c r="H54" i="3"/>
  <c r="I54" i="3"/>
  <c r="I25" i="3"/>
  <c r="H25" i="3"/>
  <c r="E16" i="3"/>
  <c r="U19" i="1"/>
  <c r="J16" i="3" s="1"/>
  <c r="I73" i="3"/>
  <c r="H73" i="3"/>
  <c r="H81" i="3"/>
  <c r="I81" i="3"/>
  <c r="E17" i="3"/>
  <c r="U20" i="1"/>
  <c r="J17" i="3" s="1"/>
  <c r="H64" i="3"/>
  <c r="I64" i="3"/>
  <c r="I18" i="3"/>
  <c r="N9" i="2" s="1"/>
  <c r="U15" i="1"/>
  <c r="J12" i="3" s="1"/>
  <c r="H62" i="3"/>
  <c r="I62" i="3"/>
  <c r="H9" i="2"/>
  <c r="D17" i="2" s="1"/>
  <c r="I32" i="3"/>
  <c r="H32" i="3"/>
  <c r="I36" i="3"/>
  <c r="H36" i="3"/>
  <c r="I28" i="3"/>
  <c r="H28" i="3"/>
  <c r="Z18" i="1"/>
  <c r="U18" i="1"/>
  <c r="J15" i="3" s="1"/>
  <c r="Q9" i="2" s="1"/>
  <c r="J17" i="2" s="1"/>
  <c r="G15" i="3"/>
  <c r="L9" i="2"/>
  <c r="R8" i="2" l="1"/>
  <c r="K16" i="2" s="1"/>
  <c r="R9" i="2"/>
  <c r="K17" i="2" s="1"/>
  <c r="K9" i="2"/>
  <c r="G17" i="2" s="1"/>
  <c r="O9" i="2"/>
  <c r="H17" i="2" s="1"/>
  <c r="O8" i="2"/>
  <c r="I17" i="3"/>
  <c r="G17" i="3"/>
  <c r="H17" i="3"/>
  <c r="Q8" i="2"/>
  <c r="J16" i="2" s="1"/>
  <c r="P8" i="2"/>
  <c r="I16" i="2" s="1"/>
  <c r="I16" i="3"/>
  <c r="N8" i="2" s="1"/>
  <c r="N11" i="2" s="1"/>
  <c r="H16" i="3"/>
  <c r="M8" i="2" s="1"/>
  <c r="M11" i="2" s="1"/>
  <c r="G16" i="3"/>
  <c r="L8" i="2" s="1"/>
  <c r="L11" i="2" s="1"/>
  <c r="I9" i="2"/>
  <c r="E17" i="2" s="1"/>
  <c r="H8" i="2"/>
  <c r="I8" i="2"/>
  <c r="J8" i="2"/>
  <c r="K8" i="2"/>
  <c r="J9" i="2"/>
  <c r="F17" i="2" s="1"/>
  <c r="S9" i="2"/>
  <c r="L17" i="2" s="1"/>
  <c r="S8" i="2"/>
  <c r="P9" i="2"/>
  <c r="I17" i="2" s="1"/>
  <c r="H16" i="2"/>
  <c r="Q11" i="2" l="1"/>
  <c r="J18" i="2" s="1"/>
  <c r="R11" i="2"/>
  <c r="K18" i="2" s="1"/>
  <c r="O11" i="2"/>
  <c r="H18" i="2" s="1"/>
  <c r="S11" i="2"/>
  <c r="L18" i="2" s="1"/>
  <c r="I11" i="2"/>
  <c r="E18" i="2" s="1"/>
  <c r="E16" i="2"/>
  <c r="H11" i="2"/>
  <c r="D18" i="2" s="1"/>
  <c r="D16" i="2"/>
  <c r="G16" i="2"/>
  <c r="K11" i="2"/>
  <c r="G18" i="2" s="1"/>
  <c r="F16" i="2"/>
  <c r="J11" i="2"/>
  <c r="F18" i="2" s="1"/>
  <c r="P11" i="2"/>
  <c r="I18" i="2" s="1"/>
  <c r="L16" i="2"/>
</calcChain>
</file>

<file path=xl/sharedStrings.xml><?xml version="1.0" encoding="utf-8"?>
<sst xmlns="http://schemas.openxmlformats.org/spreadsheetml/2006/main" count="301" uniqueCount="206">
  <si>
    <t>CRLA3v3</t>
  </si>
  <si>
    <t xml:space="preserve"> </t>
  </si>
  <si>
    <t>ASSESSMENT TYPE</t>
  </si>
  <si>
    <t>EoSY</t>
  </si>
  <si>
    <t>School ID:</t>
  </si>
  <si>
    <t>Total Enrolment</t>
  </si>
  <si>
    <t>Total Assessed :</t>
  </si>
  <si>
    <t>Schoo Name:</t>
  </si>
  <si>
    <t>ROMANA ELEMENTARY SCHOOL</t>
  </si>
  <si>
    <t>Male</t>
  </si>
  <si>
    <t>Female</t>
  </si>
  <si>
    <t>Assessment Part 1
(Letter Sounds,  Rhyming Words and Sentences Reading)</t>
  </si>
  <si>
    <r>
      <rPr>
        <b/>
        <sz val="9"/>
        <color theme="1"/>
        <rFont val="Calibri"/>
        <charset val="134"/>
        <scheme val="minor"/>
      </rPr>
      <t xml:space="preserve">RHYME SCORE 
</t>
    </r>
    <r>
      <rPr>
        <sz val="9"/>
        <color theme="1"/>
        <rFont val="Calibri"/>
        <charset val="134"/>
        <scheme val="minor"/>
      </rPr>
      <t xml:space="preserve">0 to 10 – Full Refresher
11 to 16 – Moderate Refresher
</t>
    </r>
    <r>
      <rPr>
        <b/>
        <sz val="9"/>
        <color theme="1"/>
        <rFont val="Calibri"/>
        <charset val="134"/>
        <scheme val="minor"/>
      </rPr>
      <t xml:space="preserve">SENTENCE SCORE </t>
    </r>
    <r>
      <rPr>
        <sz val="9"/>
        <color theme="1"/>
        <rFont val="Calibri"/>
        <charset val="134"/>
        <scheme val="minor"/>
      </rPr>
      <t xml:space="preserve">
17 to 26 – Light Refresher
27 to 30 – Grade Ready</t>
    </r>
  </si>
  <si>
    <t>Asssessment Part 2
 (Reading Fluency and Comprehension)</t>
  </si>
  <si>
    <t>Teacher:</t>
  </si>
  <si>
    <t>MARIAN GRACE D. DE LA TORRE</t>
  </si>
  <si>
    <t>Grade:</t>
  </si>
  <si>
    <t>Grade 1</t>
  </si>
  <si>
    <t>Total Words per Story</t>
  </si>
  <si>
    <t>Task 1 – Write the number of letters sounded out correctly</t>
  </si>
  <si>
    <t>Rhymes 
(Task 2) 
If task 1 score is 0 to 6</t>
  </si>
  <si>
    <t>Sentence
 (Task 2) 
If task 1 score is 7 to 10
Task 2L=10</t>
  </si>
  <si>
    <t>Total Score = Task 1 Score + Task 2L+Task 2H Score</t>
  </si>
  <si>
    <t>Total Words Per Story</t>
  </si>
  <si>
    <t>Story 1</t>
  </si>
  <si>
    <t>Story 2</t>
  </si>
  <si>
    <t>Section:</t>
  </si>
  <si>
    <t>Story Number 
1 or 2</t>
  </si>
  <si>
    <t>Total Reading Miscues</t>
  </si>
  <si>
    <t>Number of Words Read within 1 min</t>
  </si>
  <si>
    <t>Total Time Used in Reading 
(Max : 1 Min)</t>
  </si>
  <si>
    <t>Number of Words per Minute (WPM)</t>
  </si>
  <si>
    <t>Language:</t>
  </si>
  <si>
    <t>Hiligaynon</t>
  </si>
  <si>
    <t>S/N</t>
  </si>
  <si>
    <t>LRN</t>
  </si>
  <si>
    <t>Name of Learner</t>
  </si>
  <si>
    <t>Sex</t>
  </si>
  <si>
    <t>Date of Asessment</t>
  </si>
  <si>
    <t>Task 1 
(10)</t>
  </si>
  <si>
    <t>Task 2L
Rymes
(10)</t>
  </si>
  <si>
    <t>Task 2H
Sentences
(10)</t>
  </si>
  <si>
    <t>Total Score</t>
  </si>
  <si>
    <t xml:space="preserve"> Assessment Part 1
 Reading Level</t>
  </si>
  <si>
    <t>Story Number</t>
  </si>
  <si>
    <t>Number of Miscue</t>
  </si>
  <si>
    <t>Words Read</t>
  </si>
  <si>
    <t>Total 
Mins    Secs</t>
  </si>
  <si>
    <t>WPM</t>
  </si>
  <si>
    <t>% of Correct Words Read</t>
  </si>
  <si>
    <t>Total Correct Answer</t>
  </si>
  <si>
    <t>Leaner Experience
(Rating 1-5)</t>
  </si>
  <si>
    <t>Observation Level</t>
  </si>
  <si>
    <t>LEARNER READING PROFILE</t>
  </si>
  <si>
    <t>Remarks</t>
  </si>
  <si>
    <t>Task 1</t>
  </si>
  <si>
    <t>Task 3</t>
  </si>
  <si>
    <t>Task 4</t>
  </si>
  <si>
    <t>CARDINAL,CIAN, DEMIAR</t>
  </si>
  <si>
    <t>Level 1</t>
  </si>
  <si>
    <t>CARDINAL,REY ROES, PANGANTIHON</t>
  </si>
  <si>
    <t>Level 3</t>
  </si>
  <si>
    <t>FRANTE,ARK JAY, CABALLERO</t>
  </si>
  <si>
    <t>GANCIA,JELLO, GIER</t>
  </si>
  <si>
    <t>GANCIA, RHAYCO, NARCISO</t>
  </si>
  <si>
    <t>GARDOSE,KIETH DION, CADUCOY</t>
  </si>
  <si>
    <t>GILUA,ARON JAMES, SUNDAYON</t>
  </si>
  <si>
    <t>Level 2</t>
  </si>
  <si>
    <t>LABANZA,DAVID RHON, PALACIO</t>
  </si>
  <si>
    <t>LABANZA,JAY-K, NOBLE</t>
  </si>
  <si>
    <t>LANGYON,JOHN KENNETH, ESTOCADA</t>
  </si>
  <si>
    <t>ESLANA,SHANEL, JACOMILLA</t>
  </si>
  <si>
    <t>JUMBAS,JHANEZZA KAYE, ARCENAL</t>
  </si>
  <si>
    <t>LLAGOSO,PAULA JADE, RICABO</t>
  </si>
  <si>
    <t>Level 4</t>
  </si>
  <si>
    <t>MESIAS, SAVINNAH DOMINIQUE, GARDOSE</t>
  </si>
  <si>
    <t>School:</t>
  </si>
  <si>
    <t>GRADE 1 Reading Assessment CLASS RECORD</t>
  </si>
  <si>
    <t>Assessment Part 1</t>
  </si>
  <si>
    <t>Assessment Part 2</t>
  </si>
  <si>
    <t>READING PROFILE</t>
  </si>
  <si>
    <t>Assessment Part 1 
Level</t>
  </si>
  <si>
    <t>% of Total Score</t>
  </si>
  <si>
    <t xml:space="preserve">Reading Fluency </t>
  </si>
  <si>
    <t>Reading Comprehension</t>
  </si>
  <si>
    <t>Average Word Per Minute</t>
  </si>
  <si>
    <t>REMARKS</t>
  </si>
  <si>
    <t>CRLA3v1</t>
  </si>
  <si>
    <t>GRADE 1 Assessment Scoresheet (CLASS SUMMARY)</t>
  </si>
  <si>
    <t>SCHOOL ID :</t>
  </si>
  <si>
    <t>SCHOOL NAME:</t>
  </si>
  <si>
    <t>Grade</t>
  </si>
  <si>
    <t>Language</t>
  </si>
  <si>
    <t>Number of Learners Enrolled</t>
  </si>
  <si>
    <t>Number of Learners Assessed</t>
  </si>
  <si>
    <t>Assessment Part 1 Level</t>
  </si>
  <si>
    <t>Assessment Part 2 Average Score</t>
  </si>
  <si>
    <t>Section</t>
  </si>
  <si>
    <t>Teacher</t>
  </si>
  <si>
    <t>Full Refresher</t>
  </si>
  <si>
    <t>Moderate Refresher</t>
  </si>
  <si>
    <t>Light Refresher</t>
  </si>
  <si>
    <t>Grade Ready</t>
  </si>
  <si>
    <t>Reading Fluency</t>
  </si>
  <si>
    <t>Low Emerging Reader</t>
  </si>
  <si>
    <t>High Emerging Reader</t>
  </si>
  <si>
    <t>Developing Reader</t>
  </si>
  <si>
    <t>Transitioning Reader</t>
  </si>
  <si>
    <t>Reading At Grade Level</t>
  </si>
  <si>
    <t>Total</t>
  </si>
  <si>
    <t xml:space="preserve">Percent (%) of Learners </t>
  </si>
  <si>
    <t>Percent of Learners assessed</t>
  </si>
  <si>
    <t>Reading Profile</t>
  </si>
  <si>
    <t>Reading Level</t>
  </si>
  <si>
    <t>Criteria</t>
  </si>
  <si>
    <t>Observations Level</t>
  </si>
  <si>
    <t>Learner scores 0 to 16 in Assessment Part 1</t>
  </si>
  <si>
    <t>Learner reads less than 25% of the passage in 1minute and cannot answer any of the questions</t>
  </si>
  <si>
    <t>Reads word by word</t>
  </si>
  <si>
    <t>Learner reads between 26% to 50% of  passage accurately in 1 minute  and answers 1 question correctly</t>
  </si>
  <si>
    <t>Reads word in chunks</t>
  </si>
  <si>
    <t>Learner reads between 51% to 75% of  passage accurately in 1 minute AND answers 2 to 3 questions correctly.</t>
  </si>
  <si>
    <t>Reads fluently but not observing functuation marks</t>
  </si>
  <si>
    <t>Learner reads between 76% to 100% of  passage accurately in 1 minute AND answers 4 to 5 questions correctly.</t>
  </si>
  <si>
    <t>Reads fluently with proper expression</t>
  </si>
  <si>
    <t>Reading</t>
  </si>
  <si>
    <t xml:space="preserve">Region </t>
  </si>
  <si>
    <t>Grade Level</t>
  </si>
  <si>
    <t>Passage Title</t>
  </si>
  <si>
    <t>Number of Words</t>
  </si>
  <si>
    <t xml:space="preserve"> Story 2</t>
  </si>
  <si>
    <t>0%</t>
  </si>
  <si>
    <t>NCR</t>
  </si>
  <si>
    <t>Akeanon</t>
  </si>
  <si>
    <t>Central Bikol</t>
  </si>
  <si>
    <t>Maugma si Alma</t>
  </si>
  <si>
    <t>An Mga Ataman ni Mako</t>
  </si>
  <si>
    <t>&lt;50%</t>
  </si>
  <si>
    <t>CAR</t>
  </si>
  <si>
    <t>Bahasa Sug</t>
  </si>
  <si>
    <t>Tagalog</t>
  </si>
  <si>
    <t>Hindi na Ako Natatakot</t>
  </si>
  <si>
    <t>Kaarawan ni Ate</t>
  </si>
  <si>
    <t>50%</t>
  </si>
  <si>
    <t>Region I</t>
  </si>
  <si>
    <t>Bikol Libon</t>
  </si>
  <si>
    <t>Rinconada</t>
  </si>
  <si>
    <t>ALOP NA UPOS</t>
  </si>
  <si>
    <t>LASO NI LALA</t>
  </si>
  <si>
    <t>&gt;50%</t>
  </si>
  <si>
    <t>Region II</t>
  </si>
  <si>
    <t>Buhi-non</t>
  </si>
  <si>
    <t>Minasbate</t>
  </si>
  <si>
    <t>SI KAKA NI PAKA</t>
  </si>
  <si>
    <t>AN MAISAN NI SIMA</t>
  </si>
  <si>
    <t>100%</t>
  </si>
  <si>
    <t>Region III</t>
  </si>
  <si>
    <t>Caluyanen</t>
  </si>
  <si>
    <t>Pamilya Rama</t>
  </si>
  <si>
    <t>Si Bela</t>
  </si>
  <si>
    <t>Region IV-A</t>
  </si>
  <si>
    <t>Ang Pulseras ni Nika</t>
  </si>
  <si>
    <t> Ang Regalo</t>
  </si>
  <si>
    <t xml:space="preserve">Region IV-B </t>
  </si>
  <si>
    <t>Chavacano</t>
  </si>
  <si>
    <t>Hiliray-a (Kinaray-a Iloilo)</t>
  </si>
  <si>
    <t>AY, URAN</t>
  </si>
  <si>
    <t>Pinutos ni Tatay</t>
  </si>
  <si>
    <t xml:space="preserve">Region V </t>
  </si>
  <si>
    <t>Cuyonon</t>
  </si>
  <si>
    <t xml:space="preserve">Kinaray-a </t>
  </si>
  <si>
    <t>Ang Matandus ko nga Tatay</t>
  </si>
  <si>
    <t>Si Dina</t>
  </si>
  <si>
    <t>Region VI</t>
  </si>
  <si>
    <t>Magindanawn</t>
  </si>
  <si>
    <t>Si Alim a Matulanged</t>
  </si>
  <si>
    <t>Su Manga Ulak</t>
  </si>
  <si>
    <t xml:space="preserve">Region VII </t>
  </si>
  <si>
    <t>Sinugbuanong Binisaya</t>
  </si>
  <si>
    <t>Ang Pagbisita ni Lola Neneng</t>
  </si>
  <si>
    <t>Ang Batang Buotan</t>
  </si>
  <si>
    <t xml:space="preserve">Region VIII </t>
  </si>
  <si>
    <t>Ibanag</t>
  </si>
  <si>
    <t>Region IX</t>
  </si>
  <si>
    <t>Ilocano</t>
  </si>
  <si>
    <t xml:space="preserve">Region X </t>
  </si>
  <si>
    <t>Inabaknon</t>
  </si>
  <si>
    <t xml:space="preserve">Region XI </t>
  </si>
  <si>
    <t>Ivatan</t>
  </si>
  <si>
    <t xml:space="preserve">Region XII </t>
  </si>
  <si>
    <t>Kapampangan</t>
  </si>
  <si>
    <t xml:space="preserve">Region XIII </t>
  </si>
  <si>
    <t>BARMM</t>
  </si>
  <si>
    <t xml:space="preserve">Meranaw </t>
  </si>
  <si>
    <t>Miraya</t>
  </si>
  <si>
    <t>Northern Catanduanes</t>
  </si>
  <si>
    <t>Northern Sorsoganon</t>
  </si>
  <si>
    <t>Pangasinan</t>
  </si>
  <si>
    <t xml:space="preserve">Sambal </t>
  </si>
  <si>
    <t>Southern Catanduanes</t>
  </si>
  <si>
    <t>Southern Sorsoganon</t>
  </si>
  <si>
    <t>Surigaonon</t>
  </si>
  <si>
    <t>Waray</t>
  </si>
  <si>
    <t>West Albay Bikol</t>
  </si>
  <si>
    <t>Yakan</t>
  </si>
  <si>
    <t>Other MT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</si>
</sst>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
  </numFmts>
  <fonts count="29">
    <font>
      <sz val="11"/>
      <color theme="1"/>
      <name val="Calibri"/>
      <charset val="134"/>
      <scheme val="minor"/>
    </font>
    <font>
      <b/>
      <sz val="11"/>
      <color theme="1"/>
      <name val="Calibri"/>
      <charset val="134"/>
      <scheme val="minor"/>
    </font>
    <font>
      <b/>
      <sz val="12"/>
      <color theme="1"/>
      <name val="Calibri"/>
      <charset val="134"/>
      <scheme val="minor"/>
    </font>
    <font>
      <b/>
      <sz val="12"/>
      <color theme="0"/>
      <name val="Arial"/>
      <charset val="134"/>
    </font>
    <font>
      <b/>
      <sz val="9"/>
      <color theme="1"/>
      <name val="Calibri"/>
      <charset val="134"/>
      <scheme val="minor"/>
    </font>
    <font>
      <b/>
      <sz val="10"/>
      <color theme="1"/>
      <name val="Calibri"/>
      <charset val="134"/>
      <scheme val="minor"/>
    </font>
    <font>
      <sz val="10"/>
      <color theme="1"/>
      <name val="Calibri"/>
      <charset val="134"/>
      <scheme val="minor"/>
    </font>
    <font>
      <sz val="9"/>
      <color theme="1"/>
      <name val="Arial"/>
      <charset val="134"/>
    </font>
    <font>
      <b/>
      <sz val="10"/>
      <color theme="1"/>
      <name val="Arial"/>
      <charset val="134"/>
    </font>
    <font>
      <sz val="10"/>
      <name val="Arial"/>
      <charset val="134"/>
    </font>
    <font>
      <b/>
      <sz val="10"/>
      <color theme="0"/>
      <name val="Arial"/>
      <charset val="134"/>
    </font>
    <font>
      <b/>
      <sz val="10"/>
      <name val="Arial"/>
      <charset val="134"/>
    </font>
    <font>
      <b/>
      <sz val="9"/>
      <color theme="1"/>
      <name val="Arial"/>
      <charset val="134"/>
    </font>
    <font>
      <b/>
      <sz val="11"/>
      <color theme="0"/>
      <name val="Calibri"/>
      <charset val="134"/>
      <scheme val="minor"/>
    </font>
    <font>
      <sz val="18"/>
      <color theme="1"/>
      <name val="Calibri"/>
      <charset val="134"/>
      <scheme val="minor"/>
    </font>
    <font>
      <sz val="10"/>
      <color theme="1"/>
      <name val="Arial"/>
      <charset val="134"/>
    </font>
    <font>
      <b/>
      <sz val="9"/>
      <name val="Arial"/>
      <charset val="134"/>
    </font>
    <font>
      <b/>
      <sz val="8"/>
      <name val="Arial"/>
      <charset val="134"/>
    </font>
    <font>
      <sz val="8"/>
      <color theme="1"/>
      <name val="Arial"/>
      <charset val="134"/>
    </font>
    <font>
      <b/>
      <sz val="8"/>
      <color theme="1"/>
      <name val="Arial"/>
      <charset val="134"/>
    </font>
    <font>
      <i/>
      <sz val="10"/>
      <name val="Arial"/>
      <charset val="134"/>
    </font>
    <font>
      <i/>
      <sz val="10"/>
      <color theme="1"/>
      <name val="Arial"/>
      <charset val="134"/>
    </font>
    <font>
      <sz val="12"/>
      <color theme="1"/>
      <name val="Calibri"/>
      <charset val="134"/>
      <scheme val="minor"/>
    </font>
    <font>
      <sz val="9"/>
      <color theme="1"/>
      <name val="Calibri"/>
      <charset val="134"/>
      <scheme val="minor"/>
    </font>
    <font>
      <b/>
      <i/>
      <sz val="8"/>
      <color theme="1"/>
      <name val="Arial"/>
      <charset val="134"/>
    </font>
    <font>
      <sz val="8"/>
      <color theme="1"/>
      <name val="Calibri"/>
      <charset val="134"/>
      <scheme val="minor"/>
    </font>
    <font>
      <sz val="11"/>
      <name val="Calibri"/>
      <charset val="134"/>
      <scheme val="minor"/>
    </font>
    <font>
      <sz val="11"/>
      <color theme="1"/>
      <name val="Calibri"/>
      <charset val="134"/>
      <scheme val="minor"/>
    </font>
    <font>
      <sz val="10"/>
      <color theme="1"/>
      <name val="Calibri"/>
      <family val="2"/>
      <scheme val="minor"/>
    </font>
  </fonts>
  <fills count="18">
    <fill>
      <patternFill patternType="none"/>
    </fill>
    <fill>
      <patternFill patternType="gray125"/>
    </fill>
    <fill>
      <patternFill patternType="solid">
        <fgColor rgb="FFFFFF00"/>
        <bgColor indexed="64"/>
      </patternFill>
    </fill>
    <fill>
      <patternFill patternType="solid">
        <fgColor theme="9" tint="0.79995117038483843"/>
        <bgColor indexed="64"/>
      </patternFill>
    </fill>
    <fill>
      <patternFill patternType="solid">
        <fgColor rgb="FFFFC000"/>
        <bgColor indexed="64"/>
      </patternFill>
    </fill>
    <fill>
      <patternFill patternType="solid">
        <fgColor theme="0" tint="-0.14996795556505021"/>
        <bgColor indexed="64"/>
      </patternFill>
    </fill>
    <fill>
      <patternFill patternType="solid">
        <fgColor theme="0" tint="-0.499984740745262"/>
        <bgColor indexed="64"/>
      </patternFill>
    </fill>
    <fill>
      <patternFill patternType="solid">
        <fgColor theme="7" tint="0.79995117038483843"/>
        <bgColor indexed="64"/>
      </patternFill>
    </fill>
    <fill>
      <patternFill patternType="solid">
        <fgColor theme="0" tint="-4.9989318521683403E-2"/>
        <bgColor indexed="64"/>
      </patternFill>
    </fill>
    <fill>
      <patternFill patternType="solid">
        <fgColor theme="8" tint="0.79995117038483843"/>
        <bgColor indexed="64"/>
      </patternFill>
    </fill>
    <fill>
      <patternFill patternType="solid">
        <fgColor theme="8" tint="0.59999389629810485"/>
        <bgColor indexed="64"/>
      </patternFill>
    </fill>
    <fill>
      <patternFill patternType="solid">
        <fgColor theme="0" tint="-0.249977111117893"/>
        <bgColor indexed="64"/>
      </patternFill>
    </fill>
    <fill>
      <patternFill patternType="solid">
        <fgColor theme="0" tint="-0.34998626667073579"/>
        <bgColor indexed="64"/>
      </patternFill>
    </fill>
    <fill>
      <patternFill patternType="solid">
        <fgColor theme="4" tint="0.79995117038483843"/>
        <bgColor indexed="64"/>
      </patternFill>
    </fill>
    <fill>
      <patternFill patternType="solid">
        <fgColor theme="1" tint="0.499984740745262"/>
        <bgColor indexed="64"/>
      </patternFill>
    </fill>
    <fill>
      <patternFill patternType="solid">
        <fgColor rgb="FFFFFFFF"/>
        <bgColor indexed="64"/>
      </patternFill>
    </fill>
    <fill>
      <patternFill patternType="solid">
        <fgColor theme="0"/>
        <bgColor indexed="64"/>
      </patternFill>
    </fill>
    <fill>
      <patternFill patternType="solid">
        <fgColor theme="2" tint="-0.249977111117893"/>
        <bgColor indexed="64"/>
      </patternFill>
    </fill>
  </fills>
  <borders count="56">
    <border>
      <left/>
      <right/>
      <top/>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top/>
      <bottom style="medium">
        <color auto="1"/>
      </bottom>
      <diagonal/>
    </border>
    <border>
      <left style="thin">
        <color auto="1"/>
      </left>
      <right style="thin">
        <color auto="1"/>
      </right>
      <top style="medium">
        <color auto="1"/>
      </top>
      <bottom/>
      <diagonal/>
    </border>
    <border>
      <left style="thin">
        <color auto="1"/>
      </left>
      <right style="thin">
        <color auto="1"/>
      </right>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top style="medium">
        <color auto="1"/>
      </top>
      <bottom/>
      <diagonal/>
    </border>
    <border>
      <left/>
      <right/>
      <top style="medium">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thin">
        <color auto="1"/>
      </left>
      <right style="medium">
        <color auto="1"/>
      </right>
      <top style="medium">
        <color auto="1"/>
      </top>
      <bottom style="medium">
        <color auto="1"/>
      </bottom>
      <diagonal/>
    </border>
    <border>
      <left/>
      <right style="medium">
        <color auto="1"/>
      </right>
      <top style="medium">
        <color auto="1"/>
      </top>
      <bottom/>
      <diagonal/>
    </border>
    <border>
      <left/>
      <right/>
      <top style="thin">
        <color auto="1"/>
      </top>
      <bottom style="thin">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right/>
      <top style="medium">
        <color auto="1"/>
      </top>
      <bottom style="thin">
        <color auto="1"/>
      </bottom>
      <diagonal/>
    </border>
    <border>
      <left/>
      <right style="thin">
        <color auto="1"/>
      </right>
      <top style="thin">
        <color auto="1"/>
      </top>
      <bottom style="thin">
        <color auto="1"/>
      </bottom>
      <diagonal/>
    </border>
    <border>
      <left/>
      <right style="medium">
        <color auto="1"/>
      </right>
      <top style="medium">
        <color auto="1"/>
      </top>
      <bottom style="thin">
        <color auto="1"/>
      </bottom>
      <diagonal/>
    </border>
    <border>
      <left style="thin">
        <color auto="1"/>
      </left>
      <right style="medium">
        <color auto="1"/>
      </right>
      <top style="thin">
        <color auto="1"/>
      </top>
      <bottom/>
      <diagonal/>
    </border>
    <border>
      <left/>
      <right/>
      <top style="thin">
        <color auto="1"/>
      </top>
      <bottom/>
      <diagonal/>
    </border>
    <border>
      <left/>
      <right style="thin">
        <color auto="1"/>
      </right>
      <top style="thin">
        <color auto="1"/>
      </top>
      <bottom/>
      <diagonal/>
    </border>
    <border>
      <left style="thin">
        <color auto="1"/>
      </left>
      <right style="medium">
        <color auto="1"/>
      </right>
      <top/>
      <bottom/>
      <diagonal/>
    </border>
    <border>
      <left/>
      <right style="thin">
        <color auto="1"/>
      </right>
      <top/>
      <bottom style="thin">
        <color auto="1"/>
      </bottom>
      <diagonal/>
    </border>
    <border>
      <left style="thin">
        <color auto="1"/>
      </left>
      <right style="medium">
        <color auto="1"/>
      </right>
      <top/>
      <bottom style="thin">
        <color auto="1"/>
      </bottom>
      <diagonal/>
    </border>
    <border>
      <left style="thin">
        <color auto="1"/>
      </left>
      <right/>
      <top/>
      <bottom style="thin">
        <color auto="1"/>
      </bottom>
      <diagonal/>
    </border>
    <border>
      <left style="thin">
        <color auto="1"/>
      </left>
      <right/>
      <top style="thin">
        <color auto="1"/>
      </top>
      <bottom style="medium">
        <color auto="1"/>
      </bottom>
      <diagonal/>
    </border>
    <border>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diagonal/>
    </border>
    <border>
      <left style="medium">
        <color auto="1"/>
      </left>
      <right/>
      <top/>
      <bottom style="thin">
        <color auto="1"/>
      </bottom>
      <diagonal/>
    </border>
    <border>
      <left style="thin">
        <color auto="1"/>
      </left>
      <right/>
      <top style="thin">
        <color auto="1"/>
      </top>
      <bottom/>
      <diagonal/>
    </border>
    <border>
      <left style="medium">
        <color auto="1"/>
      </left>
      <right/>
      <top style="medium">
        <color auto="1"/>
      </top>
      <bottom style="medium">
        <color auto="1"/>
      </bottom>
      <diagonal/>
    </border>
    <border>
      <left style="medium">
        <color auto="1"/>
      </left>
      <right style="thin">
        <color auto="1"/>
      </right>
      <top/>
      <bottom style="thin">
        <color auto="1"/>
      </bottom>
      <diagonal/>
    </border>
    <border>
      <left/>
      <right/>
      <top style="medium">
        <color auto="1"/>
      </top>
      <bottom style="medium">
        <color auto="1"/>
      </bottom>
      <diagonal/>
    </border>
    <border>
      <left style="medium">
        <color auto="1"/>
      </left>
      <right/>
      <top/>
      <bottom/>
      <diagonal/>
    </border>
    <border>
      <left/>
      <right style="medium">
        <color auto="1"/>
      </right>
      <top/>
      <bottom/>
      <diagonal/>
    </border>
    <border>
      <left style="thin">
        <color auto="1"/>
      </left>
      <right style="thin">
        <color auto="1"/>
      </right>
      <top/>
      <bottom/>
      <diagonal/>
    </border>
    <border>
      <left style="medium">
        <color auto="1"/>
      </left>
      <right style="thin">
        <color auto="1"/>
      </right>
      <top/>
      <bottom style="medium">
        <color auto="1"/>
      </bottom>
      <diagonal/>
    </border>
    <border>
      <left style="thin">
        <color auto="1"/>
      </left>
      <right style="thin">
        <color auto="1"/>
      </right>
      <top/>
      <bottom style="medium">
        <color auto="1"/>
      </bottom>
      <diagonal/>
    </border>
    <border>
      <left style="thin">
        <color auto="1"/>
      </left>
      <right/>
      <top/>
      <bottom style="medium">
        <color auto="1"/>
      </bottom>
      <diagonal/>
    </border>
    <border>
      <left/>
      <right style="thin">
        <color auto="1"/>
      </right>
      <top/>
      <bottom style="medium">
        <color auto="1"/>
      </bottom>
      <diagonal/>
    </border>
    <border>
      <left/>
      <right style="medium">
        <color auto="1"/>
      </right>
      <top style="medium">
        <color auto="1"/>
      </top>
      <bottom style="medium">
        <color auto="1"/>
      </bottom>
      <diagonal/>
    </border>
    <border>
      <left/>
      <right style="thin">
        <color auto="1"/>
      </right>
      <top style="medium">
        <color auto="1"/>
      </top>
      <bottom style="medium">
        <color auto="1"/>
      </bottom>
      <diagonal/>
    </border>
    <border>
      <left style="thin">
        <color auto="1"/>
      </left>
      <right/>
      <top/>
      <bottom/>
      <diagonal/>
    </border>
    <border>
      <left/>
      <right style="medium">
        <color auto="1"/>
      </right>
      <top/>
      <bottom style="medium">
        <color auto="1"/>
      </bottom>
      <diagonal/>
    </border>
    <border>
      <left/>
      <right style="thin">
        <color auto="1"/>
      </right>
      <top style="thin">
        <color auto="1"/>
      </top>
      <bottom style="medium">
        <color auto="1"/>
      </bottom>
      <diagonal/>
    </border>
  </borders>
  <cellStyleXfs count="2">
    <xf numFmtId="0" fontId="0" fillId="0" borderId="0"/>
    <xf numFmtId="9" fontId="27" fillId="0" borderId="0" applyFont="0" applyFill="0" applyBorder="0" applyAlignment="0" applyProtection="0"/>
  </cellStyleXfs>
  <cellXfs count="320">
    <xf numFmtId="0" fontId="0" fillId="0" borderId="0" xfId="0"/>
    <xf numFmtId="0" fontId="0" fillId="0" borderId="0" xfId="0" applyAlignment="1">
      <alignment horizontal="center"/>
    </xf>
    <xf numFmtId="0" fontId="0" fillId="2" borderId="0" xfId="0" applyFill="1"/>
    <xf numFmtId="0" fontId="0" fillId="3" borderId="0" xfId="0" applyFill="1"/>
    <xf numFmtId="0" fontId="0" fillId="4" borderId="0" xfId="0" applyFill="1"/>
    <xf numFmtId="0" fontId="0" fillId="0" borderId="0" xfId="0" applyAlignment="1">
      <alignment vertical="center" wrapText="1"/>
    </xf>
    <xf numFmtId="0" fontId="2" fillId="5" borderId="1" xfId="0" applyFont="1" applyFill="1" applyBorder="1" applyAlignment="1">
      <alignment horizontal="center" vertical="center"/>
    </xf>
    <xf numFmtId="0" fontId="2" fillId="5" borderId="2" xfId="0" applyFont="1" applyFill="1" applyBorder="1" applyAlignment="1">
      <alignment horizontal="center" vertical="center" wrapText="1"/>
    </xf>
    <xf numFmtId="0" fontId="1" fillId="0" borderId="4" xfId="0" applyFont="1" applyBorder="1" applyAlignment="1">
      <alignment vertical="center"/>
    </xf>
    <xf numFmtId="0" fontId="1" fillId="0" borderId="5" xfId="0" applyFont="1" applyBorder="1" applyAlignment="1">
      <alignment horizontal="left" vertical="center" indent="1"/>
    </xf>
    <xf numFmtId="0" fontId="0" fillId="0" borderId="6" xfId="0" applyBorder="1" applyAlignment="1">
      <alignment vertical="center" wrapText="1"/>
    </xf>
    <xf numFmtId="0" fontId="0" fillId="0" borderId="5" xfId="0" applyBorder="1" applyAlignment="1">
      <alignment vertical="center" wrapText="1"/>
    </xf>
    <xf numFmtId="0" fontId="1" fillId="0" borderId="7" xfId="0" applyFont="1" applyBorder="1" applyAlignment="1">
      <alignment vertical="center"/>
    </xf>
    <xf numFmtId="0" fontId="1" fillId="0" borderId="8" xfId="0" applyFont="1" applyBorder="1" applyAlignment="1">
      <alignment vertical="center"/>
    </xf>
    <xf numFmtId="0" fontId="0" fillId="0" borderId="9" xfId="0" applyBorder="1" applyAlignment="1">
      <alignment vertical="center" wrapText="1"/>
    </xf>
    <xf numFmtId="0" fontId="1" fillId="0" borderId="9" xfId="0" applyFont="1" applyBorder="1" applyAlignment="1">
      <alignment horizontal="left" vertical="center" indent="1"/>
    </xf>
    <xf numFmtId="0" fontId="0" fillId="0" borderId="10" xfId="0" applyBorder="1" applyAlignment="1">
      <alignment vertical="center" wrapText="1"/>
    </xf>
    <xf numFmtId="0" fontId="0" fillId="0" borderId="0" xfId="0" applyAlignment="1">
      <alignment horizontal="left"/>
    </xf>
    <xf numFmtId="0" fontId="1" fillId="5" borderId="2" xfId="0" applyFont="1" applyFill="1" applyBorder="1" applyAlignment="1" applyProtection="1">
      <alignment horizontal="center"/>
      <protection hidden="1"/>
    </xf>
    <xf numFmtId="0" fontId="1" fillId="5" borderId="12" xfId="0" applyFont="1" applyFill="1" applyBorder="1" applyProtection="1">
      <protection hidden="1"/>
    </xf>
    <xf numFmtId="0" fontId="1" fillId="5" borderId="5" xfId="0" applyFont="1" applyFill="1" applyBorder="1" applyAlignment="1" applyProtection="1">
      <alignment horizontal="center"/>
      <protection hidden="1"/>
    </xf>
    <xf numFmtId="0" fontId="1" fillId="5" borderId="13" xfId="0" applyFont="1" applyFill="1" applyBorder="1" applyAlignment="1" applyProtection="1">
      <alignment horizontal="center"/>
      <protection hidden="1"/>
    </xf>
    <xf numFmtId="0" fontId="4" fillId="5" borderId="5" xfId="0" applyFont="1" applyFill="1" applyBorder="1" applyAlignment="1" applyProtection="1">
      <alignment horizontal="center" vertical="center" wrapText="1"/>
      <protection hidden="1"/>
    </xf>
    <xf numFmtId="0" fontId="6" fillId="0" borderId="4" xfId="0" applyFont="1" applyBorder="1" applyAlignment="1" applyProtection="1">
      <alignment vertical="center"/>
      <protection hidden="1"/>
    </xf>
    <xf numFmtId="0" fontId="6" fillId="0" borderId="5" xfId="0" applyFont="1" applyBorder="1" applyAlignment="1" applyProtection="1">
      <alignment vertical="center"/>
      <protection hidden="1"/>
    </xf>
    <xf numFmtId="0" fontId="6" fillId="0" borderId="5" xfId="0" applyFont="1" applyBorder="1" applyAlignment="1" applyProtection="1">
      <alignment horizontal="center" vertical="center"/>
      <protection hidden="1"/>
    </xf>
    <xf numFmtId="0" fontId="6" fillId="0" borderId="5" xfId="0" applyFont="1" applyBorder="1" applyAlignment="1" applyProtection="1">
      <alignment horizontal="center" vertical="center" wrapText="1"/>
      <protection hidden="1"/>
    </xf>
    <xf numFmtId="0" fontId="0" fillId="0" borderId="5" xfId="0" applyBorder="1" applyAlignment="1" applyProtection="1">
      <alignment horizontal="center" vertical="center"/>
      <protection hidden="1"/>
    </xf>
    <xf numFmtId="1" fontId="0" fillId="7" borderId="5" xfId="0" applyNumberFormat="1" applyFill="1" applyBorder="1" applyAlignment="1" applyProtection="1">
      <alignment horizontal="center" vertical="center"/>
      <protection hidden="1"/>
    </xf>
    <xf numFmtId="0" fontId="6" fillId="0" borderId="8" xfId="0" applyFont="1" applyBorder="1" applyAlignment="1" applyProtection="1">
      <alignment vertical="center"/>
      <protection hidden="1"/>
    </xf>
    <xf numFmtId="0" fontId="6" fillId="0" borderId="9" xfId="0" applyFont="1" applyBorder="1" applyAlignment="1" applyProtection="1">
      <alignment vertical="center"/>
      <protection hidden="1"/>
    </xf>
    <xf numFmtId="0" fontId="6" fillId="0" borderId="9" xfId="0" applyFont="1" applyBorder="1" applyAlignment="1" applyProtection="1">
      <alignment horizontal="center" vertical="center"/>
      <protection hidden="1"/>
    </xf>
    <xf numFmtId="0" fontId="6" fillId="0" borderId="9" xfId="0" applyFont="1" applyBorder="1" applyAlignment="1" applyProtection="1">
      <alignment horizontal="center" vertical="center" wrapText="1"/>
      <protection hidden="1"/>
    </xf>
    <xf numFmtId="0" fontId="0" fillId="0" borderId="9" xfId="0" applyBorder="1" applyAlignment="1" applyProtection="1">
      <alignment horizontal="center" vertical="center" wrapText="1"/>
      <protection hidden="1"/>
    </xf>
    <xf numFmtId="1" fontId="0" fillId="7" borderId="9" xfId="0" applyNumberFormat="1" applyFill="1" applyBorder="1" applyAlignment="1" applyProtection="1">
      <alignment horizontal="center" vertical="center"/>
      <protection hidden="1"/>
    </xf>
    <xf numFmtId="0" fontId="6" fillId="0" borderId="0" xfId="0" applyFont="1" applyAlignment="1" applyProtection="1">
      <alignment vertical="center"/>
      <protection hidden="1"/>
    </xf>
    <xf numFmtId="0" fontId="6" fillId="0" borderId="0" xfId="0" applyFont="1" applyAlignment="1" applyProtection="1">
      <alignment horizontal="center" vertical="center"/>
      <protection hidden="1"/>
    </xf>
    <xf numFmtId="0" fontId="6" fillId="0" borderId="0" xfId="0" applyFont="1" applyAlignment="1" applyProtection="1">
      <alignment horizontal="center" vertical="center" wrapText="1"/>
      <protection hidden="1"/>
    </xf>
    <xf numFmtId="0" fontId="0" fillId="0" borderId="0" xfId="0" applyAlignment="1" applyProtection="1">
      <alignment horizontal="center" vertical="center" wrapText="1"/>
      <protection hidden="1"/>
    </xf>
    <xf numFmtId="0" fontId="0" fillId="0" borderId="0" xfId="0" applyAlignment="1" applyProtection="1">
      <alignment horizontal="center" vertical="center"/>
      <protection hidden="1"/>
    </xf>
    <xf numFmtId="0" fontId="5" fillId="0" borderId="14" xfId="0" applyFont="1" applyBorder="1" applyAlignment="1" applyProtection="1">
      <alignment vertical="center"/>
      <protection hidden="1"/>
    </xf>
    <xf numFmtId="0" fontId="5" fillId="0" borderId="15" xfId="0" applyFont="1" applyBorder="1" applyAlignment="1" applyProtection="1">
      <alignment vertical="center"/>
      <protection hidden="1"/>
    </xf>
    <xf numFmtId="0" fontId="5" fillId="0" borderId="15" xfId="0" applyFont="1" applyBorder="1" applyAlignment="1" applyProtection="1">
      <alignment horizontal="center" vertical="center"/>
      <protection hidden="1"/>
    </xf>
    <xf numFmtId="0" fontId="5" fillId="0" borderId="15" xfId="0" applyFont="1" applyBorder="1" applyAlignment="1" applyProtection="1">
      <alignment horizontal="center" vertical="center" wrapText="1"/>
      <protection hidden="1"/>
    </xf>
    <xf numFmtId="0" fontId="1" fillId="0" borderId="15" xfId="0" applyFont="1" applyBorder="1" applyAlignment="1" applyProtection="1">
      <alignment horizontal="center" vertical="center" wrapText="1"/>
      <protection hidden="1"/>
    </xf>
    <xf numFmtId="0" fontId="1" fillId="7" borderId="15" xfId="0" applyFont="1" applyFill="1" applyBorder="1" applyAlignment="1" applyProtection="1">
      <alignment horizontal="center" vertical="center"/>
      <protection hidden="1"/>
    </xf>
    <xf numFmtId="0" fontId="5" fillId="5" borderId="18" xfId="0" applyFont="1" applyFill="1" applyBorder="1"/>
    <xf numFmtId="0" fontId="5" fillId="5" borderId="13" xfId="0" applyFont="1" applyFill="1" applyBorder="1" applyAlignment="1">
      <alignment horizontal="center"/>
    </xf>
    <xf numFmtId="17" fontId="4" fillId="5" borderId="5" xfId="0" applyNumberFormat="1" applyFont="1" applyFill="1" applyBorder="1" applyAlignment="1" applyProtection="1">
      <alignment horizontal="center" vertical="center" wrapText="1"/>
      <protection hidden="1"/>
    </xf>
    <xf numFmtId="0" fontId="0" fillId="0" borderId="4" xfId="0" applyBorder="1"/>
    <xf numFmtId="0" fontId="0" fillId="0" borderId="5" xfId="0" applyBorder="1"/>
    <xf numFmtId="9" fontId="0" fillId="0" borderId="5" xfId="1" applyFont="1" applyBorder="1" applyAlignment="1">
      <alignment horizontal="center"/>
    </xf>
    <xf numFmtId="9" fontId="0" fillId="7" borderId="5" xfId="0" applyNumberFormat="1" applyFill="1" applyBorder="1" applyAlignment="1" applyProtection="1">
      <alignment horizontal="center" vertical="center"/>
      <protection hidden="1"/>
    </xf>
    <xf numFmtId="9" fontId="0" fillId="3" borderId="5" xfId="1" applyFont="1" applyFill="1" applyBorder="1" applyAlignment="1">
      <alignment horizontal="center"/>
    </xf>
    <xf numFmtId="9" fontId="0" fillId="0" borderId="5" xfId="0" applyNumberFormat="1" applyBorder="1" applyAlignment="1">
      <alignment horizontal="center"/>
    </xf>
    <xf numFmtId="0" fontId="1" fillId="8" borderId="8" xfId="0" applyFont="1" applyFill="1" applyBorder="1"/>
    <xf numFmtId="0" fontId="1" fillId="0" borderId="9" xfId="0" applyFont="1" applyBorder="1"/>
    <xf numFmtId="9" fontId="1" fillId="0" borderId="9" xfId="0" applyNumberFormat="1" applyFont="1" applyBorder="1" applyAlignment="1">
      <alignment horizontal="center"/>
    </xf>
    <xf numFmtId="9" fontId="0" fillId="7" borderId="9" xfId="0" applyNumberFormat="1" applyFill="1" applyBorder="1" applyAlignment="1" applyProtection="1">
      <alignment horizontal="center" vertical="center"/>
      <protection hidden="1"/>
    </xf>
    <xf numFmtId="9" fontId="1" fillId="3" borderId="9" xfId="0" applyNumberFormat="1" applyFont="1" applyFill="1" applyBorder="1" applyAlignment="1">
      <alignment horizontal="center"/>
    </xf>
    <xf numFmtId="10" fontId="0" fillId="9" borderId="5" xfId="0" applyNumberFormat="1" applyFill="1" applyBorder="1" applyAlignment="1" applyProtection="1">
      <alignment horizontal="center" vertical="center"/>
      <protection hidden="1"/>
    </xf>
    <xf numFmtId="2" fontId="0" fillId="9" borderId="5" xfId="0" applyNumberFormat="1" applyFill="1" applyBorder="1" applyAlignment="1">
      <alignment horizontal="center"/>
    </xf>
    <xf numFmtId="1" fontId="0" fillId="3" borderId="5" xfId="0" applyNumberFormat="1" applyFill="1" applyBorder="1" applyAlignment="1" applyProtection="1">
      <alignment horizontal="center" vertical="center"/>
      <protection hidden="1"/>
    </xf>
    <xf numFmtId="10" fontId="0" fillId="9" borderId="9" xfId="0" applyNumberFormat="1" applyFill="1" applyBorder="1" applyAlignment="1" applyProtection="1">
      <alignment horizontal="center" vertical="center"/>
      <protection hidden="1"/>
    </xf>
    <xf numFmtId="2" fontId="0" fillId="9" borderId="9" xfId="0" applyNumberFormat="1" applyFill="1" applyBorder="1" applyAlignment="1">
      <alignment horizontal="center"/>
    </xf>
    <xf numFmtId="0" fontId="0" fillId="3" borderId="9" xfId="0" applyFill="1" applyBorder="1" applyAlignment="1" applyProtection="1">
      <alignment horizontal="center" vertical="center"/>
      <protection hidden="1"/>
    </xf>
    <xf numFmtId="2" fontId="0" fillId="0" borderId="0" xfId="0" applyNumberFormat="1" applyAlignment="1">
      <alignment horizontal="center"/>
    </xf>
    <xf numFmtId="10" fontId="1" fillId="10" borderId="15" xfId="0" applyNumberFormat="1" applyFont="1" applyFill="1" applyBorder="1" applyAlignment="1" applyProtection="1">
      <alignment horizontal="center" vertical="center"/>
      <protection hidden="1"/>
    </xf>
    <xf numFmtId="10" fontId="1" fillId="10" borderId="20" xfId="0" applyNumberFormat="1" applyFont="1" applyFill="1" applyBorder="1" applyAlignment="1" applyProtection="1">
      <alignment horizontal="center" vertical="center"/>
      <protection hidden="1"/>
    </xf>
    <xf numFmtId="2" fontId="0" fillId="10" borderId="14" xfId="0" applyNumberFormat="1" applyFill="1" applyBorder="1" applyAlignment="1">
      <alignment horizontal="center"/>
    </xf>
    <xf numFmtId="0" fontId="1" fillId="3" borderId="15" xfId="0" applyFont="1" applyFill="1" applyBorder="1" applyAlignment="1" applyProtection="1">
      <alignment horizontal="center" vertical="center"/>
      <protection hidden="1"/>
    </xf>
    <xf numFmtId="0" fontId="1" fillId="0" borderId="0" xfId="0" applyFont="1"/>
    <xf numFmtId="0" fontId="4" fillId="5" borderId="6" xfId="0" applyFont="1" applyFill="1" applyBorder="1" applyAlignment="1" applyProtection="1">
      <alignment horizontal="center" vertical="center" wrapText="1"/>
      <protection hidden="1"/>
    </xf>
    <xf numFmtId="9" fontId="0" fillId="3" borderId="6" xfId="1" applyFont="1" applyFill="1" applyBorder="1" applyAlignment="1">
      <alignment horizontal="center"/>
    </xf>
    <xf numFmtId="9" fontId="1" fillId="3" borderId="10" xfId="0" applyNumberFormat="1" applyFont="1" applyFill="1" applyBorder="1" applyAlignment="1">
      <alignment horizontal="center"/>
    </xf>
    <xf numFmtId="0" fontId="0" fillId="3" borderId="5" xfId="0" applyFill="1" applyBorder="1" applyAlignment="1" applyProtection="1">
      <alignment horizontal="center" vertical="center"/>
      <protection hidden="1"/>
    </xf>
    <xf numFmtId="0" fontId="0" fillId="3" borderId="6" xfId="0" applyFill="1" applyBorder="1" applyAlignment="1" applyProtection="1">
      <alignment horizontal="center" vertical="center"/>
      <protection hidden="1"/>
    </xf>
    <xf numFmtId="0" fontId="0" fillId="3" borderId="10" xfId="0" applyFill="1" applyBorder="1" applyAlignment="1" applyProtection="1">
      <alignment horizontal="center" vertical="center"/>
      <protection hidden="1"/>
    </xf>
    <xf numFmtId="0" fontId="1" fillId="3" borderId="20" xfId="0" applyFont="1" applyFill="1" applyBorder="1" applyAlignment="1" applyProtection="1">
      <alignment horizontal="center" vertical="center"/>
      <protection hidden="1"/>
    </xf>
    <xf numFmtId="0" fontId="7" fillId="0" borderId="0" xfId="0" applyFont="1" applyAlignment="1">
      <alignment horizontal="center"/>
    </xf>
    <xf numFmtId="0" fontId="12" fillId="11" borderId="4" xfId="0" applyFont="1" applyFill="1" applyBorder="1" applyAlignment="1">
      <alignment horizontal="center" vertical="center" wrapText="1"/>
    </xf>
    <xf numFmtId="0" fontId="12" fillId="11" borderId="5" xfId="0" applyFont="1" applyFill="1" applyBorder="1" applyAlignment="1">
      <alignment horizontal="center" vertical="center" wrapText="1"/>
    </xf>
    <xf numFmtId="0" fontId="12" fillId="11" borderId="5" xfId="0" applyFont="1" applyFill="1" applyBorder="1" applyAlignment="1">
      <alignment vertical="center"/>
    </xf>
    <xf numFmtId="0" fontId="12" fillId="11" borderId="5" xfId="0" applyFont="1" applyFill="1" applyBorder="1" applyAlignment="1">
      <alignment horizontal="center" vertical="center"/>
    </xf>
    <xf numFmtId="0" fontId="12" fillId="13" borderId="5" xfId="0" applyFont="1" applyFill="1" applyBorder="1" applyAlignment="1">
      <alignment horizontal="center" vertical="center" wrapText="1"/>
    </xf>
    <xf numFmtId="1" fontId="6" fillId="0" borderId="13" xfId="0" applyNumberFormat="1" applyFont="1" applyBorder="1" applyAlignment="1">
      <alignment horizontal="left"/>
    </xf>
    <xf numFmtId="0" fontId="6" fillId="0" borderId="13" xfId="0" applyFont="1" applyBorder="1"/>
    <xf numFmtId="0" fontId="6" fillId="0" borderId="13" xfId="0" applyFont="1" applyBorder="1" applyAlignment="1">
      <alignment horizontal="center"/>
    </xf>
    <xf numFmtId="1" fontId="6" fillId="13" borderId="13" xfId="0" applyNumberFormat="1" applyFont="1" applyFill="1" applyBorder="1" applyAlignment="1">
      <alignment horizontal="center"/>
    </xf>
    <xf numFmtId="9" fontId="6" fillId="13" borderId="13" xfId="0" applyNumberFormat="1" applyFont="1" applyFill="1" applyBorder="1" applyAlignment="1">
      <alignment horizontal="center"/>
    </xf>
    <xf numFmtId="9" fontId="6" fillId="13" borderId="13" xfId="0" applyNumberFormat="1" applyFont="1" applyFill="1" applyBorder="1" applyAlignment="1">
      <alignment horizontal="center" vertical="top" wrapText="1"/>
    </xf>
    <xf numFmtId="0" fontId="0" fillId="8" borderId="4" xfId="0" applyFill="1" applyBorder="1"/>
    <xf numFmtId="1" fontId="6" fillId="8" borderId="5" xfId="0" applyNumberFormat="1" applyFont="1" applyFill="1" applyBorder="1" applyAlignment="1">
      <alignment horizontal="left"/>
    </xf>
    <xf numFmtId="0" fontId="6" fillId="8" borderId="5" xfId="0" applyFont="1" applyFill="1" applyBorder="1"/>
    <xf numFmtId="0" fontId="6" fillId="8" borderId="5" xfId="0" applyFont="1" applyFill="1" applyBorder="1" applyAlignment="1">
      <alignment horizontal="center"/>
    </xf>
    <xf numFmtId="1" fontId="6" fillId="13" borderId="5" xfId="0" applyNumberFormat="1" applyFont="1" applyFill="1" applyBorder="1" applyAlignment="1">
      <alignment horizontal="center"/>
    </xf>
    <xf numFmtId="9" fontId="6" fillId="13" borderId="5" xfId="0" applyNumberFormat="1" applyFont="1" applyFill="1" applyBorder="1" applyAlignment="1">
      <alignment horizontal="center"/>
    </xf>
    <xf numFmtId="9" fontId="6" fillId="13" borderId="5" xfId="0" applyNumberFormat="1" applyFont="1" applyFill="1" applyBorder="1" applyAlignment="1">
      <alignment horizontal="center" vertical="top" wrapText="1"/>
    </xf>
    <xf numFmtId="1" fontId="6" fillId="0" borderId="5" xfId="0" applyNumberFormat="1" applyFont="1" applyBorder="1" applyAlignment="1">
      <alignment horizontal="left"/>
    </xf>
    <xf numFmtId="0" fontId="6" fillId="0" borderId="5" xfId="0" applyFont="1" applyBorder="1"/>
    <xf numFmtId="0" fontId="6" fillId="0" borderId="5" xfId="0" applyFont="1" applyBorder="1" applyAlignment="1">
      <alignment horizontal="center"/>
    </xf>
    <xf numFmtId="0" fontId="12" fillId="11" borderId="28" xfId="0" applyFont="1" applyFill="1" applyBorder="1" applyAlignment="1">
      <alignment wrapText="1"/>
    </xf>
    <xf numFmtId="0" fontId="12" fillId="13" borderId="29" xfId="0" applyFont="1" applyFill="1" applyBorder="1" applyAlignment="1">
      <alignment horizontal="center" wrapText="1"/>
    </xf>
    <xf numFmtId="0" fontId="12" fillId="11" borderId="31" xfId="0" applyFont="1" applyFill="1" applyBorder="1" applyAlignment="1">
      <alignment wrapText="1"/>
    </xf>
    <xf numFmtId="0" fontId="12" fillId="13" borderId="32" xfId="0" applyFont="1" applyFill="1" applyBorder="1" applyAlignment="1">
      <alignment horizontal="center" vertical="center" wrapText="1"/>
    </xf>
    <xf numFmtId="0" fontId="12" fillId="11" borderId="33" xfId="0" applyFont="1" applyFill="1" applyBorder="1" applyAlignment="1">
      <alignment horizontal="center" wrapText="1"/>
    </xf>
    <xf numFmtId="1" fontId="6" fillId="13" borderId="34" xfId="0" applyNumberFormat="1" applyFont="1" applyFill="1" applyBorder="1" applyAlignment="1">
      <alignment horizontal="center" vertical="top" wrapText="1"/>
    </xf>
    <xf numFmtId="0" fontId="6" fillId="0" borderId="33" xfId="0" applyFont="1" applyBorder="1" applyAlignment="1">
      <alignment horizontal="left" wrapText="1"/>
    </xf>
    <xf numFmtId="1" fontId="6" fillId="13" borderId="19" xfId="0" applyNumberFormat="1" applyFont="1" applyFill="1" applyBorder="1" applyAlignment="1">
      <alignment horizontal="center" vertical="top" wrapText="1"/>
    </xf>
    <xf numFmtId="0" fontId="6" fillId="13" borderId="19" xfId="0" applyFont="1" applyFill="1" applyBorder="1" applyAlignment="1">
      <alignment horizontal="center" vertical="top" wrapText="1"/>
    </xf>
    <xf numFmtId="0" fontId="6" fillId="8" borderId="6" xfId="0" applyFont="1" applyFill="1" applyBorder="1" applyAlignment="1">
      <alignment horizontal="left" wrapText="1"/>
    </xf>
    <xf numFmtId="0" fontId="6" fillId="0" borderId="6" xfId="0" applyFont="1" applyBorder="1" applyAlignment="1">
      <alignment horizontal="left" wrapText="1"/>
    </xf>
    <xf numFmtId="0" fontId="6" fillId="8" borderId="9" xfId="0" applyFont="1" applyFill="1" applyBorder="1"/>
    <xf numFmtId="0" fontId="6" fillId="8" borderId="9" xfId="0" applyFont="1" applyFill="1" applyBorder="1" applyAlignment="1">
      <alignment horizontal="center"/>
    </xf>
    <xf numFmtId="1" fontId="6" fillId="13" borderId="9" xfId="0" applyNumberFormat="1" applyFont="1" applyFill="1" applyBorder="1" applyAlignment="1">
      <alignment horizontal="center"/>
    </xf>
    <xf numFmtId="9" fontId="6" fillId="13" borderId="9" xfId="0" applyNumberFormat="1" applyFont="1" applyFill="1" applyBorder="1" applyAlignment="1">
      <alignment horizontal="center"/>
    </xf>
    <xf numFmtId="9" fontId="6" fillId="13" borderId="9" xfId="0" applyNumberFormat="1" applyFont="1" applyFill="1" applyBorder="1" applyAlignment="1">
      <alignment horizontal="center" vertical="top" wrapText="1"/>
    </xf>
    <xf numFmtId="1" fontId="6" fillId="13" borderId="35" xfId="0" applyNumberFormat="1" applyFont="1" applyFill="1" applyBorder="1" applyAlignment="1">
      <alignment horizontal="center" vertical="top" wrapText="1"/>
    </xf>
    <xf numFmtId="0" fontId="6" fillId="13" borderId="35" xfId="0" applyFont="1" applyFill="1" applyBorder="1" applyAlignment="1">
      <alignment horizontal="center" vertical="top" wrapText="1"/>
    </xf>
    <xf numFmtId="0" fontId="6" fillId="8" borderId="10" xfId="0" applyFont="1" applyFill="1" applyBorder="1" applyAlignment="1">
      <alignment horizontal="left" wrapText="1"/>
    </xf>
    <xf numFmtId="0" fontId="0" fillId="0" borderId="0" xfId="0" applyAlignment="1">
      <alignment vertical="center"/>
    </xf>
    <xf numFmtId="0" fontId="0" fillId="0" borderId="0" xfId="0" applyAlignment="1">
      <alignment horizontal="center" wrapText="1"/>
    </xf>
    <xf numFmtId="0" fontId="14" fillId="0" borderId="37" xfId="0" applyFont="1" applyBorder="1" applyAlignment="1" applyProtection="1">
      <alignment vertical="center"/>
      <protection locked="0"/>
    </xf>
    <xf numFmtId="0" fontId="0" fillId="0" borderId="0" xfId="0" applyAlignment="1">
      <alignment horizontal="center" vertical="center"/>
    </xf>
    <xf numFmtId="0" fontId="15" fillId="0" borderId="24" xfId="0" applyFont="1" applyBorder="1" applyAlignment="1" applyProtection="1">
      <alignment horizontal="left"/>
      <protection locked="0"/>
    </xf>
    <xf numFmtId="0" fontId="11" fillId="5" borderId="1" xfId="0" applyFont="1" applyFill="1" applyBorder="1" applyAlignment="1">
      <alignment horizontal="center" wrapText="1"/>
    </xf>
    <xf numFmtId="0" fontId="9" fillId="0" borderId="34" xfId="0" applyFont="1" applyBorder="1" applyAlignment="1" applyProtection="1">
      <alignment wrapText="1"/>
      <protection locked="0"/>
    </xf>
    <xf numFmtId="0" fontId="16" fillId="11" borderId="5" xfId="0" applyFont="1" applyFill="1" applyBorder="1" applyAlignment="1" applyProtection="1">
      <alignment horizontal="center" wrapText="1"/>
      <protection locked="0"/>
    </xf>
    <xf numFmtId="0" fontId="16" fillId="11" borderId="6" xfId="0" applyFont="1" applyFill="1" applyBorder="1" applyAlignment="1" applyProtection="1">
      <alignment horizontal="center" wrapText="1"/>
      <protection locked="0"/>
    </xf>
    <xf numFmtId="0" fontId="9" fillId="0" borderId="19" xfId="0" applyFont="1" applyBorder="1" applyAlignment="1" applyProtection="1">
      <alignment wrapText="1"/>
      <protection locked="0"/>
    </xf>
    <xf numFmtId="0" fontId="15" fillId="0" borderId="5" xfId="0" applyFont="1" applyBorder="1" applyAlignment="1" applyProtection="1">
      <alignment horizontal="center"/>
      <protection locked="0"/>
    </xf>
    <xf numFmtId="0" fontId="15" fillId="0" borderId="6" xfId="0" applyFont="1" applyBorder="1" applyAlignment="1" applyProtection="1">
      <alignment horizontal="center"/>
      <protection locked="0"/>
    </xf>
    <xf numFmtId="0" fontId="9" fillId="5" borderId="19" xfId="0" applyFont="1" applyFill="1" applyBorder="1" applyAlignment="1">
      <alignment wrapText="1"/>
    </xf>
    <xf numFmtId="0" fontId="17" fillId="12" borderId="5" xfId="0" applyFont="1" applyFill="1" applyBorder="1" applyAlignment="1">
      <alignment horizontal="center" vertical="center" wrapText="1"/>
    </xf>
    <xf numFmtId="0" fontId="9" fillId="0" borderId="40" xfId="0" applyFont="1" applyBorder="1" applyAlignment="1" applyProtection="1">
      <alignment horizontal="left" vertical="center" wrapText="1"/>
      <protection locked="0"/>
    </xf>
    <xf numFmtId="0" fontId="19" fillId="12" borderId="6" xfId="0" applyFont="1" applyFill="1" applyBorder="1" applyAlignment="1">
      <alignment horizontal="center" vertical="center" wrapText="1"/>
    </xf>
    <xf numFmtId="0" fontId="6" fillId="0" borderId="35" xfId="0" applyFont="1" applyBorder="1" applyProtection="1">
      <protection locked="0"/>
    </xf>
    <xf numFmtId="0" fontId="20" fillId="0" borderId="9" xfId="0" applyFont="1" applyBorder="1" applyAlignment="1" applyProtection="1">
      <alignment horizontal="center" wrapText="1"/>
      <protection locked="0"/>
    </xf>
    <xf numFmtId="0" fontId="21" fillId="0" borderId="10" xfId="0" applyFont="1" applyBorder="1" applyAlignment="1" applyProtection="1">
      <alignment horizontal="center" wrapText="1"/>
      <protection locked="0"/>
    </xf>
    <xf numFmtId="0" fontId="8" fillId="11" borderId="14" xfId="0" applyFont="1" applyFill="1" applyBorder="1" applyAlignment="1">
      <alignment horizontal="center" vertical="center" wrapText="1"/>
    </xf>
    <xf numFmtId="0" fontId="8" fillId="11" borderId="20" xfId="0" applyFont="1" applyFill="1" applyBorder="1" applyAlignment="1">
      <alignment horizontal="center" vertical="center" wrapText="1"/>
    </xf>
    <xf numFmtId="0" fontId="5" fillId="11" borderId="41" xfId="0" applyFont="1" applyFill="1" applyBorder="1" applyAlignment="1">
      <alignment horizontal="center" vertical="center"/>
    </xf>
    <xf numFmtId="0" fontId="5" fillId="11" borderId="15" xfId="0" applyFont="1" applyFill="1" applyBorder="1" applyAlignment="1">
      <alignment horizontal="center" vertical="center"/>
    </xf>
    <xf numFmtId="0" fontId="5" fillId="11" borderId="20" xfId="0" applyFont="1" applyFill="1" applyBorder="1" applyAlignment="1">
      <alignment horizontal="center" vertical="center" wrapText="1"/>
    </xf>
    <xf numFmtId="0" fontId="4" fillId="11" borderId="14" xfId="0" applyFont="1" applyFill="1" applyBorder="1" applyAlignment="1">
      <alignment horizontal="center" vertical="center" wrapText="1"/>
    </xf>
    <xf numFmtId="0" fontId="4" fillId="11" borderId="15" xfId="0" applyFont="1" applyFill="1" applyBorder="1" applyAlignment="1">
      <alignment horizontal="center" vertical="center" wrapText="1"/>
    </xf>
    <xf numFmtId="0" fontId="0" fillId="0" borderId="42" xfId="0" applyBorder="1"/>
    <xf numFmtId="1" fontId="22" fillId="0" borderId="13" xfId="0" applyNumberFormat="1" applyFont="1" applyBorder="1" applyAlignment="1" applyProtection="1">
      <alignment horizontal="center"/>
      <protection locked="0"/>
    </xf>
    <xf numFmtId="0" fontId="6" fillId="0" borderId="13" xfId="0" applyFont="1" applyBorder="1" applyProtection="1">
      <protection locked="0"/>
    </xf>
    <xf numFmtId="0" fontId="22" fillId="0" borderId="13" xfId="0" applyFont="1" applyBorder="1" applyAlignment="1" applyProtection="1">
      <alignment horizontal="center"/>
      <protection locked="0"/>
    </xf>
    <xf numFmtId="164" fontId="6" fillId="0" borderId="33" xfId="0" applyNumberFormat="1" applyFont="1" applyBorder="1" applyAlignment="1" applyProtection="1">
      <alignment horizontal="center"/>
      <protection locked="0"/>
    </xf>
    <xf numFmtId="0" fontId="6" fillId="0" borderId="42" xfId="0" applyFont="1" applyBorder="1" applyAlignment="1" applyProtection="1">
      <alignment horizontal="center" wrapText="1"/>
      <protection locked="0"/>
    </xf>
    <xf numFmtId="0" fontId="6" fillId="0" borderId="13" xfId="0" applyFont="1" applyBorder="1" applyAlignment="1" applyProtection="1">
      <alignment horizontal="center" wrapText="1"/>
      <protection locked="0"/>
    </xf>
    <xf numFmtId="1" fontId="22" fillId="8" borderId="5" xfId="0" applyNumberFormat="1" applyFont="1" applyFill="1" applyBorder="1" applyAlignment="1" applyProtection="1">
      <alignment horizontal="center"/>
      <protection locked="0"/>
    </xf>
    <xf numFmtId="0" fontId="6" fillId="8" borderId="5" xfId="0" applyFont="1" applyFill="1" applyBorder="1" applyProtection="1">
      <protection locked="0"/>
    </xf>
    <xf numFmtId="0" fontId="22" fillId="8" borderId="5" xfId="0" applyFont="1" applyFill="1" applyBorder="1" applyAlignment="1" applyProtection="1">
      <alignment horizontal="center"/>
      <protection locked="0"/>
    </xf>
    <xf numFmtId="0" fontId="15" fillId="8" borderId="4" xfId="0" applyFont="1" applyFill="1" applyBorder="1" applyAlignment="1" applyProtection="1">
      <alignment horizontal="center" vertical="top" wrapText="1"/>
      <protection locked="0"/>
    </xf>
    <xf numFmtId="0" fontId="6" fillId="8" borderId="5" xfId="0" applyFont="1" applyFill="1" applyBorder="1" applyAlignment="1" applyProtection="1">
      <alignment horizontal="center" wrapText="1"/>
      <protection locked="0"/>
    </xf>
    <xf numFmtId="1" fontId="22" fillId="0" borderId="5" xfId="0" applyNumberFormat="1" applyFont="1" applyBorder="1" applyAlignment="1" applyProtection="1">
      <alignment horizontal="center"/>
      <protection locked="0"/>
    </xf>
    <xf numFmtId="0" fontId="22" fillId="0" borderId="5" xfId="0" applyFont="1" applyBorder="1" applyAlignment="1" applyProtection="1">
      <alignment horizontal="center"/>
      <protection locked="0"/>
    </xf>
    <xf numFmtId="0" fontId="15" fillId="15" borderId="4" xfId="0" applyFont="1" applyFill="1" applyBorder="1" applyAlignment="1" applyProtection="1">
      <alignment horizontal="center" vertical="top" wrapText="1"/>
      <protection locked="0"/>
    </xf>
    <xf numFmtId="1" fontId="6" fillId="0" borderId="5" xfId="0" applyNumberFormat="1" applyFont="1" applyBorder="1" applyAlignment="1" applyProtection="1">
      <alignment horizontal="center"/>
      <protection locked="0"/>
    </xf>
    <xf numFmtId="0" fontId="6" fillId="0" borderId="5" xfId="0" applyFont="1" applyBorder="1" applyProtection="1">
      <protection locked="0"/>
    </xf>
    <xf numFmtId="1" fontId="6" fillId="8" borderId="5" xfId="0" applyNumberFormat="1" applyFont="1" applyFill="1" applyBorder="1" applyAlignment="1" applyProtection="1">
      <alignment horizontal="center"/>
      <protection locked="0"/>
    </xf>
    <xf numFmtId="164" fontId="6" fillId="0" borderId="6" xfId="0" applyNumberFormat="1" applyFont="1" applyBorder="1" applyAlignment="1" applyProtection="1">
      <alignment horizontal="center"/>
      <protection locked="0"/>
    </xf>
    <xf numFmtId="0" fontId="6" fillId="8" borderId="5" xfId="0" applyFont="1" applyFill="1" applyBorder="1" applyAlignment="1" applyProtection="1">
      <alignment horizontal="center"/>
      <protection locked="0"/>
    </xf>
    <xf numFmtId="164" fontId="6" fillId="8" borderId="6" xfId="0" applyNumberFormat="1" applyFont="1" applyFill="1" applyBorder="1" applyAlignment="1" applyProtection="1">
      <alignment horizontal="center"/>
      <protection locked="0"/>
    </xf>
    <xf numFmtId="0" fontId="6" fillId="0" borderId="5" xfId="0" applyFont="1" applyBorder="1" applyAlignment="1" applyProtection="1">
      <alignment horizontal="center"/>
      <protection locked="0"/>
    </xf>
    <xf numFmtId="0" fontId="0" fillId="0" borderId="0" xfId="0" applyAlignment="1">
      <alignment horizontal="center" vertical="center" wrapText="1"/>
    </xf>
    <xf numFmtId="0" fontId="8" fillId="5" borderId="2" xfId="0" applyFont="1" applyFill="1" applyBorder="1" applyAlignment="1" applyProtection="1">
      <alignment horizontal="center" vertical="center" wrapText="1"/>
      <protection hidden="1"/>
    </xf>
    <xf numFmtId="0" fontId="3" fillId="6" borderId="43" xfId="0" applyFont="1" applyFill="1" applyBorder="1"/>
    <xf numFmtId="0" fontId="3" fillId="6" borderId="17" xfId="0" applyFont="1" applyFill="1" applyBorder="1"/>
    <xf numFmtId="0" fontId="19" fillId="11" borderId="4" xfId="0" applyFont="1" applyFill="1" applyBorder="1" applyAlignment="1">
      <alignment horizontal="center" vertical="center" wrapText="1"/>
    </xf>
    <xf numFmtId="0" fontId="24" fillId="11" borderId="5" xfId="0" applyFont="1" applyFill="1" applyBorder="1" applyAlignment="1">
      <alignment horizontal="center" vertical="center" wrapText="1"/>
    </xf>
    <xf numFmtId="0" fontId="15" fillId="5" borderId="5" xfId="0" applyFont="1" applyFill="1" applyBorder="1" applyAlignment="1">
      <alignment horizontal="center" vertical="center" wrapText="1"/>
    </xf>
    <xf numFmtId="0" fontId="4" fillId="11" borderId="51" xfId="0" applyFont="1" applyFill="1" applyBorder="1" applyAlignment="1">
      <alignment horizontal="center" vertical="center" wrapText="1"/>
    </xf>
    <xf numFmtId="0" fontId="4" fillId="17" borderId="14" xfId="0" applyFont="1" applyFill="1" applyBorder="1" applyAlignment="1">
      <alignment horizontal="center" vertical="center" wrapText="1"/>
    </xf>
    <xf numFmtId="0" fontId="4" fillId="17" borderId="52" xfId="0" applyFont="1" applyFill="1" applyBorder="1" applyAlignment="1">
      <alignment horizontal="center" vertical="center" wrapText="1"/>
    </xf>
    <xf numFmtId="0" fontId="4" fillId="17" borderId="15" xfId="0" applyFont="1" applyFill="1" applyBorder="1" applyAlignment="1">
      <alignment horizontal="center" vertical="center" wrapText="1"/>
    </xf>
    <xf numFmtId="1" fontId="6" fillId="5" borderId="13" xfId="0" applyNumberFormat="1" applyFont="1" applyFill="1" applyBorder="1" applyAlignment="1">
      <alignment horizontal="center"/>
    </xf>
    <xf numFmtId="1" fontId="6" fillId="5" borderId="33" xfId="0" applyNumberFormat="1" applyFont="1" applyFill="1" applyBorder="1" applyAlignment="1">
      <alignment horizontal="center"/>
    </xf>
    <xf numFmtId="1" fontId="6" fillId="0" borderId="42" xfId="0" applyNumberFormat="1" applyFont="1" applyBorder="1" applyAlignment="1" applyProtection="1">
      <alignment horizontal="center"/>
      <protection locked="0"/>
    </xf>
    <xf numFmtId="1" fontId="6" fillId="0" borderId="32" xfId="0" applyNumberFormat="1" applyFont="1" applyBorder="1" applyAlignment="1" applyProtection="1">
      <alignment horizontal="center"/>
      <protection locked="0"/>
    </xf>
    <xf numFmtId="1" fontId="6" fillId="0" borderId="13" xfId="0" applyNumberFormat="1" applyFont="1" applyBorder="1" applyAlignment="1" applyProtection="1">
      <alignment horizontal="center"/>
      <protection locked="0"/>
    </xf>
    <xf numFmtId="1" fontId="6" fillId="5" borderId="5" xfId="0" applyNumberFormat="1" applyFont="1" applyFill="1" applyBorder="1" applyAlignment="1">
      <alignment horizontal="center"/>
    </xf>
    <xf numFmtId="1" fontId="6" fillId="5" borderId="6" xfId="0" applyNumberFormat="1" applyFont="1" applyFill="1" applyBorder="1" applyAlignment="1">
      <alignment horizontal="center"/>
    </xf>
    <xf numFmtId="1" fontId="6" fillId="8" borderId="4" xfId="0" applyNumberFormat="1" applyFont="1" applyFill="1" applyBorder="1" applyAlignment="1" applyProtection="1">
      <alignment horizontal="center"/>
      <protection locked="0"/>
    </xf>
    <xf numFmtId="1" fontId="6" fillId="8" borderId="26" xfId="0" applyNumberFormat="1" applyFont="1" applyFill="1" applyBorder="1" applyAlignment="1" applyProtection="1">
      <alignment horizontal="center"/>
      <protection locked="0"/>
    </xf>
    <xf numFmtId="1" fontId="6" fillId="0" borderId="4" xfId="0" applyNumberFormat="1" applyFont="1" applyBorder="1" applyAlignment="1" applyProtection="1">
      <alignment horizontal="center"/>
      <protection locked="0"/>
    </xf>
    <xf numFmtId="1" fontId="6" fillId="0" borderId="26" xfId="0" applyNumberFormat="1" applyFont="1" applyBorder="1" applyAlignment="1" applyProtection="1">
      <alignment horizontal="center"/>
      <protection locked="0"/>
    </xf>
    <xf numFmtId="0" fontId="3" fillId="6" borderId="21" xfId="0" applyFont="1" applyFill="1" applyBorder="1"/>
    <xf numFmtId="0" fontId="3" fillId="6" borderId="0" xfId="0" applyFont="1" applyFill="1"/>
    <xf numFmtId="0" fontId="3" fillId="6" borderId="45" xfId="0" applyFont="1" applyFill="1" applyBorder="1"/>
    <xf numFmtId="0" fontId="26" fillId="16" borderId="0" xfId="0" applyFont="1" applyFill="1"/>
    <xf numFmtId="0" fontId="5" fillId="17" borderId="20" xfId="0" applyFont="1" applyFill="1" applyBorder="1" applyAlignment="1">
      <alignment horizontal="center" vertical="center" wrapText="1"/>
    </xf>
    <xf numFmtId="0" fontId="5" fillId="17" borderId="51" xfId="0" applyFont="1" applyFill="1" applyBorder="1" applyAlignment="1">
      <alignment horizontal="center" vertical="center" wrapText="1"/>
    </xf>
    <xf numFmtId="0" fontId="5" fillId="17" borderId="37" xfId="0" applyFont="1" applyFill="1" applyBorder="1" applyAlignment="1">
      <alignment horizontal="center" vertical="center"/>
    </xf>
    <xf numFmtId="0" fontId="26" fillId="0" borderId="0" xfId="0" applyFont="1"/>
    <xf numFmtId="9" fontId="6" fillId="5" borderId="13" xfId="0" applyNumberFormat="1" applyFont="1" applyFill="1" applyBorder="1" applyAlignment="1">
      <alignment horizontal="center"/>
    </xf>
    <xf numFmtId="1" fontId="6" fillId="0" borderId="33" xfId="0" applyNumberFormat="1" applyFont="1" applyBorder="1" applyAlignment="1" applyProtection="1">
      <alignment horizontal="center"/>
      <protection locked="0"/>
    </xf>
    <xf numFmtId="1" fontId="6" fillId="5" borderId="32" xfId="0" applyNumberFormat="1" applyFont="1" applyFill="1" applyBorder="1" applyAlignment="1">
      <alignment horizontal="center"/>
    </xf>
    <xf numFmtId="1" fontId="6" fillId="0" borderId="33" xfId="0" applyNumberFormat="1" applyFont="1" applyBorder="1" applyProtection="1">
      <protection locked="0"/>
    </xf>
    <xf numFmtId="10" fontId="26" fillId="0" borderId="0" xfId="0" applyNumberFormat="1" applyFont="1"/>
    <xf numFmtId="9" fontId="6" fillId="5" borderId="5" xfId="0" applyNumberFormat="1" applyFont="1" applyFill="1" applyBorder="1" applyAlignment="1">
      <alignment horizontal="center"/>
    </xf>
    <xf numFmtId="1" fontId="6" fillId="8" borderId="6" xfId="0" applyNumberFormat="1" applyFont="1" applyFill="1" applyBorder="1" applyAlignment="1" applyProtection="1">
      <alignment horizontal="center"/>
      <protection locked="0"/>
    </xf>
    <xf numFmtId="1" fontId="6" fillId="5" borderId="26" xfId="0" applyNumberFormat="1" applyFont="1" applyFill="1" applyBorder="1" applyAlignment="1">
      <alignment horizontal="center"/>
    </xf>
    <xf numFmtId="1" fontId="6" fillId="8" borderId="6" xfId="0" applyNumberFormat="1" applyFont="1" applyFill="1" applyBorder="1" applyProtection="1">
      <protection locked="0"/>
    </xf>
    <xf numFmtId="1" fontId="6" fillId="0" borderId="6" xfId="0" applyNumberFormat="1" applyFont="1" applyBorder="1" applyAlignment="1" applyProtection="1">
      <alignment horizontal="center"/>
      <protection locked="0"/>
    </xf>
    <xf numFmtId="1" fontId="6" fillId="0" borderId="6" xfId="0" applyNumberFormat="1" applyFont="1" applyBorder="1" applyProtection="1">
      <protection locked="0"/>
    </xf>
    <xf numFmtId="1" fontId="6" fillId="8" borderId="6" xfId="0" applyNumberFormat="1" applyFont="1" applyFill="1" applyBorder="1" applyAlignment="1" applyProtection="1">
      <alignment horizontal="center" vertical="center"/>
      <protection locked="0"/>
    </xf>
    <xf numFmtId="9" fontId="26" fillId="0" borderId="0" xfId="0" applyNumberFormat="1" applyFont="1"/>
    <xf numFmtId="0" fontId="0" fillId="8" borderId="8" xfId="0" applyFill="1" applyBorder="1"/>
    <xf numFmtId="1" fontId="6" fillId="0" borderId="9" xfId="0" applyNumberFormat="1" applyFont="1" applyBorder="1" applyAlignment="1" applyProtection="1">
      <alignment horizontal="center"/>
      <protection locked="0"/>
    </xf>
    <xf numFmtId="0" fontId="6" fillId="0" borderId="9" xfId="0" applyFont="1" applyBorder="1" applyProtection="1">
      <protection locked="0"/>
    </xf>
    <xf numFmtId="0" fontId="6" fillId="0" borderId="9" xfId="0" applyFont="1" applyBorder="1" applyAlignment="1" applyProtection="1">
      <alignment horizontal="center"/>
      <protection locked="0"/>
    </xf>
    <xf numFmtId="164" fontId="6" fillId="0" borderId="10" xfId="0" applyNumberFormat="1" applyFont="1" applyBorder="1" applyAlignment="1" applyProtection="1">
      <alignment horizontal="center"/>
      <protection locked="0"/>
    </xf>
    <xf numFmtId="0" fontId="15" fillId="0" borderId="8" xfId="0" applyFont="1" applyBorder="1" applyAlignment="1" applyProtection="1">
      <alignment horizontal="center" vertical="top" wrapText="1"/>
      <protection locked="0"/>
    </xf>
    <xf numFmtId="0" fontId="6" fillId="8" borderId="9" xfId="0" applyFont="1" applyFill="1" applyBorder="1" applyAlignment="1" applyProtection="1">
      <alignment horizontal="center" wrapText="1"/>
      <protection locked="0"/>
    </xf>
    <xf numFmtId="1" fontId="6" fillId="8" borderId="9" xfId="0" applyNumberFormat="1" applyFont="1" applyFill="1" applyBorder="1" applyAlignment="1" applyProtection="1">
      <alignment horizontal="center"/>
      <protection locked="0"/>
    </xf>
    <xf numFmtId="1" fontId="6" fillId="5" borderId="9" xfId="0" applyNumberFormat="1" applyFont="1" applyFill="1" applyBorder="1" applyAlignment="1">
      <alignment horizontal="center"/>
    </xf>
    <xf numFmtId="1" fontId="6" fillId="5" borderId="10" xfId="0" applyNumberFormat="1" applyFont="1" applyFill="1" applyBorder="1" applyAlignment="1">
      <alignment horizontal="center"/>
    </xf>
    <xf numFmtId="1" fontId="6" fillId="8" borderId="8" xfId="0" applyNumberFormat="1" applyFont="1" applyFill="1" applyBorder="1" applyAlignment="1" applyProtection="1">
      <alignment horizontal="center"/>
      <protection locked="0"/>
    </xf>
    <xf numFmtId="1" fontId="6" fillId="8" borderId="55" xfId="0" applyNumberFormat="1" applyFont="1" applyFill="1" applyBorder="1" applyAlignment="1" applyProtection="1">
      <alignment horizontal="center"/>
      <protection locked="0"/>
    </xf>
    <xf numFmtId="9" fontId="6" fillId="5" borderId="9" xfId="0" applyNumberFormat="1" applyFont="1" applyFill="1" applyBorder="1" applyAlignment="1">
      <alignment horizontal="center"/>
    </xf>
    <xf numFmtId="1" fontId="6" fillId="8" borderId="10" xfId="0" applyNumberFormat="1" applyFont="1" applyFill="1" applyBorder="1" applyAlignment="1" applyProtection="1">
      <alignment horizontal="center"/>
      <protection locked="0"/>
    </xf>
    <xf numFmtId="1" fontId="6" fillId="5" borderId="55" xfId="0" applyNumberFormat="1" applyFont="1" applyFill="1" applyBorder="1" applyAlignment="1">
      <alignment horizontal="center"/>
    </xf>
    <xf numFmtId="1" fontId="6" fillId="8" borderId="10" xfId="0" applyNumberFormat="1" applyFont="1" applyFill="1" applyBorder="1" applyProtection="1">
      <protection locked="0"/>
    </xf>
    <xf numFmtId="0" fontId="0" fillId="0" borderId="0" xfId="0" quotePrefix="1"/>
    <xf numFmtId="1" fontId="28" fillId="0" borderId="33" xfId="0" applyNumberFormat="1" applyFont="1" applyBorder="1" applyAlignment="1" applyProtection="1">
      <alignment horizontal="center"/>
      <protection locked="0"/>
    </xf>
    <xf numFmtId="1" fontId="28" fillId="8" borderId="6" xfId="0" applyNumberFormat="1" applyFont="1" applyFill="1" applyBorder="1" applyAlignment="1" applyProtection="1">
      <alignment horizontal="center"/>
      <protection locked="0"/>
    </xf>
    <xf numFmtId="1" fontId="28" fillId="0" borderId="6" xfId="0" applyNumberFormat="1" applyFont="1" applyBorder="1" applyAlignment="1" applyProtection="1">
      <alignment horizontal="center"/>
      <protection locked="0"/>
    </xf>
    <xf numFmtId="1" fontId="6" fillId="0" borderId="6" xfId="0" applyNumberFormat="1" applyFont="1" applyBorder="1" applyAlignment="1" applyProtection="1">
      <alignment wrapText="1"/>
      <protection locked="0"/>
    </xf>
    <xf numFmtId="0" fontId="25" fillId="0" borderId="18" xfId="0" applyFont="1" applyBorder="1" applyAlignment="1">
      <alignment horizontal="center" vertical="center" wrapText="1"/>
    </xf>
    <xf numFmtId="0" fontId="25" fillId="0" borderId="48" xfId="0" applyFont="1" applyBorder="1" applyAlignment="1">
      <alignment horizontal="center" vertical="center" wrapText="1"/>
    </xf>
    <xf numFmtId="0" fontId="1" fillId="12" borderId="53" xfId="0" applyFont="1" applyFill="1" applyBorder="1" applyAlignment="1">
      <alignment horizontal="center"/>
    </xf>
    <xf numFmtId="0" fontId="1" fillId="12" borderId="0" xfId="0" applyFont="1" applyFill="1" applyAlignment="1">
      <alignment horizontal="center"/>
    </xf>
    <xf numFmtId="0" fontId="1" fillId="12" borderId="45" xfId="0" applyFont="1" applyFill="1" applyBorder="1" applyAlignment="1">
      <alignment horizontal="center"/>
    </xf>
    <xf numFmtId="0" fontId="1" fillId="12" borderId="49" xfId="0" applyFont="1" applyFill="1" applyBorder="1" applyAlignment="1">
      <alignment horizontal="center"/>
    </xf>
    <xf numFmtId="0" fontId="1" fillId="12" borderId="11" xfId="0" applyFont="1" applyFill="1" applyBorder="1" applyAlignment="1">
      <alignment horizontal="center"/>
    </xf>
    <xf numFmtId="0" fontId="1" fillId="12" borderId="54" xfId="0" applyFont="1" applyFill="1" applyBorder="1" applyAlignment="1">
      <alignment horizontal="center"/>
    </xf>
    <xf numFmtId="0" fontId="1" fillId="11" borderId="44" xfId="0" applyFont="1" applyFill="1" applyBorder="1" applyAlignment="1">
      <alignment horizontal="center" vertical="center" wrapText="1"/>
    </xf>
    <xf numFmtId="0" fontId="1" fillId="11" borderId="0" xfId="0" applyFont="1" applyFill="1" applyAlignment="1">
      <alignment horizontal="center" vertical="center" wrapText="1"/>
    </xf>
    <xf numFmtId="0" fontId="1" fillId="11" borderId="39" xfId="0" applyFont="1" applyFill="1" applyBorder="1" applyAlignment="1">
      <alignment horizontal="center" vertical="center" wrapText="1"/>
    </xf>
    <xf numFmtId="0" fontId="1" fillId="11" borderId="36" xfId="0" applyFont="1" applyFill="1" applyBorder="1" applyAlignment="1">
      <alignment horizontal="center" vertical="center" wrapText="1"/>
    </xf>
    <xf numFmtId="0" fontId="18" fillId="0" borderId="40" xfId="0" applyFont="1" applyBorder="1" applyAlignment="1">
      <alignment horizontal="center" vertical="center" wrapText="1"/>
    </xf>
    <xf numFmtId="0" fontId="18" fillId="0" borderId="30" xfId="0" applyFont="1" applyBorder="1" applyAlignment="1">
      <alignment horizontal="center" vertical="center" wrapText="1"/>
    </xf>
    <xf numFmtId="0" fontId="18" fillId="0" borderId="49" xfId="0" applyFont="1" applyBorder="1" applyAlignment="1">
      <alignment horizontal="center" vertical="center" wrapText="1"/>
    </xf>
    <xf numFmtId="0" fontId="18" fillId="0" borderId="50" xfId="0" applyFont="1" applyBorder="1" applyAlignment="1">
      <alignment horizontal="center" vertical="center" wrapText="1"/>
    </xf>
    <xf numFmtId="0" fontId="4" fillId="11" borderId="38" xfId="0" applyFont="1" applyFill="1" applyBorder="1" applyAlignment="1">
      <alignment horizontal="center" vertical="center" wrapText="1"/>
    </xf>
    <xf numFmtId="0" fontId="4" fillId="11" borderId="29" xfId="0" applyFont="1" applyFill="1" applyBorder="1" applyAlignment="1">
      <alignment horizontal="center" vertical="center"/>
    </xf>
    <xf numFmtId="0" fontId="4" fillId="11" borderId="39" xfId="0" applyFont="1" applyFill="1" applyBorder="1" applyAlignment="1">
      <alignment horizontal="center" vertical="center"/>
    </xf>
    <xf numFmtId="0" fontId="4" fillId="11" borderId="36" xfId="0" applyFont="1" applyFill="1" applyBorder="1" applyAlignment="1">
      <alignment horizontal="center" vertical="center"/>
    </xf>
    <xf numFmtId="0" fontId="1" fillId="11" borderId="29" xfId="0" applyFont="1" applyFill="1" applyBorder="1" applyAlignment="1">
      <alignment horizontal="right"/>
    </xf>
    <xf numFmtId="0" fontId="4" fillId="17" borderId="15" xfId="0" applyFont="1" applyFill="1" applyBorder="1" applyAlignment="1">
      <alignment horizontal="center" vertical="center" wrapText="1"/>
    </xf>
    <xf numFmtId="0" fontId="18" fillId="0" borderId="4" xfId="0" applyFont="1" applyBorder="1" applyAlignment="1">
      <alignment horizontal="center" vertical="center" wrapText="1"/>
    </xf>
    <xf numFmtId="0" fontId="18" fillId="0" borderId="7" xfId="0" applyFont="1" applyBorder="1" applyAlignment="1">
      <alignment horizontal="center" vertical="center" wrapText="1"/>
    </xf>
    <xf numFmtId="0" fontId="18" fillId="0" borderId="5" xfId="0" applyFont="1" applyBorder="1" applyAlignment="1">
      <alignment horizontal="center" vertical="center" wrapText="1"/>
    </xf>
    <xf numFmtId="0" fontId="18" fillId="0" borderId="18" xfId="0" applyFont="1" applyBorder="1" applyAlignment="1">
      <alignment horizontal="center" vertical="center" wrapText="1"/>
    </xf>
    <xf numFmtId="0" fontId="18" fillId="0" borderId="46" xfId="0" applyFont="1" applyBorder="1" applyAlignment="1">
      <alignment horizontal="center" vertical="center" wrapText="1"/>
    </xf>
    <xf numFmtId="0" fontId="23" fillId="16" borderId="21" xfId="0" applyFont="1" applyFill="1" applyBorder="1" applyAlignment="1">
      <alignment horizontal="center" vertical="center" wrapText="1"/>
    </xf>
    <xf numFmtId="0" fontId="23" fillId="16" borderId="45" xfId="0" applyFont="1" applyFill="1" applyBorder="1" applyAlignment="1">
      <alignment horizontal="center" vertical="center" wrapText="1"/>
    </xf>
    <xf numFmtId="0" fontId="18" fillId="0" borderId="47" xfId="0" applyFont="1" applyBorder="1" applyAlignment="1">
      <alignment horizontal="center" vertical="center" wrapText="1"/>
    </xf>
    <xf numFmtId="0" fontId="18" fillId="0" borderId="48" xfId="0" applyFont="1" applyBorder="1" applyAlignment="1">
      <alignment horizontal="center" vertical="center" wrapText="1"/>
    </xf>
    <xf numFmtId="0" fontId="8" fillId="11" borderId="4" xfId="0" applyFont="1" applyFill="1" applyBorder="1" applyAlignment="1">
      <alignment horizontal="right" wrapText="1"/>
    </xf>
    <xf numFmtId="0" fontId="8" fillId="11" borderId="19" xfId="0" applyFont="1" applyFill="1" applyBorder="1" applyAlignment="1">
      <alignment horizontal="right" wrapText="1"/>
    </xf>
    <xf numFmtId="0" fontId="17" fillId="12" borderId="5" xfId="0" applyFont="1" applyFill="1" applyBorder="1" applyAlignment="1">
      <alignment horizontal="center" vertical="center" wrapText="1"/>
    </xf>
    <xf numFmtId="0" fontId="17" fillId="12" borderId="6" xfId="0" applyFont="1" applyFill="1" applyBorder="1" applyAlignment="1">
      <alignment horizontal="center" vertical="center" wrapText="1"/>
    </xf>
    <xf numFmtId="0" fontId="24" fillId="11" borderId="5" xfId="0" applyFont="1" applyFill="1" applyBorder="1" applyAlignment="1">
      <alignment horizontal="center" vertical="center" wrapText="1"/>
    </xf>
    <xf numFmtId="0" fontId="13" fillId="14" borderId="36" xfId="0" applyFont="1" applyFill="1" applyBorder="1" applyAlignment="1">
      <alignment horizontal="center" vertical="center"/>
    </xf>
    <xf numFmtId="0" fontId="8" fillId="11" borderId="4" xfId="0" applyFont="1" applyFill="1" applyBorder="1" applyAlignment="1">
      <alignment horizontal="right"/>
    </xf>
    <xf numFmtId="0" fontId="8" fillId="11" borderId="19" xfId="0" applyFont="1" applyFill="1" applyBorder="1" applyAlignment="1">
      <alignment horizontal="right"/>
    </xf>
    <xf numFmtId="0" fontId="11" fillId="11" borderId="2" xfId="0" applyFont="1" applyFill="1" applyBorder="1" applyAlignment="1" applyProtection="1">
      <alignment horizontal="center" wrapText="1"/>
      <protection locked="0"/>
    </xf>
    <xf numFmtId="0" fontId="11" fillId="11" borderId="3" xfId="0" applyFont="1" applyFill="1" applyBorder="1" applyAlignment="1" applyProtection="1">
      <alignment horizontal="center" wrapText="1"/>
      <protection locked="0"/>
    </xf>
    <xf numFmtId="0" fontId="12" fillId="11" borderId="2" xfId="0" applyFont="1" applyFill="1" applyBorder="1" applyAlignment="1">
      <alignment horizontal="center" vertical="center"/>
    </xf>
    <xf numFmtId="0" fontId="8" fillId="11" borderId="36" xfId="0" applyFont="1" applyFill="1" applyBorder="1" applyAlignment="1">
      <alignment horizontal="right" wrapText="1"/>
    </xf>
    <xf numFmtId="0" fontId="8" fillId="11" borderId="32" xfId="0" applyFont="1" applyFill="1" applyBorder="1" applyAlignment="1">
      <alignment horizontal="right" wrapText="1"/>
    </xf>
    <xf numFmtId="0" fontId="8" fillId="11" borderId="4" xfId="0" applyFont="1" applyFill="1" applyBorder="1" applyAlignment="1">
      <alignment horizontal="center" wrapText="1"/>
    </xf>
    <xf numFmtId="0" fontId="8" fillId="11" borderId="5" xfId="0" applyFont="1" applyFill="1" applyBorder="1" applyAlignment="1">
      <alignment horizontal="center" wrapText="1"/>
    </xf>
    <xf numFmtId="0" fontId="9" fillId="11" borderId="19" xfId="0" applyFont="1" applyFill="1" applyBorder="1" applyAlignment="1">
      <alignment horizontal="left" wrapText="1"/>
    </xf>
    <xf numFmtId="0" fontId="9" fillId="11" borderId="26" xfId="0" applyFont="1" applyFill="1" applyBorder="1" applyAlignment="1">
      <alignment horizontal="left" wrapText="1"/>
    </xf>
    <xf numFmtId="0" fontId="11" fillId="13" borderId="19" xfId="0" applyFont="1" applyFill="1" applyBorder="1" applyAlignment="1">
      <alignment horizontal="center" wrapText="1"/>
    </xf>
    <xf numFmtId="0" fontId="11" fillId="13" borderId="26" xfId="0" applyFont="1" applyFill="1" applyBorder="1" applyAlignment="1">
      <alignment horizontal="center" wrapText="1"/>
    </xf>
    <xf numFmtId="0" fontId="12" fillId="13" borderId="22" xfId="0" applyFont="1" applyFill="1" applyBorder="1" applyAlignment="1">
      <alignment horizontal="center" wrapText="1"/>
    </xf>
    <xf numFmtId="0" fontId="12" fillId="13" borderId="30" xfId="0" applyFont="1" applyFill="1" applyBorder="1" applyAlignment="1">
      <alignment horizontal="center" vertical="center"/>
    </xf>
    <xf numFmtId="0" fontId="12" fillId="13" borderId="32" xfId="0" applyFont="1" applyFill="1" applyBorder="1" applyAlignment="1">
      <alignment horizontal="center" vertical="center"/>
    </xf>
    <xf numFmtId="0" fontId="8" fillId="11" borderId="1" xfId="0" applyFont="1" applyFill="1" applyBorder="1" applyAlignment="1">
      <alignment horizontal="center" wrapText="1"/>
    </xf>
    <xf numFmtId="0" fontId="8" fillId="11" borderId="2" xfId="0" applyFont="1" applyFill="1" applyBorder="1" applyAlignment="1">
      <alignment horizontal="center" wrapText="1"/>
    </xf>
    <xf numFmtId="0" fontId="9" fillId="11" borderId="2" xfId="0" applyFont="1" applyFill="1" applyBorder="1" applyAlignment="1">
      <alignment horizontal="left" wrapText="1"/>
    </xf>
    <xf numFmtId="0" fontId="10" fillId="12" borderId="24" xfId="0" applyFont="1" applyFill="1" applyBorder="1" applyAlignment="1">
      <alignment horizontal="right" wrapText="1"/>
    </xf>
    <xf numFmtId="0" fontId="10" fillId="12" borderId="25" xfId="0" applyFont="1" applyFill="1" applyBorder="1" applyAlignment="1">
      <alignment horizontal="right" wrapText="1"/>
    </xf>
    <xf numFmtId="0" fontId="10" fillId="12" borderId="27" xfId="0" applyFont="1" applyFill="1" applyBorder="1" applyAlignment="1">
      <alignment horizontal="right" wrapText="1"/>
    </xf>
    <xf numFmtId="0" fontId="9" fillId="11" borderId="5" xfId="0" applyFont="1" applyFill="1" applyBorder="1" applyAlignment="1">
      <alignment horizontal="left" wrapText="1"/>
    </xf>
    <xf numFmtId="0" fontId="8" fillId="11" borderId="19" xfId="0" applyFont="1" applyFill="1" applyBorder="1" applyAlignment="1">
      <alignment horizontal="center" wrapText="1"/>
    </xf>
    <xf numFmtId="0" fontId="8" fillId="11" borderId="22" xfId="0" applyFont="1" applyFill="1" applyBorder="1" applyAlignment="1">
      <alignment horizontal="center" wrapText="1"/>
    </xf>
    <xf numFmtId="0" fontId="8" fillId="11" borderId="26" xfId="0" applyFont="1" applyFill="1" applyBorder="1" applyAlignment="1">
      <alignment horizontal="center" wrapText="1"/>
    </xf>
    <xf numFmtId="0" fontId="5" fillId="5" borderId="2" xfId="0" applyFont="1" applyFill="1" applyBorder="1" applyAlignment="1" applyProtection="1">
      <alignment horizontal="center" wrapText="1"/>
      <protection hidden="1"/>
    </xf>
    <xf numFmtId="0" fontId="5" fillId="5" borderId="3" xfId="0" applyFont="1" applyFill="1" applyBorder="1" applyAlignment="1" applyProtection="1">
      <alignment horizontal="center" wrapText="1"/>
      <protection hidden="1"/>
    </xf>
    <xf numFmtId="0" fontId="1" fillId="5" borderId="16" xfId="0" applyFont="1" applyFill="1" applyBorder="1" applyAlignment="1">
      <alignment horizontal="center"/>
    </xf>
    <xf numFmtId="0" fontId="1" fillId="5" borderId="17" xfId="0" applyFont="1" applyFill="1" applyBorder="1" applyAlignment="1">
      <alignment horizontal="center"/>
    </xf>
    <xf numFmtId="0" fontId="1" fillId="5" borderId="21" xfId="0" applyFont="1" applyFill="1" applyBorder="1" applyAlignment="1">
      <alignment horizontal="center"/>
    </xf>
    <xf numFmtId="0" fontId="5" fillId="5" borderId="19" xfId="0" applyFont="1" applyFill="1" applyBorder="1" applyAlignment="1" applyProtection="1">
      <alignment horizontal="center" wrapText="1"/>
      <protection hidden="1"/>
    </xf>
    <xf numFmtId="0" fontId="5" fillId="5" borderId="22" xfId="0" applyFont="1" applyFill="1" applyBorder="1" applyAlignment="1" applyProtection="1">
      <alignment horizontal="center" wrapText="1"/>
      <protection hidden="1"/>
    </xf>
    <xf numFmtId="0" fontId="5" fillId="5" borderId="23" xfId="0" applyFont="1" applyFill="1" applyBorder="1" applyAlignment="1" applyProtection="1">
      <alignment horizontal="center" wrapText="1"/>
      <protection hidden="1"/>
    </xf>
    <xf numFmtId="0" fontId="1" fillId="5" borderId="1" xfId="0" applyFont="1" applyFill="1" applyBorder="1" applyAlignment="1" applyProtection="1">
      <alignment horizontal="center"/>
      <protection hidden="1"/>
    </xf>
    <xf numFmtId="0" fontId="1" fillId="5" borderId="4" xfId="0" applyFont="1" applyFill="1" applyBorder="1" applyAlignment="1" applyProtection="1">
      <alignment horizontal="center"/>
      <protection hidden="1"/>
    </xf>
    <xf numFmtId="0" fontId="5" fillId="5" borderId="4" xfId="0" applyFont="1" applyFill="1" applyBorder="1" applyAlignment="1">
      <alignment horizontal="center"/>
    </xf>
    <xf numFmtId="0" fontId="5" fillId="5" borderId="5" xfId="0" applyFont="1" applyFill="1" applyBorder="1" applyAlignment="1">
      <alignment horizontal="center" wrapText="1"/>
    </xf>
    <xf numFmtId="0" fontId="1" fillId="5" borderId="2" xfId="0" applyFont="1" applyFill="1" applyBorder="1" applyAlignment="1" applyProtection="1">
      <alignment horizontal="center"/>
      <protection hidden="1"/>
    </xf>
    <xf numFmtId="0" fontId="1" fillId="5" borderId="5" xfId="0" applyFont="1" applyFill="1" applyBorder="1" applyAlignment="1" applyProtection="1">
      <alignment horizontal="center"/>
      <protection hidden="1"/>
    </xf>
    <xf numFmtId="0" fontId="4" fillId="5" borderId="2" xfId="0" applyFont="1" applyFill="1" applyBorder="1" applyAlignment="1" applyProtection="1">
      <alignment horizontal="center" wrapText="1"/>
      <protection hidden="1"/>
    </xf>
    <xf numFmtId="0" fontId="4" fillId="5" borderId="5" xfId="0" applyFont="1" applyFill="1" applyBorder="1" applyAlignment="1" applyProtection="1">
      <alignment horizontal="center" wrapText="1"/>
      <protection hidden="1"/>
    </xf>
    <xf numFmtId="0" fontId="4" fillId="5" borderId="2" xfId="0" applyFont="1" applyFill="1" applyBorder="1" applyAlignment="1" applyProtection="1">
      <alignment horizontal="center" vertical="center" wrapText="1"/>
      <protection hidden="1"/>
    </xf>
    <xf numFmtId="0" fontId="4" fillId="5" borderId="5" xfId="0" applyFont="1" applyFill="1" applyBorder="1" applyAlignment="1" applyProtection="1">
      <alignment horizontal="center" vertical="center" wrapText="1"/>
      <protection hidden="1"/>
    </xf>
    <xf numFmtId="0" fontId="3" fillId="6" borderId="0" xfId="0" applyFont="1" applyFill="1" applyAlignment="1">
      <alignment horizontal="left"/>
    </xf>
    <xf numFmtId="0" fontId="1" fillId="0" borderId="0" xfId="0" applyFont="1" applyAlignment="1">
      <alignment horizontal="right" indent="3"/>
    </xf>
    <xf numFmtId="0" fontId="1" fillId="0" borderId="11" xfId="0" applyFont="1" applyBorder="1" applyAlignment="1">
      <alignment horizontal="right" indent="3"/>
    </xf>
    <xf numFmtId="0" fontId="0" fillId="0" borderId="11" xfId="0" applyBorder="1" applyAlignment="1">
      <alignment horizontal="left"/>
    </xf>
    <xf numFmtId="0" fontId="1" fillId="0" borderId="0" xfId="0" applyFont="1" applyAlignment="1">
      <alignment horizontal="center"/>
    </xf>
    <xf numFmtId="0" fontId="2" fillId="5" borderId="2" xfId="0" applyFont="1" applyFill="1" applyBorder="1" applyAlignment="1">
      <alignment horizontal="center" vertical="center"/>
    </xf>
    <xf numFmtId="0" fontId="2" fillId="5" borderId="3" xfId="0" applyFont="1" applyFill="1" applyBorder="1" applyAlignment="1">
      <alignment horizontal="center" vertical="center"/>
    </xf>
  </cellXfs>
  <cellStyles count="2">
    <cellStyle name="Normal" xfId="0" builtinId="0"/>
    <cellStyle name="Percent" xfId="1" builtinId="5"/>
  </cellStyles>
  <dxfs count="19">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theme="0" tint="-0.24994659260841701"/>
      </font>
    </dxf>
    <dxf>
      <font>
        <color theme="0" tint="-0.24994659260841701"/>
      </font>
    </dxf>
    <dxf>
      <font>
        <color rgb="FF9C0006"/>
      </font>
      <fill>
        <patternFill patternType="solid">
          <bgColor rgb="FFFFC7CE"/>
        </patternFill>
      </fill>
    </dxf>
    <dxf>
      <font>
        <color rgb="FF006100"/>
      </font>
      <fill>
        <patternFill patternType="solid">
          <bgColor rgb="FFC6EFCE"/>
        </patternFill>
      </fill>
    </dxf>
    <dxf>
      <fill>
        <patternFill patternType="solid">
          <bgColor theme="1" tint="0.14993743705557422"/>
        </patternFill>
      </fill>
    </dxf>
    <dxf>
      <font>
        <color rgb="FF9C0006"/>
      </font>
      <fill>
        <patternFill patternType="solid">
          <bgColor rgb="FFFFC7CE"/>
        </patternFill>
      </fill>
    </dxf>
    <dxf>
      <font>
        <color rgb="FF9C0006"/>
      </font>
      <fill>
        <patternFill patternType="solid">
          <bgColor rgb="FFFFC7CE"/>
        </patternFill>
      </fill>
    </dxf>
    <dxf>
      <font>
        <b/>
        <i val="0"/>
        <color rgb="FFFF0000"/>
      </font>
    </dxf>
    <dxf>
      <font>
        <color rgb="FF9C0006"/>
      </font>
      <fill>
        <patternFill patternType="solid">
          <bgColor rgb="FFFFC7CE"/>
        </patternFill>
      </fill>
    </dxf>
    <dxf>
      <fill>
        <patternFill patternType="solid">
          <bgColor rgb="FFF69582"/>
        </patternFill>
      </fill>
    </dxf>
    <dxf>
      <font>
        <color theme="1" tint="0.24994659260841701"/>
      </font>
      <fill>
        <patternFill patternType="solid">
          <bgColor theme="1" tint="0.24994659260841701"/>
        </patternFill>
      </fill>
    </dxf>
    <dxf>
      <font>
        <color theme="1" tint="0.24994659260841701"/>
      </font>
      <fill>
        <patternFill patternType="solid">
          <bgColor theme="1" tint="0.24994659260841701"/>
        </patternFill>
      </fill>
    </dxf>
    <dxf>
      <font>
        <color theme="1"/>
      </font>
      <fill>
        <patternFill patternType="solid">
          <bgColor theme="1"/>
        </patternFill>
      </fill>
    </dxf>
    <dxf>
      <font>
        <b val="0"/>
        <i val="0"/>
        <color theme="0" tint="-0.499984740745262"/>
      </font>
    </dxf>
    <dxf>
      <font>
        <color theme="0" tint="-0.24994659260841701"/>
      </font>
    </dxf>
    <dxf>
      <font>
        <color theme="0" tint="-0.24994659260841701"/>
      </font>
    </dxf>
  </dxfs>
  <tableStyles count="0" defaultTableStyle="TableStyleMedium2" defaultPivotStyle="PivotStyleLight16"/>
  <colors>
    <mruColors>
      <color rgb="FFFF6600"/>
      <color rgb="FFF69582"/>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 Id="rId14" Type="http://schemas.openxmlformats.org/officeDocument/2006/relationships/customXml" Target="../customXml/item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Grade 1 Learners Assessed In</a:t>
            </a:r>
            <a:r>
              <a:rPr lang="en-US" baseline="0"/>
              <a:t> Mother Tongue By Reading Profile</a:t>
            </a:r>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Summary'!$H$15</c:f>
              <c:strCache>
                <c:ptCount val="1"/>
                <c:pt idx="0">
                  <c:v>Low Emerging Reader</c:v>
                </c:pt>
              </c:strCache>
            </c:strRef>
          </c:tx>
          <c:spPr>
            <a:solidFill>
              <a:srgbClr val="C0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Summary'!$H$16:$H$18</c:f>
              <c:numCache>
                <c:formatCode>0%</c:formatCode>
                <c:ptCount val="3"/>
                <c:pt idx="0">
                  <c:v>0.3</c:v>
                </c:pt>
                <c:pt idx="1">
                  <c:v>0</c:v>
                </c:pt>
                <c:pt idx="2">
                  <c:v>0.21428571428571427</c:v>
                </c:pt>
              </c:numCache>
            </c:numRef>
          </c:val>
          <c:extLst>
            <c:ext xmlns:c16="http://schemas.microsoft.com/office/drawing/2014/chart" uri="{C3380CC4-5D6E-409C-BE32-E72D297353CC}">
              <c16:uniqueId val="{00000000-E140-4AC1-B3F5-74A13DEA2BB3}"/>
            </c:ext>
          </c:extLst>
        </c:ser>
        <c:ser>
          <c:idx val="1"/>
          <c:order val="1"/>
          <c:tx>
            <c:strRef>
              <c:f>'Class Summary'!$I$15</c:f>
              <c:strCache>
                <c:ptCount val="1"/>
                <c:pt idx="0">
                  <c:v>High Emerging Reader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Summary'!$I$16:$I$18</c:f>
              <c:numCache>
                <c:formatCode>0%</c:formatCode>
                <c:ptCount val="3"/>
                <c:pt idx="0">
                  <c:v>0</c:v>
                </c:pt>
                <c:pt idx="1">
                  <c:v>0</c:v>
                </c:pt>
                <c:pt idx="2">
                  <c:v>0</c:v>
                </c:pt>
              </c:numCache>
            </c:numRef>
          </c:val>
          <c:extLst>
            <c:ext xmlns:c16="http://schemas.microsoft.com/office/drawing/2014/chart" uri="{C3380CC4-5D6E-409C-BE32-E72D297353CC}">
              <c16:uniqueId val="{00000001-E140-4AC1-B3F5-74A13DEA2BB3}"/>
            </c:ext>
          </c:extLst>
        </c:ser>
        <c:ser>
          <c:idx val="2"/>
          <c:order val="2"/>
          <c:tx>
            <c:strRef>
              <c:f>'Class Summary'!$J$15</c:f>
              <c:strCache>
                <c:ptCount val="1"/>
                <c:pt idx="0">
                  <c:v>Developing Reader</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Summary'!$J$16:$J$18</c:f>
              <c:numCache>
                <c:formatCode>0%</c:formatCode>
                <c:ptCount val="3"/>
                <c:pt idx="0">
                  <c:v>0.1</c:v>
                </c:pt>
                <c:pt idx="1">
                  <c:v>0</c:v>
                </c:pt>
                <c:pt idx="2">
                  <c:v>7.1428571428571425E-2</c:v>
                </c:pt>
              </c:numCache>
            </c:numRef>
          </c:val>
          <c:extLst>
            <c:ext xmlns:c16="http://schemas.microsoft.com/office/drawing/2014/chart" uri="{C3380CC4-5D6E-409C-BE32-E72D297353CC}">
              <c16:uniqueId val="{00000002-E140-4AC1-B3F5-74A13DEA2BB3}"/>
            </c:ext>
          </c:extLst>
        </c:ser>
        <c:ser>
          <c:idx val="3"/>
          <c:order val="3"/>
          <c:tx>
            <c:strRef>
              <c:f>'Class Summary'!$K$15</c:f>
              <c:strCache>
                <c:ptCount val="1"/>
                <c:pt idx="0">
                  <c:v>Transitioning Reader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Summary'!$K$16:$K$18</c:f>
              <c:numCache>
                <c:formatCode>0%</c:formatCode>
                <c:ptCount val="3"/>
                <c:pt idx="0">
                  <c:v>0.3</c:v>
                </c:pt>
                <c:pt idx="1">
                  <c:v>0</c:v>
                </c:pt>
                <c:pt idx="2">
                  <c:v>0.21428571428571427</c:v>
                </c:pt>
              </c:numCache>
            </c:numRef>
          </c:val>
          <c:extLst>
            <c:ext xmlns:c16="http://schemas.microsoft.com/office/drawing/2014/chart" uri="{C3380CC4-5D6E-409C-BE32-E72D297353CC}">
              <c16:uniqueId val="{00000003-E140-4AC1-B3F5-74A13DEA2BB3}"/>
            </c:ext>
          </c:extLst>
        </c:ser>
        <c:ser>
          <c:idx val="4"/>
          <c:order val="4"/>
          <c:tx>
            <c:strRef>
              <c:f>'Class Summary'!$L$15</c:f>
              <c:strCache>
                <c:ptCount val="1"/>
                <c:pt idx="0">
                  <c:v>Reading At Grade Level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Summary'!$L$16:$L$18</c:f>
              <c:numCache>
                <c:formatCode>0%</c:formatCode>
                <c:ptCount val="3"/>
                <c:pt idx="0">
                  <c:v>0.3</c:v>
                </c:pt>
                <c:pt idx="1">
                  <c:v>1</c:v>
                </c:pt>
                <c:pt idx="2">
                  <c:v>0.5</c:v>
                </c:pt>
              </c:numCache>
            </c:numRef>
          </c:val>
          <c:extLst>
            <c:ext xmlns:c16="http://schemas.microsoft.com/office/drawing/2014/chart" uri="{C3380CC4-5D6E-409C-BE32-E72D297353CC}">
              <c16:uniqueId val="{00000004-E140-4AC1-B3F5-74A13DEA2BB3}"/>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86adc9aa-1287-46cf-b62e-5ef8b499c44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31482513030676801"/>
          <c:y val="4.1392392273854703E-2"/>
        </c:manualLayout>
      </c:layout>
      <c:overlay val="0"/>
      <c:spPr>
        <a:noFill/>
        <a:ln>
          <a:noFill/>
        </a:ln>
        <a:effectLst/>
      </c:spPr>
      <c:txPr>
        <a:bodyPr rot="0" spcFirstLastPara="1" vertOverflow="ellipsis" vert="horz" wrap="square" anchor="ctr" anchorCtr="1"/>
        <a:lstStyle/>
        <a:p>
          <a:pPr>
            <a:defRPr lang="en-US" sz="14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27931556424356901"/>
          <c:y val="0.14026210265383501"/>
          <c:w val="0.46641666666666698"/>
          <c:h val="0.77736111111111095"/>
        </c:manualLayout>
      </c:layout>
      <c:pieChart>
        <c:varyColors val="1"/>
        <c:ser>
          <c:idx val="0"/>
          <c:order val="0"/>
          <c:tx>
            <c:strRef>
              <c:f>'Class Summary'!$G$6</c:f>
              <c:strCache>
                <c:ptCount val="1"/>
                <c:pt idx="0">
                  <c:v>Number of Learners Assessed</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B8EB-435D-B97E-A26E24A0F7C2}"/>
              </c:ext>
            </c:extLst>
          </c:dPt>
          <c:dPt>
            <c:idx val="1"/>
            <c:bubble3D val="0"/>
            <c:spPr>
              <a:solidFill>
                <a:srgbClr val="FF6600"/>
              </a:solidFill>
              <a:ln w="19050">
                <a:solidFill>
                  <a:schemeClr val="lt1"/>
                </a:solidFill>
              </a:ln>
              <a:effectLst/>
            </c:spPr>
            <c:extLst>
              <c:ext xmlns:c16="http://schemas.microsoft.com/office/drawing/2014/chart" uri="{C3380CC4-5D6E-409C-BE32-E72D297353CC}">
                <c16:uniqueId val="{00000003-B8EB-435D-B97E-A26E24A0F7C2}"/>
              </c:ext>
            </c:extLst>
          </c:dPt>
          <c:dLbls>
            <c:dLbl>
              <c:idx val="0"/>
              <c:layout>
                <c:manualLayout>
                  <c:x val="-0.11582819839816499"/>
                  <c:y val="8.9861393773881405E-3"/>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1-B8EB-435D-B97E-A26E24A0F7C2}"/>
                </c:ext>
              </c:extLst>
            </c:dLbl>
            <c:dLbl>
              <c:idx val="1"/>
              <c:layout>
                <c:manualLayout>
                  <c:x val="0.172759334236776"/>
                  <c:y val="-6.4924014449141101E-2"/>
                </c:manualLayout>
              </c:layout>
              <c:spPr>
                <a:solidFill>
                  <a:srgbClr val="FFC000"/>
                </a:solidFill>
                <a:ln>
                  <a:noFill/>
                </a:ln>
                <a:effectLst/>
              </c:spPr>
              <c:txPr>
                <a:bodyPr rot="0" spcFirstLastPara="1" vertOverflow="ellipsis" vert="horz" wrap="square" lIns="38100" tIns="19050" rIns="38100" bIns="19050" anchor="ctr" anchorCtr="1">
                  <a:spAutoFit/>
                </a:bodyPr>
                <a:lstStyle/>
                <a:p>
                  <a:pPr>
                    <a:defRPr lang="en-US" sz="1200" b="1"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 xmlns:c16="http://schemas.microsoft.com/office/drawing/2014/chart" uri="{C3380CC4-5D6E-409C-BE32-E72D297353CC}">
                  <c16:uniqueId val="{00000003-B8EB-435D-B97E-A26E24A0F7C2}"/>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lang="en-US"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extLst>
                <c:ext xmlns:c15="http://schemas.microsoft.com/office/drawing/2012/chart" uri="{02D57815-91ED-43cb-92C2-25804820EDAC}">
                  <c15:fullRef>
                    <c15:sqref>'Class Summary'!$E$7:$E$9</c15:sqref>
                  </c15:fullRef>
                </c:ext>
              </c:extLst>
              <c:f>'Class Summary'!$E$8:$E$9</c:f>
              <c:strCache>
                <c:ptCount val="2"/>
                <c:pt idx="0">
                  <c:v>Male</c:v>
                </c:pt>
                <c:pt idx="1">
                  <c:v>Female</c:v>
                </c:pt>
              </c:strCache>
            </c:strRef>
          </c:cat>
          <c:val>
            <c:numRef>
              <c:extLst>
                <c:ext xmlns:c15="http://schemas.microsoft.com/office/drawing/2012/chart" uri="{02D57815-91ED-43cb-92C2-25804820EDAC}">
                  <c15:fullRef>
                    <c15:sqref>'Class Summary'!$G$7:$G$9</c15:sqref>
                  </c15:fullRef>
                </c:ext>
              </c:extLst>
              <c:f>'Class Summary'!$G$8:$G$9</c:f>
              <c:numCache>
                <c:formatCode>General</c:formatCode>
                <c:ptCount val="2"/>
                <c:pt idx="0">
                  <c:v>10</c:v>
                </c:pt>
                <c:pt idx="1">
                  <c:v>4</c:v>
                </c:pt>
              </c:numCache>
            </c:numRef>
          </c:val>
          <c:extLst>
            <c:ext xmlns:c15="http://schemas.microsoft.com/office/drawing/2012/chart" uri="{02D57815-91ED-43cb-92C2-25804820EDAC}">
              <c15:categoryFilterExceptions/>
            </c:ext>
            <c:ext xmlns:c16="http://schemas.microsoft.com/office/drawing/2014/chart" uri="{C3380CC4-5D6E-409C-BE32-E72D297353CC}">
              <c16:uniqueId val="{00000004-B8EB-435D-B97E-A26E24A0F7C2}"/>
            </c:ext>
          </c:extLst>
        </c:ser>
        <c:dLbls>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uri="{0b15fc19-7d7d-44ad-8c2d-2c3a37ce22c3}">
        <chartProps xmlns="https://web.wps.cn/et/2018/main" chartId="{88295331-27ce-4ef6-9fed-474267234e78}"/>
      </c:ext>
    </c:extLst>
  </c:chart>
  <c:spPr>
    <a:noFill/>
    <a:ln w="9525" cap="flat" cmpd="sng" algn="ctr">
      <a:noFill/>
      <a:round/>
    </a:ln>
    <a:effectLst/>
  </c:spPr>
  <c:txPr>
    <a:bodyPr/>
    <a:lstStyle/>
    <a:p>
      <a:pPr>
        <a:defRPr lang="en-US"/>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PH"/>
              <a:t>Reading</a:t>
            </a:r>
            <a:r>
              <a:rPr lang="en-PH" baseline="0"/>
              <a:t> Fluency and Comprehesion  Average Percentage</a:t>
            </a:r>
            <a:endParaRPr lang="en-PH"/>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Summary'!$L$7</c:f>
              <c:strCache>
                <c:ptCount val="1"/>
                <c:pt idx="0">
                  <c:v>Reading Fluency</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Summary'!$L$8:$L$9,'Class Summary'!$L$11)</c:f>
              <c:numCache>
                <c:formatCode>0.00%</c:formatCode>
                <c:ptCount val="3"/>
                <c:pt idx="0">
                  <c:v>0.74285714285714288</c:v>
                </c:pt>
                <c:pt idx="1">
                  <c:v>1</c:v>
                </c:pt>
                <c:pt idx="2">
                  <c:v>0.87142857142857144</c:v>
                </c:pt>
              </c:numCache>
            </c:numRef>
          </c:val>
          <c:extLst>
            <c:ext xmlns:c16="http://schemas.microsoft.com/office/drawing/2014/chart" uri="{C3380CC4-5D6E-409C-BE32-E72D297353CC}">
              <c16:uniqueId val="{00000000-4089-4F98-A20B-86FEB5B26069}"/>
            </c:ext>
          </c:extLst>
        </c:ser>
        <c:ser>
          <c:idx val="1"/>
          <c:order val="1"/>
          <c:tx>
            <c:strRef>
              <c:f>'Class Summary'!$M$7</c:f>
              <c:strCache>
                <c:ptCount val="1"/>
                <c:pt idx="0">
                  <c:v>Reading Comprehension</c:v>
                </c:pt>
              </c:strCache>
            </c:strRef>
          </c:tx>
          <c:spPr>
            <a:solidFill>
              <a:srgbClr val="FF66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Summary'!$M$8:$M$9,'Class Summary'!$M$11)</c:f>
              <c:numCache>
                <c:formatCode>0.00%</c:formatCode>
                <c:ptCount val="3"/>
                <c:pt idx="0">
                  <c:v>0.68571428571428572</c:v>
                </c:pt>
                <c:pt idx="1">
                  <c:v>1</c:v>
                </c:pt>
                <c:pt idx="2">
                  <c:v>0.84285714285714286</c:v>
                </c:pt>
              </c:numCache>
            </c:numRef>
          </c:val>
          <c:extLst>
            <c:ext xmlns:c16="http://schemas.microsoft.com/office/drawing/2014/chart" uri="{C3380CC4-5D6E-409C-BE32-E72D297353CC}">
              <c16:uniqueId val="{00000001-4089-4F98-A20B-86FEB5B26069}"/>
            </c:ext>
          </c:extLst>
        </c:ser>
        <c:dLbls>
          <c:showLegendKey val="0"/>
          <c:showVal val="1"/>
          <c:showCatName val="0"/>
          <c:showSerName val="0"/>
          <c:showPercent val="0"/>
          <c:showBubbleSize val="0"/>
        </c:dLbls>
        <c:gapWidth val="219"/>
        <c:overlap val="-27"/>
        <c:axId val="1151450608"/>
        <c:axId val="1086050176"/>
      </c:barChart>
      <c:catAx>
        <c:axId val="1151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crossAx val="1086050176"/>
        <c:crosses val="autoZero"/>
        <c:auto val="1"/>
        <c:lblAlgn val="ctr"/>
        <c:lblOffset val="100"/>
        <c:noMultiLvlLbl val="0"/>
      </c:catAx>
      <c:valAx>
        <c:axId val="1086050176"/>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151450608"/>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f5bf4fc2-e27b-479e-a439-d6b17bf31955}"/>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US"/>
              <a:t>% of Grade 1 Learners Assessed Part 1 Level</a:t>
            </a:r>
            <a:endParaRPr lang="en-US" baseline="0"/>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'Class Summary'!$D$15</c:f>
              <c:strCache>
                <c:ptCount val="1"/>
                <c:pt idx="0">
                  <c:v>Full Refresher</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Summary'!$D$16:$D$18</c:f>
              <c:numCache>
                <c:formatCode>0%</c:formatCode>
                <c:ptCount val="3"/>
                <c:pt idx="0">
                  <c:v>0.3</c:v>
                </c:pt>
                <c:pt idx="1">
                  <c:v>0</c:v>
                </c:pt>
                <c:pt idx="2">
                  <c:v>0.21428571428571427</c:v>
                </c:pt>
              </c:numCache>
            </c:numRef>
          </c:val>
          <c:extLst>
            <c:ext xmlns:c16="http://schemas.microsoft.com/office/drawing/2014/chart" uri="{C3380CC4-5D6E-409C-BE32-E72D297353CC}">
              <c16:uniqueId val="{00000000-CB2A-409C-933A-A412E58F9628}"/>
            </c:ext>
          </c:extLst>
        </c:ser>
        <c:ser>
          <c:idx val="1"/>
          <c:order val="1"/>
          <c:tx>
            <c:strRef>
              <c:f>'Class Summary'!$E$15</c:f>
              <c:strCache>
                <c:ptCount val="1"/>
                <c:pt idx="0">
                  <c:v>Moderate Refresher</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Summary'!$E$16:$E$18</c:f>
              <c:numCache>
                <c:formatCode>0%</c:formatCode>
                <c:ptCount val="3"/>
                <c:pt idx="0">
                  <c:v>0</c:v>
                </c:pt>
                <c:pt idx="1">
                  <c:v>0</c:v>
                </c:pt>
                <c:pt idx="2">
                  <c:v>0</c:v>
                </c:pt>
              </c:numCache>
            </c:numRef>
          </c:val>
          <c:extLst>
            <c:ext xmlns:c16="http://schemas.microsoft.com/office/drawing/2014/chart" uri="{C3380CC4-5D6E-409C-BE32-E72D297353CC}">
              <c16:uniqueId val="{00000001-CB2A-409C-933A-A412E58F9628}"/>
            </c:ext>
          </c:extLst>
        </c:ser>
        <c:ser>
          <c:idx val="2"/>
          <c:order val="2"/>
          <c:tx>
            <c:strRef>
              <c:f>'Class Summary'!$F$15</c:f>
              <c:strCache>
                <c:ptCount val="1"/>
                <c:pt idx="0">
                  <c:v>Light Refresher</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Summary'!$F$16:$F$18</c:f>
              <c:numCache>
                <c:formatCode>0%</c:formatCode>
                <c:ptCount val="3"/>
                <c:pt idx="0">
                  <c:v>0.2</c:v>
                </c:pt>
                <c:pt idx="1">
                  <c:v>0</c:v>
                </c:pt>
                <c:pt idx="2">
                  <c:v>0.14285714285714285</c:v>
                </c:pt>
              </c:numCache>
            </c:numRef>
          </c:val>
          <c:extLst>
            <c:ext xmlns:c16="http://schemas.microsoft.com/office/drawing/2014/chart" uri="{C3380CC4-5D6E-409C-BE32-E72D297353CC}">
              <c16:uniqueId val="{00000002-CB2A-409C-933A-A412E58F9628}"/>
            </c:ext>
          </c:extLst>
        </c:ser>
        <c:ser>
          <c:idx val="3"/>
          <c:order val="3"/>
          <c:tx>
            <c:strRef>
              <c:f>'Class Summary'!$G$15</c:f>
              <c:strCache>
                <c:ptCount val="1"/>
                <c:pt idx="0">
                  <c:v>Grade Ready</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Summary'!$B$16:$B$18</c:f>
              <c:strCache>
                <c:ptCount val="3"/>
                <c:pt idx="0">
                  <c:v>Male</c:v>
                </c:pt>
                <c:pt idx="1">
                  <c:v>Female</c:v>
                </c:pt>
                <c:pt idx="2">
                  <c:v>Total</c:v>
                </c:pt>
              </c:strCache>
            </c:strRef>
          </c:cat>
          <c:val>
            <c:numRef>
              <c:f>'Class Summary'!$G$16:$G$18</c:f>
              <c:numCache>
                <c:formatCode>0%</c:formatCode>
                <c:ptCount val="3"/>
                <c:pt idx="0">
                  <c:v>0.5</c:v>
                </c:pt>
                <c:pt idx="1">
                  <c:v>1</c:v>
                </c:pt>
                <c:pt idx="2">
                  <c:v>0.6428571428571429</c:v>
                </c:pt>
              </c:numCache>
            </c:numRef>
          </c:val>
          <c:extLst>
            <c:ext xmlns:c16="http://schemas.microsoft.com/office/drawing/2014/chart" uri="{C3380CC4-5D6E-409C-BE32-E72D297353CC}">
              <c16:uniqueId val="{00000003-CB2A-409C-933A-A412E58F9628}"/>
            </c:ext>
          </c:extLst>
        </c:ser>
        <c:dLbls>
          <c:showLegendKey val="0"/>
          <c:showVal val="1"/>
          <c:showCatName val="0"/>
          <c:showSerName val="0"/>
          <c:showPercent val="0"/>
          <c:showBubbleSize val="0"/>
        </c:dLbls>
        <c:gapWidth val="219"/>
        <c:overlap val="-27"/>
        <c:axId val="194928544"/>
        <c:axId val="194934368"/>
      </c:barChart>
      <c:catAx>
        <c:axId val="194928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crossAx val="194934368"/>
        <c:crosses val="autoZero"/>
        <c:auto val="1"/>
        <c:lblAlgn val="ctr"/>
        <c:lblOffset val="100"/>
        <c:noMultiLvlLbl val="0"/>
      </c:catAx>
      <c:valAx>
        <c:axId val="19493436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mn-lt"/>
                <a:ea typeface="+mn-ea"/>
                <a:cs typeface="+mn-cs"/>
              </a:defRPr>
            </a:pPr>
            <a:endParaRPr lang="en-US"/>
          </a:p>
        </c:txPr>
        <c:crossAx val="1949285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ed0a330a-7dd5-4d18-8744-e012b8a731c1}"/>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r>
              <a:rPr lang="en-PH"/>
              <a:t>Reading</a:t>
            </a:r>
            <a:r>
              <a:rPr lang="en-PH" baseline="0"/>
              <a:t> Fluency and Comprehesion  Average Percentage</a:t>
            </a:r>
            <a:endParaRPr lang="en-PH"/>
          </a:p>
        </c:rich>
      </c:tx>
      <c:overlay val="0"/>
      <c:spPr>
        <a:noFill/>
        <a:ln>
          <a:noFill/>
        </a:ln>
        <a:effectLst/>
      </c:spPr>
      <c:txPr>
        <a:bodyPr rot="0" spcFirstLastPara="1" vertOverflow="ellipsis" vert="horz" wrap="square" anchor="ctr" anchorCtr="1"/>
        <a:lstStyle/>
        <a:p>
          <a:pPr>
            <a:defRPr lang="en-US" sz="1400" b="0" i="0" u="none" strike="noStrike" kern="1200" spc="0" baseline="0">
              <a:solidFill>
                <a:schemeClr val="tx1">
                  <a:lumMod val="65000"/>
                  <a:lumOff val="35000"/>
                </a:schemeClr>
              </a:solidFill>
              <a:latin typeface="+mn-lt"/>
              <a:ea typeface="+mn-ea"/>
              <a:cs typeface="+mn-cs"/>
            </a:defRPr>
          </a:pPr>
          <a:endParaRPr lang="en-PH"/>
        </a:p>
      </c:txPr>
    </c:title>
    <c:autoTitleDeleted val="0"/>
    <c:plotArea>
      <c:layout/>
      <c:barChart>
        <c:barDir val="col"/>
        <c:grouping val="clustered"/>
        <c:varyColors val="0"/>
        <c:ser>
          <c:idx val="0"/>
          <c:order val="0"/>
          <c:tx>
            <c:strRef>
              <c:f>'Class Summary'!$N$7</c:f>
              <c:strCache>
                <c:ptCount val="1"/>
                <c:pt idx="0">
                  <c:v>Average Word Per Minute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lang="en-US" sz="11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('Class Summary'!$E$8:$E$9,'Class Summary'!$E$11)</c:f>
              <c:strCache>
                <c:ptCount val="3"/>
                <c:pt idx="0">
                  <c:v>Male</c:v>
                </c:pt>
                <c:pt idx="1">
                  <c:v>Female</c:v>
                </c:pt>
                <c:pt idx="2">
                  <c:v>Total</c:v>
                </c:pt>
              </c:strCache>
            </c:strRef>
          </c:cat>
          <c:val>
            <c:numRef>
              <c:f>('Class Summary'!$N$8:$N$9,'Class Summary'!$N$11)</c:f>
              <c:numCache>
                <c:formatCode>0.00</c:formatCode>
                <c:ptCount val="3"/>
                <c:pt idx="0">
                  <c:v>37.142857142857146</c:v>
                </c:pt>
                <c:pt idx="1">
                  <c:v>50</c:v>
                </c:pt>
                <c:pt idx="2">
                  <c:v>43.571428571428569</c:v>
                </c:pt>
              </c:numCache>
            </c:numRef>
          </c:val>
          <c:extLst>
            <c:ext xmlns:c16="http://schemas.microsoft.com/office/drawing/2014/chart" uri="{C3380CC4-5D6E-409C-BE32-E72D297353CC}">
              <c16:uniqueId val="{00000000-1C10-4875-99BE-7F322182343F}"/>
            </c:ext>
          </c:extLst>
        </c:ser>
        <c:dLbls>
          <c:showLegendKey val="0"/>
          <c:showVal val="1"/>
          <c:showCatName val="0"/>
          <c:showSerName val="0"/>
          <c:showPercent val="0"/>
          <c:showBubbleSize val="0"/>
        </c:dLbls>
        <c:gapWidth val="219"/>
        <c:overlap val="-27"/>
        <c:axId val="1151450608"/>
        <c:axId val="1086050176"/>
      </c:barChart>
      <c:catAx>
        <c:axId val="1151450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1200" b="1" i="0" u="none" strike="noStrike" kern="1200" baseline="0">
                <a:solidFill>
                  <a:schemeClr val="tx1">
                    <a:lumMod val="65000"/>
                    <a:lumOff val="35000"/>
                  </a:schemeClr>
                </a:solidFill>
                <a:latin typeface="+mn-lt"/>
                <a:ea typeface="+mn-ea"/>
                <a:cs typeface="+mn-cs"/>
              </a:defRPr>
            </a:pPr>
            <a:endParaRPr lang="en-US"/>
          </a:p>
        </c:txPr>
        <c:crossAx val="1086050176"/>
        <c:crosses val="autoZero"/>
        <c:auto val="1"/>
        <c:lblAlgn val="ctr"/>
        <c:lblOffset val="100"/>
        <c:noMultiLvlLbl val="0"/>
      </c:catAx>
      <c:valAx>
        <c:axId val="1086050176"/>
        <c:scaling>
          <c:orientation val="minMax"/>
          <c:min val="0"/>
        </c:scaling>
        <c:delete val="1"/>
        <c:axPos val="l"/>
        <c:numFmt formatCode="0.00" sourceLinked="1"/>
        <c:majorTickMark val="none"/>
        <c:minorTickMark val="none"/>
        <c:tickLblPos val="nextTo"/>
        <c:crossAx val="1151450608"/>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lang="en-US"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uri="{0b15fc19-7d7d-44ad-8c2d-2c3a37ce22c3}">
        <chartProps xmlns="https://web.wps.cn/et/2018/main" chartId="{bc4f5e71-32a9-469e-9261-9c47ddad700b}"/>
      </c:ext>
    </c:extLst>
  </c:chart>
  <c:spPr>
    <a:solidFill>
      <a:schemeClr val="bg1"/>
    </a:solidFill>
    <a:ln w="9525" cap="flat" cmpd="sng" algn="ctr">
      <a:solidFill>
        <a:schemeClr val="tx1">
          <a:lumMod val="15000"/>
          <a:lumOff val="85000"/>
        </a:schemeClr>
      </a:solidFill>
      <a:round/>
    </a:ln>
    <a:effectLst/>
  </c:spPr>
  <c:txPr>
    <a:bodyPr/>
    <a:lstStyle/>
    <a:p>
      <a:pPr>
        <a:defRPr lang="en-US"/>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chart" Target="../charts/chart2.xml"/><Relationship Id="rId7" Type="http://schemas.openxmlformats.org/officeDocument/2006/relationships/chart" Target="../charts/chart5.xml"/><Relationship Id="rId2" Type="http://schemas.openxmlformats.org/officeDocument/2006/relationships/chart" Target="../charts/chart1.xml"/><Relationship Id="rId1" Type="http://schemas.openxmlformats.org/officeDocument/2006/relationships/image" Target="../media/image1.png"/><Relationship Id="rId6" Type="http://schemas.openxmlformats.org/officeDocument/2006/relationships/chart" Target="../charts/chart4.xml"/><Relationship Id="rId5" Type="http://schemas.openxmlformats.org/officeDocument/2006/relationships/image" Target="../media/image4.png"/><Relationship Id="rId4"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oneCellAnchor>
    <xdr:from>
      <xdr:col>7</xdr:col>
      <xdr:colOff>106680</xdr:colOff>
      <xdr:row>115</xdr:row>
      <xdr:rowOff>30480</xdr:rowOff>
    </xdr:from>
    <xdr:ext cx="184731" cy="264560"/>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6937375" y="22389465"/>
          <a:ext cx="184150" cy="2641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PH" sz="1100"/>
        </a:p>
      </xdr:txBody>
    </xdr:sp>
    <xdr:clientData/>
  </xdr:oneCellAnchor>
  <xdr:twoCellAnchor>
    <xdr:from>
      <xdr:col>0</xdr:col>
      <xdr:colOff>76200</xdr:colOff>
      <xdr:row>110</xdr:row>
      <xdr:rowOff>91440</xdr:rowOff>
    </xdr:from>
    <xdr:to>
      <xdr:col>13</xdr:col>
      <xdr:colOff>91197</xdr:colOff>
      <xdr:row>113</xdr:row>
      <xdr:rowOff>38100</xdr:rowOff>
    </xdr:to>
    <xdr:sp macro="" textlink="">
      <xdr:nvSpPr>
        <xdr:cNvPr id="11" name="TextBox 10">
          <a:extLst>
            <a:ext uri="{FF2B5EF4-FFF2-40B4-BE49-F238E27FC236}">
              <a16:creationId xmlns:a16="http://schemas.microsoft.com/office/drawing/2014/main" id="{00000000-0008-0000-0000-00000B000000}"/>
            </a:ext>
          </a:extLst>
        </xdr:cNvPr>
        <xdr:cNvSpPr txBox="1"/>
      </xdr:nvSpPr>
      <xdr:spPr>
        <a:xfrm>
          <a:off x="76200" y="21536025"/>
          <a:ext cx="11653520" cy="4953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20</xdr:col>
      <xdr:colOff>1059815</xdr:colOff>
      <xdr:row>110</xdr:row>
      <xdr:rowOff>114301</xdr:rowOff>
    </xdr:from>
    <xdr:to>
      <xdr:col>21</xdr:col>
      <xdr:colOff>1659561</xdr:colOff>
      <xdr:row>113</xdr:row>
      <xdr:rowOff>50665</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1"/>
        <a:stretch>
          <a:fillRect/>
        </a:stretch>
      </xdr:blipFill>
      <xdr:spPr>
        <a:xfrm>
          <a:off x="17164050" y="21558885"/>
          <a:ext cx="2230120" cy="484505"/>
        </a:xfrm>
        <a:prstGeom prst="rect">
          <a:avLst/>
        </a:prstGeom>
        <a:noFill/>
        <a:ln>
          <a:noFill/>
        </a:ln>
      </xdr:spPr>
    </xdr:pic>
    <xdr:clientData/>
  </xdr:twoCellAnchor>
  <xdr:twoCellAnchor>
    <xdr:from>
      <xdr:col>4</xdr:col>
      <xdr:colOff>162392</xdr:colOff>
      <xdr:row>0</xdr:row>
      <xdr:rowOff>100092</xdr:rowOff>
    </xdr:from>
    <xdr:to>
      <xdr:col>13</xdr:col>
      <xdr:colOff>181130</xdr:colOff>
      <xdr:row>2</xdr:row>
      <xdr:rowOff>201494</xdr:rowOff>
    </xdr:to>
    <xdr:sp macro="" textlink="">
      <xdr:nvSpPr>
        <xdr:cNvPr id="5" name="TextBox 4">
          <a:extLst>
            <a:ext uri="{FF2B5EF4-FFF2-40B4-BE49-F238E27FC236}">
              <a16:creationId xmlns:a16="http://schemas.microsoft.com/office/drawing/2014/main" id="{00000000-0008-0000-0000-000005000000}"/>
            </a:ext>
          </a:extLst>
        </xdr:cNvPr>
        <xdr:cNvSpPr txBox="1"/>
      </xdr:nvSpPr>
      <xdr:spPr>
        <a:xfrm>
          <a:off x="4904740" y="99695"/>
          <a:ext cx="6915150" cy="61214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noAutofit/>
        </a:bodyPr>
        <a:lstStyle/>
        <a:p>
          <a:pPr algn="l"/>
          <a:r>
            <a:rPr lang="en-PH" sz="1600" b="1"/>
            <a:t>Department of Education</a:t>
          </a:r>
        </a:p>
        <a:p>
          <a:pPr algn="l"/>
          <a:r>
            <a:rPr lang="en-PH" sz="1600" b="1"/>
            <a:t>Comprehensive Rapid Literacy Assessment (CRLA) Scoresheet</a:t>
          </a:r>
        </a:p>
      </xdr:txBody>
    </xdr:sp>
    <xdr:clientData/>
  </xdr:twoCellAnchor>
  <xdr:twoCellAnchor>
    <xdr:from>
      <xdr:col>17</xdr:col>
      <xdr:colOff>615091</xdr:colOff>
      <xdr:row>3</xdr:row>
      <xdr:rowOff>59720</xdr:rowOff>
    </xdr:from>
    <xdr:to>
      <xdr:col>21</xdr:col>
      <xdr:colOff>1709275</xdr:colOff>
      <xdr:row>4</xdr:row>
      <xdr:rowOff>154970</xdr:rowOff>
    </xdr:to>
    <xdr:sp macro="" textlink="">
      <xdr:nvSpPr>
        <xdr:cNvPr id="17" name="TextBox 16">
          <a:extLst>
            <a:ext uri="{FF2B5EF4-FFF2-40B4-BE49-F238E27FC236}">
              <a16:creationId xmlns:a16="http://schemas.microsoft.com/office/drawing/2014/main" id="{00000000-0008-0000-0000-000011000000}"/>
            </a:ext>
          </a:extLst>
        </xdr:cNvPr>
        <xdr:cNvSpPr txBox="1"/>
      </xdr:nvSpPr>
      <xdr:spPr>
        <a:xfrm>
          <a:off x="14425295" y="913130"/>
          <a:ext cx="5018405" cy="331470"/>
        </a:xfrm>
        <a:prstGeom prst="rect">
          <a:avLst/>
        </a:prstGeom>
        <a:no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r"/>
          <a:r>
            <a:rPr lang="en-PH" sz="1800" b="1">
              <a:solidFill>
                <a:schemeClr val="bg1"/>
              </a:solidFill>
            </a:rPr>
            <a:t>GRADE 1  Mother Tongue Reading Assessment Scoresheet</a:t>
          </a:r>
        </a:p>
      </xdr:txBody>
    </xdr:sp>
    <xdr:clientData/>
  </xdr:twoCellAnchor>
  <xdr:twoCellAnchor>
    <xdr:from>
      <xdr:col>19</xdr:col>
      <xdr:colOff>532022</xdr:colOff>
      <xdr:row>0</xdr:row>
      <xdr:rowOff>86599</xdr:rowOff>
    </xdr:from>
    <xdr:to>
      <xdr:col>21</xdr:col>
      <xdr:colOff>1550457</xdr:colOff>
      <xdr:row>2</xdr:row>
      <xdr:rowOff>225429</xdr:rowOff>
    </xdr:to>
    <xdr:grpSp>
      <xdr:nvGrpSpPr>
        <xdr:cNvPr id="9" name="Group 8">
          <a:extLst>
            <a:ext uri="{FF2B5EF4-FFF2-40B4-BE49-F238E27FC236}">
              <a16:creationId xmlns:a16="http://schemas.microsoft.com/office/drawing/2014/main" id="{00000000-0008-0000-0000-000009000000}"/>
            </a:ext>
          </a:extLst>
        </xdr:cNvPr>
        <xdr:cNvGrpSpPr/>
      </xdr:nvGrpSpPr>
      <xdr:grpSpPr>
        <a:xfrm>
          <a:off x="17657972" y="86599"/>
          <a:ext cx="3666385" cy="643655"/>
          <a:chOff x="16253460" y="45720"/>
          <a:chExt cx="3198311" cy="645560"/>
        </a:xfrm>
      </xdr:grpSpPr>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16524208" y="45720"/>
            <a:ext cx="2551828" cy="480696"/>
          </a:xfrm>
          <a:prstGeom prst="rect">
            <a:avLst/>
          </a:prstGeom>
          <a:noFill/>
          <a:ln>
            <a:noFill/>
          </a:ln>
        </xdr:spPr>
      </xdr:pic>
      <xdr:sp macro="" textlink="">
        <xdr:nvSpPr>
          <xdr:cNvPr id="8" name="TextBox 7">
            <a:extLst>
              <a:ext uri="{FF2B5EF4-FFF2-40B4-BE49-F238E27FC236}">
                <a16:creationId xmlns:a16="http://schemas.microsoft.com/office/drawing/2014/main" id="{00000000-0008-0000-0000-000008000000}"/>
              </a:ext>
            </a:extLst>
          </xdr:cNvPr>
          <xdr:cNvSpPr txBox="1"/>
        </xdr:nvSpPr>
        <xdr:spPr>
          <a:xfrm>
            <a:off x="16253460" y="426720"/>
            <a:ext cx="319831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PH" sz="1100" b="1">
                <a:solidFill>
                  <a:srgbClr val="FF0000"/>
                </a:solidFill>
              </a:rPr>
              <a:t>ABC+</a:t>
            </a:r>
            <a:r>
              <a:rPr lang="en-PH" sz="1100" b="1" baseline="0">
                <a:solidFill>
                  <a:srgbClr val="FF0000"/>
                </a:solidFill>
              </a:rPr>
              <a:t> : </a:t>
            </a:r>
            <a:r>
              <a:rPr lang="en-PH" sz="1100" b="1" baseline="0">
                <a:solidFill>
                  <a:srgbClr val="0070C0"/>
                </a:solidFill>
              </a:rPr>
              <a:t>Advancing Basic Education in the Philippines</a:t>
            </a:r>
            <a:endParaRPr lang="en-PH" sz="1100" b="1">
              <a:solidFill>
                <a:srgbClr val="0070C0"/>
              </a:solidFill>
            </a:endParaRPr>
          </a:p>
        </xdr:txBody>
      </xdr:sp>
    </xdr:grpSp>
    <xdr:clientData/>
  </xdr:twoCellAnchor>
  <xdr:twoCellAnchor editAs="oneCell">
    <xdr:from>
      <xdr:col>16</xdr:col>
      <xdr:colOff>56944</xdr:colOff>
      <xdr:row>4</xdr:row>
      <xdr:rowOff>146281</xdr:rowOff>
    </xdr:from>
    <xdr:to>
      <xdr:col>21</xdr:col>
      <xdr:colOff>1637733</xdr:colOff>
      <xdr:row>8</xdr:row>
      <xdr:rowOff>91811</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a:xfrm>
          <a:off x="13219430" y="1235710"/>
          <a:ext cx="6153150" cy="1065530"/>
        </a:xfrm>
        <a:prstGeom prst="rect">
          <a:avLst/>
        </a:prstGeom>
      </xdr:spPr>
    </xdr:pic>
    <xdr:clientData/>
  </xdr:twoCellAnchor>
  <xdr:twoCellAnchor editAs="oneCell">
    <xdr:from>
      <xdr:col>3</xdr:col>
      <xdr:colOff>97717</xdr:colOff>
      <xdr:row>0</xdr:row>
      <xdr:rowOff>18738</xdr:rowOff>
    </xdr:from>
    <xdr:to>
      <xdr:col>4</xdr:col>
      <xdr:colOff>59315</xdr:colOff>
      <xdr:row>2</xdr:row>
      <xdr:rowOff>326952</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3867150" y="18415"/>
          <a:ext cx="934720" cy="81851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99060</xdr:colOff>
      <xdr:row>107</xdr:row>
      <xdr:rowOff>99060</xdr:rowOff>
    </xdr:from>
    <xdr:to>
      <xdr:col>9</xdr:col>
      <xdr:colOff>902970</xdr:colOff>
      <xdr:row>110</xdr:row>
      <xdr:rowOff>41910</xdr:rowOff>
    </xdr:to>
    <xdr:sp macro="" textlink="">
      <xdr:nvSpPr>
        <xdr:cNvPr id="7" name="TextBox 6">
          <a:extLst>
            <a:ext uri="{FF2B5EF4-FFF2-40B4-BE49-F238E27FC236}">
              <a16:creationId xmlns:a16="http://schemas.microsoft.com/office/drawing/2014/main" id="{00000000-0008-0000-0100-000007000000}"/>
            </a:ext>
          </a:extLst>
        </xdr:cNvPr>
        <xdr:cNvSpPr txBox="1"/>
      </xdr:nvSpPr>
      <xdr:spPr>
        <a:xfrm>
          <a:off x="99060" y="20471130"/>
          <a:ext cx="9536430" cy="49149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900"/>
            <a:t>This Scoresheet is made possible with the assistance of USAID through </a:t>
          </a:r>
          <a:r>
            <a:rPr lang="en-PH" sz="900">
              <a:solidFill>
                <a:srgbClr val="FF0000"/>
              </a:solidFill>
            </a:rPr>
            <a:t>ABC+:</a:t>
          </a:r>
          <a:r>
            <a:rPr lang="en-PH" sz="900">
              <a:solidFill>
                <a:srgbClr val="0070C0"/>
              </a:solidFill>
            </a:rPr>
            <a:t> Advancing Basic Education in the Philippines</a:t>
          </a:r>
          <a:r>
            <a:rPr lang="en-PH" sz="9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10</xdr:col>
      <xdr:colOff>391160</xdr:colOff>
      <xdr:row>107</xdr:row>
      <xdr:rowOff>72391</xdr:rowOff>
    </xdr:from>
    <xdr:to>
      <xdr:col>10</xdr:col>
      <xdr:colOff>2630805</xdr:colOff>
      <xdr:row>109</xdr:row>
      <xdr:rowOff>133987</xdr:rowOff>
    </xdr:to>
    <xdr:pic>
      <xdr:nvPicPr>
        <xdr:cNvPr id="8" name="Picture 7">
          <a:extLst>
            <a:ext uri="{FF2B5EF4-FFF2-40B4-BE49-F238E27FC236}">
              <a16:creationId xmlns:a16="http://schemas.microsoft.com/office/drawing/2014/main" id="{00000000-0008-0000-0100-000008000000}"/>
            </a:ext>
          </a:extLst>
        </xdr:cNvPr>
        <xdr:cNvPicPr>
          <a:picLocks noChangeAspect="1"/>
        </xdr:cNvPicPr>
      </xdr:nvPicPr>
      <xdr:blipFill>
        <a:blip xmlns:r="http://schemas.openxmlformats.org/officeDocument/2006/relationships" r:embed="rId1"/>
        <a:stretch>
          <a:fillRect/>
        </a:stretch>
      </xdr:blipFill>
      <xdr:spPr>
        <a:xfrm>
          <a:off x="10525760" y="20444460"/>
          <a:ext cx="2239645" cy="427355"/>
        </a:xfrm>
        <a:prstGeom prst="rect">
          <a:avLst/>
        </a:prstGeom>
        <a:noFill/>
        <a:ln>
          <a:noFill/>
        </a:ln>
      </xdr:spPr>
    </xdr:pic>
    <xdr:clientData/>
  </xdr:twoCellAnchor>
  <xdr:twoCellAnchor editAs="oneCell">
    <xdr:from>
      <xdr:col>0</xdr:col>
      <xdr:colOff>167641</xdr:colOff>
      <xdr:row>0</xdr:row>
      <xdr:rowOff>60960</xdr:rowOff>
    </xdr:from>
    <xdr:to>
      <xdr:col>4</xdr:col>
      <xdr:colOff>648901</xdr:colOff>
      <xdr:row>2</xdr:row>
      <xdr:rowOff>247650</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2"/>
        <a:stretch>
          <a:fillRect/>
        </a:stretch>
      </xdr:blipFill>
      <xdr:spPr>
        <a:xfrm>
          <a:off x="167640" y="60960"/>
          <a:ext cx="4763135" cy="59817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298847</xdr:colOff>
      <xdr:row>66</xdr:row>
      <xdr:rowOff>37622</xdr:rowOff>
    </xdr:from>
    <xdr:to>
      <xdr:col>12</xdr:col>
      <xdr:colOff>47704</xdr:colOff>
      <xdr:row>70</xdr:row>
      <xdr:rowOff>106760</xdr:rowOff>
    </xdr:to>
    <xdr:sp macro="" textlink="">
      <xdr:nvSpPr>
        <xdr:cNvPr id="11" name="TextBox 10">
          <a:extLst>
            <a:ext uri="{FF2B5EF4-FFF2-40B4-BE49-F238E27FC236}">
              <a16:creationId xmlns:a16="http://schemas.microsoft.com/office/drawing/2014/main" id="{00000000-0008-0000-0200-00000B000000}"/>
            </a:ext>
          </a:extLst>
        </xdr:cNvPr>
        <xdr:cNvSpPr txBox="1"/>
      </xdr:nvSpPr>
      <xdr:spPr>
        <a:xfrm>
          <a:off x="298450" y="12303760"/>
          <a:ext cx="9304655" cy="6788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PH" sz="1000"/>
            <a:t>This Scoresheet is made possible with the assistance of USAID through </a:t>
          </a:r>
          <a:r>
            <a:rPr lang="en-PH" sz="1000">
              <a:solidFill>
                <a:srgbClr val="FF0000"/>
              </a:solidFill>
            </a:rPr>
            <a:t>ABC+:</a:t>
          </a:r>
          <a:r>
            <a:rPr lang="en-PH" sz="1000">
              <a:solidFill>
                <a:srgbClr val="0070C0"/>
              </a:solidFill>
            </a:rPr>
            <a:t> Advancing Basic Education in the Philippines</a:t>
          </a:r>
          <a:r>
            <a:rPr lang="en-PH" sz="1000"/>
            <a:t>. ABC+ Project is an early grades education project of the Department of Education in partnership with USAID and implemented by RTI International together with The Asia Foundation, SIL LEAD, and Florida State University.</a:t>
          </a:r>
        </a:p>
      </xdr:txBody>
    </xdr:sp>
    <xdr:clientData/>
  </xdr:twoCellAnchor>
  <xdr:twoCellAnchor editAs="oneCell">
    <xdr:from>
      <xdr:col>16</xdr:col>
      <xdr:colOff>247729</xdr:colOff>
      <xdr:row>64</xdr:row>
      <xdr:rowOff>112866</xdr:rowOff>
    </xdr:from>
    <xdr:to>
      <xdr:col>28</xdr:col>
      <xdr:colOff>205821</xdr:colOff>
      <xdr:row>69</xdr:row>
      <xdr:rowOff>95506</xdr:rowOff>
    </xdr:to>
    <xdr:pic>
      <xdr:nvPicPr>
        <xdr:cNvPr id="12" name="Picture 11">
          <a:extLst>
            <a:ext uri="{FF2B5EF4-FFF2-40B4-BE49-F238E27FC236}">
              <a16:creationId xmlns:a16="http://schemas.microsoft.com/office/drawing/2014/main" id="{00000000-0008-0000-0200-00000C000000}"/>
            </a:ext>
          </a:extLst>
        </xdr:cNvPr>
        <xdr:cNvPicPr>
          <a:picLocks noChangeAspect="1"/>
        </xdr:cNvPicPr>
      </xdr:nvPicPr>
      <xdr:blipFill>
        <a:blip xmlns:r="http://schemas.openxmlformats.org/officeDocument/2006/relationships" r:embed="rId1"/>
        <a:stretch>
          <a:fillRect/>
        </a:stretch>
      </xdr:blipFill>
      <xdr:spPr>
        <a:xfrm>
          <a:off x="12934950" y="12073890"/>
          <a:ext cx="2754630" cy="744855"/>
        </a:xfrm>
        <a:prstGeom prst="rect">
          <a:avLst/>
        </a:prstGeom>
      </xdr:spPr>
    </xdr:pic>
    <xdr:clientData/>
  </xdr:twoCellAnchor>
  <xdr:twoCellAnchor>
    <xdr:from>
      <xdr:col>0</xdr:col>
      <xdr:colOff>285828</xdr:colOff>
      <xdr:row>21</xdr:row>
      <xdr:rowOff>21590</xdr:rowOff>
    </xdr:from>
    <xdr:to>
      <xdr:col>11</xdr:col>
      <xdr:colOff>55561</xdr:colOff>
      <xdr:row>40</xdr:row>
      <xdr:rowOff>127874</xdr:rowOff>
    </xdr:to>
    <xdr:graphicFrame macro="">
      <xdr:nvGraphicFramePr>
        <xdr:cNvPr id="13" name="Chart 12">
          <a:extLst>
            <a:ext uri="{FF2B5EF4-FFF2-40B4-BE49-F238E27FC236}">
              <a16:creationId xmlns:a16="http://schemas.microsoft.com/office/drawing/2014/main" id="{00000000-0008-0000-0200-00000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245667</xdr:colOff>
      <xdr:row>11</xdr:row>
      <xdr:rowOff>85487</xdr:rowOff>
    </xdr:from>
    <xdr:to>
      <xdr:col>18</xdr:col>
      <xdr:colOff>37782</xdr:colOff>
      <xdr:row>21</xdr:row>
      <xdr:rowOff>1</xdr:rowOff>
    </xdr:to>
    <xdr:graphicFrame macro="">
      <xdr:nvGraphicFramePr>
        <xdr:cNvPr id="15" name="Chart 14">
          <a:extLst>
            <a:ext uri="{FF2B5EF4-FFF2-40B4-BE49-F238E27FC236}">
              <a16:creationId xmlns:a16="http://schemas.microsoft.com/office/drawing/2014/main" id="{00000000-0008-0000-02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137002</xdr:colOff>
      <xdr:row>21</xdr:row>
      <xdr:rowOff>9921</xdr:rowOff>
    </xdr:from>
    <xdr:to>
      <xdr:col>28</xdr:col>
      <xdr:colOff>210104</xdr:colOff>
      <xdr:row>41</xdr:row>
      <xdr:rowOff>39687</xdr:rowOff>
    </xdr:to>
    <xdr:graphicFrame macro="">
      <xdr:nvGraphicFramePr>
        <xdr:cNvPr id="16" name="Chart 15">
          <a:extLst>
            <a:ext uri="{FF2B5EF4-FFF2-40B4-BE49-F238E27FC236}">
              <a16:creationId xmlns:a16="http://schemas.microsoft.com/office/drawing/2014/main" id="{00000000-0008-0000-0200-00001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8</xdr:col>
      <xdr:colOff>63500</xdr:colOff>
      <xdr:row>0</xdr:row>
      <xdr:rowOff>85467</xdr:rowOff>
    </xdr:from>
    <xdr:to>
      <xdr:col>18</xdr:col>
      <xdr:colOff>324881</xdr:colOff>
      <xdr:row>4</xdr:row>
      <xdr:rowOff>92243</xdr:rowOff>
    </xdr:to>
    <xdr:pic>
      <xdr:nvPicPr>
        <xdr:cNvPr id="4" name="Picture 3">
          <a:extLst>
            <a:ext uri="{FF2B5EF4-FFF2-40B4-BE49-F238E27FC236}">
              <a16:creationId xmlns:a16="http://schemas.microsoft.com/office/drawing/2014/main" id="{00000000-0008-0000-0200-000004000000}"/>
            </a:ext>
          </a:extLst>
        </xdr:cNvPr>
        <xdr:cNvPicPr>
          <a:picLocks noChangeAspect="1"/>
        </xdr:cNvPicPr>
      </xdr:nvPicPr>
      <xdr:blipFill>
        <a:blip xmlns:r="http://schemas.openxmlformats.org/officeDocument/2006/relationships" r:embed="rId5"/>
        <a:stretch>
          <a:fillRect/>
        </a:stretch>
      </xdr:blipFill>
      <xdr:spPr>
        <a:xfrm>
          <a:off x="6685280" y="85090"/>
          <a:ext cx="7835265" cy="1020445"/>
        </a:xfrm>
        <a:prstGeom prst="rect">
          <a:avLst/>
        </a:prstGeom>
      </xdr:spPr>
    </xdr:pic>
    <xdr:clientData/>
  </xdr:twoCellAnchor>
  <xdr:twoCellAnchor>
    <xdr:from>
      <xdr:col>0</xdr:col>
      <xdr:colOff>228204</xdr:colOff>
      <xdr:row>43</xdr:row>
      <xdr:rowOff>0</xdr:rowOff>
    </xdr:from>
    <xdr:to>
      <xdr:col>11</xdr:col>
      <xdr:colOff>9367</xdr:colOff>
      <xdr:row>62</xdr:row>
      <xdr:rowOff>113904</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11</xdr:col>
      <xdr:colOff>122873</xdr:colOff>
      <xdr:row>43</xdr:row>
      <xdr:rowOff>0</xdr:rowOff>
    </xdr:from>
    <xdr:to>
      <xdr:col>28</xdr:col>
      <xdr:colOff>182640</xdr:colOff>
      <xdr:row>63</xdr:row>
      <xdr:rowOff>0</xdr:rowOff>
    </xdr:to>
    <xdr:graphicFrame macro="">
      <xdr:nvGraphicFramePr>
        <xdr:cNvPr id="3" name="Chart 2">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95250</xdr:colOff>
      <xdr:row>15</xdr:row>
      <xdr:rowOff>20955</xdr:rowOff>
    </xdr:from>
    <xdr:to>
      <xdr:col>5</xdr:col>
      <xdr:colOff>190345</xdr:colOff>
      <xdr:row>43</xdr:row>
      <xdr:rowOff>104775</xdr:rowOff>
    </xdr:to>
    <xdr:pic>
      <xdr:nvPicPr>
        <xdr:cNvPr id="8" name="Picture 7">
          <a:extLst>
            <a:ext uri="{FF2B5EF4-FFF2-40B4-BE49-F238E27FC236}">
              <a16:creationId xmlns:a16="http://schemas.microsoft.com/office/drawing/2014/main" id="{00000000-0008-0000-0300-000008000000}"/>
            </a:ext>
          </a:extLst>
        </xdr:cNvPr>
        <xdr:cNvPicPr>
          <a:picLocks noChangeAspect="1"/>
        </xdr:cNvPicPr>
      </xdr:nvPicPr>
      <xdr:blipFill>
        <a:blip xmlns:r="http://schemas.openxmlformats.org/officeDocument/2006/relationships" r:embed="rId1"/>
        <a:stretch>
          <a:fillRect/>
        </a:stretch>
      </xdr:blipFill>
      <xdr:spPr>
        <a:xfrm>
          <a:off x="758190" y="3796665"/>
          <a:ext cx="9070975" cy="592074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VRO110"/>
  <sheetViews>
    <sheetView tabSelected="1" zoomScale="62" zoomScaleNormal="62" workbookViewId="0">
      <pane xSplit="3" ySplit="10" topLeftCell="D14" activePane="bottomRight" state="frozen"/>
      <selection pane="bottomRight" activeCell="N18" sqref="N18"/>
      <selection pane="bottomLeft"/>
      <selection pane="topRight"/>
    </sheetView>
  </sheetViews>
  <sheetFormatPr defaultColWidth="0" defaultRowHeight="14.45"/>
  <cols>
    <col min="1" max="1" width="4.875" customWidth="1"/>
    <col min="2" max="2" width="15.5" customWidth="1"/>
    <col min="3" max="3" width="34.875" customWidth="1"/>
    <col min="4" max="4" width="14.125" style="1" customWidth="1"/>
    <col min="5" max="5" width="12.875" style="1" customWidth="1"/>
    <col min="6" max="6" width="9.625" style="1" customWidth="1"/>
    <col min="7" max="7" width="8" style="1" customWidth="1"/>
    <col min="8" max="8" width="10" style="1" customWidth="1"/>
    <col min="9" max="9" width="10.875" style="1" customWidth="1"/>
    <col min="10" max="10" width="21" style="121" customWidth="1"/>
    <col min="11" max="11" width="10.375" style="1" customWidth="1"/>
    <col min="12" max="12" width="8.625" style="1" customWidth="1"/>
    <col min="13" max="13" width="9.375" style="1" customWidth="1"/>
    <col min="14" max="14" width="6.875" style="1" customWidth="1"/>
    <col min="15" max="15" width="5.125" style="1" customWidth="1"/>
    <col min="16" max="16" width="10.375" style="1" customWidth="1"/>
    <col min="17" max="17" width="9.5" style="1" customWidth="1"/>
    <col min="18" max="18" width="10.875" style="1" customWidth="1"/>
    <col min="19" max="19" width="11.875" style="1" customWidth="1"/>
    <col min="20" max="20" width="10.875" style="1" customWidth="1"/>
    <col min="21" max="21" width="23.875" style="1" customWidth="1"/>
    <col min="22" max="22" width="26.875" customWidth="1"/>
    <col min="23" max="23" width="8.875" customWidth="1"/>
    <col min="24" max="27" width="8.875" hidden="1" customWidth="1"/>
    <col min="28" max="28" width="8.875" customWidth="1"/>
    <col min="29" max="15355" width="8.875" hidden="1"/>
    <col min="15356" max="16384" width="10.625" hidden="1"/>
  </cols>
  <sheetData>
    <row r="1" spans="1:27" ht="22.35" customHeight="1">
      <c r="A1" t="s">
        <v>0</v>
      </c>
    </row>
    <row r="2" spans="1:27" ht="18" customHeight="1">
      <c r="U2" s="1" t="s">
        <v>1</v>
      </c>
    </row>
    <row r="3" spans="1:27" s="120" customFormat="1" ht="27" customHeight="1">
      <c r="A3" s="268" t="s">
        <v>2</v>
      </c>
      <c r="B3" s="268"/>
      <c r="C3" s="122" t="s">
        <v>3</v>
      </c>
      <c r="D3" s="123"/>
      <c r="E3" s="123"/>
      <c r="F3" s="123"/>
      <c r="G3" s="123"/>
      <c r="H3" s="123"/>
      <c r="I3" s="123"/>
      <c r="J3" s="168"/>
      <c r="K3" s="123"/>
      <c r="L3" s="123"/>
      <c r="M3" s="123"/>
      <c r="N3" s="123"/>
      <c r="O3" s="123"/>
      <c r="P3" s="123"/>
      <c r="Q3" s="123"/>
      <c r="R3" s="123"/>
      <c r="S3" s="123"/>
      <c r="T3" s="123"/>
      <c r="U3" s="123"/>
    </row>
    <row r="4" spans="1:27" ht="18.600000000000001" customHeight="1">
      <c r="A4" s="269" t="s">
        <v>4</v>
      </c>
      <c r="B4" s="270"/>
      <c r="C4" s="124">
        <v>117443</v>
      </c>
      <c r="D4" s="271" t="s">
        <v>5</v>
      </c>
      <c r="E4" s="272"/>
      <c r="F4" s="125">
        <f>D6+E6</f>
        <v>14</v>
      </c>
      <c r="G4" s="273" t="s">
        <v>6</v>
      </c>
      <c r="H4" s="273"/>
      <c r="I4" s="169">
        <f>COUNTIF(F11:F110,"&lt;&gt;")</f>
        <v>14</v>
      </c>
      <c r="J4" s="170"/>
      <c r="K4" s="171"/>
      <c r="L4" s="171"/>
      <c r="M4" s="171"/>
      <c r="N4" s="171"/>
      <c r="O4" s="171"/>
      <c r="P4" s="171"/>
      <c r="Q4" s="171"/>
      <c r="R4" s="171"/>
      <c r="S4" s="171"/>
      <c r="T4" s="171"/>
      <c r="U4" s="171"/>
      <c r="V4" s="190"/>
    </row>
    <row r="5" spans="1:27" ht="17.45" customHeight="1">
      <c r="A5" s="274" t="s">
        <v>7</v>
      </c>
      <c r="B5" s="275"/>
      <c r="C5" s="126" t="s">
        <v>8</v>
      </c>
      <c r="D5" s="127" t="s">
        <v>9</v>
      </c>
      <c r="E5" s="128" t="s">
        <v>10</v>
      </c>
      <c r="F5" s="248" t="s">
        <v>11</v>
      </c>
      <c r="G5" s="249"/>
      <c r="H5" s="249"/>
      <c r="I5" s="249"/>
      <c r="J5" s="259" t="s">
        <v>12</v>
      </c>
      <c r="K5" s="240" t="s">
        <v>13</v>
      </c>
      <c r="L5" s="241"/>
      <c r="M5" s="241"/>
      <c r="N5" s="241"/>
      <c r="O5" s="241"/>
      <c r="P5" s="241"/>
      <c r="Q5" s="191"/>
      <c r="R5" s="191"/>
      <c r="S5" s="191"/>
      <c r="T5" s="191"/>
      <c r="U5" s="191"/>
      <c r="V5" s="192"/>
    </row>
    <row r="6" spans="1:27" ht="19.350000000000001" customHeight="1">
      <c r="A6" s="263" t="s">
        <v>14</v>
      </c>
      <c r="B6" s="264"/>
      <c r="C6" s="129" t="s">
        <v>15</v>
      </c>
      <c r="D6" s="130">
        <v>10</v>
      </c>
      <c r="E6" s="131">
        <v>4</v>
      </c>
      <c r="F6" s="250"/>
      <c r="G6" s="251"/>
      <c r="H6" s="251"/>
      <c r="I6" s="251"/>
      <c r="J6" s="260"/>
      <c r="K6" s="242"/>
      <c r="L6" s="243"/>
      <c r="M6" s="243"/>
      <c r="N6" s="243"/>
      <c r="O6" s="243"/>
      <c r="P6" s="243"/>
      <c r="Q6" s="234"/>
      <c r="R6" s="235"/>
      <c r="S6" s="235"/>
      <c r="T6" s="235"/>
      <c r="U6" s="235"/>
      <c r="V6" s="236"/>
    </row>
    <row r="7" spans="1:27" ht="34.35" customHeight="1">
      <c r="A7" s="263" t="s">
        <v>16</v>
      </c>
      <c r="B7" s="264"/>
      <c r="C7" s="132" t="s">
        <v>17</v>
      </c>
      <c r="D7" s="265" t="s">
        <v>18</v>
      </c>
      <c r="E7" s="266"/>
      <c r="F7" s="254" t="s">
        <v>19</v>
      </c>
      <c r="G7" s="256" t="s">
        <v>20</v>
      </c>
      <c r="H7" s="256" t="s">
        <v>21</v>
      </c>
      <c r="I7" s="257" t="s">
        <v>22</v>
      </c>
      <c r="J7" s="260"/>
      <c r="K7" s="172" t="s">
        <v>23</v>
      </c>
      <c r="L7" s="173" t="s">
        <v>24</v>
      </c>
      <c r="M7" s="174">
        <f>_xlfn.IFNA(IF(X8=1,Y8,IF(D9&gt;0,D9,50)),"")</f>
        <v>50</v>
      </c>
      <c r="N7" s="267" t="s">
        <v>25</v>
      </c>
      <c r="O7" s="267"/>
      <c r="P7" s="174">
        <f>_xlfn.IFNA(IF(X8=1,Z8,IF(E9&gt;0,E9,50)),"")</f>
        <v>49</v>
      </c>
      <c r="Q7" s="234"/>
      <c r="R7" s="235"/>
      <c r="S7" s="235"/>
      <c r="T7" s="235"/>
      <c r="U7" s="235"/>
      <c r="V7" s="236"/>
      <c r="X7" s="193"/>
      <c r="Y7" s="193" t="s">
        <v>24</v>
      </c>
      <c r="Z7" s="193" t="s">
        <v>25</v>
      </c>
    </row>
    <row r="8" spans="1:27" ht="17.45" customHeight="1">
      <c r="A8" s="263" t="s">
        <v>26</v>
      </c>
      <c r="B8" s="264"/>
      <c r="C8" s="134">
        <v>1</v>
      </c>
      <c r="D8" s="133" t="s">
        <v>24</v>
      </c>
      <c r="E8" s="135" t="s">
        <v>25</v>
      </c>
      <c r="F8" s="254"/>
      <c r="G8" s="256"/>
      <c r="H8" s="256"/>
      <c r="I8" s="258"/>
      <c r="J8" s="260"/>
      <c r="K8" s="255" t="s">
        <v>27</v>
      </c>
      <c r="L8" s="257" t="s">
        <v>28</v>
      </c>
      <c r="M8" s="257" t="s">
        <v>29</v>
      </c>
      <c r="N8" s="244" t="s">
        <v>30</v>
      </c>
      <c r="O8" s="245"/>
      <c r="P8" s="232" t="s">
        <v>31</v>
      </c>
      <c r="Q8" s="234"/>
      <c r="R8" s="235"/>
      <c r="S8" s="235"/>
      <c r="T8" s="235"/>
      <c r="U8" s="235"/>
      <c r="V8" s="236"/>
      <c r="X8" s="193">
        <f>IF(_xlfn.IFNA(VLOOKUP(C9,List!G2:G21,1,0),"")=C9,1,0)</f>
        <v>1</v>
      </c>
      <c r="Y8" s="193">
        <f>VLOOKUP($C$9,List!$G$2:$M$21,4,0)</f>
        <v>50</v>
      </c>
      <c r="Z8" s="193">
        <f>VLOOKUP($C$9,List!$G$2:$M$21,7,0)</f>
        <v>49</v>
      </c>
      <c r="AA8" s="197"/>
    </row>
    <row r="9" spans="1:27" ht="20.45" customHeight="1">
      <c r="A9" s="252" t="s">
        <v>32</v>
      </c>
      <c r="B9" s="252"/>
      <c r="C9" s="136" t="s">
        <v>33</v>
      </c>
      <c r="D9" s="137"/>
      <c r="E9" s="138"/>
      <c r="F9" s="255"/>
      <c r="G9" s="257"/>
      <c r="H9" s="257"/>
      <c r="I9" s="258"/>
      <c r="J9" s="260"/>
      <c r="K9" s="261"/>
      <c r="L9" s="262"/>
      <c r="M9" s="262"/>
      <c r="N9" s="246"/>
      <c r="O9" s="247"/>
      <c r="P9" s="233"/>
      <c r="Q9" s="237"/>
      <c r="R9" s="238"/>
      <c r="S9" s="238"/>
      <c r="T9" s="238"/>
      <c r="U9" s="238"/>
      <c r="V9" s="239"/>
      <c r="X9">
        <v>10</v>
      </c>
      <c r="Y9">
        <v>20</v>
      </c>
      <c r="AA9" s="197">
        <v>5</v>
      </c>
    </row>
    <row r="10" spans="1:27" ht="35.450000000000003" customHeight="1">
      <c r="A10" s="139" t="s">
        <v>34</v>
      </c>
      <c r="B10" s="140" t="s">
        <v>35</v>
      </c>
      <c r="C10" s="141" t="s">
        <v>36</v>
      </c>
      <c r="D10" s="142" t="s">
        <v>37</v>
      </c>
      <c r="E10" s="143" t="s">
        <v>38</v>
      </c>
      <c r="F10" s="144" t="s">
        <v>39</v>
      </c>
      <c r="G10" s="145" t="s">
        <v>40</v>
      </c>
      <c r="H10" s="145" t="s">
        <v>41</v>
      </c>
      <c r="I10" s="145" t="s">
        <v>42</v>
      </c>
      <c r="J10" s="175" t="s">
        <v>43</v>
      </c>
      <c r="K10" s="176" t="s">
        <v>44</v>
      </c>
      <c r="L10" s="177" t="s">
        <v>45</v>
      </c>
      <c r="M10" s="178" t="s">
        <v>46</v>
      </c>
      <c r="N10" s="253" t="s">
        <v>47</v>
      </c>
      <c r="O10" s="253"/>
      <c r="P10" s="178" t="s">
        <v>48</v>
      </c>
      <c r="Q10" s="178" t="s">
        <v>49</v>
      </c>
      <c r="R10" s="178" t="s">
        <v>50</v>
      </c>
      <c r="S10" s="178" t="s">
        <v>51</v>
      </c>
      <c r="T10" s="194" t="s">
        <v>52</v>
      </c>
      <c r="U10" s="195" t="s">
        <v>53</v>
      </c>
      <c r="V10" s="196" t="s">
        <v>54</v>
      </c>
      <c r="X10" s="197" t="s">
        <v>55</v>
      </c>
      <c r="Y10" s="197"/>
      <c r="Z10" s="197" t="s">
        <v>56</v>
      </c>
      <c r="AA10" s="197" t="s">
        <v>57</v>
      </c>
    </row>
    <row r="11" spans="1:27" ht="15.6">
      <c r="A11" s="146">
        <v>1</v>
      </c>
      <c r="B11" s="147">
        <v>117443240002</v>
      </c>
      <c r="C11" s="148" t="s">
        <v>58</v>
      </c>
      <c r="D11" s="149" t="s">
        <v>9</v>
      </c>
      <c r="E11" s="150">
        <v>46072</v>
      </c>
      <c r="F11" s="151">
        <v>10</v>
      </c>
      <c r="G11" s="152"/>
      <c r="H11" s="152">
        <v>8</v>
      </c>
      <c r="I11" s="179">
        <f t="shared" ref="I11:I29" si="0">IF(AND(F11="",G11=""),"",IF(F11&lt;7,F11+G11,F11+10+H11))</f>
        <v>28</v>
      </c>
      <c r="J11" s="180" t="str">
        <f>IF(I11="","",IF(F11&lt;7,IF(I11&lt;=10,"Full Refresher","Moderate Refresher"),IF(I11&lt;27,"Light Refresher","Grade Ready")))</f>
        <v>Grade Ready</v>
      </c>
      <c r="K11" s="181">
        <v>1</v>
      </c>
      <c r="L11" s="182">
        <v>15</v>
      </c>
      <c r="M11" s="179">
        <f>IF($C$9&lt;&gt;"",IF(OR(K11=1,K11=2),IF(K11=1,M$7-L11,$P$7-L11),""),"")</f>
        <v>35</v>
      </c>
      <c r="N11" s="183">
        <v>1</v>
      </c>
      <c r="O11" s="183">
        <v>0</v>
      </c>
      <c r="P11" s="179">
        <f>IFERROR(IF(AND(K11&gt;0,M11&gt;0,OR(N11&gt;0,O11&gt;0)),(M11/((N11*60)+O11))*60,""),"")</f>
        <v>35</v>
      </c>
      <c r="Q11" s="198">
        <f>IFERROR(IF(OR(K11=1,K11=2),IF(K11=1,M11/$M$7,M11/$P$7),""),"")</f>
        <v>0.7</v>
      </c>
      <c r="R11" s="183">
        <v>3</v>
      </c>
      <c r="S11" s="183">
        <v>5</v>
      </c>
      <c r="T11" s="228" t="s">
        <v>59</v>
      </c>
      <c r="U11" s="200" t="str">
        <f>IF(J11&lt;&gt;"",IF(OR(J11="Full Refresher",J11="Moderate Refresher"),"Low Emerging Reader",IF(AND(K11&gt;0,Q11&lt;&gt;""),IF(OR(Q11&lt;=25%,AND(Q11&gt;25%,Q11&lt;=50%,R11=0)),"High Emerging Reader",IF(OR(AND(Q11&gt;25%,Q11&lt;51%,R11&gt;=1),AND(Q11&gt;50%,Q11&lt;76%,R11&lt;=1)),"Developing Reader",IF(OR(AND(Q11&gt;=51%,Q11&lt;76%,R11&gt;=2),AND(Q11&gt;75%,R11&lt;=3)),"Transitioning Reader",IF(AND(Q11&gt;75%,R11&gt;=4),"Reading At Grade Level","")))),"")),"")</f>
        <v>Transitioning Reader</v>
      </c>
      <c r="V11" s="201"/>
      <c r="X11" s="202">
        <f>IF(C11&lt;&gt;"",$I11/30,"")</f>
        <v>0.93333333333333335</v>
      </c>
      <c r="Y11" s="202"/>
      <c r="Z11" s="210">
        <f t="shared" ref="Z11:Z42" si="1">IF($C11&lt;&gt;"",IF($F11&gt;6,Q11,0%),"")</f>
        <v>0.7</v>
      </c>
      <c r="AA11" s="210">
        <f t="shared" ref="AA11:AA42" si="2">IF($C11&lt;&gt;"",IF($F11&gt;6,S11/$AA$9,0%),"")</f>
        <v>1</v>
      </c>
    </row>
    <row r="12" spans="1:27" ht="15.6">
      <c r="A12" s="91">
        <v>2</v>
      </c>
      <c r="B12" s="153">
        <v>117443240003</v>
      </c>
      <c r="C12" s="154" t="s">
        <v>60</v>
      </c>
      <c r="D12" s="155" t="s">
        <v>9</v>
      </c>
      <c r="E12" s="150">
        <v>46072</v>
      </c>
      <c r="F12" s="156">
        <v>10</v>
      </c>
      <c r="G12" s="157"/>
      <c r="H12" s="157">
        <v>10</v>
      </c>
      <c r="I12" s="184">
        <f t="shared" si="0"/>
        <v>30</v>
      </c>
      <c r="J12" s="185" t="str">
        <f t="shared" ref="J12:J75" si="3">IF(I12="","",IF(F12&lt;7,IF(I12&lt;=10,"Full Refresher","Moderate Refresher"),IF(I12&lt;27,"Light Refresher","Grade Ready")))</f>
        <v>Grade Ready</v>
      </c>
      <c r="K12" s="186">
        <v>1</v>
      </c>
      <c r="L12" s="189">
        <v>0</v>
      </c>
      <c r="M12" s="184">
        <f t="shared" ref="M12:M75" si="4">IF($C$9&lt;&gt;"",IF(OR(K12=1,K12=2),IF(K12=1,M$7-L12,$P$7-L12),""),"")</f>
        <v>50</v>
      </c>
      <c r="N12" s="183">
        <v>1</v>
      </c>
      <c r="O12" s="183">
        <v>0</v>
      </c>
      <c r="P12" s="184">
        <f t="shared" ref="P12:P75" si="5">IFERROR(IF(AND(K12&gt;0,M12&gt;0,OR(N12&gt;0,O12&gt;0)),(M12/((N12*60)+O12))*60,""),"")</f>
        <v>50</v>
      </c>
      <c r="Q12" s="203">
        <f t="shared" ref="Q12:Q75" si="6">IFERROR(IF(OR(K12=1,K12=2),IF(K12=1,M12/$M$7,M12/$P$7),""),"")</f>
        <v>1</v>
      </c>
      <c r="R12" s="163">
        <v>5</v>
      </c>
      <c r="S12" s="163">
        <v>5</v>
      </c>
      <c r="T12" s="229" t="s">
        <v>61</v>
      </c>
      <c r="U12" s="205" t="str">
        <f t="shared" ref="U12:U75" si="7">IF(J12&lt;&gt;"",IF(OR(J12="Full Refresher",J12="Moderate Refresher"),"Low Emerging Reader",IF(AND(K12&gt;0,Q12&lt;&gt;""),IF(OR(Q12&lt;=25%,AND(Q12&gt;25%,Q12&lt;=50%,R12=0)),"High Emerging Reader",IF(OR(AND(Q12&gt;25%,Q12&lt;51%,R12&gt;=1),AND(Q12&gt;50%,Q12&lt;76%,R12&lt;=1)),"Developing Reader",IF(OR(AND(Q12&gt;=51%,Q12&lt;76%,R12&gt;=2),AND(Q12&gt;75%,R12&lt;=3)),"Transitioning Reader",IF(AND(Q12&gt;75%,R12&gt;=4),"Reading At Grade Level","")))),"")),"")</f>
        <v>Reading At Grade Level</v>
      </c>
      <c r="V12" s="206"/>
      <c r="X12" s="202">
        <f t="shared" ref="X12:X75" si="8">IF(C12&lt;&gt;"",$I12/30,"")</f>
        <v>1</v>
      </c>
      <c r="Y12" s="202"/>
      <c r="Z12" s="210">
        <f t="shared" si="1"/>
        <v>1</v>
      </c>
      <c r="AA12" s="210">
        <f t="shared" si="2"/>
        <v>1</v>
      </c>
    </row>
    <row r="13" spans="1:27" ht="15.6">
      <c r="A13" s="49">
        <v>3</v>
      </c>
      <c r="B13" s="158">
        <v>117443240005</v>
      </c>
      <c r="C13" s="154" t="s">
        <v>62</v>
      </c>
      <c r="D13" s="159" t="s">
        <v>9</v>
      </c>
      <c r="E13" s="150">
        <v>46072</v>
      </c>
      <c r="F13" s="160">
        <v>10</v>
      </c>
      <c r="G13" s="152"/>
      <c r="H13" s="161">
        <v>10</v>
      </c>
      <c r="I13" s="184">
        <f t="shared" si="0"/>
        <v>30</v>
      </c>
      <c r="J13" s="185" t="str">
        <f t="shared" si="3"/>
        <v>Grade Ready</v>
      </c>
      <c r="K13" s="188">
        <v>1</v>
      </c>
      <c r="L13" s="187">
        <v>0</v>
      </c>
      <c r="M13" s="184">
        <f t="shared" si="4"/>
        <v>50</v>
      </c>
      <c r="N13" s="183">
        <v>1</v>
      </c>
      <c r="O13" s="183">
        <v>0</v>
      </c>
      <c r="P13" s="184">
        <f t="shared" si="5"/>
        <v>50</v>
      </c>
      <c r="Q13" s="203">
        <f t="shared" si="6"/>
        <v>1</v>
      </c>
      <c r="R13" s="161">
        <v>4</v>
      </c>
      <c r="S13" s="161">
        <v>5</v>
      </c>
      <c r="T13" s="230" t="s">
        <v>61</v>
      </c>
      <c r="U13" s="205" t="str">
        <f t="shared" si="7"/>
        <v>Reading At Grade Level</v>
      </c>
      <c r="V13" s="208"/>
      <c r="X13" s="202">
        <f t="shared" si="8"/>
        <v>1</v>
      </c>
      <c r="Y13" s="202"/>
      <c r="Z13" s="210">
        <f t="shared" si="1"/>
        <v>1</v>
      </c>
      <c r="AA13" s="210">
        <f t="shared" si="2"/>
        <v>1</v>
      </c>
    </row>
    <row r="14" spans="1:27" ht="15.6">
      <c r="A14" s="91">
        <v>4</v>
      </c>
      <c r="B14" s="153">
        <v>117443240006</v>
      </c>
      <c r="C14" s="162" t="s">
        <v>63</v>
      </c>
      <c r="D14" s="155" t="s">
        <v>9</v>
      </c>
      <c r="E14" s="150">
        <v>46072</v>
      </c>
      <c r="F14" s="156">
        <v>3</v>
      </c>
      <c r="G14" s="152">
        <v>4</v>
      </c>
      <c r="H14" s="163"/>
      <c r="I14" s="184">
        <f t="shared" si="0"/>
        <v>7</v>
      </c>
      <c r="J14" s="185" t="str">
        <f t="shared" si="3"/>
        <v>Full Refresher</v>
      </c>
      <c r="K14" s="186"/>
      <c r="L14" s="187"/>
      <c r="M14" s="184" t="str">
        <f t="shared" si="4"/>
        <v/>
      </c>
      <c r="N14" s="183">
        <v>1</v>
      </c>
      <c r="O14" s="183"/>
      <c r="P14" s="184" t="str">
        <f t="shared" si="5"/>
        <v/>
      </c>
      <c r="Q14" s="203" t="str">
        <f t="shared" si="6"/>
        <v/>
      </c>
      <c r="R14" s="163"/>
      <c r="S14" s="163"/>
      <c r="T14" s="204"/>
      <c r="U14" s="205" t="str">
        <f t="shared" si="7"/>
        <v>Low Emerging Reader</v>
      </c>
      <c r="V14" s="206"/>
      <c r="X14" s="202">
        <f t="shared" si="8"/>
        <v>0.23333333333333334</v>
      </c>
      <c r="Y14" s="202"/>
      <c r="Z14" s="210">
        <f t="shared" si="1"/>
        <v>0</v>
      </c>
      <c r="AA14" s="210">
        <f t="shared" si="2"/>
        <v>0</v>
      </c>
    </row>
    <row r="15" spans="1:27" ht="15.6">
      <c r="A15" s="49">
        <v>5</v>
      </c>
      <c r="B15" s="158">
        <v>117443230006</v>
      </c>
      <c r="C15" s="162" t="s">
        <v>64</v>
      </c>
      <c r="D15" s="159" t="s">
        <v>9</v>
      </c>
      <c r="E15" s="150">
        <v>46072</v>
      </c>
      <c r="F15" s="160">
        <v>7</v>
      </c>
      <c r="G15" s="152"/>
      <c r="H15" s="161">
        <v>5</v>
      </c>
      <c r="I15" s="184">
        <f t="shared" si="0"/>
        <v>22</v>
      </c>
      <c r="J15" s="185" t="str">
        <f t="shared" si="3"/>
        <v>Light Refresher</v>
      </c>
      <c r="K15" s="188">
        <v>1</v>
      </c>
      <c r="L15" s="189">
        <v>20</v>
      </c>
      <c r="M15" s="184">
        <f t="shared" si="4"/>
        <v>30</v>
      </c>
      <c r="N15" s="183">
        <v>1</v>
      </c>
      <c r="O15" s="183">
        <v>0</v>
      </c>
      <c r="P15" s="184">
        <f t="shared" si="5"/>
        <v>30</v>
      </c>
      <c r="Q15" s="203">
        <f t="shared" si="6"/>
        <v>0.6</v>
      </c>
      <c r="R15" s="161">
        <v>2</v>
      </c>
      <c r="S15" s="161">
        <v>5</v>
      </c>
      <c r="T15" s="230" t="s">
        <v>59</v>
      </c>
      <c r="U15" s="205" t="str">
        <f t="shared" si="7"/>
        <v>Transitioning Reader</v>
      </c>
      <c r="V15" s="208"/>
      <c r="X15" s="202">
        <f t="shared" si="8"/>
        <v>0.73333333333333328</v>
      </c>
      <c r="Y15" s="202"/>
      <c r="Z15" s="210">
        <f t="shared" si="1"/>
        <v>0.6</v>
      </c>
      <c r="AA15" s="210">
        <f t="shared" si="2"/>
        <v>1</v>
      </c>
    </row>
    <row r="16" spans="1:27" ht="15.6">
      <c r="A16" s="91">
        <v>6</v>
      </c>
      <c r="B16" s="158">
        <v>117443240004</v>
      </c>
      <c r="C16" s="162" t="s">
        <v>65</v>
      </c>
      <c r="D16" s="155" t="s">
        <v>9</v>
      </c>
      <c r="E16" s="150">
        <v>46072</v>
      </c>
      <c r="F16" s="156">
        <v>7</v>
      </c>
      <c r="G16" s="157">
        <v>7</v>
      </c>
      <c r="H16" s="163">
        <v>3</v>
      </c>
      <c r="I16" s="184">
        <f t="shared" si="0"/>
        <v>20</v>
      </c>
      <c r="J16" s="185" t="str">
        <f t="shared" si="3"/>
        <v>Light Refresher</v>
      </c>
      <c r="K16" s="186">
        <v>1</v>
      </c>
      <c r="L16" s="187">
        <v>25</v>
      </c>
      <c r="M16" s="184">
        <f t="shared" si="4"/>
        <v>25</v>
      </c>
      <c r="N16" s="183">
        <v>1</v>
      </c>
      <c r="O16" s="183">
        <v>0</v>
      </c>
      <c r="P16" s="184">
        <f t="shared" si="5"/>
        <v>25</v>
      </c>
      <c r="Q16" s="203">
        <f t="shared" si="6"/>
        <v>0.5</v>
      </c>
      <c r="R16" s="163">
        <v>2</v>
      </c>
      <c r="S16" s="163">
        <v>5</v>
      </c>
      <c r="T16" s="228" t="s">
        <v>59</v>
      </c>
      <c r="U16" s="205" t="str">
        <f t="shared" si="7"/>
        <v>Developing Reader</v>
      </c>
      <c r="V16" s="206"/>
      <c r="X16" s="202">
        <f t="shared" si="8"/>
        <v>0.66666666666666663</v>
      </c>
      <c r="Y16" s="202"/>
      <c r="Z16" s="210">
        <f t="shared" si="1"/>
        <v>0.5</v>
      </c>
      <c r="AA16" s="210">
        <f t="shared" si="2"/>
        <v>1</v>
      </c>
    </row>
    <row r="17" spans="1:27" ht="15.6">
      <c r="A17" s="49">
        <v>7</v>
      </c>
      <c r="B17" s="153">
        <v>117443240007</v>
      </c>
      <c r="C17" s="154" t="s">
        <v>66</v>
      </c>
      <c r="D17" s="159" t="s">
        <v>9</v>
      </c>
      <c r="E17" s="150">
        <v>46072</v>
      </c>
      <c r="F17" s="160">
        <v>10</v>
      </c>
      <c r="G17" s="152"/>
      <c r="H17" s="161">
        <v>8</v>
      </c>
      <c r="I17" s="184">
        <f t="shared" si="0"/>
        <v>28</v>
      </c>
      <c r="J17" s="185" t="str">
        <f t="shared" si="3"/>
        <v>Grade Ready</v>
      </c>
      <c r="K17" s="188">
        <v>1</v>
      </c>
      <c r="L17" s="189">
        <v>10</v>
      </c>
      <c r="M17" s="184">
        <f t="shared" si="4"/>
        <v>40</v>
      </c>
      <c r="N17" s="183">
        <v>1</v>
      </c>
      <c r="O17" s="183">
        <v>0</v>
      </c>
      <c r="P17" s="184">
        <f t="shared" si="5"/>
        <v>40</v>
      </c>
      <c r="Q17" s="203">
        <f t="shared" si="6"/>
        <v>0.8</v>
      </c>
      <c r="R17" s="161">
        <v>4</v>
      </c>
      <c r="S17" s="161">
        <v>5</v>
      </c>
      <c r="T17" s="230" t="s">
        <v>67</v>
      </c>
      <c r="U17" s="205" t="str">
        <f t="shared" si="7"/>
        <v>Reading At Grade Level</v>
      </c>
      <c r="V17" s="231"/>
      <c r="X17" s="202">
        <f t="shared" si="8"/>
        <v>0.93333333333333335</v>
      </c>
      <c r="Y17" s="202"/>
      <c r="Z17" s="210">
        <f t="shared" si="1"/>
        <v>0.8</v>
      </c>
      <c r="AA17" s="210">
        <f t="shared" si="2"/>
        <v>1</v>
      </c>
    </row>
    <row r="18" spans="1:27" ht="15.6">
      <c r="A18" s="91">
        <v>8</v>
      </c>
      <c r="B18" s="153">
        <v>117443240008</v>
      </c>
      <c r="C18" s="154" t="s">
        <v>68</v>
      </c>
      <c r="D18" s="155" t="s">
        <v>9</v>
      </c>
      <c r="E18" s="150">
        <v>46072</v>
      </c>
      <c r="F18" s="156">
        <v>10</v>
      </c>
      <c r="G18" s="157"/>
      <c r="H18" s="163">
        <v>8</v>
      </c>
      <c r="I18" s="184">
        <f t="shared" si="0"/>
        <v>28</v>
      </c>
      <c r="J18" s="185" t="str">
        <f t="shared" si="3"/>
        <v>Grade Ready</v>
      </c>
      <c r="K18" s="186">
        <v>1</v>
      </c>
      <c r="L18" s="187">
        <v>20</v>
      </c>
      <c r="M18" s="184">
        <f t="shared" si="4"/>
        <v>30</v>
      </c>
      <c r="N18" s="183">
        <v>1</v>
      </c>
      <c r="O18" s="183">
        <v>0</v>
      </c>
      <c r="P18" s="184">
        <f t="shared" si="5"/>
        <v>30</v>
      </c>
      <c r="Q18" s="203">
        <f t="shared" si="6"/>
        <v>0.6</v>
      </c>
      <c r="R18" s="163">
        <v>4</v>
      </c>
      <c r="S18" s="163">
        <v>5</v>
      </c>
      <c r="T18" s="229" t="s">
        <v>59</v>
      </c>
      <c r="U18" s="205" t="str">
        <f t="shared" si="7"/>
        <v>Transitioning Reader</v>
      </c>
      <c r="V18" s="206"/>
      <c r="X18" s="202">
        <f t="shared" si="8"/>
        <v>0.93333333333333335</v>
      </c>
      <c r="Y18" s="202"/>
      <c r="Z18" s="210">
        <f t="shared" si="1"/>
        <v>0.6</v>
      </c>
      <c r="AA18" s="210">
        <f t="shared" si="2"/>
        <v>1</v>
      </c>
    </row>
    <row r="19" spans="1:27" ht="15.6">
      <c r="A19" s="49">
        <v>9</v>
      </c>
      <c r="B19" s="158">
        <v>117443240009</v>
      </c>
      <c r="C19" s="162" t="s">
        <v>69</v>
      </c>
      <c r="D19" s="159" t="s">
        <v>9</v>
      </c>
      <c r="E19" s="150">
        <v>46072</v>
      </c>
      <c r="F19" s="160">
        <v>3</v>
      </c>
      <c r="G19" s="152">
        <v>4</v>
      </c>
      <c r="H19" s="161"/>
      <c r="I19" s="184">
        <f t="shared" si="0"/>
        <v>7</v>
      </c>
      <c r="J19" s="185" t="str">
        <f t="shared" si="3"/>
        <v>Full Refresher</v>
      </c>
      <c r="K19" s="188"/>
      <c r="L19" s="189"/>
      <c r="M19" s="184" t="str">
        <f t="shared" si="4"/>
        <v/>
      </c>
      <c r="N19" s="183"/>
      <c r="O19" s="183"/>
      <c r="P19" s="184" t="str">
        <f t="shared" si="5"/>
        <v/>
      </c>
      <c r="Q19" s="203" t="str">
        <f t="shared" si="6"/>
        <v/>
      </c>
      <c r="R19" s="161"/>
      <c r="S19" s="161"/>
      <c r="T19" s="207"/>
      <c r="U19" s="205" t="str">
        <f t="shared" si="7"/>
        <v>Low Emerging Reader</v>
      </c>
      <c r="V19" s="208"/>
      <c r="X19" s="202">
        <f t="shared" si="8"/>
        <v>0.23333333333333334</v>
      </c>
      <c r="Y19" s="202"/>
      <c r="Z19" s="210">
        <f t="shared" si="1"/>
        <v>0</v>
      </c>
      <c r="AA19" s="210">
        <f t="shared" si="2"/>
        <v>0</v>
      </c>
    </row>
    <row r="20" spans="1:27" ht="15.6">
      <c r="A20" s="91">
        <v>10</v>
      </c>
      <c r="B20" s="153">
        <v>117443240010</v>
      </c>
      <c r="C20" s="154" t="s">
        <v>70</v>
      </c>
      <c r="D20" s="155" t="s">
        <v>9</v>
      </c>
      <c r="E20" s="150">
        <v>46072</v>
      </c>
      <c r="F20" s="156">
        <v>0</v>
      </c>
      <c r="G20" s="157">
        <v>0</v>
      </c>
      <c r="H20" s="163"/>
      <c r="I20" s="184">
        <f t="shared" si="0"/>
        <v>0</v>
      </c>
      <c r="J20" s="185" t="str">
        <f t="shared" si="3"/>
        <v>Full Refresher</v>
      </c>
      <c r="K20" s="186"/>
      <c r="L20" s="187"/>
      <c r="M20" s="184" t="str">
        <f t="shared" si="4"/>
        <v/>
      </c>
      <c r="N20" s="183"/>
      <c r="O20" s="183"/>
      <c r="P20" s="184" t="str">
        <f t="shared" si="5"/>
        <v/>
      </c>
      <c r="Q20" s="203" t="str">
        <f t="shared" si="6"/>
        <v/>
      </c>
      <c r="R20" s="163"/>
      <c r="S20" s="163"/>
      <c r="T20" s="204"/>
      <c r="U20" s="205" t="str">
        <f t="shared" si="7"/>
        <v>Low Emerging Reader</v>
      </c>
      <c r="V20" s="206"/>
      <c r="X20" s="202">
        <f t="shared" si="8"/>
        <v>0</v>
      </c>
      <c r="Y20" s="202"/>
      <c r="Z20" s="210">
        <f t="shared" si="1"/>
        <v>0</v>
      </c>
      <c r="AA20" s="210">
        <f t="shared" si="2"/>
        <v>0</v>
      </c>
    </row>
    <row r="21" spans="1:27" ht="15.6">
      <c r="A21" s="49">
        <v>11</v>
      </c>
      <c r="B21" s="158">
        <v>117443240012</v>
      </c>
      <c r="C21" s="162" t="s">
        <v>71</v>
      </c>
      <c r="D21" s="159" t="s">
        <v>10</v>
      </c>
      <c r="E21" s="150">
        <v>46073</v>
      </c>
      <c r="F21" s="160">
        <v>10</v>
      </c>
      <c r="G21" s="152"/>
      <c r="H21" s="161">
        <v>10</v>
      </c>
      <c r="I21" s="184">
        <f t="shared" si="0"/>
        <v>30</v>
      </c>
      <c r="J21" s="185" t="str">
        <f t="shared" si="3"/>
        <v>Grade Ready</v>
      </c>
      <c r="K21" s="188">
        <v>1</v>
      </c>
      <c r="L21" s="189">
        <v>0</v>
      </c>
      <c r="M21" s="184">
        <f t="shared" si="4"/>
        <v>50</v>
      </c>
      <c r="N21" s="183">
        <v>1</v>
      </c>
      <c r="O21" s="183">
        <v>0</v>
      </c>
      <c r="P21" s="184">
        <f t="shared" si="5"/>
        <v>50</v>
      </c>
      <c r="Q21" s="203">
        <f t="shared" si="6"/>
        <v>1</v>
      </c>
      <c r="R21" s="161">
        <v>5</v>
      </c>
      <c r="S21" s="161">
        <v>5</v>
      </c>
      <c r="T21" s="230" t="s">
        <v>61</v>
      </c>
      <c r="U21" s="205" t="str">
        <f t="shared" si="7"/>
        <v>Reading At Grade Level</v>
      </c>
      <c r="V21" s="208"/>
      <c r="X21" s="202">
        <f t="shared" si="8"/>
        <v>1</v>
      </c>
      <c r="Y21" s="202"/>
      <c r="Z21" s="210">
        <f t="shared" si="1"/>
        <v>1</v>
      </c>
      <c r="AA21" s="210">
        <f t="shared" si="2"/>
        <v>1</v>
      </c>
    </row>
    <row r="22" spans="1:27" ht="15.6">
      <c r="A22" s="91">
        <v>12</v>
      </c>
      <c r="B22" s="153">
        <v>117443240013</v>
      </c>
      <c r="C22" s="154" t="s">
        <v>72</v>
      </c>
      <c r="D22" s="155" t="s">
        <v>10</v>
      </c>
      <c r="E22" s="150">
        <v>46073</v>
      </c>
      <c r="F22" s="156">
        <v>10</v>
      </c>
      <c r="G22" s="157"/>
      <c r="H22" s="163">
        <v>10</v>
      </c>
      <c r="I22" s="184">
        <f t="shared" si="0"/>
        <v>30</v>
      </c>
      <c r="J22" s="185" t="str">
        <f t="shared" si="3"/>
        <v>Grade Ready</v>
      </c>
      <c r="K22" s="186">
        <v>1</v>
      </c>
      <c r="L22" s="187">
        <v>0</v>
      </c>
      <c r="M22" s="184">
        <f t="shared" si="4"/>
        <v>50</v>
      </c>
      <c r="N22" s="183">
        <v>1</v>
      </c>
      <c r="O22" s="183">
        <v>0</v>
      </c>
      <c r="P22" s="184">
        <f t="shared" si="5"/>
        <v>50</v>
      </c>
      <c r="Q22" s="203">
        <f t="shared" si="6"/>
        <v>1</v>
      </c>
      <c r="R22" s="163">
        <v>5</v>
      </c>
      <c r="S22" s="163">
        <v>5</v>
      </c>
      <c r="T22" s="229" t="s">
        <v>61</v>
      </c>
      <c r="U22" s="205" t="str">
        <f t="shared" si="7"/>
        <v>Reading At Grade Level</v>
      </c>
      <c r="V22" s="206"/>
      <c r="X22" s="202">
        <f t="shared" si="8"/>
        <v>1</v>
      </c>
      <c r="Y22" s="202"/>
      <c r="Z22" s="210">
        <f t="shared" si="1"/>
        <v>1</v>
      </c>
      <c r="AA22" s="210">
        <f t="shared" si="2"/>
        <v>1</v>
      </c>
    </row>
    <row r="23" spans="1:27" ht="15.6">
      <c r="A23" s="49">
        <v>13</v>
      </c>
      <c r="B23" s="158">
        <v>117443240014</v>
      </c>
      <c r="C23" s="162" t="s">
        <v>73</v>
      </c>
      <c r="D23" s="159" t="s">
        <v>10</v>
      </c>
      <c r="E23" s="150">
        <v>46073</v>
      </c>
      <c r="F23" s="160">
        <v>10</v>
      </c>
      <c r="G23" s="152"/>
      <c r="H23" s="161">
        <v>10</v>
      </c>
      <c r="I23" s="184">
        <f t="shared" si="0"/>
        <v>30</v>
      </c>
      <c r="J23" s="185" t="str">
        <f t="shared" si="3"/>
        <v>Grade Ready</v>
      </c>
      <c r="K23" s="188">
        <v>1</v>
      </c>
      <c r="L23" s="189">
        <v>0</v>
      </c>
      <c r="M23" s="184">
        <f t="shared" si="4"/>
        <v>50</v>
      </c>
      <c r="N23" s="183">
        <v>1</v>
      </c>
      <c r="O23" s="183">
        <v>0</v>
      </c>
      <c r="P23" s="184">
        <f t="shared" si="5"/>
        <v>50</v>
      </c>
      <c r="Q23" s="203">
        <f t="shared" si="6"/>
        <v>1</v>
      </c>
      <c r="R23" s="161">
        <v>5</v>
      </c>
      <c r="S23" s="161">
        <v>5</v>
      </c>
      <c r="T23" s="230" t="s">
        <v>74</v>
      </c>
      <c r="U23" s="205" t="str">
        <f t="shared" si="7"/>
        <v>Reading At Grade Level</v>
      </c>
      <c r="V23" s="208"/>
      <c r="X23" s="202">
        <f t="shared" si="8"/>
        <v>1</v>
      </c>
      <c r="Y23" s="202"/>
      <c r="Z23" s="210">
        <f t="shared" si="1"/>
        <v>1</v>
      </c>
      <c r="AA23" s="210">
        <f t="shared" si="2"/>
        <v>1</v>
      </c>
    </row>
    <row r="24" spans="1:27" ht="15.6">
      <c r="A24" s="91">
        <v>14</v>
      </c>
      <c r="B24" s="153">
        <v>117441240034</v>
      </c>
      <c r="C24" s="154" t="s">
        <v>75</v>
      </c>
      <c r="D24" s="155" t="s">
        <v>10</v>
      </c>
      <c r="E24" s="150">
        <v>46073</v>
      </c>
      <c r="F24" s="156">
        <v>10</v>
      </c>
      <c r="G24" s="157"/>
      <c r="H24" s="163">
        <v>10</v>
      </c>
      <c r="I24" s="184">
        <f t="shared" si="0"/>
        <v>30</v>
      </c>
      <c r="J24" s="185" t="str">
        <f t="shared" si="3"/>
        <v>Grade Ready</v>
      </c>
      <c r="K24" s="186">
        <v>1</v>
      </c>
      <c r="L24" s="187">
        <v>0</v>
      </c>
      <c r="M24" s="184">
        <f t="shared" si="4"/>
        <v>50</v>
      </c>
      <c r="N24" s="183">
        <v>1</v>
      </c>
      <c r="O24" s="183">
        <v>0</v>
      </c>
      <c r="P24" s="184">
        <f t="shared" si="5"/>
        <v>50</v>
      </c>
      <c r="Q24" s="203">
        <f t="shared" si="6"/>
        <v>1</v>
      </c>
      <c r="R24" s="163">
        <v>5</v>
      </c>
      <c r="S24" s="163">
        <v>5</v>
      </c>
      <c r="T24" s="229" t="s">
        <v>61</v>
      </c>
      <c r="U24" s="205" t="str">
        <f t="shared" si="7"/>
        <v>Reading At Grade Level</v>
      </c>
      <c r="V24" s="206"/>
      <c r="X24" s="202">
        <f t="shared" si="8"/>
        <v>1</v>
      </c>
      <c r="Y24" s="202"/>
      <c r="Z24" s="210">
        <f t="shared" si="1"/>
        <v>1</v>
      </c>
      <c r="AA24" s="210">
        <f t="shared" si="2"/>
        <v>1</v>
      </c>
    </row>
    <row r="25" spans="1:27" ht="15.6">
      <c r="A25" s="49">
        <v>15</v>
      </c>
      <c r="B25" s="161"/>
      <c r="C25" s="162"/>
      <c r="D25" s="155"/>
      <c r="E25" s="164"/>
      <c r="F25" s="160"/>
      <c r="G25" s="152"/>
      <c r="H25" s="161"/>
      <c r="I25" s="184" t="str">
        <f t="shared" si="0"/>
        <v/>
      </c>
      <c r="J25" s="185" t="str">
        <f t="shared" si="3"/>
        <v/>
      </c>
      <c r="K25" s="188"/>
      <c r="L25" s="189"/>
      <c r="M25" s="184" t="str">
        <f t="shared" si="4"/>
        <v/>
      </c>
      <c r="N25" s="161"/>
      <c r="O25" s="161"/>
      <c r="P25" s="184" t="str">
        <f t="shared" si="5"/>
        <v/>
      </c>
      <c r="Q25" s="203" t="str">
        <f t="shared" si="6"/>
        <v/>
      </c>
      <c r="R25" s="161"/>
      <c r="S25" s="161"/>
      <c r="T25" s="207"/>
      <c r="U25" s="205" t="str">
        <f t="shared" si="7"/>
        <v/>
      </c>
      <c r="V25" s="208"/>
      <c r="X25" s="202" t="str">
        <f t="shared" si="8"/>
        <v/>
      </c>
      <c r="Y25" s="202"/>
      <c r="Z25" s="210" t="str">
        <f t="shared" si="1"/>
        <v/>
      </c>
      <c r="AA25" s="210" t="str">
        <f t="shared" si="2"/>
        <v/>
      </c>
    </row>
    <row r="26" spans="1:27">
      <c r="A26" s="91">
        <v>16</v>
      </c>
      <c r="B26" s="163"/>
      <c r="C26" s="154"/>
      <c r="D26" s="165"/>
      <c r="E26" s="166"/>
      <c r="F26" s="156"/>
      <c r="G26" s="157"/>
      <c r="H26" s="163"/>
      <c r="I26" s="184" t="str">
        <f t="shared" si="0"/>
        <v/>
      </c>
      <c r="J26" s="185" t="str">
        <f t="shared" si="3"/>
        <v/>
      </c>
      <c r="K26" s="186"/>
      <c r="L26" s="187"/>
      <c r="M26" s="184" t="str">
        <f t="shared" si="4"/>
        <v/>
      </c>
      <c r="N26" s="163"/>
      <c r="O26" s="163"/>
      <c r="P26" s="184" t="str">
        <f t="shared" si="5"/>
        <v/>
      </c>
      <c r="Q26" s="203" t="str">
        <f t="shared" si="6"/>
        <v/>
      </c>
      <c r="R26" s="163"/>
      <c r="S26" s="163"/>
      <c r="T26" s="204"/>
      <c r="U26" s="205" t="str">
        <f t="shared" si="7"/>
        <v/>
      </c>
      <c r="V26" s="206"/>
      <c r="X26" s="202" t="str">
        <f t="shared" si="8"/>
        <v/>
      </c>
      <c r="Y26" s="202"/>
      <c r="Z26" s="210" t="str">
        <f t="shared" si="1"/>
        <v/>
      </c>
      <c r="AA26" s="210" t="str">
        <f t="shared" si="2"/>
        <v/>
      </c>
    </row>
    <row r="27" spans="1:27">
      <c r="A27" s="49">
        <v>17</v>
      </c>
      <c r="B27" s="161"/>
      <c r="C27" s="162"/>
      <c r="D27" s="167"/>
      <c r="E27" s="164"/>
      <c r="F27" s="160"/>
      <c r="G27" s="152"/>
      <c r="H27" s="161"/>
      <c r="I27" s="184" t="str">
        <f t="shared" si="0"/>
        <v/>
      </c>
      <c r="J27" s="185" t="str">
        <f t="shared" si="3"/>
        <v/>
      </c>
      <c r="K27" s="188"/>
      <c r="L27" s="189"/>
      <c r="M27" s="184" t="str">
        <f t="shared" si="4"/>
        <v/>
      </c>
      <c r="N27" s="161"/>
      <c r="O27" s="161"/>
      <c r="P27" s="184" t="str">
        <f t="shared" si="5"/>
        <v/>
      </c>
      <c r="Q27" s="203" t="str">
        <f t="shared" si="6"/>
        <v/>
      </c>
      <c r="R27" s="161"/>
      <c r="S27" s="161"/>
      <c r="T27" s="207"/>
      <c r="U27" s="205" t="str">
        <f t="shared" si="7"/>
        <v/>
      </c>
      <c r="V27" s="208"/>
      <c r="X27" s="202" t="str">
        <f t="shared" si="8"/>
        <v/>
      </c>
      <c r="Y27" s="202"/>
      <c r="Z27" s="210" t="str">
        <f t="shared" si="1"/>
        <v/>
      </c>
      <c r="AA27" s="210" t="str">
        <f t="shared" si="2"/>
        <v/>
      </c>
    </row>
    <row r="28" spans="1:27">
      <c r="A28" s="91">
        <v>18</v>
      </c>
      <c r="B28" s="163"/>
      <c r="C28" s="154"/>
      <c r="D28" s="165"/>
      <c r="E28" s="166"/>
      <c r="F28" s="156"/>
      <c r="G28" s="157"/>
      <c r="H28" s="163"/>
      <c r="I28" s="184" t="str">
        <f t="shared" si="0"/>
        <v/>
      </c>
      <c r="J28" s="185" t="str">
        <f t="shared" si="3"/>
        <v/>
      </c>
      <c r="K28" s="186"/>
      <c r="L28" s="187"/>
      <c r="M28" s="184" t="str">
        <f t="shared" si="4"/>
        <v/>
      </c>
      <c r="N28" s="163"/>
      <c r="O28" s="163"/>
      <c r="P28" s="184" t="str">
        <f t="shared" si="5"/>
        <v/>
      </c>
      <c r="Q28" s="203" t="str">
        <f t="shared" si="6"/>
        <v/>
      </c>
      <c r="R28" s="163"/>
      <c r="S28" s="163"/>
      <c r="T28" s="204"/>
      <c r="U28" s="205" t="str">
        <f t="shared" si="7"/>
        <v/>
      </c>
      <c r="V28" s="206"/>
      <c r="X28" s="202" t="str">
        <f t="shared" si="8"/>
        <v/>
      </c>
      <c r="Y28" s="202"/>
      <c r="Z28" s="210" t="str">
        <f t="shared" si="1"/>
        <v/>
      </c>
      <c r="AA28" s="210" t="str">
        <f t="shared" si="2"/>
        <v/>
      </c>
    </row>
    <row r="29" spans="1:27">
      <c r="A29" s="49">
        <v>19</v>
      </c>
      <c r="B29" s="161"/>
      <c r="C29" s="162"/>
      <c r="D29" s="167"/>
      <c r="E29" s="164"/>
      <c r="F29" s="160"/>
      <c r="G29" s="152"/>
      <c r="H29" s="161"/>
      <c r="I29" s="184" t="str">
        <f t="shared" si="0"/>
        <v/>
      </c>
      <c r="J29" s="185" t="str">
        <f t="shared" si="3"/>
        <v/>
      </c>
      <c r="K29" s="188"/>
      <c r="L29" s="189"/>
      <c r="M29" s="184" t="str">
        <f t="shared" si="4"/>
        <v/>
      </c>
      <c r="N29" s="161"/>
      <c r="O29" s="161"/>
      <c r="P29" s="184" t="str">
        <f t="shared" si="5"/>
        <v/>
      </c>
      <c r="Q29" s="203" t="str">
        <f t="shared" si="6"/>
        <v/>
      </c>
      <c r="R29" s="161"/>
      <c r="S29" s="161"/>
      <c r="T29" s="207"/>
      <c r="U29" s="205" t="str">
        <f t="shared" si="7"/>
        <v/>
      </c>
      <c r="V29" s="208"/>
      <c r="X29" s="202" t="str">
        <f t="shared" si="8"/>
        <v/>
      </c>
      <c r="Y29" s="202"/>
      <c r="Z29" s="210" t="str">
        <f t="shared" si="1"/>
        <v/>
      </c>
      <c r="AA29" s="210" t="str">
        <f t="shared" si="2"/>
        <v/>
      </c>
    </row>
    <row r="30" spans="1:27">
      <c r="A30" s="91">
        <v>20</v>
      </c>
      <c r="B30" s="163"/>
      <c r="C30" s="154"/>
      <c r="D30" s="165"/>
      <c r="E30" s="166"/>
      <c r="F30" s="156"/>
      <c r="G30" s="157"/>
      <c r="H30" s="163"/>
      <c r="I30" s="184" t="str">
        <f t="shared" ref="I30:I93" si="9">IF(AND(F30="",G30=""),"",IF(F30&lt;7,F30+G30,F30+10+H30))</f>
        <v/>
      </c>
      <c r="J30" s="185" t="str">
        <f t="shared" si="3"/>
        <v/>
      </c>
      <c r="K30" s="186"/>
      <c r="L30" s="187"/>
      <c r="M30" s="184" t="str">
        <f t="shared" si="4"/>
        <v/>
      </c>
      <c r="N30" s="163"/>
      <c r="O30" s="163"/>
      <c r="P30" s="184" t="str">
        <f t="shared" si="5"/>
        <v/>
      </c>
      <c r="Q30" s="203" t="str">
        <f t="shared" si="6"/>
        <v/>
      </c>
      <c r="R30" s="163"/>
      <c r="S30" s="163"/>
      <c r="T30" s="204"/>
      <c r="U30" s="205" t="str">
        <f t="shared" si="7"/>
        <v/>
      </c>
      <c r="V30" s="206"/>
      <c r="X30" s="202" t="str">
        <f t="shared" si="8"/>
        <v/>
      </c>
      <c r="Y30" s="202"/>
      <c r="Z30" s="210" t="str">
        <f t="shared" si="1"/>
        <v/>
      </c>
      <c r="AA30" s="210" t="str">
        <f t="shared" si="2"/>
        <v/>
      </c>
    </row>
    <row r="31" spans="1:27">
      <c r="A31" s="49">
        <v>21</v>
      </c>
      <c r="B31" s="161"/>
      <c r="C31" s="162"/>
      <c r="D31" s="167"/>
      <c r="E31" s="164"/>
      <c r="F31" s="160"/>
      <c r="G31" s="152"/>
      <c r="H31" s="161"/>
      <c r="I31" s="184" t="str">
        <f t="shared" si="9"/>
        <v/>
      </c>
      <c r="J31" s="185" t="str">
        <f t="shared" si="3"/>
        <v/>
      </c>
      <c r="K31" s="188"/>
      <c r="L31" s="189"/>
      <c r="M31" s="184" t="str">
        <f t="shared" si="4"/>
        <v/>
      </c>
      <c r="N31" s="161"/>
      <c r="O31" s="161"/>
      <c r="P31" s="184" t="str">
        <f t="shared" si="5"/>
        <v/>
      </c>
      <c r="Q31" s="203" t="str">
        <f t="shared" si="6"/>
        <v/>
      </c>
      <c r="R31" s="161"/>
      <c r="S31" s="161"/>
      <c r="T31" s="207"/>
      <c r="U31" s="205" t="str">
        <f t="shared" si="7"/>
        <v/>
      </c>
      <c r="V31" s="208"/>
      <c r="X31" s="202" t="str">
        <f t="shared" si="8"/>
        <v/>
      </c>
      <c r="Y31" s="202"/>
      <c r="Z31" s="210" t="str">
        <f t="shared" si="1"/>
        <v/>
      </c>
      <c r="AA31" s="210" t="str">
        <f t="shared" si="2"/>
        <v/>
      </c>
    </row>
    <row r="32" spans="1:27">
      <c r="A32" s="91">
        <v>22</v>
      </c>
      <c r="B32" s="163"/>
      <c r="C32" s="154"/>
      <c r="D32" s="165"/>
      <c r="E32" s="166"/>
      <c r="F32" s="156"/>
      <c r="G32" s="157"/>
      <c r="H32" s="163"/>
      <c r="I32" s="184" t="str">
        <f t="shared" si="9"/>
        <v/>
      </c>
      <c r="J32" s="185" t="str">
        <f t="shared" si="3"/>
        <v/>
      </c>
      <c r="K32" s="186"/>
      <c r="L32" s="187"/>
      <c r="M32" s="184" t="str">
        <f t="shared" si="4"/>
        <v/>
      </c>
      <c r="N32" s="163"/>
      <c r="O32" s="163"/>
      <c r="P32" s="184" t="str">
        <f t="shared" si="5"/>
        <v/>
      </c>
      <c r="Q32" s="203" t="str">
        <f t="shared" si="6"/>
        <v/>
      </c>
      <c r="R32" s="163"/>
      <c r="S32" s="163"/>
      <c r="T32" s="204"/>
      <c r="U32" s="205" t="str">
        <f t="shared" si="7"/>
        <v/>
      </c>
      <c r="V32" s="206"/>
      <c r="X32" s="202" t="str">
        <f t="shared" si="8"/>
        <v/>
      </c>
      <c r="Y32" s="202"/>
      <c r="Z32" s="210" t="str">
        <f t="shared" si="1"/>
        <v/>
      </c>
      <c r="AA32" s="210" t="str">
        <f t="shared" si="2"/>
        <v/>
      </c>
    </row>
    <row r="33" spans="1:27">
      <c r="A33" s="49">
        <v>23</v>
      </c>
      <c r="B33" s="161"/>
      <c r="C33" s="162"/>
      <c r="D33" s="167"/>
      <c r="E33" s="164"/>
      <c r="F33" s="160"/>
      <c r="G33" s="152"/>
      <c r="H33" s="161"/>
      <c r="I33" s="184" t="str">
        <f t="shared" si="9"/>
        <v/>
      </c>
      <c r="J33" s="185" t="str">
        <f t="shared" si="3"/>
        <v/>
      </c>
      <c r="K33" s="188"/>
      <c r="L33" s="189"/>
      <c r="M33" s="184" t="str">
        <f t="shared" si="4"/>
        <v/>
      </c>
      <c r="N33" s="161"/>
      <c r="O33" s="161"/>
      <c r="P33" s="184" t="str">
        <f t="shared" si="5"/>
        <v/>
      </c>
      <c r="Q33" s="203" t="str">
        <f t="shared" si="6"/>
        <v/>
      </c>
      <c r="R33" s="161"/>
      <c r="S33" s="161"/>
      <c r="T33" s="207"/>
      <c r="U33" s="205" t="str">
        <f t="shared" si="7"/>
        <v/>
      </c>
      <c r="V33" s="208"/>
      <c r="X33" s="202" t="str">
        <f t="shared" si="8"/>
        <v/>
      </c>
      <c r="Y33" s="202"/>
      <c r="Z33" s="210" t="str">
        <f t="shared" si="1"/>
        <v/>
      </c>
      <c r="AA33" s="210" t="str">
        <f t="shared" si="2"/>
        <v/>
      </c>
    </row>
    <row r="34" spans="1:27">
      <c r="A34" s="91">
        <v>24</v>
      </c>
      <c r="B34" s="163"/>
      <c r="C34" s="154"/>
      <c r="D34" s="165"/>
      <c r="E34" s="166"/>
      <c r="F34" s="156"/>
      <c r="G34" s="157"/>
      <c r="H34" s="163"/>
      <c r="I34" s="184" t="str">
        <f t="shared" si="9"/>
        <v/>
      </c>
      <c r="J34" s="185" t="str">
        <f t="shared" si="3"/>
        <v/>
      </c>
      <c r="K34" s="186"/>
      <c r="L34" s="187"/>
      <c r="M34" s="184" t="str">
        <f t="shared" si="4"/>
        <v/>
      </c>
      <c r="N34" s="163"/>
      <c r="O34" s="163"/>
      <c r="P34" s="184" t="str">
        <f t="shared" si="5"/>
        <v/>
      </c>
      <c r="Q34" s="203" t="str">
        <f t="shared" si="6"/>
        <v/>
      </c>
      <c r="R34" s="163"/>
      <c r="S34" s="163"/>
      <c r="T34" s="204"/>
      <c r="U34" s="205" t="str">
        <f t="shared" si="7"/>
        <v/>
      </c>
      <c r="V34" s="206"/>
      <c r="X34" s="202" t="str">
        <f t="shared" si="8"/>
        <v/>
      </c>
      <c r="Y34" s="202"/>
      <c r="Z34" s="210" t="str">
        <f t="shared" si="1"/>
        <v/>
      </c>
      <c r="AA34" s="210" t="str">
        <f t="shared" si="2"/>
        <v/>
      </c>
    </row>
    <row r="35" spans="1:27">
      <c r="A35" s="49">
        <v>25</v>
      </c>
      <c r="B35" s="161"/>
      <c r="C35" s="162"/>
      <c r="D35" s="167"/>
      <c r="E35" s="164"/>
      <c r="F35" s="160"/>
      <c r="G35" s="152"/>
      <c r="H35" s="161"/>
      <c r="I35" s="184" t="str">
        <f t="shared" si="9"/>
        <v/>
      </c>
      <c r="J35" s="185" t="str">
        <f t="shared" si="3"/>
        <v/>
      </c>
      <c r="K35" s="188"/>
      <c r="L35" s="189"/>
      <c r="M35" s="184" t="str">
        <f t="shared" si="4"/>
        <v/>
      </c>
      <c r="N35" s="161"/>
      <c r="O35" s="161"/>
      <c r="P35" s="184" t="str">
        <f t="shared" si="5"/>
        <v/>
      </c>
      <c r="Q35" s="203" t="str">
        <f t="shared" si="6"/>
        <v/>
      </c>
      <c r="R35" s="161"/>
      <c r="S35" s="161"/>
      <c r="T35" s="207"/>
      <c r="U35" s="205" t="str">
        <f t="shared" si="7"/>
        <v/>
      </c>
      <c r="V35" s="208"/>
      <c r="X35" s="202" t="str">
        <f t="shared" si="8"/>
        <v/>
      </c>
      <c r="Y35" s="202"/>
      <c r="Z35" s="210" t="str">
        <f t="shared" si="1"/>
        <v/>
      </c>
      <c r="AA35" s="210" t="str">
        <f t="shared" si="2"/>
        <v/>
      </c>
    </row>
    <row r="36" spans="1:27">
      <c r="A36" s="91">
        <v>26</v>
      </c>
      <c r="B36" s="163"/>
      <c r="C36" s="154"/>
      <c r="D36" s="165"/>
      <c r="E36" s="166"/>
      <c r="F36" s="156"/>
      <c r="G36" s="157"/>
      <c r="H36" s="163"/>
      <c r="I36" s="184" t="str">
        <f t="shared" si="9"/>
        <v/>
      </c>
      <c r="J36" s="185" t="str">
        <f t="shared" si="3"/>
        <v/>
      </c>
      <c r="K36" s="186"/>
      <c r="L36" s="187"/>
      <c r="M36" s="184" t="str">
        <f t="shared" si="4"/>
        <v/>
      </c>
      <c r="N36" s="163"/>
      <c r="O36" s="163"/>
      <c r="P36" s="184" t="str">
        <f t="shared" si="5"/>
        <v/>
      </c>
      <c r="Q36" s="203" t="str">
        <f t="shared" si="6"/>
        <v/>
      </c>
      <c r="R36" s="163"/>
      <c r="S36" s="163"/>
      <c r="T36" s="204"/>
      <c r="U36" s="205" t="str">
        <f t="shared" si="7"/>
        <v/>
      </c>
      <c r="V36" s="206"/>
      <c r="X36" s="202" t="str">
        <f t="shared" si="8"/>
        <v/>
      </c>
      <c r="Y36" s="202"/>
      <c r="Z36" s="210" t="str">
        <f t="shared" si="1"/>
        <v/>
      </c>
      <c r="AA36" s="210" t="str">
        <f t="shared" si="2"/>
        <v/>
      </c>
    </row>
    <row r="37" spans="1:27">
      <c r="A37" s="49">
        <v>27</v>
      </c>
      <c r="B37" s="161"/>
      <c r="C37" s="162"/>
      <c r="D37" s="167"/>
      <c r="E37" s="164"/>
      <c r="F37" s="160"/>
      <c r="G37" s="152"/>
      <c r="H37" s="161"/>
      <c r="I37" s="184" t="str">
        <f t="shared" si="9"/>
        <v/>
      </c>
      <c r="J37" s="185" t="str">
        <f t="shared" si="3"/>
        <v/>
      </c>
      <c r="K37" s="188"/>
      <c r="L37" s="189"/>
      <c r="M37" s="184" t="str">
        <f t="shared" si="4"/>
        <v/>
      </c>
      <c r="N37" s="161"/>
      <c r="O37" s="161"/>
      <c r="P37" s="184" t="str">
        <f t="shared" si="5"/>
        <v/>
      </c>
      <c r="Q37" s="203" t="str">
        <f t="shared" si="6"/>
        <v/>
      </c>
      <c r="R37" s="161"/>
      <c r="S37" s="161"/>
      <c r="T37" s="207"/>
      <c r="U37" s="205" t="str">
        <f t="shared" si="7"/>
        <v/>
      </c>
      <c r="V37" s="208"/>
      <c r="X37" s="202" t="str">
        <f t="shared" si="8"/>
        <v/>
      </c>
      <c r="Y37" s="202"/>
      <c r="Z37" s="210" t="str">
        <f t="shared" si="1"/>
        <v/>
      </c>
      <c r="AA37" s="210" t="str">
        <f t="shared" si="2"/>
        <v/>
      </c>
    </row>
    <row r="38" spans="1:27">
      <c r="A38" s="91">
        <v>28</v>
      </c>
      <c r="B38" s="163"/>
      <c r="C38" s="154"/>
      <c r="D38" s="165"/>
      <c r="E38" s="166"/>
      <c r="F38" s="156"/>
      <c r="G38" s="157"/>
      <c r="H38" s="163"/>
      <c r="I38" s="184" t="str">
        <f t="shared" si="9"/>
        <v/>
      </c>
      <c r="J38" s="185" t="str">
        <f t="shared" si="3"/>
        <v/>
      </c>
      <c r="K38" s="186"/>
      <c r="L38" s="187"/>
      <c r="M38" s="184" t="str">
        <f t="shared" si="4"/>
        <v/>
      </c>
      <c r="N38" s="163"/>
      <c r="O38" s="163"/>
      <c r="P38" s="184" t="str">
        <f t="shared" si="5"/>
        <v/>
      </c>
      <c r="Q38" s="203" t="str">
        <f t="shared" si="6"/>
        <v/>
      </c>
      <c r="R38" s="163"/>
      <c r="S38" s="183"/>
      <c r="T38" s="199"/>
      <c r="U38" s="205" t="str">
        <f t="shared" si="7"/>
        <v/>
      </c>
      <c r="V38" s="206"/>
      <c r="X38" s="202" t="str">
        <f t="shared" si="8"/>
        <v/>
      </c>
      <c r="Y38" s="202"/>
      <c r="Z38" s="210" t="str">
        <f t="shared" si="1"/>
        <v/>
      </c>
      <c r="AA38" s="210" t="str">
        <f t="shared" si="2"/>
        <v/>
      </c>
    </row>
    <row r="39" spans="1:27">
      <c r="A39" s="49">
        <v>29</v>
      </c>
      <c r="B39" s="161"/>
      <c r="C39" s="162"/>
      <c r="D39" s="167"/>
      <c r="E39" s="164"/>
      <c r="F39" s="160"/>
      <c r="G39" s="152"/>
      <c r="H39" s="161"/>
      <c r="I39" s="184" t="str">
        <f t="shared" si="9"/>
        <v/>
      </c>
      <c r="J39" s="185" t="str">
        <f t="shared" si="3"/>
        <v/>
      </c>
      <c r="K39" s="188"/>
      <c r="L39" s="189"/>
      <c r="M39" s="184" t="str">
        <f t="shared" si="4"/>
        <v/>
      </c>
      <c r="N39" s="161"/>
      <c r="O39" s="161"/>
      <c r="P39" s="184" t="str">
        <f t="shared" si="5"/>
        <v/>
      </c>
      <c r="Q39" s="203" t="str">
        <f t="shared" si="6"/>
        <v/>
      </c>
      <c r="R39" s="161"/>
      <c r="S39" s="163"/>
      <c r="T39" s="204"/>
      <c r="U39" s="205" t="str">
        <f t="shared" si="7"/>
        <v/>
      </c>
      <c r="V39" s="208"/>
      <c r="X39" s="202" t="str">
        <f t="shared" si="8"/>
        <v/>
      </c>
      <c r="Y39" s="202"/>
      <c r="Z39" s="210" t="str">
        <f t="shared" si="1"/>
        <v/>
      </c>
      <c r="AA39" s="210" t="str">
        <f t="shared" si="2"/>
        <v/>
      </c>
    </row>
    <row r="40" spans="1:27">
      <c r="A40" s="91">
        <v>30</v>
      </c>
      <c r="B40" s="163"/>
      <c r="C40" s="154"/>
      <c r="D40" s="165"/>
      <c r="E40" s="166"/>
      <c r="F40" s="156"/>
      <c r="G40" s="157"/>
      <c r="H40" s="163"/>
      <c r="I40" s="184" t="str">
        <f t="shared" si="9"/>
        <v/>
      </c>
      <c r="J40" s="185" t="str">
        <f t="shared" si="3"/>
        <v/>
      </c>
      <c r="K40" s="186"/>
      <c r="L40" s="187"/>
      <c r="M40" s="184" t="str">
        <f t="shared" si="4"/>
        <v/>
      </c>
      <c r="N40" s="163"/>
      <c r="O40" s="163"/>
      <c r="P40" s="184" t="str">
        <f t="shared" si="5"/>
        <v/>
      </c>
      <c r="Q40" s="203" t="str">
        <f t="shared" si="6"/>
        <v/>
      </c>
      <c r="R40" s="163"/>
      <c r="S40" s="161"/>
      <c r="T40" s="207"/>
      <c r="U40" s="205" t="str">
        <f t="shared" si="7"/>
        <v/>
      </c>
      <c r="V40" s="206"/>
      <c r="X40" s="202" t="str">
        <f t="shared" si="8"/>
        <v/>
      </c>
      <c r="Y40" s="202"/>
      <c r="Z40" s="210" t="str">
        <f t="shared" si="1"/>
        <v/>
      </c>
      <c r="AA40" s="210" t="str">
        <f t="shared" si="2"/>
        <v/>
      </c>
    </row>
    <row r="41" spans="1:27">
      <c r="A41" s="49">
        <v>31</v>
      </c>
      <c r="B41" s="161"/>
      <c r="C41" s="162"/>
      <c r="D41" s="167"/>
      <c r="E41" s="164"/>
      <c r="F41" s="160"/>
      <c r="G41" s="152"/>
      <c r="H41" s="161"/>
      <c r="I41" s="184" t="str">
        <f t="shared" si="9"/>
        <v/>
      </c>
      <c r="J41" s="185" t="str">
        <f t="shared" si="3"/>
        <v/>
      </c>
      <c r="K41" s="188"/>
      <c r="L41" s="189"/>
      <c r="M41" s="184" t="str">
        <f t="shared" si="4"/>
        <v/>
      </c>
      <c r="N41" s="161"/>
      <c r="O41" s="161"/>
      <c r="P41" s="184" t="str">
        <f t="shared" si="5"/>
        <v/>
      </c>
      <c r="Q41" s="203" t="str">
        <f t="shared" si="6"/>
        <v/>
      </c>
      <c r="R41" s="161"/>
      <c r="S41" s="163"/>
      <c r="T41" s="204"/>
      <c r="U41" s="205" t="str">
        <f t="shared" si="7"/>
        <v/>
      </c>
      <c r="V41" s="208"/>
      <c r="X41" s="202" t="str">
        <f t="shared" si="8"/>
        <v/>
      </c>
      <c r="Y41" s="202"/>
      <c r="Z41" s="210" t="str">
        <f t="shared" si="1"/>
        <v/>
      </c>
      <c r="AA41" s="210" t="str">
        <f t="shared" si="2"/>
        <v/>
      </c>
    </row>
    <row r="42" spans="1:27">
      <c r="A42" s="91">
        <v>32</v>
      </c>
      <c r="B42" s="163"/>
      <c r="C42" s="154"/>
      <c r="D42" s="165"/>
      <c r="E42" s="166"/>
      <c r="F42" s="156"/>
      <c r="G42" s="157"/>
      <c r="H42" s="163"/>
      <c r="I42" s="184" t="str">
        <f t="shared" si="9"/>
        <v/>
      </c>
      <c r="J42" s="185" t="str">
        <f t="shared" si="3"/>
        <v/>
      </c>
      <c r="K42" s="186"/>
      <c r="L42" s="187"/>
      <c r="M42" s="184" t="str">
        <f t="shared" si="4"/>
        <v/>
      </c>
      <c r="N42" s="163"/>
      <c r="O42" s="163"/>
      <c r="P42" s="184" t="str">
        <f t="shared" si="5"/>
        <v/>
      </c>
      <c r="Q42" s="203" t="str">
        <f t="shared" si="6"/>
        <v/>
      </c>
      <c r="R42" s="163"/>
      <c r="S42" s="161"/>
      <c r="T42" s="207"/>
      <c r="U42" s="205" t="str">
        <f t="shared" si="7"/>
        <v/>
      </c>
      <c r="V42" s="206"/>
      <c r="X42" s="202" t="str">
        <f t="shared" si="8"/>
        <v/>
      </c>
      <c r="Y42" s="202"/>
      <c r="Z42" s="210" t="str">
        <f t="shared" si="1"/>
        <v/>
      </c>
      <c r="AA42" s="210" t="str">
        <f t="shared" si="2"/>
        <v/>
      </c>
    </row>
    <row r="43" spans="1:27">
      <c r="A43" s="49">
        <v>33</v>
      </c>
      <c r="B43" s="161"/>
      <c r="C43" s="162"/>
      <c r="D43" s="167"/>
      <c r="E43" s="164"/>
      <c r="F43" s="160"/>
      <c r="G43" s="152"/>
      <c r="H43" s="161"/>
      <c r="I43" s="184" t="str">
        <f t="shared" si="9"/>
        <v/>
      </c>
      <c r="J43" s="185" t="str">
        <f t="shared" si="3"/>
        <v/>
      </c>
      <c r="K43" s="188"/>
      <c r="L43" s="189"/>
      <c r="M43" s="184" t="str">
        <f t="shared" si="4"/>
        <v/>
      </c>
      <c r="N43" s="161"/>
      <c r="O43" s="161"/>
      <c r="P43" s="184" t="str">
        <f t="shared" si="5"/>
        <v/>
      </c>
      <c r="Q43" s="203" t="str">
        <f t="shared" si="6"/>
        <v/>
      </c>
      <c r="R43" s="161"/>
      <c r="S43" s="163"/>
      <c r="T43" s="204"/>
      <c r="U43" s="205" t="str">
        <f t="shared" si="7"/>
        <v/>
      </c>
      <c r="V43" s="208"/>
      <c r="X43" s="202" t="str">
        <f t="shared" si="8"/>
        <v/>
      </c>
      <c r="Y43" s="202"/>
      <c r="Z43" s="210" t="str">
        <f t="shared" ref="Z43:Z74" si="10">IF($C43&lt;&gt;"",IF($F43&gt;6,Q43,0%),"")</f>
        <v/>
      </c>
      <c r="AA43" s="210" t="str">
        <f t="shared" ref="AA43:AA74" si="11">IF($C43&lt;&gt;"",IF($F43&gt;6,S43/$AA$9,0%),"")</f>
        <v/>
      </c>
    </row>
    <row r="44" spans="1:27">
      <c r="A44" s="91">
        <v>34</v>
      </c>
      <c r="B44" s="163"/>
      <c r="C44" s="154"/>
      <c r="D44" s="165"/>
      <c r="E44" s="166"/>
      <c r="F44" s="156"/>
      <c r="G44" s="157"/>
      <c r="H44" s="163"/>
      <c r="I44" s="184" t="str">
        <f t="shared" si="9"/>
        <v/>
      </c>
      <c r="J44" s="185" t="str">
        <f t="shared" si="3"/>
        <v/>
      </c>
      <c r="K44" s="186"/>
      <c r="L44" s="187"/>
      <c r="M44" s="184" t="str">
        <f t="shared" si="4"/>
        <v/>
      </c>
      <c r="N44" s="163"/>
      <c r="O44" s="163"/>
      <c r="P44" s="184" t="str">
        <f t="shared" si="5"/>
        <v/>
      </c>
      <c r="Q44" s="203" t="str">
        <f t="shared" si="6"/>
        <v/>
      </c>
      <c r="R44" s="163"/>
      <c r="S44" s="161"/>
      <c r="T44" s="207"/>
      <c r="U44" s="205" t="str">
        <f t="shared" si="7"/>
        <v/>
      </c>
      <c r="V44" s="206"/>
      <c r="X44" s="202" t="str">
        <f t="shared" si="8"/>
        <v/>
      </c>
      <c r="Y44" s="202"/>
      <c r="Z44" s="210" t="str">
        <f t="shared" si="10"/>
        <v/>
      </c>
      <c r="AA44" s="210" t="str">
        <f t="shared" si="11"/>
        <v/>
      </c>
    </row>
    <row r="45" spans="1:27">
      <c r="A45" s="49">
        <v>35</v>
      </c>
      <c r="B45" s="161"/>
      <c r="C45" s="162"/>
      <c r="D45" s="167"/>
      <c r="E45" s="164"/>
      <c r="F45" s="160"/>
      <c r="G45" s="152"/>
      <c r="H45" s="161"/>
      <c r="I45" s="184" t="str">
        <f t="shared" si="9"/>
        <v/>
      </c>
      <c r="J45" s="185" t="str">
        <f t="shared" si="3"/>
        <v/>
      </c>
      <c r="K45" s="188"/>
      <c r="L45" s="189"/>
      <c r="M45" s="184" t="str">
        <f t="shared" si="4"/>
        <v/>
      </c>
      <c r="N45" s="161"/>
      <c r="O45" s="161"/>
      <c r="P45" s="184" t="str">
        <f t="shared" si="5"/>
        <v/>
      </c>
      <c r="Q45" s="203" t="str">
        <f t="shared" si="6"/>
        <v/>
      </c>
      <c r="R45" s="161"/>
      <c r="S45" s="163"/>
      <c r="T45" s="204"/>
      <c r="U45" s="205" t="str">
        <f t="shared" si="7"/>
        <v/>
      </c>
      <c r="V45" s="208"/>
      <c r="X45" s="202" t="str">
        <f t="shared" si="8"/>
        <v/>
      </c>
      <c r="Y45" s="202"/>
      <c r="Z45" s="210" t="str">
        <f t="shared" si="10"/>
        <v/>
      </c>
      <c r="AA45" s="210" t="str">
        <f t="shared" si="11"/>
        <v/>
      </c>
    </row>
    <row r="46" spans="1:27">
      <c r="A46" s="91">
        <v>36</v>
      </c>
      <c r="B46" s="163"/>
      <c r="C46" s="154"/>
      <c r="D46" s="165"/>
      <c r="E46" s="166"/>
      <c r="F46" s="156"/>
      <c r="G46" s="157"/>
      <c r="H46" s="163"/>
      <c r="I46" s="184" t="str">
        <f t="shared" si="9"/>
        <v/>
      </c>
      <c r="J46" s="185" t="str">
        <f t="shared" si="3"/>
        <v/>
      </c>
      <c r="K46" s="186"/>
      <c r="L46" s="187"/>
      <c r="M46" s="184" t="str">
        <f t="shared" si="4"/>
        <v/>
      </c>
      <c r="N46" s="163"/>
      <c r="O46" s="163"/>
      <c r="P46" s="184" t="str">
        <f t="shared" si="5"/>
        <v/>
      </c>
      <c r="Q46" s="203" t="str">
        <f t="shared" si="6"/>
        <v/>
      </c>
      <c r="R46" s="163"/>
      <c r="S46" s="161"/>
      <c r="T46" s="207"/>
      <c r="U46" s="205" t="str">
        <f t="shared" si="7"/>
        <v/>
      </c>
      <c r="V46" s="206"/>
      <c r="X46" s="202" t="str">
        <f t="shared" si="8"/>
        <v/>
      </c>
      <c r="Y46" s="202"/>
      <c r="Z46" s="210" t="str">
        <f t="shared" si="10"/>
        <v/>
      </c>
      <c r="AA46" s="210" t="str">
        <f t="shared" si="11"/>
        <v/>
      </c>
    </row>
    <row r="47" spans="1:27">
      <c r="A47" s="49">
        <v>37</v>
      </c>
      <c r="B47" s="161"/>
      <c r="C47" s="162"/>
      <c r="D47" s="167"/>
      <c r="E47" s="164"/>
      <c r="F47" s="160"/>
      <c r="G47" s="152"/>
      <c r="H47" s="161"/>
      <c r="I47" s="184" t="str">
        <f t="shared" si="9"/>
        <v/>
      </c>
      <c r="J47" s="185" t="str">
        <f t="shared" si="3"/>
        <v/>
      </c>
      <c r="K47" s="188"/>
      <c r="L47" s="189"/>
      <c r="M47" s="184" t="str">
        <f t="shared" si="4"/>
        <v/>
      </c>
      <c r="N47" s="161"/>
      <c r="O47" s="161"/>
      <c r="P47" s="184" t="str">
        <f t="shared" si="5"/>
        <v/>
      </c>
      <c r="Q47" s="203" t="str">
        <f t="shared" si="6"/>
        <v/>
      </c>
      <c r="R47" s="161"/>
      <c r="S47" s="163"/>
      <c r="T47" s="204"/>
      <c r="U47" s="205" t="str">
        <f t="shared" si="7"/>
        <v/>
      </c>
      <c r="V47" s="208"/>
      <c r="X47" s="202" t="str">
        <f t="shared" si="8"/>
        <v/>
      </c>
      <c r="Y47" s="202"/>
      <c r="Z47" s="210" t="str">
        <f t="shared" si="10"/>
        <v/>
      </c>
      <c r="AA47" s="210" t="str">
        <f t="shared" si="11"/>
        <v/>
      </c>
    </row>
    <row r="48" spans="1:27">
      <c r="A48" s="91">
        <v>38</v>
      </c>
      <c r="B48" s="163"/>
      <c r="C48" s="154"/>
      <c r="D48" s="165"/>
      <c r="E48" s="166"/>
      <c r="F48" s="156"/>
      <c r="G48" s="157"/>
      <c r="H48" s="163"/>
      <c r="I48" s="184" t="str">
        <f t="shared" si="9"/>
        <v/>
      </c>
      <c r="J48" s="185" t="str">
        <f t="shared" si="3"/>
        <v/>
      </c>
      <c r="K48" s="186"/>
      <c r="L48" s="187"/>
      <c r="M48" s="184" t="str">
        <f t="shared" si="4"/>
        <v/>
      </c>
      <c r="N48" s="163"/>
      <c r="O48" s="163"/>
      <c r="P48" s="184" t="str">
        <f t="shared" si="5"/>
        <v/>
      </c>
      <c r="Q48" s="203" t="str">
        <f t="shared" si="6"/>
        <v/>
      </c>
      <c r="R48" s="163"/>
      <c r="S48" s="161"/>
      <c r="T48" s="207"/>
      <c r="U48" s="205" t="str">
        <f t="shared" si="7"/>
        <v/>
      </c>
      <c r="V48" s="206"/>
      <c r="X48" s="202" t="str">
        <f t="shared" si="8"/>
        <v/>
      </c>
      <c r="Y48" s="202"/>
      <c r="Z48" s="210" t="str">
        <f t="shared" si="10"/>
        <v/>
      </c>
      <c r="AA48" s="210" t="str">
        <f t="shared" si="11"/>
        <v/>
      </c>
    </row>
    <row r="49" spans="1:27">
      <c r="A49" s="49">
        <v>39</v>
      </c>
      <c r="B49" s="161"/>
      <c r="C49" s="162"/>
      <c r="D49" s="167"/>
      <c r="E49" s="164"/>
      <c r="F49" s="160"/>
      <c r="G49" s="152"/>
      <c r="H49" s="161"/>
      <c r="I49" s="184" t="str">
        <f t="shared" si="9"/>
        <v/>
      </c>
      <c r="J49" s="185" t="str">
        <f t="shared" si="3"/>
        <v/>
      </c>
      <c r="K49" s="188"/>
      <c r="L49" s="189"/>
      <c r="M49" s="184" t="str">
        <f t="shared" si="4"/>
        <v/>
      </c>
      <c r="N49" s="161"/>
      <c r="O49" s="161"/>
      <c r="P49" s="184" t="str">
        <f t="shared" si="5"/>
        <v/>
      </c>
      <c r="Q49" s="203" t="str">
        <f t="shared" si="6"/>
        <v/>
      </c>
      <c r="R49" s="161"/>
      <c r="S49" s="163"/>
      <c r="T49" s="204"/>
      <c r="U49" s="205" t="str">
        <f t="shared" si="7"/>
        <v/>
      </c>
      <c r="V49" s="208"/>
      <c r="X49" s="202" t="str">
        <f t="shared" si="8"/>
        <v/>
      </c>
      <c r="Y49" s="202"/>
      <c r="Z49" s="210" t="str">
        <f t="shared" si="10"/>
        <v/>
      </c>
      <c r="AA49" s="210" t="str">
        <f t="shared" si="11"/>
        <v/>
      </c>
    </row>
    <row r="50" spans="1:27">
      <c r="A50" s="91">
        <v>40</v>
      </c>
      <c r="B50" s="163"/>
      <c r="C50" s="154"/>
      <c r="D50" s="165"/>
      <c r="E50" s="166"/>
      <c r="F50" s="156"/>
      <c r="G50" s="157"/>
      <c r="H50" s="163"/>
      <c r="I50" s="184" t="str">
        <f t="shared" si="9"/>
        <v/>
      </c>
      <c r="J50" s="185" t="str">
        <f t="shared" si="3"/>
        <v/>
      </c>
      <c r="K50" s="186"/>
      <c r="L50" s="187"/>
      <c r="M50" s="184" t="str">
        <f t="shared" si="4"/>
        <v/>
      </c>
      <c r="N50" s="163"/>
      <c r="O50" s="163"/>
      <c r="P50" s="184" t="str">
        <f t="shared" si="5"/>
        <v/>
      </c>
      <c r="Q50" s="203" t="str">
        <f t="shared" si="6"/>
        <v/>
      </c>
      <c r="R50" s="163"/>
      <c r="S50" s="161"/>
      <c r="T50" s="207"/>
      <c r="U50" s="205" t="str">
        <f t="shared" si="7"/>
        <v/>
      </c>
      <c r="V50" s="206"/>
      <c r="X50" s="202" t="str">
        <f t="shared" si="8"/>
        <v/>
      </c>
      <c r="Y50" s="202"/>
      <c r="Z50" s="210" t="str">
        <f t="shared" si="10"/>
        <v/>
      </c>
      <c r="AA50" s="210" t="str">
        <f t="shared" si="11"/>
        <v/>
      </c>
    </row>
    <row r="51" spans="1:27">
      <c r="A51" s="49">
        <v>41</v>
      </c>
      <c r="B51" s="161"/>
      <c r="C51" s="162"/>
      <c r="D51" s="167"/>
      <c r="E51" s="164"/>
      <c r="F51" s="160"/>
      <c r="G51" s="152"/>
      <c r="H51" s="161"/>
      <c r="I51" s="184" t="str">
        <f t="shared" si="9"/>
        <v/>
      </c>
      <c r="J51" s="185" t="str">
        <f t="shared" si="3"/>
        <v/>
      </c>
      <c r="K51" s="188"/>
      <c r="L51" s="189"/>
      <c r="M51" s="184" t="str">
        <f t="shared" si="4"/>
        <v/>
      </c>
      <c r="N51" s="161"/>
      <c r="O51" s="161"/>
      <c r="P51" s="184" t="str">
        <f t="shared" si="5"/>
        <v/>
      </c>
      <c r="Q51" s="203" t="str">
        <f t="shared" si="6"/>
        <v/>
      </c>
      <c r="R51" s="161"/>
      <c r="S51" s="163"/>
      <c r="T51" s="204"/>
      <c r="U51" s="205" t="str">
        <f t="shared" si="7"/>
        <v/>
      </c>
      <c r="V51" s="208"/>
      <c r="X51" s="202" t="str">
        <f t="shared" si="8"/>
        <v/>
      </c>
      <c r="Y51" s="202"/>
      <c r="Z51" s="210" t="str">
        <f t="shared" si="10"/>
        <v/>
      </c>
      <c r="AA51" s="210" t="str">
        <f t="shared" si="11"/>
        <v/>
      </c>
    </row>
    <row r="52" spans="1:27">
      <c r="A52" s="91">
        <v>42</v>
      </c>
      <c r="B52" s="163"/>
      <c r="C52" s="154"/>
      <c r="D52" s="165"/>
      <c r="E52" s="166"/>
      <c r="F52" s="156"/>
      <c r="G52" s="157"/>
      <c r="H52" s="163"/>
      <c r="I52" s="184" t="str">
        <f t="shared" si="9"/>
        <v/>
      </c>
      <c r="J52" s="185" t="str">
        <f t="shared" si="3"/>
        <v/>
      </c>
      <c r="K52" s="186"/>
      <c r="L52" s="187"/>
      <c r="M52" s="184" t="str">
        <f t="shared" si="4"/>
        <v/>
      </c>
      <c r="N52" s="163"/>
      <c r="O52" s="163"/>
      <c r="P52" s="184" t="str">
        <f t="shared" si="5"/>
        <v/>
      </c>
      <c r="Q52" s="203" t="str">
        <f t="shared" si="6"/>
        <v/>
      </c>
      <c r="R52" s="163"/>
      <c r="S52" s="161"/>
      <c r="T52" s="207"/>
      <c r="U52" s="205" t="str">
        <f t="shared" si="7"/>
        <v/>
      </c>
      <c r="V52" s="206"/>
      <c r="X52" s="202" t="str">
        <f t="shared" si="8"/>
        <v/>
      </c>
      <c r="Y52" s="202"/>
      <c r="Z52" s="210" t="str">
        <f t="shared" si="10"/>
        <v/>
      </c>
      <c r="AA52" s="210" t="str">
        <f t="shared" si="11"/>
        <v/>
      </c>
    </row>
    <row r="53" spans="1:27">
      <c r="A53" s="49">
        <v>43</v>
      </c>
      <c r="B53" s="161"/>
      <c r="C53" s="162"/>
      <c r="D53" s="167"/>
      <c r="E53" s="164"/>
      <c r="F53" s="160"/>
      <c r="G53" s="152"/>
      <c r="H53" s="161"/>
      <c r="I53" s="184" t="str">
        <f t="shared" si="9"/>
        <v/>
      </c>
      <c r="J53" s="185" t="str">
        <f t="shared" si="3"/>
        <v/>
      </c>
      <c r="K53" s="188"/>
      <c r="L53" s="189"/>
      <c r="M53" s="184" t="str">
        <f t="shared" si="4"/>
        <v/>
      </c>
      <c r="N53" s="161"/>
      <c r="O53" s="161"/>
      <c r="P53" s="184" t="str">
        <f t="shared" si="5"/>
        <v/>
      </c>
      <c r="Q53" s="203" t="str">
        <f t="shared" si="6"/>
        <v/>
      </c>
      <c r="R53" s="161"/>
      <c r="S53" s="163"/>
      <c r="T53" s="209"/>
      <c r="U53" s="205" t="str">
        <f t="shared" si="7"/>
        <v/>
      </c>
      <c r="V53" s="208"/>
      <c r="X53" s="202" t="str">
        <f t="shared" si="8"/>
        <v/>
      </c>
      <c r="Y53" s="202"/>
      <c r="Z53" s="210" t="str">
        <f t="shared" si="10"/>
        <v/>
      </c>
      <c r="AA53" s="210" t="str">
        <f t="shared" si="11"/>
        <v/>
      </c>
    </row>
    <row r="54" spans="1:27">
      <c r="A54" s="91">
        <v>44</v>
      </c>
      <c r="B54" s="163"/>
      <c r="C54" s="154"/>
      <c r="D54" s="165"/>
      <c r="E54" s="166"/>
      <c r="F54" s="156"/>
      <c r="G54" s="157"/>
      <c r="H54" s="163"/>
      <c r="I54" s="184" t="str">
        <f t="shared" si="9"/>
        <v/>
      </c>
      <c r="J54" s="185" t="str">
        <f t="shared" si="3"/>
        <v/>
      </c>
      <c r="K54" s="186"/>
      <c r="L54" s="187"/>
      <c r="M54" s="184" t="str">
        <f t="shared" si="4"/>
        <v/>
      </c>
      <c r="N54" s="163"/>
      <c r="O54" s="163"/>
      <c r="P54" s="184" t="str">
        <f t="shared" si="5"/>
        <v/>
      </c>
      <c r="Q54" s="203" t="str">
        <f t="shared" si="6"/>
        <v/>
      </c>
      <c r="R54" s="163"/>
      <c r="S54" s="161"/>
      <c r="T54" s="207"/>
      <c r="U54" s="205" t="str">
        <f t="shared" si="7"/>
        <v/>
      </c>
      <c r="V54" s="206"/>
      <c r="X54" s="202" t="str">
        <f t="shared" si="8"/>
        <v/>
      </c>
      <c r="Y54" s="202"/>
      <c r="Z54" s="210" t="str">
        <f t="shared" si="10"/>
        <v/>
      </c>
      <c r="AA54" s="210" t="str">
        <f t="shared" si="11"/>
        <v/>
      </c>
    </row>
    <row r="55" spans="1:27">
      <c r="A55" s="49">
        <v>45</v>
      </c>
      <c r="B55" s="161"/>
      <c r="C55" s="162"/>
      <c r="D55" s="167"/>
      <c r="E55" s="164"/>
      <c r="F55" s="160"/>
      <c r="G55" s="152"/>
      <c r="H55" s="161"/>
      <c r="I55" s="184" t="str">
        <f t="shared" si="9"/>
        <v/>
      </c>
      <c r="J55" s="185" t="str">
        <f t="shared" si="3"/>
        <v/>
      </c>
      <c r="K55" s="188"/>
      <c r="L55" s="189"/>
      <c r="M55" s="184" t="str">
        <f t="shared" si="4"/>
        <v/>
      </c>
      <c r="N55" s="161"/>
      <c r="O55" s="161"/>
      <c r="P55" s="184" t="str">
        <f t="shared" si="5"/>
        <v/>
      </c>
      <c r="Q55" s="203" t="str">
        <f t="shared" si="6"/>
        <v/>
      </c>
      <c r="R55" s="161"/>
      <c r="S55" s="163"/>
      <c r="T55" s="204"/>
      <c r="U55" s="205" t="str">
        <f t="shared" si="7"/>
        <v/>
      </c>
      <c r="V55" s="208"/>
      <c r="X55" s="202" t="str">
        <f t="shared" si="8"/>
        <v/>
      </c>
      <c r="Y55" s="202"/>
      <c r="Z55" s="210" t="str">
        <f t="shared" si="10"/>
        <v/>
      </c>
      <c r="AA55" s="210" t="str">
        <f t="shared" si="11"/>
        <v/>
      </c>
    </row>
    <row r="56" spans="1:27">
      <c r="A56" s="91">
        <v>46</v>
      </c>
      <c r="B56" s="163"/>
      <c r="C56" s="154"/>
      <c r="D56" s="165"/>
      <c r="E56" s="166"/>
      <c r="F56" s="156"/>
      <c r="G56" s="157"/>
      <c r="H56" s="163"/>
      <c r="I56" s="184" t="str">
        <f t="shared" si="9"/>
        <v/>
      </c>
      <c r="J56" s="185" t="str">
        <f t="shared" si="3"/>
        <v/>
      </c>
      <c r="K56" s="186"/>
      <c r="L56" s="187"/>
      <c r="M56" s="184" t="str">
        <f t="shared" si="4"/>
        <v/>
      </c>
      <c r="N56" s="163"/>
      <c r="O56" s="163"/>
      <c r="P56" s="184" t="str">
        <f t="shared" si="5"/>
        <v/>
      </c>
      <c r="Q56" s="203" t="str">
        <f t="shared" si="6"/>
        <v/>
      </c>
      <c r="R56" s="163"/>
      <c r="S56" s="161"/>
      <c r="T56" s="207"/>
      <c r="U56" s="205" t="str">
        <f t="shared" si="7"/>
        <v/>
      </c>
      <c r="V56" s="206"/>
      <c r="X56" s="202" t="str">
        <f t="shared" si="8"/>
        <v/>
      </c>
      <c r="Y56" s="202"/>
      <c r="Z56" s="210" t="str">
        <f t="shared" si="10"/>
        <v/>
      </c>
      <c r="AA56" s="210" t="str">
        <f t="shared" si="11"/>
        <v/>
      </c>
    </row>
    <row r="57" spans="1:27">
      <c r="A57" s="49">
        <v>47</v>
      </c>
      <c r="B57" s="161"/>
      <c r="C57" s="162"/>
      <c r="D57" s="167"/>
      <c r="E57" s="164"/>
      <c r="F57" s="160"/>
      <c r="G57" s="152"/>
      <c r="H57" s="161"/>
      <c r="I57" s="184" t="str">
        <f t="shared" si="9"/>
        <v/>
      </c>
      <c r="J57" s="185" t="str">
        <f t="shared" si="3"/>
        <v/>
      </c>
      <c r="K57" s="188"/>
      <c r="L57" s="189"/>
      <c r="M57" s="184" t="str">
        <f t="shared" si="4"/>
        <v/>
      </c>
      <c r="N57" s="161"/>
      <c r="O57" s="161"/>
      <c r="P57" s="184" t="str">
        <f t="shared" si="5"/>
        <v/>
      </c>
      <c r="Q57" s="203" t="str">
        <f t="shared" si="6"/>
        <v/>
      </c>
      <c r="R57" s="161"/>
      <c r="S57" s="163"/>
      <c r="T57" s="204"/>
      <c r="U57" s="205" t="str">
        <f t="shared" si="7"/>
        <v/>
      </c>
      <c r="V57" s="208"/>
      <c r="X57" s="202" t="str">
        <f t="shared" si="8"/>
        <v/>
      </c>
      <c r="Y57" s="202"/>
      <c r="Z57" s="210" t="str">
        <f t="shared" si="10"/>
        <v/>
      </c>
      <c r="AA57" s="210" t="str">
        <f t="shared" si="11"/>
        <v/>
      </c>
    </row>
    <row r="58" spans="1:27">
      <c r="A58" s="91">
        <v>48</v>
      </c>
      <c r="B58" s="163"/>
      <c r="C58" s="154"/>
      <c r="D58" s="165"/>
      <c r="E58" s="166"/>
      <c r="F58" s="156"/>
      <c r="G58" s="157"/>
      <c r="H58" s="163"/>
      <c r="I58" s="184" t="str">
        <f t="shared" si="9"/>
        <v/>
      </c>
      <c r="J58" s="185" t="str">
        <f t="shared" si="3"/>
        <v/>
      </c>
      <c r="K58" s="186"/>
      <c r="L58" s="187"/>
      <c r="M58" s="184" t="str">
        <f t="shared" si="4"/>
        <v/>
      </c>
      <c r="N58" s="163"/>
      <c r="O58" s="163"/>
      <c r="P58" s="184" t="str">
        <f t="shared" si="5"/>
        <v/>
      </c>
      <c r="Q58" s="203" t="str">
        <f t="shared" si="6"/>
        <v/>
      </c>
      <c r="R58" s="163"/>
      <c r="S58" s="161"/>
      <c r="T58" s="207"/>
      <c r="U58" s="205" t="str">
        <f t="shared" si="7"/>
        <v/>
      </c>
      <c r="V58" s="206"/>
      <c r="X58" s="202" t="str">
        <f t="shared" si="8"/>
        <v/>
      </c>
      <c r="Y58" s="202"/>
      <c r="Z58" s="210" t="str">
        <f t="shared" si="10"/>
        <v/>
      </c>
      <c r="AA58" s="210" t="str">
        <f t="shared" si="11"/>
        <v/>
      </c>
    </row>
    <row r="59" spans="1:27">
      <c r="A59" s="49">
        <v>49</v>
      </c>
      <c r="B59" s="161"/>
      <c r="C59" s="162"/>
      <c r="D59" s="167"/>
      <c r="E59" s="164"/>
      <c r="F59" s="160"/>
      <c r="G59" s="152"/>
      <c r="H59" s="161"/>
      <c r="I59" s="184" t="str">
        <f t="shared" si="9"/>
        <v/>
      </c>
      <c r="J59" s="185" t="str">
        <f t="shared" si="3"/>
        <v/>
      </c>
      <c r="K59" s="188"/>
      <c r="L59" s="189"/>
      <c r="M59" s="184" t="str">
        <f t="shared" si="4"/>
        <v/>
      </c>
      <c r="N59" s="161"/>
      <c r="O59" s="161"/>
      <c r="P59" s="184" t="str">
        <f t="shared" si="5"/>
        <v/>
      </c>
      <c r="Q59" s="203" t="str">
        <f t="shared" si="6"/>
        <v/>
      </c>
      <c r="R59" s="161"/>
      <c r="S59" s="163"/>
      <c r="T59" s="204"/>
      <c r="U59" s="205" t="str">
        <f t="shared" si="7"/>
        <v/>
      </c>
      <c r="V59" s="208"/>
      <c r="X59" s="202" t="str">
        <f t="shared" si="8"/>
        <v/>
      </c>
      <c r="Y59" s="202"/>
      <c r="Z59" s="210" t="str">
        <f t="shared" si="10"/>
        <v/>
      </c>
      <c r="AA59" s="210" t="str">
        <f t="shared" si="11"/>
        <v/>
      </c>
    </row>
    <row r="60" spans="1:27">
      <c r="A60" s="91">
        <v>50</v>
      </c>
      <c r="B60" s="163"/>
      <c r="C60" s="154"/>
      <c r="D60" s="165"/>
      <c r="E60" s="166"/>
      <c r="F60" s="156"/>
      <c r="G60" s="157"/>
      <c r="H60" s="163"/>
      <c r="I60" s="184" t="str">
        <f t="shared" si="9"/>
        <v/>
      </c>
      <c r="J60" s="185" t="str">
        <f t="shared" si="3"/>
        <v/>
      </c>
      <c r="K60" s="186"/>
      <c r="L60" s="187"/>
      <c r="M60" s="184" t="str">
        <f t="shared" si="4"/>
        <v/>
      </c>
      <c r="N60" s="163"/>
      <c r="O60" s="163"/>
      <c r="P60" s="184" t="str">
        <f t="shared" si="5"/>
        <v/>
      </c>
      <c r="Q60" s="203" t="str">
        <f t="shared" si="6"/>
        <v/>
      </c>
      <c r="R60" s="163"/>
      <c r="S60" s="161"/>
      <c r="T60" s="207"/>
      <c r="U60" s="205" t="str">
        <f t="shared" si="7"/>
        <v/>
      </c>
      <c r="V60" s="206"/>
      <c r="X60" s="202" t="str">
        <f t="shared" si="8"/>
        <v/>
      </c>
      <c r="Y60" s="202"/>
      <c r="Z60" s="210" t="str">
        <f t="shared" si="10"/>
        <v/>
      </c>
      <c r="AA60" s="210" t="str">
        <f t="shared" si="11"/>
        <v/>
      </c>
    </row>
    <row r="61" spans="1:27">
      <c r="A61" s="49">
        <v>51</v>
      </c>
      <c r="B61" s="161"/>
      <c r="C61" s="162"/>
      <c r="D61" s="167"/>
      <c r="E61" s="164"/>
      <c r="F61" s="160"/>
      <c r="G61" s="152"/>
      <c r="H61" s="161"/>
      <c r="I61" s="184" t="str">
        <f t="shared" si="9"/>
        <v/>
      </c>
      <c r="J61" s="185" t="str">
        <f t="shared" si="3"/>
        <v/>
      </c>
      <c r="K61" s="188"/>
      <c r="L61" s="189"/>
      <c r="M61" s="184" t="str">
        <f t="shared" si="4"/>
        <v/>
      </c>
      <c r="N61" s="161"/>
      <c r="O61" s="161"/>
      <c r="P61" s="184" t="str">
        <f t="shared" si="5"/>
        <v/>
      </c>
      <c r="Q61" s="203" t="str">
        <f t="shared" si="6"/>
        <v/>
      </c>
      <c r="R61" s="161"/>
      <c r="S61" s="163"/>
      <c r="T61" s="204"/>
      <c r="U61" s="205" t="str">
        <f t="shared" si="7"/>
        <v/>
      </c>
      <c r="V61" s="208"/>
      <c r="X61" s="202" t="str">
        <f t="shared" si="8"/>
        <v/>
      </c>
      <c r="Y61" s="202"/>
      <c r="Z61" s="210" t="str">
        <f t="shared" si="10"/>
        <v/>
      </c>
      <c r="AA61" s="210" t="str">
        <f t="shared" si="11"/>
        <v/>
      </c>
    </row>
    <row r="62" spans="1:27">
      <c r="A62" s="91">
        <v>52</v>
      </c>
      <c r="B62" s="163"/>
      <c r="C62" s="154"/>
      <c r="D62" s="165"/>
      <c r="E62" s="166"/>
      <c r="F62" s="156"/>
      <c r="G62" s="157"/>
      <c r="H62" s="163"/>
      <c r="I62" s="184" t="str">
        <f t="shared" si="9"/>
        <v/>
      </c>
      <c r="J62" s="185" t="str">
        <f t="shared" si="3"/>
        <v/>
      </c>
      <c r="K62" s="186"/>
      <c r="L62" s="187"/>
      <c r="M62" s="184" t="str">
        <f t="shared" si="4"/>
        <v/>
      </c>
      <c r="N62" s="163"/>
      <c r="O62" s="163"/>
      <c r="P62" s="184" t="str">
        <f t="shared" si="5"/>
        <v/>
      </c>
      <c r="Q62" s="203" t="str">
        <f t="shared" si="6"/>
        <v/>
      </c>
      <c r="R62" s="163"/>
      <c r="S62" s="161"/>
      <c r="T62" s="207"/>
      <c r="U62" s="205" t="str">
        <f t="shared" si="7"/>
        <v/>
      </c>
      <c r="V62" s="206"/>
      <c r="X62" s="202" t="str">
        <f t="shared" si="8"/>
        <v/>
      </c>
      <c r="Y62" s="202"/>
      <c r="Z62" s="210" t="str">
        <f t="shared" si="10"/>
        <v/>
      </c>
      <c r="AA62" s="210" t="str">
        <f t="shared" si="11"/>
        <v/>
      </c>
    </row>
    <row r="63" spans="1:27">
      <c r="A63" s="49">
        <v>53</v>
      </c>
      <c r="B63" s="161"/>
      <c r="C63" s="162"/>
      <c r="D63" s="167"/>
      <c r="E63" s="164"/>
      <c r="F63" s="160"/>
      <c r="G63" s="152"/>
      <c r="H63" s="161"/>
      <c r="I63" s="184" t="str">
        <f t="shared" si="9"/>
        <v/>
      </c>
      <c r="J63" s="185" t="str">
        <f t="shared" si="3"/>
        <v/>
      </c>
      <c r="K63" s="188"/>
      <c r="L63" s="189"/>
      <c r="M63" s="184" t="str">
        <f t="shared" si="4"/>
        <v/>
      </c>
      <c r="N63" s="161"/>
      <c r="O63" s="161"/>
      <c r="P63" s="184" t="str">
        <f t="shared" si="5"/>
        <v/>
      </c>
      <c r="Q63" s="203" t="str">
        <f t="shared" si="6"/>
        <v/>
      </c>
      <c r="R63" s="161"/>
      <c r="S63" s="163"/>
      <c r="T63" s="204"/>
      <c r="U63" s="205" t="str">
        <f t="shared" si="7"/>
        <v/>
      </c>
      <c r="V63" s="208"/>
      <c r="X63" s="202" t="str">
        <f t="shared" si="8"/>
        <v/>
      </c>
      <c r="Y63" s="202"/>
      <c r="Z63" s="210" t="str">
        <f t="shared" si="10"/>
        <v/>
      </c>
      <c r="AA63" s="210" t="str">
        <f t="shared" si="11"/>
        <v/>
      </c>
    </row>
    <row r="64" spans="1:27">
      <c r="A64" s="91">
        <v>54</v>
      </c>
      <c r="B64" s="163"/>
      <c r="C64" s="154"/>
      <c r="D64" s="165"/>
      <c r="E64" s="166"/>
      <c r="F64" s="156"/>
      <c r="G64" s="157"/>
      <c r="H64" s="163"/>
      <c r="I64" s="184" t="str">
        <f t="shared" si="9"/>
        <v/>
      </c>
      <c r="J64" s="185" t="str">
        <f t="shared" si="3"/>
        <v/>
      </c>
      <c r="K64" s="186"/>
      <c r="L64" s="187"/>
      <c r="M64" s="184" t="str">
        <f t="shared" si="4"/>
        <v/>
      </c>
      <c r="N64" s="163"/>
      <c r="O64" s="163"/>
      <c r="P64" s="184" t="str">
        <f t="shared" si="5"/>
        <v/>
      </c>
      <c r="Q64" s="203" t="str">
        <f t="shared" si="6"/>
        <v/>
      </c>
      <c r="R64" s="163"/>
      <c r="S64" s="161"/>
      <c r="T64" s="207"/>
      <c r="U64" s="205" t="str">
        <f t="shared" si="7"/>
        <v/>
      </c>
      <c r="V64" s="206"/>
      <c r="X64" s="202" t="str">
        <f t="shared" si="8"/>
        <v/>
      </c>
      <c r="Y64" s="202"/>
      <c r="Z64" s="210" t="str">
        <f t="shared" si="10"/>
        <v/>
      </c>
      <c r="AA64" s="210" t="str">
        <f t="shared" si="11"/>
        <v/>
      </c>
    </row>
    <row r="65" spans="1:27">
      <c r="A65" s="49">
        <v>55</v>
      </c>
      <c r="B65" s="161"/>
      <c r="C65" s="162"/>
      <c r="D65" s="167"/>
      <c r="E65" s="164"/>
      <c r="F65" s="160"/>
      <c r="G65" s="152"/>
      <c r="H65" s="161"/>
      <c r="I65" s="184" t="str">
        <f t="shared" si="9"/>
        <v/>
      </c>
      <c r="J65" s="185" t="str">
        <f t="shared" si="3"/>
        <v/>
      </c>
      <c r="K65" s="188"/>
      <c r="L65" s="189"/>
      <c r="M65" s="184" t="str">
        <f t="shared" si="4"/>
        <v/>
      </c>
      <c r="N65" s="161"/>
      <c r="O65" s="161"/>
      <c r="P65" s="184" t="str">
        <f t="shared" si="5"/>
        <v/>
      </c>
      <c r="Q65" s="203" t="str">
        <f t="shared" si="6"/>
        <v/>
      </c>
      <c r="R65" s="161"/>
      <c r="S65" s="163"/>
      <c r="T65" s="204"/>
      <c r="U65" s="205" t="str">
        <f t="shared" si="7"/>
        <v/>
      </c>
      <c r="V65" s="208"/>
      <c r="X65" s="202" t="str">
        <f t="shared" si="8"/>
        <v/>
      </c>
      <c r="Y65" s="202"/>
      <c r="Z65" s="210" t="str">
        <f t="shared" si="10"/>
        <v/>
      </c>
      <c r="AA65" s="210" t="str">
        <f t="shared" si="11"/>
        <v/>
      </c>
    </row>
    <row r="66" spans="1:27">
      <c r="A66" s="91">
        <v>56</v>
      </c>
      <c r="B66" s="163"/>
      <c r="C66" s="154"/>
      <c r="D66" s="165"/>
      <c r="E66" s="166"/>
      <c r="F66" s="156"/>
      <c r="G66" s="157"/>
      <c r="H66" s="163"/>
      <c r="I66" s="184" t="str">
        <f t="shared" si="9"/>
        <v/>
      </c>
      <c r="J66" s="185" t="str">
        <f t="shared" si="3"/>
        <v/>
      </c>
      <c r="K66" s="186"/>
      <c r="L66" s="187"/>
      <c r="M66" s="184" t="str">
        <f t="shared" si="4"/>
        <v/>
      </c>
      <c r="N66" s="163"/>
      <c r="O66" s="163"/>
      <c r="P66" s="184" t="str">
        <f t="shared" si="5"/>
        <v/>
      </c>
      <c r="Q66" s="203" t="str">
        <f t="shared" si="6"/>
        <v/>
      </c>
      <c r="R66" s="163"/>
      <c r="S66" s="161"/>
      <c r="T66" s="207"/>
      <c r="U66" s="205" t="str">
        <f t="shared" si="7"/>
        <v/>
      </c>
      <c r="V66" s="206"/>
      <c r="X66" s="202" t="str">
        <f t="shared" si="8"/>
        <v/>
      </c>
      <c r="Y66" s="202"/>
      <c r="Z66" s="210" t="str">
        <f t="shared" si="10"/>
        <v/>
      </c>
      <c r="AA66" s="210" t="str">
        <f t="shared" si="11"/>
        <v/>
      </c>
    </row>
    <row r="67" spans="1:27">
      <c r="A67" s="49">
        <v>57</v>
      </c>
      <c r="B67" s="161"/>
      <c r="C67" s="162"/>
      <c r="D67" s="167"/>
      <c r="E67" s="164"/>
      <c r="F67" s="160"/>
      <c r="G67" s="152"/>
      <c r="H67" s="161"/>
      <c r="I67" s="184" t="str">
        <f t="shared" si="9"/>
        <v/>
      </c>
      <c r="J67" s="185" t="str">
        <f t="shared" si="3"/>
        <v/>
      </c>
      <c r="K67" s="188"/>
      <c r="L67" s="189"/>
      <c r="M67" s="184" t="str">
        <f t="shared" si="4"/>
        <v/>
      </c>
      <c r="N67" s="161"/>
      <c r="O67" s="161"/>
      <c r="P67" s="184" t="str">
        <f t="shared" si="5"/>
        <v/>
      </c>
      <c r="Q67" s="203" t="str">
        <f t="shared" si="6"/>
        <v/>
      </c>
      <c r="R67" s="161"/>
      <c r="S67" s="163"/>
      <c r="T67" s="204"/>
      <c r="U67" s="205" t="str">
        <f t="shared" si="7"/>
        <v/>
      </c>
      <c r="V67" s="208"/>
      <c r="X67" s="202" t="str">
        <f t="shared" si="8"/>
        <v/>
      </c>
      <c r="Y67" s="202"/>
      <c r="Z67" s="210" t="str">
        <f t="shared" si="10"/>
        <v/>
      </c>
      <c r="AA67" s="210" t="str">
        <f t="shared" si="11"/>
        <v/>
      </c>
    </row>
    <row r="68" spans="1:27">
      <c r="A68" s="91">
        <v>58</v>
      </c>
      <c r="B68" s="163"/>
      <c r="C68" s="154"/>
      <c r="D68" s="165"/>
      <c r="E68" s="166"/>
      <c r="F68" s="156"/>
      <c r="G68" s="157"/>
      <c r="H68" s="163"/>
      <c r="I68" s="184" t="str">
        <f t="shared" si="9"/>
        <v/>
      </c>
      <c r="J68" s="185" t="str">
        <f t="shared" si="3"/>
        <v/>
      </c>
      <c r="K68" s="186"/>
      <c r="L68" s="187"/>
      <c r="M68" s="184" t="str">
        <f t="shared" si="4"/>
        <v/>
      </c>
      <c r="N68" s="163"/>
      <c r="O68" s="163"/>
      <c r="P68" s="184" t="str">
        <f t="shared" si="5"/>
        <v/>
      </c>
      <c r="Q68" s="203" t="str">
        <f t="shared" si="6"/>
        <v/>
      </c>
      <c r="R68" s="163"/>
      <c r="S68" s="161"/>
      <c r="T68" s="207"/>
      <c r="U68" s="205" t="str">
        <f t="shared" si="7"/>
        <v/>
      </c>
      <c r="V68" s="206"/>
      <c r="X68" s="202" t="str">
        <f t="shared" si="8"/>
        <v/>
      </c>
      <c r="Y68" s="202"/>
      <c r="Z68" s="210" t="str">
        <f t="shared" si="10"/>
        <v/>
      </c>
      <c r="AA68" s="210" t="str">
        <f t="shared" si="11"/>
        <v/>
      </c>
    </row>
    <row r="69" spans="1:27">
      <c r="A69" s="49">
        <v>59</v>
      </c>
      <c r="B69" s="161"/>
      <c r="C69" s="162"/>
      <c r="D69" s="167"/>
      <c r="E69" s="164"/>
      <c r="F69" s="160"/>
      <c r="G69" s="152"/>
      <c r="H69" s="161"/>
      <c r="I69" s="184" t="str">
        <f t="shared" si="9"/>
        <v/>
      </c>
      <c r="J69" s="185" t="str">
        <f t="shared" si="3"/>
        <v/>
      </c>
      <c r="K69" s="188"/>
      <c r="L69" s="189"/>
      <c r="M69" s="184" t="str">
        <f t="shared" si="4"/>
        <v/>
      </c>
      <c r="N69" s="161"/>
      <c r="O69" s="161"/>
      <c r="P69" s="184" t="str">
        <f t="shared" si="5"/>
        <v/>
      </c>
      <c r="Q69" s="203" t="str">
        <f t="shared" si="6"/>
        <v/>
      </c>
      <c r="R69" s="161"/>
      <c r="S69" s="161"/>
      <c r="T69" s="207"/>
      <c r="U69" s="205" t="str">
        <f t="shared" si="7"/>
        <v/>
      </c>
      <c r="V69" s="208"/>
      <c r="X69" s="202" t="str">
        <f t="shared" si="8"/>
        <v/>
      </c>
      <c r="Y69" s="202"/>
      <c r="Z69" s="210" t="str">
        <f t="shared" si="10"/>
        <v/>
      </c>
      <c r="AA69" s="210" t="str">
        <f t="shared" si="11"/>
        <v/>
      </c>
    </row>
    <row r="70" spans="1:27">
      <c r="A70" s="49">
        <f>A69+1</f>
        <v>60</v>
      </c>
      <c r="B70" s="161"/>
      <c r="C70" s="162"/>
      <c r="D70" s="167"/>
      <c r="E70" s="164"/>
      <c r="F70" s="160"/>
      <c r="G70" s="157"/>
      <c r="H70" s="163"/>
      <c r="I70" s="184" t="str">
        <f t="shared" si="9"/>
        <v/>
      </c>
      <c r="J70" s="185" t="str">
        <f t="shared" si="3"/>
        <v/>
      </c>
      <c r="K70" s="186"/>
      <c r="L70" s="187"/>
      <c r="M70" s="184" t="str">
        <f t="shared" si="4"/>
        <v/>
      </c>
      <c r="N70" s="163"/>
      <c r="O70" s="163"/>
      <c r="P70" s="184" t="str">
        <f t="shared" si="5"/>
        <v/>
      </c>
      <c r="Q70" s="203" t="str">
        <f t="shared" si="6"/>
        <v/>
      </c>
      <c r="R70" s="163"/>
      <c r="S70" s="163"/>
      <c r="T70" s="204"/>
      <c r="U70" s="205" t="str">
        <f t="shared" si="7"/>
        <v/>
      </c>
      <c r="V70" s="206"/>
      <c r="X70" s="202" t="str">
        <f t="shared" si="8"/>
        <v/>
      </c>
      <c r="Y70" s="202"/>
      <c r="Z70" s="210" t="str">
        <f t="shared" si="10"/>
        <v/>
      </c>
      <c r="AA70" s="210" t="str">
        <f t="shared" si="11"/>
        <v/>
      </c>
    </row>
    <row r="71" spans="1:27">
      <c r="A71" s="91">
        <f t="shared" ref="A71:A109" si="12">A70+1</f>
        <v>61</v>
      </c>
      <c r="B71" s="163"/>
      <c r="C71" s="154"/>
      <c r="D71" s="165"/>
      <c r="E71" s="166"/>
      <c r="F71" s="156"/>
      <c r="G71" s="152"/>
      <c r="H71" s="161"/>
      <c r="I71" s="184" t="str">
        <f t="shared" si="9"/>
        <v/>
      </c>
      <c r="J71" s="185" t="str">
        <f t="shared" si="3"/>
        <v/>
      </c>
      <c r="K71" s="188"/>
      <c r="L71" s="189"/>
      <c r="M71" s="184" t="str">
        <f t="shared" si="4"/>
        <v/>
      </c>
      <c r="N71" s="161"/>
      <c r="O71" s="161"/>
      <c r="P71" s="184" t="str">
        <f t="shared" si="5"/>
        <v/>
      </c>
      <c r="Q71" s="203" t="str">
        <f t="shared" si="6"/>
        <v/>
      </c>
      <c r="R71" s="161"/>
      <c r="S71" s="161"/>
      <c r="T71" s="207"/>
      <c r="U71" s="205" t="str">
        <f t="shared" si="7"/>
        <v/>
      </c>
      <c r="V71" s="208"/>
      <c r="X71" s="202" t="str">
        <f t="shared" si="8"/>
        <v/>
      </c>
      <c r="Y71" s="202"/>
      <c r="Z71" s="210" t="str">
        <f t="shared" si="10"/>
        <v/>
      </c>
      <c r="AA71" s="210" t="str">
        <f t="shared" si="11"/>
        <v/>
      </c>
    </row>
    <row r="72" spans="1:27">
      <c r="A72" s="49">
        <f t="shared" si="12"/>
        <v>62</v>
      </c>
      <c r="B72" s="161"/>
      <c r="C72" s="162"/>
      <c r="D72" s="167"/>
      <c r="E72" s="164"/>
      <c r="F72" s="160"/>
      <c r="G72" s="157"/>
      <c r="H72" s="163"/>
      <c r="I72" s="184" t="str">
        <f t="shared" si="9"/>
        <v/>
      </c>
      <c r="J72" s="185" t="str">
        <f t="shared" si="3"/>
        <v/>
      </c>
      <c r="K72" s="186"/>
      <c r="L72" s="187"/>
      <c r="M72" s="184" t="str">
        <f t="shared" si="4"/>
        <v/>
      </c>
      <c r="N72" s="163"/>
      <c r="O72" s="163"/>
      <c r="P72" s="184" t="str">
        <f t="shared" si="5"/>
        <v/>
      </c>
      <c r="Q72" s="203" t="str">
        <f t="shared" si="6"/>
        <v/>
      </c>
      <c r="R72" s="163"/>
      <c r="S72" s="163"/>
      <c r="T72" s="204"/>
      <c r="U72" s="205" t="str">
        <f t="shared" si="7"/>
        <v/>
      </c>
      <c r="V72" s="206"/>
      <c r="X72" s="202" t="str">
        <f t="shared" si="8"/>
        <v/>
      </c>
      <c r="Y72" s="202"/>
      <c r="Z72" s="210" t="str">
        <f t="shared" si="10"/>
        <v/>
      </c>
      <c r="AA72" s="210" t="str">
        <f t="shared" si="11"/>
        <v/>
      </c>
    </row>
    <row r="73" spans="1:27">
      <c r="A73" s="91">
        <f t="shared" si="12"/>
        <v>63</v>
      </c>
      <c r="B73" s="163"/>
      <c r="C73" s="154"/>
      <c r="D73" s="165"/>
      <c r="E73" s="166"/>
      <c r="F73" s="156"/>
      <c r="G73" s="152"/>
      <c r="H73" s="161"/>
      <c r="I73" s="184" t="str">
        <f t="shared" si="9"/>
        <v/>
      </c>
      <c r="J73" s="185" t="str">
        <f t="shared" si="3"/>
        <v/>
      </c>
      <c r="K73" s="188"/>
      <c r="L73" s="189"/>
      <c r="M73" s="184" t="str">
        <f t="shared" si="4"/>
        <v/>
      </c>
      <c r="N73" s="161"/>
      <c r="O73" s="161"/>
      <c r="P73" s="184" t="str">
        <f t="shared" si="5"/>
        <v/>
      </c>
      <c r="Q73" s="203" t="str">
        <f t="shared" si="6"/>
        <v/>
      </c>
      <c r="R73" s="161"/>
      <c r="S73" s="161"/>
      <c r="T73" s="207"/>
      <c r="U73" s="205" t="str">
        <f t="shared" si="7"/>
        <v/>
      </c>
      <c r="V73" s="208"/>
      <c r="X73" s="202" t="str">
        <f t="shared" si="8"/>
        <v/>
      </c>
      <c r="Y73" s="202"/>
      <c r="Z73" s="210" t="str">
        <f t="shared" si="10"/>
        <v/>
      </c>
      <c r="AA73" s="210" t="str">
        <f t="shared" si="11"/>
        <v/>
      </c>
    </row>
    <row r="74" spans="1:27">
      <c r="A74" s="49">
        <f t="shared" si="12"/>
        <v>64</v>
      </c>
      <c r="B74" s="161"/>
      <c r="C74" s="162"/>
      <c r="D74" s="167"/>
      <c r="E74" s="164"/>
      <c r="F74" s="160"/>
      <c r="G74" s="157"/>
      <c r="H74" s="163"/>
      <c r="I74" s="184" t="str">
        <f t="shared" si="9"/>
        <v/>
      </c>
      <c r="J74" s="185" t="str">
        <f t="shared" si="3"/>
        <v/>
      </c>
      <c r="K74" s="186"/>
      <c r="L74" s="187"/>
      <c r="M74" s="184" t="str">
        <f t="shared" si="4"/>
        <v/>
      </c>
      <c r="N74" s="163"/>
      <c r="O74" s="163"/>
      <c r="P74" s="184" t="str">
        <f t="shared" si="5"/>
        <v/>
      </c>
      <c r="Q74" s="203" t="str">
        <f t="shared" si="6"/>
        <v/>
      </c>
      <c r="R74" s="163"/>
      <c r="S74" s="163"/>
      <c r="T74" s="204"/>
      <c r="U74" s="205" t="str">
        <f t="shared" si="7"/>
        <v/>
      </c>
      <c r="V74" s="206"/>
      <c r="X74" s="202" t="str">
        <f t="shared" si="8"/>
        <v/>
      </c>
      <c r="Y74" s="202"/>
      <c r="Z74" s="210" t="str">
        <f t="shared" si="10"/>
        <v/>
      </c>
      <c r="AA74" s="210" t="str">
        <f t="shared" si="11"/>
        <v/>
      </c>
    </row>
    <row r="75" spans="1:27">
      <c r="A75" s="91">
        <f t="shared" si="12"/>
        <v>65</v>
      </c>
      <c r="B75" s="163"/>
      <c r="C75" s="154"/>
      <c r="D75" s="165"/>
      <c r="E75" s="166"/>
      <c r="F75" s="156"/>
      <c r="G75" s="152"/>
      <c r="H75" s="161"/>
      <c r="I75" s="184" t="str">
        <f t="shared" si="9"/>
        <v/>
      </c>
      <c r="J75" s="185" t="str">
        <f t="shared" si="3"/>
        <v/>
      </c>
      <c r="K75" s="188"/>
      <c r="L75" s="189"/>
      <c r="M75" s="184" t="str">
        <f t="shared" si="4"/>
        <v/>
      </c>
      <c r="N75" s="161"/>
      <c r="O75" s="161"/>
      <c r="P75" s="184" t="str">
        <f t="shared" si="5"/>
        <v/>
      </c>
      <c r="Q75" s="203" t="str">
        <f t="shared" si="6"/>
        <v/>
      </c>
      <c r="R75" s="161"/>
      <c r="S75" s="161"/>
      <c r="T75" s="207"/>
      <c r="U75" s="205" t="str">
        <f t="shared" si="7"/>
        <v/>
      </c>
      <c r="V75" s="208"/>
      <c r="X75" s="202" t="str">
        <f t="shared" si="8"/>
        <v/>
      </c>
      <c r="Y75" s="202"/>
      <c r="Z75" s="210" t="str">
        <f t="shared" ref="Z75:Z110" si="13">IF($C75&lt;&gt;"",IF($F75&gt;6,Q75,0%),"")</f>
        <v/>
      </c>
      <c r="AA75" s="210" t="str">
        <f t="shared" ref="AA75:AA110" si="14">IF($C75&lt;&gt;"",IF($F75&gt;6,S75/$AA$9,0%),"")</f>
        <v/>
      </c>
    </row>
    <row r="76" spans="1:27">
      <c r="A76" s="49">
        <f t="shared" si="12"/>
        <v>66</v>
      </c>
      <c r="B76" s="161"/>
      <c r="C76" s="162"/>
      <c r="D76" s="167"/>
      <c r="E76" s="164"/>
      <c r="F76" s="160"/>
      <c r="G76" s="157"/>
      <c r="H76" s="163"/>
      <c r="I76" s="184" t="str">
        <f t="shared" si="9"/>
        <v/>
      </c>
      <c r="J76" s="185" t="str">
        <f t="shared" ref="J76:J110" si="15">IF(I76="","",IF(F76&lt;7,IF(I76&lt;=10,"Full Refresher","Moderate Refresher"),IF(I76&lt;27,"Light Refresher","Grade Ready")))</f>
        <v/>
      </c>
      <c r="K76" s="186"/>
      <c r="L76" s="187"/>
      <c r="M76" s="184" t="str">
        <f t="shared" ref="M76:M110" si="16">IF($C$9&lt;&gt;"",IF(OR(K76=1,K76=2),IF(K76=1,M$7-L76,$P$7-L76),""),"")</f>
        <v/>
      </c>
      <c r="N76" s="163"/>
      <c r="O76" s="163"/>
      <c r="P76" s="184" t="str">
        <f t="shared" ref="P76:P110" si="17">IFERROR(IF(AND(K76&gt;0,M76&gt;0,OR(N76&gt;0,O76&gt;0)),(M76/((N76*60)+O76))*60,""),"")</f>
        <v/>
      </c>
      <c r="Q76" s="203" t="str">
        <f t="shared" ref="Q76:Q110" si="18">IFERROR(IF(OR(K76=1,K76=2),IF(K76=1,M76/$M$7,M76/$P$7),""),"")</f>
        <v/>
      </c>
      <c r="R76" s="163"/>
      <c r="S76" s="163"/>
      <c r="T76" s="204"/>
      <c r="U76" s="205" t="str">
        <f t="shared" ref="U76:U110" si="19">IF(J76&lt;&gt;"",IF(OR(J76="Full Refresher",J76="Moderate Refresher"),"Low Emerging Reader",IF(AND(K76&gt;0,Q76&lt;&gt;""),IF(OR(Q76&lt;=25%,AND(Q76&gt;25%,Q76&lt;=50%,R76=0)),"High Emerging Reader",IF(OR(AND(Q76&gt;25%,Q76&lt;51%,R76&gt;=1),AND(Q76&gt;50%,Q76&lt;76%,R76&lt;=1)),"Developing Reader",IF(OR(AND(Q76&gt;=51%,Q76&lt;76%,R76&gt;=2),AND(Q76&gt;75%,R76&lt;=3)),"Transitioning Reader",IF(AND(Q76&gt;75%,R76&gt;=4),"Reading At Grade Level","")))),"")),"")</f>
        <v/>
      </c>
      <c r="V76" s="206"/>
      <c r="X76" s="202" t="str">
        <f t="shared" ref="X76:X110" si="20">IF(C76&lt;&gt;"",$I76/30,"")</f>
        <v/>
      </c>
      <c r="Y76" s="202"/>
      <c r="Z76" s="210" t="str">
        <f t="shared" si="13"/>
        <v/>
      </c>
      <c r="AA76" s="210" t="str">
        <f t="shared" si="14"/>
        <v/>
      </c>
    </row>
    <row r="77" spans="1:27">
      <c r="A77" s="91">
        <f t="shared" si="12"/>
        <v>67</v>
      </c>
      <c r="B77" s="163"/>
      <c r="C77" s="154"/>
      <c r="D77" s="165"/>
      <c r="E77" s="166"/>
      <c r="F77" s="156"/>
      <c r="G77" s="152"/>
      <c r="H77" s="161"/>
      <c r="I77" s="184" t="str">
        <f t="shared" si="9"/>
        <v/>
      </c>
      <c r="J77" s="185" t="str">
        <f t="shared" si="15"/>
        <v/>
      </c>
      <c r="K77" s="188"/>
      <c r="L77" s="189"/>
      <c r="M77" s="184" t="str">
        <f t="shared" si="16"/>
        <v/>
      </c>
      <c r="N77" s="161"/>
      <c r="O77" s="161"/>
      <c r="P77" s="184" t="str">
        <f t="shared" si="17"/>
        <v/>
      </c>
      <c r="Q77" s="203" t="str">
        <f t="shared" si="18"/>
        <v/>
      </c>
      <c r="R77" s="161"/>
      <c r="S77" s="161"/>
      <c r="T77" s="207"/>
      <c r="U77" s="205" t="str">
        <f t="shared" si="19"/>
        <v/>
      </c>
      <c r="V77" s="208"/>
      <c r="X77" s="202" t="str">
        <f t="shared" si="20"/>
        <v/>
      </c>
      <c r="Y77" s="202"/>
      <c r="Z77" s="210" t="str">
        <f t="shared" si="13"/>
        <v/>
      </c>
      <c r="AA77" s="210" t="str">
        <f t="shared" si="14"/>
        <v/>
      </c>
    </row>
    <row r="78" spans="1:27">
      <c r="A78" s="49">
        <f t="shared" si="12"/>
        <v>68</v>
      </c>
      <c r="B78" s="161"/>
      <c r="C78" s="162"/>
      <c r="D78" s="167"/>
      <c r="E78" s="164"/>
      <c r="F78" s="160"/>
      <c r="G78" s="157"/>
      <c r="H78" s="163"/>
      <c r="I78" s="184" t="str">
        <f t="shared" si="9"/>
        <v/>
      </c>
      <c r="J78" s="185" t="str">
        <f t="shared" si="15"/>
        <v/>
      </c>
      <c r="K78" s="186"/>
      <c r="L78" s="187"/>
      <c r="M78" s="184" t="str">
        <f t="shared" si="16"/>
        <v/>
      </c>
      <c r="N78" s="163"/>
      <c r="O78" s="163"/>
      <c r="P78" s="184" t="str">
        <f t="shared" si="17"/>
        <v/>
      </c>
      <c r="Q78" s="203" t="str">
        <f t="shared" si="18"/>
        <v/>
      </c>
      <c r="R78" s="163"/>
      <c r="S78" s="163"/>
      <c r="T78" s="204"/>
      <c r="U78" s="205" t="str">
        <f t="shared" si="19"/>
        <v/>
      </c>
      <c r="V78" s="206"/>
      <c r="X78" s="202" t="str">
        <f t="shared" si="20"/>
        <v/>
      </c>
      <c r="Y78" s="202"/>
      <c r="Z78" s="210" t="str">
        <f t="shared" si="13"/>
        <v/>
      </c>
      <c r="AA78" s="210" t="str">
        <f t="shared" si="14"/>
        <v/>
      </c>
    </row>
    <row r="79" spans="1:27">
      <c r="A79" s="91">
        <f t="shared" si="12"/>
        <v>69</v>
      </c>
      <c r="B79" s="163"/>
      <c r="C79" s="154"/>
      <c r="D79" s="165"/>
      <c r="E79" s="166"/>
      <c r="F79" s="156"/>
      <c r="G79" s="152"/>
      <c r="H79" s="161"/>
      <c r="I79" s="184" t="str">
        <f t="shared" si="9"/>
        <v/>
      </c>
      <c r="J79" s="185" t="str">
        <f t="shared" si="15"/>
        <v/>
      </c>
      <c r="K79" s="188"/>
      <c r="L79" s="189"/>
      <c r="M79" s="184" t="str">
        <f t="shared" si="16"/>
        <v/>
      </c>
      <c r="N79" s="161"/>
      <c r="O79" s="161"/>
      <c r="P79" s="184" t="str">
        <f t="shared" si="17"/>
        <v/>
      </c>
      <c r="Q79" s="203" t="str">
        <f t="shared" si="18"/>
        <v/>
      </c>
      <c r="R79" s="161"/>
      <c r="S79" s="161"/>
      <c r="T79" s="207"/>
      <c r="U79" s="205" t="str">
        <f t="shared" si="19"/>
        <v/>
      </c>
      <c r="V79" s="208"/>
      <c r="X79" s="202" t="str">
        <f t="shared" si="20"/>
        <v/>
      </c>
      <c r="Y79" s="202"/>
      <c r="Z79" s="210" t="str">
        <f t="shared" si="13"/>
        <v/>
      </c>
      <c r="AA79" s="210" t="str">
        <f t="shared" si="14"/>
        <v/>
      </c>
    </row>
    <row r="80" spans="1:27">
      <c r="A80" s="49">
        <f t="shared" si="12"/>
        <v>70</v>
      </c>
      <c r="B80" s="161"/>
      <c r="C80" s="162"/>
      <c r="D80" s="167"/>
      <c r="E80" s="164"/>
      <c r="F80" s="160"/>
      <c r="G80" s="157"/>
      <c r="H80" s="163"/>
      <c r="I80" s="184" t="str">
        <f t="shared" si="9"/>
        <v/>
      </c>
      <c r="J80" s="185" t="str">
        <f t="shared" si="15"/>
        <v/>
      </c>
      <c r="K80" s="186"/>
      <c r="L80" s="187"/>
      <c r="M80" s="184" t="str">
        <f t="shared" si="16"/>
        <v/>
      </c>
      <c r="N80" s="163"/>
      <c r="O80" s="163"/>
      <c r="P80" s="184" t="str">
        <f t="shared" si="17"/>
        <v/>
      </c>
      <c r="Q80" s="203" t="str">
        <f t="shared" si="18"/>
        <v/>
      </c>
      <c r="R80" s="163"/>
      <c r="S80" s="163"/>
      <c r="T80" s="204"/>
      <c r="U80" s="205" t="str">
        <f t="shared" si="19"/>
        <v/>
      </c>
      <c r="V80" s="206"/>
      <c r="X80" s="202" t="str">
        <f t="shared" si="20"/>
        <v/>
      </c>
      <c r="Y80" s="202"/>
      <c r="Z80" s="210" t="str">
        <f t="shared" si="13"/>
        <v/>
      </c>
      <c r="AA80" s="210" t="str">
        <f t="shared" si="14"/>
        <v/>
      </c>
    </row>
    <row r="81" spans="1:27">
      <c r="A81" s="91">
        <f t="shared" si="12"/>
        <v>71</v>
      </c>
      <c r="B81" s="163"/>
      <c r="C81" s="154"/>
      <c r="D81" s="165"/>
      <c r="E81" s="166"/>
      <c r="F81" s="156"/>
      <c r="G81" s="152"/>
      <c r="H81" s="161"/>
      <c r="I81" s="184" t="str">
        <f t="shared" si="9"/>
        <v/>
      </c>
      <c r="J81" s="185" t="str">
        <f t="shared" si="15"/>
        <v/>
      </c>
      <c r="K81" s="188"/>
      <c r="L81" s="189"/>
      <c r="M81" s="184" t="str">
        <f t="shared" si="16"/>
        <v/>
      </c>
      <c r="N81" s="161"/>
      <c r="O81" s="161"/>
      <c r="P81" s="184" t="str">
        <f t="shared" si="17"/>
        <v/>
      </c>
      <c r="Q81" s="203" t="str">
        <f t="shared" si="18"/>
        <v/>
      </c>
      <c r="R81" s="161"/>
      <c r="S81" s="161"/>
      <c r="T81" s="207"/>
      <c r="U81" s="205" t="str">
        <f t="shared" si="19"/>
        <v/>
      </c>
      <c r="V81" s="208"/>
      <c r="X81" s="202" t="str">
        <f t="shared" si="20"/>
        <v/>
      </c>
      <c r="Y81" s="202"/>
      <c r="Z81" s="210" t="str">
        <f t="shared" si="13"/>
        <v/>
      </c>
      <c r="AA81" s="210" t="str">
        <f t="shared" si="14"/>
        <v/>
      </c>
    </row>
    <row r="82" spans="1:27">
      <c r="A82" s="49">
        <f t="shared" si="12"/>
        <v>72</v>
      </c>
      <c r="B82" s="161"/>
      <c r="C82" s="162"/>
      <c r="D82" s="167"/>
      <c r="E82" s="164"/>
      <c r="F82" s="160"/>
      <c r="G82" s="157"/>
      <c r="H82" s="163"/>
      <c r="I82" s="184" t="str">
        <f t="shared" si="9"/>
        <v/>
      </c>
      <c r="J82" s="185" t="str">
        <f t="shared" si="15"/>
        <v/>
      </c>
      <c r="K82" s="186"/>
      <c r="L82" s="187"/>
      <c r="M82" s="184" t="str">
        <f t="shared" si="16"/>
        <v/>
      </c>
      <c r="N82" s="163"/>
      <c r="O82" s="163"/>
      <c r="P82" s="184" t="str">
        <f t="shared" si="17"/>
        <v/>
      </c>
      <c r="Q82" s="203" t="str">
        <f t="shared" si="18"/>
        <v/>
      </c>
      <c r="R82" s="163"/>
      <c r="S82" s="163"/>
      <c r="T82" s="204"/>
      <c r="U82" s="205" t="str">
        <f t="shared" si="19"/>
        <v/>
      </c>
      <c r="V82" s="206"/>
      <c r="X82" s="202" t="str">
        <f t="shared" si="20"/>
        <v/>
      </c>
      <c r="Y82" s="202"/>
      <c r="Z82" s="210" t="str">
        <f t="shared" si="13"/>
        <v/>
      </c>
      <c r="AA82" s="210" t="str">
        <f t="shared" si="14"/>
        <v/>
      </c>
    </row>
    <row r="83" spans="1:27">
      <c r="A83" s="91">
        <f t="shared" si="12"/>
        <v>73</v>
      </c>
      <c r="B83" s="163"/>
      <c r="C83" s="154"/>
      <c r="D83" s="165"/>
      <c r="E83" s="166"/>
      <c r="F83" s="156"/>
      <c r="G83" s="152"/>
      <c r="H83" s="161"/>
      <c r="I83" s="184" t="str">
        <f t="shared" si="9"/>
        <v/>
      </c>
      <c r="J83" s="185" t="str">
        <f t="shared" si="15"/>
        <v/>
      </c>
      <c r="K83" s="188"/>
      <c r="L83" s="189"/>
      <c r="M83" s="184" t="str">
        <f t="shared" si="16"/>
        <v/>
      </c>
      <c r="N83" s="161"/>
      <c r="O83" s="161"/>
      <c r="P83" s="184" t="str">
        <f t="shared" si="17"/>
        <v/>
      </c>
      <c r="Q83" s="203" t="str">
        <f t="shared" si="18"/>
        <v/>
      </c>
      <c r="R83" s="161"/>
      <c r="S83" s="161"/>
      <c r="T83" s="207"/>
      <c r="U83" s="205" t="str">
        <f t="shared" si="19"/>
        <v/>
      </c>
      <c r="V83" s="208"/>
      <c r="X83" s="202" t="str">
        <f t="shared" si="20"/>
        <v/>
      </c>
      <c r="Y83" s="202"/>
      <c r="Z83" s="210" t="str">
        <f t="shared" si="13"/>
        <v/>
      </c>
      <c r="AA83" s="210" t="str">
        <f t="shared" si="14"/>
        <v/>
      </c>
    </row>
    <row r="84" spans="1:27">
      <c r="A84" s="49">
        <f t="shared" si="12"/>
        <v>74</v>
      </c>
      <c r="B84" s="161"/>
      <c r="C84" s="162"/>
      <c r="D84" s="167"/>
      <c r="E84" s="164"/>
      <c r="F84" s="160"/>
      <c r="G84" s="157"/>
      <c r="H84" s="163"/>
      <c r="I84" s="184" t="str">
        <f t="shared" si="9"/>
        <v/>
      </c>
      <c r="J84" s="185" t="str">
        <f t="shared" si="15"/>
        <v/>
      </c>
      <c r="K84" s="186"/>
      <c r="L84" s="187"/>
      <c r="M84" s="184" t="str">
        <f t="shared" si="16"/>
        <v/>
      </c>
      <c r="N84" s="163"/>
      <c r="O84" s="163"/>
      <c r="P84" s="184" t="str">
        <f t="shared" si="17"/>
        <v/>
      </c>
      <c r="Q84" s="203" t="str">
        <f t="shared" si="18"/>
        <v/>
      </c>
      <c r="R84" s="163"/>
      <c r="S84" s="163"/>
      <c r="T84" s="204"/>
      <c r="U84" s="205" t="str">
        <f t="shared" si="19"/>
        <v/>
      </c>
      <c r="V84" s="206"/>
      <c r="X84" s="202" t="str">
        <f t="shared" si="20"/>
        <v/>
      </c>
      <c r="Y84" s="202"/>
      <c r="Z84" s="210" t="str">
        <f t="shared" si="13"/>
        <v/>
      </c>
      <c r="AA84" s="210" t="str">
        <f t="shared" si="14"/>
        <v/>
      </c>
    </row>
    <row r="85" spans="1:27">
      <c r="A85" s="91">
        <f t="shared" si="12"/>
        <v>75</v>
      </c>
      <c r="B85" s="163"/>
      <c r="C85" s="154"/>
      <c r="D85" s="165"/>
      <c r="E85" s="166"/>
      <c r="F85" s="156"/>
      <c r="G85" s="152"/>
      <c r="H85" s="161"/>
      <c r="I85" s="184" t="str">
        <f t="shared" si="9"/>
        <v/>
      </c>
      <c r="J85" s="185" t="str">
        <f t="shared" si="15"/>
        <v/>
      </c>
      <c r="K85" s="188"/>
      <c r="L85" s="189"/>
      <c r="M85" s="184" t="str">
        <f t="shared" si="16"/>
        <v/>
      </c>
      <c r="N85" s="161"/>
      <c r="O85" s="161"/>
      <c r="P85" s="184" t="str">
        <f t="shared" si="17"/>
        <v/>
      </c>
      <c r="Q85" s="203" t="str">
        <f t="shared" si="18"/>
        <v/>
      </c>
      <c r="R85" s="161"/>
      <c r="S85" s="161"/>
      <c r="T85" s="207"/>
      <c r="U85" s="205" t="str">
        <f t="shared" si="19"/>
        <v/>
      </c>
      <c r="V85" s="208"/>
      <c r="X85" s="202" t="str">
        <f t="shared" si="20"/>
        <v/>
      </c>
      <c r="Y85" s="202"/>
      <c r="Z85" s="210" t="str">
        <f t="shared" si="13"/>
        <v/>
      </c>
      <c r="AA85" s="210" t="str">
        <f t="shared" si="14"/>
        <v/>
      </c>
    </row>
    <row r="86" spans="1:27">
      <c r="A86" s="49">
        <f t="shared" si="12"/>
        <v>76</v>
      </c>
      <c r="B86" s="161"/>
      <c r="C86" s="162"/>
      <c r="D86" s="167"/>
      <c r="E86" s="164"/>
      <c r="F86" s="160"/>
      <c r="G86" s="157"/>
      <c r="H86" s="163"/>
      <c r="I86" s="184" t="str">
        <f t="shared" si="9"/>
        <v/>
      </c>
      <c r="J86" s="185" t="str">
        <f t="shared" si="15"/>
        <v/>
      </c>
      <c r="K86" s="186"/>
      <c r="L86" s="187"/>
      <c r="M86" s="184" t="str">
        <f t="shared" si="16"/>
        <v/>
      </c>
      <c r="N86" s="163"/>
      <c r="O86" s="163"/>
      <c r="P86" s="184" t="str">
        <f t="shared" si="17"/>
        <v/>
      </c>
      <c r="Q86" s="203" t="str">
        <f t="shared" si="18"/>
        <v/>
      </c>
      <c r="R86" s="163"/>
      <c r="S86" s="163"/>
      <c r="T86" s="204"/>
      <c r="U86" s="205" t="str">
        <f t="shared" si="19"/>
        <v/>
      </c>
      <c r="V86" s="206"/>
      <c r="X86" s="202" t="str">
        <f t="shared" si="20"/>
        <v/>
      </c>
      <c r="Y86" s="202"/>
      <c r="Z86" s="210" t="str">
        <f t="shared" si="13"/>
        <v/>
      </c>
      <c r="AA86" s="210" t="str">
        <f t="shared" si="14"/>
        <v/>
      </c>
    </row>
    <row r="87" spans="1:27">
      <c r="A87" s="91">
        <f t="shared" si="12"/>
        <v>77</v>
      </c>
      <c r="B87" s="163"/>
      <c r="C87" s="154"/>
      <c r="D87" s="165"/>
      <c r="E87" s="166"/>
      <c r="F87" s="156"/>
      <c r="G87" s="152"/>
      <c r="H87" s="161"/>
      <c r="I87" s="184" t="str">
        <f t="shared" si="9"/>
        <v/>
      </c>
      <c r="J87" s="185" t="str">
        <f t="shared" si="15"/>
        <v/>
      </c>
      <c r="K87" s="188"/>
      <c r="L87" s="189"/>
      <c r="M87" s="184" t="str">
        <f t="shared" si="16"/>
        <v/>
      </c>
      <c r="N87" s="161"/>
      <c r="O87" s="161"/>
      <c r="P87" s="184" t="str">
        <f t="shared" si="17"/>
        <v/>
      </c>
      <c r="Q87" s="203" t="str">
        <f t="shared" si="18"/>
        <v/>
      </c>
      <c r="R87" s="161"/>
      <c r="S87" s="161"/>
      <c r="T87" s="207"/>
      <c r="U87" s="205" t="str">
        <f t="shared" si="19"/>
        <v/>
      </c>
      <c r="V87" s="208"/>
      <c r="X87" s="202" t="str">
        <f t="shared" si="20"/>
        <v/>
      </c>
      <c r="Y87" s="202"/>
      <c r="Z87" s="210" t="str">
        <f t="shared" si="13"/>
        <v/>
      </c>
      <c r="AA87" s="210" t="str">
        <f t="shared" si="14"/>
        <v/>
      </c>
    </row>
    <row r="88" spans="1:27">
      <c r="A88" s="49">
        <f t="shared" si="12"/>
        <v>78</v>
      </c>
      <c r="B88" s="161"/>
      <c r="C88" s="162"/>
      <c r="D88" s="167"/>
      <c r="E88" s="164"/>
      <c r="F88" s="160"/>
      <c r="G88" s="157"/>
      <c r="H88" s="163"/>
      <c r="I88" s="184" t="str">
        <f t="shared" si="9"/>
        <v/>
      </c>
      <c r="J88" s="185" t="str">
        <f t="shared" si="15"/>
        <v/>
      </c>
      <c r="K88" s="186"/>
      <c r="L88" s="187"/>
      <c r="M88" s="184" t="str">
        <f t="shared" si="16"/>
        <v/>
      </c>
      <c r="N88" s="163"/>
      <c r="O88" s="163"/>
      <c r="P88" s="184" t="str">
        <f t="shared" si="17"/>
        <v/>
      </c>
      <c r="Q88" s="203" t="str">
        <f t="shared" si="18"/>
        <v/>
      </c>
      <c r="R88" s="163"/>
      <c r="S88" s="163"/>
      <c r="T88" s="204"/>
      <c r="U88" s="205" t="str">
        <f t="shared" si="19"/>
        <v/>
      </c>
      <c r="V88" s="206"/>
      <c r="X88" s="202" t="str">
        <f t="shared" si="20"/>
        <v/>
      </c>
      <c r="Y88" s="202"/>
      <c r="Z88" s="210" t="str">
        <f t="shared" si="13"/>
        <v/>
      </c>
      <c r="AA88" s="210" t="str">
        <f t="shared" si="14"/>
        <v/>
      </c>
    </row>
    <row r="89" spans="1:27">
      <c r="A89" s="91">
        <f t="shared" si="12"/>
        <v>79</v>
      </c>
      <c r="B89" s="163"/>
      <c r="C89" s="154"/>
      <c r="D89" s="165"/>
      <c r="E89" s="166"/>
      <c r="F89" s="156"/>
      <c r="G89" s="152"/>
      <c r="H89" s="161"/>
      <c r="I89" s="184" t="str">
        <f t="shared" si="9"/>
        <v/>
      </c>
      <c r="J89" s="185" t="str">
        <f t="shared" si="15"/>
        <v/>
      </c>
      <c r="K89" s="188"/>
      <c r="L89" s="189"/>
      <c r="M89" s="184" t="str">
        <f t="shared" si="16"/>
        <v/>
      </c>
      <c r="N89" s="161"/>
      <c r="O89" s="161"/>
      <c r="P89" s="184" t="str">
        <f t="shared" si="17"/>
        <v/>
      </c>
      <c r="Q89" s="203" t="str">
        <f t="shared" si="18"/>
        <v/>
      </c>
      <c r="R89" s="161"/>
      <c r="S89" s="161"/>
      <c r="T89" s="207"/>
      <c r="U89" s="205" t="str">
        <f t="shared" si="19"/>
        <v/>
      </c>
      <c r="V89" s="208"/>
      <c r="X89" s="202" t="str">
        <f t="shared" si="20"/>
        <v/>
      </c>
      <c r="Y89" s="202"/>
      <c r="Z89" s="210" t="str">
        <f t="shared" si="13"/>
        <v/>
      </c>
      <c r="AA89" s="210" t="str">
        <f t="shared" si="14"/>
        <v/>
      </c>
    </row>
    <row r="90" spans="1:27">
      <c r="A90" s="49">
        <f t="shared" si="12"/>
        <v>80</v>
      </c>
      <c r="B90" s="161"/>
      <c r="C90" s="162"/>
      <c r="D90" s="167"/>
      <c r="E90" s="164"/>
      <c r="F90" s="160"/>
      <c r="G90" s="157"/>
      <c r="H90" s="163"/>
      <c r="I90" s="184" t="str">
        <f t="shared" si="9"/>
        <v/>
      </c>
      <c r="J90" s="185" t="str">
        <f t="shared" si="15"/>
        <v/>
      </c>
      <c r="K90" s="186"/>
      <c r="L90" s="187"/>
      <c r="M90" s="184" t="str">
        <f t="shared" si="16"/>
        <v/>
      </c>
      <c r="N90" s="163"/>
      <c r="O90" s="163"/>
      <c r="P90" s="184" t="str">
        <f t="shared" si="17"/>
        <v/>
      </c>
      <c r="Q90" s="203" t="str">
        <f t="shared" si="18"/>
        <v/>
      </c>
      <c r="R90" s="163"/>
      <c r="S90" s="163"/>
      <c r="T90" s="204"/>
      <c r="U90" s="205" t="str">
        <f t="shared" si="19"/>
        <v/>
      </c>
      <c r="V90" s="206"/>
      <c r="X90" s="202" t="str">
        <f t="shared" si="20"/>
        <v/>
      </c>
      <c r="Y90" s="202"/>
      <c r="Z90" s="210" t="str">
        <f t="shared" si="13"/>
        <v/>
      </c>
      <c r="AA90" s="210" t="str">
        <f t="shared" si="14"/>
        <v/>
      </c>
    </row>
    <row r="91" spans="1:27">
      <c r="A91" s="91">
        <f t="shared" si="12"/>
        <v>81</v>
      </c>
      <c r="B91" s="163"/>
      <c r="C91" s="154"/>
      <c r="D91" s="165"/>
      <c r="E91" s="166"/>
      <c r="F91" s="156"/>
      <c r="G91" s="152"/>
      <c r="H91" s="161"/>
      <c r="I91" s="184" t="str">
        <f t="shared" si="9"/>
        <v/>
      </c>
      <c r="J91" s="185" t="str">
        <f t="shared" si="15"/>
        <v/>
      </c>
      <c r="K91" s="188"/>
      <c r="L91" s="189"/>
      <c r="M91" s="184" t="str">
        <f t="shared" si="16"/>
        <v/>
      </c>
      <c r="N91" s="161"/>
      <c r="O91" s="161"/>
      <c r="P91" s="184" t="str">
        <f t="shared" si="17"/>
        <v/>
      </c>
      <c r="Q91" s="203" t="str">
        <f t="shared" si="18"/>
        <v/>
      </c>
      <c r="R91" s="161"/>
      <c r="S91" s="161"/>
      <c r="T91" s="207"/>
      <c r="U91" s="205" t="str">
        <f t="shared" si="19"/>
        <v/>
      </c>
      <c r="V91" s="208"/>
      <c r="X91" s="202" t="str">
        <f t="shared" si="20"/>
        <v/>
      </c>
      <c r="Y91" s="202"/>
      <c r="Z91" s="210" t="str">
        <f t="shared" si="13"/>
        <v/>
      </c>
      <c r="AA91" s="210" t="str">
        <f t="shared" si="14"/>
        <v/>
      </c>
    </row>
    <row r="92" spans="1:27">
      <c r="A92" s="49">
        <f t="shared" si="12"/>
        <v>82</v>
      </c>
      <c r="B92" s="161"/>
      <c r="C92" s="162"/>
      <c r="D92" s="167"/>
      <c r="E92" s="164"/>
      <c r="F92" s="160"/>
      <c r="G92" s="157"/>
      <c r="H92" s="163"/>
      <c r="I92" s="184" t="str">
        <f t="shared" si="9"/>
        <v/>
      </c>
      <c r="J92" s="185" t="str">
        <f t="shared" si="15"/>
        <v/>
      </c>
      <c r="K92" s="186"/>
      <c r="L92" s="187"/>
      <c r="M92" s="184" t="str">
        <f t="shared" si="16"/>
        <v/>
      </c>
      <c r="N92" s="163"/>
      <c r="O92" s="163"/>
      <c r="P92" s="184" t="str">
        <f t="shared" si="17"/>
        <v/>
      </c>
      <c r="Q92" s="203" t="str">
        <f t="shared" si="18"/>
        <v/>
      </c>
      <c r="R92" s="163"/>
      <c r="S92" s="163"/>
      <c r="T92" s="204"/>
      <c r="U92" s="205" t="str">
        <f t="shared" si="19"/>
        <v/>
      </c>
      <c r="V92" s="206"/>
      <c r="X92" s="202" t="str">
        <f t="shared" si="20"/>
        <v/>
      </c>
      <c r="Y92" s="202"/>
      <c r="Z92" s="210" t="str">
        <f t="shared" si="13"/>
        <v/>
      </c>
      <c r="AA92" s="210" t="str">
        <f t="shared" si="14"/>
        <v/>
      </c>
    </row>
    <row r="93" spans="1:27">
      <c r="A93" s="91">
        <f t="shared" si="12"/>
        <v>83</v>
      </c>
      <c r="B93" s="163"/>
      <c r="C93" s="154"/>
      <c r="D93" s="165"/>
      <c r="E93" s="166"/>
      <c r="F93" s="156"/>
      <c r="G93" s="152"/>
      <c r="H93" s="161"/>
      <c r="I93" s="184" t="str">
        <f t="shared" si="9"/>
        <v/>
      </c>
      <c r="J93" s="185" t="str">
        <f t="shared" si="15"/>
        <v/>
      </c>
      <c r="K93" s="188"/>
      <c r="L93" s="189"/>
      <c r="M93" s="184" t="str">
        <f t="shared" si="16"/>
        <v/>
      </c>
      <c r="N93" s="161"/>
      <c r="O93" s="161"/>
      <c r="P93" s="184" t="str">
        <f t="shared" si="17"/>
        <v/>
      </c>
      <c r="Q93" s="203" t="str">
        <f t="shared" si="18"/>
        <v/>
      </c>
      <c r="R93" s="161"/>
      <c r="S93" s="161"/>
      <c r="T93" s="207"/>
      <c r="U93" s="205" t="str">
        <f t="shared" si="19"/>
        <v/>
      </c>
      <c r="V93" s="208"/>
      <c r="X93" s="202" t="str">
        <f t="shared" si="20"/>
        <v/>
      </c>
      <c r="Y93" s="202"/>
      <c r="Z93" s="210" t="str">
        <f t="shared" si="13"/>
        <v/>
      </c>
      <c r="AA93" s="210" t="str">
        <f t="shared" si="14"/>
        <v/>
      </c>
    </row>
    <row r="94" spans="1:27">
      <c r="A94" s="49">
        <f t="shared" si="12"/>
        <v>84</v>
      </c>
      <c r="B94" s="161"/>
      <c r="C94" s="162"/>
      <c r="D94" s="167"/>
      <c r="E94" s="164"/>
      <c r="F94" s="160"/>
      <c r="G94" s="157"/>
      <c r="H94" s="163"/>
      <c r="I94" s="184" t="str">
        <f t="shared" ref="I94:I110" si="21">IF(AND(F94="",G94=""),"",IF(F94&lt;7,F94+G94,F94+10+H94))</f>
        <v/>
      </c>
      <c r="J94" s="185" t="str">
        <f t="shared" si="15"/>
        <v/>
      </c>
      <c r="K94" s="186"/>
      <c r="L94" s="187"/>
      <c r="M94" s="184" t="str">
        <f t="shared" si="16"/>
        <v/>
      </c>
      <c r="N94" s="163"/>
      <c r="O94" s="163"/>
      <c r="P94" s="184" t="str">
        <f t="shared" si="17"/>
        <v/>
      </c>
      <c r="Q94" s="203" t="str">
        <f t="shared" si="18"/>
        <v/>
      </c>
      <c r="R94" s="163"/>
      <c r="S94" s="163"/>
      <c r="T94" s="204"/>
      <c r="U94" s="205" t="str">
        <f t="shared" si="19"/>
        <v/>
      </c>
      <c r="V94" s="206"/>
      <c r="X94" s="202" t="str">
        <f t="shared" si="20"/>
        <v/>
      </c>
      <c r="Y94" s="202"/>
      <c r="Z94" s="210" t="str">
        <f t="shared" si="13"/>
        <v/>
      </c>
      <c r="AA94" s="210" t="str">
        <f t="shared" si="14"/>
        <v/>
      </c>
    </row>
    <row r="95" spans="1:27">
      <c r="A95" s="91">
        <f t="shared" si="12"/>
        <v>85</v>
      </c>
      <c r="B95" s="163"/>
      <c r="C95" s="154"/>
      <c r="D95" s="165"/>
      <c r="E95" s="166"/>
      <c r="F95" s="156"/>
      <c r="G95" s="152"/>
      <c r="H95" s="161"/>
      <c r="I95" s="184" t="str">
        <f t="shared" si="21"/>
        <v/>
      </c>
      <c r="J95" s="185" t="str">
        <f t="shared" si="15"/>
        <v/>
      </c>
      <c r="K95" s="188"/>
      <c r="L95" s="189"/>
      <c r="M95" s="184" t="str">
        <f t="shared" si="16"/>
        <v/>
      </c>
      <c r="N95" s="161"/>
      <c r="O95" s="161"/>
      <c r="P95" s="184" t="str">
        <f t="shared" si="17"/>
        <v/>
      </c>
      <c r="Q95" s="203" t="str">
        <f t="shared" si="18"/>
        <v/>
      </c>
      <c r="R95" s="161"/>
      <c r="S95" s="161"/>
      <c r="T95" s="207"/>
      <c r="U95" s="205" t="str">
        <f t="shared" si="19"/>
        <v/>
      </c>
      <c r="V95" s="208"/>
      <c r="X95" s="202" t="str">
        <f t="shared" si="20"/>
        <v/>
      </c>
      <c r="Y95" s="202"/>
      <c r="Z95" s="210" t="str">
        <f t="shared" si="13"/>
        <v/>
      </c>
      <c r="AA95" s="210" t="str">
        <f t="shared" si="14"/>
        <v/>
      </c>
    </row>
    <row r="96" spans="1:27">
      <c r="A96" s="49">
        <f t="shared" si="12"/>
        <v>86</v>
      </c>
      <c r="B96" s="161"/>
      <c r="C96" s="162"/>
      <c r="D96" s="167"/>
      <c r="E96" s="164"/>
      <c r="F96" s="160"/>
      <c r="G96" s="157"/>
      <c r="H96" s="163"/>
      <c r="I96" s="184" t="str">
        <f t="shared" si="21"/>
        <v/>
      </c>
      <c r="J96" s="185" t="str">
        <f t="shared" si="15"/>
        <v/>
      </c>
      <c r="K96" s="186"/>
      <c r="L96" s="187"/>
      <c r="M96" s="184" t="str">
        <f t="shared" si="16"/>
        <v/>
      </c>
      <c r="N96" s="163"/>
      <c r="O96" s="163"/>
      <c r="P96" s="184" t="str">
        <f t="shared" si="17"/>
        <v/>
      </c>
      <c r="Q96" s="203" t="str">
        <f t="shared" si="18"/>
        <v/>
      </c>
      <c r="R96" s="163"/>
      <c r="S96" s="163"/>
      <c r="T96" s="204"/>
      <c r="U96" s="205" t="str">
        <f t="shared" si="19"/>
        <v/>
      </c>
      <c r="V96" s="206"/>
      <c r="X96" s="202" t="str">
        <f t="shared" si="20"/>
        <v/>
      </c>
      <c r="Y96" s="202"/>
      <c r="Z96" s="210" t="str">
        <f t="shared" si="13"/>
        <v/>
      </c>
      <c r="AA96" s="210" t="str">
        <f t="shared" si="14"/>
        <v/>
      </c>
    </row>
    <row r="97" spans="1:27">
      <c r="A97" s="91">
        <f t="shared" si="12"/>
        <v>87</v>
      </c>
      <c r="B97" s="163"/>
      <c r="C97" s="154"/>
      <c r="D97" s="165"/>
      <c r="E97" s="166"/>
      <c r="F97" s="156"/>
      <c r="G97" s="152"/>
      <c r="H97" s="161"/>
      <c r="I97" s="184" t="str">
        <f t="shared" si="21"/>
        <v/>
      </c>
      <c r="J97" s="185" t="str">
        <f t="shared" si="15"/>
        <v/>
      </c>
      <c r="K97" s="188"/>
      <c r="L97" s="189"/>
      <c r="M97" s="184" t="str">
        <f t="shared" si="16"/>
        <v/>
      </c>
      <c r="N97" s="161"/>
      <c r="O97" s="161"/>
      <c r="P97" s="184" t="str">
        <f t="shared" si="17"/>
        <v/>
      </c>
      <c r="Q97" s="203" t="str">
        <f t="shared" si="18"/>
        <v/>
      </c>
      <c r="R97" s="161"/>
      <c r="S97" s="161"/>
      <c r="T97" s="207"/>
      <c r="U97" s="205" t="str">
        <f t="shared" si="19"/>
        <v/>
      </c>
      <c r="V97" s="208"/>
      <c r="X97" s="202" t="str">
        <f t="shared" si="20"/>
        <v/>
      </c>
      <c r="Y97" s="202"/>
      <c r="Z97" s="210" t="str">
        <f t="shared" si="13"/>
        <v/>
      </c>
      <c r="AA97" s="210" t="str">
        <f t="shared" si="14"/>
        <v/>
      </c>
    </row>
    <row r="98" spans="1:27">
      <c r="A98" s="49">
        <f t="shared" si="12"/>
        <v>88</v>
      </c>
      <c r="B98" s="161"/>
      <c r="C98" s="162"/>
      <c r="D98" s="167"/>
      <c r="E98" s="164"/>
      <c r="F98" s="160"/>
      <c r="G98" s="157"/>
      <c r="H98" s="163"/>
      <c r="I98" s="184" t="str">
        <f t="shared" si="21"/>
        <v/>
      </c>
      <c r="J98" s="185" t="str">
        <f t="shared" si="15"/>
        <v/>
      </c>
      <c r="K98" s="186"/>
      <c r="L98" s="187"/>
      <c r="M98" s="184" t="str">
        <f t="shared" si="16"/>
        <v/>
      </c>
      <c r="N98" s="163"/>
      <c r="O98" s="163"/>
      <c r="P98" s="184" t="str">
        <f t="shared" si="17"/>
        <v/>
      </c>
      <c r="Q98" s="203" t="str">
        <f t="shared" si="18"/>
        <v/>
      </c>
      <c r="R98" s="163"/>
      <c r="S98" s="163"/>
      <c r="T98" s="204"/>
      <c r="U98" s="205" t="str">
        <f t="shared" si="19"/>
        <v/>
      </c>
      <c r="V98" s="206"/>
      <c r="X98" s="202" t="str">
        <f t="shared" si="20"/>
        <v/>
      </c>
      <c r="Y98" s="202"/>
      <c r="Z98" s="210" t="str">
        <f t="shared" si="13"/>
        <v/>
      </c>
      <c r="AA98" s="210" t="str">
        <f t="shared" si="14"/>
        <v/>
      </c>
    </row>
    <row r="99" spans="1:27">
      <c r="A99" s="91">
        <f t="shared" si="12"/>
        <v>89</v>
      </c>
      <c r="B99" s="163"/>
      <c r="C99" s="154"/>
      <c r="D99" s="165"/>
      <c r="E99" s="166"/>
      <c r="F99" s="156"/>
      <c r="G99" s="152"/>
      <c r="H99" s="161"/>
      <c r="I99" s="184" t="str">
        <f t="shared" si="21"/>
        <v/>
      </c>
      <c r="J99" s="185" t="str">
        <f t="shared" si="15"/>
        <v/>
      </c>
      <c r="K99" s="188"/>
      <c r="L99" s="189"/>
      <c r="M99" s="184" t="str">
        <f t="shared" si="16"/>
        <v/>
      </c>
      <c r="N99" s="161"/>
      <c r="O99" s="161"/>
      <c r="P99" s="184" t="str">
        <f t="shared" si="17"/>
        <v/>
      </c>
      <c r="Q99" s="203" t="str">
        <f t="shared" si="18"/>
        <v/>
      </c>
      <c r="R99" s="161"/>
      <c r="S99" s="161"/>
      <c r="T99" s="207"/>
      <c r="U99" s="205" t="str">
        <f t="shared" si="19"/>
        <v/>
      </c>
      <c r="V99" s="208"/>
      <c r="X99" s="202" t="str">
        <f t="shared" si="20"/>
        <v/>
      </c>
      <c r="Y99" s="202"/>
      <c r="Z99" s="210" t="str">
        <f t="shared" si="13"/>
        <v/>
      </c>
      <c r="AA99" s="210" t="str">
        <f t="shared" si="14"/>
        <v/>
      </c>
    </row>
    <row r="100" spans="1:27">
      <c r="A100" s="49">
        <f t="shared" si="12"/>
        <v>90</v>
      </c>
      <c r="B100" s="161"/>
      <c r="C100" s="162"/>
      <c r="D100" s="167"/>
      <c r="E100" s="164"/>
      <c r="F100" s="160"/>
      <c r="G100" s="157"/>
      <c r="H100" s="163"/>
      <c r="I100" s="184" t="str">
        <f t="shared" si="21"/>
        <v/>
      </c>
      <c r="J100" s="185" t="str">
        <f t="shared" si="15"/>
        <v/>
      </c>
      <c r="K100" s="186"/>
      <c r="L100" s="187"/>
      <c r="M100" s="184" t="str">
        <f t="shared" si="16"/>
        <v/>
      </c>
      <c r="N100" s="163"/>
      <c r="O100" s="163"/>
      <c r="P100" s="184" t="str">
        <f t="shared" si="17"/>
        <v/>
      </c>
      <c r="Q100" s="203" t="str">
        <f t="shared" si="18"/>
        <v/>
      </c>
      <c r="R100" s="163"/>
      <c r="S100" s="163"/>
      <c r="T100" s="204"/>
      <c r="U100" s="205" t="str">
        <f t="shared" si="19"/>
        <v/>
      </c>
      <c r="V100" s="206"/>
      <c r="X100" s="202" t="str">
        <f t="shared" si="20"/>
        <v/>
      </c>
      <c r="Y100" s="202"/>
      <c r="Z100" s="210" t="str">
        <f t="shared" si="13"/>
        <v/>
      </c>
      <c r="AA100" s="210" t="str">
        <f t="shared" si="14"/>
        <v/>
      </c>
    </row>
    <row r="101" spans="1:27">
      <c r="A101" s="91">
        <f t="shared" si="12"/>
        <v>91</v>
      </c>
      <c r="B101" s="163"/>
      <c r="C101" s="154"/>
      <c r="D101" s="165"/>
      <c r="E101" s="166"/>
      <c r="F101" s="156"/>
      <c r="G101" s="152"/>
      <c r="H101" s="161"/>
      <c r="I101" s="184" t="str">
        <f t="shared" si="21"/>
        <v/>
      </c>
      <c r="J101" s="185" t="str">
        <f t="shared" si="15"/>
        <v/>
      </c>
      <c r="K101" s="188"/>
      <c r="L101" s="189"/>
      <c r="M101" s="184" t="str">
        <f t="shared" si="16"/>
        <v/>
      </c>
      <c r="N101" s="161"/>
      <c r="O101" s="161"/>
      <c r="P101" s="184" t="str">
        <f t="shared" si="17"/>
        <v/>
      </c>
      <c r="Q101" s="203" t="str">
        <f t="shared" si="18"/>
        <v/>
      </c>
      <c r="R101" s="161"/>
      <c r="S101" s="161"/>
      <c r="T101" s="207"/>
      <c r="U101" s="205" t="str">
        <f t="shared" si="19"/>
        <v/>
      </c>
      <c r="V101" s="208"/>
      <c r="X101" s="202" t="str">
        <f t="shared" si="20"/>
        <v/>
      </c>
      <c r="Y101" s="202"/>
      <c r="Z101" s="210" t="str">
        <f t="shared" si="13"/>
        <v/>
      </c>
      <c r="AA101" s="210" t="str">
        <f t="shared" si="14"/>
        <v/>
      </c>
    </row>
    <row r="102" spans="1:27">
      <c r="A102" s="49">
        <f t="shared" si="12"/>
        <v>92</v>
      </c>
      <c r="B102" s="161"/>
      <c r="C102" s="162"/>
      <c r="D102" s="167"/>
      <c r="E102" s="164"/>
      <c r="F102" s="160"/>
      <c r="G102" s="157"/>
      <c r="H102" s="163"/>
      <c r="I102" s="184" t="str">
        <f t="shared" si="21"/>
        <v/>
      </c>
      <c r="J102" s="185" t="str">
        <f t="shared" si="15"/>
        <v/>
      </c>
      <c r="K102" s="186"/>
      <c r="L102" s="187"/>
      <c r="M102" s="184" t="str">
        <f t="shared" si="16"/>
        <v/>
      </c>
      <c r="N102" s="163"/>
      <c r="O102" s="163"/>
      <c r="P102" s="184" t="str">
        <f t="shared" si="17"/>
        <v/>
      </c>
      <c r="Q102" s="203" t="str">
        <f t="shared" si="18"/>
        <v/>
      </c>
      <c r="R102" s="163"/>
      <c r="S102" s="163"/>
      <c r="T102" s="204"/>
      <c r="U102" s="205" t="str">
        <f t="shared" si="19"/>
        <v/>
      </c>
      <c r="V102" s="206"/>
      <c r="X102" s="202" t="str">
        <f t="shared" si="20"/>
        <v/>
      </c>
      <c r="Y102" s="202"/>
      <c r="Z102" s="210" t="str">
        <f t="shared" si="13"/>
        <v/>
      </c>
      <c r="AA102" s="210" t="str">
        <f t="shared" si="14"/>
        <v/>
      </c>
    </row>
    <row r="103" spans="1:27">
      <c r="A103" s="91">
        <f t="shared" si="12"/>
        <v>93</v>
      </c>
      <c r="B103" s="163"/>
      <c r="C103" s="154"/>
      <c r="D103" s="165"/>
      <c r="E103" s="166"/>
      <c r="F103" s="156"/>
      <c r="G103" s="152"/>
      <c r="H103" s="161"/>
      <c r="I103" s="184" t="str">
        <f t="shared" si="21"/>
        <v/>
      </c>
      <c r="J103" s="185" t="str">
        <f t="shared" si="15"/>
        <v/>
      </c>
      <c r="K103" s="188"/>
      <c r="L103" s="189"/>
      <c r="M103" s="184" t="str">
        <f t="shared" si="16"/>
        <v/>
      </c>
      <c r="N103" s="161"/>
      <c r="O103" s="161"/>
      <c r="P103" s="184" t="str">
        <f t="shared" si="17"/>
        <v/>
      </c>
      <c r="Q103" s="203" t="str">
        <f t="shared" si="18"/>
        <v/>
      </c>
      <c r="R103" s="161"/>
      <c r="S103" s="161"/>
      <c r="T103" s="207"/>
      <c r="U103" s="205" t="str">
        <f t="shared" si="19"/>
        <v/>
      </c>
      <c r="V103" s="208"/>
      <c r="X103" s="202" t="str">
        <f t="shared" si="20"/>
        <v/>
      </c>
      <c r="Y103" s="202"/>
      <c r="Z103" s="210" t="str">
        <f t="shared" si="13"/>
        <v/>
      </c>
      <c r="AA103" s="210" t="str">
        <f t="shared" si="14"/>
        <v/>
      </c>
    </row>
    <row r="104" spans="1:27">
      <c r="A104" s="49">
        <f t="shared" si="12"/>
        <v>94</v>
      </c>
      <c r="B104" s="161"/>
      <c r="C104" s="162"/>
      <c r="D104" s="167"/>
      <c r="E104" s="164"/>
      <c r="F104" s="160"/>
      <c r="G104" s="157"/>
      <c r="H104" s="163"/>
      <c r="I104" s="184" t="str">
        <f t="shared" si="21"/>
        <v/>
      </c>
      <c r="J104" s="185" t="str">
        <f t="shared" si="15"/>
        <v/>
      </c>
      <c r="K104" s="186"/>
      <c r="L104" s="187"/>
      <c r="M104" s="184" t="str">
        <f t="shared" si="16"/>
        <v/>
      </c>
      <c r="N104" s="163"/>
      <c r="O104" s="163"/>
      <c r="P104" s="184" t="str">
        <f t="shared" si="17"/>
        <v/>
      </c>
      <c r="Q104" s="203" t="str">
        <f t="shared" si="18"/>
        <v/>
      </c>
      <c r="R104" s="163"/>
      <c r="S104" s="163"/>
      <c r="T104" s="204"/>
      <c r="U104" s="205" t="str">
        <f t="shared" si="19"/>
        <v/>
      </c>
      <c r="V104" s="206"/>
      <c r="X104" s="202" t="str">
        <f t="shared" si="20"/>
        <v/>
      </c>
      <c r="Y104" s="202"/>
      <c r="Z104" s="210" t="str">
        <f t="shared" si="13"/>
        <v/>
      </c>
      <c r="AA104" s="210" t="str">
        <f t="shared" si="14"/>
        <v/>
      </c>
    </row>
    <row r="105" spans="1:27">
      <c r="A105" s="91">
        <f t="shared" si="12"/>
        <v>95</v>
      </c>
      <c r="B105" s="163"/>
      <c r="C105" s="154"/>
      <c r="D105" s="165"/>
      <c r="E105" s="166"/>
      <c r="F105" s="156"/>
      <c r="G105" s="152"/>
      <c r="H105" s="161"/>
      <c r="I105" s="184" t="str">
        <f t="shared" si="21"/>
        <v/>
      </c>
      <c r="J105" s="185" t="str">
        <f t="shared" si="15"/>
        <v/>
      </c>
      <c r="K105" s="188"/>
      <c r="L105" s="189"/>
      <c r="M105" s="184" t="str">
        <f t="shared" si="16"/>
        <v/>
      </c>
      <c r="N105" s="161"/>
      <c r="O105" s="161"/>
      <c r="P105" s="184" t="str">
        <f t="shared" si="17"/>
        <v/>
      </c>
      <c r="Q105" s="203" t="str">
        <f t="shared" si="18"/>
        <v/>
      </c>
      <c r="R105" s="161"/>
      <c r="S105" s="161"/>
      <c r="T105" s="207"/>
      <c r="U105" s="205" t="str">
        <f t="shared" si="19"/>
        <v/>
      </c>
      <c r="V105" s="208"/>
      <c r="X105" s="202" t="str">
        <f t="shared" si="20"/>
        <v/>
      </c>
      <c r="Y105" s="202"/>
      <c r="Z105" s="210" t="str">
        <f t="shared" si="13"/>
        <v/>
      </c>
      <c r="AA105" s="210" t="str">
        <f t="shared" si="14"/>
        <v/>
      </c>
    </row>
    <row r="106" spans="1:27">
      <c r="A106" s="49">
        <f t="shared" si="12"/>
        <v>96</v>
      </c>
      <c r="B106" s="161"/>
      <c r="C106" s="162"/>
      <c r="D106" s="167"/>
      <c r="E106" s="164"/>
      <c r="F106" s="160"/>
      <c r="G106" s="157"/>
      <c r="H106" s="163"/>
      <c r="I106" s="184" t="str">
        <f t="shared" si="21"/>
        <v/>
      </c>
      <c r="J106" s="185" t="str">
        <f t="shared" si="15"/>
        <v/>
      </c>
      <c r="K106" s="186"/>
      <c r="L106" s="187"/>
      <c r="M106" s="184" t="str">
        <f t="shared" si="16"/>
        <v/>
      </c>
      <c r="N106" s="163"/>
      <c r="O106" s="163"/>
      <c r="P106" s="184" t="str">
        <f t="shared" si="17"/>
        <v/>
      </c>
      <c r="Q106" s="203" t="str">
        <f t="shared" si="18"/>
        <v/>
      </c>
      <c r="R106" s="163"/>
      <c r="S106" s="163"/>
      <c r="T106" s="204"/>
      <c r="U106" s="205" t="str">
        <f t="shared" si="19"/>
        <v/>
      </c>
      <c r="V106" s="206"/>
      <c r="X106" s="202" t="str">
        <f t="shared" si="20"/>
        <v/>
      </c>
      <c r="Y106" s="202"/>
      <c r="Z106" s="210" t="str">
        <f t="shared" si="13"/>
        <v/>
      </c>
      <c r="AA106" s="210" t="str">
        <f t="shared" si="14"/>
        <v/>
      </c>
    </row>
    <row r="107" spans="1:27">
      <c r="A107" s="91">
        <f t="shared" si="12"/>
        <v>97</v>
      </c>
      <c r="B107" s="163"/>
      <c r="C107" s="154"/>
      <c r="D107" s="165"/>
      <c r="E107" s="166"/>
      <c r="F107" s="156"/>
      <c r="G107" s="152"/>
      <c r="H107" s="161"/>
      <c r="I107" s="184" t="str">
        <f t="shared" si="21"/>
        <v/>
      </c>
      <c r="J107" s="185" t="str">
        <f t="shared" si="15"/>
        <v/>
      </c>
      <c r="K107" s="188"/>
      <c r="L107" s="189"/>
      <c r="M107" s="184" t="str">
        <f t="shared" si="16"/>
        <v/>
      </c>
      <c r="N107" s="161"/>
      <c r="O107" s="161"/>
      <c r="P107" s="184" t="str">
        <f t="shared" si="17"/>
        <v/>
      </c>
      <c r="Q107" s="203" t="str">
        <f t="shared" si="18"/>
        <v/>
      </c>
      <c r="R107" s="161"/>
      <c r="S107" s="161"/>
      <c r="T107" s="207"/>
      <c r="U107" s="205" t="str">
        <f t="shared" si="19"/>
        <v/>
      </c>
      <c r="V107" s="208"/>
      <c r="X107" s="202" t="str">
        <f t="shared" si="20"/>
        <v/>
      </c>
      <c r="Y107" s="202"/>
      <c r="Z107" s="210" t="str">
        <f t="shared" si="13"/>
        <v/>
      </c>
      <c r="AA107" s="210" t="str">
        <f t="shared" si="14"/>
        <v/>
      </c>
    </row>
    <row r="108" spans="1:27">
      <c r="A108" s="49">
        <f t="shared" si="12"/>
        <v>98</v>
      </c>
      <c r="B108" s="161"/>
      <c r="C108" s="162"/>
      <c r="D108" s="167"/>
      <c r="E108" s="164"/>
      <c r="F108" s="160"/>
      <c r="G108" s="157"/>
      <c r="H108" s="163"/>
      <c r="I108" s="184" t="str">
        <f t="shared" si="21"/>
        <v/>
      </c>
      <c r="J108" s="185" t="str">
        <f t="shared" si="15"/>
        <v/>
      </c>
      <c r="K108" s="186"/>
      <c r="L108" s="187"/>
      <c r="M108" s="184" t="str">
        <f t="shared" si="16"/>
        <v/>
      </c>
      <c r="N108" s="163"/>
      <c r="O108" s="163"/>
      <c r="P108" s="184" t="str">
        <f t="shared" si="17"/>
        <v/>
      </c>
      <c r="Q108" s="203" t="str">
        <f t="shared" si="18"/>
        <v/>
      </c>
      <c r="R108" s="163"/>
      <c r="S108" s="163"/>
      <c r="T108" s="204"/>
      <c r="U108" s="205" t="str">
        <f t="shared" si="19"/>
        <v/>
      </c>
      <c r="V108" s="206"/>
      <c r="X108" s="202" t="str">
        <f t="shared" si="20"/>
        <v/>
      </c>
      <c r="Y108" s="202"/>
      <c r="Z108" s="210" t="str">
        <f t="shared" si="13"/>
        <v/>
      </c>
      <c r="AA108" s="210" t="str">
        <f t="shared" si="14"/>
        <v/>
      </c>
    </row>
    <row r="109" spans="1:27">
      <c r="A109" s="91">
        <f t="shared" si="12"/>
        <v>99</v>
      </c>
      <c r="B109" s="163"/>
      <c r="C109" s="154"/>
      <c r="D109" s="165"/>
      <c r="E109" s="166"/>
      <c r="F109" s="156"/>
      <c r="G109" s="152"/>
      <c r="H109" s="161"/>
      <c r="I109" s="184" t="str">
        <f t="shared" si="21"/>
        <v/>
      </c>
      <c r="J109" s="185" t="str">
        <f t="shared" si="15"/>
        <v/>
      </c>
      <c r="K109" s="188"/>
      <c r="L109" s="189"/>
      <c r="M109" s="184" t="str">
        <f t="shared" si="16"/>
        <v/>
      </c>
      <c r="N109" s="161"/>
      <c r="O109" s="161"/>
      <c r="P109" s="184" t="str">
        <f t="shared" si="17"/>
        <v/>
      </c>
      <c r="Q109" s="203" t="str">
        <f t="shared" si="18"/>
        <v/>
      </c>
      <c r="R109" s="161"/>
      <c r="S109" s="161"/>
      <c r="T109" s="207"/>
      <c r="U109" s="205" t="str">
        <f t="shared" si="19"/>
        <v/>
      </c>
      <c r="V109" s="208"/>
      <c r="X109" s="202" t="str">
        <f t="shared" si="20"/>
        <v/>
      </c>
      <c r="Y109" s="202"/>
      <c r="Z109" s="210" t="str">
        <f t="shared" si="13"/>
        <v/>
      </c>
      <c r="AA109" s="210" t="str">
        <f t="shared" si="14"/>
        <v/>
      </c>
    </row>
    <row r="110" spans="1:27">
      <c r="A110" s="211">
        <v>100</v>
      </c>
      <c r="B110" s="212"/>
      <c r="C110" s="213"/>
      <c r="D110" s="214"/>
      <c r="E110" s="215"/>
      <c r="F110" s="216"/>
      <c r="G110" s="217"/>
      <c r="H110" s="218"/>
      <c r="I110" s="219" t="str">
        <f t="shared" si="21"/>
        <v/>
      </c>
      <c r="J110" s="220" t="str">
        <f t="shared" si="15"/>
        <v/>
      </c>
      <c r="K110" s="221"/>
      <c r="L110" s="222"/>
      <c r="M110" s="219" t="str">
        <f t="shared" si="16"/>
        <v/>
      </c>
      <c r="N110" s="218"/>
      <c r="O110" s="218"/>
      <c r="P110" s="219" t="str">
        <f t="shared" si="17"/>
        <v/>
      </c>
      <c r="Q110" s="223" t="str">
        <f t="shared" si="18"/>
        <v/>
      </c>
      <c r="R110" s="218"/>
      <c r="S110" s="218"/>
      <c r="T110" s="224"/>
      <c r="U110" s="225" t="str">
        <f t="shared" si="19"/>
        <v/>
      </c>
      <c r="V110" s="226"/>
      <c r="X110" s="202" t="str">
        <f t="shared" si="20"/>
        <v/>
      </c>
      <c r="Y110" s="202"/>
      <c r="Z110" s="210" t="str">
        <f t="shared" si="13"/>
        <v/>
      </c>
      <c r="AA110" s="210" t="str">
        <f t="shared" si="14"/>
        <v/>
      </c>
    </row>
  </sheetData>
  <sheetProtection algorithmName="SHA-512" hashValue="11RmPotsHSd0ZIvLLmRV41jKmt/cfZyFVK4kWvJAogY4jH45DMXy4IST4r+TcOpzJAhaNsuxSaalJyT2/UtGBA==" saltValue="IZ69eS0izLMSkWfQqZR3qA==" spinCount="100000" sheet="1" objects="1" scenarios="1" formatCells="0" formatColumns="0" formatRows="0" selectLockedCells="1" autoFilter="0"/>
  <autoFilter ref="C10:U110" xr:uid="{00000000-0009-0000-0000-000000000000}"/>
  <mergeCells count="25">
    <mergeCell ref="A3:B3"/>
    <mergeCell ref="A4:B4"/>
    <mergeCell ref="D4:E4"/>
    <mergeCell ref="G4:H4"/>
    <mergeCell ref="A5:B5"/>
    <mergeCell ref="A9:B9"/>
    <mergeCell ref="N10:O10"/>
    <mergeCell ref="F7:F9"/>
    <mergeCell ref="G7:G9"/>
    <mergeCell ref="H7:H9"/>
    <mergeCell ref="I7:I9"/>
    <mergeCell ref="J5:J9"/>
    <mergeCell ref="K8:K9"/>
    <mergeCell ref="L8:L9"/>
    <mergeCell ref="M8:M9"/>
    <mergeCell ref="A6:B6"/>
    <mergeCell ref="A7:B7"/>
    <mergeCell ref="D7:E7"/>
    <mergeCell ref="N7:O7"/>
    <mergeCell ref="A8:B8"/>
    <mergeCell ref="P8:P9"/>
    <mergeCell ref="Q6:V9"/>
    <mergeCell ref="K5:P6"/>
    <mergeCell ref="N8:O9"/>
    <mergeCell ref="F5:I6"/>
  </mergeCells>
  <conditionalFormatting sqref="C5">
    <cfRule type="containsText" dxfId="18" priority="41" operator="containsText" text="[enter school school id here]">
      <formula>NOT(ISERROR(SEARCH("[enter school school id here]",C5)))</formula>
    </cfRule>
  </conditionalFormatting>
  <conditionalFormatting sqref="C6">
    <cfRule type="containsText" dxfId="17" priority="43" operator="containsText" text="[enter teacher name here]">
      <formula>NOT(ISERROR(SEARCH("[enter teacher name here]",C6)))</formula>
    </cfRule>
  </conditionalFormatting>
  <conditionalFormatting sqref="C9">
    <cfRule type="containsText" dxfId="16" priority="20" operator="containsText" text="[choose language here]">
      <formula>NOT(ISERROR(SEARCH("[choose language here]",C9)))</formula>
    </cfRule>
  </conditionalFormatting>
  <conditionalFormatting sqref="D9:E9">
    <cfRule type="expression" dxfId="15" priority="53">
      <formula>$X$8=1</formula>
    </cfRule>
  </conditionalFormatting>
  <conditionalFormatting sqref="G11:G110">
    <cfRule type="expression" dxfId="14" priority="12">
      <formula>$F11&gt;6</formula>
    </cfRule>
  </conditionalFormatting>
  <conditionalFormatting sqref="H11:H110">
    <cfRule type="expression" dxfId="13" priority="11">
      <formula>$F11&lt;7</formula>
    </cfRule>
  </conditionalFormatting>
  <conditionalFormatting sqref="I4">
    <cfRule type="cellIs" dxfId="12" priority="19" operator="notEqual">
      <formula>$F$4</formula>
    </cfRule>
    <cfRule type="cellIs" dxfId="11" priority="50" operator="lessThan">
      <formula>#REF!+#REF!</formula>
    </cfRule>
    <cfRule type="cellIs" dxfId="10" priority="51" operator="lessThan">
      <formula>#REF!+#REF!</formula>
    </cfRule>
  </conditionalFormatting>
  <conditionalFormatting sqref="J11:J110">
    <cfRule type="containsText" dxfId="9" priority="1" operator="containsText" text="Moderate">
      <formula>NOT(ISERROR(SEARCH("Moderate",J11)))</formula>
    </cfRule>
    <cfRule type="containsText" dxfId="8" priority="2" operator="containsText" text="Full Refresher">
      <formula>NOT(ISERROR(SEARCH("Full Refresher",J11)))</formula>
    </cfRule>
  </conditionalFormatting>
  <conditionalFormatting sqref="K11:T110">
    <cfRule type="expression" dxfId="7" priority="7">
      <formula>OR($J11="Full Refresher",$J11="Moderate Refresher")</formula>
    </cfRule>
  </conditionalFormatting>
  <conditionalFormatting sqref="U11:U110">
    <cfRule type="containsText" dxfId="6" priority="4" operator="containsText" text="At Grade Level">
      <formula>NOT(ISERROR(SEARCH("At Grade Level",U11)))</formula>
    </cfRule>
    <cfRule type="containsText" dxfId="5" priority="5" operator="containsText" text="Emerging Reader">
      <formula>NOT(ISERROR(SEARCH("Emerging Reader",U11)))</formula>
    </cfRule>
  </conditionalFormatting>
  <dataValidations count="23">
    <dataValidation type="list" allowBlank="1" showInputMessage="1" showErrorMessage="1" sqref="C3" xr:uid="{00000000-0002-0000-0000-000000000000}">
      <formula1>"BoSY, MoSY, EoSY"</formula1>
    </dataValidation>
    <dataValidation type="whole" allowBlank="1" showInputMessage="1" showErrorMessage="1" error="Enter the 6-digit School ID" sqref="C4 A5" xr:uid="{00000000-0002-0000-0000-000001000000}">
      <formula1>100000</formula1>
      <formula2>999999</formula2>
    </dataValidation>
    <dataValidation allowBlank="1" showInputMessage="1" showErrorMessage="1" prompt="Choose Language here" sqref="G4" xr:uid="{00000000-0002-0000-0000-000002000000}"/>
    <dataValidation allowBlank="1" showInputMessage="1" showErrorMessage="1" sqref="I4" xr:uid="{00000000-0002-0000-0000-000003000000}"/>
    <dataValidation type="textLength" operator="greaterThan" showInputMessage="1" showErrorMessage="1" error="Enter School Name" sqref="C5" xr:uid="{00000000-0002-0000-0000-000004000000}">
      <formula1>5</formula1>
    </dataValidation>
    <dataValidation type="whole" allowBlank="1" showInputMessage="1" showErrorMessage="1" sqref="D6:E6" xr:uid="{00000000-0002-0000-0000-000005000000}">
      <formula1>0</formula1>
      <formula2>100</formula2>
    </dataValidation>
    <dataValidation type="whole" allowBlank="1" showInputMessage="1" showErrorMessage="1" error="Total Words per Story must be between 40 to 51" sqref="D9:E9" xr:uid="{00000000-0002-0000-0000-000007000000}">
      <formula1>49</formula1>
      <formula2>51</formula2>
    </dataValidation>
    <dataValidation allowBlank="1" showInputMessage="1" showErrorMessage="1" errorTitle="Error Message" error="Total Number of Words must be less than or equal to 50" sqref="M11" xr:uid="{00000000-0002-0000-0000-000008000000}"/>
    <dataValidation allowBlank="1" showInputMessage="1" showErrorMessage="1" error="Enter Level between 1 to 4" sqref="U11:V11 U12:U110" xr:uid="{00000000-0002-0000-0000-000009000000}"/>
    <dataValidation type="list" allowBlank="1" showInputMessage="1" showErrorMessage="1" sqref="D11:D110" xr:uid="{00000000-0002-0000-0000-00000A000000}">
      <formula1>"Male, Female"</formula1>
    </dataValidation>
    <dataValidation type="date" errorStyle="warning" allowBlank="1" showInputMessage="1" showErrorMessage="1" error="Enter the Date of Assessment in Correct Format (mm/dd/yy)" sqref="E11:E110" xr:uid="{00000000-0002-0000-0000-00000B000000}">
      <formula1>44197</formula1>
      <formula2>55153</formula2>
    </dataValidation>
    <dataValidation type="whole" allowBlank="1" showInputMessage="1" showErrorMessage="1" error="Enter Score between 0 to 10" sqref="F11:F110" xr:uid="{00000000-0002-0000-0000-00000C000000}">
      <formula1>0</formula1>
      <formula2>10</formula2>
    </dataValidation>
    <dataValidation type="custom" allowBlank="1" showInputMessage="1" showErrorMessage="1" errorTitle="Error Message" error="Enter value less than or equal to 10_x000a_if Task 1 score is greater than 6, Words should be left blank or empty." sqref="G11:G110" xr:uid="{00000000-0002-0000-0000-00000D000000}">
      <formula1>AND($F11&lt;7,$G11&lt;11)</formula1>
    </dataValidation>
    <dataValidation type="custom" allowBlank="1" showInputMessage="1" showErrorMessage="1" errorTitle="Error Message" error="Enter value less than or equal to 10_x000a_If Task 1 score is less than 7, Sentences should be left blank or empty." sqref="H11:H110" xr:uid="{00000000-0002-0000-0000-00000E000000}">
      <formula1>AND($F11&gt;6,$H11&lt;11)</formula1>
    </dataValidation>
    <dataValidation type="whole" allowBlank="1" showInputMessage="1" showErrorMessage="1" error="Story 1 or 2" sqref="K11:K110" xr:uid="{00000000-0002-0000-0000-00000F000000}">
      <formula1>1</formula1>
      <formula2>2</formula2>
    </dataValidation>
    <dataValidation type="whole" allowBlank="1" showInputMessage="1" showErrorMessage="1" error="Enter Number of Miscues" sqref="L11:L19" xr:uid="{00000000-0002-0000-0000-000010000000}">
      <formula1>1</formula1>
      <formula2>51</formula2>
    </dataValidation>
    <dataValidation type="whole" allowBlank="1" showInputMessage="1" showErrorMessage="1" error="Enter Number of Miscues" sqref="L20:L110" xr:uid="{00000000-0002-0000-0000-000011000000}">
      <formula1>0</formula1>
      <formula2>51</formula2>
    </dataValidation>
    <dataValidation type="whole" operator="lessThanOrEqual" allowBlank="1" showInputMessage="1" showErrorMessage="1" errorTitle="Error Message" error="Total Number of Words must be less than or equal to 50" sqref="M12:M110" xr:uid="{00000000-0002-0000-0000-000012000000}">
      <formula1>51</formula1>
    </dataValidation>
    <dataValidation type="whole" allowBlank="1" showInputMessage="1" showErrorMessage="1" errorTitle="Error Message" error="Must not exceed 1 minute" sqref="N11:N110" xr:uid="{00000000-0002-0000-0000-000013000000}">
      <formula1>0</formula1>
      <formula2>1</formula2>
    </dataValidation>
    <dataValidation type="whole" allowBlank="1" showInputMessage="1" showErrorMessage="1" errorTitle="Error Message" error="Number of seconds between 0 to 59" sqref="O11:O110" xr:uid="{00000000-0002-0000-0000-000014000000}">
      <formula1>0</formula1>
      <formula2>59</formula2>
    </dataValidation>
    <dataValidation type="whole" allowBlank="1" showInputMessage="1" showErrorMessage="1" error="Enter Answer between 0 to 5" sqref="R11:R110" xr:uid="{00000000-0002-0000-0000-000016000000}">
      <formula1>0</formula1>
      <formula2>5</formula2>
    </dataValidation>
    <dataValidation type="whole" allowBlank="1" showInputMessage="1" showErrorMessage="1" error="Enter Leaner Experience from 1 - 5" sqref="S11:S110" xr:uid="{00000000-0002-0000-0000-000017000000}">
      <formula1>1</formula1>
      <formula2>5</formula2>
    </dataValidation>
    <dataValidation type="list" allowBlank="1" showInputMessage="1" showErrorMessage="1" error="Enter Level between 1 to 4" sqref="T11:T110" xr:uid="{00000000-0002-0000-0000-000018000000}">
      <formula1>"Level 1, Level 2, Level 3, Level 4"</formula1>
    </dataValidation>
  </dataValidations>
  <pageMargins left="0.23622047244094491" right="0.23622047244094491" top="0.11811023622047245" bottom="0.74803149606299213" header="0.31496062992125984" footer="0.31496062992125984"/>
  <pageSetup scale="30" orientation="landscape" r:id="rId1"/>
  <drawing r:id="rId2"/>
  <extLst>
    <ext xmlns:x14="http://schemas.microsoft.com/office/spreadsheetml/2009/9/main" uri="{CCE6A557-97BC-4b89-ADB6-D9C93CAAB3DF}">
      <x14:dataValidations xmlns:xm="http://schemas.microsoft.com/office/excel/2006/main" count="2">
        <x14:dataValidation type="list" allowBlank="1" showInputMessage="1" showErrorMessage="1" prompt="Choose Language here" xr:uid="{00000000-0002-0000-0000-000006000000}">
          <x14:formula1>
            <xm:f>List!$C$2:$C$35</xm:f>
          </x14:formula1>
          <xm:sqref>C9</xm:sqref>
        </x14:dataValidation>
        <x14:dataValidation type="list" allowBlank="1" showInputMessage="1" showErrorMessage="1" xr:uid="{00000000-0002-0000-0000-000015000000}">
          <x14:formula1>
            <xm:f>List!$A$2:$A$6</xm:f>
          </x14:formula1>
          <xm:sqref>Q12:Q110</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W107"/>
  <sheetViews>
    <sheetView workbookViewId="0">
      <pane xSplit="11" ySplit="6" topLeftCell="L7" activePane="bottomRight" state="frozen"/>
      <selection pane="bottomRight" activeCell="E85" sqref="E85"/>
      <selection pane="bottomLeft"/>
      <selection pane="topRight"/>
    </sheetView>
  </sheetViews>
  <sheetFormatPr defaultColWidth="0" defaultRowHeight="14.45"/>
  <cols>
    <col min="1" max="1" width="5.5" customWidth="1"/>
    <col min="2" max="2" width="14.875" customWidth="1"/>
    <col min="3" max="3" width="31.875" customWidth="1"/>
    <col min="4" max="4" width="10.125" style="1" customWidth="1"/>
    <col min="5" max="5" width="16.5" style="1" customWidth="1"/>
    <col min="6" max="6" width="11.875" style="79" customWidth="1"/>
    <col min="7" max="7" width="12.125" style="79" customWidth="1"/>
    <col min="8" max="8" width="13.125" style="1" customWidth="1"/>
    <col min="9" max="9" width="11.125" style="1" customWidth="1"/>
    <col min="10" max="10" width="20.5" style="1" customWidth="1"/>
    <col min="11" max="11" width="40.375" style="1" customWidth="1"/>
    <col min="12" max="12" width="5.125" customWidth="1"/>
    <col min="13" max="13" width="8.875" customWidth="1"/>
    <col min="14" max="16" width="8.875" hidden="1" customWidth="1"/>
    <col min="17" max="18" width="13.625" hidden="1" customWidth="1"/>
    <col min="19" max="19" width="8.875" hidden="1" customWidth="1"/>
    <col min="20" max="23" width="13.625" hidden="1" customWidth="1"/>
    <col min="24" max="16384" width="8.875" hidden="1"/>
  </cols>
  <sheetData>
    <row r="1" spans="1:12" ht="18" customHeight="1"/>
    <row r="3" spans="1:12" ht="26.1" customHeight="1"/>
    <row r="4" spans="1:12" ht="17.45" customHeight="1">
      <c r="A4" s="285" t="s">
        <v>76</v>
      </c>
      <c r="B4" s="286"/>
      <c r="C4" s="287" t="str">
        <f>'G1 MT Reading Scoresheet'!$C$5</f>
        <v>ROMANA ELEMENTARY SCHOOL</v>
      </c>
      <c r="D4" s="287"/>
      <c r="E4" s="288" t="s">
        <v>77</v>
      </c>
      <c r="F4" s="289"/>
      <c r="G4" s="289"/>
      <c r="H4" s="289"/>
      <c r="I4" s="289"/>
      <c r="J4" s="289"/>
      <c r="K4" s="290"/>
    </row>
    <row r="5" spans="1:12" ht="18" customHeight="1">
      <c r="A5" s="276" t="s">
        <v>14</v>
      </c>
      <c r="B5" s="277"/>
      <c r="C5" s="291" t="str">
        <f>'G1 MT Reading Scoresheet'!C6</f>
        <v>MARIAN GRACE D. DE LA TORRE</v>
      </c>
      <c r="D5" s="291"/>
      <c r="E5" s="292" t="str">
        <f>CONCATENATE("MOTHER TONGUE","(",'G1 MT Reading Scoresheet'!C9,")")</f>
        <v>MOTHER TONGUE(Hiligaynon)</v>
      </c>
      <c r="F5" s="293"/>
      <c r="G5" s="293"/>
      <c r="H5" s="293"/>
      <c r="I5" s="293"/>
      <c r="J5" s="294"/>
      <c r="K5" s="101" t="s">
        <v>1</v>
      </c>
    </row>
    <row r="6" spans="1:12" ht="18" customHeight="1">
      <c r="A6" s="276" t="s">
        <v>16</v>
      </c>
      <c r="B6" s="277"/>
      <c r="C6" s="278" t="s">
        <v>17</v>
      </c>
      <c r="D6" s="279"/>
      <c r="E6" s="280" t="s">
        <v>78</v>
      </c>
      <c r="F6" s="281"/>
      <c r="G6" s="282" t="s">
        <v>79</v>
      </c>
      <c r="H6" s="282"/>
      <c r="I6" s="102"/>
      <c r="J6" s="283" t="s">
        <v>80</v>
      </c>
      <c r="K6" s="103"/>
    </row>
    <row r="7" spans="1:12" ht="51.6" customHeight="1">
      <c r="A7" s="80" t="s">
        <v>34</v>
      </c>
      <c r="B7" s="81" t="s">
        <v>35</v>
      </c>
      <c r="C7" s="82" t="s">
        <v>36</v>
      </c>
      <c r="D7" s="83" t="s">
        <v>37</v>
      </c>
      <c r="E7" s="84" t="s">
        <v>81</v>
      </c>
      <c r="F7" s="84" t="s">
        <v>82</v>
      </c>
      <c r="G7" s="84" t="s">
        <v>83</v>
      </c>
      <c r="H7" s="84" t="s">
        <v>84</v>
      </c>
      <c r="I7" s="104" t="s">
        <v>85</v>
      </c>
      <c r="J7" s="284"/>
      <c r="K7" s="105" t="s">
        <v>86</v>
      </c>
    </row>
    <row r="8" spans="1:12">
      <c r="A8" s="49">
        <v>1</v>
      </c>
      <c r="B8" s="85">
        <f>IF('G1 MT Reading Scoresheet'!B11&lt;&gt;"",'G1 MT Reading Scoresheet'!B11,"")</f>
        <v>117443240002</v>
      </c>
      <c r="C8" s="86" t="str">
        <f>IF('G1 MT Reading Scoresheet'!C11&lt;&gt;"",'G1 MT Reading Scoresheet'!C11,"")</f>
        <v>CARDINAL,CIAN, DEMIAR</v>
      </c>
      <c r="D8" s="87" t="str">
        <f>IF('G1 MT Reading Scoresheet'!D11&lt;&gt;"",'G1 MT Reading Scoresheet'!D11,"")</f>
        <v>Male</v>
      </c>
      <c r="E8" s="88" t="str">
        <f>'G1 MT Reading Scoresheet'!J11</f>
        <v>Grade Ready</v>
      </c>
      <c r="F8" s="89">
        <f>IF($C8&lt;&gt;"",'G1 MT Reading Scoresheet'!$I11/30,"")</f>
        <v>0.93333333333333335</v>
      </c>
      <c r="G8" s="89">
        <f>IF(AND($C8&lt;&gt;"",$E8&lt;&gt;"Full Refresher"),'G1 MT Reading Scoresheet'!$Q11,"")</f>
        <v>0.7</v>
      </c>
      <c r="H8" s="90">
        <f>IF(AND($C8&lt;&gt;"",$E8&lt;&gt;"Full Refresher"),'G1 MT Reading Scoresheet'!$R11/5,"")</f>
        <v>0.6</v>
      </c>
      <c r="I8" s="106">
        <f>IF(AND($C8&lt;&gt;"",$E8&lt;&gt;"Full Refresher"),'G1 MT Reading Scoresheet'!$P11,"")</f>
        <v>35</v>
      </c>
      <c r="J8" s="106" t="str">
        <f>'G1 MT Reading Scoresheet'!$U11</f>
        <v>Transitioning Reader</v>
      </c>
      <c r="K8" s="107" t="str">
        <f>IF('G1 MT Reading Scoresheet'!V11&lt;&gt;"",'G1 MT Reading Scoresheet'!V11,"")</f>
        <v/>
      </c>
      <c r="L8" t="s">
        <v>1</v>
      </c>
    </row>
    <row r="9" spans="1:12">
      <c r="A9" s="91">
        <v>2</v>
      </c>
      <c r="B9" s="92">
        <f>IF('G1 MT Reading Scoresheet'!B12&lt;&gt;"",'G1 MT Reading Scoresheet'!B12,"")</f>
        <v>117443240003</v>
      </c>
      <c r="C9" s="93" t="str">
        <f>IF('G1 MT Reading Scoresheet'!C12&lt;&gt;"",'G1 MT Reading Scoresheet'!C12,"")</f>
        <v>CARDINAL,REY ROES, PANGANTIHON</v>
      </c>
      <c r="D9" s="94" t="str">
        <f>IF('G1 MT Reading Scoresheet'!D12&lt;&gt;"",'G1 MT Reading Scoresheet'!D12,"")</f>
        <v>Male</v>
      </c>
      <c r="E9" s="95" t="str">
        <f>'G1 MT Reading Scoresheet'!J12</f>
        <v>Grade Ready</v>
      </c>
      <c r="F9" s="96">
        <f>IF($C9&lt;&gt;"",'G1 MT Reading Scoresheet'!$I12/30,"")</f>
        <v>1</v>
      </c>
      <c r="G9" s="96">
        <f>IF(AND($C9&lt;&gt;"",$E9&lt;&gt;"Full Refresher"),'G1 MT Reading Scoresheet'!$Q12,"")</f>
        <v>1</v>
      </c>
      <c r="H9" s="97">
        <f>IF(AND($C9&lt;&gt;"",$E9&lt;&gt;"Full Refresher"),'G1 MT Reading Scoresheet'!$R12/5,"")</f>
        <v>1</v>
      </c>
      <c r="I9" s="108">
        <f>IF(AND($C9&lt;&gt;"",$E9&lt;&gt;"Full Refresher"),'G1 MT Reading Scoresheet'!$P12,"")</f>
        <v>50</v>
      </c>
      <c r="J9" s="109" t="str">
        <f>'G1 MT Reading Scoresheet'!$U12</f>
        <v>Reading At Grade Level</v>
      </c>
      <c r="K9" s="110" t="str">
        <f>IF('G1 MT Reading Scoresheet'!V12&lt;&gt;"",'G1 MT Reading Scoresheet'!V12,"")</f>
        <v/>
      </c>
    </row>
    <row r="10" spans="1:12">
      <c r="A10" s="49">
        <v>3</v>
      </c>
      <c r="B10" s="98">
        <f>IF('G1 MT Reading Scoresheet'!B13&lt;&gt;"",'G1 MT Reading Scoresheet'!B13,"")</f>
        <v>117443240005</v>
      </c>
      <c r="C10" s="99" t="str">
        <f>IF('G1 MT Reading Scoresheet'!C13&lt;&gt;"",'G1 MT Reading Scoresheet'!C13,"")</f>
        <v>FRANTE,ARK JAY, CABALLERO</v>
      </c>
      <c r="D10" s="100" t="str">
        <f>IF('G1 MT Reading Scoresheet'!D13&lt;&gt;"",'G1 MT Reading Scoresheet'!D13,"")</f>
        <v>Male</v>
      </c>
      <c r="E10" s="95" t="str">
        <f>'G1 MT Reading Scoresheet'!J13</f>
        <v>Grade Ready</v>
      </c>
      <c r="F10" s="96">
        <f>IF($C10&lt;&gt;"",'G1 MT Reading Scoresheet'!$I13/30,"")</f>
        <v>1</v>
      </c>
      <c r="G10" s="96">
        <f>IF(AND($C10&lt;&gt;"",$E10&lt;&gt;"Full Refresher"),'G1 MT Reading Scoresheet'!$Q13,"")</f>
        <v>1</v>
      </c>
      <c r="H10" s="97">
        <f>IF(AND($C10&lt;&gt;"",$E10&lt;&gt;"Full Refresher"),'G1 MT Reading Scoresheet'!$R13/5,"")</f>
        <v>0.8</v>
      </c>
      <c r="I10" s="108">
        <f>IF(AND($C10&lt;&gt;"",$E10&lt;&gt;"Full Refresher"),'G1 MT Reading Scoresheet'!$P13,"")</f>
        <v>50</v>
      </c>
      <c r="J10" s="109" t="str">
        <f>'G1 MT Reading Scoresheet'!$U13</f>
        <v>Reading At Grade Level</v>
      </c>
      <c r="K10" s="111" t="str">
        <f>IF('G1 MT Reading Scoresheet'!V13&lt;&gt;"",'G1 MT Reading Scoresheet'!V13,"")</f>
        <v/>
      </c>
    </row>
    <row r="11" spans="1:12">
      <c r="A11" s="91">
        <v>4</v>
      </c>
      <c r="B11" s="92">
        <f>IF('G1 MT Reading Scoresheet'!B14&lt;&gt;"",'G1 MT Reading Scoresheet'!B14,"")</f>
        <v>117443240006</v>
      </c>
      <c r="C11" s="93" t="str">
        <f>IF('G1 MT Reading Scoresheet'!C14&lt;&gt;"",'G1 MT Reading Scoresheet'!C14,"")</f>
        <v>GANCIA,JELLO, GIER</v>
      </c>
      <c r="D11" s="94" t="str">
        <f>IF('G1 MT Reading Scoresheet'!D14&lt;&gt;"",'G1 MT Reading Scoresheet'!D14,"")</f>
        <v>Male</v>
      </c>
      <c r="E11" s="95" t="str">
        <f>'G1 MT Reading Scoresheet'!J14</f>
        <v>Full Refresher</v>
      </c>
      <c r="F11" s="96">
        <f>IF($C11&lt;&gt;"",'G1 MT Reading Scoresheet'!$I14/30,"")</f>
        <v>0.23333333333333334</v>
      </c>
      <c r="G11" s="96" t="str">
        <f>IF(AND($C11&lt;&gt;"",$E11&lt;&gt;"Full Refresher"),'G1 MT Reading Scoresheet'!$Q14,"")</f>
        <v/>
      </c>
      <c r="H11" s="97" t="str">
        <f>IF(AND($C11&lt;&gt;"",$E11&lt;&gt;"Full Refresher"),'G1 MT Reading Scoresheet'!$R14/5,"")</f>
        <v/>
      </c>
      <c r="I11" s="108" t="str">
        <f>IF(AND($C11&lt;&gt;"",$E11&lt;&gt;"Full Refresher"),'G1 MT Reading Scoresheet'!$P14,"")</f>
        <v/>
      </c>
      <c r="J11" s="109" t="str">
        <f>'G1 MT Reading Scoresheet'!$U14</f>
        <v>Low Emerging Reader</v>
      </c>
      <c r="K11" s="110" t="str">
        <f>IF('G1 MT Reading Scoresheet'!V14&lt;&gt;"",'G1 MT Reading Scoresheet'!V14,"")</f>
        <v/>
      </c>
    </row>
    <row r="12" spans="1:12">
      <c r="A12" s="49">
        <v>5</v>
      </c>
      <c r="B12" s="98">
        <f>IF('G1 MT Reading Scoresheet'!B15&lt;&gt;"",'G1 MT Reading Scoresheet'!B15,"")</f>
        <v>117443230006</v>
      </c>
      <c r="C12" s="99" t="str">
        <f>IF('G1 MT Reading Scoresheet'!C15&lt;&gt;"",'G1 MT Reading Scoresheet'!C15,"")</f>
        <v>GANCIA, RHAYCO, NARCISO</v>
      </c>
      <c r="D12" s="100" t="str">
        <f>IF('G1 MT Reading Scoresheet'!D15&lt;&gt;"",'G1 MT Reading Scoresheet'!D15,"")</f>
        <v>Male</v>
      </c>
      <c r="E12" s="95" t="str">
        <f>'G1 MT Reading Scoresheet'!J15</f>
        <v>Light Refresher</v>
      </c>
      <c r="F12" s="96">
        <f>IF($C12&lt;&gt;"",'G1 MT Reading Scoresheet'!$I15/30,"")</f>
        <v>0.73333333333333328</v>
      </c>
      <c r="G12" s="96">
        <f>IF(AND($C12&lt;&gt;"",$E12&lt;&gt;"Full Refresher"),'G1 MT Reading Scoresheet'!$Q15,"")</f>
        <v>0.6</v>
      </c>
      <c r="H12" s="97">
        <f>IF(AND($C12&lt;&gt;"",$E12&lt;&gt;"Full Refresher"),'G1 MT Reading Scoresheet'!$R15/5,"")</f>
        <v>0.4</v>
      </c>
      <c r="I12" s="108">
        <f>IF(AND($C12&lt;&gt;"",$E12&lt;&gt;"Full Refresher"),'G1 MT Reading Scoresheet'!$P15,"")</f>
        <v>30</v>
      </c>
      <c r="J12" s="109" t="str">
        <f>'G1 MT Reading Scoresheet'!$U15</f>
        <v>Transitioning Reader</v>
      </c>
      <c r="K12" s="111" t="str">
        <f>IF('G1 MT Reading Scoresheet'!V15&lt;&gt;"",'G1 MT Reading Scoresheet'!V15,"")</f>
        <v/>
      </c>
    </row>
    <row r="13" spans="1:12">
      <c r="A13" s="91">
        <v>6</v>
      </c>
      <c r="B13" s="92">
        <f>IF('G1 MT Reading Scoresheet'!B16&lt;&gt;"",'G1 MT Reading Scoresheet'!B16,"")</f>
        <v>117443240004</v>
      </c>
      <c r="C13" s="93" t="str">
        <f>IF('G1 MT Reading Scoresheet'!C16&lt;&gt;"",'G1 MT Reading Scoresheet'!C16,"")</f>
        <v>GARDOSE,KIETH DION, CADUCOY</v>
      </c>
      <c r="D13" s="94" t="str">
        <f>IF('G1 MT Reading Scoresheet'!D16&lt;&gt;"",'G1 MT Reading Scoresheet'!D16,"")</f>
        <v>Male</v>
      </c>
      <c r="E13" s="95" t="str">
        <f>'G1 MT Reading Scoresheet'!J16</f>
        <v>Light Refresher</v>
      </c>
      <c r="F13" s="96">
        <f>IF($C13&lt;&gt;"",'G1 MT Reading Scoresheet'!$I16/30,"")</f>
        <v>0.66666666666666663</v>
      </c>
      <c r="G13" s="96">
        <f>IF(AND($C13&lt;&gt;"",$E13&lt;&gt;"Full Refresher"),'G1 MT Reading Scoresheet'!$Q16,"")</f>
        <v>0.5</v>
      </c>
      <c r="H13" s="97">
        <f>IF(AND($C13&lt;&gt;"",$E13&lt;&gt;"Full Refresher"),'G1 MT Reading Scoresheet'!$R16/5,"")</f>
        <v>0.4</v>
      </c>
      <c r="I13" s="108">
        <f>IF(AND($C13&lt;&gt;"",$E13&lt;&gt;"Full Refresher"),'G1 MT Reading Scoresheet'!$P16,"")</f>
        <v>25</v>
      </c>
      <c r="J13" s="109" t="str">
        <f>'G1 MT Reading Scoresheet'!$U16</f>
        <v>Developing Reader</v>
      </c>
      <c r="K13" s="110" t="str">
        <f>IF('G1 MT Reading Scoresheet'!V16&lt;&gt;"",'G1 MT Reading Scoresheet'!V16,"")</f>
        <v/>
      </c>
    </row>
    <row r="14" spans="1:12">
      <c r="A14" s="49">
        <v>7</v>
      </c>
      <c r="B14" s="98">
        <f>IF('G1 MT Reading Scoresheet'!B17&lt;&gt;"",'G1 MT Reading Scoresheet'!B17,"")</f>
        <v>117443240007</v>
      </c>
      <c r="C14" s="99" t="str">
        <f>IF('G1 MT Reading Scoresheet'!C17&lt;&gt;"",'G1 MT Reading Scoresheet'!C17,"")</f>
        <v>GILUA,ARON JAMES, SUNDAYON</v>
      </c>
      <c r="D14" s="100" t="str">
        <f>IF('G1 MT Reading Scoresheet'!D17&lt;&gt;"",'G1 MT Reading Scoresheet'!D17,"")</f>
        <v>Male</v>
      </c>
      <c r="E14" s="95" t="str">
        <f>'G1 MT Reading Scoresheet'!J17</f>
        <v>Grade Ready</v>
      </c>
      <c r="F14" s="96">
        <f>IF($C14&lt;&gt;"",'G1 MT Reading Scoresheet'!$I17/30,"")</f>
        <v>0.93333333333333335</v>
      </c>
      <c r="G14" s="96">
        <f>IF(AND($C14&lt;&gt;"",$E14&lt;&gt;"Full Refresher"),'G1 MT Reading Scoresheet'!$Q17,"")</f>
        <v>0.8</v>
      </c>
      <c r="H14" s="97">
        <f>IF(AND($C14&lt;&gt;"",$E14&lt;&gt;"Full Refresher"),'G1 MT Reading Scoresheet'!$R17/5,"")</f>
        <v>0.8</v>
      </c>
      <c r="I14" s="108">
        <f>IF(AND($C14&lt;&gt;"",$E14&lt;&gt;"Full Refresher"),'G1 MT Reading Scoresheet'!$P17,"")</f>
        <v>40</v>
      </c>
      <c r="J14" s="109" t="str">
        <f>'G1 MT Reading Scoresheet'!$U17</f>
        <v>Reading At Grade Level</v>
      </c>
      <c r="K14" s="111" t="str">
        <f>IF('G1 MT Reading Scoresheet'!V17&lt;&gt;"",'G1 MT Reading Scoresheet'!V17,"")</f>
        <v/>
      </c>
    </row>
    <row r="15" spans="1:12">
      <c r="A15" s="91">
        <v>8</v>
      </c>
      <c r="B15" s="92">
        <f>IF('G1 MT Reading Scoresheet'!B18&lt;&gt;"",'G1 MT Reading Scoresheet'!B18,"")</f>
        <v>117443240008</v>
      </c>
      <c r="C15" s="93" t="str">
        <f>IF('G1 MT Reading Scoresheet'!C18&lt;&gt;"",'G1 MT Reading Scoresheet'!C18,"")</f>
        <v>LABANZA,DAVID RHON, PALACIO</v>
      </c>
      <c r="D15" s="94" t="str">
        <f>IF('G1 MT Reading Scoresheet'!D18&lt;&gt;"",'G1 MT Reading Scoresheet'!D18,"")</f>
        <v>Male</v>
      </c>
      <c r="E15" s="95" t="str">
        <f>'G1 MT Reading Scoresheet'!J18</f>
        <v>Grade Ready</v>
      </c>
      <c r="F15" s="96">
        <f>IF($C15&lt;&gt;"",'G1 MT Reading Scoresheet'!$I18/30,"")</f>
        <v>0.93333333333333335</v>
      </c>
      <c r="G15" s="96">
        <f>IF(AND($C15&lt;&gt;"",$E15&lt;&gt;"Full Refresher"),'G1 MT Reading Scoresheet'!$Q18,"")</f>
        <v>0.6</v>
      </c>
      <c r="H15" s="97">
        <f>IF(AND($C15&lt;&gt;"",$E15&lt;&gt;"Full Refresher"),'G1 MT Reading Scoresheet'!$R18/5,"")</f>
        <v>0.8</v>
      </c>
      <c r="I15" s="108">
        <f>IF(AND($C15&lt;&gt;"",$E15&lt;&gt;"Full Refresher"),'G1 MT Reading Scoresheet'!$P18,"")</f>
        <v>30</v>
      </c>
      <c r="J15" s="109" t="str">
        <f>'G1 MT Reading Scoresheet'!$U18</f>
        <v>Transitioning Reader</v>
      </c>
      <c r="K15" s="110" t="str">
        <f>IF('G1 MT Reading Scoresheet'!V18&lt;&gt;"",'G1 MT Reading Scoresheet'!V18,"")</f>
        <v/>
      </c>
    </row>
    <row r="16" spans="1:12">
      <c r="A16" s="49">
        <v>9</v>
      </c>
      <c r="B16" s="98">
        <f>IF('G1 MT Reading Scoresheet'!B19&lt;&gt;"",'G1 MT Reading Scoresheet'!B19,"")</f>
        <v>117443240009</v>
      </c>
      <c r="C16" s="99" t="str">
        <f>IF('G1 MT Reading Scoresheet'!C19&lt;&gt;"",'G1 MT Reading Scoresheet'!C19,"")</f>
        <v>LABANZA,JAY-K, NOBLE</v>
      </c>
      <c r="D16" s="100" t="str">
        <f>IF('G1 MT Reading Scoresheet'!D19&lt;&gt;"",'G1 MT Reading Scoresheet'!D19,"")</f>
        <v>Male</v>
      </c>
      <c r="E16" s="95" t="str">
        <f>'G1 MT Reading Scoresheet'!J19</f>
        <v>Full Refresher</v>
      </c>
      <c r="F16" s="96">
        <f>IF($C16&lt;&gt;"",'G1 MT Reading Scoresheet'!$I19/30,"")</f>
        <v>0.23333333333333334</v>
      </c>
      <c r="G16" s="96" t="str">
        <f>IF(AND($C16&lt;&gt;"",$E16&lt;&gt;"Full Refresher"),'G1 MT Reading Scoresheet'!$Q19,"")</f>
        <v/>
      </c>
      <c r="H16" s="97" t="str">
        <f>IF(AND($C16&lt;&gt;"",$E16&lt;&gt;"Full Refresher"),'G1 MT Reading Scoresheet'!$R19/5,"")</f>
        <v/>
      </c>
      <c r="I16" s="108" t="str">
        <f>IF(AND($C16&lt;&gt;"",$E16&lt;&gt;"Full Refresher"),'G1 MT Reading Scoresheet'!$P19,"")</f>
        <v/>
      </c>
      <c r="J16" s="109" t="str">
        <f>'G1 MT Reading Scoresheet'!$U19</f>
        <v>Low Emerging Reader</v>
      </c>
      <c r="K16" s="111" t="str">
        <f>IF('G1 MT Reading Scoresheet'!V19&lt;&gt;"",'G1 MT Reading Scoresheet'!V19,"")</f>
        <v/>
      </c>
    </row>
    <row r="17" spans="1:11">
      <c r="A17" s="91">
        <v>10</v>
      </c>
      <c r="B17" s="92">
        <f>IF('G1 MT Reading Scoresheet'!B20&lt;&gt;"",'G1 MT Reading Scoresheet'!B20,"")</f>
        <v>117443240010</v>
      </c>
      <c r="C17" s="93" t="str">
        <f>IF('G1 MT Reading Scoresheet'!C20&lt;&gt;"",'G1 MT Reading Scoresheet'!C20,"")</f>
        <v>LANGYON,JOHN KENNETH, ESTOCADA</v>
      </c>
      <c r="D17" s="94" t="str">
        <f>IF('G1 MT Reading Scoresheet'!D20&lt;&gt;"",'G1 MT Reading Scoresheet'!D20,"")</f>
        <v>Male</v>
      </c>
      <c r="E17" s="95" t="str">
        <f>'G1 MT Reading Scoresheet'!J20</f>
        <v>Full Refresher</v>
      </c>
      <c r="F17" s="96">
        <f>IF($C17&lt;&gt;"",'G1 MT Reading Scoresheet'!$I20/30,"")</f>
        <v>0</v>
      </c>
      <c r="G17" s="96" t="str">
        <f>IF(AND($C17&lt;&gt;"",$E17&lt;&gt;"Full Refresher"),'G1 MT Reading Scoresheet'!$Q20,"")</f>
        <v/>
      </c>
      <c r="H17" s="97" t="str">
        <f>IF(AND($C17&lt;&gt;"",$E17&lt;&gt;"Full Refresher"),'G1 MT Reading Scoresheet'!$R20/5,"")</f>
        <v/>
      </c>
      <c r="I17" s="108" t="str">
        <f>IF(AND($C17&lt;&gt;"",$E17&lt;&gt;"Full Refresher"),'G1 MT Reading Scoresheet'!$P20,"")</f>
        <v/>
      </c>
      <c r="J17" s="109" t="str">
        <f>'G1 MT Reading Scoresheet'!$U20</f>
        <v>Low Emerging Reader</v>
      </c>
      <c r="K17" s="110" t="str">
        <f>IF('G1 MT Reading Scoresheet'!V20&lt;&gt;"",'G1 MT Reading Scoresheet'!V20,"")</f>
        <v/>
      </c>
    </row>
    <row r="18" spans="1:11">
      <c r="A18" s="49">
        <v>11</v>
      </c>
      <c r="B18" s="98">
        <f>IF('G1 MT Reading Scoresheet'!B21&lt;&gt;"",'G1 MT Reading Scoresheet'!B21,"")</f>
        <v>117443240012</v>
      </c>
      <c r="C18" s="99" t="str">
        <f>IF('G1 MT Reading Scoresheet'!C21&lt;&gt;"",'G1 MT Reading Scoresheet'!C21,"")</f>
        <v>ESLANA,SHANEL, JACOMILLA</v>
      </c>
      <c r="D18" s="100" t="str">
        <f>IF('G1 MT Reading Scoresheet'!D21&lt;&gt;"",'G1 MT Reading Scoresheet'!D21,"")</f>
        <v>Female</v>
      </c>
      <c r="E18" s="95" t="str">
        <f>'G1 MT Reading Scoresheet'!J21</f>
        <v>Grade Ready</v>
      </c>
      <c r="F18" s="96">
        <f>IF($C18&lt;&gt;"",'G1 MT Reading Scoresheet'!$I21/30,"")</f>
        <v>1</v>
      </c>
      <c r="G18" s="96">
        <f>IF(AND($C18&lt;&gt;"",$E18&lt;&gt;"Full Refresher"),'G1 MT Reading Scoresheet'!$Q21,"")</f>
        <v>1</v>
      </c>
      <c r="H18" s="97">
        <f>IF(AND($C18&lt;&gt;"",$E18&lt;&gt;"Full Refresher"),'G1 MT Reading Scoresheet'!$R21/5,"")</f>
        <v>1</v>
      </c>
      <c r="I18" s="108">
        <f>IF(AND($C18&lt;&gt;"",$E18&lt;&gt;"Full Refresher"),'G1 MT Reading Scoresheet'!$P21,"")</f>
        <v>50</v>
      </c>
      <c r="J18" s="109" t="str">
        <f>'G1 MT Reading Scoresheet'!$U21</f>
        <v>Reading At Grade Level</v>
      </c>
      <c r="K18" s="111" t="str">
        <f>IF('G1 MT Reading Scoresheet'!V21&lt;&gt;"",'G1 MT Reading Scoresheet'!V21,"")</f>
        <v/>
      </c>
    </row>
    <row r="19" spans="1:11">
      <c r="A19" s="91">
        <v>12</v>
      </c>
      <c r="B19" s="92">
        <f>IF('G1 MT Reading Scoresheet'!B22&lt;&gt;"",'G1 MT Reading Scoresheet'!B22,"")</f>
        <v>117443240013</v>
      </c>
      <c r="C19" s="93" t="str">
        <f>IF('G1 MT Reading Scoresheet'!C22&lt;&gt;"",'G1 MT Reading Scoresheet'!C22,"")</f>
        <v>JUMBAS,JHANEZZA KAYE, ARCENAL</v>
      </c>
      <c r="D19" s="94" t="str">
        <f>IF('G1 MT Reading Scoresheet'!D22&lt;&gt;"",'G1 MT Reading Scoresheet'!D22,"")</f>
        <v>Female</v>
      </c>
      <c r="E19" s="95" t="str">
        <f>'G1 MT Reading Scoresheet'!J22</f>
        <v>Grade Ready</v>
      </c>
      <c r="F19" s="96">
        <f>IF($C19&lt;&gt;"",'G1 MT Reading Scoresheet'!$I22/30,"")</f>
        <v>1</v>
      </c>
      <c r="G19" s="96">
        <f>IF(AND($C19&lt;&gt;"",$E19&lt;&gt;"Full Refresher"),'G1 MT Reading Scoresheet'!$Q22,"")</f>
        <v>1</v>
      </c>
      <c r="H19" s="97">
        <f>IF(AND($C19&lt;&gt;"",$E19&lt;&gt;"Full Refresher"),'G1 MT Reading Scoresheet'!$R22/5,"")</f>
        <v>1</v>
      </c>
      <c r="I19" s="108">
        <f>IF(AND($C19&lt;&gt;"",$E19&lt;&gt;"Full Refresher"),'G1 MT Reading Scoresheet'!$P22,"")</f>
        <v>50</v>
      </c>
      <c r="J19" s="109" t="str">
        <f>'G1 MT Reading Scoresheet'!$U22</f>
        <v>Reading At Grade Level</v>
      </c>
      <c r="K19" s="110" t="str">
        <f>IF('G1 MT Reading Scoresheet'!V22&lt;&gt;"",'G1 MT Reading Scoresheet'!V22,"")</f>
        <v/>
      </c>
    </row>
    <row r="20" spans="1:11">
      <c r="A20" s="49">
        <v>13</v>
      </c>
      <c r="B20" s="98">
        <f>IF('G1 MT Reading Scoresheet'!B23&lt;&gt;"",'G1 MT Reading Scoresheet'!B23,"")</f>
        <v>117443240014</v>
      </c>
      <c r="C20" s="99" t="str">
        <f>IF('G1 MT Reading Scoresheet'!C23&lt;&gt;"",'G1 MT Reading Scoresheet'!C23,"")</f>
        <v>LLAGOSO,PAULA JADE, RICABO</v>
      </c>
      <c r="D20" s="100" t="str">
        <f>IF('G1 MT Reading Scoresheet'!D23&lt;&gt;"",'G1 MT Reading Scoresheet'!D23,"")</f>
        <v>Female</v>
      </c>
      <c r="E20" s="95" t="str">
        <f>'G1 MT Reading Scoresheet'!J23</f>
        <v>Grade Ready</v>
      </c>
      <c r="F20" s="96">
        <f>IF($C20&lt;&gt;"",'G1 MT Reading Scoresheet'!$I23/30,"")</f>
        <v>1</v>
      </c>
      <c r="G20" s="96">
        <f>IF(AND($C20&lt;&gt;"",$E20&lt;&gt;"Full Refresher"),'G1 MT Reading Scoresheet'!$Q23,"")</f>
        <v>1</v>
      </c>
      <c r="H20" s="97">
        <f>IF(AND($C20&lt;&gt;"",$E20&lt;&gt;"Full Refresher"),'G1 MT Reading Scoresheet'!$R23/5,"")</f>
        <v>1</v>
      </c>
      <c r="I20" s="108">
        <f>IF(AND($C20&lt;&gt;"",$E20&lt;&gt;"Full Refresher"),'G1 MT Reading Scoresheet'!$P23,"")</f>
        <v>50</v>
      </c>
      <c r="J20" s="109" t="str">
        <f>'G1 MT Reading Scoresheet'!$U23</f>
        <v>Reading At Grade Level</v>
      </c>
      <c r="K20" s="111" t="str">
        <f>IF('G1 MT Reading Scoresheet'!V23&lt;&gt;"",'G1 MT Reading Scoresheet'!V23,"")</f>
        <v/>
      </c>
    </row>
    <row r="21" spans="1:11">
      <c r="A21" s="91">
        <v>14</v>
      </c>
      <c r="B21" s="92">
        <f>IF('G1 MT Reading Scoresheet'!B24&lt;&gt;"",'G1 MT Reading Scoresheet'!B24,"")</f>
        <v>117441240034</v>
      </c>
      <c r="C21" s="93" t="str">
        <f>IF('G1 MT Reading Scoresheet'!C24&lt;&gt;"",'G1 MT Reading Scoresheet'!C24,"")</f>
        <v>MESIAS, SAVINNAH DOMINIQUE, GARDOSE</v>
      </c>
      <c r="D21" s="94" t="str">
        <f>IF('G1 MT Reading Scoresheet'!D24&lt;&gt;"",'G1 MT Reading Scoresheet'!D24,"")</f>
        <v>Female</v>
      </c>
      <c r="E21" s="95" t="str">
        <f>'G1 MT Reading Scoresheet'!J24</f>
        <v>Grade Ready</v>
      </c>
      <c r="F21" s="96">
        <f>IF($C21&lt;&gt;"",'G1 MT Reading Scoresheet'!$I24/30,"")</f>
        <v>1</v>
      </c>
      <c r="G21" s="96">
        <f>IF(AND($C21&lt;&gt;"",$E21&lt;&gt;"Full Refresher"),'G1 MT Reading Scoresheet'!$Q24,"")</f>
        <v>1</v>
      </c>
      <c r="H21" s="97">
        <f>IF(AND($C21&lt;&gt;"",$E21&lt;&gt;"Full Refresher"),'G1 MT Reading Scoresheet'!$R24/5,"")</f>
        <v>1</v>
      </c>
      <c r="I21" s="108">
        <f>IF(AND($C21&lt;&gt;"",$E21&lt;&gt;"Full Refresher"),'G1 MT Reading Scoresheet'!$P24,"")</f>
        <v>50</v>
      </c>
      <c r="J21" s="109" t="str">
        <f>'G1 MT Reading Scoresheet'!$U24</f>
        <v>Reading At Grade Level</v>
      </c>
      <c r="K21" s="110" t="str">
        <f>IF('G1 MT Reading Scoresheet'!V24&lt;&gt;"",'G1 MT Reading Scoresheet'!V24,"")</f>
        <v/>
      </c>
    </row>
    <row r="22" spans="1:11">
      <c r="A22" s="49">
        <v>15</v>
      </c>
      <c r="B22" s="98" t="str">
        <f>IF('G1 MT Reading Scoresheet'!B25&lt;&gt;"",'G1 MT Reading Scoresheet'!B25,"")</f>
        <v/>
      </c>
      <c r="C22" s="99" t="str">
        <f>IF('G1 MT Reading Scoresheet'!C25&lt;&gt;"",'G1 MT Reading Scoresheet'!C25,"")</f>
        <v/>
      </c>
      <c r="D22" s="100" t="str">
        <f>IF('G1 MT Reading Scoresheet'!D25&lt;&gt;"",'G1 MT Reading Scoresheet'!D25,"")</f>
        <v/>
      </c>
      <c r="E22" s="95" t="str">
        <f>'G1 MT Reading Scoresheet'!J25</f>
        <v/>
      </c>
      <c r="F22" s="96" t="str">
        <f>IF($C22&lt;&gt;"",'G1 MT Reading Scoresheet'!$I25/30,"")</f>
        <v/>
      </c>
      <c r="G22" s="96" t="str">
        <f>IF(AND($C22&lt;&gt;"",$E22&lt;&gt;"Full Refresher"),'G1 MT Reading Scoresheet'!$Q25,"")</f>
        <v/>
      </c>
      <c r="H22" s="97" t="str">
        <f>IF(AND($C22&lt;&gt;"",$E22&lt;&gt;"Full Refresher"),'G1 MT Reading Scoresheet'!$R25/5,"")</f>
        <v/>
      </c>
      <c r="I22" s="108" t="str">
        <f>IF(AND($C22&lt;&gt;"",$E22&lt;&gt;"Full Refresher"),'G1 MT Reading Scoresheet'!$P25,"")</f>
        <v/>
      </c>
      <c r="J22" s="109" t="str">
        <f>'G1 MT Reading Scoresheet'!$U25</f>
        <v/>
      </c>
      <c r="K22" s="111" t="str">
        <f>IF('G1 MT Reading Scoresheet'!V25&lt;&gt;"",'G1 MT Reading Scoresheet'!V25,"")</f>
        <v/>
      </c>
    </row>
    <row r="23" spans="1:11">
      <c r="A23" s="91">
        <v>16</v>
      </c>
      <c r="B23" s="92" t="str">
        <f>IF('G1 MT Reading Scoresheet'!B26&lt;&gt;"",'G1 MT Reading Scoresheet'!B26,"")</f>
        <v/>
      </c>
      <c r="C23" s="93" t="str">
        <f>IF('G1 MT Reading Scoresheet'!C26&lt;&gt;"",'G1 MT Reading Scoresheet'!C26,"")</f>
        <v/>
      </c>
      <c r="D23" s="94" t="str">
        <f>IF('G1 MT Reading Scoresheet'!D26&lt;&gt;"",'G1 MT Reading Scoresheet'!D26,"")</f>
        <v/>
      </c>
      <c r="E23" s="95" t="str">
        <f>'G1 MT Reading Scoresheet'!J26</f>
        <v/>
      </c>
      <c r="F23" s="96" t="str">
        <f>IF($C23&lt;&gt;"",'G1 MT Reading Scoresheet'!$I26/30,"")</f>
        <v/>
      </c>
      <c r="G23" s="96" t="str">
        <f>IF(AND($C23&lt;&gt;"",$E23&lt;&gt;"Full Refresher"),'G1 MT Reading Scoresheet'!$Q26,"")</f>
        <v/>
      </c>
      <c r="H23" s="97" t="str">
        <f>IF(AND($C23&lt;&gt;"",$E23&lt;&gt;"Full Refresher"),'G1 MT Reading Scoresheet'!$R26/5,"")</f>
        <v/>
      </c>
      <c r="I23" s="108" t="str">
        <f>IF(AND($C23&lt;&gt;"",$E23&lt;&gt;"Full Refresher"),'G1 MT Reading Scoresheet'!$P26,"")</f>
        <v/>
      </c>
      <c r="J23" s="109" t="str">
        <f>'G1 MT Reading Scoresheet'!$U26</f>
        <v/>
      </c>
      <c r="K23" s="110" t="str">
        <f>IF('G1 MT Reading Scoresheet'!V26&lt;&gt;"",'G1 MT Reading Scoresheet'!V26,"")</f>
        <v/>
      </c>
    </row>
    <row r="24" spans="1:11">
      <c r="A24" s="49">
        <v>17</v>
      </c>
      <c r="B24" s="98" t="str">
        <f>IF('G1 MT Reading Scoresheet'!B27&lt;&gt;"",'G1 MT Reading Scoresheet'!B27,"")</f>
        <v/>
      </c>
      <c r="C24" s="99" t="str">
        <f>IF('G1 MT Reading Scoresheet'!C27&lt;&gt;"",'G1 MT Reading Scoresheet'!C27,"")</f>
        <v/>
      </c>
      <c r="D24" s="100" t="str">
        <f>IF('G1 MT Reading Scoresheet'!D27&lt;&gt;"",'G1 MT Reading Scoresheet'!D27,"")</f>
        <v/>
      </c>
      <c r="E24" s="95" t="str">
        <f>'G1 MT Reading Scoresheet'!J27</f>
        <v/>
      </c>
      <c r="F24" s="96" t="str">
        <f>IF($C24&lt;&gt;"",'G1 MT Reading Scoresheet'!$I27/30,"")</f>
        <v/>
      </c>
      <c r="G24" s="96" t="str">
        <f>IF(AND($C24&lt;&gt;"",$E24&lt;&gt;"Full Refresher"),'G1 MT Reading Scoresheet'!$Q27,"")</f>
        <v/>
      </c>
      <c r="H24" s="97" t="str">
        <f>IF(AND($C24&lt;&gt;"",$E24&lt;&gt;"Full Refresher"),'G1 MT Reading Scoresheet'!$R27/5,"")</f>
        <v/>
      </c>
      <c r="I24" s="108" t="str">
        <f>IF(AND($C24&lt;&gt;"",$E24&lt;&gt;"Full Refresher"),'G1 MT Reading Scoresheet'!$P27,"")</f>
        <v/>
      </c>
      <c r="J24" s="109" t="str">
        <f>'G1 MT Reading Scoresheet'!$U27</f>
        <v/>
      </c>
      <c r="K24" s="111" t="str">
        <f>IF('G1 MT Reading Scoresheet'!V27&lt;&gt;"",'G1 MT Reading Scoresheet'!V27,"")</f>
        <v/>
      </c>
    </row>
    <row r="25" spans="1:11">
      <c r="A25" s="91">
        <v>18</v>
      </c>
      <c r="B25" s="92" t="str">
        <f>IF('G1 MT Reading Scoresheet'!B28&lt;&gt;"",'G1 MT Reading Scoresheet'!B28,"")</f>
        <v/>
      </c>
      <c r="C25" s="93" t="str">
        <f>IF('G1 MT Reading Scoresheet'!C28&lt;&gt;"",'G1 MT Reading Scoresheet'!C28,"")</f>
        <v/>
      </c>
      <c r="D25" s="94" t="str">
        <f>IF('G1 MT Reading Scoresheet'!D28&lt;&gt;"",'G1 MT Reading Scoresheet'!D28,"")</f>
        <v/>
      </c>
      <c r="E25" s="95" t="str">
        <f>'G1 MT Reading Scoresheet'!J28</f>
        <v/>
      </c>
      <c r="F25" s="96" t="str">
        <f>IF($C25&lt;&gt;"",'G1 MT Reading Scoresheet'!$I28/30,"")</f>
        <v/>
      </c>
      <c r="G25" s="96" t="str">
        <f>IF(AND($C25&lt;&gt;"",$E25&lt;&gt;"Full Refresher"),'G1 MT Reading Scoresheet'!$Q28,"")</f>
        <v/>
      </c>
      <c r="H25" s="97" t="str">
        <f>IF(AND($C25&lt;&gt;"",$E25&lt;&gt;"Full Refresher"),'G1 MT Reading Scoresheet'!$R28/5,"")</f>
        <v/>
      </c>
      <c r="I25" s="108" t="str">
        <f>IF(AND($C25&lt;&gt;"",$E25&lt;&gt;"Full Refresher"),'G1 MT Reading Scoresheet'!$P28,"")</f>
        <v/>
      </c>
      <c r="J25" s="109" t="str">
        <f>'G1 MT Reading Scoresheet'!$U28</f>
        <v/>
      </c>
      <c r="K25" s="110" t="str">
        <f>IF('G1 MT Reading Scoresheet'!V28&lt;&gt;"",'G1 MT Reading Scoresheet'!V28,"")</f>
        <v/>
      </c>
    </row>
    <row r="26" spans="1:11">
      <c r="A26" s="49">
        <v>19</v>
      </c>
      <c r="B26" s="98" t="str">
        <f>IF('G1 MT Reading Scoresheet'!B29&lt;&gt;"",'G1 MT Reading Scoresheet'!B29,"")</f>
        <v/>
      </c>
      <c r="C26" s="99" t="str">
        <f>IF('G1 MT Reading Scoresheet'!C29&lt;&gt;"",'G1 MT Reading Scoresheet'!C29,"")</f>
        <v/>
      </c>
      <c r="D26" s="100" t="str">
        <f>IF('G1 MT Reading Scoresheet'!D29&lt;&gt;"",'G1 MT Reading Scoresheet'!D29,"")</f>
        <v/>
      </c>
      <c r="E26" s="95" t="str">
        <f>'G1 MT Reading Scoresheet'!J29</f>
        <v/>
      </c>
      <c r="F26" s="96" t="str">
        <f>IF($C26&lt;&gt;"",'G1 MT Reading Scoresheet'!$I29/30,"")</f>
        <v/>
      </c>
      <c r="G26" s="96" t="str">
        <f>IF(AND($C26&lt;&gt;"",$E26&lt;&gt;"Full Refresher"),'G1 MT Reading Scoresheet'!$Q29,"")</f>
        <v/>
      </c>
      <c r="H26" s="97" t="str">
        <f>IF(AND($C26&lt;&gt;"",$E26&lt;&gt;"Full Refresher"),'G1 MT Reading Scoresheet'!$R29/5,"")</f>
        <v/>
      </c>
      <c r="I26" s="108" t="str">
        <f>IF(AND($C26&lt;&gt;"",$E26&lt;&gt;"Full Refresher"),'G1 MT Reading Scoresheet'!$P29,"")</f>
        <v/>
      </c>
      <c r="J26" s="109" t="str">
        <f>'G1 MT Reading Scoresheet'!$U29</f>
        <v/>
      </c>
      <c r="K26" s="111" t="str">
        <f>IF('G1 MT Reading Scoresheet'!V29&lt;&gt;"",'G1 MT Reading Scoresheet'!V29,"")</f>
        <v/>
      </c>
    </row>
    <row r="27" spans="1:11">
      <c r="A27" s="91">
        <v>20</v>
      </c>
      <c r="B27" s="92" t="str">
        <f>IF('G1 MT Reading Scoresheet'!B30&lt;&gt;"",'G1 MT Reading Scoresheet'!B30,"")</f>
        <v/>
      </c>
      <c r="C27" s="93" t="str">
        <f>IF('G1 MT Reading Scoresheet'!C30&lt;&gt;"",'G1 MT Reading Scoresheet'!C30,"")</f>
        <v/>
      </c>
      <c r="D27" s="94" t="str">
        <f>IF('G1 MT Reading Scoresheet'!D30&lt;&gt;"",'G1 MT Reading Scoresheet'!D30,"")</f>
        <v/>
      </c>
      <c r="E27" s="95" t="str">
        <f>'G1 MT Reading Scoresheet'!J30</f>
        <v/>
      </c>
      <c r="F27" s="96" t="str">
        <f>IF($C27&lt;&gt;"",'G1 MT Reading Scoresheet'!$I30/30,"")</f>
        <v/>
      </c>
      <c r="G27" s="96" t="str">
        <f>IF(AND($C27&lt;&gt;"",$E27&lt;&gt;"Full Refresher"),'G1 MT Reading Scoresheet'!$Q30,"")</f>
        <v/>
      </c>
      <c r="H27" s="97" t="str">
        <f>IF(AND($C27&lt;&gt;"",$E27&lt;&gt;"Full Refresher"),'G1 MT Reading Scoresheet'!$R30/5,"")</f>
        <v/>
      </c>
      <c r="I27" s="108" t="str">
        <f>IF(AND($C27&lt;&gt;"",$E27&lt;&gt;"Full Refresher"),'G1 MT Reading Scoresheet'!$P30,"")</f>
        <v/>
      </c>
      <c r="J27" s="109" t="str">
        <f>'G1 MT Reading Scoresheet'!$U30</f>
        <v/>
      </c>
      <c r="K27" s="110" t="str">
        <f>IF('G1 MT Reading Scoresheet'!V30&lt;&gt;"",'G1 MT Reading Scoresheet'!V30,"")</f>
        <v/>
      </c>
    </row>
    <row r="28" spans="1:11">
      <c r="A28" s="49">
        <v>21</v>
      </c>
      <c r="B28" s="98" t="str">
        <f>IF('G1 MT Reading Scoresheet'!B31&lt;&gt;"",'G1 MT Reading Scoresheet'!B31,"")</f>
        <v/>
      </c>
      <c r="C28" s="99" t="str">
        <f>IF('G1 MT Reading Scoresheet'!C31&lt;&gt;"",'G1 MT Reading Scoresheet'!C31,"")</f>
        <v/>
      </c>
      <c r="D28" s="100" t="str">
        <f>IF('G1 MT Reading Scoresheet'!D31&lt;&gt;"",'G1 MT Reading Scoresheet'!D31,"")</f>
        <v/>
      </c>
      <c r="E28" s="95" t="str">
        <f>'G1 MT Reading Scoresheet'!J31</f>
        <v/>
      </c>
      <c r="F28" s="96" t="str">
        <f>IF($C28&lt;&gt;"",'G1 MT Reading Scoresheet'!$I31/30,"")</f>
        <v/>
      </c>
      <c r="G28" s="96" t="str">
        <f>IF(AND($C28&lt;&gt;"",$E28&lt;&gt;"Full Refresher"),'G1 MT Reading Scoresheet'!$Q31,"")</f>
        <v/>
      </c>
      <c r="H28" s="97" t="str">
        <f>IF(AND($C28&lt;&gt;"",$E28&lt;&gt;"Full Refresher"),'G1 MT Reading Scoresheet'!$R31/5,"")</f>
        <v/>
      </c>
      <c r="I28" s="108" t="str">
        <f>IF(AND($C28&lt;&gt;"",$E28&lt;&gt;"Full Refresher"),'G1 MT Reading Scoresheet'!$P31,"")</f>
        <v/>
      </c>
      <c r="J28" s="109" t="str">
        <f>'G1 MT Reading Scoresheet'!$U31</f>
        <v/>
      </c>
      <c r="K28" s="111" t="str">
        <f>IF('G1 MT Reading Scoresheet'!V31&lt;&gt;"",'G1 MT Reading Scoresheet'!V31,"")</f>
        <v/>
      </c>
    </row>
    <row r="29" spans="1:11">
      <c r="A29" s="91">
        <v>22</v>
      </c>
      <c r="B29" s="92" t="str">
        <f>IF('G1 MT Reading Scoresheet'!B32&lt;&gt;"",'G1 MT Reading Scoresheet'!B32,"")</f>
        <v/>
      </c>
      <c r="C29" s="93" t="str">
        <f>IF('G1 MT Reading Scoresheet'!C32&lt;&gt;"",'G1 MT Reading Scoresheet'!C32,"")</f>
        <v/>
      </c>
      <c r="D29" s="94" t="str">
        <f>IF('G1 MT Reading Scoresheet'!D32&lt;&gt;"",'G1 MT Reading Scoresheet'!D32,"")</f>
        <v/>
      </c>
      <c r="E29" s="95" t="str">
        <f>'G1 MT Reading Scoresheet'!J32</f>
        <v/>
      </c>
      <c r="F29" s="96" t="str">
        <f>IF($C29&lt;&gt;"",'G1 MT Reading Scoresheet'!$I32/30,"")</f>
        <v/>
      </c>
      <c r="G29" s="96" t="str">
        <f>IF(AND($C29&lt;&gt;"",$E29&lt;&gt;"Full Refresher"),'G1 MT Reading Scoresheet'!$Q32,"")</f>
        <v/>
      </c>
      <c r="H29" s="97" t="str">
        <f>IF(AND($C29&lt;&gt;"",$E29&lt;&gt;"Full Refresher"),'G1 MT Reading Scoresheet'!$R32/5,"")</f>
        <v/>
      </c>
      <c r="I29" s="108" t="str">
        <f>IF(AND($C29&lt;&gt;"",$E29&lt;&gt;"Full Refresher"),'G1 MT Reading Scoresheet'!$P32,"")</f>
        <v/>
      </c>
      <c r="J29" s="109" t="str">
        <f>'G1 MT Reading Scoresheet'!$U32</f>
        <v/>
      </c>
      <c r="K29" s="110" t="str">
        <f>IF('G1 MT Reading Scoresheet'!V32&lt;&gt;"",'G1 MT Reading Scoresheet'!V32,"")</f>
        <v/>
      </c>
    </row>
    <row r="30" spans="1:11">
      <c r="A30" s="49">
        <v>23</v>
      </c>
      <c r="B30" s="98" t="str">
        <f>IF('G1 MT Reading Scoresheet'!B33&lt;&gt;"",'G1 MT Reading Scoresheet'!B33,"")</f>
        <v/>
      </c>
      <c r="C30" s="99" t="str">
        <f>IF('G1 MT Reading Scoresheet'!C33&lt;&gt;"",'G1 MT Reading Scoresheet'!C33,"")</f>
        <v/>
      </c>
      <c r="D30" s="100" t="str">
        <f>IF('G1 MT Reading Scoresheet'!D33&lt;&gt;"",'G1 MT Reading Scoresheet'!D33,"")</f>
        <v/>
      </c>
      <c r="E30" s="95" t="str">
        <f>'G1 MT Reading Scoresheet'!J33</f>
        <v/>
      </c>
      <c r="F30" s="96" t="str">
        <f>IF($C30&lt;&gt;"",'G1 MT Reading Scoresheet'!$I33/30,"")</f>
        <v/>
      </c>
      <c r="G30" s="96" t="str">
        <f>IF(AND($C30&lt;&gt;"",$E30&lt;&gt;"Full Refresher"),'G1 MT Reading Scoresheet'!$Q33,"")</f>
        <v/>
      </c>
      <c r="H30" s="97" t="str">
        <f>IF(AND($C30&lt;&gt;"",$E30&lt;&gt;"Full Refresher"),'G1 MT Reading Scoresheet'!$R33/5,"")</f>
        <v/>
      </c>
      <c r="I30" s="108" t="str">
        <f>IF(AND($C30&lt;&gt;"",$E30&lt;&gt;"Full Refresher"),'G1 MT Reading Scoresheet'!$P33,"")</f>
        <v/>
      </c>
      <c r="J30" s="109" t="str">
        <f>'G1 MT Reading Scoresheet'!$U33</f>
        <v/>
      </c>
      <c r="K30" s="111" t="str">
        <f>IF('G1 MT Reading Scoresheet'!V33&lt;&gt;"",'G1 MT Reading Scoresheet'!V33,"")</f>
        <v/>
      </c>
    </row>
    <row r="31" spans="1:11">
      <c r="A31" s="91">
        <v>24</v>
      </c>
      <c r="B31" s="92" t="str">
        <f>IF('G1 MT Reading Scoresheet'!B34&lt;&gt;"",'G1 MT Reading Scoresheet'!B34,"")</f>
        <v/>
      </c>
      <c r="C31" s="93" t="str">
        <f>IF('G1 MT Reading Scoresheet'!C34&lt;&gt;"",'G1 MT Reading Scoresheet'!C34,"")</f>
        <v/>
      </c>
      <c r="D31" s="94" t="str">
        <f>IF('G1 MT Reading Scoresheet'!D34&lt;&gt;"",'G1 MT Reading Scoresheet'!D34,"")</f>
        <v/>
      </c>
      <c r="E31" s="95" t="str">
        <f>'G1 MT Reading Scoresheet'!J34</f>
        <v/>
      </c>
      <c r="F31" s="96" t="str">
        <f>IF($C31&lt;&gt;"",'G1 MT Reading Scoresheet'!$I34/30,"")</f>
        <v/>
      </c>
      <c r="G31" s="96" t="str">
        <f>IF(AND($C31&lt;&gt;"",$E31&lt;&gt;"Full Refresher"),'G1 MT Reading Scoresheet'!$Q34,"")</f>
        <v/>
      </c>
      <c r="H31" s="97" t="str">
        <f>IF(AND($C31&lt;&gt;"",$E31&lt;&gt;"Full Refresher"),'G1 MT Reading Scoresheet'!$R34/5,"")</f>
        <v/>
      </c>
      <c r="I31" s="108" t="str">
        <f>IF(AND($C31&lt;&gt;"",$E31&lt;&gt;"Full Refresher"),'G1 MT Reading Scoresheet'!$P34,"")</f>
        <v/>
      </c>
      <c r="J31" s="109" t="str">
        <f>'G1 MT Reading Scoresheet'!$U34</f>
        <v/>
      </c>
      <c r="K31" s="110" t="str">
        <f>IF('G1 MT Reading Scoresheet'!V34&lt;&gt;"",'G1 MT Reading Scoresheet'!V34,"")</f>
        <v/>
      </c>
    </row>
    <row r="32" spans="1:11">
      <c r="A32" s="49">
        <v>25</v>
      </c>
      <c r="B32" s="98" t="str">
        <f>IF('G1 MT Reading Scoresheet'!B35&lt;&gt;"",'G1 MT Reading Scoresheet'!B35,"")</f>
        <v/>
      </c>
      <c r="C32" s="99" t="str">
        <f>IF('G1 MT Reading Scoresheet'!C35&lt;&gt;"",'G1 MT Reading Scoresheet'!C35,"")</f>
        <v/>
      </c>
      <c r="D32" s="100" t="str">
        <f>IF('G1 MT Reading Scoresheet'!D35&lt;&gt;"",'G1 MT Reading Scoresheet'!D35,"")</f>
        <v/>
      </c>
      <c r="E32" s="95" t="str">
        <f>'G1 MT Reading Scoresheet'!J35</f>
        <v/>
      </c>
      <c r="F32" s="96" t="str">
        <f>IF($C32&lt;&gt;"",'G1 MT Reading Scoresheet'!$I35/30,"")</f>
        <v/>
      </c>
      <c r="G32" s="96" t="str">
        <f>IF(AND($C32&lt;&gt;"",$E32&lt;&gt;"Full Refresher"),'G1 MT Reading Scoresheet'!$Q35,"")</f>
        <v/>
      </c>
      <c r="H32" s="97" t="str">
        <f>IF(AND($C32&lt;&gt;"",$E32&lt;&gt;"Full Refresher"),'G1 MT Reading Scoresheet'!$R35/5,"")</f>
        <v/>
      </c>
      <c r="I32" s="108" t="str">
        <f>IF(AND($C32&lt;&gt;"",$E32&lt;&gt;"Full Refresher"),'G1 MT Reading Scoresheet'!$P35,"")</f>
        <v/>
      </c>
      <c r="J32" s="109" t="str">
        <f>'G1 MT Reading Scoresheet'!$U35</f>
        <v/>
      </c>
      <c r="K32" s="111" t="str">
        <f>IF('G1 MT Reading Scoresheet'!V35&lt;&gt;"",'G1 MT Reading Scoresheet'!V35,"")</f>
        <v/>
      </c>
    </row>
    <row r="33" spans="1:11">
      <c r="A33" s="91">
        <v>26</v>
      </c>
      <c r="B33" s="92" t="str">
        <f>IF('G1 MT Reading Scoresheet'!B36&lt;&gt;"",'G1 MT Reading Scoresheet'!B36,"")</f>
        <v/>
      </c>
      <c r="C33" s="93" t="str">
        <f>IF('G1 MT Reading Scoresheet'!C36&lt;&gt;"",'G1 MT Reading Scoresheet'!C36,"")</f>
        <v/>
      </c>
      <c r="D33" s="94" t="str">
        <f>IF('G1 MT Reading Scoresheet'!D36&lt;&gt;"",'G1 MT Reading Scoresheet'!D36,"")</f>
        <v/>
      </c>
      <c r="E33" s="95" t="str">
        <f>'G1 MT Reading Scoresheet'!J36</f>
        <v/>
      </c>
      <c r="F33" s="96" t="str">
        <f>IF($C33&lt;&gt;"",'G1 MT Reading Scoresheet'!$I36/30,"")</f>
        <v/>
      </c>
      <c r="G33" s="96" t="str">
        <f>IF(AND($C33&lt;&gt;"",$E33&lt;&gt;"Full Refresher"),'G1 MT Reading Scoresheet'!$Q36,"")</f>
        <v/>
      </c>
      <c r="H33" s="97" t="str">
        <f>IF(AND($C33&lt;&gt;"",$E33&lt;&gt;"Full Refresher"),'G1 MT Reading Scoresheet'!$R36/5,"")</f>
        <v/>
      </c>
      <c r="I33" s="108" t="str">
        <f>IF(AND($C33&lt;&gt;"",$E33&lt;&gt;"Full Refresher"),'G1 MT Reading Scoresheet'!$P36,"")</f>
        <v/>
      </c>
      <c r="J33" s="109" t="str">
        <f>'G1 MT Reading Scoresheet'!$U36</f>
        <v/>
      </c>
      <c r="K33" s="110" t="str">
        <f>IF('G1 MT Reading Scoresheet'!V36&lt;&gt;"",'G1 MT Reading Scoresheet'!V36,"")</f>
        <v/>
      </c>
    </row>
    <row r="34" spans="1:11">
      <c r="A34" s="49">
        <v>27</v>
      </c>
      <c r="B34" s="98" t="str">
        <f>IF('G1 MT Reading Scoresheet'!B37&lt;&gt;"",'G1 MT Reading Scoresheet'!B37,"")</f>
        <v/>
      </c>
      <c r="C34" s="99" t="str">
        <f>IF('G1 MT Reading Scoresheet'!C37&lt;&gt;"",'G1 MT Reading Scoresheet'!C37,"")</f>
        <v/>
      </c>
      <c r="D34" s="100" t="str">
        <f>IF('G1 MT Reading Scoresheet'!D37&lt;&gt;"",'G1 MT Reading Scoresheet'!D37,"")</f>
        <v/>
      </c>
      <c r="E34" s="95" t="str">
        <f>'G1 MT Reading Scoresheet'!J37</f>
        <v/>
      </c>
      <c r="F34" s="96" t="str">
        <f>IF($C34&lt;&gt;"",'G1 MT Reading Scoresheet'!$I37/30,"")</f>
        <v/>
      </c>
      <c r="G34" s="96" t="str">
        <f>IF(AND($C34&lt;&gt;"",$E34&lt;&gt;"Full Refresher"),'G1 MT Reading Scoresheet'!$Q37,"")</f>
        <v/>
      </c>
      <c r="H34" s="97" t="str">
        <f>IF(AND($C34&lt;&gt;"",$E34&lt;&gt;"Full Refresher"),'G1 MT Reading Scoresheet'!$R37/5,"")</f>
        <v/>
      </c>
      <c r="I34" s="108" t="str">
        <f>IF(AND($C34&lt;&gt;"",$E34&lt;&gt;"Full Refresher"),'G1 MT Reading Scoresheet'!$P37,"")</f>
        <v/>
      </c>
      <c r="J34" s="109" t="str">
        <f>'G1 MT Reading Scoresheet'!$U37</f>
        <v/>
      </c>
      <c r="K34" s="111" t="str">
        <f>IF('G1 MT Reading Scoresheet'!V37&lt;&gt;"",'G1 MT Reading Scoresheet'!V37,"")</f>
        <v/>
      </c>
    </row>
    <row r="35" spans="1:11">
      <c r="A35" s="91">
        <v>28</v>
      </c>
      <c r="B35" s="92" t="str">
        <f>IF('G1 MT Reading Scoresheet'!B38&lt;&gt;"",'G1 MT Reading Scoresheet'!B38,"")</f>
        <v/>
      </c>
      <c r="C35" s="93" t="str">
        <f>IF('G1 MT Reading Scoresheet'!C38&lt;&gt;"",'G1 MT Reading Scoresheet'!C38,"")</f>
        <v/>
      </c>
      <c r="D35" s="94" t="str">
        <f>IF('G1 MT Reading Scoresheet'!D38&lt;&gt;"",'G1 MT Reading Scoresheet'!D38,"")</f>
        <v/>
      </c>
      <c r="E35" s="95" t="str">
        <f>'G1 MT Reading Scoresheet'!J38</f>
        <v/>
      </c>
      <c r="F35" s="96" t="str">
        <f>IF($C35&lt;&gt;"",'G1 MT Reading Scoresheet'!$I38/30,"")</f>
        <v/>
      </c>
      <c r="G35" s="96" t="str">
        <f>IF(AND($C35&lt;&gt;"",$E35&lt;&gt;"Full Refresher"),'G1 MT Reading Scoresheet'!$Q38,"")</f>
        <v/>
      </c>
      <c r="H35" s="97" t="str">
        <f>IF(AND($C35&lt;&gt;"",$E35&lt;&gt;"Full Refresher"),'G1 MT Reading Scoresheet'!$R38/5,"")</f>
        <v/>
      </c>
      <c r="I35" s="108" t="str">
        <f>IF(AND($C35&lt;&gt;"",$E35&lt;&gt;"Full Refresher"),'G1 MT Reading Scoresheet'!$P38,"")</f>
        <v/>
      </c>
      <c r="J35" s="109" t="str">
        <f>'G1 MT Reading Scoresheet'!$U38</f>
        <v/>
      </c>
      <c r="K35" s="110" t="str">
        <f>IF('G1 MT Reading Scoresheet'!V38&lt;&gt;"",'G1 MT Reading Scoresheet'!V38,"")</f>
        <v/>
      </c>
    </row>
    <row r="36" spans="1:11">
      <c r="A36" s="49">
        <v>29</v>
      </c>
      <c r="B36" s="98" t="str">
        <f>IF('G1 MT Reading Scoresheet'!B39&lt;&gt;"",'G1 MT Reading Scoresheet'!B39,"")</f>
        <v/>
      </c>
      <c r="C36" s="99" t="str">
        <f>IF('G1 MT Reading Scoresheet'!C39&lt;&gt;"",'G1 MT Reading Scoresheet'!C39,"")</f>
        <v/>
      </c>
      <c r="D36" s="100" t="str">
        <f>IF('G1 MT Reading Scoresheet'!D39&lt;&gt;"",'G1 MT Reading Scoresheet'!D39,"")</f>
        <v/>
      </c>
      <c r="E36" s="95" t="str">
        <f>'G1 MT Reading Scoresheet'!J39</f>
        <v/>
      </c>
      <c r="F36" s="96" t="str">
        <f>IF($C36&lt;&gt;"",'G1 MT Reading Scoresheet'!$I39/30,"")</f>
        <v/>
      </c>
      <c r="G36" s="96" t="str">
        <f>IF(AND($C36&lt;&gt;"",$E36&lt;&gt;"Full Refresher"),'G1 MT Reading Scoresheet'!$Q39,"")</f>
        <v/>
      </c>
      <c r="H36" s="97" t="str">
        <f>IF(AND($C36&lt;&gt;"",$E36&lt;&gt;"Full Refresher"),'G1 MT Reading Scoresheet'!$R39/5,"")</f>
        <v/>
      </c>
      <c r="I36" s="108" t="str">
        <f>IF(AND($C36&lt;&gt;"",$E36&lt;&gt;"Full Refresher"),'G1 MT Reading Scoresheet'!$P39,"")</f>
        <v/>
      </c>
      <c r="J36" s="109" t="str">
        <f>'G1 MT Reading Scoresheet'!$U39</f>
        <v/>
      </c>
      <c r="K36" s="111" t="str">
        <f>IF('G1 MT Reading Scoresheet'!V39&lt;&gt;"",'G1 MT Reading Scoresheet'!V39,"")</f>
        <v/>
      </c>
    </row>
    <row r="37" spans="1:11">
      <c r="A37" s="91">
        <v>30</v>
      </c>
      <c r="B37" s="92" t="str">
        <f>IF('G1 MT Reading Scoresheet'!B40&lt;&gt;"",'G1 MT Reading Scoresheet'!B40,"")</f>
        <v/>
      </c>
      <c r="C37" s="93" t="str">
        <f>IF('G1 MT Reading Scoresheet'!C40&lt;&gt;"",'G1 MT Reading Scoresheet'!C40,"")</f>
        <v/>
      </c>
      <c r="D37" s="94" t="str">
        <f>IF('G1 MT Reading Scoresheet'!D40&lt;&gt;"",'G1 MT Reading Scoresheet'!D40,"")</f>
        <v/>
      </c>
      <c r="E37" s="95" t="str">
        <f>'G1 MT Reading Scoresheet'!J40</f>
        <v/>
      </c>
      <c r="F37" s="96" t="str">
        <f>IF($C37&lt;&gt;"",'G1 MT Reading Scoresheet'!$I40/30,"")</f>
        <v/>
      </c>
      <c r="G37" s="96" t="str">
        <f>IF(AND($C37&lt;&gt;"",$E37&lt;&gt;"Full Refresher"),'G1 MT Reading Scoresheet'!$Q40,"")</f>
        <v/>
      </c>
      <c r="H37" s="97" t="str">
        <f>IF(AND($C37&lt;&gt;"",$E37&lt;&gt;"Full Refresher"),'G1 MT Reading Scoresheet'!$R40/5,"")</f>
        <v/>
      </c>
      <c r="I37" s="108" t="str">
        <f>IF(AND($C37&lt;&gt;"",$E37&lt;&gt;"Full Refresher"),'G1 MT Reading Scoresheet'!$P40,"")</f>
        <v/>
      </c>
      <c r="J37" s="109" t="str">
        <f>'G1 MT Reading Scoresheet'!$U40</f>
        <v/>
      </c>
      <c r="K37" s="110" t="str">
        <f>IF('G1 MT Reading Scoresheet'!V40&lt;&gt;"",'G1 MT Reading Scoresheet'!V40,"")</f>
        <v/>
      </c>
    </row>
    <row r="38" spans="1:11">
      <c r="A38" s="49">
        <v>31</v>
      </c>
      <c r="B38" s="98" t="str">
        <f>IF('G1 MT Reading Scoresheet'!B41&lt;&gt;"",'G1 MT Reading Scoresheet'!B41,"")</f>
        <v/>
      </c>
      <c r="C38" s="99" t="str">
        <f>IF('G1 MT Reading Scoresheet'!C41&lt;&gt;"",'G1 MT Reading Scoresheet'!C41,"")</f>
        <v/>
      </c>
      <c r="D38" s="100" t="str">
        <f>IF('G1 MT Reading Scoresheet'!D41&lt;&gt;"",'G1 MT Reading Scoresheet'!D41,"")</f>
        <v/>
      </c>
      <c r="E38" s="95" t="str">
        <f>'G1 MT Reading Scoresheet'!J41</f>
        <v/>
      </c>
      <c r="F38" s="96" t="str">
        <f>IF($C38&lt;&gt;"",'G1 MT Reading Scoresheet'!$I41/30,"")</f>
        <v/>
      </c>
      <c r="G38" s="96" t="str">
        <f>IF(AND($C38&lt;&gt;"",$E38&lt;&gt;"Full Refresher"),'G1 MT Reading Scoresheet'!$Q41,"")</f>
        <v/>
      </c>
      <c r="H38" s="97" t="str">
        <f>IF(AND($C38&lt;&gt;"",$E38&lt;&gt;"Full Refresher"),'G1 MT Reading Scoresheet'!$R41/5,"")</f>
        <v/>
      </c>
      <c r="I38" s="108" t="str">
        <f>IF(AND($C38&lt;&gt;"",$E38&lt;&gt;"Full Refresher"),'G1 MT Reading Scoresheet'!$P41,"")</f>
        <v/>
      </c>
      <c r="J38" s="109" t="str">
        <f>'G1 MT Reading Scoresheet'!$U41</f>
        <v/>
      </c>
      <c r="K38" s="111" t="str">
        <f>IF('G1 MT Reading Scoresheet'!V41&lt;&gt;"",'G1 MT Reading Scoresheet'!V41,"")</f>
        <v/>
      </c>
    </row>
    <row r="39" spans="1:11">
      <c r="A39" s="91">
        <v>32</v>
      </c>
      <c r="B39" s="92" t="str">
        <f>IF('G1 MT Reading Scoresheet'!B42&lt;&gt;"",'G1 MT Reading Scoresheet'!B42,"")</f>
        <v/>
      </c>
      <c r="C39" s="93" t="str">
        <f>IF('G1 MT Reading Scoresheet'!C42&lt;&gt;"",'G1 MT Reading Scoresheet'!C42,"")</f>
        <v/>
      </c>
      <c r="D39" s="94" t="str">
        <f>IF('G1 MT Reading Scoresheet'!D42&lt;&gt;"",'G1 MT Reading Scoresheet'!D42,"")</f>
        <v/>
      </c>
      <c r="E39" s="95" t="str">
        <f>'G1 MT Reading Scoresheet'!J42</f>
        <v/>
      </c>
      <c r="F39" s="96" t="str">
        <f>IF($C39&lt;&gt;"",'G1 MT Reading Scoresheet'!$I42/30,"")</f>
        <v/>
      </c>
      <c r="G39" s="96" t="str">
        <f>IF(AND($C39&lt;&gt;"",$E39&lt;&gt;"Full Refresher"),'G1 MT Reading Scoresheet'!$Q42,"")</f>
        <v/>
      </c>
      <c r="H39" s="97" t="str">
        <f>IF(AND($C39&lt;&gt;"",$E39&lt;&gt;"Full Refresher"),'G1 MT Reading Scoresheet'!$R42/5,"")</f>
        <v/>
      </c>
      <c r="I39" s="108" t="str">
        <f>IF(AND($C39&lt;&gt;"",$E39&lt;&gt;"Full Refresher"),'G1 MT Reading Scoresheet'!$P42,"")</f>
        <v/>
      </c>
      <c r="J39" s="109" t="str">
        <f>'G1 MT Reading Scoresheet'!$U42</f>
        <v/>
      </c>
      <c r="K39" s="110" t="str">
        <f>IF('G1 MT Reading Scoresheet'!V42&lt;&gt;"",'G1 MT Reading Scoresheet'!V42,"")</f>
        <v/>
      </c>
    </row>
    <row r="40" spans="1:11">
      <c r="A40" s="49">
        <v>33</v>
      </c>
      <c r="B40" s="98" t="str">
        <f>IF('G1 MT Reading Scoresheet'!B43&lt;&gt;"",'G1 MT Reading Scoresheet'!B43,"")</f>
        <v/>
      </c>
      <c r="C40" s="99" t="str">
        <f>IF('G1 MT Reading Scoresheet'!C43&lt;&gt;"",'G1 MT Reading Scoresheet'!C43,"")</f>
        <v/>
      </c>
      <c r="D40" s="100" t="str">
        <f>IF('G1 MT Reading Scoresheet'!D43&lt;&gt;"",'G1 MT Reading Scoresheet'!D43,"")</f>
        <v/>
      </c>
      <c r="E40" s="95" t="str">
        <f>'G1 MT Reading Scoresheet'!J43</f>
        <v/>
      </c>
      <c r="F40" s="96" t="str">
        <f>IF($C40&lt;&gt;"",'G1 MT Reading Scoresheet'!$I43/30,"")</f>
        <v/>
      </c>
      <c r="G40" s="96" t="str">
        <f>IF(AND($C40&lt;&gt;"",$E40&lt;&gt;"Full Refresher"),'G1 MT Reading Scoresheet'!$Q43,"")</f>
        <v/>
      </c>
      <c r="H40" s="97" t="str">
        <f>IF(AND($C40&lt;&gt;"",$E40&lt;&gt;"Full Refresher"),'G1 MT Reading Scoresheet'!$R43/5,"")</f>
        <v/>
      </c>
      <c r="I40" s="108" t="str">
        <f>IF(AND($C40&lt;&gt;"",$E40&lt;&gt;"Full Refresher"),'G1 MT Reading Scoresheet'!$P43,"")</f>
        <v/>
      </c>
      <c r="J40" s="109" t="str">
        <f>'G1 MT Reading Scoresheet'!$U43</f>
        <v/>
      </c>
      <c r="K40" s="111" t="str">
        <f>IF('G1 MT Reading Scoresheet'!V43&lt;&gt;"",'G1 MT Reading Scoresheet'!V43,"")</f>
        <v/>
      </c>
    </row>
    <row r="41" spans="1:11">
      <c r="A41" s="91">
        <v>34</v>
      </c>
      <c r="B41" s="92" t="str">
        <f>IF('G1 MT Reading Scoresheet'!B44&lt;&gt;"",'G1 MT Reading Scoresheet'!B44,"")</f>
        <v/>
      </c>
      <c r="C41" s="93" t="str">
        <f>IF('G1 MT Reading Scoresheet'!C44&lt;&gt;"",'G1 MT Reading Scoresheet'!C44,"")</f>
        <v/>
      </c>
      <c r="D41" s="94" t="str">
        <f>IF('G1 MT Reading Scoresheet'!D44&lt;&gt;"",'G1 MT Reading Scoresheet'!D44,"")</f>
        <v/>
      </c>
      <c r="E41" s="95" t="str">
        <f>'G1 MT Reading Scoresheet'!J44</f>
        <v/>
      </c>
      <c r="F41" s="96" t="str">
        <f>IF($C41&lt;&gt;"",'G1 MT Reading Scoresheet'!$I44/30,"")</f>
        <v/>
      </c>
      <c r="G41" s="96" t="str">
        <f>IF(AND($C41&lt;&gt;"",$E41&lt;&gt;"Full Refresher"),'G1 MT Reading Scoresheet'!$Q44,"")</f>
        <v/>
      </c>
      <c r="H41" s="97" t="str">
        <f>IF(AND($C41&lt;&gt;"",$E41&lt;&gt;"Full Refresher"),'G1 MT Reading Scoresheet'!$R44/5,"")</f>
        <v/>
      </c>
      <c r="I41" s="108" t="str">
        <f>IF(AND($C41&lt;&gt;"",$E41&lt;&gt;"Full Refresher"),'G1 MT Reading Scoresheet'!$P44,"")</f>
        <v/>
      </c>
      <c r="J41" s="109" t="str">
        <f>'G1 MT Reading Scoresheet'!$U44</f>
        <v/>
      </c>
      <c r="K41" s="110" t="str">
        <f>IF('G1 MT Reading Scoresheet'!V44&lt;&gt;"",'G1 MT Reading Scoresheet'!V44,"")</f>
        <v/>
      </c>
    </row>
    <row r="42" spans="1:11">
      <c r="A42" s="49">
        <v>35</v>
      </c>
      <c r="B42" s="98" t="str">
        <f>IF('G1 MT Reading Scoresheet'!B45&lt;&gt;"",'G1 MT Reading Scoresheet'!B45,"")</f>
        <v/>
      </c>
      <c r="C42" s="99" t="str">
        <f>IF('G1 MT Reading Scoresheet'!C45&lt;&gt;"",'G1 MT Reading Scoresheet'!C45,"")</f>
        <v/>
      </c>
      <c r="D42" s="100" t="str">
        <f>IF('G1 MT Reading Scoresheet'!D45&lt;&gt;"",'G1 MT Reading Scoresheet'!D45,"")</f>
        <v/>
      </c>
      <c r="E42" s="95" t="str">
        <f>'G1 MT Reading Scoresheet'!J45</f>
        <v/>
      </c>
      <c r="F42" s="96" t="str">
        <f>IF($C42&lt;&gt;"",'G1 MT Reading Scoresheet'!$I45/30,"")</f>
        <v/>
      </c>
      <c r="G42" s="96" t="str">
        <f>IF(AND($C42&lt;&gt;"",$E42&lt;&gt;"Full Refresher"),'G1 MT Reading Scoresheet'!$Q45,"")</f>
        <v/>
      </c>
      <c r="H42" s="97" t="str">
        <f>IF(AND($C42&lt;&gt;"",$E42&lt;&gt;"Full Refresher"),'G1 MT Reading Scoresheet'!$R45/5,"")</f>
        <v/>
      </c>
      <c r="I42" s="108" t="str">
        <f>IF(AND($C42&lt;&gt;"",$E42&lt;&gt;"Full Refresher"),'G1 MT Reading Scoresheet'!$P45,"")</f>
        <v/>
      </c>
      <c r="J42" s="109" t="str">
        <f>'G1 MT Reading Scoresheet'!$U45</f>
        <v/>
      </c>
      <c r="K42" s="111" t="str">
        <f>IF('G1 MT Reading Scoresheet'!V45&lt;&gt;"",'G1 MT Reading Scoresheet'!V45,"")</f>
        <v/>
      </c>
    </row>
    <row r="43" spans="1:11">
      <c r="A43" s="91">
        <v>36</v>
      </c>
      <c r="B43" s="92" t="str">
        <f>IF('G1 MT Reading Scoresheet'!B46&lt;&gt;"",'G1 MT Reading Scoresheet'!B46,"")</f>
        <v/>
      </c>
      <c r="C43" s="93" t="str">
        <f>IF('G1 MT Reading Scoresheet'!C46&lt;&gt;"",'G1 MT Reading Scoresheet'!C46,"")</f>
        <v/>
      </c>
      <c r="D43" s="94" t="str">
        <f>IF('G1 MT Reading Scoresheet'!D46&lt;&gt;"",'G1 MT Reading Scoresheet'!D46,"")</f>
        <v/>
      </c>
      <c r="E43" s="95" t="str">
        <f>'G1 MT Reading Scoresheet'!J46</f>
        <v/>
      </c>
      <c r="F43" s="96" t="str">
        <f>IF($C43&lt;&gt;"",'G1 MT Reading Scoresheet'!$I46/30,"")</f>
        <v/>
      </c>
      <c r="G43" s="96" t="str">
        <f>IF(AND($C43&lt;&gt;"",$E43&lt;&gt;"Full Refresher"),'G1 MT Reading Scoresheet'!$Q46,"")</f>
        <v/>
      </c>
      <c r="H43" s="97" t="str">
        <f>IF(AND($C43&lt;&gt;"",$E43&lt;&gt;"Full Refresher"),'G1 MT Reading Scoresheet'!$R46/5,"")</f>
        <v/>
      </c>
      <c r="I43" s="108" t="str">
        <f>IF(AND($C43&lt;&gt;"",$E43&lt;&gt;"Full Refresher"),'G1 MT Reading Scoresheet'!$P46,"")</f>
        <v/>
      </c>
      <c r="J43" s="109" t="str">
        <f>'G1 MT Reading Scoresheet'!$U46</f>
        <v/>
      </c>
      <c r="K43" s="110" t="str">
        <f>IF('G1 MT Reading Scoresheet'!V46&lt;&gt;"",'G1 MT Reading Scoresheet'!V46,"")</f>
        <v/>
      </c>
    </row>
    <row r="44" spans="1:11">
      <c r="A44" s="49">
        <v>37</v>
      </c>
      <c r="B44" s="98" t="str">
        <f>IF('G1 MT Reading Scoresheet'!B47&lt;&gt;"",'G1 MT Reading Scoresheet'!B47,"")</f>
        <v/>
      </c>
      <c r="C44" s="99" t="str">
        <f>IF('G1 MT Reading Scoresheet'!C47&lt;&gt;"",'G1 MT Reading Scoresheet'!C47,"")</f>
        <v/>
      </c>
      <c r="D44" s="100" t="str">
        <f>IF('G1 MT Reading Scoresheet'!D47&lt;&gt;"",'G1 MT Reading Scoresheet'!D47,"")</f>
        <v/>
      </c>
      <c r="E44" s="95" t="str">
        <f>'G1 MT Reading Scoresheet'!J47</f>
        <v/>
      </c>
      <c r="F44" s="96" t="str">
        <f>IF($C44&lt;&gt;"",'G1 MT Reading Scoresheet'!$I47/30,"")</f>
        <v/>
      </c>
      <c r="G44" s="96" t="str">
        <f>IF(AND($C44&lt;&gt;"",$E44&lt;&gt;"Full Refresher"),'G1 MT Reading Scoresheet'!$Q47,"")</f>
        <v/>
      </c>
      <c r="H44" s="97" t="str">
        <f>IF(AND($C44&lt;&gt;"",$E44&lt;&gt;"Full Refresher"),'G1 MT Reading Scoresheet'!$R47/5,"")</f>
        <v/>
      </c>
      <c r="I44" s="108" t="str">
        <f>IF(AND($C44&lt;&gt;"",$E44&lt;&gt;"Full Refresher"),'G1 MT Reading Scoresheet'!$P47,"")</f>
        <v/>
      </c>
      <c r="J44" s="109" t="str">
        <f>'G1 MT Reading Scoresheet'!$U47</f>
        <v/>
      </c>
      <c r="K44" s="111" t="str">
        <f>IF('G1 MT Reading Scoresheet'!V47&lt;&gt;"",'G1 MT Reading Scoresheet'!V47,"")</f>
        <v/>
      </c>
    </row>
    <row r="45" spans="1:11">
      <c r="A45" s="91">
        <v>38</v>
      </c>
      <c r="B45" s="92" t="str">
        <f>IF('G1 MT Reading Scoresheet'!B48&lt;&gt;"",'G1 MT Reading Scoresheet'!B48,"")</f>
        <v/>
      </c>
      <c r="C45" s="93" t="str">
        <f>IF('G1 MT Reading Scoresheet'!C48&lt;&gt;"",'G1 MT Reading Scoresheet'!C48,"")</f>
        <v/>
      </c>
      <c r="D45" s="94" t="str">
        <f>IF('G1 MT Reading Scoresheet'!D48&lt;&gt;"",'G1 MT Reading Scoresheet'!D48,"")</f>
        <v/>
      </c>
      <c r="E45" s="95" t="str">
        <f>'G1 MT Reading Scoresheet'!J48</f>
        <v/>
      </c>
      <c r="F45" s="96" t="str">
        <f>IF($C45&lt;&gt;"",'G1 MT Reading Scoresheet'!$I48/30,"")</f>
        <v/>
      </c>
      <c r="G45" s="96" t="str">
        <f>IF(AND($C45&lt;&gt;"",$E45&lt;&gt;"Full Refresher"),'G1 MT Reading Scoresheet'!$Q48,"")</f>
        <v/>
      </c>
      <c r="H45" s="97" t="str">
        <f>IF(AND($C45&lt;&gt;"",$E45&lt;&gt;"Full Refresher"),'G1 MT Reading Scoresheet'!$R48/5,"")</f>
        <v/>
      </c>
      <c r="I45" s="108" t="str">
        <f>IF(AND($C45&lt;&gt;"",$E45&lt;&gt;"Full Refresher"),'G1 MT Reading Scoresheet'!$P48,"")</f>
        <v/>
      </c>
      <c r="J45" s="109" t="str">
        <f>'G1 MT Reading Scoresheet'!$U48</f>
        <v/>
      </c>
      <c r="K45" s="110" t="str">
        <f>IF('G1 MT Reading Scoresheet'!V48&lt;&gt;"",'G1 MT Reading Scoresheet'!V48,"")</f>
        <v/>
      </c>
    </row>
    <row r="46" spans="1:11">
      <c r="A46" s="49">
        <v>39</v>
      </c>
      <c r="B46" s="98" t="str">
        <f>IF('G1 MT Reading Scoresheet'!B49&lt;&gt;"",'G1 MT Reading Scoresheet'!B49,"")</f>
        <v/>
      </c>
      <c r="C46" s="99" t="str">
        <f>IF('G1 MT Reading Scoresheet'!C49&lt;&gt;"",'G1 MT Reading Scoresheet'!C49,"")</f>
        <v/>
      </c>
      <c r="D46" s="100" t="str">
        <f>IF('G1 MT Reading Scoresheet'!D49&lt;&gt;"",'G1 MT Reading Scoresheet'!D49,"")</f>
        <v/>
      </c>
      <c r="E46" s="95" t="str">
        <f>'G1 MT Reading Scoresheet'!J49</f>
        <v/>
      </c>
      <c r="F46" s="96" t="str">
        <f>IF($C46&lt;&gt;"",'G1 MT Reading Scoresheet'!$I49/30,"")</f>
        <v/>
      </c>
      <c r="G46" s="96" t="str">
        <f>IF(AND($C46&lt;&gt;"",$E46&lt;&gt;"Full Refresher"),'G1 MT Reading Scoresheet'!$Q49,"")</f>
        <v/>
      </c>
      <c r="H46" s="97" t="str">
        <f>IF(AND($C46&lt;&gt;"",$E46&lt;&gt;"Full Refresher"),'G1 MT Reading Scoresheet'!$R49/5,"")</f>
        <v/>
      </c>
      <c r="I46" s="108" t="str">
        <f>IF(AND($C46&lt;&gt;"",$E46&lt;&gt;"Full Refresher"),'G1 MT Reading Scoresheet'!$P49,"")</f>
        <v/>
      </c>
      <c r="J46" s="109" t="str">
        <f>'G1 MT Reading Scoresheet'!$U49</f>
        <v/>
      </c>
      <c r="K46" s="111" t="str">
        <f>IF('G1 MT Reading Scoresheet'!V49&lt;&gt;"",'G1 MT Reading Scoresheet'!V49,"")</f>
        <v/>
      </c>
    </row>
    <row r="47" spans="1:11">
      <c r="A47" s="91">
        <v>40</v>
      </c>
      <c r="B47" s="92" t="str">
        <f>IF('G1 MT Reading Scoresheet'!B50&lt;&gt;"",'G1 MT Reading Scoresheet'!B50,"")</f>
        <v/>
      </c>
      <c r="C47" s="93" t="str">
        <f>IF('G1 MT Reading Scoresheet'!C50&lt;&gt;"",'G1 MT Reading Scoresheet'!C50,"")</f>
        <v/>
      </c>
      <c r="D47" s="94" t="str">
        <f>IF('G1 MT Reading Scoresheet'!D50&lt;&gt;"",'G1 MT Reading Scoresheet'!D50,"")</f>
        <v/>
      </c>
      <c r="E47" s="95" t="str">
        <f>'G1 MT Reading Scoresheet'!J50</f>
        <v/>
      </c>
      <c r="F47" s="96" t="str">
        <f>IF($C47&lt;&gt;"",'G1 MT Reading Scoresheet'!$I50/30,"")</f>
        <v/>
      </c>
      <c r="G47" s="96" t="str">
        <f>IF(AND($C47&lt;&gt;"",$E47&lt;&gt;"Full Refresher"),'G1 MT Reading Scoresheet'!$Q50,"")</f>
        <v/>
      </c>
      <c r="H47" s="97" t="str">
        <f>IF(AND($C47&lt;&gt;"",$E47&lt;&gt;"Full Refresher"),'G1 MT Reading Scoresheet'!$R50/5,"")</f>
        <v/>
      </c>
      <c r="I47" s="108" t="str">
        <f>IF(AND($C47&lt;&gt;"",$E47&lt;&gt;"Full Refresher"),'G1 MT Reading Scoresheet'!$P50,"")</f>
        <v/>
      </c>
      <c r="J47" s="109" t="str">
        <f>'G1 MT Reading Scoresheet'!$U50</f>
        <v/>
      </c>
      <c r="K47" s="110" t="str">
        <f>IF('G1 MT Reading Scoresheet'!V50&lt;&gt;"",'G1 MT Reading Scoresheet'!V50,"")</f>
        <v/>
      </c>
    </row>
    <row r="48" spans="1:11">
      <c r="A48" s="49">
        <v>41</v>
      </c>
      <c r="B48" s="98" t="str">
        <f>IF('G1 MT Reading Scoresheet'!B51&lt;&gt;"",'G1 MT Reading Scoresheet'!B51,"")</f>
        <v/>
      </c>
      <c r="C48" s="99" t="str">
        <f>IF('G1 MT Reading Scoresheet'!C51&lt;&gt;"",'G1 MT Reading Scoresheet'!C51,"")</f>
        <v/>
      </c>
      <c r="D48" s="100" t="str">
        <f>IF('G1 MT Reading Scoresheet'!D51&lt;&gt;"",'G1 MT Reading Scoresheet'!D51,"")</f>
        <v/>
      </c>
      <c r="E48" s="95" t="str">
        <f>'G1 MT Reading Scoresheet'!J51</f>
        <v/>
      </c>
      <c r="F48" s="96" t="str">
        <f>IF($C48&lt;&gt;"",'G1 MT Reading Scoresheet'!$I51/30,"")</f>
        <v/>
      </c>
      <c r="G48" s="96" t="str">
        <f>IF(AND($C48&lt;&gt;"",$E48&lt;&gt;"Full Refresher"),'G1 MT Reading Scoresheet'!$Q51,"")</f>
        <v/>
      </c>
      <c r="H48" s="97" t="str">
        <f>IF(AND($C48&lt;&gt;"",$E48&lt;&gt;"Full Refresher"),'G1 MT Reading Scoresheet'!$R51/5,"")</f>
        <v/>
      </c>
      <c r="I48" s="108" t="str">
        <f>IF(AND($C48&lt;&gt;"",$E48&lt;&gt;"Full Refresher"),'G1 MT Reading Scoresheet'!$P51,"")</f>
        <v/>
      </c>
      <c r="J48" s="109" t="str">
        <f>'G1 MT Reading Scoresheet'!$U51</f>
        <v/>
      </c>
      <c r="K48" s="111" t="str">
        <f>IF('G1 MT Reading Scoresheet'!V51&lt;&gt;"",'G1 MT Reading Scoresheet'!V51,"")</f>
        <v/>
      </c>
    </row>
    <row r="49" spans="1:11">
      <c r="A49" s="91">
        <v>42</v>
      </c>
      <c r="B49" s="92" t="str">
        <f>IF('G1 MT Reading Scoresheet'!B52&lt;&gt;"",'G1 MT Reading Scoresheet'!B52,"")</f>
        <v/>
      </c>
      <c r="C49" s="93" t="str">
        <f>IF('G1 MT Reading Scoresheet'!C52&lt;&gt;"",'G1 MT Reading Scoresheet'!C52,"")</f>
        <v/>
      </c>
      <c r="D49" s="94" t="str">
        <f>IF('G1 MT Reading Scoresheet'!D52&lt;&gt;"",'G1 MT Reading Scoresheet'!D52,"")</f>
        <v/>
      </c>
      <c r="E49" s="95" t="str">
        <f>'G1 MT Reading Scoresheet'!J52</f>
        <v/>
      </c>
      <c r="F49" s="96" t="str">
        <f>IF($C49&lt;&gt;"",'G1 MT Reading Scoresheet'!$I52/30,"")</f>
        <v/>
      </c>
      <c r="G49" s="96" t="str">
        <f>IF(AND($C49&lt;&gt;"",$E49&lt;&gt;"Full Refresher"),'G1 MT Reading Scoresheet'!$Q52,"")</f>
        <v/>
      </c>
      <c r="H49" s="97" t="str">
        <f>IF(AND($C49&lt;&gt;"",$E49&lt;&gt;"Full Refresher"),'G1 MT Reading Scoresheet'!$R52/5,"")</f>
        <v/>
      </c>
      <c r="I49" s="108" t="str">
        <f>IF(AND($C49&lt;&gt;"",$E49&lt;&gt;"Full Refresher"),'G1 MT Reading Scoresheet'!$P52,"")</f>
        <v/>
      </c>
      <c r="J49" s="109" t="str">
        <f>'G1 MT Reading Scoresheet'!$U52</f>
        <v/>
      </c>
      <c r="K49" s="110" t="str">
        <f>IF('G1 MT Reading Scoresheet'!V52&lt;&gt;"",'G1 MT Reading Scoresheet'!V52,"")</f>
        <v/>
      </c>
    </row>
    <row r="50" spans="1:11">
      <c r="A50" s="49">
        <v>43</v>
      </c>
      <c r="B50" s="98" t="str">
        <f>IF('G1 MT Reading Scoresheet'!B53&lt;&gt;"",'G1 MT Reading Scoresheet'!B53,"")</f>
        <v/>
      </c>
      <c r="C50" s="99" t="str">
        <f>IF('G1 MT Reading Scoresheet'!C53&lt;&gt;"",'G1 MT Reading Scoresheet'!C53,"")</f>
        <v/>
      </c>
      <c r="D50" s="100" t="str">
        <f>IF('G1 MT Reading Scoresheet'!D53&lt;&gt;"",'G1 MT Reading Scoresheet'!D53,"")</f>
        <v/>
      </c>
      <c r="E50" s="95" t="str">
        <f>'G1 MT Reading Scoresheet'!J53</f>
        <v/>
      </c>
      <c r="F50" s="96" t="str">
        <f>IF($C50&lt;&gt;"",'G1 MT Reading Scoresheet'!$I53/30,"")</f>
        <v/>
      </c>
      <c r="G50" s="96" t="str">
        <f>IF(AND($C50&lt;&gt;"",$E50&lt;&gt;"Full Refresher"),'G1 MT Reading Scoresheet'!$Q53,"")</f>
        <v/>
      </c>
      <c r="H50" s="97" t="str">
        <f>IF(AND($C50&lt;&gt;"",$E50&lt;&gt;"Full Refresher"),'G1 MT Reading Scoresheet'!$R53/5,"")</f>
        <v/>
      </c>
      <c r="I50" s="108" t="str">
        <f>IF(AND($C50&lt;&gt;"",$E50&lt;&gt;"Full Refresher"),'G1 MT Reading Scoresheet'!$P53,"")</f>
        <v/>
      </c>
      <c r="J50" s="109" t="str">
        <f>'G1 MT Reading Scoresheet'!$U53</f>
        <v/>
      </c>
      <c r="K50" s="111" t="str">
        <f>IF('G1 MT Reading Scoresheet'!V53&lt;&gt;"",'G1 MT Reading Scoresheet'!V53,"")</f>
        <v/>
      </c>
    </row>
    <row r="51" spans="1:11">
      <c r="A51" s="91">
        <v>44</v>
      </c>
      <c r="B51" s="92" t="str">
        <f>IF('G1 MT Reading Scoresheet'!B54&lt;&gt;"",'G1 MT Reading Scoresheet'!B54,"")</f>
        <v/>
      </c>
      <c r="C51" s="93" t="str">
        <f>IF('G1 MT Reading Scoresheet'!C54&lt;&gt;"",'G1 MT Reading Scoresheet'!C54,"")</f>
        <v/>
      </c>
      <c r="D51" s="94" t="str">
        <f>IF('G1 MT Reading Scoresheet'!D54&lt;&gt;"",'G1 MT Reading Scoresheet'!D54,"")</f>
        <v/>
      </c>
      <c r="E51" s="95" t="str">
        <f>'G1 MT Reading Scoresheet'!J54</f>
        <v/>
      </c>
      <c r="F51" s="96" t="str">
        <f>IF($C51&lt;&gt;"",'G1 MT Reading Scoresheet'!$I54/30,"")</f>
        <v/>
      </c>
      <c r="G51" s="96" t="str">
        <f>IF(AND($C51&lt;&gt;"",$E51&lt;&gt;"Full Refresher"),'G1 MT Reading Scoresheet'!$Q54,"")</f>
        <v/>
      </c>
      <c r="H51" s="97" t="str">
        <f>IF(AND($C51&lt;&gt;"",$E51&lt;&gt;"Full Refresher"),'G1 MT Reading Scoresheet'!$R54/5,"")</f>
        <v/>
      </c>
      <c r="I51" s="108" t="str">
        <f>IF(AND($C51&lt;&gt;"",$E51&lt;&gt;"Full Refresher"),'G1 MT Reading Scoresheet'!$P54,"")</f>
        <v/>
      </c>
      <c r="J51" s="109" t="str">
        <f>'G1 MT Reading Scoresheet'!$U54</f>
        <v/>
      </c>
      <c r="K51" s="110" t="str">
        <f>IF('G1 MT Reading Scoresheet'!V54&lt;&gt;"",'G1 MT Reading Scoresheet'!V54,"")</f>
        <v/>
      </c>
    </row>
    <row r="52" spans="1:11">
      <c r="A52" s="49">
        <v>45</v>
      </c>
      <c r="B52" s="98" t="str">
        <f>IF('G1 MT Reading Scoresheet'!B55&lt;&gt;"",'G1 MT Reading Scoresheet'!B55,"")</f>
        <v/>
      </c>
      <c r="C52" s="99" t="str">
        <f>IF('G1 MT Reading Scoresheet'!C55&lt;&gt;"",'G1 MT Reading Scoresheet'!C55,"")</f>
        <v/>
      </c>
      <c r="D52" s="100" t="str">
        <f>IF('G1 MT Reading Scoresheet'!D55&lt;&gt;"",'G1 MT Reading Scoresheet'!D55,"")</f>
        <v/>
      </c>
      <c r="E52" s="95" t="str">
        <f>'G1 MT Reading Scoresheet'!J55</f>
        <v/>
      </c>
      <c r="F52" s="96" t="str">
        <f>IF($C52&lt;&gt;"",'G1 MT Reading Scoresheet'!$I55/30,"")</f>
        <v/>
      </c>
      <c r="G52" s="96" t="str">
        <f>IF(AND($C52&lt;&gt;"",$E52&lt;&gt;"Full Refresher"),'G1 MT Reading Scoresheet'!$Q55,"")</f>
        <v/>
      </c>
      <c r="H52" s="97" t="str">
        <f>IF(AND($C52&lt;&gt;"",$E52&lt;&gt;"Full Refresher"),'G1 MT Reading Scoresheet'!$R55/5,"")</f>
        <v/>
      </c>
      <c r="I52" s="108" t="str">
        <f>IF(AND($C52&lt;&gt;"",$E52&lt;&gt;"Full Refresher"),'G1 MT Reading Scoresheet'!$P55,"")</f>
        <v/>
      </c>
      <c r="J52" s="109" t="str">
        <f>'G1 MT Reading Scoresheet'!$U55</f>
        <v/>
      </c>
      <c r="K52" s="111" t="str">
        <f>IF('G1 MT Reading Scoresheet'!V55&lt;&gt;"",'G1 MT Reading Scoresheet'!V55,"")</f>
        <v/>
      </c>
    </row>
    <row r="53" spans="1:11">
      <c r="A53" s="91">
        <v>46</v>
      </c>
      <c r="B53" s="92" t="str">
        <f>IF('G1 MT Reading Scoresheet'!B56&lt;&gt;"",'G1 MT Reading Scoresheet'!B56,"")</f>
        <v/>
      </c>
      <c r="C53" s="93" t="str">
        <f>IF('G1 MT Reading Scoresheet'!C56&lt;&gt;"",'G1 MT Reading Scoresheet'!C56,"")</f>
        <v/>
      </c>
      <c r="D53" s="94" t="str">
        <f>IF('G1 MT Reading Scoresheet'!D56&lt;&gt;"",'G1 MT Reading Scoresheet'!D56,"")</f>
        <v/>
      </c>
      <c r="E53" s="95" t="str">
        <f>'G1 MT Reading Scoresheet'!J56</f>
        <v/>
      </c>
      <c r="F53" s="96" t="str">
        <f>IF($C53&lt;&gt;"",'G1 MT Reading Scoresheet'!$I56/30,"")</f>
        <v/>
      </c>
      <c r="G53" s="96" t="str">
        <f>IF(AND($C53&lt;&gt;"",$E53&lt;&gt;"Full Refresher"),'G1 MT Reading Scoresheet'!$Q56,"")</f>
        <v/>
      </c>
      <c r="H53" s="97" t="str">
        <f>IF(AND($C53&lt;&gt;"",$E53&lt;&gt;"Full Refresher"),'G1 MT Reading Scoresheet'!$R56/5,"")</f>
        <v/>
      </c>
      <c r="I53" s="108" t="str">
        <f>IF(AND($C53&lt;&gt;"",$E53&lt;&gt;"Full Refresher"),'G1 MT Reading Scoresheet'!$P56,"")</f>
        <v/>
      </c>
      <c r="J53" s="109" t="str">
        <f>'G1 MT Reading Scoresheet'!$U56</f>
        <v/>
      </c>
      <c r="K53" s="110" t="str">
        <f>IF('G1 MT Reading Scoresheet'!V56&lt;&gt;"",'G1 MT Reading Scoresheet'!V56,"")</f>
        <v/>
      </c>
    </row>
    <row r="54" spans="1:11">
      <c r="A54" s="49">
        <v>47</v>
      </c>
      <c r="B54" s="98" t="str">
        <f>IF('G1 MT Reading Scoresheet'!B57&lt;&gt;"",'G1 MT Reading Scoresheet'!B57,"")</f>
        <v/>
      </c>
      <c r="C54" s="99" t="str">
        <f>IF('G1 MT Reading Scoresheet'!C57&lt;&gt;"",'G1 MT Reading Scoresheet'!C57,"")</f>
        <v/>
      </c>
      <c r="D54" s="100" t="str">
        <f>IF('G1 MT Reading Scoresheet'!D57&lt;&gt;"",'G1 MT Reading Scoresheet'!D57,"")</f>
        <v/>
      </c>
      <c r="E54" s="95" t="str">
        <f>'G1 MT Reading Scoresheet'!J57</f>
        <v/>
      </c>
      <c r="F54" s="96" t="str">
        <f>IF($C54&lt;&gt;"",'G1 MT Reading Scoresheet'!$I57/30,"")</f>
        <v/>
      </c>
      <c r="G54" s="96" t="str">
        <f>IF(AND($C54&lt;&gt;"",$E54&lt;&gt;"Full Refresher"),'G1 MT Reading Scoresheet'!$Q57,"")</f>
        <v/>
      </c>
      <c r="H54" s="97" t="str">
        <f>IF(AND($C54&lt;&gt;"",$E54&lt;&gt;"Full Refresher"),'G1 MT Reading Scoresheet'!$R57/5,"")</f>
        <v/>
      </c>
      <c r="I54" s="108" t="str">
        <f>IF(AND($C54&lt;&gt;"",$E54&lt;&gt;"Full Refresher"),'G1 MT Reading Scoresheet'!$P57,"")</f>
        <v/>
      </c>
      <c r="J54" s="109" t="str">
        <f>'G1 MT Reading Scoresheet'!$U57</f>
        <v/>
      </c>
      <c r="K54" s="111" t="str">
        <f>IF('G1 MT Reading Scoresheet'!V57&lt;&gt;"",'G1 MT Reading Scoresheet'!V57,"")</f>
        <v/>
      </c>
    </row>
    <row r="55" spans="1:11">
      <c r="A55" s="91">
        <v>48</v>
      </c>
      <c r="B55" s="92" t="str">
        <f>IF('G1 MT Reading Scoresheet'!B58&lt;&gt;"",'G1 MT Reading Scoresheet'!B58,"")</f>
        <v/>
      </c>
      <c r="C55" s="93" t="str">
        <f>IF('G1 MT Reading Scoresheet'!C58&lt;&gt;"",'G1 MT Reading Scoresheet'!C58,"")</f>
        <v/>
      </c>
      <c r="D55" s="94" t="str">
        <f>IF('G1 MT Reading Scoresheet'!D58&lt;&gt;"",'G1 MT Reading Scoresheet'!D58,"")</f>
        <v/>
      </c>
      <c r="E55" s="95" t="str">
        <f>'G1 MT Reading Scoresheet'!J58</f>
        <v/>
      </c>
      <c r="F55" s="96" t="str">
        <f>IF($C55&lt;&gt;"",'G1 MT Reading Scoresheet'!$I58/30,"")</f>
        <v/>
      </c>
      <c r="G55" s="96" t="str">
        <f>IF(AND($C55&lt;&gt;"",$E55&lt;&gt;"Full Refresher"),'G1 MT Reading Scoresheet'!$Q58,"")</f>
        <v/>
      </c>
      <c r="H55" s="97" t="str">
        <f>IF(AND($C55&lt;&gt;"",$E55&lt;&gt;"Full Refresher"),'G1 MT Reading Scoresheet'!$R58/5,"")</f>
        <v/>
      </c>
      <c r="I55" s="108" t="str">
        <f>IF(AND($C55&lt;&gt;"",$E55&lt;&gt;"Full Refresher"),'G1 MT Reading Scoresheet'!$P58,"")</f>
        <v/>
      </c>
      <c r="J55" s="109" t="str">
        <f>'G1 MT Reading Scoresheet'!$U58</f>
        <v/>
      </c>
      <c r="K55" s="110" t="str">
        <f>IF('G1 MT Reading Scoresheet'!V58&lt;&gt;"",'G1 MT Reading Scoresheet'!V58,"")</f>
        <v/>
      </c>
    </row>
    <row r="56" spans="1:11">
      <c r="A56" s="49">
        <v>49</v>
      </c>
      <c r="B56" s="98" t="str">
        <f>IF('G1 MT Reading Scoresheet'!B59&lt;&gt;"",'G1 MT Reading Scoresheet'!B59,"")</f>
        <v/>
      </c>
      <c r="C56" s="99" t="str">
        <f>IF('G1 MT Reading Scoresheet'!C59&lt;&gt;"",'G1 MT Reading Scoresheet'!C59,"")</f>
        <v/>
      </c>
      <c r="D56" s="100" t="str">
        <f>IF('G1 MT Reading Scoresheet'!D59&lt;&gt;"",'G1 MT Reading Scoresheet'!D59,"")</f>
        <v/>
      </c>
      <c r="E56" s="95" t="str">
        <f>'G1 MT Reading Scoresheet'!J59</f>
        <v/>
      </c>
      <c r="F56" s="96" t="str">
        <f>IF($C56&lt;&gt;"",'G1 MT Reading Scoresheet'!$I59/30,"")</f>
        <v/>
      </c>
      <c r="G56" s="96" t="str">
        <f>IF(AND($C56&lt;&gt;"",$E56&lt;&gt;"Full Refresher"),'G1 MT Reading Scoresheet'!$Q59,"")</f>
        <v/>
      </c>
      <c r="H56" s="97" t="str">
        <f>IF(AND($C56&lt;&gt;"",$E56&lt;&gt;"Full Refresher"),'G1 MT Reading Scoresheet'!$R59/5,"")</f>
        <v/>
      </c>
      <c r="I56" s="108" t="str">
        <f>IF(AND($C56&lt;&gt;"",$E56&lt;&gt;"Full Refresher"),'G1 MT Reading Scoresheet'!$P59,"")</f>
        <v/>
      </c>
      <c r="J56" s="109" t="str">
        <f>'G1 MT Reading Scoresheet'!$U59</f>
        <v/>
      </c>
      <c r="K56" s="111" t="str">
        <f>IF('G1 MT Reading Scoresheet'!V59&lt;&gt;"",'G1 MT Reading Scoresheet'!V59,"")</f>
        <v/>
      </c>
    </row>
    <row r="57" spans="1:11">
      <c r="A57" s="91">
        <v>50</v>
      </c>
      <c r="B57" s="92" t="str">
        <f>IF('G1 MT Reading Scoresheet'!B60&lt;&gt;"",'G1 MT Reading Scoresheet'!B60,"")</f>
        <v/>
      </c>
      <c r="C57" s="93" t="str">
        <f>IF('G1 MT Reading Scoresheet'!C60&lt;&gt;"",'G1 MT Reading Scoresheet'!C60,"")</f>
        <v/>
      </c>
      <c r="D57" s="94" t="str">
        <f>IF('G1 MT Reading Scoresheet'!D60&lt;&gt;"",'G1 MT Reading Scoresheet'!D60,"")</f>
        <v/>
      </c>
      <c r="E57" s="95" t="str">
        <f>'G1 MT Reading Scoresheet'!J60</f>
        <v/>
      </c>
      <c r="F57" s="96" t="str">
        <f>IF($C57&lt;&gt;"",'G1 MT Reading Scoresheet'!$I60/30,"")</f>
        <v/>
      </c>
      <c r="G57" s="96" t="str">
        <f>IF(AND($C57&lt;&gt;"",$E57&lt;&gt;"Full Refresher"),'G1 MT Reading Scoresheet'!$Q60,"")</f>
        <v/>
      </c>
      <c r="H57" s="97" t="str">
        <f>IF(AND($C57&lt;&gt;"",$E57&lt;&gt;"Full Refresher"),'G1 MT Reading Scoresheet'!$R60/5,"")</f>
        <v/>
      </c>
      <c r="I57" s="108" t="str">
        <f>IF(AND($C57&lt;&gt;"",$E57&lt;&gt;"Full Refresher"),'G1 MT Reading Scoresheet'!$P60,"")</f>
        <v/>
      </c>
      <c r="J57" s="109" t="str">
        <f>'G1 MT Reading Scoresheet'!$U60</f>
        <v/>
      </c>
      <c r="K57" s="110" t="str">
        <f>IF('G1 MT Reading Scoresheet'!V60&lt;&gt;"",'G1 MT Reading Scoresheet'!V60,"")</f>
        <v/>
      </c>
    </row>
    <row r="58" spans="1:11">
      <c r="A58" s="49">
        <v>51</v>
      </c>
      <c r="B58" s="98" t="str">
        <f>IF('G1 MT Reading Scoresheet'!B61&lt;&gt;"",'G1 MT Reading Scoresheet'!B61,"")</f>
        <v/>
      </c>
      <c r="C58" s="99" t="str">
        <f>IF('G1 MT Reading Scoresheet'!C61&lt;&gt;"",'G1 MT Reading Scoresheet'!C61,"")</f>
        <v/>
      </c>
      <c r="D58" s="100" t="str">
        <f>IF('G1 MT Reading Scoresheet'!D61&lt;&gt;"",'G1 MT Reading Scoresheet'!D61,"")</f>
        <v/>
      </c>
      <c r="E58" s="95" t="str">
        <f>'G1 MT Reading Scoresheet'!J61</f>
        <v/>
      </c>
      <c r="F58" s="96" t="str">
        <f>IF($C58&lt;&gt;"",'G1 MT Reading Scoresheet'!$I61/30,"")</f>
        <v/>
      </c>
      <c r="G58" s="96" t="str">
        <f>IF(AND($C58&lt;&gt;"",$E58&lt;&gt;"Full Refresher"),'G1 MT Reading Scoresheet'!$Q61,"")</f>
        <v/>
      </c>
      <c r="H58" s="97" t="str">
        <f>IF(AND($C58&lt;&gt;"",$E58&lt;&gt;"Full Refresher"),'G1 MT Reading Scoresheet'!$R61/5,"")</f>
        <v/>
      </c>
      <c r="I58" s="108" t="str">
        <f>IF(AND($C58&lt;&gt;"",$E58&lt;&gt;"Full Refresher"),'G1 MT Reading Scoresheet'!$P61,"")</f>
        <v/>
      </c>
      <c r="J58" s="109" t="str">
        <f>'G1 MT Reading Scoresheet'!$U61</f>
        <v/>
      </c>
      <c r="K58" s="111" t="str">
        <f>IF('G1 MT Reading Scoresheet'!V61&lt;&gt;"",'G1 MT Reading Scoresheet'!V61,"")</f>
        <v/>
      </c>
    </row>
    <row r="59" spans="1:11">
      <c r="A59" s="91">
        <v>52</v>
      </c>
      <c r="B59" s="92" t="str">
        <f>IF('G1 MT Reading Scoresheet'!B62&lt;&gt;"",'G1 MT Reading Scoresheet'!B62,"")</f>
        <v/>
      </c>
      <c r="C59" s="93" t="str">
        <f>IF('G1 MT Reading Scoresheet'!C62&lt;&gt;"",'G1 MT Reading Scoresheet'!C62,"")</f>
        <v/>
      </c>
      <c r="D59" s="94" t="str">
        <f>IF('G1 MT Reading Scoresheet'!D62&lt;&gt;"",'G1 MT Reading Scoresheet'!D62,"")</f>
        <v/>
      </c>
      <c r="E59" s="95" t="str">
        <f>'G1 MT Reading Scoresheet'!J62</f>
        <v/>
      </c>
      <c r="F59" s="96" t="str">
        <f>IF($C59&lt;&gt;"",'G1 MT Reading Scoresheet'!$I62/30,"")</f>
        <v/>
      </c>
      <c r="G59" s="96" t="str">
        <f>IF(AND($C59&lt;&gt;"",$E59&lt;&gt;"Full Refresher"),'G1 MT Reading Scoresheet'!$Q62,"")</f>
        <v/>
      </c>
      <c r="H59" s="97" t="str">
        <f>IF(AND($C59&lt;&gt;"",$E59&lt;&gt;"Full Refresher"),'G1 MT Reading Scoresheet'!$R62/5,"")</f>
        <v/>
      </c>
      <c r="I59" s="108" t="str">
        <f>IF(AND($C59&lt;&gt;"",$E59&lt;&gt;"Full Refresher"),'G1 MT Reading Scoresheet'!$P62,"")</f>
        <v/>
      </c>
      <c r="J59" s="109" t="str">
        <f>'G1 MT Reading Scoresheet'!$U62</f>
        <v/>
      </c>
      <c r="K59" s="110" t="str">
        <f>IF('G1 MT Reading Scoresheet'!V62&lt;&gt;"",'G1 MT Reading Scoresheet'!V62,"")</f>
        <v/>
      </c>
    </row>
    <row r="60" spans="1:11">
      <c r="A60" s="49">
        <v>53</v>
      </c>
      <c r="B60" s="98" t="str">
        <f>IF('G1 MT Reading Scoresheet'!B63&lt;&gt;"",'G1 MT Reading Scoresheet'!B63,"")</f>
        <v/>
      </c>
      <c r="C60" s="99" t="str">
        <f>IF('G1 MT Reading Scoresheet'!C63&lt;&gt;"",'G1 MT Reading Scoresheet'!C63,"")</f>
        <v/>
      </c>
      <c r="D60" s="100" t="str">
        <f>IF('G1 MT Reading Scoresheet'!D63&lt;&gt;"",'G1 MT Reading Scoresheet'!D63,"")</f>
        <v/>
      </c>
      <c r="E60" s="95" t="str">
        <f>'G1 MT Reading Scoresheet'!J63</f>
        <v/>
      </c>
      <c r="F60" s="96" t="str">
        <f>IF($C60&lt;&gt;"",'G1 MT Reading Scoresheet'!$I63/30,"")</f>
        <v/>
      </c>
      <c r="G60" s="96" t="str">
        <f>IF(AND($C60&lt;&gt;"",$E60&lt;&gt;"Full Refresher"),'G1 MT Reading Scoresheet'!$Q63,"")</f>
        <v/>
      </c>
      <c r="H60" s="97" t="str">
        <f>IF(AND($C60&lt;&gt;"",$E60&lt;&gt;"Full Refresher"),'G1 MT Reading Scoresheet'!$R63/5,"")</f>
        <v/>
      </c>
      <c r="I60" s="108" t="str">
        <f>IF(AND($C60&lt;&gt;"",$E60&lt;&gt;"Full Refresher"),'G1 MT Reading Scoresheet'!$P63,"")</f>
        <v/>
      </c>
      <c r="J60" s="109" t="str">
        <f>'G1 MT Reading Scoresheet'!$U63</f>
        <v/>
      </c>
      <c r="K60" s="111" t="str">
        <f>IF('G1 MT Reading Scoresheet'!V63&lt;&gt;"",'G1 MT Reading Scoresheet'!V63,"")</f>
        <v/>
      </c>
    </row>
    <row r="61" spans="1:11">
      <c r="A61" s="91">
        <v>54</v>
      </c>
      <c r="B61" s="92" t="str">
        <f>IF('G1 MT Reading Scoresheet'!B64&lt;&gt;"",'G1 MT Reading Scoresheet'!B64,"")</f>
        <v/>
      </c>
      <c r="C61" s="93" t="str">
        <f>IF('G1 MT Reading Scoresheet'!C64&lt;&gt;"",'G1 MT Reading Scoresheet'!C64,"")</f>
        <v/>
      </c>
      <c r="D61" s="94" t="str">
        <f>IF('G1 MT Reading Scoresheet'!D64&lt;&gt;"",'G1 MT Reading Scoresheet'!D64,"")</f>
        <v/>
      </c>
      <c r="E61" s="95" t="str">
        <f>'G1 MT Reading Scoresheet'!J64</f>
        <v/>
      </c>
      <c r="F61" s="96" t="str">
        <f>IF($C61&lt;&gt;"",'G1 MT Reading Scoresheet'!$I64/30,"")</f>
        <v/>
      </c>
      <c r="G61" s="96" t="str">
        <f>IF(AND($C61&lt;&gt;"",$E61&lt;&gt;"Full Refresher"),'G1 MT Reading Scoresheet'!$Q64,"")</f>
        <v/>
      </c>
      <c r="H61" s="97" t="str">
        <f>IF(AND($C61&lt;&gt;"",$E61&lt;&gt;"Full Refresher"),'G1 MT Reading Scoresheet'!$R64/5,"")</f>
        <v/>
      </c>
      <c r="I61" s="108" t="str">
        <f>IF(AND($C61&lt;&gt;"",$E61&lt;&gt;"Full Refresher"),'G1 MT Reading Scoresheet'!$P64,"")</f>
        <v/>
      </c>
      <c r="J61" s="109" t="str">
        <f>'G1 MT Reading Scoresheet'!$U64</f>
        <v/>
      </c>
      <c r="K61" s="110" t="str">
        <f>IF('G1 MT Reading Scoresheet'!V64&lt;&gt;"",'G1 MT Reading Scoresheet'!V64,"")</f>
        <v/>
      </c>
    </row>
    <row r="62" spans="1:11">
      <c r="A62" s="49">
        <v>55</v>
      </c>
      <c r="B62" s="98" t="str">
        <f>IF('G1 MT Reading Scoresheet'!B65&lt;&gt;"",'G1 MT Reading Scoresheet'!B65,"")</f>
        <v/>
      </c>
      <c r="C62" s="99" t="str">
        <f>IF('G1 MT Reading Scoresheet'!C65&lt;&gt;"",'G1 MT Reading Scoresheet'!C65,"")</f>
        <v/>
      </c>
      <c r="D62" s="100" t="str">
        <f>IF('G1 MT Reading Scoresheet'!D65&lt;&gt;"",'G1 MT Reading Scoresheet'!D65,"")</f>
        <v/>
      </c>
      <c r="E62" s="95" t="str">
        <f>'G1 MT Reading Scoresheet'!J65</f>
        <v/>
      </c>
      <c r="F62" s="96" t="str">
        <f>IF($C62&lt;&gt;"",'G1 MT Reading Scoresheet'!$I65/30,"")</f>
        <v/>
      </c>
      <c r="G62" s="96" t="str">
        <f>IF(AND($C62&lt;&gt;"",$E62&lt;&gt;"Full Refresher"),'G1 MT Reading Scoresheet'!$Q65,"")</f>
        <v/>
      </c>
      <c r="H62" s="97" t="str">
        <f>IF(AND($C62&lt;&gt;"",$E62&lt;&gt;"Full Refresher"),'G1 MT Reading Scoresheet'!$R65/5,"")</f>
        <v/>
      </c>
      <c r="I62" s="108" t="str">
        <f>IF(AND($C62&lt;&gt;"",$E62&lt;&gt;"Full Refresher"),'G1 MT Reading Scoresheet'!$P65,"")</f>
        <v/>
      </c>
      <c r="J62" s="109" t="str">
        <f>'G1 MT Reading Scoresheet'!$U65</f>
        <v/>
      </c>
      <c r="K62" s="111" t="str">
        <f>IF('G1 MT Reading Scoresheet'!V65&lt;&gt;"",'G1 MT Reading Scoresheet'!V65,"")</f>
        <v/>
      </c>
    </row>
    <row r="63" spans="1:11">
      <c r="A63" s="91">
        <v>56</v>
      </c>
      <c r="B63" s="92" t="str">
        <f>IF('G1 MT Reading Scoresheet'!B66&lt;&gt;"",'G1 MT Reading Scoresheet'!B66,"")</f>
        <v/>
      </c>
      <c r="C63" s="93" t="str">
        <f>IF('G1 MT Reading Scoresheet'!C66&lt;&gt;"",'G1 MT Reading Scoresheet'!C66,"")</f>
        <v/>
      </c>
      <c r="D63" s="94" t="str">
        <f>IF('G1 MT Reading Scoresheet'!D66&lt;&gt;"",'G1 MT Reading Scoresheet'!D66,"")</f>
        <v/>
      </c>
      <c r="E63" s="95" t="str">
        <f>'G1 MT Reading Scoresheet'!J66</f>
        <v/>
      </c>
      <c r="F63" s="96" t="str">
        <f>IF($C63&lt;&gt;"",'G1 MT Reading Scoresheet'!$I66/30,"")</f>
        <v/>
      </c>
      <c r="G63" s="96" t="str">
        <f>IF(AND($C63&lt;&gt;"",$E63&lt;&gt;"Full Refresher"),'G1 MT Reading Scoresheet'!$Q66,"")</f>
        <v/>
      </c>
      <c r="H63" s="97" t="str">
        <f>IF(AND($C63&lt;&gt;"",$E63&lt;&gt;"Full Refresher"),'G1 MT Reading Scoresheet'!$R66/5,"")</f>
        <v/>
      </c>
      <c r="I63" s="108" t="str">
        <f>IF(AND($C63&lt;&gt;"",$E63&lt;&gt;"Full Refresher"),'G1 MT Reading Scoresheet'!$P66,"")</f>
        <v/>
      </c>
      <c r="J63" s="109" t="str">
        <f>'G1 MT Reading Scoresheet'!$U66</f>
        <v/>
      </c>
      <c r="K63" s="110" t="str">
        <f>IF('G1 MT Reading Scoresheet'!V66&lt;&gt;"",'G1 MT Reading Scoresheet'!V66,"")</f>
        <v/>
      </c>
    </row>
    <row r="64" spans="1:11">
      <c r="A64" s="49">
        <v>57</v>
      </c>
      <c r="B64" s="98" t="str">
        <f>IF('G1 MT Reading Scoresheet'!B67&lt;&gt;"",'G1 MT Reading Scoresheet'!B67,"")</f>
        <v/>
      </c>
      <c r="C64" s="99" t="str">
        <f>IF('G1 MT Reading Scoresheet'!C67&lt;&gt;"",'G1 MT Reading Scoresheet'!C67,"")</f>
        <v/>
      </c>
      <c r="D64" s="100" t="str">
        <f>IF('G1 MT Reading Scoresheet'!D67&lt;&gt;"",'G1 MT Reading Scoresheet'!D67,"")</f>
        <v/>
      </c>
      <c r="E64" s="95" t="str">
        <f>'G1 MT Reading Scoresheet'!J67</f>
        <v/>
      </c>
      <c r="F64" s="96" t="str">
        <f>IF($C64&lt;&gt;"",'G1 MT Reading Scoresheet'!$I67/30,"")</f>
        <v/>
      </c>
      <c r="G64" s="96" t="str">
        <f>IF(AND($C64&lt;&gt;"",$E64&lt;&gt;"Full Refresher"),'G1 MT Reading Scoresheet'!$Q67,"")</f>
        <v/>
      </c>
      <c r="H64" s="97" t="str">
        <f>IF(AND($C64&lt;&gt;"",$E64&lt;&gt;"Full Refresher"),'G1 MT Reading Scoresheet'!$R67/5,"")</f>
        <v/>
      </c>
      <c r="I64" s="108" t="str">
        <f>IF(AND($C64&lt;&gt;"",$E64&lt;&gt;"Full Refresher"),'G1 MT Reading Scoresheet'!$P67,"")</f>
        <v/>
      </c>
      <c r="J64" s="109" t="str">
        <f>'G1 MT Reading Scoresheet'!$U67</f>
        <v/>
      </c>
      <c r="K64" s="111" t="str">
        <f>IF('G1 MT Reading Scoresheet'!V67&lt;&gt;"",'G1 MT Reading Scoresheet'!V67,"")</f>
        <v/>
      </c>
    </row>
    <row r="65" spans="1:11">
      <c r="A65" s="91">
        <v>58</v>
      </c>
      <c r="B65" s="92" t="str">
        <f>IF('G1 MT Reading Scoresheet'!B68&lt;&gt;"",'G1 MT Reading Scoresheet'!B68,"")</f>
        <v/>
      </c>
      <c r="C65" s="93" t="str">
        <f>IF('G1 MT Reading Scoresheet'!C68&lt;&gt;"",'G1 MT Reading Scoresheet'!C68,"")</f>
        <v/>
      </c>
      <c r="D65" s="94" t="str">
        <f>IF('G1 MT Reading Scoresheet'!D68&lt;&gt;"",'G1 MT Reading Scoresheet'!D68,"")</f>
        <v/>
      </c>
      <c r="E65" s="95" t="str">
        <f>'G1 MT Reading Scoresheet'!J68</f>
        <v/>
      </c>
      <c r="F65" s="96" t="str">
        <f>IF($C65&lt;&gt;"",'G1 MT Reading Scoresheet'!$I68/30,"")</f>
        <v/>
      </c>
      <c r="G65" s="96" t="str">
        <f>IF(AND($C65&lt;&gt;"",$E65&lt;&gt;"Full Refresher"),'G1 MT Reading Scoresheet'!$Q68,"")</f>
        <v/>
      </c>
      <c r="H65" s="97" t="str">
        <f>IF(AND($C65&lt;&gt;"",$E65&lt;&gt;"Full Refresher"),'G1 MT Reading Scoresheet'!$R68/5,"")</f>
        <v/>
      </c>
      <c r="I65" s="108" t="str">
        <f>IF(AND($C65&lt;&gt;"",$E65&lt;&gt;"Full Refresher"),'G1 MT Reading Scoresheet'!$P68,"")</f>
        <v/>
      </c>
      <c r="J65" s="109" t="str">
        <f>'G1 MT Reading Scoresheet'!$U68</f>
        <v/>
      </c>
      <c r="K65" s="110" t="str">
        <f>IF('G1 MT Reading Scoresheet'!V68&lt;&gt;"",'G1 MT Reading Scoresheet'!V68,"")</f>
        <v/>
      </c>
    </row>
    <row r="66" spans="1:11">
      <c r="A66" s="49">
        <v>59</v>
      </c>
      <c r="B66" s="98" t="str">
        <f>IF('G1 MT Reading Scoresheet'!B69&lt;&gt;"",'G1 MT Reading Scoresheet'!B69,"")</f>
        <v/>
      </c>
      <c r="C66" s="99" t="str">
        <f>IF('G1 MT Reading Scoresheet'!C69&lt;&gt;"",'G1 MT Reading Scoresheet'!C69,"")</f>
        <v/>
      </c>
      <c r="D66" s="100" t="str">
        <f>IF('G1 MT Reading Scoresheet'!D69&lt;&gt;"",'G1 MT Reading Scoresheet'!D69,"")</f>
        <v/>
      </c>
      <c r="E66" s="95" t="str">
        <f>'G1 MT Reading Scoresheet'!J69</f>
        <v/>
      </c>
      <c r="F66" s="96" t="str">
        <f>IF($C66&lt;&gt;"",'G1 MT Reading Scoresheet'!$I69/30,"")</f>
        <v/>
      </c>
      <c r="G66" s="96" t="str">
        <f>IF(AND($C66&lt;&gt;"",$E66&lt;&gt;"Full Refresher"),'G1 MT Reading Scoresheet'!$Q69,"")</f>
        <v/>
      </c>
      <c r="H66" s="97" t="str">
        <f>IF(AND($C66&lt;&gt;"",$E66&lt;&gt;"Full Refresher"),'G1 MT Reading Scoresheet'!$R69/5,"")</f>
        <v/>
      </c>
      <c r="I66" s="108" t="str">
        <f>IF(AND($C66&lt;&gt;"",$E66&lt;&gt;"Full Refresher"),'G1 MT Reading Scoresheet'!$P69,"")</f>
        <v/>
      </c>
      <c r="J66" s="109" t="str">
        <f>'G1 MT Reading Scoresheet'!$U69</f>
        <v/>
      </c>
      <c r="K66" s="111" t="str">
        <f>IF('G1 MT Reading Scoresheet'!V69&lt;&gt;"",'G1 MT Reading Scoresheet'!V69,"")</f>
        <v/>
      </c>
    </row>
    <row r="67" spans="1:11">
      <c r="A67" s="91">
        <f>A66+1</f>
        <v>60</v>
      </c>
      <c r="B67" s="92" t="str">
        <f>IF('G1 MT Reading Scoresheet'!B70&lt;&gt;"",'G1 MT Reading Scoresheet'!B70,"")</f>
        <v/>
      </c>
      <c r="C67" s="93" t="str">
        <f>IF('G1 MT Reading Scoresheet'!C70&lt;&gt;"",'G1 MT Reading Scoresheet'!C70,"")</f>
        <v/>
      </c>
      <c r="D67" s="94" t="str">
        <f>IF('G1 MT Reading Scoresheet'!D70&lt;&gt;"",'G1 MT Reading Scoresheet'!D70,"")</f>
        <v/>
      </c>
      <c r="E67" s="95" t="str">
        <f>'G1 MT Reading Scoresheet'!J70</f>
        <v/>
      </c>
      <c r="F67" s="96" t="str">
        <f>IF($C67&lt;&gt;"",'G1 MT Reading Scoresheet'!$I70/30,"")</f>
        <v/>
      </c>
      <c r="G67" s="96" t="str">
        <f>IF(AND($C67&lt;&gt;"",$E67&lt;&gt;"Full Refresher"),'G1 MT Reading Scoresheet'!$Q70,"")</f>
        <v/>
      </c>
      <c r="H67" s="97" t="str">
        <f>IF(AND($C67&lt;&gt;"",$E67&lt;&gt;"Full Refresher"),'G1 MT Reading Scoresheet'!$R70/5,"")</f>
        <v/>
      </c>
      <c r="I67" s="108" t="str">
        <f>IF(AND($C67&lt;&gt;"",$E67&lt;&gt;"Full Refresher"),'G1 MT Reading Scoresheet'!$P70,"")</f>
        <v/>
      </c>
      <c r="J67" s="109" t="str">
        <f>'G1 MT Reading Scoresheet'!$U70</f>
        <v/>
      </c>
      <c r="K67" s="110" t="str">
        <f>IF('G1 MT Reading Scoresheet'!V70&lt;&gt;"",'G1 MT Reading Scoresheet'!V70,"")</f>
        <v/>
      </c>
    </row>
    <row r="68" spans="1:11">
      <c r="A68" s="49">
        <f t="shared" ref="A68:A106" si="0">A67+1</f>
        <v>61</v>
      </c>
      <c r="B68" s="98" t="str">
        <f>IF('G1 MT Reading Scoresheet'!B71&lt;&gt;"",'G1 MT Reading Scoresheet'!B71,"")</f>
        <v/>
      </c>
      <c r="C68" s="99" t="str">
        <f>IF('G1 MT Reading Scoresheet'!C71&lt;&gt;"",'G1 MT Reading Scoresheet'!C71,"")</f>
        <v/>
      </c>
      <c r="D68" s="100" t="str">
        <f>IF('G1 MT Reading Scoresheet'!D71&lt;&gt;"",'G1 MT Reading Scoresheet'!D71,"")</f>
        <v/>
      </c>
      <c r="E68" s="95" t="str">
        <f>'G1 MT Reading Scoresheet'!J71</f>
        <v/>
      </c>
      <c r="F68" s="96" t="str">
        <f>IF($C68&lt;&gt;"",'G1 MT Reading Scoresheet'!$I71/30,"")</f>
        <v/>
      </c>
      <c r="G68" s="96" t="str">
        <f>IF(AND($C68&lt;&gt;"",$E68&lt;&gt;"Full Refresher"),'G1 MT Reading Scoresheet'!$Q71,"")</f>
        <v/>
      </c>
      <c r="H68" s="97" t="str">
        <f>IF(AND($C68&lt;&gt;"",$E68&lt;&gt;"Full Refresher"),'G1 MT Reading Scoresheet'!$R71/5,"")</f>
        <v/>
      </c>
      <c r="I68" s="108" t="str">
        <f>IF(AND($C68&lt;&gt;"",$E68&lt;&gt;"Full Refresher"),'G1 MT Reading Scoresheet'!$P71,"")</f>
        <v/>
      </c>
      <c r="J68" s="109" t="str">
        <f>'G1 MT Reading Scoresheet'!$U71</f>
        <v/>
      </c>
      <c r="K68" s="111" t="str">
        <f>IF('G1 MT Reading Scoresheet'!V71&lt;&gt;"",'G1 MT Reading Scoresheet'!V71,"")</f>
        <v/>
      </c>
    </row>
    <row r="69" spans="1:11">
      <c r="A69" s="91">
        <f t="shared" si="0"/>
        <v>62</v>
      </c>
      <c r="B69" s="92" t="str">
        <f>IF('G1 MT Reading Scoresheet'!B72&lt;&gt;"",'G1 MT Reading Scoresheet'!B72,"")</f>
        <v/>
      </c>
      <c r="C69" s="93" t="str">
        <f>IF('G1 MT Reading Scoresheet'!C72&lt;&gt;"",'G1 MT Reading Scoresheet'!C72,"")</f>
        <v/>
      </c>
      <c r="D69" s="94" t="str">
        <f>IF('G1 MT Reading Scoresheet'!D72&lt;&gt;"",'G1 MT Reading Scoresheet'!D72,"")</f>
        <v/>
      </c>
      <c r="E69" s="95" t="str">
        <f>'G1 MT Reading Scoresheet'!J72</f>
        <v/>
      </c>
      <c r="F69" s="96" t="str">
        <f>IF($C69&lt;&gt;"",'G1 MT Reading Scoresheet'!$I72/30,"")</f>
        <v/>
      </c>
      <c r="G69" s="96" t="str">
        <f>IF(AND($C69&lt;&gt;"",$E69&lt;&gt;"Full Refresher"),'G1 MT Reading Scoresheet'!$Q72,"")</f>
        <v/>
      </c>
      <c r="H69" s="97" t="str">
        <f>IF(AND($C69&lt;&gt;"",$E69&lt;&gt;"Full Refresher"),'G1 MT Reading Scoresheet'!$R72/5,"")</f>
        <v/>
      </c>
      <c r="I69" s="108" t="str">
        <f>IF(AND($C69&lt;&gt;"",$E69&lt;&gt;"Full Refresher"),'G1 MT Reading Scoresheet'!$P72,"")</f>
        <v/>
      </c>
      <c r="J69" s="109" t="str">
        <f>'G1 MT Reading Scoresheet'!$U72</f>
        <v/>
      </c>
      <c r="K69" s="110" t="str">
        <f>IF('G1 MT Reading Scoresheet'!V72&lt;&gt;"",'G1 MT Reading Scoresheet'!V72,"")</f>
        <v/>
      </c>
    </row>
    <row r="70" spans="1:11">
      <c r="A70" s="49">
        <f t="shared" si="0"/>
        <v>63</v>
      </c>
      <c r="B70" s="98" t="str">
        <f>IF('G1 MT Reading Scoresheet'!B73&lt;&gt;"",'G1 MT Reading Scoresheet'!B73,"")</f>
        <v/>
      </c>
      <c r="C70" s="99" t="str">
        <f>IF('G1 MT Reading Scoresheet'!C73&lt;&gt;"",'G1 MT Reading Scoresheet'!C73,"")</f>
        <v/>
      </c>
      <c r="D70" s="100" t="str">
        <f>IF('G1 MT Reading Scoresheet'!D73&lt;&gt;"",'G1 MT Reading Scoresheet'!D73,"")</f>
        <v/>
      </c>
      <c r="E70" s="95" t="str">
        <f>'G1 MT Reading Scoresheet'!J73</f>
        <v/>
      </c>
      <c r="F70" s="96" t="str">
        <f>IF($C70&lt;&gt;"",'G1 MT Reading Scoresheet'!$I73/30,"")</f>
        <v/>
      </c>
      <c r="G70" s="96" t="str">
        <f>IF(AND($C70&lt;&gt;"",$E70&lt;&gt;"Full Refresher"),'G1 MT Reading Scoresheet'!$Q73,"")</f>
        <v/>
      </c>
      <c r="H70" s="97" t="str">
        <f>IF(AND($C70&lt;&gt;"",$E70&lt;&gt;"Full Refresher"),'G1 MT Reading Scoresheet'!$R73/5,"")</f>
        <v/>
      </c>
      <c r="I70" s="108" t="str">
        <f>IF(AND($C70&lt;&gt;"",$E70&lt;&gt;"Full Refresher"),'G1 MT Reading Scoresheet'!$P73,"")</f>
        <v/>
      </c>
      <c r="J70" s="109" t="str">
        <f>'G1 MT Reading Scoresheet'!$U73</f>
        <v/>
      </c>
      <c r="K70" s="111" t="str">
        <f>IF('G1 MT Reading Scoresheet'!V73&lt;&gt;"",'G1 MT Reading Scoresheet'!V73,"")</f>
        <v/>
      </c>
    </row>
    <row r="71" spans="1:11">
      <c r="A71" s="91">
        <f t="shared" si="0"/>
        <v>64</v>
      </c>
      <c r="B71" s="92" t="str">
        <f>IF('G1 MT Reading Scoresheet'!B74&lt;&gt;"",'G1 MT Reading Scoresheet'!B74,"")</f>
        <v/>
      </c>
      <c r="C71" s="93" t="str">
        <f>IF('G1 MT Reading Scoresheet'!C74&lt;&gt;"",'G1 MT Reading Scoresheet'!C74,"")</f>
        <v/>
      </c>
      <c r="D71" s="94" t="str">
        <f>IF('G1 MT Reading Scoresheet'!D74&lt;&gt;"",'G1 MT Reading Scoresheet'!D74,"")</f>
        <v/>
      </c>
      <c r="E71" s="95" t="str">
        <f>'G1 MT Reading Scoresheet'!J74</f>
        <v/>
      </c>
      <c r="F71" s="96" t="str">
        <f>IF($C71&lt;&gt;"",'G1 MT Reading Scoresheet'!$I74/30,"")</f>
        <v/>
      </c>
      <c r="G71" s="96" t="str">
        <f>IF(AND($C71&lt;&gt;"",$E71&lt;&gt;"Full Refresher"),'G1 MT Reading Scoresheet'!$Q74,"")</f>
        <v/>
      </c>
      <c r="H71" s="97" t="str">
        <f>IF(AND($C71&lt;&gt;"",$E71&lt;&gt;"Full Refresher"),'G1 MT Reading Scoresheet'!$R74/5,"")</f>
        <v/>
      </c>
      <c r="I71" s="108" t="str">
        <f>IF(AND($C71&lt;&gt;"",$E71&lt;&gt;"Full Refresher"),'G1 MT Reading Scoresheet'!$P74,"")</f>
        <v/>
      </c>
      <c r="J71" s="109" t="str">
        <f>'G1 MT Reading Scoresheet'!$U74</f>
        <v/>
      </c>
      <c r="K71" s="110" t="str">
        <f>IF('G1 MT Reading Scoresheet'!V74&lt;&gt;"",'G1 MT Reading Scoresheet'!V74,"")</f>
        <v/>
      </c>
    </row>
    <row r="72" spans="1:11">
      <c r="A72" s="49">
        <f t="shared" si="0"/>
        <v>65</v>
      </c>
      <c r="B72" s="98" t="str">
        <f>IF('G1 MT Reading Scoresheet'!B75&lt;&gt;"",'G1 MT Reading Scoresheet'!B75,"")</f>
        <v/>
      </c>
      <c r="C72" s="99" t="str">
        <f>IF('G1 MT Reading Scoresheet'!C75&lt;&gt;"",'G1 MT Reading Scoresheet'!C75,"")</f>
        <v/>
      </c>
      <c r="D72" s="100" t="str">
        <f>IF('G1 MT Reading Scoresheet'!D75&lt;&gt;"",'G1 MT Reading Scoresheet'!D75,"")</f>
        <v/>
      </c>
      <c r="E72" s="95" t="str">
        <f>'G1 MT Reading Scoresheet'!J75</f>
        <v/>
      </c>
      <c r="F72" s="96" t="str">
        <f>IF($C72&lt;&gt;"",'G1 MT Reading Scoresheet'!$I75/30,"")</f>
        <v/>
      </c>
      <c r="G72" s="96" t="str">
        <f>IF(AND($C72&lt;&gt;"",$E72&lt;&gt;"Full Refresher"),'G1 MT Reading Scoresheet'!$Q75,"")</f>
        <v/>
      </c>
      <c r="H72" s="97" t="str">
        <f>IF(AND($C72&lt;&gt;"",$E72&lt;&gt;"Full Refresher"),'G1 MT Reading Scoresheet'!$R75/5,"")</f>
        <v/>
      </c>
      <c r="I72" s="108" t="str">
        <f>IF(AND($C72&lt;&gt;"",$E72&lt;&gt;"Full Refresher"),'G1 MT Reading Scoresheet'!$P75,"")</f>
        <v/>
      </c>
      <c r="J72" s="109" t="str">
        <f>'G1 MT Reading Scoresheet'!$U75</f>
        <v/>
      </c>
      <c r="K72" s="111" t="str">
        <f>IF('G1 MT Reading Scoresheet'!V75&lt;&gt;"",'G1 MT Reading Scoresheet'!V75,"")</f>
        <v/>
      </c>
    </row>
    <row r="73" spans="1:11">
      <c r="A73" s="91">
        <f t="shared" si="0"/>
        <v>66</v>
      </c>
      <c r="B73" s="92" t="str">
        <f>IF('G1 MT Reading Scoresheet'!B76&lt;&gt;"",'G1 MT Reading Scoresheet'!B76,"")</f>
        <v/>
      </c>
      <c r="C73" s="93" t="str">
        <f>IF('G1 MT Reading Scoresheet'!C76&lt;&gt;"",'G1 MT Reading Scoresheet'!C76,"")</f>
        <v/>
      </c>
      <c r="D73" s="94" t="str">
        <f>IF('G1 MT Reading Scoresheet'!D76&lt;&gt;"",'G1 MT Reading Scoresheet'!D76,"")</f>
        <v/>
      </c>
      <c r="E73" s="95" t="str">
        <f>'G1 MT Reading Scoresheet'!J76</f>
        <v/>
      </c>
      <c r="F73" s="96" t="str">
        <f>IF($C73&lt;&gt;"",'G1 MT Reading Scoresheet'!$I76/30,"")</f>
        <v/>
      </c>
      <c r="G73" s="96" t="str">
        <f>IF(AND($C73&lt;&gt;"",$E73&lt;&gt;"Full Refresher"),'G1 MT Reading Scoresheet'!$Q76,"")</f>
        <v/>
      </c>
      <c r="H73" s="97" t="str">
        <f>IF(AND($C73&lt;&gt;"",$E73&lt;&gt;"Full Refresher"),'G1 MT Reading Scoresheet'!$R76/5,"")</f>
        <v/>
      </c>
      <c r="I73" s="108" t="str">
        <f>IF(AND($C73&lt;&gt;"",$E73&lt;&gt;"Full Refresher"),'G1 MT Reading Scoresheet'!$P76,"")</f>
        <v/>
      </c>
      <c r="J73" s="109" t="str">
        <f>'G1 MT Reading Scoresheet'!$U76</f>
        <v/>
      </c>
      <c r="K73" s="110" t="str">
        <f>IF('G1 MT Reading Scoresheet'!V76&lt;&gt;"",'G1 MT Reading Scoresheet'!V76,"")</f>
        <v/>
      </c>
    </row>
    <row r="74" spans="1:11">
      <c r="A74" s="49">
        <f t="shared" si="0"/>
        <v>67</v>
      </c>
      <c r="B74" s="98" t="str">
        <f>IF('G1 MT Reading Scoresheet'!B77&lt;&gt;"",'G1 MT Reading Scoresheet'!B77,"")</f>
        <v/>
      </c>
      <c r="C74" s="99" t="str">
        <f>IF('G1 MT Reading Scoresheet'!C77&lt;&gt;"",'G1 MT Reading Scoresheet'!C77,"")</f>
        <v/>
      </c>
      <c r="D74" s="100" t="str">
        <f>IF('G1 MT Reading Scoresheet'!D77&lt;&gt;"",'G1 MT Reading Scoresheet'!D77,"")</f>
        <v/>
      </c>
      <c r="E74" s="95" t="str">
        <f>'G1 MT Reading Scoresheet'!J77</f>
        <v/>
      </c>
      <c r="F74" s="96" t="str">
        <f>IF($C74&lt;&gt;"",'G1 MT Reading Scoresheet'!$I77/30,"")</f>
        <v/>
      </c>
      <c r="G74" s="96" t="str">
        <f>IF(AND($C74&lt;&gt;"",$E74&lt;&gt;"Full Refresher"),'G1 MT Reading Scoresheet'!$Q77,"")</f>
        <v/>
      </c>
      <c r="H74" s="97" t="str">
        <f>IF(AND($C74&lt;&gt;"",$E74&lt;&gt;"Full Refresher"),'G1 MT Reading Scoresheet'!$R77/5,"")</f>
        <v/>
      </c>
      <c r="I74" s="108" t="str">
        <f>IF(AND($C74&lt;&gt;"",$E74&lt;&gt;"Full Refresher"),'G1 MT Reading Scoresheet'!$P77,"")</f>
        <v/>
      </c>
      <c r="J74" s="109" t="str">
        <f>'G1 MT Reading Scoresheet'!$U77</f>
        <v/>
      </c>
      <c r="K74" s="111" t="str">
        <f>IF('G1 MT Reading Scoresheet'!V77&lt;&gt;"",'G1 MT Reading Scoresheet'!V77,"")</f>
        <v/>
      </c>
    </row>
    <row r="75" spans="1:11">
      <c r="A75" s="91">
        <f t="shared" si="0"/>
        <v>68</v>
      </c>
      <c r="B75" s="92" t="str">
        <f>IF('G1 MT Reading Scoresheet'!B78&lt;&gt;"",'G1 MT Reading Scoresheet'!B78,"")</f>
        <v/>
      </c>
      <c r="C75" s="93" t="str">
        <f>IF('G1 MT Reading Scoresheet'!C78&lt;&gt;"",'G1 MT Reading Scoresheet'!C78,"")</f>
        <v/>
      </c>
      <c r="D75" s="94" t="str">
        <f>IF('G1 MT Reading Scoresheet'!D78&lt;&gt;"",'G1 MT Reading Scoresheet'!D78,"")</f>
        <v/>
      </c>
      <c r="E75" s="95" t="str">
        <f>'G1 MT Reading Scoresheet'!J78</f>
        <v/>
      </c>
      <c r="F75" s="96" t="str">
        <f>IF($C75&lt;&gt;"",'G1 MT Reading Scoresheet'!$I78/30,"")</f>
        <v/>
      </c>
      <c r="G75" s="96" t="str">
        <f>IF(AND($C75&lt;&gt;"",$E75&lt;&gt;"Full Refresher"),'G1 MT Reading Scoresheet'!$Q78,"")</f>
        <v/>
      </c>
      <c r="H75" s="97" t="str">
        <f>IF(AND($C75&lt;&gt;"",$E75&lt;&gt;"Full Refresher"),'G1 MT Reading Scoresheet'!$R78/5,"")</f>
        <v/>
      </c>
      <c r="I75" s="108" t="str">
        <f>IF(AND($C75&lt;&gt;"",$E75&lt;&gt;"Full Refresher"),'G1 MT Reading Scoresheet'!$P78,"")</f>
        <v/>
      </c>
      <c r="J75" s="109" t="str">
        <f>'G1 MT Reading Scoresheet'!$U78</f>
        <v/>
      </c>
      <c r="K75" s="110" t="str">
        <f>IF('G1 MT Reading Scoresheet'!V78&lt;&gt;"",'G1 MT Reading Scoresheet'!V78,"")</f>
        <v/>
      </c>
    </row>
    <row r="76" spans="1:11">
      <c r="A76" s="49">
        <f t="shared" si="0"/>
        <v>69</v>
      </c>
      <c r="B76" s="98" t="str">
        <f>IF('G1 MT Reading Scoresheet'!B79&lt;&gt;"",'G1 MT Reading Scoresheet'!B79,"")</f>
        <v/>
      </c>
      <c r="C76" s="99" t="str">
        <f>IF('G1 MT Reading Scoresheet'!C79&lt;&gt;"",'G1 MT Reading Scoresheet'!C79,"")</f>
        <v/>
      </c>
      <c r="D76" s="100" t="str">
        <f>IF('G1 MT Reading Scoresheet'!D79&lt;&gt;"",'G1 MT Reading Scoresheet'!D79,"")</f>
        <v/>
      </c>
      <c r="E76" s="95" t="str">
        <f>'G1 MT Reading Scoresheet'!J79</f>
        <v/>
      </c>
      <c r="F76" s="96" t="str">
        <f>IF($C76&lt;&gt;"",'G1 MT Reading Scoresheet'!$I79/30,"")</f>
        <v/>
      </c>
      <c r="G76" s="96" t="str">
        <f>IF(AND($C76&lt;&gt;"",$E76&lt;&gt;"Full Refresher"),'G1 MT Reading Scoresheet'!$Q79,"")</f>
        <v/>
      </c>
      <c r="H76" s="97" t="str">
        <f>IF(AND($C76&lt;&gt;"",$E76&lt;&gt;"Full Refresher"),'G1 MT Reading Scoresheet'!$R79/5,"")</f>
        <v/>
      </c>
      <c r="I76" s="108" t="str">
        <f>IF(AND($C76&lt;&gt;"",$E76&lt;&gt;"Full Refresher"),'G1 MT Reading Scoresheet'!$P79,"")</f>
        <v/>
      </c>
      <c r="J76" s="109" t="str">
        <f>'G1 MT Reading Scoresheet'!$U79</f>
        <v/>
      </c>
      <c r="K76" s="111" t="str">
        <f>IF('G1 MT Reading Scoresheet'!V79&lt;&gt;"",'G1 MT Reading Scoresheet'!V79,"")</f>
        <v/>
      </c>
    </row>
    <row r="77" spans="1:11">
      <c r="A77" s="91">
        <f t="shared" si="0"/>
        <v>70</v>
      </c>
      <c r="B77" s="92" t="str">
        <f>IF('G1 MT Reading Scoresheet'!B80&lt;&gt;"",'G1 MT Reading Scoresheet'!B80,"")</f>
        <v/>
      </c>
      <c r="C77" s="93" t="str">
        <f>IF('G1 MT Reading Scoresheet'!C80&lt;&gt;"",'G1 MT Reading Scoresheet'!C80,"")</f>
        <v/>
      </c>
      <c r="D77" s="94" t="str">
        <f>IF('G1 MT Reading Scoresheet'!D80&lt;&gt;"",'G1 MT Reading Scoresheet'!D80,"")</f>
        <v/>
      </c>
      <c r="E77" s="95" t="str">
        <f>'G1 MT Reading Scoresheet'!J80</f>
        <v/>
      </c>
      <c r="F77" s="96" t="str">
        <f>IF($C77&lt;&gt;"",'G1 MT Reading Scoresheet'!$I80/30,"")</f>
        <v/>
      </c>
      <c r="G77" s="96" t="str">
        <f>IF(AND($C77&lt;&gt;"",$E77&lt;&gt;"Full Refresher"),'G1 MT Reading Scoresheet'!$Q80,"")</f>
        <v/>
      </c>
      <c r="H77" s="97" t="str">
        <f>IF(AND($C77&lt;&gt;"",$E77&lt;&gt;"Full Refresher"),'G1 MT Reading Scoresheet'!$R80/5,"")</f>
        <v/>
      </c>
      <c r="I77" s="108" t="str">
        <f>IF(AND($C77&lt;&gt;"",$E77&lt;&gt;"Full Refresher"),'G1 MT Reading Scoresheet'!$P80,"")</f>
        <v/>
      </c>
      <c r="J77" s="109" t="str">
        <f>'G1 MT Reading Scoresheet'!$U80</f>
        <v/>
      </c>
      <c r="K77" s="110" t="str">
        <f>IF('G1 MT Reading Scoresheet'!V80&lt;&gt;"",'G1 MT Reading Scoresheet'!V80,"")</f>
        <v/>
      </c>
    </row>
    <row r="78" spans="1:11">
      <c r="A78" s="49">
        <f t="shared" si="0"/>
        <v>71</v>
      </c>
      <c r="B78" s="98" t="str">
        <f>IF('G1 MT Reading Scoresheet'!B81&lt;&gt;"",'G1 MT Reading Scoresheet'!B81,"")</f>
        <v/>
      </c>
      <c r="C78" s="99" t="str">
        <f>IF('G1 MT Reading Scoresheet'!C81&lt;&gt;"",'G1 MT Reading Scoresheet'!C81,"")</f>
        <v/>
      </c>
      <c r="D78" s="100" t="str">
        <f>IF('G1 MT Reading Scoresheet'!D81&lt;&gt;"",'G1 MT Reading Scoresheet'!D81,"")</f>
        <v/>
      </c>
      <c r="E78" s="95" t="str">
        <f>'G1 MT Reading Scoresheet'!J81</f>
        <v/>
      </c>
      <c r="F78" s="96" t="str">
        <f>IF($C78&lt;&gt;"",'G1 MT Reading Scoresheet'!$I81/30,"")</f>
        <v/>
      </c>
      <c r="G78" s="96" t="str">
        <f>IF(AND($C78&lt;&gt;"",$E78&lt;&gt;"Full Refresher"),'G1 MT Reading Scoresheet'!$Q81,"")</f>
        <v/>
      </c>
      <c r="H78" s="97" t="str">
        <f>IF(AND($C78&lt;&gt;"",$E78&lt;&gt;"Full Refresher"),'G1 MT Reading Scoresheet'!$R81/5,"")</f>
        <v/>
      </c>
      <c r="I78" s="108" t="str">
        <f>IF(AND($C78&lt;&gt;"",$E78&lt;&gt;"Full Refresher"),'G1 MT Reading Scoresheet'!$P81,"")</f>
        <v/>
      </c>
      <c r="J78" s="109" t="str">
        <f>'G1 MT Reading Scoresheet'!$U81</f>
        <v/>
      </c>
      <c r="K78" s="111" t="str">
        <f>IF('G1 MT Reading Scoresheet'!V81&lt;&gt;"",'G1 MT Reading Scoresheet'!V81,"")</f>
        <v/>
      </c>
    </row>
    <row r="79" spans="1:11">
      <c r="A79" s="91">
        <f t="shared" si="0"/>
        <v>72</v>
      </c>
      <c r="B79" s="92" t="str">
        <f>IF('G1 MT Reading Scoresheet'!B82&lt;&gt;"",'G1 MT Reading Scoresheet'!B82,"")</f>
        <v/>
      </c>
      <c r="C79" s="93" t="str">
        <f>IF('G1 MT Reading Scoresheet'!C82&lt;&gt;"",'G1 MT Reading Scoresheet'!C82,"")</f>
        <v/>
      </c>
      <c r="D79" s="94" t="str">
        <f>IF('G1 MT Reading Scoresheet'!D82&lt;&gt;"",'G1 MT Reading Scoresheet'!D82,"")</f>
        <v/>
      </c>
      <c r="E79" s="95" t="str">
        <f>'G1 MT Reading Scoresheet'!J82</f>
        <v/>
      </c>
      <c r="F79" s="96" t="str">
        <f>IF($C79&lt;&gt;"",'G1 MT Reading Scoresheet'!$I82/30,"")</f>
        <v/>
      </c>
      <c r="G79" s="96" t="str">
        <f>IF(AND($C79&lt;&gt;"",$E79&lt;&gt;"Full Refresher"),'G1 MT Reading Scoresheet'!$Q82,"")</f>
        <v/>
      </c>
      <c r="H79" s="97" t="str">
        <f>IF(AND($C79&lt;&gt;"",$E79&lt;&gt;"Full Refresher"),'G1 MT Reading Scoresheet'!$R82/5,"")</f>
        <v/>
      </c>
      <c r="I79" s="108" t="str">
        <f>IF(AND($C79&lt;&gt;"",$E79&lt;&gt;"Full Refresher"),'G1 MT Reading Scoresheet'!$P82,"")</f>
        <v/>
      </c>
      <c r="J79" s="109" t="str">
        <f>'G1 MT Reading Scoresheet'!$U82</f>
        <v/>
      </c>
      <c r="K79" s="110" t="str">
        <f>IF('G1 MT Reading Scoresheet'!V82&lt;&gt;"",'G1 MT Reading Scoresheet'!V82,"")</f>
        <v/>
      </c>
    </row>
    <row r="80" spans="1:11">
      <c r="A80" s="49">
        <f t="shared" si="0"/>
        <v>73</v>
      </c>
      <c r="B80" s="98" t="str">
        <f>IF('G1 MT Reading Scoresheet'!B83&lt;&gt;"",'G1 MT Reading Scoresheet'!B83,"")</f>
        <v/>
      </c>
      <c r="C80" s="99" t="str">
        <f>IF('G1 MT Reading Scoresheet'!C83&lt;&gt;"",'G1 MT Reading Scoresheet'!C83,"")</f>
        <v/>
      </c>
      <c r="D80" s="100" t="str">
        <f>IF('G1 MT Reading Scoresheet'!D83&lt;&gt;"",'G1 MT Reading Scoresheet'!D83,"")</f>
        <v/>
      </c>
      <c r="E80" s="95" t="str">
        <f>'G1 MT Reading Scoresheet'!J83</f>
        <v/>
      </c>
      <c r="F80" s="96" t="str">
        <f>IF($C80&lt;&gt;"",'G1 MT Reading Scoresheet'!$I83/30,"")</f>
        <v/>
      </c>
      <c r="G80" s="96" t="str">
        <f>IF(AND($C80&lt;&gt;"",$E80&lt;&gt;"Full Refresher"),'G1 MT Reading Scoresheet'!$Q83,"")</f>
        <v/>
      </c>
      <c r="H80" s="97" t="str">
        <f>IF(AND($C80&lt;&gt;"",$E80&lt;&gt;"Full Refresher"),'G1 MT Reading Scoresheet'!$R83/5,"")</f>
        <v/>
      </c>
      <c r="I80" s="108" t="str">
        <f>IF(AND($C80&lt;&gt;"",$E80&lt;&gt;"Full Refresher"),'G1 MT Reading Scoresheet'!$P83,"")</f>
        <v/>
      </c>
      <c r="J80" s="109" t="str">
        <f>'G1 MT Reading Scoresheet'!$U83</f>
        <v/>
      </c>
      <c r="K80" s="111" t="str">
        <f>IF('G1 MT Reading Scoresheet'!V83&lt;&gt;"",'G1 MT Reading Scoresheet'!V83,"")</f>
        <v/>
      </c>
    </row>
    <row r="81" spans="1:11">
      <c r="A81" s="91">
        <f t="shared" si="0"/>
        <v>74</v>
      </c>
      <c r="B81" s="92" t="str">
        <f>IF('G1 MT Reading Scoresheet'!B84&lt;&gt;"",'G1 MT Reading Scoresheet'!B84,"")</f>
        <v/>
      </c>
      <c r="C81" s="93" t="str">
        <f>IF('G1 MT Reading Scoresheet'!C84&lt;&gt;"",'G1 MT Reading Scoresheet'!C84,"")</f>
        <v/>
      </c>
      <c r="D81" s="94" t="str">
        <f>IF('G1 MT Reading Scoresheet'!D84&lt;&gt;"",'G1 MT Reading Scoresheet'!D84,"")</f>
        <v/>
      </c>
      <c r="E81" s="95" t="str">
        <f>'G1 MT Reading Scoresheet'!J84</f>
        <v/>
      </c>
      <c r="F81" s="96" t="str">
        <f>IF($C81&lt;&gt;"",'G1 MT Reading Scoresheet'!$I84/30,"")</f>
        <v/>
      </c>
      <c r="G81" s="96" t="str">
        <f>IF(AND($C81&lt;&gt;"",$E81&lt;&gt;"Full Refresher"),'G1 MT Reading Scoresheet'!$Q84,"")</f>
        <v/>
      </c>
      <c r="H81" s="97" t="str">
        <f>IF(AND($C81&lt;&gt;"",$E81&lt;&gt;"Full Refresher"),'G1 MT Reading Scoresheet'!$R84/5,"")</f>
        <v/>
      </c>
      <c r="I81" s="108" t="str">
        <f>IF(AND($C81&lt;&gt;"",$E81&lt;&gt;"Full Refresher"),'G1 MT Reading Scoresheet'!$P84,"")</f>
        <v/>
      </c>
      <c r="J81" s="109" t="str">
        <f>'G1 MT Reading Scoresheet'!$U84</f>
        <v/>
      </c>
      <c r="K81" s="110" t="str">
        <f>IF('G1 MT Reading Scoresheet'!V84&lt;&gt;"",'G1 MT Reading Scoresheet'!V84,"")</f>
        <v/>
      </c>
    </row>
    <row r="82" spans="1:11">
      <c r="A82" s="49">
        <f t="shared" si="0"/>
        <v>75</v>
      </c>
      <c r="B82" s="98" t="str">
        <f>IF('G1 MT Reading Scoresheet'!B85&lt;&gt;"",'G1 MT Reading Scoresheet'!B85,"")</f>
        <v/>
      </c>
      <c r="C82" s="99" t="str">
        <f>IF('G1 MT Reading Scoresheet'!C85&lt;&gt;"",'G1 MT Reading Scoresheet'!C85,"")</f>
        <v/>
      </c>
      <c r="D82" s="100" t="str">
        <f>IF('G1 MT Reading Scoresheet'!D85&lt;&gt;"",'G1 MT Reading Scoresheet'!D85,"")</f>
        <v/>
      </c>
      <c r="E82" s="95" t="str">
        <f>'G1 MT Reading Scoresheet'!J85</f>
        <v/>
      </c>
      <c r="F82" s="96" t="str">
        <f>IF($C82&lt;&gt;"",'G1 MT Reading Scoresheet'!$I85/30,"")</f>
        <v/>
      </c>
      <c r="G82" s="96" t="str">
        <f>IF(AND($C82&lt;&gt;"",$E82&lt;&gt;"Full Refresher"),'G1 MT Reading Scoresheet'!$Q85,"")</f>
        <v/>
      </c>
      <c r="H82" s="97" t="str">
        <f>IF(AND($C82&lt;&gt;"",$E82&lt;&gt;"Full Refresher"),'G1 MT Reading Scoresheet'!$R85/5,"")</f>
        <v/>
      </c>
      <c r="I82" s="108" t="str">
        <f>IF(AND($C82&lt;&gt;"",$E82&lt;&gt;"Full Refresher"),'G1 MT Reading Scoresheet'!$P85,"")</f>
        <v/>
      </c>
      <c r="J82" s="109" t="str">
        <f>'G1 MT Reading Scoresheet'!$U85</f>
        <v/>
      </c>
      <c r="K82" s="111" t="str">
        <f>IF('G1 MT Reading Scoresheet'!V85&lt;&gt;"",'G1 MT Reading Scoresheet'!V85,"")</f>
        <v/>
      </c>
    </row>
    <row r="83" spans="1:11">
      <c r="A83" s="91">
        <f t="shared" si="0"/>
        <v>76</v>
      </c>
      <c r="B83" s="92" t="str">
        <f>IF('G1 MT Reading Scoresheet'!B86&lt;&gt;"",'G1 MT Reading Scoresheet'!B86,"")</f>
        <v/>
      </c>
      <c r="C83" s="93" t="str">
        <f>IF('G1 MT Reading Scoresheet'!C86&lt;&gt;"",'G1 MT Reading Scoresheet'!C86,"")</f>
        <v/>
      </c>
      <c r="D83" s="94" t="str">
        <f>IF('G1 MT Reading Scoresheet'!D86&lt;&gt;"",'G1 MT Reading Scoresheet'!D86,"")</f>
        <v/>
      </c>
      <c r="E83" s="95" t="str">
        <f>'G1 MT Reading Scoresheet'!J86</f>
        <v/>
      </c>
      <c r="F83" s="96" t="str">
        <f>IF($C83&lt;&gt;"",'G1 MT Reading Scoresheet'!$I86/30,"")</f>
        <v/>
      </c>
      <c r="G83" s="96" t="str">
        <f>IF(AND($C83&lt;&gt;"",$E83&lt;&gt;"Full Refresher"),'G1 MT Reading Scoresheet'!$Q86,"")</f>
        <v/>
      </c>
      <c r="H83" s="97" t="str">
        <f>IF(AND($C83&lt;&gt;"",$E83&lt;&gt;"Full Refresher"),'G1 MT Reading Scoresheet'!$R86/5,"")</f>
        <v/>
      </c>
      <c r="I83" s="108" t="str">
        <f>IF(AND($C83&lt;&gt;"",$E83&lt;&gt;"Full Refresher"),'G1 MT Reading Scoresheet'!$P86,"")</f>
        <v/>
      </c>
      <c r="J83" s="109" t="str">
        <f>'G1 MT Reading Scoresheet'!$U86</f>
        <v/>
      </c>
      <c r="K83" s="110" t="str">
        <f>IF('G1 MT Reading Scoresheet'!V86&lt;&gt;"",'G1 MT Reading Scoresheet'!V86,"")</f>
        <v/>
      </c>
    </row>
    <row r="84" spans="1:11">
      <c r="A84" s="49">
        <f t="shared" si="0"/>
        <v>77</v>
      </c>
      <c r="B84" s="98" t="str">
        <f>IF('G1 MT Reading Scoresheet'!B87&lt;&gt;"",'G1 MT Reading Scoresheet'!B87,"")</f>
        <v/>
      </c>
      <c r="C84" s="99" t="str">
        <f>IF('G1 MT Reading Scoresheet'!C87&lt;&gt;"",'G1 MT Reading Scoresheet'!C87,"")</f>
        <v/>
      </c>
      <c r="D84" s="100" t="str">
        <f>IF('G1 MT Reading Scoresheet'!D87&lt;&gt;"",'G1 MT Reading Scoresheet'!D87,"")</f>
        <v/>
      </c>
      <c r="E84" s="95" t="str">
        <f>'G1 MT Reading Scoresheet'!J87</f>
        <v/>
      </c>
      <c r="F84" s="96" t="str">
        <f>IF($C84&lt;&gt;"",'G1 MT Reading Scoresheet'!$I87/30,"")</f>
        <v/>
      </c>
      <c r="G84" s="96" t="str">
        <f>IF(AND($C84&lt;&gt;"",$E84&lt;&gt;"Full Refresher"),'G1 MT Reading Scoresheet'!$Q87,"")</f>
        <v/>
      </c>
      <c r="H84" s="97" t="str">
        <f>IF(AND($C84&lt;&gt;"",$E84&lt;&gt;"Full Refresher"),'G1 MT Reading Scoresheet'!$R87/5,"")</f>
        <v/>
      </c>
      <c r="I84" s="108" t="str">
        <f>IF(AND($C84&lt;&gt;"",$E84&lt;&gt;"Full Refresher"),'G1 MT Reading Scoresheet'!$P87,"")</f>
        <v/>
      </c>
      <c r="J84" s="109" t="str">
        <f>'G1 MT Reading Scoresheet'!$U87</f>
        <v/>
      </c>
      <c r="K84" s="111" t="str">
        <f>IF('G1 MT Reading Scoresheet'!V87&lt;&gt;"",'G1 MT Reading Scoresheet'!V87,"")</f>
        <v/>
      </c>
    </row>
    <row r="85" spans="1:11">
      <c r="A85" s="91">
        <f t="shared" si="0"/>
        <v>78</v>
      </c>
      <c r="B85" s="92" t="str">
        <f>IF('G1 MT Reading Scoresheet'!B88&lt;&gt;"",'G1 MT Reading Scoresheet'!B88,"")</f>
        <v/>
      </c>
      <c r="C85" s="93" t="str">
        <f>IF('G1 MT Reading Scoresheet'!C88&lt;&gt;"",'G1 MT Reading Scoresheet'!C88,"")</f>
        <v/>
      </c>
      <c r="D85" s="94" t="str">
        <f>IF('G1 MT Reading Scoresheet'!D88&lt;&gt;"",'G1 MT Reading Scoresheet'!D88,"")</f>
        <v/>
      </c>
      <c r="E85" s="95" t="str">
        <f>'G1 MT Reading Scoresheet'!J88</f>
        <v/>
      </c>
      <c r="F85" s="96" t="str">
        <f>IF($C85&lt;&gt;"",'G1 MT Reading Scoresheet'!$I88/30,"")</f>
        <v/>
      </c>
      <c r="G85" s="96" t="str">
        <f>IF(AND($C85&lt;&gt;"",$E85&lt;&gt;"Full Refresher"),'G1 MT Reading Scoresheet'!$Q88,"")</f>
        <v/>
      </c>
      <c r="H85" s="97" t="str">
        <f>IF(AND($C85&lt;&gt;"",$E85&lt;&gt;"Full Refresher"),'G1 MT Reading Scoresheet'!$R88/5,"")</f>
        <v/>
      </c>
      <c r="I85" s="108" t="str">
        <f>IF(AND($C85&lt;&gt;"",$E85&lt;&gt;"Full Refresher"),'G1 MT Reading Scoresheet'!$P88,"")</f>
        <v/>
      </c>
      <c r="J85" s="109" t="str">
        <f>'G1 MT Reading Scoresheet'!$U88</f>
        <v/>
      </c>
      <c r="K85" s="110" t="str">
        <f>IF('G1 MT Reading Scoresheet'!V88&lt;&gt;"",'G1 MT Reading Scoresheet'!V88,"")</f>
        <v/>
      </c>
    </row>
    <row r="86" spans="1:11">
      <c r="A86" s="49">
        <f t="shared" si="0"/>
        <v>79</v>
      </c>
      <c r="B86" s="98" t="str">
        <f>IF('G1 MT Reading Scoresheet'!B89&lt;&gt;"",'G1 MT Reading Scoresheet'!B89,"")</f>
        <v/>
      </c>
      <c r="C86" s="99" t="str">
        <f>IF('G1 MT Reading Scoresheet'!C89&lt;&gt;"",'G1 MT Reading Scoresheet'!C89,"")</f>
        <v/>
      </c>
      <c r="D86" s="100" t="str">
        <f>IF('G1 MT Reading Scoresheet'!D89&lt;&gt;"",'G1 MT Reading Scoresheet'!D89,"")</f>
        <v/>
      </c>
      <c r="E86" s="95" t="str">
        <f>'G1 MT Reading Scoresheet'!J89</f>
        <v/>
      </c>
      <c r="F86" s="96" t="str">
        <f>IF($C86&lt;&gt;"",'G1 MT Reading Scoresheet'!$I89/30,"")</f>
        <v/>
      </c>
      <c r="G86" s="96" t="str">
        <f>IF(AND($C86&lt;&gt;"",$E86&lt;&gt;"Full Refresher"),'G1 MT Reading Scoresheet'!$Q89,"")</f>
        <v/>
      </c>
      <c r="H86" s="97" t="str">
        <f>IF(AND($C86&lt;&gt;"",$E86&lt;&gt;"Full Refresher"),'G1 MT Reading Scoresheet'!$R89/5,"")</f>
        <v/>
      </c>
      <c r="I86" s="108" t="str">
        <f>IF(AND($C86&lt;&gt;"",$E86&lt;&gt;"Full Refresher"),'G1 MT Reading Scoresheet'!$P89,"")</f>
        <v/>
      </c>
      <c r="J86" s="109" t="str">
        <f>'G1 MT Reading Scoresheet'!$U89</f>
        <v/>
      </c>
      <c r="K86" s="111" t="str">
        <f>IF('G1 MT Reading Scoresheet'!V89&lt;&gt;"",'G1 MT Reading Scoresheet'!V89,"")</f>
        <v/>
      </c>
    </row>
    <row r="87" spans="1:11">
      <c r="A87" s="91">
        <f t="shared" si="0"/>
        <v>80</v>
      </c>
      <c r="B87" s="92" t="str">
        <f>IF('G1 MT Reading Scoresheet'!B90&lt;&gt;"",'G1 MT Reading Scoresheet'!B90,"")</f>
        <v/>
      </c>
      <c r="C87" s="93" t="str">
        <f>IF('G1 MT Reading Scoresheet'!C90&lt;&gt;"",'G1 MT Reading Scoresheet'!C90,"")</f>
        <v/>
      </c>
      <c r="D87" s="94" t="str">
        <f>IF('G1 MT Reading Scoresheet'!D90&lt;&gt;"",'G1 MT Reading Scoresheet'!D90,"")</f>
        <v/>
      </c>
      <c r="E87" s="95" t="str">
        <f>'G1 MT Reading Scoresheet'!J90</f>
        <v/>
      </c>
      <c r="F87" s="96" t="str">
        <f>IF($C87&lt;&gt;"",'G1 MT Reading Scoresheet'!$I90/30,"")</f>
        <v/>
      </c>
      <c r="G87" s="96" t="str">
        <f>IF(AND($C87&lt;&gt;"",$E87&lt;&gt;"Full Refresher"),'G1 MT Reading Scoresheet'!$Q90,"")</f>
        <v/>
      </c>
      <c r="H87" s="97" t="str">
        <f>IF(AND($C87&lt;&gt;"",$E87&lt;&gt;"Full Refresher"),'G1 MT Reading Scoresheet'!$R90/5,"")</f>
        <v/>
      </c>
      <c r="I87" s="108" t="str">
        <f>IF(AND($C87&lt;&gt;"",$E87&lt;&gt;"Full Refresher"),'G1 MT Reading Scoresheet'!$P90,"")</f>
        <v/>
      </c>
      <c r="J87" s="109" t="str">
        <f>'G1 MT Reading Scoresheet'!$U90</f>
        <v/>
      </c>
      <c r="K87" s="110" t="str">
        <f>IF('G1 MT Reading Scoresheet'!V90&lt;&gt;"",'G1 MT Reading Scoresheet'!V90,"")</f>
        <v/>
      </c>
    </row>
    <row r="88" spans="1:11">
      <c r="A88" s="49">
        <f t="shared" si="0"/>
        <v>81</v>
      </c>
      <c r="B88" s="98" t="str">
        <f>IF('G1 MT Reading Scoresheet'!B91&lt;&gt;"",'G1 MT Reading Scoresheet'!B91,"")</f>
        <v/>
      </c>
      <c r="C88" s="99" t="str">
        <f>IF('G1 MT Reading Scoresheet'!C91&lt;&gt;"",'G1 MT Reading Scoresheet'!C91,"")</f>
        <v/>
      </c>
      <c r="D88" s="100" t="str">
        <f>IF('G1 MT Reading Scoresheet'!D91&lt;&gt;"",'G1 MT Reading Scoresheet'!D91,"")</f>
        <v/>
      </c>
      <c r="E88" s="95" t="str">
        <f>'G1 MT Reading Scoresheet'!J91</f>
        <v/>
      </c>
      <c r="F88" s="96" t="str">
        <f>IF($C88&lt;&gt;"",'G1 MT Reading Scoresheet'!$I91/30,"")</f>
        <v/>
      </c>
      <c r="G88" s="96" t="str">
        <f>IF(AND($C88&lt;&gt;"",$E88&lt;&gt;"Full Refresher"),'G1 MT Reading Scoresheet'!$Q91,"")</f>
        <v/>
      </c>
      <c r="H88" s="97" t="str">
        <f>IF(AND($C88&lt;&gt;"",$E88&lt;&gt;"Full Refresher"),'G1 MT Reading Scoresheet'!$R91/5,"")</f>
        <v/>
      </c>
      <c r="I88" s="108" t="str">
        <f>IF(AND($C88&lt;&gt;"",$E88&lt;&gt;"Full Refresher"),'G1 MT Reading Scoresheet'!$P91,"")</f>
        <v/>
      </c>
      <c r="J88" s="109" t="str">
        <f>'G1 MT Reading Scoresheet'!$U91</f>
        <v/>
      </c>
      <c r="K88" s="111" t="str">
        <f>IF('G1 MT Reading Scoresheet'!V91&lt;&gt;"",'G1 MT Reading Scoresheet'!V91,"")</f>
        <v/>
      </c>
    </row>
    <row r="89" spans="1:11">
      <c r="A89" s="91">
        <f t="shared" si="0"/>
        <v>82</v>
      </c>
      <c r="B89" s="92" t="str">
        <f>IF('G1 MT Reading Scoresheet'!B92&lt;&gt;"",'G1 MT Reading Scoresheet'!B92,"")</f>
        <v/>
      </c>
      <c r="C89" s="93" t="str">
        <f>IF('G1 MT Reading Scoresheet'!C92&lt;&gt;"",'G1 MT Reading Scoresheet'!C92,"")</f>
        <v/>
      </c>
      <c r="D89" s="94" t="str">
        <f>IF('G1 MT Reading Scoresheet'!D92&lt;&gt;"",'G1 MT Reading Scoresheet'!D92,"")</f>
        <v/>
      </c>
      <c r="E89" s="95" t="str">
        <f>'G1 MT Reading Scoresheet'!J92</f>
        <v/>
      </c>
      <c r="F89" s="96" t="str">
        <f>IF($C89&lt;&gt;"",'G1 MT Reading Scoresheet'!$I92/30,"")</f>
        <v/>
      </c>
      <c r="G89" s="96" t="str">
        <f>IF(AND($C89&lt;&gt;"",$E89&lt;&gt;"Full Refresher"),'G1 MT Reading Scoresheet'!$Q92,"")</f>
        <v/>
      </c>
      <c r="H89" s="97" t="str">
        <f>IF(AND($C89&lt;&gt;"",$E89&lt;&gt;"Full Refresher"),'G1 MT Reading Scoresheet'!$R92/5,"")</f>
        <v/>
      </c>
      <c r="I89" s="108" t="str">
        <f>IF(AND($C89&lt;&gt;"",$E89&lt;&gt;"Full Refresher"),'G1 MT Reading Scoresheet'!$P92,"")</f>
        <v/>
      </c>
      <c r="J89" s="109" t="str">
        <f>'G1 MT Reading Scoresheet'!$U92</f>
        <v/>
      </c>
      <c r="K89" s="110" t="str">
        <f>IF('G1 MT Reading Scoresheet'!V92&lt;&gt;"",'G1 MT Reading Scoresheet'!V92,"")</f>
        <v/>
      </c>
    </row>
    <row r="90" spans="1:11">
      <c r="A90" s="49">
        <f t="shared" si="0"/>
        <v>83</v>
      </c>
      <c r="B90" s="98" t="str">
        <f>IF('G1 MT Reading Scoresheet'!B93&lt;&gt;"",'G1 MT Reading Scoresheet'!B93,"")</f>
        <v/>
      </c>
      <c r="C90" s="99" t="str">
        <f>IF('G1 MT Reading Scoresheet'!C93&lt;&gt;"",'G1 MT Reading Scoresheet'!C93,"")</f>
        <v/>
      </c>
      <c r="D90" s="100" t="str">
        <f>IF('G1 MT Reading Scoresheet'!D93&lt;&gt;"",'G1 MT Reading Scoresheet'!D93,"")</f>
        <v/>
      </c>
      <c r="E90" s="95" t="str">
        <f>'G1 MT Reading Scoresheet'!J93</f>
        <v/>
      </c>
      <c r="F90" s="96" t="str">
        <f>IF($C90&lt;&gt;"",'G1 MT Reading Scoresheet'!$I93/30,"")</f>
        <v/>
      </c>
      <c r="G90" s="96" t="str">
        <f>IF(AND($C90&lt;&gt;"",$E90&lt;&gt;"Full Refresher"),'G1 MT Reading Scoresheet'!$Q93,"")</f>
        <v/>
      </c>
      <c r="H90" s="97" t="str">
        <f>IF(AND($C90&lt;&gt;"",$E90&lt;&gt;"Full Refresher"),'G1 MT Reading Scoresheet'!$R93/5,"")</f>
        <v/>
      </c>
      <c r="I90" s="108" t="str">
        <f>IF(AND($C90&lt;&gt;"",$E90&lt;&gt;"Full Refresher"),'G1 MT Reading Scoresheet'!$P93,"")</f>
        <v/>
      </c>
      <c r="J90" s="109" t="str">
        <f>'G1 MT Reading Scoresheet'!$U93</f>
        <v/>
      </c>
      <c r="K90" s="111" t="str">
        <f>IF('G1 MT Reading Scoresheet'!V93&lt;&gt;"",'G1 MT Reading Scoresheet'!V93,"")</f>
        <v/>
      </c>
    </row>
    <row r="91" spans="1:11">
      <c r="A91" s="91">
        <f t="shared" si="0"/>
        <v>84</v>
      </c>
      <c r="B91" s="92" t="str">
        <f>IF('G1 MT Reading Scoresheet'!B94&lt;&gt;"",'G1 MT Reading Scoresheet'!B94,"")</f>
        <v/>
      </c>
      <c r="C91" s="93" t="str">
        <f>IF('G1 MT Reading Scoresheet'!C94&lt;&gt;"",'G1 MT Reading Scoresheet'!C94,"")</f>
        <v/>
      </c>
      <c r="D91" s="94" t="str">
        <f>IF('G1 MT Reading Scoresheet'!D94&lt;&gt;"",'G1 MT Reading Scoresheet'!D94,"")</f>
        <v/>
      </c>
      <c r="E91" s="95" t="str">
        <f>'G1 MT Reading Scoresheet'!J94</f>
        <v/>
      </c>
      <c r="F91" s="96" t="str">
        <f>IF($C91&lt;&gt;"",'G1 MT Reading Scoresheet'!$I94/30,"")</f>
        <v/>
      </c>
      <c r="G91" s="96" t="str">
        <f>IF(AND($C91&lt;&gt;"",$E91&lt;&gt;"Full Refresher"),'G1 MT Reading Scoresheet'!$Q94,"")</f>
        <v/>
      </c>
      <c r="H91" s="97" t="str">
        <f>IF(AND($C91&lt;&gt;"",$E91&lt;&gt;"Full Refresher"),'G1 MT Reading Scoresheet'!$R94/5,"")</f>
        <v/>
      </c>
      <c r="I91" s="108" t="str">
        <f>IF(AND($C91&lt;&gt;"",$E91&lt;&gt;"Full Refresher"),'G1 MT Reading Scoresheet'!$P94,"")</f>
        <v/>
      </c>
      <c r="J91" s="109" t="str">
        <f>'G1 MT Reading Scoresheet'!$U94</f>
        <v/>
      </c>
      <c r="K91" s="110" t="str">
        <f>IF('G1 MT Reading Scoresheet'!V94&lt;&gt;"",'G1 MT Reading Scoresheet'!V94,"")</f>
        <v/>
      </c>
    </row>
    <row r="92" spans="1:11">
      <c r="A92" s="49">
        <f t="shared" si="0"/>
        <v>85</v>
      </c>
      <c r="B92" s="98" t="str">
        <f>IF('G1 MT Reading Scoresheet'!B95&lt;&gt;"",'G1 MT Reading Scoresheet'!B95,"")</f>
        <v/>
      </c>
      <c r="C92" s="99" t="str">
        <f>IF('G1 MT Reading Scoresheet'!C95&lt;&gt;"",'G1 MT Reading Scoresheet'!C95,"")</f>
        <v/>
      </c>
      <c r="D92" s="100" t="str">
        <f>IF('G1 MT Reading Scoresheet'!D95&lt;&gt;"",'G1 MT Reading Scoresheet'!D95,"")</f>
        <v/>
      </c>
      <c r="E92" s="95" t="str">
        <f>'G1 MT Reading Scoresheet'!J95</f>
        <v/>
      </c>
      <c r="F92" s="96" t="str">
        <f>IF($C92&lt;&gt;"",'G1 MT Reading Scoresheet'!$I95/30,"")</f>
        <v/>
      </c>
      <c r="G92" s="96" t="str">
        <f>IF(AND($C92&lt;&gt;"",$E92&lt;&gt;"Full Refresher"),'G1 MT Reading Scoresheet'!$Q95,"")</f>
        <v/>
      </c>
      <c r="H92" s="97" t="str">
        <f>IF(AND($C92&lt;&gt;"",$E92&lt;&gt;"Full Refresher"),'G1 MT Reading Scoresheet'!$R95/5,"")</f>
        <v/>
      </c>
      <c r="I92" s="108" t="str">
        <f>IF(AND($C92&lt;&gt;"",$E92&lt;&gt;"Full Refresher"),'G1 MT Reading Scoresheet'!$P95,"")</f>
        <v/>
      </c>
      <c r="J92" s="109" t="str">
        <f>'G1 MT Reading Scoresheet'!$U95</f>
        <v/>
      </c>
      <c r="K92" s="111" t="str">
        <f>IF('G1 MT Reading Scoresheet'!V95&lt;&gt;"",'G1 MT Reading Scoresheet'!V95,"")</f>
        <v/>
      </c>
    </row>
    <row r="93" spans="1:11">
      <c r="A93" s="91">
        <f t="shared" si="0"/>
        <v>86</v>
      </c>
      <c r="B93" s="92" t="str">
        <f>IF('G1 MT Reading Scoresheet'!B96&lt;&gt;"",'G1 MT Reading Scoresheet'!B96,"")</f>
        <v/>
      </c>
      <c r="C93" s="93" t="str">
        <f>IF('G1 MT Reading Scoresheet'!C96&lt;&gt;"",'G1 MT Reading Scoresheet'!C96,"")</f>
        <v/>
      </c>
      <c r="D93" s="94" t="str">
        <f>IF('G1 MT Reading Scoresheet'!D96&lt;&gt;"",'G1 MT Reading Scoresheet'!D96,"")</f>
        <v/>
      </c>
      <c r="E93" s="95" t="str">
        <f>'G1 MT Reading Scoresheet'!J96</f>
        <v/>
      </c>
      <c r="F93" s="96" t="str">
        <f>IF($C93&lt;&gt;"",'G1 MT Reading Scoresheet'!$I96/30,"")</f>
        <v/>
      </c>
      <c r="G93" s="96" t="str">
        <f>IF(AND($C93&lt;&gt;"",$E93&lt;&gt;"Full Refresher"),'G1 MT Reading Scoresheet'!$Q96,"")</f>
        <v/>
      </c>
      <c r="H93" s="97" t="str">
        <f>IF(AND($C93&lt;&gt;"",$E93&lt;&gt;"Full Refresher"),'G1 MT Reading Scoresheet'!$R96/5,"")</f>
        <v/>
      </c>
      <c r="I93" s="108" t="str">
        <f>IF(AND($C93&lt;&gt;"",$E93&lt;&gt;"Full Refresher"),'G1 MT Reading Scoresheet'!$P96,"")</f>
        <v/>
      </c>
      <c r="J93" s="109" t="str">
        <f>'G1 MT Reading Scoresheet'!$U96</f>
        <v/>
      </c>
      <c r="K93" s="110" t="str">
        <f>IF('G1 MT Reading Scoresheet'!V96&lt;&gt;"",'G1 MT Reading Scoresheet'!V96,"")</f>
        <v/>
      </c>
    </row>
    <row r="94" spans="1:11">
      <c r="A94" s="49">
        <f t="shared" si="0"/>
        <v>87</v>
      </c>
      <c r="B94" s="98" t="str">
        <f>IF('G1 MT Reading Scoresheet'!B97&lt;&gt;"",'G1 MT Reading Scoresheet'!B97,"")</f>
        <v/>
      </c>
      <c r="C94" s="99" t="str">
        <f>IF('G1 MT Reading Scoresheet'!C97&lt;&gt;"",'G1 MT Reading Scoresheet'!C97,"")</f>
        <v/>
      </c>
      <c r="D94" s="100" t="str">
        <f>IF('G1 MT Reading Scoresheet'!D97&lt;&gt;"",'G1 MT Reading Scoresheet'!D97,"")</f>
        <v/>
      </c>
      <c r="E94" s="95" t="str">
        <f>'G1 MT Reading Scoresheet'!J97</f>
        <v/>
      </c>
      <c r="F94" s="96" t="str">
        <f>IF($C94&lt;&gt;"",'G1 MT Reading Scoresheet'!$I97/30,"")</f>
        <v/>
      </c>
      <c r="G94" s="96" t="str">
        <f>IF(AND($C94&lt;&gt;"",$E94&lt;&gt;"Full Refresher"),'G1 MT Reading Scoresheet'!$Q97,"")</f>
        <v/>
      </c>
      <c r="H94" s="97" t="str">
        <f>IF(AND($C94&lt;&gt;"",$E94&lt;&gt;"Full Refresher"),'G1 MT Reading Scoresheet'!$R97/5,"")</f>
        <v/>
      </c>
      <c r="I94" s="108" t="str">
        <f>IF(AND($C94&lt;&gt;"",$E94&lt;&gt;"Full Refresher"),'G1 MT Reading Scoresheet'!$P97,"")</f>
        <v/>
      </c>
      <c r="J94" s="109" t="str">
        <f>'G1 MT Reading Scoresheet'!$U97</f>
        <v/>
      </c>
      <c r="K94" s="111" t="str">
        <f>IF('G1 MT Reading Scoresheet'!V97&lt;&gt;"",'G1 MT Reading Scoresheet'!V97,"")</f>
        <v/>
      </c>
    </row>
    <row r="95" spans="1:11">
      <c r="A95" s="91">
        <f t="shared" si="0"/>
        <v>88</v>
      </c>
      <c r="B95" s="92" t="str">
        <f>IF('G1 MT Reading Scoresheet'!B98&lt;&gt;"",'G1 MT Reading Scoresheet'!B98,"")</f>
        <v/>
      </c>
      <c r="C95" s="93" t="str">
        <f>IF('G1 MT Reading Scoresheet'!C98&lt;&gt;"",'G1 MT Reading Scoresheet'!C98,"")</f>
        <v/>
      </c>
      <c r="D95" s="94" t="str">
        <f>IF('G1 MT Reading Scoresheet'!D98&lt;&gt;"",'G1 MT Reading Scoresheet'!D98,"")</f>
        <v/>
      </c>
      <c r="E95" s="95" t="str">
        <f>'G1 MT Reading Scoresheet'!J98</f>
        <v/>
      </c>
      <c r="F95" s="96" t="str">
        <f>IF($C95&lt;&gt;"",'G1 MT Reading Scoresheet'!$I98/30,"")</f>
        <v/>
      </c>
      <c r="G95" s="96" t="str">
        <f>IF(AND($C95&lt;&gt;"",$E95&lt;&gt;"Full Refresher"),'G1 MT Reading Scoresheet'!$Q98,"")</f>
        <v/>
      </c>
      <c r="H95" s="97" t="str">
        <f>IF(AND($C95&lt;&gt;"",$E95&lt;&gt;"Full Refresher"),'G1 MT Reading Scoresheet'!$R98/5,"")</f>
        <v/>
      </c>
      <c r="I95" s="108" t="str">
        <f>IF(AND($C95&lt;&gt;"",$E95&lt;&gt;"Full Refresher"),'G1 MT Reading Scoresheet'!$P98,"")</f>
        <v/>
      </c>
      <c r="J95" s="109" t="str">
        <f>'G1 MT Reading Scoresheet'!$U98</f>
        <v/>
      </c>
      <c r="K95" s="110" t="str">
        <f>IF('G1 MT Reading Scoresheet'!V98&lt;&gt;"",'G1 MT Reading Scoresheet'!V98,"")</f>
        <v/>
      </c>
    </row>
    <row r="96" spans="1:11">
      <c r="A96" s="49">
        <f t="shared" si="0"/>
        <v>89</v>
      </c>
      <c r="B96" s="98" t="str">
        <f>IF('G1 MT Reading Scoresheet'!B99&lt;&gt;"",'G1 MT Reading Scoresheet'!B99,"")</f>
        <v/>
      </c>
      <c r="C96" s="99" t="str">
        <f>IF('G1 MT Reading Scoresheet'!C99&lt;&gt;"",'G1 MT Reading Scoresheet'!C99,"")</f>
        <v/>
      </c>
      <c r="D96" s="100" t="str">
        <f>IF('G1 MT Reading Scoresheet'!D99&lt;&gt;"",'G1 MT Reading Scoresheet'!D99,"")</f>
        <v/>
      </c>
      <c r="E96" s="95" t="str">
        <f>'G1 MT Reading Scoresheet'!J99</f>
        <v/>
      </c>
      <c r="F96" s="96" t="str">
        <f>IF($C96&lt;&gt;"",'G1 MT Reading Scoresheet'!$I99/30,"")</f>
        <v/>
      </c>
      <c r="G96" s="96" t="str">
        <f>IF(AND($C96&lt;&gt;"",$E96&lt;&gt;"Full Refresher"),'G1 MT Reading Scoresheet'!$Q99,"")</f>
        <v/>
      </c>
      <c r="H96" s="97" t="str">
        <f>IF(AND($C96&lt;&gt;"",$E96&lt;&gt;"Full Refresher"),'G1 MT Reading Scoresheet'!$R99/5,"")</f>
        <v/>
      </c>
      <c r="I96" s="108" t="str">
        <f>IF(AND($C96&lt;&gt;"",$E96&lt;&gt;"Full Refresher"),'G1 MT Reading Scoresheet'!$P99,"")</f>
        <v/>
      </c>
      <c r="J96" s="109" t="str">
        <f>'G1 MT Reading Scoresheet'!$U99</f>
        <v/>
      </c>
      <c r="K96" s="111" t="str">
        <f>IF('G1 MT Reading Scoresheet'!V99&lt;&gt;"",'G1 MT Reading Scoresheet'!V99,"")</f>
        <v/>
      </c>
    </row>
    <row r="97" spans="1:11">
      <c r="A97" s="91">
        <f t="shared" si="0"/>
        <v>90</v>
      </c>
      <c r="B97" s="92" t="str">
        <f>IF('G1 MT Reading Scoresheet'!B100&lt;&gt;"",'G1 MT Reading Scoresheet'!B100,"")</f>
        <v/>
      </c>
      <c r="C97" s="93" t="str">
        <f>IF('G1 MT Reading Scoresheet'!C100&lt;&gt;"",'G1 MT Reading Scoresheet'!C100,"")</f>
        <v/>
      </c>
      <c r="D97" s="94" t="str">
        <f>IF('G1 MT Reading Scoresheet'!D100&lt;&gt;"",'G1 MT Reading Scoresheet'!D100,"")</f>
        <v/>
      </c>
      <c r="E97" s="95" t="str">
        <f>'G1 MT Reading Scoresheet'!J100</f>
        <v/>
      </c>
      <c r="F97" s="96" t="str">
        <f>IF($C97&lt;&gt;"",'G1 MT Reading Scoresheet'!$I100/30,"")</f>
        <v/>
      </c>
      <c r="G97" s="96" t="str">
        <f>IF(AND($C97&lt;&gt;"",$E97&lt;&gt;"Full Refresher"),'G1 MT Reading Scoresheet'!$Q100,"")</f>
        <v/>
      </c>
      <c r="H97" s="97" t="str">
        <f>IF(AND($C97&lt;&gt;"",$E97&lt;&gt;"Full Refresher"),'G1 MT Reading Scoresheet'!$R100/5,"")</f>
        <v/>
      </c>
      <c r="I97" s="108" t="str">
        <f>IF(AND($C97&lt;&gt;"",$E97&lt;&gt;"Full Refresher"),'G1 MT Reading Scoresheet'!$P100,"")</f>
        <v/>
      </c>
      <c r="J97" s="109" t="str">
        <f>'G1 MT Reading Scoresheet'!$U100</f>
        <v/>
      </c>
      <c r="K97" s="110" t="str">
        <f>IF('G1 MT Reading Scoresheet'!V100&lt;&gt;"",'G1 MT Reading Scoresheet'!V100,"")</f>
        <v/>
      </c>
    </row>
    <row r="98" spans="1:11">
      <c r="A98" s="49">
        <f t="shared" si="0"/>
        <v>91</v>
      </c>
      <c r="B98" s="98" t="str">
        <f>IF('G1 MT Reading Scoresheet'!B101&lt;&gt;"",'G1 MT Reading Scoresheet'!B101,"")</f>
        <v/>
      </c>
      <c r="C98" s="99" t="str">
        <f>IF('G1 MT Reading Scoresheet'!C101&lt;&gt;"",'G1 MT Reading Scoresheet'!C101,"")</f>
        <v/>
      </c>
      <c r="D98" s="100" t="str">
        <f>IF('G1 MT Reading Scoresheet'!D101&lt;&gt;"",'G1 MT Reading Scoresheet'!D101,"")</f>
        <v/>
      </c>
      <c r="E98" s="95" t="str">
        <f>'G1 MT Reading Scoresheet'!J101</f>
        <v/>
      </c>
      <c r="F98" s="96" t="str">
        <f>IF($C98&lt;&gt;"",'G1 MT Reading Scoresheet'!$I101/30,"")</f>
        <v/>
      </c>
      <c r="G98" s="96" t="str">
        <f>IF(AND($C98&lt;&gt;"",$E98&lt;&gt;"Full Refresher"),'G1 MT Reading Scoresheet'!$Q101,"")</f>
        <v/>
      </c>
      <c r="H98" s="97" t="str">
        <f>IF(AND($C98&lt;&gt;"",$E98&lt;&gt;"Full Refresher"),'G1 MT Reading Scoresheet'!$R101/5,"")</f>
        <v/>
      </c>
      <c r="I98" s="108" t="str">
        <f>IF(AND($C98&lt;&gt;"",$E98&lt;&gt;"Full Refresher"),'G1 MT Reading Scoresheet'!$P101,"")</f>
        <v/>
      </c>
      <c r="J98" s="109" t="str">
        <f>'G1 MT Reading Scoresheet'!$U101</f>
        <v/>
      </c>
      <c r="K98" s="111" t="str">
        <f>IF('G1 MT Reading Scoresheet'!V101&lt;&gt;"",'G1 MT Reading Scoresheet'!V101,"")</f>
        <v/>
      </c>
    </row>
    <row r="99" spans="1:11">
      <c r="A99" s="91">
        <f t="shared" si="0"/>
        <v>92</v>
      </c>
      <c r="B99" s="92" t="str">
        <f>IF('G1 MT Reading Scoresheet'!B102&lt;&gt;"",'G1 MT Reading Scoresheet'!B102,"")</f>
        <v/>
      </c>
      <c r="C99" s="93" t="str">
        <f>IF('G1 MT Reading Scoresheet'!C102&lt;&gt;"",'G1 MT Reading Scoresheet'!C102,"")</f>
        <v/>
      </c>
      <c r="D99" s="94" t="str">
        <f>IF('G1 MT Reading Scoresheet'!D102&lt;&gt;"",'G1 MT Reading Scoresheet'!D102,"")</f>
        <v/>
      </c>
      <c r="E99" s="95" t="str">
        <f>'G1 MT Reading Scoresheet'!J102</f>
        <v/>
      </c>
      <c r="F99" s="96" t="str">
        <f>IF($C99&lt;&gt;"",'G1 MT Reading Scoresheet'!$I102/30,"")</f>
        <v/>
      </c>
      <c r="G99" s="96" t="str">
        <f>IF(AND($C99&lt;&gt;"",$E99&lt;&gt;"Full Refresher"),'G1 MT Reading Scoresheet'!$Q102,"")</f>
        <v/>
      </c>
      <c r="H99" s="97" t="str">
        <f>IF(AND($C99&lt;&gt;"",$E99&lt;&gt;"Full Refresher"),'G1 MT Reading Scoresheet'!$R102/5,"")</f>
        <v/>
      </c>
      <c r="I99" s="108" t="str">
        <f>IF(AND($C99&lt;&gt;"",$E99&lt;&gt;"Full Refresher"),'G1 MT Reading Scoresheet'!$P102,"")</f>
        <v/>
      </c>
      <c r="J99" s="109" t="str">
        <f>'G1 MT Reading Scoresheet'!$U102</f>
        <v/>
      </c>
      <c r="K99" s="110" t="str">
        <f>IF('G1 MT Reading Scoresheet'!V102&lt;&gt;"",'G1 MT Reading Scoresheet'!V102,"")</f>
        <v/>
      </c>
    </row>
    <row r="100" spans="1:11">
      <c r="A100" s="49">
        <f t="shared" si="0"/>
        <v>93</v>
      </c>
      <c r="B100" s="98" t="str">
        <f>IF('G1 MT Reading Scoresheet'!B103&lt;&gt;"",'G1 MT Reading Scoresheet'!B103,"")</f>
        <v/>
      </c>
      <c r="C100" s="99" t="str">
        <f>IF('G1 MT Reading Scoresheet'!C103&lt;&gt;"",'G1 MT Reading Scoresheet'!C103,"")</f>
        <v/>
      </c>
      <c r="D100" s="100" t="str">
        <f>IF('G1 MT Reading Scoresheet'!D103&lt;&gt;"",'G1 MT Reading Scoresheet'!D103,"")</f>
        <v/>
      </c>
      <c r="E100" s="95" t="str">
        <f>'G1 MT Reading Scoresheet'!J103</f>
        <v/>
      </c>
      <c r="F100" s="96" t="str">
        <f>IF($C100&lt;&gt;"",'G1 MT Reading Scoresheet'!$I103/30,"")</f>
        <v/>
      </c>
      <c r="G100" s="96" t="str">
        <f>IF(AND($C100&lt;&gt;"",$E100&lt;&gt;"Full Refresher"),'G1 MT Reading Scoresheet'!$Q103,"")</f>
        <v/>
      </c>
      <c r="H100" s="97" t="str">
        <f>IF(AND($C100&lt;&gt;"",$E100&lt;&gt;"Full Refresher"),'G1 MT Reading Scoresheet'!$R103/5,"")</f>
        <v/>
      </c>
      <c r="I100" s="108" t="str">
        <f>IF(AND($C100&lt;&gt;"",$E100&lt;&gt;"Full Refresher"),'G1 MT Reading Scoresheet'!$P103,"")</f>
        <v/>
      </c>
      <c r="J100" s="109" t="str">
        <f>'G1 MT Reading Scoresheet'!$U103</f>
        <v/>
      </c>
      <c r="K100" s="111" t="str">
        <f>IF('G1 MT Reading Scoresheet'!V103&lt;&gt;"",'G1 MT Reading Scoresheet'!V103,"")</f>
        <v/>
      </c>
    </row>
    <row r="101" spans="1:11">
      <c r="A101" s="91">
        <f t="shared" si="0"/>
        <v>94</v>
      </c>
      <c r="B101" s="92" t="str">
        <f>IF('G1 MT Reading Scoresheet'!B104&lt;&gt;"",'G1 MT Reading Scoresheet'!B104,"")</f>
        <v/>
      </c>
      <c r="C101" s="93" t="str">
        <f>IF('G1 MT Reading Scoresheet'!C104&lt;&gt;"",'G1 MT Reading Scoresheet'!C104,"")</f>
        <v/>
      </c>
      <c r="D101" s="94" t="str">
        <f>IF('G1 MT Reading Scoresheet'!D104&lt;&gt;"",'G1 MT Reading Scoresheet'!D104,"")</f>
        <v/>
      </c>
      <c r="E101" s="95" t="str">
        <f>'G1 MT Reading Scoresheet'!J104</f>
        <v/>
      </c>
      <c r="F101" s="96" t="str">
        <f>IF($C101&lt;&gt;"",'G1 MT Reading Scoresheet'!$I104/30,"")</f>
        <v/>
      </c>
      <c r="G101" s="96" t="str">
        <f>IF(AND($C101&lt;&gt;"",$E101&lt;&gt;"Full Refresher"),'G1 MT Reading Scoresheet'!$Q104,"")</f>
        <v/>
      </c>
      <c r="H101" s="97" t="str">
        <f>IF(AND($C101&lt;&gt;"",$E101&lt;&gt;"Full Refresher"),'G1 MT Reading Scoresheet'!$R104/5,"")</f>
        <v/>
      </c>
      <c r="I101" s="108" t="str">
        <f>IF(AND($C101&lt;&gt;"",$E101&lt;&gt;"Full Refresher"),'G1 MT Reading Scoresheet'!$P104,"")</f>
        <v/>
      </c>
      <c r="J101" s="109" t="str">
        <f>'G1 MT Reading Scoresheet'!$U104</f>
        <v/>
      </c>
      <c r="K101" s="110" t="str">
        <f>IF('G1 MT Reading Scoresheet'!V104&lt;&gt;"",'G1 MT Reading Scoresheet'!V104,"")</f>
        <v/>
      </c>
    </row>
    <row r="102" spans="1:11">
      <c r="A102" s="49">
        <f t="shared" si="0"/>
        <v>95</v>
      </c>
      <c r="B102" s="98" t="str">
        <f>IF('G1 MT Reading Scoresheet'!B105&lt;&gt;"",'G1 MT Reading Scoresheet'!B105,"")</f>
        <v/>
      </c>
      <c r="C102" s="99" t="str">
        <f>IF('G1 MT Reading Scoresheet'!C105&lt;&gt;"",'G1 MT Reading Scoresheet'!C105,"")</f>
        <v/>
      </c>
      <c r="D102" s="100" t="str">
        <f>IF('G1 MT Reading Scoresheet'!D105&lt;&gt;"",'G1 MT Reading Scoresheet'!D105,"")</f>
        <v/>
      </c>
      <c r="E102" s="95" t="str">
        <f>'G1 MT Reading Scoresheet'!J105</f>
        <v/>
      </c>
      <c r="F102" s="96" t="str">
        <f>IF($C102&lt;&gt;"",'G1 MT Reading Scoresheet'!$I105/30,"")</f>
        <v/>
      </c>
      <c r="G102" s="96" t="str">
        <f>IF(AND($C102&lt;&gt;"",$E102&lt;&gt;"Full Refresher"),'G1 MT Reading Scoresheet'!$Q105,"")</f>
        <v/>
      </c>
      <c r="H102" s="97" t="str">
        <f>IF(AND($C102&lt;&gt;"",$E102&lt;&gt;"Full Refresher"),'G1 MT Reading Scoresheet'!$R105/5,"")</f>
        <v/>
      </c>
      <c r="I102" s="108" t="str">
        <f>IF(AND($C102&lt;&gt;"",$E102&lt;&gt;"Full Refresher"),'G1 MT Reading Scoresheet'!$P105,"")</f>
        <v/>
      </c>
      <c r="J102" s="109" t="str">
        <f>'G1 MT Reading Scoresheet'!$U105</f>
        <v/>
      </c>
      <c r="K102" s="111" t="str">
        <f>IF('G1 MT Reading Scoresheet'!V105&lt;&gt;"",'G1 MT Reading Scoresheet'!V105,"")</f>
        <v/>
      </c>
    </row>
    <row r="103" spans="1:11">
      <c r="A103" s="91">
        <f t="shared" si="0"/>
        <v>96</v>
      </c>
      <c r="B103" s="92" t="str">
        <f>IF('G1 MT Reading Scoresheet'!B106&lt;&gt;"",'G1 MT Reading Scoresheet'!B106,"")</f>
        <v/>
      </c>
      <c r="C103" s="93" t="str">
        <f>IF('G1 MT Reading Scoresheet'!C106&lt;&gt;"",'G1 MT Reading Scoresheet'!C106,"")</f>
        <v/>
      </c>
      <c r="D103" s="94" t="str">
        <f>IF('G1 MT Reading Scoresheet'!D106&lt;&gt;"",'G1 MT Reading Scoresheet'!D106,"")</f>
        <v/>
      </c>
      <c r="E103" s="95" t="str">
        <f>'G1 MT Reading Scoresheet'!J106</f>
        <v/>
      </c>
      <c r="F103" s="96" t="str">
        <f>IF($C103&lt;&gt;"",'G1 MT Reading Scoresheet'!$I106/30,"")</f>
        <v/>
      </c>
      <c r="G103" s="96" t="str">
        <f>IF(AND($C103&lt;&gt;"",$E103&lt;&gt;"Full Refresher"),'G1 MT Reading Scoresheet'!$Q106,"")</f>
        <v/>
      </c>
      <c r="H103" s="97" t="str">
        <f>IF(AND($C103&lt;&gt;"",$E103&lt;&gt;"Full Refresher"),'G1 MT Reading Scoresheet'!$R106/5,"")</f>
        <v/>
      </c>
      <c r="I103" s="108" t="str">
        <f>IF(AND($C103&lt;&gt;"",$E103&lt;&gt;"Full Refresher"),'G1 MT Reading Scoresheet'!$P106,"")</f>
        <v/>
      </c>
      <c r="J103" s="109" t="str">
        <f>'G1 MT Reading Scoresheet'!$U106</f>
        <v/>
      </c>
      <c r="K103" s="110" t="str">
        <f>IF('G1 MT Reading Scoresheet'!V106&lt;&gt;"",'G1 MT Reading Scoresheet'!V106,"")</f>
        <v/>
      </c>
    </row>
    <row r="104" spans="1:11">
      <c r="A104" s="49">
        <f t="shared" si="0"/>
        <v>97</v>
      </c>
      <c r="B104" s="98" t="str">
        <f>IF('G1 MT Reading Scoresheet'!B107&lt;&gt;"",'G1 MT Reading Scoresheet'!B107,"")</f>
        <v/>
      </c>
      <c r="C104" s="99" t="str">
        <f>IF('G1 MT Reading Scoresheet'!C107&lt;&gt;"",'G1 MT Reading Scoresheet'!C107,"")</f>
        <v/>
      </c>
      <c r="D104" s="100" t="str">
        <f>IF('G1 MT Reading Scoresheet'!D107&lt;&gt;"",'G1 MT Reading Scoresheet'!D107,"")</f>
        <v/>
      </c>
      <c r="E104" s="95" t="str">
        <f>'G1 MT Reading Scoresheet'!J107</f>
        <v/>
      </c>
      <c r="F104" s="96" t="str">
        <f>IF($C104&lt;&gt;"",'G1 MT Reading Scoresheet'!$I107/30,"")</f>
        <v/>
      </c>
      <c r="G104" s="96" t="str">
        <f>IF(AND($C104&lt;&gt;"",$E104&lt;&gt;"Full Refresher"),'G1 MT Reading Scoresheet'!$Q107,"")</f>
        <v/>
      </c>
      <c r="H104" s="97" t="str">
        <f>IF(AND($C104&lt;&gt;"",$E104&lt;&gt;"Full Refresher"),'G1 MT Reading Scoresheet'!$R107/5,"")</f>
        <v/>
      </c>
      <c r="I104" s="108" t="str">
        <f>IF(AND($C104&lt;&gt;"",$E104&lt;&gt;"Full Refresher"),'G1 MT Reading Scoresheet'!$P107,"")</f>
        <v/>
      </c>
      <c r="J104" s="109" t="str">
        <f>'G1 MT Reading Scoresheet'!$U107</f>
        <v/>
      </c>
      <c r="K104" s="111" t="str">
        <f>IF('G1 MT Reading Scoresheet'!V107&lt;&gt;"",'G1 MT Reading Scoresheet'!V107,"")</f>
        <v/>
      </c>
    </row>
    <row r="105" spans="1:11">
      <c r="A105" s="91">
        <f t="shared" si="0"/>
        <v>98</v>
      </c>
      <c r="B105" s="92" t="str">
        <f>IF('G1 MT Reading Scoresheet'!B108&lt;&gt;"",'G1 MT Reading Scoresheet'!B108,"")</f>
        <v/>
      </c>
      <c r="C105" s="93" t="str">
        <f>IF('G1 MT Reading Scoresheet'!C108&lt;&gt;"",'G1 MT Reading Scoresheet'!C108,"")</f>
        <v/>
      </c>
      <c r="D105" s="94" t="str">
        <f>IF('G1 MT Reading Scoresheet'!D108&lt;&gt;"",'G1 MT Reading Scoresheet'!D108,"")</f>
        <v/>
      </c>
      <c r="E105" s="95" t="str">
        <f>'G1 MT Reading Scoresheet'!J108</f>
        <v/>
      </c>
      <c r="F105" s="96" t="str">
        <f>IF($C105&lt;&gt;"",'G1 MT Reading Scoresheet'!$I108/30,"")</f>
        <v/>
      </c>
      <c r="G105" s="96" t="str">
        <f>IF(AND($C105&lt;&gt;"",$E105&lt;&gt;"Full Refresher"),'G1 MT Reading Scoresheet'!$Q108,"")</f>
        <v/>
      </c>
      <c r="H105" s="97" t="str">
        <f>IF(AND($C105&lt;&gt;"",$E105&lt;&gt;"Full Refresher"),'G1 MT Reading Scoresheet'!$R108/5,"")</f>
        <v/>
      </c>
      <c r="I105" s="108" t="str">
        <f>IF(AND($C105&lt;&gt;"",$E105&lt;&gt;"Full Refresher"),'G1 MT Reading Scoresheet'!$P108,"")</f>
        <v/>
      </c>
      <c r="J105" s="109" t="str">
        <f>'G1 MT Reading Scoresheet'!$U108</f>
        <v/>
      </c>
      <c r="K105" s="110" t="str">
        <f>IF('G1 MT Reading Scoresheet'!V108&lt;&gt;"",'G1 MT Reading Scoresheet'!V108,"")</f>
        <v/>
      </c>
    </row>
    <row r="106" spans="1:11">
      <c r="A106" s="49">
        <f t="shared" si="0"/>
        <v>99</v>
      </c>
      <c r="B106" s="98" t="str">
        <f>IF('G1 MT Reading Scoresheet'!B109&lt;&gt;"",'G1 MT Reading Scoresheet'!B109,"")</f>
        <v/>
      </c>
      <c r="C106" s="99" t="str">
        <f>IF('G1 MT Reading Scoresheet'!C109&lt;&gt;"",'G1 MT Reading Scoresheet'!C109,"")</f>
        <v/>
      </c>
      <c r="D106" s="100" t="str">
        <f>IF('G1 MT Reading Scoresheet'!D109&lt;&gt;"",'G1 MT Reading Scoresheet'!D109,"")</f>
        <v/>
      </c>
      <c r="E106" s="95" t="str">
        <f>'G1 MT Reading Scoresheet'!J109</f>
        <v/>
      </c>
      <c r="F106" s="96" t="str">
        <f>IF($C106&lt;&gt;"",'G1 MT Reading Scoresheet'!$I109/30,"")</f>
        <v/>
      </c>
      <c r="G106" s="96" t="str">
        <f>IF(AND($C106&lt;&gt;"",$E106&lt;&gt;"Full Refresher"),'G1 MT Reading Scoresheet'!$Q109,"")</f>
        <v/>
      </c>
      <c r="H106" s="97" t="str">
        <f>IF(AND($C106&lt;&gt;"",$E106&lt;&gt;"Full Refresher"),'G1 MT Reading Scoresheet'!$R109/5,"")</f>
        <v/>
      </c>
      <c r="I106" s="108" t="str">
        <f>IF(AND($C106&lt;&gt;"",$E106&lt;&gt;"Full Refresher"),'G1 MT Reading Scoresheet'!$P109,"")</f>
        <v/>
      </c>
      <c r="J106" s="109" t="str">
        <f>'G1 MT Reading Scoresheet'!$U109</f>
        <v/>
      </c>
      <c r="K106" s="111" t="str">
        <f>IF('G1 MT Reading Scoresheet'!V109&lt;&gt;"",'G1 MT Reading Scoresheet'!V109,"")</f>
        <v/>
      </c>
    </row>
    <row r="107" spans="1:11">
      <c r="A107" s="91">
        <v>100</v>
      </c>
      <c r="B107" s="92" t="str">
        <f>IF('G1 MT Reading Scoresheet'!B110&lt;&gt;"",'G1 MT Reading Scoresheet'!B110,"")</f>
        <v/>
      </c>
      <c r="C107" s="112" t="str">
        <f>IF('G1 MT Reading Scoresheet'!C110&lt;&gt;"",'G1 MT Reading Scoresheet'!C110,"")</f>
        <v/>
      </c>
      <c r="D107" s="113" t="str">
        <f>IF('G1 MT Reading Scoresheet'!D110&lt;&gt;"",'G1 MT Reading Scoresheet'!D110,"")</f>
        <v/>
      </c>
      <c r="E107" s="114" t="str">
        <f>'G1 MT Reading Scoresheet'!J110</f>
        <v/>
      </c>
      <c r="F107" s="115" t="str">
        <f>IF($C107&lt;&gt;"",'G1 MT Reading Scoresheet'!$I110/30,"")</f>
        <v/>
      </c>
      <c r="G107" s="115" t="str">
        <f>IF(AND($C107&lt;&gt;"",$E107&lt;&gt;"Full Refresher"),'G1 MT Reading Scoresheet'!$Q110,"")</f>
        <v/>
      </c>
      <c r="H107" s="116" t="str">
        <f>IF(AND($C107&lt;&gt;"",$E107&lt;&gt;"Full Refresher"),'G1 MT Reading Scoresheet'!$R110/5,"")</f>
        <v/>
      </c>
      <c r="I107" s="117" t="str">
        <f>IF(AND($C107&lt;&gt;"",$E107&lt;&gt;"Full Refresher"),'G1 MT Reading Scoresheet'!$P110,"")</f>
        <v/>
      </c>
      <c r="J107" s="118" t="str">
        <f>'G1 MT Reading Scoresheet'!$U110</f>
        <v/>
      </c>
      <c r="K107" s="119" t="str">
        <f>IF('G1 MT Reading Scoresheet'!V110&lt;&gt;"",'G1 MT Reading Scoresheet'!V110,"")</f>
        <v/>
      </c>
    </row>
  </sheetData>
  <sheetProtection algorithmName="SHA-512" hashValue="KQaR5kuIxtLkyw864t+pSlGDe+BrY6tGjbfDZ+UdOTLPpS+tBfIsjGeXV/fp1hCbTTy7c5EQkA3CpzwK1QeLvg==" saltValue="ZfugVy5n8kepGktOWS17gw==" spinCount="100000" sheet="1" objects="1" scenarios="1" selectLockedCells="1" autoFilter="0" selectUnlockedCells="1"/>
  <autoFilter ref="A7:K107" xr:uid="{00000000-0009-0000-0000-000001000000}"/>
  <mergeCells count="11">
    <mergeCell ref="A4:B4"/>
    <mergeCell ref="C4:D4"/>
    <mergeCell ref="E4:K4"/>
    <mergeCell ref="A5:B5"/>
    <mergeCell ref="C5:D5"/>
    <mergeCell ref="E5:J5"/>
    <mergeCell ref="A6:B6"/>
    <mergeCell ref="C6:D6"/>
    <mergeCell ref="E6:F6"/>
    <mergeCell ref="G6:H6"/>
    <mergeCell ref="J6:J7"/>
  </mergeCells>
  <conditionalFormatting sqref="C4">
    <cfRule type="containsText" dxfId="4" priority="5" operator="containsText" text="[enter school school id here]">
      <formula>NOT(ISERROR(SEARCH("[enter school school id here]",C4)))</formula>
    </cfRule>
  </conditionalFormatting>
  <conditionalFormatting sqref="C5">
    <cfRule type="containsText" dxfId="3" priority="6" operator="containsText" text="[enter teacher name here]">
      <formula>NOT(ISERROR(SEARCH("[enter teacher name here]",C5)))</formula>
    </cfRule>
  </conditionalFormatting>
  <conditionalFormatting sqref="E8:E107">
    <cfRule type="containsText" dxfId="2" priority="1" operator="containsText" text="Moderate">
      <formula>NOT(ISERROR(SEARCH("Moderate",E8)))</formula>
    </cfRule>
    <cfRule type="containsText" dxfId="1" priority="2" operator="containsText" text="FUll">
      <formula>NOT(ISERROR(SEARCH("FUll",E8)))</formula>
    </cfRule>
  </conditionalFormatting>
  <conditionalFormatting sqref="J1:J1048576">
    <cfRule type="containsText" dxfId="0" priority="3" operator="containsText" text="Emerging">
      <formula>NOT(ISERROR(SEARCH("Emerging",J1)))</formula>
    </cfRule>
  </conditionalFormatting>
  <pageMargins left="0.31496062992126" right="0.31496062992126" top="0.74803149606299202" bottom="6.62" header="0.31496062992126" footer="0.31496062992126"/>
  <pageSetup scale="50"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XFC18"/>
  <sheetViews>
    <sheetView topLeftCell="B1" zoomScale="96" zoomScaleNormal="96" workbookViewId="0">
      <selection activeCell="F8" sqref="F8"/>
    </sheetView>
  </sheetViews>
  <sheetFormatPr defaultColWidth="0" defaultRowHeight="12" customHeight="1"/>
  <cols>
    <col min="1" max="1" width="12.375" customWidth="1"/>
    <col min="2" max="2" width="15.125" customWidth="1"/>
    <col min="3" max="3" width="15.5" customWidth="1"/>
    <col min="4" max="4" width="11.375" customWidth="1"/>
    <col min="5" max="5" width="11.875" customWidth="1"/>
    <col min="6" max="6" width="9.875" customWidth="1"/>
    <col min="7" max="7" width="10.5" customWidth="1"/>
    <col min="8" max="8" width="9.875" style="1" customWidth="1"/>
    <col min="9" max="9" width="11.875" style="1" customWidth="1"/>
    <col min="10" max="10" width="11" style="1" customWidth="1"/>
    <col min="11" max="11" width="10.625" customWidth="1"/>
    <col min="12" max="12" width="9.125" customWidth="1"/>
    <col min="13" max="13" width="12.5" customWidth="1"/>
    <col min="14" max="14" width="11.5" style="1" customWidth="1"/>
    <col min="15" max="16" width="10.875" customWidth="1"/>
    <col min="17" max="17" width="11.375" customWidth="1"/>
    <col min="18" max="18" width="10.625" customWidth="1"/>
    <col min="19" max="19" width="9.875" customWidth="1"/>
    <col min="20" max="20" width="8.875" customWidth="1"/>
    <col min="21" max="28" width="0" hidden="1" customWidth="1"/>
    <col min="29" max="29" width="8.875" customWidth="1"/>
    <col min="30" max="30" width="9.5" hidden="1"/>
    <col min="31" max="16383" width="8.875" hidden="1"/>
    <col min="16384" max="16384" width="0.375" hidden="1"/>
  </cols>
  <sheetData>
    <row r="1" spans="1:19" ht="20.100000000000001" customHeight="1">
      <c r="A1" t="s">
        <v>87</v>
      </c>
    </row>
    <row r="2" spans="1:19" ht="20.100000000000001" customHeight="1">
      <c r="A2" s="313" t="s">
        <v>88</v>
      </c>
      <c r="B2" s="313"/>
      <c r="C2" s="313"/>
      <c r="D2" s="313"/>
      <c r="E2" s="313"/>
      <c r="F2" s="313"/>
    </row>
    <row r="3" spans="1:19" ht="20.100000000000001" customHeight="1"/>
    <row r="4" spans="1:19" ht="20.100000000000001" customHeight="1">
      <c r="A4" s="314" t="s">
        <v>89</v>
      </c>
      <c r="B4" s="314"/>
      <c r="C4" s="17">
        <f>'G1 MT Reading Scoresheet'!C4</f>
        <v>117443</v>
      </c>
    </row>
    <row r="5" spans="1:19" ht="20.100000000000001" customHeight="1">
      <c r="A5" s="315" t="s">
        <v>90</v>
      </c>
      <c r="B5" s="315"/>
      <c r="C5" s="316" t="str">
        <f>'G1 MT Reading Scoresheet'!C5</f>
        <v>ROMANA ELEMENTARY SCHOOL</v>
      </c>
      <c r="D5" s="316"/>
      <c r="E5" s="316"/>
    </row>
    <row r="6" spans="1:19" ht="20.100000000000001" customHeight="1">
      <c r="A6" s="303" t="s">
        <v>91</v>
      </c>
      <c r="B6" s="18"/>
      <c r="C6" s="18"/>
      <c r="D6" s="307" t="s">
        <v>92</v>
      </c>
      <c r="E6" s="19" t="s">
        <v>1</v>
      </c>
      <c r="F6" s="309" t="s">
        <v>93</v>
      </c>
      <c r="G6" s="311" t="s">
        <v>94</v>
      </c>
      <c r="H6" s="295" t="s">
        <v>95</v>
      </c>
      <c r="I6" s="295"/>
      <c r="J6" s="295"/>
      <c r="K6" s="295"/>
      <c r="L6" s="295" t="s">
        <v>96</v>
      </c>
      <c r="M6" s="295"/>
      <c r="N6" s="295"/>
      <c r="O6" s="295" t="s">
        <v>80</v>
      </c>
      <c r="P6" s="295"/>
      <c r="Q6" s="295"/>
      <c r="R6" s="295"/>
      <c r="S6" s="296"/>
    </row>
    <row r="7" spans="1:19" ht="34.35" customHeight="1">
      <c r="A7" s="304"/>
      <c r="B7" s="20" t="s">
        <v>97</v>
      </c>
      <c r="C7" s="20" t="s">
        <v>98</v>
      </c>
      <c r="D7" s="308"/>
      <c r="E7" s="21" t="s">
        <v>37</v>
      </c>
      <c r="F7" s="310"/>
      <c r="G7" s="312"/>
      <c r="H7" s="22" t="s">
        <v>99</v>
      </c>
      <c r="I7" s="48" t="s">
        <v>100</v>
      </c>
      <c r="J7" s="22" t="s">
        <v>101</v>
      </c>
      <c r="K7" s="22" t="s">
        <v>102</v>
      </c>
      <c r="L7" s="22" t="s">
        <v>103</v>
      </c>
      <c r="M7" s="22" t="s">
        <v>84</v>
      </c>
      <c r="N7" s="22" t="s">
        <v>85</v>
      </c>
      <c r="O7" s="22" t="s">
        <v>104</v>
      </c>
      <c r="P7" s="22" t="s">
        <v>105</v>
      </c>
      <c r="Q7" s="22" t="s">
        <v>106</v>
      </c>
      <c r="R7" s="22" t="s">
        <v>107</v>
      </c>
      <c r="S7" s="72" t="s">
        <v>108</v>
      </c>
    </row>
    <row r="8" spans="1:19" ht="20.100000000000001" customHeight="1">
      <c r="A8" s="23" t="s">
        <v>17</v>
      </c>
      <c r="B8" s="24">
        <f>IF('G1 MT Reading Scoresheet'!$C$8&lt;&gt;"",'G1 MT Reading Scoresheet'!$C$8,"")</f>
        <v>1</v>
      </c>
      <c r="C8" s="24" t="str">
        <f>IF('G1 MT Reading Scoresheet'!$C$6&lt;&gt;"",'G1 MT Reading Scoresheet'!$C$6," ")</f>
        <v>MARIAN GRACE D. DE LA TORRE</v>
      </c>
      <c r="D8" s="24" t="str">
        <f>IF('G1 MT Reading Scoresheet'!C9&lt;&gt;"",'G1 MT Reading Scoresheet'!C9,"")</f>
        <v>Hiligaynon</v>
      </c>
      <c r="E8" s="25" t="s">
        <v>9</v>
      </c>
      <c r="F8" s="26">
        <f>'G1 MT Reading Scoresheet'!D6</f>
        <v>10</v>
      </c>
      <c r="G8" s="27">
        <f>COUNTIF('G1 MT Reading Scoresheet'!$D$11:$D$110,$E8)</f>
        <v>10</v>
      </c>
      <c r="H8" s="28">
        <f>COUNTIFS('Class Record'!$E$8:$E$107,H$7,'Class Record'!$D$8:$D$107,$E8)</f>
        <v>3</v>
      </c>
      <c r="I8" s="28">
        <f>COUNTIFS('Class Record'!$E$8:$E$107,I$7,'Class Record'!$D$8:$D$107,$E8)</f>
        <v>0</v>
      </c>
      <c r="J8" s="28">
        <f>COUNTIFS('Class Record'!$E$8:$E$107,J$7,'Class Record'!$D$8:$D$107,$E8)</f>
        <v>2</v>
      </c>
      <c r="K8" s="28">
        <f>COUNTIFS('Class Record'!$E$8:$E$107,K$7,'Class Record'!$D$8:$D$107,$E8)</f>
        <v>5</v>
      </c>
      <c r="L8" s="60">
        <f>IFERROR(AVERAGEIFS('Class Record'!G$8:G$107,'Class Record'!$D$8:$D$107,$E8),"")</f>
        <v>0.74285714285714288</v>
      </c>
      <c r="M8" s="60">
        <f>IFERROR(AVERAGEIFS('Class Record'!H$8:H$107,'Class Record'!$D$8:$D$107,$E8),"")</f>
        <v>0.68571428571428572</v>
      </c>
      <c r="N8" s="61">
        <f>IFERROR(AVERAGEIFS('Class Record'!I$8:I$107,'Class Record'!$D$8:$D$107,$E8),"")</f>
        <v>37.142857142857146</v>
      </c>
      <c r="O8" s="62">
        <f>COUNTIFS('Class Record'!$J$8:$J$107,O$7,'Class Record'!$D$8:$D$107,$E8)</f>
        <v>3</v>
      </c>
      <c r="P8" s="62">
        <f>COUNTIFS('Class Record'!$J$8:$J$107,P$7,'Class Record'!$D$8:$D$107,$E8)</f>
        <v>0</v>
      </c>
      <c r="Q8" s="75">
        <f>COUNTIFS('Class Record'!$J$8:$J$107,Q$7,'Class Record'!$D$8:$D$107,$E8)</f>
        <v>1</v>
      </c>
      <c r="R8" s="75">
        <f>COUNTIFS('Class Record'!$J$8:$J$107,R$7,'Class Record'!$D$8:$D$107,$E8)</f>
        <v>3</v>
      </c>
      <c r="S8" s="76">
        <f>COUNTIFS('Class Record'!$J$8:$J$107,S$7,'Class Record'!$D$8:$D$107,$E8)</f>
        <v>3</v>
      </c>
    </row>
    <row r="9" spans="1:19" ht="20.100000000000001" customHeight="1">
      <c r="A9" s="29" t="str">
        <f>A8</f>
        <v>Grade 1</v>
      </c>
      <c r="B9" s="30">
        <f t="shared" ref="B9:D9" si="0">B8</f>
        <v>1</v>
      </c>
      <c r="C9" s="30" t="str">
        <f t="shared" si="0"/>
        <v>MARIAN GRACE D. DE LA TORRE</v>
      </c>
      <c r="D9" s="30" t="str">
        <f t="shared" si="0"/>
        <v>Hiligaynon</v>
      </c>
      <c r="E9" s="31" t="s">
        <v>10</v>
      </c>
      <c r="F9" s="32">
        <f>'G1 MT Reading Scoresheet'!E6</f>
        <v>4</v>
      </c>
      <c r="G9" s="33">
        <f>COUNTIF('G1 MT Reading Scoresheet'!$D$11:$D$110,E9)</f>
        <v>4</v>
      </c>
      <c r="H9" s="34">
        <f>COUNTIFS('Class Record'!$E$8:$E$107,H$7,'Class Record'!$D$8:$D$107,$E9)</f>
        <v>0</v>
      </c>
      <c r="I9" s="34">
        <f>COUNTIFS('Class Record'!$E$8:$E$107,I$7,'Class Record'!$D$8:$D$107,$E9)</f>
        <v>0</v>
      </c>
      <c r="J9" s="34">
        <f>COUNTIFS('Class Record'!$E$8:$E$107,J$7,'Class Record'!$D$8:$D$107,$E9)</f>
        <v>0</v>
      </c>
      <c r="K9" s="34">
        <f>COUNTIFS('Class Record'!$E$8:$E$107,K$7,'Class Record'!$D$8:$D$107,$E9)</f>
        <v>4</v>
      </c>
      <c r="L9" s="63">
        <f>IFERROR(AVERAGEIFS('Class Record'!G$8:G$107,'Class Record'!$D$8:$D$107,$E9),"")</f>
        <v>1</v>
      </c>
      <c r="M9" s="63">
        <f>IFERROR(AVERAGEIFS('Class Record'!H$8:H$107,'Class Record'!$D$8:$D$107,$E9),"")</f>
        <v>1</v>
      </c>
      <c r="N9" s="64">
        <f>IFERROR(AVERAGEIFS('Class Record'!I$8:I$107,'Class Record'!$D$8:$D$107,$E9),"")</f>
        <v>50</v>
      </c>
      <c r="O9" s="65">
        <f>COUNTIFS('Class Record'!$J$8:$J$107,O$7,'Class Record'!$D$8:$D$107,$E9)</f>
        <v>0</v>
      </c>
      <c r="P9" s="65">
        <f>COUNTIFS('Class Record'!$J$8:$J$107,P$7,'Class Record'!$D$8:$D$107,$E9)</f>
        <v>0</v>
      </c>
      <c r="Q9" s="65">
        <f>COUNTIFS('Class Record'!$J$8:$J$107,Q$7,'Class Record'!$D$8:$D$107,$E9)</f>
        <v>0</v>
      </c>
      <c r="R9" s="65">
        <f>COUNTIFS('Class Record'!$J$8:$J$107,R$7,'Class Record'!$D$8:$D$107,$E9)</f>
        <v>0</v>
      </c>
      <c r="S9" s="77">
        <f>COUNTIFS('Class Record'!$J$8:$J$107,S$7,'Class Record'!$D$8:$D$107,$E9)</f>
        <v>4</v>
      </c>
    </row>
    <row r="10" spans="1:19" ht="20.100000000000001" customHeight="1">
      <c r="A10" s="35"/>
      <c r="B10" s="35"/>
      <c r="C10" s="35"/>
      <c r="D10" s="35"/>
      <c r="E10" s="36"/>
      <c r="F10" s="37"/>
      <c r="G10" s="38"/>
      <c r="H10" s="39"/>
      <c r="I10" s="39"/>
      <c r="L10" s="39"/>
      <c r="M10" s="39"/>
      <c r="N10" s="66"/>
      <c r="O10" s="39"/>
      <c r="P10" s="39"/>
      <c r="Q10" s="39"/>
      <c r="R10" s="39"/>
      <c r="S10" s="39"/>
    </row>
    <row r="11" spans="1:19" ht="20.100000000000001" customHeight="1">
      <c r="A11" s="40" t="str">
        <f>A9</f>
        <v>Grade 1</v>
      </c>
      <c r="B11" s="41">
        <f t="shared" ref="B11" si="1">B9</f>
        <v>1</v>
      </c>
      <c r="C11" s="41" t="str">
        <f t="shared" ref="C11" si="2">C9</f>
        <v>MARIAN GRACE D. DE LA TORRE</v>
      </c>
      <c r="D11" s="41" t="str">
        <f t="shared" ref="D11" si="3">D9</f>
        <v>Hiligaynon</v>
      </c>
      <c r="E11" s="42" t="s">
        <v>109</v>
      </c>
      <c r="F11" s="43">
        <f>F8+F9</f>
        <v>14</v>
      </c>
      <c r="G11" s="44">
        <f>G8+G9</f>
        <v>14</v>
      </c>
      <c r="H11" s="45">
        <f t="shared" ref="H11:K11" si="4">H8+H9</f>
        <v>3</v>
      </c>
      <c r="I11" s="45">
        <f t="shared" si="4"/>
        <v>0</v>
      </c>
      <c r="J11" s="45">
        <f t="shared" si="4"/>
        <v>2</v>
      </c>
      <c r="K11" s="45">
        <f t="shared" si="4"/>
        <v>9</v>
      </c>
      <c r="L11" s="67">
        <f>IFERROR((L8+L9)/2,"")</f>
        <v>0.87142857142857144</v>
      </c>
      <c r="M11" s="68">
        <f>IFERROR((M8+M9)/2,"")</f>
        <v>0.84285714285714286</v>
      </c>
      <c r="N11" s="69">
        <f>IFERROR((N8+N9)/2,"")</f>
        <v>43.571428571428569</v>
      </c>
      <c r="O11" s="70">
        <f t="shared" ref="O11:S11" si="5">O8+O9</f>
        <v>3</v>
      </c>
      <c r="P11" s="70">
        <f t="shared" si="5"/>
        <v>0</v>
      </c>
      <c r="Q11" s="70">
        <f t="shared" si="5"/>
        <v>1</v>
      </c>
      <c r="R11" s="70">
        <f t="shared" si="5"/>
        <v>3</v>
      </c>
      <c r="S11" s="78">
        <f t="shared" si="5"/>
        <v>7</v>
      </c>
    </row>
    <row r="12" spans="1:19" ht="20.100000000000001" customHeight="1"/>
    <row r="13" spans="1:19" ht="20.100000000000001" customHeight="1">
      <c r="A13" s="297" t="s">
        <v>110</v>
      </c>
      <c r="B13" s="298"/>
      <c r="C13" s="298"/>
      <c r="D13" s="298"/>
      <c r="E13" s="298"/>
      <c r="F13" s="298"/>
      <c r="G13" s="298"/>
      <c r="H13" s="298"/>
      <c r="I13" s="298"/>
      <c r="J13" s="298"/>
      <c r="K13" s="298"/>
      <c r="L13" s="299"/>
      <c r="M13" s="71"/>
      <c r="N13" s="71"/>
      <c r="O13" s="71"/>
      <c r="P13" s="71"/>
      <c r="Q13" s="71"/>
      <c r="R13" s="71"/>
      <c r="S13" s="71"/>
    </row>
    <row r="14" spans="1:19" ht="21.6" customHeight="1">
      <c r="A14" s="305" t="s">
        <v>92</v>
      </c>
      <c r="B14" s="46" t="s">
        <v>1</v>
      </c>
      <c r="C14" s="306" t="s">
        <v>111</v>
      </c>
      <c r="D14" s="295" t="s">
        <v>95</v>
      </c>
      <c r="E14" s="295"/>
      <c r="F14" s="295"/>
      <c r="G14" s="295"/>
      <c r="H14" s="300" t="s">
        <v>112</v>
      </c>
      <c r="I14" s="301"/>
      <c r="J14" s="301"/>
      <c r="K14" s="301"/>
      <c r="L14" s="302"/>
    </row>
    <row r="15" spans="1:19" ht="34.700000000000003" customHeight="1">
      <c r="A15" s="305"/>
      <c r="B15" s="47" t="s">
        <v>37</v>
      </c>
      <c r="C15" s="306"/>
      <c r="D15" s="22" t="s">
        <v>99</v>
      </c>
      <c r="E15" s="48" t="s">
        <v>100</v>
      </c>
      <c r="F15" s="22" t="s">
        <v>101</v>
      </c>
      <c r="G15" s="22" t="s">
        <v>102</v>
      </c>
      <c r="H15" s="22" t="s">
        <v>104</v>
      </c>
      <c r="I15" s="22" t="s">
        <v>105</v>
      </c>
      <c r="J15" s="22" t="s">
        <v>106</v>
      </c>
      <c r="K15" s="22" t="s">
        <v>107</v>
      </c>
      <c r="L15" s="72" t="s">
        <v>108</v>
      </c>
    </row>
    <row r="16" spans="1:19" ht="20.100000000000001" customHeight="1">
      <c r="A16" s="49" t="str">
        <f>D8</f>
        <v>Hiligaynon</v>
      </c>
      <c r="B16" s="50" t="s">
        <v>9</v>
      </c>
      <c r="C16" s="51">
        <f>IFERROR(G8/F8,"")</f>
        <v>1</v>
      </c>
      <c r="D16" s="52">
        <f>IFERROR(H8/$G8,"")</f>
        <v>0.3</v>
      </c>
      <c r="E16" s="52">
        <f t="shared" ref="E16:G16" si="6">IFERROR(I8/$G8,"")</f>
        <v>0</v>
      </c>
      <c r="F16" s="52">
        <f t="shared" si="6"/>
        <v>0.2</v>
      </c>
      <c r="G16" s="52">
        <f t="shared" si="6"/>
        <v>0.5</v>
      </c>
      <c r="H16" s="53">
        <f t="shared" ref="H16:L17" si="7">IFERROR(O8/$G8,"")</f>
        <v>0.3</v>
      </c>
      <c r="I16" s="53">
        <f t="shared" si="7"/>
        <v>0</v>
      </c>
      <c r="J16" s="53">
        <f t="shared" si="7"/>
        <v>0.1</v>
      </c>
      <c r="K16" s="53">
        <f t="shared" si="7"/>
        <v>0.3</v>
      </c>
      <c r="L16" s="73">
        <f t="shared" si="7"/>
        <v>0.3</v>
      </c>
    </row>
    <row r="17" spans="1:12" ht="20.100000000000001" customHeight="1">
      <c r="A17" s="49" t="str">
        <f>A16</f>
        <v>Hiligaynon</v>
      </c>
      <c r="B17" s="50" t="s">
        <v>10</v>
      </c>
      <c r="C17" s="54">
        <f>IFERROR(G9/F9,"")</f>
        <v>1</v>
      </c>
      <c r="D17" s="52">
        <f>IFERROR(H9/$G9,"")</f>
        <v>0</v>
      </c>
      <c r="E17" s="52">
        <f t="shared" ref="E17" si="8">IFERROR(I9/$G9,"")</f>
        <v>0</v>
      </c>
      <c r="F17" s="52">
        <f t="shared" ref="F17" si="9">IFERROR(J9/$G9,"")</f>
        <v>0</v>
      </c>
      <c r="G17" s="52">
        <f t="shared" ref="G17" si="10">IFERROR(K9/$G9,"")</f>
        <v>1</v>
      </c>
      <c r="H17" s="53">
        <f t="shared" si="7"/>
        <v>0</v>
      </c>
      <c r="I17" s="53">
        <f t="shared" si="7"/>
        <v>0</v>
      </c>
      <c r="J17" s="53">
        <f t="shared" si="7"/>
        <v>0</v>
      </c>
      <c r="K17" s="53">
        <f t="shared" si="7"/>
        <v>0</v>
      </c>
      <c r="L17" s="73">
        <f t="shared" si="7"/>
        <v>1</v>
      </c>
    </row>
    <row r="18" spans="1:12" ht="20.100000000000001" customHeight="1">
      <c r="A18" s="55" t="str">
        <f>A17</f>
        <v>Hiligaynon</v>
      </c>
      <c r="B18" s="56" t="s">
        <v>109</v>
      </c>
      <c r="C18" s="57">
        <f>IFERROR(G11/F11,"")</f>
        <v>1</v>
      </c>
      <c r="D18" s="58">
        <f>IFERROR(H11/$G11,"")</f>
        <v>0.21428571428571427</v>
      </c>
      <c r="E18" s="58">
        <f t="shared" ref="E18:G18" si="11">IFERROR(I11/$G11,"")</f>
        <v>0</v>
      </c>
      <c r="F18" s="58">
        <f t="shared" si="11"/>
        <v>0.14285714285714285</v>
      </c>
      <c r="G18" s="58">
        <f t="shared" si="11"/>
        <v>0.6428571428571429</v>
      </c>
      <c r="H18" s="59">
        <f>IFERROR(O11/$G11,"")</f>
        <v>0.21428571428571427</v>
      </c>
      <c r="I18" s="59">
        <f>IFERROR(P11/$G11,"")</f>
        <v>0</v>
      </c>
      <c r="J18" s="59">
        <f>IFERROR(Q11/$G11,"")</f>
        <v>7.1428571428571425E-2</v>
      </c>
      <c r="K18" s="59">
        <f>IFERROR(R11/$G11,"")</f>
        <v>0.21428571428571427</v>
      </c>
      <c r="L18" s="74">
        <f>IFERROR(S11/$G11,"")</f>
        <v>0.5</v>
      </c>
    </row>
  </sheetData>
  <sheetProtection algorithmName="SHA-512" hashValue="En+hOxTv0K/l/nalnHWczySDcEGhcSZSptwFPL2LukrHSqw7gVOe7LqjdNAq58yclg1PWcg/sbPKpjzAoVn82w==" saltValue="VKeSCk1Cx2qP4nyMdENbvQ==" spinCount="100000" sheet="1" objects="1" scenarios="1"/>
  <mergeCells count="16">
    <mergeCell ref="A2:F2"/>
    <mergeCell ref="A4:B4"/>
    <mergeCell ref="A5:B5"/>
    <mergeCell ref="C5:E5"/>
    <mergeCell ref="H6:K6"/>
    <mergeCell ref="L6:N6"/>
    <mergeCell ref="O6:S6"/>
    <mergeCell ref="A13:L13"/>
    <mergeCell ref="D14:G14"/>
    <mergeCell ref="H14:L14"/>
    <mergeCell ref="A6:A7"/>
    <mergeCell ref="A14:A15"/>
    <mergeCell ref="C14:C15"/>
    <mergeCell ref="D6:D7"/>
    <mergeCell ref="F6:F7"/>
    <mergeCell ref="G6:G7"/>
  </mergeCells>
  <pageMargins left="0.7" right="0.7" top="0.75" bottom="0.75" header="0.3" footer="0.3"/>
  <pageSetup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2:E27"/>
  <sheetViews>
    <sheetView topLeftCell="A10" workbookViewId="0">
      <selection activeCell="H15" sqref="H15"/>
    </sheetView>
  </sheetViews>
  <sheetFormatPr defaultColWidth="9" defaultRowHeight="14.45"/>
  <cols>
    <col min="1" max="1" width="9.625" customWidth="1"/>
    <col min="2" max="2" width="24.125" customWidth="1"/>
    <col min="3" max="3" width="70.625" style="5" customWidth="1"/>
    <col min="4" max="4" width="10.875" customWidth="1"/>
    <col min="5" max="5" width="25.125" style="5" customWidth="1"/>
  </cols>
  <sheetData>
    <row r="2" spans="1:5">
      <c r="A2" t="s">
        <v>1</v>
      </c>
    </row>
    <row r="3" spans="1:5">
      <c r="B3" s="317" t="s">
        <v>1</v>
      </c>
      <c r="C3" s="317"/>
    </row>
    <row r="5" spans="1:5" ht="15.6">
      <c r="B5" s="6" t="s">
        <v>113</v>
      </c>
      <c r="C5" s="7" t="s">
        <v>114</v>
      </c>
      <c r="D5" s="318" t="s">
        <v>115</v>
      </c>
      <c r="E5" s="319"/>
    </row>
    <row r="6" spans="1:5" ht="21" customHeight="1">
      <c r="B6" s="8" t="s">
        <v>104</v>
      </c>
      <c r="C6" s="5" t="s">
        <v>116</v>
      </c>
      <c r="D6" s="9"/>
      <c r="E6" s="10"/>
    </row>
    <row r="7" spans="1:5" ht="31.35" customHeight="1">
      <c r="B7" s="8" t="s">
        <v>105</v>
      </c>
      <c r="C7" s="11" t="s">
        <v>117</v>
      </c>
      <c r="D7" s="9" t="s">
        <v>59</v>
      </c>
      <c r="E7" s="10" t="s">
        <v>118</v>
      </c>
    </row>
    <row r="8" spans="1:5" ht="34.700000000000003" customHeight="1">
      <c r="B8" s="8" t="s">
        <v>106</v>
      </c>
      <c r="C8" s="11" t="s">
        <v>119</v>
      </c>
      <c r="D8" s="9" t="s">
        <v>67</v>
      </c>
      <c r="E8" s="10" t="s">
        <v>120</v>
      </c>
    </row>
    <row r="9" spans="1:5" ht="34.700000000000003" customHeight="1">
      <c r="B9" s="12" t="s">
        <v>107</v>
      </c>
      <c r="C9" s="11" t="s">
        <v>121</v>
      </c>
      <c r="D9" s="9" t="s">
        <v>61</v>
      </c>
      <c r="E9" s="10" t="s">
        <v>122</v>
      </c>
    </row>
    <row r="10" spans="1:5" ht="29.1">
      <c r="B10" s="13" t="s">
        <v>108</v>
      </c>
      <c r="C10" s="14" t="s">
        <v>123</v>
      </c>
      <c r="D10" s="15" t="s">
        <v>74</v>
      </c>
      <c r="E10" s="16" t="s">
        <v>124</v>
      </c>
    </row>
    <row r="24" ht="15.6" customHeight="1"/>
    <row r="26" ht="46.7" customHeight="1"/>
    <row r="27" ht="37.35" customHeight="1"/>
  </sheetData>
  <sheetProtection algorithmName="SHA-512" hashValue="Ok5BleCAPhlhzv2q4Y7HxE0/C0ZXA2Cku7O2pmmcPsjFRTbTcIdB87vRwGKh6pEkt2EK4hJSpI1YgrPFQZ1BwQ==" saltValue="PlG9UX2C4Q5hjq6AWpWgPA==" spinCount="100000" sheet="1" objects="1" scenarios="1" selectLockedCells="1" selectUnlockedCells="1"/>
  <mergeCells count="2">
    <mergeCell ref="B3:C3"/>
    <mergeCell ref="D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4"/>
  <dimension ref="A1:M35"/>
  <sheetViews>
    <sheetView workbookViewId="0">
      <selection activeCell="F21" sqref="F21"/>
    </sheetView>
  </sheetViews>
  <sheetFormatPr defaultColWidth="9" defaultRowHeight="14.45"/>
  <cols>
    <col min="1" max="1" width="12.375" customWidth="1"/>
    <col min="2" max="2" width="22.875" customWidth="1"/>
    <col min="3" max="3" width="34.5" customWidth="1"/>
    <col min="4" max="4" width="5.875" style="1" customWidth="1"/>
    <col min="5" max="5" width="12.5" style="1" customWidth="1"/>
    <col min="6" max="6" width="14.5" customWidth="1"/>
    <col min="7" max="7" width="23.5" customWidth="1"/>
    <col min="8" max="8" width="7.125" customWidth="1"/>
    <col min="9" max="9" width="22.125" customWidth="1"/>
    <col min="10" max="10" width="13.875" style="1" customWidth="1"/>
    <col min="12" max="12" width="21.375" customWidth="1"/>
    <col min="13" max="13" width="8.875" style="1"/>
  </cols>
  <sheetData>
    <row r="1" spans="1:13">
      <c r="A1" t="s">
        <v>125</v>
      </c>
      <c r="B1" s="2" t="s">
        <v>126</v>
      </c>
      <c r="C1" s="2" t="s">
        <v>92</v>
      </c>
      <c r="F1" t="s">
        <v>127</v>
      </c>
      <c r="G1" t="s">
        <v>92</v>
      </c>
      <c r="H1" t="s">
        <v>24</v>
      </c>
      <c r="I1" t="s">
        <v>128</v>
      </c>
      <c r="J1" s="1" t="s">
        <v>129</v>
      </c>
      <c r="K1" t="s">
        <v>130</v>
      </c>
      <c r="L1" t="s">
        <v>128</v>
      </c>
      <c r="M1" s="1" t="s">
        <v>129</v>
      </c>
    </row>
    <row r="2" spans="1:13">
      <c r="A2" s="227" t="s">
        <v>131</v>
      </c>
      <c r="B2" t="s">
        <v>132</v>
      </c>
      <c r="C2" s="3" t="s">
        <v>133</v>
      </c>
      <c r="D2" s="1">
        <v>1</v>
      </c>
      <c r="F2" t="s">
        <v>17</v>
      </c>
      <c r="G2" t="s">
        <v>134</v>
      </c>
      <c r="H2">
        <v>1</v>
      </c>
      <c r="I2" t="s">
        <v>135</v>
      </c>
      <c r="J2" s="1">
        <v>49</v>
      </c>
      <c r="K2">
        <v>2</v>
      </c>
      <c r="L2" t="s">
        <v>136</v>
      </c>
      <c r="M2" s="1">
        <v>50</v>
      </c>
    </row>
    <row r="3" spans="1:13">
      <c r="A3" s="227" t="s">
        <v>137</v>
      </c>
      <c r="B3" t="s">
        <v>138</v>
      </c>
      <c r="C3" s="3" t="s">
        <v>139</v>
      </c>
      <c r="D3" s="1">
        <v>1</v>
      </c>
      <c r="F3" t="s">
        <v>17</v>
      </c>
      <c r="G3" t="s">
        <v>140</v>
      </c>
      <c r="H3">
        <v>1</v>
      </c>
      <c r="I3" t="s">
        <v>141</v>
      </c>
      <c r="J3" s="1">
        <v>51</v>
      </c>
      <c r="K3">
        <v>2</v>
      </c>
      <c r="L3" t="s">
        <v>142</v>
      </c>
      <c r="M3" s="1">
        <v>51</v>
      </c>
    </row>
    <row r="4" spans="1:13">
      <c r="A4" s="227" t="s">
        <v>143</v>
      </c>
      <c r="B4" t="s">
        <v>144</v>
      </c>
      <c r="C4" s="3" t="s">
        <v>145</v>
      </c>
      <c r="F4" t="s">
        <v>17</v>
      </c>
      <c r="G4" t="s">
        <v>146</v>
      </c>
      <c r="H4">
        <v>1</v>
      </c>
      <c r="I4" t="s">
        <v>147</v>
      </c>
      <c r="J4" s="1">
        <v>51</v>
      </c>
      <c r="K4">
        <v>2</v>
      </c>
      <c r="L4" t="s">
        <v>148</v>
      </c>
      <c r="M4" s="1">
        <v>50</v>
      </c>
    </row>
    <row r="5" spans="1:13">
      <c r="A5" t="s">
        <v>149</v>
      </c>
      <c r="B5" t="s">
        <v>150</v>
      </c>
      <c r="C5" s="3" t="s">
        <v>151</v>
      </c>
      <c r="F5" t="s">
        <v>17</v>
      </c>
      <c r="G5" t="s">
        <v>152</v>
      </c>
      <c r="H5">
        <v>1</v>
      </c>
      <c r="I5" t="s">
        <v>153</v>
      </c>
      <c r="J5" s="1">
        <v>51</v>
      </c>
      <c r="K5">
        <v>2</v>
      </c>
      <c r="L5" t="s">
        <v>154</v>
      </c>
      <c r="M5" s="1">
        <v>50</v>
      </c>
    </row>
    <row r="6" spans="1:13">
      <c r="A6" s="227" t="s">
        <v>155</v>
      </c>
      <c r="B6" t="s">
        <v>156</v>
      </c>
      <c r="C6" s="3" t="s">
        <v>157</v>
      </c>
      <c r="F6" t="s">
        <v>17</v>
      </c>
      <c r="G6" t="s">
        <v>133</v>
      </c>
      <c r="H6">
        <v>1</v>
      </c>
      <c r="I6" t="s">
        <v>158</v>
      </c>
      <c r="J6" s="1">
        <v>51</v>
      </c>
      <c r="K6">
        <v>2</v>
      </c>
      <c r="L6" t="s">
        <v>159</v>
      </c>
      <c r="M6" s="1">
        <v>50</v>
      </c>
    </row>
    <row r="7" spans="1:13">
      <c r="B7" t="s">
        <v>160</v>
      </c>
      <c r="C7" s="3" t="s">
        <v>134</v>
      </c>
      <c r="D7" s="1">
        <v>1</v>
      </c>
      <c r="F7" t="s">
        <v>17</v>
      </c>
      <c r="G7" t="s">
        <v>33</v>
      </c>
      <c r="H7">
        <v>1</v>
      </c>
      <c r="I7" t="s">
        <v>161</v>
      </c>
      <c r="J7" s="1">
        <v>50</v>
      </c>
      <c r="K7">
        <v>2</v>
      </c>
      <c r="L7" t="s">
        <v>162</v>
      </c>
      <c r="M7" s="1">
        <v>49</v>
      </c>
    </row>
    <row r="8" spans="1:13">
      <c r="B8" t="s">
        <v>163</v>
      </c>
      <c r="C8" s="3" t="s">
        <v>164</v>
      </c>
      <c r="D8" s="1">
        <v>1</v>
      </c>
      <c r="F8" t="s">
        <v>17</v>
      </c>
      <c r="G8" t="s">
        <v>165</v>
      </c>
      <c r="H8">
        <v>1</v>
      </c>
      <c r="I8" t="s">
        <v>166</v>
      </c>
      <c r="J8" s="1">
        <v>50</v>
      </c>
      <c r="K8">
        <v>2</v>
      </c>
      <c r="L8" t="s">
        <v>167</v>
      </c>
      <c r="M8" s="1">
        <v>50</v>
      </c>
    </row>
    <row r="9" spans="1:13">
      <c r="B9" t="s">
        <v>168</v>
      </c>
      <c r="C9" t="s">
        <v>169</v>
      </c>
      <c r="F9" t="s">
        <v>17</v>
      </c>
      <c r="G9" t="s">
        <v>170</v>
      </c>
      <c r="H9">
        <v>1</v>
      </c>
      <c r="I9" t="s">
        <v>171</v>
      </c>
      <c r="J9" s="1">
        <v>51</v>
      </c>
      <c r="K9">
        <v>2</v>
      </c>
      <c r="L9" t="s">
        <v>172</v>
      </c>
      <c r="M9" s="1">
        <v>50</v>
      </c>
    </row>
    <row r="10" spans="1:13">
      <c r="B10" t="s">
        <v>173</v>
      </c>
      <c r="C10" s="3" t="s">
        <v>33</v>
      </c>
      <c r="F10" t="s">
        <v>17</v>
      </c>
      <c r="G10" t="s">
        <v>174</v>
      </c>
      <c r="H10">
        <v>1</v>
      </c>
      <c r="I10" t="s">
        <v>175</v>
      </c>
      <c r="J10" s="1">
        <v>49</v>
      </c>
      <c r="K10">
        <v>2</v>
      </c>
      <c r="L10" t="s">
        <v>176</v>
      </c>
      <c r="M10" s="1">
        <v>50</v>
      </c>
    </row>
    <row r="11" spans="1:13">
      <c r="B11" t="s">
        <v>177</v>
      </c>
      <c r="C11" s="3" t="s">
        <v>165</v>
      </c>
      <c r="D11" s="1">
        <v>1</v>
      </c>
      <c r="F11" t="s">
        <v>17</v>
      </c>
      <c r="G11" t="s">
        <v>178</v>
      </c>
      <c r="H11">
        <v>1</v>
      </c>
      <c r="I11" t="s">
        <v>179</v>
      </c>
      <c r="J11" s="1">
        <v>50</v>
      </c>
      <c r="K11">
        <v>2</v>
      </c>
      <c r="L11" t="s">
        <v>180</v>
      </c>
      <c r="M11" s="1">
        <v>49</v>
      </c>
    </row>
    <row r="12" spans="1:13">
      <c r="B12" t="s">
        <v>181</v>
      </c>
      <c r="C12" s="3" t="s">
        <v>182</v>
      </c>
    </row>
    <row r="13" spans="1:13">
      <c r="B13" t="s">
        <v>183</v>
      </c>
      <c r="C13" s="3" t="s">
        <v>184</v>
      </c>
      <c r="D13" s="1">
        <v>1</v>
      </c>
    </row>
    <row r="14" spans="1:13">
      <c r="B14" t="s">
        <v>185</v>
      </c>
      <c r="C14" s="3" t="s">
        <v>186</v>
      </c>
      <c r="D14" s="1">
        <v>1</v>
      </c>
    </row>
    <row r="15" spans="1:13">
      <c r="B15" t="s">
        <v>187</v>
      </c>
      <c r="C15" s="3" t="s">
        <v>188</v>
      </c>
    </row>
    <row r="16" spans="1:13">
      <c r="B16" t="s">
        <v>189</v>
      </c>
      <c r="C16" s="4" t="s">
        <v>190</v>
      </c>
      <c r="D16" s="1">
        <v>1</v>
      </c>
    </row>
    <row r="17" spans="2:4">
      <c r="B17" t="s">
        <v>191</v>
      </c>
      <c r="C17" s="4" t="s">
        <v>170</v>
      </c>
      <c r="D17" s="1">
        <v>1</v>
      </c>
    </row>
    <row r="18" spans="2:4">
      <c r="B18" t="s">
        <v>192</v>
      </c>
      <c r="C18" s="4" t="s">
        <v>174</v>
      </c>
      <c r="D18" s="1">
        <v>1</v>
      </c>
    </row>
    <row r="19" spans="2:4">
      <c r="C19" s="3" t="s">
        <v>193</v>
      </c>
      <c r="D19" s="1">
        <v>1</v>
      </c>
    </row>
    <row r="20" spans="2:4">
      <c r="C20" s="3" t="s">
        <v>152</v>
      </c>
      <c r="D20" s="1">
        <v>1</v>
      </c>
    </row>
    <row r="21" spans="2:4">
      <c r="C21" s="4" t="s">
        <v>194</v>
      </c>
    </row>
    <row r="22" spans="2:4">
      <c r="C22" s="3" t="s">
        <v>195</v>
      </c>
    </row>
    <row r="23" spans="2:4">
      <c r="C23" t="s">
        <v>196</v>
      </c>
    </row>
    <row r="24" spans="2:4">
      <c r="C24" s="3" t="s">
        <v>197</v>
      </c>
    </row>
    <row r="25" spans="2:4">
      <c r="C25" s="3" t="s">
        <v>146</v>
      </c>
      <c r="D25" s="1">
        <v>1</v>
      </c>
    </row>
    <row r="26" spans="2:4">
      <c r="C26" t="s">
        <v>198</v>
      </c>
    </row>
    <row r="27" spans="2:4">
      <c r="C27" t="s">
        <v>178</v>
      </c>
      <c r="D27" s="1">
        <v>1</v>
      </c>
    </row>
    <row r="28" spans="2:4">
      <c r="C28" s="3" t="s">
        <v>199</v>
      </c>
      <c r="D28" s="1">
        <v>1</v>
      </c>
    </row>
    <row r="29" spans="2:4">
      <c r="C29" t="s">
        <v>200</v>
      </c>
    </row>
    <row r="30" spans="2:4">
      <c r="C30" t="s">
        <v>201</v>
      </c>
    </row>
    <row r="31" spans="2:4">
      <c r="C31" t="s">
        <v>140</v>
      </c>
      <c r="D31" s="1">
        <v>1</v>
      </c>
    </row>
    <row r="32" spans="2:4">
      <c r="C32" t="s">
        <v>202</v>
      </c>
      <c r="D32" s="1">
        <v>1</v>
      </c>
    </row>
    <row r="33" spans="3:4">
      <c r="C33" t="s">
        <v>203</v>
      </c>
      <c r="D33" s="1">
        <v>1</v>
      </c>
    </row>
    <row r="34" spans="3:4">
      <c r="C34" t="s">
        <v>204</v>
      </c>
    </row>
    <row r="35" spans="3:4">
      <c r="C35" t="s">
        <v>205</v>
      </c>
      <c r="D35" s="1">
        <v>1</v>
      </c>
    </row>
  </sheetData>
  <sortState xmlns:xlrd2="http://schemas.microsoft.com/office/spreadsheetml/2017/richdata2" ref="C2:D35">
    <sortCondition ref="C2:C35"/>
  </sortState>
  <pageMargins left="0.7" right="0.7" top="0.75" bottom="0.75" header="0.3" footer="0.3"/>
  <pageSetup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ce44e982-49b1-48d0-a492-bcf8ba0a9108">
      <Terms xmlns="http://schemas.microsoft.com/office/infopath/2007/PartnerControls"/>
    </lcf76f155ced4ddcb4097134ff3c332f>
    <TaxCatchAll xmlns="7be803ac-07b3-4e6d-8a33-6b4a239830db"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389F3844E834B438EAF4C3974A5E888" ma:contentTypeVersion="11" ma:contentTypeDescription="Create a new document." ma:contentTypeScope="" ma:versionID="d7d0bc0a52076bfc36c16fd9f572c575">
  <xsd:schema xmlns:xsd="http://www.w3.org/2001/XMLSchema" xmlns:xs="http://www.w3.org/2001/XMLSchema" xmlns:p="http://schemas.microsoft.com/office/2006/metadata/properties" xmlns:ns2="ce44e982-49b1-48d0-a492-bcf8ba0a9108" xmlns:ns3="7be803ac-07b3-4e6d-8a33-6b4a239830db" targetNamespace="http://schemas.microsoft.com/office/2006/metadata/properties" ma:root="true" ma:fieldsID="20704a03d38483fbc5311fc860a03327" ns2:_="" ns3:_="">
    <xsd:import namespace="ce44e982-49b1-48d0-a492-bcf8ba0a9108"/>
    <xsd:import namespace="7be803ac-07b3-4e6d-8a33-6b4a239830db"/>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e44e982-49b1-48d0-a492-bcf8ba0a910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33be0efa-dd52-4515-a411-1eb6e0b8c109"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BillingMetadata" ma:index="18"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7be803ac-07b3-4e6d-8a33-6b4a239830db" elementFormDefault="qualified">
    <xsd:import namespace="http://schemas.microsoft.com/office/2006/documentManagement/types"/>
    <xsd:import namespace="http://schemas.microsoft.com/office/infopath/2007/PartnerControls"/>
    <xsd:element name="TaxCatchAll" ma:index="16" nillable="true" ma:displayName="Taxonomy Catch All Column" ma:hidden="true" ma:list="{616fe3e7-c3dc-4b79-a838-9d087c3829a1}" ma:internalName="TaxCatchAll" ma:showField="CatchAllData" ma:web="7be803ac-07b3-4e6d-8a33-6b4a239830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
</file>

<file path=customXml/item5.xml><?xml version="1.0" encoding="utf-8"?>
<allowEditUser xmlns="https://web.wps.cn/et/2018/main" xmlns:s="http://schemas.openxmlformats.org/spreadsheetml/2006/main" hasInvisiblePropRange="0">
  <rangeList sheetStid="1" master="" otherUserPermission="visible"/>
  <rangeList sheetStid="3" master="" otherUserPermission="visible"/>
  <rangeList sheetStid="2" master="" otherUserPermission="visible"/>
  <rangeList sheetStid="6" master="" otherUserPermission="visible"/>
  <rangeList sheetStid="4" master="" otherUserPermission="visible"/>
</allowEditUser>
</file>

<file path=customXml/itemProps1.xml><?xml version="1.0" encoding="utf-8"?>
<ds:datastoreItem xmlns:ds="http://schemas.openxmlformats.org/officeDocument/2006/customXml" ds:itemID="{E4EED549-B13C-4BF2-BC74-10E3F0424A8A}"/>
</file>

<file path=customXml/itemProps2.xml><?xml version="1.0" encoding="utf-8"?>
<ds:datastoreItem xmlns:ds="http://schemas.openxmlformats.org/officeDocument/2006/customXml" ds:itemID="{939AA180-1638-45DD-B17B-EEA054F15E35}"/>
</file>

<file path=customXml/itemProps3.xml><?xml version="1.0" encoding="utf-8"?>
<ds:datastoreItem xmlns:ds="http://schemas.openxmlformats.org/officeDocument/2006/customXml" ds:itemID="{C52F4763-E074-4D35-8B85-AAC2215B5D42}"/>
</file>

<file path=customXml/itemProps4.xml><?xml version="1.0" encoding="utf-8"?>
<ds:datastoreItem xmlns:ds="http://schemas.openxmlformats.org/officeDocument/2006/customXml" ds:itemID="{E40F74CC-5DFF-417A-B2F6-72C59B026C28}"/>
</file>

<file path=customXml/itemProps5.xml><?xml version="1.0" encoding="utf-8"?>
<ds:datastoreItem xmlns:ds="http://schemas.openxmlformats.org/officeDocument/2006/customXml" ds:itemID="{5A5607D9-04D2-4DE1-AC0E-A7772F01BC7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Emil Monroy</dc:creator>
  <cp:keywords/>
  <dc:description/>
  <cp:lastModifiedBy>MC WELSON SOLOMON</cp:lastModifiedBy>
  <cp:revision/>
  <dcterms:created xsi:type="dcterms:W3CDTF">2021-07-15T02:28:00Z</dcterms:created>
  <dcterms:modified xsi:type="dcterms:W3CDTF">2026-09-21T21:06:41Z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093CD901580C4D66BA586397759398A2_12</vt:lpwstr>
  </property>
  <property fmtid="{D5CDD505-2E9C-101B-9397-08002B2CF9AE}" pid="3" name="KSOProductBuildVer">
    <vt:lpwstr>1033-12.2.0.23196</vt:lpwstr>
  </property>
  <property fmtid="{D5CDD505-2E9C-101B-9397-08002B2CF9AE}" pid="4" name="ContentTypeId">
    <vt:lpwstr>0x010100E389F3844E834B438EAF4C3974A5E888</vt:lpwstr>
  </property>
  <property fmtid="{D5CDD505-2E9C-101B-9397-08002B2CF9AE}" pid="5" name="MediaServiceImageTags">
    <vt:lpwstr/>
  </property>
</Properties>
</file>